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Post Tracker" sheetId="2" state="visible" r:id="rId4"/>
    <sheet name="Demo Pipeline" sheetId="3" state="visible" r:id="rId5"/>
    <sheet name="Dashboard" sheetId="4" state="visible" r:id="rId6"/>
    <sheet name="Case Studies" sheetId="5" state="visible" r:id="rId7"/>
    <sheet name="Follower Growth" sheetId="6" state="visible" r:id="rId8"/>
    <sheet name="Tracking Setup" sheetId="7" state="visible" r:id="rId9"/>
    <sheet name="Metric Definitions" sheetId="8" state="visible" r:id="rId10"/>
    <sheet name="Settings" sheetId="9" state="visible" r:id="rId11"/>
  </sheets>
  <definedNames>
    <definedName function="false" hidden="true" localSheetId="2" name="_xlnm._FilterDatabase" vbProcedure="false">'Demo Pipeline'!$A$4:$AB$504</definedName>
    <definedName function="false" hidden="true" localSheetId="1" name="_xlnm._FilterDatabase" vbProcedure="false">'Post Tracker'!$A$4:$BS$1004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Auto: platform + account code, date (yymmdd), time (hhmm). Used as utm_content — this is how demos are matched back to the post.</t>
        </r>
      </text>
    </comment>
    <comment ref="C4" authorId="0">
      <text>
        <r>
          <rPr>
            <sz val="10"/>
            <rFont val="Arial"/>
            <family val="2"/>
          </rPr>
          <t xml:space="preserve">Local time. Makes the Post ID unique when you post twice a day.</t>
        </r>
      </text>
    </comment>
    <comment ref="H4" authorId="0">
      <text>
        <r>
          <rPr>
            <sz val="10"/>
            <rFont val="Arial"/>
            <family val="2"/>
          </rPr>
          <t xml:space="preserve">Company Page vs Founder / Exec profile vs Employee reshare — founder posts usually behave very differently on LinkedIn, so track them separately.</t>
        </r>
      </text>
    </comment>
    <comment ref="K4" authorId="0">
      <text>
        <r>
          <rPr>
            <sz val="10"/>
            <rFont val="Arial"/>
            <family val="2"/>
          </rPr>
          <t xml:space="preserve">Dropdown comes from the Case Studies sheet. Leave blank if the post doesn't feature one.</t>
        </r>
      </text>
    </comment>
    <comment ref="S4" authorId="0">
      <text>
        <r>
          <rPr>
            <sz val="10"/>
            <rFont val="Arial"/>
            <family val="2"/>
          </rPr>
          <t xml:space="preserve">Account follower count on the day of posting — needed for Reach % of Followers.</t>
        </r>
      </text>
    </comment>
    <comment ref="T4" authorId="0">
      <text>
        <r>
          <rPr>
            <sz val="10"/>
            <rFont val="Arial"/>
            <family val="2"/>
          </rPr>
          <t xml:space="preserve">Page the post links to. Leave blank to use the default on the Settings sheet.</t>
        </r>
      </text>
    </comment>
    <comment ref="U4" authorId="0">
      <text>
        <r>
          <rPr>
            <sz val="10"/>
            <rFont val="Arial"/>
            <family val="2"/>
          </rPr>
          <t xml:space="preserve">Instagram captions aren't clickable, so note where the link lived (bio, story sticker…).</t>
        </r>
      </text>
    </comment>
    <comment ref="X4" authorId="0">
      <text>
        <r>
          <rPr>
            <sz val="10"/>
            <rFont val="Arial"/>
            <family val="2"/>
          </rPr>
          <t xml:space="preserve">Case study slug if one is featured, otherwise the content-pillar slug.</t>
        </r>
      </text>
    </comment>
    <comment ref="Z4" authorId="0">
      <text>
        <r>
          <rPr>
            <sz val="10"/>
            <rFont val="Arial"/>
            <family val="2"/>
          </rPr>
          <t xml:space="preserve">Unique link for this post. Copy-paste it (or its short link) into the post.</t>
        </r>
      </text>
    </comment>
    <comment ref="AA4" authorId="0">
      <text>
        <r>
          <rPr>
            <sz val="10"/>
            <rFont val="Arial"/>
            <family val="2"/>
          </rPr>
          <t xml:space="preserve">bit.ly / Dub / branded short link pointing at the Tracking URL.</t>
        </r>
      </text>
    </comment>
    <comment ref="AB4" authorId="0">
      <text>
        <r>
          <rPr>
            <sz val="10"/>
            <rFont val="Arial"/>
            <family val="2"/>
          </rPr>
          <t xml:space="preserve">Pull every post at the same age (e.g. day 7) so posts are comparable.</t>
        </r>
      </text>
    </comment>
    <comment ref="AC4" authorId="0">
      <text>
        <r>
          <rPr>
            <sz val="10"/>
            <rFont val="Arial"/>
            <family val="2"/>
          </rPr>
          <t xml:space="preserve">LinkedIn: Impressions. Instagram: Views. X: Impressions.</t>
        </r>
      </text>
    </comment>
    <comment ref="AD4" authorId="0">
      <text>
        <r>
          <rPr>
            <sz val="10"/>
            <rFont val="Arial"/>
            <family val="2"/>
          </rPr>
          <t xml:space="preserve">Unique accounts/members reached, if the platform shows it (LinkedIn page posts: Members reached; Instagram: Accounts reached). X doesn't report it — leave blank.</t>
        </r>
      </text>
    </comment>
    <comment ref="AJ4" authorId="0">
      <text>
        <r>
          <rPr>
            <sz val="10"/>
            <rFont val="Arial"/>
            <family val="2"/>
          </rPr>
          <t xml:space="preserve">Platform-reported clicks (or short-link clicks if the platform doesn't show them).</t>
        </r>
      </text>
    </comment>
    <comment ref="AM4" authorId="0">
      <text>
        <r>
          <rPr>
            <sz val="10"/>
            <rFont val="Arial"/>
            <family val="2"/>
          </rPr>
          <t xml:space="preserve">How many of the people who liked/commented/reposted are imaging-center or radiology decision-makers. Skim the engager list — this is the best early signal you're reaching buyers, not just peers.</t>
        </r>
      </text>
    </comment>
    <comment ref="AO4" authorId="0">
      <text>
        <r>
          <rPr>
            <sz val="10"/>
            <rFont val="Arial"/>
            <family val="2"/>
          </rPr>
          <t xml:space="preserve">Reported reach; if the platform doesn't report it, falls back to impressions.</t>
        </r>
      </text>
    </comment>
    <comment ref="AQ4" authorId="0">
      <text>
        <r>
          <rPr>
            <sz val="10"/>
            <rFont val="Arial"/>
            <family val="2"/>
          </rPr>
          <t xml:space="preserve">&gt;100% means the post travelled beyond your followers.</t>
        </r>
      </text>
    </comment>
    <comment ref="AR4" authorId="0">
      <text>
        <r>
          <rPr>
            <sz val="10"/>
            <rFont val="Arial"/>
            <family val="2"/>
          </rPr>
          <t xml:space="preserve">Likes + Comments + Shares + Saves + Link Clicks</t>
        </r>
      </text>
    </comment>
    <comment ref="AS4" authorId="0">
      <text>
        <r>
          <rPr>
            <sz val="10"/>
            <rFont val="Arial"/>
            <family val="2"/>
          </rPr>
          <t xml:space="preserve">Primary metric: Total Engagements ÷ Reach (Calc.)</t>
        </r>
      </text>
    </comment>
    <comment ref="AU4" authorId="0">
      <text>
        <r>
          <rPr>
            <sz val="10"/>
            <rFont val="Arial"/>
            <family val="2"/>
          </rPr>
          <t xml:space="preserve">Total Engagements ÷ Followers at Posting. Works from public data alone, so it's the fallback when impressions/reach haven't been entered yet.</t>
        </r>
      </text>
    </comment>
    <comment ref="AV4" authorId="0">
      <text>
        <r>
          <rPr>
            <sz val="10"/>
            <rFont val="Arial"/>
            <family val="2"/>
          </rPr>
          <t xml:space="preserve">Link Clicks ÷ Impressions</t>
        </r>
      </text>
    </comment>
    <comment ref="AW4" authorId="0">
      <text>
        <r>
          <rPr>
            <sz val="10"/>
            <rFont val="Arial"/>
            <family val="2"/>
          </rPr>
          <t xml:space="preserve">Shares ÷ Reach — how often people pass it on.</t>
        </r>
      </text>
    </comment>
    <comment ref="AX4" authorId="0">
      <text>
        <r>
          <rPr>
            <sz val="10"/>
            <rFont val="Arial"/>
            <family val="2"/>
          </rPr>
          <t xml:space="preserve">Weighted engagements (weights on Settings) per 1,000 people reached.</t>
        </r>
      </text>
    </comment>
    <comment ref="AY4" authorId="0">
      <text>
        <r>
          <rPr>
            <sz val="10"/>
            <rFont val="Arial"/>
            <family val="2"/>
          </rPr>
          <t xml:space="preserve">This post's Engagement Rate ÷ the average for its platform. 1.2x+ = green, 0.8x or less = red.</t>
        </r>
      </text>
    </comment>
    <comment ref="AZ4" authorId="0">
      <text>
        <r>
          <rPr>
            <sz val="10"/>
            <rFont val="Arial"/>
            <family val="2"/>
          </rPr>
          <t xml:space="preserve">GA4 sessions where Session manual ad content = this Post ID (lower-case). See Tracking Setup.</t>
        </r>
      </text>
    </comment>
    <comment ref="BB4" authorId="0">
      <text>
        <r>
          <rPr>
            <sz val="10"/>
            <rFont val="Arial"/>
            <family val="2"/>
          </rPr>
          <t xml:space="preserve">Sessions from this post that reached the demo / book-a-demo page.</t>
        </r>
      </text>
    </comment>
    <comment ref="BD4" authorId="0">
      <text>
        <r>
          <rPr>
            <sz val="10"/>
            <rFont val="Arial"/>
            <family val="2"/>
          </rPr>
          <t xml:space="preserve">Auto-counted from the Demo Pipeline sheet (rows whose Attributed Post ID = this Post ID).</t>
        </r>
      </text>
    </comment>
    <comment ref="BI4" authorId="0">
      <text>
        <r>
          <rPr>
            <sz val="10"/>
            <rFont val="Arial"/>
            <family val="2"/>
          </rPr>
          <t xml:space="preserve">Low values = bot clicks, slow page, or link-preview clicks that never loaded the site.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K4" authorId="0">
      <text>
        <r>
          <rPr>
            <sz val="10"/>
            <rFont val="Arial"/>
            <family val="2"/>
          </rPr>
          <t xml:space="preserve">From hidden form field / CRM.</t>
        </r>
      </text>
    </comment>
    <comment ref="N4" authorId="0">
      <text>
        <r>
          <rPr>
            <sz val="10"/>
            <rFont val="Arial"/>
            <family val="2"/>
          </rPr>
          <t xml:space="preserve">This is the Post ID (lower-case). It links the demo back to the post automatically.</t>
        </r>
      </text>
    </comment>
    <comment ref="O4" authorId="0">
      <text>
        <r>
          <rPr>
            <sz val="10"/>
            <rFont val="Arial"/>
            <family val="2"/>
          </rPr>
          <t xml:space="preserve">Ask this on the demo form. It catches 'dark social' — people who saw a post but typed the URL instead of clicking.</t>
        </r>
      </text>
    </comment>
    <comment ref="P4" authorId="0">
      <text>
        <r>
          <rPr>
            <sz val="10"/>
            <rFont val="Arial"/>
            <family val="2"/>
          </rPr>
          <t xml:space="preserve">If the lead says 'I saw your post about X', find that Post ID on the Post Tracker and paste it here.</t>
        </r>
      </text>
    </comment>
    <comment ref="Q4" authorId="0">
      <text>
        <r>
          <rPr>
            <sz val="10"/>
            <rFont val="Arial"/>
            <family val="2"/>
          </rPr>
          <t xml:space="preserve">utm_content if present, otherwise Manual Post ID.</t>
        </r>
      </text>
    </comment>
    <comment ref="U4" authorId="0">
      <text>
        <r>
          <rPr>
            <sz val="10"/>
            <rFont val="Arial"/>
            <family val="2"/>
          </rPr>
          <t xml:space="preserve">How long the post took to turn into a demo — tells you how long to wait before judging a post.</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C4" authorId="0">
      <text>
        <r>
          <rPr>
            <sz val="10"/>
            <rFont val="Arial"/>
            <family val="2"/>
          </rPr>
          <t xml:space="preserve">lower-case, hyphens, no spaces — e.g. cs02-scheduling-throughput</t>
        </r>
      </text>
    </comment>
  </commentList>
</comments>
</file>

<file path=xl/sharedStrings.xml><?xml version="1.0" encoding="utf-8"?>
<sst xmlns="http://schemas.openxmlformats.org/spreadsheetml/2006/main" count="1117" uniqueCount="711">
  <si>
    <t xml:space="preserve">Alpha Nodus — Social Media Performance &amp; Demo Attribution Tracker</t>
  </si>
  <si>
    <t xml:space="preserve">Built for LinkedIn (company + founder), Instagram, X (plus Facebook / YouTube if you use them). Audience: independent imaging &amp; radiology centers, USA.</t>
  </si>
  <si>
    <t xml:space="preserve">What this workbook answers</t>
  </si>
  <si>
    <t xml:space="preserve">1. Which platform, content pillar, case study, format, hook and persona gets the best reach and engagement?</t>
  </si>
  <si>
    <t xml:space="preserve">2. Which posts actually send imaging-center decision-makers to alphanodus.com, to the demo page, and into a booked demo?</t>
  </si>
  <si>
    <t xml:space="preserve">3. What does each demo cost (if boosted) and how much pipeline did each post / case study create?</t>
  </si>
  <si>
    <t xml:space="preserve">Colour legend</t>
  </si>
  <si>
    <t xml:space="preserve">Input</t>
  </si>
  <si>
    <t xml:space="preserve">Yellow cell = you type here (or pick from the dropdown).</t>
  </si>
  <si>
    <t xml:space="preserve">Calculated</t>
  </si>
  <si>
    <t xml:space="preserve">Grey cell = formula. Don't type over it — it recalculates by itself.</t>
  </si>
  <si>
    <t xml:space="preserve">Public data</t>
  </si>
  <si>
    <t xml:space="preserve">Blue text = September 2026 data pulled from Alpha Nodus's public LinkedIn, Instagram and X pages on 28 Sep 2026. Overwrite with native-analytics numbers when you have them.</t>
  </si>
  <si>
    <t xml:space="preserve">Hover over any column header with a red corner triangle for a note on what to enter.</t>
  </si>
  <si>
    <t xml:space="preserve">Sheet map</t>
  </si>
  <si>
    <t xml:space="preserve">Post Tracker</t>
  </si>
  <si>
    <t xml:space="preserve">One row per post per platform. Details → auto tracking link → platform metrics → auto reach &amp; engagement → website/demo funnel.</t>
  </si>
  <si>
    <t xml:space="preserve">Demo Pipeline</t>
  </si>
  <si>
    <t xml:space="preserve">One row per demo booked from ANY source. Its UTM / manual Post ID links the demo back to the post automatically.</t>
  </si>
  <si>
    <t xml:space="preserve">Dashboard</t>
  </si>
  <si>
    <t xml:space="preserve">Pick a date range. Headline KPIs, funnel, top 5 posts, and breakdowns by platform, account, pillar, case study, format, persona, hook, CTA, link placement, weekday, paid vs organic, monthly trend and demo sources.</t>
  </si>
  <si>
    <t xml:space="preserve">Case Studies</t>
  </si>
  <si>
    <t xml:space="preserve">Library of case studies (name, slug, client type, problem, result). Shows all-time reach, engagement and demos for each story.</t>
  </si>
  <si>
    <t xml:space="preserve">Follower Growth</t>
  </si>
  <si>
    <t xml:space="preserve">Weekly follower count per account → net new followers.</t>
  </si>
  <si>
    <t xml:space="preserve">Tracking Setup</t>
  </si>
  <si>
    <t xml:space="preserve">UTM rules, where each number comes from (GA4 paths), website set-up checklist, and every attribution scenario.</t>
  </si>
  <si>
    <t xml:space="preserve">Metric Definitions</t>
  </si>
  <si>
    <t xml:space="preserve">Exact formula for every calculated metric and platform-by-platform notes.</t>
  </si>
  <si>
    <t xml:space="preserve">Settings</t>
  </si>
  <si>
    <t xml:space="preserve">Dropdown lists, default landing page and engagement weights. Add new pillars / formats / personas here.</t>
  </si>
  <si>
    <t xml:space="preserve">Workflow</t>
  </si>
  <si>
    <t xml:space="preserve">Before posting</t>
  </si>
  <si>
    <t xml:space="preserve">Add a row: date, time, platform, account, format, pillar, case study, topic, hook, persona, CTA. The Post ID and Tracking URL appear automatically.</t>
  </si>
  <si>
    <t xml:space="preserve">Copy the Tracking URL (or shorten it and paste the short link in the Short Link column) and use it as the ONLY link in the post / first comment / bio / story sticker.</t>
  </si>
  <si>
    <t xml:space="preserve">Right after posting</t>
  </si>
  <si>
    <t xml:space="preserve">Paste the Live Post URL and the account's current follower count.</t>
  </si>
  <si>
    <t xml:space="preserve">Day 7 after posting</t>
  </si>
  <si>
    <t xml:space="preserve">Open the platform's post analytics and fill the purple Platform Metrics block. Always pull at the same age so posts compare fairly. Count ICP engagers.</t>
  </si>
  <si>
    <t xml:space="preserve">Weekly (Mondays)</t>
  </si>
  <si>
    <t xml:space="preserve">GA4 → fill Sessions, Engaged Sessions, Demo Page Visits for each post (see Tracking Setup). Update Follower Growth.</t>
  </si>
  <si>
    <t xml:space="preserve">Every demo booked</t>
  </si>
  <si>
    <t xml:space="preserve">Add a row to Demo Pipeline with the utm_* values from the form / CRM and the 'How did you hear about us?' answer. Update status, qualified and stage as it progresses.</t>
  </si>
  <si>
    <t xml:space="preserve">Monthly review</t>
  </si>
  <si>
    <t xml:space="preserve">Dashboard: which pillar / case study / format has the highest engagement rate AND demos? Write 'What We Learned' + 'Next Action' on the best and worst posts. Scale winners, retire losers.</t>
  </si>
  <si>
    <t xml:space="preserve">Data notes — September 2026 (pulled 28 Sep 2026)</t>
  </si>
  <si>
    <t xml:space="preserve">Accounts</t>
  </si>
  <si>
    <t xml:space="preserve">LinkedIn company page (2,640 followers), Instagram @alphanodus (61), X @AlphaNodus (46). No founder / employee accounts were included — add them as Account = Founder / Employee.</t>
  </si>
  <si>
    <t xml:space="preserve">What was found</t>
  </si>
  <si>
    <t xml:space="preserve">13 posts: 5 LinkedIn (Sep 11, 14, 18, 23, 28), 4 Instagram and 4 X (Sep 11, 14, 18, 23 — the same four stories cross-posted). X and Instagram had no posts Sep 1–10; LinkedIn's public page only lists its 5 newest posts, so check LinkedIn for anything posted Sep 1–10.</t>
  </si>
  <si>
    <t xml:space="preserve">What's public</t>
  </si>
  <si>
    <t xml:space="preserve">LinkedIn &amp; Instagram: likes/reactions and comments only. X: replies and views (used as impressions). Everything else (impressions, reach, saves, shares, clicks, profile visits) is only in each platform's own analytics — fill those yellow cells from there.</t>
  </si>
  <si>
    <t xml:space="preserve">Engagement rate</t>
  </si>
  <si>
    <t xml:space="preserve">Because LinkedIn / Instagram impressions aren't public, compare posts on 'Engagement Rate (by Followers)' until impressions are entered; then switch to 'Engagement Rate (by Reach)'.</t>
  </si>
  <si>
    <t xml:space="preserve">Website &amp; demos</t>
  </si>
  <si>
    <t xml:space="preserve">The September posts didn't use UTM links, so website sessions and demos can't be traced to them. Start using each row's Tracking URL from the next post onward, and log every demo on Demo Pipeline.</t>
  </si>
  <si>
    <t xml:space="preserve">Rules that keep the data clean</t>
  </si>
  <si>
    <t xml:space="preserve">• Every post gets its own tracking link — never reuse a link across posts or platforms (the Post ID is the link's fingerprint).</t>
  </si>
  <si>
    <t xml:space="preserve">• Post ID = platform code + account code + date + time (e.g. LIC-260922-0900). A red Post ID means a duplicate — change the time by a minute.</t>
  </si>
  <si>
    <t xml:space="preserve">• Never put UTM links on alphanodus.com's own internal links — it resets the visitor's source.</t>
  </si>
  <si>
    <t xml:space="preserve">• One post published on 3 platforms = 3 rows (each gets its own link), sharing the same case study so they roll up together.</t>
  </si>
  <si>
    <t xml:space="preserve">• Judge a post on engagement rate (not raw likes) and on demos; judge a case study only after it has run on at least 2–3 posts.</t>
  </si>
  <si>
    <t xml:space="preserve">Post Tracker — one row per post, per platform</t>
  </si>
  <si>
    <t xml:space="preserve">Yellow = you fill in · Grey = calculated, don't type over · Blue = September 2026 posts pulled from public profiles on 9/28 (see Start Here → Data notes).</t>
  </si>
  <si>
    <t xml:space="preserve">POST DETAILS</t>
  </si>
  <si>
    <t xml:space="preserve">TRACKING LINK (UTM)</t>
  </si>
  <si>
    <t xml:space="preserve">PLATFORM METRICS  (enter ~7 days after posting)</t>
  </si>
  <si>
    <t xml:space="preserve">REACH &amp; ENGAGEMENT (calculated)</t>
  </si>
  <si>
    <t xml:space="preserve">WEBSITE &amp; DEMO FUNNEL</t>
  </si>
  <si>
    <t xml:space="preserve">LEARNINGS</t>
  </si>
  <si>
    <t xml:space="preserve">HELPERS (Dashboard)</t>
  </si>
  <si>
    <t xml:space="preserve">Post ID</t>
  </si>
  <si>
    <t xml:space="preserve">Publish Date</t>
  </si>
  <si>
    <t xml:space="preserve">Publish Time</t>
  </si>
  <si>
    <t xml:space="preserve">Day</t>
  </si>
  <si>
    <t xml:space="preserve">Week Of (Mon)</t>
  </si>
  <si>
    <t xml:space="preserve">Month</t>
  </si>
  <si>
    <t xml:space="preserve">Platform</t>
  </si>
  <si>
    <t xml:space="preserve">Account</t>
  </si>
  <si>
    <t xml:space="preserve">Post Format</t>
  </si>
  <si>
    <t xml:space="preserve">Content Pillar</t>
  </si>
  <si>
    <t xml:space="preserve">Case Study Featured</t>
  </si>
  <si>
    <t xml:space="preserve">Topic / Headline / First Line</t>
  </si>
  <si>
    <t xml:space="preserve">Hook Type</t>
  </si>
  <si>
    <t xml:space="preserve">Target Persona</t>
  </si>
  <si>
    <t xml:space="preserve">CTA</t>
  </si>
  <si>
    <t xml:space="preserve">Organic / Paid</t>
  </si>
  <si>
    <t xml:space="preserve">Ad Spend ($)</t>
  </si>
  <si>
    <t xml:space="preserve">Live Post URL</t>
  </si>
  <si>
    <t xml:space="preserve">Followers at Posting</t>
  </si>
  <si>
    <t xml:space="preserve">Landing Page URL</t>
  </si>
  <si>
    <t xml:space="preserve">Link Placement</t>
  </si>
  <si>
    <t xml:space="preserve">utm_source</t>
  </si>
  <si>
    <t xml:space="preserve">utm_medium</t>
  </si>
  <si>
    <t xml:space="preserve">utm_campaign</t>
  </si>
  <si>
    <t xml:space="preserve">utm_content</t>
  </si>
  <si>
    <t xml:space="preserve">Tracking URL (copy into post)</t>
  </si>
  <si>
    <t xml:space="preserve">Short Link (optional)</t>
  </si>
  <si>
    <t xml:space="preserve">Data Pulled On</t>
  </si>
  <si>
    <t xml:space="preserve">Impressions / Views</t>
  </si>
  <si>
    <t xml:space="preserve">Reach (Reported)</t>
  </si>
  <si>
    <t xml:space="preserve">Video Views</t>
  </si>
  <si>
    <t xml:space="preserve">Likes / Reactions</t>
  </si>
  <si>
    <t xml:space="preserve">Comments</t>
  </si>
  <si>
    <t xml:space="preserve">Shares / Reposts</t>
  </si>
  <si>
    <t xml:space="preserve">Saves / Bookmarks</t>
  </si>
  <si>
    <t xml:space="preserve">Link Clicks</t>
  </si>
  <si>
    <t xml:space="preserve">Profile Visits</t>
  </si>
  <si>
    <t xml:space="preserve">New Followers</t>
  </si>
  <si>
    <t xml:space="preserve">ICP Engagers</t>
  </si>
  <si>
    <t xml:space="preserve">Inbound DMs / Conversations</t>
  </si>
  <si>
    <t xml:space="preserve">Reach (Calc.)</t>
  </si>
  <si>
    <t xml:space="preserve">Reach Basis</t>
  </si>
  <si>
    <t xml:space="preserve">Reach % of Followers</t>
  </si>
  <si>
    <t xml:space="preserve">Total Engagements</t>
  </si>
  <si>
    <t xml:space="preserve">Engagement Rate (by Reach)</t>
  </si>
  <si>
    <t xml:space="preserve">Engagement Rate (by Impr.)</t>
  </si>
  <si>
    <t xml:space="preserve">Engagement Rate (by Followers)</t>
  </si>
  <si>
    <t xml:space="preserve">Click-Through Rate</t>
  </si>
  <si>
    <t xml:space="preserve">Share Rate</t>
  </si>
  <si>
    <t xml:space="preserve">Weighted Eng. per 1K Reach</t>
  </si>
  <si>
    <t xml:space="preserve">ER vs Platform Avg</t>
  </si>
  <si>
    <t xml:space="preserve">Website Sessions (GA4)</t>
  </si>
  <si>
    <t xml:space="preserve">Engaged Sessions (GA4)</t>
  </si>
  <si>
    <t xml:space="preserve">Demo Page Visits</t>
  </si>
  <si>
    <t xml:space="preserve">Demo Form Starts (optional)</t>
  </si>
  <si>
    <t xml:space="preserve">Demos Booked</t>
  </si>
  <si>
    <t xml:space="preserve">Demos Attended</t>
  </si>
  <si>
    <t xml:space="preserve">Qualified Demos</t>
  </si>
  <si>
    <t xml:space="preserve">Deals Won</t>
  </si>
  <si>
    <t xml:space="preserve">Pipeline Value ($)</t>
  </si>
  <si>
    <t xml:space="preserve">Click → Session %</t>
  </si>
  <si>
    <t xml:space="preserve">Session → Demo Page %</t>
  </si>
  <si>
    <t xml:space="preserve">Demo Page → Booked %</t>
  </si>
  <si>
    <t xml:space="preserve">Session → Booked %</t>
  </si>
  <si>
    <t xml:space="preserve">Cost per Demo ($)</t>
  </si>
  <si>
    <t xml:space="preserve">What We Learned</t>
  </si>
  <si>
    <t xml:space="preserve">Next Action</t>
  </si>
  <si>
    <t xml:space="preserve">Engagements (posts with reach)</t>
  </si>
  <si>
    <t xml:space="preserve">Followers (posts with engagement data)</t>
  </si>
  <si>
    <t xml:space="preserve">Rank Key: ER</t>
  </si>
  <si>
    <t xml:space="preserve">Rank Key: Demos</t>
  </si>
  <si>
    <t xml:space="preserve">LinkedIn</t>
  </si>
  <si>
    <t xml:space="preserve">Company Page</t>
  </si>
  <si>
    <t xml:space="preserve">Long Video</t>
  </si>
  <si>
    <t xml:space="preserve">Product Demo / Feature</t>
  </si>
  <si>
    <t xml:space="preserve">Is your imaging center still running on fax, phones and payer portals? (3-min Gravity AI explainer video)</t>
  </si>
  <si>
    <t xml:space="preserve">Question</t>
  </si>
  <si>
    <t xml:space="preserve">Owner / CEO</t>
  </si>
  <si>
    <t xml:space="preserve">Book a Demo</t>
  </si>
  <si>
    <t xml:space="preserve">Organic</t>
  </si>
  <si>
    <t xml:space="preserve">https://www.linkedin.com/posts/alphanodus_is-your-imaging-center-stuck-in-the-past-activity-7504198831056764928-9QXW</t>
  </si>
  <si>
    <t xml:space="preserve">In Post Body</t>
  </si>
  <si>
    <t xml:space="preserve">Public-page pull 9/28. Impressions, reach, reposts &amp; clicks aren't public - add from LinkedIn page analytics. Reaction/comment counts weren't shown publicly for this video - fill in from analytics.</t>
  </si>
  <si>
    <t xml:space="preserve">Operations Tips (Scheduling, No-shows, Throughput)</t>
  </si>
  <si>
    <t xml:space="preserve">Scanners idle a third of the day, next slot 3 weeks out - the queue nobody owns</t>
  </si>
  <si>
    <t xml:space="preserve">Stat / Number</t>
  </si>
  <si>
    <t xml:space="preserve">Comment / Engage</t>
  </si>
  <si>
    <t xml:space="preserve">https://www.linkedin.com/posts/alphanodus_radiology-medicalimaging-imagingcenters-activity-7505309133571686400-slZz</t>
  </si>
  <si>
    <t xml:space="preserve">No Link</t>
  </si>
  <si>
    <t xml:space="preserve">Public-page pull 9/28. Impressions, reach, reposts &amp; clicks aren't public - add from LinkedIn page analytics. Media format not visible on the public page - set it.</t>
  </si>
  <si>
    <t xml:space="preserve">Revenue Cycle &amp; Denials</t>
  </si>
  <si>
    <t xml:space="preserve">An order arrives with one field missing - when does it get flagged?</t>
  </si>
  <si>
    <t xml:space="preserve">Story / Anecdote</t>
  </si>
  <si>
    <t xml:space="preserve">Revenue Cycle / Billing Lead</t>
  </si>
  <si>
    <t xml:space="preserve">https://www.linkedin.com/posts/alphanodus_radiologymanagement-revenuecyclemanagement-activity-7506754588167806979-g7vi</t>
  </si>
  <si>
    <t xml:space="preserve">An imaging order arrives by fax: 4 manual handoffs before it's billable</t>
  </si>
  <si>
    <t xml:space="preserve">https://www.linkedin.com/posts/alphanodus_revenuecyclemanagement-radiology-imagingcenters-activity-7508663072018939904-A0PG</t>
  </si>
  <si>
    <t xml:space="preserve">First Comment</t>
  </si>
  <si>
    <t xml:space="preserve">Poll</t>
  </si>
  <si>
    <t xml:space="preserve">Industry Insight / Data</t>
  </si>
  <si>
    <t xml:space="preserve">Poll: How many referrals went to another center last month?</t>
  </si>
  <si>
    <t xml:space="preserve">https://www.linkedin.com/posts/alphanodus_imagingcenters-healthcareoperations-radiology-activity-7510401945279295488-5wJH</t>
  </si>
  <si>
    <t xml:space="preserve">Public-page pull 9/28. Impressions, reach, reposts &amp; clicks aren't public - add from LinkedIn page analytics. Only ~3 hours old when pulled - re-pull on Oct 5 before judging it.</t>
  </si>
  <si>
    <t xml:space="preserve">Instagram</t>
  </si>
  <si>
    <t xml:space="preserve">Short Video / Reel</t>
  </si>
  <si>
    <t xml:space="preserve">https://www.instagram.com/alphanodus/reel/DdJxFt3t07x/</t>
  </si>
  <si>
    <t xml:space="preserve">Link in Bio</t>
  </si>
  <si>
    <t xml:space="preserve">Public-page pull 9/28. Views, reach, shares &amp; saves aren't public - add from Instagram Insights.</t>
  </si>
  <si>
    <t xml:space="preserve">Single Image</t>
  </si>
  <si>
    <t xml:space="preserve">https://www.instagram.com/alphanodus/p/DdRoAPjkqqy/</t>
  </si>
  <si>
    <t xml:space="preserve">Carousel / Document (PDF)</t>
  </si>
  <si>
    <t xml:space="preserve">https://www.instagram.com/alphanodus/p/DdcD_2JkjH0/</t>
  </si>
  <si>
    <t xml:space="preserve">https://www.instagram.com/alphanodus/p/DdpdTFWN9JR/</t>
  </si>
  <si>
    <t xml:space="preserve">X</t>
  </si>
  <si>
    <t xml:space="preserve">https://x.com/AlphaNodus/status/2098433794022006872</t>
  </si>
  <si>
    <t xml:space="preserve">Public-profile pull 9/28 (views shown as impressions; likes/reposts not shown = 0). Confirm in X post analytics.</t>
  </si>
  <si>
    <t xml:space="preserve">https://x.com/AlphaNodus/status/2099545479755583973</t>
  </si>
  <si>
    <t xml:space="preserve">https://x.com/AlphaNodus/status/2101017252221128863</t>
  </si>
  <si>
    <t xml:space="preserve">https://x.com/AlphaNodus/status/2102915695722045558</t>
  </si>
  <si>
    <t xml:space="preserve">Demo Pipeline — one row per demo booked (all sources, not only social)</t>
  </si>
  <si>
    <t xml:space="preserve">Copy the utm_* values from the demo form's hidden fields / CRM. No UTM? Put the Post ID in 'Manual Post ID' if the lead told you which post.</t>
  </si>
  <si>
    <t xml:space="preserve">Booking #</t>
  </si>
  <si>
    <t xml:space="preserve">Date Booked</t>
  </si>
  <si>
    <t xml:space="preserve">Contact Name</t>
  </si>
  <si>
    <t xml:space="preserve">Role / Persona</t>
  </si>
  <si>
    <t xml:space="preserve">Imaging Center / Organization</t>
  </si>
  <si>
    <t xml:space="preserve">City</t>
  </si>
  <si>
    <t xml:space="preserve">State</t>
  </si>
  <si>
    <t xml:space="preserve"># of Locations</t>
  </si>
  <si>
    <t xml:space="preserve">Modalities (MRI, CT, X-ray…)</t>
  </si>
  <si>
    <t xml:space="preserve">Lead Source (Channel)</t>
  </si>
  <si>
    <t xml:space="preserve">How Did You Hear About Us? (self-reported)</t>
  </si>
  <si>
    <t xml:space="preserve">Manual Post ID (if no UTM)</t>
  </si>
  <si>
    <t xml:space="preserve">Attributed Post ID</t>
  </si>
  <si>
    <t xml:space="preserve">Attribution Type</t>
  </si>
  <si>
    <t xml:space="preserve">Post Platform</t>
  </si>
  <si>
    <t xml:space="preserve">Post Case Study</t>
  </si>
  <si>
    <t xml:space="preserve">Days: Post → Booking</t>
  </si>
  <si>
    <t xml:space="preserve">Demo Date</t>
  </si>
  <si>
    <t xml:space="preserve">Demo Status</t>
  </si>
  <si>
    <t xml:space="preserve">Qualified?</t>
  </si>
  <si>
    <t xml:space="preserve">Deal Stage</t>
  </si>
  <si>
    <t xml:space="preserve">Est. Deal Value ($)</t>
  </si>
  <si>
    <t xml:space="preserve">CRM Record Link</t>
  </si>
  <si>
    <t xml:space="preserve">Notes</t>
  </si>
  <si>
    <t xml:space="preserve">Alpha Nodus — Social → Website → Demo Dashboard</t>
  </si>
  <si>
    <t xml:space="preserve">Everything below recalculates for the reporting period. Change the two yellow dates to switch periods.</t>
  </si>
  <si>
    <t xml:space="preserve">Period from:</t>
  </si>
  <si>
    <t xml:space="preserve">to:</t>
  </si>
  <si>
    <t xml:space="preserve">Headline numbers for the period</t>
  </si>
  <si>
    <t xml:space="preserve">Posts Published</t>
  </si>
  <si>
    <t xml:space="preserve">Impressions</t>
  </si>
  <si>
    <t xml:space="preserve">Engagements</t>
  </si>
  <si>
    <t xml:space="preserve">Eng. Rate (by Reach)</t>
  </si>
  <si>
    <t xml:space="preserve">Eng. Rate (by Followers)</t>
  </si>
  <si>
    <t xml:space="preserve">Website Sessions</t>
  </si>
  <si>
    <t xml:space="preserve">Demos Booked (from posts)</t>
  </si>
  <si>
    <t xml:space="preserve">Demos Booked (ALL sources)</t>
  </si>
  <si>
    <t xml:space="preserve">% of Demos Traced to a Post</t>
  </si>
  <si>
    <t xml:space="preserve">Qualified Demos (from posts)</t>
  </si>
  <si>
    <t xml:space="preserve">Pipeline from Posts ($)</t>
  </si>
  <si>
    <t xml:space="preserve">Avg Likes / Reactions per Post</t>
  </si>
  <si>
    <t xml:space="preserve">Avg Comments per Post</t>
  </si>
  <si>
    <t xml:space="preserve">Follower Total (latest week)</t>
  </si>
  <si>
    <t xml:space="preserve">Posts Missing Impressions</t>
  </si>
  <si>
    <t xml:space="preserve">Funnel: post → website → demo  (period)</t>
  </si>
  <si>
    <t xml:space="preserve">Stage</t>
  </si>
  <si>
    <t xml:space="preserve">Count</t>
  </si>
  <si>
    <t xml:space="preserve">% of Previous Stage</t>
  </si>
  <si>
    <t xml:space="preserve">% of Impressions</t>
  </si>
  <si>
    <t xml:space="preserve">Demo Form Starts</t>
  </si>
  <si>
    <t xml:space="preserve">Form Starts only fills if you track them in GA4; a 0 there breaks the next % — that's expected.</t>
  </si>
  <si>
    <t xml:space="preserve">Top 5 posts by Engagement Rate — by followers (period)</t>
  </si>
  <si>
    <t xml:space="preserve">Rank</t>
  </si>
  <si>
    <t xml:space="preserve">Date</t>
  </si>
  <si>
    <t xml:space="preserve">Topic</t>
  </si>
  <si>
    <t xml:space="preserve">Format</t>
  </si>
  <si>
    <t xml:space="preserve">Likes</t>
  </si>
  <si>
    <t xml:space="preserve">Eng. Rate (Followers)</t>
  </si>
  <si>
    <t xml:space="preserve">Eng. Rate (Reach)</t>
  </si>
  <si>
    <t xml:space="preserve">Top 5 posts by Demos Booked (period)</t>
  </si>
  <si>
    <t xml:space="preserve">By Platform</t>
  </si>
  <si>
    <t xml:space="preserve">Posts</t>
  </si>
  <si>
    <t xml:space="preserve">Reach</t>
  </si>
  <si>
    <t xml:space="preserve">CTR</t>
  </si>
  <si>
    <t xml:space="preserve">Sessions</t>
  </si>
  <si>
    <t xml:space="preserve">Pipeline ($)</t>
  </si>
  <si>
    <t xml:space="preserve">By Account (Company page vs Founder vs Employees)</t>
  </si>
  <si>
    <t xml:space="preserve">By Content Pillar</t>
  </si>
  <si>
    <t xml:space="preserve">By Case Study (first 15 on the Case Studies sheet)</t>
  </si>
  <si>
    <t xml:space="preserve">Full all-time list with totals lives on the Case Studies sheet.</t>
  </si>
  <si>
    <t xml:space="preserve">By Post Format</t>
  </si>
  <si>
    <t xml:space="preserve">By Target Persona</t>
  </si>
  <si>
    <t xml:space="preserve">By Hook Type</t>
  </si>
  <si>
    <t xml:space="preserve">By CTA</t>
  </si>
  <si>
    <t xml:space="preserve">By Link Placement</t>
  </si>
  <si>
    <t xml:space="preserve">By Day of Week</t>
  </si>
  <si>
    <t xml:space="preserve">Mon</t>
  </si>
  <si>
    <t xml:space="preserve">Tue</t>
  </si>
  <si>
    <t xml:space="preserve">Wed</t>
  </si>
  <si>
    <t xml:space="preserve">Thu</t>
  </si>
  <si>
    <t xml:space="preserve">Fri</t>
  </si>
  <si>
    <t xml:space="preserve">Sat</t>
  </si>
  <si>
    <t xml:space="preserve">Sun</t>
  </si>
  <si>
    <t xml:space="preserve">Organic vs Paid</t>
  </si>
  <si>
    <t xml:space="preserve">Monthly trend (12 months starting from the 'Period from' month)</t>
  </si>
  <si>
    <t xml:space="preserve">Demos Booked (posts)</t>
  </si>
  <si>
    <t xml:space="preserve">Demos Booked (all sources)</t>
  </si>
  <si>
    <t xml:space="preserve">Demos by Lead Source — all channels (period, from Demo Pipeline)</t>
  </si>
  <si>
    <t xml:space="preserve">Attended</t>
  </si>
  <si>
    <t xml:space="preserve">Qualified</t>
  </si>
  <si>
    <t xml:space="preserve">Closed Won</t>
  </si>
  <si>
    <t xml:space="preserve">Avg Days Post → Booking</t>
  </si>
  <si>
    <t xml:space="preserve">Demos by Attribution Type — how well is tracking working?</t>
  </si>
  <si>
    <t xml:space="preserve">UTM tracked</t>
  </si>
  <si>
    <t xml:space="preserve">Manual / self-reported</t>
  </si>
  <si>
    <t xml:space="preserve">Self-reported channel only</t>
  </si>
  <si>
    <t xml:space="preserve">Unattributed</t>
  </si>
  <si>
    <t xml:space="preserve">If 'Unattributed' is large, fix the hidden UTM fields on the demo form and make 'How did you hear about us?' required.</t>
  </si>
  <si>
    <t xml:space="preserve">Case Study Library — what each story is, and how it performs</t>
  </si>
  <si>
    <t xml:space="preserve">Add each case study once. Its name feeds the Post Tracker dropdown; performance columns fill automatically.</t>
  </si>
  <si>
    <t xml:space="preserve">CS ID</t>
  </si>
  <si>
    <t xml:space="preserve">Case Study Name (short — shows in dropdown)</t>
  </si>
  <si>
    <t xml:space="preserve">UTM Campaign Slug</t>
  </si>
  <si>
    <t xml:space="preserve">Client Type</t>
  </si>
  <si>
    <t xml:space="preserve">Client State</t>
  </si>
  <si>
    <t xml:space="preserve">Modalities</t>
  </si>
  <si>
    <t xml:space="preserve">Core Problem / Pain Point</t>
  </si>
  <si>
    <t xml:space="preserve">Solution / Feature Showcased</t>
  </si>
  <si>
    <t xml:space="preserve">Headline Result (the number)</t>
  </si>
  <si>
    <t xml:space="preserve">Proof Type</t>
  </si>
  <si>
    <t xml:space="preserve">Asset / Landing Page Link</t>
  </si>
  <si>
    <t xml:space="preserve"># Posts</t>
  </si>
  <si>
    <t xml:space="preserve">Total Reach</t>
  </si>
  <si>
    <t xml:space="preserve">Eng. Rate</t>
  </si>
  <si>
    <t xml:space="preserve">Follower Growth — weekly snapshot</t>
  </si>
  <si>
    <t xml:space="preserve">Enter the start Monday in A5 (other weeks fill themselves), then each Monday type the follower counts.</t>
  </si>
  <si>
    <t xml:space="preserve">Week Of</t>
  </si>
  <si>
    <t xml:space="preserve">LinkedIn - Company Followers</t>
  </si>
  <si>
    <t xml:space="preserve">LinkedIn - Founder Followers</t>
  </si>
  <si>
    <t xml:space="preserve">Instagram Followers</t>
  </si>
  <si>
    <t xml:space="preserve">X Followers</t>
  </si>
  <si>
    <t xml:space="preserve">Facebook Followers</t>
  </si>
  <si>
    <t xml:space="preserve">YouTube Followers</t>
  </si>
  <si>
    <t xml:space="preserve">LinkedIn - Company Net New</t>
  </si>
  <si>
    <t xml:space="preserve">LinkedIn - Founder Net New</t>
  </si>
  <si>
    <t xml:space="preserve">Instagram Net New</t>
  </si>
  <si>
    <t xml:space="preserve">X Net New</t>
  </si>
  <si>
    <t xml:space="preserve">Facebook Net New</t>
  </si>
  <si>
    <t xml:space="preserve">YouTube Net New</t>
  </si>
  <si>
    <t xml:space="preserve">Total Followers</t>
  </si>
  <si>
    <t xml:space="preserve">Total Net New</t>
  </si>
  <si>
    <t xml:space="preserve">Tracking Setup — UTMs, data sources, website checklist, attribution scenarios</t>
  </si>
  <si>
    <t xml:space="preserve">Work through the checklist once with whoever manages alphanodus.com; the rest is reference.</t>
  </si>
  <si>
    <t xml:space="preserve">1. UTM naming rules (the tracker builds these for you)</t>
  </si>
  <si>
    <t xml:space="preserve">Parameter</t>
  </si>
  <si>
    <t xml:space="preserve">Rule</t>
  </si>
  <si>
    <t xml:space="preserve">Example</t>
  </si>
  <si>
    <t xml:space="preserve">Why</t>
  </si>
  <si>
    <t xml:space="preserve">Platform, lower-case: linkedin · instagram · twitter · facebook · youtube</t>
  </si>
  <si>
    <t xml:space="preserve">linkedin</t>
  </si>
  <si>
    <t xml:space="preserve">Uses 'twitter' for X because GA4's built-in social-source list recognises it, so X traffic lands in the Social channel group.</t>
  </si>
  <si>
    <t xml:space="preserve">social (organic) or paid_social (boosted / paid)</t>
  </si>
  <si>
    <t xml:space="preserve">social</t>
  </si>
  <si>
    <t xml:space="preserve">These two values map cleanly onto GA4's 'Organic Social' and 'Paid Social' channel groups.</t>
  </si>
  <si>
    <t xml:space="preserve">Case study slug if the post features one, otherwise the content-pillar slug</t>
  </si>
  <si>
    <t xml:space="preserve">cs01-mri-noshows</t>
  </si>
  <si>
    <t xml:space="preserve">Lets GA4 roll up every post about the same story across all platforms.</t>
  </si>
  <si>
    <t xml:space="preserve">The Post ID, lower-case</t>
  </si>
  <si>
    <t xml:space="preserve">lic-260922-0900</t>
  </si>
  <si>
    <t xml:space="preserve">Unique per post — this is the key that ties a website visit and a demo back to one exact post.</t>
  </si>
  <si>
    <t xml:space="preserve">Short links</t>
  </si>
  <si>
    <t xml:space="preserve">Optional. Shorten the full Tracking URL with bit.ly / Dub / a branded domain (e.g. go.alphanodus.com)</t>
  </si>
  <si>
    <t xml:space="preserve">go.alphanodus.com/mri-cs</t>
  </si>
  <si>
    <t xml:space="preserve">Cleaner in posts and gives a second click count. The UTM must still be inside the destination URL.</t>
  </si>
  <si>
    <t xml:space="preserve">2. Where each number comes from</t>
  </si>
  <si>
    <t xml:space="preserve">Tracker column(s)</t>
  </si>
  <si>
    <t xml:space="preserve">Source</t>
  </si>
  <si>
    <t xml:space="preserve">How to pull it</t>
  </si>
  <si>
    <t xml:space="preserve">Impressions, Reach, Reactions, Comments, Reposts, Clicks</t>
  </si>
  <si>
    <t xml:space="preserve">Company page: Analytics → Content → the post's metrics (or 'View analytics' under the post). Founder profile: the analytics link under the post.</t>
  </si>
  <si>
    <t xml:space="preserve">Company-page posts show 'Members reached'; personal profiles also show impressions and members reached.</t>
  </si>
  <si>
    <t xml:space="preserve">Views, Reach, Likes, Comments, Shares, Saves, Profile visits, Follows</t>
  </si>
  <si>
    <t xml:space="preserve">Professional dashboard / 'View insights' under the post.</t>
  </si>
  <si>
    <t xml:space="preserve">Instagram now reports 'Views' as its headline number — enter it in Impressions / Views. Captions aren't clickable: track link-in-bio and story-sticker clicks.</t>
  </si>
  <si>
    <t xml:space="preserve">Impressions, Likes, Replies, Reposts, Bookmarks, Link clicks, Profile visits</t>
  </si>
  <si>
    <t xml:space="preserve">Click the analytics (bar-chart) icon on the post.</t>
  </si>
  <si>
    <t xml:space="preserve">X shows no unique reach — the tracker uses impressions as the reach proxy and labels it.</t>
  </si>
  <si>
    <t xml:space="preserve">Website Sessions, Engaged Sessions</t>
  </si>
  <si>
    <t xml:space="preserve">Google Analytics 4</t>
  </si>
  <si>
    <t xml:space="preserve">Reports → Acquisition → Traffic acquisition → add a secondary dimension 'Session manual ad content' → search the Post ID (lower-case). Or Explore → Free form: rows = Session manual ad content, values = Sessions, Engaged sessions.</t>
  </si>
  <si>
    <t xml:space="preserve">Expect sessions &lt; link clicks (bots, link previews, people bouncing before the page loads). Click → Session % shows the gap.</t>
  </si>
  <si>
    <t xml:space="preserve">Explore → Free form: rows = Session manual ad content; values = Sessions; filter Page path contains your demo page path (alphanodus.com uses /contact). Better: set up the 'demo_page_view' key event (checklist) and read the key-event count.</t>
  </si>
  <si>
    <t xml:space="preserve">Demos Booked / Attended / Qualified / Pipeline</t>
  </si>
  <si>
    <t xml:space="preserve">Demo form + CRM → Demo Pipeline sheet</t>
  </si>
  <si>
    <t xml:space="preserve">Each booking's hidden UTM fields (or the CRM's original source fields) are pasted into Demo Pipeline. The Post Tracker counts them automatically.</t>
  </si>
  <si>
    <t xml:space="preserve">GA4 conversions are for trend-checking; the Demo Pipeline sheet is the source of truth for demos.</t>
  </si>
  <si>
    <t xml:space="preserve">Followers</t>
  </si>
  <si>
    <t xml:space="preserve">Each platform</t>
  </si>
  <si>
    <t xml:space="preserve">Follower count shown on the profile / page analytics every Monday.</t>
  </si>
  <si>
    <t xml:space="preserve">3. Website set-up checklist (one-time)</t>
  </si>
  <si>
    <t xml:space="preserve">Step</t>
  </si>
  <si>
    <t xml:space="preserve">What to do</t>
  </si>
  <si>
    <t xml:space="preserve">Why it matters</t>
  </si>
  <si>
    <t xml:space="preserve">Tip</t>
  </si>
  <si>
    <t xml:space="preserve">Status</t>
  </si>
  <si>
    <t xml:space="preserve">Owner</t>
  </si>
  <si>
    <t xml:space="preserve">GA4 on every page</t>
  </si>
  <si>
    <t xml:space="preserve">Confirm the GA4 tag fires on all alphanodus.com pages, including the demo page and the booking confirmation page.</t>
  </si>
  <si>
    <t xml:space="preserve">No tag = no sessions to attribute.</t>
  </si>
  <si>
    <t xml:space="preserve">Check with GA4 → Admin → DebugView or Google Tag Assistant.</t>
  </si>
  <si>
    <t xml:space="preserve">Demo page key event</t>
  </si>
  <si>
    <t xml:space="preserve">Create a GA4 event 'demo_page_view' when page_location contains the demo page path, and mark it as a key event.</t>
  </si>
  <si>
    <t xml:space="preserve">Gives the Demo Page Visits number directly per utm_content.</t>
  </si>
  <si>
    <t xml:space="preserve">GA4 → Admin → Events → Create event.</t>
  </si>
  <si>
    <t xml:space="preserve">Demo booked key event</t>
  </si>
  <si>
    <t xml:space="preserve">Fire 'demo_booked' on the booking confirmation / thank-you page (or on the scheduler's 'event scheduled' message if the calendar is embedded) and mark it as a key event.</t>
  </si>
  <si>
    <t xml:space="preserve">Trend-checks bookings inside GA4 by source / campaign / content.</t>
  </si>
  <si>
    <t xml:space="preserve">Calendly embeds post a 'calendly.event_scheduled' browser message that Google Tag Manager can listen for; HubSpot meetings have a similar callback.</t>
  </si>
  <si>
    <t xml:space="preserve">Hidden UTM fields on the demo form</t>
  </si>
  <si>
    <t xml:space="preserve">Add hidden fields utm_source, utm_medium, utm_campaign, utm_content (+ utm_term) to the demo form and fill them from the URL.</t>
  </si>
  <si>
    <t xml:space="preserve">This is what lets a demo row be traced to an exact post.</t>
  </si>
  <si>
    <t xml:space="preserve">Most form tools (HubSpot, Typeform, Jotform, Calendly) support UTM capture natively.</t>
  </si>
  <si>
    <t xml:space="preserve">Persist UTMs across pages &amp; visits</t>
  </si>
  <si>
    <t xml:space="preserve">Save the first UTM values in a first-party cookie / localStorage (30–90 days) and write them into the form even if the visitor browsed other pages or came back later.</t>
  </si>
  <si>
    <t xml:space="preserve">Visitors rarely book on the first page — without this, the UTM is lost by the time they reach the form.</t>
  </si>
  <si>
    <t xml:space="preserve">Keep both first-touch and last-touch values if your CRM allows.</t>
  </si>
  <si>
    <t xml:space="preserve">'How did you hear about us?'</t>
  </si>
  <si>
    <t xml:space="preserve">Add a required dropdown / free-text field to the demo form.</t>
  </si>
  <si>
    <t xml:space="preserve">Catches 'dark social': people who saw a post but typed the URL or searched Google.</t>
  </si>
  <si>
    <t xml:space="preserve">Options match the 'How Heard' list on Settings.</t>
  </si>
  <si>
    <t xml:space="preserve">CRM source fields</t>
  </si>
  <si>
    <t xml:space="preserve">Map the hidden UTM fields into CRM contact / deal properties (original source, campaign, content).</t>
  </si>
  <si>
    <t xml:space="preserve">Lets you follow demo → qualified → closed won in the Demo Pipeline sheet.</t>
  </si>
  <si>
    <t xml:space="preserve">LinkedIn Insight Tag</t>
  </si>
  <si>
    <t xml:space="preserve">Install the LinkedIn Insight Tag on the site.</t>
  </si>
  <si>
    <t xml:space="preserve">Shows the job titles, industries and company sizes of site visitors, and is required for LinkedIn conversion tracking / retargeting.</t>
  </si>
  <si>
    <t xml:space="preserve">LinkedIn Campaign Manager → Analyze → Insight Tag.</t>
  </si>
  <si>
    <t xml:space="preserve">Meta Pixel / X Pixel</t>
  </si>
  <si>
    <t xml:space="preserve">Install only if you plan to run Instagram / Facebook / X ads or retargeting.</t>
  </si>
  <si>
    <t xml:space="preserve">Paid-social conversion tracking and audiences.</t>
  </si>
  <si>
    <t xml:space="preserve">Exclude internal traffic</t>
  </si>
  <si>
    <t xml:space="preserve">Define your team's IP addresses as internal traffic in GA4 and filter them out.</t>
  </si>
  <si>
    <t xml:space="preserve">Team clicks on your own posts inflate sessions.</t>
  </si>
  <si>
    <t xml:space="preserve">GA4 → Admin → Data streams → Configure tag settings → Define internal traffic.</t>
  </si>
  <si>
    <t xml:space="preserve">Data retention</t>
  </si>
  <si>
    <t xml:space="preserve">Set GA4 event data retention to 14 months.</t>
  </si>
  <si>
    <t xml:space="preserve">Default is 2 months, which limits year-over-year Explorations.</t>
  </si>
  <si>
    <t xml:space="preserve">GA4 → Admin → Data collection and modification → Data retention.</t>
  </si>
  <si>
    <t xml:space="preserve">Booking tool on another domain?</t>
  </si>
  <si>
    <t xml:space="preserve">If the scheduler opens on a different domain, embed it on alphanodus.com or configure GA4 cross-domain measurement.</t>
  </si>
  <si>
    <t xml:space="preserve">Otherwise the booking shows up as a new 'referral' session and the post loses credit.</t>
  </si>
  <si>
    <t xml:space="preserve">Profile / bio links</t>
  </si>
  <si>
    <t xml:space="preserve">Give every profile 'website' link its own UTM (utm_content = profile-linkedin-company, profile-instagram, …).</t>
  </si>
  <si>
    <t xml:space="preserve">Separates 'clicked the profile link' from 'clicked a post link'.</t>
  </si>
  <si>
    <t xml:space="preserve">Cookie consent</t>
  </si>
  <si>
    <t xml:space="preserve">If a consent banner is used, expect GA4 to under-count vs platform link clicks.</t>
  </si>
  <si>
    <t xml:space="preserve">Explains a lower Click → Session % — not a tracking bug.</t>
  </si>
  <si>
    <t xml:space="preserve">4. Attribution scenarios — what happens, and how the tracker captures it</t>
  </si>
  <si>
    <t xml:space="preserve">Scenario</t>
  </si>
  <si>
    <t xml:space="preserve">What the data shows</t>
  </si>
  <si>
    <t xml:space="preserve">How we capture it</t>
  </si>
  <si>
    <t xml:space="preserve">Where it lands</t>
  </si>
  <si>
    <t xml:space="preserve">Clicks the post link and books a demo in the same visit</t>
  </si>
  <si>
    <t xml:space="preserve">GA4 session with utm_content = Post ID; form hidden fields filled.</t>
  </si>
  <si>
    <t xml:space="preserve">UTM copied into Demo Pipeline → auto-linked to the post.</t>
  </si>
  <si>
    <t xml:space="preserve">Demo Pipeline → Attribution Type 'UTM tracked'.</t>
  </si>
  <si>
    <t xml:space="preserve">Clicks the post link, leaves, comes back days later via Google / typing the URL, then books</t>
  </si>
  <si>
    <t xml:space="preserve">GA4 last-click credits Google / Direct.</t>
  </si>
  <si>
    <t xml:space="preserve">Persisted first-touch UTM cookie fills the hidden fields; CRM original source; self-reported field.</t>
  </si>
  <si>
    <t xml:space="preserve">UTM tracked (if persisted) or Manual Post ID.</t>
  </si>
  <si>
    <t xml:space="preserve">Sees the post but never clicks, later types alphanodus.com (dark social)</t>
  </si>
  <si>
    <t xml:space="preserve">Direct traffic; no UTM anywhere.</t>
  </si>
  <si>
    <t xml:space="preserve">'How did you hear about us?' answer; ask on the demo call which post they saw and add the Manual Post ID.</t>
  </si>
  <si>
    <t xml:space="preserve">Self-reported / Manual; watch for Direct-traffic bumps on posting days.</t>
  </si>
  <si>
    <t xml:space="preserve">Engages with the post, then DMs or comments and the team books the demo manually</t>
  </si>
  <si>
    <t xml:space="preserve">Nothing in GA4.</t>
  </si>
  <si>
    <t xml:space="preserve">Log the demo with Lead Source 'Social DM' and the Post ID in Manual Post ID; log the DM in 'Inbound DMs'.</t>
  </si>
  <si>
    <t xml:space="preserve">Manual / self-reported.</t>
  </si>
  <si>
    <t xml:space="preserve">Visits the company page / profile after the post, clicks the website link there</t>
  </si>
  <si>
    <t xml:space="preserve">UTM from the profile link, not the post.</t>
  </si>
  <si>
    <t xml:space="preserve">Profile links carry their own utm_content (profile-…).</t>
  </si>
  <si>
    <t xml:space="preserve">Shows as the profile link — correlate with the post's Profile Visits column.</t>
  </si>
  <si>
    <t xml:space="preserve">Instagram: link in bio or story sticker</t>
  </si>
  <si>
    <t xml:space="preserve">UTM from the bio / sticker link.</t>
  </si>
  <si>
    <t xml:space="preserve">Use a per-post link in the bio link page or sticker (the post's Tracking URL); set Link Placement accordingly.</t>
  </si>
  <si>
    <t xml:space="preserve">UTM tracked.</t>
  </si>
  <si>
    <t xml:space="preserve">Someone forwards / DMs the post link to a colleague who books</t>
  </si>
  <si>
    <t xml:space="preserve">UTM travels with the link.</t>
  </si>
  <si>
    <t xml:space="preserve">Credit goes to the original post — correct.</t>
  </si>
  <si>
    <t xml:space="preserve">Founder or employee reshares the company post</t>
  </si>
  <si>
    <t xml:space="preserve">Their audience is different.</t>
  </si>
  <si>
    <t xml:space="preserve">Log the reshare as its own row (Account = Founder / Employee) with its own tracking link.</t>
  </si>
  <si>
    <t xml:space="preserve">Separate row; compare by Account on the Dashboard.</t>
  </si>
  <si>
    <t xml:space="preserve">Sees several posts over weeks before booking (multi-touch)</t>
  </si>
  <si>
    <t xml:space="preserve">Only one post gets the UTM credit.</t>
  </si>
  <si>
    <t xml:space="preserve">Keep first- and last-touch UTMs in the CRM; use the self-reported answer and 'Days: Post → Booking' to judge lag.</t>
  </si>
  <si>
    <t xml:space="preserve">Last-touch in Demo Pipeline; note others in Notes.</t>
  </si>
  <si>
    <t xml:space="preserve">Boosted / paid version of a post</t>
  </si>
  <si>
    <t xml:space="preserve">utm_medium = paid_social.</t>
  </si>
  <si>
    <t xml:space="preserve">Mark Organic / Paid, enter Ad Spend → Cost per Demo calculates.</t>
  </si>
  <si>
    <t xml:space="preserve">Organic vs Paid table on the Dashboard.</t>
  </si>
  <si>
    <t xml:space="preserve">Link clicks are high but sessions are low</t>
  </si>
  <si>
    <t xml:space="preserve">Bots, previews, slow page or consent-banner loss.</t>
  </si>
  <si>
    <t xml:space="preserve">Watch Click → Session %; check page speed on mobile.</t>
  </si>
  <si>
    <t xml:space="preserve">Post Tracker.</t>
  </si>
  <si>
    <t xml:space="preserve">Books a demo from a non-social source (Google, referral, event)</t>
  </si>
  <si>
    <t xml:space="preserve">No social UTM.</t>
  </si>
  <si>
    <t xml:space="preserve">Still log it in Demo Pipeline so you can see what share of all demos social drives.</t>
  </si>
  <si>
    <t xml:space="preserve">Dashboard → '% of Demos Traced to a Post' and 'Demos by Lead Source'.</t>
  </si>
  <si>
    <t xml:space="preserve">5. Monthly review questions</t>
  </si>
  <si>
    <t xml:space="preserve">Where to look</t>
  </si>
  <si>
    <t xml:space="preserve">Which platform gives the best engagement rate AND demos?</t>
  </si>
  <si>
    <t xml:space="preserve">Dashboard → By Platform</t>
  </si>
  <si>
    <t xml:space="preserve">Do founder posts beat company-page posts?</t>
  </si>
  <si>
    <t xml:space="preserve">Dashboard → By Account</t>
  </si>
  <si>
    <t xml:space="preserve">Which case study / pillar should we make more of?</t>
  </si>
  <si>
    <t xml:space="preserve">Dashboard → By Case Study, By Content Pillar; Case Studies sheet</t>
  </si>
  <si>
    <t xml:space="preserve">Which format, hook and CTA work for imaging-center owners vs radiologists vs ops managers?</t>
  </si>
  <si>
    <t xml:space="preserve">Dashboard → By Format / Hook / CTA / Persona</t>
  </si>
  <si>
    <t xml:space="preserve">Are we reaching buyers or just peers?</t>
  </si>
  <si>
    <t xml:space="preserve">Post Tracker → ICP Engagers; LinkedIn Insight Tag visitor demographics</t>
  </si>
  <si>
    <t xml:space="preserve">Where does the funnel leak?</t>
  </si>
  <si>
    <t xml:space="preserve">Dashboard → Funnel (% of previous stage)</t>
  </si>
  <si>
    <t xml:space="preserve">How long from post to demo?</t>
  </si>
  <si>
    <t xml:space="preserve">Demo Pipeline → Days: Post → Booking; Dashboard → Avg Days</t>
  </si>
  <si>
    <t xml:space="preserve">Is tracking healthy?</t>
  </si>
  <si>
    <t xml:space="preserve">Dashboard → Demos by Attribution Type ('Unattributed' should shrink)</t>
  </si>
  <si>
    <t xml:space="preserve">How every calculated number is worked out, so the whole team reads them the same way.</t>
  </si>
  <si>
    <t xml:space="preserve">Metric</t>
  </si>
  <si>
    <t xml:space="preserve">Formula</t>
  </si>
  <si>
    <t xml:space="preserve">What it tells you</t>
  </si>
  <si>
    <t xml:space="preserve">Reported reach; if blank, Impressions / Views</t>
  </si>
  <si>
    <t xml:space="preserve">Unique people who saw the post. X doesn't report reach, so impressions stand in (flagged in Reach Basis).</t>
  </si>
  <si>
    <t xml:space="preserve">Reach (Calc.) ÷ Followers at Posting</t>
  </si>
  <si>
    <t xml:space="preserve">How much of your audience the algorithm showed it to; above 100% = it travelled beyond followers.</t>
  </si>
  <si>
    <t xml:space="preserve">Likes + Comments + Shares + Saves + Link Clicks</t>
  </si>
  <si>
    <t xml:space="preserve">All active interactions. Views, profile visits and follows are tracked separately.</t>
  </si>
  <si>
    <t xml:space="preserve">Total Engagements ÷ Reach (Calc.)</t>
  </si>
  <si>
    <t xml:space="preserve">THE main quality metric — compares posts of different sizes fairly. Dashboard totals only count posts that have reach/impressions, so posts still missing them don't drag the rate down.</t>
  </si>
  <si>
    <t xml:space="preserve">Total Engagements ÷ Impressions</t>
  </si>
  <si>
    <t xml:space="preserve">Matches how LinkedIn's own dashboard reports engagement rate.</t>
  </si>
  <si>
    <t xml:space="preserve">Total Engagements ÷ Followers at Posting</t>
  </si>
  <si>
    <t xml:space="preserve">Works from public numbers alone, so it's the fallback while impressions/reach are missing. Dashboard totals: all engagements ÷ sum of follower counts across posts.</t>
  </si>
  <si>
    <t xml:space="preserve">Link Clicks ÷ Impressions</t>
  </si>
  <si>
    <t xml:space="preserve">How well the post drives traffic to alphanodus.com.</t>
  </si>
  <si>
    <t xml:space="preserve">Shares ÷ Reach (Calc.)</t>
  </si>
  <si>
    <t xml:space="preserve">Word-of-mouth potential — shared posts reach peers at other imaging centers.</t>
  </si>
  <si>
    <t xml:space="preserve">(Likes×w1 + Comments×w2 + Shares×w3 + Saves×w4 + Clicks×w5) ÷ Reach × 1000</t>
  </si>
  <si>
    <t xml:space="preserve">Values deeper actions more than likes. Weights are on Settings.</t>
  </si>
  <si>
    <t xml:space="preserve">Post Engagement Rate ÷ average Engagement Rate of all posts on that platform</t>
  </si>
  <si>
    <t xml:space="preserve">1.2x or more = clear winner, 0.8x or less = under-performer. Fair because each platform has different norms.</t>
  </si>
  <si>
    <t xml:space="preserve">Manual count</t>
  </si>
  <si>
    <t xml:space="preserve">Engagers who are imaging / radiology decision-makers — quality over quantity.</t>
  </si>
  <si>
    <t xml:space="preserve">GA4 Sessions ÷ Link Clicks</t>
  </si>
  <si>
    <t xml:space="preserve">How many clicks turned into a real website visit.</t>
  </si>
  <si>
    <t xml:space="preserve">Demo Page Visits ÷ Sessions</t>
  </si>
  <si>
    <t xml:space="preserve">How well the landing page moves visitors toward a demo.</t>
  </si>
  <si>
    <t xml:space="preserve">Demos Booked ÷ Demo Page Visits</t>
  </si>
  <si>
    <t xml:space="preserve">How well the demo page / form converts.</t>
  </si>
  <si>
    <t xml:space="preserve">Demos Booked ÷ Sessions</t>
  </si>
  <si>
    <t xml:space="preserve">End-to-end website conversion for that post's traffic.</t>
  </si>
  <si>
    <t xml:space="preserve">Cost per Demo</t>
  </si>
  <si>
    <t xml:space="preserve">Ad Spend ÷ Demos Booked</t>
  </si>
  <si>
    <t xml:space="preserve">Only for boosted / paid posts.</t>
  </si>
  <si>
    <t xml:space="preserve">Demos Booked (per post)</t>
  </si>
  <si>
    <t xml:space="preserve">Count of Demo Pipeline rows whose Attributed Post ID = Post ID</t>
  </si>
  <si>
    <t xml:space="preserve">Attributed Post ID = utm_content if present, else the Manual Post ID.</t>
  </si>
  <si>
    <t xml:space="preserve">Demos with an Attributed Post ID ÷ all demos in the period</t>
  </si>
  <si>
    <t xml:space="preserve">How much of the demo pipeline social can prove it created.</t>
  </si>
  <si>
    <t xml:space="preserve">Settings &amp; Dropdown Lists</t>
  </si>
  <si>
    <t xml:space="preserve">Yellow cells are editable. Add items to the bottom of a list and every dropdown picks them up.</t>
  </si>
  <si>
    <t xml:space="preserve">Setting</t>
  </si>
  <si>
    <t xml:space="preserve">Value</t>
  </si>
  <si>
    <t xml:space="preserve">Platform Code</t>
  </si>
  <si>
    <t xml:space="preserve">Account Code</t>
  </si>
  <si>
    <t xml:space="preserve">Pillar Slug</t>
  </si>
  <si>
    <t xml:space="preserve">Paid Status</t>
  </si>
  <si>
    <t xml:space="preserve">Lead Source</t>
  </si>
  <si>
    <t xml:space="preserve">How Heard</t>
  </si>
  <si>
    <t xml:space="preserve">Checklist Status</t>
  </si>
  <si>
    <t xml:space="preserve">US State</t>
  </si>
  <si>
    <t xml:space="preserve">Default landing page (used when a post's Landing Page is blank)</t>
  </si>
  <si>
    <t xml:space="preserve">https://www.alphanodus.com/contact</t>
  </si>
  <si>
    <t xml:space="preserve">LI</t>
  </si>
  <si>
    <t xml:space="preserve">C</t>
  </si>
  <si>
    <t xml:space="preserve">Case Study / Customer Result</t>
  </si>
  <si>
    <t xml:space="preserve">case-study</t>
  </si>
  <si>
    <t xml:space="preserve">Text Only</t>
  </si>
  <si>
    <t xml:space="preserve">Scale It (repeat + boost)</t>
  </si>
  <si>
    <t xml:space="preserve">Scheduled</t>
  </si>
  <si>
    <t xml:space="preserve">Yes</t>
  </si>
  <si>
    <t xml:space="preserve">Demo Booked</t>
  </si>
  <si>
    <t xml:space="preserve">LinkedIn - company post</t>
  </si>
  <si>
    <t xml:space="preserve">Independent Imaging Center</t>
  </si>
  <si>
    <t xml:space="preserve">Hard Metric</t>
  </si>
  <si>
    <t xml:space="preserve">Not Started</t>
  </si>
  <si>
    <t xml:space="preserve">AL</t>
  </si>
  <si>
    <t xml:space="preserve">Engagement weight: Like / Reaction</t>
  </si>
  <si>
    <t xml:space="preserve">IG</t>
  </si>
  <si>
    <t xml:space="preserve">instagram</t>
  </si>
  <si>
    <t xml:space="preserve">Founder / Exec Profile</t>
  </si>
  <si>
    <t xml:space="preserve">F</t>
  </si>
  <si>
    <t xml:space="preserve">product</t>
  </si>
  <si>
    <t xml:space="preserve">Medical Director / Radiologist</t>
  </si>
  <si>
    <t xml:space="preserve">Visit Website</t>
  </si>
  <si>
    <t xml:space="preserve">Boosted</t>
  </si>
  <si>
    <t xml:space="preserve">Iterate (new hook/format)</t>
  </si>
  <si>
    <t xml:space="preserve">No</t>
  </si>
  <si>
    <t xml:space="preserve">Demo Completed</t>
  </si>
  <si>
    <t xml:space="preserve">LinkedIn - founder/team post</t>
  </si>
  <si>
    <t xml:space="preserve">Multi-site Imaging Network</t>
  </si>
  <si>
    <t xml:space="preserve">Customer Quote</t>
  </si>
  <si>
    <t xml:space="preserve">In Progress</t>
  </si>
  <si>
    <t xml:space="preserve">AK</t>
  </si>
  <si>
    <t xml:space="preserve">Engagement weight: Comment</t>
  </si>
  <si>
    <t xml:space="preserve">twitter</t>
  </si>
  <si>
    <t xml:space="preserve">Employee Advocate</t>
  </si>
  <si>
    <t xml:space="preserve">E</t>
  </si>
  <si>
    <t xml:space="preserve">insight</t>
  </si>
  <si>
    <t xml:space="preserve">Practice / Operations Manager</t>
  </si>
  <si>
    <t xml:space="preserve">Read Case Study</t>
  </si>
  <si>
    <t xml:space="preserve">Paid Ad</t>
  </si>
  <si>
    <t xml:space="preserve">Retire</t>
  </si>
  <si>
    <t xml:space="preserve">No-Show</t>
  </si>
  <si>
    <t xml:space="preserve">TBD</t>
  </si>
  <si>
    <t xml:space="preserve">Proposal Sent</t>
  </si>
  <si>
    <t xml:space="preserve">Radiology Group / Practice</t>
  </si>
  <si>
    <t xml:space="preserve">Video Testimonial</t>
  </si>
  <si>
    <t xml:space="preserve">Done</t>
  </si>
  <si>
    <t xml:space="preserve">AZ</t>
  </si>
  <si>
    <t xml:space="preserve">Engagement weight: Share / Repost</t>
  </si>
  <si>
    <t xml:space="preserve">Facebook</t>
  </si>
  <si>
    <t xml:space="preserve">FB</t>
  </si>
  <si>
    <t xml:space="preserve">facebook</t>
  </si>
  <si>
    <t xml:space="preserve">Thought Leadership / POV</t>
  </si>
  <si>
    <t xml:space="preserve">thought-leadership</t>
  </si>
  <si>
    <t xml:space="preserve">Contrarian Take</t>
  </si>
  <si>
    <t xml:space="preserve">Download Resource</t>
  </si>
  <si>
    <t xml:space="preserve">Story Link Sticker</t>
  </si>
  <si>
    <t xml:space="preserve">Too Early to Tell</t>
  </si>
  <si>
    <t xml:space="preserve">Rescheduled</t>
  </si>
  <si>
    <t xml:space="preserve">Negotiation</t>
  </si>
  <si>
    <t xml:space="preserve">Outpatient / ASC Imaging</t>
  </si>
  <si>
    <t xml:space="preserve">Before / After</t>
  </si>
  <si>
    <t xml:space="preserve">N/A</t>
  </si>
  <si>
    <t xml:space="preserve">AR</t>
  </si>
  <si>
    <t xml:space="preserve">Engagement weight: Save / Bookmark</t>
  </si>
  <si>
    <t xml:space="preserve">YouTube</t>
  </si>
  <si>
    <t xml:space="preserve">YT</t>
  </si>
  <si>
    <t xml:space="preserve">youtube</t>
  </si>
  <si>
    <t xml:space="preserve">Customer Testimonial</t>
  </si>
  <si>
    <t xml:space="preserve">testimonial</t>
  </si>
  <si>
    <t xml:space="preserve">How-To / List</t>
  </si>
  <si>
    <t xml:space="preserve">IT / PACS Administrator</t>
  </si>
  <si>
    <t xml:space="preserve">Link Preview Card</t>
  </si>
  <si>
    <t xml:space="preserve">Cancelled</t>
  </si>
  <si>
    <t xml:space="preserve">Teleradiology</t>
  </si>
  <si>
    <t xml:space="preserve">Screenshot / Demo</t>
  </si>
  <si>
    <t xml:space="preserve">CA</t>
  </si>
  <si>
    <t xml:space="preserve">Engagement weight: Link Click</t>
  </si>
  <si>
    <t xml:space="preserve">Reimbursement &amp; Regulatory</t>
  </si>
  <si>
    <t xml:space="preserve">regulatory</t>
  </si>
  <si>
    <t xml:space="preserve">Story</t>
  </si>
  <si>
    <t xml:space="preserve">Front Desk / Scheduling Lead</t>
  </si>
  <si>
    <t xml:space="preserve">Follow</t>
  </si>
  <si>
    <t xml:space="preserve">Closed Lost</t>
  </si>
  <si>
    <t xml:space="preserve">Google Search</t>
  </si>
  <si>
    <t xml:space="preserve">Other</t>
  </si>
  <si>
    <t xml:space="preserve">CO</t>
  </si>
  <si>
    <t xml:space="preserve">ops-tips</t>
  </si>
  <si>
    <t xml:space="preserve">News Hook</t>
  </si>
  <si>
    <t xml:space="preserve">General / Mixed</t>
  </si>
  <si>
    <t xml:space="preserve">No CTA</t>
  </si>
  <si>
    <t xml:space="preserve">Nurture</t>
  </si>
  <si>
    <t xml:space="preserve">Direct / Typed URL</t>
  </si>
  <si>
    <t xml:space="preserve">Google search</t>
  </si>
  <si>
    <t xml:space="preserve">CT</t>
  </si>
  <si>
    <t xml:space="preserve">Weights are a team judgement call, not an industry standard: comments and shares signal more intent than a like, so they count more. Change them if your team disagrees.</t>
  </si>
  <si>
    <t xml:space="preserve">Team / Culture / Behind the Scenes</t>
  </si>
  <si>
    <t xml:space="preserve">culture</t>
  </si>
  <si>
    <t xml:space="preserve">Thread</t>
  </si>
  <si>
    <t xml:space="preserve">Email</t>
  </si>
  <si>
    <t xml:space="preserve">Colleague / referral</t>
  </si>
  <si>
    <t xml:space="preserve">DE</t>
  </si>
  <si>
    <t xml:space="preserve">Event / Webinar / Conference</t>
  </si>
  <si>
    <t xml:space="preserve">event</t>
  </si>
  <si>
    <t xml:space="preserve">Article / Newsletter</t>
  </si>
  <si>
    <t xml:space="preserve">Referral</t>
  </si>
  <si>
    <t xml:space="preserve">Conference / event</t>
  </si>
  <si>
    <t xml:space="preserve">DC</t>
  </si>
  <si>
    <t xml:space="preserve">Offer / Direct Demo CTA</t>
  </si>
  <si>
    <t xml:space="preserve">demo-offer</t>
  </si>
  <si>
    <t xml:space="preserve">Link Post</t>
  </si>
  <si>
    <t xml:space="preserve">Event / Conference</t>
  </si>
  <si>
    <t xml:space="preserve">FL</t>
  </si>
  <si>
    <t xml:space="preserve">rcm</t>
  </si>
  <si>
    <t xml:space="preserve">Live / Event</t>
  </si>
  <si>
    <t xml:space="preserve">Social DM</t>
  </si>
  <si>
    <t xml:space="preserve">GA</t>
  </si>
  <si>
    <t xml:space="preserve">HI</t>
  </si>
  <si>
    <t xml:space="preserve">ID</t>
  </si>
  <si>
    <t xml:space="preserve">IL</t>
  </si>
  <si>
    <t xml:space="preserve">IN</t>
  </si>
  <si>
    <t xml:space="preserve">IA</t>
  </si>
  <si>
    <t xml:space="preserve">KS</t>
  </si>
  <si>
    <t xml:space="preserve">KY</t>
  </si>
  <si>
    <t xml:space="preserve">LA</t>
  </si>
  <si>
    <t xml:space="preserve">ME</t>
  </si>
  <si>
    <t xml:space="preserve">MD</t>
  </si>
  <si>
    <t xml:space="preserve">MA</t>
  </si>
  <si>
    <t xml:space="preserve">MI</t>
  </si>
  <si>
    <t xml:space="preserve">MN</t>
  </si>
  <si>
    <t xml:space="preserve">MS</t>
  </si>
  <si>
    <t xml:space="preserve">MO</t>
  </si>
  <si>
    <t xml:space="preserve">MT</t>
  </si>
  <si>
    <t xml:space="preserve">NE</t>
  </si>
  <si>
    <t xml:space="preserve">NV</t>
  </si>
  <si>
    <t xml:space="preserve">NH</t>
  </si>
  <si>
    <t xml:space="preserve">NJ</t>
  </si>
  <si>
    <t xml:space="preserve">NM</t>
  </si>
  <si>
    <t xml:space="preserve">NY</t>
  </si>
  <si>
    <t xml:space="preserve">NC</t>
  </si>
  <si>
    <t xml:space="preserve">ND</t>
  </si>
  <si>
    <t xml:space="preserve">OH</t>
  </si>
  <si>
    <t xml:space="preserve">OK</t>
  </si>
  <si>
    <t xml:space="preserve">OR</t>
  </si>
  <si>
    <t xml:space="preserve">PA</t>
  </si>
  <si>
    <t xml:space="preserve">RI</t>
  </si>
  <si>
    <t xml:space="preserve">SC</t>
  </si>
  <si>
    <t xml:space="preserve">SD</t>
  </si>
  <si>
    <t xml:space="preserve">TN</t>
  </si>
  <si>
    <t xml:space="preserve">TX</t>
  </si>
  <si>
    <t xml:space="preserve">UT</t>
  </si>
  <si>
    <t xml:space="preserve">VT</t>
  </si>
  <si>
    <t xml:space="preserve">VA</t>
  </si>
  <si>
    <t xml:space="preserve">WA</t>
  </si>
  <si>
    <t xml:space="preserve">WV</t>
  </si>
  <si>
    <t xml:space="preserve">WI</t>
  </si>
  <si>
    <t xml:space="preserve">WY</t>
  </si>
</sst>
</file>

<file path=xl/styles.xml><?xml version="1.0" encoding="utf-8"?>
<styleSheet xmlns="http://schemas.openxmlformats.org/spreadsheetml/2006/main">
  <numFmts count="13">
    <numFmt numFmtId="164" formatCode="General"/>
    <numFmt numFmtId="165" formatCode="mm/dd/yyyy"/>
    <numFmt numFmtId="166" formatCode="h:mm\ AM/PM"/>
    <numFmt numFmtId="167" formatCode="\$#,##0"/>
    <numFmt numFmtId="168" formatCode="#,##0"/>
    <numFmt numFmtId="169" formatCode="0.0%"/>
    <numFmt numFmtId="170" formatCode="0.0"/>
    <numFmt numFmtId="171" formatCode="0.00\x"/>
    <numFmt numFmtId="172" formatCode="0.000"/>
    <numFmt numFmtId="173" formatCode="&quot;D-&quot;000"/>
    <numFmt numFmtId="174" formatCode="0.00%"/>
    <numFmt numFmtId="175" formatCode="General"/>
    <numFmt numFmtId="176" formatCode="\+#,##0;\-#,##0;0"/>
  </numFmts>
  <fonts count="1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2"/>
      <color rgb="FF1F3864"/>
      <name val="Arial"/>
      <family val="0"/>
      <charset val="1"/>
    </font>
    <font>
      <b val="true"/>
      <sz val="10"/>
      <color rgb="FF000000"/>
      <name val="Arial"/>
      <family val="0"/>
      <charset val="1"/>
    </font>
    <font>
      <sz val="10"/>
      <color rgb="FF000000"/>
      <name val="Arial"/>
      <family val="0"/>
      <charset val="1"/>
    </font>
    <font>
      <b val="true"/>
      <sz val="10"/>
      <color rgb="FF0000FF"/>
      <name val="Arial"/>
      <family val="0"/>
      <charset val="1"/>
    </font>
    <font>
      <b val="true"/>
      <sz val="10"/>
      <color rgb="FFFFFFFF"/>
      <name val="Arial"/>
      <family val="0"/>
      <charset val="1"/>
    </font>
    <font>
      <sz val="10"/>
      <color rgb="FF0000FF"/>
      <name val="Arial"/>
      <family val="0"/>
      <charset val="1"/>
    </font>
    <font>
      <sz val="10"/>
      <name val="Arial"/>
      <family val="2"/>
    </font>
    <font>
      <b val="true"/>
      <sz val="9"/>
      <color rgb="FFFFFFFF"/>
      <name val="Arial"/>
      <family val="0"/>
      <charset val="1"/>
    </font>
    <font>
      <b val="true"/>
      <sz val="14"/>
      <color rgb="FF1F3864"/>
      <name val="Arial"/>
      <family val="0"/>
      <charset val="1"/>
    </font>
    <font>
      <i val="true"/>
      <sz val="9"/>
      <color rgb="FF595959"/>
      <name val="Arial"/>
      <family val="0"/>
      <charset val="1"/>
    </font>
    <font>
      <b val="true"/>
      <sz val="12"/>
      <color rgb="FF548235"/>
      <name val="Arial"/>
      <family val="0"/>
      <charset val="1"/>
    </font>
    <font>
      <sz val="8"/>
      <color rgb="FF595959"/>
      <name val="Arial"/>
      <family val="0"/>
      <charset val="1"/>
    </font>
    <font>
      <b val="true"/>
      <sz val="12"/>
      <color rgb="FFC55A11"/>
      <name val="Arial"/>
      <family val="0"/>
      <charset val="1"/>
    </font>
  </fonts>
  <fills count="14">
    <fill>
      <patternFill patternType="none"/>
    </fill>
    <fill>
      <patternFill patternType="gray125"/>
    </fill>
    <fill>
      <patternFill patternType="solid">
        <fgColor rgb="FFFFF8DC"/>
        <bgColor rgb="FFF2F2F2"/>
      </patternFill>
    </fill>
    <fill>
      <patternFill patternType="solid">
        <fgColor rgb="FFF2F2F2"/>
        <bgColor rgb="FFFFF8DC"/>
      </patternFill>
    </fill>
    <fill>
      <patternFill patternType="solid">
        <fgColor rgb="FF1F3864"/>
        <bgColor rgb="FF2F5597"/>
      </patternFill>
    </fill>
    <fill>
      <patternFill patternType="solid">
        <fgColor rgb="FF1F6F78"/>
        <bgColor rgb="FF008080"/>
      </patternFill>
    </fill>
    <fill>
      <patternFill patternType="solid">
        <fgColor rgb="FF7030A0"/>
        <bgColor rgb="FF993366"/>
      </patternFill>
    </fill>
    <fill>
      <patternFill patternType="solid">
        <fgColor rgb="FF548235"/>
        <bgColor rgb="FF339966"/>
      </patternFill>
    </fill>
    <fill>
      <patternFill patternType="solid">
        <fgColor rgb="FFC55A11"/>
        <bgColor rgb="FF993300"/>
      </patternFill>
    </fill>
    <fill>
      <patternFill patternType="solid">
        <fgColor rgb="FF595959"/>
        <bgColor rgb="FF44546A"/>
      </patternFill>
    </fill>
    <fill>
      <patternFill patternType="solid">
        <fgColor rgb="FFA6A6A6"/>
        <bgColor rgb="FF9999FF"/>
      </patternFill>
    </fill>
    <fill>
      <patternFill patternType="solid">
        <fgColor rgb="FF44546A"/>
        <bgColor rgb="FF595959"/>
      </patternFill>
    </fill>
    <fill>
      <patternFill patternType="solid">
        <fgColor rgb="FF2F5597"/>
        <bgColor rgb="FF44546A"/>
      </patternFill>
    </fill>
    <fill>
      <patternFill patternType="solid">
        <fgColor rgb="FFDEEAF6"/>
        <bgColor rgb="FFF2F2F2"/>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0" fillId="4" borderId="0"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true" applyAlignment="true" applyProtection="false">
      <alignment horizontal="center" vertical="bottom" textRotation="0" wrapText="false" indent="0" shrinkToFit="false"/>
      <protection locked="true" hidden="false"/>
    </xf>
    <xf numFmtId="164" fontId="10" fillId="6" borderId="0" xfId="0" applyFont="true" applyBorder="true" applyAlignment="true" applyProtection="false">
      <alignment horizontal="center" vertical="bottom" textRotation="0" wrapText="false" indent="0" shrinkToFit="false"/>
      <protection locked="true" hidden="false"/>
    </xf>
    <xf numFmtId="164" fontId="10" fillId="7" borderId="0" xfId="0" applyFont="true" applyBorder="true" applyAlignment="true" applyProtection="false">
      <alignment horizontal="center" vertical="bottom" textRotation="0" wrapText="false" indent="0" shrinkToFit="false"/>
      <protection locked="true" hidden="false"/>
    </xf>
    <xf numFmtId="164" fontId="10" fillId="8" borderId="0" xfId="0" applyFont="true" applyBorder="true" applyAlignment="true" applyProtection="false">
      <alignment horizontal="center" vertical="bottom" textRotation="0" wrapText="false" indent="0" shrinkToFit="false"/>
      <protection locked="true" hidden="false"/>
    </xf>
    <xf numFmtId="164" fontId="10" fillId="9" borderId="0" xfId="0" applyFont="true" applyBorder="true" applyAlignment="true" applyProtection="false">
      <alignment horizontal="center" vertical="bottom" textRotation="0" wrapText="false" indent="0" shrinkToFit="false"/>
      <protection locked="true" hidden="false"/>
    </xf>
    <xf numFmtId="164" fontId="10" fillId="10" borderId="0" xfId="0" applyFont="true" applyBorder="true" applyAlignment="true" applyProtection="false">
      <alignment horizontal="center" vertical="bottom" textRotation="0" wrapText="false" indent="0" shrinkToFit="false"/>
      <protection locked="true" hidden="false"/>
    </xf>
    <xf numFmtId="164" fontId="10" fillId="11"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12"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11" fillId="2" borderId="1" xfId="0" applyFont="true" applyBorder="true" applyAlignment="false" applyProtection="false">
      <alignment horizontal="general" vertical="bottom" textRotation="0" wrapText="false" indent="0" shrinkToFit="false"/>
      <protection locked="true" hidden="false"/>
    </xf>
    <xf numFmtId="166" fontId="11" fillId="2"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7" fontId="8" fillId="2" borderId="1" xfId="0" applyFont="true" applyBorder="true" applyAlignment="false" applyProtection="false">
      <alignment horizontal="general" vertical="bottom" textRotation="0" wrapText="false" indent="0" shrinkToFit="false"/>
      <protection locked="true" hidden="false"/>
    </xf>
    <xf numFmtId="168" fontId="11" fillId="2" borderId="1" xfId="0" applyFont="true" applyBorder="true" applyAlignment="false" applyProtection="false">
      <alignment horizontal="general" vertical="bottom" textRotation="0" wrapText="false" indent="0" shrinkToFit="false"/>
      <protection locked="true" hidden="false"/>
    </xf>
    <xf numFmtId="168" fontId="8" fillId="2"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71" fontId="8" fillId="3"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72" fontId="8" fillId="3" borderId="1" xfId="0" applyFont="true" applyBorder="true" applyAlignment="false" applyProtection="false">
      <alignment horizontal="general" vertical="bottom" textRotation="0" wrapText="fals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6" fontId="8" fillId="2" borderId="1" xfId="0" applyFont="true" applyBorder="true" applyAlignment="false" applyProtection="false">
      <alignment horizontal="general" vertical="bottom" textRotation="0" wrapText="false" indent="0" shrinkToFit="false"/>
      <protection locked="true" hidden="false"/>
    </xf>
    <xf numFmtId="173"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5" fontId="9" fillId="2" borderId="1" xfId="0" applyFont="true" applyBorder="true" applyAlignment="false" applyProtection="false">
      <alignment horizontal="general" vertical="bottom" textRotation="0" wrapText="false" indent="0" shrinkToFit="false"/>
      <protection locked="true" hidden="false"/>
    </xf>
    <xf numFmtId="164" fontId="13" fillId="5" borderId="0" xfId="0" applyFont="true" applyBorder="true" applyAlignment="true" applyProtection="false">
      <alignment horizontal="center" vertical="center" textRotation="0" wrapText="true" indent="0" shrinkToFit="false"/>
      <protection locked="true" hidden="false"/>
    </xf>
    <xf numFmtId="168" fontId="14" fillId="13" borderId="0" xfId="0" applyFont="true" applyBorder="true" applyAlignment="true" applyProtection="false">
      <alignment horizontal="center" vertical="bottom" textRotation="0" wrapText="false" indent="0" shrinkToFit="false"/>
      <protection locked="true" hidden="false"/>
    </xf>
    <xf numFmtId="169" fontId="14" fillId="13" borderId="0" xfId="0" applyFont="true" applyBorder="true" applyAlignment="true" applyProtection="false">
      <alignment horizontal="center" vertical="bottom" textRotation="0" wrapText="false" indent="0" shrinkToFit="false"/>
      <protection locked="true" hidden="false"/>
    </xf>
    <xf numFmtId="167" fontId="14" fillId="13" borderId="0" xfId="0" applyFont="true" applyBorder="true" applyAlignment="true" applyProtection="false">
      <alignment horizontal="center" vertical="bottom" textRotation="0" wrapText="false" indent="0" shrinkToFit="false"/>
      <protection locked="true" hidden="false"/>
    </xf>
    <xf numFmtId="170" fontId="14" fillId="13" borderId="0" xfId="0" applyFont="true" applyBorder="true" applyAlignment="true" applyProtection="false">
      <alignment horizontal="center"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74" fontId="8"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center" vertical="bottom"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75" fontId="17"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center" vertical="center" textRotation="0" wrapText="tru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10" fillId="8" borderId="0" xfId="0" applyFont="true" applyBorder="false" applyAlignment="true" applyProtection="false">
      <alignment horizontal="center" vertical="bottom" textRotation="0" wrapText="tru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4" fontId="10" fillId="12" borderId="0" xfId="0" applyFont="true" applyBorder="false" applyAlignment="true" applyProtection="false">
      <alignment horizontal="center" vertical="center" textRotation="0" wrapText="true" indent="0" shrinkToFit="false"/>
      <protection locked="true" hidden="false"/>
    </xf>
    <xf numFmtId="164" fontId="10" fillId="7" borderId="0" xfId="0" applyFont="true" applyBorder="false" applyAlignment="true" applyProtection="false">
      <alignment horizontal="center" vertical="center" textRotation="0" wrapText="true" indent="0" shrinkToFit="false"/>
      <protection locked="true" hidden="false"/>
    </xf>
    <xf numFmtId="176" fontId="8" fillId="3" borderId="1" xfId="0" applyFont="true" applyBorder="tru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0" fillId="8" borderId="0" xfId="0" applyFont="true" applyBorder="false" applyAlignment="true" applyProtection="false">
      <alignment horizontal="general" vertical="center" textRotation="0" wrapText="true" indent="0" shrinkToFit="false"/>
      <protection locked="true" hidden="false"/>
    </xf>
    <xf numFmtId="164" fontId="10" fillId="7" borderId="0" xfId="0" applyFont="true" applyBorder="false" applyAlignment="true" applyProtection="false">
      <alignment horizontal="general" vertical="center"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0" fillId="5"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ill>
        <patternFill patternType="solid">
          <fgColor rgb="FF44546A"/>
          <bgColor rgb="FF000000"/>
        </patternFill>
      </fill>
    </dxf>
    <dxf>
      <fill>
        <patternFill patternType="solid">
          <fgColor rgb="FFF2F2F2"/>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1F3864"/>
          <bgColor rgb="FF000000"/>
        </patternFill>
      </fill>
    </dxf>
    <dxf>
      <fill>
        <patternFill patternType="solid">
          <fgColor rgb="FFFFF8DC"/>
          <bgColor rgb="FF000000"/>
        </patternFill>
      </fill>
    </dxf>
    <dxf>
      <fill>
        <patternFill patternType="solid">
          <fgColor rgb="FF0000FF"/>
          <bgColor rgb="FF000000"/>
        </patternFill>
      </fill>
    </dxf>
    <dxf>
      <fill>
        <patternFill patternType="solid">
          <fgColor rgb="FF2F5597"/>
          <bgColor rgb="FF000000"/>
        </patternFill>
      </fill>
    </dxf>
    <dxf>
      <fill>
        <patternFill patternType="solid">
          <fgColor rgb="FF1F6F78"/>
          <bgColor rgb="FF000000"/>
        </patternFill>
      </fill>
    </dxf>
    <dxf>
      <fill>
        <patternFill patternType="solid">
          <fgColor rgb="FF548235"/>
          <bgColor rgb="FF000000"/>
        </patternFill>
      </fill>
    </dxf>
    <dxf>
      <fill>
        <patternFill patternType="solid">
          <fgColor rgb="FF63BE7B"/>
          <bgColor rgb="FF000000"/>
        </patternFill>
      </fill>
    </dxf>
    <dxf>
      <fill>
        <patternFill patternType="solid">
          <fgColor rgb="FFCBDC81"/>
          <bgColor rgb="FF000000"/>
        </patternFill>
      </fill>
    </dxf>
    <dxf>
      <fill>
        <patternFill patternType="solid">
          <fgColor rgb="FFF8696B"/>
          <bgColor rgb="FF000000"/>
        </patternFill>
      </fill>
    </dxf>
    <dxf>
      <fill>
        <patternFill patternType="solid">
          <fgColor rgb="FFC6EFCE"/>
          <bgColor rgb="FF000000"/>
        </patternFill>
      </fill>
    </dxf>
    <dxf>
      <fill>
        <patternFill patternType="solid">
          <fgColor rgb="FF006100"/>
          <bgColor rgb="FF000000"/>
        </patternFill>
      </fill>
    </dxf>
    <dxf>
      <fill>
        <patternFill patternType="solid">
          <fgColor rgb="FFC55A11"/>
          <bgColor rgb="FF000000"/>
        </patternFill>
      </fill>
    </dxf>
    <dxf>
      <fill>
        <patternFill patternType="solid">
          <fgColor rgb="FFA6A6A6"/>
          <bgColor rgb="FF000000"/>
        </patternFill>
      </fill>
    </dxf>
    <dxf>
      <font>
        <name val="Arial"/>
        <charset val="1"/>
        <family val="0"/>
        <b val="1"/>
        <color rgb="FF9C0006"/>
      </font>
      <fill>
        <patternFill>
          <bgColor rgb="FFF8CBAD"/>
        </patternFill>
      </fill>
    </dxf>
    <dxf>
      <font>
        <name val="Arial"/>
        <charset val="1"/>
        <family val="0"/>
        <b val="1"/>
        <color rgb="FF006100"/>
      </font>
      <fill>
        <patternFill>
          <bgColor rgb="FFC6EFCE"/>
        </patternFill>
      </fill>
    </dxf>
    <dxf>
      <font>
        <name val="Arial"/>
        <charset val="1"/>
        <family val="0"/>
        <color rgb="FF9C0006"/>
      </font>
      <fill>
        <patternFill>
          <bgColor rgb="FFFFC7CE"/>
        </patternFill>
      </fill>
    </dxf>
    <dxf>
      <font>
        <name val="Arial"/>
        <charset val="1"/>
        <family val="0"/>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548235"/>
      <rgbColor rgb="FF800080"/>
      <rgbColor rgb="FF1F6F78"/>
      <rgbColor rgb="FFFFC7CE"/>
      <rgbColor rgb="FF808080"/>
      <rgbColor rgb="FF9999FF"/>
      <rgbColor rgb="FF7030A0"/>
      <rgbColor rgb="FFFFF8DC"/>
      <rgbColor rgb="FFDEEAF6"/>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FF99"/>
      <rgbColor rgb="FF99CCFF"/>
      <rgbColor rgb="FFFF99CC"/>
      <rgbColor rgb="FFCC99FF"/>
      <rgbColor rgb="FFF8CBAD"/>
      <rgbColor rgb="FF3366FF"/>
      <rgbColor rgb="FF33CCCC"/>
      <rgbColor rgb="FF99CC00"/>
      <rgbColor rgb="FFFFCC00"/>
      <rgbColor rgb="FFFF9900"/>
      <rgbColor rgb="FFC55A11"/>
      <rgbColor rgb="FF595959"/>
      <rgbColor rgb="FFA6A6A6"/>
      <rgbColor rgb="FF1F3864"/>
      <rgbColor rgb="FF339966"/>
      <rgbColor rgb="FF003300"/>
      <rgbColor rgb="FF333300"/>
      <rgbColor rgb="FF993300"/>
      <rgbColor rgb="FF993366"/>
      <rgbColor rgb="FF2F5597"/>
      <rgbColor rgb="FF44546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C47"/>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10"/>
  </cols>
  <sheetData>
    <row r="1" customFormat="false" ht="19.7" hidden="false" customHeight="false" outlineLevel="0" collapsed="false">
      <c r="A1" s="1" t="s">
        <v>0</v>
      </c>
    </row>
    <row r="2" customFormat="false" ht="15" hidden="false" customHeight="false" outlineLevel="0" collapsed="false">
      <c r="A2" s="2" t="s">
        <v>1</v>
      </c>
    </row>
    <row r="5" customFormat="false" ht="15" hidden="false" customHeight="false" outlineLevel="0" collapsed="false">
      <c r="B5" s="3" t="s">
        <v>2</v>
      </c>
    </row>
    <row r="6" customFormat="false" ht="15" hidden="false" customHeight="false" outlineLevel="0" collapsed="false">
      <c r="B6" s="4"/>
      <c r="C6" s="5" t="s">
        <v>3</v>
      </c>
    </row>
    <row r="7" customFormat="false" ht="15" hidden="false" customHeight="false" outlineLevel="0" collapsed="false">
      <c r="B7" s="4"/>
      <c r="C7" s="5" t="s">
        <v>4</v>
      </c>
    </row>
    <row r="8" customFormat="false" ht="15" hidden="false" customHeight="false" outlineLevel="0" collapsed="false">
      <c r="B8" s="4"/>
      <c r="C8" s="5" t="s">
        <v>5</v>
      </c>
    </row>
    <row r="10" customFormat="false" ht="15" hidden="false" customHeight="false" outlineLevel="0" collapsed="false">
      <c r="B10" s="3" t="s">
        <v>6</v>
      </c>
    </row>
    <row r="11" customFormat="false" ht="15" hidden="false" customHeight="false" outlineLevel="0" collapsed="false">
      <c r="B11" s="6" t="s">
        <v>7</v>
      </c>
      <c r="C11" s="7" t="s">
        <v>8</v>
      </c>
    </row>
    <row r="12" customFormat="false" ht="15" hidden="false" customHeight="false" outlineLevel="0" collapsed="false">
      <c r="B12" s="8" t="s">
        <v>9</v>
      </c>
      <c r="C12" s="7" t="s">
        <v>10</v>
      </c>
    </row>
    <row r="13" customFormat="false" ht="15" hidden="false" customHeight="false" outlineLevel="0" collapsed="false">
      <c r="B13" s="9" t="s">
        <v>11</v>
      </c>
      <c r="C13" s="7" t="s">
        <v>12</v>
      </c>
    </row>
    <row r="14" customFormat="false" ht="15" hidden="false" customHeight="false" outlineLevel="0" collapsed="false">
      <c r="B14" s="4"/>
      <c r="C14" s="5" t="s">
        <v>13</v>
      </c>
    </row>
    <row r="16" customFormat="false" ht="15" hidden="false" customHeight="false" outlineLevel="0" collapsed="false">
      <c r="B16" s="3" t="s">
        <v>14</v>
      </c>
    </row>
    <row r="17" customFormat="false" ht="15" hidden="false" customHeight="false" outlineLevel="0" collapsed="false">
      <c r="B17" s="4" t="s">
        <v>15</v>
      </c>
      <c r="C17" s="5" t="s">
        <v>16</v>
      </c>
    </row>
    <row r="18" customFormat="false" ht="15" hidden="false" customHeight="false" outlineLevel="0" collapsed="false">
      <c r="B18" s="4" t="s">
        <v>17</v>
      </c>
      <c r="C18" s="5" t="s">
        <v>18</v>
      </c>
    </row>
    <row r="19" customFormat="false" ht="23.85" hidden="false" customHeight="false" outlineLevel="0" collapsed="false">
      <c r="B19" s="4" t="s">
        <v>19</v>
      </c>
      <c r="C19" s="5" t="s">
        <v>20</v>
      </c>
    </row>
    <row r="20" customFormat="false" ht="15" hidden="false" customHeight="false" outlineLevel="0" collapsed="false">
      <c r="B20" s="4" t="s">
        <v>21</v>
      </c>
      <c r="C20" s="5" t="s">
        <v>22</v>
      </c>
    </row>
    <row r="21" customFormat="false" ht="15" hidden="false" customHeight="false" outlineLevel="0" collapsed="false">
      <c r="B21" s="4" t="s">
        <v>23</v>
      </c>
      <c r="C21" s="5" t="s">
        <v>24</v>
      </c>
    </row>
    <row r="22" customFormat="false" ht="15" hidden="false" customHeight="false" outlineLevel="0" collapsed="false">
      <c r="B22" s="4" t="s">
        <v>25</v>
      </c>
      <c r="C22" s="5" t="s">
        <v>26</v>
      </c>
    </row>
    <row r="23" customFormat="false" ht="15" hidden="false" customHeight="false" outlineLevel="0" collapsed="false">
      <c r="B23" s="4" t="s">
        <v>27</v>
      </c>
      <c r="C23" s="5" t="s">
        <v>28</v>
      </c>
    </row>
    <row r="24" customFormat="false" ht="15" hidden="false" customHeight="false" outlineLevel="0" collapsed="false">
      <c r="B24" s="4" t="s">
        <v>29</v>
      </c>
      <c r="C24" s="5" t="s">
        <v>30</v>
      </c>
    </row>
    <row r="26" customFormat="false" ht="15" hidden="false" customHeight="false" outlineLevel="0" collapsed="false">
      <c r="B26" s="3" t="s">
        <v>31</v>
      </c>
    </row>
    <row r="27" customFormat="false" ht="15" hidden="false" customHeight="false" outlineLevel="0" collapsed="false">
      <c r="B27" s="4" t="s">
        <v>32</v>
      </c>
      <c r="C27" s="5" t="s">
        <v>33</v>
      </c>
    </row>
    <row r="28" customFormat="false" ht="15" hidden="false" customHeight="false" outlineLevel="0" collapsed="false">
      <c r="B28" s="4"/>
      <c r="C28" s="5" t="s">
        <v>34</v>
      </c>
    </row>
    <row r="29" customFormat="false" ht="15" hidden="false" customHeight="false" outlineLevel="0" collapsed="false">
      <c r="B29" s="4" t="s">
        <v>35</v>
      </c>
      <c r="C29" s="5" t="s">
        <v>36</v>
      </c>
    </row>
    <row r="30" customFormat="false" ht="15" hidden="false" customHeight="false" outlineLevel="0" collapsed="false">
      <c r="B30" s="4" t="s">
        <v>37</v>
      </c>
      <c r="C30" s="5" t="s">
        <v>38</v>
      </c>
    </row>
    <row r="31" customFormat="false" ht="15" hidden="false" customHeight="false" outlineLevel="0" collapsed="false">
      <c r="B31" s="4" t="s">
        <v>39</v>
      </c>
      <c r="C31" s="5" t="s">
        <v>40</v>
      </c>
    </row>
    <row r="32" customFormat="false" ht="15" hidden="false" customHeight="false" outlineLevel="0" collapsed="false">
      <c r="B32" s="4" t="s">
        <v>41</v>
      </c>
      <c r="C32" s="5" t="s">
        <v>42</v>
      </c>
    </row>
    <row r="33" customFormat="false" ht="23.85" hidden="false" customHeight="false" outlineLevel="0" collapsed="false">
      <c r="B33" s="4" t="s">
        <v>43</v>
      </c>
      <c r="C33" s="5" t="s">
        <v>44</v>
      </c>
    </row>
    <row r="35" customFormat="false" ht="15" hidden="false" customHeight="false" outlineLevel="0" collapsed="false">
      <c r="B35" s="3" t="s">
        <v>45</v>
      </c>
    </row>
    <row r="36" customFormat="false" ht="23.85" hidden="false" customHeight="false" outlineLevel="0" collapsed="false">
      <c r="B36" s="4" t="s">
        <v>46</v>
      </c>
      <c r="C36" s="5" t="s">
        <v>47</v>
      </c>
    </row>
    <row r="37" customFormat="false" ht="23.85" hidden="false" customHeight="false" outlineLevel="0" collapsed="false">
      <c r="B37" s="4" t="s">
        <v>48</v>
      </c>
      <c r="C37" s="5" t="s">
        <v>49</v>
      </c>
    </row>
    <row r="38" customFormat="false" ht="23.85" hidden="false" customHeight="false" outlineLevel="0" collapsed="false">
      <c r="B38" s="4" t="s">
        <v>50</v>
      </c>
      <c r="C38" s="5" t="s">
        <v>51</v>
      </c>
    </row>
    <row r="39" customFormat="false" ht="23.85" hidden="false" customHeight="false" outlineLevel="0" collapsed="false">
      <c r="B39" s="4" t="s">
        <v>52</v>
      </c>
      <c r="C39" s="5" t="s">
        <v>53</v>
      </c>
    </row>
    <row r="40" customFormat="false" ht="23.85" hidden="false" customHeight="false" outlineLevel="0" collapsed="false">
      <c r="B40" s="4" t="s">
        <v>54</v>
      </c>
      <c r="C40" s="5" t="s">
        <v>55</v>
      </c>
    </row>
    <row r="42" customFormat="false" ht="15" hidden="false" customHeight="false" outlineLevel="0" collapsed="false">
      <c r="B42" s="3" t="s">
        <v>56</v>
      </c>
    </row>
    <row r="43" customFormat="false" ht="15" hidden="false" customHeight="false" outlineLevel="0" collapsed="false">
      <c r="B43" s="4"/>
      <c r="C43" s="5" t="s">
        <v>57</v>
      </c>
    </row>
    <row r="44" customFormat="false" ht="15" hidden="false" customHeight="false" outlineLevel="0" collapsed="false">
      <c r="B44" s="4"/>
      <c r="C44" s="5" t="s">
        <v>58</v>
      </c>
    </row>
    <row r="45" customFormat="false" ht="15" hidden="false" customHeight="false" outlineLevel="0" collapsed="false">
      <c r="B45" s="4"/>
      <c r="C45" s="5" t="s">
        <v>59</v>
      </c>
    </row>
    <row r="46" customFormat="false" ht="15" hidden="false" customHeight="false" outlineLevel="0" collapsed="false">
      <c r="B46" s="4"/>
      <c r="C46" s="5" t="s">
        <v>60</v>
      </c>
    </row>
    <row r="47" customFormat="false" ht="15" hidden="false" customHeight="false" outlineLevel="0" collapsed="false">
      <c r="B47" s="4"/>
      <c r="C47" s="5" t="s">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BS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7"/>
    <col collapsed="false" customWidth="true" hidden="false" outlineLevel="0" max="2" min="2" style="0" width="12"/>
    <col collapsed="false" customWidth="true" hidden="false" outlineLevel="0" max="3" min="3" style="0" width="11"/>
    <col collapsed="false" customWidth="true" hidden="false" outlineLevel="0" max="4" min="4" style="0" width="6"/>
    <col collapsed="false" customWidth="true" hidden="false" outlineLevel="0" max="5" min="5" style="0" width="12"/>
    <col collapsed="false" customWidth="true" hidden="false" outlineLevel="0" max="6" min="6" style="0" width="9"/>
    <col collapsed="false" customWidth="true" hidden="false" outlineLevel="0" max="7" min="7" style="0" width="11"/>
    <col collapsed="false" customWidth="true" hidden="false" outlineLevel="0" max="8" min="8" style="0" width="20"/>
    <col collapsed="false" customWidth="true" hidden="false" outlineLevel="0" max="9" min="9" style="0" width="22"/>
    <col collapsed="false" customWidth="true" hidden="false" outlineLevel="0" max="11" min="10" style="0" width="28"/>
    <col collapsed="false" customWidth="true" hidden="false" outlineLevel="0" max="12" min="12" style="0" width="40"/>
    <col collapsed="false" customWidth="true" hidden="false" outlineLevel="0" max="13" min="13" style="0" width="16"/>
    <col collapsed="false" customWidth="true" hidden="false" outlineLevel="0" max="14" min="14" style="0" width="24"/>
    <col collapsed="false" customWidth="true" hidden="false" outlineLevel="0" max="15" min="15" style="0" width="16"/>
    <col collapsed="false" customWidth="true" hidden="false" outlineLevel="0" max="16" min="16" style="0" width="11"/>
    <col collapsed="false" customWidth="true" hidden="false" outlineLevel="0" max="17" min="17" style="0" width="10"/>
    <col collapsed="false" customWidth="true" hidden="false" outlineLevel="0" max="18" min="18" style="0" width="34"/>
    <col collapsed="false" customWidth="true" hidden="false" outlineLevel="0" max="19" min="19" style="0" width="11"/>
    <col collapsed="false" customWidth="true" hidden="false" outlineLevel="0" max="20" min="20" style="0" width="30"/>
    <col collapsed="false" customWidth="true" hidden="false" outlineLevel="0" max="21" min="21" style="0" width="16"/>
    <col collapsed="false" customWidth="true" hidden="false" outlineLevel="0" max="23" min="22" style="0" width="11"/>
    <col collapsed="false" customWidth="true" hidden="false" outlineLevel="0" max="24" min="24" style="0" width="20"/>
    <col collapsed="false" customWidth="true" hidden="false" outlineLevel="0" max="25" min="25" style="0" width="17"/>
    <col collapsed="false" customWidth="true" hidden="false" outlineLevel="0" max="26" min="26" style="0" width="60"/>
    <col collapsed="false" customWidth="true" hidden="false" outlineLevel="0" max="27" min="27" style="0" width="22"/>
    <col collapsed="false" customWidth="true" hidden="false" outlineLevel="0" max="29" min="28" style="0" width="12"/>
    <col collapsed="false" customWidth="true" hidden="false" outlineLevel="0" max="30" min="30" style="0" width="11"/>
    <col collapsed="false" customWidth="true" hidden="false" outlineLevel="0" max="39" min="31" style="0" width="10"/>
    <col collapsed="false" customWidth="true" hidden="false" outlineLevel="0" max="40" min="40" style="0" width="12"/>
    <col collapsed="false" customWidth="true" hidden="false" outlineLevel="0" max="41" min="41" style="0" width="11"/>
    <col collapsed="false" customWidth="true" hidden="false" outlineLevel="0" max="42" min="42" style="0" width="18"/>
    <col collapsed="false" customWidth="true" hidden="false" outlineLevel="0" max="44" min="43" style="0" width="11"/>
    <col collapsed="false" customWidth="true" hidden="false" outlineLevel="0" max="47" min="45" style="0" width="12"/>
    <col collapsed="false" customWidth="true" hidden="false" outlineLevel="0" max="49" min="48" style="0" width="10"/>
    <col collapsed="false" customWidth="true" hidden="false" outlineLevel="0" max="50" min="50" style="0" width="12"/>
    <col collapsed="false" customWidth="true" hidden="false" outlineLevel="0" max="55" min="51" style="0" width="11"/>
    <col collapsed="false" customWidth="true" hidden="false" outlineLevel="0" max="58" min="56" style="0" width="10"/>
    <col collapsed="false" customWidth="true" hidden="false" outlineLevel="0" max="59" min="59" style="0" width="9"/>
    <col collapsed="false" customWidth="true" hidden="false" outlineLevel="0" max="60" min="60" style="0" width="12"/>
    <col collapsed="false" customWidth="true" hidden="false" outlineLevel="0" max="65" min="61" style="0" width="10"/>
    <col collapsed="false" customWidth="true" hidden="false" outlineLevel="0" max="66" min="66" style="0" width="40"/>
    <col collapsed="false" customWidth="true" hidden="false" outlineLevel="0" max="67" min="67" style="0" width="22"/>
    <col collapsed="false" customWidth="true" hidden="true" outlineLevel="0" max="71" min="68" style="0" width="10"/>
  </cols>
  <sheetData>
    <row r="1" customFormat="false" ht="19.7" hidden="false" customHeight="false" outlineLevel="0" collapsed="false">
      <c r="A1" s="1" t="s">
        <v>62</v>
      </c>
    </row>
    <row r="2" customFormat="false" ht="15" hidden="false" customHeight="false" outlineLevel="0" collapsed="false">
      <c r="A2" s="2" t="s">
        <v>63</v>
      </c>
    </row>
    <row r="3" customFormat="false" ht="15" hidden="false" customHeight="false" outlineLevel="0" collapsed="false">
      <c r="A3" s="10" t="s">
        <v>64</v>
      </c>
      <c r="B3" s="10"/>
      <c r="C3" s="10"/>
      <c r="D3" s="10"/>
      <c r="E3" s="10"/>
      <c r="F3" s="10"/>
      <c r="G3" s="10"/>
      <c r="H3" s="10"/>
      <c r="I3" s="10"/>
      <c r="J3" s="10"/>
      <c r="K3" s="10"/>
      <c r="L3" s="10"/>
      <c r="M3" s="10"/>
      <c r="N3" s="10"/>
      <c r="O3" s="10"/>
      <c r="P3" s="10"/>
      <c r="Q3" s="10"/>
      <c r="R3" s="10"/>
      <c r="S3" s="10"/>
      <c r="T3" s="11" t="s">
        <v>65</v>
      </c>
      <c r="U3" s="11"/>
      <c r="V3" s="11"/>
      <c r="W3" s="11"/>
      <c r="X3" s="11"/>
      <c r="Y3" s="11"/>
      <c r="Z3" s="11"/>
      <c r="AA3" s="11"/>
      <c r="AB3" s="12" t="s">
        <v>66</v>
      </c>
      <c r="AC3" s="12"/>
      <c r="AD3" s="12"/>
      <c r="AE3" s="12"/>
      <c r="AF3" s="12"/>
      <c r="AG3" s="12"/>
      <c r="AH3" s="12"/>
      <c r="AI3" s="12"/>
      <c r="AJ3" s="12"/>
      <c r="AK3" s="12"/>
      <c r="AL3" s="12"/>
      <c r="AM3" s="12"/>
      <c r="AN3" s="12"/>
      <c r="AO3" s="13" t="s">
        <v>67</v>
      </c>
      <c r="AP3" s="13"/>
      <c r="AQ3" s="13"/>
      <c r="AR3" s="13"/>
      <c r="AS3" s="13"/>
      <c r="AT3" s="13"/>
      <c r="AU3" s="13"/>
      <c r="AV3" s="13"/>
      <c r="AW3" s="13"/>
      <c r="AX3" s="13"/>
      <c r="AY3" s="13"/>
      <c r="AZ3" s="14" t="s">
        <v>68</v>
      </c>
      <c r="BA3" s="14"/>
      <c r="BB3" s="14"/>
      <c r="BC3" s="14"/>
      <c r="BD3" s="14"/>
      <c r="BE3" s="14"/>
      <c r="BF3" s="14"/>
      <c r="BG3" s="14"/>
      <c r="BH3" s="14"/>
      <c r="BI3" s="14"/>
      <c r="BJ3" s="14"/>
      <c r="BK3" s="14"/>
      <c r="BL3" s="14"/>
      <c r="BM3" s="14"/>
      <c r="BN3" s="15" t="s">
        <v>69</v>
      </c>
      <c r="BO3" s="15"/>
      <c r="BP3" s="16" t="s">
        <v>70</v>
      </c>
      <c r="BQ3" s="16"/>
      <c r="BR3" s="16"/>
      <c r="BS3" s="16"/>
    </row>
    <row r="4" customFormat="false" ht="45" hidden="false" customHeight="true" outlineLevel="0" collapsed="false">
      <c r="A4" s="17" t="s">
        <v>71</v>
      </c>
      <c r="B4" s="18" t="s">
        <v>72</v>
      </c>
      <c r="C4" s="18" t="s">
        <v>73</v>
      </c>
      <c r="D4" s="17" t="s">
        <v>74</v>
      </c>
      <c r="E4" s="17" t="s">
        <v>75</v>
      </c>
      <c r="F4" s="17" t="s">
        <v>76</v>
      </c>
      <c r="G4" s="18" t="s">
        <v>77</v>
      </c>
      <c r="H4" s="18" t="s">
        <v>78</v>
      </c>
      <c r="I4" s="18" t="s">
        <v>79</v>
      </c>
      <c r="J4" s="18" t="s">
        <v>80</v>
      </c>
      <c r="K4" s="18" t="s">
        <v>81</v>
      </c>
      <c r="L4" s="18" t="s">
        <v>82</v>
      </c>
      <c r="M4" s="18" t="s">
        <v>83</v>
      </c>
      <c r="N4" s="18" t="s">
        <v>84</v>
      </c>
      <c r="O4" s="18" t="s">
        <v>85</v>
      </c>
      <c r="P4" s="18" t="s">
        <v>86</v>
      </c>
      <c r="Q4" s="18" t="s">
        <v>87</v>
      </c>
      <c r="R4" s="18" t="s">
        <v>88</v>
      </c>
      <c r="S4" s="18" t="s">
        <v>89</v>
      </c>
      <c r="T4" s="19" t="s">
        <v>90</v>
      </c>
      <c r="U4" s="19" t="s">
        <v>91</v>
      </c>
      <c r="V4" s="20" t="s">
        <v>92</v>
      </c>
      <c r="W4" s="20" t="s">
        <v>93</v>
      </c>
      <c r="X4" s="20" t="s">
        <v>94</v>
      </c>
      <c r="Y4" s="20" t="s">
        <v>95</v>
      </c>
      <c r="Z4" s="20" t="s">
        <v>96</v>
      </c>
      <c r="AA4" s="19" t="s">
        <v>97</v>
      </c>
      <c r="AB4" s="19" t="s">
        <v>98</v>
      </c>
      <c r="AC4" s="19" t="s">
        <v>99</v>
      </c>
      <c r="AD4" s="19" t="s">
        <v>100</v>
      </c>
      <c r="AE4" s="19" t="s">
        <v>101</v>
      </c>
      <c r="AF4" s="19" t="s">
        <v>102</v>
      </c>
      <c r="AG4" s="19" t="s">
        <v>103</v>
      </c>
      <c r="AH4" s="19" t="s">
        <v>104</v>
      </c>
      <c r="AI4" s="19" t="s">
        <v>105</v>
      </c>
      <c r="AJ4" s="19" t="s">
        <v>106</v>
      </c>
      <c r="AK4" s="19" t="s">
        <v>107</v>
      </c>
      <c r="AL4" s="19" t="s">
        <v>108</v>
      </c>
      <c r="AM4" s="19" t="s">
        <v>109</v>
      </c>
      <c r="AN4" s="19" t="s">
        <v>110</v>
      </c>
      <c r="AO4" s="21" t="s">
        <v>111</v>
      </c>
      <c r="AP4" s="21" t="s">
        <v>112</v>
      </c>
      <c r="AQ4" s="21" t="s">
        <v>113</v>
      </c>
      <c r="AR4" s="21" t="s">
        <v>114</v>
      </c>
      <c r="AS4" s="21" t="s">
        <v>115</v>
      </c>
      <c r="AT4" s="21" t="s">
        <v>116</v>
      </c>
      <c r="AU4" s="21" t="s">
        <v>117</v>
      </c>
      <c r="AV4" s="21" t="s">
        <v>118</v>
      </c>
      <c r="AW4" s="21" t="s">
        <v>119</v>
      </c>
      <c r="AX4" s="21" t="s">
        <v>120</v>
      </c>
      <c r="AY4" s="21" t="s">
        <v>121</v>
      </c>
      <c r="AZ4" s="19" t="s">
        <v>122</v>
      </c>
      <c r="BA4" s="19" t="s">
        <v>123</v>
      </c>
      <c r="BB4" s="19" t="s">
        <v>124</v>
      </c>
      <c r="BC4" s="19" t="s">
        <v>125</v>
      </c>
      <c r="BD4" s="22" t="s">
        <v>126</v>
      </c>
      <c r="BE4" s="22" t="s">
        <v>127</v>
      </c>
      <c r="BF4" s="22" t="s">
        <v>128</v>
      </c>
      <c r="BG4" s="22" t="s">
        <v>129</v>
      </c>
      <c r="BH4" s="22" t="s">
        <v>130</v>
      </c>
      <c r="BI4" s="22" t="s">
        <v>131</v>
      </c>
      <c r="BJ4" s="22" t="s">
        <v>132</v>
      </c>
      <c r="BK4" s="22" t="s">
        <v>133</v>
      </c>
      <c r="BL4" s="22" t="s">
        <v>134</v>
      </c>
      <c r="BM4" s="22" t="s">
        <v>135</v>
      </c>
      <c r="BN4" s="19" t="s">
        <v>136</v>
      </c>
      <c r="BO4" s="19" t="s">
        <v>137</v>
      </c>
      <c r="BP4" s="23" t="s">
        <v>138</v>
      </c>
      <c r="BQ4" s="23" t="s">
        <v>139</v>
      </c>
      <c r="BR4" s="23" t="s">
        <v>140</v>
      </c>
      <c r="BS4" s="23" t="s">
        <v>141</v>
      </c>
    </row>
    <row r="5" customFormat="false" ht="15" hidden="false" customHeight="false" outlineLevel="0" collapsed="false">
      <c r="A5" s="24" t="str">
        <f aca="false">IF(OR(B5="",G5="",H5=""),"",IFERROR(INDEX(Settings!$E$5:$E$49,MATCH(G5,Settings!$D$5:$D$49,0))&amp;INDEX(Settings!$H$5:$H$47,MATCH(H5,Settings!$G$5:$G$47,0))&amp;"-"&amp;TEXT(B5,"yymmdd")&amp;"-"&amp;IF(C5="","0000",TEXT(C5,"hhmm")),"CHECK LISTS"))</f>
        <v>LIC-260911-1127</v>
      </c>
      <c r="B5" s="25" t="n">
        <v>46276</v>
      </c>
      <c r="C5" s="26" t="n">
        <v>0.477083333333333</v>
      </c>
      <c r="D5" s="24" t="str">
        <f aca="false">IF(B5="","",TEXT(B5,"ddd"))</f>
        <v>Fri</v>
      </c>
      <c r="E5" s="27" t="n">
        <f aca="false">IF(B5="","",B5-WEEKDAY(B5,3))</f>
        <v>46272</v>
      </c>
      <c r="F5" s="24" t="str">
        <f aca="false">IF(B5="","",TEXT(B5,"yyyy-mm"))</f>
        <v>2026-09</v>
      </c>
      <c r="G5" s="28" t="s">
        <v>142</v>
      </c>
      <c r="H5" s="28" t="s">
        <v>143</v>
      </c>
      <c r="I5" s="28" t="s">
        <v>144</v>
      </c>
      <c r="J5" s="28" t="s">
        <v>145</v>
      </c>
      <c r="K5" s="29"/>
      <c r="L5" s="28" t="s">
        <v>146</v>
      </c>
      <c r="M5" s="28" t="s">
        <v>147</v>
      </c>
      <c r="N5" s="28" t="s">
        <v>148</v>
      </c>
      <c r="O5" s="28" t="s">
        <v>149</v>
      </c>
      <c r="P5" s="28" t="s">
        <v>150</v>
      </c>
      <c r="Q5" s="30"/>
      <c r="R5" s="28" t="s">
        <v>151</v>
      </c>
      <c r="S5" s="31" t="n">
        <v>2640</v>
      </c>
      <c r="T5" s="29"/>
      <c r="U5" s="28" t="s">
        <v>152</v>
      </c>
      <c r="V5" s="24" t="str">
        <f aca="false">IF(A5="","",IFERROR(INDEX(Settings!$F$5:$F$49,MATCH(G5,Settings!$D$5:$D$49,0)),""))</f>
        <v>linkedin</v>
      </c>
      <c r="W5" s="24" t="str">
        <f aca="false">IF(A5="","",IF(OR(P5="",P5="Organic"),"social","paid_social"))</f>
        <v>social</v>
      </c>
      <c r="X5" s="24" t="str">
        <f aca="false">IF(A5="","",IF(K5&lt;&gt;"",IFERROR(INDEX('Case Studies'!$C$5:$C$54,MATCH(K5,'Case Studies'!$B$5:$B$54,0))&amp;"","case-study"),IF(J5&lt;&gt;"",IFERROR(INDEX(Settings!$J$5:$J$55,MATCH(J5,Settings!$I$5:$I$55,0)),"general"),"general")))</f>
        <v>product</v>
      </c>
      <c r="Y5" s="24" t="str">
        <f aca="false">IF(A5="","",LOWER(A5))</f>
        <v>lic-260911-1127</v>
      </c>
      <c r="Z5" s="24" t="str">
        <f aca="false">IF(A5="","",IF(T5="",Settings!$B$5,T5)&amp;IF(ISNUMBER(FIND("?",IF(T5="",Settings!$B$5,T5))),"&amp;","?")&amp;"utm_source="&amp;V5&amp;"&amp;utm_medium="&amp;W5&amp;"&amp;utm_campaign="&amp;X5&amp;"&amp;utm_content="&amp;Y5)</f>
        <v>https://www.alphanodus.com/contact?utm_source=linkedin&amp;utm_medium=social&amp;utm_campaign=product&amp;utm_content=lic-260911-1127</v>
      </c>
      <c r="AA5" s="29"/>
      <c r="AB5" s="25" t="n">
        <v>46293</v>
      </c>
      <c r="AC5" s="32"/>
      <c r="AD5" s="32"/>
      <c r="AE5" s="32"/>
      <c r="AF5" s="32"/>
      <c r="AG5" s="32"/>
      <c r="AH5" s="32"/>
      <c r="AI5" s="32"/>
      <c r="AJ5" s="32"/>
      <c r="AK5" s="32"/>
      <c r="AL5" s="32"/>
      <c r="AM5" s="32"/>
      <c r="AN5" s="32"/>
      <c r="AO5" s="33" t="str">
        <f aca="false">IF(A5="","",IF(AD5&lt;&gt;"",AD5,IF(AC5&lt;&gt;"",AC5,"")))</f>
        <v/>
      </c>
      <c r="AP5" s="24" t="str">
        <f aca="false">IF(AO5="","",IF(AD5&lt;&gt;"","Reported reach","Impressions (proxy)"))</f>
        <v/>
      </c>
      <c r="AQ5" s="34" t="str">
        <f aca="false">IF(OR(AO5="",N(S5)=0),"",AO5/S5)</f>
        <v/>
      </c>
      <c r="AR5" s="33" t="str">
        <f aca="false">IF(A5="","",IF(COUNT(AF5:AJ5)=0,"",SUM(AF5:AJ5)))</f>
        <v/>
      </c>
      <c r="AS5" s="34" t="str">
        <f aca="false">IF(OR(AR5="",N(AO5)=0),"",AR5/AO5)</f>
        <v/>
      </c>
      <c r="AT5" s="34" t="str">
        <f aca="false">IF(OR(AR5="",N(AC5)=0),"",AR5/AC5)</f>
        <v/>
      </c>
      <c r="AU5" s="34" t="str">
        <f aca="false">IF(OR(AR5="",N(S5)=0),"",AR5/S5)</f>
        <v/>
      </c>
      <c r="AV5" s="34" t="str">
        <f aca="false">IF(OR(AJ5="",N(AC5)=0),"",AJ5/AC5)</f>
        <v/>
      </c>
      <c r="AW5" s="34" t="str">
        <f aca="false">IF(OR(AH5="",N(AO5)=0),"",AH5/AO5)</f>
        <v/>
      </c>
      <c r="AX5" s="35" t="str">
        <f aca="false">IF(OR(AR5="",N(AO5)=0),"",(N(AF5)*Settings!$B$6+N(AG5)*Settings!$B$7+N(AH5)*Settings!$B$8+N(AI5)*Settings!$B$9+N(AJ5)*Settings!$B$10)/AO5*1000)</f>
        <v/>
      </c>
      <c r="AY5" s="36" t="str">
        <f aca="false">IF(AS5="","",IFERROR(AS5/AVERAGEIFS('Post Tracker'!$AS$5:$AS$1004,'Post Tracker'!$G$5:$G$1004,G5),""))</f>
        <v/>
      </c>
      <c r="AZ5" s="32"/>
      <c r="BA5" s="32"/>
      <c r="BB5" s="32"/>
      <c r="BC5" s="32"/>
      <c r="BD5" s="33" t="n">
        <f aca="false">IF(A5="","",COUNTIFS('Demo Pipeline'!$Q$5:$Q$504,A5))</f>
        <v>0</v>
      </c>
      <c r="BE5" s="33" t="n">
        <f aca="false">IF(A5="","",COUNTIFS('Demo Pipeline'!$Q$5:$Q$504,A5,'Demo Pipeline'!$W$5:$W$504,"Attended"))</f>
        <v>0</v>
      </c>
      <c r="BF5" s="33" t="n">
        <f aca="false">IF(A5="","",COUNTIFS('Demo Pipeline'!$Q$5:$Q$504,A5,'Demo Pipeline'!$X$5:$X$504,"Yes"))</f>
        <v>0</v>
      </c>
      <c r="BG5" s="33" t="n">
        <f aca="false">IF(A5="","",COUNTIFS('Demo Pipeline'!$Q$5:$Q$504,A5,'Demo Pipeline'!$Y$5:$Y$504,"Closed Won"))</f>
        <v>0</v>
      </c>
      <c r="BH5" s="37" t="n">
        <f aca="false">IF(A5="","",SUMIFS('Demo Pipeline'!$Z$5:$Z$504,'Demo Pipeline'!$Q$5:$Q$504,A5))</f>
        <v>0</v>
      </c>
      <c r="BI5" s="34" t="str">
        <f aca="false">IF(OR(AZ5="",N(AJ5)=0),"",AZ5/AJ5)</f>
        <v/>
      </c>
      <c r="BJ5" s="34" t="str">
        <f aca="false">IF(OR(BB5="",N(AZ5)=0),"",BB5/AZ5)</f>
        <v/>
      </c>
      <c r="BK5" s="34" t="str">
        <f aca="false">IF(OR(A5="",N(BB5)=0),"",BD5/BB5)</f>
        <v/>
      </c>
      <c r="BL5" s="34" t="str">
        <f aca="false">IF(OR(A5="",N(AZ5)=0),"",BD5/AZ5)</f>
        <v/>
      </c>
      <c r="BM5" s="37" t="str">
        <f aca="false">IF(OR(N(Q5)=0,N(BD5)=0),"",Q5/BD5)</f>
        <v/>
      </c>
      <c r="BN5" s="28" t="s">
        <v>153</v>
      </c>
      <c r="BO5" s="29"/>
      <c r="BP5" s="33" t="str">
        <f aca="false">IF(OR(AR5="",N(AO5)=0),"",AR5)</f>
        <v/>
      </c>
      <c r="BQ5" s="33" t="str">
        <f aca="false">IF(OR(AR5="",N(S5)=0),"",S5)</f>
        <v/>
      </c>
      <c r="BR5" s="38" t="str">
        <f aca="false">IF(AND(ISNUMBER(B5),B5&gt;=Dashboard!$C$4,B5&lt;=Dashboard!$F$4,ISNUMBER(AU5)),AU5+ROW()/10^9,"")</f>
        <v/>
      </c>
      <c r="BS5" s="38" t="n">
        <f aca="false">IF(AND(ISNUMBER(B5),B5&gt;=Dashboard!$C$4,B5&lt;=Dashboard!$F$4,A5&lt;&gt;""),N(BD5)+N(AU5)/100+ROW()/10^9,"")</f>
        <v>5E-009</v>
      </c>
    </row>
    <row r="6" customFormat="false" ht="15" hidden="false" customHeight="false" outlineLevel="0" collapsed="false">
      <c r="A6" s="24" t="str">
        <f aca="false">IF(OR(B6="",G6="",H6=""),"",IFERROR(INDEX(Settings!$E$5:$E$49,MATCH(G6,Settings!$D$5:$D$49,0))&amp;INDEX(Settings!$H$5:$H$47,MATCH(H6,Settings!$G$5:$G$47,0))&amp;"-"&amp;TEXT(B6,"yymmdd")&amp;"-"&amp;IF(C6="","0000",TEXT(C6,"hhmm")),"CHECK LISTS"))</f>
        <v>LIC-260914-1258</v>
      </c>
      <c r="B6" s="25" t="n">
        <v>46279</v>
      </c>
      <c r="C6" s="26" t="n">
        <v>0.540277777777778</v>
      </c>
      <c r="D6" s="24" t="str">
        <f aca="false">IF(B6="","",TEXT(B6,"ddd"))</f>
        <v>Mon</v>
      </c>
      <c r="E6" s="27" t="n">
        <f aca="false">IF(B6="","",B6-WEEKDAY(B6,3))</f>
        <v>46279</v>
      </c>
      <c r="F6" s="24" t="str">
        <f aca="false">IF(B6="","",TEXT(B6,"yyyy-mm"))</f>
        <v>2026-09</v>
      </c>
      <c r="G6" s="28" t="s">
        <v>142</v>
      </c>
      <c r="H6" s="28" t="s">
        <v>143</v>
      </c>
      <c r="I6" s="29"/>
      <c r="J6" s="28" t="s">
        <v>154</v>
      </c>
      <c r="K6" s="29"/>
      <c r="L6" s="28" t="s">
        <v>155</v>
      </c>
      <c r="M6" s="28" t="s">
        <v>156</v>
      </c>
      <c r="N6" s="28" t="s">
        <v>148</v>
      </c>
      <c r="O6" s="28" t="s">
        <v>157</v>
      </c>
      <c r="P6" s="28" t="s">
        <v>150</v>
      </c>
      <c r="Q6" s="30"/>
      <c r="R6" s="28" t="s">
        <v>158</v>
      </c>
      <c r="S6" s="31" t="n">
        <v>2640</v>
      </c>
      <c r="T6" s="29"/>
      <c r="U6" s="28" t="s">
        <v>159</v>
      </c>
      <c r="V6" s="24" t="str">
        <f aca="false">IF(A6="","",IFERROR(INDEX(Settings!$F$5:$F$49,MATCH(G6,Settings!$D$5:$D$49,0)),""))</f>
        <v>linkedin</v>
      </c>
      <c r="W6" s="24" t="str">
        <f aca="false">IF(A6="","",IF(OR(P6="",P6="Organic"),"social","paid_social"))</f>
        <v>social</v>
      </c>
      <c r="X6" s="24" t="str">
        <f aca="false">IF(A6="","",IF(K6&lt;&gt;"",IFERROR(INDEX('Case Studies'!$C$5:$C$54,MATCH(K6,'Case Studies'!$B$5:$B$54,0))&amp;"","case-study"),IF(J6&lt;&gt;"",IFERROR(INDEX(Settings!$J$5:$J$55,MATCH(J6,Settings!$I$5:$I$55,0)),"general"),"general")))</f>
        <v>ops-tips</v>
      </c>
      <c r="Y6" s="24" t="str">
        <f aca="false">IF(A6="","",LOWER(A6))</f>
        <v>lic-260914-1258</v>
      </c>
      <c r="Z6" s="24" t="str">
        <f aca="false">IF(A6="","",IF(T6="",Settings!$B$5,T6)&amp;IF(ISNUMBER(FIND("?",IF(T6="",Settings!$B$5,T6))),"&amp;","?")&amp;"utm_source="&amp;V6&amp;"&amp;utm_medium="&amp;W6&amp;"&amp;utm_campaign="&amp;X6&amp;"&amp;utm_content="&amp;Y6)</f>
        <v>https://www.alphanodus.com/contact?utm_source=linkedin&amp;utm_medium=social&amp;utm_campaign=ops-tips&amp;utm_content=lic-260914-1258</v>
      </c>
      <c r="AA6" s="29"/>
      <c r="AB6" s="25" t="n">
        <v>46293</v>
      </c>
      <c r="AC6" s="32"/>
      <c r="AD6" s="32"/>
      <c r="AE6" s="32"/>
      <c r="AF6" s="31" t="n">
        <v>16</v>
      </c>
      <c r="AG6" s="31" t="n">
        <v>0</v>
      </c>
      <c r="AH6" s="32"/>
      <c r="AI6" s="32"/>
      <c r="AJ6" s="32"/>
      <c r="AK6" s="32"/>
      <c r="AL6" s="32"/>
      <c r="AM6" s="32"/>
      <c r="AN6" s="32"/>
      <c r="AO6" s="33" t="str">
        <f aca="false">IF(A6="","",IF(AD6&lt;&gt;"",AD6,IF(AC6&lt;&gt;"",AC6,"")))</f>
        <v/>
      </c>
      <c r="AP6" s="24" t="str">
        <f aca="false">IF(AO6="","",IF(AD6&lt;&gt;"","Reported reach","Impressions (proxy)"))</f>
        <v/>
      </c>
      <c r="AQ6" s="34" t="str">
        <f aca="false">IF(OR(AO6="",N(S6)=0),"",AO6/S6)</f>
        <v/>
      </c>
      <c r="AR6" s="33" t="n">
        <f aca="false">IF(A6="","",IF(COUNT(AF6:AJ6)=0,"",SUM(AF6:AJ6)))</f>
        <v>16</v>
      </c>
      <c r="AS6" s="34" t="str">
        <f aca="false">IF(OR(AR6="",N(AO6)=0),"",AR6/AO6)</f>
        <v/>
      </c>
      <c r="AT6" s="34" t="str">
        <f aca="false">IF(OR(AR6="",N(AC6)=0),"",AR6/AC6)</f>
        <v/>
      </c>
      <c r="AU6" s="34" t="n">
        <f aca="false">IF(OR(AR6="",N(S6)=0),"",AR6/S6)</f>
        <v>0.00606060606060606</v>
      </c>
      <c r="AV6" s="34" t="str">
        <f aca="false">IF(OR(AJ6="",N(AC6)=0),"",AJ6/AC6)</f>
        <v/>
      </c>
      <c r="AW6" s="34" t="str">
        <f aca="false">IF(OR(AH6="",N(AO6)=0),"",AH6/AO6)</f>
        <v/>
      </c>
      <c r="AX6" s="35" t="str">
        <f aca="false">IF(OR(AR6="",N(AO6)=0),"",(N(AF6)*Settings!$B$6+N(AG6)*Settings!$B$7+N(AH6)*Settings!$B$8+N(AI6)*Settings!$B$9+N(AJ6)*Settings!$B$10)/AO6*1000)</f>
        <v/>
      </c>
      <c r="AY6" s="36" t="str">
        <f aca="false">IF(AS6="","",IFERROR(AS6/AVERAGEIFS('Post Tracker'!$AS$5:$AS$1004,'Post Tracker'!$G$5:$G$1004,G6),""))</f>
        <v/>
      </c>
      <c r="AZ6" s="32"/>
      <c r="BA6" s="32"/>
      <c r="BB6" s="32"/>
      <c r="BC6" s="32"/>
      <c r="BD6" s="33" t="n">
        <f aca="false">IF(A6="","",COUNTIFS('Demo Pipeline'!$Q$5:$Q$504,A6))</f>
        <v>0</v>
      </c>
      <c r="BE6" s="33" t="n">
        <f aca="false">IF(A6="","",COUNTIFS('Demo Pipeline'!$Q$5:$Q$504,A6,'Demo Pipeline'!$W$5:$W$504,"Attended"))</f>
        <v>0</v>
      </c>
      <c r="BF6" s="33" t="n">
        <f aca="false">IF(A6="","",COUNTIFS('Demo Pipeline'!$Q$5:$Q$504,A6,'Demo Pipeline'!$X$5:$X$504,"Yes"))</f>
        <v>0</v>
      </c>
      <c r="BG6" s="33" t="n">
        <f aca="false">IF(A6="","",COUNTIFS('Demo Pipeline'!$Q$5:$Q$504,A6,'Demo Pipeline'!$Y$5:$Y$504,"Closed Won"))</f>
        <v>0</v>
      </c>
      <c r="BH6" s="37" t="n">
        <f aca="false">IF(A6="","",SUMIFS('Demo Pipeline'!$Z$5:$Z$504,'Demo Pipeline'!$Q$5:$Q$504,A6))</f>
        <v>0</v>
      </c>
      <c r="BI6" s="34" t="str">
        <f aca="false">IF(OR(AZ6="",N(AJ6)=0),"",AZ6/AJ6)</f>
        <v/>
      </c>
      <c r="BJ6" s="34" t="str">
        <f aca="false">IF(OR(BB6="",N(AZ6)=0),"",BB6/AZ6)</f>
        <v/>
      </c>
      <c r="BK6" s="34" t="str">
        <f aca="false">IF(OR(A6="",N(BB6)=0),"",BD6/BB6)</f>
        <v/>
      </c>
      <c r="BL6" s="34" t="str">
        <f aca="false">IF(OR(A6="",N(AZ6)=0),"",BD6/AZ6)</f>
        <v/>
      </c>
      <c r="BM6" s="37" t="str">
        <f aca="false">IF(OR(N(Q6)=0,N(BD6)=0),"",Q6/BD6)</f>
        <v/>
      </c>
      <c r="BN6" s="28" t="s">
        <v>160</v>
      </c>
      <c r="BO6" s="29"/>
      <c r="BP6" s="33" t="str">
        <f aca="false">IF(OR(AR6="",N(AO6)=0),"",AR6)</f>
        <v/>
      </c>
      <c r="BQ6" s="33" t="n">
        <f aca="false">IF(OR(AR6="",N(S6)=0),"",S6)</f>
        <v>2640</v>
      </c>
      <c r="BR6" s="38" t="n">
        <f aca="false">IF(AND(ISNUMBER(B6),B6&gt;=Dashboard!$C$4,B6&lt;=Dashboard!$F$4,ISNUMBER(AU6)),AU6+ROW()/10^9,"")</f>
        <v>0.00606061206060606</v>
      </c>
      <c r="BS6" s="38" t="n">
        <f aca="false">IF(AND(ISNUMBER(B6),B6&gt;=Dashboard!$C$4,B6&lt;=Dashboard!$F$4,A6&lt;&gt;""),N(BD6)+N(AU6)/100+ROW()/10^9,"")</f>
        <v>6.06120606060606E-005</v>
      </c>
    </row>
    <row r="7" customFormat="false" ht="15" hidden="false" customHeight="false" outlineLevel="0" collapsed="false">
      <c r="A7" s="24" t="str">
        <f aca="false">IF(OR(B7="",G7="",H7=""),"",IFERROR(INDEX(Settings!$E$5:$E$49,MATCH(G7,Settings!$D$5:$D$49,0))&amp;INDEX(Settings!$H$5:$H$47,MATCH(H7,Settings!$G$5:$G$47,0))&amp;"-"&amp;TEXT(B7,"yymmdd")&amp;"-"&amp;IF(C7="","0000",TEXT(C7,"hhmm")),"CHECK LISTS"))</f>
        <v>LIC-260918-1242</v>
      </c>
      <c r="B7" s="25" t="n">
        <v>46283</v>
      </c>
      <c r="C7" s="26" t="n">
        <v>0.529166666666667</v>
      </c>
      <c r="D7" s="24" t="str">
        <f aca="false">IF(B7="","",TEXT(B7,"ddd"))</f>
        <v>Fri</v>
      </c>
      <c r="E7" s="27" t="n">
        <f aca="false">IF(B7="","",B7-WEEKDAY(B7,3))</f>
        <v>46279</v>
      </c>
      <c r="F7" s="24" t="str">
        <f aca="false">IF(B7="","",TEXT(B7,"yyyy-mm"))</f>
        <v>2026-09</v>
      </c>
      <c r="G7" s="28" t="s">
        <v>142</v>
      </c>
      <c r="H7" s="28" t="s">
        <v>143</v>
      </c>
      <c r="I7" s="29"/>
      <c r="J7" s="28" t="s">
        <v>161</v>
      </c>
      <c r="K7" s="29"/>
      <c r="L7" s="28" t="s">
        <v>162</v>
      </c>
      <c r="M7" s="28" t="s">
        <v>163</v>
      </c>
      <c r="N7" s="28" t="s">
        <v>164</v>
      </c>
      <c r="O7" s="28" t="s">
        <v>157</v>
      </c>
      <c r="P7" s="28" t="s">
        <v>150</v>
      </c>
      <c r="Q7" s="30"/>
      <c r="R7" s="28" t="s">
        <v>165</v>
      </c>
      <c r="S7" s="31" t="n">
        <v>2640</v>
      </c>
      <c r="T7" s="29"/>
      <c r="U7" s="28" t="s">
        <v>159</v>
      </c>
      <c r="V7" s="24" t="str">
        <f aca="false">IF(A7="","",IFERROR(INDEX(Settings!$F$5:$F$49,MATCH(G7,Settings!$D$5:$D$49,0)),""))</f>
        <v>linkedin</v>
      </c>
      <c r="W7" s="24" t="str">
        <f aca="false">IF(A7="","",IF(OR(P7="",P7="Organic"),"social","paid_social"))</f>
        <v>social</v>
      </c>
      <c r="X7" s="24" t="str">
        <f aca="false">IF(A7="","",IF(K7&lt;&gt;"",IFERROR(INDEX('Case Studies'!$C$5:$C$54,MATCH(K7,'Case Studies'!$B$5:$B$54,0))&amp;"","case-study"),IF(J7&lt;&gt;"",IFERROR(INDEX(Settings!$J$5:$J$55,MATCH(J7,Settings!$I$5:$I$55,0)),"general"),"general")))</f>
        <v>rcm</v>
      </c>
      <c r="Y7" s="24" t="str">
        <f aca="false">IF(A7="","",LOWER(A7))</f>
        <v>lic-260918-1242</v>
      </c>
      <c r="Z7" s="24" t="str">
        <f aca="false">IF(A7="","",IF(T7="",Settings!$B$5,T7)&amp;IF(ISNUMBER(FIND("?",IF(T7="",Settings!$B$5,T7))),"&amp;","?")&amp;"utm_source="&amp;V7&amp;"&amp;utm_medium="&amp;W7&amp;"&amp;utm_campaign="&amp;X7&amp;"&amp;utm_content="&amp;Y7)</f>
        <v>https://www.alphanodus.com/contact?utm_source=linkedin&amp;utm_medium=social&amp;utm_campaign=rcm&amp;utm_content=lic-260918-1242</v>
      </c>
      <c r="AA7" s="29"/>
      <c r="AB7" s="25" t="n">
        <v>46293</v>
      </c>
      <c r="AC7" s="32"/>
      <c r="AD7" s="32"/>
      <c r="AE7" s="32"/>
      <c r="AF7" s="31" t="n">
        <v>5</v>
      </c>
      <c r="AG7" s="31" t="n">
        <v>1</v>
      </c>
      <c r="AH7" s="32"/>
      <c r="AI7" s="32"/>
      <c r="AJ7" s="32"/>
      <c r="AK7" s="32"/>
      <c r="AL7" s="32"/>
      <c r="AM7" s="32"/>
      <c r="AN7" s="32"/>
      <c r="AO7" s="33" t="str">
        <f aca="false">IF(A7="","",IF(AD7&lt;&gt;"",AD7,IF(AC7&lt;&gt;"",AC7,"")))</f>
        <v/>
      </c>
      <c r="AP7" s="24" t="str">
        <f aca="false">IF(AO7="","",IF(AD7&lt;&gt;"","Reported reach","Impressions (proxy)"))</f>
        <v/>
      </c>
      <c r="AQ7" s="34" t="str">
        <f aca="false">IF(OR(AO7="",N(S7)=0),"",AO7/S7)</f>
        <v/>
      </c>
      <c r="AR7" s="33" t="n">
        <f aca="false">IF(A7="","",IF(COUNT(AF7:AJ7)=0,"",SUM(AF7:AJ7)))</f>
        <v>6</v>
      </c>
      <c r="AS7" s="34" t="str">
        <f aca="false">IF(OR(AR7="",N(AO7)=0),"",AR7/AO7)</f>
        <v/>
      </c>
      <c r="AT7" s="34" t="str">
        <f aca="false">IF(OR(AR7="",N(AC7)=0),"",AR7/AC7)</f>
        <v/>
      </c>
      <c r="AU7" s="34" t="n">
        <f aca="false">IF(OR(AR7="",N(S7)=0),"",AR7/S7)</f>
        <v>0.00227272727272727</v>
      </c>
      <c r="AV7" s="34" t="str">
        <f aca="false">IF(OR(AJ7="",N(AC7)=0),"",AJ7/AC7)</f>
        <v/>
      </c>
      <c r="AW7" s="34" t="str">
        <f aca="false">IF(OR(AH7="",N(AO7)=0),"",AH7/AO7)</f>
        <v/>
      </c>
      <c r="AX7" s="35" t="str">
        <f aca="false">IF(OR(AR7="",N(AO7)=0),"",(N(AF7)*Settings!$B$6+N(AG7)*Settings!$B$7+N(AH7)*Settings!$B$8+N(AI7)*Settings!$B$9+N(AJ7)*Settings!$B$10)/AO7*1000)</f>
        <v/>
      </c>
      <c r="AY7" s="36" t="str">
        <f aca="false">IF(AS7="","",IFERROR(AS7/AVERAGEIFS('Post Tracker'!$AS$5:$AS$1004,'Post Tracker'!$G$5:$G$1004,G7),""))</f>
        <v/>
      </c>
      <c r="AZ7" s="32"/>
      <c r="BA7" s="32"/>
      <c r="BB7" s="32"/>
      <c r="BC7" s="32"/>
      <c r="BD7" s="33" t="n">
        <f aca="false">IF(A7="","",COUNTIFS('Demo Pipeline'!$Q$5:$Q$504,A7))</f>
        <v>0</v>
      </c>
      <c r="BE7" s="33" t="n">
        <f aca="false">IF(A7="","",COUNTIFS('Demo Pipeline'!$Q$5:$Q$504,A7,'Demo Pipeline'!$W$5:$W$504,"Attended"))</f>
        <v>0</v>
      </c>
      <c r="BF7" s="33" t="n">
        <f aca="false">IF(A7="","",COUNTIFS('Demo Pipeline'!$Q$5:$Q$504,A7,'Demo Pipeline'!$X$5:$X$504,"Yes"))</f>
        <v>0</v>
      </c>
      <c r="BG7" s="33" t="n">
        <f aca="false">IF(A7="","",COUNTIFS('Demo Pipeline'!$Q$5:$Q$504,A7,'Demo Pipeline'!$Y$5:$Y$504,"Closed Won"))</f>
        <v>0</v>
      </c>
      <c r="BH7" s="37" t="n">
        <f aca="false">IF(A7="","",SUMIFS('Demo Pipeline'!$Z$5:$Z$504,'Demo Pipeline'!$Q$5:$Q$504,A7))</f>
        <v>0</v>
      </c>
      <c r="BI7" s="34" t="str">
        <f aca="false">IF(OR(AZ7="",N(AJ7)=0),"",AZ7/AJ7)</f>
        <v/>
      </c>
      <c r="BJ7" s="34" t="str">
        <f aca="false">IF(OR(BB7="",N(AZ7)=0),"",BB7/AZ7)</f>
        <v/>
      </c>
      <c r="BK7" s="34" t="str">
        <f aca="false">IF(OR(A7="",N(BB7)=0),"",BD7/BB7)</f>
        <v/>
      </c>
      <c r="BL7" s="34" t="str">
        <f aca="false">IF(OR(A7="",N(AZ7)=0),"",BD7/AZ7)</f>
        <v/>
      </c>
      <c r="BM7" s="37" t="str">
        <f aca="false">IF(OR(N(Q7)=0,N(BD7)=0),"",Q7/BD7)</f>
        <v/>
      </c>
      <c r="BN7" s="28" t="s">
        <v>160</v>
      </c>
      <c r="BO7" s="29"/>
      <c r="BP7" s="33" t="str">
        <f aca="false">IF(OR(AR7="",N(AO7)=0),"",AR7)</f>
        <v/>
      </c>
      <c r="BQ7" s="33" t="n">
        <f aca="false">IF(OR(AR7="",N(S7)=0),"",S7)</f>
        <v>2640</v>
      </c>
      <c r="BR7" s="38" t="n">
        <f aca="false">IF(AND(ISNUMBER(B7),B7&gt;=Dashboard!$C$4,B7&lt;=Dashboard!$F$4,ISNUMBER(AU7)),AU7+ROW()/10^9,"")</f>
        <v>0.00227273427272727</v>
      </c>
      <c r="BS7" s="38" t="n">
        <f aca="false">IF(AND(ISNUMBER(B7),B7&gt;=Dashboard!$C$4,B7&lt;=Dashboard!$F$4,A7&lt;&gt;""),N(BD7)+N(AU7)/100+ROW()/10^9,"")</f>
        <v>2.27342727272727E-005</v>
      </c>
    </row>
    <row r="8" customFormat="false" ht="15" hidden="false" customHeight="false" outlineLevel="0" collapsed="false">
      <c r="A8" s="24" t="str">
        <f aca="false">IF(OR(B8="",G8="",H8=""),"",IFERROR(INDEX(Settings!$E$5:$E$49,MATCH(G8,Settings!$D$5:$D$49,0))&amp;INDEX(Settings!$H$5:$H$47,MATCH(H8,Settings!$G$5:$G$47,0))&amp;"-"&amp;TEXT(B8,"yymmdd")&amp;"-"&amp;IF(C8="","0000",TEXT(C8,"hhmm")),"CHECK LISTS"))</f>
        <v>LIC-260923-1906</v>
      </c>
      <c r="B8" s="25" t="n">
        <v>46288</v>
      </c>
      <c r="C8" s="26" t="n">
        <v>0.795833333333333</v>
      </c>
      <c r="D8" s="24" t="str">
        <f aca="false">IF(B8="","",TEXT(B8,"ddd"))</f>
        <v>Wed</v>
      </c>
      <c r="E8" s="27" t="n">
        <f aca="false">IF(B8="","",B8-WEEKDAY(B8,3))</f>
        <v>46286</v>
      </c>
      <c r="F8" s="24" t="str">
        <f aca="false">IF(B8="","",TEXT(B8,"yyyy-mm"))</f>
        <v>2026-09</v>
      </c>
      <c r="G8" s="28" t="s">
        <v>142</v>
      </c>
      <c r="H8" s="28" t="s">
        <v>143</v>
      </c>
      <c r="I8" s="29"/>
      <c r="J8" s="28" t="s">
        <v>161</v>
      </c>
      <c r="K8" s="29"/>
      <c r="L8" s="28" t="s">
        <v>166</v>
      </c>
      <c r="M8" s="28" t="s">
        <v>163</v>
      </c>
      <c r="N8" s="28" t="s">
        <v>164</v>
      </c>
      <c r="O8" s="28" t="s">
        <v>149</v>
      </c>
      <c r="P8" s="28" t="s">
        <v>150</v>
      </c>
      <c r="Q8" s="30"/>
      <c r="R8" s="28" t="s">
        <v>167</v>
      </c>
      <c r="S8" s="31" t="n">
        <v>2640</v>
      </c>
      <c r="T8" s="29"/>
      <c r="U8" s="28" t="s">
        <v>168</v>
      </c>
      <c r="V8" s="24" t="str">
        <f aca="false">IF(A8="","",IFERROR(INDEX(Settings!$F$5:$F$49,MATCH(G8,Settings!$D$5:$D$49,0)),""))</f>
        <v>linkedin</v>
      </c>
      <c r="W8" s="24" t="str">
        <f aca="false">IF(A8="","",IF(OR(P8="",P8="Organic"),"social","paid_social"))</f>
        <v>social</v>
      </c>
      <c r="X8" s="24" t="str">
        <f aca="false">IF(A8="","",IF(K8&lt;&gt;"",IFERROR(INDEX('Case Studies'!$C$5:$C$54,MATCH(K8,'Case Studies'!$B$5:$B$54,0))&amp;"","case-study"),IF(J8&lt;&gt;"",IFERROR(INDEX(Settings!$J$5:$J$55,MATCH(J8,Settings!$I$5:$I$55,0)),"general"),"general")))</f>
        <v>rcm</v>
      </c>
      <c r="Y8" s="24" t="str">
        <f aca="false">IF(A8="","",LOWER(A8))</f>
        <v>lic-260923-1906</v>
      </c>
      <c r="Z8" s="24" t="str">
        <f aca="false">IF(A8="","",IF(T8="",Settings!$B$5,T8)&amp;IF(ISNUMBER(FIND("?",IF(T8="",Settings!$B$5,T8))),"&amp;","?")&amp;"utm_source="&amp;V8&amp;"&amp;utm_medium="&amp;W8&amp;"&amp;utm_campaign="&amp;X8&amp;"&amp;utm_content="&amp;Y8)</f>
        <v>https://www.alphanodus.com/contact?utm_source=linkedin&amp;utm_medium=social&amp;utm_campaign=rcm&amp;utm_content=lic-260923-1906</v>
      </c>
      <c r="AA8" s="29"/>
      <c r="AB8" s="25" t="n">
        <v>46293</v>
      </c>
      <c r="AC8" s="32"/>
      <c r="AD8" s="32"/>
      <c r="AE8" s="32"/>
      <c r="AF8" s="31" t="n">
        <v>4</v>
      </c>
      <c r="AG8" s="31" t="n">
        <v>1</v>
      </c>
      <c r="AH8" s="32"/>
      <c r="AI8" s="32"/>
      <c r="AJ8" s="32"/>
      <c r="AK8" s="32"/>
      <c r="AL8" s="32"/>
      <c r="AM8" s="32"/>
      <c r="AN8" s="32"/>
      <c r="AO8" s="33" t="str">
        <f aca="false">IF(A8="","",IF(AD8&lt;&gt;"",AD8,IF(AC8&lt;&gt;"",AC8,"")))</f>
        <v/>
      </c>
      <c r="AP8" s="24" t="str">
        <f aca="false">IF(AO8="","",IF(AD8&lt;&gt;"","Reported reach","Impressions (proxy)"))</f>
        <v/>
      </c>
      <c r="AQ8" s="34" t="str">
        <f aca="false">IF(OR(AO8="",N(S8)=0),"",AO8/S8)</f>
        <v/>
      </c>
      <c r="AR8" s="33" t="n">
        <f aca="false">IF(A8="","",IF(COUNT(AF8:AJ8)=0,"",SUM(AF8:AJ8)))</f>
        <v>5</v>
      </c>
      <c r="AS8" s="34" t="str">
        <f aca="false">IF(OR(AR8="",N(AO8)=0),"",AR8/AO8)</f>
        <v/>
      </c>
      <c r="AT8" s="34" t="str">
        <f aca="false">IF(OR(AR8="",N(AC8)=0),"",AR8/AC8)</f>
        <v/>
      </c>
      <c r="AU8" s="34" t="n">
        <f aca="false">IF(OR(AR8="",N(S8)=0),"",AR8/S8)</f>
        <v>0.00189393939393939</v>
      </c>
      <c r="AV8" s="34" t="str">
        <f aca="false">IF(OR(AJ8="",N(AC8)=0),"",AJ8/AC8)</f>
        <v/>
      </c>
      <c r="AW8" s="34" t="str">
        <f aca="false">IF(OR(AH8="",N(AO8)=0),"",AH8/AO8)</f>
        <v/>
      </c>
      <c r="AX8" s="35" t="str">
        <f aca="false">IF(OR(AR8="",N(AO8)=0),"",(N(AF8)*Settings!$B$6+N(AG8)*Settings!$B$7+N(AH8)*Settings!$B$8+N(AI8)*Settings!$B$9+N(AJ8)*Settings!$B$10)/AO8*1000)</f>
        <v/>
      </c>
      <c r="AY8" s="36" t="str">
        <f aca="false">IF(AS8="","",IFERROR(AS8/AVERAGEIFS('Post Tracker'!$AS$5:$AS$1004,'Post Tracker'!$G$5:$G$1004,G8),""))</f>
        <v/>
      </c>
      <c r="AZ8" s="32"/>
      <c r="BA8" s="32"/>
      <c r="BB8" s="32"/>
      <c r="BC8" s="32"/>
      <c r="BD8" s="33" t="n">
        <f aca="false">IF(A8="","",COUNTIFS('Demo Pipeline'!$Q$5:$Q$504,A8))</f>
        <v>0</v>
      </c>
      <c r="BE8" s="33" t="n">
        <f aca="false">IF(A8="","",COUNTIFS('Demo Pipeline'!$Q$5:$Q$504,A8,'Demo Pipeline'!$W$5:$W$504,"Attended"))</f>
        <v>0</v>
      </c>
      <c r="BF8" s="33" t="n">
        <f aca="false">IF(A8="","",COUNTIFS('Demo Pipeline'!$Q$5:$Q$504,A8,'Demo Pipeline'!$X$5:$X$504,"Yes"))</f>
        <v>0</v>
      </c>
      <c r="BG8" s="33" t="n">
        <f aca="false">IF(A8="","",COUNTIFS('Demo Pipeline'!$Q$5:$Q$504,A8,'Demo Pipeline'!$Y$5:$Y$504,"Closed Won"))</f>
        <v>0</v>
      </c>
      <c r="BH8" s="37" t="n">
        <f aca="false">IF(A8="","",SUMIFS('Demo Pipeline'!$Z$5:$Z$504,'Demo Pipeline'!$Q$5:$Q$504,A8))</f>
        <v>0</v>
      </c>
      <c r="BI8" s="34" t="str">
        <f aca="false">IF(OR(AZ8="",N(AJ8)=0),"",AZ8/AJ8)</f>
        <v/>
      </c>
      <c r="BJ8" s="34" t="str">
        <f aca="false">IF(OR(BB8="",N(AZ8)=0),"",BB8/AZ8)</f>
        <v/>
      </c>
      <c r="BK8" s="34" t="str">
        <f aca="false">IF(OR(A8="",N(BB8)=0),"",BD8/BB8)</f>
        <v/>
      </c>
      <c r="BL8" s="34" t="str">
        <f aca="false">IF(OR(A8="",N(AZ8)=0),"",BD8/AZ8)</f>
        <v/>
      </c>
      <c r="BM8" s="37" t="str">
        <f aca="false">IF(OR(N(Q8)=0,N(BD8)=0),"",Q8/BD8)</f>
        <v/>
      </c>
      <c r="BN8" s="28" t="s">
        <v>160</v>
      </c>
      <c r="BO8" s="29"/>
      <c r="BP8" s="33" t="str">
        <f aca="false">IF(OR(AR8="",N(AO8)=0),"",AR8)</f>
        <v/>
      </c>
      <c r="BQ8" s="33" t="n">
        <f aca="false">IF(OR(AR8="",N(S8)=0),"",S8)</f>
        <v>2640</v>
      </c>
      <c r="BR8" s="38" t="n">
        <f aca="false">IF(AND(ISNUMBER(B8),B8&gt;=Dashboard!$C$4,B8&lt;=Dashboard!$F$4,ISNUMBER(AU8)),AU8+ROW()/10^9,"")</f>
        <v>0.00189394739393939</v>
      </c>
      <c r="BS8" s="38" t="n">
        <f aca="false">IF(AND(ISNUMBER(B8),B8&gt;=Dashboard!$C$4,B8&lt;=Dashboard!$F$4,A8&lt;&gt;""),N(BD8)+N(AU8)/100+ROW()/10^9,"")</f>
        <v>1.89473939393939E-005</v>
      </c>
    </row>
    <row r="9" customFormat="false" ht="15" hidden="false" customHeight="false" outlineLevel="0" collapsed="false">
      <c r="A9" s="24" t="str">
        <f aca="false">IF(OR(B9="",G9="",H9=""),"",IFERROR(INDEX(Settings!$E$5:$E$49,MATCH(G9,Settings!$D$5:$D$49,0))&amp;INDEX(Settings!$H$5:$H$47,MATCH(H9,Settings!$G$5:$G$47,0))&amp;"-"&amp;TEXT(B9,"yymmdd")&amp;"-"&amp;IF(C9="","0000",TEXT(C9,"hhmm")),"CHECK LISTS"))</f>
        <v>LIC-260928-1416</v>
      </c>
      <c r="B9" s="25" t="n">
        <v>46293</v>
      </c>
      <c r="C9" s="26" t="n">
        <v>0.594444444444444</v>
      </c>
      <c r="D9" s="24" t="str">
        <f aca="false">IF(B9="","",TEXT(B9,"ddd"))</f>
        <v>Mon</v>
      </c>
      <c r="E9" s="27" t="n">
        <f aca="false">IF(B9="","",B9-WEEKDAY(B9,3))</f>
        <v>46293</v>
      </c>
      <c r="F9" s="24" t="str">
        <f aca="false">IF(B9="","",TEXT(B9,"yyyy-mm"))</f>
        <v>2026-09</v>
      </c>
      <c r="G9" s="28" t="s">
        <v>142</v>
      </c>
      <c r="H9" s="28" t="s">
        <v>143</v>
      </c>
      <c r="I9" s="28" t="s">
        <v>169</v>
      </c>
      <c r="J9" s="28" t="s">
        <v>170</v>
      </c>
      <c r="K9" s="29"/>
      <c r="L9" s="28" t="s">
        <v>171</v>
      </c>
      <c r="M9" s="28" t="s">
        <v>147</v>
      </c>
      <c r="N9" s="28" t="s">
        <v>148</v>
      </c>
      <c r="O9" s="28" t="s">
        <v>157</v>
      </c>
      <c r="P9" s="28" t="s">
        <v>150</v>
      </c>
      <c r="Q9" s="30"/>
      <c r="R9" s="28" t="s">
        <v>172</v>
      </c>
      <c r="S9" s="31" t="n">
        <v>2640</v>
      </c>
      <c r="T9" s="29"/>
      <c r="U9" s="28" t="s">
        <v>159</v>
      </c>
      <c r="V9" s="24" t="str">
        <f aca="false">IF(A9="","",IFERROR(INDEX(Settings!$F$5:$F$49,MATCH(G9,Settings!$D$5:$D$49,0)),""))</f>
        <v>linkedin</v>
      </c>
      <c r="W9" s="24" t="str">
        <f aca="false">IF(A9="","",IF(OR(P9="",P9="Organic"),"social","paid_social"))</f>
        <v>social</v>
      </c>
      <c r="X9" s="24" t="str">
        <f aca="false">IF(A9="","",IF(K9&lt;&gt;"",IFERROR(INDEX('Case Studies'!$C$5:$C$54,MATCH(K9,'Case Studies'!$B$5:$B$54,0))&amp;"","case-study"),IF(J9&lt;&gt;"",IFERROR(INDEX(Settings!$J$5:$J$55,MATCH(J9,Settings!$I$5:$I$55,0)),"general"),"general")))</f>
        <v>insight</v>
      </c>
      <c r="Y9" s="24" t="str">
        <f aca="false">IF(A9="","",LOWER(A9))</f>
        <v>lic-260928-1416</v>
      </c>
      <c r="Z9" s="24" t="str">
        <f aca="false">IF(A9="","",IF(T9="",Settings!$B$5,T9)&amp;IF(ISNUMBER(FIND("?",IF(T9="",Settings!$B$5,T9))),"&amp;","?")&amp;"utm_source="&amp;V9&amp;"&amp;utm_medium="&amp;W9&amp;"&amp;utm_campaign="&amp;X9&amp;"&amp;utm_content="&amp;Y9)</f>
        <v>https://www.alphanodus.com/contact?utm_source=linkedin&amp;utm_medium=social&amp;utm_campaign=insight&amp;utm_content=lic-260928-1416</v>
      </c>
      <c r="AA9" s="29"/>
      <c r="AB9" s="25" t="n">
        <v>46293</v>
      </c>
      <c r="AC9" s="32"/>
      <c r="AD9" s="32"/>
      <c r="AE9" s="32"/>
      <c r="AF9" s="31" t="n">
        <v>1</v>
      </c>
      <c r="AG9" s="31" t="n">
        <v>1</v>
      </c>
      <c r="AH9" s="32"/>
      <c r="AI9" s="32"/>
      <c r="AJ9" s="32"/>
      <c r="AK9" s="32"/>
      <c r="AL9" s="32"/>
      <c r="AM9" s="32"/>
      <c r="AN9" s="32"/>
      <c r="AO9" s="33" t="str">
        <f aca="false">IF(A9="","",IF(AD9&lt;&gt;"",AD9,IF(AC9&lt;&gt;"",AC9,"")))</f>
        <v/>
      </c>
      <c r="AP9" s="24" t="str">
        <f aca="false">IF(AO9="","",IF(AD9&lt;&gt;"","Reported reach","Impressions (proxy)"))</f>
        <v/>
      </c>
      <c r="AQ9" s="34" t="str">
        <f aca="false">IF(OR(AO9="",N(S9)=0),"",AO9/S9)</f>
        <v/>
      </c>
      <c r="AR9" s="33" t="n">
        <f aca="false">IF(A9="","",IF(COUNT(AF9:AJ9)=0,"",SUM(AF9:AJ9)))</f>
        <v>2</v>
      </c>
      <c r="AS9" s="34" t="str">
        <f aca="false">IF(OR(AR9="",N(AO9)=0),"",AR9/AO9)</f>
        <v/>
      </c>
      <c r="AT9" s="34" t="str">
        <f aca="false">IF(OR(AR9="",N(AC9)=0),"",AR9/AC9)</f>
        <v/>
      </c>
      <c r="AU9" s="34" t="n">
        <f aca="false">IF(OR(AR9="",N(S9)=0),"",AR9/S9)</f>
        <v>0.000757575757575758</v>
      </c>
      <c r="AV9" s="34" t="str">
        <f aca="false">IF(OR(AJ9="",N(AC9)=0),"",AJ9/AC9)</f>
        <v/>
      </c>
      <c r="AW9" s="34" t="str">
        <f aca="false">IF(OR(AH9="",N(AO9)=0),"",AH9/AO9)</f>
        <v/>
      </c>
      <c r="AX9" s="35" t="str">
        <f aca="false">IF(OR(AR9="",N(AO9)=0),"",(N(AF9)*Settings!$B$6+N(AG9)*Settings!$B$7+N(AH9)*Settings!$B$8+N(AI9)*Settings!$B$9+N(AJ9)*Settings!$B$10)/AO9*1000)</f>
        <v/>
      </c>
      <c r="AY9" s="36" t="str">
        <f aca="false">IF(AS9="","",IFERROR(AS9/AVERAGEIFS('Post Tracker'!$AS$5:$AS$1004,'Post Tracker'!$G$5:$G$1004,G9),""))</f>
        <v/>
      </c>
      <c r="AZ9" s="32"/>
      <c r="BA9" s="32"/>
      <c r="BB9" s="32"/>
      <c r="BC9" s="32"/>
      <c r="BD9" s="33" t="n">
        <f aca="false">IF(A9="","",COUNTIFS('Demo Pipeline'!$Q$5:$Q$504,A9))</f>
        <v>0</v>
      </c>
      <c r="BE9" s="33" t="n">
        <f aca="false">IF(A9="","",COUNTIFS('Demo Pipeline'!$Q$5:$Q$504,A9,'Demo Pipeline'!$W$5:$W$504,"Attended"))</f>
        <v>0</v>
      </c>
      <c r="BF9" s="33" t="n">
        <f aca="false">IF(A9="","",COUNTIFS('Demo Pipeline'!$Q$5:$Q$504,A9,'Demo Pipeline'!$X$5:$X$504,"Yes"))</f>
        <v>0</v>
      </c>
      <c r="BG9" s="33" t="n">
        <f aca="false">IF(A9="","",COUNTIFS('Demo Pipeline'!$Q$5:$Q$504,A9,'Demo Pipeline'!$Y$5:$Y$504,"Closed Won"))</f>
        <v>0</v>
      </c>
      <c r="BH9" s="37" t="n">
        <f aca="false">IF(A9="","",SUMIFS('Demo Pipeline'!$Z$5:$Z$504,'Demo Pipeline'!$Q$5:$Q$504,A9))</f>
        <v>0</v>
      </c>
      <c r="BI9" s="34" t="str">
        <f aca="false">IF(OR(AZ9="",N(AJ9)=0),"",AZ9/AJ9)</f>
        <v/>
      </c>
      <c r="BJ9" s="34" t="str">
        <f aca="false">IF(OR(BB9="",N(AZ9)=0),"",BB9/AZ9)</f>
        <v/>
      </c>
      <c r="BK9" s="34" t="str">
        <f aca="false">IF(OR(A9="",N(BB9)=0),"",BD9/BB9)</f>
        <v/>
      </c>
      <c r="BL9" s="34" t="str">
        <f aca="false">IF(OR(A9="",N(AZ9)=0),"",BD9/AZ9)</f>
        <v/>
      </c>
      <c r="BM9" s="37" t="str">
        <f aca="false">IF(OR(N(Q9)=0,N(BD9)=0),"",Q9/BD9)</f>
        <v/>
      </c>
      <c r="BN9" s="28" t="s">
        <v>173</v>
      </c>
      <c r="BO9" s="29"/>
      <c r="BP9" s="33" t="str">
        <f aca="false">IF(OR(AR9="",N(AO9)=0),"",AR9)</f>
        <v/>
      </c>
      <c r="BQ9" s="33" t="n">
        <f aca="false">IF(OR(AR9="",N(S9)=0),"",S9)</f>
        <v>2640</v>
      </c>
      <c r="BR9" s="38" t="n">
        <f aca="false">IF(AND(ISNUMBER(B9),B9&gt;=Dashboard!$C$4,B9&lt;=Dashboard!$F$4,ISNUMBER(AU9)),AU9+ROW()/10^9,"")</f>
        <v>0.000757584757575758</v>
      </c>
      <c r="BS9" s="38" t="n">
        <f aca="false">IF(AND(ISNUMBER(B9),B9&gt;=Dashboard!$C$4,B9&lt;=Dashboard!$F$4,A9&lt;&gt;""),N(BD9)+N(AU9)/100+ROW()/10^9,"")</f>
        <v>7.58475757575758E-006</v>
      </c>
    </row>
    <row r="10" customFormat="false" ht="15" hidden="false" customHeight="false" outlineLevel="0" collapsed="false">
      <c r="A10" s="24" t="str">
        <f aca="false">IF(OR(B10="",G10="",H10=""),"",IFERROR(INDEX(Settings!$E$5:$E$49,MATCH(G10,Settings!$D$5:$D$49,0))&amp;INDEX(Settings!$H$5:$H$47,MATCH(H10,Settings!$G$5:$G$47,0))&amp;"-"&amp;TEXT(B10,"yymmdd")&amp;"-"&amp;IF(C10="","0000",TEXT(C10,"hhmm")),"CHECK LISTS"))</f>
        <v>IGC-260911-1147</v>
      </c>
      <c r="B10" s="25" t="n">
        <v>46276</v>
      </c>
      <c r="C10" s="26" t="n">
        <v>0.490972222222222</v>
      </c>
      <c r="D10" s="24" t="str">
        <f aca="false">IF(B10="","",TEXT(B10,"ddd"))</f>
        <v>Fri</v>
      </c>
      <c r="E10" s="27" t="n">
        <f aca="false">IF(B10="","",B10-WEEKDAY(B10,3))</f>
        <v>46272</v>
      </c>
      <c r="F10" s="24" t="str">
        <f aca="false">IF(B10="","",TEXT(B10,"yyyy-mm"))</f>
        <v>2026-09</v>
      </c>
      <c r="G10" s="28" t="s">
        <v>174</v>
      </c>
      <c r="H10" s="28" t="s">
        <v>143</v>
      </c>
      <c r="I10" s="28" t="s">
        <v>175</v>
      </c>
      <c r="J10" s="28" t="s">
        <v>145</v>
      </c>
      <c r="K10" s="29"/>
      <c r="L10" s="28" t="s">
        <v>146</v>
      </c>
      <c r="M10" s="28" t="s">
        <v>147</v>
      </c>
      <c r="N10" s="28" t="s">
        <v>148</v>
      </c>
      <c r="O10" s="28" t="s">
        <v>149</v>
      </c>
      <c r="P10" s="28" t="s">
        <v>150</v>
      </c>
      <c r="Q10" s="30"/>
      <c r="R10" s="28" t="s">
        <v>176</v>
      </c>
      <c r="S10" s="31" t="n">
        <v>61</v>
      </c>
      <c r="T10" s="29"/>
      <c r="U10" s="28" t="s">
        <v>177</v>
      </c>
      <c r="V10" s="24" t="str">
        <f aca="false">IF(A10="","",IFERROR(INDEX(Settings!$F$5:$F$49,MATCH(G10,Settings!$D$5:$D$49,0)),""))</f>
        <v>instagram</v>
      </c>
      <c r="W10" s="24" t="str">
        <f aca="false">IF(A10="","",IF(OR(P10="",P10="Organic"),"social","paid_social"))</f>
        <v>social</v>
      </c>
      <c r="X10" s="24" t="str">
        <f aca="false">IF(A10="","",IF(K10&lt;&gt;"",IFERROR(INDEX('Case Studies'!$C$5:$C$54,MATCH(K10,'Case Studies'!$B$5:$B$54,0))&amp;"","case-study"),IF(J10&lt;&gt;"",IFERROR(INDEX(Settings!$J$5:$J$55,MATCH(J10,Settings!$I$5:$I$55,0)),"general"),"general")))</f>
        <v>product</v>
      </c>
      <c r="Y10" s="24" t="str">
        <f aca="false">IF(A10="","",LOWER(A10))</f>
        <v>igc-260911-1147</v>
      </c>
      <c r="Z10" s="24" t="str">
        <f aca="false">IF(A10="","",IF(T10="",Settings!$B$5,T10)&amp;IF(ISNUMBER(FIND("?",IF(T10="",Settings!$B$5,T10))),"&amp;","?")&amp;"utm_source="&amp;V10&amp;"&amp;utm_medium="&amp;W10&amp;"&amp;utm_campaign="&amp;X10&amp;"&amp;utm_content="&amp;Y10)</f>
        <v>https://www.alphanodus.com/contact?utm_source=instagram&amp;utm_medium=social&amp;utm_campaign=product&amp;utm_content=igc-260911-1147</v>
      </c>
      <c r="AA10" s="29"/>
      <c r="AB10" s="25" t="n">
        <v>46293</v>
      </c>
      <c r="AC10" s="32"/>
      <c r="AD10" s="32"/>
      <c r="AE10" s="32"/>
      <c r="AF10" s="31" t="n">
        <v>7</v>
      </c>
      <c r="AG10" s="31" t="n">
        <v>0</v>
      </c>
      <c r="AH10" s="32"/>
      <c r="AI10" s="32"/>
      <c r="AJ10" s="32"/>
      <c r="AK10" s="32"/>
      <c r="AL10" s="32"/>
      <c r="AM10" s="32"/>
      <c r="AN10" s="32"/>
      <c r="AO10" s="33" t="str">
        <f aca="false">IF(A10="","",IF(AD10&lt;&gt;"",AD10,IF(AC10&lt;&gt;"",AC10,"")))</f>
        <v/>
      </c>
      <c r="AP10" s="24" t="str">
        <f aca="false">IF(AO10="","",IF(AD10&lt;&gt;"","Reported reach","Impressions (proxy)"))</f>
        <v/>
      </c>
      <c r="AQ10" s="34" t="str">
        <f aca="false">IF(OR(AO10="",N(S10)=0),"",AO10/S10)</f>
        <v/>
      </c>
      <c r="AR10" s="33" t="n">
        <f aca="false">IF(A10="","",IF(COUNT(AF10:AJ10)=0,"",SUM(AF10:AJ10)))</f>
        <v>7</v>
      </c>
      <c r="AS10" s="34" t="str">
        <f aca="false">IF(OR(AR10="",N(AO10)=0),"",AR10/AO10)</f>
        <v/>
      </c>
      <c r="AT10" s="34" t="str">
        <f aca="false">IF(OR(AR10="",N(AC10)=0),"",AR10/AC10)</f>
        <v/>
      </c>
      <c r="AU10" s="34" t="n">
        <f aca="false">IF(OR(AR10="",N(S10)=0),"",AR10/S10)</f>
        <v>0.114754098360656</v>
      </c>
      <c r="AV10" s="34" t="str">
        <f aca="false">IF(OR(AJ10="",N(AC10)=0),"",AJ10/AC10)</f>
        <v/>
      </c>
      <c r="AW10" s="34" t="str">
        <f aca="false">IF(OR(AH10="",N(AO10)=0),"",AH10/AO10)</f>
        <v/>
      </c>
      <c r="AX10" s="35" t="str">
        <f aca="false">IF(OR(AR10="",N(AO10)=0),"",(N(AF10)*Settings!$B$6+N(AG10)*Settings!$B$7+N(AH10)*Settings!$B$8+N(AI10)*Settings!$B$9+N(AJ10)*Settings!$B$10)/AO10*1000)</f>
        <v/>
      </c>
      <c r="AY10" s="36" t="str">
        <f aca="false">IF(AS10="","",IFERROR(AS10/AVERAGEIFS('Post Tracker'!$AS$5:$AS$1004,'Post Tracker'!$G$5:$G$1004,G10),""))</f>
        <v/>
      </c>
      <c r="AZ10" s="32"/>
      <c r="BA10" s="32"/>
      <c r="BB10" s="32"/>
      <c r="BC10" s="32"/>
      <c r="BD10" s="33" t="n">
        <f aca="false">IF(A10="","",COUNTIFS('Demo Pipeline'!$Q$5:$Q$504,A10))</f>
        <v>0</v>
      </c>
      <c r="BE10" s="33" t="n">
        <f aca="false">IF(A10="","",COUNTIFS('Demo Pipeline'!$Q$5:$Q$504,A10,'Demo Pipeline'!$W$5:$W$504,"Attended"))</f>
        <v>0</v>
      </c>
      <c r="BF10" s="33" t="n">
        <f aca="false">IF(A10="","",COUNTIFS('Demo Pipeline'!$Q$5:$Q$504,A10,'Demo Pipeline'!$X$5:$X$504,"Yes"))</f>
        <v>0</v>
      </c>
      <c r="BG10" s="33" t="n">
        <f aca="false">IF(A10="","",COUNTIFS('Demo Pipeline'!$Q$5:$Q$504,A10,'Demo Pipeline'!$Y$5:$Y$504,"Closed Won"))</f>
        <v>0</v>
      </c>
      <c r="BH10" s="37" t="n">
        <f aca="false">IF(A10="","",SUMIFS('Demo Pipeline'!$Z$5:$Z$504,'Demo Pipeline'!$Q$5:$Q$504,A10))</f>
        <v>0</v>
      </c>
      <c r="BI10" s="34" t="str">
        <f aca="false">IF(OR(AZ10="",N(AJ10)=0),"",AZ10/AJ10)</f>
        <v/>
      </c>
      <c r="BJ10" s="34" t="str">
        <f aca="false">IF(OR(BB10="",N(AZ10)=0),"",BB10/AZ10)</f>
        <v/>
      </c>
      <c r="BK10" s="34" t="str">
        <f aca="false">IF(OR(A10="",N(BB10)=0),"",BD10/BB10)</f>
        <v/>
      </c>
      <c r="BL10" s="34" t="str">
        <f aca="false">IF(OR(A10="",N(AZ10)=0),"",BD10/AZ10)</f>
        <v/>
      </c>
      <c r="BM10" s="37" t="str">
        <f aca="false">IF(OR(N(Q10)=0,N(BD10)=0),"",Q10/BD10)</f>
        <v/>
      </c>
      <c r="BN10" s="28" t="s">
        <v>178</v>
      </c>
      <c r="BO10" s="29"/>
      <c r="BP10" s="33" t="str">
        <f aca="false">IF(OR(AR10="",N(AO10)=0),"",AR10)</f>
        <v/>
      </c>
      <c r="BQ10" s="33" t="n">
        <f aca="false">IF(OR(AR10="",N(S10)=0),"",S10)</f>
        <v>61</v>
      </c>
      <c r="BR10" s="38" t="n">
        <f aca="false">IF(AND(ISNUMBER(B10),B10&gt;=Dashboard!$C$4,B10&lt;=Dashboard!$F$4,ISNUMBER(AU10)),AU10+ROW()/10^9,"")</f>
        <v>0.114754108360656</v>
      </c>
      <c r="BS10" s="38" t="n">
        <f aca="false">IF(AND(ISNUMBER(B10),B10&gt;=Dashboard!$C$4,B10&lt;=Dashboard!$F$4,A10&lt;&gt;""),N(BD10)+N(AU10)/100+ROW()/10^9,"")</f>
        <v>0.00114755098360656</v>
      </c>
    </row>
    <row r="11" customFormat="false" ht="15" hidden="false" customHeight="false" outlineLevel="0" collapsed="false">
      <c r="A11" s="24" t="str">
        <f aca="false">IF(OR(B11="",G11="",H11=""),"",IFERROR(INDEX(Settings!$E$5:$E$49,MATCH(G11,Settings!$D$5:$D$49,0))&amp;INDEX(Settings!$H$5:$H$47,MATCH(H11,Settings!$G$5:$G$47,0))&amp;"-"&amp;TEXT(B11,"yymmdd")&amp;"-"&amp;IF(C11="","0000",TEXT(C11,"hhmm")),"CHECK LISTS"))</f>
        <v>IGC-260914-1301</v>
      </c>
      <c r="B11" s="25" t="n">
        <v>46279</v>
      </c>
      <c r="C11" s="26" t="n">
        <v>0.542361111111111</v>
      </c>
      <c r="D11" s="24" t="str">
        <f aca="false">IF(B11="","",TEXT(B11,"ddd"))</f>
        <v>Mon</v>
      </c>
      <c r="E11" s="27" t="n">
        <f aca="false">IF(B11="","",B11-WEEKDAY(B11,3))</f>
        <v>46279</v>
      </c>
      <c r="F11" s="24" t="str">
        <f aca="false">IF(B11="","",TEXT(B11,"yyyy-mm"))</f>
        <v>2026-09</v>
      </c>
      <c r="G11" s="28" t="s">
        <v>174</v>
      </c>
      <c r="H11" s="28" t="s">
        <v>143</v>
      </c>
      <c r="I11" s="28" t="s">
        <v>179</v>
      </c>
      <c r="J11" s="28" t="s">
        <v>154</v>
      </c>
      <c r="K11" s="29"/>
      <c r="L11" s="28" t="s">
        <v>155</v>
      </c>
      <c r="M11" s="28" t="s">
        <v>156</v>
      </c>
      <c r="N11" s="28" t="s">
        <v>148</v>
      </c>
      <c r="O11" s="28" t="s">
        <v>157</v>
      </c>
      <c r="P11" s="28" t="s">
        <v>150</v>
      </c>
      <c r="Q11" s="30"/>
      <c r="R11" s="28" t="s">
        <v>180</v>
      </c>
      <c r="S11" s="31" t="n">
        <v>61</v>
      </c>
      <c r="T11" s="29"/>
      <c r="U11" s="28" t="s">
        <v>159</v>
      </c>
      <c r="V11" s="24" t="str">
        <f aca="false">IF(A11="","",IFERROR(INDEX(Settings!$F$5:$F$49,MATCH(G11,Settings!$D$5:$D$49,0)),""))</f>
        <v>instagram</v>
      </c>
      <c r="W11" s="24" t="str">
        <f aca="false">IF(A11="","",IF(OR(P11="",P11="Organic"),"social","paid_social"))</f>
        <v>social</v>
      </c>
      <c r="X11" s="24" t="str">
        <f aca="false">IF(A11="","",IF(K11&lt;&gt;"",IFERROR(INDEX('Case Studies'!$C$5:$C$54,MATCH(K11,'Case Studies'!$B$5:$B$54,0))&amp;"","case-study"),IF(J11&lt;&gt;"",IFERROR(INDEX(Settings!$J$5:$J$55,MATCH(J11,Settings!$I$5:$I$55,0)),"general"),"general")))</f>
        <v>ops-tips</v>
      </c>
      <c r="Y11" s="24" t="str">
        <f aca="false">IF(A11="","",LOWER(A11))</f>
        <v>igc-260914-1301</v>
      </c>
      <c r="Z11" s="24" t="str">
        <f aca="false">IF(A11="","",IF(T11="",Settings!$B$5,T11)&amp;IF(ISNUMBER(FIND("?",IF(T11="",Settings!$B$5,T11))),"&amp;","?")&amp;"utm_source="&amp;V11&amp;"&amp;utm_medium="&amp;W11&amp;"&amp;utm_campaign="&amp;X11&amp;"&amp;utm_content="&amp;Y11)</f>
        <v>https://www.alphanodus.com/contact?utm_source=instagram&amp;utm_medium=social&amp;utm_campaign=ops-tips&amp;utm_content=igc-260914-1301</v>
      </c>
      <c r="AA11" s="29"/>
      <c r="AB11" s="25" t="n">
        <v>46293</v>
      </c>
      <c r="AC11" s="32"/>
      <c r="AD11" s="32"/>
      <c r="AE11" s="32"/>
      <c r="AF11" s="31" t="n">
        <v>8</v>
      </c>
      <c r="AG11" s="31" t="n">
        <v>0</v>
      </c>
      <c r="AH11" s="32"/>
      <c r="AI11" s="32"/>
      <c r="AJ11" s="32"/>
      <c r="AK11" s="32"/>
      <c r="AL11" s="32"/>
      <c r="AM11" s="32"/>
      <c r="AN11" s="32"/>
      <c r="AO11" s="33" t="str">
        <f aca="false">IF(A11="","",IF(AD11&lt;&gt;"",AD11,IF(AC11&lt;&gt;"",AC11,"")))</f>
        <v/>
      </c>
      <c r="AP11" s="24" t="str">
        <f aca="false">IF(AO11="","",IF(AD11&lt;&gt;"","Reported reach","Impressions (proxy)"))</f>
        <v/>
      </c>
      <c r="AQ11" s="34" t="str">
        <f aca="false">IF(OR(AO11="",N(S11)=0),"",AO11/S11)</f>
        <v/>
      </c>
      <c r="AR11" s="33" t="n">
        <f aca="false">IF(A11="","",IF(COUNT(AF11:AJ11)=0,"",SUM(AF11:AJ11)))</f>
        <v>8</v>
      </c>
      <c r="AS11" s="34" t="str">
        <f aca="false">IF(OR(AR11="",N(AO11)=0),"",AR11/AO11)</f>
        <v/>
      </c>
      <c r="AT11" s="34" t="str">
        <f aca="false">IF(OR(AR11="",N(AC11)=0),"",AR11/AC11)</f>
        <v/>
      </c>
      <c r="AU11" s="34" t="n">
        <f aca="false">IF(OR(AR11="",N(S11)=0),"",AR11/S11)</f>
        <v>0.131147540983607</v>
      </c>
      <c r="AV11" s="34" t="str">
        <f aca="false">IF(OR(AJ11="",N(AC11)=0),"",AJ11/AC11)</f>
        <v/>
      </c>
      <c r="AW11" s="34" t="str">
        <f aca="false">IF(OR(AH11="",N(AO11)=0),"",AH11/AO11)</f>
        <v/>
      </c>
      <c r="AX11" s="35" t="str">
        <f aca="false">IF(OR(AR11="",N(AO11)=0),"",(N(AF11)*Settings!$B$6+N(AG11)*Settings!$B$7+N(AH11)*Settings!$B$8+N(AI11)*Settings!$B$9+N(AJ11)*Settings!$B$10)/AO11*1000)</f>
        <v/>
      </c>
      <c r="AY11" s="36" t="str">
        <f aca="false">IF(AS11="","",IFERROR(AS11/AVERAGEIFS('Post Tracker'!$AS$5:$AS$1004,'Post Tracker'!$G$5:$G$1004,G11),""))</f>
        <v/>
      </c>
      <c r="AZ11" s="32"/>
      <c r="BA11" s="32"/>
      <c r="BB11" s="32"/>
      <c r="BC11" s="32"/>
      <c r="BD11" s="33" t="n">
        <f aca="false">IF(A11="","",COUNTIFS('Demo Pipeline'!$Q$5:$Q$504,A11))</f>
        <v>0</v>
      </c>
      <c r="BE11" s="33" t="n">
        <f aca="false">IF(A11="","",COUNTIFS('Demo Pipeline'!$Q$5:$Q$504,A11,'Demo Pipeline'!$W$5:$W$504,"Attended"))</f>
        <v>0</v>
      </c>
      <c r="BF11" s="33" t="n">
        <f aca="false">IF(A11="","",COUNTIFS('Demo Pipeline'!$Q$5:$Q$504,A11,'Demo Pipeline'!$X$5:$X$504,"Yes"))</f>
        <v>0</v>
      </c>
      <c r="BG11" s="33" t="n">
        <f aca="false">IF(A11="","",COUNTIFS('Demo Pipeline'!$Q$5:$Q$504,A11,'Demo Pipeline'!$Y$5:$Y$504,"Closed Won"))</f>
        <v>0</v>
      </c>
      <c r="BH11" s="37" t="n">
        <f aca="false">IF(A11="","",SUMIFS('Demo Pipeline'!$Z$5:$Z$504,'Demo Pipeline'!$Q$5:$Q$504,A11))</f>
        <v>0</v>
      </c>
      <c r="BI11" s="34" t="str">
        <f aca="false">IF(OR(AZ11="",N(AJ11)=0),"",AZ11/AJ11)</f>
        <v/>
      </c>
      <c r="BJ11" s="34" t="str">
        <f aca="false">IF(OR(BB11="",N(AZ11)=0),"",BB11/AZ11)</f>
        <v/>
      </c>
      <c r="BK11" s="34" t="str">
        <f aca="false">IF(OR(A11="",N(BB11)=0),"",BD11/BB11)</f>
        <v/>
      </c>
      <c r="BL11" s="34" t="str">
        <f aca="false">IF(OR(A11="",N(AZ11)=0),"",BD11/AZ11)</f>
        <v/>
      </c>
      <c r="BM11" s="37" t="str">
        <f aca="false">IF(OR(N(Q11)=0,N(BD11)=0),"",Q11/BD11)</f>
        <v/>
      </c>
      <c r="BN11" s="28" t="s">
        <v>178</v>
      </c>
      <c r="BO11" s="29"/>
      <c r="BP11" s="33" t="str">
        <f aca="false">IF(OR(AR11="",N(AO11)=0),"",AR11)</f>
        <v/>
      </c>
      <c r="BQ11" s="33" t="n">
        <f aca="false">IF(OR(AR11="",N(S11)=0),"",S11)</f>
        <v>61</v>
      </c>
      <c r="BR11" s="38" t="n">
        <f aca="false">IF(AND(ISNUMBER(B11),B11&gt;=Dashboard!$C$4,B11&lt;=Dashboard!$F$4,ISNUMBER(AU11)),AU11+ROW()/10^9,"")</f>
        <v>0.131147551983607</v>
      </c>
      <c r="BS11" s="38" t="n">
        <f aca="false">IF(AND(ISNUMBER(B11),B11&gt;=Dashboard!$C$4,B11&lt;=Dashboard!$F$4,A11&lt;&gt;""),N(BD11)+N(AU11)/100+ROW()/10^9,"")</f>
        <v>0.00131148640983607</v>
      </c>
    </row>
    <row r="12" customFormat="false" ht="15" hidden="false" customHeight="false" outlineLevel="0" collapsed="false">
      <c r="A12" s="24" t="str">
        <f aca="false">IF(OR(B12="",G12="",H12=""),"",IFERROR(INDEX(Settings!$E$5:$E$49,MATCH(G12,Settings!$D$5:$D$49,0))&amp;INDEX(Settings!$H$5:$H$47,MATCH(H12,Settings!$G$5:$G$47,0))&amp;"-"&amp;TEXT(B12,"yymmdd")&amp;"-"&amp;IF(C12="","0000",TEXT(C12,"hhmm")),"CHECK LISTS"))</f>
        <v>IGC-260918-1418</v>
      </c>
      <c r="B12" s="25" t="n">
        <v>46283</v>
      </c>
      <c r="C12" s="26" t="n">
        <v>0.595833333333333</v>
      </c>
      <c r="D12" s="24" t="str">
        <f aca="false">IF(B12="","",TEXT(B12,"ddd"))</f>
        <v>Fri</v>
      </c>
      <c r="E12" s="27" t="n">
        <f aca="false">IF(B12="","",B12-WEEKDAY(B12,3))</f>
        <v>46279</v>
      </c>
      <c r="F12" s="24" t="str">
        <f aca="false">IF(B12="","",TEXT(B12,"yyyy-mm"))</f>
        <v>2026-09</v>
      </c>
      <c r="G12" s="28" t="s">
        <v>174</v>
      </c>
      <c r="H12" s="28" t="s">
        <v>143</v>
      </c>
      <c r="I12" s="28" t="s">
        <v>181</v>
      </c>
      <c r="J12" s="28" t="s">
        <v>161</v>
      </c>
      <c r="K12" s="29"/>
      <c r="L12" s="28" t="s">
        <v>162</v>
      </c>
      <c r="M12" s="28" t="s">
        <v>163</v>
      </c>
      <c r="N12" s="28" t="s">
        <v>164</v>
      </c>
      <c r="O12" s="28" t="s">
        <v>157</v>
      </c>
      <c r="P12" s="28" t="s">
        <v>150</v>
      </c>
      <c r="Q12" s="30"/>
      <c r="R12" s="28" t="s">
        <v>182</v>
      </c>
      <c r="S12" s="31" t="n">
        <v>61</v>
      </c>
      <c r="T12" s="29"/>
      <c r="U12" s="28" t="s">
        <v>159</v>
      </c>
      <c r="V12" s="24" t="str">
        <f aca="false">IF(A12="","",IFERROR(INDEX(Settings!$F$5:$F$49,MATCH(G12,Settings!$D$5:$D$49,0)),""))</f>
        <v>instagram</v>
      </c>
      <c r="W12" s="24" t="str">
        <f aca="false">IF(A12="","",IF(OR(P12="",P12="Organic"),"social","paid_social"))</f>
        <v>social</v>
      </c>
      <c r="X12" s="24" t="str">
        <f aca="false">IF(A12="","",IF(K12&lt;&gt;"",IFERROR(INDEX('Case Studies'!$C$5:$C$54,MATCH(K12,'Case Studies'!$B$5:$B$54,0))&amp;"","case-study"),IF(J12&lt;&gt;"",IFERROR(INDEX(Settings!$J$5:$J$55,MATCH(J12,Settings!$I$5:$I$55,0)),"general"),"general")))</f>
        <v>rcm</v>
      </c>
      <c r="Y12" s="24" t="str">
        <f aca="false">IF(A12="","",LOWER(A12))</f>
        <v>igc-260918-1418</v>
      </c>
      <c r="Z12" s="24" t="str">
        <f aca="false">IF(A12="","",IF(T12="",Settings!$B$5,T12)&amp;IF(ISNUMBER(FIND("?",IF(T12="",Settings!$B$5,T12))),"&amp;","?")&amp;"utm_source="&amp;V12&amp;"&amp;utm_medium="&amp;W12&amp;"&amp;utm_campaign="&amp;X12&amp;"&amp;utm_content="&amp;Y12)</f>
        <v>https://www.alphanodus.com/contact?utm_source=instagram&amp;utm_medium=social&amp;utm_campaign=rcm&amp;utm_content=igc-260918-1418</v>
      </c>
      <c r="AA12" s="29"/>
      <c r="AB12" s="25" t="n">
        <v>46293</v>
      </c>
      <c r="AC12" s="32"/>
      <c r="AD12" s="32"/>
      <c r="AE12" s="32"/>
      <c r="AF12" s="31" t="n">
        <v>7</v>
      </c>
      <c r="AG12" s="31" t="n">
        <v>0</v>
      </c>
      <c r="AH12" s="32"/>
      <c r="AI12" s="32"/>
      <c r="AJ12" s="32"/>
      <c r="AK12" s="32"/>
      <c r="AL12" s="32"/>
      <c r="AM12" s="32"/>
      <c r="AN12" s="32"/>
      <c r="AO12" s="33" t="str">
        <f aca="false">IF(A12="","",IF(AD12&lt;&gt;"",AD12,IF(AC12&lt;&gt;"",AC12,"")))</f>
        <v/>
      </c>
      <c r="AP12" s="24" t="str">
        <f aca="false">IF(AO12="","",IF(AD12&lt;&gt;"","Reported reach","Impressions (proxy)"))</f>
        <v/>
      </c>
      <c r="AQ12" s="34" t="str">
        <f aca="false">IF(OR(AO12="",N(S12)=0),"",AO12/S12)</f>
        <v/>
      </c>
      <c r="AR12" s="33" t="n">
        <f aca="false">IF(A12="","",IF(COUNT(AF12:AJ12)=0,"",SUM(AF12:AJ12)))</f>
        <v>7</v>
      </c>
      <c r="AS12" s="34" t="str">
        <f aca="false">IF(OR(AR12="",N(AO12)=0),"",AR12/AO12)</f>
        <v/>
      </c>
      <c r="AT12" s="34" t="str">
        <f aca="false">IF(OR(AR12="",N(AC12)=0),"",AR12/AC12)</f>
        <v/>
      </c>
      <c r="AU12" s="34" t="n">
        <f aca="false">IF(OR(AR12="",N(S12)=0),"",AR12/S12)</f>
        <v>0.114754098360656</v>
      </c>
      <c r="AV12" s="34" t="str">
        <f aca="false">IF(OR(AJ12="",N(AC12)=0),"",AJ12/AC12)</f>
        <v/>
      </c>
      <c r="AW12" s="34" t="str">
        <f aca="false">IF(OR(AH12="",N(AO12)=0),"",AH12/AO12)</f>
        <v/>
      </c>
      <c r="AX12" s="35" t="str">
        <f aca="false">IF(OR(AR12="",N(AO12)=0),"",(N(AF12)*Settings!$B$6+N(AG12)*Settings!$B$7+N(AH12)*Settings!$B$8+N(AI12)*Settings!$B$9+N(AJ12)*Settings!$B$10)/AO12*1000)</f>
        <v/>
      </c>
      <c r="AY12" s="36" t="str">
        <f aca="false">IF(AS12="","",IFERROR(AS12/AVERAGEIFS('Post Tracker'!$AS$5:$AS$1004,'Post Tracker'!$G$5:$G$1004,G12),""))</f>
        <v/>
      </c>
      <c r="AZ12" s="32"/>
      <c r="BA12" s="32"/>
      <c r="BB12" s="32"/>
      <c r="BC12" s="32"/>
      <c r="BD12" s="33" t="n">
        <f aca="false">IF(A12="","",COUNTIFS('Demo Pipeline'!$Q$5:$Q$504,A12))</f>
        <v>0</v>
      </c>
      <c r="BE12" s="33" t="n">
        <f aca="false">IF(A12="","",COUNTIFS('Demo Pipeline'!$Q$5:$Q$504,A12,'Demo Pipeline'!$W$5:$W$504,"Attended"))</f>
        <v>0</v>
      </c>
      <c r="BF12" s="33" t="n">
        <f aca="false">IF(A12="","",COUNTIFS('Demo Pipeline'!$Q$5:$Q$504,A12,'Demo Pipeline'!$X$5:$X$504,"Yes"))</f>
        <v>0</v>
      </c>
      <c r="BG12" s="33" t="n">
        <f aca="false">IF(A12="","",COUNTIFS('Demo Pipeline'!$Q$5:$Q$504,A12,'Demo Pipeline'!$Y$5:$Y$504,"Closed Won"))</f>
        <v>0</v>
      </c>
      <c r="BH12" s="37" t="n">
        <f aca="false">IF(A12="","",SUMIFS('Demo Pipeline'!$Z$5:$Z$504,'Demo Pipeline'!$Q$5:$Q$504,A12))</f>
        <v>0</v>
      </c>
      <c r="BI12" s="34" t="str">
        <f aca="false">IF(OR(AZ12="",N(AJ12)=0),"",AZ12/AJ12)</f>
        <v/>
      </c>
      <c r="BJ12" s="34" t="str">
        <f aca="false">IF(OR(BB12="",N(AZ12)=0),"",BB12/AZ12)</f>
        <v/>
      </c>
      <c r="BK12" s="34" t="str">
        <f aca="false">IF(OR(A12="",N(BB12)=0),"",BD12/BB12)</f>
        <v/>
      </c>
      <c r="BL12" s="34" t="str">
        <f aca="false">IF(OR(A12="",N(AZ12)=0),"",BD12/AZ12)</f>
        <v/>
      </c>
      <c r="BM12" s="37" t="str">
        <f aca="false">IF(OR(N(Q12)=0,N(BD12)=0),"",Q12/BD12)</f>
        <v/>
      </c>
      <c r="BN12" s="28" t="s">
        <v>178</v>
      </c>
      <c r="BO12" s="29"/>
      <c r="BP12" s="33" t="str">
        <f aca="false">IF(OR(AR12="",N(AO12)=0),"",AR12)</f>
        <v/>
      </c>
      <c r="BQ12" s="33" t="n">
        <f aca="false">IF(OR(AR12="",N(S12)=0),"",S12)</f>
        <v>61</v>
      </c>
      <c r="BR12" s="38" t="n">
        <f aca="false">IF(AND(ISNUMBER(B12),B12&gt;=Dashboard!$C$4,B12&lt;=Dashboard!$F$4,ISNUMBER(AU12)),AU12+ROW()/10^9,"")</f>
        <v>0.114754110360656</v>
      </c>
      <c r="BS12" s="38" t="n">
        <f aca="false">IF(AND(ISNUMBER(B12),B12&gt;=Dashboard!$C$4,B12&lt;=Dashboard!$F$4,A12&lt;&gt;""),N(BD12)+N(AU12)/100+ROW()/10^9,"")</f>
        <v>0.00114755298360656</v>
      </c>
    </row>
    <row r="13" customFormat="false" ht="15" hidden="false" customHeight="false" outlineLevel="0" collapsed="false">
      <c r="A13" s="24" t="str">
        <f aca="false">IF(OR(B13="",G13="",H13=""),"",IFERROR(INDEX(Settings!$E$5:$E$49,MATCH(G13,Settings!$D$5:$D$49,0))&amp;INDEX(Settings!$H$5:$H$47,MATCH(H13,Settings!$G$5:$G$47,0))&amp;"-"&amp;TEXT(B13,"yymmdd")&amp;"-"&amp;IF(C13="","0000",TEXT(C13,"hhmm")),"CHECK LISTS"))</f>
        <v>IGC-260923-1910</v>
      </c>
      <c r="B13" s="25" t="n">
        <v>46288</v>
      </c>
      <c r="C13" s="26" t="n">
        <v>0.798611111111111</v>
      </c>
      <c r="D13" s="24" t="str">
        <f aca="false">IF(B13="","",TEXT(B13,"ddd"))</f>
        <v>Wed</v>
      </c>
      <c r="E13" s="27" t="n">
        <f aca="false">IF(B13="","",B13-WEEKDAY(B13,3))</f>
        <v>46286</v>
      </c>
      <c r="F13" s="24" t="str">
        <f aca="false">IF(B13="","",TEXT(B13,"yyyy-mm"))</f>
        <v>2026-09</v>
      </c>
      <c r="G13" s="28" t="s">
        <v>174</v>
      </c>
      <c r="H13" s="28" t="s">
        <v>143</v>
      </c>
      <c r="I13" s="28" t="s">
        <v>179</v>
      </c>
      <c r="J13" s="28" t="s">
        <v>161</v>
      </c>
      <c r="K13" s="29"/>
      <c r="L13" s="28" t="s">
        <v>166</v>
      </c>
      <c r="M13" s="28" t="s">
        <v>163</v>
      </c>
      <c r="N13" s="28" t="s">
        <v>164</v>
      </c>
      <c r="O13" s="28" t="s">
        <v>149</v>
      </c>
      <c r="P13" s="28" t="s">
        <v>150</v>
      </c>
      <c r="Q13" s="30"/>
      <c r="R13" s="28" t="s">
        <v>183</v>
      </c>
      <c r="S13" s="31" t="n">
        <v>61</v>
      </c>
      <c r="T13" s="29"/>
      <c r="U13" s="28" t="s">
        <v>177</v>
      </c>
      <c r="V13" s="24" t="str">
        <f aca="false">IF(A13="","",IFERROR(INDEX(Settings!$F$5:$F$49,MATCH(G13,Settings!$D$5:$D$49,0)),""))</f>
        <v>instagram</v>
      </c>
      <c r="W13" s="24" t="str">
        <f aca="false">IF(A13="","",IF(OR(P13="",P13="Organic"),"social","paid_social"))</f>
        <v>social</v>
      </c>
      <c r="X13" s="24" t="str">
        <f aca="false">IF(A13="","",IF(K13&lt;&gt;"",IFERROR(INDEX('Case Studies'!$C$5:$C$54,MATCH(K13,'Case Studies'!$B$5:$B$54,0))&amp;"","case-study"),IF(J13&lt;&gt;"",IFERROR(INDEX(Settings!$J$5:$J$55,MATCH(J13,Settings!$I$5:$I$55,0)),"general"),"general")))</f>
        <v>rcm</v>
      </c>
      <c r="Y13" s="24" t="str">
        <f aca="false">IF(A13="","",LOWER(A13))</f>
        <v>igc-260923-1910</v>
      </c>
      <c r="Z13" s="24" t="str">
        <f aca="false">IF(A13="","",IF(T13="",Settings!$B$5,T13)&amp;IF(ISNUMBER(FIND("?",IF(T13="",Settings!$B$5,T13))),"&amp;","?")&amp;"utm_source="&amp;V13&amp;"&amp;utm_medium="&amp;W13&amp;"&amp;utm_campaign="&amp;X13&amp;"&amp;utm_content="&amp;Y13)</f>
        <v>https://www.alphanodus.com/contact?utm_source=instagram&amp;utm_medium=social&amp;utm_campaign=rcm&amp;utm_content=igc-260923-1910</v>
      </c>
      <c r="AA13" s="29"/>
      <c r="AB13" s="25" t="n">
        <v>46293</v>
      </c>
      <c r="AC13" s="32"/>
      <c r="AD13" s="32"/>
      <c r="AE13" s="32"/>
      <c r="AF13" s="31" t="n">
        <v>2</v>
      </c>
      <c r="AG13" s="31" t="n">
        <v>0</v>
      </c>
      <c r="AH13" s="32"/>
      <c r="AI13" s="32"/>
      <c r="AJ13" s="32"/>
      <c r="AK13" s="32"/>
      <c r="AL13" s="32"/>
      <c r="AM13" s="32"/>
      <c r="AN13" s="32"/>
      <c r="AO13" s="33" t="str">
        <f aca="false">IF(A13="","",IF(AD13&lt;&gt;"",AD13,IF(AC13&lt;&gt;"",AC13,"")))</f>
        <v/>
      </c>
      <c r="AP13" s="24" t="str">
        <f aca="false">IF(AO13="","",IF(AD13&lt;&gt;"","Reported reach","Impressions (proxy)"))</f>
        <v/>
      </c>
      <c r="AQ13" s="34" t="str">
        <f aca="false">IF(OR(AO13="",N(S13)=0),"",AO13/S13)</f>
        <v/>
      </c>
      <c r="AR13" s="33" t="n">
        <f aca="false">IF(A13="","",IF(COUNT(AF13:AJ13)=0,"",SUM(AF13:AJ13)))</f>
        <v>2</v>
      </c>
      <c r="AS13" s="34" t="str">
        <f aca="false">IF(OR(AR13="",N(AO13)=0),"",AR13/AO13)</f>
        <v/>
      </c>
      <c r="AT13" s="34" t="str">
        <f aca="false">IF(OR(AR13="",N(AC13)=0),"",AR13/AC13)</f>
        <v/>
      </c>
      <c r="AU13" s="34" t="n">
        <f aca="false">IF(OR(AR13="",N(S13)=0),"",AR13/S13)</f>
        <v>0.0327868852459016</v>
      </c>
      <c r="AV13" s="34" t="str">
        <f aca="false">IF(OR(AJ13="",N(AC13)=0),"",AJ13/AC13)</f>
        <v/>
      </c>
      <c r="AW13" s="34" t="str">
        <f aca="false">IF(OR(AH13="",N(AO13)=0),"",AH13/AO13)</f>
        <v/>
      </c>
      <c r="AX13" s="35" t="str">
        <f aca="false">IF(OR(AR13="",N(AO13)=0),"",(N(AF13)*Settings!$B$6+N(AG13)*Settings!$B$7+N(AH13)*Settings!$B$8+N(AI13)*Settings!$B$9+N(AJ13)*Settings!$B$10)/AO13*1000)</f>
        <v/>
      </c>
      <c r="AY13" s="36" t="str">
        <f aca="false">IF(AS13="","",IFERROR(AS13/AVERAGEIFS('Post Tracker'!$AS$5:$AS$1004,'Post Tracker'!$G$5:$G$1004,G13),""))</f>
        <v/>
      </c>
      <c r="AZ13" s="32"/>
      <c r="BA13" s="32"/>
      <c r="BB13" s="32"/>
      <c r="BC13" s="32"/>
      <c r="BD13" s="33" t="n">
        <f aca="false">IF(A13="","",COUNTIFS('Demo Pipeline'!$Q$5:$Q$504,A13))</f>
        <v>0</v>
      </c>
      <c r="BE13" s="33" t="n">
        <f aca="false">IF(A13="","",COUNTIFS('Demo Pipeline'!$Q$5:$Q$504,A13,'Demo Pipeline'!$W$5:$W$504,"Attended"))</f>
        <v>0</v>
      </c>
      <c r="BF13" s="33" t="n">
        <f aca="false">IF(A13="","",COUNTIFS('Demo Pipeline'!$Q$5:$Q$504,A13,'Demo Pipeline'!$X$5:$X$504,"Yes"))</f>
        <v>0</v>
      </c>
      <c r="BG13" s="33" t="n">
        <f aca="false">IF(A13="","",COUNTIFS('Demo Pipeline'!$Q$5:$Q$504,A13,'Demo Pipeline'!$Y$5:$Y$504,"Closed Won"))</f>
        <v>0</v>
      </c>
      <c r="BH13" s="37" t="n">
        <f aca="false">IF(A13="","",SUMIFS('Demo Pipeline'!$Z$5:$Z$504,'Demo Pipeline'!$Q$5:$Q$504,A13))</f>
        <v>0</v>
      </c>
      <c r="BI13" s="34" t="str">
        <f aca="false">IF(OR(AZ13="",N(AJ13)=0),"",AZ13/AJ13)</f>
        <v/>
      </c>
      <c r="BJ13" s="34" t="str">
        <f aca="false">IF(OR(BB13="",N(AZ13)=0),"",BB13/AZ13)</f>
        <v/>
      </c>
      <c r="BK13" s="34" t="str">
        <f aca="false">IF(OR(A13="",N(BB13)=0),"",BD13/BB13)</f>
        <v/>
      </c>
      <c r="BL13" s="34" t="str">
        <f aca="false">IF(OR(A13="",N(AZ13)=0),"",BD13/AZ13)</f>
        <v/>
      </c>
      <c r="BM13" s="37" t="str">
        <f aca="false">IF(OR(N(Q13)=0,N(BD13)=0),"",Q13/BD13)</f>
        <v/>
      </c>
      <c r="BN13" s="28" t="s">
        <v>178</v>
      </c>
      <c r="BO13" s="29"/>
      <c r="BP13" s="33" t="str">
        <f aca="false">IF(OR(AR13="",N(AO13)=0),"",AR13)</f>
        <v/>
      </c>
      <c r="BQ13" s="33" t="n">
        <f aca="false">IF(OR(AR13="",N(S13)=0),"",S13)</f>
        <v>61</v>
      </c>
      <c r="BR13" s="38" t="n">
        <f aca="false">IF(AND(ISNUMBER(B13),B13&gt;=Dashboard!$C$4,B13&lt;=Dashboard!$F$4,ISNUMBER(AU13)),AU13+ROW()/10^9,"")</f>
        <v>0.0327868982459016</v>
      </c>
      <c r="BS13" s="38" t="n">
        <f aca="false">IF(AND(ISNUMBER(B13),B13&gt;=Dashboard!$C$4,B13&lt;=Dashboard!$F$4,A13&lt;&gt;""),N(BD13)+N(AU13)/100+ROW()/10^9,"")</f>
        <v>0.000327881852459016</v>
      </c>
    </row>
    <row r="14" customFormat="false" ht="15" hidden="false" customHeight="false" outlineLevel="0" collapsed="false">
      <c r="A14" s="24" t="str">
        <f aca="false">IF(OR(B14="",G14="",H14=""),"",IFERROR(INDEX(Settings!$E$5:$E$49,MATCH(G14,Settings!$D$5:$D$49,0))&amp;INDEX(Settings!$H$5:$H$47,MATCH(H14,Settings!$G$5:$G$47,0))&amp;"-"&amp;TEXT(B14,"yymmdd")&amp;"-"&amp;IF(C14="","0000",TEXT(C14,"hhmm")),"CHECK LISTS"))</f>
        <v>XC-260911-1129</v>
      </c>
      <c r="B14" s="25" t="n">
        <v>46276</v>
      </c>
      <c r="C14" s="26" t="n">
        <v>0.478472222222222</v>
      </c>
      <c r="D14" s="24" t="str">
        <f aca="false">IF(B14="","",TEXT(B14,"ddd"))</f>
        <v>Fri</v>
      </c>
      <c r="E14" s="27" t="n">
        <f aca="false">IF(B14="","",B14-WEEKDAY(B14,3))</f>
        <v>46272</v>
      </c>
      <c r="F14" s="24" t="str">
        <f aca="false">IF(B14="","",TEXT(B14,"yyyy-mm"))</f>
        <v>2026-09</v>
      </c>
      <c r="G14" s="28" t="s">
        <v>184</v>
      </c>
      <c r="H14" s="28" t="s">
        <v>143</v>
      </c>
      <c r="I14" s="28" t="s">
        <v>144</v>
      </c>
      <c r="J14" s="28" t="s">
        <v>145</v>
      </c>
      <c r="K14" s="29"/>
      <c r="L14" s="28" t="s">
        <v>146</v>
      </c>
      <c r="M14" s="28" t="s">
        <v>147</v>
      </c>
      <c r="N14" s="28" t="s">
        <v>148</v>
      </c>
      <c r="O14" s="28" t="s">
        <v>149</v>
      </c>
      <c r="P14" s="28" t="s">
        <v>150</v>
      </c>
      <c r="Q14" s="30"/>
      <c r="R14" s="28" t="s">
        <v>185</v>
      </c>
      <c r="S14" s="31" t="n">
        <v>46</v>
      </c>
      <c r="T14" s="29"/>
      <c r="U14" s="28" t="s">
        <v>152</v>
      </c>
      <c r="V14" s="24" t="str">
        <f aca="false">IF(A14="","",IFERROR(INDEX(Settings!$F$5:$F$49,MATCH(G14,Settings!$D$5:$D$49,0)),""))</f>
        <v>twitter</v>
      </c>
      <c r="W14" s="24" t="str">
        <f aca="false">IF(A14="","",IF(OR(P14="",P14="Organic"),"social","paid_social"))</f>
        <v>social</v>
      </c>
      <c r="X14" s="24" t="str">
        <f aca="false">IF(A14="","",IF(K14&lt;&gt;"",IFERROR(INDEX('Case Studies'!$C$5:$C$54,MATCH(K14,'Case Studies'!$B$5:$B$54,0))&amp;"","case-study"),IF(J14&lt;&gt;"",IFERROR(INDEX(Settings!$J$5:$J$55,MATCH(J14,Settings!$I$5:$I$55,0)),"general"),"general")))</f>
        <v>product</v>
      </c>
      <c r="Y14" s="24" t="str">
        <f aca="false">IF(A14="","",LOWER(A14))</f>
        <v>xc-260911-1129</v>
      </c>
      <c r="Z14" s="24" t="str">
        <f aca="false">IF(A14="","",IF(T14="",Settings!$B$5,T14)&amp;IF(ISNUMBER(FIND("?",IF(T14="",Settings!$B$5,T14))),"&amp;","?")&amp;"utm_source="&amp;V14&amp;"&amp;utm_medium="&amp;W14&amp;"&amp;utm_campaign="&amp;X14&amp;"&amp;utm_content="&amp;Y14)</f>
        <v>https://www.alphanodus.com/contact?utm_source=twitter&amp;utm_medium=social&amp;utm_campaign=product&amp;utm_content=xc-260911-1129</v>
      </c>
      <c r="AA14" s="29"/>
      <c r="AB14" s="25" t="n">
        <v>46293</v>
      </c>
      <c r="AC14" s="31" t="n">
        <v>27</v>
      </c>
      <c r="AD14" s="32"/>
      <c r="AE14" s="32"/>
      <c r="AF14" s="31" t="n">
        <v>0</v>
      </c>
      <c r="AG14" s="31" t="n">
        <v>0</v>
      </c>
      <c r="AH14" s="31" t="n">
        <v>0</v>
      </c>
      <c r="AI14" s="32"/>
      <c r="AJ14" s="32"/>
      <c r="AK14" s="32"/>
      <c r="AL14" s="32"/>
      <c r="AM14" s="32"/>
      <c r="AN14" s="32"/>
      <c r="AO14" s="33" t="n">
        <f aca="false">IF(A14="","",IF(AD14&lt;&gt;"",AD14,IF(AC14&lt;&gt;"",AC14,"")))</f>
        <v>27</v>
      </c>
      <c r="AP14" s="24" t="str">
        <f aca="false">IF(AO14="","",IF(AD14&lt;&gt;"","Reported reach","Impressions (proxy)"))</f>
        <v>Impressions (proxy)</v>
      </c>
      <c r="AQ14" s="34" t="n">
        <f aca="false">IF(OR(AO14="",N(S14)=0),"",AO14/S14)</f>
        <v>0.586956521739131</v>
      </c>
      <c r="AR14" s="33" t="n">
        <f aca="false">IF(A14="","",IF(COUNT(AF14:AJ14)=0,"",SUM(AF14:AJ14)))</f>
        <v>0</v>
      </c>
      <c r="AS14" s="34" t="n">
        <f aca="false">IF(OR(AR14="",N(AO14)=0),"",AR14/AO14)</f>
        <v>0</v>
      </c>
      <c r="AT14" s="34" t="n">
        <f aca="false">IF(OR(AR14="",N(AC14)=0),"",AR14/AC14)</f>
        <v>0</v>
      </c>
      <c r="AU14" s="34" t="n">
        <f aca="false">IF(OR(AR14="",N(S14)=0),"",AR14/S14)</f>
        <v>0</v>
      </c>
      <c r="AV14" s="34" t="str">
        <f aca="false">IF(OR(AJ14="",N(AC14)=0),"",AJ14/AC14)</f>
        <v/>
      </c>
      <c r="AW14" s="34" t="n">
        <f aca="false">IF(OR(AH14="",N(AO14)=0),"",AH14/AO14)</f>
        <v>0</v>
      </c>
      <c r="AX14" s="35" t="n">
        <f aca="false">IF(OR(AR14="",N(AO14)=0),"",(N(AF14)*Settings!$B$6+N(AG14)*Settings!$B$7+N(AH14)*Settings!$B$8+N(AI14)*Settings!$B$9+N(AJ14)*Settings!$B$10)/AO14*1000)</f>
        <v>0</v>
      </c>
      <c r="AY14" s="36" t="n">
        <f aca="false">IF(AS14="","",IFERROR(AS14/AVERAGEIFS('Post Tracker'!$AS$5:$AS$1004,'Post Tracker'!$G$5:$G$1004,G14),""))</f>
        <v>0</v>
      </c>
      <c r="AZ14" s="32"/>
      <c r="BA14" s="32"/>
      <c r="BB14" s="32"/>
      <c r="BC14" s="32"/>
      <c r="BD14" s="33" t="n">
        <f aca="false">IF(A14="","",COUNTIFS('Demo Pipeline'!$Q$5:$Q$504,A14))</f>
        <v>0</v>
      </c>
      <c r="BE14" s="33" t="n">
        <f aca="false">IF(A14="","",COUNTIFS('Demo Pipeline'!$Q$5:$Q$504,A14,'Demo Pipeline'!$W$5:$W$504,"Attended"))</f>
        <v>0</v>
      </c>
      <c r="BF14" s="33" t="n">
        <f aca="false">IF(A14="","",COUNTIFS('Demo Pipeline'!$Q$5:$Q$504,A14,'Demo Pipeline'!$X$5:$X$504,"Yes"))</f>
        <v>0</v>
      </c>
      <c r="BG14" s="33" t="n">
        <f aca="false">IF(A14="","",COUNTIFS('Demo Pipeline'!$Q$5:$Q$504,A14,'Demo Pipeline'!$Y$5:$Y$504,"Closed Won"))</f>
        <v>0</v>
      </c>
      <c r="BH14" s="37" t="n">
        <f aca="false">IF(A14="","",SUMIFS('Demo Pipeline'!$Z$5:$Z$504,'Demo Pipeline'!$Q$5:$Q$504,A14))</f>
        <v>0</v>
      </c>
      <c r="BI14" s="34" t="str">
        <f aca="false">IF(OR(AZ14="",N(AJ14)=0),"",AZ14/AJ14)</f>
        <v/>
      </c>
      <c r="BJ14" s="34" t="str">
        <f aca="false">IF(OR(BB14="",N(AZ14)=0),"",BB14/AZ14)</f>
        <v/>
      </c>
      <c r="BK14" s="34" t="str">
        <f aca="false">IF(OR(A14="",N(BB14)=0),"",BD14/BB14)</f>
        <v/>
      </c>
      <c r="BL14" s="34" t="str">
        <f aca="false">IF(OR(A14="",N(AZ14)=0),"",BD14/AZ14)</f>
        <v/>
      </c>
      <c r="BM14" s="37" t="str">
        <f aca="false">IF(OR(N(Q14)=0,N(BD14)=0),"",Q14/BD14)</f>
        <v/>
      </c>
      <c r="BN14" s="28" t="s">
        <v>186</v>
      </c>
      <c r="BO14" s="29"/>
      <c r="BP14" s="33" t="n">
        <f aca="false">IF(OR(AR14="",N(AO14)=0),"",AR14)</f>
        <v>0</v>
      </c>
      <c r="BQ14" s="33" t="n">
        <f aca="false">IF(OR(AR14="",N(S14)=0),"",S14)</f>
        <v>46</v>
      </c>
      <c r="BR14" s="38" t="n">
        <f aca="false">IF(AND(ISNUMBER(B14),B14&gt;=Dashboard!$C$4,B14&lt;=Dashboard!$F$4,ISNUMBER(AU14)),AU14+ROW()/10^9,"")</f>
        <v>1.4E-008</v>
      </c>
      <c r="BS14" s="38" t="n">
        <f aca="false">IF(AND(ISNUMBER(B14),B14&gt;=Dashboard!$C$4,B14&lt;=Dashboard!$F$4,A14&lt;&gt;""),N(BD14)+N(AU14)/100+ROW()/10^9,"")</f>
        <v>1.4E-008</v>
      </c>
    </row>
    <row r="15" customFormat="false" ht="15" hidden="false" customHeight="false" outlineLevel="0" collapsed="false">
      <c r="A15" s="24" t="str">
        <f aca="false">IF(OR(B15="",G15="",H15=""),"",IFERROR(INDEX(Settings!$E$5:$E$49,MATCH(G15,Settings!$D$5:$D$49,0))&amp;INDEX(Settings!$H$5:$H$47,MATCH(H15,Settings!$G$5:$G$47,0))&amp;"-"&amp;TEXT(B15,"yymmdd")&amp;"-"&amp;IF(C15="","0000",TEXT(C15,"hhmm")),"CHECK LISTS"))</f>
        <v>XC-260914-1307</v>
      </c>
      <c r="B15" s="25" t="n">
        <v>46279</v>
      </c>
      <c r="C15" s="26" t="n">
        <v>0.546527777777778</v>
      </c>
      <c r="D15" s="24" t="str">
        <f aca="false">IF(B15="","",TEXT(B15,"ddd"))</f>
        <v>Mon</v>
      </c>
      <c r="E15" s="27" t="n">
        <f aca="false">IF(B15="","",B15-WEEKDAY(B15,3))</f>
        <v>46279</v>
      </c>
      <c r="F15" s="24" t="str">
        <f aca="false">IF(B15="","",TEXT(B15,"yyyy-mm"))</f>
        <v>2026-09</v>
      </c>
      <c r="G15" s="28" t="s">
        <v>184</v>
      </c>
      <c r="H15" s="28" t="s">
        <v>143</v>
      </c>
      <c r="I15" s="28" t="s">
        <v>179</v>
      </c>
      <c r="J15" s="28" t="s">
        <v>154</v>
      </c>
      <c r="K15" s="29"/>
      <c r="L15" s="28" t="s">
        <v>155</v>
      </c>
      <c r="M15" s="28" t="s">
        <v>156</v>
      </c>
      <c r="N15" s="28" t="s">
        <v>148</v>
      </c>
      <c r="O15" s="28" t="s">
        <v>157</v>
      </c>
      <c r="P15" s="28" t="s">
        <v>150</v>
      </c>
      <c r="Q15" s="30"/>
      <c r="R15" s="28" t="s">
        <v>187</v>
      </c>
      <c r="S15" s="31" t="n">
        <v>46</v>
      </c>
      <c r="T15" s="29"/>
      <c r="U15" s="28" t="s">
        <v>159</v>
      </c>
      <c r="V15" s="24" t="str">
        <f aca="false">IF(A15="","",IFERROR(INDEX(Settings!$F$5:$F$49,MATCH(G15,Settings!$D$5:$D$49,0)),""))</f>
        <v>twitter</v>
      </c>
      <c r="W15" s="24" t="str">
        <f aca="false">IF(A15="","",IF(OR(P15="",P15="Organic"),"social","paid_social"))</f>
        <v>social</v>
      </c>
      <c r="X15" s="24" t="str">
        <f aca="false">IF(A15="","",IF(K15&lt;&gt;"",IFERROR(INDEX('Case Studies'!$C$5:$C$54,MATCH(K15,'Case Studies'!$B$5:$B$54,0))&amp;"","case-study"),IF(J15&lt;&gt;"",IFERROR(INDEX(Settings!$J$5:$J$55,MATCH(J15,Settings!$I$5:$I$55,0)),"general"),"general")))</f>
        <v>ops-tips</v>
      </c>
      <c r="Y15" s="24" t="str">
        <f aca="false">IF(A15="","",LOWER(A15))</f>
        <v>xc-260914-1307</v>
      </c>
      <c r="Z15" s="24" t="str">
        <f aca="false">IF(A15="","",IF(T15="",Settings!$B$5,T15)&amp;IF(ISNUMBER(FIND("?",IF(T15="",Settings!$B$5,T15))),"&amp;","?")&amp;"utm_source="&amp;V15&amp;"&amp;utm_medium="&amp;W15&amp;"&amp;utm_campaign="&amp;X15&amp;"&amp;utm_content="&amp;Y15)</f>
        <v>https://www.alphanodus.com/contact?utm_source=twitter&amp;utm_medium=social&amp;utm_campaign=ops-tips&amp;utm_content=xc-260914-1307</v>
      </c>
      <c r="AA15" s="29"/>
      <c r="AB15" s="25" t="n">
        <v>46293</v>
      </c>
      <c r="AC15" s="31" t="n">
        <v>16</v>
      </c>
      <c r="AD15" s="32"/>
      <c r="AE15" s="32"/>
      <c r="AF15" s="31" t="n">
        <v>0</v>
      </c>
      <c r="AG15" s="31" t="n">
        <v>0</v>
      </c>
      <c r="AH15" s="31" t="n">
        <v>0</v>
      </c>
      <c r="AI15" s="32"/>
      <c r="AJ15" s="32"/>
      <c r="AK15" s="32"/>
      <c r="AL15" s="32"/>
      <c r="AM15" s="32"/>
      <c r="AN15" s="32"/>
      <c r="AO15" s="33" t="n">
        <f aca="false">IF(A15="","",IF(AD15&lt;&gt;"",AD15,IF(AC15&lt;&gt;"",AC15,"")))</f>
        <v>16</v>
      </c>
      <c r="AP15" s="24" t="str">
        <f aca="false">IF(AO15="","",IF(AD15&lt;&gt;"","Reported reach","Impressions (proxy)"))</f>
        <v>Impressions (proxy)</v>
      </c>
      <c r="AQ15" s="34" t="n">
        <f aca="false">IF(OR(AO15="",N(S15)=0),"",AO15/S15)</f>
        <v>0.347826086956522</v>
      </c>
      <c r="AR15" s="33" t="n">
        <f aca="false">IF(A15="","",IF(COUNT(AF15:AJ15)=0,"",SUM(AF15:AJ15)))</f>
        <v>0</v>
      </c>
      <c r="AS15" s="34" t="n">
        <f aca="false">IF(OR(AR15="",N(AO15)=0),"",AR15/AO15)</f>
        <v>0</v>
      </c>
      <c r="AT15" s="34" t="n">
        <f aca="false">IF(OR(AR15="",N(AC15)=0),"",AR15/AC15)</f>
        <v>0</v>
      </c>
      <c r="AU15" s="34" t="n">
        <f aca="false">IF(OR(AR15="",N(S15)=0),"",AR15/S15)</f>
        <v>0</v>
      </c>
      <c r="AV15" s="34" t="str">
        <f aca="false">IF(OR(AJ15="",N(AC15)=0),"",AJ15/AC15)</f>
        <v/>
      </c>
      <c r="AW15" s="34" t="n">
        <f aca="false">IF(OR(AH15="",N(AO15)=0),"",AH15/AO15)</f>
        <v>0</v>
      </c>
      <c r="AX15" s="35" t="n">
        <f aca="false">IF(OR(AR15="",N(AO15)=0),"",(N(AF15)*Settings!$B$6+N(AG15)*Settings!$B$7+N(AH15)*Settings!$B$8+N(AI15)*Settings!$B$9+N(AJ15)*Settings!$B$10)/AO15*1000)</f>
        <v>0</v>
      </c>
      <c r="AY15" s="36" t="n">
        <f aca="false">IF(AS15="","",IFERROR(AS15/AVERAGEIFS('Post Tracker'!$AS$5:$AS$1004,'Post Tracker'!$G$5:$G$1004,G15),""))</f>
        <v>0</v>
      </c>
      <c r="AZ15" s="32"/>
      <c r="BA15" s="32"/>
      <c r="BB15" s="32"/>
      <c r="BC15" s="32"/>
      <c r="BD15" s="33" t="n">
        <f aca="false">IF(A15="","",COUNTIFS('Demo Pipeline'!$Q$5:$Q$504,A15))</f>
        <v>0</v>
      </c>
      <c r="BE15" s="33" t="n">
        <f aca="false">IF(A15="","",COUNTIFS('Demo Pipeline'!$Q$5:$Q$504,A15,'Demo Pipeline'!$W$5:$W$504,"Attended"))</f>
        <v>0</v>
      </c>
      <c r="BF15" s="33" t="n">
        <f aca="false">IF(A15="","",COUNTIFS('Demo Pipeline'!$Q$5:$Q$504,A15,'Demo Pipeline'!$X$5:$X$504,"Yes"))</f>
        <v>0</v>
      </c>
      <c r="BG15" s="33" t="n">
        <f aca="false">IF(A15="","",COUNTIFS('Demo Pipeline'!$Q$5:$Q$504,A15,'Demo Pipeline'!$Y$5:$Y$504,"Closed Won"))</f>
        <v>0</v>
      </c>
      <c r="BH15" s="37" t="n">
        <f aca="false">IF(A15="","",SUMIFS('Demo Pipeline'!$Z$5:$Z$504,'Demo Pipeline'!$Q$5:$Q$504,A15))</f>
        <v>0</v>
      </c>
      <c r="BI15" s="34" t="str">
        <f aca="false">IF(OR(AZ15="",N(AJ15)=0),"",AZ15/AJ15)</f>
        <v/>
      </c>
      <c r="BJ15" s="34" t="str">
        <f aca="false">IF(OR(BB15="",N(AZ15)=0),"",BB15/AZ15)</f>
        <v/>
      </c>
      <c r="BK15" s="34" t="str">
        <f aca="false">IF(OR(A15="",N(BB15)=0),"",BD15/BB15)</f>
        <v/>
      </c>
      <c r="BL15" s="34" t="str">
        <f aca="false">IF(OR(A15="",N(AZ15)=0),"",BD15/AZ15)</f>
        <v/>
      </c>
      <c r="BM15" s="37" t="str">
        <f aca="false">IF(OR(N(Q15)=0,N(BD15)=0),"",Q15/BD15)</f>
        <v/>
      </c>
      <c r="BN15" s="28" t="s">
        <v>186</v>
      </c>
      <c r="BO15" s="29"/>
      <c r="BP15" s="33" t="n">
        <f aca="false">IF(OR(AR15="",N(AO15)=0),"",AR15)</f>
        <v>0</v>
      </c>
      <c r="BQ15" s="33" t="n">
        <f aca="false">IF(OR(AR15="",N(S15)=0),"",S15)</f>
        <v>46</v>
      </c>
      <c r="BR15" s="38" t="n">
        <f aca="false">IF(AND(ISNUMBER(B15),B15&gt;=Dashboard!$C$4,B15&lt;=Dashboard!$F$4,ISNUMBER(AU15)),AU15+ROW()/10^9,"")</f>
        <v>1.5E-008</v>
      </c>
      <c r="BS15" s="38" t="n">
        <f aca="false">IF(AND(ISNUMBER(B15),B15&gt;=Dashboard!$C$4,B15&lt;=Dashboard!$F$4,A15&lt;&gt;""),N(BD15)+N(AU15)/100+ROW()/10^9,"")</f>
        <v>1.5E-008</v>
      </c>
    </row>
    <row r="16" customFormat="false" ht="15" hidden="false" customHeight="false" outlineLevel="0" collapsed="false">
      <c r="A16" s="24" t="str">
        <f aca="false">IF(OR(B16="",G16="",H16=""),"",IFERROR(INDEX(Settings!$E$5:$E$49,MATCH(G16,Settings!$D$5:$D$49,0))&amp;INDEX(Settings!$H$5:$H$47,MATCH(H16,Settings!$G$5:$G$47,0))&amp;"-"&amp;TEXT(B16,"yymmdd")&amp;"-"&amp;IF(C16="","0000",TEXT(C16,"hhmm")),"CHECK LISTS"))</f>
        <v>XC-260918-1435</v>
      </c>
      <c r="B16" s="25" t="n">
        <v>46283</v>
      </c>
      <c r="C16" s="26" t="n">
        <v>0.607638888888889</v>
      </c>
      <c r="D16" s="24" t="str">
        <f aca="false">IF(B16="","",TEXT(B16,"ddd"))</f>
        <v>Fri</v>
      </c>
      <c r="E16" s="27" t="n">
        <f aca="false">IF(B16="","",B16-WEEKDAY(B16,3))</f>
        <v>46279</v>
      </c>
      <c r="F16" s="24" t="str">
        <f aca="false">IF(B16="","",TEXT(B16,"yyyy-mm"))</f>
        <v>2026-09</v>
      </c>
      <c r="G16" s="28" t="s">
        <v>184</v>
      </c>
      <c r="H16" s="28" t="s">
        <v>143</v>
      </c>
      <c r="I16" s="28" t="s">
        <v>179</v>
      </c>
      <c r="J16" s="28" t="s">
        <v>161</v>
      </c>
      <c r="K16" s="29"/>
      <c r="L16" s="28" t="s">
        <v>162</v>
      </c>
      <c r="M16" s="28" t="s">
        <v>163</v>
      </c>
      <c r="N16" s="28" t="s">
        <v>164</v>
      </c>
      <c r="O16" s="28" t="s">
        <v>157</v>
      </c>
      <c r="P16" s="28" t="s">
        <v>150</v>
      </c>
      <c r="Q16" s="30"/>
      <c r="R16" s="28" t="s">
        <v>188</v>
      </c>
      <c r="S16" s="31" t="n">
        <v>46</v>
      </c>
      <c r="T16" s="29"/>
      <c r="U16" s="28" t="s">
        <v>159</v>
      </c>
      <c r="V16" s="24" t="str">
        <f aca="false">IF(A16="","",IFERROR(INDEX(Settings!$F$5:$F$49,MATCH(G16,Settings!$D$5:$D$49,0)),""))</f>
        <v>twitter</v>
      </c>
      <c r="W16" s="24" t="str">
        <f aca="false">IF(A16="","",IF(OR(P16="",P16="Organic"),"social","paid_social"))</f>
        <v>social</v>
      </c>
      <c r="X16" s="24" t="str">
        <f aca="false">IF(A16="","",IF(K16&lt;&gt;"",IFERROR(INDEX('Case Studies'!$C$5:$C$54,MATCH(K16,'Case Studies'!$B$5:$B$54,0))&amp;"","case-study"),IF(J16&lt;&gt;"",IFERROR(INDEX(Settings!$J$5:$J$55,MATCH(J16,Settings!$I$5:$I$55,0)),"general"),"general")))</f>
        <v>rcm</v>
      </c>
      <c r="Y16" s="24" t="str">
        <f aca="false">IF(A16="","",LOWER(A16))</f>
        <v>xc-260918-1435</v>
      </c>
      <c r="Z16" s="24" t="str">
        <f aca="false">IF(A16="","",IF(T16="",Settings!$B$5,T16)&amp;IF(ISNUMBER(FIND("?",IF(T16="",Settings!$B$5,T16))),"&amp;","?")&amp;"utm_source="&amp;V16&amp;"&amp;utm_medium="&amp;W16&amp;"&amp;utm_campaign="&amp;X16&amp;"&amp;utm_content="&amp;Y16)</f>
        <v>https://www.alphanodus.com/contact?utm_source=twitter&amp;utm_medium=social&amp;utm_campaign=rcm&amp;utm_content=xc-260918-1435</v>
      </c>
      <c r="AA16" s="29"/>
      <c r="AB16" s="25" t="n">
        <v>46293</v>
      </c>
      <c r="AC16" s="31" t="n">
        <v>26</v>
      </c>
      <c r="AD16" s="32"/>
      <c r="AE16" s="32"/>
      <c r="AF16" s="31" t="n">
        <v>0</v>
      </c>
      <c r="AG16" s="31" t="n">
        <v>1</v>
      </c>
      <c r="AH16" s="31" t="n">
        <v>0</v>
      </c>
      <c r="AI16" s="32"/>
      <c r="AJ16" s="32"/>
      <c r="AK16" s="32"/>
      <c r="AL16" s="32"/>
      <c r="AM16" s="32"/>
      <c r="AN16" s="32"/>
      <c r="AO16" s="33" t="n">
        <f aca="false">IF(A16="","",IF(AD16&lt;&gt;"",AD16,IF(AC16&lt;&gt;"",AC16,"")))</f>
        <v>26</v>
      </c>
      <c r="AP16" s="24" t="str">
        <f aca="false">IF(AO16="","",IF(AD16&lt;&gt;"","Reported reach","Impressions (proxy)"))</f>
        <v>Impressions (proxy)</v>
      </c>
      <c r="AQ16" s="34" t="n">
        <f aca="false">IF(OR(AO16="",N(S16)=0),"",AO16/S16)</f>
        <v>0.565217391304348</v>
      </c>
      <c r="AR16" s="33" t="n">
        <f aca="false">IF(A16="","",IF(COUNT(AF16:AJ16)=0,"",SUM(AF16:AJ16)))</f>
        <v>1</v>
      </c>
      <c r="AS16" s="34" t="n">
        <f aca="false">IF(OR(AR16="",N(AO16)=0),"",AR16/AO16)</f>
        <v>0.0384615384615385</v>
      </c>
      <c r="AT16" s="34" t="n">
        <f aca="false">IF(OR(AR16="",N(AC16)=0),"",AR16/AC16)</f>
        <v>0.0384615384615385</v>
      </c>
      <c r="AU16" s="34" t="n">
        <f aca="false">IF(OR(AR16="",N(S16)=0),"",AR16/S16)</f>
        <v>0.0217391304347826</v>
      </c>
      <c r="AV16" s="34" t="str">
        <f aca="false">IF(OR(AJ16="",N(AC16)=0),"",AJ16/AC16)</f>
        <v/>
      </c>
      <c r="AW16" s="34" t="n">
        <f aca="false">IF(OR(AH16="",N(AO16)=0),"",AH16/AO16)</f>
        <v>0</v>
      </c>
      <c r="AX16" s="35" t="n">
        <f aca="false">IF(OR(AR16="",N(AO16)=0),"",(N(AF16)*Settings!$B$6+N(AG16)*Settings!$B$7+N(AH16)*Settings!$B$8+N(AI16)*Settings!$B$9+N(AJ16)*Settings!$B$10)/AO16*1000)</f>
        <v>115.384615384615</v>
      </c>
      <c r="AY16" s="36" t="n">
        <f aca="false">IF(AS16="","",IFERROR(AS16/AVERAGEIFS('Post Tracker'!$AS$5:$AS$1004,'Post Tracker'!$G$5:$G$1004,G16),""))</f>
        <v>1.33333333333333</v>
      </c>
      <c r="AZ16" s="32"/>
      <c r="BA16" s="32"/>
      <c r="BB16" s="32"/>
      <c r="BC16" s="32"/>
      <c r="BD16" s="33" t="n">
        <f aca="false">IF(A16="","",COUNTIFS('Demo Pipeline'!$Q$5:$Q$504,A16))</f>
        <v>0</v>
      </c>
      <c r="BE16" s="33" t="n">
        <f aca="false">IF(A16="","",COUNTIFS('Demo Pipeline'!$Q$5:$Q$504,A16,'Demo Pipeline'!$W$5:$W$504,"Attended"))</f>
        <v>0</v>
      </c>
      <c r="BF16" s="33" t="n">
        <f aca="false">IF(A16="","",COUNTIFS('Demo Pipeline'!$Q$5:$Q$504,A16,'Demo Pipeline'!$X$5:$X$504,"Yes"))</f>
        <v>0</v>
      </c>
      <c r="BG16" s="33" t="n">
        <f aca="false">IF(A16="","",COUNTIFS('Demo Pipeline'!$Q$5:$Q$504,A16,'Demo Pipeline'!$Y$5:$Y$504,"Closed Won"))</f>
        <v>0</v>
      </c>
      <c r="BH16" s="37" t="n">
        <f aca="false">IF(A16="","",SUMIFS('Demo Pipeline'!$Z$5:$Z$504,'Demo Pipeline'!$Q$5:$Q$504,A16))</f>
        <v>0</v>
      </c>
      <c r="BI16" s="34" t="str">
        <f aca="false">IF(OR(AZ16="",N(AJ16)=0),"",AZ16/AJ16)</f>
        <v/>
      </c>
      <c r="BJ16" s="34" t="str">
        <f aca="false">IF(OR(BB16="",N(AZ16)=0),"",BB16/AZ16)</f>
        <v/>
      </c>
      <c r="BK16" s="34" t="str">
        <f aca="false">IF(OR(A16="",N(BB16)=0),"",BD16/BB16)</f>
        <v/>
      </c>
      <c r="BL16" s="34" t="str">
        <f aca="false">IF(OR(A16="",N(AZ16)=0),"",BD16/AZ16)</f>
        <v/>
      </c>
      <c r="BM16" s="37" t="str">
        <f aca="false">IF(OR(N(Q16)=0,N(BD16)=0),"",Q16/BD16)</f>
        <v/>
      </c>
      <c r="BN16" s="28" t="s">
        <v>186</v>
      </c>
      <c r="BO16" s="29"/>
      <c r="BP16" s="33" t="n">
        <f aca="false">IF(OR(AR16="",N(AO16)=0),"",AR16)</f>
        <v>1</v>
      </c>
      <c r="BQ16" s="33" t="n">
        <f aca="false">IF(OR(AR16="",N(S16)=0),"",S16)</f>
        <v>46</v>
      </c>
      <c r="BR16" s="38" t="n">
        <f aca="false">IF(AND(ISNUMBER(B16),B16&gt;=Dashboard!$C$4,B16&lt;=Dashboard!$F$4,ISNUMBER(AU16)),AU16+ROW()/10^9,"")</f>
        <v>0.0217391464347826</v>
      </c>
      <c r="BS16" s="38" t="n">
        <f aca="false">IF(AND(ISNUMBER(B16),B16&gt;=Dashboard!$C$4,B16&lt;=Dashboard!$F$4,A16&lt;&gt;""),N(BD16)+N(AU16)/100+ROW()/10^9,"")</f>
        <v>0.000217407304347826</v>
      </c>
    </row>
    <row r="17" customFormat="false" ht="15" hidden="false" customHeight="false" outlineLevel="0" collapsed="false">
      <c r="A17" s="24" t="str">
        <f aca="false">IF(OR(B17="",G17="",H17=""),"",IFERROR(INDEX(Settings!$E$5:$E$49,MATCH(G17,Settings!$D$5:$D$49,0))&amp;INDEX(Settings!$H$5:$H$47,MATCH(H17,Settings!$G$5:$G$47,0))&amp;"-"&amp;TEXT(B17,"yymmdd")&amp;"-"&amp;IF(C17="","0000",TEXT(C17,"hhmm")),"CHECK LISTS"))</f>
        <v>XC-260923-2019</v>
      </c>
      <c r="B17" s="25" t="n">
        <v>46288</v>
      </c>
      <c r="C17" s="26" t="n">
        <v>0.846527777777778</v>
      </c>
      <c r="D17" s="24" t="str">
        <f aca="false">IF(B17="","",TEXT(B17,"ddd"))</f>
        <v>Wed</v>
      </c>
      <c r="E17" s="27" t="n">
        <f aca="false">IF(B17="","",B17-WEEKDAY(B17,3))</f>
        <v>46286</v>
      </c>
      <c r="F17" s="24" t="str">
        <f aca="false">IF(B17="","",TEXT(B17,"yyyy-mm"))</f>
        <v>2026-09</v>
      </c>
      <c r="G17" s="28" t="s">
        <v>184</v>
      </c>
      <c r="H17" s="28" t="s">
        <v>143</v>
      </c>
      <c r="I17" s="28" t="s">
        <v>179</v>
      </c>
      <c r="J17" s="28" t="s">
        <v>161</v>
      </c>
      <c r="K17" s="29"/>
      <c r="L17" s="28" t="s">
        <v>166</v>
      </c>
      <c r="M17" s="28" t="s">
        <v>163</v>
      </c>
      <c r="N17" s="28" t="s">
        <v>164</v>
      </c>
      <c r="O17" s="28" t="s">
        <v>149</v>
      </c>
      <c r="P17" s="28" t="s">
        <v>150</v>
      </c>
      <c r="Q17" s="30"/>
      <c r="R17" s="28" t="s">
        <v>189</v>
      </c>
      <c r="S17" s="31" t="n">
        <v>46</v>
      </c>
      <c r="T17" s="29"/>
      <c r="U17" s="28" t="s">
        <v>168</v>
      </c>
      <c r="V17" s="24" t="str">
        <f aca="false">IF(A17="","",IFERROR(INDEX(Settings!$F$5:$F$49,MATCH(G17,Settings!$D$5:$D$49,0)),""))</f>
        <v>twitter</v>
      </c>
      <c r="W17" s="24" t="str">
        <f aca="false">IF(A17="","",IF(OR(P17="",P17="Organic"),"social","paid_social"))</f>
        <v>social</v>
      </c>
      <c r="X17" s="24" t="str">
        <f aca="false">IF(A17="","",IF(K17&lt;&gt;"",IFERROR(INDEX('Case Studies'!$C$5:$C$54,MATCH(K17,'Case Studies'!$B$5:$B$54,0))&amp;"","case-study"),IF(J17&lt;&gt;"",IFERROR(INDEX(Settings!$J$5:$J$55,MATCH(J17,Settings!$I$5:$I$55,0)),"general"),"general")))</f>
        <v>rcm</v>
      </c>
      <c r="Y17" s="24" t="str">
        <f aca="false">IF(A17="","",LOWER(A17))</f>
        <v>xc-260923-2019</v>
      </c>
      <c r="Z17" s="24" t="str">
        <f aca="false">IF(A17="","",IF(T17="",Settings!$B$5,T17)&amp;IF(ISNUMBER(FIND("?",IF(T17="",Settings!$B$5,T17))),"&amp;","?")&amp;"utm_source="&amp;V17&amp;"&amp;utm_medium="&amp;W17&amp;"&amp;utm_campaign="&amp;X17&amp;"&amp;utm_content="&amp;Y17)</f>
        <v>https://www.alphanodus.com/contact?utm_source=twitter&amp;utm_medium=social&amp;utm_campaign=rcm&amp;utm_content=xc-260923-2019</v>
      </c>
      <c r="AA17" s="29"/>
      <c r="AB17" s="25" t="n">
        <v>46293</v>
      </c>
      <c r="AC17" s="31" t="n">
        <v>13</v>
      </c>
      <c r="AD17" s="32"/>
      <c r="AE17" s="32"/>
      <c r="AF17" s="31" t="n">
        <v>0</v>
      </c>
      <c r="AG17" s="31" t="n">
        <v>1</v>
      </c>
      <c r="AH17" s="31" t="n">
        <v>0</v>
      </c>
      <c r="AI17" s="32"/>
      <c r="AJ17" s="32"/>
      <c r="AK17" s="32"/>
      <c r="AL17" s="32"/>
      <c r="AM17" s="32"/>
      <c r="AN17" s="32"/>
      <c r="AO17" s="33" t="n">
        <f aca="false">IF(A17="","",IF(AD17&lt;&gt;"",AD17,IF(AC17&lt;&gt;"",AC17,"")))</f>
        <v>13</v>
      </c>
      <c r="AP17" s="24" t="str">
        <f aca="false">IF(AO17="","",IF(AD17&lt;&gt;"","Reported reach","Impressions (proxy)"))</f>
        <v>Impressions (proxy)</v>
      </c>
      <c r="AQ17" s="34" t="n">
        <f aca="false">IF(OR(AO17="",N(S17)=0),"",AO17/S17)</f>
        <v>0.282608695652174</v>
      </c>
      <c r="AR17" s="33" t="n">
        <f aca="false">IF(A17="","",IF(COUNT(AF17:AJ17)=0,"",SUM(AF17:AJ17)))</f>
        <v>1</v>
      </c>
      <c r="AS17" s="34" t="n">
        <f aca="false">IF(OR(AR17="",N(AO17)=0),"",AR17/AO17)</f>
        <v>0.0769230769230769</v>
      </c>
      <c r="AT17" s="34" t="n">
        <f aca="false">IF(OR(AR17="",N(AC17)=0),"",AR17/AC17)</f>
        <v>0.0769230769230769</v>
      </c>
      <c r="AU17" s="34" t="n">
        <f aca="false">IF(OR(AR17="",N(S17)=0),"",AR17/S17)</f>
        <v>0.0217391304347826</v>
      </c>
      <c r="AV17" s="34" t="str">
        <f aca="false">IF(OR(AJ17="",N(AC17)=0),"",AJ17/AC17)</f>
        <v/>
      </c>
      <c r="AW17" s="34" t="n">
        <f aca="false">IF(OR(AH17="",N(AO17)=0),"",AH17/AO17)</f>
        <v>0</v>
      </c>
      <c r="AX17" s="35" t="n">
        <f aca="false">IF(OR(AR17="",N(AO17)=0),"",(N(AF17)*Settings!$B$6+N(AG17)*Settings!$B$7+N(AH17)*Settings!$B$8+N(AI17)*Settings!$B$9+N(AJ17)*Settings!$B$10)/AO17*1000)</f>
        <v>230.769230769231</v>
      </c>
      <c r="AY17" s="36" t="n">
        <f aca="false">IF(AS17="","",IFERROR(AS17/AVERAGEIFS('Post Tracker'!$AS$5:$AS$1004,'Post Tracker'!$G$5:$G$1004,G17),""))</f>
        <v>2.66666666666667</v>
      </c>
      <c r="AZ17" s="32"/>
      <c r="BA17" s="32"/>
      <c r="BB17" s="32"/>
      <c r="BC17" s="32"/>
      <c r="BD17" s="33" t="n">
        <f aca="false">IF(A17="","",COUNTIFS('Demo Pipeline'!$Q$5:$Q$504,A17))</f>
        <v>0</v>
      </c>
      <c r="BE17" s="33" t="n">
        <f aca="false">IF(A17="","",COUNTIFS('Demo Pipeline'!$Q$5:$Q$504,A17,'Demo Pipeline'!$W$5:$W$504,"Attended"))</f>
        <v>0</v>
      </c>
      <c r="BF17" s="33" t="n">
        <f aca="false">IF(A17="","",COUNTIFS('Demo Pipeline'!$Q$5:$Q$504,A17,'Demo Pipeline'!$X$5:$X$504,"Yes"))</f>
        <v>0</v>
      </c>
      <c r="BG17" s="33" t="n">
        <f aca="false">IF(A17="","",COUNTIFS('Demo Pipeline'!$Q$5:$Q$504,A17,'Demo Pipeline'!$Y$5:$Y$504,"Closed Won"))</f>
        <v>0</v>
      </c>
      <c r="BH17" s="37" t="n">
        <f aca="false">IF(A17="","",SUMIFS('Demo Pipeline'!$Z$5:$Z$504,'Demo Pipeline'!$Q$5:$Q$504,A17))</f>
        <v>0</v>
      </c>
      <c r="BI17" s="34" t="str">
        <f aca="false">IF(OR(AZ17="",N(AJ17)=0),"",AZ17/AJ17)</f>
        <v/>
      </c>
      <c r="BJ17" s="34" t="str">
        <f aca="false">IF(OR(BB17="",N(AZ17)=0),"",BB17/AZ17)</f>
        <v/>
      </c>
      <c r="BK17" s="34" t="str">
        <f aca="false">IF(OR(A17="",N(BB17)=0),"",BD17/BB17)</f>
        <v/>
      </c>
      <c r="BL17" s="34" t="str">
        <f aca="false">IF(OR(A17="",N(AZ17)=0),"",BD17/AZ17)</f>
        <v/>
      </c>
      <c r="BM17" s="37" t="str">
        <f aca="false">IF(OR(N(Q17)=0,N(BD17)=0),"",Q17/BD17)</f>
        <v/>
      </c>
      <c r="BN17" s="28" t="s">
        <v>186</v>
      </c>
      <c r="BO17" s="29"/>
      <c r="BP17" s="33" t="n">
        <f aca="false">IF(OR(AR17="",N(AO17)=0),"",AR17)</f>
        <v>1</v>
      </c>
      <c r="BQ17" s="33" t="n">
        <f aca="false">IF(OR(AR17="",N(S17)=0),"",S17)</f>
        <v>46</v>
      </c>
      <c r="BR17" s="38" t="n">
        <f aca="false">IF(AND(ISNUMBER(B17),B17&gt;=Dashboard!$C$4,B17&lt;=Dashboard!$F$4,ISNUMBER(AU17)),AU17+ROW()/10^9,"")</f>
        <v>0.0217391474347826</v>
      </c>
      <c r="BS17" s="38" t="n">
        <f aca="false">IF(AND(ISNUMBER(B17),B17&gt;=Dashboard!$C$4,B17&lt;=Dashboard!$F$4,A17&lt;&gt;""),N(BD17)+N(AU17)/100+ROW()/10^9,"")</f>
        <v>0.000217408304347826</v>
      </c>
    </row>
    <row r="18" customFormat="false" ht="15" hidden="false" customHeight="false" outlineLevel="0" collapsed="false">
      <c r="A18" s="24" t="str">
        <f aca="false">IF(OR(B18="",G18="",H18=""),"",IFERROR(INDEX(Settings!$E$5:$E$49,MATCH(G18,Settings!$D$5:$D$49,0))&amp;INDEX(Settings!$H$5:$H$47,MATCH(H18,Settings!$G$5:$G$47,0))&amp;"-"&amp;TEXT(B18,"yymmdd")&amp;"-"&amp;IF(C18="","0000",TEXT(C18,"hhmm")),"CHECK LISTS"))</f>
        <v/>
      </c>
      <c r="B18" s="39"/>
      <c r="C18" s="40"/>
      <c r="D18" s="24" t="str">
        <f aca="false">IF(B18="","",TEXT(B18,"ddd"))</f>
        <v/>
      </c>
      <c r="E18" s="27" t="str">
        <f aca="false">IF(B18="","",B18-WEEKDAY(B18,3))</f>
        <v/>
      </c>
      <c r="F18" s="24" t="str">
        <f aca="false">IF(B18="","",TEXT(B18,"yyyy-mm"))</f>
        <v/>
      </c>
      <c r="G18" s="29"/>
      <c r="H18" s="29"/>
      <c r="I18" s="29"/>
      <c r="J18" s="29"/>
      <c r="K18" s="29"/>
      <c r="L18" s="29"/>
      <c r="M18" s="29"/>
      <c r="N18" s="29"/>
      <c r="O18" s="29"/>
      <c r="P18" s="29"/>
      <c r="Q18" s="30"/>
      <c r="R18" s="29"/>
      <c r="S18" s="32"/>
      <c r="T18" s="29"/>
      <c r="U18" s="29"/>
      <c r="V18" s="24" t="str">
        <f aca="false">IF(A18="","",IFERROR(INDEX(Settings!$F$5:$F$49,MATCH(G18,Settings!$D$5:$D$49,0)),""))</f>
        <v/>
      </c>
      <c r="W18" s="24" t="str">
        <f aca="false">IF(A18="","",IF(OR(P18="",P18="Organic"),"social","paid_social"))</f>
        <v/>
      </c>
      <c r="X18" s="24" t="str">
        <f aca="false">IF(A18="","",IF(K18&lt;&gt;"",IFERROR(INDEX('Case Studies'!$C$5:$C$54,MATCH(K18,'Case Studies'!$B$5:$B$54,0))&amp;"","case-study"),IF(J18&lt;&gt;"",IFERROR(INDEX(Settings!$J$5:$J$55,MATCH(J18,Settings!$I$5:$I$55,0)),"general"),"general")))</f>
        <v/>
      </c>
      <c r="Y18" s="24" t="str">
        <f aca="false">IF(A18="","",LOWER(A18))</f>
        <v/>
      </c>
      <c r="Z18" s="24" t="str">
        <f aca="false">IF(A18="","",IF(T18="",Settings!$B$5,T18)&amp;IF(ISNUMBER(FIND("?",IF(T18="",Settings!$B$5,T18))),"&amp;","?")&amp;"utm_source="&amp;V18&amp;"&amp;utm_medium="&amp;W18&amp;"&amp;utm_campaign="&amp;X18&amp;"&amp;utm_content="&amp;Y18)</f>
        <v/>
      </c>
      <c r="AA18" s="29"/>
      <c r="AB18" s="39"/>
      <c r="AC18" s="32"/>
      <c r="AD18" s="32"/>
      <c r="AE18" s="32"/>
      <c r="AF18" s="32"/>
      <c r="AG18" s="32"/>
      <c r="AH18" s="32"/>
      <c r="AI18" s="32"/>
      <c r="AJ18" s="32"/>
      <c r="AK18" s="32"/>
      <c r="AL18" s="32"/>
      <c r="AM18" s="32"/>
      <c r="AN18" s="32"/>
      <c r="AO18" s="33" t="str">
        <f aca="false">IF(A18="","",IF(AD18&lt;&gt;"",AD18,IF(AC18&lt;&gt;"",AC18,"")))</f>
        <v/>
      </c>
      <c r="AP18" s="24" t="str">
        <f aca="false">IF(AO18="","",IF(AD18&lt;&gt;"","Reported reach","Impressions (proxy)"))</f>
        <v/>
      </c>
      <c r="AQ18" s="34" t="str">
        <f aca="false">IF(OR(AO18="",N(S18)=0),"",AO18/S18)</f>
        <v/>
      </c>
      <c r="AR18" s="33" t="str">
        <f aca="false">IF(A18="","",IF(COUNT(AF18:AJ18)=0,"",SUM(AF18:AJ18)))</f>
        <v/>
      </c>
      <c r="AS18" s="34" t="str">
        <f aca="false">IF(OR(AR18="",N(AO18)=0),"",AR18/AO18)</f>
        <v/>
      </c>
      <c r="AT18" s="34" t="str">
        <f aca="false">IF(OR(AR18="",N(AC18)=0),"",AR18/AC18)</f>
        <v/>
      </c>
      <c r="AU18" s="34" t="str">
        <f aca="false">IF(OR(AR18="",N(S18)=0),"",AR18/S18)</f>
        <v/>
      </c>
      <c r="AV18" s="34" t="str">
        <f aca="false">IF(OR(AJ18="",N(AC18)=0),"",AJ18/AC18)</f>
        <v/>
      </c>
      <c r="AW18" s="34" t="str">
        <f aca="false">IF(OR(AH18="",N(AO18)=0),"",AH18/AO18)</f>
        <v/>
      </c>
      <c r="AX18" s="35" t="str">
        <f aca="false">IF(OR(AR18="",N(AO18)=0),"",(N(AF18)*Settings!$B$6+N(AG18)*Settings!$B$7+N(AH18)*Settings!$B$8+N(AI18)*Settings!$B$9+N(AJ18)*Settings!$B$10)/AO18*1000)</f>
        <v/>
      </c>
      <c r="AY18" s="36" t="str">
        <f aca="false">IF(AS18="","",IFERROR(AS18/AVERAGEIFS('Post Tracker'!$AS$5:$AS$1004,'Post Tracker'!$G$5:$G$1004,G18),""))</f>
        <v/>
      </c>
      <c r="AZ18" s="32"/>
      <c r="BA18" s="32"/>
      <c r="BB18" s="32"/>
      <c r="BC18" s="32"/>
      <c r="BD18" s="33" t="str">
        <f aca="false">IF(A18="","",COUNTIFS('Demo Pipeline'!$Q$5:$Q$504,A18))</f>
        <v/>
      </c>
      <c r="BE18" s="33" t="str">
        <f aca="false">IF(A18="","",COUNTIFS('Demo Pipeline'!$Q$5:$Q$504,A18,'Demo Pipeline'!$W$5:$W$504,"Attended"))</f>
        <v/>
      </c>
      <c r="BF18" s="33" t="str">
        <f aca="false">IF(A18="","",COUNTIFS('Demo Pipeline'!$Q$5:$Q$504,A18,'Demo Pipeline'!$X$5:$X$504,"Yes"))</f>
        <v/>
      </c>
      <c r="BG18" s="33" t="str">
        <f aca="false">IF(A18="","",COUNTIFS('Demo Pipeline'!$Q$5:$Q$504,A18,'Demo Pipeline'!$Y$5:$Y$504,"Closed Won"))</f>
        <v/>
      </c>
      <c r="BH18" s="37" t="str">
        <f aca="false">IF(A18="","",SUMIFS('Demo Pipeline'!$Z$5:$Z$504,'Demo Pipeline'!$Q$5:$Q$504,A18))</f>
        <v/>
      </c>
      <c r="BI18" s="34" t="str">
        <f aca="false">IF(OR(AZ18="",N(AJ18)=0),"",AZ18/AJ18)</f>
        <v/>
      </c>
      <c r="BJ18" s="34" t="str">
        <f aca="false">IF(OR(BB18="",N(AZ18)=0),"",BB18/AZ18)</f>
        <v/>
      </c>
      <c r="BK18" s="34" t="str">
        <f aca="false">IF(OR(A18="",N(BB18)=0),"",BD18/BB18)</f>
        <v/>
      </c>
      <c r="BL18" s="34" t="str">
        <f aca="false">IF(OR(A18="",N(AZ18)=0),"",BD18/AZ18)</f>
        <v/>
      </c>
      <c r="BM18" s="37" t="str">
        <f aca="false">IF(OR(N(Q18)=0,N(BD18)=0),"",Q18/BD18)</f>
        <v/>
      </c>
      <c r="BN18" s="29"/>
      <c r="BO18" s="29"/>
      <c r="BP18" s="33" t="str">
        <f aca="false">IF(OR(AR18="",N(AO18)=0),"",AR18)</f>
        <v/>
      </c>
      <c r="BQ18" s="33" t="str">
        <f aca="false">IF(OR(AR18="",N(S18)=0),"",S18)</f>
        <v/>
      </c>
      <c r="BR18" s="38" t="str">
        <f aca="false">IF(AND(ISNUMBER(B18),B18&gt;=Dashboard!$C$4,B18&lt;=Dashboard!$F$4,ISNUMBER(AU18)),AU18+ROW()/10^9,"")</f>
        <v/>
      </c>
      <c r="BS18" s="38" t="str">
        <f aca="false">IF(AND(ISNUMBER(B18),B18&gt;=Dashboard!$C$4,B18&lt;=Dashboard!$F$4,A18&lt;&gt;""),N(BD18)+N(AU18)/100+ROW()/10^9,"")</f>
        <v/>
      </c>
    </row>
    <row r="19" customFormat="false" ht="15" hidden="false" customHeight="false" outlineLevel="0" collapsed="false">
      <c r="A19" s="24" t="str">
        <f aca="false">IF(OR(B19="",G19="",H19=""),"",IFERROR(INDEX(Settings!$E$5:$E$49,MATCH(G19,Settings!$D$5:$D$49,0))&amp;INDEX(Settings!$H$5:$H$47,MATCH(H19,Settings!$G$5:$G$47,0))&amp;"-"&amp;TEXT(B19,"yymmdd")&amp;"-"&amp;IF(C19="","0000",TEXT(C19,"hhmm")),"CHECK LISTS"))</f>
        <v/>
      </c>
      <c r="B19" s="39"/>
      <c r="C19" s="40"/>
      <c r="D19" s="24" t="str">
        <f aca="false">IF(B19="","",TEXT(B19,"ddd"))</f>
        <v/>
      </c>
      <c r="E19" s="27" t="str">
        <f aca="false">IF(B19="","",B19-WEEKDAY(B19,3))</f>
        <v/>
      </c>
      <c r="F19" s="24" t="str">
        <f aca="false">IF(B19="","",TEXT(B19,"yyyy-mm"))</f>
        <v/>
      </c>
      <c r="G19" s="29"/>
      <c r="H19" s="29"/>
      <c r="I19" s="29"/>
      <c r="J19" s="29"/>
      <c r="K19" s="29"/>
      <c r="L19" s="29"/>
      <c r="M19" s="29"/>
      <c r="N19" s="29"/>
      <c r="O19" s="29"/>
      <c r="P19" s="29"/>
      <c r="Q19" s="30"/>
      <c r="R19" s="29"/>
      <c r="S19" s="32"/>
      <c r="T19" s="29"/>
      <c r="U19" s="29"/>
      <c r="V19" s="24" t="str">
        <f aca="false">IF(A19="","",IFERROR(INDEX(Settings!$F$5:$F$49,MATCH(G19,Settings!$D$5:$D$49,0)),""))</f>
        <v/>
      </c>
      <c r="W19" s="24" t="str">
        <f aca="false">IF(A19="","",IF(OR(P19="",P19="Organic"),"social","paid_social"))</f>
        <v/>
      </c>
      <c r="X19" s="24" t="str">
        <f aca="false">IF(A19="","",IF(K19&lt;&gt;"",IFERROR(INDEX('Case Studies'!$C$5:$C$54,MATCH(K19,'Case Studies'!$B$5:$B$54,0))&amp;"","case-study"),IF(J19&lt;&gt;"",IFERROR(INDEX(Settings!$J$5:$J$55,MATCH(J19,Settings!$I$5:$I$55,0)),"general"),"general")))</f>
        <v/>
      </c>
      <c r="Y19" s="24" t="str">
        <f aca="false">IF(A19="","",LOWER(A19))</f>
        <v/>
      </c>
      <c r="Z19" s="24" t="str">
        <f aca="false">IF(A19="","",IF(T19="",Settings!$B$5,T19)&amp;IF(ISNUMBER(FIND("?",IF(T19="",Settings!$B$5,T19))),"&amp;","?")&amp;"utm_source="&amp;V19&amp;"&amp;utm_medium="&amp;W19&amp;"&amp;utm_campaign="&amp;X19&amp;"&amp;utm_content="&amp;Y19)</f>
        <v/>
      </c>
      <c r="AA19" s="29"/>
      <c r="AB19" s="39"/>
      <c r="AC19" s="32"/>
      <c r="AD19" s="32"/>
      <c r="AE19" s="32"/>
      <c r="AF19" s="32"/>
      <c r="AG19" s="32"/>
      <c r="AH19" s="32"/>
      <c r="AI19" s="32"/>
      <c r="AJ19" s="32"/>
      <c r="AK19" s="32"/>
      <c r="AL19" s="32"/>
      <c r="AM19" s="32"/>
      <c r="AN19" s="32"/>
      <c r="AO19" s="33" t="str">
        <f aca="false">IF(A19="","",IF(AD19&lt;&gt;"",AD19,IF(AC19&lt;&gt;"",AC19,"")))</f>
        <v/>
      </c>
      <c r="AP19" s="24" t="str">
        <f aca="false">IF(AO19="","",IF(AD19&lt;&gt;"","Reported reach","Impressions (proxy)"))</f>
        <v/>
      </c>
      <c r="AQ19" s="34" t="str">
        <f aca="false">IF(OR(AO19="",N(S19)=0),"",AO19/S19)</f>
        <v/>
      </c>
      <c r="AR19" s="33" t="str">
        <f aca="false">IF(A19="","",IF(COUNT(AF19:AJ19)=0,"",SUM(AF19:AJ19)))</f>
        <v/>
      </c>
      <c r="AS19" s="34" t="str">
        <f aca="false">IF(OR(AR19="",N(AO19)=0),"",AR19/AO19)</f>
        <v/>
      </c>
      <c r="AT19" s="34" t="str">
        <f aca="false">IF(OR(AR19="",N(AC19)=0),"",AR19/AC19)</f>
        <v/>
      </c>
      <c r="AU19" s="34" t="str">
        <f aca="false">IF(OR(AR19="",N(S19)=0),"",AR19/S19)</f>
        <v/>
      </c>
      <c r="AV19" s="34" t="str">
        <f aca="false">IF(OR(AJ19="",N(AC19)=0),"",AJ19/AC19)</f>
        <v/>
      </c>
      <c r="AW19" s="34" t="str">
        <f aca="false">IF(OR(AH19="",N(AO19)=0),"",AH19/AO19)</f>
        <v/>
      </c>
      <c r="AX19" s="35" t="str">
        <f aca="false">IF(OR(AR19="",N(AO19)=0),"",(N(AF19)*Settings!$B$6+N(AG19)*Settings!$B$7+N(AH19)*Settings!$B$8+N(AI19)*Settings!$B$9+N(AJ19)*Settings!$B$10)/AO19*1000)</f>
        <v/>
      </c>
      <c r="AY19" s="36" t="str">
        <f aca="false">IF(AS19="","",IFERROR(AS19/AVERAGEIFS('Post Tracker'!$AS$5:$AS$1004,'Post Tracker'!$G$5:$G$1004,G19),""))</f>
        <v/>
      </c>
      <c r="AZ19" s="32"/>
      <c r="BA19" s="32"/>
      <c r="BB19" s="32"/>
      <c r="BC19" s="32"/>
      <c r="BD19" s="33" t="str">
        <f aca="false">IF(A19="","",COUNTIFS('Demo Pipeline'!$Q$5:$Q$504,A19))</f>
        <v/>
      </c>
      <c r="BE19" s="33" t="str">
        <f aca="false">IF(A19="","",COUNTIFS('Demo Pipeline'!$Q$5:$Q$504,A19,'Demo Pipeline'!$W$5:$W$504,"Attended"))</f>
        <v/>
      </c>
      <c r="BF19" s="33" t="str">
        <f aca="false">IF(A19="","",COUNTIFS('Demo Pipeline'!$Q$5:$Q$504,A19,'Demo Pipeline'!$X$5:$X$504,"Yes"))</f>
        <v/>
      </c>
      <c r="BG19" s="33" t="str">
        <f aca="false">IF(A19="","",COUNTIFS('Demo Pipeline'!$Q$5:$Q$504,A19,'Demo Pipeline'!$Y$5:$Y$504,"Closed Won"))</f>
        <v/>
      </c>
      <c r="BH19" s="37" t="str">
        <f aca="false">IF(A19="","",SUMIFS('Demo Pipeline'!$Z$5:$Z$504,'Demo Pipeline'!$Q$5:$Q$504,A19))</f>
        <v/>
      </c>
      <c r="BI19" s="34" t="str">
        <f aca="false">IF(OR(AZ19="",N(AJ19)=0),"",AZ19/AJ19)</f>
        <v/>
      </c>
      <c r="BJ19" s="34" t="str">
        <f aca="false">IF(OR(BB19="",N(AZ19)=0),"",BB19/AZ19)</f>
        <v/>
      </c>
      <c r="BK19" s="34" t="str">
        <f aca="false">IF(OR(A19="",N(BB19)=0),"",BD19/BB19)</f>
        <v/>
      </c>
      <c r="BL19" s="34" t="str">
        <f aca="false">IF(OR(A19="",N(AZ19)=0),"",BD19/AZ19)</f>
        <v/>
      </c>
      <c r="BM19" s="37" t="str">
        <f aca="false">IF(OR(N(Q19)=0,N(BD19)=0),"",Q19/BD19)</f>
        <v/>
      </c>
      <c r="BN19" s="29"/>
      <c r="BO19" s="29"/>
      <c r="BP19" s="33" t="str">
        <f aca="false">IF(OR(AR19="",N(AO19)=0),"",AR19)</f>
        <v/>
      </c>
      <c r="BQ19" s="33" t="str">
        <f aca="false">IF(OR(AR19="",N(S19)=0),"",S19)</f>
        <v/>
      </c>
      <c r="BR19" s="38" t="str">
        <f aca="false">IF(AND(ISNUMBER(B19),B19&gt;=Dashboard!$C$4,B19&lt;=Dashboard!$F$4,ISNUMBER(AU19)),AU19+ROW()/10^9,"")</f>
        <v/>
      </c>
      <c r="BS19" s="38" t="str">
        <f aca="false">IF(AND(ISNUMBER(B19),B19&gt;=Dashboard!$C$4,B19&lt;=Dashboard!$F$4,A19&lt;&gt;""),N(BD19)+N(AU19)/100+ROW()/10^9,"")</f>
        <v/>
      </c>
    </row>
    <row r="20" customFormat="false" ht="15" hidden="false" customHeight="false" outlineLevel="0" collapsed="false">
      <c r="A20" s="24" t="str">
        <f aca="false">IF(OR(B20="",G20="",H20=""),"",IFERROR(INDEX(Settings!$E$5:$E$49,MATCH(G20,Settings!$D$5:$D$49,0))&amp;INDEX(Settings!$H$5:$H$47,MATCH(H20,Settings!$G$5:$G$47,0))&amp;"-"&amp;TEXT(B20,"yymmdd")&amp;"-"&amp;IF(C20="","0000",TEXT(C20,"hhmm")),"CHECK LISTS"))</f>
        <v/>
      </c>
      <c r="B20" s="39"/>
      <c r="C20" s="40"/>
      <c r="D20" s="24" t="str">
        <f aca="false">IF(B20="","",TEXT(B20,"ddd"))</f>
        <v/>
      </c>
      <c r="E20" s="27" t="str">
        <f aca="false">IF(B20="","",B20-WEEKDAY(B20,3))</f>
        <v/>
      </c>
      <c r="F20" s="24" t="str">
        <f aca="false">IF(B20="","",TEXT(B20,"yyyy-mm"))</f>
        <v/>
      </c>
      <c r="G20" s="29"/>
      <c r="H20" s="29"/>
      <c r="I20" s="29"/>
      <c r="J20" s="29"/>
      <c r="K20" s="29"/>
      <c r="L20" s="29"/>
      <c r="M20" s="29"/>
      <c r="N20" s="29"/>
      <c r="O20" s="29"/>
      <c r="P20" s="29"/>
      <c r="Q20" s="30"/>
      <c r="R20" s="29"/>
      <c r="S20" s="32"/>
      <c r="T20" s="29"/>
      <c r="U20" s="29"/>
      <c r="V20" s="24" t="str">
        <f aca="false">IF(A20="","",IFERROR(INDEX(Settings!$F$5:$F$49,MATCH(G20,Settings!$D$5:$D$49,0)),""))</f>
        <v/>
      </c>
      <c r="W20" s="24" t="str">
        <f aca="false">IF(A20="","",IF(OR(P20="",P20="Organic"),"social","paid_social"))</f>
        <v/>
      </c>
      <c r="X20" s="24" t="str">
        <f aca="false">IF(A20="","",IF(K20&lt;&gt;"",IFERROR(INDEX('Case Studies'!$C$5:$C$54,MATCH(K20,'Case Studies'!$B$5:$B$54,0))&amp;"","case-study"),IF(J20&lt;&gt;"",IFERROR(INDEX(Settings!$J$5:$J$55,MATCH(J20,Settings!$I$5:$I$55,0)),"general"),"general")))</f>
        <v/>
      </c>
      <c r="Y20" s="24" t="str">
        <f aca="false">IF(A20="","",LOWER(A20))</f>
        <v/>
      </c>
      <c r="Z20" s="24" t="str">
        <f aca="false">IF(A20="","",IF(T20="",Settings!$B$5,T20)&amp;IF(ISNUMBER(FIND("?",IF(T20="",Settings!$B$5,T20))),"&amp;","?")&amp;"utm_source="&amp;V20&amp;"&amp;utm_medium="&amp;W20&amp;"&amp;utm_campaign="&amp;X20&amp;"&amp;utm_content="&amp;Y20)</f>
        <v/>
      </c>
      <c r="AA20" s="29"/>
      <c r="AB20" s="39"/>
      <c r="AC20" s="32"/>
      <c r="AD20" s="32"/>
      <c r="AE20" s="32"/>
      <c r="AF20" s="32"/>
      <c r="AG20" s="32"/>
      <c r="AH20" s="32"/>
      <c r="AI20" s="32"/>
      <c r="AJ20" s="32"/>
      <c r="AK20" s="32"/>
      <c r="AL20" s="32"/>
      <c r="AM20" s="32"/>
      <c r="AN20" s="32"/>
      <c r="AO20" s="33" t="str">
        <f aca="false">IF(A20="","",IF(AD20&lt;&gt;"",AD20,IF(AC20&lt;&gt;"",AC20,"")))</f>
        <v/>
      </c>
      <c r="AP20" s="24" t="str">
        <f aca="false">IF(AO20="","",IF(AD20&lt;&gt;"","Reported reach","Impressions (proxy)"))</f>
        <v/>
      </c>
      <c r="AQ20" s="34" t="str">
        <f aca="false">IF(OR(AO20="",N(S20)=0),"",AO20/S20)</f>
        <v/>
      </c>
      <c r="AR20" s="33" t="str">
        <f aca="false">IF(A20="","",IF(COUNT(AF20:AJ20)=0,"",SUM(AF20:AJ20)))</f>
        <v/>
      </c>
      <c r="AS20" s="34" t="str">
        <f aca="false">IF(OR(AR20="",N(AO20)=0),"",AR20/AO20)</f>
        <v/>
      </c>
      <c r="AT20" s="34" t="str">
        <f aca="false">IF(OR(AR20="",N(AC20)=0),"",AR20/AC20)</f>
        <v/>
      </c>
      <c r="AU20" s="34" t="str">
        <f aca="false">IF(OR(AR20="",N(S20)=0),"",AR20/S20)</f>
        <v/>
      </c>
      <c r="AV20" s="34" t="str">
        <f aca="false">IF(OR(AJ20="",N(AC20)=0),"",AJ20/AC20)</f>
        <v/>
      </c>
      <c r="AW20" s="34" t="str">
        <f aca="false">IF(OR(AH20="",N(AO20)=0),"",AH20/AO20)</f>
        <v/>
      </c>
      <c r="AX20" s="35" t="str">
        <f aca="false">IF(OR(AR20="",N(AO20)=0),"",(N(AF20)*Settings!$B$6+N(AG20)*Settings!$B$7+N(AH20)*Settings!$B$8+N(AI20)*Settings!$B$9+N(AJ20)*Settings!$B$10)/AO20*1000)</f>
        <v/>
      </c>
      <c r="AY20" s="36" t="str">
        <f aca="false">IF(AS20="","",IFERROR(AS20/AVERAGEIFS('Post Tracker'!$AS$5:$AS$1004,'Post Tracker'!$G$5:$G$1004,G20),""))</f>
        <v/>
      </c>
      <c r="AZ20" s="32"/>
      <c r="BA20" s="32"/>
      <c r="BB20" s="32"/>
      <c r="BC20" s="32"/>
      <c r="BD20" s="33" t="str">
        <f aca="false">IF(A20="","",COUNTIFS('Demo Pipeline'!$Q$5:$Q$504,A20))</f>
        <v/>
      </c>
      <c r="BE20" s="33" t="str">
        <f aca="false">IF(A20="","",COUNTIFS('Demo Pipeline'!$Q$5:$Q$504,A20,'Demo Pipeline'!$W$5:$W$504,"Attended"))</f>
        <v/>
      </c>
      <c r="BF20" s="33" t="str">
        <f aca="false">IF(A20="","",COUNTIFS('Demo Pipeline'!$Q$5:$Q$504,A20,'Demo Pipeline'!$X$5:$X$504,"Yes"))</f>
        <v/>
      </c>
      <c r="BG20" s="33" t="str">
        <f aca="false">IF(A20="","",COUNTIFS('Demo Pipeline'!$Q$5:$Q$504,A20,'Demo Pipeline'!$Y$5:$Y$504,"Closed Won"))</f>
        <v/>
      </c>
      <c r="BH20" s="37" t="str">
        <f aca="false">IF(A20="","",SUMIFS('Demo Pipeline'!$Z$5:$Z$504,'Demo Pipeline'!$Q$5:$Q$504,A20))</f>
        <v/>
      </c>
      <c r="BI20" s="34" t="str">
        <f aca="false">IF(OR(AZ20="",N(AJ20)=0),"",AZ20/AJ20)</f>
        <v/>
      </c>
      <c r="BJ20" s="34" t="str">
        <f aca="false">IF(OR(BB20="",N(AZ20)=0),"",BB20/AZ20)</f>
        <v/>
      </c>
      <c r="BK20" s="34" t="str">
        <f aca="false">IF(OR(A20="",N(BB20)=0),"",BD20/BB20)</f>
        <v/>
      </c>
      <c r="BL20" s="34" t="str">
        <f aca="false">IF(OR(A20="",N(AZ20)=0),"",BD20/AZ20)</f>
        <v/>
      </c>
      <c r="BM20" s="37" t="str">
        <f aca="false">IF(OR(N(Q20)=0,N(BD20)=0),"",Q20/BD20)</f>
        <v/>
      </c>
      <c r="BN20" s="29"/>
      <c r="BO20" s="29"/>
      <c r="BP20" s="33" t="str">
        <f aca="false">IF(OR(AR20="",N(AO20)=0),"",AR20)</f>
        <v/>
      </c>
      <c r="BQ20" s="33" t="str">
        <f aca="false">IF(OR(AR20="",N(S20)=0),"",S20)</f>
        <v/>
      </c>
      <c r="BR20" s="38" t="str">
        <f aca="false">IF(AND(ISNUMBER(B20),B20&gt;=Dashboard!$C$4,B20&lt;=Dashboard!$F$4,ISNUMBER(AU20)),AU20+ROW()/10^9,"")</f>
        <v/>
      </c>
      <c r="BS20" s="38" t="str">
        <f aca="false">IF(AND(ISNUMBER(B20),B20&gt;=Dashboard!$C$4,B20&lt;=Dashboard!$F$4,A20&lt;&gt;""),N(BD20)+N(AU20)/100+ROW()/10^9,"")</f>
        <v/>
      </c>
    </row>
    <row r="21" customFormat="false" ht="15" hidden="false" customHeight="false" outlineLevel="0" collapsed="false">
      <c r="A21" s="24" t="str">
        <f aca="false">IF(OR(B21="",G21="",H21=""),"",IFERROR(INDEX(Settings!$E$5:$E$49,MATCH(G21,Settings!$D$5:$D$49,0))&amp;INDEX(Settings!$H$5:$H$47,MATCH(H21,Settings!$G$5:$G$47,0))&amp;"-"&amp;TEXT(B21,"yymmdd")&amp;"-"&amp;IF(C21="","0000",TEXT(C21,"hhmm")),"CHECK LISTS"))</f>
        <v/>
      </c>
      <c r="B21" s="39"/>
      <c r="C21" s="40"/>
      <c r="D21" s="24" t="str">
        <f aca="false">IF(B21="","",TEXT(B21,"ddd"))</f>
        <v/>
      </c>
      <c r="E21" s="27" t="str">
        <f aca="false">IF(B21="","",B21-WEEKDAY(B21,3))</f>
        <v/>
      </c>
      <c r="F21" s="24" t="str">
        <f aca="false">IF(B21="","",TEXT(B21,"yyyy-mm"))</f>
        <v/>
      </c>
      <c r="G21" s="29"/>
      <c r="H21" s="29"/>
      <c r="I21" s="29"/>
      <c r="J21" s="29"/>
      <c r="K21" s="29"/>
      <c r="L21" s="29"/>
      <c r="M21" s="29"/>
      <c r="N21" s="29"/>
      <c r="O21" s="29"/>
      <c r="P21" s="29"/>
      <c r="Q21" s="30"/>
      <c r="R21" s="29"/>
      <c r="S21" s="32"/>
      <c r="T21" s="29"/>
      <c r="U21" s="29"/>
      <c r="V21" s="24" t="str">
        <f aca="false">IF(A21="","",IFERROR(INDEX(Settings!$F$5:$F$49,MATCH(G21,Settings!$D$5:$D$49,0)),""))</f>
        <v/>
      </c>
      <c r="W21" s="24" t="str">
        <f aca="false">IF(A21="","",IF(OR(P21="",P21="Organic"),"social","paid_social"))</f>
        <v/>
      </c>
      <c r="X21" s="24" t="str">
        <f aca="false">IF(A21="","",IF(K21&lt;&gt;"",IFERROR(INDEX('Case Studies'!$C$5:$C$54,MATCH(K21,'Case Studies'!$B$5:$B$54,0))&amp;"","case-study"),IF(J21&lt;&gt;"",IFERROR(INDEX(Settings!$J$5:$J$55,MATCH(J21,Settings!$I$5:$I$55,0)),"general"),"general")))</f>
        <v/>
      </c>
      <c r="Y21" s="24" t="str">
        <f aca="false">IF(A21="","",LOWER(A21))</f>
        <v/>
      </c>
      <c r="Z21" s="24" t="str">
        <f aca="false">IF(A21="","",IF(T21="",Settings!$B$5,T21)&amp;IF(ISNUMBER(FIND("?",IF(T21="",Settings!$B$5,T21))),"&amp;","?")&amp;"utm_source="&amp;V21&amp;"&amp;utm_medium="&amp;W21&amp;"&amp;utm_campaign="&amp;X21&amp;"&amp;utm_content="&amp;Y21)</f>
        <v/>
      </c>
      <c r="AA21" s="29"/>
      <c r="AB21" s="39"/>
      <c r="AC21" s="32"/>
      <c r="AD21" s="32"/>
      <c r="AE21" s="32"/>
      <c r="AF21" s="32"/>
      <c r="AG21" s="32"/>
      <c r="AH21" s="32"/>
      <c r="AI21" s="32"/>
      <c r="AJ21" s="32"/>
      <c r="AK21" s="32"/>
      <c r="AL21" s="32"/>
      <c r="AM21" s="32"/>
      <c r="AN21" s="32"/>
      <c r="AO21" s="33" t="str">
        <f aca="false">IF(A21="","",IF(AD21&lt;&gt;"",AD21,IF(AC21&lt;&gt;"",AC21,"")))</f>
        <v/>
      </c>
      <c r="AP21" s="24" t="str">
        <f aca="false">IF(AO21="","",IF(AD21&lt;&gt;"","Reported reach","Impressions (proxy)"))</f>
        <v/>
      </c>
      <c r="AQ21" s="34" t="str">
        <f aca="false">IF(OR(AO21="",N(S21)=0),"",AO21/S21)</f>
        <v/>
      </c>
      <c r="AR21" s="33" t="str">
        <f aca="false">IF(A21="","",IF(COUNT(AF21:AJ21)=0,"",SUM(AF21:AJ21)))</f>
        <v/>
      </c>
      <c r="AS21" s="34" t="str">
        <f aca="false">IF(OR(AR21="",N(AO21)=0),"",AR21/AO21)</f>
        <v/>
      </c>
      <c r="AT21" s="34" t="str">
        <f aca="false">IF(OR(AR21="",N(AC21)=0),"",AR21/AC21)</f>
        <v/>
      </c>
      <c r="AU21" s="34" t="str">
        <f aca="false">IF(OR(AR21="",N(S21)=0),"",AR21/S21)</f>
        <v/>
      </c>
      <c r="AV21" s="34" t="str">
        <f aca="false">IF(OR(AJ21="",N(AC21)=0),"",AJ21/AC21)</f>
        <v/>
      </c>
      <c r="AW21" s="34" t="str">
        <f aca="false">IF(OR(AH21="",N(AO21)=0),"",AH21/AO21)</f>
        <v/>
      </c>
      <c r="AX21" s="35" t="str">
        <f aca="false">IF(OR(AR21="",N(AO21)=0),"",(N(AF21)*Settings!$B$6+N(AG21)*Settings!$B$7+N(AH21)*Settings!$B$8+N(AI21)*Settings!$B$9+N(AJ21)*Settings!$B$10)/AO21*1000)</f>
        <v/>
      </c>
      <c r="AY21" s="36" t="str">
        <f aca="false">IF(AS21="","",IFERROR(AS21/AVERAGEIFS('Post Tracker'!$AS$5:$AS$1004,'Post Tracker'!$G$5:$G$1004,G21),""))</f>
        <v/>
      </c>
      <c r="AZ21" s="32"/>
      <c r="BA21" s="32"/>
      <c r="BB21" s="32"/>
      <c r="BC21" s="32"/>
      <c r="BD21" s="33" t="str">
        <f aca="false">IF(A21="","",COUNTIFS('Demo Pipeline'!$Q$5:$Q$504,A21))</f>
        <v/>
      </c>
      <c r="BE21" s="33" t="str">
        <f aca="false">IF(A21="","",COUNTIFS('Demo Pipeline'!$Q$5:$Q$504,A21,'Demo Pipeline'!$W$5:$W$504,"Attended"))</f>
        <v/>
      </c>
      <c r="BF21" s="33" t="str">
        <f aca="false">IF(A21="","",COUNTIFS('Demo Pipeline'!$Q$5:$Q$504,A21,'Demo Pipeline'!$X$5:$X$504,"Yes"))</f>
        <v/>
      </c>
      <c r="BG21" s="33" t="str">
        <f aca="false">IF(A21="","",COUNTIFS('Demo Pipeline'!$Q$5:$Q$504,A21,'Demo Pipeline'!$Y$5:$Y$504,"Closed Won"))</f>
        <v/>
      </c>
      <c r="BH21" s="37" t="str">
        <f aca="false">IF(A21="","",SUMIFS('Demo Pipeline'!$Z$5:$Z$504,'Demo Pipeline'!$Q$5:$Q$504,A21))</f>
        <v/>
      </c>
      <c r="BI21" s="34" t="str">
        <f aca="false">IF(OR(AZ21="",N(AJ21)=0),"",AZ21/AJ21)</f>
        <v/>
      </c>
      <c r="BJ21" s="34" t="str">
        <f aca="false">IF(OR(BB21="",N(AZ21)=0),"",BB21/AZ21)</f>
        <v/>
      </c>
      <c r="BK21" s="34" t="str">
        <f aca="false">IF(OR(A21="",N(BB21)=0),"",BD21/BB21)</f>
        <v/>
      </c>
      <c r="BL21" s="34" t="str">
        <f aca="false">IF(OR(A21="",N(AZ21)=0),"",BD21/AZ21)</f>
        <v/>
      </c>
      <c r="BM21" s="37" t="str">
        <f aca="false">IF(OR(N(Q21)=0,N(BD21)=0),"",Q21/BD21)</f>
        <v/>
      </c>
      <c r="BN21" s="29"/>
      <c r="BO21" s="29"/>
      <c r="BP21" s="33" t="str">
        <f aca="false">IF(OR(AR21="",N(AO21)=0),"",AR21)</f>
        <v/>
      </c>
      <c r="BQ21" s="33" t="str">
        <f aca="false">IF(OR(AR21="",N(S21)=0),"",S21)</f>
        <v/>
      </c>
      <c r="BR21" s="38" t="str">
        <f aca="false">IF(AND(ISNUMBER(B21),B21&gt;=Dashboard!$C$4,B21&lt;=Dashboard!$F$4,ISNUMBER(AU21)),AU21+ROW()/10^9,"")</f>
        <v/>
      </c>
      <c r="BS21" s="38" t="str">
        <f aca="false">IF(AND(ISNUMBER(B21),B21&gt;=Dashboard!$C$4,B21&lt;=Dashboard!$F$4,A21&lt;&gt;""),N(BD21)+N(AU21)/100+ROW()/10^9,"")</f>
        <v/>
      </c>
    </row>
    <row r="22" customFormat="false" ht="15" hidden="false" customHeight="false" outlineLevel="0" collapsed="false">
      <c r="A22" s="24" t="str">
        <f aca="false">IF(OR(B22="",G22="",H22=""),"",IFERROR(INDEX(Settings!$E$5:$E$49,MATCH(G22,Settings!$D$5:$D$49,0))&amp;INDEX(Settings!$H$5:$H$47,MATCH(H22,Settings!$G$5:$G$47,0))&amp;"-"&amp;TEXT(B22,"yymmdd")&amp;"-"&amp;IF(C22="","0000",TEXT(C22,"hhmm")),"CHECK LISTS"))</f>
        <v/>
      </c>
      <c r="B22" s="39"/>
      <c r="C22" s="40"/>
      <c r="D22" s="24" t="str">
        <f aca="false">IF(B22="","",TEXT(B22,"ddd"))</f>
        <v/>
      </c>
      <c r="E22" s="27" t="str">
        <f aca="false">IF(B22="","",B22-WEEKDAY(B22,3))</f>
        <v/>
      </c>
      <c r="F22" s="24" t="str">
        <f aca="false">IF(B22="","",TEXT(B22,"yyyy-mm"))</f>
        <v/>
      </c>
      <c r="G22" s="29"/>
      <c r="H22" s="29"/>
      <c r="I22" s="29"/>
      <c r="J22" s="29"/>
      <c r="K22" s="29"/>
      <c r="L22" s="29"/>
      <c r="M22" s="29"/>
      <c r="N22" s="29"/>
      <c r="O22" s="29"/>
      <c r="P22" s="29"/>
      <c r="Q22" s="30"/>
      <c r="R22" s="29"/>
      <c r="S22" s="32"/>
      <c r="T22" s="29"/>
      <c r="U22" s="29"/>
      <c r="V22" s="24" t="str">
        <f aca="false">IF(A22="","",IFERROR(INDEX(Settings!$F$5:$F$49,MATCH(G22,Settings!$D$5:$D$49,0)),""))</f>
        <v/>
      </c>
      <c r="W22" s="24" t="str">
        <f aca="false">IF(A22="","",IF(OR(P22="",P22="Organic"),"social","paid_social"))</f>
        <v/>
      </c>
      <c r="X22" s="24" t="str">
        <f aca="false">IF(A22="","",IF(K22&lt;&gt;"",IFERROR(INDEX('Case Studies'!$C$5:$C$54,MATCH(K22,'Case Studies'!$B$5:$B$54,0))&amp;"","case-study"),IF(J22&lt;&gt;"",IFERROR(INDEX(Settings!$J$5:$J$55,MATCH(J22,Settings!$I$5:$I$55,0)),"general"),"general")))</f>
        <v/>
      </c>
      <c r="Y22" s="24" t="str">
        <f aca="false">IF(A22="","",LOWER(A22))</f>
        <v/>
      </c>
      <c r="Z22" s="24" t="str">
        <f aca="false">IF(A22="","",IF(T22="",Settings!$B$5,T22)&amp;IF(ISNUMBER(FIND("?",IF(T22="",Settings!$B$5,T22))),"&amp;","?")&amp;"utm_source="&amp;V22&amp;"&amp;utm_medium="&amp;W22&amp;"&amp;utm_campaign="&amp;X22&amp;"&amp;utm_content="&amp;Y22)</f>
        <v/>
      </c>
      <c r="AA22" s="29"/>
      <c r="AB22" s="39"/>
      <c r="AC22" s="32"/>
      <c r="AD22" s="32"/>
      <c r="AE22" s="32"/>
      <c r="AF22" s="32"/>
      <c r="AG22" s="32"/>
      <c r="AH22" s="32"/>
      <c r="AI22" s="32"/>
      <c r="AJ22" s="32"/>
      <c r="AK22" s="32"/>
      <c r="AL22" s="32"/>
      <c r="AM22" s="32"/>
      <c r="AN22" s="32"/>
      <c r="AO22" s="33" t="str">
        <f aca="false">IF(A22="","",IF(AD22&lt;&gt;"",AD22,IF(AC22&lt;&gt;"",AC22,"")))</f>
        <v/>
      </c>
      <c r="AP22" s="24" t="str">
        <f aca="false">IF(AO22="","",IF(AD22&lt;&gt;"","Reported reach","Impressions (proxy)"))</f>
        <v/>
      </c>
      <c r="AQ22" s="34" t="str">
        <f aca="false">IF(OR(AO22="",N(S22)=0),"",AO22/S22)</f>
        <v/>
      </c>
      <c r="AR22" s="33" t="str">
        <f aca="false">IF(A22="","",IF(COUNT(AF22:AJ22)=0,"",SUM(AF22:AJ22)))</f>
        <v/>
      </c>
      <c r="AS22" s="34" t="str">
        <f aca="false">IF(OR(AR22="",N(AO22)=0),"",AR22/AO22)</f>
        <v/>
      </c>
      <c r="AT22" s="34" t="str">
        <f aca="false">IF(OR(AR22="",N(AC22)=0),"",AR22/AC22)</f>
        <v/>
      </c>
      <c r="AU22" s="34" t="str">
        <f aca="false">IF(OR(AR22="",N(S22)=0),"",AR22/S22)</f>
        <v/>
      </c>
      <c r="AV22" s="34" t="str">
        <f aca="false">IF(OR(AJ22="",N(AC22)=0),"",AJ22/AC22)</f>
        <v/>
      </c>
      <c r="AW22" s="34" t="str">
        <f aca="false">IF(OR(AH22="",N(AO22)=0),"",AH22/AO22)</f>
        <v/>
      </c>
      <c r="AX22" s="35" t="str">
        <f aca="false">IF(OR(AR22="",N(AO22)=0),"",(N(AF22)*Settings!$B$6+N(AG22)*Settings!$B$7+N(AH22)*Settings!$B$8+N(AI22)*Settings!$B$9+N(AJ22)*Settings!$B$10)/AO22*1000)</f>
        <v/>
      </c>
      <c r="AY22" s="36" t="str">
        <f aca="false">IF(AS22="","",IFERROR(AS22/AVERAGEIFS('Post Tracker'!$AS$5:$AS$1004,'Post Tracker'!$G$5:$G$1004,G22),""))</f>
        <v/>
      </c>
      <c r="AZ22" s="32"/>
      <c r="BA22" s="32"/>
      <c r="BB22" s="32"/>
      <c r="BC22" s="32"/>
      <c r="BD22" s="33" t="str">
        <f aca="false">IF(A22="","",COUNTIFS('Demo Pipeline'!$Q$5:$Q$504,A22))</f>
        <v/>
      </c>
      <c r="BE22" s="33" t="str">
        <f aca="false">IF(A22="","",COUNTIFS('Demo Pipeline'!$Q$5:$Q$504,A22,'Demo Pipeline'!$W$5:$W$504,"Attended"))</f>
        <v/>
      </c>
      <c r="BF22" s="33" t="str">
        <f aca="false">IF(A22="","",COUNTIFS('Demo Pipeline'!$Q$5:$Q$504,A22,'Demo Pipeline'!$X$5:$X$504,"Yes"))</f>
        <v/>
      </c>
      <c r="BG22" s="33" t="str">
        <f aca="false">IF(A22="","",COUNTIFS('Demo Pipeline'!$Q$5:$Q$504,A22,'Demo Pipeline'!$Y$5:$Y$504,"Closed Won"))</f>
        <v/>
      </c>
      <c r="BH22" s="37" t="str">
        <f aca="false">IF(A22="","",SUMIFS('Demo Pipeline'!$Z$5:$Z$504,'Demo Pipeline'!$Q$5:$Q$504,A22))</f>
        <v/>
      </c>
      <c r="BI22" s="34" t="str">
        <f aca="false">IF(OR(AZ22="",N(AJ22)=0),"",AZ22/AJ22)</f>
        <v/>
      </c>
      <c r="BJ22" s="34" t="str">
        <f aca="false">IF(OR(BB22="",N(AZ22)=0),"",BB22/AZ22)</f>
        <v/>
      </c>
      <c r="BK22" s="34" t="str">
        <f aca="false">IF(OR(A22="",N(BB22)=0),"",BD22/BB22)</f>
        <v/>
      </c>
      <c r="BL22" s="34" t="str">
        <f aca="false">IF(OR(A22="",N(AZ22)=0),"",BD22/AZ22)</f>
        <v/>
      </c>
      <c r="BM22" s="37" t="str">
        <f aca="false">IF(OR(N(Q22)=0,N(BD22)=0),"",Q22/BD22)</f>
        <v/>
      </c>
      <c r="BN22" s="29"/>
      <c r="BO22" s="29"/>
      <c r="BP22" s="33" t="str">
        <f aca="false">IF(OR(AR22="",N(AO22)=0),"",AR22)</f>
        <v/>
      </c>
      <c r="BQ22" s="33" t="str">
        <f aca="false">IF(OR(AR22="",N(S22)=0),"",S22)</f>
        <v/>
      </c>
      <c r="BR22" s="38" t="str">
        <f aca="false">IF(AND(ISNUMBER(B22),B22&gt;=Dashboard!$C$4,B22&lt;=Dashboard!$F$4,ISNUMBER(AU22)),AU22+ROW()/10^9,"")</f>
        <v/>
      </c>
      <c r="BS22" s="38" t="str">
        <f aca="false">IF(AND(ISNUMBER(B22),B22&gt;=Dashboard!$C$4,B22&lt;=Dashboard!$F$4,A22&lt;&gt;""),N(BD22)+N(AU22)/100+ROW()/10^9,"")</f>
        <v/>
      </c>
    </row>
    <row r="23" customFormat="false" ht="15" hidden="false" customHeight="false" outlineLevel="0" collapsed="false">
      <c r="A23" s="24" t="str">
        <f aca="false">IF(OR(B23="",G23="",H23=""),"",IFERROR(INDEX(Settings!$E$5:$E$49,MATCH(G23,Settings!$D$5:$D$49,0))&amp;INDEX(Settings!$H$5:$H$47,MATCH(H23,Settings!$G$5:$G$47,0))&amp;"-"&amp;TEXT(B23,"yymmdd")&amp;"-"&amp;IF(C23="","0000",TEXT(C23,"hhmm")),"CHECK LISTS"))</f>
        <v/>
      </c>
      <c r="B23" s="39"/>
      <c r="C23" s="40"/>
      <c r="D23" s="24" t="str">
        <f aca="false">IF(B23="","",TEXT(B23,"ddd"))</f>
        <v/>
      </c>
      <c r="E23" s="27" t="str">
        <f aca="false">IF(B23="","",B23-WEEKDAY(B23,3))</f>
        <v/>
      </c>
      <c r="F23" s="24" t="str">
        <f aca="false">IF(B23="","",TEXT(B23,"yyyy-mm"))</f>
        <v/>
      </c>
      <c r="G23" s="29"/>
      <c r="H23" s="29"/>
      <c r="I23" s="29"/>
      <c r="J23" s="29"/>
      <c r="K23" s="29"/>
      <c r="L23" s="29"/>
      <c r="M23" s="29"/>
      <c r="N23" s="29"/>
      <c r="O23" s="29"/>
      <c r="P23" s="29"/>
      <c r="Q23" s="30"/>
      <c r="R23" s="29"/>
      <c r="S23" s="32"/>
      <c r="T23" s="29"/>
      <c r="U23" s="29"/>
      <c r="V23" s="24" t="str">
        <f aca="false">IF(A23="","",IFERROR(INDEX(Settings!$F$5:$F$49,MATCH(G23,Settings!$D$5:$D$49,0)),""))</f>
        <v/>
      </c>
      <c r="W23" s="24" t="str">
        <f aca="false">IF(A23="","",IF(OR(P23="",P23="Organic"),"social","paid_social"))</f>
        <v/>
      </c>
      <c r="X23" s="24" t="str">
        <f aca="false">IF(A23="","",IF(K23&lt;&gt;"",IFERROR(INDEX('Case Studies'!$C$5:$C$54,MATCH(K23,'Case Studies'!$B$5:$B$54,0))&amp;"","case-study"),IF(J23&lt;&gt;"",IFERROR(INDEX(Settings!$J$5:$J$55,MATCH(J23,Settings!$I$5:$I$55,0)),"general"),"general")))</f>
        <v/>
      </c>
      <c r="Y23" s="24" t="str">
        <f aca="false">IF(A23="","",LOWER(A23))</f>
        <v/>
      </c>
      <c r="Z23" s="24" t="str">
        <f aca="false">IF(A23="","",IF(T23="",Settings!$B$5,T23)&amp;IF(ISNUMBER(FIND("?",IF(T23="",Settings!$B$5,T23))),"&amp;","?")&amp;"utm_source="&amp;V23&amp;"&amp;utm_medium="&amp;W23&amp;"&amp;utm_campaign="&amp;X23&amp;"&amp;utm_content="&amp;Y23)</f>
        <v/>
      </c>
      <c r="AA23" s="29"/>
      <c r="AB23" s="39"/>
      <c r="AC23" s="32"/>
      <c r="AD23" s="32"/>
      <c r="AE23" s="32"/>
      <c r="AF23" s="32"/>
      <c r="AG23" s="32"/>
      <c r="AH23" s="32"/>
      <c r="AI23" s="32"/>
      <c r="AJ23" s="32"/>
      <c r="AK23" s="32"/>
      <c r="AL23" s="32"/>
      <c r="AM23" s="32"/>
      <c r="AN23" s="32"/>
      <c r="AO23" s="33" t="str">
        <f aca="false">IF(A23="","",IF(AD23&lt;&gt;"",AD23,IF(AC23&lt;&gt;"",AC23,"")))</f>
        <v/>
      </c>
      <c r="AP23" s="24" t="str">
        <f aca="false">IF(AO23="","",IF(AD23&lt;&gt;"","Reported reach","Impressions (proxy)"))</f>
        <v/>
      </c>
      <c r="AQ23" s="34" t="str">
        <f aca="false">IF(OR(AO23="",N(S23)=0),"",AO23/S23)</f>
        <v/>
      </c>
      <c r="AR23" s="33" t="str">
        <f aca="false">IF(A23="","",IF(COUNT(AF23:AJ23)=0,"",SUM(AF23:AJ23)))</f>
        <v/>
      </c>
      <c r="AS23" s="34" t="str">
        <f aca="false">IF(OR(AR23="",N(AO23)=0),"",AR23/AO23)</f>
        <v/>
      </c>
      <c r="AT23" s="34" t="str">
        <f aca="false">IF(OR(AR23="",N(AC23)=0),"",AR23/AC23)</f>
        <v/>
      </c>
      <c r="AU23" s="34" t="str">
        <f aca="false">IF(OR(AR23="",N(S23)=0),"",AR23/S23)</f>
        <v/>
      </c>
      <c r="AV23" s="34" t="str">
        <f aca="false">IF(OR(AJ23="",N(AC23)=0),"",AJ23/AC23)</f>
        <v/>
      </c>
      <c r="AW23" s="34" t="str">
        <f aca="false">IF(OR(AH23="",N(AO23)=0),"",AH23/AO23)</f>
        <v/>
      </c>
      <c r="AX23" s="35" t="str">
        <f aca="false">IF(OR(AR23="",N(AO23)=0),"",(N(AF23)*Settings!$B$6+N(AG23)*Settings!$B$7+N(AH23)*Settings!$B$8+N(AI23)*Settings!$B$9+N(AJ23)*Settings!$B$10)/AO23*1000)</f>
        <v/>
      </c>
      <c r="AY23" s="36" t="str">
        <f aca="false">IF(AS23="","",IFERROR(AS23/AVERAGEIFS('Post Tracker'!$AS$5:$AS$1004,'Post Tracker'!$G$5:$G$1004,G23),""))</f>
        <v/>
      </c>
      <c r="AZ23" s="32"/>
      <c r="BA23" s="32"/>
      <c r="BB23" s="32"/>
      <c r="BC23" s="32"/>
      <c r="BD23" s="33" t="str">
        <f aca="false">IF(A23="","",COUNTIFS('Demo Pipeline'!$Q$5:$Q$504,A23))</f>
        <v/>
      </c>
      <c r="BE23" s="33" t="str">
        <f aca="false">IF(A23="","",COUNTIFS('Demo Pipeline'!$Q$5:$Q$504,A23,'Demo Pipeline'!$W$5:$W$504,"Attended"))</f>
        <v/>
      </c>
      <c r="BF23" s="33" t="str">
        <f aca="false">IF(A23="","",COUNTIFS('Demo Pipeline'!$Q$5:$Q$504,A23,'Demo Pipeline'!$X$5:$X$504,"Yes"))</f>
        <v/>
      </c>
      <c r="BG23" s="33" t="str">
        <f aca="false">IF(A23="","",COUNTIFS('Demo Pipeline'!$Q$5:$Q$504,A23,'Demo Pipeline'!$Y$5:$Y$504,"Closed Won"))</f>
        <v/>
      </c>
      <c r="BH23" s="37" t="str">
        <f aca="false">IF(A23="","",SUMIFS('Demo Pipeline'!$Z$5:$Z$504,'Demo Pipeline'!$Q$5:$Q$504,A23))</f>
        <v/>
      </c>
      <c r="BI23" s="34" t="str">
        <f aca="false">IF(OR(AZ23="",N(AJ23)=0),"",AZ23/AJ23)</f>
        <v/>
      </c>
      <c r="BJ23" s="34" t="str">
        <f aca="false">IF(OR(BB23="",N(AZ23)=0),"",BB23/AZ23)</f>
        <v/>
      </c>
      <c r="BK23" s="34" t="str">
        <f aca="false">IF(OR(A23="",N(BB23)=0),"",BD23/BB23)</f>
        <v/>
      </c>
      <c r="BL23" s="34" t="str">
        <f aca="false">IF(OR(A23="",N(AZ23)=0),"",BD23/AZ23)</f>
        <v/>
      </c>
      <c r="BM23" s="37" t="str">
        <f aca="false">IF(OR(N(Q23)=0,N(BD23)=0),"",Q23/BD23)</f>
        <v/>
      </c>
      <c r="BN23" s="29"/>
      <c r="BO23" s="29"/>
      <c r="BP23" s="33" t="str">
        <f aca="false">IF(OR(AR23="",N(AO23)=0),"",AR23)</f>
        <v/>
      </c>
      <c r="BQ23" s="33" t="str">
        <f aca="false">IF(OR(AR23="",N(S23)=0),"",S23)</f>
        <v/>
      </c>
      <c r="BR23" s="38" t="str">
        <f aca="false">IF(AND(ISNUMBER(B23),B23&gt;=Dashboard!$C$4,B23&lt;=Dashboard!$F$4,ISNUMBER(AU23)),AU23+ROW()/10^9,"")</f>
        <v/>
      </c>
      <c r="BS23" s="38" t="str">
        <f aca="false">IF(AND(ISNUMBER(B23),B23&gt;=Dashboard!$C$4,B23&lt;=Dashboard!$F$4,A23&lt;&gt;""),N(BD23)+N(AU23)/100+ROW()/10^9,"")</f>
        <v/>
      </c>
    </row>
    <row r="24" customFormat="false" ht="15" hidden="false" customHeight="false" outlineLevel="0" collapsed="false">
      <c r="A24" s="24" t="str">
        <f aca="false">IF(OR(B24="",G24="",H24=""),"",IFERROR(INDEX(Settings!$E$5:$E$49,MATCH(G24,Settings!$D$5:$D$49,0))&amp;INDEX(Settings!$H$5:$H$47,MATCH(H24,Settings!$G$5:$G$47,0))&amp;"-"&amp;TEXT(B24,"yymmdd")&amp;"-"&amp;IF(C24="","0000",TEXT(C24,"hhmm")),"CHECK LISTS"))</f>
        <v/>
      </c>
      <c r="B24" s="39"/>
      <c r="C24" s="40"/>
      <c r="D24" s="24" t="str">
        <f aca="false">IF(B24="","",TEXT(B24,"ddd"))</f>
        <v/>
      </c>
      <c r="E24" s="27" t="str">
        <f aca="false">IF(B24="","",B24-WEEKDAY(B24,3))</f>
        <v/>
      </c>
      <c r="F24" s="24" t="str">
        <f aca="false">IF(B24="","",TEXT(B24,"yyyy-mm"))</f>
        <v/>
      </c>
      <c r="G24" s="29"/>
      <c r="H24" s="29"/>
      <c r="I24" s="29"/>
      <c r="J24" s="29"/>
      <c r="K24" s="29"/>
      <c r="L24" s="29"/>
      <c r="M24" s="29"/>
      <c r="N24" s="29"/>
      <c r="O24" s="29"/>
      <c r="P24" s="29"/>
      <c r="Q24" s="30"/>
      <c r="R24" s="29"/>
      <c r="S24" s="32"/>
      <c r="T24" s="29"/>
      <c r="U24" s="29"/>
      <c r="V24" s="24" t="str">
        <f aca="false">IF(A24="","",IFERROR(INDEX(Settings!$F$5:$F$49,MATCH(G24,Settings!$D$5:$D$49,0)),""))</f>
        <v/>
      </c>
      <c r="W24" s="24" t="str">
        <f aca="false">IF(A24="","",IF(OR(P24="",P24="Organic"),"social","paid_social"))</f>
        <v/>
      </c>
      <c r="X24" s="24" t="str">
        <f aca="false">IF(A24="","",IF(K24&lt;&gt;"",IFERROR(INDEX('Case Studies'!$C$5:$C$54,MATCH(K24,'Case Studies'!$B$5:$B$54,0))&amp;"","case-study"),IF(J24&lt;&gt;"",IFERROR(INDEX(Settings!$J$5:$J$55,MATCH(J24,Settings!$I$5:$I$55,0)),"general"),"general")))</f>
        <v/>
      </c>
      <c r="Y24" s="24" t="str">
        <f aca="false">IF(A24="","",LOWER(A24))</f>
        <v/>
      </c>
      <c r="Z24" s="24" t="str">
        <f aca="false">IF(A24="","",IF(T24="",Settings!$B$5,T24)&amp;IF(ISNUMBER(FIND("?",IF(T24="",Settings!$B$5,T24))),"&amp;","?")&amp;"utm_source="&amp;V24&amp;"&amp;utm_medium="&amp;W24&amp;"&amp;utm_campaign="&amp;X24&amp;"&amp;utm_content="&amp;Y24)</f>
        <v/>
      </c>
      <c r="AA24" s="29"/>
      <c r="AB24" s="39"/>
      <c r="AC24" s="32"/>
      <c r="AD24" s="32"/>
      <c r="AE24" s="32"/>
      <c r="AF24" s="32"/>
      <c r="AG24" s="32"/>
      <c r="AH24" s="32"/>
      <c r="AI24" s="32"/>
      <c r="AJ24" s="32"/>
      <c r="AK24" s="32"/>
      <c r="AL24" s="32"/>
      <c r="AM24" s="32"/>
      <c r="AN24" s="32"/>
      <c r="AO24" s="33" t="str">
        <f aca="false">IF(A24="","",IF(AD24&lt;&gt;"",AD24,IF(AC24&lt;&gt;"",AC24,"")))</f>
        <v/>
      </c>
      <c r="AP24" s="24" t="str">
        <f aca="false">IF(AO24="","",IF(AD24&lt;&gt;"","Reported reach","Impressions (proxy)"))</f>
        <v/>
      </c>
      <c r="AQ24" s="34" t="str">
        <f aca="false">IF(OR(AO24="",N(S24)=0),"",AO24/S24)</f>
        <v/>
      </c>
      <c r="AR24" s="33" t="str">
        <f aca="false">IF(A24="","",IF(COUNT(AF24:AJ24)=0,"",SUM(AF24:AJ24)))</f>
        <v/>
      </c>
      <c r="AS24" s="34" t="str">
        <f aca="false">IF(OR(AR24="",N(AO24)=0),"",AR24/AO24)</f>
        <v/>
      </c>
      <c r="AT24" s="34" t="str">
        <f aca="false">IF(OR(AR24="",N(AC24)=0),"",AR24/AC24)</f>
        <v/>
      </c>
      <c r="AU24" s="34" t="str">
        <f aca="false">IF(OR(AR24="",N(S24)=0),"",AR24/S24)</f>
        <v/>
      </c>
      <c r="AV24" s="34" t="str">
        <f aca="false">IF(OR(AJ24="",N(AC24)=0),"",AJ24/AC24)</f>
        <v/>
      </c>
      <c r="AW24" s="34" t="str">
        <f aca="false">IF(OR(AH24="",N(AO24)=0),"",AH24/AO24)</f>
        <v/>
      </c>
      <c r="AX24" s="35" t="str">
        <f aca="false">IF(OR(AR24="",N(AO24)=0),"",(N(AF24)*Settings!$B$6+N(AG24)*Settings!$B$7+N(AH24)*Settings!$B$8+N(AI24)*Settings!$B$9+N(AJ24)*Settings!$B$10)/AO24*1000)</f>
        <v/>
      </c>
      <c r="AY24" s="36" t="str">
        <f aca="false">IF(AS24="","",IFERROR(AS24/AVERAGEIFS('Post Tracker'!$AS$5:$AS$1004,'Post Tracker'!$G$5:$G$1004,G24),""))</f>
        <v/>
      </c>
      <c r="AZ24" s="32"/>
      <c r="BA24" s="32"/>
      <c r="BB24" s="32"/>
      <c r="BC24" s="32"/>
      <c r="BD24" s="33" t="str">
        <f aca="false">IF(A24="","",COUNTIFS('Demo Pipeline'!$Q$5:$Q$504,A24))</f>
        <v/>
      </c>
      <c r="BE24" s="33" t="str">
        <f aca="false">IF(A24="","",COUNTIFS('Demo Pipeline'!$Q$5:$Q$504,A24,'Demo Pipeline'!$W$5:$W$504,"Attended"))</f>
        <v/>
      </c>
      <c r="BF24" s="33" t="str">
        <f aca="false">IF(A24="","",COUNTIFS('Demo Pipeline'!$Q$5:$Q$504,A24,'Demo Pipeline'!$X$5:$X$504,"Yes"))</f>
        <v/>
      </c>
      <c r="BG24" s="33" t="str">
        <f aca="false">IF(A24="","",COUNTIFS('Demo Pipeline'!$Q$5:$Q$504,A24,'Demo Pipeline'!$Y$5:$Y$504,"Closed Won"))</f>
        <v/>
      </c>
      <c r="BH24" s="37" t="str">
        <f aca="false">IF(A24="","",SUMIFS('Demo Pipeline'!$Z$5:$Z$504,'Demo Pipeline'!$Q$5:$Q$504,A24))</f>
        <v/>
      </c>
      <c r="BI24" s="34" t="str">
        <f aca="false">IF(OR(AZ24="",N(AJ24)=0),"",AZ24/AJ24)</f>
        <v/>
      </c>
      <c r="BJ24" s="34" t="str">
        <f aca="false">IF(OR(BB24="",N(AZ24)=0),"",BB24/AZ24)</f>
        <v/>
      </c>
      <c r="BK24" s="34" t="str">
        <f aca="false">IF(OR(A24="",N(BB24)=0),"",BD24/BB24)</f>
        <v/>
      </c>
      <c r="BL24" s="34" t="str">
        <f aca="false">IF(OR(A24="",N(AZ24)=0),"",BD24/AZ24)</f>
        <v/>
      </c>
      <c r="BM24" s="37" t="str">
        <f aca="false">IF(OR(N(Q24)=0,N(BD24)=0),"",Q24/BD24)</f>
        <v/>
      </c>
      <c r="BN24" s="29"/>
      <c r="BO24" s="29"/>
      <c r="BP24" s="33" t="str">
        <f aca="false">IF(OR(AR24="",N(AO24)=0),"",AR24)</f>
        <v/>
      </c>
      <c r="BQ24" s="33" t="str">
        <f aca="false">IF(OR(AR24="",N(S24)=0),"",S24)</f>
        <v/>
      </c>
      <c r="BR24" s="38" t="str">
        <f aca="false">IF(AND(ISNUMBER(B24),B24&gt;=Dashboard!$C$4,B24&lt;=Dashboard!$F$4,ISNUMBER(AU24)),AU24+ROW()/10^9,"")</f>
        <v/>
      </c>
      <c r="BS24" s="38" t="str">
        <f aca="false">IF(AND(ISNUMBER(B24),B24&gt;=Dashboard!$C$4,B24&lt;=Dashboard!$F$4,A24&lt;&gt;""),N(BD24)+N(AU24)/100+ROW()/10^9,"")</f>
        <v/>
      </c>
    </row>
    <row r="25" customFormat="false" ht="15" hidden="false" customHeight="false" outlineLevel="0" collapsed="false">
      <c r="A25" s="24" t="str">
        <f aca="false">IF(OR(B25="",G25="",H25=""),"",IFERROR(INDEX(Settings!$E$5:$E$49,MATCH(G25,Settings!$D$5:$D$49,0))&amp;INDEX(Settings!$H$5:$H$47,MATCH(H25,Settings!$G$5:$G$47,0))&amp;"-"&amp;TEXT(B25,"yymmdd")&amp;"-"&amp;IF(C25="","0000",TEXT(C25,"hhmm")),"CHECK LISTS"))</f>
        <v/>
      </c>
      <c r="B25" s="39"/>
      <c r="C25" s="40"/>
      <c r="D25" s="24" t="str">
        <f aca="false">IF(B25="","",TEXT(B25,"ddd"))</f>
        <v/>
      </c>
      <c r="E25" s="27" t="str">
        <f aca="false">IF(B25="","",B25-WEEKDAY(B25,3))</f>
        <v/>
      </c>
      <c r="F25" s="24" t="str">
        <f aca="false">IF(B25="","",TEXT(B25,"yyyy-mm"))</f>
        <v/>
      </c>
      <c r="G25" s="29"/>
      <c r="H25" s="29"/>
      <c r="I25" s="29"/>
      <c r="J25" s="29"/>
      <c r="K25" s="29"/>
      <c r="L25" s="29"/>
      <c r="M25" s="29"/>
      <c r="N25" s="29"/>
      <c r="O25" s="29"/>
      <c r="P25" s="29"/>
      <c r="Q25" s="30"/>
      <c r="R25" s="29"/>
      <c r="S25" s="32"/>
      <c r="T25" s="29"/>
      <c r="U25" s="29"/>
      <c r="V25" s="24" t="str">
        <f aca="false">IF(A25="","",IFERROR(INDEX(Settings!$F$5:$F$49,MATCH(G25,Settings!$D$5:$D$49,0)),""))</f>
        <v/>
      </c>
      <c r="W25" s="24" t="str">
        <f aca="false">IF(A25="","",IF(OR(P25="",P25="Organic"),"social","paid_social"))</f>
        <v/>
      </c>
      <c r="X25" s="24" t="str">
        <f aca="false">IF(A25="","",IF(K25&lt;&gt;"",IFERROR(INDEX('Case Studies'!$C$5:$C$54,MATCH(K25,'Case Studies'!$B$5:$B$54,0))&amp;"","case-study"),IF(J25&lt;&gt;"",IFERROR(INDEX(Settings!$J$5:$J$55,MATCH(J25,Settings!$I$5:$I$55,0)),"general"),"general")))</f>
        <v/>
      </c>
      <c r="Y25" s="24" t="str">
        <f aca="false">IF(A25="","",LOWER(A25))</f>
        <v/>
      </c>
      <c r="Z25" s="24" t="str">
        <f aca="false">IF(A25="","",IF(T25="",Settings!$B$5,T25)&amp;IF(ISNUMBER(FIND("?",IF(T25="",Settings!$B$5,T25))),"&amp;","?")&amp;"utm_source="&amp;V25&amp;"&amp;utm_medium="&amp;W25&amp;"&amp;utm_campaign="&amp;X25&amp;"&amp;utm_content="&amp;Y25)</f>
        <v/>
      </c>
      <c r="AA25" s="29"/>
      <c r="AB25" s="39"/>
      <c r="AC25" s="32"/>
      <c r="AD25" s="32"/>
      <c r="AE25" s="32"/>
      <c r="AF25" s="32"/>
      <c r="AG25" s="32"/>
      <c r="AH25" s="32"/>
      <c r="AI25" s="32"/>
      <c r="AJ25" s="32"/>
      <c r="AK25" s="32"/>
      <c r="AL25" s="32"/>
      <c r="AM25" s="32"/>
      <c r="AN25" s="32"/>
      <c r="AO25" s="33" t="str">
        <f aca="false">IF(A25="","",IF(AD25&lt;&gt;"",AD25,IF(AC25&lt;&gt;"",AC25,"")))</f>
        <v/>
      </c>
      <c r="AP25" s="24" t="str">
        <f aca="false">IF(AO25="","",IF(AD25&lt;&gt;"","Reported reach","Impressions (proxy)"))</f>
        <v/>
      </c>
      <c r="AQ25" s="34" t="str">
        <f aca="false">IF(OR(AO25="",N(S25)=0),"",AO25/S25)</f>
        <v/>
      </c>
      <c r="AR25" s="33" t="str">
        <f aca="false">IF(A25="","",IF(COUNT(AF25:AJ25)=0,"",SUM(AF25:AJ25)))</f>
        <v/>
      </c>
      <c r="AS25" s="34" t="str">
        <f aca="false">IF(OR(AR25="",N(AO25)=0),"",AR25/AO25)</f>
        <v/>
      </c>
      <c r="AT25" s="34" t="str">
        <f aca="false">IF(OR(AR25="",N(AC25)=0),"",AR25/AC25)</f>
        <v/>
      </c>
      <c r="AU25" s="34" t="str">
        <f aca="false">IF(OR(AR25="",N(S25)=0),"",AR25/S25)</f>
        <v/>
      </c>
      <c r="AV25" s="34" t="str">
        <f aca="false">IF(OR(AJ25="",N(AC25)=0),"",AJ25/AC25)</f>
        <v/>
      </c>
      <c r="AW25" s="34" t="str">
        <f aca="false">IF(OR(AH25="",N(AO25)=0),"",AH25/AO25)</f>
        <v/>
      </c>
      <c r="AX25" s="35" t="str">
        <f aca="false">IF(OR(AR25="",N(AO25)=0),"",(N(AF25)*Settings!$B$6+N(AG25)*Settings!$B$7+N(AH25)*Settings!$B$8+N(AI25)*Settings!$B$9+N(AJ25)*Settings!$B$10)/AO25*1000)</f>
        <v/>
      </c>
      <c r="AY25" s="36" t="str">
        <f aca="false">IF(AS25="","",IFERROR(AS25/AVERAGEIFS('Post Tracker'!$AS$5:$AS$1004,'Post Tracker'!$G$5:$G$1004,G25),""))</f>
        <v/>
      </c>
      <c r="AZ25" s="32"/>
      <c r="BA25" s="32"/>
      <c r="BB25" s="32"/>
      <c r="BC25" s="32"/>
      <c r="BD25" s="33" t="str">
        <f aca="false">IF(A25="","",COUNTIFS('Demo Pipeline'!$Q$5:$Q$504,A25))</f>
        <v/>
      </c>
      <c r="BE25" s="33" t="str">
        <f aca="false">IF(A25="","",COUNTIFS('Demo Pipeline'!$Q$5:$Q$504,A25,'Demo Pipeline'!$W$5:$W$504,"Attended"))</f>
        <v/>
      </c>
      <c r="BF25" s="33" t="str">
        <f aca="false">IF(A25="","",COUNTIFS('Demo Pipeline'!$Q$5:$Q$504,A25,'Demo Pipeline'!$X$5:$X$504,"Yes"))</f>
        <v/>
      </c>
      <c r="BG25" s="33" t="str">
        <f aca="false">IF(A25="","",COUNTIFS('Demo Pipeline'!$Q$5:$Q$504,A25,'Demo Pipeline'!$Y$5:$Y$504,"Closed Won"))</f>
        <v/>
      </c>
      <c r="BH25" s="37" t="str">
        <f aca="false">IF(A25="","",SUMIFS('Demo Pipeline'!$Z$5:$Z$504,'Demo Pipeline'!$Q$5:$Q$504,A25))</f>
        <v/>
      </c>
      <c r="BI25" s="34" t="str">
        <f aca="false">IF(OR(AZ25="",N(AJ25)=0),"",AZ25/AJ25)</f>
        <v/>
      </c>
      <c r="BJ25" s="34" t="str">
        <f aca="false">IF(OR(BB25="",N(AZ25)=0),"",BB25/AZ25)</f>
        <v/>
      </c>
      <c r="BK25" s="34" t="str">
        <f aca="false">IF(OR(A25="",N(BB25)=0),"",BD25/BB25)</f>
        <v/>
      </c>
      <c r="BL25" s="34" t="str">
        <f aca="false">IF(OR(A25="",N(AZ25)=0),"",BD25/AZ25)</f>
        <v/>
      </c>
      <c r="BM25" s="37" t="str">
        <f aca="false">IF(OR(N(Q25)=0,N(BD25)=0),"",Q25/BD25)</f>
        <v/>
      </c>
      <c r="BN25" s="29"/>
      <c r="BO25" s="29"/>
      <c r="BP25" s="33" t="str">
        <f aca="false">IF(OR(AR25="",N(AO25)=0),"",AR25)</f>
        <v/>
      </c>
      <c r="BQ25" s="33" t="str">
        <f aca="false">IF(OR(AR25="",N(S25)=0),"",S25)</f>
        <v/>
      </c>
      <c r="BR25" s="38" t="str">
        <f aca="false">IF(AND(ISNUMBER(B25),B25&gt;=Dashboard!$C$4,B25&lt;=Dashboard!$F$4,ISNUMBER(AU25)),AU25+ROW()/10^9,"")</f>
        <v/>
      </c>
      <c r="BS25" s="38" t="str">
        <f aca="false">IF(AND(ISNUMBER(B25),B25&gt;=Dashboard!$C$4,B25&lt;=Dashboard!$F$4,A25&lt;&gt;""),N(BD25)+N(AU25)/100+ROW()/10^9,"")</f>
        <v/>
      </c>
    </row>
    <row r="26" customFormat="false" ht="15" hidden="false" customHeight="false" outlineLevel="0" collapsed="false">
      <c r="A26" s="24" t="str">
        <f aca="false">IF(OR(B26="",G26="",H26=""),"",IFERROR(INDEX(Settings!$E$5:$E$49,MATCH(G26,Settings!$D$5:$D$49,0))&amp;INDEX(Settings!$H$5:$H$47,MATCH(H26,Settings!$G$5:$G$47,0))&amp;"-"&amp;TEXT(B26,"yymmdd")&amp;"-"&amp;IF(C26="","0000",TEXT(C26,"hhmm")),"CHECK LISTS"))</f>
        <v/>
      </c>
      <c r="B26" s="39"/>
      <c r="C26" s="40"/>
      <c r="D26" s="24" t="str">
        <f aca="false">IF(B26="","",TEXT(B26,"ddd"))</f>
        <v/>
      </c>
      <c r="E26" s="27" t="str">
        <f aca="false">IF(B26="","",B26-WEEKDAY(B26,3))</f>
        <v/>
      </c>
      <c r="F26" s="24" t="str">
        <f aca="false">IF(B26="","",TEXT(B26,"yyyy-mm"))</f>
        <v/>
      </c>
      <c r="G26" s="29"/>
      <c r="H26" s="29"/>
      <c r="I26" s="29"/>
      <c r="J26" s="29"/>
      <c r="K26" s="29"/>
      <c r="L26" s="29"/>
      <c r="M26" s="29"/>
      <c r="N26" s="29"/>
      <c r="O26" s="29"/>
      <c r="P26" s="29"/>
      <c r="Q26" s="30"/>
      <c r="R26" s="29"/>
      <c r="S26" s="32"/>
      <c r="T26" s="29"/>
      <c r="U26" s="29"/>
      <c r="V26" s="24" t="str">
        <f aca="false">IF(A26="","",IFERROR(INDEX(Settings!$F$5:$F$49,MATCH(G26,Settings!$D$5:$D$49,0)),""))</f>
        <v/>
      </c>
      <c r="W26" s="24" t="str">
        <f aca="false">IF(A26="","",IF(OR(P26="",P26="Organic"),"social","paid_social"))</f>
        <v/>
      </c>
      <c r="X26" s="24" t="str">
        <f aca="false">IF(A26="","",IF(K26&lt;&gt;"",IFERROR(INDEX('Case Studies'!$C$5:$C$54,MATCH(K26,'Case Studies'!$B$5:$B$54,0))&amp;"","case-study"),IF(J26&lt;&gt;"",IFERROR(INDEX(Settings!$J$5:$J$55,MATCH(J26,Settings!$I$5:$I$55,0)),"general"),"general")))</f>
        <v/>
      </c>
      <c r="Y26" s="24" t="str">
        <f aca="false">IF(A26="","",LOWER(A26))</f>
        <v/>
      </c>
      <c r="Z26" s="24" t="str">
        <f aca="false">IF(A26="","",IF(T26="",Settings!$B$5,T26)&amp;IF(ISNUMBER(FIND("?",IF(T26="",Settings!$B$5,T26))),"&amp;","?")&amp;"utm_source="&amp;V26&amp;"&amp;utm_medium="&amp;W26&amp;"&amp;utm_campaign="&amp;X26&amp;"&amp;utm_content="&amp;Y26)</f>
        <v/>
      </c>
      <c r="AA26" s="29"/>
      <c r="AB26" s="39"/>
      <c r="AC26" s="32"/>
      <c r="AD26" s="32"/>
      <c r="AE26" s="32"/>
      <c r="AF26" s="32"/>
      <c r="AG26" s="32"/>
      <c r="AH26" s="32"/>
      <c r="AI26" s="32"/>
      <c r="AJ26" s="32"/>
      <c r="AK26" s="32"/>
      <c r="AL26" s="32"/>
      <c r="AM26" s="32"/>
      <c r="AN26" s="32"/>
      <c r="AO26" s="33" t="str">
        <f aca="false">IF(A26="","",IF(AD26&lt;&gt;"",AD26,IF(AC26&lt;&gt;"",AC26,"")))</f>
        <v/>
      </c>
      <c r="AP26" s="24" t="str">
        <f aca="false">IF(AO26="","",IF(AD26&lt;&gt;"","Reported reach","Impressions (proxy)"))</f>
        <v/>
      </c>
      <c r="AQ26" s="34" t="str">
        <f aca="false">IF(OR(AO26="",N(S26)=0),"",AO26/S26)</f>
        <v/>
      </c>
      <c r="AR26" s="33" t="str">
        <f aca="false">IF(A26="","",IF(COUNT(AF26:AJ26)=0,"",SUM(AF26:AJ26)))</f>
        <v/>
      </c>
      <c r="AS26" s="34" t="str">
        <f aca="false">IF(OR(AR26="",N(AO26)=0),"",AR26/AO26)</f>
        <v/>
      </c>
      <c r="AT26" s="34" t="str">
        <f aca="false">IF(OR(AR26="",N(AC26)=0),"",AR26/AC26)</f>
        <v/>
      </c>
      <c r="AU26" s="34" t="str">
        <f aca="false">IF(OR(AR26="",N(S26)=0),"",AR26/S26)</f>
        <v/>
      </c>
      <c r="AV26" s="34" t="str">
        <f aca="false">IF(OR(AJ26="",N(AC26)=0),"",AJ26/AC26)</f>
        <v/>
      </c>
      <c r="AW26" s="34" t="str">
        <f aca="false">IF(OR(AH26="",N(AO26)=0),"",AH26/AO26)</f>
        <v/>
      </c>
      <c r="AX26" s="35" t="str">
        <f aca="false">IF(OR(AR26="",N(AO26)=0),"",(N(AF26)*Settings!$B$6+N(AG26)*Settings!$B$7+N(AH26)*Settings!$B$8+N(AI26)*Settings!$B$9+N(AJ26)*Settings!$B$10)/AO26*1000)</f>
        <v/>
      </c>
      <c r="AY26" s="36" t="str">
        <f aca="false">IF(AS26="","",IFERROR(AS26/AVERAGEIFS('Post Tracker'!$AS$5:$AS$1004,'Post Tracker'!$G$5:$G$1004,G26),""))</f>
        <v/>
      </c>
      <c r="AZ26" s="32"/>
      <c r="BA26" s="32"/>
      <c r="BB26" s="32"/>
      <c r="BC26" s="32"/>
      <c r="BD26" s="33" t="str">
        <f aca="false">IF(A26="","",COUNTIFS('Demo Pipeline'!$Q$5:$Q$504,A26))</f>
        <v/>
      </c>
      <c r="BE26" s="33" t="str">
        <f aca="false">IF(A26="","",COUNTIFS('Demo Pipeline'!$Q$5:$Q$504,A26,'Demo Pipeline'!$W$5:$W$504,"Attended"))</f>
        <v/>
      </c>
      <c r="BF26" s="33" t="str">
        <f aca="false">IF(A26="","",COUNTIFS('Demo Pipeline'!$Q$5:$Q$504,A26,'Demo Pipeline'!$X$5:$X$504,"Yes"))</f>
        <v/>
      </c>
      <c r="BG26" s="33" t="str">
        <f aca="false">IF(A26="","",COUNTIFS('Demo Pipeline'!$Q$5:$Q$504,A26,'Demo Pipeline'!$Y$5:$Y$504,"Closed Won"))</f>
        <v/>
      </c>
      <c r="BH26" s="37" t="str">
        <f aca="false">IF(A26="","",SUMIFS('Demo Pipeline'!$Z$5:$Z$504,'Demo Pipeline'!$Q$5:$Q$504,A26))</f>
        <v/>
      </c>
      <c r="BI26" s="34" t="str">
        <f aca="false">IF(OR(AZ26="",N(AJ26)=0),"",AZ26/AJ26)</f>
        <v/>
      </c>
      <c r="BJ26" s="34" t="str">
        <f aca="false">IF(OR(BB26="",N(AZ26)=0),"",BB26/AZ26)</f>
        <v/>
      </c>
      <c r="BK26" s="34" t="str">
        <f aca="false">IF(OR(A26="",N(BB26)=0),"",BD26/BB26)</f>
        <v/>
      </c>
      <c r="BL26" s="34" t="str">
        <f aca="false">IF(OR(A26="",N(AZ26)=0),"",BD26/AZ26)</f>
        <v/>
      </c>
      <c r="BM26" s="37" t="str">
        <f aca="false">IF(OR(N(Q26)=0,N(BD26)=0),"",Q26/BD26)</f>
        <v/>
      </c>
      <c r="BN26" s="29"/>
      <c r="BO26" s="29"/>
      <c r="BP26" s="33" t="str">
        <f aca="false">IF(OR(AR26="",N(AO26)=0),"",AR26)</f>
        <v/>
      </c>
      <c r="BQ26" s="33" t="str">
        <f aca="false">IF(OR(AR26="",N(S26)=0),"",S26)</f>
        <v/>
      </c>
      <c r="BR26" s="38" t="str">
        <f aca="false">IF(AND(ISNUMBER(B26),B26&gt;=Dashboard!$C$4,B26&lt;=Dashboard!$F$4,ISNUMBER(AU26)),AU26+ROW()/10^9,"")</f>
        <v/>
      </c>
      <c r="BS26" s="38" t="str">
        <f aca="false">IF(AND(ISNUMBER(B26),B26&gt;=Dashboard!$C$4,B26&lt;=Dashboard!$F$4,A26&lt;&gt;""),N(BD26)+N(AU26)/100+ROW()/10^9,"")</f>
        <v/>
      </c>
    </row>
    <row r="27" customFormat="false" ht="15" hidden="false" customHeight="false" outlineLevel="0" collapsed="false">
      <c r="A27" s="24" t="str">
        <f aca="false">IF(OR(B27="",G27="",H27=""),"",IFERROR(INDEX(Settings!$E$5:$E$49,MATCH(G27,Settings!$D$5:$D$49,0))&amp;INDEX(Settings!$H$5:$H$47,MATCH(H27,Settings!$G$5:$G$47,0))&amp;"-"&amp;TEXT(B27,"yymmdd")&amp;"-"&amp;IF(C27="","0000",TEXT(C27,"hhmm")),"CHECK LISTS"))</f>
        <v/>
      </c>
      <c r="B27" s="39"/>
      <c r="C27" s="40"/>
      <c r="D27" s="24" t="str">
        <f aca="false">IF(B27="","",TEXT(B27,"ddd"))</f>
        <v/>
      </c>
      <c r="E27" s="27" t="str">
        <f aca="false">IF(B27="","",B27-WEEKDAY(B27,3))</f>
        <v/>
      </c>
      <c r="F27" s="24" t="str">
        <f aca="false">IF(B27="","",TEXT(B27,"yyyy-mm"))</f>
        <v/>
      </c>
      <c r="G27" s="29"/>
      <c r="H27" s="29"/>
      <c r="I27" s="29"/>
      <c r="J27" s="29"/>
      <c r="K27" s="29"/>
      <c r="L27" s="29"/>
      <c r="M27" s="29"/>
      <c r="N27" s="29"/>
      <c r="O27" s="29"/>
      <c r="P27" s="29"/>
      <c r="Q27" s="30"/>
      <c r="R27" s="29"/>
      <c r="S27" s="32"/>
      <c r="T27" s="29"/>
      <c r="U27" s="29"/>
      <c r="V27" s="24" t="str">
        <f aca="false">IF(A27="","",IFERROR(INDEX(Settings!$F$5:$F$49,MATCH(G27,Settings!$D$5:$D$49,0)),""))</f>
        <v/>
      </c>
      <c r="W27" s="24" t="str">
        <f aca="false">IF(A27="","",IF(OR(P27="",P27="Organic"),"social","paid_social"))</f>
        <v/>
      </c>
      <c r="X27" s="24" t="str">
        <f aca="false">IF(A27="","",IF(K27&lt;&gt;"",IFERROR(INDEX('Case Studies'!$C$5:$C$54,MATCH(K27,'Case Studies'!$B$5:$B$54,0))&amp;"","case-study"),IF(J27&lt;&gt;"",IFERROR(INDEX(Settings!$J$5:$J$55,MATCH(J27,Settings!$I$5:$I$55,0)),"general"),"general")))</f>
        <v/>
      </c>
      <c r="Y27" s="24" t="str">
        <f aca="false">IF(A27="","",LOWER(A27))</f>
        <v/>
      </c>
      <c r="Z27" s="24" t="str">
        <f aca="false">IF(A27="","",IF(T27="",Settings!$B$5,T27)&amp;IF(ISNUMBER(FIND("?",IF(T27="",Settings!$B$5,T27))),"&amp;","?")&amp;"utm_source="&amp;V27&amp;"&amp;utm_medium="&amp;W27&amp;"&amp;utm_campaign="&amp;X27&amp;"&amp;utm_content="&amp;Y27)</f>
        <v/>
      </c>
      <c r="AA27" s="29"/>
      <c r="AB27" s="39"/>
      <c r="AC27" s="32"/>
      <c r="AD27" s="32"/>
      <c r="AE27" s="32"/>
      <c r="AF27" s="32"/>
      <c r="AG27" s="32"/>
      <c r="AH27" s="32"/>
      <c r="AI27" s="32"/>
      <c r="AJ27" s="32"/>
      <c r="AK27" s="32"/>
      <c r="AL27" s="32"/>
      <c r="AM27" s="32"/>
      <c r="AN27" s="32"/>
      <c r="AO27" s="33" t="str">
        <f aca="false">IF(A27="","",IF(AD27&lt;&gt;"",AD27,IF(AC27&lt;&gt;"",AC27,"")))</f>
        <v/>
      </c>
      <c r="AP27" s="24" t="str">
        <f aca="false">IF(AO27="","",IF(AD27&lt;&gt;"","Reported reach","Impressions (proxy)"))</f>
        <v/>
      </c>
      <c r="AQ27" s="34" t="str">
        <f aca="false">IF(OR(AO27="",N(S27)=0),"",AO27/S27)</f>
        <v/>
      </c>
      <c r="AR27" s="33" t="str">
        <f aca="false">IF(A27="","",IF(COUNT(AF27:AJ27)=0,"",SUM(AF27:AJ27)))</f>
        <v/>
      </c>
      <c r="AS27" s="34" t="str">
        <f aca="false">IF(OR(AR27="",N(AO27)=0),"",AR27/AO27)</f>
        <v/>
      </c>
      <c r="AT27" s="34" t="str">
        <f aca="false">IF(OR(AR27="",N(AC27)=0),"",AR27/AC27)</f>
        <v/>
      </c>
      <c r="AU27" s="34" t="str">
        <f aca="false">IF(OR(AR27="",N(S27)=0),"",AR27/S27)</f>
        <v/>
      </c>
      <c r="AV27" s="34" t="str">
        <f aca="false">IF(OR(AJ27="",N(AC27)=0),"",AJ27/AC27)</f>
        <v/>
      </c>
      <c r="AW27" s="34" t="str">
        <f aca="false">IF(OR(AH27="",N(AO27)=0),"",AH27/AO27)</f>
        <v/>
      </c>
      <c r="AX27" s="35" t="str">
        <f aca="false">IF(OR(AR27="",N(AO27)=0),"",(N(AF27)*Settings!$B$6+N(AG27)*Settings!$B$7+N(AH27)*Settings!$B$8+N(AI27)*Settings!$B$9+N(AJ27)*Settings!$B$10)/AO27*1000)</f>
        <v/>
      </c>
      <c r="AY27" s="36" t="str">
        <f aca="false">IF(AS27="","",IFERROR(AS27/AVERAGEIFS('Post Tracker'!$AS$5:$AS$1004,'Post Tracker'!$G$5:$G$1004,G27),""))</f>
        <v/>
      </c>
      <c r="AZ27" s="32"/>
      <c r="BA27" s="32"/>
      <c r="BB27" s="32"/>
      <c r="BC27" s="32"/>
      <c r="BD27" s="33" t="str">
        <f aca="false">IF(A27="","",COUNTIFS('Demo Pipeline'!$Q$5:$Q$504,A27))</f>
        <v/>
      </c>
      <c r="BE27" s="33" t="str">
        <f aca="false">IF(A27="","",COUNTIFS('Demo Pipeline'!$Q$5:$Q$504,A27,'Demo Pipeline'!$W$5:$W$504,"Attended"))</f>
        <v/>
      </c>
      <c r="BF27" s="33" t="str">
        <f aca="false">IF(A27="","",COUNTIFS('Demo Pipeline'!$Q$5:$Q$504,A27,'Demo Pipeline'!$X$5:$X$504,"Yes"))</f>
        <v/>
      </c>
      <c r="BG27" s="33" t="str">
        <f aca="false">IF(A27="","",COUNTIFS('Demo Pipeline'!$Q$5:$Q$504,A27,'Demo Pipeline'!$Y$5:$Y$504,"Closed Won"))</f>
        <v/>
      </c>
      <c r="BH27" s="37" t="str">
        <f aca="false">IF(A27="","",SUMIFS('Demo Pipeline'!$Z$5:$Z$504,'Demo Pipeline'!$Q$5:$Q$504,A27))</f>
        <v/>
      </c>
      <c r="BI27" s="34" t="str">
        <f aca="false">IF(OR(AZ27="",N(AJ27)=0),"",AZ27/AJ27)</f>
        <v/>
      </c>
      <c r="BJ27" s="34" t="str">
        <f aca="false">IF(OR(BB27="",N(AZ27)=0),"",BB27/AZ27)</f>
        <v/>
      </c>
      <c r="BK27" s="34" t="str">
        <f aca="false">IF(OR(A27="",N(BB27)=0),"",BD27/BB27)</f>
        <v/>
      </c>
      <c r="BL27" s="34" t="str">
        <f aca="false">IF(OR(A27="",N(AZ27)=0),"",BD27/AZ27)</f>
        <v/>
      </c>
      <c r="BM27" s="37" t="str">
        <f aca="false">IF(OR(N(Q27)=0,N(BD27)=0),"",Q27/BD27)</f>
        <v/>
      </c>
      <c r="BN27" s="29"/>
      <c r="BO27" s="29"/>
      <c r="BP27" s="33" t="str">
        <f aca="false">IF(OR(AR27="",N(AO27)=0),"",AR27)</f>
        <v/>
      </c>
      <c r="BQ27" s="33" t="str">
        <f aca="false">IF(OR(AR27="",N(S27)=0),"",S27)</f>
        <v/>
      </c>
      <c r="BR27" s="38" t="str">
        <f aca="false">IF(AND(ISNUMBER(B27),B27&gt;=Dashboard!$C$4,B27&lt;=Dashboard!$F$4,ISNUMBER(AU27)),AU27+ROW()/10^9,"")</f>
        <v/>
      </c>
      <c r="BS27" s="38" t="str">
        <f aca="false">IF(AND(ISNUMBER(B27),B27&gt;=Dashboard!$C$4,B27&lt;=Dashboard!$F$4,A27&lt;&gt;""),N(BD27)+N(AU27)/100+ROW()/10^9,"")</f>
        <v/>
      </c>
    </row>
    <row r="28" customFormat="false" ht="15" hidden="false" customHeight="false" outlineLevel="0" collapsed="false">
      <c r="A28" s="24" t="str">
        <f aca="false">IF(OR(B28="",G28="",H28=""),"",IFERROR(INDEX(Settings!$E$5:$E$49,MATCH(G28,Settings!$D$5:$D$49,0))&amp;INDEX(Settings!$H$5:$H$47,MATCH(H28,Settings!$G$5:$G$47,0))&amp;"-"&amp;TEXT(B28,"yymmdd")&amp;"-"&amp;IF(C28="","0000",TEXT(C28,"hhmm")),"CHECK LISTS"))</f>
        <v/>
      </c>
      <c r="B28" s="39"/>
      <c r="C28" s="40"/>
      <c r="D28" s="24" t="str">
        <f aca="false">IF(B28="","",TEXT(B28,"ddd"))</f>
        <v/>
      </c>
      <c r="E28" s="27" t="str">
        <f aca="false">IF(B28="","",B28-WEEKDAY(B28,3))</f>
        <v/>
      </c>
      <c r="F28" s="24" t="str">
        <f aca="false">IF(B28="","",TEXT(B28,"yyyy-mm"))</f>
        <v/>
      </c>
      <c r="G28" s="29"/>
      <c r="H28" s="29"/>
      <c r="I28" s="29"/>
      <c r="J28" s="29"/>
      <c r="K28" s="29"/>
      <c r="L28" s="29"/>
      <c r="M28" s="29"/>
      <c r="N28" s="29"/>
      <c r="O28" s="29"/>
      <c r="P28" s="29"/>
      <c r="Q28" s="30"/>
      <c r="R28" s="29"/>
      <c r="S28" s="32"/>
      <c r="T28" s="29"/>
      <c r="U28" s="29"/>
      <c r="V28" s="24" t="str">
        <f aca="false">IF(A28="","",IFERROR(INDEX(Settings!$F$5:$F$49,MATCH(G28,Settings!$D$5:$D$49,0)),""))</f>
        <v/>
      </c>
      <c r="W28" s="24" t="str">
        <f aca="false">IF(A28="","",IF(OR(P28="",P28="Organic"),"social","paid_social"))</f>
        <v/>
      </c>
      <c r="X28" s="24" t="str">
        <f aca="false">IF(A28="","",IF(K28&lt;&gt;"",IFERROR(INDEX('Case Studies'!$C$5:$C$54,MATCH(K28,'Case Studies'!$B$5:$B$54,0))&amp;"","case-study"),IF(J28&lt;&gt;"",IFERROR(INDEX(Settings!$J$5:$J$55,MATCH(J28,Settings!$I$5:$I$55,0)),"general"),"general")))</f>
        <v/>
      </c>
      <c r="Y28" s="24" t="str">
        <f aca="false">IF(A28="","",LOWER(A28))</f>
        <v/>
      </c>
      <c r="Z28" s="24" t="str">
        <f aca="false">IF(A28="","",IF(T28="",Settings!$B$5,T28)&amp;IF(ISNUMBER(FIND("?",IF(T28="",Settings!$B$5,T28))),"&amp;","?")&amp;"utm_source="&amp;V28&amp;"&amp;utm_medium="&amp;W28&amp;"&amp;utm_campaign="&amp;X28&amp;"&amp;utm_content="&amp;Y28)</f>
        <v/>
      </c>
      <c r="AA28" s="29"/>
      <c r="AB28" s="39"/>
      <c r="AC28" s="32"/>
      <c r="AD28" s="32"/>
      <c r="AE28" s="32"/>
      <c r="AF28" s="32"/>
      <c r="AG28" s="32"/>
      <c r="AH28" s="32"/>
      <c r="AI28" s="32"/>
      <c r="AJ28" s="32"/>
      <c r="AK28" s="32"/>
      <c r="AL28" s="32"/>
      <c r="AM28" s="32"/>
      <c r="AN28" s="32"/>
      <c r="AO28" s="33" t="str">
        <f aca="false">IF(A28="","",IF(AD28&lt;&gt;"",AD28,IF(AC28&lt;&gt;"",AC28,"")))</f>
        <v/>
      </c>
      <c r="AP28" s="24" t="str">
        <f aca="false">IF(AO28="","",IF(AD28&lt;&gt;"","Reported reach","Impressions (proxy)"))</f>
        <v/>
      </c>
      <c r="AQ28" s="34" t="str">
        <f aca="false">IF(OR(AO28="",N(S28)=0),"",AO28/S28)</f>
        <v/>
      </c>
      <c r="AR28" s="33" t="str">
        <f aca="false">IF(A28="","",IF(COUNT(AF28:AJ28)=0,"",SUM(AF28:AJ28)))</f>
        <v/>
      </c>
      <c r="AS28" s="34" t="str">
        <f aca="false">IF(OR(AR28="",N(AO28)=0),"",AR28/AO28)</f>
        <v/>
      </c>
      <c r="AT28" s="34" t="str">
        <f aca="false">IF(OR(AR28="",N(AC28)=0),"",AR28/AC28)</f>
        <v/>
      </c>
      <c r="AU28" s="34" t="str">
        <f aca="false">IF(OR(AR28="",N(S28)=0),"",AR28/S28)</f>
        <v/>
      </c>
      <c r="AV28" s="34" t="str">
        <f aca="false">IF(OR(AJ28="",N(AC28)=0),"",AJ28/AC28)</f>
        <v/>
      </c>
      <c r="AW28" s="34" t="str">
        <f aca="false">IF(OR(AH28="",N(AO28)=0),"",AH28/AO28)</f>
        <v/>
      </c>
      <c r="AX28" s="35" t="str">
        <f aca="false">IF(OR(AR28="",N(AO28)=0),"",(N(AF28)*Settings!$B$6+N(AG28)*Settings!$B$7+N(AH28)*Settings!$B$8+N(AI28)*Settings!$B$9+N(AJ28)*Settings!$B$10)/AO28*1000)</f>
        <v/>
      </c>
      <c r="AY28" s="36" t="str">
        <f aca="false">IF(AS28="","",IFERROR(AS28/AVERAGEIFS('Post Tracker'!$AS$5:$AS$1004,'Post Tracker'!$G$5:$G$1004,G28),""))</f>
        <v/>
      </c>
      <c r="AZ28" s="32"/>
      <c r="BA28" s="32"/>
      <c r="BB28" s="32"/>
      <c r="BC28" s="32"/>
      <c r="BD28" s="33" t="str">
        <f aca="false">IF(A28="","",COUNTIFS('Demo Pipeline'!$Q$5:$Q$504,A28))</f>
        <v/>
      </c>
      <c r="BE28" s="33" t="str">
        <f aca="false">IF(A28="","",COUNTIFS('Demo Pipeline'!$Q$5:$Q$504,A28,'Demo Pipeline'!$W$5:$W$504,"Attended"))</f>
        <v/>
      </c>
      <c r="BF28" s="33" t="str">
        <f aca="false">IF(A28="","",COUNTIFS('Demo Pipeline'!$Q$5:$Q$504,A28,'Demo Pipeline'!$X$5:$X$504,"Yes"))</f>
        <v/>
      </c>
      <c r="BG28" s="33" t="str">
        <f aca="false">IF(A28="","",COUNTIFS('Demo Pipeline'!$Q$5:$Q$504,A28,'Demo Pipeline'!$Y$5:$Y$504,"Closed Won"))</f>
        <v/>
      </c>
      <c r="BH28" s="37" t="str">
        <f aca="false">IF(A28="","",SUMIFS('Demo Pipeline'!$Z$5:$Z$504,'Demo Pipeline'!$Q$5:$Q$504,A28))</f>
        <v/>
      </c>
      <c r="BI28" s="34" t="str">
        <f aca="false">IF(OR(AZ28="",N(AJ28)=0),"",AZ28/AJ28)</f>
        <v/>
      </c>
      <c r="BJ28" s="34" t="str">
        <f aca="false">IF(OR(BB28="",N(AZ28)=0),"",BB28/AZ28)</f>
        <v/>
      </c>
      <c r="BK28" s="34" t="str">
        <f aca="false">IF(OR(A28="",N(BB28)=0),"",BD28/BB28)</f>
        <v/>
      </c>
      <c r="BL28" s="34" t="str">
        <f aca="false">IF(OR(A28="",N(AZ28)=0),"",BD28/AZ28)</f>
        <v/>
      </c>
      <c r="BM28" s="37" t="str">
        <f aca="false">IF(OR(N(Q28)=0,N(BD28)=0),"",Q28/BD28)</f>
        <v/>
      </c>
      <c r="BN28" s="29"/>
      <c r="BO28" s="29"/>
      <c r="BP28" s="33" t="str">
        <f aca="false">IF(OR(AR28="",N(AO28)=0),"",AR28)</f>
        <v/>
      </c>
      <c r="BQ28" s="33" t="str">
        <f aca="false">IF(OR(AR28="",N(S28)=0),"",S28)</f>
        <v/>
      </c>
      <c r="BR28" s="38" t="str">
        <f aca="false">IF(AND(ISNUMBER(B28),B28&gt;=Dashboard!$C$4,B28&lt;=Dashboard!$F$4,ISNUMBER(AU28)),AU28+ROW()/10^9,"")</f>
        <v/>
      </c>
      <c r="BS28" s="38" t="str">
        <f aca="false">IF(AND(ISNUMBER(B28),B28&gt;=Dashboard!$C$4,B28&lt;=Dashboard!$F$4,A28&lt;&gt;""),N(BD28)+N(AU28)/100+ROW()/10^9,"")</f>
        <v/>
      </c>
    </row>
    <row r="29" customFormat="false" ht="15" hidden="false" customHeight="false" outlineLevel="0" collapsed="false">
      <c r="A29" s="24" t="str">
        <f aca="false">IF(OR(B29="",G29="",H29=""),"",IFERROR(INDEX(Settings!$E$5:$E$49,MATCH(G29,Settings!$D$5:$D$49,0))&amp;INDEX(Settings!$H$5:$H$47,MATCH(H29,Settings!$G$5:$G$47,0))&amp;"-"&amp;TEXT(B29,"yymmdd")&amp;"-"&amp;IF(C29="","0000",TEXT(C29,"hhmm")),"CHECK LISTS"))</f>
        <v/>
      </c>
      <c r="B29" s="39"/>
      <c r="C29" s="40"/>
      <c r="D29" s="24" t="str">
        <f aca="false">IF(B29="","",TEXT(B29,"ddd"))</f>
        <v/>
      </c>
      <c r="E29" s="27" t="str">
        <f aca="false">IF(B29="","",B29-WEEKDAY(B29,3))</f>
        <v/>
      </c>
      <c r="F29" s="24" t="str">
        <f aca="false">IF(B29="","",TEXT(B29,"yyyy-mm"))</f>
        <v/>
      </c>
      <c r="G29" s="29"/>
      <c r="H29" s="29"/>
      <c r="I29" s="29"/>
      <c r="J29" s="29"/>
      <c r="K29" s="29"/>
      <c r="L29" s="29"/>
      <c r="M29" s="29"/>
      <c r="N29" s="29"/>
      <c r="O29" s="29"/>
      <c r="P29" s="29"/>
      <c r="Q29" s="30"/>
      <c r="R29" s="29"/>
      <c r="S29" s="32"/>
      <c r="T29" s="29"/>
      <c r="U29" s="29"/>
      <c r="V29" s="24" t="str">
        <f aca="false">IF(A29="","",IFERROR(INDEX(Settings!$F$5:$F$49,MATCH(G29,Settings!$D$5:$D$49,0)),""))</f>
        <v/>
      </c>
      <c r="W29" s="24" t="str">
        <f aca="false">IF(A29="","",IF(OR(P29="",P29="Organic"),"social","paid_social"))</f>
        <v/>
      </c>
      <c r="X29" s="24" t="str">
        <f aca="false">IF(A29="","",IF(K29&lt;&gt;"",IFERROR(INDEX('Case Studies'!$C$5:$C$54,MATCH(K29,'Case Studies'!$B$5:$B$54,0))&amp;"","case-study"),IF(J29&lt;&gt;"",IFERROR(INDEX(Settings!$J$5:$J$55,MATCH(J29,Settings!$I$5:$I$55,0)),"general"),"general")))</f>
        <v/>
      </c>
      <c r="Y29" s="24" t="str">
        <f aca="false">IF(A29="","",LOWER(A29))</f>
        <v/>
      </c>
      <c r="Z29" s="24" t="str">
        <f aca="false">IF(A29="","",IF(T29="",Settings!$B$5,T29)&amp;IF(ISNUMBER(FIND("?",IF(T29="",Settings!$B$5,T29))),"&amp;","?")&amp;"utm_source="&amp;V29&amp;"&amp;utm_medium="&amp;W29&amp;"&amp;utm_campaign="&amp;X29&amp;"&amp;utm_content="&amp;Y29)</f>
        <v/>
      </c>
      <c r="AA29" s="29"/>
      <c r="AB29" s="39"/>
      <c r="AC29" s="32"/>
      <c r="AD29" s="32"/>
      <c r="AE29" s="32"/>
      <c r="AF29" s="32"/>
      <c r="AG29" s="32"/>
      <c r="AH29" s="32"/>
      <c r="AI29" s="32"/>
      <c r="AJ29" s="32"/>
      <c r="AK29" s="32"/>
      <c r="AL29" s="32"/>
      <c r="AM29" s="32"/>
      <c r="AN29" s="32"/>
      <c r="AO29" s="33" t="str">
        <f aca="false">IF(A29="","",IF(AD29&lt;&gt;"",AD29,IF(AC29&lt;&gt;"",AC29,"")))</f>
        <v/>
      </c>
      <c r="AP29" s="24" t="str">
        <f aca="false">IF(AO29="","",IF(AD29&lt;&gt;"","Reported reach","Impressions (proxy)"))</f>
        <v/>
      </c>
      <c r="AQ29" s="34" t="str">
        <f aca="false">IF(OR(AO29="",N(S29)=0),"",AO29/S29)</f>
        <v/>
      </c>
      <c r="AR29" s="33" t="str">
        <f aca="false">IF(A29="","",IF(COUNT(AF29:AJ29)=0,"",SUM(AF29:AJ29)))</f>
        <v/>
      </c>
      <c r="AS29" s="34" t="str">
        <f aca="false">IF(OR(AR29="",N(AO29)=0),"",AR29/AO29)</f>
        <v/>
      </c>
      <c r="AT29" s="34" t="str">
        <f aca="false">IF(OR(AR29="",N(AC29)=0),"",AR29/AC29)</f>
        <v/>
      </c>
      <c r="AU29" s="34" t="str">
        <f aca="false">IF(OR(AR29="",N(S29)=0),"",AR29/S29)</f>
        <v/>
      </c>
      <c r="AV29" s="34" t="str">
        <f aca="false">IF(OR(AJ29="",N(AC29)=0),"",AJ29/AC29)</f>
        <v/>
      </c>
      <c r="AW29" s="34" t="str">
        <f aca="false">IF(OR(AH29="",N(AO29)=0),"",AH29/AO29)</f>
        <v/>
      </c>
      <c r="AX29" s="35" t="str">
        <f aca="false">IF(OR(AR29="",N(AO29)=0),"",(N(AF29)*Settings!$B$6+N(AG29)*Settings!$B$7+N(AH29)*Settings!$B$8+N(AI29)*Settings!$B$9+N(AJ29)*Settings!$B$10)/AO29*1000)</f>
        <v/>
      </c>
      <c r="AY29" s="36" t="str">
        <f aca="false">IF(AS29="","",IFERROR(AS29/AVERAGEIFS('Post Tracker'!$AS$5:$AS$1004,'Post Tracker'!$G$5:$G$1004,G29),""))</f>
        <v/>
      </c>
      <c r="AZ29" s="32"/>
      <c r="BA29" s="32"/>
      <c r="BB29" s="32"/>
      <c r="BC29" s="32"/>
      <c r="BD29" s="33" t="str">
        <f aca="false">IF(A29="","",COUNTIFS('Demo Pipeline'!$Q$5:$Q$504,A29))</f>
        <v/>
      </c>
      <c r="BE29" s="33" t="str">
        <f aca="false">IF(A29="","",COUNTIFS('Demo Pipeline'!$Q$5:$Q$504,A29,'Demo Pipeline'!$W$5:$W$504,"Attended"))</f>
        <v/>
      </c>
      <c r="BF29" s="33" t="str">
        <f aca="false">IF(A29="","",COUNTIFS('Demo Pipeline'!$Q$5:$Q$504,A29,'Demo Pipeline'!$X$5:$X$504,"Yes"))</f>
        <v/>
      </c>
      <c r="BG29" s="33" t="str">
        <f aca="false">IF(A29="","",COUNTIFS('Demo Pipeline'!$Q$5:$Q$504,A29,'Demo Pipeline'!$Y$5:$Y$504,"Closed Won"))</f>
        <v/>
      </c>
      <c r="BH29" s="37" t="str">
        <f aca="false">IF(A29="","",SUMIFS('Demo Pipeline'!$Z$5:$Z$504,'Demo Pipeline'!$Q$5:$Q$504,A29))</f>
        <v/>
      </c>
      <c r="BI29" s="34" t="str">
        <f aca="false">IF(OR(AZ29="",N(AJ29)=0),"",AZ29/AJ29)</f>
        <v/>
      </c>
      <c r="BJ29" s="34" t="str">
        <f aca="false">IF(OR(BB29="",N(AZ29)=0),"",BB29/AZ29)</f>
        <v/>
      </c>
      <c r="BK29" s="34" t="str">
        <f aca="false">IF(OR(A29="",N(BB29)=0),"",BD29/BB29)</f>
        <v/>
      </c>
      <c r="BL29" s="34" t="str">
        <f aca="false">IF(OR(A29="",N(AZ29)=0),"",BD29/AZ29)</f>
        <v/>
      </c>
      <c r="BM29" s="37" t="str">
        <f aca="false">IF(OR(N(Q29)=0,N(BD29)=0),"",Q29/BD29)</f>
        <v/>
      </c>
      <c r="BN29" s="29"/>
      <c r="BO29" s="29"/>
      <c r="BP29" s="33" t="str">
        <f aca="false">IF(OR(AR29="",N(AO29)=0),"",AR29)</f>
        <v/>
      </c>
      <c r="BQ29" s="33" t="str">
        <f aca="false">IF(OR(AR29="",N(S29)=0),"",S29)</f>
        <v/>
      </c>
      <c r="BR29" s="38" t="str">
        <f aca="false">IF(AND(ISNUMBER(B29),B29&gt;=Dashboard!$C$4,B29&lt;=Dashboard!$F$4,ISNUMBER(AU29)),AU29+ROW()/10^9,"")</f>
        <v/>
      </c>
      <c r="BS29" s="38" t="str">
        <f aca="false">IF(AND(ISNUMBER(B29),B29&gt;=Dashboard!$C$4,B29&lt;=Dashboard!$F$4,A29&lt;&gt;""),N(BD29)+N(AU29)/100+ROW()/10^9,"")</f>
        <v/>
      </c>
    </row>
    <row r="30" customFormat="false" ht="15" hidden="false" customHeight="false" outlineLevel="0" collapsed="false">
      <c r="A30" s="24" t="str">
        <f aca="false">IF(OR(B30="",G30="",H30=""),"",IFERROR(INDEX(Settings!$E$5:$E$49,MATCH(G30,Settings!$D$5:$D$49,0))&amp;INDEX(Settings!$H$5:$H$47,MATCH(H30,Settings!$G$5:$G$47,0))&amp;"-"&amp;TEXT(B30,"yymmdd")&amp;"-"&amp;IF(C30="","0000",TEXT(C30,"hhmm")),"CHECK LISTS"))</f>
        <v/>
      </c>
      <c r="B30" s="39"/>
      <c r="C30" s="40"/>
      <c r="D30" s="24" t="str">
        <f aca="false">IF(B30="","",TEXT(B30,"ddd"))</f>
        <v/>
      </c>
      <c r="E30" s="27" t="str">
        <f aca="false">IF(B30="","",B30-WEEKDAY(B30,3))</f>
        <v/>
      </c>
      <c r="F30" s="24" t="str">
        <f aca="false">IF(B30="","",TEXT(B30,"yyyy-mm"))</f>
        <v/>
      </c>
      <c r="G30" s="29"/>
      <c r="H30" s="29"/>
      <c r="I30" s="29"/>
      <c r="J30" s="29"/>
      <c r="K30" s="29"/>
      <c r="L30" s="29"/>
      <c r="M30" s="29"/>
      <c r="N30" s="29"/>
      <c r="O30" s="29"/>
      <c r="P30" s="29"/>
      <c r="Q30" s="30"/>
      <c r="R30" s="29"/>
      <c r="S30" s="32"/>
      <c r="T30" s="29"/>
      <c r="U30" s="29"/>
      <c r="V30" s="24" t="str">
        <f aca="false">IF(A30="","",IFERROR(INDEX(Settings!$F$5:$F$49,MATCH(G30,Settings!$D$5:$D$49,0)),""))</f>
        <v/>
      </c>
      <c r="W30" s="24" t="str">
        <f aca="false">IF(A30="","",IF(OR(P30="",P30="Organic"),"social","paid_social"))</f>
        <v/>
      </c>
      <c r="X30" s="24" t="str">
        <f aca="false">IF(A30="","",IF(K30&lt;&gt;"",IFERROR(INDEX('Case Studies'!$C$5:$C$54,MATCH(K30,'Case Studies'!$B$5:$B$54,0))&amp;"","case-study"),IF(J30&lt;&gt;"",IFERROR(INDEX(Settings!$J$5:$J$55,MATCH(J30,Settings!$I$5:$I$55,0)),"general"),"general")))</f>
        <v/>
      </c>
      <c r="Y30" s="24" t="str">
        <f aca="false">IF(A30="","",LOWER(A30))</f>
        <v/>
      </c>
      <c r="Z30" s="24" t="str">
        <f aca="false">IF(A30="","",IF(T30="",Settings!$B$5,T30)&amp;IF(ISNUMBER(FIND("?",IF(T30="",Settings!$B$5,T30))),"&amp;","?")&amp;"utm_source="&amp;V30&amp;"&amp;utm_medium="&amp;W30&amp;"&amp;utm_campaign="&amp;X30&amp;"&amp;utm_content="&amp;Y30)</f>
        <v/>
      </c>
      <c r="AA30" s="29"/>
      <c r="AB30" s="39"/>
      <c r="AC30" s="32"/>
      <c r="AD30" s="32"/>
      <c r="AE30" s="32"/>
      <c r="AF30" s="32"/>
      <c r="AG30" s="32"/>
      <c r="AH30" s="32"/>
      <c r="AI30" s="32"/>
      <c r="AJ30" s="32"/>
      <c r="AK30" s="32"/>
      <c r="AL30" s="32"/>
      <c r="AM30" s="32"/>
      <c r="AN30" s="32"/>
      <c r="AO30" s="33" t="str">
        <f aca="false">IF(A30="","",IF(AD30&lt;&gt;"",AD30,IF(AC30&lt;&gt;"",AC30,"")))</f>
        <v/>
      </c>
      <c r="AP30" s="24" t="str">
        <f aca="false">IF(AO30="","",IF(AD30&lt;&gt;"","Reported reach","Impressions (proxy)"))</f>
        <v/>
      </c>
      <c r="AQ30" s="34" t="str">
        <f aca="false">IF(OR(AO30="",N(S30)=0),"",AO30/S30)</f>
        <v/>
      </c>
      <c r="AR30" s="33" t="str">
        <f aca="false">IF(A30="","",IF(COUNT(AF30:AJ30)=0,"",SUM(AF30:AJ30)))</f>
        <v/>
      </c>
      <c r="AS30" s="34" t="str">
        <f aca="false">IF(OR(AR30="",N(AO30)=0),"",AR30/AO30)</f>
        <v/>
      </c>
      <c r="AT30" s="34" t="str">
        <f aca="false">IF(OR(AR30="",N(AC30)=0),"",AR30/AC30)</f>
        <v/>
      </c>
      <c r="AU30" s="34" t="str">
        <f aca="false">IF(OR(AR30="",N(S30)=0),"",AR30/S30)</f>
        <v/>
      </c>
      <c r="AV30" s="34" t="str">
        <f aca="false">IF(OR(AJ30="",N(AC30)=0),"",AJ30/AC30)</f>
        <v/>
      </c>
      <c r="AW30" s="34" t="str">
        <f aca="false">IF(OR(AH30="",N(AO30)=0),"",AH30/AO30)</f>
        <v/>
      </c>
      <c r="AX30" s="35" t="str">
        <f aca="false">IF(OR(AR30="",N(AO30)=0),"",(N(AF30)*Settings!$B$6+N(AG30)*Settings!$B$7+N(AH30)*Settings!$B$8+N(AI30)*Settings!$B$9+N(AJ30)*Settings!$B$10)/AO30*1000)</f>
        <v/>
      </c>
      <c r="AY30" s="36" t="str">
        <f aca="false">IF(AS30="","",IFERROR(AS30/AVERAGEIFS('Post Tracker'!$AS$5:$AS$1004,'Post Tracker'!$G$5:$G$1004,G30),""))</f>
        <v/>
      </c>
      <c r="AZ30" s="32"/>
      <c r="BA30" s="32"/>
      <c r="BB30" s="32"/>
      <c r="BC30" s="32"/>
      <c r="BD30" s="33" t="str">
        <f aca="false">IF(A30="","",COUNTIFS('Demo Pipeline'!$Q$5:$Q$504,A30))</f>
        <v/>
      </c>
      <c r="BE30" s="33" t="str">
        <f aca="false">IF(A30="","",COUNTIFS('Demo Pipeline'!$Q$5:$Q$504,A30,'Demo Pipeline'!$W$5:$W$504,"Attended"))</f>
        <v/>
      </c>
      <c r="BF30" s="33" t="str">
        <f aca="false">IF(A30="","",COUNTIFS('Demo Pipeline'!$Q$5:$Q$504,A30,'Demo Pipeline'!$X$5:$X$504,"Yes"))</f>
        <v/>
      </c>
      <c r="BG30" s="33" t="str">
        <f aca="false">IF(A30="","",COUNTIFS('Demo Pipeline'!$Q$5:$Q$504,A30,'Demo Pipeline'!$Y$5:$Y$504,"Closed Won"))</f>
        <v/>
      </c>
      <c r="BH30" s="37" t="str">
        <f aca="false">IF(A30="","",SUMIFS('Demo Pipeline'!$Z$5:$Z$504,'Demo Pipeline'!$Q$5:$Q$504,A30))</f>
        <v/>
      </c>
      <c r="BI30" s="34" t="str">
        <f aca="false">IF(OR(AZ30="",N(AJ30)=0),"",AZ30/AJ30)</f>
        <v/>
      </c>
      <c r="BJ30" s="34" t="str">
        <f aca="false">IF(OR(BB30="",N(AZ30)=0),"",BB30/AZ30)</f>
        <v/>
      </c>
      <c r="BK30" s="34" t="str">
        <f aca="false">IF(OR(A30="",N(BB30)=0),"",BD30/BB30)</f>
        <v/>
      </c>
      <c r="BL30" s="34" t="str">
        <f aca="false">IF(OR(A30="",N(AZ30)=0),"",BD30/AZ30)</f>
        <v/>
      </c>
      <c r="BM30" s="37" t="str">
        <f aca="false">IF(OR(N(Q30)=0,N(BD30)=0),"",Q30/BD30)</f>
        <v/>
      </c>
      <c r="BN30" s="29"/>
      <c r="BO30" s="29"/>
      <c r="BP30" s="33" t="str">
        <f aca="false">IF(OR(AR30="",N(AO30)=0),"",AR30)</f>
        <v/>
      </c>
      <c r="BQ30" s="33" t="str">
        <f aca="false">IF(OR(AR30="",N(S30)=0),"",S30)</f>
        <v/>
      </c>
      <c r="BR30" s="38" t="str">
        <f aca="false">IF(AND(ISNUMBER(B30),B30&gt;=Dashboard!$C$4,B30&lt;=Dashboard!$F$4,ISNUMBER(AU30)),AU30+ROW()/10^9,"")</f>
        <v/>
      </c>
      <c r="BS30" s="38" t="str">
        <f aca="false">IF(AND(ISNUMBER(B30),B30&gt;=Dashboard!$C$4,B30&lt;=Dashboard!$F$4,A30&lt;&gt;""),N(BD30)+N(AU30)/100+ROW()/10^9,"")</f>
        <v/>
      </c>
    </row>
    <row r="31" customFormat="false" ht="15" hidden="false" customHeight="false" outlineLevel="0" collapsed="false">
      <c r="A31" s="24" t="str">
        <f aca="false">IF(OR(B31="",G31="",H31=""),"",IFERROR(INDEX(Settings!$E$5:$E$49,MATCH(G31,Settings!$D$5:$D$49,0))&amp;INDEX(Settings!$H$5:$H$47,MATCH(H31,Settings!$G$5:$G$47,0))&amp;"-"&amp;TEXT(B31,"yymmdd")&amp;"-"&amp;IF(C31="","0000",TEXT(C31,"hhmm")),"CHECK LISTS"))</f>
        <v/>
      </c>
      <c r="B31" s="39"/>
      <c r="C31" s="40"/>
      <c r="D31" s="24" t="str">
        <f aca="false">IF(B31="","",TEXT(B31,"ddd"))</f>
        <v/>
      </c>
      <c r="E31" s="27" t="str">
        <f aca="false">IF(B31="","",B31-WEEKDAY(B31,3))</f>
        <v/>
      </c>
      <c r="F31" s="24" t="str">
        <f aca="false">IF(B31="","",TEXT(B31,"yyyy-mm"))</f>
        <v/>
      </c>
      <c r="G31" s="29"/>
      <c r="H31" s="29"/>
      <c r="I31" s="29"/>
      <c r="J31" s="29"/>
      <c r="K31" s="29"/>
      <c r="L31" s="29"/>
      <c r="M31" s="29"/>
      <c r="N31" s="29"/>
      <c r="O31" s="29"/>
      <c r="P31" s="29"/>
      <c r="Q31" s="30"/>
      <c r="R31" s="29"/>
      <c r="S31" s="32"/>
      <c r="T31" s="29"/>
      <c r="U31" s="29"/>
      <c r="V31" s="24" t="str">
        <f aca="false">IF(A31="","",IFERROR(INDEX(Settings!$F$5:$F$49,MATCH(G31,Settings!$D$5:$D$49,0)),""))</f>
        <v/>
      </c>
      <c r="W31" s="24" t="str">
        <f aca="false">IF(A31="","",IF(OR(P31="",P31="Organic"),"social","paid_social"))</f>
        <v/>
      </c>
      <c r="X31" s="24" t="str">
        <f aca="false">IF(A31="","",IF(K31&lt;&gt;"",IFERROR(INDEX('Case Studies'!$C$5:$C$54,MATCH(K31,'Case Studies'!$B$5:$B$54,0))&amp;"","case-study"),IF(J31&lt;&gt;"",IFERROR(INDEX(Settings!$J$5:$J$55,MATCH(J31,Settings!$I$5:$I$55,0)),"general"),"general")))</f>
        <v/>
      </c>
      <c r="Y31" s="24" t="str">
        <f aca="false">IF(A31="","",LOWER(A31))</f>
        <v/>
      </c>
      <c r="Z31" s="24" t="str">
        <f aca="false">IF(A31="","",IF(T31="",Settings!$B$5,T31)&amp;IF(ISNUMBER(FIND("?",IF(T31="",Settings!$B$5,T31))),"&amp;","?")&amp;"utm_source="&amp;V31&amp;"&amp;utm_medium="&amp;W31&amp;"&amp;utm_campaign="&amp;X31&amp;"&amp;utm_content="&amp;Y31)</f>
        <v/>
      </c>
      <c r="AA31" s="29"/>
      <c r="AB31" s="39"/>
      <c r="AC31" s="32"/>
      <c r="AD31" s="32"/>
      <c r="AE31" s="32"/>
      <c r="AF31" s="32"/>
      <c r="AG31" s="32"/>
      <c r="AH31" s="32"/>
      <c r="AI31" s="32"/>
      <c r="AJ31" s="32"/>
      <c r="AK31" s="32"/>
      <c r="AL31" s="32"/>
      <c r="AM31" s="32"/>
      <c r="AN31" s="32"/>
      <c r="AO31" s="33" t="str">
        <f aca="false">IF(A31="","",IF(AD31&lt;&gt;"",AD31,IF(AC31&lt;&gt;"",AC31,"")))</f>
        <v/>
      </c>
      <c r="AP31" s="24" t="str">
        <f aca="false">IF(AO31="","",IF(AD31&lt;&gt;"","Reported reach","Impressions (proxy)"))</f>
        <v/>
      </c>
      <c r="AQ31" s="34" t="str">
        <f aca="false">IF(OR(AO31="",N(S31)=0),"",AO31/S31)</f>
        <v/>
      </c>
      <c r="AR31" s="33" t="str">
        <f aca="false">IF(A31="","",IF(COUNT(AF31:AJ31)=0,"",SUM(AF31:AJ31)))</f>
        <v/>
      </c>
      <c r="AS31" s="34" t="str">
        <f aca="false">IF(OR(AR31="",N(AO31)=0),"",AR31/AO31)</f>
        <v/>
      </c>
      <c r="AT31" s="34" t="str">
        <f aca="false">IF(OR(AR31="",N(AC31)=0),"",AR31/AC31)</f>
        <v/>
      </c>
      <c r="AU31" s="34" t="str">
        <f aca="false">IF(OR(AR31="",N(S31)=0),"",AR31/S31)</f>
        <v/>
      </c>
      <c r="AV31" s="34" t="str">
        <f aca="false">IF(OR(AJ31="",N(AC31)=0),"",AJ31/AC31)</f>
        <v/>
      </c>
      <c r="AW31" s="34" t="str">
        <f aca="false">IF(OR(AH31="",N(AO31)=0),"",AH31/AO31)</f>
        <v/>
      </c>
      <c r="AX31" s="35" t="str">
        <f aca="false">IF(OR(AR31="",N(AO31)=0),"",(N(AF31)*Settings!$B$6+N(AG31)*Settings!$B$7+N(AH31)*Settings!$B$8+N(AI31)*Settings!$B$9+N(AJ31)*Settings!$B$10)/AO31*1000)</f>
        <v/>
      </c>
      <c r="AY31" s="36" t="str">
        <f aca="false">IF(AS31="","",IFERROR(AS31/AVERAGEIFS('Post Tracker'!$AS$5:$AS$1004,'Post Tracker'!$G$5:$G$1004,G31),""))</f>
        <v/>
      </c>
      <c r="AZ31" s="32"/>
      <c r="BA31" s="32"/>
      <c r="BB31" s="32"/>
      <c r="BC31" s="32"/>
      <c r="BD31" s="33" t="str">
        <f aca="false">IF(A31="","",COUNTIFS('Demo Pipeline'!$Q$5:$Q$504,A31))</f>
        <v/>
      </c>
      <c r="BE31" s="33" t="str">
        <f aca="false">IF(A31="","",COUNTIFS('Demo Pipeline'!$Q$5:$Q$504,A31,'Demo Pipeline'!$W$5:$W$504,"Attended"))</f>
        <v/>
      </c>
      <c r="BF31" s="33" t="str">
        <f aca="false">IF(A31="","",COUNTIFS('Demo Pipeline'!$Q$5:$Q$504,A31,'Demo Pipeline'!$X$5:$X$504,"Yes"))</f>
        <v/>
      </c>
      <c r="BG31" s="33" t="str">
        <f aca="false">IF(A31="","",COUNTIFS('Demo Pipeline'!$Q$5:$Q$504,A31,'Demo Pipeline'!$Y$5:$Y$504,"Closed Won"))</f>
        <v/>
      </c>
      <c r="BH31" s="37" t="str">
        <f aca="false">IF(A31="","",SUMIFS('Demo Pipeline'!$Z$5:$Z$504,'Demo Pipeline'!$Q$5:$Q$504,A31))</f>
        <v/>
      </c>
      <c r="BI31" s="34" t="str">
        <f aca="false">IF(OR(AZ31="",N(AJ31)=0),"",AZ31/AJ31)</f>
        <v/>
      </c>
      <c r="BJ31" s="34" t="str">
        <f aca="false">IF(OR(BB31="",N(AZ31)=0),"",BB31/AZ31)</f>
        <v/>
      </c>
      <c r="BK31" s="34" t="str">
        <f aca="false">IF(OR(A31="",N(BB31)=0),"",BD31/BB31)</f>
        <v/>
      </c>
      <c r="BL31" s="34" t="str">
        <f aca="false">IF(OR(A31="",N(AZ31)=0),"",BD31/AZ31)</f>
        <v/>
      </c>
      <c r="BM31" s="37" t="str">
        <f aca="false">IF(OR(N(Q31)=0,N(BD31)=0),"",Q31/BD31)</f>
        <v/>
      </c>
      <c r="BN31" s="29"/>
      <c r="BO31" s="29"/>
      <c r="BP31" s="33" t="str">
        <f aca="false">IF(OR(AR31="",N(AO31)=0),"",AR31)</f>
        <v/>
      </c>
      <c r="BQ31" s="33" t="str">
        <f aca="false">IF(OR(AR31="",N(S31)=0),"",S31)</f>
        <v/>
      </c>
      <c r="BR31" s="38" t="str">
        <f aca="false">IF(AND(ISNUMBER(B31),B31&gt;=Dashboard!$C$4,B31&lt;=Dashboard!$F$4,ISNUMBER(AU31)),AU31+ROW()/10^9,"")</f>
        <v/>
      </c>
      <c r="BS31" s="38" t="str">
        <f aca="false">IF(AND(ISNUMBER(B31),B31&gt;=Dashboard!$C$4,B31&lt;=Dashboard!$F$4,A31&lt;&gt;""),N(BD31)+N(AU31)/100+ROW()/10^9,"")</f>
        <v/>
      </c>
    </row>
    <row r="32" customFormat="false" ht="15" hidden="false" customHeight="false" outlineLevel="0" collapsed="false">
      <c r="A32" s="24" t="str">
        <f aca="false">IF(OR(B32="",G32="",H32=""),"",IFERROR(INDEX(Settings!$E$5:$E$49,MATCH(G32,Settings!$D$5:$D$49,0))&amp;INDEX(Settings!$H$5:$H$47,MATCH(H32,Settings!$G$5:$G$47,0))&amp;"-"&amp;TEXT(B32,"yymmdd")&amp;"-"&amp;IF(C32="","0000",TEXT(C32,"hhmm")),"CHECK LISTS"))</f>
        <v/>
      </c>
      <c r="B32" s="39"/>
      <c r="C32" s="40"/>
      <c r="D32" s="24" t="str">
        <f aca="false">IF(B32="","",TEXT(B32,"ddd"))</f>
        <v/>
      </c>
      <c r="E32" s="27" t="str">
        <f aca="false">IF(B32="","",B32-WEEKDAY(B32,3))</f>
        <v/>
      </c>
      <c r="F32" s="24" t="str">
        <f aca="false">IF(B32="","",TEXT(B32,"yyyy-mm"))</f>
        <v/>
      </c>
      <c r="G32" s="29"/>
      <c r="H32" s="29"/>
      <c r="I32" s="29"/>
      <c r="J32" s="29"/>
      <c r="K32" s="29"/>
      <c r="L32" s="29"/>
      <c r="M32" s="29"/>
      <c r="N32" s="29"/>
      <c r="O32" s="29"/>
      <c r="P32" s="29"/>
      <c r="Q32" s="30"/>
      <c r="R32" s="29"/>
      <c r="S32" s="32"/>
      <c r="T32" s="29"/>
      <c r="U32" s="29"/>
      <c r="V32" s="24" t="str">
        <f aca="false">IF(A32="","",IFERROR(INDEX(Settings!$F$5:$F$49,MATCH(G32,Settings!$D$5:$D$49,0)),""))</f>
        <v/>
      </c>
      <c r="W32" s="24" t="str">
        <f aca="false">IF(A32="","",IF(OR(P32="",P32="Organic"),"social","paid_social"))</f>
        <v/>
      </c>
      <c r="X32" s="24" t="str">
        <f aca="false">IF(A32="","",IF(K32&lt;&gt;"",IFERROR(INDEX('Case Studies'!$C$5:$C$54,MATCH(K32,'Case Studies'!$B$5:$B$54,0))&amp;"","case-study"),IF(J32&lt;&gt;"",IFERROR(INDEX(Settings!$J$5:$J$55,MATCH(J32,Settings!$I$5:$I$55,0)),"general"),"general")))</f>
        <v/>
      </c>
      <c r="Y32" s="24" t="str">
        <f aca="false">IF(A32="","",LOWER(A32))</f>
        <v/>
      </c>
      <c r="Z32" s="24" t="str">
        <f aca="false">IF(A32="","",IF(T32="",Settings!$B$5,T32)&amp;IF(ISNUMBER(FIND("?",IF(T32="",Settings!$B$5,T32))),"&amp;","?")&amp;"utm_source="&amp;V32&amp;"&amp;utm_medium="&amp;W32&amp;"&amp;utm_campaign="&amp;X32&amp;"&amp;utm_content="&amp;Y32)</f>
        <v/>
      </c>
      <c r="AA32" s="29"/>
      <c r="AB32" s="39"/>
      <c r="AC32" s="32"/>
      <c r="AD32" s="32"/>
      <c r="AE32" s="32"/>
      <c r="AF32" s="32"/>
      <c r="AG32" s="32"/>
      <c r="AH32" s="32"/>
      <c r="AI32" s="32"/>
      <c r="AJ32" s="32"/>
      <c r="AK32" s="32"/>
      <c r="AL32" s="32"/>
      <c r="AM32" s="32"/>
      <c r="AN32" s="32"/>
      <c r="AO32" s="33" t="str">
        <f aca="false">IF(A32="","",IF(AD32&lt;&gt;"",AD32,IF(AC32&lt;&gt;"",AC32,"")))</f>
        <v/>
      </c>
      <c r="AP32" s="24" t="str">
        <f aca="false">IF(AO32="","",IF(AD32&lt;&gt;"","Reported reach","Impressions (proxy)"))</f>
        <v/>
      </c>
      <c r="AQ32" s="34" t="str">
        <f aca="false">IF(OR(AO32="",N(S32)=0),"",AO32/S32)</f>
        <v/>
      </c>
      <c r="AR32" s="33" t="str">
        <f aca="false">IF(A32="","",IF(COUNT(AF32:AJ32)=0,"",SUM(AF32:AJ32)))</f>
        <v/>
      </c>
      <c r="AS32" s="34" t="str">
        <f aca="false">IF(OR(AR32="",N(AO32)=0),"",AR32/AO32)</f>
        <v/>
      </c>
      <c r="AT32" s="34" t="str">
        <f aca="false">IF(OR(AR32="",N(AC32)=0),"",AR32/AC32)</f>
        <v/>
      </c>
      <c r="AU32" s="34" t="str">
        <f aca="false">IF(OR(AR32="",N(S32)=0),"",AR32/S32)</f>
        <v/>
      </c>
      <c r="AV32" s="34" t="str">
        <f aca="false">IF(OR(AJ32="",N(AC32)=0),"",AJ32/AC32)</f>
        <v/>
      </c>
      <c r="AW32" s="34" t="str">
        <f aca="false">IF(OR(AH32="",N(AO32)=0),"",AH32/AO32)</f>
        <v/>
      </c>
      <c r="AX32" s="35" t="str">
        <f aca="false">IF(OR(AR32="",N(AO32)=0),"",(N(AF32)*Settings!$B$6+N(AG32)*Settings!$B$7+N(AH32)*Settings!$B$8+N(AI32)*Settings!$B$9+N(AJ32)*Settings!$B$10)/AO32*1000)</f>
        <v/>
      </c>
      <c r="AY32" s="36" t="str">
        <f aca="false">IF(AS32="","",IFERROR(AS32/AVERAGEIFS('Post Tracker'!$AS$5:$AS$1004,'Post Tracker'!$G$5:$G$1004,G32),""))</f>
        <v/>
      </c>
      <c r="AZ32" s="32"/>
      <c r="BA32" s="32"/>
      <c r="BB32" s="32"/>
      <c r="BC32" s="32"/>
      <c r="BD32" s="33" t="str">
        <f aca="false">IF(A32="","",COUNTIFS('Demo Pipeline'!$Q$5:$Q$504,A32))</f>
        <v/>
      </c>
      <c r="BE32" s="33" t="str">
        <f aca="false">IF(A32="","",COUNTIFS('Demo Pipeline'!$Q$5:$Q$504,A32,'Demo Pipeline'!$W$5:$W$504,"Attended"))</f>
        <v/>
      </c>
      <c r="BF32" s="33" t="str">
        <f aca="false">IF(A32="","",COUNTIFS('Demo Pipeline'!$Q$5:$Q$504,A32,'Demo Pipeline'!$X$5:$X$504,"Yes"))</f>
        <v/>
      </c>
      <c r="BG32" s="33" t="str">
        <f aca="false">IF(A32="","",COUNTIFS('Demo Pipeline'!$Q$5:$Q$504,A32,'Demo Pipeline'!$Y$5:$Y$504,"Closed Won"))</f>
        <v/>
      </c>
      <c r="BH32" s="37" t="str">
        <f aca="false">IF(A32="","",SUMIFS('Demo Pipeline'!$Z$5:$Z$504,'Demo Pipeline'!$Q$5:$Q$504,A32))</f>
        <v/>
      </c>
      <c r="BI32" s="34" t="str">
        <f aca="false">IF(OR(AZ32="",N(AJ32)=0),"",AZ32/AJ32)</f>
        <v/>
      </c>
      <c r="BJ32" s="34" t="str">
        <f aca="false">IF(OR(BB32="",N(AZ32)=0),"",BB32/AZ32)</f>
        <v/>
      </c>
      <c r="BK32" s="34" t="str">
        <f aca="false">IF(OR(A32="",N(BB32)=0),"",BD32/BB32)</f>
        <v/>
      </c>
      <c r="BL32" s="34" t="str">
        <f aca="false">IF(OR(A32="",N(AZ32)=0),"",BD32/AZ32)</f>
        <v/>
      </c>
      <c r="BM32" s="37" t="str">
        <f aca="false">IF(OR(N(Q32)=0,N(BD32)=0),"",Q32/BD32)</f>
        <v/>
      </c>
      <c r="BN32" s="29"/>
      <c r="BO32" s="29"/>
      <c r="BP32" s="33" t="str">
        <f aca="false">IF(OR(AR32="",N(AO32)=0),"",AR32)</f>
        <v/>
      </c>
      <c r="BQ32" s="33" t="str">
        <f aca="false">IF(OR(AR32="",N(S32)=0),"",S32)</f>
        <v/>
      </c>
      <c r="BR32" s="38" t="str">
        <f aca="false">IF(AND(ISNUMBER(B32),B32&gt;=Dashboard!$C$4,B32&lt;=Dashboard!$F$4,ISNUMBER(AU32)),AU32+ROW()/10^9,"")</f>
        <v/>
      </c>
      <c r="BS32" s="38" t="str">
        <f aca="false">IF(AND(ISNUMBER(B32),B32&gt;=Dashboard!$C$4,B32&lt;=Dashboard!$F$4,A32&lt;&gt;""),N(BD32)+N(AU32)/100+ROW()/10^9,"")</f>
        <v/>
      </c>
    </row>
    <row r="33" customFormat="false" ht="15" hidden="false" customHeight="false" outlineLevel="0" collapsed="false">
      <c r="A33" s="24" t="str">
        <f aca="false">IF(OR(B33="",G33="",H33=""),"",IFERROR(INDEX(Settings!$E$5:$E$49,MATCH(G33,Settings!$D$5:$D$49,0))&amp;INDEX(Settings!$H$5:$H$47,MATCH(H33,Settings!$G$5:$G$47,0))&amp;"-"&amp;TEXT(B33,"yymmdd")&amp;"-"&amp;IF(C33="","0000",TEXT(C33,"hhmm")),"CHECK LISTS"))</f>
        <v/>
      </c>
      <c r="B33" s="39"/>
      <c r="C33" s="40"/>
      <c r="D33" s="24" t="str">
        <f aca="false">IF(B33="","",TEXT(B33,"ddd"))</f>
        <v/>
      </c>
      <c r="E33" s="27" t="str">
        <f aca="false">IF(B33="","",B33-WEEKDAY(B33,3))</f>
        <v/>
      </c>
      <c r="F33" s="24" t="str">
        <f aca="false">IF(B33="","",TEXT(B33,"yyyy-mm"))</f>
        <v/>
      </c>
      <c r="G33" s="29"/>
      <c r="H33" s="29"/>
      <c r="I33" s="29"/>
      <c r="J33" s="29"/>
      <c r="K33" s="29"/>
      <c r="L33" s="29"/>
      <c r="M33" s="29"/>
      <c r="N33" s="29"/>
      <c r="O33" s="29"/>
      <c r="P33" s="29"/>
      <c r="Q33" s="30"/>
      <c r="R33" s="29"/>
      <c r="S33" s="32"/>
      <c r="T33" s="29"/>
      <c r="U33" s="29"/>
      <c r="V33" s="24" t="str">
        <f aca="false">IF(A33="","",IFERROR(INDEX(Settings!$F$5:$F$49,MATCH(G33,Settings!$D$5:$D$49,0)),""))</f>
        <v/>
      </c>
      <c r="W33" s="24" t="str">
        <f aca="false">IF(A33="","",IF(OR(P33="",P33="Organic"),"social","paid_social"))</f>
        <v/>
      </c>
      <c r="X33" s="24" t="str">
        <f aca="false">IF(A33="","",IF(K33&lt;&gt;"",IFERROR(INDEX('Case Studies'!$C$5:$C$54,MATCH(K33,'Case Studies'!$B$5:$B$54,0))&amp;"","case-study"),IF(J33&lt;&gt;"",IFERROR(INDEX(Settings!$J$5:$J$55,MATCH(J33,Settings!$I$5:$I$55,0)),"general"),"general")))</f>
        <v/>
      </c>
      <c r="Y33" s="24" t="str">
        <f aca="false">IF(A33="","",LOWER(A33))</f>
        <v/>
      </c>
      <c r="Z33" s="24" t="str">
        <f aca="false">IF(A33="","",IF(T33="",Settings!$B$5,T33)&amp;IF(ISNUMBER(FIND("?",IF(T33="",Settings!$B$5,T33))),"&amp;","?")&amp;"utm_source="&amp;V33&amp;"&amp;utm_medium="&amp;W33&amp;"&amp;utm_campaign="&amp;X33&amp;"&amp;utm_content="&amp;Y33)</f>
        <v/>
      </c>
      <c r="AA33" s="29"/>
      <c r="AB33" s="39"/>
      <c r="AC33" s="32"/>
      <c r="AD33" s="32"/>
      <c r="AE33" s="32"/>
      <c r="AF33" s="32"/>
      <c r="AG33" s="32"/>
      <c r="AH33" s="32"/>
      <c r="AI33" s="32"/>
      <c r="AJ33" s="32"/>
      <c r="AK33" s="32"/>
      <c r="AL33" s="32"/>
      <c r="AM33" s="32"/>
      <c r="AN33" s="32"/>
      <c r="AO33" s="33" t="str">
        <f aca="false">IF(A33="","",IF(AD33&lt;&gt;"",AD33,IF(AC33&lt;&gt;"",AC33,"")))</f>
        <v/>
      </c>
      <c r="AP33" s="24" t="str">
        <f aca="false">IF(AO33="","",IF(AD33&lt;&gt;"","Reported reach","Impressions (proxy)"))</f>
        <v/>
      </c>
      <c r="AQ33" s="34" t="str">
        <f aca="false">IF(OR(AO33="",N(S33)=0),"",AO33/S33)</f>
        <v/>
      </c>
      <c r="AR33" s="33" t="str">
        <f aca="false">IF(A33="","",IF(COUNT(AF33:AJ33)=0,"",SUM(AF33:AJ33)))</f>
        <v/>
      </c>
      <c r="AS33" s="34" t="str">
        <f aca="false">IF(OR(AR33="",N(AO33)=0),"",AR33/AO33)</f>
        <v/>
      </c>
      <c r="AT33" s="34" t="str">
        <f aca="false">IF(OR(AR33="",N(AC33)=0),"",AR33/AC33)</f>
        <v/>
      </c>
      <c r="AU33" s="34" t="str">
        <f aca="false">IF(OR(AR33="",N(S33)=0),"",AR33/S33)</f>
        <v/>
      </c>
      <c r="AV33" s="34" t="str">
        <f aca="false">IF(OR(AJ33="",N(AC33)=0),"",AJ33/AC33)</f>
        <v/>
      </c>
      <c r="AW33" s="34" t="str">
        <f aca="false">IF(OR(AH33="",N(AO33)=0),"",AH33/AO33)</f>
        <v/>
      </c>
      <c r="AX33" s="35" t="str">
        <f aca="false">IF(OR(AR33="",N(AO33)=0),"",(N(AF33)*Settings!$B$6+N(AG33)*Settings!$B$7+N(AH33)*Settings!$B$8+N(AI33)*Settings!$B$9+N(AJ33)*Settings!$B$10)/AO33*1000)</f>
        <v/>
      </c>
      <c r="AY33" s="36" t="str">
        <f aca="false">IF(AS33="","",IFERROR(AS33/AVERAGEIFS('Post Tracker'!$AS$5:$AS$1004,'Post Tracker'!$G$5:$G$1004,G33),""))</f>
        <v/>
      </c>
      <c r="AZ33" s="32"/>
      <c r="BA33" s="32"/>
      <c r="BB33" s="32"/>
      <c r="BC33" s="32"/>
      <c r="BD33" s="33" t="str">
        <f aca="false">IF(A33="","",COUNTIFS('Demo Pipeline'!$Q$5:$Q$504,A33))</f>
        <v/>
      </c>
      <c r="BE33" s="33" t="str">
        <f aca="false">IF(A33="","",COUNTIFS('Demo Pipeline'!$Q$5:$Q$504,A33,'Demo Pipeline'!$W$5:$W$504,"Attended"))</f>
        <v/>
      </c>
      <c r="BF33" s="33" t="str">
        <f aca="false">IF(A33="","",COUNTIFS('Demo Pipeline'!$Q$5:$Q$504,A33,'Demo Pipeline'!$X$5:$X$504,"Yes"))</f>
        <v/>
      </c>
      <c r="BG33" s="33" t="str">
        <f aca="false">IF(A33="","",COUNTIFS('Demo Pipeline'!$Q$5:$Q$504,A33,'Demo Pipeline'!$Y$5:$Y$504,"Closed Won"))</f>
        <v/>
      </c>
      <c r="BH33" s="37" t="str">
        <f aca="false">IF(A33="","",SUMIFS('Demo Pipeline'!$Z$5:$Z$504,'Demo Pipeline'!$Q$5:$Q$504,A33))</f>
        <v/>
      </c>
      <c r="BI33" s="34" t="str">
        <f aca="false">IF(OR(AZ33="",N(AJ33)=0),"",AZ33/AJ33)</f>
        <v/>
      </c>
      <c r="BJ33" s="34" t="str">
        <f aca="false">IF(OR(BB33="",N(AZ33)=0),"",BB33/AZ33)</f>
        <v/>
      </c>
      <c r="BK33" s="34" t="str">
        <f aca="false">IF(OR(A33="",N(BB33)=0),"",BD33/BB33)</f>
        <v/>
      </c>
      <c r="BL33" s="34" t="str">
        <f aca="false">IF(OR(A33="",N(AZ33)=0),"",BD33/AZ33)</f>
        <v/>
      </c>
      <c r="BM33" s="37" t="str">
        <f aca="false">IF(OR(N(Q33)=0,N(BD33)=0),"",Q33/BD33)</f>
        <v/>
      </c>
      <c r="BN33" s="29"/>
      <c r="BO33" s="29"/>
      <c r="BP33" s="33" t="str">
        <f aca="false">IF(OR(AR33="",N(AO33)=0),"",AR33)</f>
        <v/>
      </c>
      <c r="BQ33" s="33" t="str">
        <f aca="false">IF(OR(AR33="",N(S33)=0),"",S33)</f>
        <v/>
      </c>
      <c r="BR33" s="38" t="str">
        <f aca="false">IF(AND(ISNUMBER(B33),B33&gt;=Dashboard!$C$4,B33&lt;=Dashboard!$F$4,ISNUMBER(AU33)),AU33+ROW()/10^9,"")</f>
        <v/>
      </c>
      <c r="BS33" s="38" t="str">
        <f aca="false">IF(AND(ISNUMBER(B33),B33&gt;=Dashboard!$C$4,B33&lt;=Dashboard!$F$4,A33&lt;&gt;""),N(BD33)+N(AU33)/100+ROW()/10^9,"")</f>
        <v/>
      </c>
    </row>
    <row r="34" customFormat="false" ht="15" hidden="false" customHeight="false" outlineLevel="0" collapsed="false">
      <c r="A34" s="24" t="str">
        <f aca="false">IF(OR(B34="",G34="",H34=""),"",IFERROR(INDEX(Settings!$E$5:$E$49,MATCH(G34,Settings!$D$5:$D$49,0))&amp;INDEX(Settings!$H$5:$H$47,MATCH(H34,Settings!$G$5:$G$47,0))&amp;"-"&amp;TEXT(B34,"yymmdd")&amp;"-"&amp;IF(C34="","0000",TEXT(C34,"hhmm")),"CHECK LISTS"))</f>
        <v/>
      </c>
      <c r="B34" s="39"/>
      <c r="C34" s="40"/>
      <c r="D34" s="24" t="str">
        <f aca="false">IF(B34="","",TEXT(B34,"ddd"))</f>
        <v/>
      </c>
      <c r="E34" s="27" t="str">
        <f aca="false">IF(B34="","",B34-WEEKDAY(B34,3))</f>
        <v/>
      </c>
      <c r="F34" s="24" t="str">
        <f aca="false">IF(B34="","",TEXT(B34,"yyyy-mm"))</f>
        <v/>
      </c>
      <c r="G34" s="29"/>
      <c r="H34" s="29"/>
      <c r="I34" s="29"/>
      <c r="J34" s="29"/>
      <c r="K34" s="29"/>
      <c r="L34" s="29"/>
      <c r="M34" s="29"/>
      <c r="N34" s="29"/>
      <c r="O34" s="29"/>
      <c r="P34" s="29"/>
      <c r="Q34" s="30"/>
      <c r="R34" s="29"/>
      <c r="S34" s="32"/>
      <c r="T34" s="29"/>
      <c r="U34" s="29"/>
      <c r="V34" s="24" t="str">
        <f aca="false">IF(A34="","",IFERROR(INDEX(Settings!$F$5:$F$49,MATCH(G34,Settings!$D$5:$D$49,0)),""))</f>
        <v/>
      </c>
      <c r="W34" s="24" t="str">
        <f aca="false">IF(A34="","",IF(OR(P34="",P34="Organic"),"social","paid_social"))</f>
        <v/>
      </c>
      <c r="X34" s="24" t="str">
        <f aca="false">IF(A34="","",IF(K34&lt;&gt;"",IFERROR(INDEX('Case Studies'!$C$5:$C$54,MATCH(K34,'Case Studies'!$B$5:$B$54,0))&amp;"","case-study"),IF(J34&lt;&gt;"",IFERROR(INDEX(Settings!$J$5:$J$55,MATCH(J34,Settings!$I$5:$I$55,0)),"general"),"general")))</f>
        <v/>
      </c>
      <c r="Y34" s="24" t="str">
        <f aca="false">IF(A34="","",LOWER(A34))</f>
        <v/>
      </c>
      <c r="Z34" s="24" t="str">
        <f aca="false">IF(A34="","",IF(T34="",Settings!$B$5,T34)&amp;IF(ISNUMBER(FIND("?",IF(T34="",Settings!$B$5,T34))),"&amp;","?")&amp;"utm_source="&amp;V34&amp;"&amp;utm_medium="&amp;W34&amp;"&amp;utm_campaign="&amp;X34&amp;"&amp;utm_content="&amp;Y34)</f>
        <v/>
      </c>
      <c r="AA34" s="29"/>
      <c r="AB34" s="39"/>
      <c r="AC34" s="32"/>
      <c r="AD34" s="32"/>
      <c r="AE34" s="32"/>
      <c r="AF34" s="32"/>
      <c r="AG34" s="32"/>
      <c r="AH34" s="32"/>
      <c r="AI34" s="32"/>
      <c r="AJ34" s="32"/>
      <c r="AK34" s="32"/>
      <c r="AL34" s="32"/>
      <c r="AM34" s="32"/>
      <c r="AN34" s="32"/>
      <c r="AO34" s="33" t="str">
        <f aca="false">IF(A34="","",IF(AD34&lt;&gt;"",AD34,IF(AC34&lt;&gt;"",AC34,"")))</f>
        <v/>
      </c>
      <c r="AP34" s="24" t="str">
        <f aca="false">IF(AO34="","",IF(AD34&lt;&gt;"","Reported reach","Impressions (proxy)"))</f>
        <v/>
      </c>
      <c r="AQ34" s="34" t="str">
        <f aca="false">IF(OR(AO34="",N(S34)=0),"",AO34/S34)</f>
        <v/>
      </c>
      <c r="AR34" s="33" t="str">
        <f aca="false">IF(A34="","",IF(COUNT(AF34:AJ34)=0,"",SUM(AF34:AJ34)))</f>
        <v/>
      </c>
      <c r="AS34" s="34" t="str">
        <f aca="false">IF(OR(AR34="",N(AO34)=0),"",AR34/AO34)</f>
        <v/>
      </c>
      <c r="AT34" s="34" t="str">
        <f aca="false">IF(OR(AR34="",N(AC34)=0),"",AR34/AC34)</f>
        <v/>
      </c>
      <c r="AU34" s="34" t="str">
        <f aca="false">IF(OR(AR34="",N(S34)=0),"",AR34/S34)</f>
        <v/>
      </c>
      <c r="AV34" s="34" t="str">
        <f aca="false">IF(OR(AJ34="",N(AC34)=0),"",AJ34/AC34)</f>
        <v/>
      </c>
      <c r="AW34" s="34" t="str">
        <f aca="false">IF(OR(AH34="",N(AO34)=0),"",AH34/AO34)</f>
        <v/>
      </c>
      <c r="AX34" s="35" t="str">
        <f aca="false">IF(OR(AR34="",N(AO34)=0),"",(N(AF34)*Settings!$B$6+N(AG34)*Settings!$B$7+N(AH34)*Settings!$B$8+N(AI34)*Settings!$B$9+N(AJ34)*Settings!$B$10)/AO34*1000)</f>
        <v/>
      </c>
      <c r="AY34" s="36" t="str">
        <f aca="false">IF(AS34="","",IFERROR(AS34/AVERAGEIFS('Post Tracker'!$AS$5:$AS$1004,'Post Tracker'!$G$5:$G$1004,G34),""))</f>
        <v/>
      </c>
      <c r="AZ34" s="32"/>
      <c r="BA34" s="32"/>
      <c r="BB34" s="32"/>
      <c r="BC34" s="32"/>
      <c r="BD34" s="33" t="str">
        <f aca="false">IF(A34="","",COUNTIFS('Demo Pipeline'!$Q$5:$Q$504,A34))</f>
        <v/>
      </c>
      <c r="BE34" s="33" t="str">
        <f aca="false">IF(A34="","",COUNTIFS('Demo Pipeline'!$Q$5:$Q$504,A34,'Demo Pipeline'!$W$5:$W$504,"Attended"))</f>
        <v/>
      </c>
      <c r="BF34" s="33" t="str">
        <f aca="false">IF(A34="","",COUNTIFS('Demo Pipeline'!$Q$5:$Q$504,A34,'Demo Pipeline'!$X$5:$X$504,"Yes"))</f>
        <v/>
      </c>
      <c r="BG34" s="33" t="str">
        <f aca="false">IF(A34="","",COUNTIFS('Demo Pipeline'!$Q$5:$Q$504,A34,'Demo Pipeline'!$Y$5:$Y$504,"Closed Won"))</f>
        <v/>
      </c>
      <c r="BH34" s="37" t="str">
        <f aca="false">IF(A34="","",SUMIFS('Demo Pipeline'!$Z$5:$Z$504,'Demo Pipeline'!$Q$5:$Q$504,A34))</f>
        <v/>
      </c>
      <c r="BI34" s="34" t="str">
        <f aca="false">IF(OR(AZ34="",N(AJ34)=0),"",AZ34/AJ34)</f>
        <v/>
      </c>
      <c r="BJ34" s="34" t="str">
        <f aca="false">IF(OR(BB34="",N(AZ34)=0),"",BB34/AZ34)</f>
        <v/>
      </c>
      <c r="BK34" s="34" t="str">
        <f aca="false">IF(OR(A34="",N(BB34)=0),"",BD34/BB34)</f>
        <v/>
      </c>
      <c r="BL34" s="34" t="str">
        <f aca="false">IF(OR(A34="",N(AZ34)=0),"",BD34/AZ34)</f>
        <v/>
      </c>
      <c r="BM34" s="37" t="str">
        <f aca="false">IF(OR(N(Q34)=0,N(BD34)=0),"",Q34/BD34)</f>
        <v/>
      </c>
      <c r="BN34" s="29"/>
      <c r="BO34" s="29"/>
      <c r="BP34" s="33" t="str">
        <f aca="false">IF(OR(AR34="",N(AO34)=0),"",AR34)</f>
        <v/>
      </c>
      <c r="BQ34" s="33" t="str">
        <f aca="false">IF(OR(AR34="",N(S34)=0),"",S34)</f>
        <v/>
      </c>
      <c r="BR34" s="38" t="str">
        <f aca="false">IF(AND(ISNUMBER(B34),B34&gt;=Dashboard!$C$4,B34&lt;=Dashboard!$F$4,ISNUMBER(AU34)),AU34+ROW()/10^9,"")</f>
        <v/>
      </c>
      <c r="BS34" s="38" t="str">
        <f aca="false">IF(AND(ISNUMBER(B34),B34&gt;=Dashboard!$C$4,B34&lt;=Dashboard!$F$4,A34&lt;&gt;""),N(BD34)+N(AU34)/100+ROW()/10^9,"")</f>
        <v/>
      </c>
    </row>
    <row r="35" customFormat="false" ht="15" hidden="false" customHeight="false" outlineLevel="0" collapsed="false">
      <c r="A35" s="24" t="str">
        <f aca="false">IF(OR(B35="",G35="",H35=""),"",IFERROR(INDEX(Settings!$E$5:$E$49,MATCH(G35,Settings!$D$5:$D$49,0))&amp;INDEX(Settings!$H$5:$H$47,MATCH(H35,Settings!$G$5:$G$47,0))&amp;"-"&amp;TEXT(B35,"yymmdd")&amp;"-"&amp;IF(C35="","0000",TEXT(C35,"hhmm")),"CHECK LISTS"))</f>
        <v/>
      </c>
      <c r="B35" s="39"/>
      <c r="C35" s="40"/>
      <c r="D35" s="24" t="str">
        <f aca="false">IF(B35="","",TEXT(B35,"ddd"))</f>
        <v/>
      </c>
      <c r="E35" s="27" t="str">
        <f aca="false">IF(B35="","",B35-WEEKDAY(B35,3))</f>
        <v/>
      </c>
      <c r="F35" s="24" t="str">
        <f aca="false">IF(B35="","",TEXT(B35,"yyyy-mm"))</f>
        <v/>
      </c>
      <c r="G35" s="29"/>
      <c r="H35" s="29"/>
      <c r="I35" s="29"/>
      <c r="J35" s="29"/>
      <c r="K35" s="29"/>
      <c r="L35" s="29"/>
      <c r="M35" s="29"/>
      <c r="N35" s="29"/>
      <c r="O35" s="29"/>
      <c r="P35" s="29"/>
      <c r="Q35" s="30"/>
      <c r="R35" s="29"/>
      <c r="S35" s="32"/>
      <c r="T35" s="29"/>
      <c r="U35" s="29"/>
      <c r="V35" s="24" t="str">
        <f aca="false">IF(A35="","",IFERROR(INDEX(Settings!$F$5:$F$49,MATCH(G35,Settings!$D$5:$D$49,0)),""))</f>
        <v/>
      </c>
      <c r="W35" s="24" t="str">
        <f aca="false">IF(A35="","",IF(OR(P35="",P35="Organic"),"social","paid_social"))</f>
        <v/>
      </c>
      <c r="X35" s="24" t="str">
        <f aca="false">IF(A35="","",IF(K35&lt;&gt;"",IFERROR(INDEX('Case Studies'!$C$5:$C$54,MATCH(K35,'Case Studies'!$B$5:$B$54,0))&amp;"","case-study"),IF(J35&lt;&gt;"",IFERROR(INDEX(Settings!$J$5:$J$55,MATCH(J35,Settings!$I$5:$I$55,0)),"general"),"general")))</f>
        <v/>
      </c>
      <c r="Y35" s="24" t="str">
        <f aca="false">IF(A35="","",LOWER(A35))</f>
        <v/>
      </c>
      <c r="Z35" s="24" t="str">
        <f aca="false">IF(A35="","",IF(T35="",Settings!$B$5,T35)&amp;IF(ISNUMBER(FIND("?",IF(T35="",Settings!$B$5,T35))),"&amp;","?")&amp;"utm_source="&amp;V35&amp;"&amp;utm_medium="&amp;W35&amp;"&amp;utm_campaign="&amp;X35&amp;"&amp;utm_content="&amp;Y35)</f>
        <v/>
      </c>
      <c r="AA35" s="29"/>
      <c r="AB35" s="39"/>
      <c r="AC35" s="32"/>
      <c r="AD35" s="32"/>
      <c r="AE35" s="32"/>
      <c r="AF35" s="32"/>
      <c r="AG35" s="32"/>
      <c r="AH35" s="32"/>
      <c r="AI35" s="32"/>
      <c r="AJ35" s="32"/>
      <c r="AK35" s="32"/>
      <c r="AL35" s="32"/>
      <c r="AM35" s="32"/>
      <c r="AN35" s="32"/>
      <c r="AO35" s="33" t="str">
        <f aca="false">IF(A35="","",IF(AD35&lt;&gt;"",AD35,IF(AC35&lt;&gt;"",AC35,"")))</f>
        <v/>
      </c>
      <c r="AP35" s="24" t="str">
        <f aca="false">IF(AO35="","",IF(AD35&lt;&gt;"","Reported reach","Impressions (proxy)"))</f>
        <v/>
      </c>
      <c r="AQ35" s="34" t="str">
        <f aca="false">IF(OR(AO35="",N(S35)=0),"",AO35/S35)</f>
        <v/>
      </c>
      <c r="AR35" s="33" t="str">
        <f aca="false">IF(A35="","",IF(COUNT(AF35:AJ35)=0,"",SUM(AF35:AJ35)))</f>
        <v/>
      </c>
      <c r="AS35" s="34" t="str">
        <f aca="false">IF(OR(AR35="",N(AO35)=0),"",AR35/AO35)</f>
        <v/>
      </c>
      <c r="AT35" s="34" t="str">
        <f aca="false">IF(OR(AR35="",N(AC35)=0),"",AR35/AC35)</f>
        <v/>
      </c>
      <c r="AU35" s="34" t="str">
        <f aca="false">IF(OR(AR35="",N(S35)=0),"",AR35/S35)</f>
        <v/>
      </c>
      <c r="AV35" s="34" t="str">
        <f aca="false">IF(OR(AJ35="",N(AC35)=0),"",AJ35/AC35)</f>
        <v/>
      </c>
      <c r="AW35" s="34" t="str">
        <f aca="false">IF(OR(AH35="",N(AO35)=0),"",AH35/AO35)</f>
        <v/>
      </c>
      <c r="AX35" s="35" t="str">
        <f aca="false">IF(OR(AR35="",N(AO35)=0),"",(N(AF35)*Settings!$B$6+N(AG35)*Settings!$B$7+N(AH35)*Settings!$B$8+N(AI35)*Settings!$B$9+N(AJ35)*Settings!$B$10)/AO35*1000)</f>
        <v/>
      </c>
      <c r="AY35" s="36" t="str">
        <f aca="false">IF(AS35="","",IFERROR(AS35/AVERAGEIFS('Post Tracker'!$AS$5:$AS$1004,'Post Tracker'!$G$5:$G$1004,G35),""))</f>
        <v/>
      </c>
      <c r="AZ35" s="32"/>
      <c r="BA35" s="32"/>
      <c r="BB35" s="32"/>
      <c r="BC35" s="32"/>
      <c r="BD35" s="33" t="str">
        <f aca="false">IF(A35="","",COUNTIFS('Demo Pipeline'!$Q$5:$Q$504,A35))</f>
        <v/>
      </c>
      <c r="BE35" s="33" t="str">
        <f aca="false">IF(A35="","",COUNTIFS('Demo Pipeline'!$Q$5:$Q$504,A35,'Demo Pipeline'!$W$5:$W$504,"Attended"))</f>
        <v/>
      </c>
      <c r="BF35" s="33" t="str">
        <f aca="false">IF(A35="","",COUNTIFS('Demo Pipeline'!$Q$5:$Q$504,A35,'Demo Pipeline'!$X$5:$X$504,"Yes"))</f>
        <v/>
      </c>
      <c r="BG35" s="33" t="str">
        <f aca="false">IF(A35="","",COUNTIFS('Demo Pipeline'!$Q$5:$Q$504,A35,'Demo Pipeline'!$Y$5:$Y$504,"Closed Won"))</f>
        <v/>
      </c>
      <c r="BH35" s="37" t="str">
        <f aca="false">IF(A35="","",SUMIFS('Demo Pipeline'!$Z$5:$Z$504,'Demo Pipeline'!$Q$5:$Q$504,A35))</f>
        <v/>
      </c>
      <c r="BI35" s="34" t="str">
        <f aca="false">IF(OR(AZ35="",N(AJ35)=0),"",AZ35/AJ35)</f>
        <v/>
      </c>
      <c r="BJ35" s="34" t="str">
        <f aca="false">IF(OR(BB35="",N(AZ35)=0),"",BB35/AZ35)</f>
        <v/>
      </c>
      <c r="BK35" s="34" t="str">
        <f aca="false">IF(OR(A35="",N(BB35)=0),"",BD35/BB35)</f>
        <v/>
      </c>
      <c r="BL35" s="34" t="str">
        <f aca="false">IF(OR(A35="",N(AZ35)=0),"",BD35/AZ35)</f>
        <v/>
      </c>
      <c r="BM35" s="37" t="str">
        <f aca="false">IF(OR(N(Q35)=0,N(BD35)=0),"",Q35/BD35)</f>
        <v/>
      </c>
      <c r="BN35" s="29"/>
      <c r="BO35" s="29"/>
      <c r="BP35" s="33" t="str">
        <f aca="false">IF(OR(AR35="",N(AO35)=0),"",AR35)</f>
        <v/>
      </c>
      <c r="BQ35" s="33" t="str">
        <f aca="false">IF(OR(AR35="",N(S35)=0),"",S35)</f>
        <v/>
      </c>
      <c r="BR35" s="38" t="str">
        <f aca="false">IF(AND(ISNUMBER(B35),B35&gt;=Dashboard!$C$4,B35&lt;=Dashboard!$F$4,ISNUMBER(AU35)),AU35+ROW()/10^9,"")</f>
        <v/>
      </c>
      <c r="BS35" s="38" t="str">
        <f aca="false">IF(AND(ISNUMBER(B35),B35&gt;=Dashboard!$C$4,B35&lt;=Dashboard!$F$4,A35&lt;&gt;""),N(BD35)+N(AU35)/100+ROW()/10^9,"")</f>
        <v/>
      </c>
    </row>
    <row r="36" customFormat="false" ht="15" hidden="false" customHeight="false" outlineLevel="0" collapsed="false">
      <c r="A36" s="24" t="str">
        <f aca="false">IF(OR(B36="",G36="",H36=""),"",IFERROR(INDEX(Settings!$E$5:$E$49,MATCH(G36,Settings!$D$5:$D$49,0))&amp;INDEX(Settings!$H$5:$H$47,MATCH(H36,Settings!$G$5:$G$47,0))&amp;"-"&amp;TEXT(B36,"yymmdd")&amp;"-"&amp;IF(C36="","0000",TEXT(C36,"hhmm")),"CHECK LISTS"))</f>
        <v/>
      </c>
      <c r="B36" s="39"/>
      <c r="C36" s="40"/>
      <c r="D36" s="24" t="str">
        <f aca="false">IF(B36="","",TEXT(B36,"ddd"))</f>
        <v/>
      </c>
      <c r="E36" s="27" t="str">
        <f aca="false">IF(B36="","",B36-WEEKDAY(B36,3))</f>
        <v/>
      </c>
      <c r="F36" s="24" t="str">
        <f aca="false">IF(B36="","",TEXT(B36,"yyyy-mm"))</f>
        <v/>
      </c>
      <c r="G36" s="29"/>
      <c r="H36" s="29"/>
      <c r="I36" s="29"/>
      <c r="J36" s="29"/>
      <c r="K36" s="29"/>
      <c r="L36" s="29"/>
      <c r="M36" s="29"/>
      <c r="N36" s="29"/>
      <c r="O36" s="29"/>
      <c r="P36" s="29"/>
      <c r="Q36" s="30"/>
      <c r="R36" s="29"/>
      <c r="S36" s="32"/>
      <c r="T36" s="29"/>
      <c r="U36" s="29"/>
      <c r="V36" s="24" t="str">
        <f aca="false">IF(A36="","",IFERROR(INDEX(Settings!$F$5:$F$49,MATCH(G36,Settings!$D$5:$D$49,0)),""))</f>
        <v/>
      </c>
      <c r="W36" s="24" t="str">
        <f aca="false">IF(A36="","",IF(OR(P36="",P36="Organic"),"social","paid_social"))</f>
        <v/>
      </c>
      <c r="X36" s="24" t="str">
        <f aca="false">IF(A36="","",IF(K36&lt;&gt;"",IFERROR(INDEX('Case Studies'!$C$5:$C$54,MATCH(K36,'Case Studies'!$B$5:$B$54,0))&amp;"","case-study"),IF(J36&lt;&gt;"",IFERROR(INDEX(Settings!$J$5:$J$55,MATCH(J36,Settings!$I$5:$I$55,0)),"general"),"general")))</f>
        <v/>
      </c>
      <c r="Y36" s="24" t="str">
        <f aca="false">IF(A36="","",LOWER(A36))</f>
        <v/>
      </c>
      <c r="Z36" s="24" t="str">
        <f aca="false">IF(A36="","",IF(T36="",Settings!$B$5,T36)&amp;IF(ISNUMBER(FIND("?",IF(T36="",Settings!$B$5,T36))),"&amp;","?")&amp;"utm_source="&amp;V36&amp;"&amp;utm_medium="&amp;W36&amp;"&amp;utm_campaign="&amp;X36&amp;"&amp;utm_content="&amp;Y36)</f>
        <v/>
      </c>
      <c r="AA36" s="29"/>
      <c r="AB36" s="39"/>
      <c r="AC36" s="32"/>
      <c r="AD36" s="32"/>
      <c r="AE36" s="32"/>
      <c r="AF36" s="32"/>
      <c r="AG36" s="32"/>
      <c r="AH36" s="32"/>
      <c r="AI36" s="32"/>
      <c r="AJ36" s="32"/>
      <c r="AK36" s="32"/>
      <c r="AL36" s="32"/>
      <c r="AM36" s="32"/>
      <c r="AN36" s="32"/>
      <c r="AO36" s="33" t="str">
        <f aca="false">IF(A36="","",IF(AD36&lt;&gt;"",AD36,IF(AC36&lt;&gt;"",AC36,"")))</f>
        <v/>
      </c>
      <c r="AP36" s="24" t="str">
        <f aca="false">IF(AO36="","",IF(AD36&lt;&gt;"","Reported reach","Impressions (proxy)"))</f>
        <v/>
      </c>
      <c r="AQ36" s="34" t="str">
        <f aca="false">IF(OR(AO36="",N(S36)=0),"",AO36/S36)</f>
        <v/>
      </c>
      <c r="AR36" s="33" t="str">
        <f aca="false">IF(A36="","",IF(COUNT(AF36:AJ36)=0,"",SUM(AF36:AJ36)))</f>
        <v/>
      </c>
      <c r="AS36" s="34" t="str">
        <f aca="false">IF(OR(AR36="",N(AO36)=0),"",AR36/AO36)</f>
        <v/>
      </c>
      <c r="AT36" s="34" t="str">
        <f aca="false">IF(OR(AR36="",N(AC36)=0),"",AR36/AC36)</f>
        <v/>
      </c>
      <c r="AU36" s="34" t="str">
        <f aca="false">IF(OR(AR36="",N(S36)=0),"",AR36/S36)</f>
        <v/>
      </c>
      <c r="AV36" s="34" t="str">
        <f aca="false">IF(OR(AJ36="",N(AC36)=0),"",AJ36/AC36)</f>
        <v/>
      </c>
      <c r="AW36" s="34" t="str">
        <f aca="false">IF(OR(AH36="",N(AO36)=0),"",AH36/AO36)</f>
        <v/>
      </c>
      <c r="AX36" s="35" t="str">
        <f aca="false">IF(OR(AR36="",N(AO36)=0),"",(N(AF36)*Settings!$B$6+N(AG36)*Settings!$B$7+N(AH36)*Settings!$B$8+N(AI36)*Settings!$B$9+N(AJ36)*Settings!$B$10)/AO36*1000)</f>
        <v/>
      </c>
      <c r="AY36" s="36" t="str">
        <f aca="false">IF(AS36="","",IFERROR(AS36/AVERAGEIFS('Post Tracker'!$AS$5:$AS$1004,'Post Tracker'!$G$5:$G$1004,G36),""))</f>
        <v/>
      </c>
      <c r="AZ36" s="32"/>
      <c r="BA36" s="32"/>
      <c r="BB36" s="32"/>
      <c r="BC36" s="32"/>
      <c r="BD36" s="33" t="str">
        <f aca="false">IF(A36="","",COUNTIFS('Demo Pipeline'!$Q$5:$Q$504,A36))</f>
        <v/>
      </c>
      <c r="BE36" s="33" t="str">
        <f aca="false">IF(A36="","",COUNTIFS('Demo Pipeline'!$Q$5:$Q$504,A36,'Demo Pipeline'!$W$5:$W$504,"Attended"))</f>
        <v/>
      </c>
      <c r="BF36" s="33" t="str">
        <f aca="false">IF(A36="","",COUNTIFS('Demo Pipeline'!$Q$5:$Q$504,A36,'Demo Pipeline'!$X$5:$X$504,"Yes"))</f>
        <v/>
      </c>
      <c r="BG36" s="33" t="str">
        <f aca="false">IF(A36="","",COUNTIFS('Demo Pipeline'!$Q$5:$Q$504,A36,'Demo Pipeline'!$Y$5:$Y$504,"Closed Won"))</f>
        <v/>
      </c>
      <c r="BH36" s="37" t="str">
        <f aca="false">IF(A36="","",SUMIFS('Demo Pipeline'!$Z$5:$Z$504,'Demo Pipeline'!$Q$5:$Q$504,A36))</f>
        <v/>
      </c>
      <c r="BI36" s="34" t="str">
        <f aca="false">IF(OR(AZ36="",N(AJ36)=0),"",AZ36/AJ36)</f>
        <v/>
      </c>
      <c r="BJ36" s="34" t="str">
        <f aca="false">IF(OR(BB36="",N(AZ36)=0),"",BB36/AZ36)</f>
        <v/>
      </c>
      <c r="BK36" s="34" t="str">
        <f aca="false">IF(OR(A36="",N(BB36)=0),"",BD36/BB36)</f>
        <v/>
      </c>
      <c r="BL36" s="34" t="str">
        <f aca="false">IF(OR(A36="",N(AZ36)=0),"",BD36/AZ36)</f>
        <v/>
      </c>
      <c r="BM36" s="37" t="str">
        <f aca="false">IF(OR(N(Q36)=0,N(BD36)=0),"",Q36/BD36)</f>
        <v/>
      </c>
      <c r="BN36" s="29"/>
      <c r="BO36" s="29"/>
      <c r="BP36" s="33" t="str">
        <f aca="false">IF(OR(AR36="",N(AO36)=0),"",AR36)</f>
        <v/>
      </c>
      <c r="BQ36" s="33" t="str">
        <f aca="false">IF(OR(AR36="",N(S36)=0),"",S36)</f>
        <v/>
      </c>
      <c r="BR36" s="38" t="str">
        <f aca="false">IF(AND(ISNUMBER(B36),B36&gt;=Dashboard!$C$4,B36&lt;=Dashboard!$F$4,ISNUMBER(AU36)),AU36+ROW()/10^9,"")</f>
        <v/>
      </c>
      <c r="BS36" s="38" t="str">
        <f aca="false">IF(AND(ISNUMBER(B36),B36&gt;=Dashboard!$C$4,B36&lt;=Dashboard!$F$4,A36&lt;&gt;""),N(BD36)+N(AU36)/100+ROW()/10^9,"")</f>
        <v/>
      </c>
    </row>
    <row r="37" customFormat="false" ht="15" hidden="false" customHeight="false" outlineLevel="0" collapsed="false">
      <c r="A37" s="24" t="str">
        <f aca="false">IF(OR(B37="",G37="",H37=""),"",IFERROR(INDEX(Settings!$E$5:$E$49,MATCH(G37,Settings!$D$5:$D$49,0))&amp;INDEX(Settings!$H$5:$H$47,MATCH(H37,Settings!$G$5:$G$47,0))&amp;"-"&amp;TEXT(B37,"yymmdd")&amp;"-"&amp;IF(C37="","0000",TEXT(C37,"hhmm")),"CHECK LISTS"))</f>
        <v/>
      </c>
      <c r="B37" s="39"/>
      <c r="C37" s="40"/>
      <c r="D37" s="24" t="str">
        <f aca="false">IF(B37="","",TEXT(B37,"ddd"))</f>
        <v/>
      </c>
      <c r="E37" s="27" t="str">
        <f aca="false">IF(B37="","",B37-WEEKDAY(B37,3))</f>
        <v/>
      </c>
      <c r="F37" s="24" t="str">
        <f aca="false">IF(B37="","",TEXT(B37,"yyyy-mm"))</f>
        <v/>
      </c>
      <c r="G37" s="29"/>
      <c r="H37" s="29"/>
      <c r="I37" s="29"/>
      <c r="J37" s="29"/>
      <c r="K37" s="29"/>
      <c r="L37" s="29"/>
      <c r="M37" s="29"/>
      <c r="N37" s="29"/>
      <c r="O37" s="29"/>
      <c r="P37" s="29"/>
      <c r="Q37" s="30"/>
      <c r="R37" s="29"/>
      <c r="S37" s="32"/>
      <c r="T37" s="29"/>
      <c r="U37" s="29"/>
      <c r="V37" s="24" t="str">
        <f aca="false">IF(A37="","",IFERROR(INDEX(Settings!$F$5:$F$49,MATCH(G37,Settings!$D$5:$D$49,0)),""))</f>
        <v/>
      </c>
      <c r="W37" s="24" t="str">
        <f aca="false">IF(A37="","",IF(OR(P37="",P37="Organic"),"social","paid_social"))</f>
        <v/>
      </c>
      <c r="X37" s="24" t="str">
        <f aca="false">IF(A37="","",IF(K37&lt;&gt;"",IFERROR(INDEX('Case Studies'!$C$5:$C$54,MATCH(K37,'Case Studies'!$B$5:$B$54,0))&amp;"","case-study"),IF(J37&lt;&gt;"",IFERROR(INDEX(Settings!$J$5:$J$55,MATCH(J37,Settings!$I$5:$I$55,0)),"general"),"general")))</f>
        <v/>
      </c>
      <c r="Y37" s="24" t="str">
        <f aca="false">IF(A37="","",LOWER(A37))</f>
        <v/>
      </c>
      <c r="Z37" s="24" t="str">
        <f aca="false">IF(A37="","",IF(T37="",Settings!$B$5,T37)&amp;IF(ISNUMBER(FIND("?",IF(T37="",Settings!$B$5,T37))),"&amp;","?")&amp;"utm_source="&amp;V37&amp;"&amp;utm_medium="&amp;W37&amp;"&amp;utm_campaign="&amp;X37&amp;"&amp;utm_content="&amp;Y37)</f>
        <v/>
      </c>
      <c r="AA37" s="29"/>
      <c r="AB37" s="39"/>
      <c r="AC37" s="32"/>
      <c r="AD37" s="32"/>
      <c r="AE37" s="32"/>
      <c r="AF37" s="32"/>
      <c r="AG37" s="32"/>
      <c r="AH37" s="32"/>
      <c r="AI37" s="32"/>
      <c r="AJ37" s="32"/>
      <c r="AK37" s="32"/>
      <c r="AL37" s="32"/>
      <c r="AM37" s="32"/>
      <c r="AN37" s="32"/>
      <c r="AO37" s="33" t="str">
        <f aca="false">IF(A37="","",IF(AD37&lt;&gt;"",AD37,IF(AC37&lt;&gt;"",AC37,"")))</f>
        <v/>
      </c>
      <c r="AP37" s="24" t="str">
        <f aca="false">IF(AO37="","",IF(AD37&lt;&gt;"","Reported reach","Impressions (proxy)"))</f>
        <v/>
      </c>
      <c r="AQ37" s="34" t="str">
        <f aca="false">IF(OR(AO37="",N(S37)=0),"",AO37/S37)</f>
        <v/>
      </c>
      <c r="AR37" s="33" t="str">
        <f aca="false">IF(A37="","",IF(COUNT(AF37:AJ37)=0,"",SUM(AF37:AJ37)))</f>
        <v/>
      </c>
      <c r="AS37" s="34" t="str">
        <f aca="false">IF(OR(AR37="",N(AO37)=0),"",AR37/AO37)</f>
        <v/>
      </c>
      <c r="AT37" s="34" t="str">
        <f aca="false">IF(OR(AR37="",N(AC37)=0),"",AR37/AC37)</f>
        <v/>
      </c>
      <c r="AU37" s="34" t="str">
        <f aca="false">IF(OR(AR37="",N(S37)=0),"",AR37/S37)</f>
        <v/>
      </c>
      <c r="AV37" s="34" t="str">
        <f aca="false">IF(OR(AJ37="",N(AC37)=0),"",AJ37/AC37)</f>
        <v/>
      </c>
      <c r="AW37" s="34" t="str">
        <f aca="false">IF(OR(AH37="",N(AO37)=0),"",AH37/AO37)</f>
        <v/>
      </c>
      <c r="AX37" s="35" t="str">
        <f aca="false">IF(OR(AR37="",N(AO37)=0),"",(N(AF37)*Settings!$B$6+N(AG37)*Settings!$B$7+N(AH37)*Settings!$B$8+N(AI37)*Settings!$B$9+N(AJ37)*Settings!$B$10)/AO37*1000)</f>
        <v/>
      </c>
      <c r="AY37" s="36" t="str">
        <f aca="false">IF(AS37="","",IFERROR(AS37/AVERAGEIFS('Post Tracker'!$AS$5:$AS$1004,'Post Tracker'!$G$5:$G$1004,G37),""))</f>
        <v/>
      </c>
      <c r="AZ37" s="32"/>
      <c r="BA37" s="32"/>
      <c r="BB37" s="32"/>
      <c r="BC37" s="32"/>
      <c r="BD37" s="33" t="str">
        <f aca="false">IF(A37="","",COUNTIFS('Demo Pipeline'!$Q$5:$Q$504,A37))</f>
        <v/>
      </c>
      <c r="BE37" s="33" t="str">
        <f aca="false">IF(A37="","",COUNTIFS('Demo Pipeline'!$Q$5:$Q$504,A37,'Demo Pipeline'!$W$5:$W$504,"Attended"))</f>
        <v/>
      </c>
      <c r="BF37" s="33" t="str">
        <f aca="false">IF(A37="","",COUNTIFS('Demo Pipeline'!$Q$5:$Q$504,A37,'Demo Pipeline'!$X$5:$X$504,"Yes"))</f>
        <v/>
      </c>
      <c r="BG37" s="33" t="str">
        <f aca="false">IF(A37="","",COUNTIFS('Demo Pipeline'!$Q$5:$Q$504,A37,'Demo Pipeline'!$Y$5:$Y$504,"Closed Won"))</f>
        <v/>
      </c>
      <c r="BH37" s="37" t="str">
        <f aca="false">IF(A37="","",SUMIFS('Demo Pipeline'!$Z$5:$Z$504,'Demo Pipeline'!$Q$5:$Q$504,A37))</f>
        <v/>
      </c>
      <c r="BI37" s="34" t="str">
        <f aca="false">IF(OR(AZ37="",N(AJ37)=0),"",AZ37/AJ37)</f>
        <v/>
      </c>
      <c r="BJ37" s="34" t="str">
        <f aca="false">IF(OR(BB37="",N(AZ37)=0),"",BB37/AZ37)</f>
        <v/>
      </c>
      <c r="BK37" s="34" t="str">
        <f aca="false">IF(OR(A37="",N(BB37)=0),"",BD37/BB37)</f>
        <v/>
      </c>
      <c r="BL37" s="34" t="str">
        <f aca="false">IF(OR(A37="",N(AZ37)=0),"",BD37/AZ37)</f>
        <v/>
      </c>
      <c r="BM37" s="37" t="str">
        <f aca="false">IF(OR(N(Q37)=0,N(BD37)=0),"",Q37/BD37)</f>
        <v/>
      </c>
      <c r="BN37" s="29"/>
      <c r="BO37" s="29"/>
      <c r="BP37" s="33" t="str">
        <f aca="false">IF(OR(AR37="",N(AO37)=0),"",AR37)</f>
        <v/>
      </c>
      <c r="BQ37" s="33" t="str">
        <f aca="false">IF(OR(AR37="",N(S37)=0),"",S37)</f>
        <v/>
      </c>
      <c r="BR37" s="38" t="str">
        <f aca="false">IF(AND(ISNUMBER(B37),B37&gt;=Dashboard!$C$4,B37&lt;=Dashboard!$F$4,ISNUMBER(AU37)),AU37+ROW()/10^9,"")</f>
        <v/>
      </c>
      <c r="BS37" s="38" t="str">
        <f aca="false">IF(AND(ISNUMBER(B37),B37&gt;=Dashboard!$C$4,B37&lt;=Dashboard!$F$4,A37&lt;&gt;""),N(BD37)+N(AU37)/100+ROW()/10^9,"")</f>
        <v/>
      </c>
    </row>
    <row r="38" customFormat="false" ht="15" hidden="false" customHeight="false" outlineLevel="0" collapsed="false">
      <c r="A38" s="24" t="str">
        <f aca="false">IF(OR(B38="",G38="",H38=""),"",IFERROR(INDEX(Settings!$E$5:$E$49,MATCH(G38,Settings!$D$5:$D$49,0))&amp;INDEX(Settings!$H$5:$H$47,MATCH(H38,Settings!$G$5:$G$47,0))&amp;"-"&amp;TEXT(B38,"yymmdd")&amp;"-"&amp;IF(C38="","0000",TEXT(C38,"hhmm")),"CHECK LISTS"))</f>
        <v/>
      </c>
      <c r="B38" s="39"/>
      <c r="C38" s="40"/>
      <c r="D38" s="24" t="str">
        <f aca="false">IF(B38="","",TEXT(B38,"ddd"))</f>
        <v/>
      </c>
      <c r="E38" s="27" t="str">
        <f aca="false">IF(B38="","",B38-WEEKDAY(B38,3))</f>
        <v/>
      </c>
      <c r="F38" s="24" t="str">
        <f aca="false">IF(B38="","",TEXT(B38,"yyyy-mm"))</f>
        <v/>
      </c>
      <c r="G38" s="29"/>
      <c r="H38" s="29"/>
      <c r="I38" s="29"/>
      <c r="J38" s="29"/>
      <c r="K38" s="29"/>
      <c r="L38" s="29"/>
      <c r="M38" s="29"/>
      <c r="N38" s="29"/>
      <c r="O38" s="29"/>
      <c r="P38" s="29"/>
      <c r="Q38" s="30"/>
      <c r="R38" s="29"/>
      <c r="S38" s="32"/>
      <c r="T38" s="29"/>
      <c r="U38" s="29"/>
      <c r="V38" s="24" t="str">
        <f aca="false">IF(A38="","",IFERROR(INDEX(Settings!$F$5:$F$49,MATCH(G38,Settings!$D$5:$D$49,0)),""))</f>
        <v/>
      </c>
      <c r="W38" s="24" t="str">
        <f aca="false">IF(A38="","",IF(OR(P38="",P38="Organic"),"social","paid_social"))</f>
        <v/>
      </c>
      <c r="X38" s="24" t="str">
        <f aca="false">IF(A38="","",IF(K38&lt;&gt;"",IFERROR(INDEX('Case Studies'!$C$5:$C$54,MATCH(K38,'Case Studies'!$B$5:$B$54,0))&amp;"","case-study"),IF(J38&lt;&gt;"",IFERROR(INDEX(Settings!$J$5:$J$55,MATCH(J38,Settings!$I$5:$I$55,0)),"general"),"general")))</f>
        <v/>
      </c>
      <c r="Y38" s="24" t="str">
        <f aca="false">IF(A38="","",LOWER(A38))</f>
        <v/>
      </c>
      <c r="Z38" s="24" t="str">
        <f aca="false">IF(A38="","",IF(T38="",Settings!$B$5,T38)&amp;IF(ISNUMBER(FIND("?",IF(T38="",Settings!$B$5,T38))),"&amp;","?")&amp;"utm_source="&amp;V38&amp;"&amp;utm_medium="&amp;W38&amp;"&amp;utm_campaign="&amp;X38&amp;"&amp;utm_content="&amp;Y38)</f>
        <v/>
      </c>
      <c r="AA38" s="29"/>
      <c r="AB38" s="39"/>
      <c r="AC38" s="32"/>
      <c r="AD38" s="32"/>
      <c r="AE38" s="32"/>
      <c r="AF38" s="32"/>
      <c r="AG38" s="32"/>
      <c r="AH38" s="32"/>
      <c r="AI38" s="32"/>
      <c r="AJ38" s="32"/>
      <c r="AK38" s="32"/>
      <c r="AL38" s="32"/>
      <c r="AM38" s="32"/>
      <c r="AN38" s="32"/>
      <c r="AO38" s="33" t="str">
        <f aca="false">IF(A38="","",IF(AD38&lt;&gt;"",AD38,IF(AC38&lt;&gt;"",AC38,"")))</f>
        <v/>
      </c>
      <c r="AP38" s="24" t="str">
        <f aca="false">IF(AO38="","",IF(AD38&lt;&gt;"","Reported reach","Impressions (proxy)"))</f>
        <v/>
      </c>
      <c r="AQ38" s="34" t="str">
        <f aca="false">IF(OR(AO38="",N(S38)=0),"",AO38/S38)</f>
        <v/>
      </c>
      <c r="AR38" s="33" t="str">
        <f aca="false">IF(A38="","",IF(COUNT(AF38:AJ38)=0,"",SUM(AF38:AJ38)))</f>
        <v/>
      </c>
      <c r="AS38" s="34" t="str">
        <f aca="false">IF(OR(AR38="",N(AO38)=0),"",AR38/AO38)</f>
        <v/>
      </c>
      <c r="AT38" s="34" t="str">
        <f aca="false">IF(OR(AR38="",N(AC38)=0),"",AR38/AC38)</f>
        <v/>
      </c>
      <c r="AU38" s="34" t="str">
        <f aca="false">IF(OR(AR38="",N(S38)=0),"",AR38/S38)</f>
        <v/>
      </c>
      <c r="AV38" s="34" t="str">
        <f aca="false">IF(OR(AJ38="",N(AC38)=0),"",AJ38/AC38)</f>
        <v/>
      </c>
      <c r="AW38" s="34" t="str">
        <f aca="false">IF(OR(AH38="",N(AO38)=0),"",AH38/AO38)</f>
        <v/>
      </c>
      <c r="AX38" s="35" t="str">
        <f aca="false">IF(OR(AR38="",N(AO38)=0),"",(N(AF38)*Settings!$B$6+N(AG38)*Settings!$B$7+N(AH38)*Settings!$B$8+N(AI38)*Settings!$B$9+N(AJ38)*Settings!$B$10)/AO38*1000)</f>
        <v/>
      </c>
      <c r="AY38" s="36" t="str">
        <f aca="false">IF(AS38="","",IFERROR(AS38/AVERAGEIFS('Post Tracker'!$AS$5:$AS$1004,'Post Tracker'!$G$5:$G$1004,G38),""))</f>
        <v/>
      </c>
      <c r="AZ38" s="32"/>
      <c r="BA38" s="32"/>
      <c r="BB38" s="32"/>
      <c r="BC38" s="32"/>
      <c r="BD38" s="33" t="str">
        <f aca="false">IF(A38="","",COUNTIFS('Demo Pipeline'!$Q$5:$Q$504,A38))</f>
        <v/>
      </c>
      <c r="BE38" s="33" t="str">
        <f aca="false">IF(A38="","",COUNTIFS('Demo Pipeline'!$Q$5:$Q$504,A38,'Demo Pipeline'!$W$5:$W$504,"Attended"))</f>
        <v/>
      </c>
      <c r="BF38" s="33" t="str">
        <f aca="false">IF(A38="","",COUNTIFS('Demo Pipeline'!$Q$5:$Q$504,A38,'Demo Pipeline'!$X$5:$X$504,"Yes"))</f>
        <v/>
      </c>
      <c r="BG38" s="33" t="str">
        <f aca="false">IF(A38="","",COUNTIFS('Demo Pipeline'!$Q$5:$Q$504,A38,'Demo Pipeline'!$Y$5:$Y$504,"Closed Won"))</f>
        <v/>
      </c>
      <c r="BH38" s="37" t="str">
        <f aca="false">IF(A38="","",SUMIFS('Demo Pipeline'!$Z$5:$Z$504,'Demo Pipeline'!$Q$5:$Q$504,A38))</f>
        <v/>
      </c>
      <c r="BI38" s="34" t="str">
        <f aca="false">IF(OR(AZ38="",N(AJ38)=0),"",AZ38/AJ38)</f>
        <v/>
      </c>
      <c r="BJ38" s="34" t="str">
        <f aca="false">IF(OR(BB38="",N(AZ38)=0),"",BB38/AZ38)</f>
        <v/>
      </c>
      <c r="BK38" s="34" t="str">
        <f aca="false">IF(OR(A38="",N(BB38)=0),"",BD38/BB38)</f>
        <v/>
      </c>
      <c r="BL38" s="34" t="str">
        <f aca="false">IF(OR(A38="",N(AZ38)=0),"",BD38/AZ38)</f>
        <v/>
      </c>
      <c r="BM38" s="37" t="str">
        <f aca="false">IF(OR(N(Q38)=0,N(BD38)=0),"",Q38/BD38)</f>
        <v/>
      </c>
      <c r="BN38" s="29"/>
      <c r="BO38" s="29"/>
      <c r="BP38" s="33" t="str">
        <f aca="false">IF(OR(AR38="",N(AO38)=0),"",AR38)</f>
        <v/>
      </c>
      <c r="BQ38" s="33" t="str">
        <f aca="false">IF(OR(AR38="",N(S38)=0),"",S38)</f>
        <v/>
      </c>
      <c r="BR38" s="38" t="str">
        <f aca="false">IF(AND(ISNUMBER(B38),B38&gt;=Dashboard!$C$4,B38&lt;=Dashboard!$F$4,ISNUMBER(AU38)),AU38+ROW()/10^9,"")</f>
        <v/>
      </c>
      <c r="BS38" s="38" t="str">
        <f aca="false">IF(AND(ISNUMBER(B38),B38&gt;=Dashboard!$C$4,B38&lt;=Dashboard!$F$4,A38&lt;&gt;""),N(BD38)+N(AU38)/100+ROW()/10^9,"")</f>
        <v/>
      </c>
    </row>
    <row r="39" customFormat="false" ht="15" hidden="false" customHeight="false" outlineLevel="0" collapsed="false">
      <c r="A39" s="24" t="str">
        <f aca="false">IF(OR(B39="",G39="",H39=""),"",IFERROR(INDEX(Settings!$E$5:$E$49,MATCH(G39,Settings!$D$5:$D$49,0))&amp;INDEX(Settings!$H$5:$H$47,MATCH(H39,Settings!$G$5:$G$47,0))&amp;"-"&amp;TEXT(B39,"yymmdd")&amp;"-"&amp;IF(C39="","0000",TEXT(C39,"hhmm")),"CHECK LISTS"))</f>
        <v/>
      </c>
      <c r="B39" s="39"/>
      <c r="C39" s="40"/>
      <c r="D39" s="24" t="str">
        <f aca="false">IF(B39="","",TEXT(B39,"ddd"))</f>
        <v/>
      </c>
      <c r="E39" s="27" t="str">
        <f aca="false">IF(B39="","",B39-WEEKDAY(B39,3))</f>
        <v/>
      </c>
      <c r="F39" s="24" t="str">
        <f aca="false">IF(B39="","",TEXT(B39,"yyyy-mm"))</f>
        <v/>
      </c>
      <c r="G39" s="29"/>
      <c r="H39" s="29"/>
      <c r="I39" s="29"/>
      <c r="J39" s="29"/>
      <c r="K39" s="29"/>
      <c r="L39" s="29"/>
      <c r="M39" s="29"/>
      <c r="N39" s="29"/>
      <c r="O39" s="29"/>
      <c r="P39" s="29"/>
      <c r="Q39" s="30"/>
      <c r="R39" s="29"/>
      <c r="S39" s="32"/>
      <c r="T39" s="29"/>
      <c r="U39" s="29"/>
      <c r="V39" s="24" t="str">
        <f aca="false">IF(A39="","",IFERROR(INDEX(Settings!$F$5:$F$49,MATCH(G39,Settings!$D$5:$D$49,0)),""))</f>
        <v/>
      </c>
      <c r="W39" s="24" t="str">
        <f aca="false">IF(A39="","",IF(OR(P39="",P39="Organic"),"social","paid_social"))</f>
        <v/>
      </c>
      <c r="X39" s="24" t="str">
        <f aca="false">IF(A39="","",IF(K39&lt;&gt;"",IFERROR(INDEX('Case Studies'!$C$5:$C$54,MATCH(K39,'Case Studies'!$B$5:$B$54,0))&amp;"","case-study"),IF(J39&lt;&gt;"",IFERROR(INDEX(Settings!$J$5:$J$55,MATCH(J39,Settings!$I$5:$I$55,0)),"general"),"general")))</f>
        <v/>
      </c>
      <c r="Y39" s="24" t="str">
        <f aca="false">IF(A39="","",LOWER(A39))</f>
        <v/>
      </c>
      <c r="Z39" s="24" t="str">
        <f aca="false">IF(A39="","",IF(T39="",Settings!$B$5,T39)&amp;IF(ISNUMBER(FIND("?",IF(T39="",Settings!$B$5,T39))),"&amp;","?")&amp;"utm_source="&amp;V39&amp;"&amp;utm_medium="&amp;W39&amp;"&amp;utm_campaign="&amp;X39&amp;"&amp;utm_content="&amp;Y39)</f>
        <v/>
      </c>
      <c r="AA39" s="29"/>
      <c r="AB39" s="39"/>
      <c r="AC39" s="32"/>
      <c r="AD39" s="32"/>
      <c r="AE39" s="32"/>
      <c r="AF39" s="32"/>
      <c r="AG39" s="32"/>
      <c r="AH39" s="32"/>
      <c r="AI39" s="32"/>
      <c r="AJ39" s="32"/>
      <c r="AK39" s="32"/>
      <c r="AL39" s="32"/>
      <c r="AM39" s="32"/>
      <c r="AN39" s="32"/>
      <c r="AO39" s="33" t="str">
        <f aca="false">IF(A39="","",IF(AD39&lt;&gt;"",AD39,IF(AC39&lt;&gt;"",AC39,"")))</f>
        <v/>
      </c>
      <c r="AP39" s="24" t="str">
        <f aca="false">IF(AO39="","",IF(AD39&lt;&gt;"","Reported reach","Impressions (proxy)"))</f>
        <v/>
      </c>
      <c r="AQ39" s="34" t="str">
        <f aca="false">IF(OR(AO39="",N(S39)=0),"",AO39/S39)</f>
        <v/>
      </c>
      <c r="AR39" s="33" t="str">
        <f aca="false">IF(A39="","",IF(COUNT(AF39:AJ39)=0,"",SUM(AF39:AJ39)))</f>
        <v/>
      </c>
      <c r="AS39" s="34" t="str">
        <f aca="false">IF(OR(AR39="",N(AO39)=0),"",AR39/AO39)</f>
        <v/>
      </c>
      <c r="AT39" s="34" t="str">
        <f aca="false">IF(OR(AR39="",N(AC39)=0),"",AR39/AC39)</f>
        <v/>
      </c>
      <c r="AU39" s="34" t="str">
        <f aca="false">IF(OR(AR39="",N(S39)=0),"",AR39/S39)</f>
        <v/>
      </c>
      <c r="AV39" s="34" t="str">
        <f aca="false">IF(OR(AJ39="",N(AC39)=0),"",AJ39/AC39)</f>
        <v/>
      </c>
      <c r="AW39" s="34" t="str">
        <f aca="false">IF(OR(AH39="",N(AO39)=0),"",AH39/AO39)</f>
        <v/>
      </c>
      <c r="AX39" s="35" t="str">
        <f aca="false">IF(OR(AR39="",N(AO39)=0),"",(N(AF39)*Settings!$B$6+N(AG39)*Settings!$B$7+N(AH39)*Settings!$B$8+N(AI39)*Settings!$B$9+N(AJ39)*Settings!$B$10)/AO39*1000)</f>
        <v/>
      </c>
      <c r="AY39" s="36" t="str">
        <f aca="false">IF(AS39="","",IFERROR(AS39/AVERAGEIFS('Post Tracker'!$AS$5:$AS$1004,'Post Tracker'!$G$5:$G$1004,G39),""))</f>
        <v/>
      </c>
      <c r="AZ39" s="32"/>
      <c r="BA39" s="32"/>
      <c r="BB39" s="32"/>
      <c r="BC39" s="32"/>
      <c r="BD39" s="33" t="str">
        <f aca="false">IF(A39="","",COUNTIFS('Demo Pipeline'!$Q$5:$Q$504,A39))</f>
        <v/>
      </c>
      <c r="BE39" s="33" t="str">
        <f aca="false">IF(A39="","",COUNTIFS('Demo Pipeline'!$Q$5:$Q$504,A39,'Demo Pipeline'!$W$5:$W$504,"Attended"))</f>
        <v/>
      </c>
      <c r="BF39" s="33" t="str">
        <f aca="false">IF(A39="","",COUNTIFS('Demo Pipeline'!$Q$5:$Q$504,A39,'Demo Pipeline'!$X$5:$X$504,"Yes"))</f>
        <v/>
      </c>
      <c r="BG39" s="33" t="str">
        <f aca="false">IF(A39="","",COUNTIFS('Demo Pipeline'!$Q$5:$Q$504,A39,'Demo Pipeline'!$Y$5:$Y$504,"Closed Won"))</f>
        <v/>
      </c>
      <c r="BH39" s="37" t="str">
        <f aca="false">IF(A39="","",SUMIFS('Demo Pipeline'!$Z$5:$Z$504,'Demo Pipeline'!$Q$5:$Q$504,A39))</f>
        <v/>
      </c>
      <c r="BI39" s="34" t="str">
        <f aca="false">IF(OR(AZ39="",N(AJ39)=0),"",AZ39/AJ39)</f>
        <v/>
      </c>
      <c r="BJ39" s="34" t="str">
        <f aca="false">IF(OR(BB39="",N(AZ39)=0),"",BB39/AZ39)</f>
        <v/>
      </c>
      <c r="BK39" s="34" t="str">
        <f aca="false">IF(OR(A39="",N(BB39)=0),"",BD39/BB39)</f>
        <v/>
      </c>
      <c r="BL39" s="34" t="str">
        <f aca="false">IF(OR(A39="",N(AZ39)=0),"",BD39/AZ39)</f>
        <v/>
      </c>
      <c r="BM39" s="37" t="str">
        <f aca="false">IF(OR(N(Q39)=0,N(BD39)=0),"",Q39/BD39)</f>
        <v/>
      </c>
      <c r="BN39" s="29"/>
      <c r="BO39" s="29"/>
      <c r="BP39" s="33" t="str">
        <f aca="false">IF(OR(AR39="",N(AO39)=0),"",AR39)</f>
        <v/>
      </c>
      <c r="BQ39" s="33" t="str">
        <f aca="false">IF(OR(AR39="",N(S39)=0),"",S39)</f>
        <v/>
      </c>
      <c r="BR39" s="38" t="str">
        <f aca="false">IF(AND(ISNUMBER(B39),B39&gt;=Dashboard!$C$4,B39&lt;=Dashboard!$F$4,ISNUMBER(AU39)),AU39+ROW()/10^9,"")</f>
        <v/>
      </c>
      <c r="BS39" s="38" t="str">
        <f aca="false">IF(AND(ISNUMBER(B39),B39&gt;=Dashboard!$C$4,B39&lt;=Dashboard!$F$4,A39&lt;&gt;""),N(BD39)+N(AU39)/100+ROW()/10^9,"")</f>
        <v/>
      </c>
    </row>
    <row r="40" customFormat="false" ht="15" hidden="false" customHeight="false" outlineLevel="0" collapsed="false">
      <c r="A40" s="24" t="str">
        <f aca="false">IF(OR(B40="",G40="",H40=""),"",IFERROR(INDEX(Settings!$E$5:$E$49,MATCH(G40,Settings!$D$5:$D$49,0))&amp;INDEX(Settings!$H$5:$H$47,MATCH(H40,Settings!$G$5:$G$47,0))&amp;"-"&amp;TEXT(B40,"yymmdd")&amp;"-"&amp;IF(C40="","0000",TEXT(C40,"hhmm")),"CHECK LISTS"))</f>
        <v/>
      </c>
      <c r="B40" s="39"/>
      <c r="C40" s="40"/>
      <c r="D40" s="24" t="str">
        <f aca="false">IF(B40="","",TEXT(B40,"ddd"))</f>
        <v/>
      </c>
      <c r="E40" s="27" t="str">
        <f aca="false">IF(B40="","",B40-WEEKDAY(B40,3))</f>
        <v/>
      </c>
      <c r="F40" s="24" t="str">
        <f aca="false">IF(B40="","",TEXT(B40,"yyyy-mm"))</f>
        <v/>
      </c>
      <c r="G40" s="29"/>
      <c r="H40" s="29"/>
      <c r="I40" s="29"/>
      <c r="J40" s="29"/>
      <c r="K40" s="29"/>
      <c r="L40" s="29"/>
      <c r="M40" s="29"/>
      <c r="N40" s="29"/>
      <c r="O40" s="29"/>
      <c r="P40" s="29"/>
      <c r="Q40" s="30"/>
      <c r="R40" s="29"/>
      <c r="S40" s="32"/>
      <c r="T40" s="29"/>
      <c r="U40" s="29"/>
      <c r="V40" s="24" t="str">
        <f aca="false">IF(A40="","",IFERROR(INDEX(Settings!$F$5:$F$49,MATCH(G40,Settings!$D$5:$D$49,0)),""))</f>
        <v/>
      </c>
      <c r="W40" s="24" t="str">
        <f aca="false">IF(A40="","",IF(OR(P40="",P40="Organic"),"social","paid_social"))</f>
        <v/>
      </c>
      <c r="X40" s="24" t="str">
        <f aca="false">IF(A40="","",IF(K40&lt;&gt;"",IFERROR(INDEX('Case Studies'!$C$5:$C$54,MATCH(K40,'Case Studies'!$B$5:$B$54,0))&amp;"","case-study"),IF(J40&lt;&gt;"",IFERROR(INDEX(Settings!$J$5:$J$55,MATCH(J40,Settings!$I$5:$I$55,0)),"general"),"general")))</f>
        <v/>
      </c>
      <c r="Y40" s="24" t="str">
        <f aca="false">IF(A40="","",LOWER(A40))</f>
        <v/>
      </c>
      <c r="Z40" s="24" t="str">
        <f aca="false">IF(A40="","",IF(T40="",Settings!$B$5,T40)&amp;IF(ISNUMBER(FIND("?",IF(T40="",Settings!$B$5,T40))),"&amp;","?")&amp;"utm_source="&amp;V40&amp;"&amp;utm_medium="&amp;W40&amp;"&amp;utm_campaign="&amp;X40&amp;"&amp;utm_content="&amp;Y40)</f>
        <v/>
      </c>
      <c r="AA40" s="29"/>
      <c r="AB40" s="39"/>
      <c r="AC40" s="32"/>
      <c r="AD40" s="32"/>
      <c r="AE40" s="32"/>
      <c r="AF40" s="32"/>
      <c r="AG40" s="32"/>
      <c r="AH40" s="32"/>
      <c r="AI40" s="32"/>
      <c r="AJ40" s="32"/>
      <c r="AK40" s="32"/>
      <c r="AL40" s="32"/>
      <c r="AM40" s="32"/>
      <c r="AN40" s="32"/>
      <c r="AO40" s="33" t="str">
        <f aca="false">IF(A40="","",IF(AD40&lt;&gt;"",AD40,IF(AC40&lt;&gt;"",AC40,"")))</f>
        <v/>
      </c>
      <c r="AP40" s="24" t="str">
        <f aca="false">IF(AO40="","",IF(AD40&lt;&gt;"","Reported reach","Impressions (proxy)"))</f>
        <v/>
      </c>
      <c r="AQ40" s="34" t="str">
        <f aca="false">IF(OR(AO40="",N(S40)=0),"",AO40/S40)</f>
        <v/>
      </c>
      <c r="AR40" s="33" t="str">
        <f aca="false">IF(A40="","",IF(COUNT(AF40:AJ40)=0,"",SUM(AF40:AJ40)))</f>
        <v/>
      </c>
      <c r="AS40" s="34" t="str">
        <f aca="false">IF(OR(AR40="",N(AO40)=0),"",AR40/AO40)</f>
        <v/>
      </c>
      <c r="AT40" s="34" t="str">
        <f aca="false">IF(OR(AR40="",N(AC40)=0),"",AR40/AC40)</f>
        <v/>
      </c>
      <c r="AU40" s="34" t="str">
        <f aca="false">IF(OR(AR40="",N(S40)=0),"",AR40/S40)</f>
        <v/>
      </c>
      <c r="AV40" s="34" t="str">
        <f aca="false">IF(OR(AJ40="",N(AC40)=0),"",AJ40/AC40)</f>
        <v/>
      </c>
      <c r="AW40" s="34" t="str">
        <f aca="false">IF(OR(AH40="",N(AO40)=0),"",AH40/AO40)</f>
        <v/>
      </c>
      <c r="AX40" s="35" t="str">
        <f aca="false">IF(OR(AR40="",N(AO40)=0),"",(N(AF40)*Settings!$B$6+N(AG40)*Settings!$B$7+N(AH40)*Settings!$B$8+N(AI40)*Settings!$B$9+N(AJ40)*Settings!$B$10)/AO40*1000)</f>
        <v/>
      </c>
      <c r="AY40" s="36" t="str">
        <f aca="false">IF(AS40="","",IFERROR(AS40/AVERAGEIFS('Post Tracker'!$AS$5:$AS$1004,'Post Tracker'!$G$5:$G$1004,G40),""))</f>
        <v/>
      </c>
      <c r="AZ40" s="32"/>
      <c r="BA40" s="32"/>
      <c r="BB40" s="32"/>
      <c r="BC40" s="32"/>
      <c r="BD40" s="33" t="str">
        <f aca="false">IF(A40="","",COUNTIFS('Demo Pipeline'!$Q$5:$Q$504,A40))</f>
        <v/>
      </c>
      <c r="BE40" s="33" t="str">
        <f aca="false">IF(A40="","",COUNTIFS('Demo Pipeline'!$Q$5:$Q$504,A40,'Demo Pipeline'!$W$5:$W$504,"Attended"))</f>
        <v/>
      </c>
      <c r="BF40" s="33" t="str">
        <f aca="false">IF(A40="","",COUNTIFS('Demo Pipeline'!$Q$5:$Q$504,A40,'Demo Pipeline'!$X$5:$X$504,"Yes"))</f>
        <v/>
      </c>
      <c r="BG40" s="33" t="str">
        <f aca="false">IF(A40="","",COUNTIFS('Demo Pipeline'!$Q$5:$Q$504,A40,'Demo Pipeline'!$Y$5:$Y$504,"Closed Won"))</f>
        <v/>
      </c>
      <c r="BH40" s="37" t="str">
        <f aca="false">IF(A40="","",SUMIFS('Demo Pipeline'!$Z$5:$Z$504,'Demo Pipeline'!$Q$5:$Q$504,A40))</f>
        <v/>
      </c>
      <c r="BI40" s="34" t="str">
        <f aca="false">IF(OR(AZ40="",N(AJ40)=0),"",AZ40/AJ40)</f>
        <v/>
      </c>
      <c r="BJ40" s="34" t="str">
        <f aca="false">IF(OR(BB40="",N(AZ40)=0),"",BB40/AZ40)</f>
        <v/>
      </c>
      <c r="BK40" s="34" t="str">
        <f aca="false">IF(OR(A40="",N(BB40)=0),"",BD40/BB40)</f>
        <v/>
      </c>
      <c r="BL40" s="34" t="str">
        <f aca="false">IF(OR(A40="",N(AZ40)=0),"",BD40/AZ40)</f>
        <v/>
      </c>
      <c r="BM40" s="37" t="str">
        <f aca="false">IF(OR(N(Q40)=0,N(BD40)=0),"",Q40/BD40)</f>
        <v/>
      </c>
      <c r="BN40" s="29"/>
      <c r="BO40" s="29"/>
      <c r="BP40" s="33" t="str">
        <f aca="false">IF(OR(AR40="",N(AO40)=0),"",AR40)</f>
        <v/>
      </c>
      <c r="BQ40" s="33" t="str">
        <f aca="false">IF(OR(AR40="",N(S40)=0),"",S40)</f>
        <v/>
      </c>
      <c r="BR40" s="38" t="str">
        <f aca="false">IF(AND(ISNUMBER(B40),B40&gt;=Dashboard!$C$4,B40&lt;=Dashboard!$F$4,ISNUMBER(AU40)),AU40+ROW()/10^9,"")</f>
        <v/>
      </c>
      <c r="BS40" s="38" t="str">
        <f aca="false">IF(AND(ISNUMBER(B40),B40&gt;=Dashboard!$C$4,B40&lt;=Dashboard!$F$4,A40&lt;&gt;""),N(BD40)+N(AU40)/100+ROW()/10^9,"")</f>
        <v/>
      </c>
    </row>
    <row r="41" customFormat="false" ht="15" hidden="false" customHeight="false" outlineLevel="0" collapsed="false">
      <c r="A41" s="24" t="str">
        <f aca="false">IF(OR(B41="",G41="",H41=""),"",IFERROR(INDEX(Settings!$E$5:$E$49,MATCH(G41,Settings!$D$5:$D$49,0))&amp;INDEX(Settings!$H$5:$H$47,MATCH(H41,Settings!$G$5:$G$47,0))&amp;"-"&amp;TEXT(B41,"yymmdd")&amp;"-"&amp;IF(C41="","0000",TEXT(C41,"hhmm")),"CHECK LISTS"))</f>
        <v/>
      </c>
      <c r="B41" s="39"/>
      <c r="C41" s="40"/>
      <c r="D41" s="24" t="str">
        <f aca="false">IF(B41="","",TEXT(B41,"ddd"))</f>
        <v/>
      </c>
      <c r="E41" s="27" t="str">
        <f aca="false">IF(B41="","",B41-WEEKDAY(B41,3))</f>
        <v/>
      </c>
      <c r="F41" s="24" t="str">
        <f aca="false">IF(B41="","",TEXT(B41,"yyyy-mm"))</f>
        <v/>
      </c>
      <c r="G41" s="29"/>
      <c r="H41" s="29"/>
      <c r="I41" s="29"/>
      <c r="J41" s="29"/>
      <c r="K41" s="29"/>
      <c r="L41" s="29"/>
      <c r="M41" s="29"/>
      <c r="N41" s="29"/>
      <c r="O41" s="29"/>
      <c r="P41" s="29"/>
      <c r="Q41" s="30"/>
      <c r="R41" s="29"/>
      <c r="S41" s="32"/>
      <c r="T41" s="29"/>
      <c r="U41" s="29"/>
      <c r="V41" s="24" t="str">
        <f aca="false">IF(A41="","",IFERROR(INDEX(Settings!$F$5:$F$49,MATCH(G41,Settings!$D$5:$D$49,0)),""))</f>
        <v/>
      </c>
      <c r="W41" s="24" t="str">
        <f aca="false">IF(A41="","",IF(OR(P41="",P41="Organic"),"social","paid_social"))</f>
        <v/>
      </c>
      <c r="X41" s="24" t="str">
        <f aca="false">IF(A41="","",IF(K41&lt;&gt;"",IFERROR(INDEX('Case Studies'!$C$5:$C$54,MATCH(K41,'Case Studies'!$B$5:$B$54,0))&amp;"","case-study"),IF(J41&lt;&gt;"",IFERROR(INDEX(Settings!$J$5:$J$55,MATCH(J41,Settings!$I$5:$I$55,0)),"general"),"general")))</f>
        <v/>
      </c>
      <c r="Y41" s="24" t="str">
        <f aca="false">IF(A41="","",LOWER(A41))</f>
        <v/>
      </c>
      <c r="Z41" s="24" t="str">
        <f aca="false">IF(A41="","",IF(T41="",Settings!$B$5,T41)&amp;IF(ISNUMBER(FIND("?",IF(T41="",Settings!$B$5,T41))),"&amp;","?")&amp;"utm_source="&amp;V41&amp;"&amp;utm_medium="&amp;W41&amp;"&amp;utm_campaign="&amp;X41&amp;"&amp;utm_content="&amp;Y41)</f>
        <v/>
      </c>
      <c r="AA41" s="29"/>
      <c r="AB41" s="39"/>
      <c r="AC41" s="32"/>
      <c r="AD41" s="32"/>
      <c r="AE41" s="32"/>
      <c r="AF41" s="32"/>
      <c r="AG41" s="32"/>
      <c r="AH41" s="32"/>
      <c r="AI41" s="32"/>
      <c r="AJ41" s="32"/>
      <c r="AK41" s="32"/>
      <c r="AL41" s="32"/>
      <c r="AM41" s="32"/>
      <c r="AN41" s="32"/>
      <c r="AO41" s="33" t="str">
        <f aca="false">IF(A41="","",IF(AD41&lt;&gt;"",AD41,IF(AC41&lt;&gt;"",AC41,"")))</f>
        <v/>
      </c>
      <c r="AP41" s="24" t="str">
        <f aca="false">IF(AO41="","",IF(AD41&lt;&gt;"","Reported reach","Impressions (proxy)"))</f>
        <v/>
      </c>
      <c r="AQ41" s="34" t="str">
        <f aca="false">IF(OR(AO41="",N(S41)=0),"",AO41/S41)</f>
        <v/>
      </c>
      <c r="AR41" s="33" t="str">
        <f aca="false">IF(A41="","",IF(COUNT(AF41:AJ41)=0,"",SUM(AF41:AJ41)))</f>
        <v/>
      </c>
      <c r="AS41" s="34" t="str">
        <f aca="false">IF(OR(AR41="",N(AO41)=0),"",AR41/AO41)</f>
        <v/>
      </c>
      <c r="AT41" s="34" t="str">
        <f aca="false">IF(OR(AR41="",N(AC41)=0),"",AR41/AC41)</f>
        <v/>
      </c>
      <c r="AU41" s="34" t="str">
        <f aca="false">IF(OR(AR41="",N(S41)=0),"",AR41/S41)</f>
        <v/>
      </c>
      <c r="AV41" s="34" t="str">
        <f aca="false">IF(OR(AJ41="",N(AC41)=0),"",AJ41/AC41)</f>
        <v/>
      </c>
      <c r="AW41" s="34" t="str">
        <f aca="false">IF(OR(AH41="",N(AO41)=0),"",AH41/AO41)</f>
        <v/>
      </c>
      <c r="AX41" s="35" t="str">
        <f aca="false">IF(OR(AR41="",N(AO41)=0),"",(N(AF41)*Settings!$B$6+N(AG41)*Settings!$B$7+N(AH41)*Settings!$B$8+N(AI41)*Settings!$B$9+N(AJ41)*Settings!$B$10)/AO41*1000)</f>
        <v/>
      </c>
      <c r="AY41" s="36" t="str">
        <f aca="false">IF(AS41="","",IFERROR(AS41/AVERAGEIFS('Post Tracker'!$AS$5:$AS$1004,'Post Tracker'!$G$5:$G$1004,G41),""))</f>
        <v/>
      </c>
      <c r="AZ41" s="32"/>
      <c r="BA41" s="32"/>
      <c r="BB41" s="32"/>
      <c r="BC41" s="32"/>
      <c r="BD41" s="33" t="str">
        <f aca="false">IF(A41="","",COUNTIFS('Demo Pipeline'!$Q$5:$Q$504,A41))</f>
        <v/>
      </c>
      <c r="BE41" s="33" t="str">
        <f aca="false">IF(A41="","",COUNTIFS('Demo Pipeline'!$Q$5:$Q$504,A41,'Demo Pipeline'!$W$5:$W$504,"Attended"))</f>
        <v/>
      </c>
      <c r="BF41" s="33" t="str">
        <f aca="false">IF(A41="","",COUNTIFS('Demo Pipeline'!$Q$5:$Q$504,A41,'Demo Pipeline'!$X$5:$X$504,"Yes"))</f>
        <v/>
      </c>
      <c r="BG41" s="33" t="str">
        <f aca="false">IF(A41="","",COUNTIFS('Demo Pipeline'!$Q$5:$Q$504,A41,'Demo Pipeline'!$Y$5:$Y$504,"Closed Won"))</f>
        <v/>
      </c>
      <c r="BH41" s="37" t="str">
        <f aca="false">IF(A41="","",SUMIFS('Demo Pipeline'!$Z$5:$Z$504,'Demo Pipeline'!$Q$5:$Q$504,A41))</f>
        <v/>
      </c>
      <c r="BI41" s="34" t="str">
        <f aca="false">IF(OR(AZ41="",N(AJ41)=0),"",AZ41/AJ41)</f>
        <v/>
      </c>
      <c r="BJ41" s="34" t="str">
        <f aca="false">IF(OR(BB41="",N(AZ41)=0),"",BB41/AZ41)</f>
        <v/>
      </c>
      <c r="BK41" s="34" t="str">
        <f aca="false">IF(OR(A41="",N(BB41)=0),"",BD41/BB41)</f>
        <v/>
      </c>
      <c r="BL41" s="34" t="str">
        <f aca="false">IF(OR(A41="",N(AZ41)=0),"",BD41/AZ41)</f>
        <v/>
      </c>
      <c r="BM41" s="37" t="str">
        <f aca="false">IF(OR(N(Q41)=0,N(BD41)=0),"",Q41/BD41)</f>
        <v/>
      </c>
      <c r="BN41" s="29"/>
      <c r="BO41" s="29"/>
      <c r="BP41" s="33" t="str">
        <f aca="false">IF(OR(AR41="",N(AO41)=0),"",AR41)</f>
        <v/>
      </c>
      <c r="BQ41" s="33" t="str">
        <f aca="false">IF(OR(AR41="",N(S41)=0),"",S41)</f>
        <v/>
      </c>
      <c r="BR41" s="38" t="str">
        <f aca="false">IF(AND(ISNUMBER(B41),B41&gt;=Dashboard!$C$4,B41&lt;=Dashboard!$F$4,ISNUMBER(AU41)),AU41+ROW()/10^9,"")</f>
        <v/>
      </c>
      <c r="BS41" s="38" t="str">
        <f aca="false">IF(AND(ISNUMBER(B41),B41&gt;=Dashboard!$C$4,B41&lt;=Dashboard!$F$4,A41&lt;&gt;""),N(BD41)+N(AU41)/100+ROW()/10^9,"")</f>
        <v/>
      </c>
    </row>
    <row r="42" customFormat="false" ht="15" hidden="false" customHeight="false" outlineLevel="0" collapsed="false">
      <c r="A42" s="24" t="str">
        <f aca="false">IF(OR(B42="",G42="",H42=""),"",IFERROR(INDEX(Settings!$E$5:$E$49,MATCH(G42,Settings!$D$5:$D$49,0))&amp;INDEX(Settings!$H$5:$H$47,MATCH(H42,Settings!$G$5:$G$47,0))&amp;"-"&amp;TEXT(B42,"yymmdd")&amp;"-"&amp;IF(C42="","0000",TEXT(C42,"hhmm")),"CHECK LISTS"))</f>
        <v/>
      </c>
      <c r="B42" s="39"/>
      <c r="C42" s="40"/>
      <c r="D42" s="24" t="str">
        <f aca="false">IF(B42="","",TEXT(B42,"ddd"))</f>
        <v/>
      </c>
      <c r="E42" s="27" t="str">
        <f aca="false">IF(B42="","",B42-WEEKDAY(B42,3))</f>
        <v/>
      </c>
      <c r="F42" s="24" t="str">
        <f aca="false">IF(B42="","",TEXT(B42,"yyyy-mm"))</f>
        <v/>
      </c>
      <c r="G42" s="29"/>
      <c r="H42" s="29"/>
      <c r="I42" s="29"/>
      <c r="J42" s="29"/>
      <c r="K42" s="29"/>
      <c r="L42" s="29"/>
      <c r="M42" s="29"/>
      <c r="N42" s="29"/>
      <c r="O42" s="29"/>
      <c r="P42" s="29"/>
      <c r="Q42" s="30"/>
      <c r="R42" s="29"/>
      <c r="S42" s="32"/>
      <c r="T42" s="29"/>
      <c r="U42" s="29"/>
      <c r="V42" s="24" t="str">
        <f aca="false">IF(A42="","",IFERROR(INDEX(Settings!$F$5:$F$49,MATCH(G42,Settings!$D$5:$D$49,0)),""))</f>
        <v/>
      </c>
      <c r="W42" s="24" t="str">
        <f aca="false">IF(A42="","",IF(OR(P42="",P42="Organic"),"social","paid_social"))</f>
        <v/>
      </c>
      <c r="X42" s="24" t="str">
        <f aca="false">IF(A42="","",IF(K42&lt;&gt;"",IFERROR(INDEX('Case Studies'!$C$5:$C$54,MATCH(K42,'Case Studies'!$B$5:$B$54,0))&amp;"","case-study"),IF(J42&lt;&gt;"",IFERROR(INDEX(Settings!$J$5:$J$55,MATCH(J42,Settings!$I$5:$I$55,0)),"general"),"general")))</f>
        <v/>
      </c>
      <c r="Y42" s="24" t="str">
        <f aca="false">IF(A42="","",LOWER(A42))</f>
        <v/>
      </c>
      <c r="Z42" s="24" t="str">
        <f aca="false">IF(A42="","",IF(T42="",Settings!$B$5,T42)&amp;IF(ISNUMBER(FIND("?",IF(T42="",Settings!$B$5,T42))),"&amp;","?")&amp;"utm_source="&amp;V42&amp;"&amp;utm_medium="&amp;W42&amp;"&amp;utm_campaign="&amp;X42&amp;"&amp;utm_content="&amp;Y42)</f>
        <v/>
      </c>
      <c r="AA42" s="29"/>
      <c r="AB42" s="39"/>
      <c r="AC42" s="32"/>
      <c r="AD42" s="32"/>
      <c r="AE42" s="32"/>
      <c r="AF42" s="32"/>
      <c r="AG42" s="32"/>
      <c r="AH42" s="32"/>
      <c r="AI42" s="32"/>
      <c r="AJ42" s="32"/>
      <c r="AK42" s="32"/>
      <c r="AL42" s="32"/>
      <c r="AM42" s="32"/>
      <c r="AN42" s="32"/>
      <c r="AO42" s="33" t="str">
        <f aca="false">IF(A42="","",IF(AD42&lt;&gt;"",AD42,IF(AC42&lt;&gt;"",AC42,"")))</f>
        <v/>
      </c>
      <c r="AP42" s="24" t="str">
        <f aca="false">IF(AO42="","",IF(AD42&lt;&gt;"","Reported reach","Impressions (proxy)"))</f>
        <v/>
      </c>
      <c r="AQ42" s="34" t="str">
        <f aca="false">IF(OR(AO42="",N(S42)=0),"",AO42/S42)</f>
        <v/>
      </c>
      <c r="AR42" s="33" t="str">
        <f aca="false">IF(A42="","",IF(COUNT(AF42:AJ42)=0,"",SUM(AF42:AJ42)))</f>
        <v/>
      </c>
      <c r="AS42" s="34" t="str">
        <f aca="false">IF(OR(AR42="",N(AO42)=0),"",AR42/AO42)</f>
        <v/>
      </c>
      <c r="AT42" s="34" t="str">
        <f aca="false">IF(OR(AR42="",N(AC42)=0),"",AR42/AC42)</f>
        <v/>
      </c>
      <c r="AU42" s="34" t="str">
        <f aca="false">IF(OR(AR42="",N(S42)=0),"",AR42/S42)</f>
        <v/>
      </c>
      <c r="AV42" s="34" t="str">
        <f aca="false">IF(OR(AJ42="",N(AC42)=0),"",AJ42/AC42)</f>
        <v/>
      </c>
      <c r="AW42" s="34" t="str">
        <f aca="false">IF(OR(AH42="",N(AO42)=0),"",AH42/AO42)</f>
        <v/>
      </c>
      <c r="AX42" s="35" t="str">
        <f aca="false">IF(OR(AR42="",N(AO42)=0),"",(N(AF42)*Settings!$B$6+N(AG42)*Settings!$B$7+N(AH42)*Settings!$B$8+N(AI42)*Settings!$B$9+N(AJ42)*Settings!$B$10)/AO42*1000)</f>
        <v/>
      </c>
      <c r="AY42" s="36" t="str">
        <f aca="false">IF(AS42="","",IFERROR(AS42/AVERAGEIFS('Post Tracker'!$AS$5:$AS$1004,'Post Tracker'!$G$5:$G$1004,G42),""))</f>
        <v/>
      </c>
      <c r="AZ42" s="32"/>
      <c r="BA42" s="32"/>
      <c r="BB42" s="32"/>
      <c r="BC42" s="32"/>
      <c r="BD42" s="33" t="str">
        <f aca="false">IF(A42="","",COUNTIFS('Demo Pipeline'!$Q$5:$Q$504,A42))</f>
        <v/>
      </c>
      <c r="BE42" s="33" t="str">
        <f aca="false">IF(A42="","",COUNTIFS('Demo Pipeline'!$Q$5:$Q$504,A42,'Demo Pipeline'!$W$5:$W$504,"Attended"))</f>
        <v/>
      </c>
      <c r="BF42" s="33" t="str">
        <f aca="false">IF(A42="","",COUNTIFS('Demo Pipeline'!$Q$5:$Q$504,A42,'Demo Pipeline'!$X$5:$X$504,"Yes"))</f>
        <v/>
      </c>
      <c r="BG42" s="33" t="str">
        <f aca="false">IF(A42="","",COUNTIFS('Demo Pipeline'!$Q$5:$Q$504,A42,'Demo Pipeline'!$Y$5:$Y$504,"Closed Won"))</f>
        <v/>
      </c>
      <c r="BH42" s="37" t="str">
        <f aca="false">IF(A42="","",SUMIFS('Demo Pipeline'!$Z$5:$Z$504,'Demo Pipeline'!$Q$5:$Q$504,A42))</f>
        <v/>
      </c>
      <c r="BI42" s="34" t="str">
        <f aca="false">IF(OR(AZ42="",N(AJ42)=0),"",AZ42/AJ42)</f>
        <v/>
      </c>
      <c r="BJ42" s="34" t="str">
        <f aca="false">IF(OR(BB42="",N(AZ42)=0),"",BB42/AZ42)</f>
        <v/>
      </c>
      <c r="BK42" s="34" t="str">
        <f aca="false">IF(OR(A42="",N(BB42)=0),"",BD42/BB42)</f>
        <v/>
      </c>
      <c r="BL42" s="34" t="str">
        <f aca="false">IF(OR(A42="",N(AZ42)=0),"",BD42/AZ42)</f>
        <v/>
      </c>
      <c r="BM42" s="37" t="str">
        <f aca="false">IF(OR(N(Q42)=0,N(BD42)=0),"",Q42/BD42)</f>
        <v/>
      </c>
      <c r="BN42" s="29"/>
      <c r="BO42" s="29"/>
      <c r="BP42" s="33" t="str">
        <f aca="false">IF(OR(AR42="",N(AO42)=0),"",AR42)</f>
        <v/>
      </c>
      <c r="BQ42" s="33" t="str">
        <f aca="false">IF(OR(AR42="",N(S42)=0),"",S42)</f>
        <v/>
      </c>
      <c r="BR42" s="38" t="str">
        <f aca="false">IF(AND(ISNUMBER(B42),B42&gt;=Dashboard!$C$4,B42&lt;=Dashboard!$F$4,ISNUMBER(AU42)),AU42+ROW()/10^9,"")</f>
        <v/>
      </c>
      <c r="BS42" s="38" t="str">
        <f aca="false">IF(AND(ISNUMBER(B42),B42&gt;=Dashboard!$C$4,B42&lt;=Dashboard!$F$4,A42&lt;&gt;""),N(BD42)+N(AU42)/100+ROW()/10^9,"")</f>
        <v/>
      </c>
    </row>
    <row r="43" customFormat="false" ht="15" hidden="false" customHeight="false" outlineLevel="0" collapsed="false">
      <c r="A43" s="24" t="str">
        <f aca="false">IF(OR(B43="",G43="",H43=""),"",IFERROR(INDEX(Settings!$E$5:$E$49,MATCH(G43,Settings!$D$5:$D$49,0))&amp;INDEX(Settings!$H$5:$H$47,MATCH(H43,Settings!$G$5:$G$47,0))&amp;"-"&amp;TEXT(B43,"yymmdd")&amp;"-"&amp;IF(C43="","0000",TEXT(C43,"hhmm")),"CHECK LISTS"))</f>
        <v/>
      </c>
      <c r="B43" s="39"/>
      <c r="C43" s="40"/>
      <c r="D43" s="24" t="str">
        <f aca="false">IF(B43="","",TEXT(B43,"ddd"))</f>
        <v/>
      </c>
      <c r="E43" s="27" t="str">
        <f aca="false">IF(B43="","",B43-WEEKDAY(B43,3))</f>
        <v/>
      </c>
      <c r="F43" s="24" t="str">
        <f aca="false">IF(B43="","",TEXT(B43,"yyyy-mm"))</f>
        <v/>
      </c>
      <c r="G43" s="29"/>
      <c r="H43" s="29"/>
      <c r="I43" s="29"/>
      <c r="J43" s="29"/>
      <c r="K43" s="29"/>
      <c r="L43" s="29"/>
      <c r="M43" s="29"/>
      <c r="N43" s="29"/>
      <c r="O43" s="29"/>
      <c r="P43" s="29"/>
      <c r="Q43" s="30"/>
      <c r="R43" s="29"/>
      <c r="S43" s="32"/>
      <c r="T43" s="29"/>
      <c r="U43" s="29"/>
      <c r="V43" s="24" t="str">
        <f aca="false">IF(A43="","",IFERROR(INDEX(Settings!$F$5:$F$49,MATCH(G43,Settings!$D$5:$D$49,0)),""))</f>
        <v/>
      </c>
      <c r="W43" s="24" t="str">
        <f aca="false">IF(A43="","",IF(OR(P43="",P43="Organic"),"social","paid_social"))</f>
        <v/>
      </c>
      <c r="X43" s="24" t="str">
        <f aca="false">IF(A43="","",IF(K43&lt;&gt;"",IFERROR(INDEX('Case Studies'!$C$5:$C$54,MATCH(K43,'Case Studies'!$B$5:$B$54,0))&amp;"","case-study"),IF(J43&lt;&gt;"",IFERROR(INDEX(Settings!$J$5:$J$55,MATCH(J43,Settings!$I$5:$I$55,0)),"general"),"general")))</f>
        <v/>
      </c>
      <c r="Y43" s="24" t="str">
        <f aca="false">IF(A43="","",LOWER(A43))</f>
        <v/>
      </c>
      <c r="Z43" s="24" t="str">
        <f aca="false">IF(A43="","",IF(T43="",Settings!$B$5,T43)&amp;IF(ISNUMBER(FIND("?",IF(T43="",Settings!$B$5,T43))),"&amp;","?")&amp;"utm_source="&amp;V43&amp;"&amp;utm_medium="&amp;W43&amp;"&amp;utm_campaign="&amp;X43&amp;"&amp;utm_content="&amp;Y43)</f>
        <v/>
      </c>
      <c r="AA43" s="29"/>
      <c r="AB43" s="39"/>
      <c r="AC43" s="32"/>
      <c r="AD43" s="32"/>
      <c r="AE43" s="32"/>
      <c r="AF43" s="32"/>
      <c r="AG43" s="32"/>
      <c r="AH43" s="32"/>
      <c r="AI43" s="32"/>
      <c r="AJ43" s="32"/>
      <c r="AK43" s="32"/>
      <c r="AL43" s="32"/>
      <c r="AM43" s="32"/>
      <c r="AN43" s="32"/>
      <c r="AO43" s="33" t="str">
        <f aca="false">IF(A43="","",IF(AD43&lt;&gt;"",AD43,IF(AC43&lt;&gt;"",AC43,"")))</f>
        <v/>
      </c>
      <c r="AP43" s="24" t="str">
        <f aca="false">IF(AO43="","",IF(AD43&lt;&gt;"","Reported reach","Impressions (proxy)"))</f>
        <v/>
      </c>
      <c r="AQ43" s="34" t="str">
        <f aca="false">IF(OR(AO43="",N(S43)=0),"",AO43/S43)</f>
        <v/>
      </c>
      <c r="AR43" s="33" t="str">
        <f aca="false">IF(A43="","",IF(COUNT(AF43:AJ43)=0,"",SUM(AF43:AJ43)))</f>
        <v/>
      </c>
      <c r="AS43" s="34" t="str">
        <f aca="false">IF(OR(AR43="",N(AO43)=0),"",AR43/AO43)</f>
        <v/>
      </c>
      <c r="AT43" s="34" t="str">
        <f aca="false">IF(OR(AR43="",N(AC43)=0),"",AR43/AC43)</f>
        <v/>
      </c>
      <c r="AU43" s="34" t="str">
        <f aca="false">IF(OR(AR43="",N(S43)=0),"",AR43/S43)</f>
        <v/>
      </c>
      <c r="AV43" s="34" t="str">
        <f aca="false">IF(OR(AJ43="",N(AC43)=0),"",AJ43/AC43)</f>
        <v/>
      </c>
      <c r="AW43" s="34" t="str">
        <f aca="false">IF(OR(AH43="",N(AO43)=0),"",AH43/AO43)</f>
        <v/>
      </c>
      <c r="AX43" s="35" t="str">
        <f aca="false">IF(OR(AR43="",N(AO43)=0),"",(N(AF43)*Settings!$B$6+N(AG43)*Settings!$B$7+N(AH43)*Settings!$B$8+N(AI43)*Settings!$B$9+N(AJ43)*Settings!$B$10)/AO43*1000)</f>
        <v/>
      </c>
      <c r="AY43" s="36" t="str">
        <f aca="false">IF(AS43="","",IFERROR(AS43/AVERAGEIFS('Post Tracker'!$AS$5:$AS$1004,'Post Tracker'!$G$5:$G$1004,G43),""))</f>
        <v/>
      </c>
      <c r="AZ43" s="32"/>
      <c r="BA43" s="32"/>
      <c r="BB43" s="32"/>
      <c r="BC43" s="32"/>
      <c r="BD43" s="33" t="str">
        <f aca="false">IF(A43="","",COUNTIFS('Demo Pipeline'!$Q$5:$Q$504,A43))</f>
        <v/>
      </c>
      <c r="BE43" s="33" t="str">
        <f aca="false">IF(A43="","",COUNTIFS('Demo Pipeline'!$Q$5:$Q$504,A43,'Demo Pipeline'!$W$5:$W$504,"Attended"))</f>
        <v/>
      </c>
      <c r="BF43" s="33" t="str">
        <f aca="false">IF(A43="","",COUNTIFS('Demo Pipeline'!$Q$5:$Q$504,A43,'Demo Pipeline'!$X$5:$X$504,"Yes"))</f>
        <v/>
      </c>
      <c r="BG43" s="33" t="str">
        <f aca="false">IF(A43="","",COUNTIFS('Demo Pipeline'!$Q$5:$Q$504,A43,'Demo Pipeline'!$Y$5:$Y$504,"Closed Won"))</f>
        <v/>
      </c>
      <c r="BH43" s="37" t="str">
        <f aca="false">IF(A43="","",SUMIFS('Demo Pipeline'!$Z$5:$Z$504,'Demo Pipeline'!$Q$5:$Q$504,A43))</f>
        <v/>
      </c>
      <c r="BI43" s="34" t="str">
        <f aca="false">IF(OR(AZ43="",N(AJ43)=0),"",AZ43/AJ43)</f>
        <v/>
      </c>
      <c r="BJ43" s="34" t="str">
        <f aca="false">IF(OR(BB43="",N(AZ43)=0),"",BB43/AZ43)</f>
        <v/>
      </c>
      <c r="BK43" s="34" t="str">
        <f aca="false">IF(OR(A43="",N(BB43)=0),"",BD43/BB43)</f>
        <v/>
      </c>
      <c r="BL43" s="34" t="str">
        <f aca="false">IF(OR(A43="",N(AZ43)=0),"",BD43/AZ43)</f>
        <v/>
      </c>
      <c r="BM43" s="37" t="str">
        <f aca="false">IF(OR(N(Q43)=0,N(BD43)=0),"",Q43/BD43)</f>
        <v/>
      </c>
      <c r="BN43" s="29"/>
      <c r="BO43" s="29"/>
      <c r="BP43" s="33" t="str">
        <f aca="false">IF(OR(AR43="",N(AO43)=0),"",AR43)</f>
        <v/>
      </c>
      <c r="BQ43" s="33" t="str">
        <f aca="false">IF(OR(AR43="",N(S43)=0),"",S43)</f>
        <v/>
      </c>
      <c r="BR43" s="38" t="str">
        <f aca="false">IF(AND(ISNUMBER(B43),B43&gt;=Dashboard!$C$4,B43&lt;=Dashboard!$F$4,ISNUMBER(AU43)),AU43+ROW()/10^9,"")</f>
        <v/>
      </c>
      <c r="BS43" s="38" t="str">
        <f aca="false">IF(AND(ISNUMBER(B43),B43&gt;=Dashboard!$C$4,B43&lt;=Dashboard!$F$4,A43&lt;&gt;""),N(BD43)+N(AU43)/100+ROW()/10^9,"")</f>
        <v/>
      </c>
    </row>
    <row r="44" customFormat="false" ht="15" hidden="false" customHeight="false" outlineLevel="0" collapsed="false">
      <c r="A44" s="24" t="str">
        <f aca="false">IF(OR(B44="",G44="",H44=""),"",IFERROR(INDEX(Settings!$E$5:$E$49,MATCH(G44,Settings!$D$5:$D$49,0))&amp;INDEX(Settings!$H$5:$H$47,MATCH(H44,Settings!$G$5:$G$47,0))&amp;"-"&amp;TEXT(B44,"yymmdd")&amp;"-"&amp;IF(C44="","0000",TEXT(C44,"hhmm")),"CHECK LISTS"))</f>
        <v/>
      </c>
      <c r="B44" s="39"/>
      <c r="C44" s="40"/>
      <c r="D44" s="24" t="str">
        <f aca="false">IF(B44="","",TEXT(B44,"ddd"))</f>
        <v/>
      </c>
      <c r="E44" s="27" t="str">
        <f aca="false">IF(B44="","",B44-WEEKDAY(B44,3))</f>
        <v/>
      </c>
      <c r="F44" s="24" t="str">
        <f aca="false">IF(B44="","",TEXT(B44,"yyyy-mm"))</f>
        <v/>
      </c>
      <c r="G44" s="29"/>
      <c r="H44" s="29"/>
      <c r="I44" s="29"/>
      <c r="J44" s="29"/>
      <c r="K44" s="29"/>
      <c r="L44" s="29"/>
      <c r="M44" s="29"/>
      <c r="N44" s="29"/>
      <c r="O44" s="29"/>
      <c r="P44" s="29"/>
      <c r="Q44" s="30"/>
      <c r="R44" s="29"/>
      <c r="S44" s="32"/>
      <c r="T44" s="29"/>
      <c r="U44" s="29"/>
      <c r="V44" s="24" t="str">
        <f aca="false">IF(A44="","",IFERROR(INDEX(Settings!$F$5:$F$49,MATCH(G44,Settings!$D$5:$D$49,0)),""))</f>
        <v/>
      </c>
      <c r="W44" s="24" t="str">
        <f aca="false">IF(A44="","",IF(OR(P44="",P44="Organic"),"social","paid_social"))</f>
        <v/>
      </c>
      <c r="X44" s="24" t="str">
        <f aca="false">IF(A44="","",IF(K44&lt;&gt;"",IFERROR(INDEX('Case Studies'!$C$5:$C$54,MATCH(K44,'Case Studies'!$B$5:$B$54,0))&amp;"","case-study"),IF(J44&lt;&gt;"",IFERROR(INDEX(Settings!$J$5:$J$55,MATCH(J44,Settings!$I$5:$I$55,0)),"general"),"general")))</f>
        <v/>
      </c>
      <c r="Y44" s="24" t="str">
        <f aca="false">IF(A44="","",LOWER(A44))</f>
        <v/>
      </c>
      <c r="Z44" s="24" t="str">
        <f aca="false">IF(A44="","",IF(T44="",Settings!$B$5,T44)&amp;IF(ISNUMBER(FIND("?",IF(T44="",Settings!$B$5,T44))),"&amp;","?")&amp;"utm_source="&amp;V44&amp;"&amp;utm_medium="&amp;W44&amp;"&amp;utm_campaign="&amp;X44&amp;"&amp;utm_content="&amp;Y44)</f>
        <v/>
      </c>
      <c r="AA44" s="29"/>
      <c r="AB44" s="39"/>
      <c r="AC44" s="32"/>
      <c r="AD44" s="32"/>
      <c r="AE44" s="32"/>
      <c r="AF44" s="32"/>
      <c r="AG44" s="32"/>
      <c r="AH44" s="32"/>
      <c r="AI44" s="32"/>
      <c r="AJ44" s="32"/>
      <c r="AK44" s="32"/>
      <c r="AL44" s="32"/>
      <c r="AM44" s="32"/>
      <c r="AN44" s="32"/>
      <c r="AO44" s="33" t="str">
        <f aca="false">IF(A44="","",IF(AD44&lt;&gt;"",AD44,IF(AC44&lt;&gt;"",AC44,"")))</f>
        <v/>
      </c>
      <c r="AP44" s="24" t="str">
        <f aca="false">IF(AO44="","",IF(AD44&lt;&gt;"","Reported reach","Impressions (proxy)"))</f>
        <v/>
      </c>
      <c r="AQ44" s="34" t="str">
        <f aca="false">IF(OR(AO44="",N(S44)=0),"",AO44/S44)</f>
        <v/>
      </c>
      <c r="AR44" s="33" t="str">
        <f aca="false">IF(A44="","",IF(COUNT(AF44:AJ44)=0,"",SUM(AF44:AJ44)))</f>
        <v/>
      </c>
      <c r="AS44" s="34" t="str">
        <f aca="false">IF(OR(AR44="",N(AO44)=0),"",AR44/AO44)</f>
        <v/>
      </c>
      <c r="AT44" s="34" t="str">
        <f aca="false">IF(OR(AR44="",N(AC44)=0),"",AR44/AC44)</f>
        <v/>
      </c>
      <c r="AU44" s="34" t="str">
        <f aca="false">IF(OR(AR44="",N(S44)=0),"",AR44/S44)</f>
        <v/>
      </c>
      <c r="AV44" s="34" t="str">
        <f aca="false">IF(OR(AJ44="",N(AC44)=0),"",AJ44/AC44)</f>
        <v/>
      </c>
      <c r="AW44" s="34" t="str">
        <f aca="false">IF(OR(AH44="",N(AO44)=0),"",AH44/AO44)</f>
        <v/>
      </c>
      <c r="AX44" s="35" t="str">
        <f aca="false">IF(OR(AR44="",N(AO44)=0),"",(N(AF44)*Settings!$B$6+N(AG44)*Settings!$B$7+N(AH44)*Settings!$B$8+N(AI44)*Settings!$B$9+N(AJ44)*Settings!$B$10)/AO44*1000)</f>
        <v/>
      </c>
      <c r="AY44" s="36" t="str">
        <f aca="false">IF(AS44="","",IFERROR(AS44/AVERAGEIFS('Post Tracker'!$AS$5:$AS$1004,'Post Tracker'!$G$5:$G$1004,G44),""))</f>
        <v/>
      </c>
      <c r="AZ44" s="32"/>
      <c r="BA44" s="32"/>
      <c r="BB44" s="32"/>
      <c r="BC44" s="32"/>
      <c r="BD44" s="33" t="str">
        <f aca="false">IF(A44="","",COUNTIFS('Demo Pipeline'!$Q$5:$Q$504,A44))</f>
        <v/>
      </c>
      <c r="BE44" s="33" t="str">
        <f aca="false">IF(A44="","",COUNTIFS('Demo Pipeline'!$Q$5:$Q$504,A44,'Demo Pipeline'!$W$5:$W$504,"Attended"))</f>
        <v/>
      </c>
      <c r="BF44" s="33" t="str">
        <f aca="false">IF(A44="","",COUNTIFS('Demo Pipeline'!$Q$5:$Q$504,A44,'Demo Pipeline'!$X$5:$X$504,"Yes"))</f>
        <v/>
      </c>
      <c r="BG44" s="33" t="str">
        <f aca="false">IF(A44="","",COUNTIFS('Demo Pipeline'!$Q$5:$Q$504,A44,'Demo Pipeline'!$Y$5:$Y$504,"Closed Won"))</f>
        <v/>
      </c>
      <c r="BH44" s="37" t="str">
        <f aca="false">IF(A44="","",SUMIFS('Demo Pipeline'!$Z$5:$Z$504,'Demo Pipeline'!$Q$5:$Q$504,A44))</f>
        <v/>
      </c>
      <c r="BI44" s="34" t="str">
        <f aca="false">IF(OR(AZ44="",N(AJ44)=0),"",AZ44/AJ44)</f>
        <v/>
      </c>
      <c r="BJ44" s="34" t="str">
        <f aca="false">IF(OR(BB44="",N(AZ44)=0),"",BB44/AZ44)</f>
        <v/>
      </c>
      <c r="BK44" s="34" t="str">
        <f aca="false">IF(OR(A44="",N(BB44)=0),"",BD44/BB44)</f>
        <v/>
      </c>
      <c r="BL44" s="34" t="str">
        <f aca="false">IF(OR(A44="",N(AZ44)=0),"",BD44/AZ44)</f>
        <v/>
      </c>
      <c r="BM44" s="37" t="str">
        <f aca="false">IF(OR(N(Q44)=0,N(BD44)=0),"",Q44/BD44)</f>
        <v/>
      </c>
      <c r="BN44" s="29"/>
      <c r="BO44" s="29"/>
      <c r="BP44" s="33" t="str">
        <f aca="false">IF(OR(AR44="",N(AO44)=0),"",AR44)</f>
        <v/>
      </c>
      <c r="BQ44" s="33" t="str">
        <f aca="false">IF(OR(AR44="",N(S44)=0),"",S44)</f>
        <v/>
      </c>
      <c r="BR44" s="38" t="str">
        <f aca="false">IF(AND(ISNUMBER(B44),B44&gt;=Dashboard!$C$4,B44&lt;=Dashboard!$F$4,ISNUMBER(AU44)),AU44+ROW()/10^9,"")</f>
        <v/>
      </c>
      <c r="BS44" s="38" t="str">
        <f aca="false">IF(AND(ISNUMBER(B44),B44&gt;=Dashboard!$C$4,B44&lt;=Dashboard!$F$4,A44&lt;&gt;""),N(BD44)+N(AU44)/100+ROW()/10^9,"")</f>
        <v/>
      </c>
    </row>
    <row r="45" customFormat="false" ht="15" hidden="false" customHeight="false" outlineLevel="0" collapsed="false">
      <c r="A45" s="24" t="str">
        <f aca="false">IF(OR(B45="",G45="",H45=""),"",IFERROR(INDEX(Settings!$E$5:$E$49,MATCH(G45,Settings!$D$5:$D$49,0))&amp;INDEX(Settings!$H$5:$H$47,MATCH(H45,Settings!$G$5:$G$47,0))&amp;"-"&amp;TEXT(B45,"yymmdd")&amp;"-"&amp;IF(C45="","0000",TEXT(C45,"hhmm")),"CHECK LISTS"))</f>
        <v/>
      </c>
      <c r="B45" s="39"/>
      <c r="C45" s="40"/>
      <c r="D45" s="24" t="str">
        <f aca="false">IF(B45="","",TEXT(B45,"ddd"))</f>
        <v/>
      </c>
      <c r="E45" s="27" t="str">
        <f aca="false">IF(B45="","",B45-WEEKDAY(B45,3))</f>
        <v/>
      </c>
      <c r="F45" s="24" t="str">
        <f aca="false">IF(B45="","",TEXT(B45,"yyyy-mm"))</f>
        <v/>
      </c>
      <c r="G45" s="29"/>
      <c r="H45" s="29"/>
      <c r="I45" s="29"/>
      <c r="J45" s="29"/>
      <c r="K45" s="29"/>
      <c r="L45" s="29"/>
      <c r="M45" s="29"/>
      <c r="N45" s="29"/>
      <c r="O45" s="29"/>
      <c r="P45" s="29"/>
      <c r="Q45" s="30"/>
      <c r="R45" s="29"/>
      <c r="S45" s="32"/>
      <c r="T45" s="29"/>
      <c r="U45" s="29"/>
      <c r="V45" s="24" t="str">
        <f aca="false">IF(A45="","",IFERROR(INDEX(Settings!$F$5:$F$49,MATCH(G45,Settings!$D$5:$D$49,0)),""))</f>
        <v/>
      </c>
      <c r="W45" s="24" t="str">
        <f aca="false">IF(A45="","",IF(OR(P45="",P45="Organic"),"social","paid_social"))</f>
        <v/>
      </c>
      <c r="X45" s="24" t="str">
        <f aca="false">IF(A45="","",IF(K45&lt;&gt;"",IFERROR(INDEX('Case Studies'!$C$5:$C$54,MATCH(K45,'Case Studies'!$B$5:$B$54,0))&amp;"","case-study"),IF(J45&lt;&gt;"",IFERROR(INDEX(Settings!$J$5:$J$55,MATCH(J45,Settings!$I$5:$I$55,0)),"general"),"general")))</f>
        <v/>
      </c>
      <c r="Y45" s="24" t="str">
        <f aca="false">IF(A45="","",LOWER(A45))</f>
        <v/>
      </c>
      <c r="Z45" s="24" t="str">
        <f aca="false">IF(A45="","",IF(T45="",Settings!$B$5,T45)&amp;IF(ISNUMBER(FIND("?",IF(T45="",Settings!$B$5,T45))),"&amp;","?")&amp;"utm_source="&amp;V45&amp;"&amp;utm_medium="&amp;W45&amp;"&amp;utm_campaign="&amp;X45&amp;"&amp;utm_content="&amp;Y45)</f>
        <v/>
      </c>
      <c r="AA45" s="29"/>
      <c r="AB45" s="39"/>
      <c r="AC45" s="32"/>
      <c r="AD45" s="32"/>
      <c r="AE45" s="32"/>
      <c r="AF45" s="32"/>
      <c r="AG45" s="32"/>
      <c r="AH45" s="32"/>
      <c r="AI45" s="32"/>
      <c r="AJ45" s="32"/>
      <c r="AK45" s="32"/>
      <c r="AL45" s="32"/>
      <c r="AM45" s="32"/>
      <c r="AN45" s="32"/>
      <c r="AO45" s="33" t="str">
        <f aca="false">IF(A45="","",IF(AD45&lt;&gt;"",AD45,IF(AC45&lt;&gt;"",AC45,"")))</f>
        <v/>
      </c>
      <c r="AP45" s="24" t="str">
        <f aca="false">IF(AO45="","",IF(AD45&lt;&gt;"","Reported reach","Impressions (proxy)"))</f>
        <v/>
      </c>
      <c r="AQ45" s="34" t="str">
        <f aca="false">IF(OR(AO45="",N(S45)=0),"",AO45/S45)</f>
        <v/>
      </c>
      <c r="AR45" s="33" t="str">
        <f aca="false">IF(A45="","",IF(COUNT(AF45:AJ45)=0,"",SUM(AF45:AJ45)))</f>
        <v/>
      </c>
      <c r="AS45" s="34" t="str">
        <f aca="false">IF(OR(AR45="",N(AO45)=0),"",AR45/AO45)</f>
        <v/>
      </c>
      <c r="AT45" s="34" t="str">
        <f aca="false">IF(OR(AR45="",N(AC45)=0),"",AR45/AC45)</f>
        <v/>
      </c>
      <c r="AU45" s="34" t="str">
        <f aca="false">IF(OR(AR45="",N(S45)=0),"",AR45/S45)</f>
        <v/>
      </c>
      <c r="AV45" s="34" t="str">
        <f aca="false">IF(OR(AJ45="",N(AC45)=0),"",AJ45/AC45)</f>
        <v/>
      </c>
      <c r="AW45" s="34" t="str">
        <f aca="false">IF(OR(AH45="",N(AO45)=0),"",AH45/AO45)</f>
        <v/>
      </c>
      <c r="AX45" s="35" t="str">
        <f aca="false">IF(OR(AR45="",N(AO45)=0),"",(N(AF45)*Settings!$B$6+N(AG45)*Settings!$B$7+N(AH45)*Settings!$B$8+N(AI45)*Settings!$B$9+N(AJ45)*Settings!$B$10)/AO45*1000)</f>
        <v/>
      </c>
      <c r="AY45" s="36" t="str">
        <f aca="false">IF(AS45="","",IFERROR(AS45/AVERAGEIFS('Post Tracker'!$AS$5:$AS$1004,'Post Tracker'!$G$5:$G$1004,G45),""))</f>
        <v/>
      </c>
      <c r="AZ45" s="32"/>
      <c r="BA45" s="32"/>
      <c r="BB45" s="32"/>
      <c r="BC45" s="32"/>
      <c r="BD45" s="33" t="str">
        <f aca="false">IF(A45="","",COUNTIFS('Demo Pipeline'!$Q$5:$Q$504,A45))</f>
        <v/>
      </c>
      <c r="BE45" s="33" t="str">
        <f aca="false">IF(A45="","",COUNTIFS('Demo Pipeline'!$Q$5:$Q$504,A45,'Demo Pipeline'!$W$5:$W$504,"Attended"))</f>
        <v/>
      </c>
      <c r="BF45" s="33" t="str">
        <f aca="false">IF(A45="","",COUNTIFS('Demo Pipeline'!$Q$5:$Q$504,A45,'Demo Pipeline'!$X$5:$X$504,"Yes"))</f>
        <v/>
      </c>
      <c r="BG45" s="33" t="str">
        <f aca="false">IF(A45="","",COUNTIFS('Demo Pipeline'!$Q$5:$Q$504,A45,'Demo Pipeline'!$Y$5:$Y$504,"Closed Won"))</f>
        <v/>
      </c>
      <c r="BH45" s="37" t="str">
        <f aca="false">IF(A45="","",SUMIFS('Demo Pipeline'!$Z$5:$Z$504,'Demo Pipeline'!$Q$5:$Q$504,A45))</f>
        <v/>
      </c>
      <c r="BI45" s="34" t="str">
        <f aca="false">IF(OR(AZ45="",N(AJ45)=0),"",AZ45/AJ45)</f>
        <v/>
      </c>
      <c r="BJ45" s="34" t="str">
        <f aca="false">IF(OR(BB45="",N(AZ45)=0),"",BB45/AZ45)</f>
        <v/>
      </c>
      <c r="BK45" s="34" t="str">
        <f aca="false">IF(OR(A45="",N(BB45)=0),"",BD45/BB45)</f>
        <v/>
      </c>
      <c r="BL45" s="34" t="str">
        <f aca="false">IF(OR(A45="",N(AZ45)=0),"",BD45/AZ45)</f>
        <v/>
      </c>
      <c r="BM45" s="37" t="str">
        <f aca="false">IF(OR(N(Q45)=0,N(BD45)=0),"",Q45/BD45)</f>
        <v/>
      </c>
      <c r="BN45" s="29"/>
      <c r="BO45" s="29"/>
      <c r="BP45" s="33" t="str">
        <f aca="false">IF(OR(AR45="",N(AO45)=0),"",AR45)</f>
        <v/>
      </c>
      <c r="BQ45" s="33" t="str">
        <f aca="false">IF(OR(AR45="",N(S45)=0),"",S45)</f>
        <v/>
      </c>
      <c r="BR45" s="38" t="str">
        <f aca="false">IF(AND(ISNUMBER(B45),B45&gt;=Dashboard!$C$4,B45&lt;=Dashboard!$F$4,ISNUMBER(AU45)),AU45+ROW()/10^9,"")</f>
        <v/>
      </c>
      <c r="BS45" s="38" t="str">
        <f aca="false">IF(AND(ISNUMBER(B45),B45&gt;=Dashboard!$C$4,B45&lt;=Dashboard!$F$4,A45&lt;&gt;""),N(BD45)+N(AU45)/100+ROW()/10^9,"")</f>
        <v/>
      </c>
    </row>
    <row r="46" customFormat="false" ht="15" hidden="false" customHeight="false" outlineLevel="0" collapsed="false">
      <c r="A46" s="24" t="str">
        <f aca="false">IF(OR(B46="",G46="",H46=""),"",IFERROR(INDEX(Settings!$E$5:$E$49,MATCH(G46,Settings!$D$5:$D$49,0))&amp;INDEX(Settings!$H$5:$H$47,MATCH(H46,Settings!$G$5:$G$47,0))&amp;"-"&amp;TEXT(B46,"yymmdd")&amp;"-"&amp;IF(C46="","0000",TEXT(C46,"hhmm")),"CHECK LISTS"))</f>
        <v/>
      </c>
      <c r="B46" s="39"/>
      <c r="C46" s="40"/>
      <c r="D46" s="24" t="str">
        <f aca="false">IF(B46="","",TEXT(B46,"ddd"))</f>
        <v/>
      </c>
      <c r="E46" s="27" t="str">
        <f aca="false">IF(B46="","",B46-WEEKDAY(B46,3))</f>
        <v/>
      </c>
      <c r="F46" s="24" t="str">
        <f aca="false">IF(B46="","",TEXT(B46,"yyyy-mm"))</f>
        <v/>
      </c>
      <c r="G46" s="29"/>
      <c r="H46" s="29"/>
      <c r="I46" s="29"/>
      <c r="J46" s="29"/>
      <c r="K46" s="29"/>
      <c r="L46" s="29"/>
      <c r="M46" s="29"/>
      <c r="N46" s="29"/>
      <c r="O46" s="29"/>
      <c r="P46" s="29"/>
      <c r="Q46" s="30"/>
      <c r="R46" s="29"/>
      <c r="S46" s="32"/>
      <c r="T46" s="29"/>
      <c r="U46" s="29"/>
      <c r="V46" s="24" t="str">
        <f aca="false">IF(A46="","",IFERROR(INDEX(Settings!$F$5:$F$49,MATCH(G46,Settings!$D$5:$D$49,0)),""))</f>
        <v/>
      </c>
      <c r="W46" s="24" t="str">
        <f aca="false">IF(A46="","",IF(OR(P46="",P46="Organic"),"social","paid_social"))</f>
        <v/>
      </c>
      <c r="X46" s="24" t="str">
        <f aca="false">IF(A46="","",IF(K46&lt;&gt;"",IFERROR(INDEX('Case Studies'!$C$5:$C$54,MATCH(K46,'Case Studies'!$B$5:$B$54,0))&amp;"","case-study"),IF(J46&lt;&gt;"",IFERROR(INDEX(Settings!$J$5:$J$55,MATCH(J46,Settings!$I$5:$I$55,0)),"general"),"general")))</f>
        <v/>
      </c>
      <c r="Y46" s="24" t="str">
        <f aca="false">IF(A46="","",LOWER(A46))</f>
        <v/>
      </c>
      <c r="Z46" s="24" t="str">
        <f aca="false">IF(A46="","",IF(T46="",Settings!$B$5,T46)&amp;IF(ISNUMBER(FIND("?",IF(T46="",Settings!$B$5,T46))),"&amp;","?")&amp;"utm_source="&amp;V46&amp;"&amp;utm_medium="&amp;W46&amp;"&amp;utm_campaign="&amp;X46&amp;"&amp;utm_content="&amp;Y46)</f>
        <v/>
      </c>
      <c r="AA46" s="29"/>
      <c r="AB46" s="39"/>
      <c r="AC46" s="32"/>
      <c r="AD46" s="32"/>
      <c r="AE46" s="32"/>
      <c r="AF46" s="32"/>
      <c r="AG46" s="32"/>
      <c r="AH46" s="32"/>
      <c r="AI46" s="32"/>
      <c r="AJ46" s="32"/>
      <c r="AK46" s="32"/>
      <c r="AL46" s="32"/>
      <c r="AM46" s="32"/>
      <c r="AN46" s="32"/>
      <c r="AO46" s="33" t="str">
        <f aca="false">IF(A46="","",IF(AD46&lt;&gt;"",AD46,IF(AC46&lt;&gt;"",AC46,"")))</f>
        <v/>
      </c>
      <c r="AP46" s="24" t="str">
        <f aca="false">IF(AO46="","",IF(AD46&lt;&gt;"","Reported reach","Impressions (proxy)"))</f>
        <v/>
      </c>
      <c r="AQ46" s="34" t="str">
        <f aca="false">IF(OR(AO46="",N(S46)=0),"",AO46/S46)</f>
        <v/>
      </c>
      <c r="AR46" s="33" t="str">
        <f aca="false">IF(A46="","",IF(COUNT(AF46:AJ46)=0,"",SUM(AF46:AJ46)))</f>
        <v/>
      </c>
      <c r="AS46" s="34" t="str">
        <f aca="false">IF(OR(AR46="",N(AO46)=0),"",AR46/AO46)</f>
        <v/>
      </c>
      <c r="AT46" s="34" t="str">
        <f aca="false">IF(OR(AR46="",N(AC46)=0),"",AR46/AC46)</f>
        <v/>
      </c>
      <c r="AU46" s="34" t="str">
        <f aca="false">IF(OR(AR46="",N(S46)=0),"",AR46/S46)</f>
        <v/>
      </c>
      <c r="AV46" s="34" t="str">
        <f aca="false">IF(OR(AJ46="",N(AC46)=0),"",AJ46/AC46)</f>
        <v/>
      </c>
      <c r="AW46" s="34" t="str">
        <f aca="false">IF(OR(AH46="",N(AO46)=0),"",AH46/AO46)</f>
        <v/>
      </c>
      <c r="AX46" s="35" t="str">
        <f aca="false">IF(OR(AR46="",N(AO46)=0),"",(N(AF46)*Settings!$B$6+N(AG46)*Settings!$B$7+N(AH46)*Settings!$B$8+N(AI46)*Settings!$B$9+N(AJ46)*Settings!$B$10)/AO46*1000)</f>
        <v/>
      </c>
      <c r="AY46" s="36" t="str">
        <f aca="false">IF(AS46="","",IFERROR(AS46/AVERAGEIFS('Post Tracker'!$AS$5:$AS$1004,'Post Tracker'!$G$5:$G$1004,G46),""))</f>
        <v/>
      </c>
      <c r="AZ46" s="32"/>
      <c r="BA46" s="32"/>
      <c r="BB46" s="32"/>
      <c r="BC46" s="32"/>
      <c r="BD46" s="33" t="str">
        <f aca="false">IF(A46="","",COUNTIFS('Demo Pipeline'!$Q$5:$Q$504,A46))</f>
        <v/>
      </c>
      <c r="BE46" s="33" t="str">
        <f aca="false">IF(A46="","",COUNTIFS('Demo Pipeline'!$Q$5:$Q$504,A46,'Demo Pipeline'!$W$5:$W$504,"Attended"))</f>
        <v/>
      </c>
      <c r="BF46" s="33" t="str">
        <f aca="false">IF(A46="","",COUNTIFS('Demo Pipeline'!$Q$5:$Q$504,A46,'Demo Pipeline'!$X$5:$X$504,"Yes"))</f>
        <v/>
      </c>
      <c r="BG46" s="33" t="str">
        <f aca="false">IF(A46="","",COUNTIFS('Demo Pipeline'!$Q$5:$Q$504,A46,'Demo Pipeline'!$Y$5:$Y$504,"Closed Won"))</f>
        <v/>
      </c>
      <c r="BH46" s="37" t="str">
        <f aca="false">IF(A46="","",SUMIFS('Demo Pipeline'!$Z$5:$Z$504,'Demo Pipeline'!$Q$5:$Q$504,A46))</f>
        <v/>
      </c>
      <c r="BI46" s="34" t="str">
        <f aca="false">IF(OR(AZ46="",N(AJ46)=0),"",AZ46/AJ46)</f>
        <v/>
      </c>
      <c r="BJ46" s="34" t="str">
        <f aca="false">IF(OR(BB46="",N(AZ46)=0),"",BB46/AZ46)</f>
        <v/>
      </c>
      <c r="BK46" s="34" t="str">
        <f aca="false">IF(OR(A46="",N(BB46)=0),"",BD46/BB46)</f>
        <v/>
      </c>
      <c r="BL46" s="34" t="str">
        <f aca="false">IF(OR(A46="",N(AZ46)=0),"",BD46/AZ46)</f>
        <v/>
      </c>
      <c r="BM46" s="37" t="str">
        <f aca="false">IF(OR(N(Q46)=0,N(BD46)=0),"",Q46/BD46)</f>
        <v/>
      </c>
      <c r="BN46" s="29"/>
      <c r="BO46" s="29"/>
      <c r="BP46" s="33" t="str">
        <f aca="false">IF(OR(AR46="",N(AO46)=0),"",AR46)</f>
        <v/>
      </c>
      <c r="BQ46" s="33" t="str">
        <f aca="false">IF(OR(AR46="",N(S46)=0),"",S46)</f>
        <v/>
      </c>
      <c r="BR46" s="38" t="str">
        <f aca="false">IF(AND(ISNUMBER(B46),B46&gt;=Dashboard!$C$4,B46&lt;=Dashboard!$F$4,ISNUMBER(AU46)),AU46+ROW()/10^9,"")</f>
        <v/>
      </c>
      <c r="BS46" s="38" t="str">
        <f aca="false">IF(AND(ISNUMBER(B46),B46&gt;=Dashboard!$C$4,B46&lt;=Dashboard!$F$4,A46&lt;&gt;""),N(BD46)+N(AU46)/100+ROW()/10^9,"")</f>
        <v/>
      </c>
    </row>
    <row r="47" customFormat="false" ht="15" hidden="false" customHeight="false" outlineLevel="0" collapsed="false">
      <c r="A47" s="24" t="str">
        <f aca="false">IF(OR(B47="",G47="",H47=""),"",IFERROR(INDEX(Settings!$E$5:$E$49,MATCH(G47,Settings!$D$5:$D$49,0))&amp;INDEX(Settings!$H$5:$H$47,MATCH(H47,Settings!$G$5:$G$47,0))&amp;"-"&amp;TEXT(B47,"yymmdd")&amp;"-"&amp;IF(C47="","0000",TEXT(C47,"hhmm")),"CHECK LISTS"))</f>
        <v/>
      </c>
      <c r="B47" s="39"/>
      <c r="C47" s="40"/>
      <c r="D47" s="24" t="str">
        <f aca="false">IF(B47="","",TEXT(B47,"ddd"))</f>
        <v/>
      </c>
      <c r="E47" s="27" t="str">
        <f aca="false">IF(B47="","",B47-WEEKDAY(B47,3))</f>
        <v/>
      </c>
      <c r="F47" s="24" t="str">
        <f aca="false">IF(B47="","",TEXT(B47,"yyyy-mm"))</f>
        <v/>
      </c>
      <c r="G47" s="29"/>
      <c r="H47" s="29"/>
      <c r="I47" s="29"/>
      <c r="J47" s="29"/>
      <c r="K47" s="29"/>
      <c r="L47" s="29"/>
      <c r="M47" s="29"/>
      <c r="N47" s="29"/>
      <c r="O47" s="29"/>
      <c r="P47" s="29"/>
      <c r="Q47" s="30"/>
      <c r="R47" s="29"/>
      <c r="S47" s="32"/>
      <c r="T47" s="29"/>
      <c r="U47" s="29"/>
      <c r="V47" s="24" t="str">
        <f aca="false">IF(A47="","",IFERROR(INDEX(Settings!$F$5:$F$49,MATCH(G47,Settings!$D$5:$D$49,0)),""))</f>
        <v/>
      </c>
      <c r="W47" s="24" t="str">
        <f aca="false">IF(A47="","",IF(OR(P47="",P47="Organic"),"social","paid_social"))</f>
        <v/>
      </c>
      <c r="X47" s="24" t="str">
        <f aca="false">IF(A47="","",IF(K47&lt;&gt;"",IFERROR(INDEX('Case Studies'!$C$5:$C$54,MATCH(K47,'Case Studies'!$B$5:$B$54,0))&amp;"","case-study"),IF(J47&lt;&gt;"",IFERROR(INDEX(Settings!$J$5:$J$55,MATCH(J47,Settings!$I$5:$I$55,0)),"general"),"general")))</f>
        <v/>
      </c>
      <c r="Y47" s="24" t="str">
        <f aca="false">IF(A47="","",LOWER(A47))</f>
        <v/>
      </c>
      <c r="Z47" s="24" t="str">
        <f aca="false">IF(A47="","",IF(T47="",Settings!$B$5,T47)&amp;IF(ISNUMBER(FIND("?",IF(T47="",Settings!$B$5,T47))),"&amp;","?")&amp;"utm_source="&amp;V47&amp;"&amp;utm_medium="&amp;W47&amp;"&amp;utm_campaign="&amp;X47&amp;"&amp;utm_content="&amp;Y47)</f>
        <v/>
      </c>
      <c r="AA47" s="29"/>
      <c r="AB47" s="39"/>
      <c r="AC47" s="32"/>
      <c r="AD47" s="32"/>
      <c r="AE47" s="32"/>
      <c r="AF47" s="32"/>
      <c r="AG47" s="32"/>
      <c r="AH47" s="32"/>
      <c r="AI47" s="32"/>
      <c r="AJ47" s="32"/>
      <c r="AK47" s="32"/>
      <c r="AL47" s="32"/>
      <c r="AM47" s="32"/>
      <c r="AN47" s="32"/>
      <c r="AO47" s="33" t="str">
        <f aca="false">IF(A47="","",IF(AD47&lt;&gt;"",AD47,IF(AC47&lt;&gt;"",AC47,"")))</f>
        <v/>
      </c>
      <c r="AP47" s="24" t="str">
        <f aca="false">IF(AO47="","",IF(AD47&lt;&gt;"","Reported reach","Impressions (proxy)"))</f>
        <v/>
      </c>
      <c r="AQ47" s="34" t="str">
        <f aca="false">IF(OR(AO47="",N(S47)=0),"",AO47/S47)</f>
        <v/>
      </c>
      <c r="AR47" s="33" t="str">
        <f aca="false">IF(A47="","",IF(COUNT(AF47:AJ47)=0,"",SUM(AF47:AJ47)))</f>
        <v/>
      </c>
      <c r="AS47" s="34" t="str">
        <f aca="false">IF(OR(AR47="",N(AO47)=0),"",AR47/AO47)</f>
        <v/>
      </c>
      <c r="AT47" s="34" t="str">
        <f aca="false">IF(OR(AR47="",N(AC47)=0),"",AR47/AC47)</f>
        <v/>
      </c>
      <c r="AU47" s="34" t="str">
        <f aca="false">IF(OR(AR47="",N(S47)=0),"",AR47/S47)</f>
        <v/>
      </c>
      <c r="AV47" s="34" t="str">
        <f aca="false">IF(OR(AJ47="",N(AC47)=0),"",AJ47/AC47)</f>
        <v/>
      </c>
      <c r="AW47" s="34" t="str">
        <f aca="false">IF(OR(AH47="",N(AO47)=0),"",AH47/AO47)</f>
        <v/>
      </c>
      <c r="AX47" s="35" t="str">
        <f aca="false">IF(OR(AR47="",N(AO47)=0),"",(N(AF47)*Settings!$B$6+N(AG47)*Settings!$B$7+N(AH47)*Settings!$B$8+N(AI47)*Settings!$B$9+N(AJ47)*Settings!$B$10)/AO47*1000)</f>
        <v/>
      </c>
      <c r="AY47" s="36" t="str">
        <f aca="false">IF(AS47="","",IFERROR(AS47/AVERAGEIFS('Post Tracker'!$AS$5:$AS$1004,'Post Tracker'!$G$5:$G$1004,G47),""))</f>
        <v/>
      </c>
      <c r="AZ47" s="32"/>
      <c r="BA47" s="32"/>
      <c r="BB47" s="32"/>
      <c r="BC47" s="32"/>
      <c r="BD47" s="33" t="str">
        <f aca="false">IF(A47="","",COUNTIFS('Demo Pipeline'!$Q$5:$Q$504,A47))</f>
        <v/>
      </c>
      <c r="BE47" s="33" t="str">
        <f aca="false">IF(A47="","",COUNTIFS('Demo Pipeline'!$Q$5:$Q$504,A47,'Demo Pipeline'!$W$5:$W$504,"Attended"))</f>
        <v/>
      </c>
      <c r="BF47" s="33" t="str">
        <f aca="false">IF(A47="","",COUNTIFS('Demo Pipeline'!$Q$5:$Q$504,A47,'Demo Pipeline'!$X$5:$X$504,"Yes"))</f>
        <v/>
      </c>
      <c r="BG47" s="33" t="str">
        <f aca="false">IF(A47="","",COUNTIFS('Demo Pipeline'!$Q$5:$Q$504,A47,'Demo Pipeline'!$Y$5:$Y$504,"Closed Won"))</f>
        <v/>
      </c>
      <c r="BH47" s="37" t="str">
        <f aca="false">IF(A47="","",SUMIFS('Demo Pipeline'!$Z$5:$Z$504,'Demo Pipeline'!$Q$5:$Q$504,A47))</f>
        <v/>
      </c>
      <c r="BI47" s="34" t="str">
        <f aca="false">IF(OR(AZ47="",N(AJ47)=0),"",AZ47/AJ47)</f>
        <v/>
      </c>
      <c r="BJ47" s="34" t="str">
        <f aca="false">IF(OR(BB47="",N(AZ47)=0),"",BB47/AZ47)</f>
        <v/>
      </c>
      <c r="BK47" s="34" t="str">
        <f aca="false">IF(OR(A47="",N(BB47)=0),"",BD47/BB47)</f>
        <v/>
      </c>
      <c r="BL47" s="34" t="str">
        <f aca="false">IF(OR(A47="",N(AZ47)=0),"",BD47/AZ47)</f>
        <v/>
      </c>
      <c r="BM47" s="37" t="str">
        <f aca="false">IF(OR(N(Q47)=0,N(BD47)=0),"",Q47/BD47)</f>
        <v/>
      </c>
      <c r="BN47" s="29"/>
      <c r="BO47" s="29"/>
      <c r="BP47" s="33" t="str">
        <f aca="false">IF(OR(AR47="",N(AO47)=0),"",AR47)</f>
        <v/>
      </c>
      <c r="BQ47" s="33" t="str">
        <f aca="false">IF(OR(AR47="",N(S47)=0),"",S47)</f>
        <v/>
      </c>
      <c r="BR47" s="38" t="str">
        <f aca="false">IF(AND(ISNUMBER(B47),B47&gt;=Dashboard!$C$4,B47&lt;=Dashboard!$F$4,ISNUMBER(AU47)),AU47+ROW()/10^9,"")</f>
        <v/>
      </c>
      <c r="BS47" s="38" t="str">
        <f aca="false">IF(AND(ISNUMBER(B47),B47&gt;=Dashboard!$C$4,B47&lt;=Dashboard!$F$4,A47&lt;&gt;""),N(BD47)+N(AU47)/100+ROW()/10^9,"")</f>
        <v/>
      </c>
    </row>
    <row r="48" customFormat="false" ht="15" hidden="false" customHeight="false" outlineLevel="0" collapsed="false">
      <c r="A48" s="24" t="str">
        <f aca="false">IF(OR(B48="",G48="",H48=""),"",IFERROR(INDEX(Settings!$E$5:$E$49,MATCH(G48,Settings!$D$5:$D$49,0))&amp;INDEX(Settings!$H$5:$H$47,MATCH(H48,Settings!$G$5:$G$47,0))&amp;"-"&amp;TEXT(B48,"yymmdd")&amp;"-"&amp;IF(C48="","0000",TEXT(C48,"hhmm")),"CHECK LISTS"))</f>
        <v/>
      </c>
      <c r="B48" s="39"/>
      <c r="C48" s="40"/>
      <c r="D48" s="24" t="str">
        <f aca="false">IF(B48="","",TEXT(B48,"ddd"))</f>
        <v/>
      </c>
      <c r="E48" s="27" t="str">
        <f aca="false">IF(B48="","",B48-WEEKDAY(B48,3))</f>
        <v/>
      </c>
      <c r="F48" s="24" t="str">
        <f aca="false">IF(B48="","",TEXT(B48,"yyyy-mm"))</f>
        <v/>
      </c>
      <c r="G48" s="29"/>
      <c r="H48" s="29"/>
      <c r="I48" s="29"/>
      <c r="J48" s="29"/>
      <c r="K48" s="29"/>
      <c r="L48" s="29"/>
      <c r="M48" s="29"/>
      <c r="N48" s="29"/>
      <c r="O48" s="29"/>
      <c r="P48" s="29"/>
      <c r="Q48" s="30"/>
      <c r="R48" s="29"/>
      <c r="S48" s="32"/>
      <c r="T48" s="29"/>
      <c r="U48" s="29"/>
      <c r="V48" s="24" t="str">
        <f aca="false">IF(A48="","",IFERROR(INDEX(Settings!$F$5:$F$49,MATCH(G48,Settings!$D$5:$D$49,0)),""))</f>
        <v/>
      </c>
      <c r="W48" s="24" t="str">
        <f aca="false">IF(A48="","",IF(OR(P48="",P48="Organic"),"social","paid_social"))</f>
        <v/>
      </c>
      <c r="X48" s="24" t="str">
        <f aca="false">IF(A48="","",IF(K48&lt;&gt;"",IFERROR(INDEX('Case Studies'!$C$5:$C$54,MATCH(K48,'Case Studies'!$B$5:$B$54,0))&amp;"","case-study"),IF(J48&lt;&gt;"",IFERROR(INDEX(Settings!$J$5:$J$55,MATCH(J48,Settings!$I$5:$I$55,0)),"general"),"general")))</f>
        <v/>
      </c>
      <c r="Y48" s="24" t="str">
        <f aca="false">IF(A48="","",LOWER(A48))</f>
        <v/>
      </c>
      <c r="Z48" s="24" t="str">
        <f aca="false">IF(A48="","",IF(T48="",Settings!$B$5,T48)&amp;IF(ISNUMBER(FIND("?",IF(T48="",Settings!$B$5,T48))),"&amp;","?")&amp;"utm_source="&amp;V48&amp;"&amp;utm_medium="&amp;W48&amp;"&amp;utm_campaign="&amp;X48&amp;"&amp;utm_content="&amp;Y48)</f>
        <v/>
      </c>
      <c r="AA48" s="29"/>
      <c r="AB48" s="39"/>
      <c r="AC48" s="32"/>
      <c r="AD48" s="32"/>
      <c r="AE48" s="32"/>
      <c r="AF48" s="32"/>
      <c r="AG48" s="32"/>
      <c r="AH48" s="32"/>
      <c r="AI48" s="32"/>
      <c r="AJ48" s="32"/>
      <c r="AK48" s="32"/>
      <c r="AL48" s="32"/>
      <c r="AM48" s="32"/>
      <c r="AN48" s="32"/>
      <c r="AO48" s="33" t="str">
        <f aca="false">IF(A48="","",IF(AD48&lt;&gt;"",AD48,IF(AC48&lt;&gt;"",AC48,"")))</f>
        <v/>
      </c>
      <c r="AP48" s="24" t="str">
        <f aca="false">IF(AO48="","",IF(AD48&lt;&gt;"","Reported reach","Impressions (proxy)"))</f>
        <v/>
      </c>
      <c r="AQ48" s="34" t="str">
        <f aca="false">IF(OR(AO48="",N(S48)=0),"",AO48/S48)</f>
        <v/>
      </c>
      <c r="AR48" s="33" t="str">
        <f aca="false">IF(A48="","",IF(COUNT(AF48:AJ48)=0,"",SUM(AF48:AJ48)))</f>
        <v/>
      </c>
      <c r="AS48" s="34" t="str">
        <f aca="false">IF(OR(AR48="",N(AO48)=0),"",AR48/AO48)</f>
        <v/>
      </c>
      <c r="AT48" s="34" t="str">
        <f aca="false">IF(OR(AR48="",N(AC48)=0),"",AR48/AC48)</f>
        <v/>
      </c>
      <c r="AU48" s="34" t="str">
        <f aca="false">IF(OR(AR48="",N(S48)=0),"",AR48/S48)</f>
        <v/>
      </c>
      <c r="AV48" s="34" t="str">
        <f aca="false">IF(OR(AJ48="",N(AC48)=0),"",AJ48/AC48)</f>
        <v/>
      </c>
      <c r="AW48" s="34" t="str">
        <f aca="false">IF(OR(AH48="",N(AO48)=0),"",AH48/AO48)</f>
        <v/>
      </c>
      <c r="AX48" s="35" t="str">
        <f aca="false">IF(OR(AR48="",N(AO48)=0),"",(N(AF48)*Settings!$B$6+N(AG48)*Settings!$B$7+N(AH48)*Settings!$B$8+N(AI48)*Settings!$B$9+N(AJ48)*Settings!$B$10)/AO48*1000)</f>
        <v/>
      </c>
      <c r="AY48" s="36" t="str">
        <f aca="false">IF(AS48="","",IFERROR(AS48/AVERAGEIFS('Post Tracker'!$AS$5:$AS$1004,'Post Tracker'!$G$5:$G$1004,G48),""))</f>
        <v/>
      </c>
      <c r="AZ48" s="32"/>
      <c r="BA48" s="32"/>
      <c r="BB48" s="32"/>
      <c r="BC48" s="32"/>
      <c r="BD48" s="33" t="str">
        <f aca="false">IF(A48="","",COUNTIFS('Demo Pipeline'!$Q$5:$Q$504,A48))</f>
        <v/>
      </c>
      <c r="BE48" s="33" t="str">
        <f aca="false">IF(A48="","",COUNTIFS('Demo Pipeline'!$Q$5:$Q$504,A48,'Demo Pipeline'!$W$5:$W$504,"Attended"))</f>
        <v/>
      </c>
      <c r="BF48" s="33" t="str">
        <f aca="false">IF(A48="","",COUNTIFS('Demo Pipeline'!$Q$5:$Q$504,A48,'Demo Pipeline'!$X$5:$X$504,"Yes"))</f>
        <v/>
      </c>
      <c r="BG48" s="33" t="str">
        <f aca="false">IF(A48="","",COUNTIFS('Demo Pipeline'!$Q$5:$Q$504,A48,'Demo Pipeline'!$Y$5:$Y$504,"Closed Won"))</f>
        <v/>
      </c>
      <c r="BH48" s="37" t="str">
        <f aca="false">IF(A48="","",SUMIFS('Demo Pipeline'!$Z$5:$Z$504,'Demo Pipeline'!$Q$5:$Q$504,A48))</f>
        <v/>
      </c>
      <c r="BI48" s="34" t="str">
        <f aca="false">IF(OR(AZ48="",N(AJ48)=0),"",AZ48/AJ48)</f>
        <v/>
      </c>
      <c r="BJ48" s="34" t="str">
        <f aca="false">IF(OR(BB48="",N(AZ48)=0),"",BB48/AZ48)</f>
        <v/>
      </c>
      <c r="BK48" s="34" t="str">
        <f aca="false">IF(OR(A48="",N(BB48)=0),"",BD48/BB48)</f>
        <v/>
      </c>
      <c r="BL48" s="34" t="str">
        <f aca="false">IF(OR(A48="",N(AZ48)=0),"",BD48/AZ48)</f>
        <v/>
      </c>
      <c r="BM48" s="37" t="str">
        <f aca="false">IF(OR(N(Q48)=0,N(BD48)=0),"",Q48/BD48)</f>
        <v/>
      </c>
      <c r="BN48" s="29"/>
      <c r="BO48" s="29"/>
      <c r="BP48" s="33" t="str">
        <f aca="false">IF(OR(AR48="",N(AO48)=0),"",AR48)</f>
        <v/>
      </c>
      <c r="BQ48" s="33" t="str">
        <f aca="false">IF(OR(AR48="",N(S48)=0),"",S48)</f>
        <v/>
      </c>
      <c r="BR48" s="38" t="str">
        <f aca="false">IF(AND(ISNUMBER(B48),B48&gt;=Dashboard!$C$4,B48&lt;=Dashboard!$F$4,ISNUMBER(AU48)),AU48+ROW()/10^9,"")</f>
        <v/>
      </c>
      <c r="BS48" s="38" t="str">
        <f aca="false">IF(AND(ISNUMBER(B48),B48&gt;=Dashboard!$C$4,B48&lt;=Dashboard!$F$4,A48&lt;&gt;""),N(BD48)+N(AU48)/100+ROW()/10^9,"")</f>
        <v/>
      </c>
    </row>
    <row r="49" customFormat="false" ht="15" hidden="false" customHeight="false" outlineLevel="0" collapsed="false">
      <c r="A49" s="24" t="str">
        <f aca="false">IF(OR(B49="",G49="",H49=""),"",IFERROR(INDEX(Settings!$E$5:$E$49,MATCH(G49,Settings!$D$5:$D$49,0))&amp;INDEX(Settings!$H$5:$H$47,MATCH(H49,Settings!$G$5:$G$47,0))&amp;"-"&amp;TEXT(B49,"yymmdd")&amp;"-"&amp;IF(C49="","0000",TEXT(C49,"hhmm")),"CHECK LISTS"))</f>
        <v/>
      </c>
      <c r="B49" s="39"/>
      <c r="C49" s="40"/>
      <c r="D49" s="24" t="str">
        <f aca="false">IF(B49="","",TEXT(B49,"ddd"))</f>
        <v/>
      </c>
      <c r="E49" s="27" t="str">
        <f aca="false">IF(B49="","",B49-WEEKDAY(B49,3))</f>
        <v/>
      </c>
      <c r="F49" s="24" t="str">
        <f aca="false">IF(B49="","",TEXT(B49,"yyyy-mm"))</f>
        <v/>
      </c>
      <c r="G49" s="29"/>
      <c r="H49" s="29"/>
      <c r="I49" s="29"/>
      <c r="J49" s="29"/>
      <c r="K49" s="29"/>
      <c r="L49" s="29"/>
      <c r="M49" s="29"/>
      <c r="N49" s="29"/>
      <c r="O49" s="29"/>
      <c r="P49" s="29"/>
      <c r="Q49" s="30"/>
      <c r="R49" s="29"/>
      <c r="S49" s="32"/>
      <c r="T49" s="29"/>
      <c r="U49" s="29"/>
      <c r="V49" s="24" t="str">
        <f aca="false">IF(A49="","",IFERROR(INDEX(Settings!$F$5:$F$49,MATCH(G49,Settings!$D$5:$D$49,0)),""))</f>
        <v/>
      </c>
      <c r="W49" s="24" t="str">
        <f aca="false">IF(A49="","",IF(OR(P49="",P49="Organic"),"social","paid_social"))</f>
        <v/>
      </c>
      <c r="X49" s="24" t="str">
        <f aca="false">IF(A49="","",IF(K49&lt;&gt;"",IFERROR(INDEX('Case Studies'!$C$5:$C$54,MATCH(K49,'Case Studies'!$B$5:$B$54,0))&amp;"","case-study"),IF(J49&lt;&gt;"",IFERROR(INDEX(Settings!$J$5:$J$55,MATCH(J49,Settings!$I$5:$I$55,0)),"general"),"general")))</f>
        <v/>
      </c>
      <c r="Y49" s="24" t="str">
        <f aca="false">IF(A49="","",LOWER(A49))</f>
        <v/>
      </c>
      <c r="Z49" s="24" t="str">
        <f aca="false">IF(A49="","",IF(T49="",Settings!$B$5,T49)&amp;IF(ISNUMBER(FIND("?",IF(T49="",Settings!$B$5,T49))),"&amp;","?")&amp;"utm_source="&amp;V49&amp;"&amp;utm_medium="&amp;W49&amp;"&amp;utm_campaign="&amp;X49&amp;"&amp;utm_content="&amp;Y49)</f>
        <v/>
      </c>
      <c r="AA49" s="29"/>
      <c r="AB49" s="39"/>
      <c r="AC49" s="32"/>
      <c r="AD49" s="32"/>
      <c r="AE49" s="32"/>
      <c r="AF49" s="32"/>
      <c r="AG49" s="32"/>
      <c r="AH49" s="32"/>
      <c r="AI49" s="32"/>
      <c r="AJ49" s="32"/>
      <c r="AK49" s="32"/>
      <c r="AL49" s="32"/>
      <c r="AM49" s="32"/>
      <c r="AN49" s="32"/>
      <c r="AO49" s="33" t="str">
        <f aca="false">IF(A49="","",IF(AD49&lt;&gt;"",AD49,IF(AC49&lt;&gt;"",AC49,"")))</f>
        <v/>
      </c>
      <c r="AP49" s="24" t="str">
        <f aca="false">IF(AO49="","",IF(AD49&lt;&gt;"","Reported reach","Impressions (proxy)"))</f>
        <v/>
      </c>
      <c r="AQ49" s="34" t="str">
        <f aca="false">IF(OR(AO49="",N(S49)=0),"",AO49/S49)</f>
        <v/>
      </c>
      <c r="AR49" s="33" t="str">
        <f aca="false">IF(A49="","",IF(COUNT(AF49:AJ49)=0,"",SUM(AF49:AJ49)))</f>
        <v/>
      </c>
      <c r="AS49" s="34" t="str">
        <f aca="false">IF(OR(AR49="",N(AO49)=0),"",AR49/AO49)</f>
        <v/>
      </c>
      <c r="AT49" s="34" t="str">
        <f aca="false">IF(OR(AR49="",N(AC49)=0),"",AR49/AC49)</f>
        <v/>
      </c>
      <c r="AU49" s="34" t="str">
        <f aca="false">IF(OR(AR49="",N(S49)=0),"",AR49/S49)</f>
        <v/>
      </c>
      <c r="AV49" s="34" t="str">
        <f aca="false">IF(OR(AJ49="",N(AC49)=0),"",AJ49/AC49)</f>
        <v/>
      </c>
      <c r="AW49" s="34" t="str">
        <f aca="false">IF(OR(AH49="",N(AO49)=0),"",AH49/AO49)</f>
        <v/>
      </c>
      <c r="AX49" s="35" t="str">
        <f aca="false">IF(OR(AR49="",N(AO49)=0),"",(N(AF49)*Settings!$B$6+N(AG49)*Settings!$B$7+N(AH49)*Settings!$B$8+N(AI49)*Settings!$B$9+N(AJ49)*Settings!$B$10)/AO49*1000)</f>
        <v/>
      </c>
      <c r="AY49" s="36" t="str">
        <f aca="false">IF(AS49="","",IFERROR(AS49/AVERAGEIFS('Post Tracker'!$AS$5:$AS$1004,'Post Tracker'!$G$5:$G$1004,G49),""))</f>
        <v/>
      </c>
      <c r="AZ49" s="32"/>
      <c r="BA49" s="32"/>
      <c r="BB49" s="32"/>
      <c r="BC49" s="32"/>
      <c r="BD49" s="33" t="str">
        <f aca="false">IF(A49="","",COUNTIFS('Demo Pipeline'!$Q$5:$Q$504,A49))</f>
        <v/>
      </c>
      <c r="BE49" s="33" t="str">
        <f aca="false">IF(A49="","",COUNTIFS('Demo Pipeline'!$Q$5:$Q$504,A49,'Demo Pipeline'!$W$5:$W$504,"Attended"))</f>
        <v/>
      </c>
      <c r="BF49" s="33" t="str">
        <f aca="false">IF(A49="","",COUNTIFS('Demo Pipeline'!$Q$5:$Q$504,A49,'Demo Pipeline'!$X$5:$X$504,"Yes"))</f>
        <v/>
      </c>
      <c r="BG49" s="33" t="str">
        <f aca="false">IF(A49="","",COUNTIFS('Demo Pipeline'!$Q$5:$Q$504,A49,'Demo Pipeline'!$Y$5:$Y$504,"Closed Won"))</f>
        <v/>
      </c>
      <c r="BH49" s="37" t="str">
        <f aca="false">IF(A49="","",SUMIFS('Demo Pipeline'!$Z$5:$Z$504,'Demo Pipeline'!$Q$5:$Q$504,A49))</f>
        <v/>
      </c>
      <c r="BI49" s="34" t="str">
        <f aca="false">IF(OR(AZ49="",N(AJ49)=0),"",AZ49/AJ49)</f>
        <v/>
      </c>
      <c r="BJ49" s="34" t="str">
        <f aca="false">IF(OR(BB49="",N(AZ49)=0),"",BB49/AZ49)</f>
        <v/>
      </c>
      <c r="BK49" s="34" t="str">
        <f aca="false">IF(OR(A49="",N(BB49)=0),"",BD49/BB49)</f>
        <v/>
      </c>
      <c r="BL49" s="34" t="str">
        <f aca="false">IF(OR(A49="",N(AZ49)=0),"",BD49/AZ49)</f>
        <v/>
      </c>
      <c r="BM49" s="37" t="str">
        <f aca="false">IF(OR(N(Q49)=0,N(BD49)=0),"",Q49/BD49)</f>
        <v/>
      </c>
      <c r="BN49" s="29"/>
      <c r="BO49" s="29"/>
      <c r="BP49" s="33" t="str">
        <f aca="false">IF(OR(AR49="",N(AO49)=0),"",AR49)</f>
        <v/>
      </c>
      <c r="BQ49" s="33" t="str">
        <f aca="false">IF(OR(AR49="",N(S49)=0),"",S49)</f>
        <v/>
      </c>
      <c r="BR49" s="38" t="str">
        <f aca="false">IF(AND(ISNUMBER(B49),B49&gt;=Dashboard!$C$4,B49&lt;=Dashboard!$F$4,ISNUMBER(AU49)),AU49+ROW()/10^9,"")</f>
        <v/>
      </c>
      <c r="BS49" s="38" t="str">
        <f aca="false">IF(AND(ISNUMBER(B49),B49&gt;=Dashboard!$C$4,B49&lt;=Dashboard!$F$4,A49&lt;&gt;""),N(BD49)+N(AU49)/100+ROW()/10^9,"")</f>
        <v/>
      </c>
    </row>
    <row r="50" customFormat="false" ht="15" hidden="false" customHeight="false" outlineLevel="0" collapsed="false">
      <c r="A50" s="24" t="str">
        <f aca="false">IF(OR(B50="",G50="",H50=""),"",IFERROR(INDEX(Settings!$E$5:$E$49,MATCH(G50,Settings!$D$5:$D$49,0))&amp;INDEX(Settings!$H$5:$H$47,MATCH(H50,Settings!$G$5:$G$47,0))&amp;"-"&amp;TEXT(B50,"yymmdd")&amp;"-"&amp;IF(C50="","0000",TEXT(C50,"hhmm")),"CHECK LISTS"))</f>
        <v/>
      </c>
      <c r="B50" s="39"/>
      <c r="C50" s="40"/>
      <c r="D50" s="24" t="str">
        <f aca="false">IF(B50="","",TEXT(B50,"ddd"))</f>
        <v/>
      </c>
      <c r="E50" s="27" t="str">
        <f aca="false">IF(B50="","",B50-WEEKDAY(B50,3))</f>
        <v/>
      </c>
      <c r="F50" s="24" t="str">
        <f aca="false">IF(B50="","",TEXT(B50,"yyyy-mm"))</f>
        <v/>
      </c>
      <c r="G50" s="29"/>
      <c r="H50" s="29"/>
      <c r="I50" s="29"/>
      <c r="J50" s="29"/>
      <c r="K50" s="29"/>
      <c r="L50" s="29"/>
      <c r="M50" s="29"/>
      <c r="N50" s="29"/>
      <c r="O50" s="29"/>
      <c r="P50" s="29"/>
      <c r="Q50" s="30"/>
      <c r="R50" s="29"/>
      <c r="S50" s="32"/>
      <c r="T50" s="29"/>
      <c r="U50" s="29"/>
      <c r="V50" s="24" t="str">
        <f aca="false">IF(A50="","",IFERROR(INDEX(Settings!$F$5:$F$49,MATCH(G50,Settings!$D$5:$D$49,0)),""))</f>
        <v/>
      </c>
      <c r="W50" s="24" t="str">
        <f aca="false">IF(A50="","",IF(OR(P50="",P50="Organic"),"social","paid_social"))</f>
        <v/>
      </c>
      <c r="X50" s="24" t="str">
        <f aca="false">IF(A50="","",IF(K50&lt;&gt;"",IFERROR(INDEX('Case Studies'!$C$5:$C$54,MATCH(K50,'Case Studies'!$B$5:$B$54,0))&amp;"","case-study"),IF(J50&lt;&gt;"",IFERROR(INDEX(Settings!$J$5:$J$55,MATCH(J50,Settings!$I$5:$I$55,0)),"general"),"general")))</f>
        <v/>
      </c>
      <c r="Y50" s="24" t="str">
        <f aca="false">IF(A50="","",LOWER(A50))</f>
        <v/>
      </c>
      <c r="Z50" s="24" t="str">
        <f aca="false">IF(A50="","",IF(T50="",Settings!$B$5,T50)&amp;IF(ISNUMBER(FIND("?",IF(T50="",Settings!$B$5,T50))),"&amp;","?")&amp;"utm_source="&amp;V50&amp;"&amp;utm_medium="&amp;W50&amp;"&amp;utm_campaign="&amp;X50&amp;"&amp;utm_content="&amp;Y50)</f>
        <v/>
      </c>
      <c r="AA50" s="29"/>
      <c r="AB50" s="39"/>
      <c r="AC50" s="32"/>
      <c r="AD50" s="32"/>
      <c r="AE50" s="32"/>
      <c r="AF50" s="32"/>
      <c r="AG50" s="32"/>
      <c r="AH50" s="32"/>
      <c r="AI50" s="32"/>
      <c r="AJ50" s="32"/>
      <c r="AK50" s="32"/>
      <c r="AL50" s="32"/>
      <c r="AM50" s="32"/>
      <c r="AN50" s="32"/>
      <c r="AO50" s="33" t="str">
        <f aca="false">IF(A50="","",IF(AD50&lt;&gt;"",AD50,IF(AC50&lt;&gt;"",AC50,"")))</f>
        <v/>
      </c>
      <c r="AP50" s="24" t="str">
        <f aca="false">IF(AO50="","",IF(AD50&lt;&gt;"","Reported reach","Impressions (proxy)"))</f>
        <v/>
      </c>
      <c r="AQ50" s="34" t="str">
        <f aca="false">IF(OR(AO50="",N(S50)=0),"",AO50/S50)</f>
        <v/>
      </c>
      <c r="AR50" s="33" t="str">
        <f aca="false">IF(A50="","",IF(COUNT(AF50:AJ50)=0,"",SUM(AF50:AJ50)))</f>
        <v/>
      </c>
      <c r="AS50" s="34" t="str">
        <f aca="false">IF(OR(AR50="",N(AO50)=0),"",AR50/AO50)</f>
        <v/>
      </c>
      <c r="AT50" s="34" t="str">
        <f aca="false">IF(OR(AR50="",N(AC50)=0),"",AR50/AC50)</f>
        <v/>
      </c>
      <c r="AU50" s="34" t="str">
        <f aca="false">IF(OR(AR50="",N(S50)=0),"",AR50/S50)</f>
        <v/>
      </c>
      <c r="AV50" s="34" t="str">
        <f aca="false">IF(OR(AJ50="",N(AC50)=0),"",AJ50/AC50)</f>
        <v/>
      </c>
      <c r="AW50" s="34" t="str">
        <f aca="false">IF(OR(AH50="",N(AO50)=0),"",AH50/AO50)</f>
        <v/>
      </c>
      <c r="AX50" s="35" t="str">
        <f aca="false">IF(OR(AR50="",N(AO50)=0),"",(N(AF50)*Settings!$B$6+N(AG50)*Settings!$B$7+N(AH50)*Settings!$B$8+N(AI50)*Settings!$B$9+N(AJ50)*Settings!$B$10)/AO50*1000)</f>
        <v/>
      </c>
      <c r="AY50" s="36" t="str">
        <f aca="false">IF(AS50="","",IFERROR(AS50/AVERAGEIFS('Post Tracker'!$AS$5:$AS$1004,'Post Tracker'!$G$5:$G$1004,G50),""))</f>
        <v/>
      </c>
      <c r="AZ50" s="32"/>
      <c r="BA50" s="32"/>
      <c r="BB50" s="32"/>
      <c r="BC50" s="32"/>
      <c r="BD50" s="33" t="str">
        <f aca="false">IF(A50="","",COUNTIFS('Demo Pipeline'!$Q$5:$Q$504,A50))</f>
        <v/>
      </c>
      <c r="BE50" s="33" t="str">
        <f aca="false">IF(A50="","",COUNTIFS('Demo Pipeline'!$Q$5:$Q$504,A50,'Demo Pipeline'!$W$5:$W$504,"Attended"))</f>
        <v/>
      </c>
      <c r="BF50" s="33" t="str">
        <f aca="false">IF(A50="","",COUNTIFS('Demo Pipeline'!$Q$5:$Q$504,A50,'Demo Pipeline'!$X$5:$X$504,"Yes"))</f>
        <v/>
      </c>
      <c r="BG50" s="33" t="str">
        <f aca="false">IF(A50="","",COUNTIFS('Demo Pipeline'!$Q$5:$Q$504,A50,'Demo Pipeline'!$Y$5:$Y$504,"Closed Won"))</f>
        <v/>
      </c>
      <c r="BH50" s="37" t="str">
        <f aca="false">IF(A50="","",SUMIFS('Demo Pipeline'!$Z$5:$Z$504,'Demo Pipeline'!$Q$5:$Q$504,A50))</f>
        <v/>
      </c>
      <c r="BI50" s="34" t="str">
        <f aca="false">IF(OR(AZ50="",N(AJ50)=0),"",AZ50/AJ50)</f>
        <v/>
      </c>
      <c r="BJ50" s="34" t="str">
        <f aca="false">IF(OR(BB50="",N(AZ50)=0),"",BB50/AZ50)</f>
        <v/>
      </c>
      <c r="BK50" s="34" t="str">
        <f aca="false">IF(OR(A50="",N(BB50)=0),"",BD50/BB50)</f>
        <v/>
      </c>
      <c r="BL50" s="34" t="str">
        <f aca="false">IF(OR(A50="",N(AZ50)=0),"",BD50/AZ50)</f>
        <v/>
      </c>
      <c r="BM50" s="37" t="str">
        <f aca="false">IF(OR(N(Q50)=0,N(BD50)=0),"",Q50/BD50)</f>
        <v/>
      </c>
      <c r="BN50" s="29"/>
      <c r="BO50" s="29"/>
      <c r="BP50" s="33" t="str">
        <f aca="false">IF(OR(AR50="",N(AO50)=0),"",AR50)</f>
        <v/>
      </c>
      <c r="BQ50" s="33" t="str">
        <f aca="false">IF(OR(AR50="",N(S50)=0),"",S50)</f>
        <v/>
      </c>
      <c r="BR50" s="38" t="str">
        <f aca="false">IF(AND(ISNUMBER(B50),B50&gt;=Dashboard!$C$4,B50&lt;=Dashboard!$F$4,ISNUMBER(AU50)),AU50+ROW()/10^9,"")</f>
        <v/>
      </c>
      <c r="BS50" s="38" t="str">
        <f aca="false">IF(AND(ISNUMBER(B50),B50&gt;=Dashboard!$C$4,B50&lt;=Dashboard!$F$4,A50&lt;&gt;""),N(BD50)+N(AU50)/100+ROW()/10^9,"")</f>
        <v/>
      </c>
    </row>
    <row r="51" customFormat="false" ht="15" hidden="false" customHeight="false" outlineLevel="0" collapsed="false">
      <c r="A51" s="24" t="str">
        <f aca="false">IF(OR(B51="",G51="",H51=""),"",IFERROR(INDEX(Settings!$E$5:$E$49,MATCH(G51,Settings!$D$5:$D$49,0))&amp;INDEX(Settings!$H$5:$H$47,MATCH(H51,Settings!$G$5:$G$47,0))&amp;"-"&amp;TEXT(B51,"yymmdd")&amp;"-"&amp;IF(C51="","0000",TEXT(C51,"hhmm")),"CHECK LISTS"))</f>
        <v/>
      </c>
      <c r="B51" s="39"/>
      <c r="C51" s="40"/>
      <c r="D51" s="24" t="str">
        <f aca="false">IF(B51="","",TEXT(B51,"ddd"))</f>
        <v/>
      </c>
      <c r="E51" s="27" t="str">
        <f aca="false">IF(B51="","",B51-WEEKDAY(B51,3))</f>
        <v/>
      </c>
      <c r="F51" s="24" t="str">
        <f aca="false">IF(B51="","",TEXT(B51,"yyyy-mm"))</f>
        <v/>
      </c>
      <c r="G51" s="29"/>
      <c r="H51" s="29"/>
      <c r="I51" s="29"/>
      <c r="J51" s="29"/>
      <c r="K51" s="29"/>
      <c r="L51" s="29"/>
      <c r="M51" s="29"/>
      <c r="N51" s="29"/>
      <c r="O51" s="29"/>
      <c r="P51" s="29"/>
      <c r="Q51" s="30"/>
      <c r="R51" s="29"/>
      <c r="S51" s="32"/>
      <c r="T51" s="29"/>
      <c r="U51" s="29"/>
      <c r="V51" s="24" t="str">
        <f aca="false">IF(A51="","",IFERROR(INDEX(Settings!$F$5:$F$49,MATCH(G51,Settings!$D$5:$D$49,0)),""))</f>
        <v/>
      </c>
      <c r="W51" s="24" t="str">
        <f aca="false">IF(A51="","",IF(OR(P51="",P51="Organic"),"social","paid_social"))</f>
        <v/>
      </c>
      <c r="X51" s="24" t="str">
        <f aca="false">IF(A51="","",IF(K51&lt;&gt;"",IFERROR(INDEX('Case Studies'!$C$5:$C$54,MATCH(K51,'Case Studies'!$B$5:$B$54,0))&amp;"","case-study"),IF(J51&lt;&gt;"",IFERROR(INDEX(Settings!$J$5:$J$55,MATCH(J51,Settings!$I$5:$I$55,0)),"general"),"general")))</f>
        <v/>
      </c>
      <c r="Y51" s="24" t="str">
        <f aca="false">IF(A51="","",LOWER(A51))</f>
        <v/>
      </c>
      <c r="Z51" s="24" t="str">
        <f aca="false">IF(A51="","",IF(T51="",Settings!$B$5,T51)&amp;IF(ISNUMBER(FIND("?",IF(T51="",Settings!$B$5,T51))),"&amp;","?")&amp;"utm_source="&amp;V51&amp;"&amp;utm_medium="&amp;W51&amp;"&amp;utm_campaign="&amp;X51&amp;"&amp;utm_content="&amp;Y51)</f>
        <v/>
      </c>
      <c r="AA51" s="29"/>
      <c r="AB51" s="39"/>
      <c r="AC51" s="32"/>
      <c r="AD51" s="32"/>
      <c r="AE51" s="32"/>
      <c r="AF51" s="32"/>
      <c r="AG51" s="32"/>
      <c r="AH51" s="32"/>
      <c r="AI51" s="32"/>
      <c r="AJ51" s="32"/>
      <c r="AK51" s="32"/>
      <c r="AL51" s="32"/>
      <c r="AM51" s="32"/>
      <c r="AN51" s="32"/>
      <c r="AO51" s="33" t="str">
        <f aca="false">IF(A51="","",IF(AD51&lt;&gt;"",AD51,IF(AC51&lt;&gt;"",AC51,"")))</f>
        <v/>
      </c>
      <c r="AP51" s="24" t="str">
        <f aca="false">IF(AO51="","",IF(AD51&lt;&gt;"","Reported reach","Impressions (proxy)"))</f>
        <v/>
      </c>
      <c r="AQ51" s="34" t="str">
        <f aca="false">IF(OR(AO51="",N(S51)=0),"",AO51/S51)</f>
        <v/>
      </c>
      <c r="AR51" s="33" t="str">
        <f aca="false">IF(A51="","",IF(COUNT(AF51:AJ51)=0,"",SUM(AF51:AJ51)))</f>
        <v/>
      </c>
      <c r="AS51" s="34" t="str">
        <f aca="false">IF(OR(AR51="",N(AO51)=0),"",AR51/AO51)</f>
        <v/>
      </c>
      <c r="AT51" s="34" t="str">
        <f aca="false">IF(OR(AR51="",N(AC51)=0),"",AR51/AC51)</f>
        <v/>
      </c>
      <c r="AU51" s="34" t="str">
        <f aca="false">IF(OR(AR51="",N(S51)=0),"",AR51/S51)</f>
        <v/>
      </c>
      <c r="AV51" s="34" t="str">
        <f aca="false">IF(OR(AJ51="",N(AC51)=0),"",AJ51/AC51)</f>
        <v/>
      </c>
      <c r="AW51" s="34" t="str">
        <f aca="false">IF(OR(AH51="",N(AO51)=0),"",AH51/AO51)</f>
        <v/>
      </c>
      <c r="AX51" s="35" t="str">
        <f aca="false">IF(OR(AR51="",N(AO51)=0),"",(N(AF51)*Settings!$B$6+N(AG51)*Settings!$B$7+N(AH51)*Settings!$B$8+N(AI51)*Settings!$B$9+N(AJ51)*Settings!$B$10)/AO51*1000)</f>
        <v/>
      </c>
      <c r="AY51" s="36" t="str">
        <f aca="false">IF(AS51="","",IFERROR(AS51/AVERAGEIFS('Post Tracker'!$AS$5:$AS$1004,'Post Tracker'!$G$5:$G$1004,G51),""))</f>
        <v/>
      </c>
      <c r="AZ51" s="32"/>
      <c r="BA51" s="32"/>
      <c r="BB51" s="32"/>
      <c r="BC51" s="32"/>
      <c r="BD51" s="33" t="str">
        <f aca="false">IF(A51="","",COUNTIFS('Demo Pipeline'!$Q$5:$Q$504,A51))</f>
        <v/>
      </c>
      <c r="BE51" s="33" t="str">
        <f aca="false">IF(A51="","",COUNTIFS('Demo Pipeline'!$Q$5:$Q$504,A51,'Demo Pipeline'!$W$5:$W$504,"Attended"))</f>
        <v/>
      </c>
      <c r="BF51" s="33" t="str">
        <f aca="false">IF(A51="","",COUNTIFS('Demo Pipeline'!$Q$5:$Q$504,A51,'Demo Pipeline'!$X$5:$X$504,"Yes"))</f>
        <v/>
      </c>
      <c r="BG51" s="33" t="str">
        <f aca="false">IF(A51="","",COUNTIFS('Demo Pipeline'!$Q$5:$Q$504,A51,'Demo Pipeline'!$Y$5:$Y$504,"Closed Won"))</f>
        <v/>
      </c>
      <c r="BH51" s="37" t="str">
        <f aca="false">IF(A51="","",SUMIFS('Demo Pipeline'!$Z$5:$Z$504,'Demo Pipeline'!$Q$5:$Q$504,A51))</f>
        <v/>
      </c>
      <c r="BI51" s="34" t="str">
        <f aca="false">IF(OR(AZ51="",N(AJ51)=0),"",AZ51/AJ51)</f>
        <v/>
      </c>
      <c r="BJ51" s="34" t="str">
        <f aca="false">IF(OR(BB51="",N(AZ51)=0),"",BB51/AZ51)</f>
        <v/>
      </c>
      <c r="BK51" s="34" t="str">
        <f aca="false">IF(OR(A51="",N(BB51)=0),"",BD51/BB51)</f>
        <v/>
      </c>
      <c r="BL51" s="34" t="str">
        <f aca="false">IF(OR(A51="",N(AZ51)=0),"",BD51/AZ51)</f>
        <v/>
      </c>
      <c r="BM51" s="37" t="str">
        <f aca="false">IF(OR(N(Q51)=0,N(BD51)=0),"",Q51/BD51)</f>
        <v/>
      </c>
      <c r="BN51" s="29"/>
      <c r="BO51" s="29"/>
      <c r="BP51" s="33" t="str">
        <f aca="false">IF(OR(AR51="",N(AO51)=0),"",AR51)</f>
        <v/>
      </c>
      <c r="BQ51" s="33" t="str">
        <f aca="false">IF(OR(AR51="",N(S51)=0),"",S51)</f>
        <v/>
      </c>
      <c r="BR51" s="38" t="str">
        <f aca="false">IF(AND(ISNUMBER(B51),B51&gt;=Dashboard!$C$4,B51&lt;=Dashboard!$F$4,ISNUMBER(AU51)),AU51+ROW()/10^9,"")</f>
        <v/>
      </c>
      <c r="BS51" s="38" t="str">
        <f aca="false">IF(AND(ISNUMBER(B51),B51&gt;=Dashboard!$C$4,B51&lt;=Dashboard!$F$4,A51&lt;&gt;""),N(BD51)+N(AU51)/100+ROW()/10^9,"")</f>
        <v/>
      </c>
    </row>
    <row r="52" customFormat="false" ht="15" hidden="false" customHeight="false" outlineLevel="0" collapsed="false">
      <c r="A52" s="24" t="str">
        <f aca="false">IF(OR(B52="",G52="",H52=""),"",IFERROR(INDEX(Settings!$E$5:$E$49,MATCH(G52,Settings!$D$5:$D$49,0))&amp;INDEX(Settings!$H$5:$H$47,MATCH(H52,Settings!$G$5:$G$47,0))&amp;"-"&amp;TEXT(B52,"yymmdd")&amp;"-"&amp;IF(C52="","0000",TEXT(C52,"hhmm")),"CHECK LISTS"))</f>
        <v/>
      </c>
      <c r="B52" s="39"/>
      <c r="C52" s="40"/>
      <c r="D52" s="24" t="str">
        <f aca="false">IF(B52="","",TEXT(B52,"ddd"))</f>
        <v/>
      </c>
      <c r="E52" s="27" t="str">
        <f aca="false">IF(B52="","",B52-WEEKDAY(B52,3))</f>
        <v/>
      </c>
      <c r="F52" s="24" t="str">
        <f aca="false">IF(B52="","",TEXT(B52,"yyyy-mm"))</f>
        <v/>
      </c>
      <c r="G52" s="29"/>
      <c r="H52" s="29"/>
      <c r="I52" s="29"/>
      <c r="J52" s="29"/>
      <c r="K52" s="29"/>
      <c r="L52" s="29"/>
      <c r="M52" s="29"/>
      <c r="N52" s="29"/>
      <c r="O52" s="29"/>
      <c r="P52" s="29"/>
      <c r="Q52" s="30"/>
      <c r="R52" s="29"/>
      <c r="S52" s="32"/>
      <c r="T52" s="29"/>
      <c r="U52" s="29"/>
      <c r="V52" s="24" t="str">
        <f aca="false">IF(A52="","",IFERROR(INDEX(Settings!$F$5:$F$49,MATCH(G52,Settings!$D$5:$D$49,0)),""))</f>
        <v/>
      </c>
      <c r="W52" s="24" t="str">
        <f aca="false">IF(A52="","",IF(OR(P52="",P52="Organic"),"social","paid_social"))</f>
        <v/>
      </c>
      <c r="X52" s="24" t="str">
        <f aca="false">IF(A52="","",IF(K52&lt;&gt;"",IFERROR(INDEX('Case Studies'!$C$5:$C$54,MATCH(K52,'Case Studies'!$B$5:$B$54,0))&amp;"","case-study"),IF(J52&lt;&gt;"",IFERROR(INDEX(Settings!$J$5:$J$55,MATCH(J52,Settings!$I$5:$I$55,0)),"general"),"general")))</f>
        <v/>
      </c>
      <c r="Y52" s="24" t="str">
        <f aca="false">IF(A52="","",LOWER(A52))</f>
        <v/>
      </c>
      <c r="Z52" s="24" t="str">
        <f aca="false">IF(A52="","",IF(T52="",Settings!$B$5,T52)&amp;IF(ISNUMBER(FIND("?",IF(T52="",Settings!$B$5,T52))),"&amp;","?")&amp;"utm_source="&amp;V52&amp;"&amp;utm_medium="&amp;W52&amp;"&amp;utm_campaign="&amp;X52&amp;"&amp;utm_content="&amp;Y52)</f>
        <v/>
      </c>
      <c r="AA52" s="29"/>
      <c r="AB52" s="39"/>
      <c r="AC52" s="32"/>
      <c r="AD52" s="32"/>
      <c r="AE52" s="32"/>
      <c r="AF52" s="32"/>
      <c r="AG52" s="32"/>
      <c r="AH52" s="32"/>
      <c r="AI52" s="32"/>
      <c r="AJ52" s="32"/>
      <c r="AK52" s="32"/>
      <c r="AL52" s="32"/>
      <c r="AM52" s="32"/>
      <c r="AN52" s="32"/>
      <c r="AO52" s="33" t="str">
        <f aca="false">IF(A52="","",IF(AD52&lt;&gt;"",AD52,IF(AC52&lt;&gt;"",AC52,"")))</f>
        <v/>
      </c>
      <c r="AP52" s="24" t="str">
        <f aca="false">IF(AO52="","",IF(AD52&lt;&gt;"","Reported reach","Impressions (proxy)"))</f>
        <v/>
      </c>
      <c r="AQ52" s="34" t="str">
        <f aca="false">IF(OR(AO52="",N(S52)=0),"",AO52/S52)</f>
        <v/>
      </c>
      <c r="AR52" s="33" t="str">
        <f aca="false">IF(A52="","",IF(COUNT(AF52:AJ52)=0,"",SUM(AF52:AJ52)))</f>
        <v/>
      </c>
      <c r="AS52" s="34" t="str">
        <f aca="false">IF(OR(AR52="",N(AO52)=0),"",AR52/AO52)</f>
        <v/>
      </c>
      <c r="AT52" s="34" t="str">
        <f aca="false">IF(OR(AR52="",N(AC52)=0),"",AR52/AC52)</f>
        <v/>
      </c>
      <c r="AU52" s="34" t="str">
        <f aca="false">IF(OR(AR52="",N(S52)=0),"",AR52/S52)</f>
        <v/>
      </c>
      <c r="AV52" s="34" t="str">
        <f aca="false">IF(OR(AJ52="",N(AC52)=0),"",AJ52/AC52)</f>
        <v/>
      </c>
      <c r="AW52" s="34" t="str">
        <f aca="false">IF(OR(AH52="",N(AO52)=0),"",AH52/AO52)</f>
        <v/>
      </c>
      <c r="AX52" s="35" t="str">
        <f aca="false">IF(OR(AR52="",N(AO52)=0),"",(N(AF52)*Settings!$B$6+N(AG52)*Settings!$B$7+N(AH52)*Settings!$B$8+N(AI52)*Settings!$B$9+N(AJ52)*Settings!$B$10)/AO52*1000)</f>
        <v/>
      </c>
      <c r="AY52" s="36" t="str">
        <f aca="false">IF(AS52="","",IFERROR(AS52/AVERAGEIFS('Post Tracker'!$AS$5:$AS$1004,'Post Tracker'!$G$5:$G$1004,G52),""))</f>
        <v/>
      </c>
      <c r="AZ52" s="32"/>
      <c r="BA52" s="32"/>
      <c r="BB52" s="32"/>
      <c r="BC52" s="32"/>
      <c r="BD52" s="33" t="str">
        <f aca="false">IF(A52="","",COUNTIFS('Demo Pipeline'!$Q$5:$Q$504,A52))</f>
        <v/>
      </c>
      <c r="BE52" s="33" t="str">
        <f aca="false">IF(A52="","",COUNTIFS('Demo Pipeline'!$Q$5:$Q$504,A52,'Demo Pipeline'!$W$5:$W$504,"Attended"))</f>
        <v/>
      </c>
      <c r="BF52" s="33" t="str">
        <f aca="false">IF(A52="","",COUNTIFS('Demo Pipeline'!$Q$5:$Q$504,A52,'Demo Pipeline'!$X$5:$X$504,"Yes"))</f>
        <v/>
      </c>
      <c r="BG52" s="33" t="str">
        <f aca="false">IF(A52="","",COUNTIFS('Demo Pipeline'!$Q$5:$Q$504,A52,'Demo Pipeline'!$Y$5:$Y$504,"Closed Won"))</f>
        <v/>
      </c>
      <c r="BH52" s="37" t="str">
        <f aca="false">IF(A52="","",SUMIFS('Demo Pipeline'!$Z$5:$Z$504,'Demo Pipeline'!$Q$5:$Q$504,A52))</f>
        <v/>
      </c>
      <c r="BI52" s="34" t="str">
        <f aca="false">IF(OR(AZ52="",N(AJ52)=0),"",AZ52/AJ52)</f>
        <v/>
      </c>
      <c r="BJ52" s="34" t="str">
        <f aca="false">IF(OR(BB52="",N(AZ52)=0),"",BB52/AZ52)</f>
        <v/>
      </c>
      <c r="BK52" s="34" t="str">
        <f aca="false">IF(OR(A52="",N(BB52)=0),"",BD52/BB52)</f>
        <v/>
      </c>
      <c r="BL52" s="34" t="str">
        <f aca="false">IF(OR(A52="",N(AZ52)=0),"",BD52/AZ52)</f>
        <v/>
      </c>
      <c r="BM52" s="37" t="str">
        <f aca="false">IF(OR(N(Q52)=0,N(BD52)=0),"",Q52/BD52)</f>
        <v/>
      </c>
      <c r="BN52" s="29"/>
      <c r="BO52" s="29"/>
      <c r="BP52" s="33" t="str">
        <f aca="false">IF(OR(AR52="",N(AO52)=0),"",AR52)</f>
        <v/>
      </c>
      <c r="BQ52" s="33" t="str">
        <f aca="false">IF(OR(AR52="",N(S52)=0),"",S52)</f>
        <v/>
      </c>
      <c r="BR52" s="38" t="str">
        <f aca="false">IF(AND(ISNUMBER(B52),B52&gt;=Dashboard!$C$4,B52&lt;=Dashboard!$F$4,ISNUMBER(AU52)),AU52+ROW()/10^9,"")</f>
        <v/>
      </c>
      <c r="BS52" s="38" t="str">
        <f aca="false">IF(AND(ISNUMBER(B52),B52&gt;=Dashboard!$C$4,B52&lt;=Dashboard!$F$4,A52&lt;&gt;""),N(BD52)+N(AU52)/100+ROW()/10^9,"")</f>
        <v/>
      </c>
    </row>
    <row r="53" customFormat="false" ht="15" hidden="false" customHeight="false" outlineLevel="0" collapsed="false">
      <c r="A53" s="24" t="str">
        <f aca="false">IF(OR(B53="",G53="",H53=""),"",IFERROR(INDEX(Settings!$E$5:$E$49,MATCH(G53,Settings!$D$5:$D$49,0))&amp;INDEX(Settings!$H$5:$H$47,MATCH(H53,Settings!$G$5:$G$47,0))&amp;"-"&amp;TEXT(B53,"yymmdd")&amp;"-"&amp;IF(C53="","0000",TEXT(C53,"hhmm")),"CHECK LISTS"))</f>
        <v/>
      </c>
      <c r="B53" s="39"/>
      <c r="C53" s="40"/>
      <c r="D53" s="24" t="str">
        <f aca="false">IF(B53="","",TEXT(B53,"ddd"))</f>
        <v/>
      </c>
      <c r="E53" s="27" t="str">
        <f aca="false">IF(B53="","",B53-WEEKDAY(B53,3))</f>
        <v/>
      </c>
      <c r="F53" s="24" t="str">
        <f aca="false">IF(B53="","",TEXT(B53,"yyyy-mm"))</f>
        <v/>
      </c>
      <c r="G53" s="29"/>
      <c r="H53" s="29"/>
      <c r="I53" s="29"/>
      <c r="J53" s="29"/>
      <c r="K53" s="29"/>
      <c r="L53" s="29"/>
      <c r="M53" s="29"/>
      <c r="N53" s="29"/>
      <c r="O53" s="29"/>
      <c r="P53" s="29"/>
      <c r="Q53" s="30"/>
      <c r="R53" s="29"/>
      <c r="S53" s="32"/>
      <c r="T53" s="29"/>
      <c r="U53" s="29"/>
      <c r="V53" s="24" t="str">
        <f aca="false">IF(A53="","",IFERROR(INDEX(Settings!$F$5:$F$49,MATCH(G53,Settings!$D$5:$D$49,0)),""))</f>
        <v/>
      </c>
      <c r="W53" s="24" t="str">
        <f aca="false">IF(A53="","",IF(OR(P53="",P53="Organic"),"social","paid_social"))</f>
        <v/>
      </c>
      <c r="X53" s="24" t="str">
        <f aca="false">IF(A53="","",IF(K53&lt;&gt;"",IFERROR(INDEX('Case Studies'!$C$5:$C$54,MATCH(K53,'Case Studies'!$B$5:$B$54,0))&amp;"","case-study"),IF(J53&lt;&gt;"",IFERROR(INDEX(Settings!$J$5:$J$55,MATCH(J53,Settings!$I$5:$I$55,0)),"general"),"general")))</f>
        <v/>
      </c>
      <c r="Y53" s="24" t="str">
        <f aca="false">IF(A53="","",LOWER(A53))</f>
        <v/>
      </c>
      <c r="Z53" s="24" t="str">
        <f aca="false">IF(A53="","",IF(T53="",Settings!$B$5,T53)&amp;IF(ISNUMBER(FIND("?",IF(T53="",Settings!$B$5,T53))),"&amp;","?")&amp;"utm_source="&amp;V53&amp;"&amp;utm_medium="&amp;W53&amp;"&amp;utm_campaign="&amp;X53&amp;"&amp;utm_content="&amp;Y53)</f>
        <v/>
      </c>
      <c r="AA53" s="29"/>
      <c r="AB53" s="39"/>
      <c r="AC53" s="32"/>
      <c r="AD53" s="32"/>
      <c r="AE53" s="32"/>
      <c r="AF53" s="32"/>
      <c r="AG53" s="32"/>
      <c r="AH53" s="32"/>
      <c r="AI53" s="32"/>
      <c r="AJ53" s="32"/>
      <c r="AK53" s="32"/>
      <c r="AL53" s="32"/>
      <c r="AM53" s="32"/>
      <c r="AN53" s="32"/>
      <c r="AO53" s="33" t="str">
        <f aca="false">IF(A53="","",IF(AD53&lt;&gt;"",AD53,IF(AC53&lt;&gt;"",AC53,"")))</f>
        <v/>
      </c>
      <c r="AP53" s="24" t="str">
        <f aca="false">IF(AO53="","",IF(AD53&lt;&gt;"","Reported reach","Impressions (proxy)"))</f>
        <v/>
      </c>
      <c r="AQ53" s="34" t="str">
        <f aca="false">IF(OR(AO53="",N(S53)=0),"",AO53/S53)</f>
        <v/>
      </c>
      <c r="AR53" s="33" t="str">
        <f aca="false">IF(A53="","",IF(COUNT(AF53:AJ53)=0,"",SUM(AF53:AJ53)))</f>
        <v/>
      </c>
      <c r="AS53" s="34" t="str">
        <f aca="false">IF(OR(AR53="",N(AO53)=0),"",AR53/AO53)</f>
        <v/>
      </c>
      <c r="AT53" s="34" t="str">
        <f aca="false">IF(OR(AR53="",N(AC53)=0),"",AR53/AC53)</f>
        <v/>
      </c>
      <c r="AU53" s="34" t="str">
        <f aca="false">IF(OR(AR53="",N(S53)=0),"",AR53/S53)</f>
        <v/>
      </c>
      <c r="AV53" s="34" t="str">
        <f aca="false">IF(OR(AJ53="",N(AC53)=0),"",AJ53/AC53)</f>
        <v/>
      </c>
      <c r="AW53" s="34" t="str">
        <f aca="false">IF(OR(AH53="",N(AO53)=0),"",AH53/AO53)</f>
        <v/>
      </c>
      <c r="AX53" s="35" t="str">
        <f aca="false">IF(OR(AR53="",N(AO53)=0),"",(N(AF53)*Settings!$B$6+N(AG53)*Settings!$B$7+N(AH53)*Settings!$B$8+N(AI53)*Settings!$B$9+N(AJ53)*Settings!$B$10)/AO53*1000)</f>
        <v/>
      </c>
      <c r="AY53" s="36" t="str">
        <f aca="false">IF(AS53="","",IFERROR(AS53/AVERAGEIFS('Post Tracker'!$AS$5:$AS$1004,'Post Tracker'!$G$5:$G$1004,G53),""))</f>
        <v/>
      </c>
      <c r="AZ53" s="32"/>
      <c r="BA53" s="32"/>
      <c r="BB53" s="32"/>
      <c r="BC53" s="32"/>
      <c r="BD53" s="33" t="str">
        <f aca="false">IF(A53="","",COUNTIFS('Demo Pipeline'!$Q$5:$Q$504,A53))</f>
        <v/>
      </c>
      <c r="BE53" s="33" t="str">
        <f aca="false">IF(A53="","",COUNTIFS('Demo Pipeline'!$Q$5:$Q$504,A53,'Demo Pipeline'!$W$5:$W$504,"Attended"))</f>
        <v/>
      </c>
      <c r="BF53" s="33" t="str">
        <f aca="false">IF(A53="","",COUNTIFS('Demo Pipeline'!$Q$5:$Q$504,A53,'Demo Pipeline'!$X$5:$X$504,"Yes"))</f>
        <v/>
      </c>
      <c r="BG53" s="33" t="str">
        <f aca="false">IF(A53="","",COUNTIFS('Demo Pipeline'!$Q$5:$Q$504,A53,'Demo Pipeline'!$Y$5:$Y$504,"Closed Won"))</f>
        <v/>
      </c>
      <c r="BH53" s="37" t="str">
        <f aca="false">IF(A53="","",SUMIFS('Demo Pipeline'!$Z$5:$Z$504,'Demo Pipeline'!$Q$5:$Q$504,A53))</f>
        <v/>
      </c>
      <c r="BI53" s="34" t="str">
        <f aca="false">IF(OR(AZ53="",N(AJ53)=0),"",AZ53/AJ53)</f>
        <v/>
      </c>
      <c r="BJ53" s="34" t="str">
        <f aca="false">IF(OR(BB53="",N(AZ53)=0),"",BB53/AZ53)</f>
        <v/>
      </c>
      <c r="BK53" s="34" t="str">
        <f aca="false">IF(OR(A53="",N(BB53)=0),"",BD53/BB53)</f>
        <v/>
      </c>
      <c r="BL53" s="34" t="str">
        <f aca="false">IF(OR(A53="",N(AZ53)=0),"",BD53/AZ53)</f>
        <v/>
      </c>
      <c r="BM53" s="37" t="str">
        <f aca="false">IF(OR(N(Q53)=0,N(BD53)=0),"",Q53/BD53)</f>
        <v/>
      </c>
      <c r="BN53" s="29"/>
      <c r="BO53" s="29"/>
      <c r="BP53" s="33" t="str">
        <f aca="false">IF(OR(AR53="",N(AO53)=0),"",AR53)</f>
        <v/>
      </c>
      <c r="BQ53" s="33" t="str">
        <f aca="false">IF(OR(AR53="",N(S53)=0),"",S53)</f>
        <v/>
      </c>
      <c r="BR53" s="38" t="str">
        <f aca="false">IF(AND(ISNUMBER(B53),B53&gt;=Dashboard!$C$4,B53&lt;=Dashboard!$F$4,ISNUMBER(AU53)),AU53+ROW()/10^9,"")</f>
        <v/>
      </c>
      <c r="BS53" s="38" t="str">
        <f aca="false">IF(AND(ISNUMBER(B53),B53&gt;=Dashboard!$C$4,B53&lt;=Dashboard!$F$4,A53&lt;&gt;""),N(BD53)+N(AU53)/100+ROW()/10^9,"")</f>
        <v/>
      </c>
    </row>
    <row r="54" customFormat="false" ht="15" hidden="false" customHeight="false" outlineLevel="0" collapsed="false">
      <c r="A54" s="24" t="str">
        <f aca="false">IF(OR(B54="",G54="",H54=""),"",IFERROR(INDEX(Settings!$E$5:$E$49,MATCH(G54,Settings!$D$5:$D$49,0))&amp;INDEX(Settings!$H$5:$H$47,MATCH(H54,Settings!$G$5:$G$47,0))&amp;"-"&amp;TEXT(B54,"yymmdd")&amp;"-"&amp;IF(C54="","0000",TEXT(C54,"hhmm")),"CHECK LISTS"))</f>
        <v/>
      </c>
      <c r="B54" s="39"/>
      <c r="C54" s="40"/>
      <c r="D54" s="24" t="str">
        <f aca="false">IF(B54="","",TEXT(B54,"ddd"))</f>
        <v/>
      </c>
      <c r="E54" s="27" t="str">
        <f aca="false">IF(B54="","",B54-WEEKDAY(B54,3))</f>
        <v/>
      </c>
      <c r="F54" s="24" t="str">
        <f aca="false">IF(B54="","",TEXT(B54,"yyyy-mm"))</f>
        <v/>
      </c>
      <c r="G54" s="29"/>
      <c r="H54" s="29"/>
      <c r="I54" s="29"/>
      <c r="J54" s="29"/>
      <c r="K54" s="29"/>
      <c r="L54" s="29"/>
      <c r="M54" s="29"/>
      <c r="N54" s="29"/>
      <c r="O54" s="29"/>
      <c r="P54" s="29"/>
      <c r="Q54" s="30"/>
      <c r="R54" s="29"/>
      <c r="S54" s="32"/>
      <c r="T54" s="29"/>
      <c r="U54" s="29"/>
      <c r="V54" s="24" t="str">
        <f aca="false">IF(A54="","",IFERROR(INDEX(Settings!$F$5:$F$49,MATCH(G54,Settings!$D$5:$D$49,0)),""))</f>
        <v/>
      </c>
      <c r="W54" s="24" t="str">
        <f aca="false">IF(A54="","",IF(OR(P54="",P54="Organic"),"social","paid_social"))</f>
        <v/>
      </c>
      <c r="X54" s="24" t="str">
        <f aca="false">IF(A54="","",IF(K54&lt;&gt;"",IFERROR(INDEX('Case Studies'!$C$5:$C$54,MATCH(K54,'Case Studies'!$B$5:$B$54,0))&amp;"","case-study"),IF(J54&lt;&gt;"",IFERROR(INDEX(Settings!$J$5:$J$55,MATCH(J54,Settings!$I$5:$I$55,0)),"general"),"general")))</f>
        <v/>
      </c>
      <c r="Y54" s="24" t="str">
        <f aca="false">IF(A54="","",LOWER(A54))</f>
        <v/>
      </c>
      <c r="Z54" s="24" t="str">
        <f aca="false">IF(A54="","",IF(T54="",Settings!$B$5,T54)&amp;IF(ISNUMBER(FIND("?",IF(T54="",Settings!$B$5,T54))),"&amp;","?")&amp;"utm_source="&amp;V54&amp;"&amp;utm_medium="&amp;W54&amp;"&amp;utm_campaign="&amp;X54&amp;"&amp;utm_content="&amp;Y54)</f>
        <v/>
      </c>
      <c r="AA54" s="29"/>
      <c r="AB54" s="39"/>
      <c r="AC54" s="32"/>
      <c r="AD54" s="32"/>
      <c r="AE54" s="32"/>
      <c r="AF54" s="32"/>
      <c r="AG54" s="32"/>
      <c r="AH54" s="32"/>
      <c r="AI54" s="32"/>
      <c r="AJ54" s="32"/>
      <c r="AK54" s="32"/>
      <c r="AL54" s="32"/>
      <c r="AM54" s="32"/>
      <c r="AN54" s="32"/>
      <c r="AO54" s="33" t="str">
        <f aca="false">IF(A54="","",IF(AD54&lt;&gt;"",AD54,IF(AC54&lt;&gt;"",AC54,"")))</f>
        <v/>
      </c>
      <c r="AP54" s="24" t="str">
        <f aca="false">IF(AO54="","",IF(AD54&lt;&gt;"","Reported reach","Impressions (proxy)"))</f>
        <v/>
      </c>
      <c r="AQ54" s="34" t="str">
        <f aca="false">IF(OR(AO54="",N(S54)=0),"",AO54/S54)</f>
        <v/>
      </c>
      <c r="AR54" s="33" t="str">
        <f aca="false">IF(A54="","",IF(COUNT(AF54:AJ54)=0,"",SUM(AF54:AJ54)))</f>
        <v/>
      </c>
      <c r="AS54" s="34" t="str">
        <f aca="false">IF(OR(AR54="",N(AO54)=0),"",AR54/AO54)</f>
        <v/>
      </c>
      <c r="AT54" s="34" t="str">
        <f aca="false">IF(OR(AR54="",N(AC54)=0),"",AR54/AC54)</f>
        <v/>
      </c>
      <c r="AU54" s="34" t="str">
        <f aca="false">IF(OR(AR54="",N(S54)=0),"",AR54/S54)</f>
        <v/>
      </c>
      <c r="AV54" s="34" t="str">
        <f aca="false">IF(OR(AJ54="",N(AC54)=0),"",AJ54/AC54)</f>
        <v/>
      </c>
      <c r="AW54" s="34" t="str">
        <f aca="false">IF(OR(AH54="",N(AO54)=0),"",AH54/AO54)</f>
        <v/>
      </c>
      <c r="AX54" s="35" t="str">
        <f aca="false">IF(OR(AR54="",N(AO54)=0),"",(N(AF54)*Settings!$B$6+N(AG54)*Settings!$B$7+N(AH54)*Settings!$B$8+N(AI54)*Settings!$B$9+N(AJ54)*Settings!$B$10)/AO54*1000)</f>
        <v/>
      </c>
      <c r="AY54" s="36" t="str">
        <f aca="false">IF(AS54="","",IFERROR(AS54/AVERAGEIFS('Post Tracker'!$AS$5:$AS$1004,'Post Tracker'!$G$5:$G$1004,G54),""))</f>
        <v/>
      </c>
      <c r="AZ54" s="32"/>
      <c r="BA54" s="32"/>
      <c r="BB54" s="32"/>
      <c r="BC54" s="32"/>
      <c r="BD54" s="33" t="str">
        <f aca="false">IF(A54="","",COUNTIFS('Demo Pipeline'!$Q$5:$Q$504,A54))</f>
        <v/>
      </c>
      <c r="BE54" s="33" t="str">
        <f aca="false">IF(A54="","",COUNTIFS('Demo Pipeline'!$Q$5:$Q$504,A54,'Demo Pipeline'!$W$5:$W$504,"Attended"))</f>
        <v/>
      </c>
      <c r="BF54" s="33" t="str">
        <f aca="false">IF(A54="","",COUNTIFS('Demo Pipeline'!$Q$5:$Q$504,A54,'Demo Pipeline'!$X$5:$X$504,"Yes"))</f>
        <v/>
      </c>
      <c r="BG54" s="33" t="str">
        <f aca="false">IF(A54="","",COUNTIFS('Demo Pipeline'!$Q$5:$Q$504,A54,'Demo Pipeline'!$Y$5:$Y$504,"Closed Won"))</f>
        <v/>
      </c>
      <c r="BH54" s="37" t="str">
        <f aca="false">IF(A54="","",SUMIFS('Demo Pipeline'!$Z$5:$Z$504,'Demo Pipeline'!$Q$5:$Q$504,A54))</f>
        <v/>
      </c>
      <c r="BI54" s="34" t="str">
        <f aca="false">IF(OR(AZ54="",N(AJ54)=0),"",AZ54/AJ54)</f>
        <v/>
      </c>
      <c r="BJ54" s="34" t="str">
        <f aca="false">IF(OR(BB54="",N(AZ54)=0),"",BB54/AZ54)</f>
        <v/>
      </c>
      <c r="BK54" s="34" t="str">
        <f aca="false">IF(OR(A54="",N(BB54)=0),"",BD54/BB54)</f>
        <v/>
      </c>
      <c r="BL54" s="34" t="str">
        <f aca="false">IF(OR(A54="",N(AZ54)=0),"",BD54/AZ54)</f>
        <v/>
      </c>
      <c r="BM54" s="37" t="str">
        <f aca="false">IF(OR(N(Q54)=0,N(BD54)=0),"",Q54/BD54)</f>
        <v/>
      </c>
      <c r="BN54" s="29"/>
      <c r="BO54" s="29"/>
      <c r="BP54" s="33" t="str">
        <f aca="false">IF(OR(AR54="",N(AO54)=0),"",AR54)</f>
        <v/>
      </c>
      <c r="BQ54" s="33" t="str">
        <f aca="false">IF(OR(AR54="",N(S54)=0),"",S54)</f>
        <v/>
      </c>
      <c r="BR54" s="38" t="str">
        <f aca="false">IF(AND(ISNUMBER(B54),B54&gt;=Dashboard!$C$4,B54&lt;=Dashboard!$F$4,ISNUMBER(AU54)),AU54+ROW()/10^9,"")</f>
        <v/>
      </c>
      <c r="BS54" s="38" t="str">
        <f aca="false">IF(AND(ISNUMBER(B54),B54&gt;=Dashboard!$C$4,B54&lt;=Dashboard!$F$4,A54&lt;&gt;""),N(BD54)+N(AU54)/100+ROW()/10^9,"")</f>
        <v/>
      </c>
    </row>
    <row r="55" customFormat="false" ht="15" hidden="false" customHeight="false" outlineLevel="0" collapsed="false">
      <c r="A55" s="24" t="str">
        <f aca="false">IF(OR(B55="",G55="",H55=""),"",IFERROR(INDEX(Settings!$E$5:$E$49,MATCH(G55,Settings!$D$5:$D$49,0))&amp;INDEX(Settings!$H$5:$H$47,MATCH(H55,Settings!$G$5:$G$47,0))&amp;"-"&amp;TEXT(B55,"yymmdd")&amp;"-"&amp;IF(C55="","0000",TEXT(C55,"hhmm")),"CHECK LISTS"))</f>
        <v/>
      </c>
      <c r="B55" s="39"/>
      <c r="C55" s="40"/>
      <c r="D55" s="24" t="str">
        <f aca="false">IF(B55="","",TEXT(B55,"ddd"))</f>
        <v/>
      </c>
      <c r="E55" s="27" t="str">
        <f aca="false">IF(B55="","",B55-WEEKDAY(B55,3))</f>
        <v/>
      </c>
      <c r="F55" s="24" t="str">
        <f aca="false">IF(B55="","",TEXT(B55,"yyyy-mm"))</f>
        <v/>
      </c>
      <c r="G55" s="29"/>
      <c r="H55" s="29"/>
      <c r="I55" s="29"/>
      <c r="J55" s="29"/>
      <c r="K55" s="29"/>
      <c r="L55" s="29"/>
      <c r="M55" s="29"/>
      <c r="N55" s="29"/>
      <c r="O55" s="29"/>
      <c r="P55" s="29"/>
      <c r="Q55" s="30"/>
      <c r="R55" s="29"/>
      <c r="S55" s="32"/>
      <c r="T55" s="29"/>
      <c r="U55" s="29"/>
      <c r="V55" s="24" t="str">
        <f aca="false">IF(A55="","",IFERROR(INDEX(Settings!$F$5:$F$49,MATCH(G55,Settings!$D$5:$D$49,0)),""))</f>
        <v/>
      </c>
      <c r="W55" s="24" t="str">
        <f aca="false">IF(A55="","",IF(OR(P55="",P55="Organic"),"social","paid_social"))</f>
        <v/>
      </c>
      <c r="X55" s="24" t="str">
        <f aca="false">IF(A55="","",IF(K55&lt;&gt;"",IFERROR(INDEX('Case Studies'!$C$5:$C$54,MATCH(K55,'Case Studies'!$B$5:$B$54,0))&amp;"","case-study"),IF(J55&lt;&gt;"",IFERROR(INDEX(Settings!$J$5:$J$55,MATCH(J55,Settings!$I$5:$I$55,0)),"general"),"general")))</f>
        <v/>
      </c>
      <c r="Y55" s="24" t="str">
        <f aca="false">IF(A55="","",LOWER(A55))</f>
        <v/>
      </c>
      <c r="Z55" s="24" t="str">
        <f aca="false">IF(A55="","",IF(T55="",Settings!$B$5,T55)&amp;IF(ISNUMBER(FIND("?",IF(T55="",Settings!$B$5,T55))),"&amp;","?")&amp;"utm_source="&amp;V55&amp;"&amp;utm_medium="&amp;W55&amp;"&amp;utm_campaign="&amp;X55&amp;"&amp;utm_content="&amp;Y55)</f>
        <v/>
      </c>
      <c r="AA55" s="29"/>
      <c r="AB55" s="39"/>
      <c r="AC55" s="32"/>
      <c r="AD55" s="32"/>
      <c r="AE55" s="32"/>
      <c r="AF55" s="32"/>
      <c r="AG55" s="32"/>
      <c r="AH55" s="32"/>
      <c r="AI55" s="32"/>
      <c r="AJ55" s="32"/>
      <c r="AK55" s="32"/>
      <c r="AL55" s="32"/>
      <c r="AM55" s="32"/>
      <c r="AN55" s="32"/>
      <c r="AO55" s="33" t="str">
        <f aca="false">IF(A55="","",IF(AD55&lt;&gt;"",AD55,IF(AC55&lt;&gt;"",AC55,"")))</f>
        <v/>
      </c>
      <c r="AP55" s="24" t="str">
        <f aca="false">IF(AO55="","",IF(AD55&lt;&gt;"","Reported reach","Impressions (proxy)"))</f>
        <v/>
      </c>
      <c r="AQ55" s="34" t="str">
        <f aca="false">IF(OR(AO55="",N(S55)=0),"",AO55/S55)</f>
        <v/>
      </c>
      <c r="AR55" s="33" t="str">
        <f aca="false">IF(A55="","",IF(COUNT(AF55:AJ55)=0,"",SUM(AF55:AJ55)))</f>
        <v/>
      </c>
      <c r="AS55" s="34" t="str">
        <f aca="false">IF(OR(AR55="",N(AO55)=0),"",AR55/AO55)</f>
        <v/>
      </c>
      <c r="AT55" s="34" t="str">
        <f aca="false">IF(OR(AR55="",N(AC55)=0),"",AR55/AC55)</f>
        <v/>
      </c>
      <c r="AU55" s="34" t="str">
        <f aca="false">IF(OR(AR55="",N(S55)=0),"",AR55/S55)</f>
        <v/>
      </c>
      <c r="AV55" s="34" t="str">
        <f aca="false">IF(OR(AJ55="",N(AC55)=0),"",AJ55/AC55)</f>
        <v/>
      </c>
      <c r="AW55" s="34" t="str">
        <f aca="false">IF(OR(AH55="",N(AO55)=0),"",AH55/AO55)</f>
        <v/>
      </c>
      <c r="AX55" s="35" t="str">
        <f aca="false">IF(OR(AR55="",N(AO55)=0),"",(N(AF55)*Settings!$B$6+N(AG55)*Settings!$B$7+N(AH55)*Settings!$B$8+N(AI55)*Settings!$B$9+N(AJ55)*Settings!$B$10)/AO55*1000)</f>
        <v/>
      </c>
      <c r="AY55" s="36" t="str">
        <f aca="false">IF(AS55="","",IFERROR(AS55/AVERAGEIFS('Post Tracker'!$AS$5:$AS$1004,'Post Tracker'!$G$5:$G$1004,G55),""))</f>
        <v/>
      </c>
      <c r="AZ55" s="32"/>
      <c r="BA55" s="32"/>
      <c r="BB55" s="32"/>
      <c r="BC55" s="32"/>
      <c r="BD55" s="33" t="str">
        <f aca="false">IF(A55="","",COUNTIFS('Demo Pipeline'!$Q$5:$Q$504,A55))</f>
        <v/>
      </c>
      <c r="BE55" s="33" t="str">
        <f aca="false">IF(A55="","",COUNTIFS('Demo Pipeline'!$Q$5:$Q$504,A55,'Demo Pipeline'!$W$5:$W$504,"Attended"))</f>
        <v/>
      </c>
      <c r="BF55" s="33" t="str">
        <f aca="false">IF(A55="","",COUNTIFS('Demo Pipeline'!$Q$5:$Q$504,A55,'Demo Pipeline'!$X$5:$X$504,"Yes"))</f>
        <v/>
      </c>
      <c r="BG55" s="33" t="str">
        <f aca="false">IF(A55="","",COUNTIFS('Demo Pipeline'!$Q$5:$Q$504,A55,'Demo Pipeline'!$Y$5:$Y$504,"Closed Won"))</f>
        <v/>
      </c>
      <c r="BH55" s="37" t="str">
        <f aca="false">IF(A55="","",SUMIFS('Demo Pipeline'!$Z$5:$Z$504,'Demo Pipeline'!$Q$5:$Q$504,A55))</f>
        <v/>
      </c>
      <c r="BI55" s="34" t="str">
        <f aca="false">IF(OR(AZ55="",N(AJ55)=0),"",AZ55/AJ55)</f>
        <v/>
      </c>
      <c r="BJ55" s="34" t="str">
        <f aca="false">IF(OR(BB55="",N(AZ55)=0),"",BB55/AZ55)</f>
        <v/>
      </c>
      <c r="BK55" s="34" t="str">
        <f aca="false">IF(OR(A55="",N(BB55)=0),"",BD55/BB55)</f>
        <v/>
      </c>
      <c r="BL55" s="34" t="str">
        <f aca="false">IF(OR(A55="",N(AZ55)=0),"",BD55/AZ55)</f>
        <v/>
      </c>
      <c r="BM55" s="37" t="str">
        <f aca="false">IF(OR(N(Q55)=0,N(BD55)=0),"",Q55/BD55)</f>
        <v/>
      </c>
      <c r="BN55" s="29"/>
      <c r="BO55" s="29"/>
      <c r="BP55" s="33" t="str">
        <f aca="false">IF(OR(AR55="",N(AO55)=0),"",AR55)</f>
        <v/>
      </c>
      <c r="BQ55" s="33" t="str">
        <f aca="false">IF(OR(AR55="",N(S55)=0),"",S55)</f>
        <v/>
      </c>
      <c r="BR55" s="38" t="str">
        <f aca="false">IF(AND(ISNUMBER(B55),B55&gt;=Dashboard!$C$4,B55&lt;=Dashboard!$F$4,ISNUMBER(AU55)),AU55+ROW()/10^9,"")</f>
        <v/>
      </c>
      <c r="BS55" s="38" t="str">
        <f aca="false">IF(AND(ISNUMBER(B55),B55&gt;=Dashboard!$C$4,B55&lt;=Dashboard!$F$4,A55&lt;&gt;""),N(BD55)+N(AU55)/100+ROW()/10^9,"")</f>
        <v/>
      </c>
    </row>
    <row r="56" customFormat="false" ht="15" hidden="false" customHeight="false" outlineLevel="0" collapsed="false">
      <c r="A56" s="24" t="str">
        <f aca="false">IF(OR(B56="",G56="",H56=""),"",IFERROR(INDEX(Settings!$E$5:$E$49,MATCH(G56,Settings!$D$5:$D$49,0))&amp;INDEX(Settings!$H$5:$H$47,MATCH(H56,Settings!$G$5:$G$47,0))&amp;"-"&amp;TEXT(B56,"yymmdd")&amp;"-"&amp;IF(C56="","0000",TEXT(C56,"hhmm")),"CHECK LISTS"))</f>
        <v/>
      </c>
      <c r="B56" s="39"/>
      <c r="C56" s="40"/>
      <c r="D56" s="24" t="str">
        <f aca="false">IF(B56="","",TEXT(B56,"ddd"))</f>
        <v/>
      </c>
      <c r="E56" s="27" t="str">
        <f aca="false">IF(B56="","",B56-WEEKDAY(B56,3))</f>
        <v/>
      </c>
      <c r="F56" s="24" t="str">
        <f aca="false">IF(B56="","",TEXT(B56,"yyyy-mm"))</f>
        <v/>
      </c>
      <c r="G56" s="29"/>
      <c r="H56" s="29"/>
      <c r="I56" s="29"/>
      <c r="J56" s="29"/>
      <c r="K56" s="29"/>
      <c r="L56" s="29"/>
      <c r="M56" s="29"/>
      <c r="N56" s="29"/>
      <c r="O56" s="29"/>
      <c r="P56" s="29"/>
      <c r="Q56" s="30"/>
      <c r="R56" s="29"/>
      <c r="S56" s="32"/>
      <c r="T56" s="29"/>
      <c r="U56" s="29"/>
      <c r="V56" s="24" t="str">
        <f aca="false">IF(A56="","",IFERROR(INDEX(Settings!$F$5:$F$49,MATCH(G56,Settings!$D$5:$D$49,0)),""))</f>
        <v/>
      </c>
      <c r="W56" s="24" t="str">
        <f aca="false">IF(A56="","",IF(OR(P56="",P56="Organic"),"social","paid_social"))</f>
        <v/>
      </c>
      <c r="X56" s="24" t="str">
        <f aca="false">IF(A56="","",IF(K56&lt;&gt;"",IFERROR(INDEX('Case Studies'!$C$5:$C$54,MATCH(K56,'Case Studies'!$B$5:$B$54,0))&amp;"","case-study"),IF(J56&lt;&gt;"",IFERROR(INDEX(Settings!$J$5:$J$55,MATCH(J56,Settings!$I$5:$I$55,0)),"general"),"general")))</f>
        <v/>
      </c>
      <c r="Y56" s="24" t="str">
        <f aca="false">IF(A56="","",LOWER(A56))</f>
        <v/>
      </c>
      <c r="Z56" s="24" t="str">
        <f aca="false">IF(A56="","",IF(T56="",Settings!$B$5,T56)&amp;IF(ISNUMBER(FIND("?",IF(T56="",Settings!$B$5,T56))),"&amp;","?")&amp;"utm_source="&amp;V56&amp;"&amp;utm_medium="&amp;W56&amp;"&amp;utm_campaign="&amp;X56&amp;"&amp;utm_content="&amp;Y56)</f>
        <v/>
      </c>
      <c r="AA56" s="29"/>
      <c r="AB56" s="39"/>
      <c r="AC56" s="32"/>
      <c r="AD56" s="32"/>
      <c r="AE56" s="32"/>
      <c r="AF56" s="32"/>
      <c r="AG56" s="32"/>
      <c r="AH56" s="32"/>
      <c r="AI56" s="32"/>
      <c r="AJ56" s="32"/>
      <c r="AK56" s="32"/>
      <c r="AL56" s="32"/>
      <c r="AM56" s="32"/>
      <c r="AN56" s="32"/>
      <c r="AO56" s="33" t="str">
        <f aca="false">IF(A56="","",IF(AD56&lt;&gt;"",AD56,IF(AC56&lt;&gt;"",AC56,"")))</f>
        <v/>
      </c>
      <c r="AP56" s="24" t="str">
        <f aca="false">IF(AO56="","",IF(AD56&lt;&gt;"","Reported reach","Impressions (proxy)"))</f>
        <v/>
      </c>
      <c r="AQ56" s="34" t="str">
        <f aca="false">IF(OR(AO56="",N(S56)=0),"",AO56/S56)</f>
        <v/>
      </c>
      <c r="AR56" s="33" t="str">
        <f aca="false">IF(A56="","",IF(COUNT(AF56:AJ56)=0,"",SUM(AF56:AJ56)))</f>
        <v/>
      </c>
      <c r="AS56" s="34" t="str">
        <f aca="false">IF(OR(AR56="",N(AO56)=0),"",AR56/AO56)</f>
        <v/>
      </c>
      <c r="AT56" s="34" t="str">
        <f aca="false">IF(OR(AR56="",N(AC56)=0),"",AR56/AC56)</f>
        <v/>
      </c>
      <c r="AU56" s="34" t="str">
        <f aca="false">IF(OR(AR56="",N(S56)=0),"",AR56/S56)</f>
        <v/>
      </c>
      <c r="AV56" s="34" t="str">
        <f aca="false">IF(OR(AJ56="",N(AC56)=0),"",AJ56/AC56)</f>
        <v/>
      </c>
      <c r="AW56" s="34" t="str">
        <f aca="false">IF(OR(AH56="",N(AO56)=0),"",AH56/AO56)</f>
        <v/>
      </c>
      <c r="AX56" s="35" t="str">
        <f aca="false">IF(OR(AR56="",N(AO56)=0),"",(N(AF56)*Settings!$B$6+N(AG56)*Settings!$B$7+N(AH56)*Settings!$B$8+N(AI56)*Settings!$B$9+N(AJ56)*Settings!$B$10)/AO56*1000)</f>
        <v/>
      </c>
      <c r="AY56" s="36" t="str">
        <f aca="false">IF(AS56="","",IFERROR(AS56/AVERAGEIFS('Post Tracker'!$AS$5:$AS$1004,'Post Tracker'!$G$5:$G$1004,G56),""))</f>
        <v/>
      </c>
      <c r="AZ56" s="32"/>
      <c r="BA56" s="32"/>
      <c r="BB56" s="32"/>
      <c r="BC56" s="32"/>
      <c r="BD56" s="33" t="str">
        <f aca="false">IF(A56="","",COUNTIFS('Demo Pipeline'!$Q$5:$Q$504,A56))</f>
        <v/>
      </c>
      <c r="BE56" s="33" t="str">
        <f aca="false">IF(A56="","",COUNTIFS('Demo Pipeline'!$Q$5:$Q$504,A56,'Demo Pipeline'!$W$5:$W$504,"Attended"))</f>
        <v/>
      </c>
      <c r="BF56" s="33" t="str">
        <f aca="false">IF(A56="","",COUNTIFS('Demo Pipeline'!$Q$5:$Q$504,A56,'Demo Pipeline'!$X$5:$X$504,"Yes"))</f>
        <v/>
      </c>
      <c r="BG56" s="33" t="str">
        <f aca="false">IF(A56="","",COUNTIFS('Demo Pipeline'!$Q$5:$Q$504,A56,'Demo Pipeline'!$Y$5:$Y$504,"Closed Won"))</f>
        <v/>
      </c>
      <c r="BH56" s="37" t="str">
        <f aca="false">IF(A56="","",SUMIFS('Demo Pipeline'!$Z$5:$Z$504,'Demo Pipeline'!$Q$5:$Q$504,A56))</f>
        <v/>
      </c>
      <c r="BI56" s="34" t="str">
        <f aca="false">IF(OR(AZ56="",N(AJ56)=0),"",AZ56/AJ56)</f>
        <v/>
      </c>
      <c r="BJ56" s="34" t="str">
        <f aca="false">IF(OR(BB56="",N(AZ56)=0),"",BB56/AZ56)</f>
        <v/>
      </c>
      <c r="BK56" s="34" t="str">
        <f aca="false">IF(OR(A56="",N(BB56)=0),"",BD56/BB56)</f>
        <v/>
      </c>
      <c r="BL56" s="34" t="str">
        <f aca="false">IF(OR(A56="",N(AZ56)=0),"",BD56/AZ56)</f>
        <v/>
      </c>
      <c r="BM56" s="37" t="str">
        <f aca="false">IF(OR(N(Q56)=0,N(BD56)=0),"",Q56/BD56)</f>
        <v/>
      </c>
      <c r="BN56" s="29"/>
      <c r="BO56" s="29"/>
      <c r="BP56" s="33" t="str">
        <f aca="false">IF(OR(AR56="",N(AO56)=0),"",AR56)</f>
        <v/>
      </c>
      <c r="BQ56" s="33" t="str">
        <f aca="false">IF(OR(AR56="",N(S56)=0),"",S56)</f>
        <v/>
      </c>
      <c r="BR56" s="38" t="str">
        <f aca="false">IF(AND(ISNUMBER(B56),B56&gt;=Dashboard!$C$4,B56&lt;=Dashboard!$F$4,ISNUMBER(AU56)),AU56+ROW()/10^9,"")</f>
        <v/>
      </c>
      <c r="BS56" s="38" t="str">
        <f aca="false">IF(AND(ISNUMBER(B56),B56&gt;=Dashboard!$C$4,B56&lt;=Dashboard!$F$4,A56&lt;&gt;""),N(BD56)+N(AU56)/100+ROW()/10^9,"")</f>
        <v/>
      </c>
    </row>
    <row r="57" customFormat="false" ht="15" hidden="false" customHeight="false" outlineLevel="0" collapsed="false">
      <c r="A57" s="24" t="str">
        <f aca="false">IF(OR(B57="",G57="",H57=""),"",IFERROR(INDEX(Settings!$E$5:$E$49,MATCH(G57,Settings!$D$5:$D$49,0))&amp;INDEX(Settings!$H$5:$H$47,MATCH(H57,Settings!$G$5:$G$47,0))&amp;"-"&amp;TEXT(B57,"yymmdd")&amp;"-"&amp;IF(C57="","0000",TEXT(C57,"hhmm")),"CHECK LISTS"))</f>
        <v/>
      </c>
      <c r="B57" s="39"/>
      <c r="C57" s="40"/>
      <c r="D57" s="24" t="str">
        <f aca="false">IF(B57="","",TEXT(B57,"ddd"))</f>
        <v/>
      </c>
      <c r="E57" s="27" t="str">
        <f aca="false">IF(B57="","",B57-WEEKDAY(B57,3))</f>
        <v/>
      </c>
      <c r="F57" s="24" t="str">
        <f aca="false">IF(B57="","",TEXT(B57,"yyyy-mm"))</f>
        <v/>
      </c>
      <c r="G57" s="29"/>
      <c r="H57" s="29"/>
      <c r="I57" s="29"/>
      <c r="J57" s="29"/>
      <c r="K57" s="29"/>
      <c r="L57" s="29"/>
      <c r="M57" s="29"/>
      <c r="N57" s="29"/>
      <c r="O57" s="29"/>
      <c r="P57" s="29"/>
      <c r="Q57" s="30"/>
      <c r="R57" s="29"/>
      <c r="S57" s="32"/>
      <c r="T57" s="29"/>
      <c r="U57" s="29"/>
      <c r="V57" s="24" t="str">
        <f aca="false">IF(A57="","",IFERROR(INDEX(Settings!$F$5:$F$49,MATCH(G57,Settings!$D$5:$D$49,0)),""))</f>
        <v/>
      </c>
      <c r="W57" s="24" t="str">
        <f aca="false">IF(A57="","",IF(OR(P57="",P57="Organic"),"social","paid_social"))</f>
        <v/>
      </c>
      <c r="X57" s="24" t="str">
        <f aca="false">IF(A57="","",IF(K57&lt;&gt;"",IFERROR(INDEX('Case Studies'!$C$5:$C$54,MATCH(K57,'Case Studies'!$B$5:$B$54,0))&amp;"","case-study"),IF(J57&lt;&gt;"",IFERROR(INDEX(Settings!$J$5:$J$55,MATCH(J57,Settings!$I$5:$I$55,0)),"general"),"general")))</f>
        <v/>
      </c>
      <c r="Y57" s="24" t="str">
        <f aca="false">IF(A57="","",LOWER(A57))</f>
        <v/>
      </c>
      <c r="Z57" s="24" t="str">
        <f aca="false">IF(A57="","",IF(T57="",Settings!$B$5,T57)&amp;IF(ISNUMBER(FIND("?",IF(T57="",Settings!$B$5,T57))),"&amp;","?")&amp;"utm_source="&amp;V57&amp;"&amp;utm_medium="&amp;W57&amp;"&amp;utm_campaign="&amp;X57&amp;"&amp;utm_content="&amp;Y57)</f>
        <v/>
      </c>
      <c r="AA57" s="29"/>
      <c r="AB57" s="39"/>
      <c r="AC57" s="32"/>
      <c r="AD57" s="32"/>
      <c r="AE57" s="32"/>
      <c r="AF57" s="32"/>
      <c r="AG57" s="32"/>
      <c r="AH57" s="32"/>
      <c r="AI57" s="32"/>
      <c r="AJ57" s="32"/>
      <c r="AK57" s="32"/>
      <c r="AL57" s="32"/>
      <c r="AM57" s="32"/>
      <c r="AN57" s="32"/>
      <c r="AO57" s="33" t="str">
        <f aca="false">IF(A57="","",IF(AD57&lt;&gt;"",AD57,IF(AC57&lt;&gt;"",AC57,"")))</f>
        <v/>
      </c>
      <c r="AP57" s="24" t="str">
        <f aca="false">IF(AO57="","",IF(AD57&lt;&gt;"","Reported reach","Impressions (proxy)"))</f>
        <v/>
      </c>
      <c r="AQ57" s="34" t="str">
        <f aca="false">IF(OR(AO57="",N(S57)=0),"",AO57/S57)</f>
        <v/>
      </c>
      <c r="AR57" s="33" t="str">
        <f aca="false">IF(A57="","",IF(COUNT(AF57:AJ57)=0,"",SUM(AF57:AJ57)))</f>
        <v/>
      </c>
      <c r="AS57" s="34" t="str">
        <f aca="false">IF(OR(AR57="",N(AO57)=0),"",AR57/AO57)</f>
        <v/>
      </c>
      <c r="AT57" s="34" t="str">
        <f aca="false">IF(OR(AR57="",N(AC57)=0),"",AR57/AC57)</f>
        <v/>
      </c>
      <c r="AU57" s="34" t="str">
        <f aca="false">IF(OR(AR57="",N(S57)=0),"",AR57/S57)</f>
        <v/>
      </c>
      <c r="AV57" s="34" t="str">
        <f aca="false">IF(OR(AJ57="",N(AC57)=0),"",AJ57/AC57)</f>
        <v/>
      </c>
      <c r="AW57" s="34" t="str">
        <f aca="false">IF(OR(AH57="",N(AO57)=0),"",AH57/AO57)</f>
        <v/>
      </c>
      <c r="AX57" s="35" t="str">
        <f aca="false">IF(OR(AR57="",N(AO57)=0),"",(N(AF57)*Settings!$B$6+N(AG57)*Settings!$B$7+N(AH57)*Settings!$B$8+N(AI57)*Settings!$B$9+N(AJ57)*Settings!$B$10)/AO57*1000)</f>
        <v/>
      </c>
      <c r="AY57" s="36" t="str">
        <f aca="false">IF(AS57="","",IFERROR(AS57/AVERAGEIFS('Post Tracker'!$AS$5:$AS$1004,'Post Tracker'!$G$5:$G$1004,G57),""))</f>
        <v/>
      </c>
      <c r="AZ57" s="32"/>
      <c r="BA57" s="32"/>
      <c r="BB57" s="32"/>
      <c r="BC57" s="32"/>
      <c r="BD57" s="33" t="str">
        <f aca="false">IF(A57="","",COUNTIFS('Demo Pipeline'!$Q$5:$Q$504,A57))</f>
        <v/>
      </c>
      <c r="BE57" s="33" t="str">
        <f aca="false">IF(A57="","",COUNTIFS('Demo Pipeline'!$Q$5:$Q$504,A57,'Demo Pipeline'!$W$5:$W$504,"Attended"))</f>
        <v/>
      </c>
      <c r="BF57" s="33" t="str">
        <f aca="false">IF(A57="","",COUNTIFS('Demo Pipeline'!$Q$5:$Q$504,A57,'Demo Pipeline'!$X$5:$X$504,"Yes"))</f>
        <v/>
      </c>
      <c r="BG57" s="33" t="str">
        <f aca="false">IF(A57="","",COUNTIFS('Demo Pipeline'!$Q$5:$Q$504,A57,'Demo Pipeline'!$Y$5:$Y$504,"Closed Won"))</f>
        <v/>
      </c>
      <c r="BH57" s="37" t="str">
        <f aca="false">IF(A57="","",SUMIFS('Demo Pipeline'!$Z$5:$Z$504,'Demo Pipeline'!$Q$5:$Q$504,A57))</f>
        <v/>
      </c>
      <c r="BI57" s="34" t="str">
        <f aca="false">IF(OR(AZ57="",N(AJ57)=0),"",AZ57/AJ57)</f>
        <v/>
      </c>
      <c r="BJ57" s="34" t="str">
        <f aca="false">IF(OR(BB57="",N(AZ57)=0),"",BB57/AZ57)</f>
        <v/>
      </c>
      <c r="BK57" s="34" t="str">
        <f aca="false">IF(OR(A57="",N(BB57)=0),"",BD57/BB57)</f>
        <v/>
      </c>
      <c r="BL57" s="34" t="str">
        <f aca="false">IF(OR(A57="",N(AZ57)=0),"",BD57/AZ57)</f>
        <v/>
      </c>
      <c r="BM57" s="37" t="str">
        <f aca="false">IF(OR(N(Q57)=0,N(BD57)=0),"",Q57/BD57)</f>
        <v/>
      </c>
      <c r="BN57" s="29"/>
      <c r="BO57" s="29"/>
      <c r="BP57" s="33" t="str">
        <f aca="false">IF(OR(AR57="",N(AO57)=0),"",AR57)</f>
        <v/>
      </c>
      <c r="BQ57" s="33" t="str">
        <f aca="false">IF(OR(AR57="",N(S57)=0),"",S57)</f>
        <v/>
      </c>
      <c r="BR57" s="38" t="str">
        <f aca="false">IF(AND(ISNUMBER(B57),B57&gt;=Dashboard!$C$4,B57&lt;=Dashboard!$F$4,ISNUMBER(AU57)),AU57+ROW()/10^9,"")</f>
        <v/>
      </c>
      <c r="BS57" s="38" t="str">
        <f aca="false">IF(AND(ISNUMBER(B57),B57&gt;=Dashboard!$C$4,B57&lt;=Dashboard!$F$4,A57&lt;&gt;""),N(BD57)+N(AU57)/100+ROW()/10^9,"")</f>
        <v/>
      </c>
    </row>
    <row r="58" customFormat="false" ht="15" hidden="false" customHeight="false" outlineLevel="0" collapsed="false">
      <c r="A58" s="24" t="str">
        <f aca="false">IF(OR(B58="",G58="",H58=""),"",IFERROR(INDEX(Settings!$E$5:$E$49,MATCH(G58,Settings!$D$5:$D$49,0))&amp;INDEX(Settings!$H$5:$H$47,MATCH(H58,Settings!$G$5:$G$47,0))&amp;"-"&amp;TEXT(B58,"yymmdd")&amp;"-"&amp;IF(C58="","0000",TEXT(C58,"hhmm")),"CHECK LISTS"))</f>
        <v/>
      </c>
      <c r="B58" s="39"/>
      <c r="C58" s="40"/>
      <c r="D58" s="24" t="str">
        <f aca="false">IF(B58="","",TEXT(B58,"ddd"))</f>
        <v/>
      </c>
      <c r="E58" s="27" t="str">
        <f aca="false">IF(B58="","",B58-WEEKDAY(B58,3))</f>
        <v/>
      </c>
      <c r="F58" s="24" t="str">
        <f aca="false">IF(B58="","",TEXT(B58,"yyyy-mm"))</f>
        <v/>
      </c>
      <c r="G58" s="29"/>
      <c r="H58" s="29"/>
      <c r="I58" s="29"/>
      <c r="J58" s="29"/>
      <c r="K58" s="29"/>
      <c r="L58" s="29"/>
      <c r="M58" s="29"/>
      <c r="N58" s="29"/>
      <c r="O58" s="29"/>
      <c r="P58" s="29"/>
      <c r="Q58" s="30"/>
      <c r="R58" s="29"/>
      <c r="S58" s="32"/>
      <c r="T58" s="29"/>
      <c r="U58" s="29"/>
      <c r="V58" s="24" t="str">
        <f aca="false">IF(A58="","",IFERROR(INDEX(Settings!$F$5:$F$49,MATCH(G58,Settings!$D$5:$D$49,0)),""))</f>
        <v/>
      </c>
      <c r="W58" s="24" t="str">
        <f aca="false">IF(A58="","",IF(OR(P58="",P58="Organic"),"social","paid_social"))</f>
        <v/>
      </c>
      <c r="X58" s="24" t="str">
        <f aca="false">IF(A58="","",IF(K58&lt;&gt;"",IFERROR(INDEX('Case Studies'!$C$5:$C$54,MATCH(K58,'Case Studies'!$B$5:$B$54,0))&amp;"","case-study"),IF(J58&lt;&gt;"",IFERROR(INDEX(Settings!$J$5:$J$55,MATCH(J58,Settings!$I$5:$I$55,0)),"general"),"general")))</f>
        <v/>
      </c>
      <c r="Y58" s="24" t="str">
        <f aca="false">IF(A58="","",LOWER(A58))</f>
        <v/>
      </c>
      <c r="Z58" s="24" t="str">
        <f aca="false">IF(A58="","",IF(T58="",Settings!$B$5,T58)&amp;IF(ISNUMBER(FIND("?",IF(T58="",Settings!$B$5,T58))),"&amp;","?")&amp;"utm_source="&amp;V58&amp;"&amp;utm_medium="&amp;W58&amp;"&amp;utm_campaign="&amp;X58&amp;"&amp;utm_content="&amp;Y58)</f>
        <v/>
      </c>
      <c r="AA58" s="29"/>
      <c r="AB58" s="39"/>
      <c r="AC58" s="32"/>
      <c r="AD58" s="32"/>
      <c r="AE58" s="32"/>
      <c r="AF58" s="32"/>
      <c r="AG58" s="32"/>
      <c r="AH58" s="32"/>
      <c r="AI58" s="32"/>
      <c r="AJ58" s="32"/>
      <c r="AK58" s="32"/>
      <c r="AL58" s="32"/>
      <c r="AM58" s="32"/>
      <c r="AN58" s="32"/>
      <c r="AO58" s="33" t="str">
        <f aca="false">IF(A58="","",IF(AD58&lt;&gt;"",AD58,IF(AC58&lt;&gt;"",AC58,"")))</f>
        <v/>
      </c>
      <c r="AP58" s="24" t="str">
        <f aca="false">IF(AO58="","",IF(AD58&lt;&gt;"","Reported reach","Impressions (proxy)"))</f>
        <v/>
      </c>
      <c r="AQ58" s="34" t="str">
        <f aca="false">IF(OR(AO58="",N(S58)=0),"",AO58/S58)</f>
        <v/>
      </c>
      <c r="AR58" s="33" t="str">
        <f aca="false">IF(A58="","",IF(COUNT(AF58:AJ58)=0,"",SUM(AF58:AJ58)))</f>
        <v/>
      </c>
      <c r="AS58" s="34" t="str">
        <f aca="false">IF(OR(AR58="",N(AO58)=0),"",AR58/AO58)</f>
        <v/>
      </c>
      <c r="AT58" s="34" t="str">
        <f aca="false">IF(OR(AR58="",N(AC58)=0),"",AR58/AC58)</f>
        <v/>
      </c>
      <c r="AU58" s="34" t="str">
        <f aca="false">IF(OR(AR58="",N(S58)=0),"",AR58/S58)</f>
        <v/>
      </c>
      <c r="AV58" s="34" t="str">
        <f aca="false">IF(OR(AJ58="",N(AC58)=0),"",AJ58/AC58)</f>
        <v/>
      </c>
      <c r="AW58" s="34" t="str">
        <f aca="false">IF(OR(AH58="",N(AO58)=0),"",AH58/AO58)</f>
        <v/>
      </c>
      <c r="AX58" s="35" t="str">
        <f aca="false">IF(OR(AR58="",N(AO58)=0),"",(N(AF58)*Settings!$B$6+N(AG58)*Settings!$B$7+N(AH58)*Settings!$B$8+N(AI58)*Settings!$B$9+N(AJ58)*Settings!$B$10)/AO58*1000)</f>
        <v/>
      </c>
      <c r="AY58" s="36" t="str">
        <f aca="false">IF(AS58="","",IFERROR(AS58/AVERAGEIFS('Post Tracker'!$AS$5:$AS$1004,'Post Tracker'!$G$5:$G$1004,G58),""))</f>
        <v/>
      </c>
      <c r="AZ58" s="32"/>
      <c r="BA58" s="32"/>
      <c r="BB58" s="32"/>
      <c r="BC58" s="32"/>
      <c r="BD58" s="33" t="str">
        <f aca="false">IF(A58="","",COUNTIFS('Demo Pipeline'!$Q$5:$Q$504,A58))</f>
        <v/>
      </c>
      <c r="BE58" s="33" t="str">
        <f aca="false">IF(A58="","",COUNTIFS('Demo Pipeline'!$Q$5:$Q$504,A58,'Demo Pipeline'!$W$5:$W$504,"Attended"))</f>
        <v/>
      </c>
      <c r="BF58" s="33" t="str">
        <f aca="false">IF(A58="","",COUNTIFS('Demo Pipeline'!$Q$5:$Q$504,A58,'Demo Pipeline'!$X$5:$X$504,"Yes"))</f>
        <v/>
      </c>
      <c r="BG58" s="33" t="str">
        <f aca="false">IF(A58="","",COUNTIFS('Demo Pipeline'!$Q$5:$Q$504,A58,'Demo Pipeline'!$Y$5:$Y$504,"Closed Won"))</f>
        <v/>
      </c>
      <c r="BH58" s="37" t="str">
        <f aca="false">IF(A58="","",SUMIFS('Demo Pipeline'!$Z$5:$Z$504,'Demo Pipeline'!$Q$5:$Q$504,A58))</f>
        <v/>
      </c>
      <c r="BI58" s="34" t="str">
        <f aca="false">IF(OR(AZ58="",N(AJ58)=0),"",AZ58/AJ58)</f>
        <v/>
      </c>
      <c r="BJ58" s="34" t="str">
        <f aca="false">IF(OR(BB58="",N(AZ58)=0),"",BB58/AZ58)</f>
        <v/>
      </c>
      <c r="BK58" s="34" t="str">
        <f aca="false">IF(OR(A58="",N(BB58)=0),"",BD58/BB58)</f>
        <v/>
      </c>
      <c r="BL58" s="34" t="str">
        <f aca="false">IF(OR(A58="",N(AZ58)=0),"",BD58/AZ58)</f>
        <v/>
      </c>
      <c r="BM58" s="37" t="str">
        <f aca="false">IF(OR(N(Q58)=0,N(BD58)=0),"",Q58/BD58)</f>
        <v/>
      </c>
      <c r="BN58" s="29"/>
      <c r="BO58" s="29"/>
      <c r="BP58" s="33" t="str">
        <f aca="false">IF(OR(AR58="",N(AO58)=0),"",AR58)</f>
        <v/>
      </c>
      <c r="BQ58" s="33" t="str">
        <f aca="false">IF(OR(AR58="",N(S58)=0),"",S58)</f>
        <v/>
      </c>
      <c r="BR58" s="38" t="str">
        <f aca="false">IF(AND(ISNUMBER(B58),B58&gt;=Dashboard!$C$4,B58&lt;=Dashboard!$F$4,ISNUMBER(AU58)),AU58+ROW()/10^9,"")</f>
        <v/>
      </c>
      <c r="BS58" s="38" t="str">
        <f aca="false">IF(AND(ISNUMBER(B58),B58&gt;=Dashboard!$C$4,B58&lt;=Dashboard!$F$4,A58&lt;&gt;""),N(BD58)+N(AU58)/100+ROW()/10^9,"")</f>
        <v/>
      </c>
    </row>
    <row r="59" customFormat="false" ht="15" hidden="false" customHeight="false" outlineLevel="0" collapsed="false">
      <c r="A59" s="24" t="str">
        <f aca="false">IF(OR(B59="",G59="",H59=""),"",IFERROR(INDEX(Settings!$E$5:$E$49,MATCH(G59,Settings!$D$5:$D$49,0))&amp;INDEX(Settings!$H$5:$H$47,MATCH(H59,Settings!$G$5:$G$47,0))&amp;"-"&amp;TEXT(B59,"yymmdd")&amp;"-"&amp;IF(C59="","0000",TEXT(C59,"hhmm")),"CHECK LISTS"))</f>
        <v/>
      </c>
      <c r="B59" s="39"/>
      <c r="C59" s="40"/>
      <c r="D59" s="24" t="str">
        <f aca="false">IF(B59="","",TEXT(B59,"ddd"))</f>
        <v/>
      </c>
      <c r="E59" s="27" t="str">
        <f aca="false">IF(B59="","",B59-WEEKDAY(B59,3))</f>
        <v/>
      </c>
      <c r="F59" s="24" t="str">
        <f aca="false">IF(B59="","",TEXT(B59,"yyyy-mm"))</f>
        <v/>
      </c>
      <c r="G59" s="29"/>
      <c r="H59" s="29"/>
      <c r="I59" s="29"/>
      <c r="J59" s="29"/>
      <c r="K59" s="29"/>
      <c r="L59" s="29"/>
      <c r="M59" s="29"/>
      <c r="N59" s="29"/>
      <c r="O59" s="29"/>
      <c r="P59" s="29"/>
      <c r="Q59" s="30"/>
      <c r="R59" s="29"/>
      <c r="S59" s="32"/>
      <c r="T59" s="29"/>
      <c r="U59" s="29"/>
      <c r="V59" s="24" t="str">
        <f aca="false">IF(A59="","",IFERROR(INDEX(Settings!$F$5:$F$49,MATCH(G59,Settings!$D$5:$D$49,0)),""))</f>
        <v/>
      </c>
      <c r="W59" s="24" t="str">
        <f aca="false">IF(A59="","",IF(OR(P59="",P59="Organic"),"social","paid_social"))</f>
        <v/>
      </c>
      <c r="X59" s="24" t="str">
        <f aca="false">IF(A59="","",IF(K59&lt;&gt;"",IFERROR(INDEX('Case Studies'!$C$5:$C$54,MATCH(K59,'Case Studies'!$B$5:$B$54,0))&amp;"","case-study"),IF(J59&lt;&gt;"",IFERROR(INDEX(Settings!$J$5:$J$55,MATCH(J59,Settings!$I$5:$I$55,0)),"general"),"general")))</f>
        <v/>
      </c>
      <c r="Y59" s="24" t="str">
        <f aca="false">IF(A59="","",LOWER(A59))</f>
        <v/>
      </c>
      <c r="Z59" s="24" t="str">
        <f aca="false">IF(A59="","",IF(T59="",Settings!$B$5,T59)&amp;IF(ISNUMBER(FIND("?",IF(T59="",Settings!$B$5,T59))),"&amp;","?")&amp;"utm_source="&amp;V59&amp;"&amp;utm_medium="&amp;W59&amp;"&amp;utm_campaign="&amp;X59&amp;"&amp;utm_content="&amp;Y59)</f>
        <v/>
      </c>
      <c r="AA59" s="29"/>
      <c r="AB59" s="39"/>
      <c r="AC59" s="32"/>
      <c r="AD59" s="32"/>
      <c r="AE59" s="32"/>
      <c r="AF59" s="32"/>
      <c r="AG59" s="32"/>
      <c r="AH59" s="32"/>
      <c r="AI59" s="32"/>
      <c r="AJ59" s="32"/>
      <c r="AK59" s="32"/>
      <c r="AL59" s="32"/>
      <c r="AM59" s="32"/>
      <c r="AN59" s="32"/>
      <c r="AO59" s="33" t="str">
        <f aca="false">IF(A59="","",IF(AD59&lt;&gt;"",AD59,IF(AC59&lt;&gt;"",AC59,"")))</f>
        <v/>
      </c>
      <c r="AP59" s="24" t="str">
        <f aca="false">IF(AO59="","",IF(AD59&lt;&gt;"","Reported reach","Impressions (proxy)"))</f>
        <v/>
      </c>
      <c r="AQ59" s="34" t="str">
        <f aca="false">IF(OR(AO59="",N(S59)=0),"",AO59/S59)</f>
        <v/>
      </c>
      <c r="AR59" s="33" t="str">
        <f aca="false">IF(A59="","",IF(COUNT(AF59:AJ59)=0,"",SUM(AF59:AJ59)))</f>
        <v/>
      </c>
      <c r="AS59" s="34" t="str">
        <f aca="false">IF(OR(AR59="",N(AO59)=0),"",AR59/AO59)</f>
        <v/>
      </c>
      <c r="AT59" s="34" t="str">
        <f aca="false">IF(OR(AR59="",N(AC59)=0),"",AR59/AC59)</f>
        <v/>
      </c>
      <c r="AU59" s="34" t="str">
        <f aca="false">IF(OR(AR59="",N(S59)=0),"",AR59/S59)</f>
        <v/>
      </c>
      <c r="AV59" s="34" t="str">
        <f aca="false">IF(OR(AJ59="",N(AC59)=0),"",AJ59/AC59)</f>
        <v/>
      </c>
      <c r="AW59" s="34" t="str">
        <f aca="false">IF(OR(AH59="",N(AO59)=0),"",AH59/AO59)</f>
        <v/>
      </c>
      <c r="AX59" s="35" t="str">
        <f aca="false">IF(OR(AR59="",N(AO59)=0),"",(N(AF59)*Settings!$B$6+N(AG59)*Settings!$B$7+N(AH59)*Settings!$B$8+N(AI59)*Settings!$B$9+N(AJ59)*Settings!$B$10)/AO59*1000)</f>
        <v/>
      </c>
      <c r="AY59" s="36" t="str">
        <f aca="false">IF(AS59="","",IFERROR(AS59/AVERAGEIFS('Post Tracker'!$AS$5:$AS$1004,'Post Tracker'!$G$5:$G$1004,G59),""))</f>
        <v/>
      </c>
      <c r="AZ59" s="32"/>
      <c r="BA59" s="32"/>
      <c r="BB59" s="32"/>
      <c r="BC59" s="32"/>
      <c r="BD59" s="33" t="str">
        <f aca="false">IF(A59="","",COUNTIFS('Demo Pipeline'!$Q$5:$Q$504,A59))</f>
        <v/>
      </c>
      <c r="BE59" s="33" t="str">
        <f aca="false">IF(A59="","",COUNTIFS('Demo Pipeline'!$Q$5:$Q$504,A59,'Demo Pipeline'!$W$5:$W$504,"Attended"))</f>
        <v/>
      </c>
      <c r="BF59" s="33" t="str">
        <f aca="false">IF(A59="","",COUNTIFS('Demo Pipeline'!$Q$5:$Q$504,A59,'Demo Pipeline'!$X$5:$X$504,"Yes"))</f>
        <v/>
      </c>
      <c r="BG59" s="33" t="str">
        <f aca="false">IF(A59="","",COUNTIFS('Demo Pipeline'!$Q$5:$Q$504,A59,'Demo Pipeline'!$Y$5:$Y$504,"Closed Won"))</f>
        <v/>
      </c>
      <c r="BH59" s="37" t="str">
        <f aca="false">IF(A59="","",SUMIFS('Demo Pipeline'!$Z$5:$Z$504,'Demo Pipeline'!$Q$5:$Q$504,A59))</f>
        <v/>
      </c>
      <c r="BI59" s="34" t="str">
        <f aca="false">IF(OR(AZ59="",N(AJ59)=0),"",AZ59/AJ59)</f>
        <v/>
      </c>
      <c r="BJ59" s="34" t="str">
        <f aca="false">IF(OR(BB59="",N(AZ59)=0),"",BB59/AZ59)</f>
        <v/>
      </c>
      <c r="BK59" s="34" t="str">
        <f aca="false">IF(OR(A59="",N(BB59)=0),"",BD59/BB59)</f>
        <v/>
      </c>
      <c r="BL59" s="34" t="str">
        <f aca="false">IF(OR(A59="",N(AZ59)=0),"",BD59/AZ59)</f>
        <v/>
      </c>
      <c r="BM59" s="37" t="str">
        <f aca="false">IF(OR(N(Q59)=0,N(BD59)=0),"",Q59/BD59)</f>
        <v/>
      </c>
      <c r="BN59" s="29"/>
      <c r="BO59" s="29"/>
      <c r="BP59" s="33" t="str">
        <f aca="false">IF(OR(AR59="",N(AO59)=0),"",AR59)</f>
        <v/>
      </c>
      <c r="BQ59" s="33" t="str">
        <f aca="false">IF(OR(AR59="",N(S59)=0),"",S59)</f>
        <v/>
      </c>
      <c r="BR59" s="38" t="str">
        <f aca="false">IF(AND(ISNUMBER(B59),B59&gt;=Dashboard!$C$4,B59&lt;=Dashboard!$F$4,ISNUMBER(AU59)),AU59+ROW()/10^9,"")</f>
        <v/>
      </c>
      <c r="BS59" s="38" t="str">
        <f aca="false">IF(AND(ISNUMBER(B59),B59&gt;=Dashboard!$C$4,B59&lt;=Dashboard!$F$4,A59&lt;&gt;""),N(BD59)+N(AU59)/100+ROW()/10^9,"")</f>
        <v/>
      </c>
    </row>
    <row r="60" customFormat="false" ht="15" hidden="false" customHeight="false" outlineLevel="0" collapsed="false">
      <c r="A60" s="24" t="str">
        <f aca="false">IF(OR(B60="",G60="",H60=""),"",IFERROR(INDEX(Settings!$E$5:$E$49,MATCH(G60,Settings!$D$5:$D$49,0))&amp;INDEX(Settings!$H$5:$H$47,MATCH(H60,Settings!$G$5:$G$47,0))&amp;"-"&amp;TEXT(B60,"yymmdd")&amp;"-"&amp;IF(C60="","0000",TEXT(C60,"hhmm")),"CHECK LISTS"))</f>
        <v/>
      </c>
      <c r="B60" s="39"/>
      <c r="C60" s="40"/>
      <c r="D60" s="24" t="str">
        <f aca="false">IF(B60="","",TEXT(B60,"ddd"))</f>
        <v/>
      </c>
      <c r="E60" s="27" t="str">
        <f aca="false">IF(B60="","",B60-WEEKDAY(B60,3))</f>
        <v/>
      </c>
      <c r="F60" s="24" t="str">
        <f aca="false">IF(B60="","",TEXT(B60,"yyyy-mm"))</f>
        <v/>
      </c>
      <c r="G60" s="29"/>
      <c r="H60" s="29"/>
      <c r="I60" s="29"/>
      <c r="J60" s="29"/>
      <c r="K60" s="29"/>
      <c r="L60" s="29"/>
      <c r="M60" s="29"/>
      <c r="N60" s="29"/>
      <c r="O60" s="29"/>
      <c r="P60" s="29"/>
      <c r="Q60" s="30"/>
      <c r="R60" s="29"/>
      <c r="S60" s="32"/>
      <c r="T60" s="29"/>
      <c r="U60" s="29"/>
      <c r="V60" s="24" t="str">
        <f aca="false">IF(A60="","",IFERROR(INDEX(Settings!$F$5:$F$49,MATCH(G60,Settings!$D$5:$D$49,0)),""))</f>
        <v/>
      </c>
      <c r="W60" s="24" t="str">
        <f aca="false">IF(A60="","",IF(OR(P60="",P60="Organic"),"social","paid_social"))</f>
        <v/>
      </c>
      <c r="X60" s="24" t="str">
        <f aca="false">IF(A60="","",IF(K60&lt;&gt;"",IFERROR(INDEX('Case Studies'!$C$5:$C$54,MATCH(K60,'Case Studies'!$B$5:$B$54,0))&amp;"","case-study"),IF(J60&lt;&gt;"",IFERROR(INDEX(Settings!$J$5:$J$55,MATCH(J60,Settings!$I$5:$I$55,0)),"general"),"general")))</f>
        <v/>
      </c>
      <c r="Y60" s="24" t="str">
        <f aca="false">IF(A60="","",LOWER(A60))</f>
        <v/>
      </c>
      <c r="Z60" s="24" t="str">
        <f aca="false">IF(A60="","",IF(T60="",Settings!$B$5,T60)&amp;IF(ISNUMBER(FIND("?",IF(T60="",Settings!$B$5,T60))),"&amp;","?")&amp;"utm_source="&amp;V60&amp;"&amp;utm_medium="&amp;W60&amp;"&amp;utm_campaign="&amp;X60&amp;"&amp;utm_content="&amp;Y60)</f>
        <v/>
      </c>
      <c r="AA60" s="29"/>
      <c r="AB60" s="39"/>
      <c r="AC60" s="32"/>
      <c r="AD60" s="32"/>
      <c r="AE60" s="32"/>
      <c r="AF60" s="32"/>
      <c r="AG60" s="32"/>
      <c r="AH60" s="32"/>
      <c r="AI60" s="32"/>
      <c r="AJ60" s="32"/>
      <c r="AK60" s="32"/>
      <c r="AL60" s="32"/>
      <c r="AM60" s="32"/>
      <c r="AN60" s="32"/>
      <c r="AO60" s="33" t="str">
        <f aca="false">IF(A60="","",IF(AD60&lt;&gt;"",AD60,IF(AC60&lt;&gt;"",AC60,"")))</f>
        <v/>
      </c>
      <c r="AP60" s="24" t="str">
        <f aca="false">IF(AO60="","",IF(AD60&lt;&gt;"","Reported reach","Impressions (proxy)"))</f>
        <v/>
      </c>
      <c r="AQ60" s="34" t="str">
        <f aca="false">IF(OR(AO60="",N(S60)=0),"",AO60/S60)</f>
        <v/>
      </c>
      <c r="AR60" s="33" t="str">
        <f aca="false">IF(A60="","",IF(COUNT(AF60:AJ60)=0,"",SUM(AF60:AJ60)))</f>
        <v/>
      </c>
      <c r="AS60" s="34" t="str">
        <f aca="false">IF(OR(AR60="",N(AO60)=0),"",AR60/AO60)</f>
        <v/>
      </c>
      <c r="AT60" s="34" t="str">
        <f aca="false">IF(OR(AR60="",N(AC60)=0),"",AR60/AC60)</f>
        <v/>
      </c>
      <c r="AU60" s="34" t="str">
        <f aca="false">IF(OR(AR60="",N(S60)=0),"",AR60/S60)</f>
        <v/>
      </c>
      <c r="AV60" s="34" t="str">
        <f aca="false">IF(OR(AJ60="",N(AC60)=0),"",AJ60/AC60)</f>
        <v/>
      </c>
      <c r="AW60" s="34" t="str">
        <f aca="false">IF(OR(AH60="",N(AO60)=0),"",AH60/AO60)</f>
        <v/>
      </c>
      <c r="AX60" s="35" t="str">
        <f aca="false">IF(OR(AR60="",N(AO60)=0),"",(N(AF60)*Settings!$B$6+N(AG60)*Settings!$B$7+N(AH60)*Settings!$B$8+N(AI60)*Settings!$B$9+N(AJ60)*Settings!$B$10)/AO60*1000)</f>
        <v/>
      </c>
      <c r="AY60" s="36" t="str">
        <f aca="false">IF(AS60="","",IFERROR(AS60/AVERAGEIFS('Post Tracker'!$AS$5:$AS$1004,'Post Tracker'!$G$5:$G$1004,G60),""))</f>
        <v/>
      </c>
      <c r="AZ60" s="32"/>
      <c r="BA60" s="32"/>
      <c r="BB60" s="32"/>
      <c r="BC60" s="32"/>
      <c r="BD60" s="33" t="str">
        <f aca="false">IF(A60="","",COUNTIFS('Demo Pipeline'!$Q$5:$Q$504,A60))</f>
        <v/>
      </c>
      <c r="BE60" s="33" t="str">
        <f aca="false">IF(A60="","",COUNTIFS('Demo Pipeline'!$Q$5:$Q$504,A60,'Demo Pipeline'!$W$5:$W$504,"Attended"))</f>
        <v/>
      </c>
      <c r="BF60" s="33" t="str">
        <f aca="false">IF(A60="","",COUNTIFS('Demo Pipeline'!$Q$5:$Q$504,A60,'Demo Pipeline'!$X$5:$X$504,"Yes"))</f>
        <v/>
      </c>
      <c r="BG60" s="33" t="str">
        <f aca="false">IF(A60="","",COUNTIFS('Demo Pipeline'!$Q$5:$Q$504,A60,'Demo Pipeline'!$Y$5:$Y$504,"Closed Won"))</f>
        <v/>
      </c>
      <c r="BH60" s="37" t="str">
        <f aca="false">IF(A60="","",SUMIFS('Demo Pipeline'!$Z$5:$Z$504,'Demo Pipeline'!$Q$5:$Q$504,A60))</f>
        <v/>
      </c>
      <c r="BI60" s="34" t="str">
        <f aca="false">IF(OR(AZ60="",N(AJ60)=0),"",AZ60/AJ60)</f>
        <v/>
      </c>
      <c r="BJ60" s="34" t="str">
        <f aca="false">IF(OR(BB60="",N(AZ60)=0),"",BB60/AZ60)</f>
        <v/>
      </c>
      <c r="BK60" s="34" t="str">
        <f aca="false">IF(OR(A60="",N(BB60)=0),"",BD60/BB60)</f>
        <v/>
      </c>
      <c r="BL60" s="34" t="str">
        <f aca="false">IF(OR(A60="",N(AZ60)=0),"",BD60/AZ60)</f>
        <v/>
      </c>
      <c r="BM60" s="37" t="str">
        <f aca="false">IF(OR(N(Q60)=0,N(BD60)=0),"",Q60/BD60)</f>
        <v/>
      </c>
      <c r="BN60" s="29"/>
      <c r="BO60" s="29"/>
      <c r="BP60" s="33" t="str">
        <f aca="false">IF(OR(AR60="",N(AO60)=0),"",AR60)</f>
        <v/>
      </c>
      <c r="BQ60" s="33" t="str">
        <f aca="false">IF(OR(AR60="",N(S60)=0),"",S60)</f>
        <v/>
      </c>
      <c r="BR60" s="38" t="str">
        <f aca="false">IF(AND(ISNUMBER(B60),B60&gt;=Dashboard!$C$4,B60&lt;=Dashboard!$F$4,ISNUMBER(AU60)),AU60+ROW()/10^9,"")</f>
        <v/>
      </c>
      <c r="BS60" s="38" t="str">
        <f aca="false">IF(AND(ISNUMBER(B60),B60&gt;=Dashboard!$C$4,B60&lt;=Dashboard!$F$4,A60&lt;&gt;""),N(BD60)+N(AU60)/100+ROW()/10^9,"")</f>
        <v/>
      </c>
    </row>
    <row r="61" customFormat="false" ht="15" hidden="false" customHeight="false" outlineLevel="0" collapsed="false">
      <c r="A61" s="24" t="str">
        <f aca="false">IF(OR(B61="",G61="",H61=""),"",IFERROR(INDEX(Settings!$E$5:$E$49,MATCH(G61,Settings!$D$5:$D$49,0))&amp;INDEX(Settings!$H$5:$H$47,MATCH(H61,Settings!$G$5:$G$47,0))&amp;"-"&amp;TEXT(B61,"yymmdd")&amp;"-"&amp;IF(C61="","0000",TEXT(C61,"hhmm")),"CHECK LISTS"))</f>
        <v/>
      </c>
      <c r="B61" s="39"/>
      <c r="C61" s="40"/>
      <c r="D61" s="24" t="str">
        <f aca="false">IF(B61="","",TEXT(B61,"ddd"))</f>
        <v/>
      </c>
      <c r="E61" s="27" t="str">
        <f aca="false">IF(B61="","",B61-WEEKDAY(B61,3))</f>
        <v/>
      </c>
      <c r="F61" s="24" t="str">
        <f aca="false">IF(B61="","",TEXT(B61,"yyyy-mm"))</f>
        <v/>
      </c>
      <c r="G61" s="29"/>
      <c r="H61" s="29"/>
      <c r="I61" s="29"/>
      <c r="J61" s="29"/>
      <c r="K61" s="29"/>
      <c r="L61" s="29"/>
      <c r="M61" s="29"/>
      <c r="N61" s="29"/>
      <c r="O61" s="29"/>
      <c r="P61" s="29"/>
      <c r="Q61" s="30"/>
      <c r="R61" s="29"/>
      <c r="S61" s="32"/>
      <c r="T61" s="29"/>
      <c r="U61" s="29"/>
      <c r="V61" s="24" t="str">
        <f aca="false">IF(A61="","",IFERROR(INDEX(Settings!$F$5:$F$49,MATCH(G61,Settings!$D$5:$D$49,0)),""))</f>
        <v/>
      </c>
      <c r="W61" s="24" t="str">
        <f aca="false">IF(A61="","",IF(OR(P61="",P61="Organic"),"social","paid_social"))</f>
        <v/>
      </c>
      <c r="X61" s="24" t="str">
        <f aca="false">IF(A61="","",IF(K61&lt;&gt;"",IFERROR(INDEX('Case Studies'!$C$5:$C$54,MATCH(K61,'Case Studies'!$B$5:$B$54,0))&amp;"","case-study"),IF(J61&lt;&gt;"",IFERROR(INDEX(Settings!$J$5:$J$55,MATCH(J61,Settings!$I$5:$I$55,0)),"general"),"general")))</f>
        <v/>
      </c>
      <c r="Y61" s="24" t="str">
        <f aca="false">IF(A61="","",LOWER(A61))</f>
        <v/>
      </c>
      <c r="Z61" s="24" t="str">
        <f aca="false">IF(A61="","",IF(T61="",Settings!$B$5,T61)&amp;IF(ISNUMBER(FIND("?",IF(T61="",Settings!$B$5,T61))),"&amp;","?")&amp;"utm_source="&amp;V61&amp;"&amp;utm_medium="&amp;W61&amp;"&amp;utm_campaign="&amp;X61&amp;"&amp;utm_content="&amp;Y61)</f>
        <v/>
      </c>
      <c r="AA61" s="29"/>
      <c r="AB61" s="39"/>
      <c r="AC61" s="32"/>
      <c r="AD61" s="32"/>
      <c r="AE61" s="32"/>
      <c r="AF61" s="32"/>
      <c r="AG61" s="32"/>
      <c r="AH61" s="32"/>
      <c r="AI61" s="32"/>
      <c r="AJ61" s="32"/>
      <c r="AK61" s="32"/>
      <c r="AL61" s="32"/>
      <c r="AM61" s="32"/>
      <c r="AN61" s="32"/>
      <c r="AO61" s="33" t="str">
        <f aca="false">IF(A61="","",IF(AD61&lt;&gt;"",AD61,IF(AC61&lt;&gt;"",AC61,"")))</f>
        <v/>
      </c>
      <c r="AP61" s="24" t="str">
        <f aca="false">IF(AO61="","",IF(AD61&lt;&gt;"","Reported reach","Impressions (proxy)"))</f>
        <v/>
      </c>
      <c r="AQ61" s="34" t="str">
        <f aca="false">IF(OR(AO61="",N(S61)=0),"",AO61/S61)</f>
        <v/>
      </c>
      <c r="AR61" s="33" t="str">
        <f aca="false">IF(A61="","",IF(COUNT(AF61:AJ61)=0,"",SUM(AF61:AJ61)))</f>
        <v/>
      </c>
      <c r="AS61" s="34" t="str">
        <f aca="false">IF(OR(AR61="",N(AO61)=0),"",AR61/AO61)</f>
        <v/>
      </c>
      <c r="AT61" s="34" t="str">
        <f aca="false">IF(OR(AR61="",N(AC61)=0),"",AR61/AC61)</f>
        <v/>
      </c>
      <c r="AU61" s="34" t="str">
        <f aca="false">IF(OR(AR61="",N(S61)=0),"",AR61/S61)</f>
        <v/>
      </c>
      <c r="AV61" s="34" t="str">
        <f aca="false">IF(OR(AJ61="",N(AC61)=0),"",AJ61/AC61)</f>
        <v/>
      </c>
      <c r="AW61" s="34" t="str">
        <f aca="false">IF(OR(AH61="",N(AO61)=0),"",AH61/AO61)</f>
        <v/>
      </c>
      <c r="AX61" s="35" t="str">
        <f aca="false">IF(OR(AR61="",N(AO61)=0),"",(N(AF61)*Settings!$B$6+N(AG61)*Settings!$B$7+N(AH61)*Settings!$B$8+N(AI61)*Settings!$B$9+N(AJ61)*Settings!$B$10)/AO61*1000)</f>
        <v/>
      </c>
      <c r="AY61" s="36" t="str">
        <f aca="false">IF(AS61="","",IFERROR(AS61/AVERAGEIFS('Post Tracker'!$AS$5:$AS$1004,'Post Tracker'!$G$5:$G$1004,G61),""))</f>
        <v/>
      </c>
      <c r="AZ61" s="32"/>
      <c r="BA61" s="32"/>
      <c r="BB61" s="32"/>
      <c r="BC61" s="32"/>
      <c r="BD61" s="33" t="str">
        <f aca="false">IF(A61="","",COUNTIFS('Demo Pipeline'!$Q$5:$Q$504,A61))</f>
        <v/>
      </c>
      <c r="BE61" s="33" t="str">
        <f aca="false">IF(A61="","",COUNTIFS('Demo Pipeline'!$Q$5:$Q$504,A61,'Demo Pipeline'!$W$5:$W$504,"Attended"))</f>
        <v/>
      </c>
      <c r="BF61" s="33" t="str">
        <f aca="false">IF(A61="","",COUNTIFS('Demo Pipeline'!$Q$5:$Q$504,A61,'Demo Pipeline'!$X$5:$X$504,"Yes"))</f>
        <v/>
      </c>
      <c r="BG61" s="33" t="str">
        <f aca="false">IF(A61="","",COUNTIFS('Demo Pipeline'!$Q$5:$Q$504,A61,'Demo Pipeline'!$Y$5:$Y$504,"Closed Won"))</f>
        <v/>
      </c>
      <c r="BH61" s="37" t="str">
        <f aca="false">IF(A61="","",SUMIFS('Demo Pipeline'!$Z$5:$Z$504,'Demo Pipeline'!$Q$5:$Q$504,A61))</f>
        <v/>
      </c>
      <c r="BI61" s="34" t="str">
        <f aca="false">IF(OR(AZ61="",N(AJ61)=0),"",AZ61/AJ61)</f>
        <v/>
      </c>
      <c r="BJ61" s="34" t="str">
        <f aca="false">IF(OR(BB61="",N(AZ61)=0),"",BB61/AZ61)</f>
        <v/>
      </c>
      <c r="BK61" s="34" t="str">
        <f aca="false">IF(OR(A61="",N(BB61)=0),"",BD61/BB61)</f>
        <v/>
      </c>
      <c r="BL61" s="34" t="str">
        <f aca="false">IF(OR(A61="",N(AZ61)=0),"",BD61/AZ61)</f>
        <v/>
      </c>
      <c r="BM61" s="37" t="str">
        <f aca="false">IF(OR(N(Q61)=0,N(BD61)=0),"",Q61/BD61)</f>
        <v/>
      </c>
      <c r="BN61" s="29"/>
      <c r="BO61" s="29"/>
      <c r="BP61" s="33" t="str">
        <f aca="false">IF(OR(AR61="",N(AO61)=0),"",AR61)</f>
        <v/>
      </c>
      <c r="BQ61" s="33" t="str">
        <f aca="false">IF(OR(AR61="",N(S61)=0),"",S61)</f>
        <v/>
      </c>
      <c r="BR61" s="38" t="str">
        <f aca="false">IF(AND(ISNUMBER(B61),B61&gt;=Dashboard!$C$4,B61&lt;=Dashboard!$F$4,ISNUMBER(AU61)),AU61+ROW()/10^9,"")</f>
        <v/>
      </c>
      <c r="BS61" s="38" t="str">
        <f aca="false">IF(AND(ISNUMBER(B61),B61&gt;=Dashboard!$C$4,B61&lt;=Dashboard!$F$4,A61&lt;&gt;""),N(BD61)+N(AU61)/100+ROW()/10^9,"")</f>
        <v/>
      </c>
    </row>
    <row r="62" customFormat="false" ht="15" hidden="false" customHeight="false" outlineLevel="0" collapsed="false">
      <c r="A62" s="24" t="str">
        <f aca="false">IF(OR(B62="",G62="",H62=""),"",IFERROR(INDEX(Settings!$E$5:$E$49,MATCH(G62,Settings!$D$5:$D$49,0))&amp;INDEX(Settings!$H$5:$H$47,MATCH(H62,Settings!$G$5:$G$47,0))&amp;"-"&amp;TEXT(B62,"yymmdd")&amp;"-"&amp;IF(C62="","0000",TEXT(C62,"hhmm")),"CHECK LISTS"))</f>
        <v/>
      </c>
      <c r="B62" s="39"/>
      <c r="C62" s="40"/>
      <c r="D62" s="24" t="str">
        <f aca="false">IF(B62="","",TEXT(B62,"ddd"))</f>
        <v/>
      </c>
      <c r="E62" s="27" t="str">
        <f aca="false">IF(B62="","",B62-WEEKDAY(B62,3))</f>
        <v/>
      </c>
      <c r="F62" s="24" t="str">
        <f aca="false">IF(B62="","",TEXT(B62,"yyyy-mm"))</f>
        <v/>
      </c>
      <c r="G62" s="29"/>
      <c r="H62" s="29"/>
      <c r="I62" s="29"/>
      <c r="J62" s="29"/>
      <c r="K62" s="29"/>
      <c r="L62" s="29"/>
      <c r="M62" s="29"/>
      <c r="N62" s="29"/>
      <c r="O62" s="29"/>
      <c r="P62" s="29"/>
      <c r="Q62" s="30"/>
      <c r="R62" s="29"/>
      <c r="S62" s="32"/>
      <c r="T62" s="29"/>
      <c r="U62" s="29"/>
      <c r="V62" s="24" t="str">
        <f aca="false">IF(A62="","",IFERROR(INDEX(Settings!$F$5:$F$49,MATCH(G62,Settings!$D$5:$D$49,0)),""))</f>
        <v/>
      </c>
      <c r="W62" s="24" t="str">
        <f aca="false">IF(A62="","",IF(OR(P62="",P62="Organic"),"social","paid_social"))</f>
        <v/>
      </c>
      <c r="X62" s="24" t="str">
        <f aca="false">IF(A62="","",IF(K62&lt;&gt;"",IFERROR(INDEX('Case Studies'!$C$5:$C$54,MATCH(K62,'Case Studies'!$B$5:$B$54,0))&amp;"","case-study"),IF(J62&lt;&gt;"",IFERROR(INDEX(Settings!$J$5:$J$55,MATCH(J62,Settings!$I$5:$I$55,0)),"general"),"general")))</f>
        <v/>
      </c>
      <c r="Y62" s="24" t="str">
        <f aca="false">IF(A62="","",LOWER(A62))</f>
        <v/>
      </c>
      <c r="Z62" s="24" t="str">
        <f aca="false">IF(A62="","",IF(T62="",Settings!$B$5,T62)&amp;IF(ISNUMBER(FIND("?",IF(T62="",Settings!$B$5,T62))),"&amp;","?")&amp;"utm_source="&amp;V62&amp;"&amp;utm_medium="&amp;W62&amp;"&amp;utm_campaign="&amp;X62&amp;"&amp;utm_content="&amp;Y62)</f>
        <v/>
      </c>
      <c r="AA62" s="29"/>
      <c r="AB62" s="39"/>
      <c r="AC62" s="32"/>
      <c r="AD62" s="32"/>
      <c r="AE62" s="32"/>
      <c r="AF62" s="32"/>
      <c r="AG62" s="32"/>
      <c r="AH62" s="32"/>
      <c r="AI62" s="32"/>
      <c r="AJ62" s="32"/>
      <c r="AK62" s="32"/>
      <c r="AL62" s="32"/>
      <c r="AM62" s="32"/>
      <c r="AN62" s="32"/>
      <c r="AO62" s="33" t="str">
        <f aca="false">IF(A62="","",IF(AD62&lt;&gt;"",AD62,IF(AC62&lt;&gt;"",AC62,"")))</f>
        <v/>
      </c>
      <c r="AP62" s="24" t="str">
        <f aca="false">IF(AO62="","",IF(AD62&lt;&gt;"","Reported reach","Impressions (proxy)"))</f>
        <v/>
      </c>
      <c r="AQ62" s="34" t="str">
        <f aca="false">IF(OR(AO62="",N(S62)=0),"",AO62/S62)</f>
        <v/>
      </c>
      <c r="AR62" s="33" t="str">
        <f aca="false">IF(A62="","",IF(COUNT(AF62:AJ62)=0,"",SUM(AF62:AJ62)))</f>
        <v/>
      </c>
      <c r="AS62" s="34" t="str">
        <f aca="false">IF(OR(AR62="",N(AO62)=0),"",AR62/AO62)</f>
        <v/>
      </c>
      <c r="AT62" s="34" t="str">
        <f aca="false">IF(OR(AR62="",N(AC62)=0),"",AR62/AC62)</f>
        <v/>
      </c>
      <c r="AU62" s="34" t="str">
        <f aca="false">IF(OR(AR62="",N(S62)=0),"",AR62/S62)</f>
        <v/>
      </c>
      <c r="AV62" s="34" t="str">
        <f aca="false">IF(OR(AJ62="",N(AC62)=0),"",AJ62/AC62)</f>
        <v/>
      </c>
      <c r="AW62" s="34" t="str">
        <f aca="false">IF(OR(AH62="",N(AO62)=0),"",AH62/AO62)</f>
        <v/>
      </c>
      <c r="AX62" s="35" t="str">
        <f aca="false">IF(OR(AR62="",N(AO62)=0),"",(N(AF62)*Settings!$B$6+N(AG62)*Settings!$B$7+N(AH62)*Settings!$B$8+N(AI62)*Settings!$B$9+N(AJ62)*Settings!$B$10)/AO62*1000)</f>
        <v/>
      </c>
      <c r="AY62" s="36" t="str">
        <f aca="false">IF(AS62="","",IFERROR(AS62/AVERAGEIFS('Post Tracker'!$AS$5:$AS$1004,'Post Tracker'!$G$5:$G$1004,G62),""))</f>
        <v/>
      </c>
      <c r="AZ62" s="32"/>
      <c r="BA62" s="32"/>
      <c r="BB62" s="32"/>
      <c r="BC62" s="32"/>
      <c r="BD62" s="33" t="str">
        <f aca="false">IF(A62="","",COUNTIFS('Demo Pipeline'!$Q$5:$Q$504,A62))</f>
        <v/>
      </c>
      <c r="BE62" s="33" t="str">
        <f aca="false">IF(A62="","",COUNTIFS('Demo Pipeline'!$Q$5:$Q$504,A62,'Demo Pipeline'!$W$5:$W$504,"Attended"))</f>
        <v/>
      </c>
      <c r="BF62" s="33" t="str">
        <f aca="false">IF(A62="","",COUNTIFS('Demo Pipeline'!$Q$5:$Q$504,A62,'Demo Pipeline'!$X$5:$X$504,"Yes"))</f>
        <v/>
      </c>
      <c r="BG62" s="33" t="str">
        <f aca="false">IF(A62="","",COUNTIFS('Demo Pipeline'!$Q$5:$Q$504,A62,'Demo Pipeline'!$Y$5:$Y$504,"Closed Won"))</f>
        <v/>
      </c>
      <c r="BH62" s="37" t="str">
        <f aca="false">IF(A62="","",SUMIFS('Demo Pipeline'!$Z$5:$Z$504,'Demo Pipeline'!$Q$5:$Q$504,A62))</f>
        <v/>
      </c>
      <c r="BI62" s="34" t="str">
        <f aca="false">IF(OR(AZ62="",N(AJ62)=0),"",AZ62/AJ62)</f>
        <v/>
      </c>
      <c r="BJ62" s="34" t="str">
        <f aca="false">IF(OR(BB62="",N(AZ62)=0),"",BB62/AZ62)</f>
        <v/>
      </c>
      <c r="BK62" s="34" t="str">
        <f aca="false">IF(OR(A62="",N(BB62)=0),"",BD62/BB62)</f>
        <v/>
      </c>
      <c r="BL62" s="34" t="str">
        <f aca="false">IF(OR(A62="",N(AZ62)=0),"",BD62/AZ62)</f>
        <v/>
      </c>
      <c r="BM62" s="37" t="str">
        <f aca="false">IF(OR(N(Q62)=0,N(BD62)=0),"",Q62/BD62)</f>
        <v/>
      </c>
      <c r="BN62" s="29"/>
      <c r="BO62" s="29"/>
      <c r="BP62" s="33" t="str">
        <f aca="false">IF(OR(AR62="",N(AO62)=0),"",AR62)</f>
        <v/>
      </c>
      <c r="BQ62" s="33" t="str">
        <f aca="false">IF(OR(AR62="",N(S62)=0),"",S62)</f>
        <v/>
      </c>
      <c r="BR62" s="38" t="str">
        <f aca="false">IF(AND(ISNUMBER(B62),B62&gt;=Dashboard!$C$4,B62&lt;=Dashboard!$F$4,ISNUMBER(AU62)),AU62+ROW()/10^9,"")</f>
        <v/>
      </c>
      <c r="BS62" s="38" t="str">
        <f aca="false">IF(AND(ISNUMBER(B62),B62&gt;=Dashboard!$C$4,B62&lt;=Dashboard!$F$4,A62&lt;&gt;""),N(BD62)+N(AU62)/100+ROW()/10^9,"")</f>
        <v/>
      </c>
    </row>
    <row r="63" customFormat="false" ht="15" hidden="false" customHeight="false" outlineLevel="0" collapsed="false">
      <c r="A63" s="24" t="str">
        <f aca="false">IF(OR(B63="",G63="",H63=""),"",IFERROR(INDEX(Settings!$E$5:$E$49,MATCH(G63,Settings!$D$5:$D$49,0))&amp;INDEX(Settings!$H$5:$H$47,MATCH(H63,Settings!$G$5:$G$47,0))&amp;"-"&amp;TEXT(B63,"yymmdd")&amp;"-"&amp;IF(C63="","0000",TEXT(C63,"hhmm")),"CHECK LISTS"))</f>
        <v/>
      </c>
      <c r="B63" s="39"/>
      <c r="C63" s="40"/>
      <c r="D63" s="24" t="str">
        <f aca="false">IF(B63="","",TEXT(B63,"ddd"))</f>
        <v/>
      </c>
      <c r="E63" s="27" t="str">
        <f aca="false">IF(B63="","",B63-WEEKDAY(B63,3))</f>
        <v/>
      </c>
      <c r="F63" s="24" t="str">
        <f aca="false">IF(B63="","",TEXT(B63,"yyyy-mm"))</f>
        <v/>
      </c>
      <c r="G63" s="29"/>
      <c r="H63" s="29"/>
      <c r="I63" s="29"/>
      <c r="J63" s="29"/>
      <c r="K63" s="29"/>
      <c r="L63" s="29"/>
      <c r="M63" s="29"/>
      <c r="N63" s="29"/>
      <c r="O63" s="29"/>
      <c r="P63" s="29"/>
      <c r="Q63" s="30"/>
      <c r="R63" s="29"/>
      <c r="S63" s="32"/>
      <c r="T63" s="29"/>
      <c r="U63" s="29"/>
      <c r="V63" s="24" t="str">
        <f aca="false">IF(A63="","",IFERROR(INDEX(Settings!$F$5:$F$49,MATCH(G63,Settings!$D$5:$D$49,0)),""))</f>
        <v/>
      </c>
      <c r="W63" s="24" t="str">
        <f aca="false">IF(A63="","",IF(OR(P63="",P63="Organic"),"social","paid_social"))</f>
        <v/>
      </c>
      <c r="X63" s="24" t="str">
        <f aca="false">IF(A63="","",IF(K63&lt;&gt;"",IFERROR(INDEX('Case Studies'!$C$5:$C$54,MATCH(K63,'Case Studies'!$B$5:$B$54,0))&amp;"","case-study"),IF(J63&lt;&gt;"",IFERROR(INDEX(Settings!$J$5:$J$55,MATCH(J63,Settings!$I$5:$I$55,0)),"general"),"general")))</f>
        <v/>
      </c>
      <c r="Y63" s="24" t="str">
        <f aca="false">IF(A63="","",LOWER(A63))</f>
        <v/>
      </c>
      <c r="Z63" s="24" t="str">
        <f aca="false">IF(A63="","",IF(T63="",Settings!$B$5,T63)&amp;IF(ISNUMBER(FIND("?",IF(T63="",Settings!$B$5,T63))),"&amp;","?")&amp;"utm_source="&amp;V63&amp;"&amp;utm_medium="&amp;W63&amp;"&amp;utm_campaign="&amp;X63&amp;"&amp;utm_content="&amp;Y63)</f>
        <v/>
      </c>
      <c r="AA63" s="29"/>
      <c r="AB63" s="39"/>
      <c r="AC63" s="32"/>
      <c r="AD63" s="32"/>
      <c r="AE63" s="32"/>
      <c r="AF63" s="32"/>
      <c r="AG63" s="32"/>
      <c r="AH63" s="32"/>
      <c r="AI63" s="32"/>
      <c r="AJ63" s="32"/>
      <c r="AK63" s="32"/>
      <c r="AL63" s="32"/>
      <c r="AM63" s="32"/>
      <c r="AN63" s="32"/>
      <c r="AO63" s="33" t="str">
        <f aca="false">IF(A63="","",IF(AD63&lt;&gt;"",AD63,IF(AC63&lt;&gt;"",AC63,"")))</f>
        <v/>
      </c>
      <c r="AP63" s="24" t="str">
        <f aca="false">IF(AO63="","",IF(AD63&lt;&gt;"","Reported reach","Impressions (proxy)"))</f>
        <v/>
      </c>
      <c r="AQ63" s="34" t="str">
        <f aca="false">IF(OR(AO63="",N(S63)=0),"",AO63/S63)</f>
        <v/>
      </c>
      <c r="AR63" s="33" t="str">
        <f aca="false">IF(A63="","",IF(COUNT(AF63:AJ63)=0,"",SUM(AF63:AJ63)))</f>
        <v/>
      </c>
      <c r="AS63" s="34" t="str">
        <f aca="false">IF(OR(AR63="",N(AO63)=0),"",AR63/AO63)</f>
        <v/>
      </c>
      <c r="AT63" s="34" t="str">
        <f aca="false">IF(OR(AR63="",N(AC63)=0),"",AR63/AC63)</f>
        <v/>
      </c>
      <c r="AU63" s="34" t="str">
        <f aca="false">IF(OR(AR63="",N(S63)=0),"",AR63/S63)</f>
        <v/>
      </c>
      <c r="AV63" s="34" t="str">
        <f aca="false">IF(OR(AJ63="",N(AC63)=0),"",AJ63/AC63)</f>
        <v/>
      </c>
      <c r="AW63" s="34" t="str">
        <f aca="false">IF(OR(AH63="",N(AO63)=0),"",AH63/AO63)</f>
        <v/>
      </c>
      <c r="AX63" s="35" t="str">
        <f aca="false">IF(OR(AR63="",N(AO63)=0),"",(N(AF63)*Settings!$B$6+N(AG63)*Settings!$B$7+N(AH63)*Settings!$B$8+N(AI63)*Settings!$B$9+N(AJ63)*Settings!$B$10)/AO63*1000)</f>
        <v/>
      </c>
      <c r="AY63" s="36" t="str">
        <f aca="false">IF(AS63="","",IFERROR(AS63/AVERAGEIFS('Post Tracker'!$AS$5:$AS$1004,'Post Tracker'!$G$5:$G$1004,G63),""))</f>
        <v/>
      </c>
      <c r="AZ63" s="32"/>
      <c r="BA63" s="32"/>
      <c r="BB63" s="32"/>
      <c r="BC63" s="32"/>
      <c r="BD63" s="33" t="str">
        <f aca="false">IF(A63="","",COUNTIFS('Demo Pipeline'!$Q$5:$Q$504,A63))</f>
        <v/>
      </c>
      <c r="BE63" s="33" t="str">
        <f aca="false">IF(A63="","",COUNTIFS('Demo Pipeline'!$Q$5:$Q$504,A63,'Demo Pipeline'!$W$5:$W$504,"Attended"))</f>
        <v/>
      </c>
      <c r="BF63" s="33" t="str">
        <f aca="false">IF(A63="","",COUNTIFS('Demo Pipeline'!$Q$5:$Q$504,A63,'Demo Pipeline'!$X$5:$X$504,"Yes"))</f>
        <v/>
      </c>
      <c r="BG63" s="33" t="str">
        <f aca="false">IF(A63="","",COUNTIFS('Demo Pipeline'!$Q$5:$Q$504,A63,'Demo Pipeline'!$Y$5:$Y$504,"Closed Won"))</f>
        <v/>
      </c>
      <c r="BH63" s="37" t="str">
        <f aca="false">IF(A63="","",SUMIFS('Demo Pipeline'!$Z$5:$Z$504,'Demo Pipeline'!$Q$5:$Q$504,A63))</f>
        <v/>
      </c>
      <c r="BI63" s="34" t="str">
        <f aca="false">IF(OR(AZ63="",N(AJ63)=0),"",AZ63/AJ63)</f>
        <v/>
      </c>
      <c r="BJ63" s="34" t="str">
        <f aca="false">IF(OR(BB63="",N(AZ63)=0),"",BB63/AZ63)</f>
        <v/>
      </c>
      <c r="BK63" s="34" t="str">
        <f aca="false">IF(OR(A63="",N(BB63)=0),"",BD63/BB63)</f>
        <v/>
      </c>
      <c r="BL63" s="34" t="str">
        <f aca="false">IF(OR(A63="",N(AZ63)=0),"",BD63/AZ63)</f>
        <v/>
      </c>
      <c r="BM63" s="37" t="str">
        <f aca="false">IF(OR(N(Q63)=0,N(BD63)=0),"",Q63/BD63)</f>
        <v/>
      </c>
      <c r="BN63" s="29"/>
      <c r="BO63" s="29"/>
      <c r="BP63" s="33" t="str">
        <f aca="false">IF(OR(AR63="",N(AO63)=0),"",AR63)</f>
        <v/>
      </c>
      <c r="BQ63" s="33" t="str">
        <f aca="false">IF(OR(AR63="",N(S63)=0),"",S63)</f>
        <v/>
      </c>
      <c r="BR63" s="38" t="str">
        <f aca="false">IF(AND(ISNUMBER(B63),B63&gt;=Dashboard!$C$4,B63&lt;=Dashboard!$F$4,ISNUMBER(AU63)),AU63+ROW()/10^9,"")</f>
        <v/>
      </c>
      <c r="BS63" s="38" t="str">
        <f aca="false">IF(AND(ISNUMBER(B63),B63&gt;=Dashboard!$C$4,B63&lt;=Dashboard!$F$4,A63&lt;&gt;""),N(BD63)+N(AU63)/100+ROW()/10^9,"")</f>
        <v/>
      </c>
    </row>
    <row r="64" customFormat="false" ht="15" hidden="false" customHeight="false" outlineLevel="0" collapsed="false">
      <c r="A64" s="24" t="str">
        <f aca="false">IF(OR(B64="",G64="",H64=""),"",IFERROR(INDEX(Settings!$E$5:$E$49,MATCH(G64,Settings!$D$5:$D$49,0))&amp;INDEX(Settings!$H$5:$H$47,MATCH(H64,Settings!$G$5:$G$47,0))&amp;"-"&amp;TEXT(B64,"yymmdd")&amp;"-"&amp;IF(C64="","0000",TEXT(C64,"hhmm")),"CHECK LISTS"))</f>
        <v/>
      </c>
      <c r="B64" s="39"/>
      <c r="C64" s="40"/>
      <c r="D64" s="24" t="str">
        <f aca="false">IF(B64="","",TEXT(B64,"ddd"))</f>
        <v/>
      </c>
      <c r="E64" s="27" t="str">
        <f aca="false">IF(B64="","",B64-WEEKDAY(B64,3))</f>
        <v/>
      </c>
      <c r="F64" s="24" t="str">
        <f aca="false">IF(B64="","",TEXT(B64,"yyyy-mm"))</f>
        <v/>
      </c>
      <c r="G64" s="29"/>
      <c r="H64" s="29"/>
      <c r="I64" s="29"/>
      <c r="J64" s="29"/>
      <c r="K64" s="29"/>
      <c r="L64" s="29"/>
      <c r="M64" s="29"/>
      <c r="N64" s="29"/>
      <c r="O64" s="29"/>
      <c r="P64" s="29"/>
      <c r="Q64" s="30"/>
      <c r="R64" s="29"/>
      <c r="S64" s="32"/>
      <c r="T64" s="29"/>
      <c r="U64" s="29"/>
      <c r="V64" s="24" t="str">
        <f aca="false">IF(A64="","",IFERROR(INDEX(Settings!$F$5:$F$49,MATCH(G64,Settings!$D$5:$D$49,0)),""))</f>
        <v/>
      </c>
      <c r="W64" s="24" t="str">
        <f aca="false">IF(A64="","",IF(OR(P64="",P64="Organic"),"social","paid_social"))</f>
        <v/>
      </c>
      <c r="X64" s="24" t="str">
        <f aca="false">IF(A64="","",IF(K64&lt;&gt;"",IFERROR(INDEX('Case Studies'!$C$5:$C$54,MATCH(K64,'Case Studies'!$B$5:$B$54,0))&amp;"","case-study"),IF(J64&lt;&gt;"",IFERROR(INDEX(Settings!$J$5:$J$55,MATCH(J64,Settings!$I$5:$I$55,0)),"general"),"general")))</f>
        <v/>
      </c>
      <c r="Y64" s="24" t="str">
        <f aca="false">IF(A64="","",LOWER(A64))</f>
        <v/>
      </c>
      <c r="Z64" s="24" t="str">
        <f aca="false">IF(A64="","",IF(T64="",Settings!$B$5,T64)&amp;IF(ISNUMBER(FIND("?",IF(T64="",Settings!$B$5,T64))),"&amp;","?")&amp;"utm_source="&amp;V64&amp;"&amp;utm_medium="&amp;W64&amp;"&amp;utm_campaign="&amp;X64&amp;"&amp;utm_content="&amp;Y64)</f>
        <v/>
      </c>
      <c r="AA64" s="29"/>
      <c r="AB64" s="39"/>
      <c r="AC64" s="32"/>
      <c r="AD64" s="32"/>
      <c r="AE64" s="32"/>
      <c r="AF64" s="32"/>
      <c r="AG64" s="32"/>
      <c r="AH64" s="32"/>
      <c r="AI64" s="32"/>
      <c r="AJ64" s="32"/>
      <c r="AK64" s="32"/>
      <c r="AL64" s="32"/>
      <c r="AM64" s="32"/>
      <c r="AN64" s="32"/>
      <c r="AO64" s="33" t="str">
        <f aca="false">IF(A64="","",IF(AD64&lt;&gt;"",AD64,IF(AC64&lt;&gt;"",AC64,"")))</f>
        <v/>
      </c>
      <c r="AP64" s="24" t="str">
        <f aca="false">IF(AO64="","",IF(AD64&lt;&gt;"","Reported reach","Impressions (proxy)"))</f>
        <v/>
      </c>
      <c r="AQ64" s="34" t="str">
        <f aca="false">IF(OR(AO64="",N(S64)=0),"",AO64/S64)</f>
        <v/>
      </c>
      <c r="AR64" s="33" t="str">
        <f aca="false">IF(A64="","",IF(COUNT(AF64:AJ64)=0,"",SUM(AF64:AJ64)))</f>
        <v/>
      </c>
      <c r="AS64" s="34" t="str">
        <f aca="false">IF(OR(AR64="",N(AO64)=0),"",AR64/AO64)</f>
        <v/>
      </c>
      <c r="AT64" s="34" t="str">
        <f aca="false">IF(OR(AR64="",N(AC64)=0),"",AR64/AC64)</f>
        <v/>
      </c>
      <c r="AU64" s="34" t="str">
        <f aca="false">IF(OR(AR64="",N(S64)=0),"",AR64/S64)</f>
        <v/>
      </c>
      <c r="AV64" s="34" t="str">
        <f aca="false">IF(OR(AJ64="",N(AC64)=0),"",AJ64/AC64)</f>
        <v/>
      </c>
      <c r="AW64" s="34" t="str">
        <f aca="false">IF(OR(AH64="",N(AO64)=0),"",AH64/AO64)</f>
        <v/>
      </c>
      <c r="AX64" s="35" t="str">
        <f aca="false">IF(OR(AR64="",N(AO64)=0),"",(N(AF64)*Settings!$B$6+N(AG64)*Settings!$B$7+N(AH64)*Settings!$B$8+N(AI64)*Settings!$B$9+N(AJ64)*Settings!$B$10)/AO64*1000)</f>
        <v/>
      </c>
      <c r="AY64" s="36" t="str">
        <f aca="false">IF(AS64="","",IFERROR(AS64/AVERAGEIFS('Post Tracker'!$AS$5:$AS$1004,'Post Tracker'!$G$5:$G$1004,G64),""))</f>
        <v/>
      </c>
      <c r="AZ64" s="32"/>
      <c r="BA64" s="32"/>
      <c r="BB64" s="32"/>
      <c r="BC64" s="32"/>
      <c r="BD64" s="33" t="str">
        <f aca="false">IF(A64="","",COUNTIFS('Demo Pipeline'!$Q$5:$Q$504,A64))</f>
        <v/>
      </c>
      <c r="BE64" s="33" t="str">
        <f aca="false">IF(A64="","",COUNTIFS('Demo Pipeline'!$Q$5:$Q$504,A64,'Demo Pipeline'!$W$5:$W$504,"Attended"))</f>
        <v/>
      </c>
      <c r="BF64" s="33" t="str">
        <f aca="false">IF(A64="","",COUNTIFS('Demo Pipeline'!$Q$5:$Q$504,A64,'Demo Pipeline'!$X$5:$X$504,"Yes"))</f>
        <v/>
      </c>
      <c r="BG64" s="33" t="str">
        <f aca="false">IF(A64="","",COUNTIFS('Demo Pipeline'!$Q$5:$Q$504,A64,'Demo Pipeline'!$Y$5:$Y$504,"Closed Won"))</f>
        <v/>
      </c>
      <c r="BH64" s="37" t="str">
        <f aca="false">IF(A64="","",SUMIFS('Demo Pipeline'!$Z$5:$Z$504,'Demo Pipeline'!$Q$5:$Q$504,A64))</f>
        <v/>
      </c>
      <c r="BI64" s="34" t="str">
        <f aca="false">IF(OR(AZ64="",N(AJ64)=0),"",AZ64/AJ64)</f>
        <v/>
      </c>
      <c r="BJ64" s="34" t="str">
        <f aca="false">IF(OR(BB64="",N(AZ64)=0),"",BB64/AZ64)</f>
        <v/>
      </c>
      <c r="BK64" s="34" t="str">
        <f aca="false">IF(OR(A64="",N(BB64)=0),"",BD64/BB64)</f>
        <v/>
      </c>
      <c r="BL64" s="34" t="str">
        <f aca="false">IF(OR(A64="",N(AZ64)=0),"",BD64/AZ64)</f>
        <v/>
      </c>
      <c r="BM64" s="37" t="str">
        <f aca="false">IF(OR(N(Q64)=0,N(BD64)=0),"",Q64/BD64)</f>
        <v/>
      </c>
      <c r="BN64" s="29"/>
      <c r="BO64" s="29"/>
      <c r="BP64" s="33" t="str">
        <f aca="false">IF(OR(AR64="",N(AO64)=0),"",AR64)</f>
        <v/>
      </c>
      <c r="BQ64" s="33" t="str">
        <f aca="false">IF(OR(AR64="",N(S64)=0),"",S64)</f>
        <v/>
      </c>
      <c r="BR64" s="38" t="str">
        <f aca="false">IF(AND(ISNUMBER(B64),B64&gt;=Dashboard!$C$4,B64&lt;=Dashboard!$F$4,ISNUMBER(AU64)),AU64+ROW()/10^9,"")</f>
        <v/>
      </c>
      <c r="BS64" s="38" t="str">
        <f aca="false">IF(AND(ISNUMBER(B64),B64&gt;=Dashboard!$C$4,B64&lt;=Dashboard!$F$4,A64&lt;&gt;""),N(BD64)+N(AU64)/100+ROW()/10^9,"")</f>
        <v/>
      </c>
    </row>
    <row r="65" customFormat="false" ht="15" hidden="false" customHeight="false" outlineLevel="0" collapsed="false">
      <c r="A65" s="24" t="str">
        <f aca="false">IF(OR(B65="",G65="",H65=""),"",IFERROR(INDEX(Settings!$E$5:$E$49,MATCH(G65,Settings!$D$5:$D$49,0))&amp;INDEX(Settings!$H$5:$H$47,MATCH(H65,Settings!$G$5:$G$47,0))&amp;"-"&amp;TEXT(B65,"yymmdd")&amp;"-"&amp;IF(C65="","0000",TEXT(C65,"hhmm")),"CHECK LISTS"))</f>
        <v/>
      </c>
      <c r="B65" s="39"/>
      <c r="C65" s="40"/>
      <c r="D65" s="24" t="str">
        <f aca="false">IF(B65="","",TEXT(B65,"ddd"))</f>
        <v/>
      </c>
      <c r="E65" s="27" t="str">
        <f aca="false">IF(B65="","",B65-WEEKDAY(B65,3))</f>
        <v/>
      </c>
      <c r="F65" s="24" t="str">
        <f aca="false">IF(B65="","",TEXT(B65,"yyyy-mm"))</f>
        <v/>
      </c>
      <c r="G65" s="29"/>
      <c r="H65" s="29"/>
      <c r="I65" s="29"/>
      <c r="J65" s="29"/>
      <c r="K65" s="29"/>
      <c r="L65" s="29"/>
      <c r="M65" s="29"/>
      <c r="N65" s="29"/>
      <c r="O65" s="29"/>
      <c r="P65" s="29"/>
      <c r="Q65" s="30"/>
      <c r="R65" s="29"/>
      <c r="S65" s="32"/>
      <c r="T65" s="29"/>
      <c r="U65" s="29"/>
      <c r="V65" s="24" t="str">
        <f aca="false">IF(A65="","",IFERROR(INDEX(Settings!$F$5:$F$49,MATCH(G65,Settings!$D$5:$D$49,0)),""))</f>
        <v/>
      </c>
      <c r="W65" s="24" t="str">
        <f aca="false">IF(A65="","",IF(OR(P65="",P65="Organic"),"social","paid_social"))</f>
        <v/>
      </c>
      <c r="X65" s="24" t="str">
        <f aca="false">IF(A65="","",IF(K65&lt;&gt;"",IFERROR(INDEX('Case Studies'!$C$5:$C$54,MATCH(K65,'Case Studies'!$B$5:$B$54,0))&amp;"","case-study"),IF(J65&lt;&gt;"",IFERROR(INDEX(Settings!$J$5:$J$55,MATCH(J65,Settings!$I$5:$I$55,0)),"general"),"general")))</f>
        <v/>
      </c>
      <c r="Y65" s="24" t="str">
        <f aca="false">IF(A65="","",LOWER(A65))</f>
        <v/>
      </c>
      <c r="Z65" s="24" t="str">
        <f aca="false">IF(A65="","",IF(T65="",Settings!$B$5,T65)&amp;IF(ISNUMBER(FIND("?",IF(T65="",Settings!$B$5,T65))),"&amp;","?")&amp;"utm_source="&amp;V65&amp;"&amp;utm_medium="&amp;W65&amp;"&amp;utm_campaign="&amp;X65&amp;"&amp;utm_content="&amp;Y65)</f>
        <v/>
      </c>
      <c r="AA65" s="29"/>
      <c r="AB65" s="39"/>
      <c r="AC65" s="32"/>
      <c r="AD65" s="32"/>
      <c r="AE65" s="32"/>
      <c r="AF65" s="32"/>
      <c r="AG65" s="32"/>
      <c r="AH65" s="32"/>
      <c r="AI65" s="32"/>
      <c r="AJ65" s="32"/>
      <c r="AK65" s="32"/>
      <c r="AL65" s="32"/>
      <c r="AM65" s="32"/>
      <c r="AN65" s="32"/>
      <c r="AO65" s="33" t="str">
        <f aca="false">IF(A65="","",IF(AD65&lt;&gt;"",AD65,IF(AC65&lt;&gt;"",AC65,"")))</f>
        <v/>
      </c>
      <c r="AP65" s="24" t="str">
        <f aca="false">IF(AO65="","",IF(AD65&lt;&gt;"","Reported reach","Impressions (proxy)"))</f>
        <v/>
      </c>
      <c r="AQ65" s="34" t="str">
        <f aca="false">IF(OR(AO65="",N(S65)=0),"",AO65/S65)</f>
        <v/>
      </c>
      <c r="AR65" s="33" t="str">
        <f aca="false">IF(A65="","",IF(COUNT(AF65:AJ65)=0,"",SUM(AF65:AJ65)))</f>
        <v/>
      </c>
      <c r="AS65" s="34" t="str">
        <f aca="false">IF(OR(AR65="",N(AO65)=0),"",AR65/AO65)</f>
        <v/>
      </c>
      <c r="AT65" s="34" t="str">
        <f aca="false">IF(OR(AR65="",N(AC65)=0),"",AR65/AC65)</f>
        <v/>
      </c>
      <c r="AU65" s="34" t="str">
        <f aca="false">IF(OR(AR65="",N(S65)=0),"",AR65/S65)</f>
        <v/>
      </c>
      <c r="AV65" s="34" t="str">
        <f aca="false">IF(OR(AJ65="",N(AC65)=0),"",AJ65/AC65)</f>
        <v/>
      </c>
      <c r="AW65" s="34" t="str">
        <f aca="false">IF(OR(AH65="",N(AO65)=0),"",AH65/AO65)</f>
        <v/>
      </c>
      <c r="AX65" s="35" t="str">
        <f aca="false">IF(OR(AR65="",N(AO65)=0),"",(N(AF65)*Settings!$B$6+N(AG65)*Settings!$B$7+N(AH65)*Settings!$B$8+N(AI65)*Settings!$B$9+N(AJ65)*Settings!$B$10)/AO65*1000)</f>
        <v/>
      </c>
      <c r="AY65" s="36" t="str">
        <f aca="false">IF(AS65="","",IFERROR(AS65/AVERAGEIFS('Post Tracker'!$AS$5:$AS$1004,'Post Tracker'!$G$5:$G$1004,G65),""))</f>
        <v/>
      </c>
      <c r="AZ65" s="32"/>
      <c r="BA65" s="32"/>
      <c r="BB65" s="32"/>
      <c r="BC65" s="32"/>
      <c r="BD65" s="33" t="str">
        <f aca="false">IF(A65="","",COUNTIFS('Demo Pipeline'!$Q$5:$Q$504,A65))</f>
        <v/>
      </c>
      <c r="BE65" s="33" t="str">
        <f aca="false">IF(A65="","",COUNTIFS('Demo Pipeline'!$Q$5:$Q$504,A65,'Demo Pipeline'!$W$5:$W$504,"Attended"))</f>
        <v/>
      </c>
      <c r="BF65" s="33" t="str">
        <f aca="false">IF(A65="","",COUNTIFS('Demo Pipeline'!$Q$5:$Q$504,A65,'Demo Pipeline'!$X$5:$X$504,"Yes"))</f>
        <v/>
      </c>
      <c r="BG65" s="33" t="str">
        <f aca="false">IF(A65="","",COUNTIFS('Demo Pipeline'!$Q$5:$Q$504,A65,'Demo Pipeline'!$Y$5:$Y$504,"Closed Won"))</f>
        <v/>
      </c>
      <c r="BH65" s="37" t="str">
        <f aca="false">IF(A65="","",SUMIFS('Demo Pipeline'!$Z$5:$Z$504,'Demo Pipeline'!$Q$5:$Q$504,A65))</f>
        <v/>
      </c>
      <c r="BI65" s="34" t="str">
        <f aca="false">IF(OR(AZ65="",N(AJ65)=0),"",AZ65/AJ65)</f>
        <v/>
      </c>
      <c r="BJ65" s="34" t="str">
        <f aca="false">IF(OR(BB65="",N(AZ65)=0),"",BB65/AZ65)</f>
        <v/>
      </c>
      <c r="BK65" s="34" t="str">
        <f aca="false">IF(OR(A65="",N(BB65)=0),"",BD65/BB65)</f>
        <v/>
      </c>
      <c r="BL65" s="34" t="str">
        <f aca="false">IF(OR(A65="",N(AZ65)=0),"",BD65/AZ65)</f>
        <v/>
      </c>
      <c r="BM65" s="37" t="str">
        <f aca="false">IF(OR(N(Q65)=0,N(BD65)=0),"",Q65/BD65)</f>
        <v/>
      </c>
      <c r="BN65" s="29"/>
      <c r="BO65" s="29"/>
      <c r="BP65" s="33" t="str">
        <f aca="false">IF(OR(AR65="",N(AO65)=0),"",AR65)</f>
        <v/>
      </c>
      <c r="BQ65" s="33" t="str">
        <f aca="false">IF(OR(AR65="",N(S65)=0),"",S65)</f>
        <v/>
      </c>
      <c r="BR65" s="38" t="str">
        <f aca="false">IF(AND(ISNUMBER(B65),B65&gt;=Dashboard!$C$4,B65&lt;=Dashboard!$F$4,ISNUMBER(AU65)),AU65+ROW()/10^9,"")</f>
        <v/>
      </c>
      <c r="BS65" s="38" t="str">
        <f aca="false">IF(AND(ISNUMBER(B65),B65&gt;=Dashboard!$C$4,B65&lt;=Dashboard!$F$4,A65&lt;&gt;""),N(BD65)+N(AU65)/100+ROW()/10^9,"")</f>
        <v/>
      </c>
    </row>
    <row r="66" customFormat="false" ht="15" hidden="false" customHeight="false" outlineLevel="0" collapsed="false">
      <c r="A66" s="24" t="str">
        <f aca="false">IF(OR(B66="",G66="",H66=""),"",IFERROR(INDEX(Settings!$E$5:$E$49,MATCH(G66,Settings!$D$5:$D$49,0))&amp;INDEX(Settings!$H$5:$H$47,MATCH(H66,Settings!$G$5:$G$47,0))&amp;"-"&amp;TEXT(B66,"yymmdd")&amp;"-"&amp;IF(C66="","0000",TEXT(C66,"hhmm")),"CHECK LISTS"))</f>
        <v/>
      </c>
      <c r="B66" s="39"/>
      <c r="C66" s="40"/>
      <c r="D66" s="24" t="str">
        <f aca="false">IF(B66="","",TEXT(B66,"ddd"))</f>
        <v/>
      </c>
      <c r="E66" s="27" t="str">
        <f aca="false">IF(B66="","",B66-WEEKDAY(B66,3))</f>
        <v/>
      </c>
      <c r="F66" s="24" t="str">
        <f aca="false">IF(B66="","",TEXT(B66,"yyyy-mm"))</f>
        <v/>
      </c>
      <c r="G66" s="29"/>
      <c r="H66" s="29"/>
      <c r="I66" s="29"/>
      <c r="J66" s="29"/>
      <c r="K66" s="29"/>
      <c r="L66" s="29"/>
      <c r="M66" s="29"/>
      <c r="N66" s="29"/>
      <c r="O66" s="29"/>
      <c r="P66" s="29"/>
      <c r="Q66" s="30"/>
      <c r="R66" s="29"/>
      <c r="S66" s="32"/>
      <c r="T66" s="29"/>
      <c r="U66" s="29"/>
      <c r="V66" s="24" t="str">
        <f aca="false">IF(A66="","",IFERROR(INDEX(Settings!$F$5:$F$49,MATCH(G66,Settings!$D$5:$D$49,0)),""))</f>
        <v/>
      </c>
      <c r="W66" s="24" t="str">
        <f aca="false">IF(A66="","",IF(OR(P66="",P66="Organic"),"social","paid_social"))</f>
        <v/>
      </c>
      <c r="X66" s="24" t="str">
        <f aca="false">IF(A66="","",IF(K66&lt;&gt;"",IFERROR(INDEX('Case Studies'!$C$5:$C$54,MATCH(K66,'Case Studies'!$B$5:$B$54,0))&amp;"","case-study"),IF(J66&lt;&gt;"",IFERROR(INDEX(Settings!$J$5:$J$55,MATCH(J66,Settings!$I$5:$I$55,0)),"general"),"general")))</f>
        <v/>
      </c>
      <c r="Y66" s="24" t="str">
        <f aca="false">IF(A66="","",LOWER(A66))</f>
        <v/>
      </c>
      <c r="Z66" s="24" t="str">
        <f aca="false">IF(A66="","",IF(T66="",Settings!$B$5,T66)&amp;IF(ISNUMBER(FIND("?",IF(T66="",Settings!$B$5,T66))),"&amp;","?")&amp;"utm_source="&amp;V66&amp;"&amp;utm_medium="&amp;W66&amp;"&amp;utm_campaign="&amp;X66&amp;"&amp;utm_content="&amp;Y66)</f>
        <v/>
      </c>
      <c r="AA66" s="29"/>
      <c r="AB66" s="39"/>
      <c r="AC66" s="32"/>
      <c r="AD66" s="32"/>
      <c r="AE66" s="32"/>
      <c r="AF66" s="32"/>
      <c r="AG66" s="32"/>
      <c r="AH66" s="32"/>
      <c r="AI66" s="32"/>
      <c r="AJ66" s="32"/>
      <c r="AK66" s="32"/>
      <c r="AL66" s="32"/>
      <c r="AM66" s="32"/>
      <c r="AN66" s="32"/>
      <c r="AO66" s="33" t="str">
        <f aca="false">IF(A66="","",IF(AD66&lt;&gt;"",AD66,IF(AC66&lt;&gt;"",AC66,"")))</f>
        <v/>
      </c>
      <c r="AP66" s="24" t="str">
        <f aca="false">IF(AO66="","",IF(AD66&lt;&gt;"","Reported reach","Impressions (proxy)"))</f>
        <v/>
      </c>
      <c r="AQ66" s="34" t="str">
        <f aca="false">IF(OR(AO66="",N(S66)=0),"",AO66/S66)</f>
        <v/>
      </c>
      <c r="AR66" s="33" t="str">
        <f aca="false">IF(A66="","",IF(COUNT(AF66:AJ66)=0,"",SUM(AF66:AJ66)))</f>
        <v/>
      </c>
      <c r="AS66" s="34" t="str">
        <f aca="false">IF(OR(AR66="",N(AO66)=0),"",AR66/AO66)</f>
        <v/>
      </c>
      <c r="AT66" s="34" t="str">
        <f aca="false">IF(OR(AR66="",N(AC66)=0),"",AR66/AC66)</f>
        <v/>
      </c>
      <c r="AU66" s="34" t="str">
        <f aca="false">IF(OR(AR66="",N(S66)=0),"",AR66/S66)</f>
        <v/>
      </c>
      <c r="AV66" s="34" t="str">
        <f aca="false">IF(OR(AJ66="",N(AC66)=0),"",AJ66/AC66)</f>
        <v/>
      </c>
      <c r="AW66" s="34" t="str">
        <f aca="false">IF(OR(AH66="",N(AO66)=0),"",AH66/AO66)</f>
        <v/>
      </c>
      <c r="AX66" s="35" t="str">
        <f aca="false">IF(OR(AR66="",N(AO66)=0),"",(N(AF66)*Settings!$B$6+N(AG66)*Settings!$B$7+N(AH66)*Settings!$B$8+N(AI66)*Settings!$B$9+N(AJ66)*Settings!$B$10)/AO66*1000)</f>
        <v/>
      </c>
      <c r="AY66" s="36" t="str">
        <f aca="false">IF(AS66="","",IFERROR(AS66/AVERAGEIFS('Post Tracker'!$AS$5:$AS$1004,'Post Tracker'!$G$5:$G$1004,G66),""))</f>
        <v/>
      </c>
      <c r="AZ66" s="32"/>
      <c r="BA66" s="32"/>
      <c r="BB66" s="32"/>
      <c r="BC66" s="32"/>
      <c r="BD66" s="33" t="str">
        <f aca="false">IF(A66="","",COUNTIFS('Demo Pipeline'!$Q$5:$Q$504,A66))</f>
        <v/>
      </c>
      <c r="BE66" s="33" t="str">
        <f aca="false">IF(A66="","",COUNTIFS('Demo Pipeline'!$Q$5:$Q$504,A66,'Demo Pipeline'!$W$5:$W$504,"Attended"))</f>
        <v/>
      </c>
      <c r="BF66" s="33" t="str">
        <f aca="false">IF(A66="","",COUNTIFS('Demo Pipeline'!$Q$5:$Q$504,A66,'Demo Pipeline'!$X$5:$X$504,"Yes"))</f>
        <v/>
      </c>
      <c r="BG66" s="33" t="str">
        <f aca="false">IF(A66="","",COUNTIFS('Demo Pipeline'!$Q$5:$Q$504,A66,'Demo Pipeline'!$Y$5:$Y$504,"Closed Won"))</f>
        <v/>
      </c>
      <c r="BH66" s="37" t="str">
        <f aca="false">IF(A66="","",SUMIFS('Demo Pipeline'!$Z$5:$Z$504,'Demo Pipeline'!$Q$5:$Q$504,A66))</f>
        <v/>
      </c>
      <c r="BI66" s="34" t="str">
        <f aca="false">IF(OR(AZ66="",N(AJ66)=0),"",AZ66/AJ66)</f>
        <v/>
      </c>
      <c r="BJ66" s="34" t="str">
        <f aca="false">IF(OR(BB66="",N(AZ66)=0),"",BB66/AZ66)</f>
        <v/>
      </c>
      <c r="BK66" s="34" t="str">
        <f aca="false">IF(OR(A66="",N(BB66)=0),"",BD66/BB66)</f>
        <v/>
      </c>
      <c r="BL66" s="34" t="str">
        <f aca="false">IF(OR(A66="",N(AZ66)=0),"",BD66/AZ66)</f>
        <v/>
      </c>
      <c r="BM66" s="37" t="str">
        <f aca="false">IF(OR(N(Q66)=0,N(BD66)=0),"",Q66/BD66)</f>
        <v/>
      </c>
      <c r="BN66" s="29"/>
      <c r="BO66" s="29"/>
      <c r="BP66" s="33" t="str">
        <f aca="false">IF(OR(AR66="",N(AO66)=0),"",AR66)</f>
        <v/>
      </c>
      <c r="BQ66" s="33" t="str">
        <f aca="false">IF(OR(AR66="",N(S66)=0),"",S66)</f>
        <v/>
      </c>
      <c r="BR66" s="38" t="str">
        <f aca="false">IF(AND(ISNUMBER(B66),B66&gt;=Dashboard!$C$4,B66&lt;=Dashboard!$F$4,ISNUMBER(AU66)),AU66+ROW()/10^9,"")</f>
        <v/>
      </c>
      <c r="BS66" s="38" t="str">
        <f aca="false">IF(AND(ISNUMBER(B66),B66&gt;=Dashboard!$C$4,B66&lt;=Dashboard!$F$4,A66&lt;&gt;""),N(BD66)+N(AU66)/100+ROW()/10^9,"")</f>
        <v/>
      </c>
    </row>
    <row r="67" customFormat="false" ht="15" hidden="false" customHeight="false" outlineLevel="0" collapsed="false">
      <c r="A67" s="24" t="str">
        <f aca="false">IF(OR(B67="",G67="",H67=""),"",IFERROR(INDEX(Settings!$E$5:$E$49,MATCH(G67,Settings!$D$5:$D$49,0))&amp;INDEX(Settings!$H$5:$H$47,MATCH(H67,Settings!$G$5:$G$47,0))&amp;"-"&amp;TEXT(B67,"yymmdd")&amp;"-"&amp;IF(C67="","0000",TEXT(C67,"hhmm")),"CHECK LISTS"))</f>
        <v/>
      </c>
      <c r="B67" s="39"/>
      <c r="C67" s="40"/>
      <c r="D67" s="24" t="str">
        <f aca="false">IF(B67="","",TEXT(B67,"ddd"))</f>
        <v/>
      </c>
      <c r="E67" s="27" t="str">
        <f aca="false">IF(B67="","",B67-WEEKDAY(B67,3))</f>
        <v/>
      </c>
      <c r="F67" s="24" t="str">
        <f aca="false">IF(B67="","",TEXT(B67,"yyyy-mm"))</f>
        <v/>
      </c>
      <c r="G67" s="29"/>
      <c r="H67" s="29"/>
      <c r="I67" s="29"/>
      <c r="J67" s="29"/>
      <c r="K67" s="29"/>
      <c r="L67" s="29"/>
      <c r="M67" s="29"/>
      <c r="N67" s="29"/>
      <c r="O67" s="29"/>
      <c r="P67" s="29"/>
      <c r="Q67" s="30"/>
      <c r="R67" s="29"/>
      <c r="S67" s="32"/>
      <c r="T67" s="29"/>
      <c r="U67" s="29"/>
      <c r="V67" s="24" t="str">
        <f aca="false">IF(A67="","",IFERROR(INDEX(Settings!$F$5:$F$49,MATCH(G67,Settings!$D$5:$D$49,0)),""))</f>
        <v/>
      </c>
      <c r="W67" s="24" t="str">
        <f aca="false">IF(A67="","",IF(OR(P67="",P67="Organic"),"social","paid_social"))</f>
        <v/>
      </c>
      <c r="X67" s="24" t="str">
        <f aca="false">IF(A67="","",IF(K67&lt;&gt;"",IFERROR(INDEX('Case Studies'!$C$5:$C$54,MATCH(K67,'Case Studies'!$B$5:$B$54,0))&amp;"","case-study"),IF(J67&lt;&gt;"",IFERROR(INDEX(Settings!$J$5:$J$55,MATCH(J67,Settings!$I$5:$I$55,0)),"general"),"general")))</f>
        <v/>
      </c>
      <c r="Y67" s="24" t="str">
        <f aca="false">IF(A67="","",LOWER(A67))</f>
        <v/>
      </c>
      <c r="Z67" s="24" t="str">
        <f aca="false">IF(A67="","",IF(T67="",Settings!$B$5,T67)&amp;IF(ISNUMBER(FIND("?",IF(T67="",Settings!$B$5,T67))),"&amp;","?")&amp;"utm_source="&amp;V67&amp;"&amp;utm_medium="&amp;W67&amp;"&amp;utm_campaign="&amp;X67&amp;"&amp;utm_content="&amp;Y67)</f>
        <v/>
      </c>
      <c r="AA67" s="29"/>
      <c r="AB67" s="39"/>
      <c r="AC67" s="32"/>
      <c r="AD67" s="32"/>
      <c r="AE67" s="32"/>
      <c r="AF67" s="32"/>
      <c r="AG67" s="32"/>
      <c r="AH67" s="32"/>
      <c r="AI67" s="32"/>
      <c r="AJ67" s="32"/>
      <c r="AK67" s="32"/>
      <c r="AL67" s="32"/>
      <c r="AM67" s="32"/>
      <c r="AN67" s="32"/>
      <c r="AO67" s="33" t="str">
        <f aca="false">IF(A67="","",IF(AD67&lt;&gt;"",AD67,IF(AC67&lt;&gt;"",AC67,"")))</f>
        <v/>
      </c>
      <c r="AP67" s="24" t="str">
        <f aca="false">IF(AO67="","",IF(AD67&lt;&gt;"","Reported reach","Impressions (proxy)"))</f>
        <v/>
      </c>
      <c r="AQ67" s="34" t="str">
        <f aca="false">IF(OR(AO67="",N(S67)=0),"",AO67/S67)</f>
        <v/>
      </c>
      <c r="AR67" s="33" t="str">
        <f aca="false">IF(A67="","",IF(COUNT(AF67:AJ67)=0,"",SUM(AF67:AJ67)))</f>
        <v/>
      </c>
      <c r="AS67" s="34" t="str">
        <f aca="false">IF(OR(AR67="",N(AO67)=0),"",AR67/AO67)</f>
        <v/>
      </c>
      <c r="AT67" s="34" t="str">
        <f aca="false">IF(OR(AR67="",N(AC67)=0),"",AR67/AC67)</f>
        <v/>
      </c>
      <c r="AU67" s="34" t="str">
        <f aca="false">IF(OR(AR67="",N(S67)=0),"",AR67/S67)</f>
        <v/>
      </c>
      <c r="AV67" s="34" t="str">
        <f aca="false">IF(OR(AJ67="",N(AC67)=0),"",AJ67/AC67)</f>
        <v/>
      </c>
      <c r="AW67" s="34" t="str">
        <f aca="false">IF(OR(AH67="",N(AO67)=0),"",AH67/AO67)</f>
        <v/>
      </c>
      <c r="AX67" s="35" t="str">
        <f aca="false">IF(OR(AR67="",N(AO67)=0),"",(N(AF67)*Settings!$B$6+N(AG67)*Settings!$B$7+N(AH67)*Settings!$B$8+N(AI67)*Settings!$B$9+N(AJ67)*Settings!$B$10)/AO67*1000)</f>
        <v/>
      </c>
      <c r="AY67" s="36" t="str">
        <f aca="false">IF(AS67="","",IFERROR(AS67/AVERAGEIFS('Post Tracker'!$AS$5:$AS$1004,'Post Tracker'!$G$5:$G$1004,G67),""))</f>
        <v/>
      </c>
      <c r="AZ67" s="32"/>
      <c r="BA67" s="32"/>
      <c r="BB67" s="32"/>
      <c r="BC67" s="32"/>
      <c r="BD67" s="33" t="str">
        <f aca="false">IF(A67="","",COUNTIFS('Demo Pipeline'!$Q$5:$Q$504,A67))</f>
        <v/>
      </c>
      <c r="BE67" s="33" t="str">
        <f aca="false">IF(A67="","",COUNTIFS('Demo Pipeline'!$Q$5:$Q$504,A67,'Demo Pipeline'!$W$5:$W$504,"Attended"))</f>
        <v/>
      </c>
      <c r="BF67" s="33" t="str">
        <f aca="false">IF(A67="","",COUNTIFS('Demo Pipeline'!$Q$5:$Q$504,A67,'Demo Pipeline'!$X$5:$X$504,"Yes"))</f>
        <v/>
      </c>
      <c r="BG67" s="33" t="str">
        <f aca="false">IF(A67="","",COUNTIFS('Demo Pipeline'!$Q$5:$Q$504,A67,'Demo Pipeline'!$Y$5:$Y$504,"Closed Won"))</f>
        <v/>
      </c>
      <c r="BH67" s="37" t="str">
        <f aca="false">IF(A67="","",SUMIFS('Demo Pipeline'!$Z$5:$Z$504,'Demo Pipeline'!$Q$5:$Q$504,A67))</f>
        <v/>
      </c>
      <c r="BI67" s="34" t="str">
        <f aca="false">IF(OR(AZ67="",N(AJ67)=0),"",AZ67/AJ67)</f>
        <v/>
      </c>
      <c r="BJ67" s="34" t="str">
        <f aca="false">IF(OR(BB67="",N(AZ67)=0),"",BB67/AZ67)</f>
        <v/>
      </c>
      <c r="BK67" s="34" t="str">
        <f aca="false">IF(OR(A67="",N(BB67)=0),"",BD67/BB67)</f>
        <v/>
      </c>
      <c r="BL67" s="34" t="str">
        <f aca="false">IF(OR(A67="",N(AZ67)=0),"",BD67/AZ67)</f>
        <v/>
      </c>
      <c r="BM67" s="37" t="str">
        <f aca="false">IF(OR(N(Q67)=0,N(BD67)=0),"",Q67/BD67)</f>
        <v/>
      </c>
      <c r="BN67" s="29"/>
      <c r="BO67" s="29"/>
      <c r="BP67" s="33" t="str">
        <f aca="false">IF(OR(AR67="",N(AO67)=0),"",AR67)</f>
        <v/>
      </c>
      <c r="BQ67" s="33" t="str">
        <f aca="false">IF(OR(AR67="",N(S67)=0),"",S67)</f>
        <v/>
      </c>
      <c r="BR67" s="38" t="str">
        <f aca="false">IF(AND(ISNUMBER(B67),B67&gt;=Dashboard!$C$4,B67&lt;=Dashboard!$F$4,ISNUMBER(AU67)),AU67+ROW()/10^9,"")</f>
        <v/>
      </c>
      <c r="BS67" s="38" t="str">
        <f aca="false">IF(AND(ISNUMBER(B67),B67&gt;=Dashboard!$C$4,B67&lt;=Dashboard!$F$4,A67&lt;&gt;""),N(BD67)+N(AU67)/100+ROW()/10^9,"")</f>
        <v/>
      </c>
    </row>
    <row r="68" customFormat="false" ht="15" hidden="false" customHeight="false" outlineLevel="0" collapsed="false">
      <c r="A68" s="24" t="str">
        <f aca="false">IF(OR(B68="",G68="",H68=""),"",IFERROR(INDEX(Settings!$E$5:$E$49,MATCH(G68,Settings!$D$5:$D$49,0))&amp;INDEX(Settings!$H$5:$H$47,MATCH(H68,Settings!$G$5:$G$47,0))&amp;"-"&amp;TEXT(B68,"yymmdd")&amp;"-"&amp;IF(C68="","0000",TEXT(C68,"hhmm")),"CHECK LISTS"))</f>
        <v/>
      </c>
      <c r="B68" s="39"/>
      <c r="C68" s="40"/>
      <c r="D68" s="24" t="str">
        <f aca="false">IF(B68="","",TEXT(B68,"ddd"))</f>
        <v/>
      </c>
      <c r="E68" s="27" t="str">
        <f aca="false">IF(B68="","",B68-WEEKDAY(B68,3))</f>
        <v/>
      </c>
      <c r="F68" s="24" t="str">
        <f aca="false">IF(B68="","",TEXT(B68,"yyyy-mm"))</f>
        <v/>
      </c>
      <c r="G68" s="29"/>
      <c r="H68" s="29"/>
      <c r="I68" s="29"/>
      <c r="J68" s="29"/>
      <c r="K68" s="29"/>
      <c r="L68" s="29"/>
      <c r="M68" s="29"/>
      <c r="N68" s="29"/>
      <c r="O68" s="29"/>
      <c r="P68" s="29"/>
      <c r="Q68" s="30"/>
      <c r="R68" s="29"/>
      <c r="S68" s="32"/>
      <c r="T68" s="29"/>
      <c r="U68" s="29"/>
      <c r="V68" s="24" t="str">
        <f aca="false">IF(A68="","",IFERROR(INDEX(Settings!$F$5:$F$49,MATCH(G68,Settings!$D$5:$D$49,0)),""))</f>
        <v/>
      </c>
      <c r="W68" s="24" t="str">
        <f aca="false">IF(A68="","",IF(OR(P68="",P68="Organic"),"social","paid_social"))</f>
        <v/>
      </c>
      <c r="X68" s="24" t="str">
        <f aca="false">IF(A68="","",IF(K68&lt;&gt;"",IFERROR(INDEX('Case Studies'!$C$5:$C$54,MATCH(K68,'Case Studies'!$B$5:$B$54,0))&amp;"","case-study"),IF(J68&lt;&gt;"",IFERROR(INDEX(Settings!$J$5:$J$55,MATCH(J68,Settings!$I$5:$I$55,0)),"general"),"general")))</f>
        <v/>
      </c>
      <c r="Y68" s="24" t="str">
        <f aca="false">IF(A68="","",LOWER(A68))</f>
        <v/>
      </c>
      <c r="Z68" s="24" t="str">
        <f aca="false">IF(A68="","",IF(T68="",Settings!$B$5,T68)&amp;IF(ISNUMBER(FIND("?",IF(T68="",Settings!$B$5,T68))),"&amp;","?")&amp;"utm_source="&amp;V68&amp;"&amp;utm_medium="&amp;W68&amp;"&amp;utm_campaign="&amp;X68&amp;"&amp;utm_content="&amp;Y68)</f>
        <v/>
      </c>
      <c r="AA68" s="29"/>
      <c r="AB68" s="39"/>
      <c r="AC68" s="32"/>
      <c r="AD68" s="32"/>
      <c r="AE68" s="32"/>
      <c r="AF68" s="32"/>
      <c r="AG68" s="32"/>
      <c r="AH68" s="32"/>
      <c r="AI68" s="32"/>
      <c r="AJ68" s="32"/>
      <c r="AK68" s="32"/>
      <c r="AL68" s="32"/>
      <c r="AM68" s="32"/>
      <c r="AN68" s="32"/>
      <c r="AO68" s="33" t="str">
        <f aca="false">IF(A68="","",IF(AD68&lt;&gt;"",AD68,IF(AC68&lt;&gt;"",AC68,"")))</f>
        <v/>
      </c>
      <c r="AP68" s="24" t="str">
        <f aca="false">IF(AO68="","",IF(AD68&lt;&gt;"","Reported reach","Impressions (proxy)"))</f>
        <v/>
      </c>
      <c r="AQ68" s="34" t="str">
        <f aca="false">IF(OR(AO68="",N(S68)=0),"",AO68/S68)</f>
        <v/>
      </c>
      <c r="AR68" s="33" t="str">
        <f aca="false">IF(A68="","",IF(COUNT(AF68:AJ68)=0,"",SUM(AF68:AJ68)))</f>
        <v/>
      </c>
      <c r="AS68" s="34" t="str">
        <f aca="false">IF(OR(AR68="",N(AO68)=0),"",AR68/AO68)</f>
        <v/>
      </c>
      <c r="AT68" s="34" t="str">
        <f aca="false">IF(OR(AR68="",N(AC68)=0),"",AR68/AC68)</f>
        <v/>
      </c>
      <c r="AU68" s="34" t="str">
        <f aca="false">IF(OR(AR68="",N(S68)=0),"",AR68/S68)</f>
        <v/>
      </c>
      <c r="AV68" s="34" t="str">
        <f aca="false">IF(OR(AJ68="",N(AC68)=0),"",AJ68/AC68)</f>
        <v/>
      </c>
      <c r="AW68" s="34" t="str">
        <f aca="false">IF(OR(AH68="",N(AO68)=0),"",AH68/AO68)</f>
        <v/>
      </c>
      <c r="AX68" s="35" t="str">
        <f aca="false">IF(OR(AR68="",N(AO68)=0),"",(N(AF68)*Settings!$B$6+N(AG68)*Settings!$B$7+N(AH68)*Settings!$B$8+N(AI68)*Settings!$B$9+N(AJ68)*Settings!$B$10)/AO68*1000)</f>
        <v/>
      </c>
      <c r="AY68" s="36" t="str">
        <f aca="false">IF(AS68="","",IFERROR(AS68/AVERAGEIFS('Post Tracker'!$AS$5:$AS$1004,'Post Tracker'!$G$5:$G$1004,G68),""))</f>
        <v/>
      </c>
      <c r="AZ68" s="32"/>
      <c r="BA68" s="32"/>
      <c r="BB68" s="32"/>
      <c r="BC68" s="32"/>
      <c r="BD68" s="33" t="str">
        <f aca="false">IF(A68="","",COUNTIFS('Demo Pipeline'!$Q$5:$Q$504,A68))</f>
        <v/>
      </c>
      <c r="BE68" s="33" t="str">
        <f aca="false">IF(A68="","",COUNTIFS('Demo Pipeline'!$Q$5:$Q$504,A68,'Demo Pipeline'!$W$5:$W$504,"Attended"))</f>
        <v/>
      </c>
      <c r="BF68" s="33" t="str">
        <f aca="false">IF(A68="","",COUNTIFS('Demo Pipeline'!$Q$5:$Q$504,A68,'Demo Pipeline'!$X$5:$X$504,"Yes"))</f>
        <v/>
      </c>
      <c r="BG68" s="33" t="str">
        <f aca="false">IF(A68="","",COUNTIFS('Demo Pipeline'!$Q$5:$Q$504,A68,'Demo Pipeline'!$Y$5:$Y$504,"Closed Won"))</f>
        <v/>
      </c>
      <c r="BH68" s="37" t="str">
        <f aca="false">IF(A68="","",SUMIFS('Demo Pipeline'!$Z$5:$Z$504,'Demo Pipeline'!$Q$5:$Q$504,A68))</f>
        <v/>
      </c>
      <c r="BI68" s="34" t="str">
        <f aca="false">IF(OR(AZ68="",N(AJ68)=0),"",AZ68/AJ68)</f>
        <v/>
      </c>
      <c r="BJ68" s="34" t="str">
        <f aca="false">IF(OR(BB68="",N(AZ68)=0),"",BB68/AZ68)</f>
        <v/>
      </c>
      <c r="BK68" s="34" t="str">
        <f aca="false">IF(OR(A68="",N(BB68)=0),"",BD68/BB68)</f>
        <v/>
      </c>
      <c r="BL68" s="34" t="str">
        <f aca="false">IF(OR(A68="",N(AZ68)=0),"",BD68/AZ68)</f>
        <v/>
      </c>
      <c r="BM68" s="37" t="str">
        <f aca="false">IF(OR(N(Q68)=0,N(BD68)=0),"",Q68/BD68)</f>
        <v/>
      </c>
      <c r="BN68" s="29"/>
      <c r="BO68" s="29"/>
      <c r="BP68" s="33" t="str">
        <f aca="false">IF(OR(AR68="",N(AO68)=0),"",AR68)</f>
        <v/>
      </c>
      <c r="BQ68" s="33" t="str">
        <f aca="false">IF(OR(AR68="",N(S68)=0),"",S68)</f>
        <v/>
      </c>
      <c r="BR68" s="38" t="str">
        <f aca="false">IF(AND(ISNUMBER(B68),B68&gt;=Dashboard!$C$4,B68&lt;=Dashboard!$F$4,ISNUMBER(AU68)),AU68+ROW()/10^9,"")</f>
        <v/>
      </c>
      <c r="BS68" s="38" t="str">
        <f aca="false">IF(AND(ISNUMBER(B68),B68&gt;=Dashboard!$C$4,B68&lt;=Dashboard!$F$4,A68&lt;&gt;""),N(BD68)+N(AU68)/100+ROW()/10^9,"")</f>
        <v/>
      </c>
    </row>
    <row r="69" customFormat="false" ht="15" hidden="false" customHeight="false" outlineLevel="0" collapsed="false">
      <c r="A69" s="24" t="str">
        <f aca="false">IF(OR(B69="",G69="",H69=""),"",IFERROR(INDEX(Settings!$E$5:$E$49,MATCH(G69,Settings!$D$5:$D$49,0))&amp;INDEX(Settings!$H$5:$H$47,MATCH(H69,Settings!$G$5:$G$47,0))&amp;"-"&amp;TEXT(B69,"yymmdd")&amp;"-"&amp;IF(C69="","0000",TEXT(C69,"hhmm")),"CHECK LISTS"))</f>
        <v/>
      </c>
      <c r="B69" s="39"/>
      <c r="C69" s="40"/>
      <c r="D69" s="24" t="str">
        <f aca="false">IF(B69="","",TEXT(B69,"ddd"))</f>
        <v/>
      </c>
      <c r="E69" s="27" t="str">
        <f aca="false">IF(B69="","",B69-WEEKDAY(B69,3))</f>
        <v/>
      </c>
      <c r="F69" s="24" t="str">
        <f aca="false">IF(B69="","",TEXT(B69,"yyyy-mm"))</f>
        <v/>
      </c>
      <c r="G69" s="29"/>
      <c r="H69" s="29"/>
      <c r="I69" s="29"/>
      <c r="J69" s="29"/>
      <c r="K69" s="29"/>
      <c r="L69" s="29"/>
      <c r="M69" s="29"/>
      <c r="N69" s="29"/>
      <c r="O69" s="29"/>
      <c r="P69" s="29"/>
      <c r="Q69" s="30"/>
      <c r="R69" s="29"/>
      <c r="S69" s="32"/>
      <c r="T69" s="29"/>
      <c r="U69" s="29"/>
      <c r="V69" s="24" t="str">
        <f aca="false">IF(A69="","",IFERROR(INDEX(Settings!$F$5:$F$49,MATCH(G69,Settings!$D$5:$D$49,0)),""))</f>
        <v/>
      </c>
      <c r="W69" s="24" t="str">
        <f aca="false">IF(A69="","",IF(OR(P69="",P69="Organic"),"social","paid_social"))</f>
        <v/>
      </c>
      <c r="X69" s="24" t="str">
        <f aca="false">IF(A69="","",IF(K69&lt;&gt;"",IFERROR(INDEX('Case Studies'!$C$5:$C$54,MATCH(K69,'Case Studies'!$B$5:$B$54,0))&amp;"","case-study"),IF(J69&lt;&gt;"",IFERROR(INDEX(Settings!$J$5:$J$55,MATCH(J69,Settings!$I$5:$I$55,0)),"general"),"general")))</f>
        <v/>
      </c>
      <c r="Y69" s="24" t="str">
        <f aca="false">IF(A69="","",LOWER(A69))</f>
        <v/>
      </c>
      <c r="Z69" s="24" t="str">
        <f aca="false">IF(A69="","",IF(T69="",Settings!$B$5,T69)&amp;IF(ISNUMBER(FIND("?",IF(T69="",Settings!$B$5,T69))),"&amp;","?")&amp;"utm_source="&amp;V69&amp;"&amp;utm_medium="&amp;W69&amp;"&amp;utm_campaign="&amp;X69&amp;"&amp;utm_content="&amp;Y69)</f>
        <v/>
      </c>
      <c r="AA69" s="29"/>
      <c r="AB69" s="39"/>
      <c r="AC69" s="32"/>
      <c r="AD69" s="32"/>
      <c r="AE69" s="32"/>
      <c r="AF69" s="32"/>
      <c r="AG69" s="32"/>
      <c r="AH69" s="32"/>
      <c r="AI69" s="32"/>
      <c r="AJ69" s="32"/>
      <c r="AK69" s="32"/>
      <c r="AL69" s="32"/>
      <c r="AM69" s="32"/>
      <c r="AN69" s="32"/>
      <c r="AO69" s="33" t="str">
        <f aca="false">IF(A69="","",IF(AD69&lt;&gt;"",AD69,IF(AC69&lt;&gt;"",AC69,"")))</f>
        <v/>
      </c>
      <c r="AP69" s="24" t="str">
        <f aca="false">IF(AO69="","",IF(AD69&lt;&gt;"","Reported reach","Impressions (proxy)"))</f>
        <v/>
      </c>
      <c r="AQ69" s="34" t="str">
        <f aca="false">IF(OR(AO69="",N(S69)=0),"",AO69/S69)</f>
        <v/>
      </c>
      <c r="AR69" s="33" t="str">
        <f aca="false">IF(A69="","",IF(COUNT(AF69:AJ69)=0,"",SUM(AF69:AJ69)))</f>
        <v/>
      </c>
      <c r="AS69" s="34" t="str">
        <f aca="false">IF(OR(AR69="",N(AO69)=0),"",AR69/AO69)</f>
        <v/>
      </c>
      <c r="AT69" s="34" t="str">
        <f aca="false">IF(OR(AR69="",N(AC69)=0),"",AR69/AC69)</f>
        <v/>
      </c>
      <c r="AU69" s="34" t="str">
        <f aca="false">IF(OR(AR69="",N(S69)=0),"",AR69/S69)</f>
        <v/>
      </c>
      <c r="AV69" s="34" t="str">
        <f aca="false">IF(OR(AJ69="",N(AC69)=0),"",AJ69/AC69)</f>
        <v/>
      </c>
      <c r="AW69" s="34" t="str">
        <f aca="false">IF(OR(AH69="",N(AO69)=0),"",AH69/AO69)</f>
        <v/>
      </c>
      <c r="AX69" s="35" t="str">
        <f aca="false">IF(OR(AR69="",N(AO69)=0),"",(N(AF69)*Settings!$B$6+N(AG69)*Settings!$B$7+N(AH69)*Settings!$B$8+N(AI69)*Settings!$B$9+N(AJ69)*Settings!$B$10)/AO69*1000)</f>
        <v/>
      </c>
      <c r="AY69" s="36" t="str">
        <f aca="false">IF(AS69="","",IFERROR(AS69/AVERAGEIFS('Post Tracker'!$AS$5:$AS$1004,'Post Tracker'!$G$5:$G$1004,G69),""))</f>
        <v/>
      </c>
      <c r="AZ69" s="32"/>
      <c r="BA69" s="32"/>
      <c r="BB69" s="32"/>
      <c r="BC69" s="32"/>
      <c r="BD69" s="33" t="str">
        <f aca="false">IF(A69="","",COUNTIFS('Demo Pipeline'!$Q$5:$Q$504,A69))</f>
        <v/>
      </c>
      <c r="BE69" s="33" t="str">
        <f aca="false">IF(A69="","",COUNTIFS('Demo Pipeline'!$Q$5:$Q$504,A69,'Demo Pipeline'!$W$5:$W$504,"Attended"))</f>
        <v/>
      </c>
      <c r="BF69" s="33" t="str">
        <f aca="false">IF(A69="","",COUNTIFS('Demo Pipeline'!$Q$5:$Q$504,A69,'Demo Pipeline'!$X$5:$X$504,"Yes"))</f>
        <v/>
      </c>
      <c r="BG69" s="33" t="str">
        <f aca="false">IF(A69="","",COUNTIFS('Demo Pipeline'!$Q$5:$Q$504,A69,'Demo Pipeline'!$Y$5:$Y$504,"Closed Won"))</f>
        <v/>
      </c>
      <c r="BH69" s="37" t="str">
        <f aca="false">IF(A69="","",SUMIFS('Demo Pipeline'!$Z$5:$Z$504,'Demo Pipeline'!$Q$5:$Q$504,A69))</f>
        <v/>
      </c>
      <c r="BI69" s="34" t="str">
        <f aca="false">IF(OR(AZ69="",N(AJ69)=0),"",AZ69/AJ69)</f>
        <v/>
      </c>
      <c r="BJ69" s="34" t="str">
        <f aca="false">IF(OR(BB69="",N(AZ69)=0),"",BB69/AZ69)</f>
        <v/>
      </c>
      <c r="BK69" s="34" t="str">
        <f aca="false">IF(OR(A69="",N(BB69)=0),"",BD69/BB69)</f>
        <v/>
      </c>
      <c r="BL69" s="34" t="str">
        <f aca="false">IF(OR(A69="",N(AZ69)=0),"",BD69/AZ69)</f>
        <v/>
      </c>
      <c r="BM69" s="37" t="str">
        <f aca="false">IF(OR(N(Q69)=0,N(BD69)=0),"",Q69/BD69)</f>
        <v/>
      </c>
      <c r="BN69" s="29"/>
      <c r="BO69" s="29"/>
      <c r="BP69" s="33" t="str">
        <f aca="false">IF(OR(AR69="",N(AO69)=0),"",AR69)</f>
        <v/>
      </c>
      <c r="BQ69" s="33" t="str">
        <f aca="false">IF(OR(AR69="",N(S69)=0),"",S69)</f>
        <v/>
      </c>
      <c r="BR69" s="38" t="str">
        <f aca="false">IF(AND(ISNUMBER(B69),B69&gt;=Dashboard!$C$4,B69&lt;=Dashboard!$F$4,ISNUMBER(AU69)),AU69+ROW()/10^9,"")</f>
        <v/>
      </c>
      <c r="BS69" s="38" t="str">
        <f aca="false">IF(AND(ISNUMBER(B69),B69&gt;=Dashboard!$C$4,B69&lt;=Dashboard!$F$4,A69&lt;&gt;""),N(BD69)+N(AU69)/100+ROW()/10^9,"")</f>
        <v/>
      </c>
    </row>
    <row r="70" customFormat="false" ht="15" hidden="false" customHeight="false" outlineLevel="0" collapsed="false">
      <c r="A70" s="24" t="str">
        <f aca="false">IF(OR(B70="",G70="",H70=""),"",IFERROR(INDEX(Settings!$E$5:$E$49,MATCH(G70,Settings!$D$5:$D$49,0))&amp;INDEX(Settings!$H$5:$H$47,MATCH(H70,Settings!$G$5:$G$47,0))&amp;"-"&amp;TEXT(B70,"yymmdd")&amp;"-"&amp;IF(C70="","0000",TEXT(C70,"hhmm")),"CHECK LISTS"))</f>
        <v/>
      </c>
      <c r="B70" s="39"/>
      <c r="C70" s="40"/>
      <c r="D70" s="24" t="str">
        <f aca="false">IF(B70="","",TEXT(B70,"ddd"))</f>
        <v/>
      </c>
      <c r="E70" s="27" t="str">
        <f aca="false">IF(B70="","",B70-WEEKDAY(B70,3))</f>
        <v/>
      </c>
      <c r="F70" s="24" t="str">
        <f aca="false">IF(B70="","",TEXT(B70,"yyyy-mm"))</f>
        <v/>
      </c>
      <c r="G70" s="29"/>
      <c r="H70" s="29"/>
      <c r="I70" s="29"/>
      <c r="J70" s="29"/>
      <c r="K70" s="29"/>
      <c r="L70" s="29"/>
      <c r="M70" s="29"/>
      <c r="N70" s="29"/>
      <c r="O70" s="29"/>
      <c r="P70" s="29"/>
      <c r="Q70" s="30"/>
      <c r="R70" s="29"/>
      <c r="S70" s="32"/>
      <c r="T70" s="29"/>
      <c r="U70" s="29"/>
      <c r="V70" s="24" t="str">
        <f aca="false">IF(A70="","",IFERROR(INDEX(Settings!$F$5:$F$49,MATCH(G70,Settings!$D$5:$D$49,0)),""))</f>
        <v/>
      </c>
      <c r="W70" s="24" t="str">
        <f aca="false">IF(A70="","",IF(OR(P70="",P70="Organic"),"social","paid_social"))</f>
        <v/>
      </c>
      <c r="X70" s="24" t="str">
        <f aca="false">IF(A70="","",IF(K70&lt;&gt;"",IFERROR(INDEX('Case Studies'!$C$5:$C$54,MATCH(K70,'Case Studies'!$B$5:$B$54,0))&amp;"","case-study"),IF(J70&lt;&gt;"",IFERROR(INDEX(Settings!$J$5:$J$55,MATCH(J70,Settings!$I$5:$I$55,0)),"general"),"general")))</f>
        <v/>
      </c>
      <c r="Y70" s="24" t="str">
        <f aca="false">IF(A70="","",LOWER(A70))</f>
        <v/>
      </c>
      <c r="Z70" s="24" t="str">
        <f aca="false">IF(A70="","",IF(T70="",Settings!$B$5,T70)&amp;IF(ISNUMBER(FIND("?",IF(T70="",Settings!$B$5,T70))),"&amp;","?")&amp;"utm_source="&amp;V70&amp;"&amp;utm_medium="&amp;W70&amp;"&amp;utm_campaign="&amp;X70&amp;"&amp;utm_content="&amp;Y70)</f>
        <v/>
      </c>
      <c r="AA70" s="29"/>
      <c r="AB70" s="39"/>
      <c r="AC70" s="32"/>
      <c r="AD70" s="32"/>
      <c r="AE70" s="32"/>
      <c r="AF70" s="32"/>
      <c r="AG70" s="32"/>
      <c r="AH70" s="32"/>
      <c r="AI70" s="32"/>
      <c r="AJ70" s="32"/>
      <c r="AK70" s="32"/>
      <c r="AL70" s="32"/>
      <c r="AM70" s="32"/>
      <c r="AN70" s="32"/>
      <c r="AO70" s="33" t="str">
        <f aca="false">IF(A70="","",IF(AD70&lt;&gt;"",AD70,IF(AC70&lt;&gt;"",AC70,"")))</f>
        <v/>
      </c>
      <c r="AP70" s="24" t="str">
        <f aca="false">IF(AO70="","",IF(AD70&lt;&gt;"","Reported reach","Impressions (proxy)"))</f>
        <v/>
      </c>
      <c r="AQ70" s="34" t="str">
        <f aca="false">IF(OR(AO70="",N(S70)=0),"",AO70/S70)</f>
        <v/>
      </c>
      <c r="AR70" s="33" t="str">
        <f aca="false">IF(A70="","",IF(COUNT(AF70:AJ70)=0,"",SUM(AF70:AJ70)))</f>
        <v/>
      </c>
      <c r="AS70" s="34" t="str">
        <f aca="false">IF(OR(AR70="",N(AO70)=0),"",AR70/AO70)</f>
        <v/>
      </c>
      <c r="AT70" s="34" t="str">
        <f aca="false">IF(OR(AR70="",N(AC70)=0),"",AR70/AC70)</f>
        <v/>
      </c>
      <c r="AU70" s="34" t="str">
        <f aca="false">IF(OR(AR70="",N(S70)=0),"",AR70/S70)</f>
        <v/>
      </c>
      <c r="AV70" s="34" t="str">
        <f aca="false">IF(OR(AJ70="",N(AC70)=0),"",AJ70/AC70)</f>
        <v/>
      </c>
      <c r="AW70" s="34" t="str">
        <f aca="false">IF(OR(AH70="",N(AO70)=0),"",AH70/AO70)</f>
        <v/>
      </c>
      <c r="AX70" s="35" t="str">
        <f aca="false">IF(OR(AR70="",N(AO70)=0),"",(N(AF70)*Settings!$B$6+N(AG70)*Settings!$B$7+N(AH70)*Settings!$B$8+N(AI70)*Settings!$B$9+N(AJ70)*Settings!$B$10)/AO70*1000)</f>
        <v/>
      </c>
      <c r="AY70" s="36" t="str">
        <f aca="false">IF(AS70="","",IFERROR(AS70/AVERAGEIFS('Post Tracker'!$AS$5:$AS$1004,'Post Tracker'!$G$5:$G$1004,G70),""))</f>
        <v/>
      </c>
      <c r="AZ70" s="32"/>
      <c r="BA70" s="32"/>
      <c r="BB70" s="32"/>
      <c r="BC70" s="32"/>
      <c r="BD70" s="33" t="str">
        <f aca="false">IF(A70="","",COUNTIFS('Demo Pipeline'!$Q$5:$Q$504,A70))</f>
        <v/>
      </c>
      <c r="BE70" s="33" t="str">
        <f aca="false">IF(A70="","",COUNTIFS('Demo Pipeline'!$Q$5:$Q$504,A70,'Demo Pipeline'!$W$5:$W$504,"Attended"))</f>
        <v/>
      </c>
      <c r="BF70" s="33" t="str">
        <f aca="false">IF(A70="","",COUNTIFS('Demo Pipeline'!$Q$5:$Q$504,A70,'Demo Pipeline'!$X$5:$X$504,"Yes"))</f>
        <v/>
      </c>
      <c r="BG70" s="33" t="str">
        <f aca="false">IF(A70="","",COUNTIFS('Demo Pipeline'!$Q$5:$Q$504,A70,'Demo Pipeline'!$Y$5:$Y$504,"Closed Won"))</f>
        <v/>
      </c>
      <c r="BH70" s="37" t="str">
        <f aca="false">IF(A70="","",SUMIFS('Demo Pipeline'!$Z$5:$Z$504,'Demo Pipeline'!$Q$5:$Q$504,A70))</f>
        <v/>
      </c>
      <c r="BI70" s="34" t="str">
        <f aca="false">IF(OR(AZ70="",N(AJ70)=0),"",AZ70/AJ70)</f>
        <v/>
      </c>
      <c r="BJ70" s="34" t="str">
        <f aca="false">IF(OR(BB70="",N(AZ70)=0),"",BB70/AZ70)</f>
        <v/>
      </c>
      <c r="BK70" s="34" t="str">
        <f aca="false">IF(OR(A70="",N(BB70)=0),"",BD70/BB70)</f>
        <v/>
      </c>
      <c r="BL70" s="34" t="str">
        <f aca="false">IF(OR(A70="",N(AZ70)=0),"",BD70/AZ70)</f>
        <v/>
      </c>
      <c r="BM70" s="37" t="str">
        <f aca="false">IF(OR(N(Q70)=0,N(BD70)=0),"",Q70/BD70)</f>
        <v/>
      </c>
      <c r="BN70" s="29"/>
      <c r="BO70" s="29"/>
      <c r="BP70" s="33" t="str">
        <f aca="false">IF(OR(AR70="",N(AO70)=0),"",AR70)</f>
        <v/>
      </c>
      <c r="BQ70" s="33" t="str">
        <f aca="false">IF(OR(AR70="",N(S70)=0),"",S70)</f>
        <v/>
      </c>
      <c r="BR70" s="38" t="str">
        <f aca="false">IF(AND(ISNUMBER(B70),B70&gt;=Dashboard!$C$4,B70&lt;=Dashboard!$F$4,ISNUMBER(AU70)),AU70+ROW()/10^9,"")</f>
        <v/>
      </c>
      <c r="BS70" s="38" t="str">
        <f aca="false">IF(AND(ISNUMBER(B70),B70&gt;=Dashboard!$C$4,B70&lt;=Dashboard!$F$4,A70&lt;&gt;""),N(BD70)+N(AU70)/100+ROW()/10^9,"")</f>
        <v/>
      </c>
    </row>
    <row r="71" customFormat="false" ht="15" hidden="false" customHeight="false" outlineLevel="0" collapsed="false">
      <c r="A71" s="24" t="str">
        <f aca="false">IF(OR(B71="",G71="",H71=""),"",IFERROR(INDEX(Settings!$E$5:$E$49,MATCH(G71,Settings!$D$5:$D$49,0))&amp;INDEX(Settings!$H$5:$H$47,MATCH(H71,Settings!$G$5:$G$47,0))&amp;"-"&amp;TEXT(B71,"yymmdd")&amp;"-"&amp;IF(C71="","0000",TEXT(C71,"hhmm")),"CHECK LISTS"))</f>
        <v/>
      </c>
      <c r="B71" s="39"/>
      <c r="C71" s="40"/>
      <c r="D71" s="24" t="str">
        <f aca="false">IF(B71="","",TEXT(B71,"ddd"))</f>
        <v/>
      </c>
      <c r="E71" s="27" t="str">
        <f aca="false">IF(B71="","",B71-WEEKDAY(B71,3))</f>
        <v/>
      </c>
      <c r="F71" s="24" t="str">
        <f aca="false">IF(B71="","",TEXT(B71,"yyyy-mm"))</f>
        <v/>
      </c>
      <c r="G71" s="29"/>
      <c r="H71" s="29"/>
      <c r="I71" s="29"/>
      <c r="J71" s="29"/>
      <c r="K71" s="29"/>
      <c r="L71" s="29"/>
      <c r="M71" s="29"/>
      <c r="N71" s="29"/>
      <c r="O71" s="29"/>
      <c r="P71" s="29"/>
      <c r="Q71" s="30"/>
      <c r="R71" s="29"/>
      <c r="S71" s="32"/>
      <c r="T71" s="29"/>
      <c r="U71" s="29"/>
      <c r="V71" s="24" t="str">
        <f aca="false">IF(A71="","",IFERROR(INDEX(Settings!$F$5:$F$49,MATCH(G71,Settings!$D$5:$D$49,0)),""))</f>
        <v/>
      </c>
      <c r="W71" s="24" t="str">
        <f aca="false">IF(A71="","",IF(OR(P71="",P71="Organic"),"social","paid_social"))</f>
        <v/>
      </c>
      <c r="X71" s="24" t="str">
        <f aca="false">IF(A71="","",IF(K71&lt;&gt;"",IFERROR(INDEX('Case Studies'!$C$5:$C$54,MATCH(K71,'Case Studies'!$B$5:$B$54,0))&amp;"","case-study"),IF(J71&lt;&gt;"",IFERROR(INDEX(Settings!$J$5:$J$55,MATCH(J71,Settings!$I$5:$I$55,0)),"general"),"general")))</f>
        <v/>
      </c>
      <c r="Y71" s="24" t="str">
        <f aca="false">IF(A71="","",LOWER(A71))</f>
        <v/>
      </c>
      <c r="Z71" s="24" t="str">
        <f aca="false">IF(A71="","",IF(T71="",Settings!$B$5,T71)&amp;IF(ISNUMBER(FIND("?",IF(T71="",Settings!$B$5,T71))),"&amp;","?")&amp;"utm_source="&amp;V71&amp;"&amp;utm_medium="&amp;W71&amp;"&amp;utm_campaign="&amp;X71&amp;"&amp;utm_content="&amp;Y71)</f>
        <v/>
      </c>
      <c r="AA71" s="29"/>
      <c r="AB71" s="39"/>
      <c r="AC71" s="32"/>
      <c r="AD71" s="32"/>
      <c r="AE71" s="32"/>
      <c r="AF71" s="32"/>
      <c r="AG71" s="32"/>
      <c r="AH71" s="32"/>
      <c r="AI71" s="32"/>
      <c r="AJ71" s="32"/>
      <c r="AK71" s="32"/>
      <c r="AL71" s="32"/>
      <c r="AM71" s="32"/>
      <c r="AN71" s="32"/>
      <c r="AO71" s="33" t="str">
        <f aca="false">IF(A71="","",IF(AD71&lt;&gt;"",AD71,IF(AC71&lt;&gt;"",AC71,"")))</f>
        <v/>
      </c>
      <c r="AP71" s="24" t="str">
        <f aca="false">IF(AO71="","",IF(AD71&lt;&gt;"","Reported reach","Impressions (proxy)"))</f>
        <v/>
      </c>
      <c r="AQ71" s="34" t="str">
        <f aca="false">IF(OR(AO71="",N(S71)=0),"",AO71/S71)</f>
        <v/>
      </c>
      <c r="AR71" s="33" t="str">
        <f aca="false">IF(A71="","",IF(COUNT(AF71:AJ71)=0,"",SUM(AF71:AJ71)))</f>
        <v/>
      </c>
      <c r="AS71" s="34" t="str">
        <f aca="false">IF(OR(AR71="",N(AO71)=0),"",AR71/AO71)</f>
        <v/>
      </c>
      <c r="AT71" s="34" t="str">
        <f aca="false">IF(OR(AR71="",N(AC71)=0),"",AR71/AC71)</f>
        <v/>
      </c>
      <c r="AU71" s="34" t="str">
        <f aca="false">IF(OR(AR71="",N(S71)=0),"",AR71/S71)</f>
        <v/>
      </c>
      <c r="AV71" s="34" t="str">
        <f aca="false">IF(OR(AJ71="",N(AC71)=0),"",AJ71/AC71)</f>
        <v/>
      </c>
      <c r="AW71" s="34" t="str">
        <f aca="false">IF(OR(AH71="",N(AO71)=0),"",AH71/AO71)</f>
        <v/>
      </c>
      <c r="AX71" s="35" t="str">
        <f aca="false">IF(OR(AR71="",N(AO71)=0),"",(N(AF71)*Settings!$B$6+N(AG71)*Settings!$B$7+N(AH71)*Settings!$B$8+N(AI71)*Settings!$B$9+N(AJ71)*Settings!$B$10)/AO71*1000)</f>
        <v/>
      </c>
      <c r="AY71" s="36" t="str">
        <f aca="false">IF(AS71="","",IFERROR(AS71/AVERAGEIFS('Post Tracker'!$AS$5:$AS$1004,'Post Tracker'!$G$5:$G$1004,G71),""))</f>
        <v/>
      </c>
      <c r="AZ71" s="32"/>
      <c r="BA71" s="32"/>
      <c r="BB71" s="32"/>
      <c r="BC71" s="32"/>
      <c r="BD71" s="33" t="str">
        <f aca="false">IF(A71="","",COUNTIFS('Demo Pipeline'!$Q$5:$Q$504,A71))</f>
        <v/>
      </c>
      <c r="BE71" s="33" t="str">
        <f aca="false">IF(A71="","",COUNTIFS('Demo Pipeline'!$Q$5:$Q$504,A71,'Demo Pipeline'!$W$5:$W$504,"Attended"))</f>
        <v/>
      </c>
      <c r="BF71" s="33" t="str">
        <f aca="false">IF(A71="","",COUNTIFS('Demo Pipeline'!$Q$5:$Q$504,A71,'Demo Pipeline'!$X$5:$X$504,"Yes"))</f>
        <v/>
      </c>
      <c r="BG71" s="33" t="str">
        <f aca="false">IF(A71="","",COUNTIFS('Demo Pipeline'!$Q$5:$Q$504,A71,'Demo Pipeline'!$Y$5:$Y$504,"Closed Won"))</f>
        <v/>
      </c>
      <c r="BH71" s="37" t="str">
        <f aca="false">IF(A71="","",SUMIFS('Demo Pipeline'!$Z$5:$Z$504,'Demo Pipeline'!$Q$5:$Q$504,A71))</f>
        <v/>
      </c>
      <c r="BI71" s="34" t="str">
        <f aca="false">IF(OR(AZ71="",N(AJ71)=0),"",AZ71/AJ71)</f>
        <v/>
      </c>
      <c r="BJ71" s="34" t="str">
        <f aca="false">IF(OR(BB71="",N(AZ71)=0),"",BB71/AZ71)</f>
        <v/>
      </c>
      <c r="BK71" s="34" t="str">
        <f aca="false">IF(OR(A71="",N(BB71)=0),"",BD71/BB71)</f>
        <v/>
      </c>
      <c r="BL71" s="34" t="str">
        <f aca="false">IF(OR(A71="",N(AZ71)=0),"",BD71/AZ71)</f>
        <v/>
      </c>
      <c r="BM71" s="37" t="str">
        <f aca="false">IF(OR(N(Q71)=0,N(BD71)=0),"",Q71/BD71)</f>
        <v/>
      </c>
      <c r="BN71" s="29"/>
      <c r="BO71" s="29"/>
      <c r="BP71" s="33" t="str">
        <f aca="false">IF(OR(AR71="",N(AO71)=0),"",AR71)</f>
        <v/>
      </c>
      <c r="BQ71" s="33" t="str">
        <f aca="false">IF(OR(AR71="",N(S71)=0),"",S71)</f>
        <v/>
      </c>
      <c r="BR71" s="38" t="str">
        <f aca="false">IF(AND(ISNUMBER(B71),B71&gt;=Dashboard!$C$4,B71&lt;=Dashboard!$F$4,ISNUMBER(AU71)),AU71+ROW()/10^9,"")</f>
        <v/>
      </c>
      <c r="BS71" s="38" t="str">
        <f aca="false">IF(AND(ISNUMBER(B71),B71&gt;=Dashboard!$C$4,B71&lt;=Dashboard!$F$4,A71&lt;&gt;""),N(BD71)+N(AU71)/100+ROW()/10^9,"")</f>
        <v/>
      </c>
    </row>
    <row r="72" customFormat="false" ht="15" hidden="false" customHeight="false" outlineLevel="0" collapsed="false">
      <c r="A72" s="24" t="str">
        <f aca="false">IF(OR(B72="",G72="",H72=""),"",IFERROR(INDEX(Settings!$E$5:$E$49,MATCH(G72,Settings!$D$5:$D$49,0))&amp;INDEX(Settings!$H$5:$H$47,MATCH(H72,Settings!$G$5:$G$47,0))&amp;"-"&amp;TEXT(B72,"yymmdd")&amp;"-"&amp;IF(C72="","0000",TEXT(C72,"hhmm")),"CHECK LISTS"))</f>
        <v/>
      </c>
      <c r="B72" s="39"/>
      <c r="C72" s="40"/>
      <c r="D72" s="24" t="str">
        <f aca="false">IF(B72="","",TEXT(B72,"ddd"))</f>
        <v/>
      </c>
      <c r="E72" s="27" t="str">
        <f aca="false">IF(B72="","",B72-WEEKDAY(B72,3))</f>
        <v/>
      </c>
      <c r="F72" s="24" t="str">
        <f aca="false">IF(B72="","",TEXT(B72,"yyyy-mm"))</f>
        <v/>
      </c>
      <c r="G72" s="29"/>
      <c r="H72" s="29"/>
      <c r="I72" s="29"/>
      <c r="J72" s="29"/>
      <c r="K72" s="29"/>
      <c r="L72" s="29"/>
      <c r="M72" s="29"/>
      <c r="N72" s="29"/>
      <c r="O72" s="29"/>
      <c r="P72" s="29"/>
      <c r="Q72" s="30"/>
      <c r="R72" s="29"/>
      <c r="S72" s="32"/>
      <c r="T72" s="29"/>
      <c r="U72" s="29"/>
      <c r="V72" s="24" t="str">
        <f aca="false">IF(A72="","",IFERROR(INDEX(Settings!$F$5:$F$49,MATCH(G72,Settings!$D$5:$D$49,0)),""))</f>
        <v/>
      </c>
      <c r="W72" s="24" t="str">
        <f aca="false">IF(A72="","",IF(OR(P72="",P72="Organic"),"social","paid_social"))</f>
        <v/>
      </c>
      <c r="X72" s="24" t="str">
        <f aca="false">IF(A72="","",IF(K72&lt;&gt;"",IFERROR(INDEX('Case Studies'!$C$5:$C$54,MATCH(K72,'Case Studies'!$B$5:$B$54,0))&amp;"","case-study"),IF(J72&lt;&gt;"",IFERROR(INDEX(Settings!$J$5:$J$55,MATCH(J72,Settings!$I$5:$I$55,0)),"general"),"general")))</f>
        <v/>
      </c>
      <c r="Y72" s="24" t="str">
        <f aca="false">IF(A72="","",LOWER(A72))</f>
        <v/>
      </c>
      <c r="Z72" s="24" t="str">
        <f aca="false">IF(A72="","",IF(T72="",Settings!$B$5,T72)&amp;IF(ISNUMBER(FIND("?",IF(T72="",Settings!$B$5,T72))),"&amp;","?")&amp;"utm_source="&amp;V72&amp;"&amp;utm_medium="&amp;W72&amp;"&amp;utm_campaign="&amp;X72&amp;"&amp;utm_content="&amp;Y72)</f>
        <v/>
      </c>
      <c r="AA72" s="29"/>
      <c r="AB72" s="39"/>
      <c r="AC72" s="32"/>
      <c r="AD72" s="32"/>
      <c r="AE72" s="32"/>
      <c r="AF72" s="32"/>
      <c r="AG72" s="32"/>
      <c r="AH72" s="32"/>
      <c r="AI72" s="32"/>
      <c r="AJ72" s="32"/>
      <c r="AK72" s="32"/>
      <c r="AL72" s="32"/>
      <c r="AM72" s="32"/>
      <c r="AN72" s="32"/>
      <c r="AO72" s="33" t="str">
        <f aca="false">IF(A72="","",IF(AD72&lt;&gt;"",AD72,IF(AC72&lt;&gt;"",AC72,"")))</f>
        <v/>
      </c>
      <c r="AP72" s="24" t="str">
        <f aca="false">IF(AO72="","",IF(AD72&lt;&gt;"","Reported reach","Impressions (proxy)"))</f>
        <v/>
      </c>
      <c r="AQ72" s="34" t="str">
        <f aca="false">IF(OR(AO72="",N(S72)=0),"",AO72/S72)</f>
        <v/>
      </c>
      <c r="AR72" s="33" t="str">
        <f aca="false">IF(A72="","",IF(COUNT(AF72:AJ72)=0,"",SUM(AF72:AJ72)))</f>
        <v/>
      </c>
      <c r="AS72" s="34" t="str">
        <f aca="false">IF(OR(AR72="",N(AO72)=0),"",AR72/AO72)</f>
        <v/>
      </c>
      <c r="AT72" s="34" t="str">
        <f aca="false">IF(OR(AR72="",N(AC72)=0),"",AR72/AC72)</f>
        <v/>
      </c>
      <c r="AU72" s="34" t="str">
        <f aca="false">IF(OR(AR72="",N(S72)=0),"",AR72/S72)</f>
        <v/>
      </c>
      <c r="AV72" s="34" t="str">
        <f aca="false">IF(OR(AJ72="",N(AC72)=0),"",AJ72/AC72)</f>
        <v/>
      </c>
      <c r="AW72" s="34" t="str">
        <f aca="false">IF(OR(AH72="",N(AO72)=0),"",AH72/AO72)</f>
        <v/>
      </c>
      <c r="AX72" s="35" t="str">
        <f aca="false">IF(OR(AR72="",N(AO72)=0),"",(N(AF72)*Settings!$B$6+N(AG72)*Settings!$B$7+N(AH72)*Settings!$B$8+N(AI72)*Settings!$B$9+N(AJ72)*Settings!$B$10)/AO72*1000)</f>
        <v/>
      </c>
      <c r="AY72" s="36" t="str">
        <f aca="false">IF(AS72="","",IFERROR(AS72/AVERAGEIFS('Post Tracker'!$AS$5:$AS$1004,'Post Tracker'!$G$5:$G$1004,G72),""))</f>
        <v/>
      </c>
      <c r="AZ72" s="32"/>
      <c r="BA72" s="32"/>
      <c r="BB72" s="32"/>
      <c r="BC72" s="32"/>
      <c r="BD72" s="33" t="str">
        <f aca="false">IF(A72="","",COUNTIFS('Demo Pipeline'!$Q$5:$Q$504,A72))</f>
        <v/>
      </c>
      <c r="BE72" s="33" t="str">
        <f aca="false">IF(A72="","",COUNTIFS('Demo Pipeline'!$Q$5:$Q$504,A72,'Demo Pipeline'!$W$5:$W$504,"Attended"))</f>
        <v/>
      </c>
      <c r="BF72" s="33" t="str">
        <f aca="false">IF(A72="","",COUNTIFS('Demo Pipeline'!$Q$5:$Q$504,A72,'Demo Pipeline'!$X$5:$X$504,"Yes"))</f>
        <v/>
      </c>
      <c r="BG72" s="33" t="str">
        <f aca="false">IF(A72="","",COUNTIFS('Demo Pipeline'!$Q$5:$Q$504,A72,'Demo Pipeline'!$Y$5:$Y$504,"Closed Won"))</f>
        <v/>
      </c>
      <c r="BH72" s="37" t="str">
        <f aca="false">IF(A72="","",SUMIFS('Demo Pipeline'!$Z$5:$Z$504,'Demo Pipeline'!$Q$5:$Q$504,A72))</f>
        <v/>
      </c>
      <c r="BI72" s="34" t="str">
        <f aca="false">IF(OR(AZ72="",N(AJ72)=0),"",AZ72/AJ72)</f>
        <v/>
      </c>
      <c r="BJ72" s="34" t="str">
        <f aca="false">IF(OR(BB72="",N(AZ72)=0),"",BB72/AZ72)</f>
        <v/>
      </c>
      <c r="BK72" s="34" t="str">
        <f aca="false">IF(OR(A72="",N(BB72)=0),"",BD72/BB72)</f>
        <v/>
      </c>
      <c r="BL72" s="34" t="str">
        <f aca="false">IF(OR(A72="",N(AZ72)=0),"",BD72/AZ72)</f>
        <v/>
      </c>
      <c r="BM72" s="37" t="str">
        <f aca="false">IF(OR(N(Q72)=0,N(BD72)=0),"",Q72/BD72)</f>
        <v/>
      </c>
      <c r="BN72" s="29"/>
      <c r="BO72" s="29"/>
      <c r="BP72" s="33" t="str">
        <f aca="false">IF(OR(AR72="",N(AO72)=0),"",AR72)</f>
        <v/>
      </c>
      <c r="BQ72" s="33" t="str">
        <f aca="false">IF(OR(AR72="",N(S72)=0),"",S72)</f>
        <v/>
      </c>
      <c r="BR72" s="38" t="str">
        <f aca="false">IF(AND(ISNUMBER(B72),B72&gt;=Dashboard!$C$4,B72&lt;=Dashboard!$F$4,ISNUMBER(AU72)),AU72+ROW()/10^9,"")</f>
        <v/>
      </c>
      <c r="BS72" s="38" t="str">
        <f aca="false">IF(AND(ISNUMBER(B72),B72&gt;=Dashboard!$C$4,B72&lt;=Dashboard!$F$4,A72&lt;&gt;""),N(BD72)+N(AU72)/100+ROW()/10^9,"")</f>
        <v/>
      </c>
    </row>
    <row r="73" customFormat="false" ht="15" hidden="false" customHeight="false" outlineLevel="0" collapsed="false">
      <c r="A73" s="24" t="str">
        <f aca="false">IF(OR(B73="",G73="",H73=""),"",IFERROR(INDEX(Settings!$E$5:$E$49,MATCH(G73,Settings!$D$5:$D$49,0))&amp;INDEX(Settings!$H$5:$H$47,MATCH(H73,Settings!$G$5:$G$47,0))&amp;"-"&amp;TEXT(B73,"yymmdd")&amp;"-"&amp;IF(C73="","0000",TEXT(C73,"hhmm")),"CHECK LISTS"))</f>
        <v/>
      </c>
      <c r="B73" s="39"/>
      <c r="C73" s="40"/>
      <c r="D73" s="24" t="str">
        <f aca="false">IF(B73="","",TEXT(B73,"ddd"))</f>
        <v/>
      </c>
      <c r="E73" s="27" t="str">
        <f aca="false">IF(B73="","",B73-WEEKDAY(B73,3))</f>
        <v/>
      </c>
      <c r="F73" s="24" t="str">
        <f aca="false">IF(B73="","",TEXT(B73,"yyyy-mm"))</f>
        <v/>
      </c>
      <c r="G73" s="29"/>
      <c r="H73" s="29"/>
      <c r="I73" s="29"/>
      <c r="J73" s="29"/>
      <c r="K73" s="29"/>
      <c r="L73" s="29"/>
      <c r="M73" s="29"/>
      <c r="N73" s="29"/>
      <c r="O73" s="29"/>
      <c r="P73" s="29"/>
      <c r="Q73" s="30"/>
      <c r="R73" s="29"/>
      <c r="S73" s="32"/>
      <c r="T73" s="29"/>
      <c r="U73" s="29"/>
      <c r="V73" s="24" t="str">
        <f aca="false">IF(A73="","",IFERROR(INDEX(Settings!$F$5:$F$49,MATCH(G73,Settings!$D$5:$D$49,0)),""))</f>
        <v/>
      </c>
      <c r="W73" s="24" t="str">
        <f aca="false">IF(A73="","",IF(OR(P73="",P73="Organic"),"social","paid_social"))</f>
        <v/>
      </c>
      <c r="X73" s="24" t="str">
        <f aca="false">IF(A73="","",IF(K73&lt;&gt;"",IFERROR(INDEX('Case Studies'!$C$5:$C$54,MATCH(K73,'Case Studies'!$B$5:$B$54,0))&amp;"","case-study"),IF(J73&lt;&gt;"",IFERROR(INDEX(Settings!$J$5:$J$55,MATCH(J73,Settings!$I$5:$I$55,0)),"general"),"general")))</f>
        <v/>
      </c>
      <c r="Y73" s="24" t="str">
        <f aca="false">IF(A73="","",LOWER(A73))</f>
        <v/>
      </c>
      <c r="Z73" s="24" t="str">
        <f aca="false">IF(A73="","",IF(T73="",Settings!$B$5,T73)&amp;IF(ISNUMBER(FIND("?",IF(T73="",Settings!$B$5,T73))),"&amp;","?")&amp;"utm_source="&amp;V73&amp;"&amp;utm_medium="&amp;W73&amp;"&amp;utm_campaign="&amp;X73&amp;"&amp;utm_content="&amp;Y73)</f>
        <v/>
      </c>
      <c r="AA73" s="29"/>
      <c r="AB73" s="39"/>
      <c r="AC73" s="32"/>
      <c r="AD73" s="32"/>
      <c r="AE73" s="32"/>
      <c r="AF73" s="32"/>
      <c r="AG73" s="32"/>
      <c r="AH73" s="32"/>
      <c r="AI73" s="32"/>
      <c r="AJ73" s="32"/>
      <c r="AK73" s="32"/>
      <c r="AL73" s="32"/>
      <c r="AM73" s="32"/>
      <c r="AN73" s="32"/>
      <c r="AO73" s="33" t="str">
        <f aca="false">IF(A73="","",IF(AD73&lt;&gt;"",AD73,IF(AC73&lt;&gt;"",AC73,"")))</f>
        <v/>
      </c>
      <c r="AP73" s="24" t="str">
        <f aca="false">IF(AO73="","",IF(AD73&lt;&gt;"","Reported reach","Impressions (proxy)"))</f>
        <v/>
      </c>
      <c r="AQ73" s="34" t="str">
        <f aca="false">IF(OR(AO73="",N(S73)=0),"",AO73/S73)</f>
        <v/>
      </c>
      <c r="AR73" s="33" t="str">
        <f aca="false">IF(A73="","",IF(COUNT(AF73:AJ73)=0,"",SUM(AF73:AJ73)))</f>
        <v/>
      </c>
      <c r="AS73" s="34" t="str">
        <f aca="false">IF(OR(AR73="",N(AO73)=0),"",AR73/AO73)</f>
        <v/>
      </c>
      <c r="AT73" s="34" t="str">
        <f aca="false">IF(OR(AR73="",N(AC73)=0),"",AR73/AC73)</f>
        <v/>
      </c>
      <c r="AU73" s="34" t="str">
        <f aca="false">IF(OR(AR73="",N(S73)=0),"",AR73/S73)</f>
        <v/>
      </c>
      <c r="AV73" s="34" t="str">
        <f aca="false">IF(OR(AJ73="",N(AC73)=0),"",AJ73/AC73)</f>
        <v/>
      </c>
      <c r="AW73" s="34" t="str">
        <f aca="false">IF(OR(AH73="",N(AO73)=0),"",AH73/AO73)</f>
        <v/>
      </c>
      <c r="AX73" s="35" t="str">
        <f aca="false">IF(OR(AR73="",N(AO73)=0),"",(N(AF73)*Settings!$B$6+N(AG73)*Settings!$B$7+N(AH73)*Settings!$B$8+N(AI73)*Settings!$B$9+N(AJ73)*Settings!$B$10)/AO73*1000)</f>
        <v/>
      </c>
      <c r="AY73" s="36" t="str">
        <f aca="false">IF(AS73="","",IFERROR(AS73/AVERAGEIFS('Post Tracker'!$AS$5:$AS$1004,'Post Tracker'!$G$5:$G$1004,G73),""))</f>
        <v/>
      </c>
      <c r="AZ73" s="32"/>
      <c r="BA73" s="32"/>
      <c r="BB73" s="32"/>
      <c r="BC73" s="32"/>
      <c r="BD73" s="33" t="str">
        <f aca="false">IF(A73="","",COUNTIFS('Demo Pipeline'!$Q$5:$Q$504,A73))</f>
        <v/>
      </c>
      <c r="BE73" s="33" t="str">
        <f aca="false">IF(A73="","",COUNTIFS('Demo Pipeline'!$Q$5:$Q$504,A73,'Demo Pipeline'!$W$5:$W$504,"Attended"))</f>
        <v/>
      </c>
      <c r="BF73" s="33" t="str">
        <f aca="false">IF(A73="","",COUNTIFS('Demo Pipeline'!$Q$5:$Q$504,A73,'Demo Pipeline'!$X$5:$X$504,"Yes"))</f>
        <v/>
      </c>
      <c r="BG73" s="33" t="str">
        <f aca="false">IF(A73="","",COUNTIFS('Demo Pipeline'!$Q$5:$Q$504,A73,'Demo Pipeline'!$Y$5:$Y$504,"Closed Won"))</f>
        <v/>
      </c>
      <c r="BH73" s="37" t="str">
        <f aca="false">IF(A73="","",SUMIFS('Demo Pipeline'!$Z$5:$Z$504,'Demo Pipeline'!$Q$5:$Q$504,A73))</f>
        <v/>
      </c>
      <c r="BI73" s="34" t="str">
        <f aca="false">IF(OR(AZ73="",N(AJ73)=0),"",AZ73/AJ73)</f>
        <v/>
      </c>
      <c r="BJ73" s="34" t="str">
        <f aca="false">IF(OR(BB73="",N(AZ73)=0),"",BB73/AZ73)</f>
        <v/>
      </c>
      <c r="BK73" s="34" t="str">
        <f aca="false">IF(OR(A73="",N(BB73)=0),"",BD73/BB73)</f>
        <v/>
      </c>
      <c r="BL73" s="34" t="str">
        <f aca="false">IF(OR(A73="",N(AZ73)=0),"",BD73/AZ73)</f>
        <v/>
      </c>
      <c r="BM73" s="37" t="str">
        <f aca="false">IF(OR(N(Q73)=0,N(BD73)=0),"",Q73/BD73)</f>
        <v/>
      </c>
      <c r="BN73" s="29"/>
      <c r="BO73" s="29"/>
      <c r="BP73" s="33" t="str">
        <f aca="false">IF(OR(AR73="",N(AO73)=0),"",AR73)</f>
        <v/>
      </c>
      <c r="BQ73" s="33" t="str">
        <f aca="false">IF(OR(AR73="",N(S73)=0),"",S73)</f>
        <v/>
      </c>
      <c r="BR73" s="38" t="str">
        <f aca="false">IF(AND(ISNUMBER(B73),B73&gt;=Dashboard!$C$4,B73&lt;=Dashboard!$F$4,ISNUMBER(AU73)),AU73+ROW()/10^9,"")</f>
        <v/>
      </c>
      <c r="BS73" s="38" t="str">
        <f aca="false">IF(AND(ISNUMBER(B73),B73&gt;=Dashboard!$C$4,B73&lt;=Dashboard!$F$4,A73&lt;&gt;""),N(BD73)+N(AU73)/100+ROW()/10^9,"")</f>
        <v/>
      </c>
    </row>
    <row r="74" customFormat="false" ht="15" hidden="false" customHeight="false" outlineLevel="0" collapsed="false">
      <c r="A74" s="24" t="str">
        <f aca="false">IF(OR(B74="",G74="",H74=""),"",IFERROR(INDEX(Settings!$E$5:$E$49,MATCH(G74,Settings!$D$5:$D$49,0))&amp;INDEX(Settings!$H$5:$H$47,MATCH(H74,Settings!$G$5:$G$47,0))&amp;"-"&amp;TEXT(B74,"yymmdd")&amp;"-"&amp;IF(C74="","0000",TEXT(C74,"hhmm")),"CHECK LISTS"))</f>
        <v/>
      </c>
      <c r="B74" s="39"/>
      <c r="C74" s="40"/>
      <c r="D74" s="24" t="str">
        <f aca="false">IF(B74="","",TEXT(B74,"ddd"))</f>
        <v/>
      </c>
      <c r="E74" s="27" t="str">
        <f aca="false">IF(B74="","",B74-WEEKDAY(B74,3))</f>
        <v/>
      </c>
      <c r="F74" s="24" t="str">
        <f aca="false">IF(B74="","",TEXT(B74,"yyyy-mm"))</f>
        <v/>
      </c>
      <c r="G74" s="29"/>
      <c r="H74" s="29"/>
      <c r="I74" s="29"/>
      <c r="J74" s="29"/>
      <c r="K74" s="29"/>
      <c r="L74" s="29"/>
      <c r="M74" s="29"/>
      <c r="N74" s="29"/>
      <c r="O74" s="29"/>
      <c r="P74" s="29"/>
      <c r="Q74" s="30"/>
      <c r="R74" s="29"/>
      <c r="S74" s="32"/>
      <c r="T74" s="29"/>
      <c r="U74" s="29"/>
      <c r="V74" s="24" t="str">
        <f aca="false">IF(A74="","",IFERROR(INDEX(Settings!$F$5:$F$49,MATCH(G74,Settings!$D$5:$D$49,0)),""))</f>
        <v/>
      </c>
      <c r="W74" s="24" t="str">
        <f aca="false">IF(A74="","",IF(OR(P74="",P74="Organic"),"social","paid_social"))</f>
        <v/>
      </c>
      <c r="X74" s="24" t="str">
        <f aca="false">IF(A74="","",IF(K74&lt;&gt;"",IFERROR(INDEX('Case Studies'!$C$5:$C$54,MATCH(K74,'Case Studies'!$B$5:$B$54,0))&amp;"","case-study"),IF(J74&lt;&gt;"",IFERROR(INDEX(Settings!$J$5:$J$55,MATCH(J74,Settings!$I$5:$I$55,0)),"general"),"general")))</f>
        <v/>
      </c>
      <c r="Y74" s="24" t="str">
        <f aca="false">IF(A74="","",LOWER(A74))</f>
        <v/>
      </c>
      <c r="Z74" s="24" t="str">
        <f aca="false">IF(A74="","",IF(T74="",Settings!$B$5,T74)&amp;IF(ISNUMBER(FIND("?",IF(T74="",Settings!$B$5,T74))),"&amp;","?")&amp;"utm_source="&amp;V74&amp;"&amp;utm_medium="&amp;W74&amp;"&amp;utm_campaign="&amp;X74&amp;"&amp;utm_content="&amp;Y74)</f>
        <v/>
      </c>
      <c r="AA74" s="29"/>
      <c r="AB74" s="39"/>
      <c r="AC74" s="32"/>
      <c r="AD74" s="32"/>
      <c r="AE74" s="32"/>
      <c r="AF74" s="32"/>
      <c r="AG74" s="32"/>
      <c r="AH74" s="32"/>
      <c r="AI74" s="32"/>
      <c r="AJ74" s="32"/>
      <c r="AK74" s="32"/>
      <c r="AL74" s="32"/>
      <c r="AM74" s="32"/>
      <c r="AN74" s="32"/>
      <c r="AO74" s="33" t="str">
        <f aca="false">IF(A74="","",IF(AD74&lt;&gt;"",AD74,IF(AC74&lt;&gt;"",AC74,"")))</f>
        <v/>
      </c>
      <c r="AP74" s="24" t="str">
        <f aca="false">IF(AO74="","",IF(AD74&lt;&gt;"","Reported reach","Impressions (proxy)"))</f>
        <v/>
      </c>
      <c r="AQ74" s="34" t="str">
        <f aca="false">IF(OR(AO74="",N(S74)=0),"",AO74/S74)</f>
        <v/>
      </c>
      <c r="AR74" s="33" t="str">
        <f aca="false">IF(A74="","",IF(COUNT(AF74:AJ74)=0,"",SUM(AF74:AJ74)))</f>
        <v/>
      </c>
      <c r="AS74" s="34" t="str">
        <f aca="false">IF(OR(AR74="",N(AO74)=0),"",AR74/AO74)</f>
        <v/>
      </c>
      <c r="AT74" s="34" t="str">
        <f aca="false">IF(OR(AR74="",N(AC74)=0),"",AR74/AC74)</f>
        <v/>
      </c>
      <c r="AU74" s="34" t="str">
        <f aca="false">IF(OR(AR74="",N(S74)=0),"",AR74/S74)</f>
        <v/>
      </c>
      <c r="AV74" s="34" t="str">
        <f aca="false">IF(OR(AJ74="",N(AC74)=0),"",AJ74/AC74)</f>
        <v/>
      </c>
      <c r="AW74" s="34" t="str">
        <f aca="false">IF(OR(AH74="",N(AO74)=0),"",AH74/AO74)</f>
        <v/>
      </c>
      <c r="AX74" s="35" t="str">
        <f aca="false">IF(OR(AR74="",N(AO74)=0),"",(N(AF74)*Settings!$B$6+N(AG74)*Settings!$B$7+N(AH74)*Settings!$B$8+N(AI74)*Settings!$B$9+N(AJ74)*Settings!$B$10)/AO74*1000)</f>
        <v/>
      </c>
      <c r="AY74" s="36" t="str">
        <f aca="false">IF(AS74="","",IFERROR(AS74/AVERAGEIFS('Post Tracker'!$AS$5:$AS$1004,'Post Tracker'!$G$5:$G$1004,G74),""))</f>
        <v/>
      </c>
      <c r="AZ74" s="32"/>
      <c r="BA74" s="32"/>
      <c r="BB74" s="32"/>
      <c r="BC74" s="32"/>
      <c r="BD74" s="33" t="str">
        <f aca="false">IF(A74="","",COUNTIFS('Demo Pipeline'!$Q$5:$Q$504,A74))</f>
        <v/>
      </c>
      <c r="BE74" s="33" t="str">
        <f aca="false">IF(A74="","",COUNTIFS('Demo Pipeline'!$Q$5:$Q$504,A74,'Demo Pipeline'!$W$5:$W$504,"Attended"))</f>
        <v/>
      </c>
      <c r="BF74" s="33" t="str">
        <f aca="false">IF(A74="","",COUNTIFS('Demo Pipeline'!$Q$5:$Q$504,A74,'Demo Pipeline'!$X$5:$X$504,"Yes"))</f>
        <v/>
      </c>
      <c r="BG74" s="33" t="str">
        <f aca="false">IF(A74="","",COUNTIFS('Demo Pipeline'!$Q$5:$Q$504,A74,'Demo Pipeline'!$Y$5:$Y$504,"Closed Won"))</f>
        <v/>
      </c>
      <c r="BH74" s="37" t="str">
        <f aca="false">IF(A74="","",SUMIFS('Demo Pipeline'!$Z$5:$Z$504,'Demo Pipeline'!$Q$5:$Q$504,A74))</f>
        <v/>
      </c>
      <c r="BI74" s="34" t="str">
        <f aca="false">IF(OR(AZ74="",N(AJ74)=0),"",AZ74/AJ74)</f>
        <v/>
      </c>
      <c r="BJ74" s="34" t="str">
        <f aca="false">IF(OR(BB74="",N(AZ74)=0),"",BB74/AZ74)</f>
        <v/>
      </c>
      <c r="BK74" s="34" t="str">
        <f aca="false">IF(OR(A74="",N(BB74)=0),"",BD74/BB74)</f>
        <v/>
      </c>
      <c r="BL74" s="34" t="str">
        <f aca="false">IF(OR(A74="",N(AZ74)=0),"",BD74/AZ74)</f>
        <v/>
      </c>
      <c r="BM74" s="37" t="str">
        <f aca="false">IF(OR(N(Q74)=0,N(BD74)=0),"",Q74/BD74)</f>
        <v/>
      </c>
      <c r="BN74" s="29"/>
      <c r="BO74" s="29"/>
      <c r="BP74" s="33" t="str">
        <f aca="false">IF(OR(AR74="",N(AO74)=0),"",AR74)</f>
        <v/>
      </c>
      <c r="BQ74" s="33" t="str">
        <f aca="false">IF(OR(AR74="",N(S74)=0),"",S74)</f>
        <v/>
      </c>
      <c r="BR74" s="38" t="str">
        <f aca="false">IF(AND(ISNUMBER(B74),B74&gt;=Dashboard!$C$4,B74&lt;=Dashboard!$F$4,ISNUMBER(AU74)),AU74+ROW()/10^9,"")</f>
        <v/>
      </c>
      <c r="BS74" s="38" t="str">
        <f aca="false">IF(AND(ISNUMBER(B74),B74&gt;=Dashboard!$C$4,B74&lt;=Dashboard!$F$4,A74&lt;&gt;""),N(BD74)+N(AU74)/100+ROW()/10^9,"")</f>
        <v/>
      </c>
    </row>
    <row r="75" customFormat="false" ht="15" hidden="false" customHeight="false" outlineLevel="0" collapsed="false">
      <c r="A75" s="24" t="str">
        <f aca="false">IF(OR(B75="",G75="",H75=""),"",IFERROR(INDEX(Settings!$E$5:$E$49,MATCH(G75,Settings!$D$5:$D$49,0))&amp;INDEX(Settings!$H$5:$H$47,MATCH(H75,Settings!$G$5:$G$47,0))&amp;"-"&amp;TEXT(B75,"yymmdd")&amp;"-"&amp;IF(C75="","0000",TEXT(C75,"hhmm")),"CHECK LISTS"))</f>
        <v/>
      </c>
      <c r="B75" s="39"/>
      <c r="C75" s="40"/>
      <c r="D75" s="24" t="str">
        <f aca="false">IF(B75="","",TEXT(B75,"ddd"))</f>
        <v/>
      </c>
      <c r="E75" s="27" t="str">
        <f aca="false">IF(B75="","",B75-WEEKDAY(B75,3))</f>
        <v/>
      </c>
      <c r="F75" s="24" t="str">
        <f aca="false">IF(B75="","",TEXT(B75,"yyyy-mm"))</f>
        <v/>
      </c>
      <c r="G75" s="29"/>
      <c r="H75" s="29"/>
      <c r="I75" s="29"/>
      <c r="J75" s="29"/>
      <c r="K75" s="29"/>
      <c r="L75" s="29"/>
      <c r="M75" s="29"/>
      <c r="N75" s="29"/>
      <c r="O75" s="29"/>
      <c r="P75" s="29"/>
      <c r="Q75" s="30"/>
      <c r="R75" s="29"/>
      <c r="S75" s="32"/>
      <c r="T75" s="29"/>
      <c r="U75" s="29"/>
      <c r="V75" s="24" t="str">
        <f aca="false">IF(A75="","",IFERROR(INDEX(Settings!$F$5:$F$49,MATCH(G75,Settings!$D$5:$D$49,0)),""))</f>
        <v/>
      </c>
      <c r="W75" s="24" t="str">
        <f aca="false">IF(A75="","",IF(OR(P75="",P75="Organic"),"social","paid_social"))</f>
        <v/>
      </c>
      <c r="X75" s="24" t="str">
        <f aca="false">IF(A75="","",IF(K75&lt;&gt;"",IFERROR(INDEX('Case Studies'!$C$5:$C$54,MATCH(K75,'Case Studies'!$B$5:$B$54,0))&amp;"","case-study"),IF(J75&lt;&gt;"",IFERROR(INDEX(Settings!$J$5:$J$55,MATCH(J75,Settings!$I$5:$I$55,0)),"general"),"general")))</f>
        <v/>
      </c>
      <c r="Y75" s="24" t="str">
        <f aca="false">IF(A75="","",LOWER(A75))</f>
        <v/>
      </c>
      <c r="Z75" s="24" t="str">
        <f aca="false">IF(A75="","",IF(T75="",Settings!$B$5,T75)&amp;IF(ISNUMBER(FIND("?",IF(T75="",Settings!$B$5,T75))),"&amp;","?")&amp;"utm_source="&amp;V75&amp;"&amp;utm_medium="&amp;W75&amp;"&amp;utm_campaign="&amp;X75&amp;"&amp;utm_content="&amp;Y75)</f>
        <v/>
      </c>
      <c r="AA75" s="29"/>
      <c r="AB75" s="39"/>
      <c r="AC75" s="32"/>
      <c r="AD75" s="32"/>
      <c r="AE75" s="32"/>
      <c r="AF75" s="32"/>
      <c r="AG75" s="32"/>
      <c r="AH75" s="32"/>
      <c r="AI75" s="32"/>
      <c r="AJ75" s="32"/>
      <c r="AK75" s="32"/>
      <c r="AL75" s="32"/>
      <c r="AM75" s="32"/>
      <c r="AN75" s="32"/>
      <c r="AO75" s="33" t="str">
        <f aca="false">IF(A75="","",IF(AD75&lt;&gt;"",AD75,IF(AC75&lt;&gt;"",AC75,"")))</f>
        <v/>
      </c>
      <c r="AP75" s="24" t="str">
        <f aca="false">IF(AO75="","",IF(AD75&lt;&gt;"","Reported reach","Impressions (proxy)"))</f>
        <v/>
      </c>
      <c r="AQ75" s="34" t="str">
        <f aca="false">IF(OR(AO75="",N(S75)=0),"",AO75/S75)</f>
        <v/>
      </c>
      <c r="AR75" s="33" t="str">
        <f aca="false">IF(A75="","",IF(COUNT(AF75:AJ75)=0,"",SUM(AF75:AJ75)))</f>
        <v/>
      </c>
      <c r="AS75" s="34" t="str">
        <f aca="false">IF(OR(AR75="",N(AO75)=0),"",AR75/AO75)</f>
        <v/>
      </c>
      <c r="AT75" s="34" t="str">
        <f aca="false">IF(OR(AR75="",N(AC75)=0),"",AR75/AC75)</f>
        <v/>
      </c>
      <c r="AU75" s="34" t="str">
        <f aca="false">IF(OR(AR75="",N(S75)=0),"",AR75/S75)</f>
        <v/>
      </c>
      <c r="AV75" s="34" t="str">
        <f aca="false">IF(OR(AJ75="",N(AC75)=0),"",AJ75/AC75)</f>
        <v/>
      </c>
      <c r="AW75" s="34" t="str">
        <f aca="false">IF(OR(AH75="",N(AO75)=0),"",AH75/AO75)</f>
        <v/>
      </c>
      <c r="AX75" s="35" t="str">
        <f aca="false">IF(OR(AR75="",N(AO75)=0),"",(N(AF75)*Settings!$B$6+N(AG75)*Settings!$B$7+N(AH75)*Settings!$B$8+N(AI75)*Settings!$B$9+N(AJ75)*Settings!$B$10)/AO75*1000)</f>
        <v/>
      </c>
      <c r="AY75" s="36" t="str">
        <f aca="false">IF(AS75="","",IFERROR(AS75/AVERAGEIFS('Post Tracker'!$AS$5:$AS$1004,'Post Tracker'!$G$5:$G$1004,G75),""))</f>
        <v/>
      </c>
      <c r="AZ75" s="32"/>
      <c r="BA75" s="32"/>
      <c r="BB75" s="32"/>
      <c r="BC75" s="32"/>
      <c r="BD75" s="33" t="str">
        <f aca="false">IF(A75="","",COUNTIFS('Demo Pipeline'!$Q$5:$Q$504,A75))</f>
        <v/>
      </c>
      <c r="BE75" s="33" t="str">
        <f aca="false">IF(A75="","",COUNTIFS('Demo Pipeline'!$Q$5:$Q$504,A75,'Demo Pipeline'!$W$5:$W$504,"Attended"))</f>
        <v/>
      </c>
      <c r="BF75" s="33" t="str">
        <f aca="false">IF(A75="","",COUNTIFS('Demo Pipeline'!$Q$5:$Q$504,A75,'Demo Pipeline'!$X$5:$X$504,"Yes"))</f>
        <v/>
      </c>
      <c r="BG75" s="33" t="str">
        <f aca="false">IF(A75="","",COUNTIFS('Demo Pipeline'!$Q$5:$Q$504,A75,'Demo Pipeline'!$Y$5:$Y$504,"Closed Won"))</f>
        <v/>
      </c>
      <c r="BH75" s="37" t="str">
        <f aca="false">IF(A75="","",SUMIFS('Demo Pipeline'!$Z$5:$Z$504,'Demo Pipeline'!$Q$5:$Q$504,A75))</f>
        <v/>
      </c>
      <c r="BI75" s="34" t="str">
        <f aca="false">IF(OR(AZ75="",N(AJ75)=0),"",AZ75/AJ75)</f>
        <v/>
      </c>
      <c r="BJ75" s="34" t="str">
        <f aca="false">IF(OR(BB75="",N(AZ75)=0),"",BB75/AZ75)</f>
        <v/>
      </c>
      <c r="BK75" s="34" t="str">
        <f aca="false">IF(OR(A75="",N(BB75)=0),"",BD75/BB75)</f>
        <v/>
      </c>
      <c r="BL75" s="34" t="str">
        <f aca="false">IF(OR(A75="",N(AZ75)=0),"",BD75/AZ75)</f>
        <v/>
      </c>
      <c r="BM75" s="37" t="str">
        <f aca="false">IF(OR(N(Q75)=0,N(BD75)=0),"",Q75/BD75)</f>
        <v/>
      </c>
      <c r="BN75" s="29"/>
      <c r="BO75" s="29"/>
      <c r="BP75" s="33" t="str">
        <f aca="false">IF(OR(AR75="",N(AO75)=0),"",AR75)</f>
        <v/>
      </c>
      <c r="BQ75" s="33" t="str">
        <f aca="false">IF(OR(AR75="",N(S75)=0),"",S75)</f>
        <v/>
      </c>
      <c r="BR75" s="38" t="str">
        <f aca="false">IF(AND(ISNUMBER(B75),B75&gt;=Dashboard!$C$4,B75&lt;=Dashboard!$F$4,ISNUMBER(AU75)),AU75+ROW()/10^9,"")</f>
        <v/>
      </c>
      <c r="BS75" s="38" t="str">
        <f aca="false">IF(AND(ISNUMBER(B75),B75&gt;=Dashboard!$C$4,B75&lt;=Dashboard!$F$4,A75&lt;&gt;""),N(BD75)+N(AU75)/100+ROW()/10^9,"")</f>
        <v/>
      </c>
    </row>
    <row r="76" customFormat="false" ht="15" hidden="false" customHeight="false" outlineLevel="0" collapsed="false">
      <c r="A76" s="24" t="str">
        <f aca="false">IF(OR(B76="",G76="",H76=""),"",IFERROR(INDEX(Settings!$E$5:$E$49,MATCH(G76,Settings!$D$5:$D$49,0))&amp;INDEX(Settings!$H$5:$H$47,MATCH(H76,Settings!$G$5:$G$47,0))&amp;"-"&amp;TEXT(B76,"yymmdd")&amp;"-"&amp;IF(C76="","0000",TEXT(C76,"hhmm")),"CHECK LISTS"))</f>
        <v/>
      </c>
      <c r="B76" s="39"/>
      <c r="C76" s="40"/>
      <c r="D76" s="24" t="str">
        <f aca="false">IF(B76="","",TEXT(B76,"ddd"))</f>
        <v/>
      </c>
      <c r="E76" s="27" t="str">
        <f aca="false">IF(B76="","",B76-WEEKDAY(B76,3))</f>
        <v/>
      </c>
      <c r="F76" s="24" t="str">
        <f aca="false">IF(B76="","",TEXT(B76,"yyyy-mm"))</f>
        <v/>
      </c>
      <c r="G76" s="29"/>
      <c r="H76" s="29"/>
      <c r="I76" s="29"/>
      <c r="J76" s="29"/>
      <c r="K76" s="29"/>
      <c r="L76" s="29"/>
      <c r="M76" s="29"/>
      <c r="N76" s="29"/>
      <c r="O76" s="29"/>
      <c r="P76" s="29"/>
      <c r="Q76" s="30"/>
      <c r="R76" s="29"/>
      <c r="S76" s="32"/>
      <c r="T76" s="29"/>
      <c r="U76" s="29"/>
      <c r="V76" s="24" t="str">
        <f aca="false">IF(A76="","",IFERROR(INDEX(Settings!$F$5:$F$49,MATCH(G76,Settings!$D$5:$D$49,0)),""))</f>
        <v/>
      </c>
      <c r="W76" s="24" t="str">
        <f aca="false">IF(A76="","",IF(OR(P76="",P76="Organic"),"social","paid_social"))</f>
        <v/>
      </c>
      <c r="X76" s="24" t="str">
        <f aca="false">IF(A76="","",IF(K76&lt;&gt;"",IFERROR(INDEX('Case Studies'!$C$5:$C$54,MATCH(K76,'Case Studies'!$B$5:$B$54,0))&amp;"","case-study"),IF(J76&lt;&gt;"",IFERROR(INDEX(Settings!$J$5:$J$55,MATCH(J76,Settings!$I$5:$I$55,0)),"general"),"general")))</f>
        <v/>
      </c>
      <c r="Y76" s="24" t="str">
        <f aca="false">IF(A76="","",LOWER(A76))</f>
        <v/>
      </c>
      <c r="Z76" s="24" t="str">
        <f aca="false">IF(A76="","",IF(T76="",Settings!$B$5,T76)&amp;IF(ISNUMBER(FIND("?",IF(T76="",Settings!$B$5,T76))),"&amp;","?")&amp;"utm_source="&amp;V76&amp;"&amp;utm_medium="&amp;W76&amp;"&amp;utm_campaign="&amp;X76&amp;"&amp;utm_content="&amp;Y76)</f>
        <v/>
      </c>
      <c r="AA76" s="29"/>
      <c r="AB76" s="39"/>
      <c r="AC76" s="32"/>
      <c r="AD76" s="32"/>
      <c r="AE76" s="32"/>
      <c r="AF76" s="32"/>
      <c r="AG76" s="32"/>
      <c r="AH76" s="32"/>
      <c r="AI76" s="32"/>
      <c r="AJ76" s="32"/>
      <c r="AK76" s="32"/>
      <c r="AL76" s="32"/>
      <c r="AM76" s="32"/>
      <c r="AN76" s="32"/>
      <c r="AO76" s="33" t="str">
        <f aca="false">IF(A76="","",IF(AD76&lt;&gt;"",AD76,IF(AC76&lt;&gt;"",AC76,"")))</f>
        <v/>
      </c>
      <c r="AP76" s="24" t="str">
        <f aca="false">IF(AO76="","",IF(AD76&lt;&gt;"","Reported reach","Impressions (proxy)"))</f>
        <v/>
      </c>
      <c r="AQ76" s="34" t="str">
        <f aca="false">IF(OR(AO76="",N(S76)=0),"",AO76/S76)</f>
        <v/>
      </c>
      <c r="AR76" s="33" t="str">
        <f aca="false">IF(A76="","",IF(COUNT(AF76:AJ76)=0,"",SUM(AF76:AJ76)))</f>
        <v/>
      </c>
      <c r="AS76" s="34" t="str">
        <f aca="false">IF(OR(AR76="",N(AO76)=0),"",AR76/AO76)</f>
        <v/>
      </c>
      <c r="AT76" s="34" t="str">
        <f aca="false">IF(OR(AR76="",N(AC76)=0),"",AR76/AC76)</f>
        <v/>
      </c>
      <c r="AU76" s="34" t="str">
        <f aca="false">IF(OR(AR76="",N(S76)=0),"",AR76/S76)</f>
        <v/>
      </c>
      <c r="AV76" s="34" t="str">
        <f aca="false">IF(OR(AJ76="",N(AC76)=0),"",AJ76/AC76)</f>
        <v/>
      </c>
      <c r="AW76" s="34" t="str">
        <f aca="false">IF(OR(AH76="",N(AO76)=0),"",AH76/AO76)</f>
        <v/>
      </c>
      <c r="AX76" s="35" t="str">
        <f aca="false">IF(OR(AR76="",N(AO76)=0),"",(N(AF76)*Settings!$B$6+N(AG76)*Settings!$B$7+N(AH76)*Settings!$B$8+N(AI76)*Settings!$B$9+N(AJ76)*Settings!$B$10)/AO76*1000)</f>
        <v/>
      </c>
      <c r="AY76" s="36" t="str">
        <f aca="false">IF(AS76="","",IFERROR(AS76/AVERAGEIFS('Post Tracker'!$AS$5:$AS$1004,'Post Tracker'!$G$5:$G$1004,G76),""))</f>
        <v/>
      </c>
      <c r="AZ76" s="32"/>
      <c r="BA76" s="32"/>
      <c r="BB76" s="32"/>
      <c r="BC76" s="32"/>
      <c r="BD76" s="33" t="str">
        <f aca="false">IF(A76="","",COUNTIFS('Demo Pipeline'!$Q$5:$Q$504,A76))</f>
        <v/>
      </c>
      <c r="BE76" s="33" t="str">
        <f aca="false">IF(A76="","",COUNTIFS('Demo Pipeline'!$Q$5:$Q$504,A76,'Demo Pipeline'!$W$5:$W$504,"Attended"))</f>
        <v/>
      </c>
      <c r="BF76" s="33" t="str">
        <f aca="false">IF(A76="","",COUNTIFS('Demo Pipeline'!$Q$5:$Q$504,A76,'Demo Pipeline'!$X$5:$X$504,"Yes"))</f>
        <v/>
      </c>
      <c r="BG76" s="33" t="str">
        <f aca="false">IF(A76="","",COUNTIFS('Demo Pipeline'!$Q$5:$Q$504,A76,'Demo Pipeline'!$Y$5:$Y$504,"Closed Won"))</f>
        <v/>
      </c>
      <c r="BH76" s="37" t="str">
        <f aca="false">IF(A76="","",SUMIFS('Demo Pipeline'!$Z$5:$Z$504,'Demo Pipeline'!$Q$5:$Q$504,A76))</f>
        <v/>
      </c>
      <c r="BI76" s="34" t="str">
        <f aca="false">IF(OR(AZ76="",N(AJ76)=0),"",AZ76/AJ76)</f>
        <v/>
      </c>
      <c r="BJ76" s="34" t="str">
        <f aca="false">IF(OR(BB76="",N(AZ76)=0),"",BB76/AZ76)</f>
        <v/>
      </c>
      <c r="BK76" s="34" t="str">
        <f aca="false">IF(OR(A76="",N(BB76)=0),"",BD76/BB76)</f>
        <v/>
      </c>
      <c r="BL76" s="34" t="str">
        <f aca="false">IF(OR(A76="",N(AZ76)=0),"",BD76/AZ76)</f>
        <v/>
      </c>
      <c r="BM76" s="37" t="str">
        <f aca="false">IF(OR(N(Q76)=0,N(BD76)=0),"",Q76/BD76)</f>
        <v/>
      </c>
      <c r="BN76" s="29"/>
      <c r="BO76" s="29"/>
      <c r="BP76" s="33" t="str">
        <f aca="false">IF(OR(AR76="",N(AO76)=0),"",AR76)</f>
        <v/>
      </c>
      <c r="BQ76" s="33" t="str">
        <f aca="false">IF(OR(AR76="",N(S76)=0),"",S76)</f>
        <v/>
      </c>
      <c r="BR76" s="38" t="str">
        <f aca="false">IF(AND(ISNUMBER(B76),B76&gt;=Dashboard!$C$4,B76&lt;=Dashboard!$F$4,ISNUMBER(AU76)),AU76+ROW()/10^9,"")</f>
        <v/>
      </c>
      <c r="BS76" s="38" t="str">
        <f aca="false">IF(AND(ISNUMBER(B76),B76&gt;=Dashboard!$C$4,B76&lt;=Dashboard!$F$4,A76&lt;&gt;""),N(BD76)+N(AU76)/100+ROW()/10^9,"")</f>
        <v/>
      </c>
    </row>
    <row r="77" customFormat="false" ht="15" hidden="false" customHeight="false" outlineLevel="0" collapsed="false">
      <c r="A77" s="24" t="str">
        <f aca="false">IF(OR(B77="",G77="",H77=""),"",IFERROR(INDEX(Settings!$E$5:$E$49,MATCH(G77,Settings!$D$5:$D$49,0))&amp;INDEX(Settings!$H$5:$H$47,MATCH(H77,Settings!$G$5:$G$47,0))&amp;"-"&amp;TEXT(B77,"yymmdd")&amp;"-"&amp;IF(C77="","0000",TEXT(C77,"hhmm")),"CHECK LISTS"))</f>
        <v/>
      </c>
      <c r="B77" s="39"/>
      <c r="C77" s="40"/>
      <c r="D77" s="24" t="str">
        <f aca="false">IF(B77="","",TEXT(B77,"ddd"))</f>
        <v/>
      </c>
      <c r="E77" s="27" t="str">
        <f aca="false">IF(B77="","",B77-WEEKDAY(B77,3))</f>
        <v/>
      </c>
      <c r="F77" s="24" t="str">
        <f aca="false">IF(B77="","",TEXT(B77,"yyyy-mm"))</f>
        <v/>
      </c>
      <c r="G77" s="29"/>
      <c r="H77" s="29"/>
      <c r="I77" s="29"/>
      <c r="J77" s="29"/>
      <c r="K77" s="29"/>
      <c r="L77" s="29"/>
      <c r="M77" s="29"/>
      <c r="N77" s="29"/>
      <c r="O77" s="29"/>
      <c r="P77" s="29"/>
      <c r="Q77" s="30"/>
      <c r="R77" s="29"/>
      <c r="S77" s="32"/>
      <c r="T77" s="29"/>
      <c r="U77" s="29"/>
      <c r="V77" s="24" t="str">
        <f aca="false">IF(A77="","",IFERROR(INDEX(Settings!$F$5:$F$49,MATCH(G77,Settings!$D$5:$D$49,0)),""))</f>
        <v/>
      </c>
      <c r="W77" s="24" t="str">
        <f aca="false">IF(A77="","",IF(OR(P77="",P77="Organic"),"social","paid_social"))</f>
        <v/>
      </c>
      <c r="X77" s="24" t="str">
        <f aca="false">IF(A77="","",IF(K77&lt;&gt;"",IFERROR(INDEX('Case Studies'!$C$5:$C$54,MATCH(K77,'Case Studies'!$B$5:$B$54,0))&amp;"","case-study"),IF(J77&lt;&gt;"",IFERROR(INDEX(Settings!$J$5:$J$55,MATCH(J77,Settings!$I$5:$I$55,0)),"general"),"general")))</f>
        <v/>
      </c>
      <c r="Y77" s="24" t="str">
        <f aca="false">IF(A77="","",LOWER(A77))</f>
        <v/>
      </c>
      <c r="Z77" s="24" t="str">
        <f aca="false">IF(A77="","",IF(T77="",Settings!$B$5,T77)&amp;IF(ISNUMBER(FIND("?",IF(T77="",Settings!$B$5,T77))),"&amp;","?")&amp;"utm_source="&amp;V77&amp;"&amp;utm_medium="&amp;W77&amp;"&amp;utm_campaign="&amp;X77&amp;"&amp;utm_content="&amp;Y77)</f>
        <v/>
      </c>
      <c r="AA77" s="29"/>
      <c r="AB77" s="39"/>
      <c r="AC77" s="32"/>
      <c r="AD77" s="32"/>
      <c r="AE77" s="32"/>
      <c r="AF77" s="32"/>
      <c r="AG77" s="32"/>
      <c r="AH77" s="32"/>
      <c r="AI77" s="32"/>
      <c r="AJ77" s="32"/>
      <c r="AK77" s="32"/>
      <c r="AL77" s="32"/>
      <c r="AM77" s="32"/>
      <c r="AN77" s="32"/>
      <c r="AO77" s="33" t="str">
        <f aca="false">IF(A77="","",IF(AD77&lt;&gt;"",AD77,IF(AC77&lt;&gt;"",AC77,"")))</f>
        <v/>
      </c>
      <c r="AP77" s="24" t="str">
        <f aca="false">IF(AO77="","",IF(AD77&lt;&gt;"","Reported reach","Impressions (proxy)"))</f>
        <v/>
      </c>
      <c r="AQ77" s="34" t="str">
        <f aca="false">IF(OR(AO77="",N(S77)=0),"",AO77/S77)</f>
        <v/>
      </c>
      <c r="AR77" s="33" t="str">
        <f aca="false">IF(A77="","",IF(COUNT(AF77:AJ77)=0,"",SUM(AF77:AJ77)))</f>
        <v/>
      </c>
      <c r="AS77" s="34" t="str">
        <f aca="false">IF(OR(AR77="",N(AO77)=0),"",AR77/AO77)</f>
        <v/>
      </c>
      <c r="AT77" s="34" t="str">
        <f aca="false">IF(OR(AR77="",N(AC77)=0),"",AR77/AC77)</f>
        <v/>
      </c>
      <c r="AU77" s="34" t="str">
        <f aca="false">IF(OR(AR77="",N(S77)=0),"",AR77/S77)</f>
        <v/>
      </c>
      <c r="AV77" s="34" t="str">
        <f aca="false">IF(OR(AJ77="",N(AC77)=0),"",AJ77/AC77)</f>
        <v/>
      </c>
      <c r="AW77" s="34" t="str">
        <f aca="false">IF(OR(AH77="",N(AO77)=0),"",AH77/AO77)</f>
        <v/>
      </c>
      <c r="AX77" s="35" t="str">
        <f aca="false">IF(OR(AR77="",N(AO77)=0),"",(N(AF77)*Settings!$B$6+N(AG77)*Settings!$B$7+N(AH77)*Settings!$B$8+N(AI77)*Settings!$B$9+N(AJ77)*Settings!$B$10)/AO77*1000)</f>
        <v/>
      </c>
      <c r="AY77" s="36" t="str">
        <f aca="false">IF(AS77="","",IFERROR(AS77/AVERAGEIFS('Post Tracker'!$AS$5:$AS$1004,'Post Tracker'!$G$5:$G$1004,G77),""))</f>
        <v/>
      </c>
      <c r="AZ77" s="32"/>
      <c r="BA77" s="32"/>
      <c r="BB77" s="32"/>
      <c r="BC77" s="32"/>
      <c r="BD77" s="33" t="str">
        <f aca="false">IF(A77="","",COUNTIFS('Demo Pipeline'!$Q$5:$Q$504,A77))</f>
        <v/>
      </c>
      <c r="BE77" s="33" t="str">
        <f aca="false">IF(A77="","",COUNTIFS('Demo Pipeline'!$Q$5:$Q$504,A77,'Demo Pipeline'!$W$5:$W$504,"Attended"))</f>
        <v/>
      </c>
      <c r="BF77" s="33" t="str">
        <f aca="false">IF(A77="","",COUNTIFS('Demo Pipeline'!$Q$5:$Q$504,A77,'Demo Pipeline'!$X$5:$X$504,"Yes"))</f>
        <v/>
      </c>
      <c r="BG77" s="33" t="str">
        <f aca="false">IF(A77="","",COUNTIFS('Demo Pipeline'!$Q$5:$Q$504,A77,'Demo Pipeline'!$Y$5:$Y$504,"Closed Won"))</f>
        <v/>
      </c>
      <c r="BH77" s="37" t="str">
        <f aca="false">IF(A77="","",SUMIFS('Demo Pipeline'!$Z$5:$Z$504,'Demo Pipeline'!$Q$5:$Q$504,A77))</f>
        <v/>
      </c>
      <c r="BI77" s="34" t="str">
        <f aca="false">IF(OR(AZ77="",N(AJ77)=0),"",AZ77/AJ77)</f>
        <v/>
      </c>
      <c r="BJ77" s="34" t="str">
        <f aca="false">IF(OR(BB77="",N(AZ77)=0),"",BB77/AZ77)</f>
        <v/>
      </c>
      <c r="BK77" s="34" t="str">
        <f aca="false">IF(OR(A77="",N(BB77)=0),"",BD77/BB77)</f>
        <v/>
      </c>
      <c r="BL77" s="34" t="str">
        <f aca="false">IF(OR(A77="",N(AZ77)=0),"",BD77/AZ77)</f>
        <v/>
      </c>
      <c r="BM77" s="37" t="str">
        <f aca="false">IF(OR(N(Q77)=0,N(BD77)=0),"",Q77/BD77)</f>
        <v/>
      </c>
      <c r="BN77" s="29"/>
      <c r="BO77" s="29"/>
      <c r="BP77" s="33" t="str">
        <f aca="false">IF(OR(AR77="",N(AO77)=0),"",AR77)</f>
        <v/>
      </c>
      <c r="BQ77" s="33" t="str">
        <f aca="false">IF(OR(AR77="",N(S77)=0),"",S77)</f>
        <v/>
      </c>
      <c r="BR77" s="38" t="str">
        <f aca="false">IF(AND(ISNUMBER(B77),B77&gt;=Dashboard!$C$4,B77&lt;=Dashboard!$F$4,ISNUMBER(AU77)),AU77+ROW()/10^9,"")</f>
        <v/>
      </c>
      <c r="BS77" s="38" t="str">
        <f aca="false">IF(AND(ISNUMBER(B77),B77&gt;=Dashboard!$C$4,B77&lt;=Dashboard!$F$4,A77&lt;&gt;""),N(BD77)+N(AU77)/100+ROW()/10^9,"")</f>
        <v/>
      </c>
    </row>
    <row r="78" customFormat="false" ht="15" hidden="false" customHeight="false" outlineLevel="0" collapsed="false">
      <c r="A78" s="24" t="str">
        <f aca="false">IF(OR(B78="",G78="",H78=""),"",IFERROR(INDEX(Settings!$E$5:$E$49,MATCH(G78,Settings!$D$5:$D$49,0))&amp;INDEX(Settings!$H$5:$H$47,MATCH(H78,Settings!$G$5:$G$47,0))&amp;"-"&amp;TEXT(B78,"yymmdd")&amp;"-"&amp;IF(C78="","0000",TEXT(C78,"hhmm")),"CHECK LISTS"))</f>
        <v/>
      </c>
      <c r="B78" s="39"/>
      <c r="C78" s="40"/>
      <c r="D78" s="24" t="str">
        <f aca="false">IF(B78="","",TEXT(B78,"ddd"))</f>
        <v/>
      </c>
      <c r="E78" s="27" t="str">
        <f aca="false">IF(B78="","",B78-WEEKDAY(B78,3))</f>
        <v/>
      </c>
      <c r="F78" s="24" t="str">
        <f aca="false">IF(B78="","",TEXT(B78,"yyyy-mm"))</f>
        <v/>
      </c>
      <c r="G78" s="29"/>
      <c r="H78" s="29"/>
      <c r="I78" s="29"/>
      <c r="J78" s="29"/>
      <c r="K78" s="29"/>
      <c r="L78" s="29"/>
      <c r="M78" s="29"/>
      <c r="N78" s="29"/>
      <c r="O78" s="29"/>
      <c r="P78" s="29"/>
      <c r="Q78" s="30"/>
      <c r="R78" s="29"/>
      <c r="S78" s="32"/>
      <c r="T78" s="29"/>
      <c r="U78" s="29"/>
      <c r="V78" s="24" t="str">
        <f aca="false">IF(A78="","",IFERROR(INDEX(Settings!$F$5:$F$49,MATCH(G78,Settings!$D$5:$D$49,0)),""))</f>
        <v/>
      </c>
      <c r="W78" s="24" t="str">
        <f aca="false">IF(A78="","",IF(OR(P78="",P78="Organic"),"social","paid_social"))</f>
        <v/>
      </c>
      <c r="X78" s="24" t="str">
        <f aca="false">IF(A78="","",IF(K78&lt;&gt;"",IFERROR(INDEX('Case Studies'!$C$5:$C$54,MATCH(K78,'Case Studies'!$B$5:$B$54,0))&amp;"","case-study"),IF(J78&lt;&gt;"",IFERROR(INDEX(Settings!$J$5:$J$55,MATCH(J78,Settings!$I$5:$I$55,0)),"general"),"general")))</f>
        <v/>
      </c>
      <c r="Y78" s="24" t="str">
        <f aca="false">IF(A78="","",LOWER(A78))</f>
        <v/>
      </c>
      <c r="Z78" s="24" t="str">
        <f aca="false">IF(A78="","",IF(T78="",Settings!$B$5,T78)&amp;IF(ISNUMBER(FIND("?",IF(T78="",Settings!$B$5,T78))),"&amp;","?")&amp;"utm_source="&amp;V78&amp;"&amp;utm_medium="&amp;W78&amp;"&amp;utm_campaign="&amp;X78&amp;"&amp;utm_content="&amp;Y78)</f>
        <v/>
      </c>
      <c r="AA78" s="29"/>
      <c r="AB78" s="39"/>
      <c r="AC78" s="32"/>
      <c r="AD78" s="32"/>
      <c r="AE78" s="32"/>
      <c r="AF78" s="32"/>
      <c r="AG78" s="32"/>
      <c r="AH78" s="32"/>
      <c r="AI78" s="32"/>
      <c r="AJ78" s="32"/>
      <c r="AK78" s="32"/>
      <c r="AL78" s="32"/>
      <c r="AM78" s="32"/>
      <c r="AN78" s="32"/>
      <c r="AO78" s="33" t="str">
        <f aca="false">IF(A78="","",IF(AD78&lt;&gt;"",AD78,IF(AC78&lt;&gt;"",AC78,"")))</f>
        <v/>
      </c>
      <c r="AP78" s="24" t="str">
        <f aca="false">IF(AO78="","",IF(AD78&lt;&gt;"","Reported reach","Impressions (proxy)"))</f>
        <v/>
      </c>
      <c r="AQ78" s="34" t="str">
        <f aca="false">IF(OR(AO78="",N(S78)=0),"",AO78/S78)</f>
        <v/>
      </c>
      <c r="AR78" s="33" t="str">
        <f aca="false">IF(A78="","",IF(COUNT(AF78:AJ78)=0,"",SUM(AF78:AJ78)))</f>
        <v/>
      </c>
      <c r="AS78" s="34" t="str">
        <f aca="false">IF(OR(AR78="",N(AO78)=0),"",AR78/AO78)</f>
        <v/>
      </c>
      <c r="AT78" s="34" t="str">
        <f aca="false">IF(OR(AR78="",N(AC78)=0),"",AR78/AC78)</f>
        <v/>
      </c>
      <c r="AU78" s="34" t="str">
        <f aca="false">IF(OR(AR78="",N(S78)=0),"",AR78/S78)</f>
        <v/>
      </c>
      <c r="AV78" s="34" t="str">
        <f aca="false">IF(OR(AJ78="",N(AC78)=0),"",AJ78/AC78)</f>
        <v/>
      </c>
      <c r="AW78" s="34" t="str">
        <f aca="false">IF(OR(AH78="",N(AO78)=0),"",AH78/AO78)</f>
        <v/>
      </c>
      <c r="AX78" s="35" t="str">
        <f aca="false">IF(OR(AR78="",N(AO78)=0),"",(N(AF78)*Settings!$B$6+N(AG78)*Settings!$B$7+N(AH78)*Settings!$B$8+N(AI78)*Settings!$B$9+N(AJ78)*Settings!$B$10)/AO78*1000)</f>
        <v/>
      </c>
      <c r="AY78" s="36" t="str">
        <f aca="false">IF(AS78="","",IFERROR(AS78/AVERAGEIFS('Post Tracker'!$AS$5:$AS$1004,'Post Tracker'!$G$5:$G$1004,G78),""))</f>
        <v/>
      </c>
      <c r="AZ78" s="32"/>
      <c r="BA78" s="32"/>
      <c r="BB78" s="32"/>
      <c r="BC78" s="32"/>
      <c r="BD78" s="33" t="str">
        <f aca="false">IF(A78="","",COUNTIFS('Demo Pipeline'!$Q$5:$Q$504,A78))</f>
        <v/>
      </c>
      <c r="BE78" s="33" t="str">
        <f aca="false">IF(A78="","",COUNTIFS('Demo Pipeline'!$Q$5:$Q$504,A78,'Demo Pipeline'!$W$5:$W$504,"Attended"))</f>
        <v/>
      </c>
      <c r="BF78" s="33" t="str">
        <f aca="false">IF(A78="","",COUNTIFS('Demo Pipeline'!$Q$5:$Q$504,A78,'Demo Pipeline'!$X$5:$X$504,"Yes"))</f>
        <v/>
      </c>
      <c r="BG78" s="33" t="str">
        <f aca="false">IF(A78="","",COUNTIFS('Demo Pipeline'!$Q$5:$Q$504,A78,'Demo Pipeline'!$Y$5:$Y$504,"Closed Won"))</f>
        <v/>
      </c>
      <c r="BH78" s="37" t="str">
        <f aca="false">IF(A78="","",SUMIFS('Demo Pipeline'!$Z$5:$Z$504,'Demo Pipeline'!$Q$5:$Q$504,A78))</f>
        <v/>
      </c>
      <c r="BI78" s="34" t="str">
        <f aca="false">IF(OR(AZ78="",N(AJ78)=0),"",AZ78/AJ78)</f>
        <v/>
      </c>
      <c r="BJ78" s="34" t="str">
        <f aca="false">IF(OR(BB78="",N(AZ78)=0),"",BB78/AZ78)</f>
        <v/>
      </c>
      <c r="BK78" s="34" t="str">
        <f aca="false">IF(OR(A78="",N(BB78)=0),"",BD78/BB78)</f>
        <v/>
      </c>
      <c r="BL78" s="34" t="str">
        <f aca="false">IF(OR(A78="",N(AZ78)=0),"",BD78/AZ78)</f>
        <v/>
      </c>
      <c r="BM78" s="37" t="str">
        <f aca="false">IF(OR(N(Q78)=0,N(BD78)=0),"",Q78/BD78)</f>
        <v/>
      </c>
      <c r="BN78" s="29"/>
      <c r="BO78" s="29"/>
      <c r="BP78" s="33" t="str">
        <f aca="false">IF(OR(AR78="",N(AO78)=0),"",AR78)</f>
        <v/>
      </c>
      <c r="BQ78" s="33" t="str">
        <f aca="false">IF(OR(AR78="",N(S78)=0),"",S78)</f>
        <v/>
      </c>
      <c r="BR78" s="38" t="str">
        <f aca="false">IF(AND(ISNUMBER(B78),B78&gt;=Dashboard!$C$4,B78&lt;=Dashboard!$F$4,ISNUMBER(AU78)),AU78+ROW()/10^9,"")</f>
        <v/>
      </c>
      <c r="BS78" s="38" t="str">
        <f aca="false">IF(AND(ISNUMBER(B78),B78&gt;=Dashboard!$C$4,B78&lt;=Dashboard!$F$4,A78&lt;&gt;""),N(BD78)+N(AU78)/100+ROW()/10^9,"")</f>
        <v/>
      </c>
    </row>
    <row r="79" customFormat="false" ht="15" hidden="false" customHeight="false" outlineLevel="0" collapsed="false">
      <c r="A79" s="24" t="str">
        <f aca="false">IF(OR(B79="",G79="",H79=""),"",IFERROR(INDEX(Settings!$E$5:$E$49,MATCH(G79,Settings!$D$5:$D$49,0))&amp;INDEX(Settings!$H$5:$H$47,MATCH(H79,Settings!$G$5:$G$47,0))&amp;"-"&amp;TEXT(B79,"yymmdd")&amp;"-"&amp;IF(C79="","0000",TEXT(C79,"hhmm")),"CHECK LISTS"))</f>
        <v/>
      </c>
      <c r="B79" s="39"/>
      <c r="C79" s="40"/>
      <c r="D79" s="24" t="str">
        <f aca="false">IF(B79="","",TEXT(B79,"ddd"))</f>
        <v/>
      </c>
      <c r="E79" s="27" t="str">
        <f aca="false">IF(B79="","",B79-WEEKDAY(B79,3))</f>
        <v/>
      </c>
      <c r="F79" s="24" t="str">
        <f aca="false">IF(B79="","",TEXT(B79,"yyyy-mm"))</f>
        <v/>
      </c>
      <c r="G79" s="29"/>
      <c r="H79" s="29"/>
      <c r="I79" s="29"/>
      <c r="J79" s="29"/>
      <c r="K79" s="29"/>
      <c r="L79" s="29"/>
      <c r="M79" s="29"/>
      <c r="N79" s="29"/>
      <c r="O79" s="29"/>
      <c r="P79" s="29"/>
      <c r="Q79" s="30"/>
      <c r="R79" s="29"/>
      <c r="S79" s="32"/>
      <c r="T79" s="29"/>
      <c r="U79" s="29"/>
      <c r="V79" s="24" t="str">
        <f aca="false">IF(A79="","",IFERROR(INDEX(Settings!$F$5:$F$49,MATCH(G79,Settings!$D$5:$D$49,0)),""))</f>
        <v/>
      </c>
      <c r="W79" s="24" t="str">
        <f aca="false">IF(A79="","",IF(OR(P79="",P79="Organic"),"social","paid_social"))</f>
        <v/>
      </c>
      <c r="X79" s="24" t="str">
        <f aca="false">IF(A79="","",IF(K79&lt;&gt;"",IFERROR(INDEX('Case Studies'!$C$5:$C$54,MATCH(K79,'Case Studies'!$B$5:$B$54,0))&amp;"","case-study"),IF(J79&lt;&gt;"",IFERROR(INDEX(Settings!$J$5:$J$55,MATCH(J79,Settings!$I$5:$I$55,0)),"general"),"general")))</f>
        <v/>
      </c>
      <c r="Y79" s="24" t="str">
        <f aca="false">IF(A79="","",LOWER(A79))</f>
        <v/>
      </c>
      <c r="Z79" s="24" t="str">
        <f aca="false">IF(A79="","",IF(T79="",Settings!$B$5,T79)&amp;IF(ISNUMBER(FIND("?",IF(T79="",Settings!$B$5,T79))),"&amp;","?")&amp;"utm_source="&amp;V79&amp;"&amp;utm_medium="&amp;W79&amp;"&amp;utm_campaign="&amp;X79&amp;"&amp;utm_content="&amp;Y79)</f>
        <v/>
      </c>
      <c r="AA79" s="29"/>
      <c r="AB79" s="39"/>
      <c r="AC79" s="32"/>
      <c r="AD79" s="32"/>
      <c r="AE79" s="32"/>
      <c r="AF79" s="32"/>
      <c r="AG79" s="32"/>
      <c r="AH79" s="32"/>
      <c r="AI79" s="32"/>
      <c r="AJ79" s="32"/>
      <c r="AK79" s="32"/>
      <c r="AL79" s="32"/>
      <c r="AM79" s="32"/>
      <c r="AN79" s="32"/>
      <c r="AO79" s="33" t="str">
        <f aca="false">IF(A79="","",IF(AD79&lt;&gt;"",AD79,IF(AC79&lt;&gt;"",AC79,"")))</f>
        <v/>
      </c>
      <c r="AP79" s="24" t="str">
        <f aca="false">IF(AO79="","",IF(AD79&lt;&gt;"","Reported reach","Impressions (proxy)"))</f>
        <v/>
      </c>
      <c r="AQ79" s="34" t="str">
        <f aca="false">IF(OR(AO79="",N(S79)=0),"",AO79/S79)</f>
        <v/>
      </c>
      <c r="AR79" s="33" t="str">
        <f aca="false">IF(A79="","",IF(COUNT(AF79:AJ79)=0,"",SUM(AF79:AJ79)))</f>
        <v/>
      </c>
      <c r="AS79" s="34" t="str">
        <f aca="false">IF(OR(AR79="",N(AO79)=0),"",AR79/AO79)</f>
        <v/>
      </c>
      <c r="AT79" s="34" t="str">
        <f aca="false">IF(OR(AR79="",N(AC79)=0),"",AR79/AC79)</f>
        <v/>
      </c>
      <c r="AU79" s="34" t="str">
        <f aca="false">IF(OR(AR79="",N(S79)=0),"",AR79/S79)</f>
        <v/>
      </c>
      <c r="AV79" s="34" t="str">
        <f aca="false">IF(OR(AJ79="",N(AC79)=0),"",AJ79/AC79)</f>
        <v/>
      </c>
      <c r="AW79" s="34" t="str">
        <f aca="false">IF(OR(AH79="",N(AO79)=0),"",AH79/AO79)</f>
        <v/>
      </c>
      <c r="AX79" s="35" t="str">
        <f aca="false">IF(OR(AR79="",N(AO79)=0),"",(N(AF79)*Settings!$B$6+N(AG79)*Settings!$B$7+N(AH79)*Settings!$B$8+N(AI79)*Settings!$B$9+N(AJ79)*Settings!$B$10)/AO79*1000)</f>
        <v/>
      </c>
      <c r="AY79" s="36" t="str">
        <f aca="false">IF(AS79="","",IFERROR(AS79/AVERAGEIFS('Post Tracker'!$AS$5:$AS$1004,'Post Tracker'!$G$5:$G$1004,G79),""))</f>
        <v/>
      </c>
      <c r="AZ79" s="32"/>
      <c r="BA79" s="32"/>
      <c r="BB79" s="32"/>
      <c r="BC79" s="32"/>
      <c r="BD79" s="33" t="str">
        <f aca="false">IF(A79="","",COUNTIFS('Demo Pipeline'!$Q$5:$Q$504,A79))</f>
        <v/>
      </c>
      <c r="BE79" s="33" t="str">
        <f aca="false">IF(A79="","",COUNTIFS('Demo Pipeline'!$Q$5:$Q$504,A79,'Demo Pipeline'!$W$5:$W$504,"Attended"))</f>
        <v/>
      </c>
      <c r="BF79" s="33" t="str">
        <f aca="false">IF(A79="","",COUNTIFS('Demo Pipeline'!$Q$5:$Q$504,A79,'Demo Pipeline'!$X$5:$X$504,"Yes"))</f>
        <v/>
      </c>
      <c r="BG79" s="33" t="str">
        <f aca="false">IF(A79="","",COUNTIFS('Demo Pipeline'!$Q$5:$Q$504,A79,'Demo Pipeline'!$Y$5:$Y$504,"Closed Won"))</f>
        <v/>
      </c>
      <c r="BH79" s="37" t="str">
        <f aca="false">IF(A79="","",SUMIFS('Demo Pipeline'!$Z$5:$Z$504,'Demo Pipeline'!$Q$5:$Q$504,A79))</f>
        <v/>
      </c>
      <c r="BI79" s="34" t="str">
        <f aca="false">IF(OR(AZ79="",N(AJ79)=0),"",AZ79/AJ79)</f>
        <v/>
      </c>
      <c r="BJ79" s="34" t="str">
        <f aca="false">IF(OR(BB79="",N(AZ79)=0),"",BB79/AZ79)</f>
        <v/>
      </c>
      <c r="BK79" s="34" t="str">
        <f aca="false">IF(OR(A79="",N(BB79)=0),"",BD79/BB79)</f>
        <v/>
      </c>
      <c r="BL79" s="34" t="str">
        <f aca="false">IF(OR(A79="",N(AZ79)=0),"",BD79/AZ79)</f>
        <v/>
      </c>
      <c r="BM79" s="37" t="str">
        <f aca="false">IF(OR(N(Q79)=0,N(BD79)=0),"",Q79/BD79)</f>
        <v/>
      </c>
      <c r="BN79" s="29"/>
      <c r="BO79" s="29"/>
      <c r="BP79" s="33" t="str">
        <f aca="false">IF(OR(AR79="",N(AO79)=0),"",AR79)</f>
        <v/>
      </c>
      <c r="BQ79" s="33" t="str">
        <f aca="false">IF(OR(AR79="",N(S79)=0),"",S79)</f>
        <v/>
      </c>
      <c r="BR79" s="38" t="str">
        <f aca="false">IF(AND(ISNUMBER(B79),B79&gt;=Dashboard!$C$4,B79&lt;=Dashboard!$F$4,ISNUMBER(AU79)),AU79+ROW()/10^9,"")</f>
        <v/>
      </c>
      <c r="BS79" s="38" t="str">
        <f aca="false">IF(AND(ISNUMBER(B79),B79&gt;=Dashboard!$C$4,B79&lt;=Dashboard!$F$4,A79&lt;&gt;""),N(BD79)+N(AU79)/100+ROW()/10^9,"")</f>
        <v/>
      </c>
    </row>
    <row r="80" customFormat="false" ht="15" hidden="false" customHeight="false" outlineLevel="0" collapsed="false">
      <c r="A80" s="24" t="str">
        <f aca="false">IF(OR(B80="",G80="",H80=""),"",IFERROR(INDEX(Settings!$E$5:$E$49,MATCH(G80,Settings!$D$5:$D$49,0))&amp;INDEX(Settings!$H$5:$H$47,MATCH(H80,Settings!$G$5:$G$47,0))&amp;"-"&amp;TEXT(B80,"yymmdd")&amp;"-"&amp;IF(C80="","0000",TEXT(C80,"hhmm")),"CHECK LISTS"))</f>
        <v/>
      </c>
      <c r="B80" s="39"/>
      <c r="C80" s="40"/>
      <c r="D80" s="24" t="str">
        <f aca="false">IF(B80="","",TEXT(B80,"ddd"))</f>
        <v/>
      </c>
      <c r="E80" s="27" t="str">
        <f aca="false">IF(B80="","",B80-WEEKDAY(B80,3))</f>
        <v/>
      </c>
      <c r="F80" s="24" t="str">
        <f aca="false">IF(B80="","",TEXT(B80,"yyyy-mm"))</f>
        <v/>
      </c>
      <c r="G80" s="29"/>
      <c r="H80" s="29"/>
      <c r="I80" s="29"/>
      <c r="J80" s="29"/>
      <c r="K80" s="29"/>
      <c r="L80" s="29"/>
      <c r="M80" s="29"/>
      <c r="N80" s="29"/>
      <c r="O80" s="29"/>
      <c r="P80" s="29"/>
      <c r="Q80" s="30"/>
      <c r="R80" s="29"/>
      <c r="S80" s="32"/>
      <c r="T80" s="29"/>
      <c r="U80" s="29"/>
      <c r="V80" s="24" t="str">
        <f aca="false">IF(A80="","",IFERROR(INDEX(Settings!$F$5:$F$49,MATCH(G80,Settings!$D$5:$D$49,0)),""))</f>
        <v/>
      </c>
      <c r="W80" s="24" t="str">
        <f aca="false">IF(A80="","",IF(OR(P80="",P80="Organic"),"social","paid_social"))</f>
        <v/>
      </c>
      <c r="X80" s="24" t="str">
        <f aca="false">IF(A80="","",IF(K80&lt;&gt;"",IFERROR(INDEX('Case Studies'!$C$5:$C$54,MATCH(K80,'Case Studies'!$B$5:$B$54,0))&amp;"","case-study"),IF(J80&lt;&gt;"",IFERROR(INDEX(Settings!$J$5:$J$55,MATCH(J80,Settings!$I$5:$I$55,0)),"general"),"general")))</f>
        <v/>
      </c>
      <c r="Y80" s="24" t="str">
        <f aca="false">IF(A80="","",LOWER(A80))</f>
        <v/>
      </c>
      <c r="Z80" s="24" t="str">
        <f aca="false">IF(A80="","",IF(T80="",Settings!$B$5,T80)&amp;IF(ISNUMBER(FIND("?",IF(T80="",Settings!$B$5,T80))),"&amp;","?")&amp;"utm_source="&amp;V80&amp;"&amp;utm_medium="&amp;W80&amp;"&amp;utm_campaign="&amp;X80&amp;"&amp;utm_content="&amp;Y80)</f>
        <v/>
      </c>
      <c r="AA80" s="29"/>
      <c r="AB80" s="39"/>
      <c r="AC80" s="32"/>
      <c r="AD80" s="32"/>
      <c r="AE80" s="32"/>
      <c r="AF80" s="32"/>
      <c r="AG80" s="32"/>
      <c r="AH80" s="32"/>
      <c r="AI80" s="32"/>
      <c r="AJ80" s="32"/>
      <c r="AK80" s="32"/>
      <c r="AL80" s="32"/>
      <c r="AM80" s="32"/>
      <c r="AN80" s="32"/>
      <c r="AO80" s="33" t="str">
        <f aca="false">IF(A80="","",IF(AD80&lt;&gt;"",AD80,IF(AC80&lt;&gt;"",AC80,"")))</f>
        <v/>
      </c>
      <c r="AP80" s="24" t="str">
        <f aca="false">IF(AO80="","",IF(AD80&lt;&gt;"","Reported reach","Impressions (proxy)"))</f>
        <v/>
      </c>
      <c r="AQ80" s="34" t="str">
        <f aca="false">IF(OR(AO80="",N(S80)=0),"",AO80/S80)</f>
        <v/>
      </c>
      <c r="AR80" s="33" t="str">
        <f aca="false">IF(A80="","",IF(COUNT(AF80:AJ80)=0,"",SUM(AF80:AJ80)))</f>
        <v/>
      </c>
      <c r="AS80" s="34" t="str">
        <f aca="false">IF(OR(AR80="",N(AO80)=0),"",AR80/AO80)</f>
        <v/>
      </c>
      <c r="AT80" s="34" t="str">
        <f aca="false">IF(OR(AR80="",N(AC80)=0),"",AR80/AC80)</f>
        <v/>
      </c>
      <c r="AU80" s="34" t="str">
        <f aca="false">IF(OR(AR80="",N(S80)=0),"",AR80/S80)</f>
        <v/>
      </c>
      <c r="AV80" s="34" t="str">
        <f aca="false">IF(OR(AJ80="",N(AC80)=0),"",AJ80/AC80)</f>
        <v/>
      </c>
      <c r="AW80" s="34" t="str">
        <f aca="false">IF(OR(AH80="",N(AO80)=0),"",AH80/AO80)</f>
        <v/>
      </c>
      <c r="AX80" s="35" t="str">
        <f aca="false">IF(OR(AR80="",N(AO80)=0),"",(N(AF80)*Settings!$B$6+N(AG80)*Settings!$B$7+N(AH80)*Settings!$B$8+N(AI80)*Settings!$B$9+N(AJ80)*Settings!$B$10)/AO80*1000)</f>
        <v/>
      </c>
      <c r="AY80" s="36" t="str">
        <f aca="false">IF(AS80="","",IFERROR(AS80/AVERAGEIFS('Post Tracker'!$AS$5:$AS$1004,'Post Tracker'!$G$5:$G$1004,G80),""))</f>
        <v/>
      </c>
      <c r="AZ80" s="32"/>
      <c r="BA80" s="32"/>
      <c r="BB80" s="32"/>
      <c r="BC80" s="32"/>
      <c r="BD80" s="33" t="str">
        <f aca="false">IF(A80="","",COUNTIFS('Demo Pipeline'!$Q$5:$Q$504,A80))</f>
        <v/>
      </c>
      <c r="BE80" s="33" t="str">
        <f aca="false">IF(A80="","",COUNTIFS('Demo Pipeline'!$Q$5:$Q$504,A80,'Demo Pipeline'!$W$5:$W$504,"Attended"))</f>
        <v/>
      </c>
      <c r="BF80" s="33" t="str">
        <f aca="false">IF(A80="","",COUNTIFS('Demo Pipeline'!$Q$5:$Q$504,A80,'Demo Pipeline'!$X$5:$X$504,"Yes"))</f>
        <v/>
      </c>
      <c r="BG80" s="33" t="str">
        <f aca="false">IF(A80="","",COUNTIFS('Demo Pipeline'!$Q$5:$Q$504,A80,'Demo Pipeline'!$Y$5:$Y$504,"Closed Won"))</f>
        <v/>
      </c>
      <c r="BH80" s="37" t="str">
        <f aca="false">IF(A80="","",SUMIFS('Demo Pipeline'!$Z$5:$Z$504,'Demo Pipeline'!$Q$5:$Q$504,A80))</f>
        <v/>
      </c>
      <c r="BI80" s="34" t="str">
        <f aca="false">IF(OR(AZ80="",N(AJ80)=0),"",AZ80/AJ80)</f>
        <v/>
      </c>
      <c r="BJ80" s="34" t="str">
        <f aca="false">IF(OR(BB80="",N(AZ80)=0),"",BB80/AZ80)</f>
        <v/>
      </c>
      <c r="BK80" s="34" t="str">
        <f aca="false">IF(OR(A80="",N(BB80)=0),"",BD80/BB80)</f>
        <v/>
      </c>
      <c r="BL80" s="34" t="str">
        <f aca="false">IF(OR(A80="",N(AZ80)=0),"",BD80/AZ80)</f>
        <v/>
      </c>
      <c r="BM80" s="37" t="str">
        <f aca="false">IF(OR(N(Q80)=0,N(BD80)=0),"",Q80/BD80)</f>
        <v/>
      </c>
      <c r="BN80" s="29"/>
      <c r="BO80" s="29"/>
      <c r="BP80" s="33" t="str">
        <f aca="false">IF(OR(AR80="",N(AO80)=0),"",AR80)</f>
        <v/>
      </c>
      <c r="BQ80" s="33" t="str">
        <f aca="false">IF(OR(AR80="",N(S80)=0),"",S80)</f>
        <v/>
      </c>
      <c r="BR80" s="38" t="str">
        <f aca="false">IF(AND(ISNUMBER(B80),B80&gt;=Dashboard!$C$4,B80&lt;=Dashboard!$F$4,ISNUMBER(AU80)),AU80+ROW()/10^9,"")</f>
        <v/>
      </c>
      <c r="BS80" s="38" t="str">
        <f aca="false">IF(AND(ISNUMBER(B80),B80&gt;=Dashboard!$C$4,B80&lt;=Dashboard!$F$4,A80&lt;&gt;""),N(BD80)+N(AU80)/100+ROW()/10^9,"")</f>
        <v/>
      </c>
    </row>
    <row r="81" customFormat="false" ht="15" hidden="false" customHeight="false" outlineLevel="0" collapsed="false">
      <c r="A81" s="24" t="str">
        <f aca="false">IF(OR(B81="",G81="",H81=""),"",IFERROR(INDEX(Settings!$E$5:$E$49,MATCH(G81,Settings!$D$5:$D$49,0))&amp;INDEX(Settings!$H$5:$H$47,MATCH(H81,Settings!$G$5:$G$47,0))&amp;"-"&amp;TEXT(B81,"yymmdd")&amp;"-"&amp;IF(C81="","0000",TEXT(C81,"hhmm")),"CHECK LISTS"))</f>
        <v/>
      </c>
      <c r="B81" s="39"/>
      <c r="C81" s="40"/>
      <c r="D81" s="24" t="str">
        <f aca="false">IF(B81="","",TEXT(B81,"ddd"))</f>
        <v/>
      </c>
      <c r="E81" s="27" t="str">
        <f aca="false">IF(B81="","",B81-WEEKDAY(B81,3))</f>
        <v/>
      </c>
      <c r="F81" s="24" t="str">
        <f aca="false">IF(B81="","",TEXT(B81,"yyyy-mm"))</f>
        <v/>
      </c>
      <c r="G81" s="29"/>
      <c r="H81" s="29"/>
      <c r="I81" s="29"/>
      <c r="J81" s="29"/>
      <c r="K81" s="29"/>
      <c r="L81" s="29"/>
      <c r="M81" s="29"/>
      <c r="N81" s="29"/>
      <c r="O81" s="29"/>
      <c r="P81" s="29"/>
      <c r="Q81" s="30"/>
      <c r="R81" s="29"/>
      <c r="S81" s="32"/>
      <c r="T81" s="29"/>
      <c r="U81" s="29"/>
      <c r="V81" s="24" t="str">
        <f aca="false">IF(A81="","",IFERROR(INDEX(Settings!$F$5:$F$49,MATCH(G81,Settings!$D$5:$D$49,0)),""))</f>
        <v/>
      </c>
      <c r="W81" s="24" t="str">
        <f aca="false">IF(A81="","",IF(OR(P81="",P81="Organic"),"social","paid_social"))</f>
        <v/>
      </c>
      <c r="X81" s="24" t="str">
        <f aca="false">IF(A81="","",IF(K81&lt;&gt;"",IFERROR(INDEX('Case Studies'!$C$5:$C$54,MATCH(K81,'Case Studies'!$B$5:$B$54,0))&amp;"","case-study"),IF(J81&lt;&gt;"",IFERROR(INDEX(Settings!$J$5:$J$55,MATCH(J81,Settings!$I$5:$I$55,0)),"general"),"general")))</f>
        <v/>
      </c>
      <c r="Y81" s="24" t="str">
        <f aca="false">IF(A81="","",LOWER(A81))</f>
        <v/>
      </c>
      <c r="Z81" s="24" t="str">
        <f aca="false">IF(A81="","",IF(T81="",Settings!$B$5,T81)&amp;IF(ISNUMBER(FIND("?",IF(T81="",Settings!$B$5,T81))),"&amp;","?")&amp;"utm_source="&amp;V81&amp;"&amp;utm_medium="&amp;W81&amp;"&amp;utm_campaign="&amp;X81&amp;"&amp;utm_content="&amp;Y81)</f>
        <v/>
      </c>
      <c r="AA81" s="29"/>
      <c r="AB81" s="39"/>
      <c r="AC81" s="32"/>
      <c r="AD81" s="32"/>
      <c r="AE81" s="32"/>
      <c r="AF81" s="32"/>
      <c r="AG81" s="32"/>
      <c r="AH81" s="32"/>
      <c r="AI81" s="32"/>
      <c r="AJ81" s="32"/>
      <c r="AK81" s="32"/>
      <c r="AL81" s="32"/>
      <c r="AM81" s="32"/>
      <c r="AN81" s="32"/>
      <c r="AO81" s="33" t="str">
        <f aca="false">IF(A81="","",IF(AD81&lt;&gt;"",AD81,IF(AC81&lt;&gt;"",AC81,"")))</f>
        <v/>
      </c>
      <c r="AP81" s="24" t="str">
        <f aca="false">IF(AO81="","",IF(AD81&lt;&gt;"","Reported reach","Impressions (proxy)"))</f>
        <v/>
      </c>
      <c r="AQ81" s="34" t="str">
        <f aca="false">IF(OR(AO81="",N(S81)=0),"",AO81/S81)</f>
        <v/>
      </c>
      <c r="AR81" s="33" t="str">
        <f aca="false">IF(A81="","",IF(COUNT(AF81:AJ81)=0,"",SUM(AF81:AJ81)))</f>
        <v/>
      </c>
      <c r="AS81" s="34" t="str">
        <f aca="false">IF(OR(AR81="",N(AO81)=0),"",AR81/AO81)</f>
        <v/>
      </c>
      <c r="AT81" s="34" t="str">
        <f aca="false">IF(OR(AR81="",N(AC81)=0),"",AR81/AC81)</f>
        <v/>
      </c>
      <c r="AU81" s="34" t="str">
        <f aca="false">IF(OR(AR81="",N(S81)=0),"",AR81/S81)</f>
        <v/>
      </c>
      <c r="AV81" s="34" t="str">
        <f aca="false">IF(OR(AJ81="",N(AC81)=0),"",AJ81/AC81)</f>
        <v/>
      </c>
      <c r="AW81" s="34" t="str">
        <f aca="false">IF(OR(AH81="",N(AO81)=0),"",AH81/AO81)</f>
        <v/>
      </c>
      <c r="AX81" s="35" t="str">
        <f aca="false">IF(OR(AR81="",N(AO81)=0),"",(N(AF81)*Settings!$B$6+N(AG81)*Settings!$B$7+N(AH81)*Settings!$B$8+N(AI81)*Settings!$B$9+N(AJ81)*Settings!$B$10)/AO81*1000)</f>
        <v/>
      </c>
      <c r="AY81" s="36" t="str">
        <f aca="false">IF(AS81="","",IFERROR(AS81/AVERAGEIFS('Post Tracker'!$AS$5:$AS$1004,'Post Tracker'!$G$5:$G$1004,G81),""))</f>
        <v/>
      </c>
      <c r="AZ81" s="32"/>
      <c r="BA81" s="32"/>
      <c r="BB81" s="32"/>
      <c r="BC81" s="32"/>
      <c r="BD81" s="33" t="str">
        <f aca="false">IF(A81="","",COUNTIFS('Demo Pipeline'!$Q$5:$Q$504,A81))</f>
        <v/>
      </c>
      <c r="BE81" s="33" t="str">
        <f aca="false">IF(A81="","",COUNTIFS('Demo Pipeline'!$Q$5:$Q$504,A81,'Demo Pipeline'!$W$5:$W$504,"Attended"))</f>
        <v/>
      </c>
      <c r="BF81" s="33" t="str">
        <f aca="false">IF(A81="","",COUNTIFS('Demo Pipeline'!$Q$5:$Q$504,A81,'Demo Pipeline'!$X$5:$X$504,"Yes"))</f>
        <v/>
      </c>
      <c r="BG81" s="33" t="str">
        <f aca="false">IF(A81="","",COUNTIFS('Demo Pipeline'!$Q$5:$Q$504,A81,'Demo Pipeline'!$Y$5:$Y$504,"Closed Won"))</f>
        <v/>
      </c>
      <c r="BH81" s="37" t="str">
        <f aca="false">IF(A81="","",SUMIFS('Demo Pipeline'!$Z$5:$Z$504,'Demo Pipeline'!$Q$5:$Q$504,A81))</f>
        <v/>
      </c>
      <c r="BI81" s="34" t="str">
        <f aca="false">IF(OR(AZ81="",N(AJ81)=0),"",AZ81/AJ81)</f>
        <v/>
      </c>
      <c r="BJ81" s="34" t="str">
        <f aca="false">IF(OR(BB81="",N(AZ81)=0),"",BB81/AZ81)</f>
        <v/>
      </c>
      <c r="BK81" s="34" t="str">
        <f aca="false">IF(OR(A81="",N(BB81)=0),"",BD81/BB81)</f>
        <v/>
      </c>
      <c r="BL81" s="34" t="str">
        <f aca="false">IF(OR(A81="",N(AZ81)=0),"",BD81/AZ81)</f>
        <v/>
      </c>
      <c r="BM81" s="37" t="str">
        <f aca="false">IF(OR(N(Q81)=0,N(BD81)=0),"",Q81/BD81)</f>
        <v/>
      </c>
      <c r="BN81" s="29"/>
      <c r="BO81" s="29"/>
      <c r="BP81" s="33" t="str">
        <f aca="false">IF(OR(AR81="",N(AO81)=0),"",AR81)</f>
        <v/>
      </c>
      <c r="BQ81" s="33" t="str">
        <f aca="false">IF(OR(AR81="",N(S81)=0),"",S81)</f>
        <v/>
      </c>
      <c r="BR81" s="38" t="str">
        <f aca="false">IF(AND(ISNUMBER(B81),B81&gt;=Dashboard!$C$4,B81&lt;=Dashboard!$F$4,ISNUMBER(AU81)),AU81+ROW()/10^9,"")</f>
        <v/>
      </c>
      <c r="BS81" s="38" t="str">
        <f aca="false">IF(AND(ISNUMBER(B81),B81&gt;=Dashboard!$C$4,B81&lt;=Dashboard!$F$4,A81&lt;&gt;""),N(BD81)+N(AU81)/100+ROW()/10^9,"")</f>
        <v/>
      </c>
    </row>
    <row r="82" customFormat="false" ht="15" hidden="false" customHeight="false" outlineLevel="0" collapsed="false">
      <c r="A82" s="24" t="str">
        <f aca="false">IF(OR(B82="",G82="",H82=""),"",IFERROR(INDEX(Settings!$E$5:$E$49,MATCH(G82,Settings!$D$5:$D$49,0))&amp;INDEX(Settings!$H$5:$H$47,MATCH(H82,Settings!$G$5:$G$47,0))&amp;"-"&amp;TEXT(B82,"yymmdd")&amp;"-"&amp;IF(C82="","0000",TEXT(C82,"hhmm")),"CHECK LISTS"))</f>
        <v/>
      </c>
      <c r="B82" s="39"/>
      <c r="C82" s="40"/>
      <c r="D82" s="24" t="str">
        <f aca="false">IF(B82="","",TEXT(B82,"ddd"))</f>
        <v/>
      </c>
      <c r="E82" s="27" t="str">
        <f aca="false">IF(B82="","",B82-WEEKDAY(B82,3))</f>
        <v/>
      </c>
      <c r="F82" s="24" t="str">
        <f aca="false">IF(B82="","",TEXT(B82,"yyyy-mm"))</f>
        <v/>
      </c>
      <c r="G82" s="29"/>
      <c r="H82" s="29"/>
      <c r="I82" s="29"/>
      <c r="J82" s="29"/>
      <c r="K82" s="29"/>
      <c r="L82" s="29"/>
      <c r="M82" s="29"/>
      <c r="N82" s="29"/>
      <c r="O82" s="29"/>
      <c r="P82" s="29"/>
      <c r="Q82" s="30"/>
      <c r="R82" s="29"/>
      <c r="S82" s="32"/>
      <c r="T82" s="29"/>
      <c r="U82" s="29"/>
      <c r="V82" s="24" t="str">
        <f aca="false">IF(A82="","",IFERROR(INDEX(Settings!$F$5:$F$49,MATCH(G82,Settings!$D$5:$D$49,0)),""))</f>
        <v/>
      </c>
      <c r="W82" s="24" t="str">
        <f aca="false">IF(A82="","",IF(OR(P82="",P82="Organic"),"social","paid_social"))</f>
        <v/>
      </c>
      <c r="X82" s="24" t="str">
        <f aca="false">IF(A82="","",IF(K82&lt;&gt;"",IFERROR(INDEX('Case Studies'!$C$5:$C$54,MATCH(K82,'Case Studies'!$B$5:$B$54,0))&amp;"","case-study"),IF(J82&lt;&gt;"",IFERROR(INDEX(Settings!$J$5:$J$55,MATCH(J82,Settings!$I$5:$I$55,0)),"general"),"general")))</f>
        <v/>
      </c>
      <c r="Y82" s="24" t="str">
        <f aca="false">IF(A82="","",LOWER(A82))</f>
        <v/>
      </c>
      <c r="Z82" s="24" t="str">
        <f aca="false">IF(A82="","",IF(T82="",Settings!$B$5,T82)&amp;IF(ISNUMBER(FIND("?",IF(T82="",Settings!$B$5,T82))),"&amp;","?")&amp;"utm_source="&amp;V82&amp;"&amp;utm_medium="&amp;W82&amp;"&amp;utm_campaign="&amp;X82&amp;"&amp;utm_content="&amp;Y82)</f>
        <v/>
      </c>
      <c r="AA82" s="29"/>
      <c r="AB82" s="39"/>
      <c r="AC82" s="32"/>
      <c r="AD82" s="32"/>
      <c r="AE82" s="32"/>
      <c r="AF82" s="32"/>
      <c r="AG82" s="32"/>
      <c r="AH82" s="32"/>
      <c r="AI82" s="32"/>
      <c r="AJ82" s="32"/>
      <c r="AK82" s="32"/>
      <c r="AL82" s="32"/>
      <c r="AM82" s="32"/>
      <c r="AN82" s="32"/>
      <c r="AO82" s="33" t="str">
        <f aca="false">IF(A82="","",IF(AD82&lt;&gt;"",AD82,IF(AC82&lt;&gt;"",AC82,"")))</f>
        <v/>
      </c>
      <c r="AP82" s="24" t="str">
        <f aca="false">IF(AO82="","",IF(AD82&lt;&gt;"","Reported reach","Impressions (proxy)"))</f>
        <v/>
      </c>
      <c r="AQ82" s="34" t="str">
        <f aca="false">IF(OR(AO82="",N(S82)=0),"",AO82/S82)</f>
        <v/>
      </c>
      <c r="AR82" s="33" t="str">
        <f aca="false">IF(A82="","",IF(COUNT(AF82:AJ82)=0,"",SUM(AF82:AJ82)))</f>
        <v/>
      </c>
      <c r="AS82" s="34" t="str">
        <f aca="false">IF(OR(AR82="",N(AO82)=0),"",AR82/AO82)</f>
        <v/>
      </c>
      <c r="AT82" s="34" t="str">
        <f aca="false">IF(OR(AR82="",N(AC82)=0),"",AR82/AC82)</f>
        <v/>
      </c>
      <c r="AU82" s="34" t="str">
        <f aca="false">IF(OR(AR82="",N(S82)=0),"",AR82/S82)</f>
        <v/>
      </c>
      <c r="AV82" s="34" t="str">
        <f aca="false">IF(OR(AJ82="",N(AC82)=0),"",AJ82/AC82)</f>
        <v/>
      </c>
      <c r="AW82" s="34" t="str">
        <f aca="false">IF(OR(AH82="",N(AO82)=0),"",AH82/AO82)</f>
        <v/>
      </c>
      <c r="AX82" s="35" t="str">
        <f aca="false">IF(OR(AR82="",N(AO82)=0),"",(N(AF82)*Settings!$B$6+N(AG82)*Settings!$B$7+N(AH82)*Settings!$B$8+N(AI82)*Settings!$B$9+N(AJ82)*Settings!$B$10)/AO82*1000)</f>
        <v/>
      </c>
      <c r="AY82" s="36" t="str">
        <f aca="false">IF(AS82="","",IFERROR(AS82/AVERAGEIFS('Post Tracker'!$AS$5:$AS$1004,'Post Tracker'!$G$5:$G$1004,G82),""))</f>
        <v/>
      </c>
      <c r="AZ82" s="32"/>
      <c r="BA82" s="32"/>
      <c r="BB82" s="32"/>
      <c r="BC82" s="32"/>
      <c r="BD82" s="33" t="str">
        <f aca="false">IF(A82="","",COUNTIFS('Demo Pipeline'!$Q$5:$Q$504,A82))</f>
        <v/>
      </c>
      <c r="BE82" s="33" t="str">
        <f aca="false">IF(A82="","",COUNTIFS('Demo Pipeline'!$Q$5:$Q$504,A82,'Demo Pipeline'!$W$5:$W$504,"Attended"))</f>
        <v/>
      </c>
      <c r="BF82" s="33" t="str">
        <f aca="false">IF(A82="","",COUNTIFS('Demo Pipeline'!$Q$5:$Q$504,A82,'Demo Pipeline'!$X$5:$X$504,"Yes"))</f>
        <v/>
      </c>
      <c r="BG82" s="33" t="str">
        <f aca="false">IF(A82="","",COUNTIFS('Demo Pipeline'!$Q$5:$Q$504,A82,'Demo Pipeline'!$Y$5:$Y$504,"Closed Won"))</f>
        <v/>
      </c>
      <c r="BH82" s="37" t="str">
        <f aca="false">IF(A82="","",SUMIFS('Demo Pipeline'!$Z$5:$Z$504,'Demo Pipeline'!$Q$5:$Q$504,A82))</f>
        <v/>
      </c>
      <c r="BI82" s="34" t="str">
        <f aca="false">IF(OR(AZ82="",N(AJ82)=0),"",AZ82/AJ82)</f>
        <v/>
      </c>
      <c r="BJ82" s="34" t="str">
        <f aca="false">IF(OR(BB82="",N(AZ82)=0),"",BB82/AZ82)</f>
        <v/>
      </c>
      <c r="BK82" s="34" t="str">
        <f aca="false">IF(OR(A82="",N(BB82)=0),"",BD82/BB82)</f>
        <v/>
      </c>
      <c r="BL82" s="34" t="str">
        <f aca="false">IF(OR(A82="",N(AZ82)=0),"",BD82/AZ82)</f>
        <v/>
      </c>
      <c r="BM82" s="37" t="str">
        <f aca="false">IF(OR(N(Q82)=0,N(BD82)=0),"",Q82/BD82)</f>
        <v/>
      </c>
      <c r="BN82" s="29"/>
      <c r="BO82" s="29"/>
      <c r="BP82" s="33" t="str">
        <f aca="false">IF(OR(AR82="",N(AO82)=0),"",AR82)</f>
        <v/>
      </c>
      <c r="BQ82" s="33" t="str">
        <f aca="false">IF(OR(AR82="",N(S82)=0),"",S82)</f>
        <v/>
      </c>
      <c r="BR82" s="38" t="str">
        <f aca="false">IF(AND(ISNUMBER(B82),B82&gt;=Dashboard!$C$4,B82&lt;=Dashboard!$F$4,ISNUMBER(AU82)),AU82+ROW()/10^9,"")</f>
        <v/>
      </c>
      <c r="BS82" s="38" t="str">
        <f aca="false">IF(AND(ISNUMBER(B82),B82&gt;=Dashboard!$C$4,B82&lt;=Dashboard!$F$4,A82&lt;&gt;""),N(BD82)+N(AU82)/100+ROW()/10^9,"")</f>
        <v/>
      </c>
    </row>
    <row r="83" customFormat="false" ht="15" hidden="false" customHeight="false" outlineLevel="0" collapsed="false">
      <c r="A83" s="24" t="str">
        <f aca="false">IF(OR(B83="",G83="",H83=""),"",IFERROR(INDEX(Settings!$E$5:$E$49,MATCH(G83,Settings!$D$5:$D$49,0))&amp;INDEX(Settings!$H$5:$H$47,MATCH(H83,Settings!$G$5:$G$47,0))&amp;"-"&amp;TEXT(B83,"yymmdd")&amp;"-"&amp;IF(C83="","0000",TEXT(C83,"hhmm")),"CHECK LISTS"))</f>
        <v/>
      </c>
      <c r="B83" s="39"/>
      <c r="C83" s="40"/>
      <c r="D83" s="24" t="str">
        <f aca="false">IF(B83="","",TEXT(B83,"ddd"))</f>
        <v/>
      </c>
      <c r="E83" s="27" t="str">
        <f aca="false">IF(B83="","",B83-WEEKDAY(B83,3))</f>
        <v/>
      </c>
      <c r="F83" s="24" t="str">
        <f aca="false">IF(B83="","",TEXT(B83,"yyyy-mm"))</f>
        <v/>
      </c>
      <c r="G83" s="29"/>
      <c r="H83" s="29"/>
      <c r="I83" s="29"/>
      <c r="J83" s="29"/>
      <c r="K83" s="29"/>
      <c r="L83" s="29"/>
      <c r="M83" s="29"/>
      <c r="N83" s="29"/>
      <c r="O83" s="29"/>
      <c r="P83" s="29"/>
      <c r="Q83" s="30"/>
      <c r="R83" s="29"/>
      <c r="S83" s="32"/>
      <c r="T83" s="29"/>
      <c r="U83" s="29"/>
      <c r="V83" s="24" t="str">
        <f aca="false">IF(A83="","",IFERROR(INDEX(Settings!$F$5:$F$49,MATCH(G83,Settings!$D$5:$D$49,0)),""))</f>
        <v/>
      </c>
      <c r="W83" s="24" t="str">
        <f aca="false">IF(A83="","",IF(OR(P83="",P83="Organic"),"social","paid_social"))</f>
        <v/>
      </c>
      <c r="X83" s="24" t="str">
        <f aca="false">IF(A83="","",IF(K83&lt;&gt;"",IFERROR(INDEX('Case Studies'!$C$5:$C$54,MATCH(K83,'Case Studies'!$B$5:$B$54,0))&amp;"","case-study"),IF(J83&lt;&gt;"",IFERROR(INDEX(Settings!$J$5:$J$55,MATCH(J83,Settings!$I$5:$I$55,0)),"general"),"general")))</f>
        <v/>
      </c>
      <c r="Y83" s="24" t="str">
        <f aca="false">IF(A83="","",LOWER(A83))</f>
        <v/>
      </c>
      <c r="Z83" s="24" t="str">
        <f aca="false">IF(A83="","",IF(T83="",Settings!$B$5,T83)&amp;IF(ISNUMBER(FIND("?",IF(T83="",Settings!$B$5,T83))),"&amp;","?")&amp;"utm_source="&amp;V83&amp;"&amp;utm_medium="&amp;W83&amp;"&amp;utm_campaign="&amp;X83&amp;"&amp;utm_content="&amp;Y83)</f>
        <v/>
      </c>
      <c r="AA83" s="29"/>
      <c r="AB83" s="39"/>
      <c r="AC83" s="32"/>
      <c r="AD83" s="32"/>
      <c r="AE83" s="32"/>
      <c r="AF83" s="32"/>
      <c r="AG83" s="32"/>
      <c r="AH83" s="32"/>
      <c r="AI83" s="32"/>
      <c r="AJ83" s="32"/>
      <c r="AK83" s="32"/>
      <c r="AL83" s="32"/>
      <c r="AM83" s="32"/>
      <c r="AN83" s="32"/>
      <c r="AO83" s="33" t="str">
        <f aca="false">IF(A83="","",IF(AD83&lt;&gt;"",AD83,IF(AC83&lt;&gt;"",AC83,"")))</f>
        <v/>
      </c>
      <c r="AP83" s="24" t="str">
        <f aca="false">IF(AO83="","",IF(AD83&lt;&gt;"","Reported reach","Impressions (proxy)"))</f>
        <v/>
      </c>
      <c r="AQ83" s="34" t="str">
        <f aca="false">IF(OR(AO83="",N(S83)=0),"",AO83/S83)</f>
        <v/>
      </c>
      <c r="AR83" s="33" t="str">
        <f aca="false">IF(A83="","",IF(COUNT(AF83:AJ83)=0,"",SUM(AF83:AJ83)))</f>
        <v/>
      </c>
      <c r="AS83" s="34" t="str">
        <f aca="false">IF(OR(AR83="",N(AO83)=0),"",AR83/AO83)</f>
        <v/>
      </c>
      <c r="AT83" s="34" t="str">
        <f aca="false">IF(OR(AR83="",N(AC83)=0),"",AR83/AC83)</f>
        <v/>
      </c>
      <c r="AU83" s="34" t="str">
        <f aca="false">IF(OR(AR83="",N(S83)=0),"",AR83/S83)</f>
        <v/>
      </c>
      <c r="AV83" s="34" t="str">
        <f aca="false">IF(OR(AJ83="",N(AC83)=0),"",AJ83/AC83)</f>
        <v/>
      </c>
      <c r="AW83" s="34" t="str">
        <f aca="false">IF(OR(AH83="",N(AO83)=0),"",AH83/AO83)</f>
        <v/>
      </c>
      <c r="AX83" s="35" t="str">
        <f aca="false">IF(OR(AR83="",N(AO83)=0),"",(N(AF83)*Settings!$B$6+N(AG83)*Settings!$B$7+N(AH83)*Settings!$B$8+N(AI83)*Settings!$B$9+N(AJ83)*Settings!$B$10)/AO83*1000)</f>
        <v/>
      </c>
      <c r="AY83" s="36" t="str">
        <f aca="false">IF(AS83="","",IFERROR(AS83/AVERAGEIFS('Post Tracker'!$AS$5:$AS$1004,'Post Tracker'!$G$5:$G$1004,G83),""))</f>
        <v/>
      </c>
      <c r="AZ83" s="32"/>
      <c r="BA83" s="32"/>
      <c r="BB83" s="32"/>
      <c r="BC83" s="32"/>
      <c r="BD83" s="33" t="str">
        <f aca="false">IF(A83="","",COUNTIFS('Demo Pipeline'!$Q$5:$Q$504,A83))</f>
        <v/>
      </c>
      <c r="BE83" s="33" t="str">
        <f aca="false">IF(A83="","",COUNTIFS('Demo Pipeline'!$Q$5:$Q$504,A83,'Demo Pipeline'!$W$5:$W$504,"Attended"))</f>
        <v/>
      </c>
      <c r="BF83" s="33" t="str">
        <f aca="false">IF(A83="","",COUNTIFS('Demo Pipeline'!$Q$5:$Q$504,A83,'Demo Pipeline'!$X$5:$X$504,"Yes"))</f>
        <v/>
      </c>
      <c r="BG83" s="33" t="str">
        <f aca="false">IF(A83="","",COUNTIFS('Demo Pipeline'!$Q$5:$Q$504,A83,'Demo Pipeline'!$Y$5:$Y$504,"Closed Won"))</f>
        <v/>
      </c>
      <c r="BH83" s="37" t="str">
        <f aca="false">IF(A83="","",SUMIFS('Demo Pipeline'!$Z$5:$Z$504,'Demo Pipeline'!$Q$5:$Q$504,A83))</f>
        <v/>
      </c>
      <c r="BI83" s="34" t="str">
        <f aca="false">IF(OR(AZ83="",N(AJ83)=0),"",AZ83/AJ83)</f>
        <v/>
      </c>
      <c r="BJ83" s="34" t="str">
        <f aca="false">IF(OR(BB83="",N(AZ83)=0),"",BB83/AZ83)</f>
        <v/>
      </c>
      <c r="BK83" s="34" t="str">
        <f aca="false">IF(OR(A83="",N(BB83)=0),"",BD83/BB83)</f>
        <v/>
      </c>
      <c r="BL83" s="34" t="str">
        <f aca="false">IF(OR(A83="",N(AZ83)=0),"",BD83/AZ83)</f>
        <v/>
      </c>
      <c r="BM83" s="37" t="str">
        <f aca="false">IF(OR(N(Q83)=0,N(BD83)=0),"",Q83/BD83)</f>
        <v/>
      </c>
      <c r="BN83" s="29"/>
      <c r="BO83" s="29"/>
      <c r="BP83" s="33" t="str">
        <f aca="false">IF(OR(AR83="",N(AO83)=0),"",AR83)</f>
        <v/>
      </c>
      <c r="BQ83" s="33" t="str">
        <f aca="false">IF(OR(AR83="",N(S83)=0),"",S83)</f>
        <v/>
      </c>
      <c r="BR83" s="38" t="str">
        <f aca="false">IF(AND(ISNUMBER(B83),B83&gt;=Dashboard!$C$4,B83&lt;=Dashboard!$F$4,ISNUMBER(AU83)),AU83+ROW()/10^9,"")</f>
        <v/>
      </c>
      <c r="BS83" s="38" t="str">
        <f aca="false">IF(AND(ISNUMBER(B83),B83&gt;=Dashboard!$C$4,B83&lt;=Dashboard!$F$4,A83&lt;&gt;""),N(BD83)+N(AU83)/100+ROW()/10^9,"")</f>
        <v/>
      </c>
    </row>
    <row r="84" customFormat="false" ht="15" hidden="false" customHeight="false" outlineLevel="0" collapsed="false">
      <c r="A84" s="24" t="str">
        <f aca="false">IF(OR(B84="",G84="",H84=""),"",IFERROR(INDEX(Settings!$E$5:$E$49,MATCH(G84,Settings!$D$5:$D$49,0))&amp;INDEX(Settings!$H$5:$H$47,MATCH(H84,Settings!$G$5:$G$47,0))&amp;"-"&amp;TEXT(B84,"yymmdd")&amp;"-"&amp;IF(C84="","0000",TEXT(C84,"hhmm")),"CHECK LISTS"))</f>
        <v/>
      </c>
      <c r="B84" s="39"/>
      <c r="C84" s="40"/>
      <c r="D84" s="24" t="str">
        <f aca="false">IF(B84="","",TEXT(B84,"ddd"))</f>
        <v/>
      </c>
      <c r="E84" s="27" t="str">
        <f aca="false">IF(B84="","",B84-WEEKDAY(B84,3))</f>
        <v/>
      </c>
      <c r="F84" s="24" t="str">
        <f aca="false">IF(B84="","",TEXT(B84,"yyyy-mm"))</f>
        <v/>
      </c>
      <c r="G84" s="29"/>
      <c r="H84" s="29"/>
      <c r="I84" s="29"/>
      <c r="J84" s="29"/>
      <c r="K84" s="29"/>
      <c r="L84" s="29"/>
      <c r="M84" s="29"/>
      <c r="N84" s="29"/>
      <c r="O84" s="29"/>
      <c r="P84" s="29"/>
      <c r="Q84" s="30"/>
      <c r="R84" s="29"/>
      <c r="S84" s="32"/>
      <c r="T84" s="29"/>
      <c r="U84" s="29"/>
      <c r="V84" s="24" t="str">
        <f aca="false">IF(A84="","",IFERROR(INDEX(Settings!$F$5:$F$49,MATCH(G84,Settings!$D$5:$D$49,0)),""))</f>
        <v/>
      </c>
      <c r="W84" s="24" t="str">
        <f aca="false">IF(A84="","",IF(OR(P84="",P84="Organic"),"social","paid_social"))</f>
        <v/>
      </c>
      <c r="X84" s="24" t="str">
        <f aca="false">IF(A84="","",IF(K84&lt;&gt;"",IFERROR(INDEX('Case Studies'!$C$5:$C$54,MATCH(K84,'Case Studies'!$B$5:$B$54,0))&amp;"","case-study"),IF(J84&lt;&gt;"",IFERROR(INDEX(Settings!$J$5:$J$55,MATCH(J84,Settings!$I$5:$I$55,0)),"general"),"general")))</f>
        <v/>
      </c>
      <c r="Y84" s="24" t="str">
        <f aca="false">IF(A84="","",LOWER(A84))</f>
        <v/>
      </c>
      <c r="Z84" s="24" t="str">
        <f aca="false">IF(A84="","",IF(T84="",Settings!$B$5,T84)&amp;IF(ISNUMBER(FIND("?",IF(T84="",Settings!$B$5,T84))),"&amp;","?")&amp;"utm_source="&amp;V84&amp;"&amp;utm_medium="&amp;W84&amp;"&amp;utm_campaign="&amp;X84&amp;"&amp;utm_content="&amp;Y84)</f>
        <v/>
      </c>
      <c r="AA84" s="29"/>
      <c r="AB84" s="39"/>
      <c r="AC84" s="32"/>
      <c r="AD84" s="32"/>
      <c r="AE84" s="32"/>
      <c r="AF84" s="32"/>
      <c r="AG84" s="32"/>
      <c r="AH84" s="32"/>
      <c r="AI84" s="32"/>
      <c r="AJ84" s="32"/>
      <c r="AK84" s="32"/>
      <c r="AL84" s="32"/>
      <c r="AM84" s="32"/>
      <c r="AN84" s="32"/>
      <c r="AO84" s="33" t="str">
        <f aca="false">IF(A84="","",IF(AD84&lt;&gt;"",AD84,IF(AC84&lt;&gt;"",AC84,"")))</f>
        <v/>
      </c>
      <c r="AP84" s="24" t="str">
        <f aca="false">IF(AO84="","",IF(AD84&lt;&gt;"","Reported reach","Impressions (proxy)"))</f>
        <v/>
      </c>
      <c r="AQ84" s="34" t="str">
        <f aca="false">IF(OR(AO84="",N(S84)=0),"",AO84/S84)</f>
        <v/>
      </c>
      <c r="AR84" s="33" t="str">
        <f aca="false">IF(A84="","",IF(COUNT(AF84:AJ84)=0,"",SUM(AF84:AJ84)))</f>
        <v/>
      </c>
      <c r="AS84" s="34" t="str">
        <f aca="false">IF(OR(AR84="",N(AO84)=0),"",AR84/AO84)</f>
        <v/>
      </c>
      <c r="AT84" s="34" t="str">
        <f aca="false">IF(OR(AR84="",N(AC84)=0),"",AR84/AC84)</f>
        <v/>
      </c>
      <c r="AU84" s="34" t="str">
        <f aca="false">IF(OR(AR84="",N(S84)=0),"",AR84/S84)</f>
        <v/>
      </c>
      <c r="AV84" s="34" t="str">
        <f aca="false">IF(OR(AJ84="",N(AC84)=0),"",AJ84/AC84)</f>
        <v/>
      </c>
      <c r="AW84" s="34" t="str">
        <f aca="false">IF(OR(AH84="",N(AO84)=0),"",AH84/AO84)</f>
        <v/>
      </c>
      <c r="AX84" s="35" t="str">
        <f aca="false">IF(OR(AR84="",N(AO84)=0),"",(N(AF84)*Settings!$B$6+N(AG84)*Settings!$B$7+N(AH84)*Settings!$B$8+N(AI84)*Settings!$B$9+N(AJ84)*Settings!$B$10)/AO84*1000)</f>
        <v/>
      </c>
      <c r="AY84" s="36" t="str">
        <f aca="false">IF(AS84="","",IFERROR(AS84/AVERAGEIFS('Post Tracker'!$AS$5:$AS$1004,'Post Tracker'!$G$5:$G$1004,G84),""))</f>
        <v/>
      </c>
      <c r="AZ84" s="32"/>
      <c r="BA84" s="32"/>
      <c r="BB84" s="32"/>
      <c r="BC84" s="32"/>
      <c r="BD84" s="33" t="str">
        <f aca="false">IF(A84="","",COUNTIFS('Demo Pipeline'!$Q$5:$Q$504,A84))</f>
        <v/>
      </c>
      <c r="BE84" s="33" t="str">
        <f aca="false">IF(A84="","",COUNTIFS('Demo Pipeline'!$Q$5:$Q$504,A84,'Demo Pipeline'!$W$5:$W$504,"Attended"))</f>
        <v/>
      </c>
      <c r="BF84" s="33" t="str">
        <f aca="false">IF(A84="","",COUNTIFS('Demo Pipeline'!$Q$5:$Q$504,A84,'Demo Pipeline'!$X$5:$X$504,"Yes"))</f>
        <v/>
      </c>
      <c r="BG84" s="33" t="str">
        <f aca="false">IF(A84="","",COUNTIFS('Demo Pipeline'!$Q$5:$Q$504,A84,'Demo Pipeline'!$Y$5:$Y$504,"Closed Won"))</f>
        <v/>
      </c>
      <c r="BH84" s="37" t="str">
        <f aca="false">IF(A84="","",SUMIFS('Demo Pipeline'!$Z$5:$Z$504,'Demo Pipeline'!$Q$5:$Q$504,A84))</f>
        <v/>
      </c>
      <c r="BI84" s="34" t="str">
        <f aca="false">IF(OR(AZ84="",N(AJ84)=0),"",AZ84/AJ84)</f>
        <v/>
      </c>
      <c r="BJ84" s="34" t="str">
        <f aca="false">IF(OR(BB84="",N(AZ84)=0),"",BB84/AZ84)</f>
        <v/>
      </c>
      <c r="BK84" s="34" t="str">
        <f aca="false">IF(OR(A84="",N(BB84)=0),"",BD84/BB84)</f>
        <v/>
      </c>
      <c r="BL84" s="34" t="str">
        <f aca="false">IF(OR(A84="",N(AZ84)=0),"",BD84/AZ84)</f>
        <v/>
      </c>
      <c r="BM84" s="37" t="str">
        <f aca="false">IF(OR(N(Q84)=0,N(BD84)=0),"",Q84/BD84)</f>
        <v/>
      </c>
      <c r="BN84" s="29"/>
      <c r="BO84" s="29"/>
      <c r="BP84" s="33" t="str">
        <f aca="false">IF(OR(AR84="",N(AO84)=0),"",AR84)</f>
        <v/>
      </c>
      <c r="BQ84" s="33" t="str">
        <f aca="false">IF(OR(AR84="",N(S84)=0),"",S84)</f>
        <v/>
      </c>
      <c r="BR84" s="38" t="str">
        <f aca="false">IF(AND(ISNUMBER(B84),B84&gt;=Dashboard!$C$4,B84&lt;=Dashboard!$F$4,ISNUMBER(AU84)),AU84+ROW()/10^9,"")</f>
        <v/>
      </c>
      <c r="BS84" s="38" t="str">
        <f aca="false">IF(AND(ISNUMBER(B84),B84&gt;=Dashboard!$C$4,B84&lt;=Dashboard!$F$4,A84&lt;&gt;""),N(BD84)+N(AU84)/100+ROW()/10^9,"")</f>
        <v/>
      </c>
    </row>
    <row r="85" customFormat="false" ht="15" hidden="false" customHeight="false" outlineLevel="0" collapsed="false">
      <c r="A85" s="24" t="str">
        <f aca="false">IF(OR(B85="",G85="",H85=""),"",IFERROR(INDEX(Settings!$E$5:$E$49,MATCH(G85,Settings!$D$5:$D$49,0))&amp;INDEX(Settings!$H$5:$H$47,MATCH(H85,Settings!$G$5:$G$47,0))&amp;"-"&amp;TEXT(B85,"yymmdd")&amp;"-"&amp;IF(C85="","0000",TEXT(C85,"hhmm")),"CHECK LISTS"))</f>
        <v/>
      </c>
      <c r="B85" s="39"/>
      <c r="C85" s="40"/>
      <c r="D85" s="24" t="str">
        <f aca="false">IF(B85="","",TEXT(B85,"ddd"))</f>
        <v/>
      </c>
      <c r="E85" s="27" t="str">
        <f aca="false">IF(B85="","",B85-WEEKDAY(B85,3))</f>
        <v/>
      </c>
      <c r="F85" s="24" t="str">
        <f aca="false">IF(B85="","",TEXT(B85,"yyyy-mm"))</f>
        <v/>
      </c>
      <c r="G85" s="29"/>
      <c r="H85" s="29"/>
      <c r="I85" s="29"/>
      <c r="J85" s="29"/>
      <c r="K85" s="29"/>
      <c r="L85" s="29"/>
      <c r="M85" s="29"/>
      <c r="N85" s="29"/>
      <c r="O85" s="29"/>
      <c r="P85" s="29"/>
      <c r="Q85" s="30"/>
      <c r="R85" s="29"/>
      <c r="S85" s="32"/>
      <c r="T85" s="29"/>
      <c r="U85" s="29"/>
      <c r="V85" s="24" t="str">
        <f aca="false">IF(A85="","",IFERROR(INDEX(Settings!$F$5:$F$49,MATCH(G85,Settings!$D$5:$D$49,0)),""))</f>
        <v/>
      </c>
      <c r="W85" s="24" t="str">
        <f aca="false">IF(A85="","",IF(OR(P85="",P85="Organic"),"social","paid_social"))</f>
        <v/>
      </c>
      <c r="X85" s="24" t="str">
        <f aca="false">IF(A85="","",IF(K85&lt;&gt;"",IFERROR(INDEX('Case Studies'!$C$5:$C$54,MATCH(K85,'Case Studies'!$B$5:$B$54,0))&amp;"","case-study"),IF(J85&lt;&gt;"",IFERROR(INDEX(Settings!$J$5:$J$55,MATCH(J85,Settings!$I$5:$I$55,0)),"general"),"general")))</f>
        <v/>
      </c>
      <c r="Y85" s="24" t="str">
        <f aca="false">IF(A85="","",LOWER(A85))</f>
        <v/>
      </c>
      <c r="Z85" s="24" t="str">
        <f aca="false">IF(A85="","",IF(T85="",Settings!$B$5,T85)&amp;IF(ISNUMBER(FIND("?",IF(T85="",Settings!$B$5,T85))),"&amp;","?")&amp;"utm_source="&amp;V85&amp;"&amp;utm_medium="&amp;W85&amp;"&amp;utm_campaign="&amp;X85&amp;"&amp;utm_content="&amp;Y85)</f>
        <v/>
      </c>
      <c r="AA85" s="29"/>
      <c r="AB85" s="39"/>
      <c r="AC85" s="32"/>
      <c r="AD85" s="32"/>
      <c r="AE85" s="32"/>
      <c r="AF85" s="32"/>
      <c r="AG85" s="32"/>
      <c r="AH85" s="32"/>
      <c r="AI85" s="32"/>
      <c r="AJ85" s="32"/>
      <c r="AK85" s="32"/>
      <c r="AL85" s="32"/>
      <c r="AM85" s="32"/>
      <c r="AN85" s="32"/>
      <c r="AO85" s="33" t="str">
        <f aca="false">IF(A85="","",IF(AD85&lt;&gt;"",AD85,IF(AC85&lt;&gt;"",AC85,"")))</f>
        <v/>
      </c>
      <c r="AP85" s="24" t="str">
        <f aca="false">IF(AO85="","",IF(AD85&lt;&gt;"","Reported reach","Impressions (proxy)"))</f>
        <v/>
      </c>
      <c r="AQ85" s="34" t="str">
        <f aca="false">IF(OR(AO85="",N(S85)=0),"",AO85/S85)</f>
        <v/>
      </c>
      <c r="AR85" s="33" t="str">
        <f aca="false">IF(A85="","",IF(COUNT(AF85:AJ85)=0,"",SUM(AF85:AJ85)))</f>
        <v/>
      </c>
      <c r="AS85" s="34" t="str">
        <f aca="false">IF(OR(AR85="",N(AO85)=0),"",AR85/AO85)</f>
        <v/>
      </c>
      <c r="AT85" s="34" t="str">
        <f aca="false">IF(OR(AR85="",N(AC85)=0),"",AR85/AC85)</f>
        <v/>
      </c>
      <c r="AU85" s="34" t="str">
        <f aca="false">IF(OR(AR85="",N(S85)=0),"",AR85/S85)</f>
        <v/>
      </c>
      <c r="AV85" s="34" t="str">
        <f aca="false">IF(OR(AJ85="",N(AC85)=0),"",AJ85/AC85)</f>
        <v/>
      </c>
      <c r="AW85" s="34" t="str">
        <f aca="false">IF(OR(AH85="",N(AO85)=0),"",AH85/AO85)</f>
        <v/>
      </c>
      <c r="AX85" s="35" t="str">
        <f aca="false">IF(OR(AR85="",N(AO85)=0),"",(N(AF85)*Settings!$B$6+N(AG85)*Settings!$B$7+N(AH85)*Settings!$B$8+N(AI85)*Settings!$B$9+N(AJ85)*Settings!$B$10)/AO85*1000)</f>
        <v/>
      </c>
      <c r="AY85" s="36" t="str">
        <f aca="false">IF(AS85="","",IFERROR(AS85/AVERAGEIFS('Post Tracker'!$AS$5:$AS$1004,'Post Tracker'!$G$5:$G$1004,G85),""))</f>
        <v/>
      </c>
      <c r="AZ85" s="32"/>
      <c r="BA85" s="32"/>
      <c r="BB85" s="32"/>
      <c r="BC85" s="32"/>
      <c r="BD85" s="33" t="str">
        <f aca="false">IF(A85="","",COUNTIFS('Demo Pipeline'!$Q$5:$Q$504,A85))</f>
        <v/>
      </c>
      <c r="BE85" s="33" t="str">
        <f aca="false">IF(A85="","",COUNTIFS('Demo Pipeline'!$Q$5:$Q$504,A85,'Demo Pipeline'!$W$5:$W$504,"Attended"))</f>
        <v/>
      </c>
      <c r="BF85" s="33" t="str">
        <f aca="false">IF(A85="","",COUNTIFS('Demo Pipeline'!$Q$5:$Q$504,A85,'Demo Pipeline'!$X$5:$X$504,"Yes"))</f>
        <v/>
      </c>
      <c r="BG85" s="33" t="str">
        <f aca="false">IF(A85="","",COUNTIFS('Demo Pipeline'!$Q$5:$Q$504,A85,'Demo Pipeline'!$Y$5:$Y$504,"Closed Won"))</f>
        <v/>
      </c>
      <c r="BH85" s="37" t="str">
        <f aca="false">IF(A85="","",SUMIFS('Demo Pipeline'!$Z$5:$Z$504,'Demo Pipeline'!$Q$5:$Q$504,A85))</f>
        <v/>
      </c>
      <c r="BI85" s="34" t="str">
        <f aca="false">IF(OR(AZ85="",N(AJ85)=0),"",AZ85/AJ85)</f>
        <v/>
      </c>
      <c r="BJ85" s="34" t="str">
        <f aca="false">IF(OR(BB85="",N(AZ85)=0),"",BB85/AZ85)</f>
        <v/>
      </c>
      <c r="BK85" s="34" t="str">
        <f aca="false">IF(OR(A85="",N(BB85)=0),"",BD85/BB85)</f>
        <v/>
      </c>
      <c r="BL85" s="34" t="str">
        <f aca="false">IF(OR(A85="",N(AZ85)=0),"",BD85/AZ85)</f>
        <v/>
      </c>
      <c r="BM85" s="37" t="str">
        <f aca="false">IF(OR(N(Q85)=0,N(BD85)=0),"",Q85/BD85)</f>
        <v/>
      </c>
      <c r="BN85" s="29"/>
      <c r="BO85" s="29"/>
      <c r="BP85" s="33" t="str">
        <f aca="false">IF(OR(AR85="",N(AO85)=0),"",AR85)</f>
        <v/>
      </c>
      <c r="BQ85" s="33" t="str">
        <f aca="false">IF(OR(AR85="",N(S85)=0),"",S85)</f>
        <v/>
      </c>
      <c r="BR85" s="38" t="str">
        <f aca="false">IF(AND(ISNUMBER(B85),B85&gt;=Dashboard!$C$4,B85&lt;=Dashboard!$F$4,ISNUMBER(AU85)),AU85+ROW()/10^9,"")</f>
        <v/>
      </c>
      <c r="BS85" s="38" t="str">
        <f aca="false">IF(AND(ISNUMBER(B85),B85&gt;=Dashboard!$C$4,B85&lt;=Dashboard!$F$4,A85&lt;&gt;""),N(BD85)+N(AU85)/100+ROW()/10^9,"")</f>
        <v/>
      </c>
    </row>
    <row r="86" customFormat="false" ht="15" hidden="false" customHeight="false" outlineLevel="0" collapsed="false">
      <c r="A86" s="24" t="str">
        <f aca="false">IF(OR(B86="",G86="",H86=""),"",IFERROR(INDEX(Settings!$E$5:$E$49,MATCH(G86,Settings!$D$5:$D$49,0))&amp;INDEX(Settings!$H$5:$H$47,MATCH(H86,Settings!$G$5:$G$47,0))&amp;"-"&amp;TEXT(B86,"yymmdd")&amp;"-"&amp;IF(C86="","0000",TEXT(C86,"hhmm")),"CHECK LISTS"))</f>
        <v/>
      </c>
      <c r="B86" s="39"/>
      <c r="C86" s="40"/>
      <c r="D86" s="24" t="str">
        <f aca="false">IF(B86="","",TEXT(B86,"ddd"))</f>
        <v/>
      </c>
      <c r="E86" s="27" t="str">
        <f aca="false">IF(B86="","",B86-WEEKDAY(B86,3))</f>
        <v/>
      </c>
      <c r="F86" s="24" t="str">
        <f aca="false">IF(B86="","",TEXT(B86,"yyyy-mm"))</f>
        <v/>
      </c>
      <c r="G86" s="29"/>
      <c r="H86" s="29"/>
      <c r="I86" s="29"/>
      <c r="J86" s="29"/>
      <c r="K86" s="29"/>
      <c r="L86" s="29"/>
      <c r="M86" s="29"/>
      <c r="N86" s="29"/>
      <c r="O86" s="29"/>
      <c r="P86" s="29"/>
      <c r="Q86" s="30"/>
      <c r="R86" s="29"/>
      <c r="S86" s="32"/>
      <c r="T86" s="29"/>
      <c r="U86" s="29"/>
      <c r="V86" s="24" t="str">
        <f aca="false">IF(A86="","",IFERROR(INDEX(Settings!$F$5:$F$49,MATCH(G86,Settings!$D$5:$D$49,0)),""))</f>
        <v/>
      </c>
      <c r="W86" s="24" t="str">
        <f aca="false">IF(A86="","",IF(OR(P86="",P86="Organic"),"social","paid_social"))</f>
        <v/>
      </c>
      <c r="X86" s="24" t="str">
        <f aca="false">IF(A86="","",IF(K86&lt;&gt;"",IFERROR(INDEX('Case Studies'!$C$5:$C$54,MATCH(K86,'Case Studies'!$B$5:$B$54,0))&amp;"","case-study"),IF(J86&lt;&gt;"",IFERROR(INDEX(Settings!$J$5:$J$55,MATCH(J86,Settings!$I$5:$I$55,0)),"general"),"general")))</f>
        <v/>
      </c>
      <c r="Y86" s="24" t="str">
        <f aca="false">IF(A86="","",LOWER(A86))</f>
        <v/>
      </c>
      <c r="Z86" s="24" t="str">
        <f aca="false">IF(A86="","",IF(T86="",Settings!$B$5,T86)&amp;IF(ISNUMBER(FIND("?",IF(T86="",Settings!$B$5,T86))),"&amp;","?")&amp;"utm_source="&amp;V86&amp;"&amp;utm_medium="&amp;W86&amp;"&amp;utm_campaign="&amp;X86&amp;"&amp;utm_content="&amp;Y86)</f>
        <v/>
      </c>
      <c r="AA86" s="29"/>
      <c r="AB86" s="39"/>
      <c r="AC86" s="32"/>
      <c r="AD86" s="32"/>
      <c r="AE86" s="32"/>
      <c r="AF86" s="32"/>
      <c r="AG86" s="32"/>
      <c r="AH86" s="32"/>
      <c r="AI86" s="32"/>
      <c r="AJ86" s="32"/>
      <c r="AK86" s="32"/>
      <c r="AL86" s="32"/>
      <c r="AM86" s="32"/>
      <c r="AN86" s="32"/>
      <c r="AO86" s="33" t="str">
        <f aca="false">IF(A86="","",IF(AD86&lt;&gt;"",AD86,IF(AC86&lt;&gt;"",AC86,"")))</f>
        <v/>
      </c>
      <c r="AP86" s="24" t="str">
        <f aca="false">IF(AO86="","",IF(AD86&lt;&gt;"","Reported reach","Impressions (proxy)"))</f>
        <v/>
      </c>
      <c r="AQ86" s="34" t="str">
        <f aca="false">IF(OR(AO86="",N(S86)=0),"",AO86/S86)</f>
        <v/>
      </c>
      <c r="AR86" s="33" t="str">
        <f aca="false">IF(A86="","",IF(COUNT(AF86:AJ86)=0,"",SUM(AF86:AJ86)))</f>
        <v/>
      </c>
      <c r="AS86" s="34" t="str">
        <f aca="false">IF(OR(AR86="",N(AO86)=0),"",AR86/AO86)</f>
        <v/>
      </c>
      <c r="AT86" s="34" t="str">
        <f aca="false">IF(OR(AR86="",N(AC86)=0),"",AR86/AC86)</f>
        <v/>
      </c>
      <c r="AU86" s="34" t="str">
        <f aca="false">IF(OR(AR86="",N(S86)=0),"",AR86/S86)</f>
        <v/>
      </c>
      <c r="AV86" s="34" t="str">
        <f aca="false">IF(OR(AJ86="",N(AC86)=0),"",AJ86/AC86)</f>
        <v/>
      </c>
      <c r="AW86" s="34" t="str">
        <f aca="false">IF(OR(AH86="",N(AO86)=0),"",AH86/AO86)</f>
        <v/>
      </c>
      <c r="AX86" s="35" t="str">
        <f aca="false">IF(OR(AR86="",N(AO86)=0),"",(N(AF86)*Settings!$B$6+N(AG86)*Settings!$B$7+N(AH86)*Settings!$B$8+N(AI86)*Settings!$B$9+N(AJ86)*Settings!$B$10)/AO86*1000)</f>
        <v/>
      </c>
      <c r="AY86" s="36" t="str">
        <f aca="false">IF(AS86="","",IFERROR(AS86/AVERAGEIFS('Post Tracker'!$AS$5:$AS$1004,'Post Tracker'!$G$5:$G$1004,G86),""))</f>
        <v/>
      </c>
      <c r="AZ86" s="32"/>
      <c r="BA86" s="32"/>
      <c r="BB86" s="32"/>
      <c r="BC86" s="32"/>
      <c r="BD86" s="33" t="str">
        <f aca="false">IF(A86="","",COUNTIFS('Demo Pipeline'!$Q$5:$Q$504,A86))</f>
        <v/>
      </c>
      <c r="BE86" s="33" t="str">
        <f aca="false">IF(A86="","",COUNTIFS('Demo Pipeline'!$Q$5:$Q$504,A86,'Demo Pipeline'!$W$5:$W$504,"Attended"))</f>
        <v/>
      </c>
      <c r="BF86" s="33" t="str">
        <f aca="false">IF(A86="","",COUNTIFS('Demo Pipeline'!$Q$5:$Q$504,A86,'Demo Pipeline'!$X$5:$X$504,"Yes"))</f>
        <v/>
      </c>
      <c r="BG86" s="33" t="str">
        <f aca="false">IF(A86="","",COUNTIFS('Demo Pipeline'!$Q$5:$Q$504,A86,'Demo Pipeline'!$Y$5:$Y$504,"Closed Won"))</f>
        <v/>
      </c>
      <c r="BH86" s="37" t="str">
        <f aca="false">IF(A86="","",SUMIFS('Demo Pipeline'!$Z$5:$Z$504,'Demo Pipeline'!$Q$5:$Q$504,A86))</f>
        <v/>
      </c>
      <c r="BI86" s="34" t="str">
        <f aca="false">IF(OR(AZ86="",N(AJ86)=0),"",AZ86/AJ86)</f>
        <v/>
      </c>
      <c r="BJ86" s="34" t="str">
        <f aca="false">IF(OR(BB86="",N(AZ86)=0),"",BB86/AZ86)</f>
        <v/>
      </c>
      <c r="BK86" s="34" t="str">
        <f aca="false">IF(OR(A86="",N(BB86)=0),"",BD86/BB86)</f>
        <v/>
      </c>
      <c r="BL86" s="34" t="str">
        <f aca="false">IF(OR(A86="",N(AZ86)=0),"",BD86/AZ86)</f>
        <v/>
      </c>
      <c r="BM86" s="37" t="str">
        <f aca="false">IF(OR(N(Q86)=0,N(BD86)=0),"",Q86/BD86)</f>
        <v/>
      </c>
      <c r="BN86" s="29"/>
      <c r="BO86" s="29"/>
      <c r="BP86" s="33" t="str">
        <f aca="false">IF(OR(AR86="",N(AO86)=0),"",AR86)</f>
        <v/>
      </c>
      <c r="BQ86" s="33" t="str">
        <f aca="false">IF(OR(AR86="",N(S86)=0),"",S86)</f>
        <v/>
      </c>
      <c r="BR86" s="38" t="str">
        <f aca="false">IF(AND(ISNUMBER(B86),B86&gt;=Dashboard!$C$4,B86&lt;=Dashboard!$F$4,ISNUMBER(AU86)),AU86+ROW()/10^9,"")</f>
        <v/>
      </c>
      <c r="BS86" s="38" t="str">
        <f aca="false">IF(AND(ISNUMBER(B86),B86&gt;=Dashboard!$C$4,B86&lt;=Dashboard!$F$4,A86&lt;&gt;""),N(BD86)+N(AU86)/100+ROW()/10^9,"")</f>
        <v/>
      </c>
    </row>
    <row r="87" customFormat="false" ht="15" hidden="false" customHeight="false" outlineLevel="0" collapsed="false">
      <c r="A87" s="24" t="str">
        <f aca="false">IF(OR(B87="",G87="",H87=""),"",IFERROR(INDEX(Settings!$E$5:$E$49,MATCH(G87,Settings!$D$5:$D$49,0))&amp;INDEX(Settings!$H$5:$H$47,MATCH(H87,Settings!$G$5:$G$47,0))&amp;"-"&amp;TEXT(B87,"yymmdd")&amp;"-"&amp;IF(C87="","0000",TEXT(C87,"hhmm")),"CHECK LISTS"))</f>
        <v/>
      </c>
      <c r="B87" s="39"/>
      <c r="C87" s="40"/>
      <c r="D87" s="24" t="str">
        <f aca="false">IF(B87="","",TEXT(B87,"ddd"))</f>
        <v/>
      </c>
      <c r="E87" s="27" t="str">
        <f aca="false">IF(B87="","",B87-WEEKDAY(B87,3))</f>
        <v/>
      </c>
      <c r="F87" s="24" t="str">
        <f aca="false">IF(B87="","",TEXT(B87,"yyyy-mm"))</f>
        <v/>
      </c>
      <c r="G87" s="29"/>
      <c r="H87" s="29"/>
      <c r="I87" s="29"/>
      <c r="J87" s="29"/>
      <c r="K87" s="29"/>
      <c r="L87" s="29"/>
      <c r="M87" s="29"/>
      <c r="N87" s="29"/>
      <c r="O87" s="29"/>
      <c r="P87" s="29"/>
      <c r="Q87" s="30"/>
      <c r="R87" s="29"/>
      <c r="S87" s="32"/>
      <c r="T87" s="29"/>
      <c r="U87" s="29"/>
      <c r="V87" s="24" t="str">
        <f aca="false">IF(A87="","",IFERROR(INDEX(Settings!$F$5:$F$49,MATCH(G87,Settings!$D$5:$D$49,0)),""))</f>
        <v/>
      </c>
      <c r="W87" s="24" t="str">
        <f aca="false">IF(A87="","",IF(OR(P87="",P87="Organic"),"social","paid_social"))</f>
        <v/>
      </c>
      <c r="X87" s="24" t="str">
        <f aca="false">IF(A87="","",IF(K87&lt;&gt;"",IFERROR(INDEX('Case Studies'!$C$5:$C$54,MATCH(K87,'Case Studies'!$B$5:$B$54,0))&amp;"","case-study"),IF(J87&lt;&gt;"",IFERROR(INDEX(Settings!$J$5:$J$55,MATCH(J87,Settings!$I$5:$I$55,0)),"general"),"general")))</f>
        <v/>
      </c>
      <c r="Y87" s="24" t="str">
        <f aca="false">IF(A87="","",LOWER(A87))</f>
        <v/>
      </c>
      <c r="Z87" s="24" t="str">
        <f aca="false">IF(A87="","",IF(T87="",Settings!$B$5,T87)&amp;IF(ISNUMBER(FIND("?",IF(T87="",Settings!$B$5,T87))),"&amp;","?")&amp;"utm_source="&amp;V87&amp;"&amp;utm_medium="&amp;W87&amp;"&amp;utm_campaign="&amp;X87&amp;"&amp;utm_content="&amp;Y87)</f>
        <v/>
      </c>
      <c r="AA87" s="29"/>
      <c r="AB87" s="39"/>
      <c r="AC87" s="32"/>
      <c r="AD87" s="32"/>
      <c r="AE87" s="32"/>
      <c r="AF87" s="32"/>
      <c r="AG87" s="32"/>
      <c r="AH87" s="32"/>
      <c r="AI87" s="32"/>
      <c r="AJ87" s="32"/>
      <c r="AK87" s="32"/>
      <c r="AL87" s="32"/>
      <c r="AM87" s="32"/>
      <c r="AN87" s="32"/>
      <c r="AO87" s="33" t="str">
        <f aca="false">IF(A87="","",IF(AD87&lt;&gt;"",AD87,IF(AC87&lt;&gt;"",AC87,"")))</f>
        <v/>
      </c>
      <c r="AP87" s="24" t="str">
        <f aca="false">IF(AO87="","",IF(AD87&lt;&gt;"","Reported reach","Impressions (proxy)"))</f>
        <v/>
      </c>
      <c r="AQ87" s="34" t="str">
        <f aca="false">IF(OR(AO87="",N(S87)=0),"",AO87/S87)</f>
        <v/>
      </c>
      <c r="AR87" s="33" t="str">
        <f aca="false">IF(A87="","",IF(COUNT(AF87:AJ87)=0,"",SUM(AF87:AJ87)))</f>
        <v/>
      </c>
      <c r="AS87" s="34" t="str">
        <f aca="false">IF(OR(AR87="",N(AO87)=0),"",AR87/AO87)</f>
        <v/>
      </c>
      <c r="AT87" s="34" t="str">
        <f aca="false">IF(OR(AR87="",N(AC87)=0),"",AR87/AC87)</f>
        <v/>
      </c>
      <c r="AU87" s="34" t="str">
        <f aca="false">IF(OR(AR87="",N(S87)=0),"",AR87/S87)</f>
        <v/>
      </c>
      <c r="AV87" s="34" t="str">
        <f aca="false">IF(OR(AJ87="",N(AC87)=0),"",AJ87/AC87)</f>
        <v/>
      </c>
      <c r="AW87" s="34" t="str">
        <f aca="false">IF(OR(AH87="",N(AO87)=0),"",AH87/AO87)</f>
        <v/>
      </c>
      <c r="AX87" s="35" t="str">
        <f aca="false">IF(OR(AR87="",N(AO87)=0),"",(N(AF87)*Settings!$B$6+N(AG87)*Settings!$B$7+N(AH87)*Settings!$B$8+N(AI87)*Settings!$B$9+N(AJ87)*Settings!$B$10)/AO87*1000)</f>
        <v/>
      </c>
      <c r="AY87" s="36" t="str">
        <f aca="false">IF(AS87="","",IFERROR(AS87/AVERAGEIFS('Post Tracker'!$AS$5:$AS$1004,'Post Tracker'!$G$5:$G$1004,G87),""))</f>
        <v/>
      </c>
      <c r="AZ87" s="32"/>
      <c r="BA87" s="32"/>
      <c r="BB87" s="32"/>
      <c r="BC87" s="32"/>
      <c r="BD87" s="33" t="str">
        <f aca="false">IF(A87="","",COUNTIFS('Demo Pipeline'!$Q$5:$Q$504,A87))</f>
        <v/>
      </c>
      <c r="BE87" s="33" t="str">
        <f aca="false">IF(A87="","",COUNTIFS('Demo Pipeline'!$Q$5:$Q$504,A87,'Demo Pipeline'!$W$5:$W$504,"Attended"))</f>
        <v/>
      </c>
      <c r="BF87" s="33" t="str">
        <f aca="false">IF(A87="","",COUNTIFS('Demo Pipeline'!$Q$5:$Q$504,A87,'Demo Pipeline'!$X$5:$X$504,"Yes"))</f>
        <v/>
      </c>
      <c r="BG87" s="33" t="str">
        <f aca="false">IF(A87="","",COUNTIFS('Demo Pipeline'!$Q$5:$Q$504,A87,'Demo Pipeline'!$Y$5:$Y$504,"Closed Won"))</f>
        <v/>
      </c>
      <c r="BH87" s="37" t="str">
        <f aca="false">IF(A87="","",SUMIFS('Demo Pipeline'!$Z$5:$Z$504,'Demo Pipeline'!$Q$5:$Q$504,A87))</f>
        <v/>
      </c>
      <c r="BI87" s="34" t="str">
        <f aca="false">IF(OR(AZ87="",N(AJ87)=0),"",AZ87/AJ87)</f>
        <v/>
      </c>
      <c r="BJ87" s="34" t="str">
        <f aca="false">IF(OR(BB87="",N(AZ87)=0),"",BB87/AZ87)</f>
        <v/>
      </c>
      <c r="BK87" s="34" t="str">
        <f aca="false">IF(OR(A87="",N(BB87)=0),"",BD87/BB87)</f>
        <v/>
      </c>
      <c r="BL87" s="34" t="str">
        <f aca="false">IF(OR(A87="",N(AZ87)=0),"",BD87/AZ87)</f>
        <v/>
      </c>
      <c r="BM87" s="37" t="str">
        <f aca="false">IF(OR(N(Q87)=0,N(BD87)=0),"",Q87/BD87)</f>
        <v/>
      </c>
      <c r="BN87" s="29"/>
      <c r="BO87" s="29"/>
      <c r="BP87" s="33" t="str">
        <f aca="false">IF(OR(AR87="",N(AO87)=0),"",AR87)</f>
        <v/>
      </c>
      <c r="BQ87" s="33" t="str">
        <f aca="false">IF(OR(AR87="",N(S87)=0),"",S87)</f>
        <v/>
      </c>
      <c r="BR87" s="38" t="str">
        <f aca="false">IF(AND(ISNUMBER(B87),B87&gt;=Dashboard!$C$4,B87&lt;=Dashboard!$F$4,ISNUMBER(AU87)),AU87+ROW()/10^9,"")</f>
        <v/>
      </c>
      <c r="BS87" s="38" t="str">
        <f aca="false">IF(AND(ISNUMBER(B87),B87&gt;=Dashboard!$C$4,B87&lt;=Dashboard!$F$4,A87&lt;&gt;""),N(BD87)+N(AU87)/100+ROW()/10^9,"")</f>
        <v/>
      </c>
    </row>
    <row r="88" customFormat="false" ht="15" hidden="false" customHeight="false" outlineLevel="0" collapsed="false">
      <c r="A88" s="24" t="str">
        <f aca="false">IF(OR(B88="",G88="",H88=""),"",IFERROR(INDEX(Settings!$E$5:$E$49,MATCH(G88,Settings!$D$5:$D$49,0))&amp;INDEX(Settings!$H$5:$H$47,MATCH(H88,Settings!$G$5:$G$47,0))&amp;"-"&amp;TEXT(B88,"yymmdd")&amp;"-"&amp;IF(C88="","0000",TEXT(C88,"hhmm")),"CHECK LISTS"))</f>
        <v/>
      </c>
      <c r="B88" s="39"/>
      <c r="C88" s="40"/>
      <c r="D88" s="24" t="str">
        <f aca="false">IF(B88="","",TEXT(B88,"ddd"))</f>
        <v/>
      </c>
      <c r="E88" s="27" t="str">
        <f aca="false">IF(B88="","",B88-WEEKDAY(B88,3))</f>
        <v/>
      </c>
      <c r="F88" s="24" t="str">
        <f aca="false">IF(B88="","",TEXT(B88,"yyyy-mm"))</f>
        <v/>
      </c>
      <c r="G88" s="29"/>
      <c r="H88" s="29"/>
      <c r="I88" s="29"/>
      <c r="J88" s="29"/>
      <c r="K88" s="29"/>
      <c r="L88" s="29"/>
      <c r="M88" s="29"/>
      <c r="N88" s="29"/>
      <c r="O88" s="29"/>
      <c r="P88" s="29"/>
      <c r="Q88" s="30"/>
      <c r="R88" s="29"/>
      <c r="S88" s="32"/>
      <c r="T88" s="29"/>
      <c r="U88" s="29"/>
      <c r="V88" s="24" t="str">
        <f aca="false">IF(A88="","",IFERROR(INDEX(Settings!$F$5:$F$49,MATCH(G88,Settings!$D$5:$D$49,0)),""))</f>
        <v/>
      </c>
      <c r="W88" s="24" t="str">
        <f aca="false">IF(A88="","",IF(OR(P88="",P88="Organic"),"social","paid_social"))</f>
        <v/>
      </c>
      <c r="X88" s="24" t="str">
        <f aca="false">IF(A88="","",IF(K88&lt;&gt;"",IFERROR(INDEX('Case Studies'!$C$5:$C$54,MATCH(K88,'Case Studies'!$B$5:$B$54,0))&amp;"","case-study"),IF(J88&lt;&gt;"",IFERROR(INDEX(Settings!$J$5:$J$55,MATCH(J88,Settings!$I$5:$I$55,0)),"general"),"general")))</f>
        <v/>
      </c>
      <c r="Y88" s="24" t="str">
        <f aca="false">IF(A88="","",LOWER(A88))</f>
        <v/>
      </c>
      <c r="Z88" s="24" t="str">
        <f aca="false">IF(A88="","",IF(T88="",Settings!$B$5,T88)&amp;IF(ISNUMBER(FIND("?",IF(T88="",Settings!$B$5,T88))),"&amp;","?")&amp;"utm_source="&amp;V88&amp;"&amp;utm_medium="&amp;W88&amp;"&amp;utm_campaign="&amp;X88&amp;"&amp;utm_content="&amp;Y88)</f>
        <v/>
      </c>
      <c r="AA88" s="29"/>
      <c r="AB88" s="39"/>
      <c r="AC88" s="32"/>
      <c r="AD88" s="32"/>
      <c r="AE88" s="32"/>
      <c r="AF88" s="32"/>
      <c r="AG88" s="32"/>
      <c r="AH88" s="32"/>
      <c r="AI88" s="32"/>
      <c r="AJ88" s="32"/>
      <c r="AK88" s="32"/>
      <c r="AL88" s="32"/>
      <c r="AM88" s="32"/>
      <c r="AN88" s="32"/>
      <c r="AO88" s="33" t="str">
        <f aca="false">IF(A88="","",IF(AD88&lt;&gt;"",AD88,IF(AC88&lt;&gt;"",AC88,"")))</f>
        <v/>
      </c>
      <c r="AP88" s="24" t="str">
        <f aca="false">IF(AO88="","",IF(AD88&lt;&gt;"","Reported reach","Impressions (proxy)"))</f>
        <v/>
      </c>
      <c r="AQ88" s="34" t="str">
        <f aca="false">IF(OR(AO88="",N(S88)=0),"",AO88/S88)</f>
        <v/>
      </c>
      <c r="AR88" s="33" t="str">
        <f aca="false">IF(A88="","",IF(COUNT(AF88:AJ88)=0,"",SUM(AF88:AJ88)))</f>
        <v/>
      </c>
      <c r="AS88" s="34" t="str">
        <f aca="false">IF(OR(AR88="",N(AO88)=0),"",AR88/AO88)</f>
        <v/>
      </c>
      <c r="AT88" s="34" t="str">
        <f aca="false">IF(OR(AR88="",N(AC88)=0),"",AR88/AC88)</f>
        <v/>
      </c>
      <c r="AU88" s="34" t="str">
        <f aca="false">IF(OR(AR88="",N(S88)=0),"",AR88/S88)</f>
        <v/>
      </c>
      <c r="AV88" s="34" t="str">
        <f aca="false">IF(OR(AJ88="",N(AC88)=0),"",AJ88/AC88)</f>
        <v/>
      </c>
      <c r="AW88" s="34" t="str">
        <f aca="false">IF(OR(AH88="",N(AO88)=0),"",AH88/AO88)</f>
        <v/>
      </c>
      <c r="AX88" s="35" t="str">
        <f aca="false">IF(OR(AR88="",N(AO88)=0),"",(N(AF88)*Settings!$B$6+N(AG88)*Settings!$B$7+N(AH88)*Settings!$B$8+N(AI88)*Settings!$B$9+N(AJ88)*Settings!$B$10)/AO88*1000)</f>
        <v/>
      </c>
      <c r="AY88" s="36" t="str">
        <f aca="false">IF(AS88="","",IFERROR(AS88/AVERAGEIFS('Post Tracker'!$AS$5:$AS$1004,'Post Tracker'!$G$5:$G$1004,G88),""))</f>
        <v/>
      </c>
      <c r="AZ88" s="32"/>
      <c r="BA88" s="32"/>
      <c r="BB88" s="32"/>
      <c r="BC88" s="32"/>
      <c r="BD88" s="33" t="str">
        <f aca="false">IF(A88="","",COUNTIFS('Demo Pipeline'!$Q$5:$Q$504,A88))</f>
        <v/>
      </c>
      <c r="BE88" s="33" t="str">
        <f aca="false">IF(A88="","",COUNTIFS('Demo Pipeline'!$Q$5:$Q$504,A88,'Demo Pipeline'!$W$5:$W$504,"Attended"))</f>
        <v/>
      </c>
      <c r="BF88" s="33" t="str">
        <f aca="false">IF(A88="","",COUNTIFS('Demo Pipeline'!$Q$5:$Q$504,A88,'Demo Pipeline'!$X$5:$X$504,"Yes"))</f>
        <v/>
      </c>
      <c r="BG88" s="33" t="str">
        <f aca="false">IF(A88="","",COUNTIFS('Demo Pipeline'!$Q$5:$Q$504,A88,'Demo Pipeline'!$Y$5:$Y$504,"Closed Won"))</f>
        <v/>
      </c>
      <c r="BH88" s="37" t="str">
        <f aca="false">IF(A88="","",SUMIFS('Demo Pipeline'!$Z$5:$Z$504,'Demo Pipeline'!$Q$5:$Q$504,A88))</f>
        <v/>
      </c>
      <c r="BI88" s="34" t="str">
        <f aca="false">IF(OR(AZ88="",N(AJ88)=0),"",AZ88/AJ88)</f>
        <v/>
      </c>
      <c r="BJ88" s="34" t="str">
        <f aca="false">IF(OR(BB88="",N(AZ88)=0),"",BB88/AZ88)</f>
        <v/>
      </c>
      <c r="BK88" s="34" t="str">
        <f aca="false">IF(OR(A88="",N(BB88)=0),"",BD88/BB88)</f>
        <v/>
      </c>
      <c r="BL88" s="34" t="str">
        <f aca="false">IF(OR(A88="",N(AZ88)=0),"",BD88/AZ88)</f>
        <v/>
      </c>
      <c r="BM88" s="37" t="str">
        <f aca="false">IF(OR(N(Q88)=0,N(BD88)=0),"",Q88/BD88)</f>
        <v/>
      </c>
      <c r="BN88" s="29"/>
      <c r="BO88" s="29"/>
      <c r="BP88" s="33" t="str">
        <f aca="false">IF(OR(AR88="",N(AO88)=0),"",AR88)</f>
        <v/>
      </c>
      <c r="BQ88" s="33" t="str">
        <f aca="false">IF(OR(AR88="",N(S88)=0),"",S88)</f>
        <v/>
      </c>
      <c r="BR88" s="38" t="str">
        <f aca="false">IF(AND(ISNUMBER(B88),B88&gt;=Dashboard!$C$4,B88&lt;=Dashboard!$F$4,ISNUMBER(AU88)),AU88+ROW()/10^9,"")</f>
        <v/>
      </c>
      <c r="BS88" s="38" t="str">
        <f aca="false">IF(AND(ISNUMBER(B88),B88&gt;=Dashboard!$C$4,B88&lt;=Dashboard!$F$4,A88&lt;&gt;""),N(BD88)+N(AU88)/100+ROW()/10^9,"")</f>
        <v/>
      </c>
    </row>
    <row r="89" customFormat="false" ht="15" hidden="false" customHeight="false" outlineLevel="0" collapsed="false">
      <c r="A89" s="24" t="str">
        <f aca="false">IF(OR(B89="",G89="",H89=""),"",IFERROR(INDEX(Settings!$E$5:$E$49,MATCH(G89,Settings!$D$5:$D$49,0))&amp;INDEX(Settings!$H$5:$H$47,MATCH(H89,Settings!$G$5:$G$47,0))&amp;"-"&amp;TEXT(B89,"yymmdd")&amp;"-"&amp;IF(C89="","0000",TEXT(C89,"hhmm")),"CHECK LISTS"))</f>
        <v/>
      </c>
      <c r="B89" s="39"/>
      <c r="C89" s="40"/>
      <c r="D89" s="24" t="str">
        <f aca="false">IF(B89="","",TEXT(B89,"ddd"))</f>
        <v/>
      </c>
      <c r="E89" s="27" t="str">
        <f aca="false">IF(B89="","",B89-WEEKDAY(B89,3))</f>
        <v/>
      </c>
      <c r="F89" s="24" t="str">
        <f aca="false">IF(B89="","",TEXT(B89,"yyyy-mm"))</f>
        <v/>
      </c>
      <c r="G89" s="29"/>
      <c r="H89" s="29"/>
      <c r="I89" s="29"/>
      <c r="J89" s="29"/>
      <c r="K89" s="29"/>
      <c r="L89" s="29"/>
      <c r="M89" s="29"/>
      <c r="N89" s="29"/>
      <c r="O89" s="29"/>
      <c r="P89" s="29"/>
      <c r="Q89" s="30"/>
      <c r="R89" s="29"/>
      <c r="S89" s="32"/>
      <c r="T89" s="29"/>
      <c r="U89" s="29"/>
      <c r="V89" s="24" t="str">
        <f aca="false">IF(A89="","",IFERROR(INDEX(Settings!$F$5:$F$49,MATCH(G89,Settings!$D$5:$D$49,0)),""))</f>
        <v/>
      </c>
      <c r="W89" s="24" t="str">
        <f aca="false">IF(A89="","",IF(OR(P89="",P89="Organic"),"social","paid_social"))</f>
        <v/>
      </c>
      <c r="X89" s="24" t="str">
        <f aca="false">IF(A89="","",IF(K89&lt;&gt;"",IFERROR(INDEX('Case Studies'!$C$5:$C$54,MATCH(K89,'Case Studies'!$B$5:$B$54,0))&amp;"","case-study"),IF(J89&lt;&gt;"",IFERROR(INDEX(Settings!$J$5:$J$55,MATCH(J89,Settings!$I$5:$I$55,0)),"general"),"general")))</f>
        <v/>
      </c>
      <c r="Y89" s="24" t="str">
        <f aca="false">IF(A89="","",LOWER(A89))</f>
        <v/>
      </c>
      <c r="Z89" s="24" t="str">
        <f aca="false">IF(A89="","",IF(T89="",Settings!$B$5,T89)&amp;IF(ISNUMBER(FIND("?",IF(T89="",Settings!$B$5,T89))),"&amp;","?")&amp;"utm_source="&amp;V89&amp;"&amp;utm_medium="&amp;W89&amp;"&amp;utm_campaign="&amp;X89&amp;"&amp;utm_content="&amp;Y89)</f>
        <v/>
      </c>
      <c r="AA89" s="29"/>
      <c r="AB89" s="39"/>
      <c r="AC89" s="32"/>
      <c r="AD89" s="32"/>
      <c r="AE89" s="32"/>
      <c r="AF89" s="32"/>
      <c r="AG89" s="32"/>
      <c r="AH89" s="32"/>
      <c r="AI89" s="32"/>
      <c r="AJ89" s="32"/>
      <c r="AK89" s="32"/>
      <c r="AL89" s="32"/>
      <c r="AM89" s="32"/>
      <c r="AN89" s="32"/>
      <c r="AO89" s="33" t="str">
        <f aca="false">IF(A89="","",IF(AD89&lt;&gt;"",AD89,IF(AC89&lt;&gt;"",AC89,"")))</f>
        <v/>
      </c>
      <c r="AP89" s="24" t="str">
        <f aca="false">IF(AO89="","",IF(AD89&lt;&gt;"","Reported reach","Impressions (proxy)"))</f>
        <v/>
      </c>
      <c r="AQ89" s="34" t="str">
        <f aca="false">IF(OR(AO89="",N(S89)=0),"",AO89/S89)</f>
        <v/>
      </c>
      <c r="AR89" s="33" t="str">
        <f aca="false">IF(A89="","",IF(COUNT(AF89:AJ89)=0,"",SUM(AF89:AJ89)))</f>
        <v/>
      </c>
      <c r="AS89" s="34" t="str">
        <f aca="false">IF(OR(AR89="",N(AO89)=0),"",AR89/AO89)</f>
        <v/>
      </c>
      <c r="AT89" s="34" t="str">
        <f aca="false">IF(OR(AR89="",N(AC89)=0),"",AR89/AC89)</f>
        <v/>
      </c>
      <c r="AU89" s="34" t="str">
        <f aca="false">IF(OR(AR89="",N(S89)=0),"",AR89/S89)</f>
        <v/>
      </c>
      <c r="AV89" s="34" t="str">
        <f aca="false">IF(OR(AJ89="",N(AC89)=0),"",AJ89/AC89)</f>
        <v/>
      </c>
      <c r="AW89" s="34" t="str">
        <f aca="false">IF(OR(AH89="",N(AO89)=0),"",AH89/AO89)</f>
        <v/>
      </c>
      <c r="AX89" s="35" t="str">
        <f aca="false">IF(OR(AR89="",N(AO89)=0),"",(N(AF89)*Settings!$B$6+N(AG89)*Settings!$B$7+N(AH89)*Settings!$B$8+N(AI89)*Settings!$B$9+N(AJ89)*Settings!$B$10)/AO89*1000)</f>
        <v/>
      </c>
      <c r="AY89" s="36" t="str">
        <f aca="false">IF(AS89="","",IFERROR(AS89/AVERAGEIFS('Post Tracker'!$AS$5:$AS$1004,'Post Tracker'!$G$5:$G$1004,G89),""))</f>
        <v/>
      </c>
      <c r="AZ89" s="32"/>
      <c r="BA89" s="32"/>
      <c r="BB89" s="32"/>
      <c r="BC89" s="32"/>
      <c r="BD89" s="33" t="str">
        <f aca="false">IF(A89="","",COUNTIFS('Demo Pipeline'!$Q$5:$Q$504,A89))</f>
        <v/>
      </c>
      <c r="BE89" s="33" t="str">
        <f aca="false">IF(A89="","",COUNTIFS('Demo Pipeline'!$Q$5:$Q$504,A89,'Demo Pipeline'!$W$5:$W$504,"Attended"))</f>
        <v/>
      </c>
      <c r="BF89" s="33" t="str">
        <f aca="false">IF(A89="","",COUNTIFS('Demo Pipeline'!$Q$5:$Q$504,A89,'Demo Pipeline'!$X$5:$X$504,"Yes"))</f>
        <v/>
      </c>
      <c r="BG89" s="33" t="str">
        <f aca="false">IF(A89="","",COUNTIFS('Demo Pipeline'!$Q$5:$Q$504,A89,'Demo Pipeline'!$Y$5:$Y$504,"Closed Won"))</f>
        <v/>
      </c>
      <c r="BH89" s="37" t="str">
        <f aca="false">IF(A89="","",SUMIFS('Demo Pipeline'!$Z$5:$Z$504,'Demo Pipeline'!$Q$5:$Q$504,A89))</f>
        <v/>
      </c>
      <c r="BI89" s="34" t="str">
        <f aca="false">IF(OR(AZ89="",N(AJ89)=0),"",AZ89/AJ89)</f>
        <v/>
      </c>
      <c r="BJ89" s="34" t="str">
        <f aca="false">IF(OR(BB89="",N(AZ89)=0),"",BB89/AZ89)</f>
        <v/>
      </c>
      <c r="BK89" s="34" t="str">
        <f aca="false">IF(OR(A89="",N(BB89)=0),"",BD89/BB89)</f>
        <v/>
      </c>
      <c r="BL89" s="34" t="str">
        <f aca="false">IF(OR(A89="",N(AZ89)=0),"",BD89/AZ89)</f>
        <v/>
      </c>
      <c r="BM89" s="37" t="str">
        <f aca="false">IF(OR(N(Q89)=0,N(BD89)=0),"",Q89/BD89)</f>
        <v/>
      </c>
      <c r="BN89" s="29"/>
      <c r="BO89" s="29"/>
      <c r="BP89" s="33" t="str">
        <f aca="false">IF(OR(AR89="",N(AO89)=0),"",AR89)</f>
        <v/>
      </c>
      <c r="BQ89" s="33" t="str">
        <f aca="false">IF(OR(AR89="",N(S89)=0),"",S89)</f>
        <v/>
      </c>
      <c r="BR89" s="38" t="str">
        <f aca="false">IF(AND(ISNUMBER(B89),B89&gt;=Dashboard!$C$4,B89&lt;=Dashboard!$F$4,ISNUMBER(AU89)),AU89+ROW()/10^9,"")</f>
        <v/>
      </c>
      <c r="BS89" s="38" t="str">
        <f aca="false">IF(AND(ISNUMBER(B89),B89&gt;=Dashboard!$C$4,B89&lt;=Dashboard!$F$4,A89&lt;&gt;""),N(BD89)+N(AU89)/100+ROW()/10^9,"")</f>
        <v/>
      </c>
    </row>
    <row r="90" customFormat="false" ht="15" hidden="false" customHeight="false" outlineLevel="0" collapsed="false">
      <c r="A90" s="24" t="str">
        <f aca="false">IF(OR(B90="",G90="",H90=""),"",IFERROR(INDEX(Settings!$E$5:$E$49,MATCH(G90,Settings!$D$5:$D$49,0))&amp;INDEX(Settings!$H$5:$H$47,MATCH(H90,Settings!$G$5:$G$47,0))&amp;"-"&amp;TEXT(B90,"yymmdd")&amp;"-"&amp;IF(C90="","0000",TEXT(C90,"hhmm")),"CHECK LISTS"))</f>
        <v/>
      </c>
      <c r="B90" s="39"/>
      <c r="C90" s="40"/>
      <c r="D90" s="24" t="str">
        <f aca="false">IF(B90="","",TEXT(B90,"ddd"))</f>
        <v/>
      </c>
      <c r="E90" s="27" t="str">
        <f aca="false">IF(B90="","",B90-WEEKDAY(B90,3))</f>
        <v/>
      </c>
      <c r="F90" s="24" t="str">
        <f aca="false">IF(B90="","",TEXT(B90,"yyyy-mm"))</f>
        <v/>
      </c>
      <c r="G90" s="29"/>
      <c r="H90" s="29"/>
      <c r="I90" s="29"/>
      <c r="J90" s="29"/>
      <c r="K90" s="29"/>
      <c r="L90" s="29"/>
      <c r="M90" s="29"/>
      <c r="N90" s="29"/>
      <c r="O90" s="29"/>
      <c r="P90" s="29"/>
      <c r="Q90" s="30"/>
      <c r="R90" s="29"/>
      <c r="S90" s="32"/>
      <c r="T90" s="29"/>
      <c r="U90" s="29"/>
      <c r="V90" s="24" t="str">
        <f aca="false">IF(A90="","",IFERROR(INDEX(Settings!$F$5:$F$49,MATCH(G90,Settings!$D$5:$D$49,0)),""))</f>
        <v/>
      </c>
      <c r="W90" s="24" t="str">
        <f aca="false">IF(A90="","",IF(OR(P90="",P90="Organic"),"social","paid_social"))</f>
        <v/>
      </c>
      <c r="X90" s="24" t="str">
        <f aca="false">IF(A90="","",IF(K90&lt;&gt;"",IFERROR(INDEX('Case Studies'!$C$5:$C$54,MATCH(K90,'Case Studies'!$B$5:$B$54,0))&amp;"","case-study"),IF(J90&lt;&gt;"",IFERROR(INDEX(Settings!$J$5:$J$55,MATCH(J90,Settings!$I$5:$I$55,0)),"general"),"general")))</f>
        <v/>
      </c>
      <c r="Y90" s="24" t="str">
        <f aca="false">IF(A90="","",LOWER(A90))</f>
        <v/>
      </c>
      <c r="Z90" s="24" t="str">
        <f aca="false">IF(A90="","",IF(T90="",Settings!$B$5,T90)&amp;IF(ISNUMBER(FIND("?",IF(T90="",Settings!$B$5,T90))),"&amp;","?")&amp;"utm_source="&amp;V90&amp;"&amp;utm_medium="&amp;W90&amp;"&amp;utm_campaign="&amp;X90&amp;"&amp;utm_content="&amp;Y90)</f>
        <v/>
      </c>
      <c r="AA90" s="29"/>
      <c r="AB90" s="39"/>
      <c r="AC90" s="32"/>
      <c r="AD90" s="32"/>
      <c r="AE90" s="32"/>
      <c r="AF90" s="32"/>
      <c r="AG90" s="32"/>
      <c r="AH90" s="32"/>
      <c r="AI90" s="32"/>
      <c r="AJ90" s="32"/>
      <c r="AK90" s="32"/>
      <c r="AL90" s="32"/>
      <c r="AM90" s="32"/>
      <c r="AN90" s="32"/>
      <c r="AO90" s="33" t="str">
        <f aca="false">IF(A90="","",IF(AD90&lt;&gt;"",AD90,IF(AC90&lt;&gt;"",AC90,"")))</f>
        <v/>
      </c>
      <c r="AP90" s="24" t="str">
        <f aca="false">IF(AO90="","",IF(AD90&lt;&gt;"","Reported reach","Impressions (proxy)"))</f>
        <v/>
      </c>
      <c r="AQ90" s="34" t="str">
        <f aca="false">IF(OR(AO90="",N(S90)=0),"",AO90/S90)</f>
        <v/>
      </c>
      <c r="AR90" s="33" t="str">
        <f aca="false">IF(A90="","",IF(COUNT(AF90:AJ90)=0,"",SUM(AF90:AJ90)))</f>
        <v/>
      </c>
      <c r="AS90" s="34" t="str">
        <f aca="false">IF(OR(AR90="",N(AO90)=0),"",AR90/AO90)</f>
        <v/>
      </c>
      <c r="AT90" s="34" t="str">
        <f aca="false">IF(OR(AR90="",N(AC90)=0),"",AR90/AC90)</f>
        <v/>
      </c>
      <c r="AU90" s="34" t="str">
        <f aca="false">IF(OR(AR90="",N(S90)=0),"",AR90/S90)</f>
        <v/>
      </c>
      <c r="AV90" s="34" t="str">
        <f aca="false">IF(OR(AJ90="",N(AC90)=0),"",AJ90/AC90)</f>
        <v/>
      </c>
      <c r="AW90" s="34" t="str">
        <f aca="false">IF(OR(AH90="",N(AO90)=0),"",AH90/AO90)</f>
        <v/>
      </c>
      <c r="AX90" s="35" t="str">
        <f aca="false">IF(OR(AR90="",N(AO90)=0),"",(N(AF90)*Settings!$B$6+N(AG90)*Settings!$B$7+N(AH90)*Settings!$B$8+N(AI90)*Settings!$B$9+N(AJ90)*Settings!$B$10)/AO90*1000)</f>
        <v/>
      </c>
      <c r="AY90" s="36" t="str">
        <f aca="false">IF(AS90="","",IFERROR(AS90/AVERAGEIFS('Post Tracker'!$AS$5:$AS$1004,'Post Tracker'!$G$5:$G$1004,G90),""))</f>
        <v/>
      </c>
      <c r="AZ90" s="32"/>
      <c r="BA90" s="32"/>
      <c r="BB90" s="32"/>
      <c r="BC90" s="32"/>
      <c r="BD90" s="33" t="str">
        <f aca="false">IF(A90="","",COUNTIFS('Demo Pipeline'!$Q$5:$Q$504,A90))</f>
        <v/>
      </c>
      <c r="BE90" s="33" t="str">
        <f aca="false">IF(A90="","",COUNTIFS('Demo Pipeline'!$Q$5:$Q$504,A90,'Demo Pipeline'!$W$5:$W$504,"Attended"))</f>
        <v/>
      </c>
      <c r="BF90" s="33" t="str">
        <f aca="false">IF(A90="","",COUNTIFS('Demo Pipeline'!$Q$5:$Q$504,A90,'Demo Pipeline'!$X$5:$X$504,"Yes"))</f>
        <v/>
      </c>
      <c r="BG90" s="33" t="str">
        <f aca="false">IF(A90="","",COUNTIFS('Demo Pipeline'!$Q$5:$Q$504,A90,'Demo Pipeline'!$Y$5:$Y$504,"Closed Won"))</f>
        <v/>
      </c>
      <c r="BH90" s="37" t="str">
        <f aca="false">IF(A90="","",SUMIFS('Demo Pipeline'!$Z$5:$Z$504,'Demo Pipeline'!$Q$5:$Q$504,A90))</f>
        <v/>
      </c>
      <c r="BI90" s="34" t="str">
        <f aca="false">IF(OR(AZ90="",N(AJ90)=0),"",AZ90/AJ90)</f>
        <v/>
      </c>
      <c r="BJ90" s="34" t="str">
        <f aca="false">IF(OR(BB90="",N(AZ90)=0),"",BB90/AZ90)</f>
        <v/>
      </c>
      <c r="BK90" s="34" t="str">
        <f aca="false">IF(OR(A90="",N(BB90)=0),"",BD90/BB90)</f>
        <v/>
      </c>
      <c r="BL90" s="34" t="str">
        <f aca="false">IF(OR(A90="",N(AZ90)=0),"",BD90/AZ90)</f>
        <v/>
      </c>
      <c r="BM90" s="37" t="str">
        <f aca="false">IF(OR(N(Q90)=0,N(BD90)=0),"",Q90/BD90)</f>
        <v/>
      </c>
      <c r="BN90" s="29"/>
      <c r="BO90" s="29"/>
      <c r="BP90" s="33" t="str">
        <f aca="false">IF(OR(AR90="",N(AO90)=0),"",AR90)</f>
        <v/>
      </c>
      <c r="BQ90" s="33" t="str">
        <f aca="false">IF(OR(AR90="",N(S90)=0),"",S90)</f>
        <v/>
      </c>
      <c r="BR90" s="38" t="str">
        <f aca="false">IF(AND(ISNUMBER(B90),B90&gt;=Dashboard!$C$4,B90&lt;=Dashboard!$F$4,ISNUMBER(AU90)),AU90+ROW()/10^9,"")</f>
        <v/>
      </c>
      <c r="BS90" s="38" t="str">
        <f aca="false">IF(AND(ISNUMBER(B90),B90&gt;=Dashboard!$C$4,B90&lt;=Dashboard!$F$4,A90&lt;&gt;""),N(BD90)+N(AU90)/100+ROW()/10^9,"")</f>
        <v/>
      </c>
    </row>
    <row r="91" customFormat="false" ht="15" hidden="false" customHeight="false" outlineLevel="0" collapsed="false">
      <c r="A91" s="24" t="str">
        <f aca="false">IF(OR(B91="",G91="",H91=""),"",IFERROR(INDEX(Settings!$E$5:$E$49,MATCH(G91,Settings!$D$5:$D$49,0))&amp;INDEX(Settings!$H$5:$H$47,MATCH(H91,Settings!$G$5:$G$47,0))&amp;"-"&amp;TEXT(B91,"yymmdd")&amp;"-"&amp;IF(C91="","0000",TEXT(C91,"hhmm")),"CHECK LISTS"))</f>
        <v/>
      </c>
      <c r="B91" s="39"/>
      <c r="C91" s="40"/>
      <c r="D91" s="24" t="str">
        <f aca="false">IF(B91="","",TEXT(B91,"ddd"))</f>
        <v/>
      </c>
      <c r="E91" s="27" t="str">
        <f aca="false">IF(B91="","",B91-WEEKDAY(B91,3))</f>
        <v/>
      </c>
      <c r="F91" s="24" t="str">
        <f aca="false">IF(B91="","",TEXT(B91,"yyyy-mm"))</f>
        <v/>
      </c>
      <c r="G91" s="29"/>
      <c r="H91" s="29"/>
      <c r="I91" s="29"/>
      <c r="J91" s="29"/>
      <c r="K91" s="29"/>
      <c r="L91" s="29"/>
      <c r="M91" s="29"/>
      <c r="N91" s="29"/>
      <c r="O91" s="29"/>
      <c r="P91" s="29"/>
      <c r="Q91" s="30"/>
      <c r="R91" s="29"/>
      <c r="S91" s="32"/>
      <c r="T91" s="29"/>
      <c r="U91" s="29"/>
      <c r="V91" s="24" t="str">
        <f aca="false">IF(A91="","",IFERROR(INDEX(Settings!$F$5:$F$49,MATCH(G91,Settings!$D$5:$D$49,0)),""))</f>
        <v/>
      </c>
      <c r="W91" s="24" t="str">
        <f aca="false">IF(A91="","",IF(OR(P91="",P91="Organic"),"social","paid_social"))</f>
        <v/>
      </c>
      <c r="X91" s="24" t="str">
        <f aca="false">IF(A91="","",IF(K91&lt;&gt;"",IFERROR(INDEX('Case Studies'!$C$5:$C$54,MATCH(K91,'Case Studies'!$B$5:$B$54,0))&amp;"","case-study"),IF(J91&lt;&gt;"",IFERROR(INDEX(Settings!$J$5:$J$55,MATCH(J91,Settings!$I$5:$I$55,0)),"general"),"general")))</f>
        <v/>
      </c>
      <c r="Y91" s="24" t="str">
        <f aca="false">IF(A91="","",LOWER(A91))</f>
        <v/>
      </c>
      <c r="Z91" s="24" t="str">
        <f aca="false">IF(A91="","",IF(T91="",Settings!$B$5,T91)&amp;IF(ISNUMBER(FIND("?",IF(T91="",Settings!$B$5,T91))),"&amp;","?")&amp;"utm_source="&amp;V91&amp;"&amp;utm_medium="&amp;W91&amp;"&amp;utm_campaign="&amp;X91&amp;"&amp;utm_content="&amp;Y91)</f>
        <v/>
      </c>
      <c r="AA91" s="29"/>
      <c r="AB91" s="39"/>
      <c r="AC91" s="32"/>
      <c r="AD91" s="32"/>
      <c r="AE91" s="32"/>
      <c r="AF91" s="32"/>
      <c r="AG91" s="32"/>
      <c r="AH91" s="32"/>
      <c r="AI91" s="32"/>
      <c r="AJ91" s="32"/>
      <c r="AK91" s="32"/>
      <c r="AL91" s="32"/>
      <c r="AM91" s="32"/>
      <c r="AN91" s="32"/>
      <c r="AO91" s="33" t="str">
        <f aca="false">IF(A91="","",IF(AD91&lt;&gt;"",AD91,IF(AC91&lt;&gt;"",AC91,"")))</f>
        <v/>
      </c>
      <c r="AP91" s="24" t="str">
        <f aca="false">IF(AO91="","",IF(AD91&lt;&gt;"","Reported reach","Impressions (proxy)"))</f>
        <v/>
      </c>
      <c r="AQ91" s="34" t="str">
        <f aca="false">IF(OR(AO91="",N(S91)=0),"",AO91/S91)</f>
        <v/>
      </c>
      <c r="AR91" s="33" t="str">
        <f aca="false">IF(A91="","",IF(COUNT(AF91:AJ91)=0,"",SUM(AF91:AJ91)))</f>
        <v/>
      </c>
      <c r="AS91" s="34" t="str">
        <f aca="false">IF(OR(AR91="",N(AO91)=0),"",AR91/AO91)</f>
        <v/>
      </c>
      <c r="AT91" s="34" t="str">
        <f aca="false">IF(OR(AR91="",N(AC91)=0),"",AR91/AC91)</f>
        <v/>
      </c>
      <c r="AU91" s="34" t="str">
        <f aca="false">IF(OR(AR91="",N(S91)=0),"",AR91/S91)</f>
        <v/>
      </c>
      <c r="AV91" s="34" t="str">
        <f aca="false">IF(OR(AJ91="",N(AC91)=0),"",AJ91/AC91)</f>
        <v/>
      </c>
      <c r="AW91" s="34" t="str">
        <f aca="false">IF(OR(AH91="",N(AO91)=0),"",AH91/AO91)</f>
        <v/>
      </c>
      <c r="AX91" s="35" t="str">
        <f aca="false">IF(OR(AR91="",N(AO91)=0),"",(N(AF91)*Settings!$B$6+N(AG91)*Settings!$B$7+N(AH91)*Settings!$B$8+N(AI91)*Settings!$B$9+N(AJ91)*Settings!$B$10)/AO91*1000)</f>
        <v/>
      </c>
      <c r="AY91" s="36" t="str">
        <f aca="false">IF(AS91="","",IFERROR(AS91/AVERAGEIFS('Post Tracker'!$AS$5:$AS$1004,'Post Tracker'!$G$5:$G$1004,G91),""))</f>
        <v/>
      </c>
      <c r="AZ91" s="32"/>
      <c r="BA91" s="32"/>
      <c r="BB91" s="32"/>
      <c r="BC91" s="32"/>
      <c r="BD91" s="33" t="str">
        <f aca="false">IF(A91="","",COUNTIFS('Demo Pipeline'!$Q$5:$Q$504,A91))</f>
        <v/>
      </c>
      <c r="BE91" s="33" t="str">
        <f aca="false">IF(A91="","",COUNTIFS('Demo Pipeline'!$Q$5:$Q$504,A91,'Demo Pipeline'!$W$5:$W$504,"Attended"))</f>
        <v/>
      </c>
      <c r="BF91" s="33" t="str">
        <f aca="false">IF(A91="","",COUNTIFS('Demo Pipeline'!$Q$5:$Q$504,A91,'Demo Pipeline'!$X$5:$X$504,"Yes"))</f>
        <v/>
      </c>
      <c r="BG91" s="33" t="str">
        <f aca="false">IF(A91="","",COUNTIFS('Demo Pipeline'!$Q$5:$Q$504,A91,'Demo Pipeline'!$Y$5:$Y$504,"Closed Won"))</f>
        <v/>
      </c>
      <c r="BH91" s="37" t="str">
        <f aca="false">IF(A91="","",SUMIFS('Demo Pipeline'!$Z$5:$Z$504,'Demo Pipeline'!$Q$5:$Q$504,A91))</f>
        <v/>
      </c>
      <c r="BI91" s="34" t="str">
        <f aca="false">IF(OR(AZ91="",N(AJ91)=0),"",AZ91/AJ91)</f>
        <v/>
      </c>
      <c r="BJ91" s="34" t="str">
        <f aca="false">IF(OR(BB91="",N(AZ91)=0),"",BB91/AZ91)</f>
        <v/>
      </c>
      <c r="BK91" s="34" t="str">
        <f aca="false">IF(OR(A91="",N(BB91)=0),"",BD91/BB91)</f>
        <v/>
      </c>
      <c r="BL91" s="34" t="str">
        <f aca="false">IF(OR(A91="",N(AZ91)=0),"",BD91/AZ91)</f>
        <v/>
      </c>
      <c r="BM91" s="37" t="str">
        <f aca="false">IF(OR(N(Q91)=0,N(BD91)=0),"",Q91/BD91)</f>
        <v/>
      </c>
      <c r="BN91" s="29"/>
      <c r="BO91" s="29"/>
      <c r="BP91" s="33" t="str">
        <f aca="false">IF(OR(AR91="",N(AO91)=0),"",AR91)</f>
        <v/>
      </c>
      <c r="BQ91" s="33" t="str">
        <f aca="false">IF(OR(AR91="",N(S91)=0),"",S91)</f>
        <v/>
      </c>
      <c r="BR91" s="38" t="str">
        <f aca="false">IF(AND(ISNUMBER(B91),B91&gt;=Dashboard!$C$4,B91&lt;=Dashboard!$F$4,ISNUMBER(AU91)),AU91+ROW()/10^9,"")</f>
        <v/>
      </c>
      <c r="BS91" s="38" t="str">
        <f aca="false">IF(AND(ISNUMBER(B91),B91&gt;=Dashboard!$C$4,B91&lt;=Dashboard!$F$4,A91&lt;&gt;""),N(BD91)+N(AU91)/100+ROW()/10^9,"")</f>
        <v/>
      </c>
    </row>
    <row r="92" customFormat="false" ht="15" hidden="false" customHeight="false" outlineLevel="0" collapsed="false">
      <c r="A92" s="24" t="str">
        <f aca="false">IF(OR(B92="",G92="",H92=""),"",IFERROR(INDEX(Settings!$E$5:$E$49,MATCH(G92,Settings!$D$5:$D$49,0))&amp;INDEX(Settings!$H$5:$H$47,MATCH(H92,Settings!$G$5:$G$47,0))&amp;"-"&amp;TEXT(B92,"yymmdd")&amp;"-"&amp;IF(C92="","0000",TEXT(C92,"hhmm")),"CHECK LISTS"))</f>
        <v/>
      </c>
      <c r="B92" s="39"/>
      <c r="C92" s="40"/>
      <c r="D92" s="24" t="str">
        <f aca="false">IF(B92="","",TEXT(B92,"ddd"))</f>
        <v/>
      </c>
      <c r="E92" s="27" t="str">
        <f aca="false">IF(B92="","",B92-WEEKDAY(B92,3))</f>
        <v/>
      </c>
      <c r="F92" s="24" t="str">
        <f aca="false">IF(B92="","",TEXT(B92,"yyyy-mm"))</f>
        <v/>
      </c>
      <c r="G92" s="29"/>
      <c r="H92" s="29"/>
      <c r="I92" s="29"/>
      <c r="J92" s="29"/>
      <c r="K92" s="29"/>
      <c r="L92" s="29"/>
      <c r="M92" s="29"/>
      <c r="N92" s="29"/>
      <c r="O92" s="29"/>
      <c r="P92" s="29"/>
      <c r="Q92" s="30"/>
      <c r="R92" s="29"/>
      <c r="S92" s="32"/>
      <c r="T92" s="29"/>
      <c r="U92" s="29"/>
      <c r="V92" s="24" t="str">
        <f aca="false">IF(A92="","",IFERROR(INDEX(Settings!$F$5:$F$49,MATCH(G92,Settings!$D$5:$D$49,0)),""))</f>
        <v/>
      </c>
      <c r="W92" s="24" t="str">
        <f aca="false">IF(A92="","",IF(OR(P92="",P92="Organic"),"social","paid_social"))</f>
        <v/>
      </c>
      <c r="X92" s="24" t="str">
        <f aca="false">IF(A92="","",IF(K92&lt;&gt;"",IFERROR(INDEX('Case Studies'!$C$5:$C$54,MATCH(K92,'Case Studies'!$B$5:$B$54,0))&amp;"","case-study"),IF(J92&lt;&gt;"",IFERROR(INDEX(Settings!$J$5:$J$55,MATCH(J92,Settings!$I$5:$I$55,0)),"general"),"general")))</f>
        <v/>
      </c>
      <c r="Y92" s="24" t="str">
        <f aca="false">IF(A92="","",LOWER(A92))</f>
        <v/>
      </c>
      <c r="Z92" s="24" t="str">
        <f aca="false">IF(A92="","",IF(T92="",Settings!$B$5,T92)&amp;IF(ISNUMBER(FIND("?",IF(T92="",Settings!$B$5,T92))),"&amp;","?")&amp;"utm_source="&amp;V92&amp;"&amp;utm_medium="&amp;W92&amp;"&amp;utm_campaign="&amp;X92&amp;"&amp;utm_content="&amp;Y92)</f>
        <v/>
      </c>
      <c r="AA92" s="29"/>
      <c r="AB92" s="39"/>
      <c r="AC92" s="32"/>
      <c r="AD92" s="32"/>
      <c r="AE92" s="32"/>
      <c r="AF92" s="32"/>
      <c r="AG92" s="32"/>
      <c r="AH92" s="32"/>
      <c r="AI92" s="32"/>
      <c r="AJ92" s="32"/>
      <c r="AK92" s="32"/>
      <c r="AL92" s="32"/>
      <c r="AM92" s="32"/>
      <c r="AN92" s="32"/>
      <c r="AO92" s="33" t="str">
        <f aca="false">IF(A92="","",IF(AD92&lt;&gt;"",AD92,IF(AC92&lt;&gt;"",AC92,"")))</f>
        <v/>
      </c>
      <c r="AP92" s="24" t="str">
        <f aca="false">IF(AO92="","",IF(AD92&lt;&gt;"","Reported reach","Impressions (proxy)"))</f>
        <v/>
      </c>
      <c r="AQ92" s="34" t="str">
        <f aca="false">IF(OR(AO92="",N(S92)=0),"",AO92/S92)</f>
        <v/>
      </c>
      <c r="AR92" s="33" t="str">
        <f aca="false">IF(A92="","",IF(COUNT(AF92:AJ92)=0,"",SUM(AF92:AJ92)))</f>
        <v/>
      </c>
      <c r="AS92" s="34" t="str">
        <f aca="false">IF(OR(AR92="",N(AO92)=0),"",AR92/AO92)</f>
        <v/>
      </c>
      <c r="AT92" s="34" t="str">
        <f aca="false">IF(OR(AR92="",N(AC92)=0),"",AR92/AC92)</f>
        <v/>
      </c>
      <c r="AU92" s="34" t="str">
        <f aca="false">IF(OR(AR92="",N(S92)=0),"",AR92/S92)</f>
        <v/>
      </c>
      <c r="AV92" s="34" t="str">
        <f aca="false">IF(OR(AJ92="",N(AC92)=0),"",AJ92/AC92)</f>
        <v/>
      </c>
      <c r="AW92" s="34" t="str">
        <f aca="false">IF(OR(AH92="",N(AO92)=0),"",AH92/AO92)</f>
        <v/>
      </c>
      <c r="AX92" s="35" t="str">
        <f aca="false">IF(OR(AR92="",N(AO92)=0),"",(N(AF92)*Settings!$B$6+N(AG92)*Settings!$B$7+N(AH92)*Settings!$B$8+N(AI92)*Settings!$B$9+N(AJ92)*Settings!$B$10)/AO92*1000)</f>
        <v/>
      </c>
      <c r="AY92" s="36" t="str">
        <f aca="false">IF(AS92="","",IFERROR(AS92/AVERAGEIFS('Post Tracker'!$AS$5:$AS$1004,'Post Tracker'!$G$5:$G$1004,G92),""))</f>
        <v/>
      </c>
      <c r="AZ92" s="32"/>
      <c r="BA92" s="32"/>
      <c r="BB92" s="32"/>
      <c r="BC92" s="32"/>
      <c r="BD92" s="33" t="str">
        <f aca="false">IF(A92="","",COUNTIFS('Demo Pipeline'!$Q$5:$Q$504,A92))</f>
        <v/>
      </c>
      <c r="BE92" s="33" t="str">
        <f aca="false">IF(A92="","",COUNTIFS('Demo Pipeline'!$Q$5:$Q$504,A92,'Demo Pipeline'!$W$5:$W$504,"Attended"))</f>
        <v/>
      </c>
      <c r="BF92" s="33" t="str">
        <f aca="false">IF(A92="","",COUNTIFS('Demo Pipeline'!$Q$5:$Q$504,A92,'Demo Pipeline'!$X$5:$X$504,"Yes"))</f>
        <v/>
      </c>
      <c r="BG92" s="33" t="str">
        <f aca="false">IF(A92="","",COUNTIFS('Demo Pipeline'!$Q$5:$Q$504,A92,'Demo Pipeline'!$Y$5:$Y$504,"Closed Won"))</f>
        <v/>
      </c>
      <c r="BH92" s="37" t="str">
        <f aca="false">IF(A92="","",SUMIFS('Demo Pipeline'!$Z$5:$Z$504,'Demo Pipeline'!$Q$5:$Q$504,A92))</f>
        <v/>
      </c>
      <c r="BI92" s="34" t="str">
        <f aca="false">IF(OR(AZ92="",N(AJ92)=0),"",AZ92/AJ92)</f>
        <v/>
      </c>
      <c r="BJ92" s="34" t="str">
        <f aca="false">IF(OR(BB92="",N(AZ92)=0),"",BB92/AZ92)</f>
        <v/>
      </c>
      <c r="BK92" s="34" t="str">
        <f aca="false">IF(OR(A92="",N(BB92)=0),"",BD92/BB92)</f>
        <v/>
      </c>
      <c r="BL92" s="34" t="str">
        <f aca="false">IF(OR(A92="",N(AZ92)=0),"",BD92/AZ92)</f>
        <v/>
      </c>
      <c r="BM92" s="37" t="str">
        <f aca="false">IF(OR(N(Q92)=0,N(BD92)=0),"",Q92/BD92)</f>
        <v/>
      </c>
      <c r="BN92" s="29"/>
      <c r="BO92" s="29"/>
      <c r="BP92" s="33" t="str">
        <f aca="false">IF(OR(AR92="",N(AO92)=0),"",AR92)</f>
        <v/>
      </c>
      <c r="BQ92" s="33" t="str">
        <f aca="false">IF(OR(AR92="",N(S92)=0),"",S92)</f>
        <v/>
      </c>
      <c r="BR92" s="38" t="str">
        <f aca="false">IF(AND(ISNUMBER(B92),B92&gt;=Dashboard!$C$4,B92&lt;=Dashboard!$F$4,ISNUMBER(AU92)),AU92+ROW()/10^9,"")</f>
        <v/>
      </c>
      <c r="BS92" s="38" t="str">
        <f aca="false">IF(AND(ISNUMBER(B92),B92&gt;=Dashboard!$C$4,B92&lt;=Dashboard!$F$4,A92&lt;&gt;""),N(BD92)+N(AU92)/100+ROW()/10^9,"")</f>
        <v/>
      </c>
    </row>
    <row r="93" customFormat="false" ht="15" hidden="false" customHeight="false" outlineLevel="0" collapsed="false">
      <c r="A93" s="24" t="str">
        <f aca="false">IF(OR(B93="",G93="",H93=""),"",IFERROR(INDEX(Settings!$E$5:$E$49,MATCH(G93,Settings!$D$5:$D$49,0))&amp;INDEX(Settings!$H$5:$H$47,MATCH(H93,Settings!$G$5:$G$47,0))&amp;"-"&amp;TEXT(B93,"yymmdd")&amp;"-"&amp;IF(C93="","0000",TEXT(C93,"hhmm")),"CHECK LISTS"))</f>
        <v/>
      </c>
      <c r="B93" s="39"/>
      <c r="C93" s="40"/>
      <c r="D93" s="24" t="str">
        <f aca="false">IF(B93="","",TEXT(B93,"ddd"))</f>
        <v/>
      </c>
      <c r="E93" s="27" t="str">
        <f aca="false">IF(B93="","",B93-WEEKDAY(B93,3))</f>
        <v/>
      </c>
      <c r="F93" s="24" t="str">
        <f aca="false">IF(B93="","",TEXT(B93,"yyyy-mm"))</f>
        <v/>
      </c>
      <c r="G93" s="29"/>
      <c r="H93" s="29"/>
      <c r="I93" s="29"/>
      <c r="J93" s="29"/>
      <c r="K93" s="29"/>
      <c r="L93" s="29"/>
      <c r="M93" s="29"/>
      <c r="N93" s="29"/>
      <c r="O93" s="29"/>
      <c r="P93" s="29"/>
      <c r="Q93" s="30"/>
      <c r="R93" s="29"/>
      <c r="S93" s="32"/>
      <c r="T93" s="29"/>
      <c r="U93" s="29"/>
      <c r="V93" s="24" t="str">
        <f aca="false">IF(A93="","",IFERROR(INDEX(Settings!$F$5:$F$49,MATCH(G93,Settings!$D$5:$D$49,0)),""))</f>
        <v/>
      </c>
      <c r="W93" s="24" t="str">
        <f aca="false">IF(A93="","",IF(OR(P93="",P93="Organic"),"social","paid_social"))</f>
        <v/>
      </c>
      <c r="X93" s="24" t="str">
        <f aca="false">IF(A93="","",IF(K93&lt;&gt;"",IFERROR(INDEX('Case Studies'!$C$5:$C$54,MATCH(K93,'Case Studies'!$B$5:$B$54,0))&amp;"","case-study"),IF(J93&lt;&gt;"",IFERROR(INDEX(Settings!$J$5:$J$55,MATCH(J93,Settings!$I$5:$I$55,0)),"general"),"general")))</f>
        <v/>
      </c>
      <c r="Y93" s="24" t="str">
        <f aca="false">IF(A93="","",LOWER(A93))</f>
        <v/>
      </c>
      <c r="Z93" s="24" t="str">
        <f aca="false">IF(A93="","",IF(T93="",Settings!$B$5,T93)&amp;IF(ISNUMBER(FIND("?",IF(T93="",Settings!$B$5,T93))),"&amp;","?")&amp;"utm_source="&amp;V93&amp;"&amp;utm_medium="&amp;W93&amp;"&amp;utm_campaign="&amp;X93&amp;"&amp;utm_content="&amp;Y93)</f>
        <v/>
      </c>
      <c r="AA93" s="29"/>
      <c r="AB93" s="39"/>
      <c r="AC93" s="32"/>
      <c r="AD93" s="32"/>
      <c r="AE93" s="32"/>
      <c r="AF93" s="32"/>
      <c r="AG93" s="32"/>
      <c r="AH93" s="32"/>
      <c r="AI93" s="32"/>
      <c r="AJ93" s="32"/>
      <c r="AK93" s="32"/>
      <c r="AL93" s="32"/>
      <c r="AM93" s="32"/>
      <c r="AN93" s="32"/>
      <c r="AO93" s="33" t="str">
        <f aca="false">IF(A93="","",IF(AD93&lt;&gt;"",AD93,IF(AC93&lt;&gt;"",AC93,"")))</f>
        <v/>
      </c>
      <c r="AP93" s="24" t="str">
        <f aca="false">IF(AO93="","",IF(AD93&lt;&gt;"","Reported reach","Impressions (proxy)"))</f>
        <v/>
      </c>
      <c r="AQ93" s="34" t="str">
        <f aca="false">IF(OR(AO93="",N(S93)=0),"",AO93/S93)</f>
        <v/>
      </c>
      <c r="AR93" s="33" t="str">
        <f aca="false">IF(A93="","",IF(COUNT(AF93:AJ93)=0,"",SUM(AF93:AJ93)))</f>
        <v/>
      </c>
      <c r="AS93" s="34" t="str">
        <f aca="false">IF(OR(AR93="",N(AO93)=0),"",AR93/AO93)</f>
        <v/>
      </c>
      <c r="AT93" s="34" t="str">
        <f aca="false">IF(OR(AR93="",N(AC93)=0),"",AR93/AC93)</f>
        <v/>
      </c>
      <c r="AU93" s="34" t="str">
        <f aca="false">IF(OR(AR93="",N(S93)=0),"",AR93/S93)</f>
        <v/>
      </c>
      <c r="AV93" s="34" t="str">
        <f aca="false">IF(OR(AJ93="",N(AC93)=0),"",AJ93/AC93)</f>
        <v/>
      </c>
      <c r="AW93" s="34" t="str">
        <f aca="false">IF(OR(AH93="",N(AO93)=0),"",AH93/AO93)</f>
        <v/>
      </c>
      <c r="AX93" s="35" t="str">
        <f aca="false">IF(OR(AR93="",N(AO93)=0),"",(N(AF93)*Settings!$B$6+N(AG93)*Settings!$B$7+N(AH93)*Settings!$B$8+N(AI93)*Settings!$B$9+N(AJ93)*Settings!$B$10)/AO93*1000)</f>
        <v/>
      </c>
      <c r="AY93" s="36" t="str">
        <f aca="false">IF(AS93="","",IFERROR(AS93/AVERAGEIFS('Post Tracker'!$AS$5:$AS$1004,'Post Tracker'!$G$5:$G$1004,G93),""))</f>
        <v/>
      </c>
      <c r="AZ93" s="32"/>
      <c r="BA93" s="32"/>
      <c r="BB93" s="32"/>
      <c r="BC93" s="32"/>
      <c r="BD93" s="33" t="str">
        <f aca="false">IF(A93="","",COUNTIFS('Demo Pipeline'!$Q$5:$Q$504,A93))</f>
        <v/>
      </c>
      <c r="BE93" s="33" t="str">
        <f aca="false">IF(A93="","",COUNTIFS('Demo Pipeline'!$Q$5:$Q$504,A93,'Demo Pipeline'!$W$5:$W$504,"Attended"))</f>
        <v/>
      </c>
      <c r="BF93" s="33" t="str">
        <f aca="false">IF(A93="","",COUNTIFS('Demo Pipeline'!$Q$5:$Q$504,A93,'Demo Pipeline'!$X$5:$X$504,"Yes"))</f>
        <v/>
      </c>
      <c r="BG93" s="33" t="str">
        <f aca="false">IF(A93="","",COUNTIFS('Demo Pipeline'!$Q$5:$Q$504,A93,'Demo Pipeline'!$Y$5:$Y$504,"Closed Won"))</f>
        <v/>
      </c>
      <c r="BH93" s="37" t="str">
        <f aca="false">IF(A93="","",SUMIFS('Demo Pipeline'!$Z$5:$Z$504,'Demo Pipeline'!$Q$5:$Q$504,A93))</f>
        <v/>
      </c>
      <c r="BI93" s="34" t="str">
        <f aca="false">IF(OR(AZ93="",N(AJ93)=0),"",AZ93/AJ93)</f>
        <v/>
      </c>
      <c r="BJ93" s="34" t="str">
        <f aca="false">IF(OR(BB93="",N(AZ93)=0),"",BB93/AZ93)</f>
        <v/>
      </c>
      <c r="BK93" s="34" t="str">
        <f aca="false">IF(OR(A93="",N(BB93)=0),"",BD93/BB93)</f>
        <v/>
      </c>
      <c r="BL93" s="34" t="str">
        <f aca="false">IF(OR(A93="",N(AZ93)=0),"",BD93/AZ93)</f>
        <v/>
      </c>
      <c r="BM93" s="37" t="str">
        <f aca="false">IF(OR(N(Q93)=0,N(BD93)=0),"",Q93/BD93)</f>
        <v/>
      </c>
      <c r="BN93" s="29"/>
      <c r="BO93" s="29"/>
      <c r="BP93" s="33" t="str">
        <f aca="false">IF(OR(AR93="",N(AO93)=0),"",AR93)</f>
        <v/>
      </c>
      <c r="BQ93" s="33" t="str">
        <f aca="false">IF(OR(AR93="",N(S93)=0),"",S93)</f>
        <v/>
      </c>
      <c r="BR93" s="38" t="str">
        <f aca="false">IF(AND(ISNUMBER(B93),B93&gt;=Dashboard!$C$4,B93&lt;=Dashboard!$F$4,ISNUMBER(AU93)),AU93+ROW()/10^9,"")</f>
        <v/>
      </c>
      <c r="BS93" s="38" t="str">
        <f aca="false">IF(AND(ISNUMBER(B93),B93&gt;=Dashboard!$C$4,B93&lt;=Dashboard!$F$4,A93&lt;&gt;""),N(BD93)+N(AU93)/100+ROW()/10^9,"")</f>
        <v/>
      </c>
    </row>
    <row r="94" customFormat="false" ht="15" hidden="false" customHeight="false" outlineLevel="0" collapsed="false">
      <c r="A94" s="24" t="str">
        <f aca="false">IF(OR(B94="",G94="",H94=""),"",IFERROR(INDEX(Settings!$E$5:$E$49,MATCH(G94,Settings!$D$5:$D$49,0))&amp;INDEX(Settings!$H$5:$H$47,MATCH(H94,Settings!$G$5:$G$47,0))&amp;"-"&amp;TEXT(B94,"yymmdd")&amp;"-"&amp;IF(C94="","0000",TEXT(C94,"hhmm")),"CHECK LISTS"))</f>
        <v/>
      </c>
      <c r="B94" s="39"/>
      <c r="C94" s="40"/>
      <c r="D94" s="24" t="str">
        <f aca="false">IF(B94="","",TEXT(B94,"ddd"))</f>
        <v/>
      </c>
      <c r="E94" s="27" t="str">
        <f aca="false">IF(B94="","",B94-WEEKDAY(B94,3))</f>
        <v/>
      </c>
      <c r="F94" s="24" t="str">
        <f aca="false">IF(B94="","",TEXT(B94,"yyyy-mm"))</f>
        <v/>
      </c>
      <c r="G94" s="29"/>
      <c r="H94" s="29"/>
      <c r="I94" s="29"/>
      <c r="J94" s="29"/>
      <c r="K94" s="29"/>
      <c r="L94" s="29"/>
      <c r="M94" s="29"/>
      <c r="N94" s="29"/>
      <c r="O94" s="29"/>
      <c r="P94" s="29"/>
      <c r="Q94" s="30"/>
      <c r="R94" s="29"/>
      <c r="S94" s="32"/>
      <c r="T94" s="29"/>
      <c r="U94" s="29"/>
      <c r="V94" s="24" t="str">
        <f aca="false">IF(A94="","",IFERROR(INDEX(Settings!$F$5:$F$49,MATCH(G94,Settings!$D$5:$D$49,0)),""))</f>
        <v/>
      </c>
      <c r="W94" s="24" t="str">
        <f aca="false">IF(A94="","",IF(OR(P94="",P94="Organic"),"social","paid_social"))</f>
        <v/>
      </c>
      <c r="X94" s="24" t="str">
        <f aca="false">IF(A94="","",IF(K94&lt;&gt;"",IFERROR(INDEX('Case Studies'!$C$5:$C$54,MATCH(K94,'Case Studies'!$B$5:$B$54,0))&amp;"","case-study"),IF(J94&lt;&gt;"",IFERROR(INDEX(Settings!$J$5:$J$55,MATCH(J94,Settings!$I$5:$I$55,0)),"general"),"general")))</f>
        <v/>
      </c>
      <c r="Y94" s="24" t="str">
        <f aca="false">IF(A94="","",LOWER(A94))</f>
        <v/>
      </c>
      <c r="Z94" s="24" t="str">
        <f aca="false">IF(A94="","",IF(T94="",Settings!$B$5,T94)&amp;IF(ISNUMBER(FIND("?",IF(T94="",Settings!$B$5,T94))),"&amp;","?")&amp;"utm_source="&amp;V94&amp;"&amp;utm_medium="&amp;W94&amp;"&amp;utm_campaign="&amp;X94&amp;"&amp;utm_content="&amp;Y94)</f>
        <v/>
      </c>
      <c r="AA94" s="29"/>
      <c r="AB94" s="39"/>
      <c r="AC94" s="32"/>
      <c r="AD94" s="32"/>
      <c r="AE94" s="32"/>
      <c r="AF94" s="32"/>
      <c r="AG94" s="32"/>
      <c r="AH94" s="32"/>
      <c r="AI94" s="32"/>
      <c r="AJ94" s="32"/>
      <c r="AK94" s="32"/>
      <c r="AL94" s="32"/>
      <c r="AM94" s="32"/>
      <c r="AN94" s="32"/>
      <c r="AO94" s="33" t="str">
        <f aca="false">IF(A94="","",IF(AD94&lt;&gt;"",AD94,IF(AC94&lt;&gt;"",AC94,"")))</f>
        <v/>
      </c>
      <c r="AP94" s="24" t="str">
        <f aca="false">IF(AO94="","",IF(AD94&lt;&gt;"","Reported reach","Impressions (proxy)"))</f>
        <v/>
      </c>
      <c r="AQ94" s="34" t="str">
        <f aca="false">IF(OR(AO94="",N(S94)=0),"",AO94/S94)</f>
        <v/>
      </c>
      <c r="AR94" s="33" t="str">
        <f aca="false">IF(A94="","",IF(COUNT(AF94:AJ94)=0,"",SUM(AF94:AJ94)))</f>
        <v/>
      </c>
      <c r="AS94" s="34" t="str">
        <f aca="false">IF(OR(AR94="",N(AO94)=0),"",AR94/AO94)</f>
        <v/>
      </c>
      <c r="AT94" s="34" t="str">
        <f aca="false">IF(OR(AR94="",N(AC94)=0),"",AR94/AC94)</f>
        <v/>
      </c>
      <c r="AU94" s="34" t="str">
        <f aca="false">IF(OR(AR94="",N(S94)=0),"",AR94/S94)</f>
        <v/>
      </c>
      <c r="AV94" s="34" t="str">
        <f aca="false">IF(OR(AJ94="",N(AC94)=0),"",AJ94/AC94)</f>
        <v/>
      </c>
      <c r="AW94" s="34" t="str">
        <f aca="false">IF(OR(AH94="",N(AO94)=0),"",AH94/AO94)</f>
        <v/>
      </c>
      <c r="AX94" s="35" t="str">
        <f aca="false">IF(OR(AR94="",N(AO94)=0),"",(N(AF94)*Settings!$B$6+N(AG94)*Settings!$B$7+N(AH94)*Settings!$B$8+N(AI94)*Settings!$B$9+N(AJ94)*Settings!$B$10)/AO94*1000)</f>
        <v/>
      </c>
      <c r="AY94" s="36" t="str">
        <f aca="false">IF(AS94="","",IFERROR(AS94/AVERAGEIFS('Post Tracker'!$AS$5:$AS$1004,'Post Tracker'!$G$5:$G$1004,G94),""))</f>
        <v/>
      </c>
      <c r="AZ94" s="32"/>
      <c r="BA94" s="32"/>
      <c r="BB94" s="32"/>
      <c r="BC94" s="32"/>
      <c r="BD94" s="33" t="str">
        <f aca="false">IF(A94="","",COUNTIFS('Demo Pipeline'!$Q$5:$Q$504,A94))</f>
        <v/>
      </c>
      <c r="BE94" s="33" t="str">
        <f aca="false">IF(A94="","",COUNTIFS('Demo Pipeline'!$Q$5:$Q$504,A94,'Demo Pipeline'!$W$5:$W$504,"Attended"))</f>
        <v/>
      </c>
      <c r="BF94" s="33" t="str">
        <f aca="false">IF(A94="","",COUNTIFS('Demo Pipeline'!$Q$5:$Q$504,A94,'Demo Pipeline'!$X$5:$X$504,"Yes"))</f>
        <v/>
      </c>
      <c r="BG94" s="33" t="str">
        <f aca="false">IF(A94="","",COUNTIFS('Demo Pipeline'!$Q$5:$Q$504,A94,'Demo Pipeline'!$Y$5:$Y$504,"Closed Won"))</f>
        <v/>
      </c>
      <c r="BH94" s="37" t="str">
        <f aca="false">IF(A94="","",SUMIFS('Demo Pipeline'!$Z$5:$Z$504,'Demo Pipeline'!$Q$5:$Q$504,A94))</f>
        <v/>
      </c>
      <c r="BI94" s="34" t="str">
        <f aca="false">IF(OR(AZ94="",N(AJ94)=0),"",AZ94/AJ94)</f>
        <v/>
      </c>
      <c r="BJ94" s="34" t="str">
        <f aca="false">IF(OR(BB94="",N(AZ94)=0),"",BB94/AZ94)</f>
        <v/>
      </c>
      <c r="BK94" s="34" t="str">
        <f aca="false">IF(OR(A94="",N(BB94)=0),"",BD94/BB94)</f>
        <v/>
      </c>
      <c r="BL94" s="34" t="str">
        <f aca="false">IF(OR(A94="",N(AZ94)=0),"",BD94/AZ94)</f>
        <v/>
      </c>
      <c r="BM94" s="37" t="str">
        <f aca="false">IF(OR(N(Q94)=0,N(BD94)=0),"",Q94/BD94)</f>
        <v/>
      </c>
      <c r="BN94" s="29"/>
      <c r="BO94" s="29"/>
      <c r="BP94" s="33" t="str">
        <f aca="false">IF(OR(AR94="",N(AO94)=0),"",AR94)</f>
        <v/>
      </c>
      <c r="BQ94" s="33" t="str">
        <f aca="false">IF(OR(AR94="",N(S94)=0),"",S94)</f>
        <v/>
      </c>
      <c r="BR94" s="38" t="str">
        <f aca="false">IF(AND(ISNUMBER(B94),B94&gt;=Dashboard!$C$4,B94&lt;=Dashboard!$F$4,ISNUMBER(AU94)),AU94+ROW()/10^9,"")</f>
        <v/>
      </c>
      <c r="BS94" s="38" t="str">
        <f aca="false">IF(AND(ISNUMBER(B94),B94&gt;=Dashboard!$C$4,B94&lt;=Dashboard!$F$4,A94&lt;&gt;""),N(BD94)+N(AU94)/100+ROW()/10^9,"")</f>
        <v/>
      </c>
    </row>
    <row r="95" customFormat="false" ht="15" hidden="false" customHeight="false" outlineLevel="0" collapsed="false">
      <c r="A95" s="24" t="str">
        <f aca="false">IF(OR(B95="",G95="",H95=""),"",IFERROR(INDEX(Settings!$E$5:$E$49,MATCH(G95,Settings!$D$5:$D$49,0))&amp;INDEX(Settings!$H$5:$H$47,MATCH(H95,Settings!$G$5:$G$47,0))&amp;"-"&amp;TEXT(B95,"yymmdd")&amp;"-"&amp;IF(C95="","0000",TEXT(C95,"hhmm")),"CHECK LISTS"))</f>
        <v/>
      </c>
      <c r="B95" s="39"/>
      <c r="C95" s="40"/>
      <c r="D95" s="24" t="str">
        <f aca="false">IF(B95="","",TEXT(B95,"ddd"))</f>
        <v/>
      </c>
      <c r="E95" s="27" t="str">
        <f aca="false">IF(B95="","",B95-WEEKDAY(B95,3))</f>
        <v/>
      </c>
      <c r="F95" s="24" t="str">
        <f aca="false">IF(B95="","",TEXT(B95,"yyyy-mm"))</f>
        <v/>
      </c>
      <c r="G95" s="29"/>
      <c r="H95" s="29"/>
      <c r="I95" s="29"/>
      <c r="J95" s="29"/>
      <c r="K95" s="29"/>
      <c r="L95" s="29"/>
      <c r="M95" s="29"/>
      <c r="N95" s="29"/>
      <c r="O95" s="29"/>
      <c r="P95" s="29"/>
      <c r="Q95" s="30"/>
      <c r="R95" s="29"/>
      <c r="S95" s="32"/>
      <c r="T95" s="29"/>
      <c r="U95" s="29"/>
      <c r="V95" s="24" t="str">
        <f aca="false">IF(A95="","",IFERROR(INDEX(Settings!$F$5:$F$49,MATCH(G95,Settings!$D$5:$D$49,0)),""))</f>
        <v/>
      </c>
      <c r="W95" s="24" t="str">
        <f aca="false">IF(A95="","",IF(OR(P95="",P95="Organic"),"social","paid_social"))</f>
        <v/>
      </c>
      <c r="X95" s="24" t="str">
        <f aca="false">IF(A95="","",IF(K95&lt;&gt;"",IFERROR(INDEX('Case Studies'!$C$5:$C$54,MATCH(K95,'Case Studies'!$B$5:$B$54,0))&amp;"","case-study"),IF(J95&lt;&gt;"",IFERROR(INDEX(Settings!$J$5:$J$55,MATCH(J95,Settings!$I$5:$I$55,0)),"general"),"general")))</f>
        <v/>
      </c>
      <c r="Y95" s="24" t="str">
        <f aca="false">IF(A95="","",LOWER(A95))</f>
        <v/>
      </c>
      <c r="Z95" s="24" t="str">
        <f aca="false">IF(A95="","",IF(T95="",Settings!$B$5,T95)&amp;IF(ISNUMBER(FIND("?",IF(T95="",Settings!$B$5,T95))),"&amp;","?")&amp;"utm_source="&amp;V95&amp;"&amp;utm_medium="&amp;W95&amp;"&amp;utm_campaign="&amp;X95&amp;"&amp;utm_content="&amp;Y95)</f>
        <v/>
      </c>
      <c r="AA95" s="29"/>
      <c r="AB95" s="39"/>
      <c r="AC95" s="32"/>
      <c r="AD95" s="32"/>
      <c r="AE95" s="32"/>
      <c r="AF95" s="32"/>
      <c r="AG95" s="32"/>
      <c r="AH95" s="32"/>
      <c r="AI95" s="32"/>
      <c r="AJ95" s="32"/>
      <c r="AK95" s="32"/>
      <c r="AL95" s="32"/>
      <c r="AM95" s="32"/>
      <c r="AN95" s="32"/>
      <c r="AO95" s="33" t="str">
        <f aca="false">IF(A95="","",IF(AD95&lt;&gt;"",AD95,IF(AC95&lt;&gt;"",AC95,"")))</f>
        <v/>
      </c>
      <c r="AP95" s="24" t="str">
        <f aca="false">IF(AO95="","",IF(AD95&lt;&gt;"","Reported reach","Impressions (proxy)"))</f>
        <v/>
      </c>
      <c r="AQ95" s="34" t="str">
        <f aca="false">IF(OR(AO95="",N(S95)=0),"",AO95/S95)</f>
        <v/>
      </c>
      <c r="AR95" s="33" t="str">
        <f aca="false">IF(A95="","",IF(COUNT(AF95:AJ95)=0,"",SUM(AF95:AJ95)))</f>
        <v/>
      </c>
      <c r="AS95" s="34" t="str">
        <f aca="false">IF(OR(AR95="",N(AO95)=0),"",AR95/AO95)</f>
        <v/>
      </c>
      <c r="AT95" s="34" t="str">
        <f aca="false">IF(OR(AR95="",N(AC95)=0),"",AR95/AC95)</f>
        <v/>
      </c>
      <c r="AU95" s="34" t="str">
        <f aca="false">IF(OR(AR95="",N(S95)=0),"",AR95/S95)</f>
        <v/>
      </c>
      <c r="AV95" s="34" t="str">
        <f aca="false">IF(OR(AJ95="",N(AC95)=0),"",AJ95/AC95)</f>
        <v/>
      </c>
      <c r="AW95" s="34" t="str">
        <f aca="false">IF(OR(AH95="",N(AO95)=0),"",AH95/AO95)</f>
        <v/>
      </c>
      <c r="AX95" s="35" t="str">
        <f aca="false">IF(OR(AR95="",N(AO95)=0),"",(N(AF95)*Settings!$B$6+N(AG95)*Settings!$B$7+N(AH95)*Settings!$B$8+N(AI95)*Settings!$B$9+N(AJ95)*Settings!$B$10)/AO95*1000)</f>
        <v/>
      </c>
      <c r="AY95" s="36" t="str">
        <f aca="false">IF(AS95="","",IFERROR(AS95/AVERAGEIFS('Post Tracker'!$AS$5:$AS$1004,'Post Tracker'!$G$5:$G$1004,G95),""))</f>
        <v/>
      </c>
      <c r="AZ95" s="32"/>
      <c r="BA95" s="32"/>
      <c r="BB95" s="32"/>
      <c r="BC95" s="32"/>
      <c r="BD95" s="33" t="str">
        <f aca="false">IF(A95="","",COUNTIFS('Demo Pipeline'!$Q$5:$Q$504,A95))</f>
        <v/>
      </c>
      <c r="BE95" s="33" t="str">
        <f aca="false">IF(A95="","",COUNTIFS('Demo Pipeline'!$Q$5:$Q$504,A95,'Demo Pipeline'!$W$5:$W$504,"Attended"))</f>
        <v/>
      </c>
      <c r="BF95" s="33" t="str">
        <f aca="false">IF(A95="","",COUNTIFS('Demo Pipeline'!$Q$5:$Q$504,A95,'Demo Pipeline'!$X$5:$X$504,"Yes"))</f>
        <v/>
      </c>
      <c r="BG95" s="33" t="str">
        <f aca="false">IF(A95="","",COUNTIFS('Demo Pipeline'!$Q$5:$Q$504,A95,'Demo Pipeline'!$Y$5:$Y$504,"Closed Won"))</f>
        <v/>
      </c>
      <c r="BH95" s="37" t="str">
        <f aca="false">IF(A95="","",SUMIFS('Demo Pipeline'!$Z$5:$Z$504,'Demo Pipeline'!$Q$5:$Q$504,A95))</f>
        <v/>
      </c>
      <c r="BI95" s="34" t="str">
        <f aca="false">IF(OR(AZ95="",N(AJ95)=0),"",AZ95/AJ95)</f>
        <v/>
      </c>
      <c r="BJ95" s="34" t="str">
        <f aca="false">IF(OR(BB95="",N(AZ95)=0),"",BB95/AZ95)</f>
        <v/>
      </c>
      <c r="BK95" s="34" t="str">
        <f aca="false">IF(OR(A95="",N(BB95)=0),"",BD95/BB95)</f>
        <v/>
      </c>
      <c r="BL95" s="34" t="str">
        <f aca="false">IF(OR(A95="",N(AZ95)=0),"",BD95/AZ95)</f>
        <v/>
      </c>
      <c r="BM95" s="37" t="str">
        <f aca="false">IF(OR(N(Q95)=0,N(BD95)=0),"",Q95/BD95)</f>
        <v/>
      </c>
      <c r="BN95" s="29"/>
      <c r="BO95" s="29"/>
      <c r="BP95" s="33" t="str">
        <f aca="false">IF(OR(AR95="",N(AO95)=0),"",AR95)</f>
        <v/>
      </c>
      <c r="BQ95" s="33" t="str">
        <f aca="false">IF(OR(AR95="",N(S95)=0),"",S95)</f>
        <v/>
      </c>
      <c r="BR95" s="38" t="str">
        <f aca="false">IF(AND(ISNUMBER(B95),B95&gt;=Dashboard!$C$4,B95&lt;=Dashboard!$F$4,ISNUMBER(AU95)),AU95+ROW()/10^9,"")</f>
        <v/>
      </c>
      <c r="BS95" s="38" t="str">
        <f aca="false">IF(AND(ISNUMBER(B95),B95&gt;=Dashboard!$C$4,B95&lt;=Dashboard!$F$4,A95&lt;&gt;""),N(BD95)+N(AU95)/100+ROW()/10^9,"")</f>
        <v/>
      </c>
    </row>
    <row r="96" customFormat="false" ht="15" hidden="false" customHeight="false" outlineLevel="0" collapsed="false">
      <c r="A96" s="24" t="str">
        <f aca="false">IF(OR(B96="",G96="",H96=""),"",IFERROR(INDEX(Settings!$E$5:$E$49,MATCH(G96,Settings!$D$5:$D$49,0))&amp;INDEX(Settings!$H$5:$H$47,MATCH(H96,Settings!$G$5:$G$47,0))&amp;"-"&amp;TEXT(B96,"yymmdd")&amp;"-"&amp;IF(C96="","0000",TEXT(C96,"hhmm")),"CHECK LISTS"))</f>
        <v/>
      </c>
      <c r="B96" s="39"/>
      <c r="C96" s="40"/>
      <c r="D96" s="24" t="str">
        <f aca="false">IF(B96="","",TEXT(B96,"ddd"))</f>
        <v/>
      </c>
      <c r="E96" s="27" t="str">
        <f aca="false">IF(B96="","",B96-WEEKDAY(B96,3))</f>
        <v/>
      </c>
      <c r="F96" s="24" t="str">
        <f aca="false">IF(B96="","",TEXT(B96,"yyyy-mm"))</f>
        <v/>
      </c>
      <c r="G96" s="29"/>
      <c r="H96" s="29"/>
      <c r="I96" s="29"/>
      <c r="J96" s="29"/>
      <c r="K96" s="29"/>
      <c r="L96" s="29"/>
      <c r="M96" s="29"/>
      <c r="N96" s="29"/>
      <c r="O96" s="29"/>
      <c r="P96" s="29"/>
      <c r="Q96" s="30"/>
      <c r="R96" s="29"/>
      <c r="S96" s="32"/>
      <c r="T96" s="29"/>
      <c r="U96" s="29"/>
      <c r="V96" s="24" t="str">
        <f aca="false">IF(A96="","",IFERROR(INDEX(Settings!$F$5:$F$49,MATCH(G96,Settings!$D$5:$D$49,0)),""))</f>
        <v/>
      </c>
      <c r="W96" s="24" t="str">
        <f aca="false">IF(A96="","",IF(OR(P96="",P96="Organic"),"social","paid_social"))</f>
        <v/>
      </c>
      <c r="X96" s="24" t="str">
        <f aca="false">IF(A96="","",IF(K96&lt;&gt;"",IFERROR(INDEX('Case Studies'!$C$5:$C$54,MATCH(K96,'Case Studies'!$B$5:$B$54,0))&amp;"","case-study"),IF(J96&lt;&gt;"",IFERROR(INDEX(Settings!$J$5:$J$55,MATCH(J96,Settings!$I$5:$I$55,0)),"general"),"general")))</f>
        <v/>
      </c>
      <c r="Y96" s="24" t="str">
        <f aca="false">IF(A96="","",LOWER(A96))</f>
        <v/>
      </c>
      <c r="Z96" s="24" t="str">
        <f aca="false">IF(A96="","",IF(T96="",Settings!$B$5,T96)&amp;IF(ISNUMBER(FIND("?",IF(T96="",Settings!$B$5,T96))),"&amp;","?")&amp;"utm_source="&amp;V96&amp;"&amp;utm_medium="&amp;W96&amp;"&amp;utm_campaign="&amp;X96&amp;"&amp;utm_content="&amp;Y96)</f>
        <v/>
      </c>
      <c r="AA96" s="29"/>
      <c r="AB96" s="39"/>
      <c r="AC96" s="32"/>
      <c r="AD96" s="32"/>
      <c r="AE96" s="32"/>
      <c r="AF96" s="32"/>
      <c r="AG96" s="32"/>
      <c r="AH96" s="32"/>
      <c r="AI96" s="32"/>
      <c r="AJ96" s="32"/>
      <c r="AK96" s="32"/>
      <c r="AL96" s="32"/>
      <c r="AM96" s="32"/>
      <c r="AN96" s="32"/>
      <c r="AO96" s="33" t="str">
        <f aca="false">IF(A96="","",IF(AD96&lt;&gt;"",AD96,IF(AC96&lt;&gt;"",AC96,"")))</f>
        <v/>
      </c>
      <c r="AP96" s="24" t="str">
        <f aca="false">IF(AO96="","",IF(AD96&lt;&gt;"","Reported reach","Impressions (proxy)"))</f>
        <v/>
      </c>
      <c r="AQ96" s="34" t="str">
        <f aca="false">IF(OR(AO96="",N(S96)=0),"",AO96/S96)</f>
        <v/>
      </c>
      <c r="AR96" s="33" t="str">
        <f aca="false">IF(A96="","",IF(COUNT(AF96:AJ96)=0,"",SUM(AF96:AJ96)))</f>
        <v/>
      </c>
      <c r="AS96" s="34" t="str">
        <f aca="false">IF(OR(AR96="",N(AO96)=0),"",AR96/AO96)</f>
        <v/>
      </c>
      <c r="AT96" s="34" t="str">
        <f aca="false">IF(OR(AR96="",N(AC96)=0),"",AR96/AC96)</f>
        <v/>
      </c>
      <c r="AU96" s="34" t="str">
        <f aca="false">IF(OR(AR96="",N(S96)=0),"",AR96/S96)</f>
        <v/>
      </c>
      <c r="AV96" s="34" t="str">
        <f aca="false">IF(OR(AJ96="",N(AC96)=0),"",AJ96/AC96)</f>
        <v/>
      </c>
      <c r="AW96" s="34" t="str">
        <f aca="false">IF(OR(AH96="",N(AO96)=0),"",AH96/AO96)</f>
        <v/>
      </c>
      <c r="AX96" s="35" t="str">
        <f aca="false">IF(OR(AR96="",N(AO96)=0),"",(N(AF96)*Settings!$B$6+N(AG96)*Settings!$B$7+N(AH96)*Settings!$B$8+N(AI96)*Settings!$B$9+N(AJ96)*Settings!$B$10)/AO96*1000)</f>
        <v/>
      </c>
      <c r="AY96" s="36" t="str">
        <f aca="false">IF(AS96="","",IFERROR(AS96/AVERAGEIFS('Post Tracker'!$AS$5:$AS$1004,'Post Tracker'!$G$5:$G$1004,G96),""))</f>
        <v/>
      </c>
      <c r="AZ96" s="32"/>
      <c r="BA96" s="32"/>
      <c r="BB96" s="32"/>
      <c r="BC96" s="32"/>
      <c r="BD96" s="33" t="str">
        <f aca="false">IF(A96="","",COUNTIFS('Demo Pipeline'!$Q$5:$Q$504,A96))</f>
        <v/>
      </c>
      <c r="BE96" s="33" t="str">
        <f aca="false">IF(A96="","",COUNTIFS('Demo Pipeline'!$Q$5:$Q$504,A96,'Demo Pipeline'!$W$5:$W$504,"Attended"))</f>
        <v/>
      </c>
      <c r="BF96" s="33" t="str">
        <f aca="false">IF(A96="","",COUNTIFS('Demo Pipeline'!$Q$5:$Q$504,A96,'Demo Pipeline'!$X$5:$X$504,"Yes"))</f>
        <v/>
      </c>
      <c r="BG96" s="33" t="str">
        <f aca="false">IF(A96="","",COUNTIFS('Demo Pipeline'!$Q$5:$Q$504,A96,'Demo Pipeline'!$Y$5:$Y$504,"Closed Won"))</f>
        <v/>
      </c>
      <c r="BH96" s="37" t="str">
        <f aca="false">IF(A96="","",SUMIFS('Demo Pipeline'!$Z$5:$Z$504,'Demo Pipeline'!$Q$5:$Q$504,A96))</f>
        <v/>
      </c>
      <c r="BI96" s="34" t="str">
        <f aca="false">IF(OR(AZ96="",N(AJ96)=0),"",AZ96/AJ96)</f>
        <v/>
      </c>
      <c r="BJ96" s="34" t="str">
        <f aca="false">IF(OR(BB96="",N(AZ96)=0),"",BB96/AZ96)</f>
        <v/>
      </c>
      <c r="BK96" s="34" t="str">
        <f aca="false">IF(OR(A96="",N(BB96)=0),"",BD96/BB96)</f>
        <v/>
      </c>
      <c r="BL96" s="34" t="str">
        <f aca="false">IF(OR(A96="",N(AZ96)=0),"",BD96/AZ96)</f>
        <v/>
      </c>
      <c r="BM96" s="37" t="str">
        <f aca="false">IF(OR(N(Q96)=0,N(BD96)=0),"",Q96/BD96)</f>
        <v/>
      </c>
      <c r="BN96" s="29"/>
      <c r="BO96" s="29"/>
      <c r="BP96" s="33" t="str">
        <f aca="false">IF(OR(AR96="",N(AO96)=0),"",AR96)</f>
        <v/>
      </c>
      <c r="BQ96" s="33" t="str">
        <f aca="false">IF(OR(AR96="",N(S96)=0),"",S96)</f>
        <v/>
      </c>
      <c r="BR96" s="38" t="str">
        <f aca="false">IF(AND(ISNUMBER(B96),B96&gt;=Dashboard!$C$4,B96&lt;=Dashboard!$F$4,ISNUMBER(AU96)),AU96+ROW()/10^9,"")</f>
        <v/>
      </c>
      <c r="BS96" s="38" t="str">
        <f aca="false">IF(AND(ISNUMBER(B96),B96&gt;=Dashboard!$C$4,B96&lt;=Dashboard!$F$4,A96&lt;&gt;""),N(BD96)+N(AU96)/100+ROW()/10^9,"")</f>
        <v/>
      </c>
    </row>
    <row r="97" customFormat="false" ht="15" hidden="false" customHeight="false" outlineLevel="0" collapsed="false">
      <c r="A97" s="24" t="str">
        <f aca="false">IF(OR(B97="",G97="",H97=""),"",IFERROR(INDEX(Settings!$E$5:$E$49,MATCH(G97,Settings!$D$5:$D$49,0))&amp;INDEX(Settings!$H$5:$H$47,MATCH(H97,Settings!$G$5:$G$47,0))&amp;"-"&amp;TEXT(B97,"yymmdd")&amp;"-"&amp;IF(C97="","0000",TEXT(C97,"hhmm")),"CHECK LISTS"))</f>
        <v/>
      </c>
      <c r="B97" s="39"/>
      <c r="C97" s="40"/>
      <c r="D97" s="24" t="str">
        <f aca="false">IF(B97="","",TEXT(B97,"ddd"))</f>
        <v/>
      </c>
      <c r="E97" s="27" t="str">
        <f aca="false">IF(B97="","",B97-WEEKDAY(B97,3))</f>
        <v/>
      </c>
      <c r="F97" s="24" t="str">
        <f aca="false">IF(B97="","",TEXT(B97,"yyyy-mm"))</f>
        <v/>
      </c>
      <c r="G97" s="29"/>
      <c r="H97" s="29"/>
      <c r="I97" s="29"/>
      <c r="J97" s="29"/>
      <c r="K97" s="29"/>
      <c r="L97" s="29"/>
      <c r="M97" s="29"/>
      <c r="N97" s="29"/>
      <c r="O97" s="29"/>
      <c r="P97" s="29"/>
      <c r="Q97" s="30"/>
      <c r="R97" s="29"/>
      <c r="S97" s="32"/>
      <c r="T97" s="29"/>
      <c r="U97" s="29"/>
      <c r="V97" s="24" t="str">
        <f aca="false">IF(A97="","",IFERROR(INDEX(Settings!$F$5:$F$49,MATCH(G97,Settings!$D$5:$D$49,0)),""))</f>
        <v/>
      </c>
      <c r="W97" s="24" t="str">
        <f aca="false">IF(A97="","",IF(OR(P97="",P97="Organic"),"social","paid_social"))</f>
        <v/>
      </c>
      <c r="X97" s="24" t="str">
        <f aca="false">IF(A97="","",IF(K97&lt;&gt;"",IFERROR(INDEX('Case Studies'!$C$5:$C$54,MATCH(K97,'Case Studies'!$B$5:$B$54,0))&amp;"","case-study"),IF(J97&lt;&gt;"",IFERROR(INDEX(Settings!$J$5:$J$55,MATCH(J97,Settings!$I$5:$I$55,0)),"general"),"general")))</f>
        <v/>
      </c>
      <c r="Y97" s="24" t="str">
        <f aca="false">IF(A97="","",LOWER(A97))</f>
        <v/>
      </c>
      <c r="Z97" s="24" t="str">
        <f aca="false">IF(A97="","",IF(T97="",Settings!$B$5,T97)&amp;IF(ISNUMBER(FIND("?",IF(T97="",Settings!$B$5,T97))),"&amp;","?")&amp;"utm_source="&amp;V97&amp;"&amp;utm_medium="&amp;W97&amp;"&amp;utm_campaign="&amp;X97&amp;"&amp;utm_content="&amp;Y97)</f>
        <v/>
      </c>
      <c r="AA97" s="29"/>
      <c r="AB97" s="39"/>
      <c r="AC97" s="32"/>
      <c r="AD97" s="32"/>
      <c r="AE97" s="32"/>
      <c r="AF97" s="32"/>
      <c r="AG97" s="32"/>
      <c r="AH97" s="32"/>
      <c r="AI97" s="32"/>
      <c r="AJ97" s="32"/>
      <c r="AK97" s="32"/>
      <c r="AL97" s="32"/>
      <c r="AM97" s="32"/>
      <c r="AN97" s="32"/>
      <c r="AO97" s="33" t="str">
        <f aca="false">IF(A97="","",IF(AD97&lt;&gt;"",AD97,IF(AC97&lt;&gt;"",AC97,"")))</f>
        <v/>
      </c>
      <c r="AP97" s="24" t="str">
        <f aca="false">IF(AO97="","",IF(AD97&lt;&gt;"","Reported reach","Impressions (proxy)"))</f>
        <v/>
      </c>
      <c r="AQ97" s="34" t="str">
        <f aca="false">IF(OR(AO97="",N(S97)=0),"",AO97/S97)</f>
        <v/>
      </c>
      <c r="AR97" s="33" t="str">
        <f aca="false">IF(A97="","",IF(COUNT(AF97:AJ97)=0,"",SUM(AF97:AJ97)))</f>
        <v/>
      </c>
      <c r="AS97" s="34" t="str">
        <f aca="false">IF(OR(AR97="",N(AO97)=0),"",AR97/AO97)</f>
        <v/>
      </c>
      <c r="AT97" s="34" t="str">
        <f aca="false">IF(OR(AR97="",N(AC97)=0),"",AR97/AC97)</f>
        <v/>
      </c>
      <c r="AU97" s="34" t="str">
        <f aca="false">IF(OR(AR97="",N(S97)=0),"",AR97/S97)</f>
        <v/>
      </c>
      <c r="AV97" s="34" t="str">
        <f aca="false">IF(OR(AJ97="",N(AC97)=0),"",AJ97/AC97)</f>
        <v/>
      </c>
      <c r="AW97" s="34" t="str">
        <f aca="false">IF(OR(AH97="",N(AO97)=0),"",AH97/AO97)</f>
        <v/>
      </c>
      <c r="AX97" s="35" t="str">
        <f aca="false">IF(OR(AR97="",N(AO97)=0),"",(N(AF97)*Settings!$B$6+N(AG97)*Settings!$B$7+N(AH97)*Settings!$B$8+N(AI97)*Settings!$B$9+N(AJ97)*Settings!$B$10)/AO97*1000)</f>
        <v/>
      </c>
      <c r="AY97" s="36" t="str">
        <f aca="false">IF(AS97="","",IFERROR(AS97/AVERAGEIFS('Post Tracker'!$AS$5:$AS$1004,'Post Tracker'!$G$5:$G$1004,G97),""))</f>
        <v/>
      </c>
      <c r="AZ97" s="32"/>
      <c r="BA97" s="32"/>
      <c r="BB97" s="32"/>
      <c r="BC97" s="32"/>
      <c r="BD97" s="33" t="str">
        <f aca="false">IF(A97="","",COUNTIFS('Demo Pipeline'!$Q$5:$Q$504,A97))</f>
        <v/>
      </c>
      <c r="BE97" s="33" t="str">
        <f aca="false">IF(A97="","",COUNTIFS('Demo Pipeline'!$Q$5:$Q$504,A97,'Demo Pipeline'!$W$5:$W$504,"Attended"))</f>
        <v/>
      </c>
      <c r="BF97" s="33" t="str">
        <f aca="false">IF(A97="","",COUNTIFS('Demo Pipeline'!$Q$5:$Q$504,A97,'Demo Pipeline'!$X$5:$X$504,"Yes"))</f>
        <v/>
      </c>
      <c r="BG97" s="33" t="str">
        <f aca="false">IF(A97="","",COUNTIFS('Demo Pipeline'!$Q$5:$Q$504,A97,'Demo Pipeline'!$Y$5:$Y$504,"Closed Won"))</f>
        <v/>
      </c>
      <c r="BH97" s="37" t="str">
        <f aca="false">IF(A97="","",SUMIFS('Demo Pipeline'!$Z$5:$Z$504,'Demo Pipeline'!$Q$5:$Q$504,A97))</f>
        <v/>
      </c>
      <c r="BI97" s="34" t="str">
        <f aca="false">IF(OR(AZ97="",N(AJ97)=0),"",AZ97/AJ97)</f>
        <v/>
      </c>
      <c r="BJ97" s="34" t="str">
        <f aca="false">IF(OR(BB97="",N(AZ97)=0),"",BB97/AZ97)</f>
        <v/>
      </c>
      <c r="BK97" s="34" t="str">
        <f aca="false">IF(OR(A97="",N(BB97)=0),"",BD97/BB97)</f>
        <v/>
      </c>
      <c r="BL97" s="34" t="str">
        <f aca="false">IF(OR(A97="",N(AZ97)=0),"",BD97/AZ97)</f>
        <v/>
      </c>
      <c r="BM97" s="37" t="str">
        <f aca="false">IF(OR(N(Q97)=0,N(BD97)=0),"",Q97/BD97)</f>
        <v/>
      </c>
      <c r="BN97" s="29"/>
      <c r="BO97" s="29"/>
      <c r="BP97" s="33" t="str">
        <f aca="false">IF(OR(AR97="",N(AO97)=0),"",AR97)</f>
        <v/>
      </c>
      <c r="BQ97" s="33" t="str">
        <f aca="false">IF(OR(AR97="",N(S97)=0),"",S97)</f>
        <v/>
      </c>
      <c r="BR97" s="38" t="str">
        <f aca="false">IF(AND(ISNUMBER(B97),B97&gt;=Dashboard!$C$4,B97&lt;=Dashboard!$F$4,ISNUMBER(AU97)),AU97+ROW()/10^9,"")</f>
        <v/>
      </c>
      <c r="BS97" s="38" t="str">
        <f aca="false">IF(AND(ISNUMBER(B97),B97&gt;=Dashboard!$C$4,B97&lt;=Dashboard!$F$4,A97&lt;&gt;""),N(BD97)+N(AU97)/100+ROW()/10^9,"")</f>
        <v/>
      </c>
    </row>
    <row r="98" customFormat="false" ht="15" hidden="false" customHeight="false" outlineLevel="0" collapsed="false">
      <c r="A98" s="24" t="str">
        <f aca="false">IF(OR(B98="",G98="",H98=""),"",IFERROR(INDEX(Settings!$E$5:$E$49,MATCH(G98,Settings!$D$5:$D$49,0))&amp;INDEX(Settings!$H$5:$H$47,MATCH(H98,Settings!$G$5:$G$47,0))&amp;"-"&amp;TEXT(B98,"yymmdd")&amp;"-"&amp;IF(C98="","0000",TEXT(C98,"hhmm")),"CHECK LISTS"))</f>
        <v/>
      </c>
      <c r="B98" s="39"/>
      <c r="C98" s="40"/>
      <c r="D98" s="24" t="str">
        <f aca="false">IF(B98="","",TEXT(B98,"ddd"))</f>
        <v/>
      </c>
      <c r="E98" s="27" t="str">
        <f aca="false">IF(B98="","",B98-WEEKDAY(B98,3))</f>
        <v/>
      </c>
      <c r="F98" s="24" t="str">
        <f aca="false">IF(B98="","",TEXT(B98,"yyyy-mm"))</f>
        <v/>
      </c>
      <c r="G98" s="29"/>
      <c r="H98" s="29"/>
      <c r="I98" s="29"/>
      <c r="J98" s="29"/>
      <c r="K98" s="29"/>
      <c r="L98" s="29"/>
      <c r="M98" s="29"/>
      <c r="N98" s="29"/>
      <c r="O98" s="29"/>
      <c r="P98" s="29"/>
      <c r="Q98" s="30"/>
      <c r="R98" s="29"/>
      <c r="S98" s="32"/>
      <c r="T98" s="29"/>
      <c r="U98" s="29"/>
      <c r="V98" s="24" t="str">
        <f aca="false">IF(A98="","",IFERROR(INDEX(Settings!$F$5:$F$49,MATCH(G98,Settings!$D$5:$D$49,0)),""))</f>
        <v/>
      </c>
      <c r="W98" s="24" t="str">
        <f aca="false">IF(A98="","",IF(OR(P98="",P98="Organic"),"social","paid_social"))</f>
        <v/>
      </c>
      <c r="X98" s="24" t="str">
        <f aca="false">IF(A98="","",IF(K98&lt;&gt;"",IFERROR(INDEX('Case Studies'!$C$5:$C$54,MATCH(K98,'Case Studies'!$B$5:$B$54,0))&amp;"","case-study"),IF(J98&lt;&gt;"",IFERROR(INDEX(Settings!$J$5:$J$55,MATCH(J98,Settings!$I$5:$I$55,0)),"general"),"general")))</f>
        <v/>
      </c>
      <c r="Y98" s="24" t="str">
        <f aca="false">IF(A98="","",LOWER(A98))</f>
        <v/>
      </c>
      <c r="Z98" s="24" t="str">
        <f aca="false">IF(A98="","",IF(T98="",Settings!$B$5,T98)&amp;IF(ISNUMBER(FIND("?",IF(T98="",Settings!$B$5,T98))),"&amp;","?")&amp;"utm_source="&amp;V98&amp;"&amp;utm_medium="&amp;W98&amp;"&amp;utm_campaign="&amp;X98&amp;"&amp;utm_content="&amp;Y98)</f>
        <v/>
      </c>
      <c r="AA98" s="29"/>
      <c r="AB98" s="39"/>
      <c r="AC98" s="32"/>
      <c r="AD98" s="32"/>
      <c r="AE98" s="32"/>
      <c r="AF98" s="32"/>
      <c r="AG98" s="32"/>
      <c r="AH98" s="32"/>
      <c r="AI98" s="32"/>
      <c r="AJ98" s="32"/>
      <c r="AK98" s="32"/>
      <c r="AL98" s="32"/>
      <c r="AM98" s="32"/>
      <c r="AN98" s="32"/>
      <c r="AO98" s="33" t="str">
        <f aca="false">IF(A98="","",IF(AD98&lt;&gt;"",AD98,IF(AC98&lt;&gt;"",AC98,"")))</f>
        <v/>
      </c>
      <c r="AP98" s="24" t="str">
        <f aca="false">IF(AO98="","",IF(AD98&lt;&gt;"","Reported reach","Impressions (proxy)"))</f>
        <v/>
      </c>
      <c r="AQ98" s="34" t="str">
        <f aca="false">IF(OR(AO98="",N(S98)=0),"",AO98/S98)</f>
        <v/>
      </c>
      <c r="AR98" s="33" t="str">
        <f aca="false">IF(A98="","",IF(COUNT(AF98:AJ98)=0,"",SUM(AF98:AJ98)))</f>
        <v/>
      </c>
      <c r="AS98" s="34" t="str">
        <f aca="false">IF(OR(AR98="",N(AO98)=0),"",AR98/AO98)</f>
        <v/>
      </c>
      <c r="AT98" s="34" t="str">
        <f aca="false">IF(OR(AR98="",N(AC98)=0),"",AR98/AC98)</f>
        <v/>
      </c>
      <c r="AU98" s="34" t="str">
        <f aca="false">IF(OR(AR98="",N(S98)=0),"",AR98/S98)</f>
        <v/>
      </c>
      <c r="AV98" s="34" t="str">
        <f aca="false">IF(OR(AJ98="",N(AC98)=0),"",AJ98/AC98)</f>
        <v/>
      </c>
      <c r="AW98" s="34" t="str">
        <f aca="false">IF(OR(AH98="",N(AO98)=0),"",AH98/AO98)</f>
        <v/>
      </c>
      <c r="AX98" s="35" t="str">
        <f aca="false">IF(OR(AR98="",N(AO98)=0),"",(N(AF98)*Settings!$B$6+N(AG98)*Settings!$B$7+N(AH98)*Settings!$B$8+N(AI98)*Settings!$B$9+N(AJ98)*Settings!$B$10)/AO98*1000)</f>
        <v/>
      </c>
      <c r="AY98" s="36" t="str">
        <f aca="false">IF(AS98="","",IFERROR(AS98/AVERAGEIFS('Post Tracker'!$AS$5:$AS$1004,'Post Tracker'!$G$5:$G$1004,G98),""))</f>
        <v/>
      </c>
      <c r="AZ98" s="32"/>
      <c r="BA98" s="32"/>
      <c r="BB98" s="32"/>
      <c r="BC98" s="32"/>
      <c r="BD98" s="33" t="str">
        <f aca="false">IF(A98="","",COUNTIFS('Demo Pipeline'!$Q$5:$Q$504,A98))</f>
        <v/>
      </c>
      <c r="BE98" s="33" t="str">
        <f aca="false">IF(A98="","",COUNTIFS('Demo Pipeline'!$Q$5:$Q$504,A98,'Demo Pipeline'!$W$5:$W$504,"Attended"))</f>
        <v/>
      </c>
      <c r="BF98" s="33" t="str">
        <f aca="false">IF(A98="","",COUNTIFS('Demo Pipeline'!$Q$5:$Q$504,A98,'Demo Pipeline'!$X$5:$X$504,"Yes"))</f>
        <v/>
      </c>
      <c r="BG98" s="33" t="str">
        <f aca="false">IF(A98="","",COUNTIFS('Demo Pipeline'!$Q$5:$Q$504,A98,'Demo Pipeline'!$Y$5:$Y$504,"Closed Won"))</f>
        <v/>
      </c>
      <c r="BH98" s="37" t="str">
        <f aca="false">IF(A98="","",SUMIFS('Demo Pipeline'!$Z$5:$Z$504,'Demo Pipeline'!$Q$5:$Q$504,A98))</f>
        <v/>
      </c>
      <c r="BI98" s="34" t="str">
        <f aca="false">IF(OR(AZ98="",N(AJ98)=0),"",AZ98/AJ98)</f>
        <v/>
      </c>
      <c r="BJ98" s="34" t="str">
        <f aca="false">IF(OR(BB98="",N(AZ98)=0),"",BB98/AZ98)</f>
        <v/>
      </c>
      <c r="BK98" s="34" t="str">
        <f aca="false">IF(OR(A98="",N(BB98)=0),"",BD98/BB98)</f>
        <v/>
      </c>
      <c r="BL98" s="34" t="str">
        <f aca="false">IF(OR(A98="",N(AZ98)=0),"",BD98/AZ98)</f>
        <v/>
      </c>
      <c r="BM98" s="37" t="str">
        <f aca="false">IF(OR(N(Q98)=0,N(BD98)=0),"",Q98/BD98)</f>
        <v/>
      </c>
      <c r="BN98" s="29"/>
      <c r="BO98" s="29"/>
      <c r="BP98" s="33" t="str">
        <f aca="false">IF(OR(AR98="",N(AO98)=0),"",AR98)</f>
        <v/>
      </c>
      <c r="BQ98" s="33" t="str">
        <f aca="false">IF(OR(AR98="",N(S98)=0),"",S98)</f>
        <v/>
      </c>
      <c r="BR98" s="38" t="str">
        <f aca="false">IF(AND(ISNUMBER(B98),B98&gt;=Dashboard!$C$4,B98&lt;=Dashboard!$F$4,ISNUMBER(AU98)),AU98+ROW()/10^9,"")</f>
        <v/>
      </c>
      <c r="BS98" s="38" t="str">
        <f aca="false">IF(AND(ISNUMBER(B98),B98&gt;=Dashboard!$C$4,B98&lt;=Dashboard!$F$4,A98&lt;&gt;""),N(BD98)+N(AU98)/100+ROW()/10^9,"")</f>
        <v/>
      </c>
    </row>
    <row r="99" customFormat="false" ht="15" hidden="false" customHeight="false" outlineLevel="0" collapsed="false">
      <c r="A99" s="24" t="str">
        <f aca="false">IF(OR(B99="",G99="",H99=""),"",IFERROR(INDEX(Settings!$E$5:$E$49,MATCH(G99,Settings!$D$5:$D$49,0))&amp;INDEX(Settings!$H$5:$H$47,MATCH(H99,Settings!$G$5:$G$47,0))&amp;"-"&amp;TEXT(B99,"yymmdd")&amp;"-"&amp;IF(C99="","0000",TEXT(C99,"hhmm")),"CHECK LISTS"))</f>
        <v/>
      </c>
      <c r="B99" s="39"/>
      <c r="C99" s="40"/>
      <c r="D99" s="24" t="str">
        <f aca="false">IF(B99="","",TEXT(B99,"ddd"))</f>
        <v/>
      </c>
      <c r="E99" s="27" t="str">
        <f aca="false">IF(B99="","",B99-WEEKDAY(B99,3))</f>
        <v/>
      </c>
      <c r="F99" s="24" t="str">
        <f aca="false">IF(B99="","",TEXT(B99,"yyyy-mm"))</f>
        <v/>
      </c>
      <c r="G99" s="29"/>
      <c r="H99" s="29"/>
      <c r="I99" s="29"/>
      <c r="J99" s="29"/>
      <c r="K99" s="29"/>
      <c r="L99" s="29"/>
      <c r="M99" s="29"/>
      <c r="N99" s="29"/>
      <c r="O99" s="29"/>
      <c r="P99" s="29"/>
      <c r="Q99" s="30"/>
      <c r="R99" s="29"/>
      <c r="S99" s="32"/>
      <c r="T99" s="29"/>
      <c r="U99" s="29"/>
      <c r="V99" s="24" t="str">
        <f aca="false">IF(A99="","",IFERROR(INDEX(Settings!$F$5:$F$49,MATCH(G99,Settings!$D$5:$D$49,0)),""))</f>
        <v/>
      </c>
      <c r="W99" s="24" t="str">
        <f aca="false">IF(A99="","",IF(OR(P99="",P99="Organic"),"social","paid_social"))</f>
        <v/>
      </c>
      <c r="X99" s="24" t="str">
        <f aca="false">IF(A99="","",IF(K99&lt;&gt;"",IFERROR(INDEX('Case Studies'!$C$5:$C$54,MATCH(K99,'Case Studies'!$B$5:$B$54,0))&amp;"","case-study"),IF(J99&lt;&gt;"",IFERROR(INDEX(Settings!$J$5:$J$55,MATCH(J99,Settings!$I$5:$I$55,0)),"general"),"general")))</f>
        <v/>
      </c>
      <c r="Y99" s="24" t="str">
        <f aca="false">IF(A99="","",LOWER(A99))</f>
        <v/>
      </c>
      <c r="Z99" s="24" t="str">
        <f aca="false">IF(A99="","",IF(T99="",Settings!$B$5,T99)&amp;IF(ISNUMBER(FIND("?",IF(T99="",Settings!$B$5,T99))),"&amp;","?")&amp;"utm_source="&amp;V99&amp;"&amp;utm_medium="&amp;W99&amp;"&amp;utm_campaign="&amp;X99&amp;"&amp;utm_content="&amp;Y99)</f>
        <v/>
      </c>
      <c r="AA99" s="29"/>
      <c r="AB99" s="39"/>
      <c r="AC99" s="32"/>
      <c r="AD99" s="32"/>
      <c r="AE99" s="32"/>
      <c r="AF99" s="32"/>
      <c r="AG99" s="32"/>
      <c r="AH99" s="32"/>
      <c r="AI99" s="32"/>
      <c r="AJ99" s="32"/>
      <c r="AK99" s="32"/>
      <c r="AL99" s="32"/>
      <c r="AM99" s="32"/>
      <c r="AN99" s="32"/>
      <c r="AO99" s="33" t="str">
        <f aca="false">IF(A99="","",IF(AD99&lt;&gt;"",AD99,IF(AC99&lt;&gt;"",AC99,"")))</f>
        <v/>
      </c>
      <c r="AP99" s="24" t="str">
        <f aca="false">IF(AO99="","",IF(AD99&lt;&gt;"","Reported reach","Impressions (proxy)"))</f>
        <v/>
      </c>
      <c r="AQ99" s="34" t="str">
        <f aca="false">IF(OR(AO99="",N(S99)=0),"",AO99/S99)</f>
        <v/>
      </c>
      <c r="AR99" s="33" t="str">
        <f aca="false">IF(A99="","",IF(COUNT(AF99:AJ99)=0,"",SUM(AF99:AJ99)))</f>
        <v/>
      </c>
      <c r="AS99" s="34" t="str">
        <f aca="false">IF(OR(AR99="",N(AO99)=0),"",AR99/AO99)</f>
        <v/>
      </c>
      <c r="AT99" s="34" t="str">
        <f aca="false">IF(OR(AR99="",N(AC99)=0),"",AR99/AC99)</f>
        <v/>
      </c>
      <c r="AU99" s="34" t="str">
        <f aca="false">IF(OR(AR99="",N(S99)=0),"",AR99/S99)</f>
        <v/>
      </c>
      <c r="AV99" s="34" t="str">
        <f aca="false">IF(OR(AJ99="",N(AC99)=0),"",AJ99/AC99)</f>
        <v/>
      </c>
      <c r="AW99" s="34" t="str">
        <f aca="false">IF(OR(AH99="",N(AO99)=0),"",AH99/AO99)</f>
        <v/>
      </c>
      <c r="AX99" s="35" t="str">
        <f aca="false">IF(OR(AR99="",N(AO99)=0),"",(N(AF99)*Settings!$B$6+N(AG99)*Settings!$B$7+N(AH99)*Settings!$B$8+N(AI99)*Settings!$B$9+N(AJ99)*Settings!$B$10)/AO99*1000)</f>
        <v/>
      </c>
      <c r="AY99" s="36" t="str">
        <f aca="false">IF(AS99="","",IFERROR(AS99/AVERAGEIFS('Post Tracker'!$AS$5:$AS$1004,'Post Tracker'!$G$5:$G$1004,G99),""))</f>
        <v/>
      </c>
      <c r="AZ99" s="32"/>
      <c r="BA99" s="32"/>
      <c r="BB99" s="32"/>
      <c r="BC99" s="32"/>
      <c r="BD99" s="33" t="str">
        <f aca="false">IF(A99="","",COUNTIFS('Demo Pipeline'!$Q$5:$Q$504,A99))</f>
        <v/>
      </c>
      <c r="BE99" s="33" t="str">
        <f aca="false">IF(A99="","",COUNTIFS('Demo Pipeline'!$Q$5:$Q$504,A99,'Demo Pipeline'!$W$5:$W$504,"Attended"))</f>
        <v/>
      </c>
      <c r="BF99" s="33" t="str">
        <f aca="false">IF(A99="","",COUNTIFS('Demo Pipeline'!$Q$5:$Q$504,A99,'Demo Pipeline'!$X$5:$X$504,"Yes"))</f>
        <v/>
      </c>
      <c r="BG99" s="33" t="str">
        <f aca="false">IF(A99="","",COUNTIFS('Demo Pipeline'!$Q$5:$Q$504,A99,'Demo Pipeline'!$Y$5:$Y$504,"Closed Won"))</f>
        <v/>
      </c>
      <c r="BH99" s="37" t="str">
        <f aca="false">IF(A99="","",SUMIFS('Demo Pipeline'!$Z$5:$Z$504,'Demo Pipeline'!$Q$5:$Q$504,A99))</f>
        <v/>
      </c>
      <c r="BI99" s="34" t="str">
        <f aca="false">IF(OR(AZ99="",N(AJ99)=0),"",AZ99/AJ99)</f>
        <v/>
      </c>
      <c r="BJ99" s="34" t="str">
        <f aca="false">IF(OR(BB99="",N(AZ99)=0),"",BB99/AZ99)</f>
        <v/>
      </c>
      <c r="BK99" s="34" t="str">
        <f aca="false">IF(OR(A99="",N(BB99)=0),"",BD99/BB99)</f>
        <v/>
      </c>
      <c r="BL99" s="34" t="str">
        <f aca="false">IF(OR(A99="",N(AZ99)=0),"",BD99/AZ99)</f>
        <v/>
      </c>
      <c r="BM99" s="37" t="str">
        <f aca="false">IF(OR(N(Q99)=0,N(BD99)=0),"",Q99/BD99)</f>
        <v/>
      </c>
      <c r="BN99" s="29"/>
      <c r="BO99" s="29"/>
      <c r="BP99" s="33" t="str">
        <f aca="false">IF(OR(AR99="",N(AO99)=0),"",AR99)</f>
        <v/>
      </c>
      <c r="BQ99" s="33" t="str">
        <f aca="false">IF(OR(AR99="",N(S99)=0),"",S99)</f>
        <v/>
      </c>
      <c r="BR99" s="38" t="str">
        <f aca="false">IF(AND(ISNUMBER(B99),B99&gt;=Dashboard!$C$4,B99&lt;=Dashboard!$F$4,ISNUMBER(AU99)),AU99+ROW()/10^9,"")</f>
        <v/>
      </c>
      <c r="BS99" s="38" t="str">
        <f aca="false">IF(AND(ISNUMBER(B99),B99&gt;=Dashboard!$C$4,B99&lt;=Dashboard!$F$4,A99&lt;&gt;""),N(BD99)+N(AU99)/100+ROW()/10^9,"")</f>
        <v/>
      </c>
    </row>
    <row r="100" customFormat="false" ht="15" hidden="false" customHeight="false" outlineLevel="0" collapsed="false">
      <c r="A100" s="24" t="str">
        <f aca="false">IF(OR(B100="",G100="",H100=""),"",IFERROR(INDEX(Settings!$E$5:$E$49,MATCH(G100,Settings!$D$5:$D$49,0))&amp;INDEX(Settings!$H$5:$H$47,MATCH(H100,Settings!$G$5:$G$47,0))&amp;"-"&amp;TEXT(B100,"yymmdd")&amp;"-"&amp;IF(C100="","0000",TEXT(C100,"hhmm")),"CHECK LISTS"))</f>
        <v/>
      </c>
      <c r="B100" s="39"/>
      <c r="C100" s="40"/>
      <c r="D100" s="24" t="str">
        <f aca="false">IF(B100="","",TEXT(B100,"ddd"))</f>
        <v/>
      </c>
      <c r="E100" s="27" t="str">
        <f aca="false">IF(B100="","",B100-WEEKDAY(B100,3))</f>
        <v/>
      </c>
      <c r="F100" s="24" t="str">
        <f aca="false">IF(B100="","",TEXT(B100,"yyyy-mm"))</f>
        <v/>
      </c>
      <c r="G100" s="29"/>
      <c r="H100" s="29"/>
      <c r="I100" s="29"/>
      <c r="J100" s="29"/>
      <c r="K100" s="29"/>
      <c r="L100" s="29"/>
      <c r="M100" s="29"/>
      <c r="N100" s="29"/>
      <c r="O100" s="29"/>
      <c r="P100" s="29"/>
      <c r="Q100" s="30"/>
      <c r="R100" s="29"/>
      <c r="S100" s="32"/>
      <c r="T100" s="29"/>
      <c r="U100" s="29"/>
      <c r="V100" s="24" t="str">
        <f aca="false">IF(A100="","",IFERROR(INDEX(Settings!$F$5:$F$49,MATCH(G100,Settings!$D$5:$D$49,0)),""))</f>
        <v/>
      </c>
      <c r="W100" s="24" t="str">
        <f aca="false">IF(A100="","",IF(OR(P100="",P100="Organic"),"social","paid_social"))</f>
        <v/>
      </c>
      <c r="X100" s="24" t="str">
        <f aca="false">IF(A100="","",IF(K100&lt;&gt;"",IFERROR(INDEX('Case Studies'!$C$5:$C$54,MATCH(K100,'Case Studies'!$B$5:$B$54,0))&amp;"","case-study"),IF(J100&lt;&gt;"",IFERROR(INDEX(Settings!$J$5:$J$55,MATCH(J100,Settings!$I$5:$I$55,0)),"general"),"general")))</f>
        <v/>
      </c>
      <c r="Y100" s="24" t="str">
        <f aca="false">IF(A100="","",LOWER(A100))</f>
        <v/>
      </c>
      <c r="Z100" s="24" t="str">
        <f aca="false">IF(A100="","",IF(T100="",Settings!$B$5,T100)&amp;IF(ISNUMBER(FIND("?",IF(T100="",Settings!$B$5,T100))),"&amp;","?")&amp;"utm_source="&amp;V100&amp;"&amp;utm_medium="&amp;W100&amp;"&amp;utm_campaign="&amp;X100&amp;"&amp;utm_content="&amp;Y100)</f>
        <v/>
      </c>
      <c r="AA100" s="29"/>
      <c r="AB100" s="39"/>
      <c r="AC100" s="32"/>
      <c r="AD100" s="32"/>
      <c r="AE100" s="32"/>
      <c r="AF100" s="32"/>
      <c r="AG100" s="32"/>
      <c r="AH100" s="32"/>
      <c r="AI100" s="32"/>
      <c r="AJ100" s="32"/>
      <c r="AK100" s="32"/>
      <c r="AL100" s="32"/>
      <c r="AM100" s="32"/>
      <c r="AN100" s="32"/>
      <c r="AO100" s="33" t="str">
        <f aca="false">IF(A100="","",IF(AD100&lt;&gt;"",AD100,IF(AC100&lt;&gt;"",AC100,"")))</f>
        <v/>
      </c>
      <c r="AP100" s="24" t="str">
        <f aca="false">IF(AO100="","",IF(AD100&lt;&gt;"","Reported reach","Impressions (proxy)"))</f>
        <v/>
      </c>
      <c r="AQ100" s="34" t="str">
        <f aca="false">IF(OR(AO100="",N(S100)=0),"",AO100/S100)</f>
        <v/>
      </c>
      <c r="AR100" s="33" t="str">
        <f aca="false">IF(A100="","",IF(COUNT(AF100:AJ100)=0,"",SUM(AF100:AJ100)))</f>
        <v/>
      </c>
      <c r="AS100" s="34" t="str">
        <f aca="false">IF(OR(AR100="",N(AO100)=0),"",AR100/AO100)</f>
        <v/>
      </c>
      <c r="AT100" s="34" t="str">
        <f aca="false">IF(OR(AR100="",N(AC100)=0),"",AR100/AC100)</f>
        <v/>
      </c>
      <c r="AU100" s="34" t="str">
        <f aca="false">IF(OR(AR100="",N(S100)=0),"",AR100/S100)</f>
        <v/>
      </c>
      <c r="AV100" s="34" t="str">
        <f aca="false">IF(OR(AJ100="",N(AC100)=0),"",AJ100/AC100)</f>
        <v/>
      </c>
      <c r="AW100" s="34" t="str">
        <f aca="false">IF(OR(AH100="",N(AO100)=0),"",AH100/AO100)</f>
        <v/>
      </c>
      <c r="AX100" s="35" t="str">
        <f aca="false">IF(OR(AR100="",N(AO100)=0),"",(N(AF100)*Settings!$B$6+N(AG100)*Settings!$B$7+N(AH100)*Settings!$B$8+N(AI100)*Settings!$B$9+N(AJ100)*Settings!$B$10)/AO100*1000)</f>
        <v/>
      </c>
      <c r="AY100" s="36" t="str">
        <f aca="false">IF(AS100="","",IFERROR(AS100/AVERAGEIFS('Post Tracker'!$AS$5:$AS$1004,'Post Tracker'!$G$5:$G$1004,G100),""))</f>
        <v/>
      </c>
      <c r="AZ100" s="32"/>
      <c r="BA100" s="32"/>
      <c r="BB100" s="32"/>
      <c r="BC100" s="32"/>
      <c r="BD100" s="33" t="str">
        <f aca="false">IF(A100="","",COUNTIFS('Demo Pipeline'!$Q$5:$Q$504,A100))</f>
        <v/>
      </c>
      <c r="BE100" s="33" t="str">
        <f aca="false">IF(A100="","",COUNTIFS('Demo Pipeline'!$Q$5:$Q$504,A100,'Demo Pipeline'!$W$5:$W$504,"Attended"))</f>
        <v/>
      </c>
      <c r="BF100" s="33" t="str">
        <f aca="false">IF(A100="","",COUNTIFS('Demo Pipeline'!$Q$5:$Q$504,A100,'Demo Pipeline'!$X$5:$X$504,"Yes"))</f>
        <v/>
      </c>
      <c r="BG100" s="33" t="str">
        <f aca="false">IF(A100="","",COUNTIFS('Demo Pipeline'!$Q$5:$Q$504,A100,'Demo Pipeline'!$Y$5:$Y$504,"Closed Won"))</f>
        <v/>
      </c>
      <c r="BH100" s="37" t="str">
        <f aca="false">IF(A100="","",SUMIFS('Demo Pipeline'!$Z$5:$Z$504,'Demo Pipeline'!$Q$5:$Q$504,A100))</f>
        <v/>
      </c>
      <c r="BI100" s="34" t="str">
        <f aca="false">IF(OR(AZ100="",N(AJ100)=0),"",AZ100/AJ100)</f>
        <v/>
      </c>
      <c r="BJ100" s="34" t="str">
        <f aca="false">IF(OR(BB100="",N(AZ100)=0),"",BB100/AZ100)</f>
        <v/>
      </c>
      <c r="BK100" s="34" t="str">
        <f aca="false">IF(OR(A100="",N(BB100)=0),"",BD100/BB100)</f>
        <v/>
      </c>
      <c r="BL100" s="34" t="str">
        <f aca="false">IF(OR(A100="",N(AZ100)=0),"",BD100/AZ100)</f>
        <v/>
      </c>
      <c r="BM100" s="37" t="str">
        <f aca="false">IF(OR(N(Q100)=0,N(BD100)=0),"",Q100/BD100)</f>
        <v/>
      </c>
      <c r="BN100" s="29"/>
      <c r="BO100" s="29"/>
      <c r="BP100" s="33" t="str">
        <f aca="false">IF(OR(AR100="",N(AO100)=0),"",AR100)</f>
        <v/>
      </c>
      <c r="BQ100" s="33" t="str">
        <f aca="false">IF(OR(AR100="",N(S100)=0),"",S100)</f>
        <v/>
      </c>
      <c r="BR100" s="38" t="str">
        <f aca="false">IF(AND(ISNUMBER(B100),B100&gt;=Dashboard!$C$4,B100&lt;=Dashboard!$F$4,ISNUMBER(AU100)),AU100+ROW()/10^9,"")</f>
        <v/>
      </c>
      <c r="BS100" s="38" t="str">
        <f aca="false">IF(AND(ISNUMBER(B100),B100&gt;=Dashboard!$C$4,B100&lt;=Dashboard!$F$4,A100&lt;&gt;""),N(BD100)+N(AU100)/100+ROW()/10^9,"")</f>
        <v/>
      </c>
    </row>
    <row r="101" customFormat="false" ht="15" hidden="false" customHeight="false" outlineLevel="0" collapsed="false">
      <c r="A101" s="24" t="str">
        <f aca="false">IF(OR(B101="",G101="",H101=""),"",IFERROR(INDEX(Settings!$E$5:$E$49,MATCH(G101,Settings!$D$5:$D$49,0))&amp;INDEX(Settings!$H$5:$H$47,MATCH(H101,Settings!$G$5:$G$47,0))&amp;"-"&amp;TEXT(B101,"yymmdd")&amp;"-"&amp;IF(C101="","0000",TEXT(C101,"hhmm")),"CHECK LISTS"))</f>
        <v/>
      </c>
      <c r="B101" s="39"/>
      <c r="C101" s="40"/>
      <c r="D101" s="24" t="str">
        <f aca="false">IF(B101="","",TEXT(B101,"ddd"))</f>
        <v/>
      </c>
      <c r="E101" s="27" t="str">
        <f aca="false">IF(B101="","",B101-WEEKDAY(B101,3))</f>
        <v/>
      </c>
      <c r="F101" s="24" t="str">
        <f aca="false">IF(B101="","",TEXT(B101,"yyyy-mm"))</f>
        <v/>
      </c>
      <c r="G101" s="29"/>
      <c r="H101" s="29"/>
      <c r="I101" s="29"/>
      <c r="J101" s="29"/>
      <c r="K101" s="29"/>
      <c r="L101" s="29"/>
      <c r="M101" s="29"/>
      <c r="N101" s="29"/>
      <c r="O101" s="29"/>
      <c r="P101" s="29"/>
      <c r="Q101" s="30"/>
      <c r="R101" s="29"/>
      <c r="S101" s="32"/>
      <c r="T101" s="29"/>
      <c r="U101" s="29"/>
      <c r="V101" s="24" t="str">
        <f aca="false">IF(A101="","",IFERROR(INDEX(Settings!$F$5:$F$49,MATCH(G101,Settings!$D$5:$D$49,0)),""))</f>
        <v/>
      </c>
      <c r="W101" s="24" t="str">
        <f aca="false">IF(A101="","",IF(OR(P101="",P101="Organic"),"social","paid_social"))</f>
        <v/>
      </c>
      <c r="X101" s="24" t="str">
        <f aca="false">IF(A101="","",IF(K101&lt;&gt;"",IFERROR(INDEX('Case Studies'!$C$5:$C$54,MATCH(K101,'Case Studies'!$B$5:$B$54,0))&amp;"","case-study"),IF(J101&lt;&gt;"",IFERROR(INDEX(Settings!$J$5:$J$55,MATCH(J101,Settings!$I$5:$I$55,0)),"general"),"general")))</f>
        <v/>
      </c>
      <c r="Y101" s="24" t="str">
        <f aca="false">IF(A101="","",LOWER(A101))</f>
        <v/>
      </c>
      <c r="Z101" s="24" t="str">
        <f aca="false">IF(A101="","",IF(T101="",Settings!$B$5,T101)&amp;IF(ISNUMBER(FIND("?",IF(T101="",Settings!$B$5,T101))),"&amp;","?")&amp;"utm_source="&amp;V101&amp;"&amp;utm_medium="&amp;W101&amp;"&amp;utm_campaign="&amp;X101&amp;"&amp;utm_content="&amp;Y101)</f>
        <v/>
      </c>
      <c r="AA101" s="29"/>
      <c r="AB101" s="39"/>
      <c r="AC101" s="32"/>
      <c r="AD101" s="32"/>
      <c r="AE101" s="32"/>
      <c r="AF101" s="32"/>
      <c r="AG101" s="32"/>
      <c r="AH101" s="32"/>
      <c r="AI101" s="32"/>
      <c r="AJ101" s="32"/>
      <c r="AK101" s="32"/>
      <c r="AL101" s="32"/>
      <c r="AM101" s="32"/>
      <c r="AN101" s="32"/>
      <c r="AO101" s="33" t="str">
        <f aca="false">IF(A101="","",IF(AD101&lt;&gt;"",AD101,IF(AC101&lt;&gt;"",AC101,"")))</f>
        <v/>
      </c>
      <c r="AP101" s="24" t="str">
        <f aca="false">IF(AO101="","",IF(AD101&lt;&gt;"","Reported reach","Impressions (proxy)"))</f>
        <v/>
      </c>
      <c r="AQ101" s="34" t="str">
        <f aca="false">IF(OR(AO101="",N(S101)=0),"",AO101/S101)</f>
        <v/>
      </c>
      <c r="AR101" s="33" t="str">
        <f aca="false">IF(A101="","",IF(COUNT(AF101:AJ101)=0,"",SUM(AF101:AJ101)))</f>
        <v/>
      </c>
      <c r="AS101" s="34" t="str">
        <f aca="false">IF(OR(AR101="",N(AO101)=0),"",AR101/AO101)</f>
        <v/>
      </c>
      <c r="AT101" s="34" t="str">
        <f aca="false">IF(OR(AR101="",N(AC101)=0),"",AR101/AC101)</f>
        <v/>
      </c>
      <c r="AU101" s="34" t="str">
        <f aca="false">IF(OR(AR101="",N(S101)=0),"",AR101/S101)</f>
        <v/>
      </c>
      <c r="AV101" s="34" t="str">
        <f aca="false">IF(OR(AJ101="",N(AC101)=0),"",AJ101/AC101)</f>
        <v/>
      </c>
      <c r="AW101" s="34" t="str">
        <f aca="false">IF(OR(AH101="",N(AO101)=0),"",AH101/AO101)</f>
        <v/>
      </c>
      <c r="AX101" s="35" t="str">
        <f aca="false">IF(OR(AR101="",N(AO101)=0),"",(N(AF101)*Settings!$B$6+N(AG101)*Settings!$B$7+N(AH101)*Settings!$B$8+N(AI101)*Settings!$B$9+N(AJ101)*Settings!$B$10)/AO101*1000)</f>
        <v/>
      </c>
      <c r="AY101" s="36" t="str">
        <f aca="false">IF(AS101="","",IFERROR(AS101/AVERAGEIFS('Post Tracker'!$AS$5:$AS$1004,'Post Tracker'!$G$5:$G$1004,G101),""))</f>
        <v/>
      </c>
      <c r="AZ101" s="32"/>
      <c r="BA101" s="32"/>
      <c r="BB101" s="32"/>
      <c r="BC101" s="32"/>
      <c r="BD101" s="33" t="str">
        <f aca="false">IF(A101="","",COUNTIFS('Demo Pipeline'!$Q$5:$Q$504,A101))</f>
        <v/>
      </c>
      <c r="BE101" s="33" t="str">
        <f aca="false">IF(A101="","",COUNTIFS('Demo Pipeline'!$Q$5:$Q$504,A101,'Demo Pipeline'!$W$5:$W$504,"Attended"))</f>
        <v/>
      </c>
      <c r="BF101" s="33" t="str">
        <f aca="false">IF(A101="","",COUNTIFS('Demo Pipeline'!$Q$5:$Q$504,A101,'Demo Pipeline'!$X$5:$X$504,"Yes"))</f>
        <v/>
      </c>
      <c r="BG101" s="33" t="str">
        <f aca="false">IF(A101="","",COUNTIFS('Demo Pipeline'!$Q$5:$Q$504,A101,'Demo Pipeline'!$Y$5:$Y$504,"Closed Won"))</f>
        <v/>
      </c>
      <c r="BH101" s="37" t="str">
        <f aca="false">IF(A101="","",SUMIFS('Demo Pipeline'!$Z$5:$Z$504,'Demo Pipeline'!$Q$5:$Q$504,A101))</f>
        <v/>
      </c>
      <c r="BI101" s="34" t="str">
        <f aca="false">IF(OR(AZ101="",N(AJ101)=0),"",AZ101/AJ101)</f>
        <v/>
      </c>
      <c r="BJ101" s="34" t="str">
        <f aca="false">IF(OR(BB101="",N(AZ101)=0),"",BB101/AZ101)</f>
        <v/>
      </c>
      <c r="BK101" s="34" t="str">
        <f aca="false">IF(OR(A101="",N(BB101)=0),"",BD101/BB101)</f>
        <v/>
      </c>
      <c r="BL101" s="34" t="str">
        <f aca="false">IF(OR(A101="",N(AZ101)=0),"",BD101/AZ101)</f>
        <v/>
      </c>
      <c r="BM101" s="37" t="str">
        <f aca="false">IF(OR(N(Q101)=0,N(BD101)=0),"",Q101/BD101)</f>
        <v/>
      </c>
      <c r="BN101" s="29"/>
      <c r="BO101" s="29"/>
      <c r="BP101" s="33" t="str">
        <f aca="false">IF(OR(AR101="",N(AO101)=0),"",AR101)</f>
        <v/>
      </c>
      <c r="BQ101" s="33" t="str">
        <f aca="false">IF(OR(AR101="",N(S101)=0),"",S101)</f>
        <v/>
      </c>
      <c r="BR101" s="38" t="str">
        <f aca="false">IF(AND(ISNUMBER(B101),B101&gt;=Dashboard!$C$4,B101&lt;=Dashboard!$F$4,ISNUMBER(AU101)),AU101+ROW()/10^9,"")</f>
        <v/>
      </c>
      <c r="BS101" s="38" t="str">
        <f aca="false">IF(AND(ISNUMBER(B101),B101&gt;=Dashboard!$C$4,B101&lt;=Dashboard!$F$4,A101&lt;&gt;""),N(BD101)+N(AU101)/100+ROW()/10^9,"")</f>
        <v/>
      </c>
    </row>
    <row r="102" customFormat="false" ht="15" hidden="false" customHeight="false" outlineLevel="0" collapsed="false">
      <c r="A102" s="24" t="str">
        <f aca="false">IF(OR(B102="",G102="",H102=""),"",IFERROR(INDEX(Settings!$E$5:$E$49,MATCH(G102,Settings!$D$5:$D$49,0))&amp;INDEX(Settings!$H$5:$H$47,MATCH(H102,Settings!$G$5:$G$47,0))&amp;"-"&amp;TEXT(B102,"yymmdd")&amp;"-"&amp;IF(C102="","0000",TEXT(C102,"hhmm")),"CHECK LISTS"))</f>
        <v/>
      </c>
      <c r="B102" s="39"/>
      <c r="C102" s="40"/>
      <c r="D102" s="24" t="str">
        <f aca="false">IF(B102="","",TEXT(B102,"ddd"))</f>
        <v/>
      </c>
      <c r="E102" s="27" t="str">
        <f aca="false">IF(B102="","",B102-WEEKDAY(B102,3))</f>
        <v/>
      </c>
      <c r="F102" s="24" t="str">
        <f aca="false">IF(B102="","",TEXT(B102,"yyyy-mm"))</f>
        <v/>
      </c>
      <c r="G102" s="29"/>
      <c r="H102" s="29"/>
      <c r="I102" s="29"/>
      <c r="J102" s="29"/>
      <c r="K102" s="29"/>
      <c r="L102" s="29"/>
      <c r="M102" s="29"/>
      <c r="N102" s="29"/>
      <c r="O102" s="29"/>
      <c r="P102" s="29"/>
      <c r="Q102" s="30"/>
      <c r="R102" s="29"/>
      <c r="S102" s="32"/>
      <c r="T102" s="29"/>
      <c r="U102" s="29"/>
      <c r="V102" s="24" t="str">
        <f aca="false">IF(A102="","",IFERROR(INDEX(Settings!$F$5:$F$49,MATCH(G102,Settings!$D$5:$D$49,0)),""))</f>
        <v/>
      </c>
      <c r="W102" s="24" t="str">
        <f aca="false">IF(A102="","",IF(OR(P102="",P102="Organic"),"social","paid_social"))</f>
        <v/>
      </c>
      <c r="X102" s="24" t="str">
        <f aca="false">IF(A102="","",IF(K102&lt;&gt;"",IFERROR(INDEX('Case Studies'!$C$5:$C$54,MATCH(K102,'Case Studies'!$B$5:$B$54,0))&amp;"","case-study"),IF(J102&lt;&gt;"",IFERROR(INDEX(Settings!$J$5:$J$55,MATCH(J102,Settings!$I$5:$I$55,0)),"general"),"general")))</f>
        <v/>
      </c>
      <c r="Y102" s="24" t="str">
        <f aca="false">IF(A102="","",LOWER(A102))</f>
        <v/>
      </c>
      <c r="Z102" s="24" t="str">
        <f aca="false">IF(A102="","",IF(T102="",Settings!$B$5,T102)&amp;IF(ISNUMBER(FIND("?",IF(T102="",Settings!$B$5,T102))),"&amp;","?")&amp;"utm_source="&amp;V102&amp;"&amp;utm_medium="&amp;W102&amp;"&amp;utm_campaign="&amp;X102&amp;"&amp;utm_content="&amp;Y102)</f>
        <v/>
      </c>
      <c r="AA102" s="29"/>
      <c r="AB102" s="39"/>
      <c r="AC102" s="32"/>
      <c r="AD102" s="32"/>
      <c r="AE102" s="32"/>
      <c r="AF102" s="32"/>
      <c r="AG102" s="32"/>
      <c r="AH102" s="32"/>
      <c r="AI102" s="32"/>
      <c r="AJ102" s="32"/>
      <c r="AK102" s="32"/>
      <c r="AL102" s="32"/>
      <c r="AM102" s="32"/>
      <c r="AN102" s="32"/>
      <c r="AO102" s="33" t="str">
        <f aca="false">IF(A102="","",IF(AD102&lt;&gt;"",AD102,IF(AC102&lt;&gt;"",AC102,"")))</f>
        <v/>
      </c>
      <c r="AP102" s="24" t="str">
        <f aca="false">IF(AO102="","",IF(AD102&lt;&gt;"","Reported reach","Impressions (proxy)"))</f>
        <v/>
      </c>
      <c r="AQ102" s="34" t="str">
        <f aca="false">IF(OR(AO102="",N(S102)=0),"",AO102/S102)</f>
        <v/>
      </c>
      <c r="AR102" s="33" t="str">
        <f aca="false">IF(A102="","",IF(COUNT(AF102:AJ102)=0,"",SUM(AF102:AJ102)))</f>
        <v/>
      </c>
      <c r="AS102" s="34" t="str">
        <f aca="false">IF(OR(AR102="",N(AO102)=0),"",AR102/AO102)</f>
        <v/>
      </c>
      <c r="AT102" s="34" t="str">
        <f aca="false">IF(OR(AR102="",N(AC102)=0),"",AR102/AC102)</f>
        <v/>
      </c>
      <c r="AU102" s="34" t="str">
        <f aca="false">IF(OR(AR102="",N(S102)=0),"",AR102/S102)</f>
        <v/>
      </c>
      <c r="AV102" s="34" t="str">
        <f aca="false">IF(OR(AJ102="",N(AC102)=0),"",AJ102/AC102)</f>
        <v/>
      </c>
      <c r="AW102" s="34" t="str">
        <f aca="false">IF(OR(AH102="",N(AO102)=0),"",AH102/AO102)</f>
        <v/>
      </c>
      <c r="AX102" s="35" t="str">
        <f aca="false">IF(OR(AR102="",N(AO102)=0),"",(N(AF102)*Settings!$B$6+N(AG102)*Settings!$B$7+N(AH102)*Settings!$B$8+N(AI102)*Settings!$B$9+N(AJ102)*Settings!$B$10)/AO102*1000)</f>
        <v/>
      </c>
      <c r="AY102" s="36" t="str">
        <f aca="false">IF(AS102="","",IFERROR(AS102/AVERAGEIFS('Post Tracker'!$AS$5:$AS$1004,'Post Tracker'!$G$5:$G$1004,G102),""))</f>
        <v/>
      </c>
      <c r="AZ102" s="32"/>
      <c r="BA102" s="32"/>
      <c r="BB102" s="32"/>
      <c r="BC102" s="32"/>
      <c r="BD102" s="33" t="str">
        <f aca="false">IF(A102="","",COUNTIFS('Demo Pipeline'!$Q$5:$Q$504,A102))</f>
        <v/>
      </c>
      <c r="BE102" s="33" t="str">
        <f aca="false">IF(A102="","",COUNTIFS('Demo Pipeline'!$Q$5:$Q$504,A102,'Demo Pipeline'!$W$5:$W$504,"Attended"))</f>
        <v/>
      </c>
      <c r="BF102" s="33" t="str">
        <f aca="false">IF(A102="","",COUNTIFS('Demo Pipeline'!$Q$5:$Q$504,A102,'Demo Pipeline'!$X$5:$X$504,"Yes"))</f>
        <v/>
      </c>
      <c r="BG102" s="33" t="str">
        <f aca="false">IF(A102="","",COUNTIFS('Demo Pipeline'!$Q$5:$Q$504,A102,'Demo Pipeline'!$Y$5:$Y$504,"Closed Won"))</f>
        <v/>
      </c>
      <c r="BH102" s="37" t="str">
        <f aca="false">IF(A102="","",SUMIFS('Demo Pipeline'!$Z$5:$Z$504,'Demo Pipeline'!$Q$5:$Q$504,A102))</f>
        <v/>
      </c>
      <c r="BI102" s="34" t="str">
        <f aca="false">IF(OR(AZ102="",N(AJ102)=0),"",AZ102/AJ102)</f>
        <v/>
      </c>
      <c r="BJ102" s="34" t="str">
        <f aca="false">IF(OR(BB102="",N(AZ102)=0),"",BB102/AZ102)</f>
        <v/>
      </c>
      <c r="BK102" s="34" t="str">
        <f aca="false">IF(OR(A102="",N(BB102)=0),"",BD102/BB102)</f>
        <v/>
      </c>
      <c r="BL102" s="34" t="str">
        <f aca="false">IF(OR(A102="",N(AZ102)=0),"",BD102/AZ102)</f>
        <v/>
      </c>
      <c r="BM102" s="37" t="str">
        <f aca="false">IF(OR(N(Q102)=0,N(BD102)=0),"",Q102/BD102)</f>
        <v/>
      </c>
      <c r="BN102" s="29"/>
      <c r="BO102" s="29"/>
      <c r="BP102" s="33" t="str">
        <f aca="false">IF(OR(AR102="",N(AO102)=0),"",AR102)</f>
        <v/>
      </c>
      <c r="BQ102" s="33" t="str">
        <f aca="false">IF(OR(AR102="",N(S102)=0),"",S102)</f>
        <v/>
      </c>
      <c r="BR102" s="38" t="str">
        <f aca="false">IF(AND(ISNUMBER(B102),B102&gt;=Dashboard!$C$4,B102&lt;=Dashboard!$F$4,ISNUMBER(AU102)),AU102+ROW()/10^9,"")</f>
        <v/>
      </c>
      <c r="BS102" s="38" t="str">
        <f aca="false">IF(AND(ISNUMBER(B102),B102&gt;=Dashboard!$C$4,B102&lt;=Dashboard!$F$4,A102&lt;&gt;""),N(BD102)+N(AU102)/100+ROW()/10^9,"")</f>
        <v/>
      </c>
    </row>
    <row r="103" customFormat="false" ht="15" hidden="false" customHeight="false" outlineLevel="0" collapsed="false">
      <c r="A103" s="24" t="str">
        <f aca="false">IF(OR(B103="",G103="",H103=""),"",IFERROR(INDEX(Settings!$E$5:$E$49,MATCH(G103,Settings!$D$5:$D$49,0))&amp;INDEX(Settings!$H$5:$H$47,MATCH(H103,Settings!$G$5:$G$47,0))&amp;"-"&amp;TEXT(B103,"yymmdd")&amp;"-"&amp;IF(C103="","0000",TEXT(C103,"hhmm")),"CHECK LISTS"))</f>
        <v/>
      </c>
      <c r="B103" s="39"/>
      <c r="C103" s="40"/>
      <c r="D103" s="24" t="str">
        <f aca="false">IF(B103="","",TEXT(B103,"ddd"))</f>
        <v/>
      </c>
      <c r="E103" s="27" t="str">
        <f aca="false">IF(B103="","",B103-WEEKDAY(B103,3))</f>
        <v/>
      </c>
      <c r="F103" s="24" t="str">
        <f aca="false">IF(B103="","",TEXT(B103,"yyyy-mm"))</f>
        <v/>
      </c>
      <c r="G103" s="29"/>
      <c r="H103" s="29"/>
      <c r="I103" s="29"/>
      <c r="J103" s="29"/>
      <c r="K103" s="29"/>
      <c r="L103" s="29"/>
      <c r="M103" s="29"/>
      <c r="N103" s="29"/>
      <c r="O103" s="29"/>
      <c r="P103" s="29"/>
      <c r="Q103" s="30"/>
      <c r="R103" s="29"/>
      <c r="S103" s="32"/>
      <c r="T103" s="29"/>
      <c r="U103" s="29"/>
      <c r="V103" s="24" t="str">
        <f aca="false">IF(A103="","",IFERROR(INDEX(Settings!$F$5:$F$49,MATCH(G103,Settings!$D$5:$D$49,0)),""))</f>
        <v/>
      </c>
      <c r="W103" s="24" t="str">
        <f aca="false">IF(A103="","",IF(OR(P103="",P103="Organic"),"social","paid_social"))</f>
        <v/>
      </c>
      <c r="X103" s="24" t="str">
        <f aca="false">IF(A103="","",IF(K103&lt;&gt;"",IFERROR(INDEX('Case Studies'!$C$5:$C$54,MATCH(K103,'Case Studies'!$B$5:$B$54,0))&amp;"","case-study"),IF(J103&lt;&gt;"",IFERROR(INDEX(Settings!$J$5:$J$55,MATCH(J103,Settings!$I$5:$I$55,0)),"general"),"general")))</f>
        <v/>
      </c>
      <c r="Y103" s="24" t="str">
        <f aca="false">IF(A103="","",LOWER(A103))</f>
        <v/>
      </c>
      <c r="Z103" s="24" t="str">
        <f aca="false">IF(A103="","",IF(T103="",Settings!$B$5,T103)&amp;IF(ISNUMBER(FIND("?",IF(T103="",Settings!$B$5,T103))),"&amp;","?")&amp;"utm_source="&amp;V103&amp;"&amp;utm_medium="&amp;W103&amp;"&amp;utm_campaign="&amp;X103&amp;"&amp;utm_content="&amp;Y103)</f>
        <v/>
      </c>
      <c r="AA103" s="29"/>
      <c r="AB103" s="39"/>
      <c r="AC103" s="32"/>
      <c r="AD103" s="32"/>
      <c r="AE103" s="32"/>
      <c r="AF103" s="32"/>
      <c r="AG103" s="32"/>
      <c r="AH103" s="32"/>
      <c r="AI103" s="32"/>
      <c r="AJ103" s="32"/>
      <c r="AK103" s="32"/>
      <c r="AL103" s="32"/>
      <c r="AM103" s="32"/>
      <c r="AN103" s="32"/>
      <c r="AO103" s="33" t="str">
        <f aca="false">IF(A103="","",IF(AD103&lt;&gt;"",AD103,IF(AC103&lt;&gt;"",AC103,"")))</f>
        <v/>
      </c>
      <c r="AP103" s="24" t="str">
        <f aca="false">IF(AO103="","",IF(AD103&lt;&gt;"","Reported reach","Impressions (proxy)"))</f>
        <v/>
      </c>
      <c r="AQ103" s="34" t="str">
        <f aca="false">IF(OR(AO103="",N(S103)=0),"",AO103/S103)</f>
        <v/>
      </c>
      <c r="AR103" s="33" t="str">
        <f aca="false">IF(A103="","",IF(COUNT(AF103:AJ103)=0,"",SUM(AF103:AJ103)))</f>
        <v/>
      </c>
      <c r="AS103" s="34" t="str">
        <f aca="false">IF(OR(AR103="",N(AO103)=0),"",AR103/AO103)</f>
        <v/>
      </c>
      <c r="AT103" s="34" t="str">
        <f aca="false">IF(OR(AR103="",N(AC103)=0),"",AR103/AC103)</f>
        <v/>
      </c>
      <c r="AU103" s="34" t="str">
        <f aca="false">IF(OR(AR103="",N(S103)=0),"",AR103/S103)</f>
        <v/>
      </c>
      <c r="AV103" s="34" t="str">
        <f aca="false">IF(OR(AJ103="",N(AC103)=0),"",AJ103/AC103)</f>
        <v/>
      </c>
      <c r="AW103" s="34" t="str">
        <f aca="false">IF(OR(AH103="",N(AO103)=0),"",AH103/AO103)</f>
        <v/>
      </c>
      <c r="AX103" s="35" t="str">
        <f aca="false">IF(OR(AR103="",N(AO103)=0),"",(N(AF103)*Settings!$B$6+N(AG103)*Settings!$B$7+N(AH103)*Settings!$B$8+N(AI103)*Settings!$B$9+N(AJ103)*Settings!$B$10)/AO103*1000)</f>
        <v/>
      </c>
      <c r="AY103" s="36" t="str">
        <f aca="false">IF(AS103="","",IFERROR(AS103/AVERAGEIFS('Post Tracker'!$AS$5:$AS$1004,'Post Tracker'!$G$5:$G$1004,G103),""))</f>
        <v/>
      </c>
      <c r="AZ103" s="32"/>
      <c r="BA103" s="32"/>
      <c r="BB103" s="32"/>
      <c r="BC103" s="32"/>
      <c r="BD103" s="33" t="str">
        <f aca="false">IF(A103="","",COUNTIFS('Demo Pipeline'!$Q$5:$Q$504,A103))</f>
        <v/>
      </c>
      <c r="BE103" s="33" t="str">
        <f aca="false">IF(A103="","",COUNTIFS('Demo Pipeline'!$Q$5:$Q$504,A103,'Demo Pipeline'!$W$5:$W$504,"Attended"))</f>
        <v/>
      </c>
      <c r="BF103" s="33" t="str">
        <f aca="false">IF(A103="","",COUNTIFS('Demo Pipeline'!$Q$5:$Q$504,A103,'Demo Pipeline'!$X$5:$X$504,"Yes"))</f>
        <v/>
      </c>
      <c r="BG103" s="33" t="str">
        <f aca="false">IF(A103="","",COUNTIFS('Demo Pipeline'!$Q$5:$Q$504,A103,'Demo Pipeline'!$Y$5:$Y$504,"Closed Won"))</f>
        <v/>
      </c>
      <c r="BH103" s="37" t="str">
        <f aca="false">IF(A103="","",SUMIFS('Demo Pipeline'!$Z$5:$Z$504,'Demo Pipeline'!$Q$5:$Q$504,A103))</f>
        <v/>
      </c>
      <c r="BI103" s="34" t="str">
        <f aca="false">IF(OR(AZ103="",N(AJ103)=0),"",AZ103/AJ103)</f>
        <v/>
      </c>
      <c r="BJ103" s="34" t="str">
        <f aca="false">IF(OR(BB103="",N(AZ103)=0),"",BB103/AZ103)</f>
        <v/>
      </c>
      <c r="BK103" s="34" t="str">
        <f aca="false">IF(OR(A103="",N(BB103)=0),"",BD103/BB103)</f>
        <v/>
      </c>
      <c r="BL103" s="34" t="str">
        <f aca="false">IF(OR(A103="",N(AZ103)=0),"",BD103/AZ103)</f>
        <v/>
      </c>
      <c r="BM103" s="37" t="str">
        <f aca="false">IF(OR(N(Q103)=0,N(BD103)=0),"",Q103/BD103)</f>
        <v/>
      </c>
      <c r="BN103" s="29"/>
      <c r="BO103" s="29"/>
      <c r="BP103" s="33" t="str">
        <f aca="false">IF(OR(AR103="",N(AO103)=0),"",AR103)</f>
        <v/>
      </c>
      <c r="BQ103" s="33" t="str">
        <f aca="false">IF(OR(AR103="",N(S103)=0),"",S103)</f>
        <v/>
      </c>
      <c r="BR103" s="38" t="str">
        <f aca="false">IF(AND(ISNUMBER(B103),B103&gt;=Dashboard!$C$4,B103&lt;=Dashboard!$F$4,ISNUMBER(AU103)),AU103+ROW()/10^9,"")</f>
        <v/>
      </c>
      <c r="BS103" s="38" t="str">
        <f aca="false">IF(AND(ISNUMBER(B103),B103&gt;=Dashboard!$C$4,B103&lt;=Dashboard!$F$4,A103&lt;&gt;""),N(BD103)+N(AU103)/100+ROW()/10^9,"")</f>
        <v/>
      </c>
    </row>
    <row r="104" customFormat="false" ht="15" hidden="false" customHeight="false" outlineLevel="0" collapsed="false">
      <c r="A104" s="24" t="str">
        <f aca="false">IF(OR(B104="",G104="",H104=""),"",IFERROR(INDEX(Settings!$E$5:$E$49,MATCH(G104,Settings!$D$5:$D$49,0))&amp;INDEX(Settings!$H$5:$H$47,MATCH(H104,Settings!$G$5:$G$47,0))&amp;"-"&amp;TEXT(B104,"yymmdd")&amp;"-"&amp;IF(C104="","0000",TEXT(C104,"hhmm")),"CHECK LISTS"))</f>
        <v/>
      </c>
      <c r="B104" s="39"/>
      <c r="C104" s="40"/>
      <c r="D104" s="24" t="str">
        <f aca="false">IF(B104="","",TEXT(B104,"ddd"))</f>
        <v/>
      </c>
      <c r="E104" s="27" t="str">
        <f aca="false">IF(B104="","",B104-WEEKDAY(B104,3))</f>
        <v/>
      </c>
      <c r="F104" s="24" t="str">
        <f aca="false">IF(B104="","",TEXT(B104,"yyyy-mm"))</f>
        <v/>
      </c>
      <c r="G104" s="29"/>
      <c r="H104" s="29"/>
      <c r="I104" s="29"/>
      <c r="J104" s="29"/>
      <c r="K104" s="29"/>
      <c r="L104" s="29"/>
      <c r="M104" s="29"/>
      <c r="N104" s="29"/>
      <c r="O104" s="29"/>
      <c r="P104" s="29"/>
      <c r="Q104" s="30"/>
      <c r="R104" s="29"/>
      <c r="S104" s="32"/>
      <c r="T104" s="29"/>
      <c r="U104" s="29"/>
      <c r="V104" s="24" t="str">
        <f aca="false">IF(A104="","",IFERROR(INDEX(Settings!$F$5:$F$49,MATCH(G104,Settings!$D$5:$D$49,0)),""))</f>
        <v/>
      </c>
      <c r="W104" s="24" t="str">
        <f aca="false">IF(A104="","",IF(OR(P104="",P104="Organic"),"social","paid_social"))</f>
        <v/>
      </c>
      <c r="X104" s="24" t="str">
        <f aca="false">IF(A104="","",IF(K104&lt;&gt;"",IFERROR(INDEX('Case Studies'!$C$5:$C$54,MATCH(K104,'Case Studies'!$B$5:$B$54,0))&amp;"","case-study"),IF(J104&lt;&gt;"",IFERROR(INDEX(Settings!$J$5:$J$55,MATCH(J104,Settings!$I$5:$I$55,0)),"general"),"general")))</f>
        <v/>
      </c>
      <c r="Y104" s="24" t="str">
        <f aca="false">IF(A104="","",LOWER(A104))</f>
        <v/>
      </c>
      <c r="Z104" s="24" t="str">
        <f aca="false">IF(A104="","",IF(T104="",Settings!$B$5,T104)&amp;IF(ISNUMBER(FIND("?",IF(T104="",Settings!$B$5,T104))),"&amp;","?")&amp;"utm_source="&amp;V104&amp;"&amp;utm_medium="&amp;W104&amp;"&amp;utm_campaign="&amp;X104&amp;"&amp;utm_content="&amp;Y104)</f>
        <v/>
      </c>
      <c r="AA104" s="29"/>
      <c r="AB104" s="39"/>
      <c r="AC104" s="32"/>
      <c r="AD104" s="32"/>
      <c r="AE104" s="32"/>
      <c r="AF104" s="32"/>
      <c r="AG104" s="32"/>
      <c r="AH104" s="32"/>
      <c r="AI104" s="32"/>
      <c r="AJ104" s="32"/>
      <c r="AK104" s="32"/>
      <c r="AL104" s="32"/>
      <c r="AM104" s="32"/>
      <c r="AN104" s="32"/>
      <c r="AO104" s="33" t="str">
        <f aca="false">IF(A104="","",IF(AD104&lt;&gt;"",AD104,IF(AC104&lt;&gt;"",AC104,"")))</f>
        <v/>
      </c>
      <c r="AP104" s="24" t="str">
        <f aca="false">IF(AO104="","",IF(AD104&lt;&gt;"","Reported reach","Impressions (proxy)"))</f>
        <v/>
      </c>
      <c r="AQ104" s="34" t="str">
        <f aca="false">IF(OR(AO104="",N(S104)=0),"",AO104/S104)</f>
        <v/>
      </c>
      <c r="AR104" s="33" t="str">
        <f aca="false">IF(A104="","",IF(COUNT(AF104:AJ104)=0,"",SUM(AF104:AJ104)))</f>
        <v/>
      </c>
      <c r="AS104" s="34" t="str">
        <f aca="false">IF(OR(AR104="",N(AO104)=0),"",AR104/AO104)</f>
        <v/>
      </c>
      <c r="AT104" s="34" t="str">
        <f aca="false">IF(OR(AR104="",N(AC104)=0),"",AR104/AC104)</f>
        <v/>
      </c>
      <c r="AU104" s="34" t="str">
        <f aca="false">IF(OR(AR104="",N(S104)=0),"",AR104/S104)</f>
        <v/>
      </c>
      <c r="AV104" s="34" t="str">
        <f aca="false">IF(OR(AJ104="",N(AC104)=0),"",AJ104/AC104)</f>
        <v/>
      </c>
      <c r="AW104" s="34" t="str">
        <f aca="false">IF(OR(AH104="",N(AO104)=0),"",AH104/AO104)</f>
        <v/>
      </c>
      <c r="AX104" s="35" t="str">
        <f aca="false">IF(OR(AR104="",N(AO104)=0),"",(N(AF104)*Settings!$B$6+N(AG104)*Settings!$B$7+N(AH104)*Settings!$B$8+N(AI104)*Settings!$B$9+N(AJ104)*Settings!$B$10)/AO104*1000)</f>
        <v/>
      </c>
      <c r="AY104" s="36" t="str">
        <f aca="false">IF(AS104="","",IFERROR(AS104/AVERAGEIFS('Post Tracker'!$AS$5:$AS$1004,'Post Tracker'!$G$5:$G$1004,G104),""))</f>
        <v/>
      </c>
      <c r="AZ104" s="32"/>
      <c r="BA104" s="32"/>
      <c r="BB104" s="32"/>
      <c r="BC104" s="32"/>
      <c r="BD104" s="33" t="str">
        <f aca="false">IF(A104="","",COUNTIFS('Demo Pipeline'!$Q$5:$Q$504,A104))</f>
        <v/>
      </c>
      <c r="BE104" s="33" t="str">
        <f aca="false">IF(A104="","",COUNTIFS('Demo Pipeline'!$Q$5:$Q$504,A104,'Demo Pipeline'!$W$5:$W$504,"Attended"))</f>
        <v/>
      </c>
      <c r="BF104" s="33" t="str">
        <f aca="false">IF(A104="","",COUNTIFS('Demo Pipeline'!$Q$5:$Q$504,A104,'Demo Pipeline'!$X$5:$X$504,"Yes"))</f>
        <v/>
      </c>
      <c r="BG104" s="33" t="str">
        <f aca="false">IF(A104="","",COUNTIFS('Demo Pipeline'!$Q$5:$Q$504,A104,'Demo Pipeline'!$Y$5:$Y$504,"Closed Won"))</f>
        <v/>
      </c>
      <c r="BH104" s="37" t="str">
        <f aca="false">IF(A104="","",SUMIFS('Demo Pipeline'!$Z$5:$Z$504,'Demo Pipeline'!$Q$5:$Q$504,A104))</f>
        <v/>
      </c>
      <c r="BI104" s="34" t="str">
        <f aca="false">IF(OR(AZ104="",N(AJ104)=0),"",AZ104/AJ104)</f>
        <v/>
      </c>
      <c r="BJ104" s="34" t="str">
        <f aca="false">IF(OR(BB104="",N(AZ104)=0),"",BB104/AZ104)</f>
        <v/>
      </c>
      <c r="BK104" s="34" t="str">
        <f aca="false">IF(OR(A104="",N(BB104)=0),"",BD104/BB104)</f>
        <v/>
      </c>
      <c r="BL104" s="34" t="str">
        <f aca="false">IF(OR(A104="",N(AZ104)=0),"",BD104/AZ104)</f>
        <v/>
      </c>
      <c r="BM104" s="37" t="str">
        <f aca="false">IF(OR(N(Q104)=0,N(BD104)=0),"",Q104/BD104)</f>
        <v/>
      </c>
      <c r="BN104" s="29"/>
      <c r="BO104" s="29"/>
      <c r="BP104" s="33" t="str">
        <f aca="false">IF(OR(AR104="",N(AO104)=0),"",AR104)</f>
        <v/>
      </c>
      <c r="BQ104" s="33" t="str">
        <f aca="false">IF(OR(AR104="",N(S104)=0),"",S104)</f>
        <v/>
      </c>
      <c r="BR104" s="38" t="str">
        <f aca="false">IF(AND(ISNUMBER(B104),B104&gt;=Dashboard!$C$4,B104&lt;=Dashboard!$F$4,ISNUMBER(AU104)),AU104+ROW()/10^9,"")</f>
        <v/>
      </c>
      <c r="BS104" s="38" t="str">
        <f aca="false">IF(AND(ISNUMBER(B104),B104&gt;=Dashboard!$C$4,B104&lt;=Dashboard!$F$4,A104&lt;&gt;""),N(BD104)+N(AU104)/100+ROW()/10^9,"")</f>
        <v/>
      </c>
    </row>
    <row r="105" customFormat="false" ht="15" hidden="false" customHeight="false" outlineLevel="0" collapsed="false">
      <c r="A105" s="24" t="str">
        <f aca="false">IF(OR(B105="",G105="",H105=""),"",IFERROR(INDEX(Settings!$E$5:$E$49,MATCH(G105,Settings!$D$5:$D$49,0))&amp;INDEX(Settings!$H$5:$H$47,MATCH(H105,Settings!$G$5:$G$47,0))&amp;"-"&amp;TEXT(B105,"yymmdd")&amp;"-"&amp;IF(C105="","0000",TEXT(C105,"hhmm")),"CHECK LISTS"))</f>
        <v/>
      </c>
      <c r="B105" s="39"/>
      <c r="C105" s="40"/>
      <c r="D105" s="24" t="str">
        <f aca="false">IF(B105="","",TEXT(B105,"ddd"))</f>
        <v/>
      </c>
      <c r="E105" s="27" t="str">
        <f aca="false">IF(B105="","",B105-WEEKDAY(B105,3))</f>
        <v/>
      </c>
      <c r="F105" s="24" t="str">
        <f aca="false">IF(B105="","",TEXT(B105,"yyyy-mm"))</f>
        <v/>
      </c>
      <c r="G105" s="29"/>
      <c r="H105" s="29"/>
      <c r="I105" s="29"/>
      <c r="J105" s="29"/>
      <c r="K105" s="29"/>
      <c r="L105" s="29"/>
      <c r="M105" s="29"/>
      <c r="N105" s="29"/>
      <c r="O105" s="29"/>
      <c r="P105" s="29"/>
      <c r="Q105" s="30"/>
      <c r="R105" s="29"/>
      <c r="S105" s="32"/>
      <c r="T105" s="29"/>
      <c r="U105" s="29"/>
      <c r="V105" s="24" t="str">
        <f aca="false">IF(A105="","",IFERROR(INDEX(Settings!$F$5:$F$49,MATCH(G105,Settings!$D$5:$D$49,0)),""))</f>
        <v/>
      </c>
      <c r="W105" s="24" t="str">
        <f aca="false">IF(A105="","",IF(OR(P105="",P105="Organic"),"social","paid_social"))</f>
        <v/>
      </c>
      <c r="X105" s="24" t="str">
        <f aca="false">IF(A105="","",IF(K105&lt;&gt;"",IFERROR(INDEX('Case Studies'!$C$5:$C$54,MATCH(K105,'Case Studies'!$B$5:$B$54,0))&amp;"","case-study"),IF(J105&lt;&gt;"",IFERROR(INDEX(Settings!$J$5:$J$55,MATCH(J105,Settings!$I$5:$I$55,0)),"general"),"general")))</f>
        <v/>
      </c>
      <c r="Y105" s="24" t="str">
        <f aca="false">IF(A105="","",LOWER(A105))</f>
        <v/>
      </c>
      <c r="Z105" s="24" t="str">
        <f aca="false">IF(A105="","",IF(T105="",Settings!$B$5,T105)&amp;IF(ISNUMBER(FIND("?",IF(T105="",Settings!$B$5,T105))),"&amp;","?")&amp;"utm_source="&amp;V105&amp;"&amp;utm_medium="&amp;W105&amp;"&amp;utm_campaign="&amp;X105&amp;"&amp;utm_content="&amp;Y105)</f>
        <v/>
      </c>
      <c r="AA105" s="29"/>
      <c r="AB105" s="39"/>
      <c r="AC105" s="32"/>
      <c r="AD105" s="32"/>
      <c r="AE105" s="32"/>
      <c r="AF105" s="32"/>
      <c r="AG105" s="32"/>
      <c r="AH105" s="32"/>
      <c r="AI105" s="32"/>
      <c r="AJ105" s="32"/>
      <c r="AK105" s="32"/>
      <c r="AL105" s="32"/>
      <c r="AM105" s="32"/>
      <c r="AN105" s="32"/>
      <c r="AO105" s="33" t="str">
        <f aca="false">IF(A105="","",IF(AD105&lt;&gt;"",AD105,IF(AC105&lt;&gt;"",AC105,"")))</f>
        <v/>
      </c>
      <c r="AP105" s="24" t="str">
        <f aca="false">IF(AO105="","",IF(AD105&lt;&gt;"","Reported reach","Impressions (proxy)"))</f>
        <v/>
      </c>
      <c r="AQ105" s="34" t="str">
        <f aca="false">IF(OR(AO105="",N(S105)=0),"",AO105/S105)</f>
        <v/>
      </c>
      <c r="AR105" s="33" t="str">
        <f aca="false">IF(A105="","",IF(COUNT(AF105:AJ105)=0,"",SUM(AF105:AJ105)))</f>
        <v/>
      </c>
      <c r="AS105" s="34" t="str">
        <f aca="false">IF(OR(AR105="",N(AO105)=0),"",AR105/AO105)</f>
        <v/>
      </c>
      <c r="AT105" s="34" t="str">
        <f aca="false">IF(OR(AR105="",N(AC105)=0),"",AR105/AC105)</f>
        <v/>
      </c>
      <c r="AU105" s="34" t="str">
        <f aca="false">IF(OR(AR105="",N(S105)=0),"",AR105/S105)</f>
        <v/>
      </c>
      <c r="AV105" s="34" t="str">
        <f aca="false">IF(OR(AJ105="",N(AC105)=0),"",AJ105/AC105)</f>
        <v/>
      </c>
      <c r="AW105" s="34" t="str">
        <f aca="false">IF(OR(AH105="",N(AO105)=0),"",AH105/AO105)</f>
        <v/>
      </c>
      <c r="AX105" s="35" t="str">
        <f aca="false">IF(OR(AR105="",N(AO105)=0),"",(N(AF105)*Settings!$B$6+N(AG105)*Settings!$B$7+N(AH105)*Settings!$B$8+N(AI105)*Settings!$B$9+N(AJ105)*Settings!$B$10)/AO105*1000)</f>
        <v/>
      </c>
      <c r="AY105" s="36" t="str">
        <f aca="false">IF(AS105="","",IFERROR(AS105/AVERAGEIFS('Post Tracker'!$AS$5:$AS$1004,'Post Tracker'!$G$5:$G$1004,G105),""))</f>
        <v/>
      </c>
      <c r="AZ105" s="32"/>
      <c r="BA105" s="32"/>
      <c r="BB105" s="32"/>
      <c r="BC105" s="32"/>
      <c r="BD105" s="33" t="str">
        <f aca="false">IF(A105="","",COUNTIFS('Demo Pipeline'!$Q$5:$Q$504,A105))</f>
        <v/>
      </c>
      <c r="BE105" s="33" t="str">
        <f aca="false">IF(A105="","",COUNTIFS('Demo Pipeline'!$Q$5:$Q$504,A105,'Demo Pipeline'!$W$5:$W$504,"Attended"))</f>
        <v/>
      </c>
      <c r="BF105" s="33" t="str">
        <f aca="false">IF(A105="","",COUNTIFS('Demo Pipeline'!$Q$5:$Q$504,A105,'Demo Pipeline'!$X$5:$X$504,"Yes"))</f>
        <v/>
      </c>
      <c r="BG105" s="33" t="str">
        <f aca="false">IF(A105="","",COUNTIFS('Demo Pipeline'!$Q$5:$Q$504,A105,'Demo Pipeline'!$Y$5:$Y$504,"Closed Won"))</f>
        <v/>
      </c>
      <c r="BH105" s="37" t="str">
        <f aca="false">IF(A105="","",SUMIFS('Demo Pipeline'!$Z$5:$Z$504,'Demo Pipeline'!$Q$5:$Q$504,A105))</f>
        <v/>
      </c>
      <c r="BI105" s="34" t="str">
        <f aca="false">IF(OR(AZ105="",N(AJ105)=0),"",AZ105/AJ105)</f>
        <v/>
      </c>
      <c r="BJ105" s="34" t="str">
        <f aca="false">IF(OR(BB105="",N(AZ105)=0),"",BB105/AZ105)</f>
        <v/>
      </c>
      <c r="BK105" s="34" t="str">
        <f aca="false">IF(OR(A105="",N(BB105)=0),"",BD105/BB105)</f>
        <v/>
      </c>
      <c r="BL105" s="34" t="str">
        <f aca="false">IF(OR(A105="",N(AZ105)=0),"",BD105/AZ105)</f>
        <v/>
      </c>
      <c r="BM105" s="37" t="str">
        <f aca="false">IF(OR(N(Q105)=0,N(BD105)=0),"",Q105/BD105)</f>
        <v/>
      </c>
      <c r="BN105" s="29"/>
      <c r="BO105" s="29"/>
      <c r="BP105" s="33" t="str">
        <f aca="false">IF(OR(AR105="",N(AO105)=0),"",AR105)</f>
        <v/>
      </c>
      <c r="BQ105" s="33" t="str">
        <f aca="false">IF(OR(AR105="",N(S105)=0),"",S105)</f>
        <v/>
      </c>
      <c r="BR105" s="38" t="str">
        <f aca="false">IF(AND(ISNUMBER(B105),B105&gt;=Dashboard!$C$4,B105&lt;=Dashboard!$F$4,ISNUMBER(AU105)),AU105+ROW()/10^9,"")</f>
        <v/>
      </c>
      <c r="BS105" s="38" t="str">
        <f aca="false">IF(AND(ISNUMBER(B105),B105&gt;=Dashboard!$C$4,B105&lt;=Dashboard!$F$4,A105&lt;&gt;""),N(BD105)+N(AU105)/100+ROW()/10^9,"")</f>
        <v/>
      </c>
    </row>
    <row r="106" customFormat="false" ht="15" hidden="false" customHeight="false" outlineLevel="0" collapsed="false">
      <c r="A106" s="24" t="str">
        <f aca="false">IF(OR(B106="",G106="",H106=""),"",IFERROR(INDEX(Settings!$E$5:$E$49,MATCH(G106,Settings!$D$5:$D$49,0))&amp;INDEX(Settings!$H$5:$H$47,MATCH(H106,Settings!$G$5:$G$47,0))&amp;"-"&amp;TEXT(B106,"yymmdd")&amp;"-"&amp;IF(C106="","0000",TEXT(C106,"hhmm")),"CHECK LISTS"))</f>
        <v/>
      </c>
      <c r="B106" s="39"/>
      <c r="C106" s="40"/>
      <c r="D106" s="24" t="str">
        <f aca="false">IF(B106="","",TEXT(B106,"ddd"))</f>
        <v/>
      </c>
      <c r="E106" s="27" t="str">
        <f aca="false">IF(B106="","",B106-WEEKDAY(B106,3))</f>
        <v/>
      </c>
      <c r="F106" s="24" t="str">
        <f aca="false">IF(B106="","",TEXT(B106,"yyyy-mm"))</f>
        <v/>
      </c>
      <c r="G106" s="29"/>
      <c r="H106" s="29"/>
      <c r="I106" s="29"/>
      <c r="J106" s="29"/>
      <c r="K106" s="29"/>
      <c r="L106" s="29"/>
      <c r="M106" s="29"/>
      <c r="N106" s="29"/>
      <c r="O106" s="29"/>
      <c r="P106" s="29"/>
      <c r="Q106" s="30"/>
      <c r="R106" s="29"/>
      <c r="S106" s="32"/>
      <c r="T106" s="29"/>
      <c r="U106" s="29"/>
      <c r="V106" s="24" t="str">
        <f aca="false">IF(A106="","",IFERROR(INDEX(Settings!$F$5:$F$49,MATCH(G106,Settings!$D$5:$D$49,0)),""))</f>
        <v/>
      </c>
      <c r="W106" s="24" t="str">
        <f aca="false">IF(A106="","",IF(OR(P106="",P106="Organic"),"social","paid_social"))</f>
        <v/>
      </c>
      <c r="X106" s="24" t="str">
        <f aca="false">IF(A106="","",IF(K106&lt;&gt;"",IFERROR(INDEX('Case Studies'!$C$5:$C$54,MATCH(K106,'Case Studies'!$B$5:$B$54,0))&amp;"","case-study"),IF(J106&lt;&gt;"",IFERROR(INDEX(Settings!$J$5:$J$55,MATCH(J106,Settings!$I$5:$I$55,0)),"general"),"general")))</f>
        <v/>
      </c>
      <c r="Y106" s="24" t="str">
        <f aca="false">IF(A106="","",LOWER(A106))</f>
        <v/>
      </c>
      <c r="Z106" s="24" t="str">
        <f aca="false">IF(A106="","",IF(T106="",Settings!$B$5,T106)&amp;IF(ISNUMBER(FIND("?",IF(T106="",Settings!$B$5,T106))),"&amp;","?")&amp;"utm_source="&amp;V106&amp;"&amp;utm_medium="&amp;W106&amp;"&amp;utm_campaign="&amp;X106&amp;"&amp;utm_content="&amp;Y106)</f>
        <v/>
      </c>
      <c r="AA106" s="29"/>
      <c r="AB106" s="39"/>
      <c r="AC106" s="32"/>
      <c r="AD106" s="32"/>
      <c r="AE106" s="32"/>
      <c r="AF106" s="32"/>
      <c r="AG106" s="32"/>
      <c r="AH106" s="32"/>
      <c r="AI106" s="32"/>
      <c r="AJ106" s="32"/>
      <c r="AK106" s="32"/>
      <c r="AL106" s="32"/>
      <c r="AM106" s="32"/>
      <c r="AN106" s="32"/>
      <c r="AO106" s="33" t="str">
        <f aca="false">IF(A106="","",IF(AD106&lt;&gt;"",AD106,IF(AC106&lt;&gt;"",AC106,"")))</f>
        <v/>
      </c>
      <c r="AP106" s="24" t="str">
        <f aca="false">IF(AO106="","",IF(AD106&lt;&gt;"","Reported reach","Impressions (proxy)"))</f>
        <v/>
      </c>
      <c r="AQ106" s="34" t="str">
        <f aca="false">IF(OR(AO106="",N(S106)=0),"",AO106/S106)</f>
        <v/>
      </c>
      <c r="AR106" s="33" t="str">
        <f aca="false">IF(A106="","",IF(COUNT(AF106:AJ106)=0,"",SUM(AF106:AJ106)))</f>
        <v/>
      </c>
      <c r="AS106" s="34" t="str">
        <f aca="false">IF(OR(AR106="",N(AO106)=0),"",AR106/AO106)</f>
        <v/>
      </c>
      <c r="AT106" s="34" t="str">
        <f aca="false">IF(OR(AR106="",N(AC106)=0),"",AR106/AC106)</f>
        <v/>
      </c>
      <c r="AU106" s="34" t="str">
        <f aca="false">IF(OR(AR106="",N(S106)=0),"",AR106/S106)</f>
        <v/>
      </c>
      <c r="AV106" s="34" t="str">
        <f aca="false">IF(OR(AJ106="",N(AC106)=0),"",AJ106/AC106)</f>
        <v/>
      </c>
      <c r="AW106" s="34" t="str">
        <f aca="false">IF(OR(AH106="",N(AO106)=0),"",AH106/AO106)</f>
        <v/>
      </c>
      <c r="AX106" s="35" t="str">
        <f aca="false">IF(OR(AR106="",N(AO106)=0),"",(N(AF106)*Settings!$B$6+N(AG106)*Settings!$B$7+N(AH106)*Settings!$B$8+N(AI106)*Settings!$B$9+N(AJ106)*Settings!$B$10)/AO106*1000)</f>
        <v/>
      </c>
      <c r="AY106" s="36" t="str">
        <f aca="false">IF(AS106="","",IFERROR(AS106/AVERAGEIFS('Post Tracker'!$AS$5:$AS$1004,'Post Tracker'!$G$5:$G$1004,G106),""))</f>
        <v/>
      </c>
      <c r="AZ106" s="32"/>
      <c r="BA106" s="32"/>
      <c r="BB106" s="32"/>
      <c r="BC106" s="32"/>
      <c r="BD106" s="33" t="str">
        <f aca="false">IF(A106="","",COUNTIFS('Demo Pipeline'!$Q$5:$Q$504,A106))</f>
        <v/>
      </c>
      <c r="BE106" s="33" t="str">
        <f aca="false">IF(A106="","",COUNTIFS('Demo Pipeline'!$Q$5:$Q$504,A106,'Demo Pipeline'!$W$5:$W$504,"Attended"))</f>
        <v/>
      </c>
      <c r="BF106" s="33" t="str">
        <f aca="false">IF(A106="","",COUNTIFS('Demo Pipeline'!$Q$5:$Q$504,A106,'Demo Pipeline'!$X$5:$X$504,"Yes"))</f>
        <v/>
      </c>
      <c r="BG106" s="33" t="str">
        <f aca="false">IF(A106="","",COUNTIFS('Demo Pipeline'!$Q$5:$Q$504,A106,'Demo Pipeline'!$Y$5:$Y$504,"Closed Won"))</f>
        <v/>
      </c>
      <c r="BH106" s="37" t="str">
        <f aca="false">IF(A106="","",SUMIFS('Demo Pipeline'!$Z$5:$Z$504,'Demo Pipeline'!$Q$5:$Q$504,A106))</f>
        <v/>
      </c>
      <c r="BI106" s="34" t="str">
        <f aca="false">IF(OR(AZ106="",N(AJ106)=0),"",AZ106/AJ106)</f>
        <v/>
      </c>
      <c r="BJ106" s="34" t="str">
        <f aca="false">IF(OR(BB106="",N(AZ106)=0),"",BB106/AZ106)</f>
        <v/>
      </c>
      <c r="BK106" s="34" t="str">
        <f aca="false">IF(OR(A106="",N(BB106)=0),"",BD106/BB106)</f>
        <v/>
      </c>
      <c r="BL106" s="34" t="str">
        <f aca="false">IF(OR(A106="",N(AZ106)=0),"",BD106/AZ106)</f>
        <v/>
      </c>
      <c r="BM106" s="37" t="str">
        <f aca="false">IF(OR(N(Q106)=0,N(BD106)=0),"",Q106/BD106)</f>
        <v/>
      </c>
      <c r="BN106" s="29"/>
      <c r="BO106" s="29"/>
      <c r="BP106" s="33" t="str">
        <f aca="false">IF(OR(AR106="",N(AO106)=0),"",AR106)</f>
        <v/>
      </c>
      <c r="BQ106" s="33" t="str">
        <f aca="false">IF(OR(AR106="",N(S106)=0),"",S106)</f>
        <v/>
      </c>
      <c r="BR106" s="38" t="str">
        <f aca="false">IF(AND(ISNUMBER(B106),B106&gt;=Dashboard!$C$4,B106&lt;=Dashboard!$F$4,ISNUMBER(AU106)),AU106+ROW()/10^9,"")</f>
        <v/>
      </c>
      <c r="BS106" s="38" t="str">
        <f aca="false">IF(AND(ISNUMBER(B106),B106&gt;=Dashboard!$C$4,B106&lt;=Dashboard!$F$4,A106&lt;&gt;""),N(BD106)+N(AU106)/100+ROW()/10^9,"")</f>
        <v/>
      </c>
    </row>
    <row r="107" customFormat="false" ht="15" hidden="false" customHeight="false" outlineLevel="0" collapsed="false">
      <c r="A107" s="24" t="str">
        <f aca="false">IF(OR(B107="",G107="",H107=""),"",IFERROR(INDEX(Settings!$E$5:$E$49,MATCH(G107,Settings!$D$5:$D$49,0))&amp;INDEX(Settings!$H$5:$H$47,MATCH(H107,Settings!$G$5:$G$47,0))&amp;"-"&amp;TEXT(B107,"yymmdd")&amp;"-"&amp;IF(C107="","0000",TEXT(C107,"hhmm")),"CHECK LISTS"))</f>
        <v/>
      </c>
      <c r="B107" s="39"/>
      <c r="C107" s="40"/>
      <c r="D107" s="24" t="str">
        <f aca="false">IF(B107="","",TEXT(B107,"ddd"))</f>
        <v/>
      </c>
      <c r="E107" s="27" t="str">
        <f aca="false">IF(B107="","",B107-WEEKDAY(B107,3))</f>
        <v/>
      </c>
      <c r="F107" s="24" t="str">
        <f aca="false">IF(B107="","",TEXT(B107,"yyyy-mm"))</f>
        <v/>
      </c>
      <c r="G107" s="29"/>
      <c r="H107" s="29"/>
      <c r="I107" s="29"/>
      <c r="J107" s="29"/>
      <c r="K107" s="29"/>
      <c r="L107" s="29"/>
      <c r="M107" s="29"/>
      <c r="N107" s="29"/>
      <c r="O107" s="29"/>
      <c r="P107" s="29"/>
      <c r="Q107" s="30"/>
      <c r="R107" s="29"/>
      <c r="S107" s="32"/>
      <c r="T107" s="29"/>
      <c r="U107" s="29"/>
      <c r="V107" s="24" t="str">
        <f aca="false">IF(A107="","",IFERROR(INDEX(Settings!$F$5:$F$49,MATCH(G107,Settings!$D$5:$D$49,0)),""))</f>
        <v/>
      </c>
      <c r="W107" s="24" t="str">
        <f aca="false">IF(A107="","",IF(OR(P107="",P107="Organic"),"social","paid_social"))</f>
        <v/>
      </c>
      <c r="X107" s="24" t="str">
        <f aca="false">IF(A107="","",IF(K107&lt;&gt;"",IFERROR(INDEX('Case Studies'!$C$5:$C$54,MATCH(K107,'Case Studies'!$B$5:$B$54,0))&amp;"","case-study"),IF(J107&lt;&gt;"",IFERROR(INDEX(Settings!$J$5:$J$55,MATCH(J107,Settings!$I$5:$I$55,0)),"general"),"general")))</f>
        <v/>
      </c>
      <c r="Y107" s="24" t="str">
        <f aca="false">IF(A107="","",LOWER(A107))</f>
        <v/>
      </c>
      <c r="Z107" s="24" t="str">
        <f aca="false">IF(A107="","",IF(T107="",Settings!$B$5,T107)&amp;IF(ISNUMBER(FIND("?",IF(T107="",Settings!$B$5,T107))),"&amp;","?")&amp;"utm_source="&amp;V107&amp;"&amp;utm_medium="&amp;W107&amp;"&amp;utm_campaign="&amp;X107&amp;"&amp;utm_content="&amp;Y107)</f>
        <v/>
      </c>
      <c r="AA107" s="29"/>
      <c r="AB107" s="39"/>
      <c r="AC107" s="32"/>
      <c r="AD107" s="32"/>
      <c r="AE107" s="32"/>
      <c r="AF107" s="32"/>
      <c r="AG107" s="32"/>
      <c r="AH107" s="32"/>
      <c r="AI107" s="32"/>
      <c r="AJ107" s="32"/>
      <c r="AK107" s="32"/>
      <c r="AL107" s="32"/>
      <c r="AM107" s="32"/>
      <c r="AN107" s="32"/>
      <c r="AO107" s="33" t="str">
        <f aca="false">IF(A107="","",IF(AD107&lt;&gt;"",AD107,IF(AC107&lt;&gt;"",AC107,"")))</f>
        <v/>
      </c>
      <c r="AP107" s="24" t="str">
        <f aca="false">IF(AO107="","",IF(AD107&lt;&gt;"","Reported reach","Impressions (proxy)"))</f>
        <v/>
      </c>
      <c r="AQ107" s="34" t="str">
        <f aca="false">IF(OR(AO107="",N(S107)=0),"",AO107/S107)</f>
        <v/>
      </c>
      <c r="AR107" s="33" t="str">
        <f aca="false">IF(A107="","",IF(COUNT(AF107:AJ107)=0,"",SUM(AF107:AJ107)))</f>
        <v/>
      </c>
      <c r="AS107" s="34" t="str">
        <f aca="false">IF(OR(AR107="",N(AO107)=0),"",AR107/AO107)</f>
        <v/>
      </c>
      <c r="AT107" s="34" t="str">
        <f aca="false">IF(OR(AR107="",N(AC107)=0),"",AR107/AC107)</f>
        <v/>
      </c>
      <c r="AU107" s="34" t="str">
        <f aca="false">IF(OR(AR107="",N(S107)=0),"",AR107/S107)</f>
        <v/>
      </c>
      <c r="AV107" s="34" t="str">
        <f aca="false">IF(OR(AJ107="",N(AC107)=0),"",AJ107/AC107)</f>
        <v/>
      </c>
      <c r="AW107" s="34" t="str">
        <f aca="false">IF(OR(AH107="",N(AO107)=0),"",AH107/AO107)</f>
        <v/>
      </c>
      <c r="AX107" s="35" t="str">
        <f aca="false">IF(OR(AR107="",N(AO107)=0),"",(N(AF107)*Settings!$B$6+N(AG107)*Settings!$B$7+N(AH107)*Settings!$B$8+N(AI107)*Settings!$B$9+N(AJ107)*Settings!$B$10)/AO107*1000)</f>
        <v/>
      </c>
      <c r="AY107" s="36" t="str">
        <f aca="false">IF(AS107="","",IFERROR(AS107/AVERAGEIFS('Post Tracker'!$AS$5:$AS$1004,'Post Tracker'!$G$5:$G$1004,G107),""))</f>
        <v/>
      </c>
      <c r="AZ107" s="32"/>
      <c r="BA107" s="32"/>
      <c r="BB107" s="32"/>
      <c r="BC107" s="32"/>
      <c r="BD107" s="33" t="str">
        <f aca="false">IF(A107="","",COUNTIFS('Demo Pipeline'!$Q$5:$Q$504,A107))</f>
        <v/>
      </c>
      <c r="BE107" s="33" t="str">
        <f aca="false">IF(A107="","",COUNTIFS('Demo Pipeline'!$Q$5:$Q$504,A107,'Demo Pipeline'!$W$5:$W$504,"Attended"))</f>
        <v/>
      </c>
      <c r="BF107" s="33" t="str">
        <f aca="false">IF(A107="","",COUNTIFS('Demo Pipeline'!$Q$5:$Q$504,A107,'Demo Pipeline'!$X$5:$X$504,"Yes"))</f>
        <v/>
      </c>
      <c r="BG107" s="33" t="str">
        <f aca="false">IF(A107="","",COUNTIFS('Demo Pipeline'!$Q$5:$Q$504,A107,'Demo Pipeline'!$Y$5:$Y$504,"Closed Won"))</f>
        <v/>
      </c>
      <c r="BH107" s="37" t="str">
        <f aca="false">IF(A107="","",SUMIFS('Demo Pipeline'!$Z$5:$Z$504,'Demo Pipeline'!$Q$5:$Q$504,A107))</f>
        <v/>
      </c>
      <c r="BI107" s="34" t="str">
        <f aca="false">IF(OR(AZ107="",N(AJ107)=0),"",AZ107/AJ107)</f>
        <v/>
      </c>
      <c r="BJ107" s="34" t="str">
        <f aca="false">IF(OR(BB107="",N(AZ107)=0),"",BB107/AZ107)</f>
        <v/>
      </c>
      <c r="BK107" s="34" t="str">
        <f aca="false">IF(OR(A107="",N(BB107)=0),"",BD107/BB107)</f>
        <v/>
      </c>
      <c r="BL107" s="34" t="str">
        <f aca="false">IF(OR(A107="",N(AZ107)=0),"",BD107/AZ107)</f>
        <v/>
      </c>
      <c r="BM107" s="37" t="str">
        <f aca="false">IF(OR(N(Q107)=0,N(BD107)=0),"",Q107/BD107)</f>
        <v/>
      </c>
      <c r="BN107" s="29"/>
      <c r="BO107" s="29"/>
      <c r="BP107" s="33" t="str">
        <f aca="false">IF(OR(AR107="",N(AO107)=0),"",AR107)</f>
        <v/>
      </c>
      <c r="BQ107" s="33" t="str">
        <f aca="false">IF(OR(AR107="",N(S107)=0),"",S107)</f>
        <v/>
      </c>
      <c r="BR107" s="38" t="str">
        <f aca="false">IF(AND(ISNUMBER(B107),B107&gt;=Dashboard!$C$4,B107&lt;=Dashboard!$F$4,ISNUMBER(AU107)),AU107+ROW()/10^9,"")</f>
        <v/>
      </c>
      <c r="BS107" s="38" t="str">
        <f aca="false">IF(AND(ISNUMBER(B107),B107&gt;=Dashboard!$C$4,B107&lt;=Dashboard!$F$4,A107&lt;&gt;""),N(BD107)+N(AU107)/100+ROW()/10^9,"")</f>
        <v/>
      </c>
    </row>
    <row r="108" customFormat="false" ht="15" hidden="false" customHeight="false" outlineLevel="0" collapsed="false">
      <c r="A108" s="24" t="str">
        <f aca="false">IF(OR(B108="",G108="",H108=""),"",IFERROR(INDEX(Settings!$E$5:$E$49,MATCH(G108,Settings!$D$5:$D$49,0))&amp;INDEX(Settings!$H$5:$H$47,MATCH(H108,Settings!$G$5:$G$47,0))&amp;"-"&amp;TEXT(B108,"yymmdd")&amp;"-"&amp;IF(C108="","0000",TEXT(C108,"hhmm")),"CHECK LISTS"))</f>
        <v/>
      </c>
      <c r="B108" s="39"/>
      <c r="C108" s="40"/>
      <c r="D108" s="24" t="str">
        <f aca="false">IF(B108="","",TEXT(B108,"ddd"))</f>
        <v/>
      </c>
      <c r="E108" s="27" t="str">
        <f aca="false">IF(B108="","",B108-WEEKDAY(B108,3))</f>
        <v/>
      </c>
      <c r="F108" s="24" t="str">
        <f aca="false">IF(B108="","",TEXT(B108,"yyyy-mm"))</f>
        <v/>
      </c>
      <c r="G108" s="29"/>
      <c r="H108" s="29"/>
      <c r="I108" s="29"/>
      <c r="J108" s="29"/>
      <c r="K108" s="29"/>
      <c r="L108" s="29"/>
      <c r="M108" s="29"/>
      <c r="N108" s="29"/>
      <c r="O108" s="29"/>
      <c r="P108" s="29"/>
      <c r="Q108" s="30"/>
      <c r="R108" s="29"/>
      <c r="S108" s="32"/>
      <c r="T108" s="29"/>
      <c r="U108" s="29"/>
      <c r="V108" s="24" t="str">
        <f aca="false">IF(A108="","",IFERROR(INDEX(Settings!$F$5:$F$49,MATCH(G108,Settings!$D$5:$D$49,0)),""))</f>
        <v/>
      </c>
      <c r="W108" s="24" t="str">
        <f aca="false">IF(A108="","",IF(OR(P108="",P108="Organic"),"social","paid_social"))</f>
        <v/>
      </c>
      <c r="X108" s="24" t="str">
        <f aca="false">IF(A108="","",IF(K108&lt;&gt;"",IFERROR(INDEX('Case Studies'!$C$5:$C$54,MATCH(K108,'Case Studies'!$B$5:$B$54,0))&amp;"","case-study"),IF(J108&lt;&gt;"",IFERROR(INDEX(Settings!$J$5:$J$55,MATCH(J108,Settings!$I$5:$I$55,0)),"general"),"general")))</f>
        <v/>
      </c>
      <c r="Y108" s="24" t="str">
        <f aca="false">IF(A108="","",LOWER(A108))</f>
        <v/>
      </c>
      <c r="Z108" s="24" t="str">
        <f aca="false">IF(A108="","",IF(T108="",Settings!$B$5,T108)&amp;IF(ISNUMBER(FIND("?",IF(T108="",Settings!$B$5,T108))),"&amp;","?")&amp;"utm_source="&amp;V108&amp;"&amp;utm_medium="&amp;W108&amp;"&amp;utm_campaign="&amp;X108&amp;"&amp;utm_content="&amp;Y108)</f>
        <v/>
      </c>
      <c r="AA108" s="29"/>
      <c r="AB108" s="39"/>
      <c r="AC108" s="32"/>
      <c r="AD108" s="32"/>
      <c r="AE108" s="32"/>
      <c r="AF108" s="32"/>
      <c r="AG108" s="32"/>
      <c r="AH108" s="32"/>
      <c r="AI108" s="32"/>
      <c r="AJ108" s="32"/>
      <c r="AK108" s="32"/>
      <c r="AL108" s="32"/>
      <c r="AM108" s="32"/>
      <c r="AN108" s="32"/>
      <c r="AO108" s="33" t="str">
        <f aca="false">IF(A108="","",IF(AD108&lt;&gt;"",AD108,IF(AC108&lt;&gt;"",AC108,"")))</f>
        <v/>
      </c>
      <c r="AP108" s="24" t="str">
        <f aca="false">IF(AO108="","",IF(AD108&lt;&gt;"","Reported reach","Impressions (proxy)"))</f>
        <v/>
      </c>
      <c r="AQ108" s="34" t="str">
        <f aca="false">IF(OR(AO108="",N(S108)=0),"",AO108/S108)</f>
        <v/>
      </c>
      <c r="AR108" s="33" t="str">
        <f aca="false">IF(A108="","",IF(COUNT(AF108:AJ108)=0,"",SUM(AF108:AJ108)))</f>
        <v/>
      </c>
      <c r="AS108" s="34" t="str">
        <f aca="false">IF(OR(AR108="",N(AO108)=0),"",AR108/AO108)</f>
        <v/>
      </c>
      <c r="AT108" s="34" t="str">
        <f aca="false">IF(OR(AR108="",N(AC108)=0),"",AR108/AC108)</f>
        <v/>
      </c>
      <c r="AU108" s="34" t="str">
        <f aca="false">IF(OR(AR108="",N(S108)=0),"",AR108/S108)</f>
        <v/>
      </c>
      <c r="AV108" s="34" t="str">
        <f aca="false">IF(OR(AJ108="",N(AC108)=0),"",AJ108/AC108)</f>
        <v/>
      </c>
      <c r="AW108" s="34" t="str">
        <f aca="false">IF(OR(AH108="",N(AO108)=0),"",AH108/AO108)</f>
        <v/>
      </c>
      <c r="AX108" s="35" t="str">
        <f aca="false">IF(OR(AR108="",N(AO108)=0),"",(N(AF108)*Settings!$B$6+N(AG108)*Settings!$B$7+N(AH108)*Settings!$B$8+N(AI108)*Settings!$B$9+N(AJ108)*Settings!$B$10)/AO108*1000)</f>
        <v/>
      </c>
      <c r="AY108" s="36" t="str">
        <f aca="false">IF(AS108="","",IFERROR(AS108/AVERAGEIFS('Post Tracker'!$AS$5:$AS$1004,'Post Tracker'!$G$5:$G$1004,G108),""))</f>
        <v/>
      </c>
      <c r="AZ108" s="32"/>
      <c r="BA108" s="32"/>
      <c r="BB108" s="32"/>
      <c r="BC108" s="32"/>
      <c r="BD108" s="33" t="str">
        <f aca="false">IF(A108="","",COUNTIFS('Demo Pipeline'!$Q$5:$Q$504,A108))</f>
        <v/>
      </c>
      <c r="BE108" s="33" t="str">
        <f aca="false">IF(A108="","",COUNTIFS('Demo Pipeline'!$Q$5:$Q$504,A108,'Demo Pipeline'!$W$5:$W$504,"Attended"))</f>
        <v/>
      </c>
      <c r="BF108" s="33" t="str">
        <f aca="false">IF(A108="","",COUNTIFS('Demo Pipeline'!$Q$5:$Q$504,A108,'Demo Pipeline'!$X$5:$X$504,"Yes"))</f>
        <v/>
      </c>
      <c r="BG108" s="33" t="str">
        <f aca="false">IF(A108="","",COUNTIFS('Demo Pipeline'!$Q$5:$Q$504,A108,'Demo Pipeline'!$Y$5:$Y$504,"Closed Won"))</f>
        <v/>
      </c>
      <c r="BH108" s="37" t="str">
        <f aca="false">IF(A108="","",SUMIFS('Demo Pipeline'!$Z$5:$Z$504,'Demo Pipeline'!$Q$5:$Q$504,A108))</f>
        <v/>
      </c>
      <c r="BI108" s="34" t="str">
        <f aca="false">IF(OR(AZ108="",N(AJ108)=0),"",AZ108/AJ108)</f>
        <v/>
      </c>
      <c r="BJ108" s="34" t="str">
        <f aca="false">IF(OR(BB108="",N(AZ108)=0),"",BB108/AZ108)</f>
        <v/>
      </c>
      <c r="BK108" s="34" t="str">
        <f aca="false">IF(OR(A108="",N(BB108)=0),"",BD108/BB108)</f>
        <v/>
      </c>
      <c r="BL108" s="34" t="str">
        <f aca="false">IF(OR(A108="",N(AZ108)=0),"",BD108/AZ108)</f>
        <v/>
      </c>
      <c r="BM108" s="37" t="str">
        <f aca="false">IF(OR(N(Q108)=0,N(BD108)=0),"",Q108/BD108)</f>
        <v/>
      </c>
      <c r="BN108" s="29"/>
      <c r="BO108" s="29"/>
      <c r="BP108" s="33" t="str">
        <f aca="false">IF(OR(AR108="",N(AO108)=0),"",AR108)</f>
        <v/>
      </c>
      <c r="BQ108" s="33" t="str">
        <f aca="false">IF(OR(AR108="",N(S108)=0),"",S108)</f>
        <v/>
      </c>
      <c r="BR108" s="38" t="str">
        <f aca="false">IF(AND(ISNUMBER(B108),B108&gt;=Dashboard!$C$4,B108&lt;=Dashboard!$F$4,ISNUMBER(AU108)),AU108+ROW()/10^9,"")</f>
        <v/>
      </c>
      <c r="BS108" s="38" t="str">
        <f aca="false">IF(AND(ISNUMBER(B108),B108&gt;=Dashboard!$C$4,B108&lt;=Dashboard!$F$4,A108&lt;&gt;""),N(BD108)+N(AU108)/100+ROW()/10^9,"")</f>
        <v/>
      </c>
    </row>
    <row r="109" customFormat="false" ht="15" hidden="false" customHeight="false" outlineLevel="0" collapsed="false">
      <c r="A109" s="24" t="str">
        <f aca="false">IF(OR(B109="",G109="",H109=""),"",IFERROR(INDEX(Settings!$E$5:$E$49,MATCH(G109,Settings!$D$5:$D$49,0))&amp;INDEX(Settings!$H$5:$H$47,MATCH(H109,Settings!$G$5:$G$47,0))&amp;"-"&amp;TEXT(B109,"yymmdd")&amp;"-"&amp;IF(C109="","0000",TEXT(C109,"hhmm")),"CHECK LISTS"))</f>
        <v/>
      </c>
      <c r="B109" s="39"/>
      <c r="C109" s="40"/>
      <c r="D109" s="24" t="str">
        <f aca="false">IF(B109="","",TEXT(B109,"ddd"))</f>
        <v/>
      </c>
      <c r="E109" s="27" t="str">
        <f aca="false">IF(B109="","",B109-WEEKDAY(B109,3))</f>
        <v/>
      </c>
      <c r="F109" s="24" t="str">
        <f aca="false">IF(B109="","",TEXT(B109,"yyyy-mm"))</f>
        <v/>
      </c>
      <c r="G109" s="29"/>
      <c r="H109" s="29"/>
      <c r="I109" s="29"/>
      <c r="J109" s="29"/>
      <c r="K109" s="29"/>
      <c r="L109" s="29"/>
      <c r="M109" s="29"/>
      <c r="N109" s="29"/>
      <c r="O109" s="29"/>
      <c r="P109" s="29"/>
      <c r="Q109" s="30"/>
      <c r="R109" s="29"/>
      <c r="S109" s="32"/>
      <c r="T109" s="29"/>
      <c r="U109" s="29"/>
      <c r="V109" s="24" t="str">
        <f aca="false">IF(A109="","",IFERROR(INDEX(Settings!$F$5:$F$49,MATCH(G109,Settings!$D$5:$D$49,0)),""))</f>
        <v/>
      </c>
      <c r="W109" s="24" t="str">
        <f aca="false">IF(A109="","",IF(OR(P109="",P109="Organic"),"social","paid_social"))</f>
        <v/>
      </c>
      <c r="X109" s="24" t="str">
        <f aca="false">IF(A109="","",IF(K109&lt;&gt;"",IFERROR(INDEX('Case Studies'!$C$5:$C$54,MATCH(K109,'Case Studies'!$B$5:$B$54,0))&amp;"","case-study"),IF(J109&lt;&gt;"",IFERROR(INDEX(Settings!$J$5:$J$55,MATCH(J109,Settings!$I$5:$I$55,0)),"general"),"general")))</f>
        <v/>
      </c>
      <c r="Y109" s="24" t="str">
        <f aca="false">IF(A109="","",LOWER(A109))</f>
        <v/>
      </c>
      <c r="Z109" s="24" t="str">
        <f aca="false">IF(A109="","",IF(T109="",Settings!$B$5,T109)&amp;IF(ISNUMBER(FIND("?",IF(T109="",Settings!$B$5,T109))),"&amp;","?")&amp;"utm_source="&amp;V109&amp;"&amp;utm_medium="&amp;W109&amp;"&amp;utm_campaign="&amp;X109&amp;"&amp;utm_content="&amp;Y109)</f>
        <v/>
      </c>
      <c r="AA109" s="29"/>
      <c r="AB109" s="39"/>
      <c r="AC109" s="32"/>
      <c r="AD109" s="32"/>
      <c r="AE109" s="32"/>
      <c r="AF109" s="32"/>
      <c r="AG109" s="32"/>
      <c r="AH109" s="32"/>
      <c r="AI109" s="32"/>
      <c r="AJ109" s="32"/>
      <c r="AK109" s="32"/>
      <c r="AL109" s="32"/>
      <c r="AM109" s="32"/>
      <c r="AN109" s="32"/>
      <c r="AO109" s="33" t="str">
        <f aca="false">IF(A109="","",IF(AD109&lt;&gt;"",AD109,IF(AC109&lt;&gt;"",AC109,"")))</f>
        <v/>
      </c>
      <c r="AP109" s="24" t="str">
        <f aca="false">IF(AO109="","",IF(AD109&lt;&gt;"","Reported reach","Impressions (proxy)"))</f>
        <v/>
      </c>
      <c r="AQ109" s="34" t="str">
        <f aca="false">IF(OR(AO109="",N(S109)=0),"",AO109/S109)</f>
        <v/>
      </c>
      <c r="AR109" s="33" t="str">
        <f aca="false">IF(A109="","",IF(COUNT(AF109:AJ109)=0,"",SUM(AF109:AJ109)))</f>
        <v/>
      </c>
      <c r="AS109" s="34" t="str">
        <f aca="false">IF(OR(AR109="",N(AO109)=0),"",AR109/AO109)</f>
        <v/>
      </c>
      <c r="AT109" s="34" t="str">
        <f aca="false">IF(OR(AR109="",N(AC109)=0),"",AR109/AC109)</f>
        <v/>
      </c>
      <c r="AU109" s="34" t="str">
        <f aca="false">IF(OR(AR109="",N(S109)=0),"",AR109/S109)</f>
        <v/>
      </c>
      <c r="AV109" s="34" t="str">
        <f aca="false">IF(OR(AJ109="",N(AC109)=0),"",AJ109/AC109)</f>
        <v/>
      </c>
      <c r="AW109" s="34" t="str">
        <f aca="false">IF(OR(AH109="",N(AO109)=0),"",AH109/AO109)</f>
        <v/>
      </c>
      <c r="AX109" s="35" t="str">
        <f aca="false">IF(OR(AR109="",N(AO109)=0),"",(N(AF109)*Settings!$B$6+N(AG109)*Settings!$B$7+N(AH109)*Settings!$B$8+N(AI109)*Settings!$B$9+N(AJ109)*Settings!$B$10)/AO109*1000)</f>
        <v/>
      </c>
      <c r="AY109" s="36" t="str">
        <f aca="false">IF(AS109="","",IFERROR(AS109/AVERAGEIFS('Post Tracker'!$AS$5:$AS$1004,'Post Tracker'!$G$5:$G$1004,G109),""))</f>
        <v/>
      </c>
      <c r="AZ109" s="32"/>
      <c r="BA109" s="32"/>
      <c r="BB109" s="32"/>
      <c r="BC109" s="32"/>
      <c r="BD109" s="33" t="str">
        <f aca="false">IF(A109="","",COUNTIFS('Demo Pipeline'!$Q$5:$Q$504,A109))</f>
        <v/>
      </c>
      <c r="BE109" s="33" t="str">
        <f aca="false">IF(A109="","",COUNTIFS('Demo Pipeline'!$Q$5:$Q$504,A109,'Demo Pipeline'!$W$5:$W$504,"Attended"))</f>
        <v/>
      </c>
      <c r="BF109" s="33" t="str">
        <f aca="false">IF(A109="","",COUNTIFS('Demo Pipeline'!$Q$5:$Q$504,A109,'Demo Pipeline'!$X$5:$X$504,"Yes"))</f>
        <v/>
      </c>
      <c r="BG109" s="33" t="str">
        <f aca="false">IF(A109="","",COUNTIFS('Demo Pipeline'!$Q$5:$Q$504,A109,'Demo Pipeline'!$Y$5:$Y$504,"Closed Won"))</f>
        <v/>
      </c>
      <c r="BH109" s="37" t="str">
        <f aca="false">IF(A109="","",SUMIFS('Demo Pipeline'!$Z$5:$Z$504,'Demo Pipeline'!$Q$5:$Q$504,A109))</f>
        <v/>
      </c>
      <c r="BI109" s="34" t="str">
        <f aca="false">IF(OR(AZ109="",N(AJ109)=0),"",AZ109/AJ109)</f>
        <v/>
      </c>
      <c r="BJ109" s="34" t="str">
        <f aca="false">IF(OR(BB109="",N(AZ109)=0),"",BB109/AZ109)</f>
        <v/>
      </c>
      <c r="BK109" s="34" t="str">
        <f aca="false">IF(OR(A109="",N(BB109)=0),"",BD109/BB109)</f>
        <v/>
      </c>
      <c r="BL109" s="34" t="str">
        <f aca="false">IF(OR(A109="",N(AZ109)=0),"",BD109/AZ109)</f>
        <v/>
      </c>
      <c r="BM109" s="37" t="str">
        <f aca="false">IF(OR(N(Q109)=0,N(BD109)=0),"",Q109/BD109)</f>
        <v/>
      </c>
      <c r="BN109" s="29"/>
      <c r="BO109" s="29"/>
      <c r="BP109" s="33" t="str">
        <f aca="false">IF(OR(AR109="",N(AO109)=0),"",AR109)</f>
        <v/>
      </c>
      <c r="BQ109" s="33" t="str">
        <f aca="false">IF(OR(AR109="",N(S109)=0),"",S109)</f>
        <v/>
      </c>
      <c r="BR109" s="38" t="str">
        <f aca="false">IF(AND(ISNUMBER(B109),B109&gt;=Dashboard!$C$4,B109&lt;=Dashboard!$F$4,ISNUMBER(AU109)),AU109+ROW()/10^9,"")</f>
        <v/>
      </c>
      <c r="BS109" s="38" t="str">
        <f aca="false">IF(AND(ISNUMBER(B109),B109&gt;=Dashboard!$C$4,B109&lt;=Dashboard!$F$4,A109&lt;&gt;""),N(BD109)+N(AU109)/100+ROW()/10^9,"")</f>
        <v/>
      </c>
    </row>
    <row r="110" customFormat="false" ht="15" hidden="false" customHeight="false" outlineLevel="0" collapsed="false">
      <c r="A110" s="24" t="str">
        <f aca="false">IF(OR(B110="",G110="",H110=""),"",IFERROR(INDEX(Settings!$E$5:$E$49,MATCH(G110,Settings!$D$5:$D$49,0))&amp;INDEX(Settings!$H$5:$H$47,MATCH(H110,Settings!$G$5:$G$47,0))&amp;"-"&amp;TEXT(B110,"yymmdd")&amp;"-"&amp;IF(C110="","0000",TEXT(C110,"hhmm")),"CHECK LISTS"))</f>
        <v/>
      </c>
      <c r="B110" s="39"/>
      <c r="C110" s="40"/>
      <c r="D110" s="24" t="str">
        <f aca="false">IF(B110="","",TEXT(B110,"ddd"))</f>
        <v/>
      </c>
      <c r="E110" s="27" t="str">
        <f aca="false">IF(B110="","",B110-WEEKDAY(B110,3))</f>
        <v/>
      </c>
      <c r="F110" s="24" t="str">
        <f aca="false">IF(B110="","",TEXT(B110,"yyyy-mm"))</f>
        <v/>
      </c>
      <c r="G110" s="29"/>
      <c r="H110" s="29"/>
      <c r="I110" s="29"/>
      <c r="J110" s="29"/>
      <c r="K110" s="29"/>
      <c r="L110" s="29"/>
      <c r="M110" s="29"/>
      <c r="N110" s="29"/>
      <c r="O110" s="29"/>
      <c r="P110" s="29"/>
      <c r="Q110" s="30"/>
      <c r="R110" s="29"/>
      <c r="S110" s="32"/>
      <c r="T110" s="29"/>
      <c r="U110" s="29"/>
      <c r="V110" s="24" t="str">
        <f aca="false">IF(A110="","",IFERROR(INDEX(Settings!$F$5:$F$49,MATCH(G110,Settings!$D$5:$D$49,0)),""))</f>
        <v/>
      </c>
      <c r="W110" s="24" t="str">
        <f aca="false">IF(A110="","",IF(OR(P110="",P110="Organic"),"social","paid_social"))</f>
        <v/>
      </c>
      <c r="X110" s="24" t="str">
        <f aca="false">IF(A110="","",IF(K110&lt;&gt;"",IFERROR(INDEX('Case Studies'!$C$5:$C$54,MATCH(K110,'Case Studies'!$B$5:$B$54,0))&amp;"","case-study"),IF(J110&lt;&gt;"",IFERROR(INDEX(Settings!$J$5:$J$55,MATCH(J110,Settings!$I$5:$I$55,0)),"general"),"general")))</f>
        <v/>
      </c>
      <c r="Y110" s="24" t="str">
        <f aca="false">IF(A110="","",LOWER(A110))</f>
        <v/>
      </c>
      <c r="Z110" s="24" t="str">
        <f aca="false">IF(A110="","",IF(T110="",Settings!$B$5,T110)&amp;IF(ISNUMBER(FIND("?",IF(T110="",Settings!$B$5,T110))),"&amp;","?")&amp;"utm_source="&amp;V110&amp;"&amp;utm_medium="&amp;W110&amp;"&amp;utm_campaign="&amp;X110&amp;"&amp;utm_content="&amp;Y110)</f>
        <v/>
      </c>
      <c r="AA110" s="29"/>
      <c r="AB110" s="39"/>
      <c r="AC110" s="32"/>
      <c r="AD110" s="32"/>
      <c r="AE110" s="32"/>
      <c r="AF110" s="32"/>
      <c r="AG110" s="32"/>
      <c r="AH110" s="32"/>
      <c r="AI110" s="32"/>
      <c r="AJ110" s="32"/>
      <c r="AK110" s="32"/>
      <c r="AL110" s="32"/>
      <c r="AM110" s="32"/>
      <c r="AN110" s="32"/>
      <c r="AO110" s="33" t="str">
        <f aca="false">IF(A110="","",IF(AD110&lt;&gt;"",AD110,IF(AC110&lt;&gt;"",AC110,"")))</f>
        <v/>
      </c>
      <c r="AP110" s="24" t="str">
        <f aca="false">IF(AO110="","",IF(AD110&lt;&gt;"","Reported reach","Impressions (proxy)"))</f>
        <v/>
      </c>
      <c r="AQ110" s="34" t="str">
        <f aca="false">IF(OR(AO110="",N(S110)=0),"",AO110/S110)</f>
        <v/>
      </c>
      <c r="AR110" s="33" t="str">
        <f aca="false">IF(A110="","",IF(COUNT(AF110:AJ110)=0,"",SUM(AF110:AJ110)))</f>
        <v/>
      </c>
      <c r="AS110" s="34" t="str">
        <f aca="false">IF(OR(AR110="",N(AO110)=0),"",AR110/AO110)</f>
        <v/>
      </c>
      <c r="AT110" s="34" t="str">
        <f aca="false">IF(OR(AR110="",N(AC110)=0),"",AR110/AC110)</f>
        <v/>
      </c>
      <c r="AU110" s="34" t="str">
        <f aca="false">IF(OR(AR110="",N(S110)=0),"",AR110/S110)</f>
        <v/>
      </c>
      <c r="AV110" s="34" t="str">
        <f aca="false">IF(OR(AJ110="",N(AC110)=0),"",AJ110/AC110)</f>
        <v/>
      </c>
      <c r="AW110" s="34" t="str">
        <f aca="false">IF(OR(AH110="",N(AO110)=0),"",AH110/AO110)</f>
        <v/>
      </c>
      <c r="AX110" s="35" t="str">
        <f aca="false">IF(OR(AR110="",N(AO110)=0),"",(N(AF110)*Settings!$B$6+N(AG110)*Settings!$B$7+N(AH110)*Settings!$B$8+N(AI110)*Settings!$B$9+N(AJ110)*Settings!$B$10)/AO110*1000)</f>
        <v/>
      </c>
      <c r="AY110" s="36" t="str">
        <f aca="false">IF(AS110="","",IFERROR(AS110/AVERAGEIFS('Post Tracker'!$AS$5:$AS$1004,'Post Tracker'!$G$5:$G$1004,G110),""))</f>
        <v/>
      </c>
      <c r="AZ110" s="32"/>
      <c r="BA110" s="32"/>
      <c r="BB110" s="32"/>
      <c r="BC110" s="32"/>
      <c r="BD110" s="33" t="str">
        <f aca="false">IF(A110="","",COUNTIFS('Demo Pipeline'!$Q$5:$Q$504,A110))</f>
        <v/>
      </c>
      <c r="BE110" s="33" t="str">
        <f aca="false">IF(A110="","",COUNTIFS('Demo Pipeline'!$Q$5:$Q$504,A110,'Demo Pipeline'!$W$5:$W$504,"Attended"))</f>
        <v/>
      </c>
      <c r="BF110" s="33" t="str">
        <f aca="false">IF(A110="","",COUNTIFS('Demo Pipeline'!$Q$5:$Q$504,A110,'Demo Pipeline'!$X$5:$X$504,"Yes"))</f>
        <v/>
      </c>
      <c r="BG110" s="33" t="str">
        <f aca="false">IF(A110="","",COUNTIFS('Demo Pipeline'!$Q$5:$Q$504,A110,'Demo Pipeline'!$Y$5:$Y$504,"Closed Won"))</f>
        <v/>
      </c>
      <c r="BH110" s="37" t="str">
        <f aca="false">IF(A110="","",SUMIFS('Demo Pipeline'!$Z$5:$Z$504,'Demo Pipeline'!$Q$5:$Q$504,A110))</f>
        <v/>
      </c>
      <c r="BI110" s="34" t="str">
        <f aca="false">IF(OR(AZ110="",N(AJ110)=0),"",AZ110/AJ110)</f>
        <v/>
      </c>
      <c r="BJ110" s="34" t="str">
        <f aca="false">IF(OR(BB110="",N(AZ110)=0),"",BB110/AZ110)</f>
        <v/>
      </c>
      <c r="BK110" s="34" t="str">
        <f aca="false">IF(OR(A110="",N(BB110)=0),"",BD110/BB110)</f>
        <v/>
      </c>
      <c r="BL110" s="34" t="str">
        <f aca="false">IF(OR(A110="",N(AZ110)=0),"",BD110/AZ110)</f>
        <v/>
      </c>
      <c r="BM110" s="37" t="str">
        <f aca="false">IF(OR(N(Q110)=0,N(BD110)=0),"",Q110/BD110)</f>
        <v/>
      </c>
      <c r="BN110" s="29"/>
      <c r="BO110" s="29"/>
      <c r="BP110" s="33" t="str">
        <f aca="false">IF(OR(AR110="",N(AO110)=0),"",AR110)</f>
        <v/>
      </c>
      <c r="BQ110" s="33" t="str">
        <f aca="false">IF(OR(AR110="",N(S110)=0),"",S110)</f>
        <v/>
      </c>
      <c r="BR110" s="38" t="str">
        <f aca="false">IF(AND(ISNUMBER(B110),B110&gt;=Dashboard!$C$4,B110&lt;=Dashboard!$F$4,ISNUMBER(AU110)),AU110+ROW()/10^9,"")</f>
        <v/>
      </c>
      <c r="BS110" s="38" t="str">
        <f aca="false">IF(AND(ISNUMBER(B110),B110&gt;=Dashboard!$C$4,B110&lt;=Dashboard!$F$4,A110&lt;&gt;""),N(BD110)+N(AU110)/100+ROW()/10^9,"")</f>
        <v/>
      </c>
    </row>
    <row r="111" customFormat="false" ht="15" hidden="false" customHeight="false" outlineLevel="0" collapsed="false">
      <c r="A111" s="24" t="str">
        <f aca="false">IF(OR(B111="",G111="",H111=""),"",IFERROR(INDEX(Settings!$E$5:$E$49,MATCH(G111,Settings!$D$5:$D$49,0))&amp;INDEX(Settings!$H$5:$H$47,MATCH(H111,Settings!$G$5:$G$47,0))&amp;"-"&amp;TEXT(B111,"yymmdd")&amp;"-"&amp;IF(C111="","0000",TEXT(C111,"hhmm")),"CHECK LISTS"))</f>
        <v/>
      </c>
      <c r="B111" s="39"/>
      <c r="C111" s="40"/>
      <c r="D111" s="24" t="str">
        <f aca="false">IF(B111="","",TEXT(B111,"ddd"))</f>
        <v/>
      </c>
      <c r="E111" s="27" t="str">
        <f aca="false">IF(B111="","",B111-WEEKDAY(B111,3))</f>
        <v/>
      </c>
      <c r="F111" s="24" t="str">
        <f aca="false">IF(B111="","",TEXT(B111,"yyyy-mm"))</f>
        <v/>
      </c>
      <c r="G111" s="29"/>
      <c r="H111" s="29"/>
      <c r="I111" s="29"/>
      <c r="J111" s="29"/>
      <c r="K111" s="29"/>
      <c r="L111" s="29"/>
      <c r="M111" s="29"/>
      <c r="N111" s="29"/>
      <c r="O111" s="29"/>
      <c r="P111" s="29"/>
      <c r="Q111" s="30"/>
      <c r="R111" s="29"/>
      <c r="S111" s="32"/>
      <c r="T111" s="29"/>
      <c r="U111" s="29"/>
      <c r="V111" s="24" t="str">
        <f aca="false">IF(A111="","",IFERROR(INDEX(Settings!$F$5:$F$49,MATCH(G111,Settings!$D$5:$D$49,0)),""))</f>
        <v/>
      </c>
      <c r="W111" s="24" t="str">
        <f aca="false">IF(A111="","",IF(OR(P111="",P111="Organic"),"social","paid_social"))</f>
        <v/>
      </c>
      <c r="X111" s="24" t="str">
        <f aca="false">IF(A111="","",IF(K111&lt;&gt;"",IFERROR(INDEX('Case Studies'!$C$5:$C$54,MATCH(K111,'Case Studies'!$B$5:$B$54,0))&amp;"","case-study"),IF(J111&lt;&gt;"",IFERROR(INDEX(Settings!$J$5:$J$55,MATCH(J111,Settings!$I$5:$I$55,0)),"general"),"general")))</f>
        <v/>
      </c>
      <c r="Y111" s="24" t="str">
        <f aca="false">IF(A111="","",LOWER(A111))</f>
        <v/>
      </c>
      <c r="Z111" s="24" t="str">
        <f aca="false">IF(A111="","",IF(T111="",Settings!$B$5,T111)&amp;IF(ISNUMBER(FIND("?",IF(T111="",Settings!$B$5,T111))),"&amp;","?")&amp;"utm_source="&amp;V111&amp;"&amp;utm_medium="&amp;W111&amp;"&amp;utm_campaign="&amp;X111&amp;"&amp;utm_content="&amp;Y111)</f>
        <v/>
      </c>
      <c r="AA111" s="29"/>
      <c r="AB111" s="39"/>
      <c r="AC111" s="32"/>
      <c r="AD111" s="32"/>
      <c r="AE111" s="32"/>
      <c r="AF111" s="32"/>
      <c r="AG111" s="32"/>
      <c r="AH111" s="32"/>
      <c r="AI111" s="32"/>
      <c r="AJ111" s="32"/>
      <c r="AK111" s="32"/>
      <c r="AL111" s="32"/>
      <c r="AM111" s="32"/>
      <c r="AN111" s="32"/>
      <c r="AO111" s="33" t="str">
        <f aca="false">IF(A111="","",IF(AD111&lt;&gt;"",AD111,IF(AC111&lt;&gt;"",AC111,"")))</f>
        <v/>
      </c>
      <c r="AP111" s="24" t="str">
        <f aca="false">IF(AO111="","",IF(AD111&lt;&gt;"","Reported reach","Impressions (proxy)"))</f>
        <v/>
      </c>
      <c r="AQ111" s="34" t="str">
        <f aca="false">IF(OR(AO111="",N(S111)=0),"",AO111/S111)</f>
        <v/>
      </c>
      <c r="AR111" s="33" t="str">
        <f aca="false">IF(A111="","",IF(COUNT(AF111:AJ111)=0,"",SUM(AF111:AJ111)))</f>
        <v/>
      </c>
      <c r="AS111" s="34" t="str">
        <f aca="false">IF(OR(AR111="",N(AO111)=0),"",AR111/AO111)</f>
        <v/>
      </c>
      <c r="AT111" s="34" t="str">
        <f aca="false">IF(OR(AR111="",N(AC111)=0),"",AR111/AC111)</f>
        <v/>
      </c>
      <c r="AU111" s="34" t="str">
        <f aca="false">IF(OR(AR111="",N(S111)=0),"",AR111/S111)</f>
        <v/>
      </c>
      <c r="AV111" s="34" t="str">
        <f aca="false">IF(OR(AJ111="",N(AC111)=0),"",AJ111/AC111)</f>
        <v/>
      </c>
      <c r="AW111" s="34" t="str">
        <f aca="false">IF(OR(AH111="",N(AO111)=0),"",AH111/AO111)</f>
        <v/>
      </c>
      <c r="AX111" s="35" t="str">
        <f aca="false">IF(OR(AR111="",N(AO111)=0),"",(N(AF111)*Settings!$B$6+N(AG111)*Settings!$B$7+N(AH111)*Settings!$B$8+N(AI111)*Settings!$B$9+N(AJ111)*Settings!$B$10)/AO111*1000)</f>
        <v/>
      </c>
      <c r="AY111" s="36" t="str">
        <f aca="false">IF(AS111="","",IFERROR(AS111/AVERAGEIFS('Post Tracker'!$AS$5:$AS$1004,'Post Tracker'!$G$5:$G$1004,G111),""))</f>
        <v/>
      </c>
      <c r="AZ111" s="32"/>
      <c r="BA111" s="32"/>
      <c r="BB111" s="32"/>
      <c r="BC111" s="32"/>
      <c r="BD111" s="33" t="str">
        <f aca="false">IF(A111="","",COUNTIFS('Demo Pipeline'!$Q$5:$Q$504,A111))</f>
        <v/>
      </c>
      <c r="BE111" s="33" t="str">
        <f aca="false">IF(A111="","",COUNTIFS('Demo Pipeline'!$Q$5:$Q$504,A111,'Demo Pipeline'!$W$5:$W$504,"Attended"))</f>
        <v/>
      </c>
      <c r="BF111" s="33" t="str">
        <f aca="false">IF(A111="","",COUNTIFS('Demo Pipeline'!$Q$5:$Q$504,A111,'Demo Pipeline'!$X$5:$X$504,"Yes"))</f>
        <v/>
      </c>
      <c r="BG111" s="33" t="str">
        <f aca="false">IF(A111="","",COUNTIFS('Demo Pipeline'!$Q$5:$Q$504,A111,'Demo Pipeline'!$Y$5:$Y$504,"Closed Won"))</f>
        <v/>
      </c>
      <c r="BH111" s="37" t="str">
        <f aca="false">IF(A111="","",SUMIFS('Demo Pipeline'!$Z$5:$Z$504,'Demo Pipeline'!$Q$5:$Q$504,A111))</f>
        <v/>
      </c>
      <c r="BI111" s="34" t="str">
        <f aca="false">IF(OR(AZ111="",N(AJ111)=0),"",AZ111/AJ111)</f>
        <v/>
      </c>
      <c r="BJ111" s="34" t="str">
        <f aca="false">IF(OR(BB111="",N(AZ111)=0),"",BB111/AZ111)</f>
        <v/>
      </c>
      <c r="BK111" s="34" t="str">
        <f aca="false">IF(OR(A111="",N(BB111)=0),"",BD111/BB111)</f>
        <v/>
      </c>
      <c r="BL111" s="34" t="str">
        <f aca="false">IF(OR(A111="",N(AZ111)=0),"",BD111/AZ111)</f>
        <v/>
      </c>
      <c r="BM111" s="37" t="str">
        <f aca="false">IF(OR(N(Q111)=0,N(BD111)=0),"",Q111/BD111)</f>
        <v/>
      </c>
      <c r="BN111" s="29"/>
      <c r="BO111" s="29"/>
      <c r="BP111" s="33" t="str">
        <f aca="false">IF(OR(AR111="",N(AO111)=0),"",AR111)</f>
        <v/>
      </c>
      <c r="BQ111" s="33" t="str">
        <f aca="false">IF(OR(AR111="",N(S111)=0),"",S111)</f>
        <v/>
      </c>
      <c r="BR111" s="38" t="str">
        <f aca="false">IF(AND(ISNUMBER(B111),B111&gt;=Dashboard!$C$4,B111&lt;=Dashboard!$F$4,ISNUMBER(AU111)),AU111+ROW()/10^9,"")</f>
        <v/>
      </c>
      <c r="BS111" s="38" t="str">
        <f aca="false">IF(AND(ISNUMBER(B111),B111&gt;=Dashboard!$C$4,B111&lt;=Dashboard!$F$4,A111&lt;&gt;""),N(BD111)+N(AU111)/100+ROW()/10^9,"")</f>
        <v/>
      </c>
    </row>
    <row r="112" customFormat="false" ht="15" hidden="false" customHeight="false" outlineLevel="0" collapsed="false">
      <c r="A112" s="24" t="str">
        <f aca="false">IF(OR(B112="",G112="",H112=""),"",IFERROR(INDEX(Settings!$E$5:$E$49,MATCH(G112,Settings!$D$5:$D$49,0))&amp;INDEX(Settings!$H$5:$H$47,MATCH(H112,Settings!$G$5:$G$47,0))&amp;"-"&amp;TEXT(B112,"yymmdd")&amp;"-"&amp;IF(C112="","0000",TEXT(C112,"hhmm")),"CHECK LISTS"))</f>
        <v/>
      </c>
      <c r="B112" s="39"/>
      <c r="C112" s="40"/>
      <c r="D112" s="24" t="str">
        <f aca="false">IF(B112="","",TEXT(B112,"ddd"))</f>
        <v/>
      </c>
      <c r="E112" s="27" t="str">
        <f aca="false">IF(B112="","",B112-WEEKDAY(B112,3))</f>
        <v/>
      </c>
      <c r="F112" s="24" t="str">
        <f aca="false">IF(B112="","",TEXT(B112,"yyyy-mm"))</f>
        <v/>
      </c>
      <c r="G112" s="29"/>
      <c r="H112" s="29"/>
      <c r="I112" s="29"/>
      <c r="J112" s="29"/>
      <c r="K112" s="29"/>
      <c r="L112" s="29"/>
      <c r="M112" s="29"/>
      <c r="N112" s="29"/>
      <c r="O112" s="29"/>
      <c r="P112" s="29"/>
      <c r="Q112" s="30"/>
      <c r="R112" s="29"/>
      <c r="S112" s="32"/>
      <c r="T112" s="29"/>
      <c r="U112" s="29"/>
      <c r="V112" s="24" t="str">
        <f aca="false">IF(A112="","",IFERROR(INDEX(Settings!$F$5:$F$49,MATCH(G112,Settings!$D$5:$D$49,0)),""))</f>
        <v/>
      </c>
      <c r="W112" s="24" t="str">
        <f aca="false">IF(A112="","",IF(OR(P112="",P112="Organic"),"social","paid_social"))</f>
        <v/>
      </c>
      <c r="X112" s="24" t="str">
        <f aca="false">IF(A112="","",IF(K112&lt;&gt;"",IFERROR(INDEX('Case Studies'!$C$5:$C$54,MATCH(K112,'Case Studies'!$B$5:$B$54,0))&amp;"","case-study"),IF(J112&lt;&gt;"",IFERROR(INDEX(Settings!$J$5:$J$55,MATCH(J112,Settings!$I$5:$I$55,0)),"general"),"general")))</f>
        <v/>
      </c>
      <c r="Y112" s="24" t="str">
        <f aca="false">IF(A112="","",LOWER(A112))</f>
        <v/>
      </c>
      <c r="Z112" s="24" t="str">
        <f aca="false">IF(A112="","",IF(T112="",Settings!$B$5,T112)&amp;IF(ISNUMBER(FIND("?",IF(T112="",Settings!$B$5,T112))),"&amp;","?")&amp;"utm_source="&amp;V112&amp;"&amp;utm_medium="&amp;W112&amp;"&amp;utm_campaign="&amp;X112&amp;"&amp;utm_content="&amp;Y112)</f>
        <v/>
      </c>
      <c r="AA112" s="29"/>
      <c r="AB112" s="39"/>
      <c r="AC112" s="32"/>
      <c r="AD112" s="32"/>
      <c r="AE112" s="32"/>
      <c r="AF112" s="32"/>
      <c r="AG112" s="32"/>
      <c r="AH112" s="32"/>
      <c r="AI112" s="32"/>
      <c r="AJ112" s="32"/>
      <c r="AK112" s="32"/>
      <c r="AL112" s="32"/>
      <c r="AM112" s="32"/>
      <c r="AN112" s="32"/>
      <c r="AO112" s="33" t="str">
        <f aca="false">IF(A112="","",IF(AD112&lt;&gt;"",AD112,IF(AC112&lt;&gt;"",AC112,"")))</f>
        <v/>
      </c>
      <c r="AP112" s="24" t="str">
        <f aca="false">IF(AO112="","",IF(AD112&lt;&gt;"","Reported reach","Impressions (proxy)"))</f>
        <v/>
      </c>
      <c r="AQ112" s="34" t="str">
        <f aca="false">IF(OR(AO112="",N(S112)=0),"",AO112/S112)</f>
        <v/>
      </c>
      <c r="AR112" s="33" t="str">
        <f aca="false">IF(A112="","",IF(COUNT(AF112:AJ112)=0,"",SUM(AF112:AJ112)))</f>
        <v/>
      </c>
      <c r="AS112" s="34" t="str">
        <f aca="false">IF(OR(AR112="",N(AO112)=0),"",AR112/AO112)</f>
        <v/>
      </c>
      <c r="AT112" s="34" t="str">
        <f aca="false">IF(OR(AR112="",N(AC112)=0),"",AR112/AC112)</f>
        <v/>
      </c>
      <c r="AU112" s="34" t="str">
        <f aca="false">IF(OR(AR112="",N(S112)=0),"",AR112/S112)</f>
        <v/>
      </c>
      <c r="AV112" s="34" t="str">
        <f aca="false">IF(OR(AJ112="",N(AC112)=0),"",AJ112/AC112)</f>
        <v/>
      </c>
      <c r="AW112" s="34" t="str">
        <f aca="false">IF(OR(AH112="",N(AO112)=0),"",AH112/AO112)</f>
        <v/>
      </c>
      <c r="AX112" s="35" t="str">
        <f aca="false">IF(OR(AR112="",N(AO112)=0),"",(N(AF112)*Settings!$B$6+N(AG112)*Settings!$B$7+N(AH112)*Settings!$B$8+N(AI112)*Settings!$B$9+N(AJ112)*Settings!$B$10)/AO112*1000)</f>
        <v/>
      </c>
      <c r="AY112" s="36" t="str">
        <f aca="false">IF(AS112="","",IFERROR(AS112/AVERAGEIFS('Post Tracker'!$AS$5:$AS$1004,'Post Tracker'!$G$5:$G$1004,G112),""))</f>
        <v/>
      </c>
      <c r="AZ112" s="32"/>
      <c r="BA112" s="32"/>
      <c r="BB112" s="32"/>
      <c r="BC112" s="32"/>
      <c r="BD112" s="33" t="str">
        <f aca="false">IF(A112="","",COUNTIFS('Demo Pipeline'!$Q$5:$Q$504,A112))</f>
        <v/>
      </c>
      <c r="BE112" s="33" t="str">
        <f aca="false">IF(A112="","",COUNTIFS('Demo Pipeline'!$Q$5:$Q$504,A112,'Demo Pipeline'!$W$5:$W$504,"Attended"))</f>
        <v/>
      </c>
      <c r="BF112" s="33" t="str">
        <f aca="false">IF(A112="","",COUNTIFS('Demo Pipeline'!$Q$5:$Q$504,A112,'Demo Pipeline'!$X$5:$X$504,"Yes"))</f>
        <v/>
      </c>
      <c r="BG112" s="33" t="str">
        <f aca="false">IF(A112="","",COUNTIFS('Demo Pipeline'!$Q$5:$Q$504,A112,'Demo Pipeline'!$Y$5:$Y$504,"Closed Won"))</f>
        <v/>
      </c>
      <c r="BH112" s="37" t="str">
        <f aca="false">IF(A112="","",SUMIFS('Demo Pipeline'!$Z$5:$Z$504,'Demo Pipeline'!$Q$5:$Q$504,A112))</f>
        <v/>
      </c>
      <c r="BI112" s="34" t="str">
        <f aca="false">IF(OR(AZ112="",N(AJ112)=0),"",AZ112/AJ112)</f>
        <v/>
      </c>
      <c r="BJ112" s="34" t="str">
        <f aca="false">IF(OR(BB112="",N(AZ112)=0),"",BB112/AZ112)</f>
        <v/>
      </c>
      <c r="BK112" s="34" t="str">
        <f aca="false">IF(OR(A112="",N(BB112)=0),"",BD112/BB112)</f>
        <v/>
      </c>
      <c r="BL112" s="34" t="str">
        <f aca="false">IF(OR(A112="",N(AZ112)=0),"",BD112/AZ112)</f>
        <v/>
      </c>
      <c r="BM112" s="37" t="str">
        <f aca="false">IF(OR(N(Q112)=0,N(BD112)=0),"",Q112/BD112)</f>
        <v/>
      </c>
      <c r="BN112" s="29"/>
      <c r="BO112" s="29"/>
      <c r="BP112" s="33" t="str">
        <f aca="false">IF(OR(AR112="",N(AO112)=0),"",AR112)</f>
        <v/>
      </c>
      <c r="BQ112" s="33" t="str">
        <f aca="false">IF(OR(AR112="",N(S112)=0),"",S112)</f>
        <v/>
      </c>
      <c r="BR112" s="38" t="str">
        <f aca="false">IF(AND(ISNUMBER(B112),B112&gt;=Dashboard!$C$4,B112&lt;=Dashboard!$F$4,ISNUMBER(AU112)),AU112+ROW()/10^9,"")</f>
        <v/>
      </c>
      <c r="BS112" s="38" t="str">
        <f aca="false">IF(AND(ISNUMBER(B112),B112&gt;=Dashboard!$C$4,B112&lt;=Dashboard!$F$4,A112&lt;&gt;""),N(BD112)+N(AU112)/100+ROW()/10^9,"")</f>
        <v/>
      </c>
    </row>
    <row r="113" customFormat="false" ht="15" hidden="false" customHeight="false" outlineLevel="0" collapsed="false">
      <c r="A113" s="24" t="str">
        <f aca="false">IF(OR(B113="",G113="",H113=""),"",IFERROR(INDEX(Settings!$E$5:$E$49,MATCH(G113,Settings!$D$5:$D$49,0))&amp;INDEX(Settings!$H$5:$H$47,MATCH(H113,Settings!$G$5:$G$47,0))&amp;"-"&amp;TEXT(B113,"yymmdd")&amp;"-"&amp;IF(C113="","0000",TEXT(C113,"hhmm")),"CHECK LISTS"))</f>
        <v/>
      </c>
      <c r="B113" s="39"/>
      <c r="C113" s="40"/>
      <c r="D113" s="24" t="str">
        <f aca="false">IF(B113="","",TEXT(B113,"ddd"))</f>
        <v/>
      </c>
      <c r="E113" s="27" t="str">
        <f aca="false">IF(B113="","",B113-WEEKDAY(B113,3))</f>
        <v/>
      </c>
      <c r="F113" s="24" t="str">
        <f aca="false">IF(B113="","",TEXT(B113,"yyyy-mm"))</f>
        <v/>
      </c>
      <c r="G113" s="29"/>
      <c r="H113" s="29"/>
      <c r="I113" s="29"/>
      <c r="J113" s="29"/>
      <c r="K113" s="29"/>
      <c r="L113" s="29"/>
      <c r="M113" s="29"/>
      <c r="N113" s="29"/>
      <c r="O113" s="29"/>
      <c r="P113" s="29"/>
      <c r="Q113" s="30"/>
      <c r="R113" s="29"/>
      <c r="S113" s="32"/>
      <c r="T113" s="29"/>
      <c r="U113" s="29"/>
      <c r="V113" s="24" t="str">
        <f aca="false">IF(A113="","",IFERROR(INDEX(Settings!$F$5:$F$49,MATCH(G113,Settings!$D$5:$D$49,0)),""))</f>
        <v/>
      </c>
      <c r="W113" s="24" t="str">
        <f aca="false">IF(A113="","",IF(OR(P113="",P113="Organic"),"social","paid_social"))</f>
        <v/>
      </c>
      <c r="X113" s="24" t="str">
        <f aca="false">IF(A113="","",IF(K113&lt;&gt;"",IFERROR(INDEX('Case Studies'!$C$5:$C$54,MATCH(K113,'Case Studies'!$B$5:$B$54,0))&amp;"","case-study"),IF(J113&lt;&gt;"",IFERROR(INDEX(Settings!$J$5:$J$55,MATCH(J113,Settings!$I$5:$I$55,0)),"general"),"general")))</f>
        <v/>
      </c>
      <c r="Y113" s="24" t="str">
        <f aca="false">IF(A113="","",LOWER(A113))</f>
        <v/>
      </c>
      <c r="Z113" s="24" t="str">
        <f aca="false">IF(A113="","",IF(T113="",Settings!$B$5,T113)&amp;IF(ISNUMBER(FIND("?",IF(T113="",Settings!$B$5,T113))),"&amp;","?")&amp;"utm_source="&amp;V113&amp;"&amp;utm_medium="&amp;W113&amp;"&amp;utm_campaign="&amp;X113&amp;"&amp;utm_content="&amp;Y113)</f>
        <v/>
      </c>
      <c r="AA113" s="29"/>
      <c r="AB113" s="39"/>
      <c r="AC113" s="32"/>
      <c r="AD113" s="32"/>
      <c r="AE113" s="32"/>
      <c r="AF113" s="32"/>
      <c r="AG113" s="32"/>
      <c r="AH113" s="32"/>
      <c r="AI113" s="32"/>
      <c r="AJ113" s="32"/>
      <c r="AK113" s="32"/>
      <c r="AL113" s="32"/>
      <c r="AM113" s="32"/>
      <c r="AN113" s="32"/>
      <c r="AO113" s="33" t="str">
        <f aca="false">IF(A113="","",IF(AD113&lt;&gt;"",AD113,IF(AC113&lt;&gt;"",AC113,"")))</f>
        <v/>
      </c>
      <c r="AP113" s="24" t="str">
        <f aca="false">IF(AO113="","",IF(AD113&lt;&gt;"","Reported reach","Impressions (proxy)"))</f>
        <v/>
      </c>
      <c r="AQ113" s="34" t="str">
        <f aca="false">IF(OR(AO113="",N(S113)=0),"",AO113/S113)</f>
        <v/>
      </c>
      <c r="AR113" s="33" t="str">
        <f aca="false">IF(A113="","",IF(COUNT(AF113:AJ113)=0,"",SUM(AF113:AJ113)))</f>
        <v/>
      </c>
      <c r="AS113" s="34" t="str">
        <f aca="false">IF(OR(AR113="",N(AO113)=0),"",AR113/AO113)</f>
        <v/>
      </c>
      <c r="AT113" s="34" t="str">
        <f aca="false">IF(OR(AR113="",N(AC113)=0),"",AR113/AC113)</f>
        <v/>
      </c>
      <c r="AU113" s="34" t="str">
        <f aca="false">IF(OR(AR113="",N(S113)=0),"",AR113/S113)</f>
        <v/>
      </c>
      <c r="AV113" s="34" t="str">
        <f aca="false">IF(OR(AJ113="",N(AC113)=0),"",AJ113/AC113)</f>
        <v/>
      </c>
      <c r="AW113" s="34" t="str">
        <f aca="false">IF(OR(AH113="",N(AO113)=0),"",AH113/AO113)</f>
        <v/>
      </c>
      <c r="AX113" s="35" t="str">
        <f aca="false">IF(OR(AR113="",N(AO113)=0),"",(N(AF113)*Settings!$B$6+N(AG113)*Settings!$B$7+N(AH113)*Settings!$B$8+N(AI113)*Settings!$B$9+N(AJ113)*Settings!$B$10)/AO113*1000)</f>
        <v/>
      </c>
      <c r="AY113" s="36" t="str">
        <f aca="false">IF(AS113="","",IFERROR(AS113/AVERAGEIFS('Post Tracker'!$AS$5:$AS$1004,'Post Tracker'!$G$5:$G$1004,G113),""))</f>
        <v/>
      </c>
      <c r="AZ113" s="32"/>
      <c r="BA113" s="32"/>
      <c r="BB113" s="32"/>
      <c r="BC113" s="32"/>
      <c r="BD113" s="33" t="str">
        <f aca="false">IF(A113="","",COUNTIFS('Demo Pipeline'!$Q$5:$Q$504,A113))</f>
        <v/>
      </c>
      <c r="BE113" s="33" t="str">
        <f aca="false">IF(A113="","",COUNTIFS('Demo Pipeline'!$Q$5:$Q$504,A113,'Demo Pipeline'!$W$5:$W$504,"Attended"))</f>
        <v/>
      </c>
      <c r="BF113" s="33" t="str">
        <f aca="false">IF(A113="","",COUNTIFS('Demo Pipeline'!$Q$5:$Q$504,A113,'Demo Pipeline'!$X$5:$X$504,"Yes"))</f>
        <v/>
      </c>
      <c r="BG113" s="33" t="str">
        <f aca="false">IF(A113="","",COUNTIFS('Demo Pipeline'!$Q$5:$Q$504,A113,'Demo Pipeline'!$Y$5:$Y$504,"Closed Won"))</f>
        <v/>
      </c>
      <c r="BH113" s="37" t="str">
        <f aca="false">IF(A113="","",SUMIFS('Demo Pipeline'!$Z$5:$Z$504,'Demo Pipeline'!$Q$5:$Q$504,A113))</f>
        <v/>
      </c>
      <c r="BI113" s="34" t="str">
        <f aca="false">IF(OR(AZ113="",N(AJ113)=0),"",AZ113/AJ113)</f>
        <v/>
      </c>
      <c r="BJ113" s="34" t="str">
        <f aca="false">IF(OR(BB113="",N(AZ113)=0),"",BB113/AZ113)</f>
        <v/>
      </c>
      <c r="BK113" s="34" t="str">
        <f aca="false">IF(OR(A113="",N(BB113)=0),"",BD113/BB113)</f>
        <v/>
      </c>
      <c r="BL113" s="34" t="str">
        <f aca="false">IF(OR(A113="",N(AZ113)=0),"",BD113/AZ113)</f>
        <v/>
      </c>
      <c r="BM113" s="37" t="str">
        <f aca="false">IF(OR(N(Q113)=0,N(BD113)=0),"",Q113/BD113)</f>
        <v/>
      </c>
      <c r="BN113" s="29"/>
      <c r="BO113" s="29"/>
      <c r="BP113" s="33" t="str">
        <f aca="false">IF(OR(AR113="",N(AO113)=0),"",AR113)</f>
        <v/>
      </c>
      <c r="BQ113" s="33" t="str">
        <f aca="false">IF(OR(AR113="",N(S113)=0),"",S113)</f>
        <v/>
      </c>
      <c r="BR113" s="38" t="str">
        <f aca="false">IF(AND(ISNUMBER(B113),B113&gt;=Dashboard!$C$4,B113&lt;=Dashboard!$F$4,ISNUMBER(AU113)),AU113+ROW()/10^9,"")</f>
        <v/>
      </c>
      <c r="BS113" s="38" t="str">
        <f aca="false">IF(AND(ISNUMBER(B113),B113&gt;=Dashboard!$C$4,B113&lt;=Dashboard!$F$4,A113&lt;&gt;""),N(BD113)+N(AU113)/100+ROW()/10^9,"")</f>
        <v/>
      </c>
    </row>
    <row r="114" customFormat="false" ht="15" hidden="false" customHeight="false" outlineLevel="0" collapsed="false">
      <c r="A114" s="24" t="str">
        <f aca="false">IF(OR(B114="",G114="",H114=""),"",IFERROR(INDEX(Settings!$E$5:$E$49,MATCH(G114,Settings!$D$5:$D$49,0))&amp;INDEX(Settings!$H$5:$H$47,MATCH(H114,Settings!$G$5:$G$47,0))&amp;"-"&amp;TEXT(B114,"yymmdd")&amp;"-"&amp;IF(C114="","0000",TEXT(C114,"hhmm")),"CHECK LISTS"))</f>
        <v/>
      </c>
      <c r="B114" s="39"/>
      <c r="C114" s="40"/>
      <c r="D114" s="24" t="str">
        <f aca="false">IF(B114="","",TEXT(B114,"ddd"))</f>
        <v/>
      </c>
      <c r="E114" s="27" t="str">
        <f aca="false">IF(B114="","",B114-WEEKDAY(B114,3))</f>
        <v/>
      </c>
      <c r="F114" s="24" t="str">
        <f aca="false">IF(B114="","",TEXT(B114,"yyyy-mm"))</f>
        <v/>
      </c>
      <c r="G114" s="29"/>
      <c r="H114" s="29"/>
      <c r="I114" s="29"/>
      <c r="J114" s="29"/>
      <c r="K114" s="29"/>
      <c r="L114" s="29"/>
      <c r="M114" s="29"/>
      <c r="N114" s="29"/>
      <c r="O114" s="29"/>
      <c r="P114" s="29"/>
      <c r="Q114" s="30"/>
      <c r="R114" s="29"/>
      <c r="S114" s="32"/>
      <c r="T114" s="29"/>
      <c r="U114" s="29"/>
      <c r="V114" s="24" t="str">
        <f aca="false">IF(A114="","",IFERROR(INDEX(Settings!$F$5:$F$49,MATCH(G114,Settings!$D$5:$D$49,0)),""))</f>
        <v/>
      </c>
      <c r="W114" s="24" t="str">
        <f aca="false">IF(A114="","",IF(OR(P114="",P114="Organic"),"social","paid_social"))</f>
        <v/>
      </c>
      <c r="X114" s="24" t="str">
        <f aca="false">IF(A114="","",IF(K114&lt;&gt;"",IFERROR(INDEX('Case Studies'!$C$5:$C$54,MATCH(K114,'Case Studies'!$B$5:$B$54,0))&amp;"","case-study"),IF(J114&lt;&gt;"",IFERROR(INDEX(Settings!$J$5:$J$55,MATCH(J114,Settings!$I$5:$I$55,0)),"general"),"general")))</f>
        <v/>
      </c>
      <c r="Y114" s="24" t="str">
        <f aca="false">IF(A114="","",LOWER(A114))</f>
        <v/>
      </c>
      <c r="Z114" s="24" t="str">
        <f aca="false">IF(A114="","",IF(T114="",Settings!$B$5,T114)&amp;IF(ISNUMBER(FIND("?",IF(T114="",Settings!$B$5,T114))),"&amp;","?")&amp;"utm_source="&amp;V114&amp;"&amp;utm_medium="&amp;W114&amp;"&amp;utm_campaign="&amp;X114&amp;"&amp;utm_content="&amp;Y114)</f>
        <v/>
      </c>
      <c r="AA114" s="29"/>
      <c r="AB114" s="39"/>
      <c r="AC114" s="32"/>
      <c r="AD114" s="32"/>
      <c r="AE114" s="32"/>
      <c r="AF114" s="32"/>
      <c r="AG114" s="32"/>
      <c r="AH114" s="32"/>
      <c r="AI114" s="32"/>
      <c r="AJ114" s="32"/>
      <c r="AK114" s="32"/>
      <c r="AL114" s="32"/>
      <c r="AM114" s="32"/>
      <c r="AN114" s="32"/>
      <c r="AO114" s="33" t="str">
        <f aca="false">IF(A114="","",IF(AD114&lt;&gt;"",AD114,IF(AC114&lt;&gt;"",AC114,"")))</f>
        <v/>
      </c>
      <c r="AP114" s="24" t="str">
        <f aca="false">IF(AO114="","",IF(AD114&lt;&gt;"","Reported reach","Impressions (proxy)"))</f>
        <v/>
      </c>
      <c r="AQ114" s="34" t="str">
        <f aca="false">IF(OR(AO114="",N(S114)=0),"",AO114/S114)</f>
        <v/>
      </c>
      <c r="AR114" s="33" t="str">
        <f aca="false">IF(A114="","",IF(COUNT(AF114:AJ114)=0,"",SUM(AF114:AJ114)))</f>
        <v/>
      </c>
      <c r="AS114" s="34" t="str">
        <f aca="false">IF(OR(AR114="",N(AO114)=0),"",AR114/AO114)</f>
        <v/>
      </c>
      <c r="AT114" s="34" t="str">
        <f aca="false">IF(OR(AR114="",N(AC114)=0),"",AR114/AC114)</f>
        <v/>
      </c>
      <c r="AU114" s="34" t="str">
        <f aca="false">IF(OR(AR114="",N(S114)=0),"",AR114/S114)</f>
        <v/>
      </c>
      <c r="AV114" s="34" t="str">
        <f aca="false">IF(OR(AJ114="",N(AC114)=0),"",AJ114/AC114)</f>
        <v/>
      </c>
      <c r="AW114" s="34" t="str">
        <f aca="false">IF(OR(AH114="",N(AO114)=0),"",AH114/AO114)</f>
        <v/>
      </c>
      <c r="AX114" s="35" t="str">
        <f aca="false">IF(OR(AR114="",N(AO114)=0),"",(N(AF114)*Settings!$B$6+N(AG114)*Settings!$B$7+N(AH114)*Settings!$B$8+N(AI114)*Settings!$B$9+N(AJ114)*Settings!$B$10)/AO114*1000)</f>
        <v/>
      </c>
      <c r="AY114" s="36" t="str">
        <f aca="false">IF(AS114="","",IFERROR(AS114/AVERAGEIFS('Post Tracker'!$AS$5:$AS$1004,'Post Tracker'!$G$5:$G$1004,G114),""))</f>
        <v/>
      </c>
      <c r="AZ114" s="32"/>
      <c r="BA114" s="32"/>
      <c r="BB114" s="32"/>
      <c r="BC114" s="32"/>
      <c r="BD114" s="33" t="str">
        <f aca="false">IF(A114="","",COUNTIFS('Demo Pipeline'!$Q$5:$Q$504,A114))</f>
        <v/>
      </c>
      <c r="BE114" s="33" t="str">
        <f aca="false">IF(A114="","",COUNTIFS('Demo Pipeline'!$Q$5:$Q$504,A114,'Demo Pipeline'!$W$5:$W$504,"Attended"))</f>
        <v/>
      </c>
      <c r="BF114" s="33" t="str">
        <f aca="false">IF(A114="","",COUNTIFS('Demo Pipeline'!$Q$5:$Q$504,A114,'Demo Pipeline'!$X$5:$X$504,"Yes"))</f>
        <v/>
      </c>
      <c r="BG114" s="33" t="str">
        <f aca="false">IF(A114="","",COUNTIFS('Demo Pipeline'!$Q$5:$Q$504,A114,'Demo Pipeline'!$Y$5:$Y$504,"Closed Won"))</f>
        <v/>
      </c>
      <c r="BH114" s="37" t="str">
        <f aca="false">IF(A114="","",SUMIFS('Demo Pipeline'!$Z$5:$Z$504,'Demo Pipeline'!$Q$5:$Q$504,A114))</f>
        <v/>
      </c>
      <c r="BI114" s="34" t="str">
        <f aca="false">IF(OR(AZ114="",N(AJ114)=0),"",AZ114/AJ114)</f>
        <v/>
      </c>
      <c r="BJ114" s="34" t="str">
        <f aca="false">IF(OR(BB114="",N(AZ114)=0),"",BB114/AZ114)</f>
        <v/>
      </c>
      <c r="BK114" s="34" t="str">
        <f aca="false">IF(OR(A114="",N(BB114)=0),"",BD114/BB114)</f>
        <v/>
      </c>
      <c r="BL114" s="34" t="str">
        <f aca="false">IF(OR(A114="",N(AZ114)=0),"",BD114/AZ114)</f>
        <v/>
      </c>
      <c r="BM114" s="37" t="str">
        <f aca="false">IF(OR(N(Q114)=0,N(BD114)=0),"",Q114/BD114)</f>
        <v/>
      </c>
      <c r="BN114" s="29"/>
      <c r="BO114" s="29"/>
      <c r="BP114" s="33" t="str">
        <f aca="false">IF(OR(AR114="",N(AO114)=0),"",AR114)</f>
        <v/>
      </c>
      <c r="BQ114" s="33" t="str">
        <f aca="false">IF(OR(AR114="",N(S114)=0),"",S114)</f>
        <v/>
      </c>
      <c r="BR114" s="38" t="str">
        <f aca="false">IF(AND(ISNUMBER(B114),B114&gt;=Dashboard!$C$4,B114&lt;=Dashboard!$F$4,ISNUMBER(AU114)),AU114+ROW()/10^9,"")</f>
        <v/>
      </c>
      <c r="BS114" s="38" t="str">
        <f aca="false">IF(AND(ISNUMBER(B114),B114&gt;=Dashboard!$C$4,B114&lt;=Dashboard!$F$4,A114&lt;&gt;""),N(BD114)+N(AU114)/100+ROW()/10^9,"")</f>
        <v/>
      </c>
    </row>
    <row r="115" customFormat="false" ht="15" hidden="false" customHeight="false" outlineLevel="0" collapsed="false">
      <c r="A115" s="24" t="str">
        <f aca="false">IF(OR(B115="",G115="",H115=""),"",IFERROR(INDEX(Settings!$E$5:$E$49,MATCH(G115,Settings!$D$5:$D$49,0))&amp;INDEX(Settings!$H$5:$H$47,MATCH(H115,Settings!$G$5:$G$47,0))&amp;"-"&amp;TEXT(B115,"yymmdd")&amp;"-"&amp;IF(C115="","0000",TEXT(C115,"hhmm")),"CHECK LISTS"))</f>
        <v/>
      </c>
      <c r="B115" s="39"/>
      <c r="C115" s="40"/>
      <c r="D115" s="24" t="str">
        <f aca="false">IF(B115="","",TEXT(B115,"ddd"))</f>
        <v/>
      </c>
      <c r="E115" s="27" t="str">
        <f aca="false">IF(B115="","",B115-WEEKDAY(B115,3))</f>
        <v/>
      </c>
      <c r="F115" s="24" t="str">
        <f aca="false">IF(B115="","",TEXT(B115,"yyyy-mm"))</f>
        <v/>
      </c>
      <c r="G115" s="29"/>
      <c r="H115" s="29"/>
      <c r="I115" s="29"/>
      <c r="J115" s="29"/>
      <c r="K115" s="29"/>
      <c r="L115" s="29"/>
      <c r="M115" s="29"/>
      <c r="N115" s="29"/>
      <c r="O115" s="29"/>
      <c r="P115" s="29"/>
      <c r="Q115" s="30"/>
      <c r="R115" s="29"/>
      <c r="S115" s="32"/>
      <c r="T115" s="29"/>
      <c r="U115" s="29"/>
      <c r="V115" s="24" t="str">
        <f aca="false">IF(A115="","",IFERROR(INDEX(Settings!$F$5:$F$49,MATCH(G115,Settings!$D$5:$D$49,0)),""))</f>
        <v/>
      </c>
      <c r="W115" s="24" t="str">
        <f aca="false">IF(A115="","",IF(OR(P115="",P115="Organic"),"social","paid_social"))</f>
        <v/>
      </c>
      <c r="X115" s="24" t="str">
        <f aca="false">IF(A115="","",IF(K115&lt;&gt;"",IFERROR(INDEX('Case Studies'!$C$5:$C$54,MATCH(K115,'Case Studies'!$B$5:$B$54,0))&amp;"","case-study"),IF(J115&lt;&gt;"",IFERROR(INDEX(Settings!$J$5:$J$55,MATCH(J115,Settings!$I$5:$I$55,0)),"general"),"general")))</f>
        <v/>
      </c>
      <c r="Y115" s="24" t="str">
        <f aca="false">IF(A115="","",LOWER(A115))</f>
        <v/>
      </c>
      <c r="Z115" s="24" t="str">
        <f aca="false">IF(A115="","",IF(T115="",Settings!$B$5,T115)&amp;IF(ISNUMBER(FIND("?",IF(T115="",Settings!$B$5,T115))),"&amp;","?")&amp;"utm_source="&amp;V115&amp;"&amp;utm_medium="&amp;W115&amp;"&amp;utm_campaign="&amp;X115&amp;"&amp;utm_content="&amp;Y115)</f>
        <v/>
      </c>
      <c r="AA115" s="29"/>
      <c r="AB115" s="39"/>
      <c r="AC115" s="32"/>
      <c r="AD115" s="32"/>
      <c r="AE115" s="32"/>
      <c r="AF115" s="32"/>
      <c r="AG115" s="32"/>
      <c r="AH115" s="32"/>
      <c r="AI115" s="32"/>
      <c r="AJ115" s="32"/>
      <c r="AK115" s="32"/>
      <c r="AL115" s="32"/>
      <c r="AM115" s="32"/>
      <c r="AN115" s="32"/>
      <c r="AO115" s="33" t="str">
        <f aca="false">IF(A115="","",IF(AD115&lt;&gt;"",AD115,IF(AC115&lt;&gt;"",AC115,"")))</f>
        <v/>
      </c>
      <c r="AP115" s="24" t="str">
        <f aca="false">IF(AO115="","",IF(AD115&lt;&gt;"","Reported reach","Impressions (proxy)"))</f>
        <v/>
      </c>
      <c r="AQ115" s="34" t="str">
        <f aca="false">IF(OR(AO115="",N(S115)=0),"",AO115/S115)</f>
        <v/>
      </c>
      <c r="AR115" s="33" t="str">
        <f aca="false">IF(A115="","",IF(COUNT(AF115:AJ115)=0,"",SUM(AF115:AJ115)))</f>
        <v/>
      </c>
      <c r="AS115" s="34" t="str">
        <f aca="false">IF(OR(AR115="",N(AO115)=0),"",AR115/AO115)</f>
        <v/>
      </c>
      <c r="AT115" s="34" t="str">
        <f aca="false">IF(OR(AR115="",N(AC115)=0),"",AR115/AC115)</f>
        <v/>
      </c>
      <c r="AU115" s="34" t="str">
        <f aca="false">IF(OR(AR115="",N(S115)=0),"",AR115/S115)</f>
        <v/>
      </c>
      <c r="AV115" s="34" t="str">
        <f aca="false">IF(OR(AJ115="",N(AC115)=0),"",AJ115/AC115)</f>
        <v/>
      </c>
      <c r="AW115" s="34" t="str">
        <f aca="false">IF(OR(AH115="",N(AO115)=0),"",AH115/AO115)</f>
        <v/>
      </c>
      <c r="AX115" s="35" t="str">
        <f aca="false">IF(OR(AR115="",N(AO115)=0),"",(N(AF115)*Settings!$B$6+N(AG115)*Settings!$B$7+N(AH115)*Settings!$B$8+N(AI115)*Settings!$B$9+N(AJ115)*Settings!$B$10)/AO115*1000)</f>
        <v/>
      </c>
      <c r="AY115" s="36" t="str">
        <f aca="false">IF(AS115="","",IFERROR(AS115/AVERAGEIFS('Post Tracker'!$AS$5:$AS$1004,'Post Tracker'!$G$5:$G$1004,G115),""))</f>
        <v/>
      </c>
      <c r="AZ115" s="32"/>
      <c r="BA115" s="32"/>
      <c r="BB115" s="32"/>
      <c r="BC115" s="32"/>
      <c r="BD115" s="33" t="str">
        <f aca="false">IF(A115="","",COUNTIFS('Demo Pipeline'!$Q$5:$Q$504,A115))</f>
        <v/>
      </c>
      <c r="BE115" s="33" t="str">
        <f aca="false">IF(A115="","",COUNTIFS('Demo Pipeline'!$Q$5:$Q$504,A115,'Demo Pipeline'!$W$5:$W$504,"Attended"))</f>
        <v/>
      </c>
      <c r="BF115" s="33" t="str">
        <f aca="false">IF(A115="","",COUNTIFS('Demo Pipeline'!$Q$5:$Q$504,A115,'Demo Pipeline'!$X$5:$X$504,"Yes"))</f>
        <v/>
      </c>
      <c r="BG115" s="33" t="str">
        <f aca="false">IF(A115="","",COUNTIFS('Demo Pipeline'!$Q$5:$Q$504,A115,'Demo Pipeline'!$Y$5:$Y$504,"Closed Won"))</f>
        <v/>
      </c>
      <c r="BH115" s="37" t="str">
        <f aca="false">IF(A115="","",SUMIFS('Demo Pipeline'!$Z$5:$Z$504,'Demo Pipeline'!$Q$5:$Q$504,A115))</f>
        <v/>
      </c>
      <c r="BI115" s="34" t="str">
        <f aca="false">IF(OR(AZ115="",N(AJ115)=0),"",AZ115/AJ115)</f>
        <v/>
      </c>
      <c r="BJ115" s="34" t="str">
        <f aca="false">IF(OR(BB115="",N(AZ115)=0),"",BB115/AZ115)</f>
        <v/>
      </c>
      <c r="BK115" s="34" t="str">
        <f aca="false">IF(OR(A115="",N(BB115)=0),"",BD115/BB115)</f>
        <v/>
      </c>
      <c r="BL115" s="34" t="str">
        <f aca="false">IF(OR(A115="",N(AZ115)=0),"",BD115/AZ115)</f>
        <v/>
      </c>
      <c r="BM115" s="37" t="str">
        <f aca="false">IF(OR(N(Q115)=0,N(BD115)=0),"",Q115/BD115)</f>
        <v/>
      </c>
      <c r="BN115" s="29"/>
      <c r="BO115" s="29"/>
      <c r="BP115" s="33" t="str">
        <f aca="false">IF(OR(AR115="",N(AO115)=0),"",AR115)</f>
        <v/>
      </c>
      <c r="BQ115" s="33" t="str">
        <f aca="false">IF(OR(AR115="",N(S115)=0),"",S115)</f>
        <v/>
      </c>
      <c r="BR115" s="38" t="str">
        <f aca="false">IF(AND(ISNUMBER(B115),B115&gt;=Dashboard!$C$4,B115&lt;=Dashboard!$F$4,ISNUMBER(AU115)),AU115+ROW()/10^9,"")</f>
        <v/>
      </c>
      <c r="BS115" s="38" t="str">
        <f aca="false">IF(AND(ISNUMBER(B115),B115&gt;=Dashboard!$C$4,B115&lt;=Dashboard!$F$4,A115&lt;&gt;""),N(BD115)+N(AU115)/100+ROW()/10^9,"")</f>
        <v/>
      </c>
    </row>
    <row r="116" customFormat="false" ht="15" hidden="false" customHeight="false" outlineLevel="0" collapsed="false">
      <c r="A116" s="24" t="str">
        <f aca="false">IF(OR(B116="",G116="",H116=""),"",IFERROR(INDEX(Settings!$E$5:$E$49,MATCH(G116,Settings!$D$5:$D$49,0))&amp;INDEX(Settings!$H$5:$H$47,MATCH(H116,Settings!$G$5:$G$47,0))&amp;"-"&amp;TEXT(B116,"yymmdd")&amp;"-"&amp;IF(C116="","0000",TEXT(C116,"hhmm")),"CHECK LISTS"))</f>
        <v/>
      </c>
      <c r="B116" s="39"/>
      <c r="C116" s="40"/>
      <c r="D116" s="24" t="str">
        <f aca="false">IF(B116="","",TEXT(B116,"ddd"))</f>
        <v/>
      </c>
      <c r="E116" s="27" t="str">
        <f aca="false">IF(B116="","",B116-WEEKDAY(B116,3))</f>
        <v/>
      </c>
      <c r="F116" s="24" t="str">
        <f aca="false">IF(B116="","",TEXT(B116,"yyyy-mm"))</f>
        <v/>
      </c>
      <c r="G116" s="29"/>
      <c r="H116" s="29"/>
      <c r="I116" s="29"/>
      <c r="J116" s="29"/>
      <c r="K116" s="29"/>
      <c r="L116" s="29"/>
      <c r="M116" s="29"/>
      <c r="N116" s="29"/>
      <c r="O116" s="29"/>
      <c r="P116" s="29"/>
      <c r="Q116" s="30"/>
      <c r="R116" s="29"/>
      <c r="S116" s="32"/>
      <c r="T116" s="29"/>
      <c r="U116" s="29"/>
      <c r="V116" s="24" t="str">
        <f aca="false">IF(A116="","",IFERROR(INDEX(Settings!$F$5:$F$49,MATCH(G116,Settings!$D$5:$D$49,0)),""))</f>
        <v/>
      </c>
      <c r="W116" s="24" t="str">
        <f aca="false">IF(A116="","",IF(OR(P116="",P116="Organic"),"social","paid_social"))</f>
        <v/>
      </c>
      <c r="X116" s="24" t="str">
        <f aca="false">IF(A116="","",IF(K116&lt;&gt;"",IFERROR(INDEX('Case Studies'!$C$5:$C$54,MATCH(K116,'Case Studies'!$B$5:$B$54,0))&amp;"","case-study"),IF(J116&lt;&gt;"",IFERROR(INDEX(Settings!$J$5:$J$55,MATCH(J116,Settings!$I$5:$I$55,0)),"general"),"general")))</f>
        <v/>
      </c>
      <c r="Y116" s="24" t="str">
        <f aca="false">IF(A116="","",LOWER(A116))</f>
        <v/>
      </c>
      <c r="Z116" s="24" t="str">
        <f aca="false">IF(A116="","",IF(T116="",Settings!$B$5,T116)&amp;IF(ISNUMBER(FIND("?",IF(T116="",Settings!$B$5,T116))),"&amp;","?")&amp;"utm_source="&amp;V116&amp;"&amp;utm_medium="&amp;W116&amp;"&amp;utm_campaign="&amp;X116&amp;"&amp;utm_content="&amp;Y116)</f>
        <v/>
      </c>
      <c r="AA116" s="29"/>
      <c r="AB116" s="39"/>
      <c r="AC116" s="32"/>
      <c r="AD116" s="32"/>
      <c r="AE116" s="32"/>
      <c r="AF116" s="32"/>
      <c r="AG116" s="32"/>
      <c r="AH116" s="32"/>
      <c r="AI116" s="32"/>
      <c r="AJ116" s="32"/>
      <c r="AK116" s="32"/>
      <c r="AL116" s="32"/>
      <c r="AM116" s="32"/>
      <c r="AN116" s="32"/>
      <c r="AO116" s="33" t="str">
        <f aca="false">IF(A116="","",IF(AD116&lt;&gt;"",AD116,IF(AC116&lt;&gt;"",AC116,"")))</f>
        <v/>
      </c>
      <c r="AP116" s="24" t="str">
        <f aca="false">IF(AO116="","",IF(AD116&lt;&gt;"","Reported reach","Impressions (proxy)"))</f>
        <v/>
      </c>
      <c r="AQ116" s="34" t="str">
        <f aca="false">IF(OR(AO116="",N(S116)=0),"",AO116/S116)</f>
        <v/>
      </c>
      <c r="AR116" s="33" t="str">
        <f aca="false">IF(A116="","",IF(COUNT(AF116:AJ116)=0,"",SUM(AF116:AJ116)))</f>
        <v/>
      </c>
      <c r="AS116" s="34" t="str">
        <f aca="false">IF(OR(AR116="",N(AO116)=0),"",AR116/AO116)</f>
        <v/>
      </c>
      <c r="AT116" s="34" t="str">
        <f aca="false">IF(OR(AR116="",N(AC116)=0),"",AR116/AC116)</f>
        <v/>
      </c>
      <c r="AU116" s="34" t="str">
        <f aca="false">IF(OR(AR116="",N(S116)=0),"",AR116/S116)</f>
        <v/>
      </c>
      <c r="AV116" s="34" t="str">
        <f aca="false">IF(OR(AJ116="",N(AC116)=0),"",AJ116/AC116)</f>
        <v/>
      </c>
      <c r="AW116" s="34" t="str">
        <f aca="false">IF(OR(AH116="",N(AO116)=0),"",AH116/AO116)</f>
        <v/>
      </c>
      <c r="AX116" s="35" t="str">
        <f aca="false">IF(OR(AR116="",N(AO116)=0),"",(N(AF116)*Settings!$B$6+N(AG116)*Settings!$B$7+N(AH116)*Settings!$B$8+N(AI116)*Settings!$B$9+N(AJ116)*Settings!$B$10)/AO116*1000)</f>
        <v/>
      </c>
      <c r="AY116" s="36" t="str">
        <f aca="false">IF(AS116="","",IFERROR(AS116/AVERAGEIFS('Post Tracker'!$AS$5:$AS$1004,'Post Tracker'!$G$5:$G$1004,G116),""))</f>
        <v/>
      </c>
      <c r="AZ116" s="32"/>
      <c r="BA116" s="32"/>
      <c r="BB116" s="32"/>
      <c r="BC116" s="32"/>
      <c r="BD116" s="33" t="str">
        <f aca="false">IF(A116="","",COUNTIFS('Demo Pipeline'!$Q$5:$Q$504,A116))</f>
        <v/>
      </c>
      <c r="BE116" s="33" t="str">
        <f aca="false">IF(A116="","",COUNTIFS('Demo Pipeline'!$Q$5:$Q$504,A116,'Demo Pipeline'!$W$5:$W$504,"Attended"))</f>
        <v/>
      </c>
      <c r="BF116" s="33" t="str">
        <f aca="false">IF(A116="","",COUNTIFS('Demo Pipeline'!$Q$5:$Q$504,A116,'Demo Pipeline'!$X$5:$X$504,"Yes"))</f>
        <v/>
      </c>
      <c r="BG116" s="33" t="str">
        <f aca="false">IF(A116="","",COUNTIFS('Demo Pipeline'!$Q$5:$Q$504,A116,'Demo Pipeline'!$Y$5:$Y$504,"Closed Won"))</f>
        <v/>
      </c>
      <c r="BH116" s="37" t="str">
        <f aca="false">IF(A116="","",SUMIFS('Demo Pipeline'!$Z$5:$Z$504,'Demo Pipeline'!$Q$5:$Q$504,A116))</f>
        <v/>
      </c>
      <c r="BI116" s="34" t="str">
        <f aca="false">IF(OR(AZ116="",N(AJ116)=0),"",AZ116/AJ116)</f>
        <v/>
      </c>
      <c r="BJ116" s="34" t="str">
        <f aca="false">IF(OR(BB116="",N(AZ116)=0),"",BB116/AZ116)</f>
        <v/>
      </c>
      <c r="BK116" s="34" t="str">
        <f aca="false">IF(OR(A116="",N(BB116)=0),"",BD116/BB116)</f>
        <v/>
      </c>
      <c r="BL116" s="34" t="str">
        <f aca="false">IF(OR(A116="",N(AZ116)=0),"",BD116/AZ116)</f>
        <v/>
      </c>
      <c r="BM116" s="37" t="str">
        <f aca="false">IF(OR(N(Q116)=0,N(BD116)=0),"",Q116/BD116)</f>
        <v/>
      </c>
      <c r="BN116" s="29"/>
      <c r="BO116" s="29"/>
      <c r="BP116" s="33" t="str">
        <f aca="false">IF(OR(AR116="",N(AO116)=0),"",AR116)</f>
        <v/>
      </c>
      <c r="BQ116" s="33" t="str">
        <f aca="false">IF(OR(AR116="",N(S116)=0),"",S116)</f>
        <v/>
      </c>
      <c r="BR116" s="38" t="str">
        <f aca="false">IF(AND(ISNUMBER(B116),B116&gt;=Dashboard!$C$4,B116&lt;=Dashboard!$F$4,ISNUMBER(AU116)),AU116+ROW()/10^9,"")</f>
        <v/>
      </c>
      <c r="BS116" s="38" t="str">
        <f aca="false">IF(AND(ISNUMBER(B116),B116&gt;=Dashboard!$C$4,B116&lt;=Dashboard!$F$4,A116&lt;&gt;""),N(BD116)+N(AU116)/100+ROW()/10^9,"")</f>
        <v/>
      </c>
    </row>
    <row r="117" customFormat="false" ht="15" hidden="false" customHeight="false" outlineLevel="0" collapsed="false">
      <c r="A117" s="24" t="str">
        <f aca="false">IF(OR(B117="",G117="",H117=""),"",IFERROR(INDEX(Settings!$E$5:$E$49,MATCH(G117,Settings!$D$5:$D$49,0))&amp;INDEX(Settings!$H$5:$H$47,MATCH(H117,Settings!$G$5:$G$47,0))&amp;"-"&amp;TEXT(B117,"yymmdd")&amp;"-"&amp;IF(C117="","0000",TEXT(C117,"hhmm")),"CHECK LISTS"))</f>
        <v/>
      </c>
      <c r="B117" s="39"/>
      <c r="C117" s="40"/>
      <c r="D117" s="24" t="str">
        <f aca="false">IF(B117="","",TEXT(B117,"ddd"))</f>
        <v/>
      </c>
      <c r="E117" s="27" t="str">
        <f aca="false">IF(B117="","",B117-WEEKDAY(B117,3))</f>
        <v/>
      </c>
      <c r="F117" s="24" t="str">
        <f aca="false">IF(B117="","",TEXT(B117,"yyyy-mm"))</f>
        <v/>
      </c>
      <c r="G117" s="29"/>
      <c r="H117" s="29"/>
      <c r="I117" s="29"/>
      <c r="J117" s="29"/>
      <c r="K117" s="29"/>
      <c r="L117" s="29"/>
      <c r="M117" s="29"/>
      <c r="N117" s="29"/>
      <c r="O117" s="29"/>
      <c r="P117" s="29"/>
      <c r="Q117" s="30"/>
      <c r="R117" s="29"/>
      <c r="S117" s="32"/>
      <c r="T117" s="29"/>
      <c r="U117" s="29"/>
      <c r="V117" s="24" t="str">
        <f aca="false">IF(A117="","",IFERROR(INDEX(Settings!$F$5:$F$49,MATCH(G117,Settings!$D$5:$D$49,0)),""))</f>
        <v/>
      </c>
      <c r="W117" s="24" t="str">
        <f aca="false">IF(A117="","",IF(OR(P117="",P117="Organic"),"social","paid_social"))</f>
        <v/>
      </c>
      <c r="X117" s="24" t="str">
        <f aca="false">IF(A117="","",IF(K117&lt;&gt;"",IFERROR(INDEX('Case Studies'!$C$5:$C$54,MATCH(K117,'Case Studies'!$B$5:$B$54,0))&amp;"","case-study"),IF(J117&lt;&gt;"",IFERROR(INDEX(Settings!$J$5:$J$55,MATCH(J117,Settings!$I$5:$I$55,0)),"general"),"general")))</f>
        <v/>
      </c>
      <c r="Y117" s="24" t="str">
        <f aca="false">IF(A117="","",LOWER(A117))</f>
        <v/>
      </c>
      <c r="Z117" s="24" t="str">
        <f aca="false">IF(A117="","",IF(T117="",Settings!$B$5,T117)&amp;IF(ISNUMBER(FIND("?",IF(T117="",Settings!$B$5,T117))),"&amp;","?")&amp;"utm_source="&amp;V117&amp;"&amp;utm_medium="&amp;W117&amp;"&amp;utm_campaign="&amp;X117&amp;"&amp;utm_content="&amp;Y117)</f>
        <v/>
      </c>
      <c r="AA117" s="29"/>
      <c r="AB117" s="39"/>
      <c r="AC117" s="32"/>
      <c r="AD117" s="32"/>
      <c r="AE117" s="32"/>
      <c r="AF117" s="32"/>
      <c r="AG117" s="32"/>
      <c r="AH117" s="32"/>
      <c r="AI117" s="32"/>
      <c r="AJ117" s="32"/>
      <c r="AK117" s="32"/>
      <c r="AL117" s="32"/>
      <c r="AM117" s="32"/>
      <c r="AN117" s="32"/>
      <c r="AO117" s="33" t="str">
        <f aca="false">IF(A117="","",IF(AD117&lt;&gt;"",AD117,IF(AC117&lt;&gt;"",AC117,"")))</f>
        <v/>
      </c>
      <c r="AP117" s="24" t="str">
        <f aca="false">IF(AO117="","",IF(AD117&lt;&gt;"","Reported reach","Impressions (proxy)"))</f>
        <v/>
      </c>
      <c r="AQ117" s="34" t="str">
        <f aca="false">IF(OR(AO117="",N(S117)=0),"",AO117/S117)</f>
        <v/>
      </c>
      <c r="AR117" s="33" t="str">
        <f aca="false">IF(A117="","",IF(COUNT(AF117:AJ117)=0,"",SUM(AF117:AJ117)))</f>
        <v/>
      </c>
      <c r="AS117" s="34" t="str">
        <f aca="false">IF(OR(AR117="",N(AO117)=0),"",AR117/AO117)</f>
        <v/>
      </c>
      <c r="AT117" s="34" t="str">
        <f aca="false">IF(OR(AR117="",N(AC117)=0),"",AR117/AC117)</f>
        <v/>
      </c>
      <c r="AU117" s="34" t="str">
        <f aca="false">IF(OR(AR117="",N(S117)=0),"",AR117/S117)</f>
        <v/>
      </c>
      <c r="AV117" s="34" t="str">
        <f aca="false">IF(OR(AJ117="",N(AC117)=0),"",AJ117/AC117)</f>
        <v/>
      </c>
      <c r="AW117" s="34" t="str">
        <f aca="false">IF(OR(AH117="",N(AO117)=0),"",AH117/AO117)</f>
        <v/>
      </c>
      <c r="AX117" s="35" t="str">
        <f aca="false">IF(OR(AR117="",N(AO117)=0),"",(N(AF117)*Settings!$B$6+N(AG117)*Settings!$B$7+N(AH117)*Settings!$B$8+N(AI117)*Settings!$B$9+N(AJ117)*Settings!$B$10)/AO117*1000)</f>
        <v/>
      </c>
      <c r="AY117" s="36" t="str">
        <f aca="false">IF(AS117="","",IFERROR(AS117/AVERAGEIFS('Post Tracker'!$AS$5:$AS$1004,'Post Tracker'!$G$5:$G$1004,G117),""))</f>
        <v/>
      </c>
      <c r="AZ117" s="32"/>
      <c r="BA117" s="32"/>
      <c r="BB117" s="32"/>
      <c r="BC117" s="32"/>
      <c r="BD117" s="33" t="str">
        <f aca="false">IF(A117="","",COUNTIFS('Demo Pipeline'!$Q$5:$Q$504,A117))</f>
        <v/>
      </c>
      <c r="BE117" s="33" t="str">
        <f aca="false">IF(A117="","",COUNTIFS('Demo Pipeline'!$Q$5:$Q$504,A117,'Demo Pipeline'!$W$5:$W$504,"Attended"))</f>
        <v/>
      </c>
      <c r="BF117" s="33" t="str">
        <f aca="false">IF(A117="","",COUNTIFS('Demo Pipeline'!$Q$5:$Q$504,A117,'Demo Pipeline'!$X$5:$X$504,"Yes"))</f>
        <v/>
      </c>
      <c r="BG117" s="33" t="str">
        <f aca="false">IF(A117="","",COUNTIFS('Demo Pipeline'!$Q$5:$Q$504,A117,'Demo Pipeline'!$Y$5:$Y$504,"Closed Won"))</f>
        <v/>
      </c>
      <c r="BH117" s="37" t="str">
        <f aca="false">IF(A117="","",SUMIFS('Demo Pipeline'!$Z$5:$Z$504,'Demo Pipeline'!$Q$5:$Q$504,A117))</f>
        <v/>
      </c>
      <c r="BI117" s="34" t="str">
        <f aca="false">IF(OR(AZ117="",N(AJ117)=0),"",AZ117/AJ117)</f>
        <v/>
      </c>
      <c r="BJ117" s="34" t="str">
        <f aca="false">IF(OR(BB117="",N(AZ117)=0),"",BB117/AZ117)</f>
        <v/>
      </c>
      <c r="BK117" s="34" t="str">
        <f aca="false">IF(OR(A117="",N(BB117)=0),"",BD117/BB117)</f>
        <v/>
      </c>
      <c r="BL117" s="34" t="str">
        <f aca="false">IF(OR(A117="",N(AZ117)=0),"",BD117/AZ117)</f>
        <v/>
      </c>
      <c r="BM117" s="37" t="str">
        <f aca="false">IF(OR(N(Q117)=0,N(BD117)=0),"",Q117/BD117)</f>
        <v/>
      </c>
      <c r="BN117" s="29"/>
      <c r="BO117" s="29"/>
      <c r="BP117" s="33" t="str">
        <f aca="false">IF(OR(AR117="",N(AO117)=0),"",AR117)</f>
        <v/>
      </c>
      <c r="BQ117" s="33" t="str">
        <f aca="false">IF(OR(AR117="",N(S117)=0),"",S117)</f>
        <v/>
      </c>
      <c r="BR117" s="38" t="str">
        <f aca="false">IF(AND(ISNUMBER(B117),B117&gt;=Dashboard!$C$4,B117&lt;=Dashboard!$F$4,ISNUMBER(AU117)),AU117+ROW()/10^9,"")</f>
        <v/>
      </c>
      <c r="BS117" s="38" t="str">
        <f aca="false">IF(AND(ISNUMBER(B117),B117&gt;=Dashboard!$C$4,B117&lt;=Dashboard!$F$4,A117&lt;&gt;""),N(BD117)+N(AU117)/100+ROW()/10^9,"")</f>
        <v/>
      </c>
    </row>
    <row r="118" customFormat="false" ht="15" hidden="false" customHeight="false" outlineLevel="0" collapsed="false">
      <c r="A118" s="24" t="str">
        <f aca="false">IF(OR(B118="",G118="",H118=""),"",IFERROR(INDEX(Settings!$E$5:$E$49,MATCH(G118,Settings!$D$5:$D$49,0))&amp;INDEX(Settings!$H$5:$H$47,MATCH(H118,Settings!$G$5:$G$47,0))&amp;"-"&amp;TEXT(B118,"yymmdd")&amp;"-"&amp;IF(C118="","0000",TEXT(C118,"hhmm")),"CHECK LISTS"))</f>
        <v/>
      </c>
      <c r="B118" s="39"/>
      <c r="C118" s="40"/>
      <c r="D118" s="24" t="str">
        <f aca="false">IF(B118="","",TEXT(B118,"ddd"))</f>
        <v/>
      </c>
      <c r="E118" s="27" t="str">
        <f aca="false">IF(B118="","",B118-WEEKDAY(B118,3))</f>
        <v/>
      </c>
      <c r="F118" s="24" t="str">
        <f aca="false">IF(B118="","",TEXT(B118,"yyyy-mm"))</f>
        <v/>
      </c>
      <c r="G118" s="29"/>
      <c r="H118" s="29"/>
      <c r="I118" s="29"/>
      <c r="J118" s="29"/>
      <c r="K118" s="29"/>
      <c r="L118" s="29"/>
      <c r="M118" s="29"/>
      <c r="N118" s="29"/>
      <c r="O118" s="29"/>
      <c r="P118" s="29"/>
      <c r="Q118" s="30"/>
      <c r="R118" s="29"/>
      <c r="S118" s="32"/>
      <c r="T118" s="29"/>
      <c r="U118" s="29"/>
      <c r="V118" s="24" t="str">
        <f aca="false">IF(A118="","",IFERROR(INDEX(Settings!$F$5:$F$49,MATCH(G118,Settings!$D$5:$D$49,0)),""))</f>
        <v/>
      </c>
      <c r="W118" s="24" t="str">
        <f aca="false">IF(A118="","",IF(OR(P118="",P118="Organic"),"social","paid_social"))</f>
        <v/>
      </c>
      <c r="X118" s="24" t="str">
        <f aca="false">IF(A118="","",IF(K118&lt;&gt;"",IFERROR(INDEX('Case Studies'!$C$5:$C$54,MATCH(K118,'Case Studies'!$B$5:$B$54,0))&amp;"","case-study"),IF(J118&lt;&gt;"",IFERROR(INDEX(Settings!$J$5:$J$55,MATCH(J118,Settings!$I$5:$I$55,0)),"general"),"general")))</f>
        <v/>
      </c>
      <c r="Y118" s="24" t="str">
        <f aca="false">IF(A118="","",LOWER(A118))</f>
        <v/>
      </c>
      <c r="Z118" s="24" t="str">
        <f aca="false">IF(A118="","",IF(T118="",Settings!$B$5,T118)&amp;IF(ISNUMBER(FIND("?",IF(T118="",Settings!$B$5,T118))),"&amp;","?")&amp;"utm_source="&amp;V118&amp;"&amp;utm_medium="&amp;W118&amp;"&amp;utm_campaign="&amp;X118&amp;"&amp;utm_content="&amp;Y118)</f>
        <v/>
      </c>
      <c r="AA118" s="29"/>
      <c r="AB118" s="39"/>
      <c r="AC118" s="32"/>
      <c r="AD118" s="32"/>
      <c r="AE118" s="32"/>
      <c r="AF118" s="32"/>
      <c r="AG118" s="32"/>
      <c r="AH118" s="32"/>
      <c r="AI118" s="32"/>
      <c r="AJ118" s="32"/>
      <c r="AK118" s="32"/>
      <c r="AL118" s="32"/>
      <c r="AM118" s="32"/>
      <c r="AN118" s="32"/>
      <c r="AO118" s="33" t="str">
        <f aca="false">IF(A118="","",IF(AD118&lt;&gt;"",AD118,IF(AC118&lt;&gt;"",AC118,"")))</f>
        <v/>
      </c>
      <c r="AP118" s="24" t="str">
        <f aca="false">IF(AO118="","",IF(AD118&lt;&gt;"","Reported reach","Impressions (proxy)"))</f>
        <v/>
      </c>
      <c r="AQ118" s="34" t="str">
        <f aca="false">IF(OR(AO118="",N(S118)=0),"",AO118/S118)</f>
        <v/>
      </c>
      <c r="AR118" s="33" t="str">
        <f aca="false">IF(A118="","",IF(COUNT(AF118:AJ118)=0,"",SUM(AF118:AJ118)))</f>
        <v/>
      </c>
      <c r="AS118" s="34" t="str">
        <f aca="false">IF(OR(AR118="",N(AO118)=0),"",AR118/AO118)</f>
        <v/>
      </c>
      <c r="AT118" s="34" t="str">
        <f aca="false">IF(OR(AR118="",N(AC118)=0),"",AR118/AC118)</f>
        <v/>
      </c>
      <c r="AU118" s="34" t="str">
        <f aca="false">IF(OR(AR118="",N(S118)=0),"",AR118/S118)</f>
        <v/>
      </c>
      <c r="AV118" s="34" t="str">
        <f aca="false">IF(OR(AJ118="",N(AC118)=0),"",AJ118/AC118)</f>
        <v/>
      </c>
      <c r="AW118" s="34" t="str">
        <f aca="false">IF(OR(AH118="",N(AO118)=0),"",AH118/AO118)</f>
        <v/>
      </c>
      <c r="AX118" s="35" t="str">
        <f aca="false">IF(OR(AR118="",N(AO118)=0),"",(N(AF118)*Settings!$B$6+N(AG118)*Settings!$B$7+N(AH118)*Settings!$B$8+N(AI118)*Settings!$B$9+N(AJ118)*Settings!$B$10)/AO118*1000)</f>
        <v/>
      </c>
      <c r="AY118" s="36" t="str">
        <f aca="false">IF(AS118="","",IFERROR(AS118/AVERAGEIFS('Post Tracker'!$AS$5:$AS$1004,'Post Tracker'!$G$5:$G$1004,G118),""))</f>
        <v/>
      </c>
      <c r="AZ118" s="32"/>
      <c r="BA118" s="32"/>
      <c r="BB118" s="32"/>
      <c r="BC118" s="32"/>
      <c r="BD118" s="33" t="str">
        <f aca="false">IF(A118="","",COUNTIFS('Demo Pipeline'!$Q$5:$Q$504,A118))</f>
        <v/>
      </c>
      <c r="BE118" s="33" t="str">
        <f aca="false">IF(A118="","",COUNTIFS('Demo Pipeline'!$Q$5:$Q$504,A118,'Demo Pipeline'!$W$5:$W$504,"Attended"))</f>
        <v/>
      </c>
      <c r="BF118" s="33" t="str">
        <f aca="false">IF(A118="","",COUNTIFS('Demo Pipeline'!$Q$5:$Q$504,A118,'Demo Pipeline'!$X$5:$X$504,"Yes"))</f>
        <v/>
      </c>
      <c r="BG118" s="33" t="str">
        <f aca="false">IF(A118="","",COUNTIFS('Demo Pipeline'!$Q$5:$Q$504,A118,'Demo Pipeline'!$Y$5:$Y$504,"Closed Won"))</f>
        <v/>
      </c>
      <c r="BH118" s="37" t="str">
        <f aca="false">IF(A118="","",SUMIFS('Demo Pipeline'!$Z$5:$Z$504,'Demo Pipeline'!$Q$5:$Q$504,A118))</f>
        <v/>
      </c>
      <c r="BI118" s="34" t="str">
        <f aca="false">IF(OR(AZ118="",N(AJ118)=0),"",AZ118/AJ118)</f>
        <v/>
      </c>
      <c r="BJ118" s="34" t="str">
        <f aca="false">IF(OR(BB118="",N(AZ118)=0),"",BB118/AZ118)</f>
        <v/>
      </c>
      <c r="BK118" s="34" t="str">
        <f aca="false">IF(OR(A118="",N(BB118)=0),"",BD118/BB118)</f>
        <v/>
      </c>
      <c r="BL118" s="34" t="str">
        <f aca="false">IF(OR(A118="",N(AZ118)=0),"",BD118/AZ118)</f>
        <v/>
      </c>
      <c r="BM118" s="37" t="str">
        <f aca="false">IF(OR(N(Q118)=0,N(BD118)=0),"",Q118/BD118)</f>
        <v/>
      </c>
      <c r="BN118" s="29"/>
      <c r="BO118" s="29"/>
      <c r="BP118" s="33" t="str">
        <f aca="false">IF(OR(AR118="",N(AO118)=0),"",AR118)</f>
        <v/>
      </c>
      <c r="BQ118" s="33" t="str">
        <f aca="false">IF(OR(AR118="",N(S118)=0),"",S118)</f>
        <v/>
      </c>
      <c r="BR118" s="38" t="str">
        <f aca="false">IF(AND(ISNUMBER(B118),B118&gt;=Dashboard!$C$4,B118&lt;=Dashboard!$F$4,ISNUMBER(AU118)),AU118+ROW()/10^9,"")</f>
        <v/>
      </c>
      <c r="BS118" s="38" t="str">
        <f aca="false">IF(AND(ISNUMBER(B118),B118&gt;=Dashboard!$C$4,B118&lt;=Dashboard!$F$4,A118&lt;&gt;""),N(BD118)+N(AU118)/100+ROW()/10^9,"")</f>
        <v/>
      </c>
    </row>
    <row r="119" customFormat="false" ht="15" hidden="false" customHeight="false" outlineLevel="0" collapsed="false">
      <c r="A119" s="24" t="str">
        <f aca="false">IF(OR(B119="",G119="",H119=""),"",IFERROR(INDEX(Settings!$E$5:$E$49,MATCH(G119,Settings!$D$5:$D$49,0))&amp;INDEX(Settings!$H$5:$H$47,MATCH(H119,Settings!$G$5:$G$47,0))&amp;"-"&amp;TEXT(B119,"yymmdd")&amp;"-"&amp;IF(C119="","0000",TEXT(C119,"hhmm")),"CHECK LISTS"))</f>
        <v/>
      </c>
      <c r="B119" s="39"/>
      <c r="C119" s="40"/>
      <c r="D119" s="24" t="str">
        <f aca="false">IF(B119="","",TEXT(B119,"ddd"))</f>
        <v/>
      </c>
      <c r="E119" s="27" t="str">
        <f aca="false">IF(B119="","",B119-WEEKDAY(B119,3))</f>
        <v/>
      </c>
      <c r="F119" s="24" t="str">
        <f aca="false">IF(B119="","",TEXT(B119,"yyyy-mm"))</f>
        <v/>
      </c>
      <c r="G119" s="29"/>
      <c r="H119" s="29"/>
      <c r="I119" s="29"/>
      <c r="J119" s="29"/>
      <c r="K119" s="29"/>
      <c r="L119" s="29"/>
      <c r="M119" s="29"/>
      <c r="N119" s="29"/>
      <c r="O119" s="29"/>
      <c r="P119" s="29"/>
      <c r="Q119" s="30"/>
      <c r="R119" s="29"/>
      <c r="S119" s="32"/>
      <c r="T119" s="29"/>
      <c r="U119" s="29"/>
      <c r="V119" s="24" t="str">
        <f aca="false">IF(A119="","",IFERROR(INDEX(Settings!$F$5:$F$49,MATCH(G119,Settings!$D$5:$D$49,0)),""))</f>
        <v/>
      </c>
      <c r="W119" s="24" t="str">
        <f aca="false">IF(A119="","",IF(OR(P119="",P119="Organic"),"social","paid_social"))</f>
        <v/>
      </c>
      <c r="X119" s="24" t="str">
        <f aca="false">IF(A119="","",IF(K119&lt;&gt;"",IFERROR(INDEX('Case Studies'!$C$5:$C$54,MATCH(K119,'Case Studies'!$B$5:$B$54,0))&amp;"","case-study"),IF(J119&lt;&gt;"",IFERROR(INDEX(Settings!$J$5:$J$55,MATCH(J119,Settings!$I$5:$I$55,0)),"general"),"general")))</f>
        <v/>
      </c>
      <c r="Y119" s="24" t="str">
        <f aca="false">IF(A119="","",LOWER(A119))</f>
        <v/>
      </c>
      <c r="Z119" s="24" t="str">
        <f aca="false">IF(A119="","",IF(T119="",Settings!$B$5,T119)&amp;IF(ISNUMBER(FIND("?",IF(T119="",Settings!$B$5,T119))),"&amp;","?")&amp;"utm_source="&amp;V119&amp;"&amp;utm_medium="&amp;W119&amp;"&amp;utm_campaign="&amp;X119&amp;"&amp;utm_content="&amp;Y119)</f>
        <v/>
      </c>
      <c r="AA119" s="29"/>
      <c r="AB119" s="39"/>
      <c r="AC119" s="32"/>
      <c r="AD119" s="32"/>
      <c r="AE119" s="32"/>
      <c r="AF119" s="32"/>
      <c r="AG119" s="32"/>
      <c r="AH119" s="32"/>
      <c r="AI119" s="32"/>
      <c r="AJ119" s="32"/>
      <c r="AK119" s="32"/>
      <c r="AL119" s="32"/>
      <c r="AM119" s="32"/>
      <c r="AN119" s="32"/>
      <c r="AO119" s="33" t="str">
        <f aca="false">IF(A119="","",IF(AD119&lt;&gt;"",AD119,IF(AC119&lt;&gt;"",AC119,"")))</f>
        <v/>
      </c>
      <c r="AP119" s="24" t="str">
        <f aca="false">IF(AO119="","",IF(AD119&lt;&gt;"","Reported reach","Impressions (proxy)"))</f>
        <v/>
      </c>
      <c r="AQ119" s="34" t="str">
        <f aca="false">IF(OR(AO119="",N(S119)=0),"",AO119/S119)</f>
        <v/>
      </c>
      <c r="AR119" s="33" t="str">
        <f aca="false">IF(A119="","",IF(COUNT(AF119:AJ119)=0,"",SUM(AF119:AJ119)))</f>
        <v/>
      </c>
      <c r="AS119" s="34" t="str">
        <f aca="false">IF(OR(AR119="",N(AO119)=0),"",AR119/AO119)</f>
        <v/>
      </c>
      <c r="AT119" s="34" t="str">
        <f aca="false">IF(OR(AR119="",N(AC119)=0),"",AR119/AC119)</f>
        <v/>
      </c>
      <c r="AU119" s="34" t="str">
        <f aca="false">IF(OR(AR119="",N(S119)=0),"",AR119/S119)</f>
        <v/>
      </c>
      <c r="AV119" s="34" t="str">
        <f aca="false">IF(OR(AJ119="",N(AC119)=0),"",AJ119/AC119)</f>
        <v/>
      </c>
      <c r="AW119" s="34" t="str">
        <f aca="false">IF(OR(AH119="",N(AO119)=0),"",AH119/AO119)</f>
        <v/>
      </c>
      <c r="AX119" s="35" t="str">
        <f aca="false">IF(OR(AR119="",N(AO119)=0),"",(N(AF119)*Settings!$B$6+N(AG119)*Settings!$B$7+N(AH119)*Settings!$B$8+N(AI119)*Settings!$B$9+N(AJ119)*Settings!$B$10)/AO119*1000)</f>
        <v/>
      </c>
      <c r="AY119" s="36" t="str">
        <f aca="false">IF(AS119="","",IFERROR(AS119/AVERAGEIFS('Post Tracker'!$AS$5:$AS$1004,'Post Tracker'!$G$5:$G$1004,G119),""))</f>
        <v/>
      </c>
      <c r="AZ119" s="32"/>
      <c r="BA119" s="32"/>
      <c r="BB119" s="32"/>
      <c r="BC119" s="32"/>
      <c r="BD119" s="33" t="str">
        <f aca="false">IF(A119="","",COUNTIFS('Demo Pipeline'!$Q$5:$Q$504,A119))</f>
        <v/>
      </c>
      <c r="BE119" s="33" t="str">
        <f aca="false">IF(A119="","",COUNTIFS('Demo Pipeline'!$Q$5:$Q$504,A119,'Demo Pipeline'!$W$5:$W$504,"Attended"))</f>
        <v/>
      </c>
      <c r="BF119" s="33" t="str">
        <f aca="false">IF(A119="","",COUNTIFS('Demo Pipeline'!$Q$5:$Q$504,A119,'Demo Pipeline'!$X$5:$X$504,"Yes"))</f>
        <v/>
      </c>
      <c r="BG119" s="33" t="str">
        <f aca="false">IF(A119="","",COUNTIFS('Demo Pipeline'!$Q$5:$Q$504,A119,'Demo Pipeline'!$Y$5:$Y$504,"Closed Won"))</f>
        <v/>
      </c>
      <c r="BH119" s="37" t="str">
        <f aca="false">IF(A119="","",SUMIFS('Demo Pipeline'!$Z$5:$Z$504,'Demo Pipeline'!$Q$5:$Q$504,A119))</f>
        <v/>
      </c>
      <c r="BI119" s="34" t="str">
        <f aca="false">IF(OR(AZ119="",N(AJ119)=0),"",AZ119/AJ119)</f>
        <v/>
      </c>
      <c r="BJ119" s="34" t="str">
        <f aca="false">IF(OR(BB119="",N(AZ119)=0),"",BB119/AZ119)</f>
        <v/>
      </c>
      <c r="BK119" s="34" t="str">
        <f aca="false">IF(OR(A119="",N(BB119)=0),"",BD119/BB119)</f>
        <v/>
      </c>
      <c r="BL119" s="34" t="str">
        <f aca="false">IF(OR(A119="",N(AZ119)=0),"",BD119/AZ119)</f>
        <v/>
      </c>
      <c r="BM119" s="37" t="str">
        <f aca="false">IF(OR(N(Q119)=0,N(BD119)=0),"",Q119/BD119)</f>
        <v/>
      </c>
      <c r="BN119" s="29"/>
      <c r="BO119" s="29"/>
      <c r="BP119" s="33" t="str">
        <f aca="false">IF(OR(AR119="",N(AO119)=0),"",AR119)</f>
        <v/>
      </c>
      <c r="BQ119" s="33" t="str">
        <f aca="false">IF(OR(AR119="",N(S119)=0),"",S119)</f>
        <v/>
      </c>
      <c r="BR119" s="38" t="str">
        <f aca="false">IF(AND(ISNUMBER(B119),B119&gt;=Dashboard!$C$4,B119&lt;=Dashboard!$F$4,ISNUMBER(AU119)),AU119+ROW()/10^9,"")</f>
        <v/>
      </c>
      <c r="BS119" s="38" t="str">
        <f aca="false">IF(AND(ISNUMBER(B119),B119&gt;=Dashboard!$C$4,B119&lt;=Dashboard!$F$4,A119&lt;&gt;""),N(BD119)+N(AU119)/100+ROW()/10^9,"")</f>
        <v/>
      </c>
    </row>
    <row r="120" customFormat="false" ht="15" hidden="false" customHeight="false" outlineLevel="0" collapsed="false">
      <c r="A120" s="24" t="str">
        <f aca="false">IF(OR(B120="",G120="",H120=""),"",IFERROR(INDEX(Settings!$E$5:$E$49,MATCH(G120,Settings!$D$5:$D$49,0))&amp;INDEX(Settings!$H$5:$H$47,MATCH(H120,Settings!$G$5:$G$47,0))&amp;"-"&amp;TEXT(B120,"yymmdd")&amp;"-"&amp;IF(C120="","0000",TEXT(C120,"hhmm")),"CHECK LISTS"))</f>
        <v/>
      </c>
      <c r="B120" s="39"/>
      <c r="C120" s="40"/>
      <c r="D120" s="24" t="str">
        <f aca="false">IF(B120="","",TEXT(B120,"ddd"))</f>
        <v/>
      </c>
      <c r="E120" s="27" t="str">
        <f aca="false">IF(B120="","",B120-WEEKDAY(B120,3))</f>
        <v/>
      </c>
      <c r="F120" s="24" t="str">
        <f aca="false">IF(B120="","",TEXT(B120,"yyyy-mm"))</f>
        <v/>
      </c>
      <c r="G120" s="29"/>
      <c r="H120" s="29"/>
      <c r="I120" s="29"/>
      <c r="J120" s="29"/>
      <c r="K120" s="29"/>
      <c r="L120" s="29"/>
      <c r="M120" s="29"/>
      <c r="N120" s="29"/>
      <c r="O120" s="29"/>
      <c r="P120" s="29"/>
      <c r="Q120" s="30"/>
      <c r="R120" s="29"/>
      <c r="S120" s="32"/>
      <c r="T120" s="29"/>
      <c r="U120" s="29"/>
      <c r="V120" s="24" t="str">
        <f aca="false">IF(A120="","",IFERROR(INDEX(Settings!$F$5:$F$49,MATCH(G120,Settings!$D$5:$D$49,0)),""))</f>
        <v/>
      </c>
      <c r="W120" s="24" t="str">
        <f aca="false">IF(A120="","",IF(OR(P120="",P120="Organic"),"social","paid_social"))</f>
        <v/>
      </c>
      <c r="X120" s="24" t="str">
        <f aca="false">IF(A120="","",IF(K120&lt;&gt;"",IFERROR(INDEX('Case Studies'!$C$5:$C$54,MATCH(K120,'Case Studies'!$B$5:$B$54,0))&amp;"","case-study"),IF(J120&lt;&gt;"",IFERROR(INDEX(Settings!$J$5:$J$55,MATCH(J120,Settings!$I$5:$I$55,0)),"general"),"general")))</f>
        <v/>
      </c>
      <c r="Y120" s="24" t="str">
        <f aca="false">IF(A120="","",LOWER(A120))</f>
        <v/>
      </c>
      <c r="Z120" s="24" t="str">
        <f aca="false">IF(A120="","",IF(T120="",Settings!$B$5,T120)&amp;IF(ISNUMBER(FIND("?",IF(T120="",Settings!$B$5,T120))),"&amp;","?")&amp;"utm_source="&amp;V120&amp;"&amp;utm_medium="&amp;W120&amp;"&amp;utm_campaign="&amp;X120&amp;"&amp;utm_content="&amp;Y120)</f>
        <v/>
      </c>
      <c r="AA120" s="29"/>
      <c r="AB120" s="39"/>
      <c r="AC120" s="32"/>
      <c r="AD120" s="32"/>
      <c r="AE120" s="32"/>
      <c r="AF120" s="32"/>
      <c r="AG120" s="32"/>
      <c r="AH120" s="32"/>
      <c r="AI120" s="32"/>
      <c r="AJ120" s="32"/>
      <c r="AK120" s="32"/>
      <c r="AL120" s="32"/>
      <c r="AM120" s="32"/>
      <c r="AN120" s="32"/>
      <c r="AO120" s="33" t="str">
        <f aca="false">IF(A120="","",IF(AD120&lt;&gt;"",AD120,IF(AC120&lt;&gt;"",AC120,"")))</f>
        <v/>
      </c>
      <c r="AP120" s="24" t="str">
        <f aca="false">IF(AO120="","",IF(AD120&lt;&gt;"","Reported reach","Impressions (proxy)"))</f>
        <v/>
      </c>
      <c r="AQ120" s="34" t="str">
        <f aca="false">IF(OR(AO120="",N(S120)=0),"",AO120/S120)</f>
        <v/>
      </c>
      <c r="AR120" s="33" t="str">
        <f aca="false">IF(A120="","",IF(COUNT(AF120:AJ120)=0,"",SUM(AF120:AJ120)))</f>
        <v/>
      </c>
      <c r="AS120" s="34" t="str">
        <f aca="false">IF(OR(AR120="",N(AO120)=0),"",AR120/AO120)</f>
        <v/>
      </c>
      <c r="AT120" s="34" t="str">
        <f aca="false">IF(OR(AR120="",N(AC120)=0),"",AR120/AC120)</f>
        <v/>
      </c>
      <c r="AU120" s="34" t="str">
        <f aca="false">IF(OR(AR120="",N(S120)=0),"",AR120/S120)</f>
        <v/>
      </c>
      <c r="AV120" s="34" t="str">
        <f aca="false">IF(OR(AJ120="",N(AC120)=0),"",AJ120/AC120)</f>
        <v/>
      </c>
      <c r="AW120" s="34" t="str">
        <f aca="false">IF(OR(AH120="",N(AO120)=0),"",AH120/AO120)</f>
        <v/>
      </c>
      <c r="AX120" s="35" t="str">
        <f aca="false">IF(OR(AR120="",N(AO120)=0),"",(N(AF120)*Settings!$B$6+N(AG120)*Settings!$B$7+N(AH120)*Settings!$B$8+N(AI120)*Settings!$B$9+N(AJ120)*Settings!$B$10)/AO120*1000)</f>
        <v/>
      </c>
      <c r="AY120" s="36" t="str">
        <f aca="false">IF(AS120="","",IFERROR(AS120/AVERAGEIFS('Post Tracker'!$AS$5:$AS$1004,'Post Tracker'!$G$5:$G$1004,G120),""))</f>
        <v/>
      </c>
      <c r="AZ120" s="32"/>
      <c r="BA120" s="32"/>
      <c r="BB120" s="32"/>
      <c r="BC120" s="32"/>
      <c r="BD120" s="33" t="str">
        <f aca="false">IF(A120="","",COUNTIFS('Demo Pipeline'!$Q$5:$Q$504,A120))</f>
        <v/>
      </c>
      <c r="BE120" s="33" t="str">
        <f aca="false">IF(A120="","",COUNTIFS('Demo Pipeline'!$Q$5:$Q$504,A120,'Demo Pipeline'!$W$5:$W$504,"Attended"))</f>
        <v/>
      </c>
      <c r="BF120" s="33" t="str">
        <f aca="false">IF(A120="","",COUNTIFS('Demo Pipeline'!$Q$5:$Q$504,A120,'Demo Pipeline'!$X$5:$X$504,"Yes"))</f>
        <v/>
      </c>
      <c r="BG120" s="33" t="str">
        <f aca="false">IF(A120="","",COUNTIFS('Demo Pipeline'!$Q$5:$Q$504,A120,'Demo Pipeline'!$Y$5:$Y$504,"Closed Won"))</f>
        <v/>
      </c>
      <c r="BH120" s="37" t="str">
        <f aca="false">IF(A120="","",SUMIFS('Demo Pipeline'!$Z$5:$Z$504,'Demo Pipeline'!$Q$5:$Q$504,A120))</f>
        <v/>
      </c>
      <c r="BI120" s="34" t="str">
        <f aca="false">IF(OR(AZ120="",N(AJ120)=0),"",AZ120/AJ120)</f>
        <v/>
      </c>
      <c r="BJ120" s="34" t="str">
        <f aca="false">IF(OR(BB120="",N(AZ120)=0),"",BB120/AZ120)</f>
        <v/>
      </c>
      <c r="BK120" s="34" t="str">
        <f aca="false">IF(OR(A120="",N(BB120)=0),"",BD120/BB120)</f>
        <v/>
      </c>
      <c r="BL120" s="34" t="str">
        <f aca="false">IF(OR(A120="",N(AZ120)=0),"",BD120/AZ120)</f>
        <v/>
      </c>
      <c r="BM120" s="37" t="str">
        <f aca="false">IF(OR(N(Q120)=0,N(BD120)=0),"",Q120/BD120)</f>
        <v/>
      </c>
      <c r="BN120" s="29"/>
      <c r="BO120" s="29"/>
      <c r="BP120" s="33" t="str">
        <f aca="false">IF(OR(AR120="",N(AO120)=0),"",AR120)</f>
        <v/>
      </c>
      <c r="BQ120" s="33" t="str">
        <f aca="false">IF(OR(AR120="",N(S120)=0),"",S120)</f>
        <v/>
      </c>
      <c r="BR120" s="38" t="str">
        <f aca="false">IF(AND(ISNUMBER(B120),B120&gt;=Dashboard!$C$4,B120&lt;=Dashboard!$F$4,ISNUMBER(AU120)),AU120+ROW()/10^9,"")</f>
        <v/>
      </c>
      <c r="BS120" s="38" t="str">
        <f aca="false">IF(AND(ISNUMBER(B120),B120&gt;=Dashboard!$C$4,B120&lt;=Dashboard!$F$4,A120&lt;&gt;""),N(BD120)+N(AU120)/100+ROW()/10^9,"")</f>
        <v/>
      </c>
    </row>
    <row r="121" customFormat="false" ht="15" hidden="false" customHeight="false" outlineLevel="0" collapsed="false">
      <c r="A121" s="24" t="str">
        <f aca="false">IF(OR(B121="",G121="",H121=""),"",IFERROR(INDEX(Settings!$E$5:$E$49,MATCH(G121,Settings!$D$5:$D$49,0))&amp;INDEX(Settings!$H$5:$H$47,MATCH(H121,Settings!$G$5:$G$47,0))&amp;"-"&amp;TEXT(B121,"yymmdd")&amp;"-"&amp;IF(C121="","0000",TEXT(C121,"hhmm")),"CHECK LISTS"))</f>
        <v/>
      </c>
      <c r="B121" s="39"/>
      <c r="C121" s="40"/>
      <c r="D121" s="24" t="str">
        <f aca="false">IF(B121="","",TEXT(B121,"ddd"))</f>
        <v/>
      </c>
      <c r="E121" s="27" t="str">
        <f aca="false">IF(B121="","",B121-WEEKDAY(B121,3))</f>
        <v/>
      </c>
      <c r="F121" s="24" t="str">
        <f aca="false">IF(B121="","",TEXT(B121,"yyyy-mm"))</f>
        <v/>
      </c>
      <c r="G121" s="29"/>
      <c r="H121" s="29"/>
      <c r="I121" s="29"/>
      <c r="J121" s="29"/>
      <c r="K121" s="29"/>
      <c r="L121" s="29"/>
      <c r="M121" s="29"/>
      <c r="N121" s="29"/>
      <c r="O121" s="29"/>
      <c r="P121" s="29"/>
      <c r="Q121" s="30"/>
      <c r="R121" s="29"/>
      <c r="S121" s="32"/>
      <c r="T121" s="29"/>
      <c r="U121" s="29"/>
      <c r="V121" s="24" t="str">
        <f aca="false">IF(A121="","",IFERROR(INDEX(Settings!$F$5:$F$49,MATCH(G121,Settings!$D$5:$D$49,0)),""))</f>
        <v/>
      </c>
      <c r="W121" s="24" t="str">
        <f aca="false">IF(A121="","",IF(OR(P121="",P121="Organic"),"social","paid_social"))</f>
        <v/>
      </c>
      <c r="X121" s="24" t="str">
        <f aca="false">IF(A121="","",IF(K121&lt;&gt;"",IFERROR(INDEX('Case Studies'!$C$5:$C$54,MATCH(K121,'Case Studies'!$B$5:$B$54,0))&amp;"","case-study"),IF(J121&lt;&gt;"",IFERROR(INDEX(Settings!$J$5:$J$55,MATCH(J121,Settings!$I$5:$I$55,0)),"general"),"general")))</f>
        <v/>
      </c>
      <c r="Y121" s="24" t="str">
        <f aca="false">IF(A121="","",LOWER(A121))</f>
        <v/>
      </c>
      <c r="Z121" s="24" t="str">
        <f aca="false">IF(A121="","",IF(T121="",Settings!$B$5,T121)&amp;IF(ISNUMBER(FIND("?",IF(T121="",Settings!$B$5,T121))),"&amp;","?")&amp;"utm_source="&amp;V121&amp;"&amp;utm_medium="&amp;W121&amp;"&amp;utm_campaign="&amp;X121&amp;"&amp;utm_content="&amp;Y121)</f>
        <v/>
      </c>
      <c r="AA121" s="29"/>
      <c r="AB121" s="39"/>
      <c r="AC121" s="32"/>
      <c r="AD121" s="32"/>
      <c r="AE121" s="32"/>
      <c r="AF121" s="32"/>
      <c r="AG121" s="32"/>
      <c r="AH121" s="32"/>
      <c r="AI121" s="32"/>
      <c r="AJ121" s="32"/>
      <c r="AK121" s="32"/>
      <c r="AL121" s="32"/>
      <c r="AM121" s="32"/>
      <c r="AN121" s="32"/>
      <c r="AO121" s="33" t="str">
        <f aca="false">IF(A121="","",IF(AD121&lt;&gt;"",AD121,IF(AC121&lt;&gt;"",AC121,"")))</f>
        <v/>
      </c>
      <c r="AP121" s="24" t="str">
        <f aca="false">IF(AO121="","",IF(AD121&lt;&gt;"","Reported reach","Impressions (proxy)"))</f>
        <v/>
      </c>
      <c r="AQ121" s="34" t="str">
        <f aca="false">IF(OR(AO121="",N(S121)=0),"",AO121/S121)</f>
        <v/>
      </c>
      <c r="AR121" s="33" t="str">
        <f aca="false">IF(A121="","",IF(COUNT(AF121:AJ121)=0,"",SUM(AF121:AJ121)))</f>
        <v/>
      </c>
      <c r="AS121" s="34" t="str">
        <f aca="false">IF(OR(AR121="",N(AO121)=0),"",AR121/AO121)</f>
        <v/>
      </c>
      <c r="AT121" s="34" t="str">
        <f aca="false">IF(OR(AR121="",N(AC121)=0),"",AR121/AC121)</f>
        <v/>
      </c>
      <c r="AU121" s="34" t="str">
        <f aca="false">IF(OR(AR121="",N(S121)=0),"",AR121/S121)</f>
        <v/>
      </c>
      <c r="AV121" s="34" t="str">
        <f aca="false">IF(OR(AJ121="",N(AC121)=0),"",AJ121/AC121)</f>
        <v/>
      </c>
      <c r="AW121" s="34" t="str">
        <f aca="false">IF(OR(AH121="",N(AO121)=0),"",AH121/AO121)</f>
        <v/>
      </c>
      <c r="AX121" s="35" t="str">
        <f aca="false">IF(OR(AR121="",N(AO121)=0),"",(N(AF121)*Settings!$B$6+N(AG121)*Settings!$B$7+N(AH121)*Settings!$B$8+N(AI121)*Settings!$B$9+N(AJ121)*Settings!$B$10)/AO121*1000)</f>
        <v/>
      </c>
      <c r="AY121" s="36" t="str">
        <f aca="false">IF(AS121="","",IFERROR(AS121/AVERAGEIFS('Post Tracker'!$AS$5:$AS$1004,'Post Tracker'!$G$5:$G$1004,G121),""))</f>
        <v/>
      </c>
      <c r="AZ121" s="32"/>
      <c r="BA121" s="32"/>
      <c r="BB121" s="32"/>
      <c r="BC121" s="32"/>
      <c r="BD121" s="33" t="str">
        <f aca="false">IF(A121="","",COUNTIFS('Demo Pipeline'!$Q$5:$Q$504,A121))</f>
        <v/>
      </c>
      <c r="BE121" s="33" t="str">
        <f aca="false">IF(A121="","",COUNTIFS('Demo Pipeline'!$Q$5:$Q$504,A121,'Demo Pipeline'!$W$5:$W$504,"Attended"))</f>
        <v/>
      </c>
      <c r="BF121" s="33" t="str">
        <f aca="false">IF(A121="","",COUNTIFS('Demo Pipeline'!$Q$5:$Q$504,A121,'Demo Pipeline'!$X$5:$X$504,"Yes"))</f>
        <v/>
      </c>
      <c r="BG121" s="33" t="str">
        <f aca="false">IF(A121="","",COUNTIFS('Demo Pipeline'!$Q$5:$Q$504,A121,'Demo Pipeline'!$Y$5:$Y$504,"Closed Won"))</f>
        <v/>
      </c>
      <c r="BH121" s="37" t="str">
        <f aca="false">IF(A121="","",SUMIFS('Demo Pipeline'!$Z$5:$Z$504,'Demo Pipeline'!$Q$5:$Q$504,A121))</f>
        <v/>
      </c>
      <c r="BI121" s="34" t="str">
        <f aca="false">IF(OR(AZ121="",N(AJ121)=0),"",AZ121/AJ121)</f>
        <v/>
      </c>
      <c r="BJ121" s="34" t="str">
        <f aca="false">IF(OR(BB121="",N(AZ121)=0),"",BB121/AZ121)</f>
        <v/>
      </c>
      <c r="BK121" s="34" t="str">
        <f aca="false">IF(OR(A121="",N(BB121)=0),"",BD121/BB121)</f>
        <v/>
      </c>
      <c r="BL121" s="34" t="str">
        <f aca="false">IF(OR(A121="",N(AZ121)=0),"",BD121/AZ121)</f>
        <v/>
      </c>
      <c r="BM121" s="37" t="str">
        <f aca="false">IF(OR(N(Q121)=0,N(BD121)=0),"",Q121/BD121)</f>
        <v/>
      </c>
      <c r="BN121" s="29"/>
      <c r="BO121" s="29"/>
      <c r="BP121" s="33" t="str">
        <f aca="false">IF(OR(AR121="",N(AO121)=0),"",AR121)</f>
        <v/>
      </c>
      <c r="BQ121" s="33" t="str">
        <f aca="false">IF(OR(AR121="",N(S121)=0),"",S121)</f>
        <v/>
      </c>
      <c r="BR121" s="38" t="str">
        <f aca="false">IF(AND(ISNUMBER(B121),B121&gt;=Dashboard!$C$4,B121&lt;=Dashboard!$F$4,ISNUMBER(AU121)),AU121+ROW()/10^9,"")</f>
        <v/>
      </c>
      <c r="BS121" s="38" t="str">
        <f aca="false">IF(AND(ISNUMBER(B121),B121&gt;=Dashboard!$C$4,B121&lt;=Dashboard!$F$4,A121&lt;&gt;""),N(BD121)+N(AU121)/100+ROW()/10^9,"")</f>
        <v/>
      </c>
    </row>
    <row r="122" customFormat="false" ht="15" hidden="false" customHeight="false" outlineLevel="0" collapsed="false">
      <c r="A122" s="24" t="str">
        <f aca="false">IF(OR(B122="",G122="",H122=""),"",IFERROR(INDEX(Settings!$E$5:$E$49,MATCH(G122,Settings!$D$5:$D$49,0))&amp;INDEX(Settings!$H$5:$H$47,MATCH(H122,Settings!$G$5:$G$47,0))&amp;"-"&amp;TEXT(B122,"yymmdd")&amp;"-"&amp;IF(C122="","0000",TEXT(C122,"hhmm")),"CHECK LISTS"))</f>
        <v/>
      </c>
      <c r="B122" s="39"/>
      <c r="C122" s="40"/>
      <c r="D122" s="24" t="str">
        <f aca="false">IF(B122="","",TEXT(B122,"ddd"))</f>
        <v/>
      </c>
      <c r="E122" s="27" t="str">
        <f aca="false">IF(B122="","",B122-WEEKDAY(B122,3))</f>
        <v/>
      </c>
      <c r="F122" s="24" t="str">
        <f aca="false">IF(B122="","",TEXT(B122,"yyyy-mm"))</f>
        <v/>
      </c>
      <c r="G122" s="29"/>
      <c r="H122" s="29"/>
      <c r="I122" s="29"/>
      <c r="J122" s="29"/>
      <c r="K122" s="29"/>
      <c r="L122" s="29"/>
      <c r="M122" s="29"/>
      <c r="N122" s="29"/>
      <c r="O122" s="29"/>
      <c r="P122" s="29"/>
      <c r="Q122" s="30"/>
      <c r="R122" s="29"/>
      <c r="S122" s="32"/>
      <c r="T122" s="29"/>
      <c r="U122" s="29"/>
      <c r="V122" s="24" t="str">
        <f aca="false">IF(A122="","",IFERROR(INDEX(Settings!$F$5:$F$49,MATCH(G122,Settings!$D$5:$D$49,0)),""))</f>
        <v/>
      </c>
      <c r="W122" s="24" t="str">
        <f aca="false">IF(A122="","",IF(OR(P122="",P122="Organic"),"social","paid_social"))</f>
        <v/>
      </c>
      <c r="X122" s="24" t="str">
        <f aca="false">IF(A122="","",IF(K122&lt;&gt;"",IFERROR(INDEX('Case Studies'!$C$5:$C$54,MATCH(K122,'Case Studies'!$B$5:$B$54,0))&amp;"","case-study"),IF(J122&lt;&gt;"",IFERROR(INDEX(Settings!$J$5:$J$55,MATCH(J122,Settings!$I$5:$I$55,0)),"general"),"general")))</f>
        <v/>
      </c>
      <c r="Y122" s="24" t="str">
        <f aca="false">IF(A122="","",LOWER(A122))</f>
        <v/>
      </c>
      <c r="Z122" s="24" t="str">
        <f aca="false">IF(A122="","",IF(T122="",Settings!$B$5,T122)&amp;IF(ISNUMBER(FIND("?",IF(T122="",Settings!$B$5,T122))),"&amp;","?")&amp;"utm_source="&amp;V122&amp;"&amp;utm_medium="&amp;W122&amp;"&amp;utm_campaign="&amp;X122&amp;"&amp;utm_content="&amp;Y122)</f>
        <v/>
      </c>
      <c r="AA122" s="29"/>
      <c r="AB122" s="39"/>
      <c r="AC122" s="32"/>
      <c r="AD122" s="32"/>
      <c r="AE122" s="32"/>
      <c r="AF122" s="32"/>
      <c r="AG122" s="32"/>
      <c r="AH122" s="32"/>
      <c r="AI122" s="32"/>
      <c r="AJ122" s="32"/>
      <c r="AK122" s="32"/>
      <c r="AL122" s="32"/>
      <c r="AM122" s="32"/>
      <c r="AN122" s="32"/>
      <c r="AO122" s="33" t="str">
        <f aca="false">IF(A122="","",IF(AD122&lt;&gt;"",AD122,IF(AC122&lt;&gt;"",AC122,"")))</f>
        <v/>
      </c>
      <c r="AP122" s="24" t="str">
        <f aca="false">IF(AO122="","",IF(AD122&lt;&gt;"","Reported reach","Impressions (proxy)"))</f>
        <v/>
      </c>
      <c r="AQ122" s="34" t="str">
        <f aca="false">IF(OR(AO122="",N(S122)=0),"",AO122/S122)</f>
        <v/>
      </c>
      <c r="AR122" s="33" t="str">
        <f aca="false">IF(A122="","",IF(COUNT(AF122:AJ122)=0,"",SUM(AF122:AJ122)))</f>
        <v/>
      </c>
      <c r="AS122" s="34" t="str">
        <f aca="false">IF(OR(AR122="",N(AO122)=0),"",AR122/AO122)</f>
        <v/>
      </c>
      <c r="AT122" s="34" t="str">
        <f aca="false">IF(OR(AR122="",N(AC122)=0),"",AR122/AC122)</f>
        <v/>
      </c>
      <c r="AU122" s="34" t="str">
        <f aca="false">IF(OR(AR122="",N(S122)=0),"",AR122/S122)</f>
        <v/>
      </c>
      <c r="AV122" s="34" t="str">
        <f aca="false">IF(OR(AJ122="",N(AC122)=0),"",AJ122/AC122)</f>
        <v/>
      </c>
      <c r="AW122" s="34" t="str">
        <f aca="false">IF(OR(AH122="",N(AO122)=0),"",AH122/AO122)</f>
        <v/>
      </c>
      <c r="AX122" s="35" t="str">
        <f aca="false">IF(OR(AR122="",N(AO122)=0),"",(N(AF122)*Settings!$B$6+N(AG122)*Settings!$B$7+N(AH122)*Settings!$B$8+N(AI122)*Settings!$B$9+N(AJ122)*Settings!$B$10)/AO122*1000)</f>
        <v/>
      </c>
      <c r="AY122" s="36" t="str">
        <f aca="false">IF(AS122="","",IFERROR(AS122/AVERAGEIFS('Post Tracker'!$AS$5:$AS$1004,'Post Tracker'!$G$5:$G$1004,G122),""))</f>
        <v/>
      </c>
      <c r="AZ122" s="32"/>
      <c r="BA122" s="32"/>
      <c r="BB122" s="32"/>
      <c r="BC122" s="32"/>
      <c r="BD122" s="33" t="str">
        <f aca="false">IF(A122="","",COUNTIFS('Demo Pipeline'!$Q$5:$Q$504,A122))</f>
        <v/>
      </c>
      <c r="BE122" s="33" t="str">
        <f aca="false">IF(A122="","",COUNTIFS('Demo Pipeline'!$Q$5:$Q$504,A122,'Demo Pipeline'!$W$5:$W$504,"Attended"))</f>
        <v/>
      </c>
      <c r="BF122" s="33" t="str">
        <f aca="false">IF(A122="","",COUNTIFS('Demo Pipeline'!$Q$5:$Q$504,A122,'Demo Pipeline'!$X$5:$X$504,"Yes"))</f>
        <v/>
      </c>
      <c r="BG122" s="33" t="str">
        <f aca="false">IF(A122="","",COUNTIFS('Demo Pipeline'!$Q$5:$Q$504,A122,'Demo Pipeline'!$Y$5:$Y$504,"Closed Won"))</f>
        <v/>
      </c>
      <c r="BH122" s="37" t="str">
        <f aca="false">IF(A122="","",SUMIFS('Demo Pipeline'!$Z$5:$Z$504,'Demo Pipeline'!$Q$5:$Q$504,A122))</f>
        <v/>
      </c>
      <c r="BI122" s="34" t="str">
        <f aca="false">IF(OR(AZ122="",N(AJ122)=0),"",AZ122/AJ122)</f>
        <v/>
      </c>
      <c r="BJ122" s="34" t="str">
        <f aca="false">IF(OR(BB122="",N(AZ122)=0),"",BB122/AZ122)</f>
        <v/>
      </c>
      <c r="BK122" s="34" t="str">
        <f aca="false">IF(OR(A122="",N(BB122)=0),"",BD122/BB122)</f>
        <v/>
      </c>
      <c r="BL122" s="34" t="str">
        <f aca="false">IF(OR(A122="",N(AZ122)=0),"",BD122/AZ122)</f>
        <v/>
      </c>
      <c r="BM122" s="37" t="str">
        <f aca="false">IF(OR(N(Q122)=0,N(BD122)=0),"",Q122/BD122)</f>
        <v/>
      </c>
      <c r="BN122" s="29"/>
      <c r="BO122" s="29"/>
      <c r="BP122" s="33" t="str">
        <f aca="false">IF(OR(AR122="",N(AO122)=0),"",AR122)</f>
        <v/>
      </c>
      <c r="BQ122" s="33" t="str">
        <f aca="false">IF(OR(AR122="",N(S122)=0),"",S122)</f>
        <v/>
      </c>
      <c r="BR122" s="38" t="str">
        <f aca="false">IF(AND(ISNUMBER(B122),B122&gt;=Dashboard!$C$4,B122&lt;=Dashboard!$F$4,ISNUMBER(AU122)),AU122+ROW()/10^9,"")</f>
        <v/>
      </c>
      <c r="BS122" s="38" t="str">
        <f aca="false">IF(AND(ISNUMBER(B122),B122&gt;=Dashboard!$C$4,B122&lt;=Dashboard!$F$4,A122&lt;&gt;""),N(BD122)+N(AU122)/100+ROW()/10^9,"")</f>
        <v/>
      </c>
    </row>
    <row r="123" customFormat="false" ht="15" hidden="false" customHeight="false" outlineLevel="0" collapsed="false">
      <c r="A123" s="24" t="str">
        <f aca="false">IF(OR(B123="",G123="",H123=""),"",IFERROR(INDEX(Settings!$E$5:$E$49,MATCH(G123,Settings!$D$5:$D$49,0))&amp;INDEX(Settings!$H$5:$H$47,MATCH(H123,Settings!$G$5:$G$47,0))&amp;"-"&amp;TEXT(B123,"yymmdd")&amp;"-"&amp;IF(C123="","0000",TEXT(C123,"hhmm")),"CHECK LISTS"))</f>
        <v/>
      </c>
      <c r="B123" s="39"/>
      <c r="C123" s="40"/>
      <c r="D123" s="24" t="str">
        <f aca="false">IF(B123="","",TEXT(B123,"ddd"))</f>
        <v/>
      </c>
      <c r="E123" s="27" t="str">
        <f aca="false">IF(B123="","",B123-WEEKDAY(B123,3))</f>
        <v/>
      </c>
      <c r="F123" s="24" t="str">
        <f aca="false">IF(B123="","",TEXT(B123,"yyyy-mm"))</f>
        <v/>
      </c>
      <c r="G123" s="29"/>
      <c r="H123" s="29"/>
      <c r="I123" s="29"/>
      <c r="J123" s="29"/>
      <c r="K123" s="29"/>
      <c r="L123" s="29"/>
      <c r="M123" s="29"/>
      <c r="N123" s="29"/>
      <c r="O123" s="29"/>
      <c r="P123" s="29"/>
      <c r="Q123" s="30"/>
      <c r="R123" s="29"/>
      <c r="S123" s="32"/>
      <c r="T123" s="29"/>
      <c r="U123" s="29"/>
      <c r="V123" s="24" t="str">
        <f aca="false">IF(A123="","",IFERROR(INDEX(Settings!$F$5:$F$49,MATCH(G123,Settings!$D$5:$D$49,0)),""))</f>
        <v/>
      </c>
      <c r="W123" s="24" t="str">
        <f aca="false">IF(A123="","",IF(OR(P123="",P123="Organic"),"social","paid_social"))</f>
        <v/>
      </c>
      <c r="X123" s="24" t="str">
        <f aca="false">IF(A123="","",IF(K123&lt;&gt;"",IFERROR(INDEX('Case Studies'!$C$5:$C$54,MATCH(K123,'Case Studies'!$B$5:$B$54,0))&amp;"","case-study"),IF(J123&lt;&gt;"",IFERROR(INDEX(Settings!$J$5:$J$55,MATCH(J123,Settings!$I$5:$I$55,0)),"general"),"general")))</f>
        <v/>
      </c>
      <c r="Y123" s="24" t="str">
        <f aca="false">IF(A123="","",LOWER(A123))</f>
        <v/>
      </c>
      <c r="Z123" s="24" t="str">
        <f aca="false">IF(A123="","",IF(T123="",Settings!$B$5,T123)&amp;IF(ISNUMBER(FIND("?",IF(T123="",Settings!$B$5,T123))),"&amp;","?")&amp;"utm_source="&amp;V123&amp;"&amp;utm_medium="&amp;W123&amp;"&amp;utm_campaign="&amp;X123&amp;"&amp;utm_content="&amp;Y123)</f>
        <v/>
      </c>
      <c r="AA123" s="29"/>
      <c r="AB123" s="39"/>
      <c r="AC123" s="32"/>
      <c r="AD123" s="32"/>
      <c r="AE123" s="32"/>
      <c r="AF123" s="32"/>
      <c r="AG123" s="32"/>
      <c r="AH123" s="32"/>
      <c r="AI123" s="32"/>
      <c r="AJ123" s="32"/>
      <c r="AK123" s="32"/>
      <c r="AL123" s="32"/>
      <c r="AM123" s="32"/>
      <c r="AN123" s="32"/>
      <c r="AO123" s="33" t="str">
        <f aca="false">IF(A123="","",IF(AD123&lt;&gt;"",AD123,IF(AC123&lt;&gt;"",AC123,"")))</f>
        <v/>
      </c>
      <c r="AP123" s="24" t="str">
        <f aca="false">IF(AO123="","",IF(AD123&lt;&gt;"","Reported reach","Impressions (proxy)"))</f>
        <v/>
      </c>
      <c r="AQ123" s="34" t="str">
        <f aca="false">IF(OR(AO123="",N(S123)=0),"",AO123/S123)</f>
        <v/>
      </c>
      <c r="AR123" s="33" t="str">
        <f aca="false">IF(A123="","",IF(COUNT(AF123:AJ123)=0,"",SUM(AF123:AJ123)))</f>
        <v/>
      </c>
      <c r="AS123" s="34" t="str">
        <f aca="false">IF(OR(AR123="",N(AO123)=0),"",AR123/AO123)</f>
        <v/>
      </c>
      <c r="AT123" s="34" t="str">
        <f aca="false">IF(OR(AR123="",N(AC123)=0),"",AR123/AC123)</f>
        <v/>
      </c>
      <c r="AU123" s="34" t="str">
        <f aca="false">IF(OR(AR123="",N(S123)=0),"",AR123/S123)</f>
        <v/>
      </c>
      <c r="AV123" s="34" t="str">
        <f aca="false">IF(OR(AJ123="",N(AC123)=0),"",AJ123/AC123)</f>
        <v/>
      </c>
      <c r="AW123" s="34" t="str">
        <f aca="false">IF(OR(AH123="",N(AO123)=0),"",AH123/AO123)</f>
        <v/>
      </c>
      <c r="AX123" s="35" t="str">
        <f aca="false">IF(OR(AR123="",N(AO123)=0),"",(N(AF123)*Settings!$B$6+N(AG123)*Settings!$B$7+N(AH123)*Settings!$B$8+N(AI123)*Settings!$B$9+N(AJ123)*Settings!$B$10)/AO123*1000)</f>
        <v/>
      </c>
      <c r="AY123" s="36" t="str">
        <f aca="false">IF(AS123="","",IFERROR(AS123/AVERAGEIFS('Post Tracker'!$AS$5:$AS$1004,'Post Tracker'!$G$5:$G$1004,G123),""))</f>
        <v/>
      </c>
      <c r="AZ123" s="32"/>
      <c r="BA123" s="32"/>
      <c r="BB123" s="32"/>
      <c r="BC123" s="32"/>
      <c r="BD123" s="33" t="str">
        <f aca="false">IF(A123="","",COUNTIFS('Demo Pipeline'!$Q$5:$Q$504,A123))</f>
        <v/>
      </c>
      <c r="BE123" s="33" t="str">
        <f aca="false">IF(A123="","",COUNTIFS('Demo Pipeline'!$Q$5:$Q$504,A123,'Demo Pipeline'!$W$5:$W$504,"Attended"))</f>
        <v/>
      </c>
      <c r="BF123" s="33" t="str">
        <f aca="false">IF(A123="","",COUNTIFS('Demo Pipeline'!$Q$5:$Q$504,A123,'Demo Pipeline'!$X$5:$X$504,"Yes"))</f>
        <v/>
      </c>
      <c r="BG123" s="33" t="str">
        <f aca="false">IF(A123="","",COUNTIFS('Demo Pipeline'!$Q$5:$Q$504,A123,'Demo Pipeline'!$Y$5:$Y$504,"Closed Won"))</f>
        <v/>
      </c>
      <c r="BH123" s="37" t="str">
        <f aca="false">IF(A123="","",SUMIFS('Demo Pipeline'!$Z$5:$Z$504,'Demo Pipeline'!$Q$5:$Q$504,A123))</f>
        <v/>
      </c>
      <c r="BI123" s="34" t="str">
        <f aca="false">IF(OR(AZ123="",N(AJ123)=0),"",AZ123/AJ123)</f>
        <v/>
      </c>
      <c r="BJ123" s="34" t="str">
        <f aca="false">IF(OR(BB123="",N(AZ123)=0),"",BB123/AZ123)</f>
        <v/>
      </c>
      <c r="BK123" s="34" t="str">
        <f aca="false">IF(OR(A123="",N(BB123)=0),"",BD123/BB123)</f>
        <v/>
      </c>
      <c r="BL123" s="34" t="str">
        <f aca="false">IF(OR(A123="",N(AZ123)=0),"",BD123/AZ123)</f>
        <v/>
      </c>
      <c r="BM123" s="37" t="str">
        <f aca="false">IF(OR(N(Q123)=0,N(BD123)=0),"",Q123/BD123)</f>
        <v/>
      </c>
      <c r="BN123" s="29"/>
      <c r="BO123" s="29"/>
      <c r="BP123" s="33" t="str">
        <f aca="false">IF(OR(AR123="",N(AO123)=0),"",AR123)</f>
        <v/>
      </c>
      <c r="BQ123" s="33" t="str">
        <f aca="false">IF(OR(AR123="",N(S123)=0),"",S123)</f>
        <v/>
      </c>
      <c r="BR123" s="38" t="str">
        <f aca="false">IF(AND(ISNUMBER(B123),B123&gt;=Dashboard!$C$4,B123&lt;=Dashboard!$F$4,ISNUMBER(AU123)),AU123+ROW()/10^9,"")</f>
        <v/>
      </c>
      <c r="BS123" s="38" t="str">
        <f aca="false">IF(AND(ISNUMBER(B123),B123&gt;=Dashboard!$C$4,B123&lt;=Dashboard!$F$4,A123&lt;&gt;""),N(BD123)+N(AU123)/100+ROW()/10^9,"")</f>
        <v/>
      </c>
    </row>
    <row r="124" customFormat="false" ht="15" hidden="false" customHeight="false" outlineLevel="0" collapsed="false">
      <c r="A124" s="24" t="str">
        <f aca="false">IF(OR(B124="",G124="",H124=""),"",IFERROR(INDEX(Settings!$E$5:$E$49,MATCH(G124,Settings!$D$5:$D$49,0))&amp;INDEX(Settings!$H$5:$H$47,MATCH(H124,Settings!$G$5:$G$47,0))&amp;"-"&amp;TEXT(B124,"yymmdd")&amp;"-"&amp;IF(C124="","0000",TEXT(C124,"hhmm")),"CHECK LISTS"))</f>
        <v/>
      </c>
      <c r="B124" s="39"/>
      <c r="C124" s="40"/>
      <c r="D124" s="24" t="str">
        <f aca="false">IF(B124="","",TEXT(B124,"ddd"))</f>
        <v/>
      </c>
      <c r="E124" s="27" t="str">
        <f aca="false">IF(B124="","",B124-WEEKDAY(B124,3))</f>
        <v/>
      </c>
      <c r="F124" s="24" t="str">
        <f aca="false">IF(B124="","",TEXT(B124,"yyyy-mm"))</f>
        <v/>
      </c>
      <c r="G124" s="29"/>
      <c r="H124" s="29"/>
      <c r="I124" s="29"/>
      <c r="J124" s="29"/>
      <c r="K124" s="29"/>
      <c r="L124" s="29"/>
      <c r="M124" s="29"/>
      <c r="N124" s="29"/>
      <c r="O124" s="29"/>
      <c r="P124" s="29"/>
      <c r="Q124" s="30"/>
      <c r="R124" s="29"/>
      <c r="S124" s="32"/>
      <c r="T124" s="29"/>
      <c r="U124" s="29"/>
      <c r="V124" s="24" t="str">
        <f aca="false">IF(A124="","",IFERROR(INDEX(Settings!$F$5:$F$49,MATCH(G124,Settings!$D$5:$D$49,0)),""))</f>
        <v/>
      </c>
      <c r="W124" s="24" t="str">
        <f aca="false">IF(A124="","",IF(OR(P124="",P124="Organic"),"social","paid_social"))</f>
        <v/>
      </c>
      <c r="X124" s="24" t="str">
        <f aca="false">IF(A124="","",IF(K124&lt;&gt;"",IFERROR(INDEX('Case Studies'!$C$5:$C$54,MATCH(K124,'Case Studies'!$B$5:$B$54,0))&amp;"","case-study"),IF(J124&lt;&gt;"",IFERROR(INDEX(Settings!$J$5:$J$55,MATCH(J124,Settings!$I$5:$I$55,0)),"general"),"general")))</f>
        <v/>
      </c>
      <c r="Y124" s="24" t="str">
        <f aca="false">IF(A124="","",LOWER(A124))</f>
        <v/>
      </c>
      <c r="Z124" s="24" t="str">
        <f aca="false">IF(A124="","",IF(T124="",Settings!$B$5,T124)&amp;IF(ISNUMBER(FIND("?",IF(T124="",Settings!$B$5,T124))),"&amp;","?")&amp;"utm_source="&amp;V124&amp;"&amp;utm_medium="&amp;W124&amp;"&amp;utm_campaign="&amp;X124&amp;"&amp;utm_content="&amp;Y124)</f>
        <v/>
      </c>
      <c r="AA124" s="29"/>
      <c r="AB124" s="39"/>
      <c r="AC124" s="32"/>
      <c r="AD124" s="32"/>
      <c r="AE124" s="32"/>
      <c r="AF124" s="32"/>
      <c r="AG124" s="32"/>
      <c r="AH124" s="32"/>
      <c r="AI124" s="32"/>
      <c r="AJ124" s="32"/>
      <c r="AK124" s="32"/>
      <c r="AL124" s="32"/>
      <c r="AM124" s="32"/>
      <c r="AN124" s="32"/>
      <c r="AO124" s="33" t="str">
        <f aca="false">IF(A124="","",IF(AD124&lt;&gt;"",AD124,IF(AC124&lt;&gt;"",AC124,"")))</f>
        <v/>
      </c>
      <c r="AP124" s="24" t="str">
        <f aca="false">IF(AO124="","",IF(AD124&lt;&gt;"","Reported reach","Impressions (proxy)"))</f>
        <v/>
      </c>
      <c r="AQ124" s="34" t="str">
        <f aca="false">IF(OR(AO124="",N(S124)=0),"",AO124/S124)</f>
        <v/>
      </c>
      <c r="AR124" s="33" t="str">
        <f aca="false">IF(A124="","",IF(COUNT(AF124:AJ124)=0,"",SUM(AF124:AJ124)))</f>
        <v/>
      </c>
      <c r="AS124" s="34" t="str">
        <f aca="false">IF(OR(AR124="",N(AO124)=0),"",AR124/AO124)</f>
        <v/>
      </c>
      <c r="AT124" s="34" t="str">
        <f aca="false">IF(OR(AR124="",N(AC124)=0),"",AR124/AC124)</f>
        <v/>
      </c>
      <c r="AU124" s="34" t="str">
        <f aca="false">IF(OR(AR124="",N(S124)=0),"",AR124/S124)</f>
        <v/>
      </c>
      <c r="AV124" s="34" t="str">
        <f aca="false">IF(OR(AJ124="",N(AC124)=0),"",AJ124/AC124)</f>
        <v/>
      </c>
      <c r="AW124" s="34" t="str">
        <f aca="false">IF(OR(AH124="",N(AO124)=0),"",AH124/AO124)</f>
        <v/>
      </c>
      <c r="AX124" s="35" t="str">
        <f aca="false">IF(OR(AR124="",N(AO124)=0),"",(N(AF124)*Settings!$B$6+N(AG124)*Settings!$B$7+N(AH124)*Settings!$B$8+N(AI124)*Settings!$B$9+N(AJ124)*Settings!$B$10)/AO124*1000)</f>
        <v/>
      </c>
      <c r="AY124" s="36" t="str">
        <f aca="false">IF(AS124="","",IFERROR(AS124/AVERAGEIFS('Post Tracker'!$AS$5:$AS$1004,'Post Tracker'!$G$5:$G$1004,G124),""))</f>
        <v/>
      </c>
      <c r="AZ124" s="32"/>
      <c r="BA124" s="32"/>
      <c r="BB124" s="32"/>
      <c r="BC124" s="32"/>
      <c r="BD124" s="33" t="str">
        <f aca="false">IF(A124="","",COUNTIFS('Demo Pipeline'!$Q$5:$Q$504,A124))</f>
        <v/>
      </c>
      <c r="BE124" s="33" t="str">
        <f aca="false">IF(A124="","",COUNTIFS('Demo Pipeline'!$Q$5:$Q$504,A124,'Demo Pipeline'!$W$5:$W$504,"Attended"))</f>
        <v/>
      </c>
      <c r="BF124" s="33" t="str">
        <f aca="false">IF(A124="","",COUNTIFS('Demo Pipeline'!$Q$5:$Q$504,A124,'Demo Pipeline'!$X$5:$X$504,"Yes"))</f>
        <v/>
      </c>
      <c r="BG124" s="33" t="str">
        <f aca="false">IF(A124="","",COUNTIFS('Demo Pipeline'!$Q$5:$Q$504,A124,'Demo Pipeline'!$Y$5:$Y$504,"Closed Won"))</f>
        <v/>
      </c>
      <c r="BH124" s="37" t="str">
        <f aca="false">IF(A124="","",SUMIFS('Demo Pipeline'!$Z$5:$Z$504,'Demo Pipeline'!$Q$5:$Q$504,A124))</f>
        <v/>
      </c>
      <c r="BI124" s="34" t="str">
        <f aca="false">IF(OR(AZ124="",N(AJ124)=0),"",AZ124/AJ124)</f>
        <v/>
      </c>
      <c r="BJ124" s="34" t="str">
        <f aca="false">IF(OR(BB124="",N(AZ124)=0),"",BB124/AZ124)</f>
        <v/>
      </c>
      <c r="BK124" s="34" t="str">
        <f aca="false">IF(OR(A124="",N(BB124)=0),"",BD124/BB124)</f>
        <v/>
      </c>
      <c r="BL124" s="34" t="str">
        <f aca="false">IF(OR(A124="",N(AZ124)=0),"",BD124/AZ124)</f>
        <v/>
      </c>
      <c r="BM124" s="37" t="str">
        <f aca="false">IF(OR(N(Q124)=0,N(BD124)=0),"",Q124/BD124)</f>
        <v/>
      </c>
      <c r="BN124" s="29"/>
      <c r="BO124" s="29"/>
      <c r="BP124" s="33" t="str">
        <f aca="false">IF(OR(AR124="",N(AO124)=0),"",AR124)</f>
        <v/>
      </c>
      <c r="BQ124" s="33" t="str">
        <f aca="false">IF(OR(AR124="",N(S124)=0),"",S124)</f>
        <v/>
      </c>
      <c r="BR124" s="38" t="str">
        <f aca="false">IF(AND(ISNUMBER(B124),B124&gt;=Dashboard!$C$4,B124&lt;=Dashboard!$F$4,ISNUMBER(AU124)),AU124+ROW()/10^9,"")</f>
        <v/>
      </c>
      <c r="BS124" s="38" t="str">
        <f aca="false">IF(AND(ISNUMBER(B124),B124&gt;=Dashboard!$C$4,B124&lt;=Dashboard!$F$4,A124&lt;&gt;""),N(BD124)+N(AU124)/100+ROW()/10^9,"")</f>
        <v/>
      </c>
    </row>
    <row r="125" customFormat="false" ht="15" hidden="false" customHeight="false" outlineLevel="0" collapsed="false">
      <c r="A125" s="24" t="str">
        <f aca="false">IF(OR(B125="",G125="",H125=""),"",IFERROR(INDEX(Settings!$E$5:$E$49,MATCH(G125,Settings!$D$5:$D$49,0))&amp;INDEX(Settings!$H$5:$H$47,MATCH(H125,Settings!$G$5:$G$47,0))&amp;"-"&amp;TEXT(B125,"yymmdd")&amp;"-"&amp;IF(C125="","0000",TEXT(C125,"hhmm")),"CHECK LISTS"))</f>
        <v/>
      </c>
      <c r="B125" s="39"/>
      <c r="C125" s="40"/>
      <c r="D125" s="24" t="str">
        <f aca="false">IF(B125="","",TEXT(B125,"ddd"))</f>
        <v/>
      </c>
      <c r="E125" s="27" t="str">
        <f aca="false">IF(B125="","",B125-WEEKDAY(B125,3))</f>
        <v/>
      </c>
      <c r="F125" s="24" t="str">
        <f aca="false">IF(B125="","",TEXT(B125,"yyyy-mm"))</f>
        <v/>
      </c>
      <c r="G125" s="29"/>
      <c r="H125" s="29"/>
      <c r="I125" s="29"/>
      <c r="J125" s="29"/>
      <c r="K125" s="29"/>
      <c r="L125" s="29"/>
      <c r="M125" s="29"/>
      <c r="N125" s="29"/>
      <c r="O125" s="29"/>
      <c r="P125" s="29"/>
      <c r="Q125" s="30"/>
      <c r="R125" s="29"/>
      <c r="S125" s="32"/>
      <c r="T125" s="29"/>
      <c r="U125" s="29"/>
      <c r="V125" s="24" t="str">
        <f aca="false">IF(A125="","",IFERROR(INDEX(Settings!$F$5:$F$49,MATCH(G125,Settings!$D$5:$D$49,0)),""))</f>
        <v/>
      </c>
      <c r="W125" s="24" t="str">
        <f aca="false">IF(A125="","",IF(OR(P125="",P125="Organic"),"social","paid_social"))</f>
        <v/>
      </c>
      <c r="X125" s="24" t="str">
        <f aca="false">IF(A125="","",IF(K125&lt;&gt;"",IFERROR(INDEX('Case Studies'!$C$5:$C$54,MATCH(K125,'Case Studies'!$B$5:$B$54,0))&amp;"","case-study"),IF(J125&lt;&gt;"",IFERROR(INDEX(Settings!$J$5:$J$55,MATCH(J125,Settings!$I$5:$I$55,0)),"general"),"general")))</f>
        <v/>
      </c>
      <c r="Y125" s="24" t="str">
        <f aca="false">IF(A125="","",LOWER(A125))</f>
        <v/>
      </c>
      <c r="Z125" s="24" t="str">
        <f aca="false">IF(A125="","",IF(T125="",Settings!$B$5,T125)&amp;IF(ISNUMBER(FIND("?",IF(T125="",Settings!$B$5,T125))),"&amp;","?")&amp;"utm_source="&amp;V125&amp;"&amp;utm_medium="&amp;W125&amp;"&amp;utm_campaign="&amp;X125&amp;"&amp;utm_content="&amp;Y125)</f>
        <v/>
      </c>
      <c r="AA125" s="29"/>
      <c r="AB125" s="39"/>
      <c r="AC125" s="32"/>
      <c r="AD125" s="32"/>
      <c r="AE125" s="32"/>
      <c r="AF125" s="32"/>
      <c r="AG125" s="32"/>
      <c r="AH125" s="32"/>
      <c r="AI125" s="32"/>
      <c r="AJ125" s="32"/>
      <c r="AK125" s="32"/>
      <c r="AL125" s="32"/>
      <c r="AM125" s="32"/>
      <c r="AN125" s="32"/>
      <c r="AO125" s="33" t="str">
        <f aca="false">IF(A125="","",IF(AD125&lt;&gt;"",AD125,IF(AC125&lt;&gt;"",AC125,"")))</f>
        <v/>
      </c>
      <c r="AP125" s="24" t="str">
        <f aca="false">IF(AO125="","",IF(AD125&lt;&gt;"","Reported reach","Impressions (proxy)"))</f>
        <v/>
      </c>
      <c r="AQ125" s="34" t="str">
        <f aca="false">IF(OR(AO125="",N(S125)=0),"",AO125/S125)</f>
        <v/>
      </c>
      <c r="AR125" s="33" t="str">
        <f aca="false">IF(A125="","",IF(COUNT(AF125:AJ125)=0,"",SUM(AF125:AJ125)))</f>
        <v/>
      </c>
      <c r="AS125" s="34" t="str">
        <f aca="false">IF(OR(AR125="",N(AO125)=0),"",AR125/AO125)</f>
        <v/>
      </c>
      <c r="AT125" s="34" t="str">
        <f aca="false">IF(OR(AR125="",N(AC125)=0),"",AR125/AC125)</f>
        <v/>
      </c>
      <c r="AU125" s="34" t="str">
        <f aca="false">IF(OR(AR125="",N(S125)=0),"",AR125/S125)</f>
        <v/>
      </c>
      <c r="AV125" s="34" t="str">
        <f aca="false">IF(OR(AJ125="",N(AC125)=0),"",AJ125/AC125)</f>
        <v/>
      </c>
      <c r="AW125" s="34" t="str">
        <f aca="false">IF(OR(AH125="",N(AO125)=0),"",AH125/AO125)</f>
        <v/>
      </c>
      <c r="AX125" s="35" t="str">
        <f aca="false">IF(OR(AR125="",N(AO125)=0),"",(N(AF125)*Settings!$B$6+N(AG125)*Settings!$B$7+N(AH125)*Settings!$B$8+N(AI125)*Settings!$B$9+N(AJ125)*Settings!$B$10)/AO125*1000)</f>
        <v/>
      </c>
      <c r="AY125" s="36" t="str">
        <f aca="false">IF(AS125="","",IFERROR(AS125/AVERAGEIFS('Post Tracker'!$AS$5:$AS$1004,'Post Tracker'!$G$5:$G$1004,G125),""))</f>
        <v/>
      </c>
      <c r="AZ125" s="32"/>
      <c r="BA125" s="32"/>
      <c r="BB125" s="32"/>
      <c r="BC125" s="32"/>
      <c r="BD125" s="33" t="str">
        <f aca="false">IF(A125="","",COUNTIFS('Demo Pipeline'!$Q$5:$Q$504,A125))</f>
        <v/>
      </c>
      <c r="BE125" s="33" t="str">
        <f aca="false">IF(A125="","",COUNTIFS('Demo Pipeline'!$Q$5:$Q$504,A125,'Demo Pipeline'!$W$5:$W$504,"Attended"))</f>
        <v/>
      </c>
      <c r="BF125" s="33" t="str">
        <f aca="false">IF(A125="","",COUNTIFS('Demo Pipeline'!$Q$5:$Q$504,A125,'Demo Pipeline'!$X$5:$X$504,"Yes"))</f>
        <v/>
      </c>
      <c r="BG125" s="33" t="str">
        <f aca="false">IF(A125="","",COUNTIFS('Demo Pipeline'!$Q$5:$Q$504,A125,'Demo Pipeline'!$Y$5:$Y$504,"Closed Won"))</f>
        <v/>
      </c>
      <c r="BH125" s="37" t="str">
        <f aca="false">IF(A125="","",SUMIFS('Demo Pipeline'!$Z$5:$Z$504,'Demo Pipeline'!$Q$5:$Q$504,A125))</f>
        <v/>
      </c>
      <c r="BI125" s="34" t="str">
        <f aca="false">IF(OR(AZ125="",N(AJ125)=0),"",AZ125/AJ125)</f>
        <v/>
      </c>
      <c r="BJ125" s="34" t="str">
        <f aca="false">IF(OR(BB125="",N(AZ125)=0),"",BB125/AZ125)</f>
        <v/>
      </c>
      <c r="BK125" s="34" t="str">
        <f aca="false">IF(OR(A125="",N(BB125)=0),"",BD125/BB125)</f>
        <v/>
      </c>
      <c r="BL125" s="34" t="str">
        <f aca="false">IF(OR(A125="",N(AZ125)=0),"",BD125/AZ125)</f>
        <v/>
      </c>
      <c r="BM125" s="37" t="str">
        <f aca="false">IF(OR(N(Q125)=0,N(BD125)=0),"",Q125/BD125)</f>
        <v/>
      </c>
      <c r="BN125" s="29"/>
      <c r="BO125" s="29"/>
      <c r="BP125" s="33" t="str">
        <f aca="false">IF(OR(AR125="",N(AO125)=0),"",AR125)</f>
        <v/>
      </c>
      <c r="BQ125" s="33" t="str">
        <f aca="false">IF(OR(AR125="",N(S125)=0),"",S125)</f>
        <v/>
      </c>
      <c r="BR125" s="38" t="str">
        <f aca="false">IF(AND(ISNUMBER(B125),B125&gt;=Dashboard!$C$4,B125&lt;=Dashboard!$F$4,ISNUMBER(AU125)),AU125+ROW()/10^9,"")</f>
        <v/>
      </c>
      <c r="BS125" s="38" t="str">
        <f aca="false">IF(AND(ISNUMBER(B125),B125&gt;=Dashboard!$C$4,B125&lt;=Dashboard!$F$4,A125&lt;&gt;""),N(BD125)+N(AU125)/100+ROW()/10^9,"")</f>
        <v/>
      </c>
    </row>
    <row r="126" customFormat="false" ht="15" hidden="false" customHeight="false" outlineLevel="0" collapsed="false">
      <c r="A126" s="24" t="str">
        <f aca="false">IF(OR(B126="",G126="",H126=""),"",IFERROR(INDEX(Settings!$E$5:$E$49,MATCH(G126,Settings!$D$5:$D$49,0))&amp;INDEX(Settings!$H$5:$H$47,MATCH(H126,Settings!$G$5:$G$47,0))&amp;"-"&amp;TEXT(B126,"yymmdd")&amp;"-"&amp;IF(C126="","0000",TEXT(C126,"hhmm")),"CHECK LISTS"))</f>
        <v/>
      </c>
      <c r="B126" s="39"/>
      <c r="C126" s="40"/>
      <c r="D126" s="24" t="str">
        <f aca="false">IF(B126="","",TEXT(B126,"ddd"))</f>
        <v/>
      </c>
      <c r="E126" s="27" t="str">
        <f aca="false">IF(B126="","",B126-WEEKDAY(B126,3))</f>
        <v/>
      </c>
      <c r="F126" s="24" t="str">
        <f aca="false">IF(B126="","",TEXT(B126,"yyyy-mm"))</f>
        <v/>
      </c>
      <c r="G126" s="29"/>
      <c r="H126" s="29"/>
      <c r="I126" s="29"/>
      <c r="J126" s="29"/>
      <c r="K126" s="29"/>
      <c r="L126" s="29"/>
      <c r="M126" s="29"/>
      <c r="N126" s="29"/>
      <c r="O126" s="29"/>
      <c r="P126" s="29"/>
      <c r="Q126" s="30"/>
      <c r="R126" s="29"/>
      <c r="S126" s="32"/>
      <c r="T126" s="29"/>
      <c r="U126" s="29"/>
      <c r="V126" s="24" t="str">
        <f aca="false">IF(A126="","",IFERROR(INDEX(Settings!$F$5:$F$49,MATCH(G126,Settings!$D$5:$D$49,0)),""))</f>
        <v/>
      </c>
      <c r="W126" s="24" t="str">
        <f aca="false">IF(A126="","",IF(OR(P126="",P126="Organic"),"social","paid_social"))</f>
        <v/>
      </c>
      <c r="X126" s="24" t="str">
        <f aca="false">IF(A126="","",IF(K126&lt;&gt;"",IFERROR(INDEX('Case Studies'!$C$5:$C$54,MATCH(K126,'Case Studies'!$B$5:$B$54,0))&amp;"","case-study"),IF(J126&lt;&gt;"",IFERROR(INDEX(Settings!$J$5:$J$55,MATCH(J126,Settings!$I$5:$I$55,0)),"general"),"general")))</f>
        <v/>
      </c>
      <c r="Y126" s="24" t="str">
        <f aca="false">IF(A126="","",LOWER(A126))</f>
        <v/>
      </c>
      <c r="Z126" s="24" t="str">
        <f aca="false">IF(A126="","",IF(T126="",Settings!$B$5,T126)&amp;IF(ISNUMBER(FIND("?",IF(T126="",Settings!$B$5,T126))),"&amp;","?")&amp;"utm_source="&amp;V126&amp;"&amp;utm_medium="&amp;W126&amp;"&amp;utm_campaign="&amp;X126&amp;"&amp;utm_content="&amp;Y126)</f>
        <v/>
      </c>
      <c r="AA126" s="29"/>
      <c r="AB126" s="39"/>
      <c r="AC126" s="32"/>
      <c r="AD126" s="32"/>
      <c r="AE126" s="32"/>
      <c r="AF126" s="32"/>
      <c r="AG126" s="32"/>
      <c r="AH126" s="32"/>
      <c r="AI126" s="32"/>
      <c r="AJ126" s="32"/>
      <c r="AK126" s="32"/>
      <c r="AL126" s="32"/>
      <c r="AM126" s="32"/>
      <c r="AN126" s="32"/>
      <c r="AO126" s="33" t="str">
        <f aca="false">IF(A126="","",IF(AD126&lt;&gt;"",AD126,IF(AC126&lt;&gt;"",AC126,"")))</f>
        <v/>
      </c>
      <c r="AP126" s="24" t="str">
        <f aca="false">IF(AO126="","",IF(AD126&lt;&gt;"","Reported reach","Impressions (proxy)"))</f>
        <v/>
      </c>
      <c r="AQ126" s="34" t="str">
        <f aca="false">IF(OR(AO126="",N(S126)=0),"",AO126/S126)</f>
        <v/>
      </c>
      <c r="AR126" s="33" t="str">
        <f aca="false">IF(A126="","",IF(COUNT(AF126:AJ126)=0,"",SUM(AF126:AJ126)))</f>
        <v/>
      </c>
      <c r="AS126" s="34" t="str">
        <f aca="false">IF(OR(AR126="",N(AO126)=0),"",AR126/AO126)</f>
        <v/>
      </c>
      <c r="AT126" s="34" t="str">
        <f aca="false">IF(OR(AR126="",N(AC126)=0),"",AR126/AC126)</f>
        <v/>
      </c>
      <c r="AU126" s="34" t="str">
        <f aca="false">IF(OR(AR126="",N(S126)=0),"",AR126/S126)</f>
        <v/>
      </c>
      <c r="AV126" s="34" t="str">
        <f aca="false">IF(OR(AJ126="",N(AC126)=0),"",AJ126/AC126)</f>
        <v/>
      </c>
      <c r="AW126" s="34" t="str">
        <f aca="false">IF(OR(AH126="",N(AO126)=0),"",AH126/AO126)</f>
        <v/>
      </c>
      <c r="AX126" s="35" t="str">
        <f aca="false">IF(OR(AR126="",N(AO126)=0),"",(N(AF126)*Settings!$B$6+N(AG126)*Settings!$B$7+N(AH126)*Settings!$B$8+N(AI126)*Settings!$B$9+N(AJ126)*Settings!$B$10)/AO126*1000)</f>
        <v/>
      </c>
      <c r="AY126" s="36" t="str">
        <f aca="false">IF(AS126="","",IFERROR(AS126/AVERAGEIFS('Post Tracker'!$AS$5:$AS$1004,'Post Tracker'!$G$5:$G$1004,G126),""))</f>
        <v/>
      </c>
      <c r="AZ126" s="32"/>
      <c r="BA126" s="32"/>
      <c r="BB126" s="32"/>
      <c r="BC126" s="32"/>
      <c r="BD126" s="33" t="str">
        <f aca="false">IF(A126="","",COUNTIFS('Demo Pipeline'!$Q$5:$Q$504,A126))</f>
        <v/>
      </c>
      <c r="BE126" s="33" t="str">
        <f aca="false">IF(A126="","",COUNTIFS('Demo Pipeline'!$Q$5:$Q$504,A126,'Demo Pipeline'!$W$5:$W$504,"Attended"))</f>
        <v/>
      </c>
      <c r="BF126" s="33" t="str">
        <f aca="false">IF(A126="","",COUNTIFS('Demo Pipeline'!$Q$5:$Q$504,A126,'Demo Pipeline'!$X$5:$X$504,"Yes"))</f>
        <v/>
      </c>
      <c r="BG126" s="33" t="str">
        <f aca="false">IF(A126="","",COUNTIFS('Demo Pipeline'!$Q$5:$Q$504,A126,'Demo Pipeline'!$Y$5:$Y$504,"Closed Won"))</f>
        <v/>
      </c>
      <c r="BH126" s="37" t="str">
        <f aca="false">IF(A126="","",SUMIFS('Demo Pipeline'!$Z$5:$Z$504,'Demo Pipeline'!$Q$5:$Q$504,A126))</f>
        <v/>
      </c>
      <c r="BI126" s="34" t="str">
        <f aca="false">IF(OR(AZ126="",N(AJ126)=0),"",AZ126/AJ126)</f>
        <v/>
      </c>
      <c r="BJ126" s="34" t="str">
        <f aca="false">IF(OR(BB126="",N(AZ126)=0),"",BB126/AZ126)</f>
        <v/>
      </c>
      <c r="BK126" s="34" t="str">
        <f aca="false">IF(OR(A126="",N(BB126)=0),"",BD126/BB126)</f>
        <v/>
      </c>
      <c r="BL126" s="34" t="str">
        <f aca="false">IF(OR(A126="",N(AZ126)=0),"",BD126/AZ126)</f>
        <v/>
      </c>
      <c r="BM126" s="37" t="str">
        <f aca="false">IF(OR(N(Q126)=0,N(BD126)=0),"",Q126/BD126)</f>
        <v/>
      </c>
      <c r="BN126" s="29"/>
      <c r="BO126" s="29"/>
      <c r="BP126" s="33" t="str">
        <f aca="false">IF(OR(AR126="",N(AO126)=0),"",AR126)</f>
        <v/>
      </c>
      <c r="BQ126" s="33" t="str">
        <f aca="false">IF(OR(AR126="",N(S126)=0),"",S126)</f>
        <v/>
      </c>
      <c r="BR126" s="38" t="str">
        <f aca="false">IF(AND(ISNUMBER(B126),B126&gt;=Dashboard!$C$4,B126&lt;=Dashboard!$F$4,ISNUMBER(AU126)),AU126+ROW()/10^9,"")</f>
        <v/>
      </c>
      <c r="BS126" s="38" t="str">
        <f aca="false">IF(AND(ISNUMBER(B126),B126&gt;=Dashboard!$C$4,B126&lt;=Dashboard!$F$4,A126&lt;&gt;""),N(BD126)+N(AU126)/100+ROW()/10^9,"")</f>
        <v/>
      </c>
    </row>
    <row r="127" customFormat="false" ht="15" hidden="false" customHeight="false" outlineLevel="0" collapsed="false">
      <c r="A127" s="24" t="str">
        <f aca="false">IF(OR(B127="",G127="",H127=""),"",IFERROR(INDEX(Settings!$E$5:$E$49,MATCH(G127,Settings!$D$5:$D$49,0))&amp;INDEX(Settings!$H$5:$H$47,MATCH(H127,Settings!$G$5:$G$47,0))&amp;"-"&amp;TEXT(B127,"yymmdd")&amp;"-"&amp;IF(C127="","0000",TEXT(C127,"hhmm")),"CHECK LISTS"))</f>
        <v/>
      </c>
      <c r="B127" s="39"/>
      <c r="C127" s="40"/>
      <c r="D127" s="24" t="str">
        <f aca="false">IF(B127="","",TEXT(B127,"ddd"))</f>
        <v/>
      </c>
      <c r="E127" s="27" t="str">
        <f aca="false">IF(B127="","",B127-WEEKDAY(B127,3))</f>
        <v/>
      </c>
      <c r="F127" s="24" t="str">
        <f aca="false">IF(B127="","",TEXT(B127,"yyyy-mm"))</f>
        <v/>
      </c>
      <c r="G127" s="29"/>
      <c r="H127" s="29"/>
      <c r="I127" s="29"/>
      <c r="J127" s="29"/>
      <c r="K127" s="29"/>
      <c r="L127" s="29"/>
      <c r="M127" s="29"/>
      <c r="N127" s="29"/>
      <c r="O127" s="29"/>
      <c r="P127" s="29"/>
      <c r="Q127" s="30"/>
      <c r="R127" s="29"/>
      <c r="S127" s="32"/>
      <c r="T127" s="29"/>
      <c r="U127" s="29"/>
      <c r="V127" s="24" t="str">
        <f aca="false">IF(A127="","",IFERROR(INDEX(Settings!$F$5:$F$49,MATCH(G127,Settings!$D$5:$D$49,0)),""))</f>
        <v/>
      </c>
      <c r="W127" s="24" t="str">
        <f aca="false">IF(A127="","",IF(OR(P127="",P127="Organic"),"social","paid_social"))</f>
        <v/>
      </c>
      <c r="X127" s="24" t="str">
        <f aca="false">IF(A127="","",IF(K127&lt;&gt;"",IFERROR(INDEX('Case Studies'!$C$5:$C$54,MATCH(K127,'Case Studies'!$B$5:$B$54,0))&amp;"","case-study"),IF(J127&lt;&gt;"",IFERROR(INDEX(Settings!$J$5:$J$55,MATCH(J127,Settings!$I$5:$I$55,0)),"general"),"general")))</f>
        <v/>
      </c>
      <c r="Y127" s="24" t="str">
        <f aca="false">IF(A127="","",LOWER(A127))</f>
        <v/>
      </c>
      <c r="Z127" s="24" t="str">
        <f aca="false">IF(A127="","",IF(T127="",Settings!$B$5,T127)&amp;IF(ISNUMBER(FIND("?",IF(T127="",Settings!$B$5,T127))),"&amp;","?")&amp;"utm_source="&amp;V127&amp;"&amp;utm_medium="&amp;W127&amp;"&amp;utm_campaign="&amp;X127&amp;"&amp;utm_content="&amp;Y127)</f>
        <v/>
      </c>
      <c r="AA127" s="29"/>
      <c r="AB127" s="39"/>
      <c r="AC127" s="32"/>
      <c r="AD127" s="32"/>
      <c r="AE127" s="32"/>
      <c r="AF127" s="32"/>
      <c r="AG127" s="32"/>
      <c r="AH127" s="32"/>
      <c r="AI127" s="32"/>
      <c r="AJ127" s="32"/>
      <c r="AK127" s="32"/>
      <c r="AL127" s="32"/>
      <c r="AM127" s="32"/>
      <c r="AN127" s="32"/>
      <c r="AO127" s="33" t="str">
        <f aca="false">IF(A127="","",IF(AD127&lt;&gt;"",AD127,IF(AC127&lt;&gt;"",AC127,"")))</f>
        <v/>
      </c>
      <c r="AP127" s="24" t="str">
        <f aca="false">IF(AO127="","",IF(AD127&lt;&gt;"","Reported reach","Impressions (proxy)"))</f>
        <v/>
      </c>
      <c r="AQ127" s="34" t="str">
        <f aca="false">IF(OR(AO127="",N(S127)=0),"",AO127/S127)</f>
        <v/>
      </c>
      <c r="AR127" s="33" t="str">
        <f aca="false">IF(A127="","",IF(COUNT(AF127:AJ127)=0,"",SUM(AF127:AJ127)))</f>
        <v/>
      </c>
      <c r="AS127" s="34" t="str">
        <f aca="false">IF(OR(AR127="",N(AO127)=0),"",AR127/AO127)</f>
        <v/>
      </c>
      <c r="AT127" s="34" t="str">
        <f aca="false">IF(OR(AR127="",N(AC127)=0),"",AR127/AC127)</f>
        <v/>
      </c>
      <c r="AU127" s="34" t="str">
        <f aca="false">IF(OR(AR127="",N(S127)=0),"",AR127/S127)</f>
        <v/>
      </c>
      <c r="AV127" s="34" t="str">
        <f aca="false">IF(OR(AJ127="",N(AC127)=0),"",AJ127/AC127)</f>
        <v/>
      </c>
      <c r="AW127" s="34" t="str">
        <f aca="false">IF(OR(AH127="",N(AO127)=0),"",AH127/AO127)</f>
        <v/>
      </c>
      <c r="AX127" s="35" t="str">
        <f aca="false">IF(OR(AR127="",N(AO127)=0),"",(N(AF127)*Settings!$B$6+N(AG127)*Settings!$B$7+N(AH127)*Settings!$B$8+N(AI127)*Settings!$B$9+N(AJ127)*Settings!$B$10)/AO127*1000)</f>
        <v/>
      </c>
      <c r="AY127" s="36" t="str">
        <f aca="false">IF(AS127="","",IFERROR(AS127/AVERAGEIFS('Post Tracker'!$AS$5:$AS$1004,'Post Tracker'!$G$5:$G$1004,G127),""))</f>
        <v/>
      </c>
      <c r="AZ127" s="32"/>
      <c r="BA127" s="32"/>
      <c r="BB127" s="32"/>
      <c r="BC127" s="32"/>
      <c r="BD127" s="33" t="str">
        <f aca="false">IF(A127="","",COUNTIFS('Demo Pipeline'!$Q$5:$Q$504,A127))</f>
        <v/>
      </c>
      <c r="BE127" s="33" t="str">
        <f aca="false">IF(A127="","",COUNTIFS('Demo Pipeline'!$Q$5:$Q$504,A127,'Demo Pipeline'!$W$5:$W$504,"Attended"))</f>
        <v/>
      </c>
      <c r="BF127" s="33" t="str">
        <f aca="false">IF(A127="","",COUNTIFS('Demo Pipeline'!$Q$5:$Q$504,A127,'Demo Pipeline'!$X$5:$X$504,"Yes"))</f>
        <v/>
      </c>
      <c r="BG127" s="33" t="str">
        <f aca="false">IF(A127="","",COUNTIFS('Demo Pipeline'!$Q$5:$Q$504,A127,'Demo Pipeline'!$Y$5:$Y$504,"Closed Won"))</f>
        <v/>
      </c>
      <c r="BH127" s="37" t="str">
        <f aca="false">IF(A127="","",SUMIFS('Demo Pipeline'!$Z$5:$Z$504,'Demo Pipeline'!$Q$5:$Q$504,A127))</f>
        <v/>
      </c>
      <c r="BI127" s="34" t="str">
        <f aca="false">IF(OR(AZ127="",N(AJ127)=0),"",AZ127/AJ127)</f>
        <v/>
      </c>
      <c r="BJ127" s="34" t="str">
        <f aca="false">IF(OR(BB127="",N(AZ127)=0),"",BB127/AZ127)</f>
        <v/>
      </c>
      <c r="BK127" s="34" t="str">
        <f aca="false">IF(OR(A127="",N(BB127)=0),"",BD127/BB127)</f>
        <v/>
      </c>
      <c r="BL127" s="34" t="str">
        <f aca="false">IF(OR(A127="",N(AZ127)=0),"",BD127/AZ127)</f>
        <v/>
      </c>
      <c r="BM127" s="37" t="str">
        <f aca="false">IF(OR(N(Q127)=0,N(BD127)=0),"",Q127/BD127)</f>
        <v/>
      </c>
      <c r="BN127" s="29"/>
      <c r="BO127" s="29"/>
      <c r="BP127" s="33" t="str">
        <f aca="false">IF(OR(AR127="",N(AO127)=0),"",AR127)</f>
        <v/>
      </c>
      <c r="BQ127" s="33" t="str">
        <f aca="false">IF(OR(AR127="",N(S127)=0),"",S127)</f>
        <v/>
      </c>
      <c r="BR127" s="38" t="str">
        <f aca="false">IF(AND(ISNUMBER(B127),B127&gt;=Dashboard!$C$4,B127&lt;=Dashboard!$F$4,ISNUMBER(AU127)),AU127+ROW()/10^9,"")</f>
        <v/>
      </c>
      <c r="BS127" s="38" t="str">
        <f aca="false">IF(AND(ISNUMBER(B127),B127&gt;=Dashboard!$C$4,B127&lt;=Dashboard!$F$4,A127&lt;&gt;""),N(BD127)+N(AU127)/100+ROW()/10^9,"")</f>
        <v/>
      </c>
    </row>
    <row r="128" customFormat="false" ht="15" hidden="false" customHeight="false" outlineLevel="0" collapsed="false">
      <c r="A128" s="24" t="str">
        <f aca="false">IF(OR(B128="",G128="",H128=""),"",IFERROR(INDEX(Settings!$E$5:$E$49,MATCH(G128,Settings!$D$5:$D$49,0))&amp;INDEX(Settings!$H$5:$H$47,MATCH(H128,Settings!$G$5:$G$47,0))&amp;"-"&amp;TEXT(B128,"yymmdd")&amp;"-"&amp;IF(C128="","0000",TEXT(C128,"hhmm")),"CHECK LISTS"))</f>
        <v/>
      </c>
      <c r="B128" s="39"/>
      <c r="C128" s="40"/>
      <c r="D128" s="24" t="str">
        <f aca="false">IF(B128="","",TEXT(B128,"ddd"))</f>
        <v/>
      </c>
      <c r="E128" s="27" t="str">
        <f aca="false">IF(B128="","",B128-WEEKDAY(B128,3))</f>
        <v/>
      </c>
      <c r="F128" s="24" t="str">
        <f aca="false">IF(B128="","",TEXT(B128,"yyyy-mm"))</f>
        <v/>
      </c>
      <c r="G128" s="29"/>
      <c r="H128" s="29"/>
      <c r="I128" s="29"/>
      <c r="J128" s="29"/>
      <c r="K128" s="29"/>
      <c r="L128" s="29"/>
      <c r="M128" s="29"/>
      <c r="N128" s="29"/>
      <c r="O128" s="29"/>
      <c r="P128" s="29"/>
      <c r="Q128" s="30"/>
      <c r="R128" s="29"/>
      <c r="S128" s="32"/>
      <c r="T128" s="29"/>
      <c r="U128" s="29"/>
      <c r="V128" s="24" t="str">
        <f aca="false">IF(A128="","",IFERROR(INDEX(Settings!$F$5:$F$49,MATCH(G128,Settings!$D$5:$D$49,0)),""))</f>
        <v/>
      </c>
      <c r="W128" s="24" t="str">
        <f aca="false">IF(A128="","",IF(OR(P128="",P128="Organic"),"social","paid_social"))</f>
        <v/>
      </c>
      <c r="X128" s="24" t="str">
        <f aca="false">IF(A128="","",IF(K128&lt;&gt;"",IFERROR(INDEX('Case Studies'!$C$5:$C$54,MATCH(K128,'Case Studies'!$B$5:$B$54,0))&amp;"","case-study"),IF(J128&lt;&gt;"",IFERROR(INDEX(Settings!$J$5:$J$55,MATCH(J128,Settings!$I$5:$I$55,0)),"general"),"general")))</f>
        <v/>
      </c>
      <c r="Y128" s="24" t="str">
        <f aca="false">IF(A128="","",LOWER(A128))</f>
        <v/>
      </c>
      <c r="Z128" s="24" t="str">
        <f aca="false">IF(A128="","",IF(T128="",Settings!$B$5,T128)&amp;IF(ISNUMBER(FIND("?",IF(T128="",Settings!$B$5,T128))),"&amp;","?")&amp;"utm_source="&amp;V128&amp;"&amp;utm_medium="&amp;W128&amp;"&amp;utm_campaign="&amp;X128&amp;"&amp;utm_content="&amp;Y128)</f>
        <v/>
      </c>
      <c r="AA128" s="29"/>
      <c r="AB128" s="39"/>
      <c r="AC128" s="32"/>
      <c r="AD128" s="32"/>
      <c r="AE128" s="32"/>
      <c r="AF128" s="32"/>
      <c r="AG128" s="32"/>
      <c r="AH128" s="32"/>
      <c r="AI128" s="32"/>
      <c r="AJ128" s="32"/>
      <c r="AK128" s="32"/>
      <c r="AL128" s="32"/>
      <c r="AM128" s="32"/>
      <c r="AN128" s="32"/>
      <c r="AO128" s="33" t="str">
        <f aca="false">IF(A128="","",IF(AD128&lt;&gt;"",AD128,IF(AC128&lt;&gt;"",AC128,"")))</f>
        <v/>
      </c>
      <c r="AP128" s="24" t="str">
        <f aca="false">IF(AO128="","",IF(AD128&lt;&gt;"","Reported reach","Impressions (proxy)"))</f>
        <v/>
      </c>
      <c r="AQ128" s="34" t="str">
        <f aca="false">IF(OR(AO128="",N(S128)=0),"",AO128/S128)</f>
        <v/>
      </c>
      <c r="AR128" s="33" t="str">
        <f aca="false">IF(A128="","",IF(COUNT(AF128:AJ128)=0,"",SUM(AF128:AJ128)))</f>
        <v/>
      </c>
      <c r="AS128" s="34" t="str">
        <f aca="false">IF(OR(AR128="",N(AO128)=0),"",AR128/AO128)</f>
        <v/>
      </c>
      <c r="AT128" s="34" t="str">
        <f aca="false">IF(OR(AR128="",N(AC128)=0),"",AR128/AC128)</f>
        <v/>
      </c>
      <c r="AU128" s="34" t="str">
        <f aca="false">IF(OR(AR128="",N(S128)=0),"",AR128/S128)</f>
        <v/>
      </c>
      <c r="AV128" s="34" t="str">
        <f aca="false">IF(OR(AJ128="",N(AC128)=0),"",AJ128/AC128)</f>
        <v/>
      </c>
      <c r="AW128" s="34" t="str">
        <f aca="false">IF(OR(AH128="",N(AO128)=0),"",AH128/AO128)</f>
        <v/>
      </c>
      <c r="AX128" s="35" t="str">
        <f aca="false">IF(OR(AR128="",N(AO128)=0),"",(N(AF128)*Settings!$B$6+N(AG128)*Settings!$B$7+N(AH128)*Settings!$B$8+N(AI128)*Settings!$B$9+N(AJ128)*Settings!$B$10)/AO128*1000)</f>
        <v/>
      </c>
      <c r="AY128" s="36" t="str">
        <f aca="false">IF(AS128="","",IFERROR(AS128/AVERAGEIFS('Post Tracker'!$AS$5:$AS$1004,'Post Tracker'!$G$5:$G$1004,G128),""))</f>
        <v/>
      </c>
      <c r="AZ128" s="32"/>
      <c r="BA128" s="32"/>
      <c r="BB128" s="32"/>
      <c r="BC128" s="32"/>
      <c r="BD128" s="33" t="str">
        <f aca="false">IF(A128="","",COUNTIFS('Demo Pipeline'!$Q$5:$Q$504,A128))</f>
        <v/>
      </c>
      <c r="BE128" s="33" t="str">
        <f aca="false">IF(A128="","",COUNTIFS('Demo Pipeline'!$Q$5:$Q$504,A128,'Demo Pipeline'!$W$5:$W$504,"Attended"))</f>
        <v/>
      </c>
      <c r="BF128" s="33" t="str">
        <f aca="false">IF(A128="","",COUNTIFS('Demo Pipeline'!$Q$5:$Q$504,A128,'Demo Pipeline'!$X$5:$X$504,"Yes"))</f>
        <v/>
      </c>
      <c r="BG128" s="33" t="str">
        <f aca="false">IF(A128="","",COUNTIFS('Demo Pipeline'!$Q$5:$Q$504,A128,'Demo Pipeline'!$Y$5:$Y$504,"Closed Won"))</f>
        <v/>
      </c>
      <c r="BH128" s="37" t="str">
        <f aca="false">IF(A128="","",SUMIFS('Demo Pipeline'!$Z$5:$Z$504,'Demo Pipeline'!$Q$5:$Q$504,A128))</f>
        <v/>
      </c>
      <c r="BI128" s="34" t="str">
        <f aca="false">IF(OR(AZ128="",N(AJ128)=0),"",AZ128/AJ128)</f>
        <v/>
      </c>
      <c r="BJ128" s="34" t="str">
        <f aca="false">IF(OR(BB128="",N(AZ128)=0),"",BB128/AZ128)</f>
        <v/>
      </c>
      <c r="BK128" s="34" t="str">
        <f aca="false">IF(OR(A128="",N(BB128)=0),"",BD128/BB128)</f>
        <v/>
      </c>
      <c r="BL128" s="34" t="str">
        <f aca="false">IF(OR(A128="",N(AZ128)=0),"",BD128/AZ128)</f>
        <v/>
      </c>
      <c r="BM128" s="37" t="str">
        <f aca="false">IF(OR(N(Q128)=0,N(BD128)=0),"",Q128/BD128)</f>
        <v/>
      </c>
      <c r="BN128" s="29"/>
      <c r="BO128" s="29"/>
      <c r="BP128" s="33" t="str">
        <f aca="false">IF(OR(AR128="",N(AO128)=0),"",AR128)</f>
        <v/>
      </c>
      <c r="BQ128" s="33" t="str">
        <f aca="false">IF(OR(AR128="",N(S128)=0),"",S128)</f>
        <v/>
      </c>
      <c r="BR128" s="38" t="str">
        <f aca="false">IF(AND(ISNUMBER(B128),B128&gt;=Dashboard!$C$4,B128&lt;=Dashboard!$F$4,ISNUMBER(AU128)),AU128+ROW()/10^9,"")</f>
        <v/>
      </c>
      <c r="BS128" s="38" t="str">
        <f aca="false">IF(AND(ISNUMBER(B128),B128&gt;=Dashboard!$C$4,B128&lt;=Dashboard!$F$4,A128&lt;&gt;""),N(BD128)+N(AU128)/100+ROW()/10^9,"")</f>
        <v/>
      </c>
    </row>
    <row r="129" customFormat="false" ht="15" hidden="false" customHeight="false" outlineLevel="0" collapsed="false">
      <c r="A129" s="24" t="str">
        <f aca="false">IF(OR(B129="",G129="",H129=""),"",IFERROR(INDEX(Settings!$E$5:$E$49,MATCH(G129,Settings!$D$5:$D$49,0))&amp;INDEX(Settings!$H$5:$H$47,MATCH(H129,Settings!$G$5:$G$47,0))&amp;"-"&amp;TEXT(B129,"yymmdd")&amp;"-"&amp;IF(C129="","0000",TEXT(C129,"hhmm")),"CHECK LISTS"))</f>
        <v/>
      </c>
      <c r="B129" s="39"/>
      <c r="C129" s="40"/>
      <c r="D129" s="24" t="str">
        <f aca="false">IF(B129="","",TEXT(B129,"ddd"))</f>
        <v/>
      </c>
      <c r="E129" s="27" t="str">
        <f aca="false">IF(B129="","",B129-WEEKDAY(B129,3))</f>
        <v/>
      </c>
      <c r="F129" s="24" t="str">
        <f aca="false">IF(B129="","",TEXT(B129,"yyyy-mm"))</f>
        <v/>
      </c>
      <c r="G129" s="29"/>
      <c r="H129" s="29"/>
      <c r="I129" s="29"/>
      <c r="J129" s="29"/>
      <c r="K129" s="29"/>
      <c r="L129" s="29"/>
      <c r="M129" s="29"/>
      <c r="N129" s="29"/>
      <c r="O129" s="29"/>
      <c r="P129" s="29"/>
      <c r="Q129" s="30"/>
      <c r="R129" s="29"/>
      <c r="S129" s="32"/>
      <c r="T129" s="29"/>
      <c r="U129" s="29"/>
      <c r="V129" s="24" t="str">
        <f aca="false">IF(A129="","",IFERROR(INDEX(Settings!$F$5:$F$49,MATCH(G129,Settings!$D$5:$D$49,0)),""))</f>
        <v/>
      </c>
      <c r="W129" s="24" t="str">
        <f aca="false">IF(A129="","",IF(OR(P129="",P129="Organic"),"social","paid_social"))</f>
        <v/>
      </c>
      <c r="X129" s="24" t="str">
        <f aca="false">IF(A129="","",IF(K129&lt;&gt;"",IFERROR(INDEX('Case Studies'!$C$5:$C$54,MATCH(K129,'Case Studies'!$B$5:$B$54,0))&amp;"","case-study"),IF(J129&lt;&gt;"",IFERROR(INDEX(Settings!$J$5:$J$55,MATCH(J129,Settings!$I$5:$I$55,0)),"general"),"general")))</f>
        <v/>
      </c>
      <c r="Y129" s="24" t="str">
        <f aca="false">IF(A129="","",LOWER(A129))</f>
        <v/>
      </c>
      <c r="Z129" s="24" t="str">
        <f aca="false">IF(A129="","",IF(T129="",Settings!$B$5,T129)&amp;IF(ISNUMBER(FIND("?",IF(T129="",Settings!$B$5,T129))),"&amp;","?")&amp;"utm_source="&amp;V129&amp;"&amp;utm_medium="&amp;W129&amp;"&amp;utm_campaign="&amp;X129&amp;"&amp;utm_content="&amp;Y129)</f>
        <v/>
      </c>
      <c r="AA129" s="29"/>
      <c r="AB129" s="39"/>
      <c r="AC129" s="32"/>
      <c r="AD129" s="32"/>
      <c r="AE129" s="32"/>
      <c r="AF129" s="32"/>
      <c r="AG129" s="32"/>
      <c r="AH129" s="32"/>
      <c r="AI129" s="32"/>
      <c r="AJ129" s="32"/>
      <c r="AK129" s="32"/>
      <c r="AL129" s="32"/>
      <c r="AM129" s="32"/>
      <c r="AN129" s="32"/>
      <c r="AO129" s="33" t="str">
        <f aca="false">IF(A129="","",IF(AD129&lt;&gt;"",AD129,IF(AC129&lt;&gt;"",AC129,"")))</f>
        <v/>
      </c>
      <c r="AP129" s="24" t="str">
        <f aca="false">IF(AO129="","",IF(AD129&lt;&gt;"","Reported reach","Impressions (proxy)"))</f>
        <v/>
      </c>
      <c r="AQ129" s="34" t="str">
        <f aca="false">IF(OR(AO129="",N(S129)=0),"",AO129/S129)</f>
        <v/>
      </c>
      <c r="AR129" s="33" t="str">
        <f aca="false">IF(A129="","",IF(COUNT(AF129:AJ129)=0,"",SUM(AF129:AJ129)))</f>
        <v/>
      </c>
      <c r="AS129" s="34" t="str">
        <f aca="false">IF(OR(AR129="",N(AO129)=0),"",AR129/AO129)</f>
        <v/>
      </c>
      <c r="AT129" s="34" t="str">
        <f aca="false">IF(OR(AR129="",N(AC129)=0),"",AR129/AC129)</f>
        <v/>
      </c>
      <c r="AU129" s="34" t="str">
        <f aca="false">IF(OR(AR129="",N(S129)=0),"",AR129/S129)</f>
        <v/>
      </c>
      <c r="AV129" s="34" t="str">
        <f aca="false">IF(OR(AJ129="",N(AC129)=0),"",AJ129/AC129)</f>
        <v/>
      </c>
      <c r="AW129" s="34" t="str">
        <f aca="false">IF(OR(AH129="",N(AO129)=0),"",AH129/AO129)</f>
        <v/>
      </c>
      <c r="AX129" s="35" t="str">
        <f aca="false">IF(OR(AR129="",N(AO129)=0),"",(N(AF129)*Settings!$B$6+N(AG129)*Settings!$B$7+N(AH129)*Settings!$B$8+N(AI129)*Settings!$B$9+N(AJ129)*Settings!$B$10)/AO129*1000)</f>
        <v/>
      </c>
      <c r="AY129" s="36" t="str">
        <f aca="false">IF(AS129="","",IFERROR(AS129/AVERAGEIFS('Post Tracker'!$AS$5:$AS$1004,'Post Tracker'!$G$5:$G$1004,G129),""))</f>
        <v/>
      </c>
      <c r="AZ129" s="32"/>
      <c r="BA129" s="32"/>
      <c r="BB129" s="32"/>
      <c r="BC129" s="32"/>
      <c r="BD129" s="33" t="str">
        <f aca="false">IF(A129="","",COUNTIFS('Demo Pipeline'!$Q$5:$Q$504,A129))</f>
        <v/>
      </c>
      <c r="BE129" s="33" t="str">
        <f aca="false">IF(A129="","",COUNTIFS('Demo Pipeline'!$Q$5:$Q$504,A129,'Demo Pipeline'!$W$5:$W$504,"Attended"))</f>
        <v/>
      </c>
      <c r="BF129" s="33" t="str">
        <f aca="false">IF(A129="","",COUNTIFS('Demo Pipeline'!$Q$5:$Q$504,A129,'Demo Pipeline'!$X$5:$X$504,"Yes"))</f>
        <v/>
      </c>
      <c r="BG129" s="33" t="str">
        <f aca="false">IF(A129="","",COUNTIFS('Demo Pipeline'!$Q$5:$Q$504,A129,'Demo Pipeline'!$Y$5:$Y$504,"Closed Won"))</f>
        <v/>
      </c>
      <c r="BH129" s="37" t="str">
        <f aca="false">IF(A129="","",SUMIFS('Demo Pipeline'!$Z$5:$Z$504,'Demo Pipeline'!$Q$5:$Q$504,A129))</f>
        <v/>
      </c>
      <c r="BI129" s="34" t="str">
        <f aca="false">IF(OR(AZ129="",N(AJ129)=0),"",AZ129/AJ129)</f>
        <v/>
      </c>
      <c r="BJ129" s="34" t="str">
        <f aca="false">IF(OR(BB129="",N(AZ129)=0),"",BB129/AZ129)</f>
        <v/>
      </c>
      <c r="BK129" s="34" t="str">
        <f aca="false">IF(OR(A129="",N(BB129)=0),"",BD129/BB129)</f>
        <v/>
      </c>
      <c r="BL129" s="34" t="str">
        <f aca="false">IF(OR(A129="",N(AZ129)=0),"",BD129/AZ129)</f>
        <v/>
      </c>
      <c r="BM129" s="37" t="str">
        <f aca="false">IF(OR(N(Q129)=0,N(BD129)=0),"",Q129/BD129)</f>
        <v/>
      </c>
      <c r="BN129" s="29"/>
      <c r="BO129" s="29"/>
      <c r="BP129" s="33" t="str">
        <f aca="false">IF(OR(AR129="",N(AO129)=0),"",AR129)</f>
        <v/>
      </c>
      <c r="BQ129" s="33" t="str">
        <f aca="false">IF(OR(AR129="",N(S129)=0),"",S129)</f>
        <v/>
      </c>
      <c r="BR129" s="38" t="str">
        <f aca="false">IF(AND(ISNUMBER(B129),B129&gt;=Dashboard!$C$4,B129&lt;=Dashboard!$F$4,ISNUMBER(AU129)),AU129+ROW()/10^9,"")</f>
        <v/>
      </c>
      <c r="BS129" s="38" t="str">
        <f aca="false">IF(AND(ISNUMBER(B129),B129&gt;=Dashboard!$C$4,B129&lt;=Dashboard!$F$4,A129&lt;&gt;""),N(BD129)+N(AU129)/100+ROW()/10^9,"")</f>
        <v/>
      </c>
    </row>
    <row r="130" customFormat="false" ht="15" hidden="false" customHeight="false" outlineLevel="0" collapsed="false">
      <c r="A130" s="24" t="str">
        <f aca="false">IF(OR(B130="",G130="",H130=""),"",IFERROR(INDEX(Settings!$E$5:$E$49,MATCH(G130,Settings!$D$5:$D$49,0))&amp;INDEX(Settings!$H$5:$H$47,MATCH(H130,Settings!$G$5:$G$47,0))&amp;"-"&amp;TEXT(B130,"yymmdd")&amp;"-"&amp;IF(C130="","0000",TEXT(C130,"hhmm")),"CHECK LISTS"))</f>
        <v/>
      </c>
      <c r="B130" s="39"/>
      <c r="C130" s="40"/>
      <c r="D130" s="24" t="str">
        <f aca="false">IF(B130="","",TEXT(B130,"ddd"))</f>
        <v/>
      </c>
      <c r="E130" s="27" t="str">
        <f aca="false">IF(B130="","",B130-WEEKDAY(B130,3))</f>
        <v/>
      </c>
      <c r="F130" s="24" t="str">
        <f aca="false">IF(B130="","",TEXT(B130,"yyyy-mm"))</f>
        <v/>
      </c>
      <c r="G130" s="29"/>
      <c r="H130" s="29"/>
      <c r="I130" s="29"/>
      <c r="J130" s="29"/>
      <c r="K130" s="29"/>
      <c r="L130" s="29"/>
      <c r="M130" s="29"/>
      <c r="N130" s="29"/>
      <c r="O130" s="29"/>
      <c r="P130" s="29"/>
      <c r="Q130" s="30"/>
      <c r="R130" s="29"/>
      <c r="S130" s="32"/>
      <c r="T130" s="29"/>
      <c r="U130" s="29"/>
      <c r="V130" s="24" t="str">
        <f aca="false">IF(A130="","",IFERROR(INDEX(Settings!$F$5:$F$49,MATCH(G130,Settings!$D$5:$D$49,0)),""))</f>
        <v/>
      </c>
      <c r="W130" s="24" t="str">
        <f aca="false">IF(A130="","",IF(OR(P130="",P130="Organic"),"social","paid_social"))</f>
        <v/>
      </c>
      <c r="X130" s="24" t="str">
        <f aca="false">IF(A130="","",IF(K130&lt;&gt;"",IFERROR(INDEX('Case Studies'!$C$5:$C$54,MATCH(K130,'Case Studies'!$B$5:$B$54,0))&amp;"","case-study"),IF(J130&lt;&gt;"",IFERROR(INDEX(Settings!$J$5:$J$55,MATCH(J130,Settings!$I$5:$I$55,0)),"general"),"general")))</f>
        <v/>
      </c>
      <c r="Y130" s="24" t="str">
        <f aca="false">IF(A130="","",LOWER(A130))</f>
        <v/>
      </c>
      <c r="Z130" s="24" t="str">
        <f aca="false">IF(A130="","",IF(T130="",Settings!$B$5,T130)&amp;IF(ISNUMBER(FIND("?",IF(T130="",Settings!$B$5,T130))),"&amp;","?")&amp;"utm_source="&amp;V130&amp;"&amp;utm_medium="&amp;W130&amp;"&amp;utm_campaign="&amp;X130&amp;"&amp;utm_content="&amp;Y130)</f>
        <v/>
      </c>
      <c r="AA130" s="29"/>
      <c r="AB130" s="39"/>
      <c r="AC130" s="32"/>
      <c r="AD130" s="32"/>
      <c r="AE130" s="32"/>
      <c r="AF130" s="32"/>
      <c r="AG130" s="32"/>
      <c r="AH130" s="32"/>
      <c r="AI130" s="32"/>
      <c r="AJ130" s="32"/>
      <c r="AK130" s="32"/>
      <c r="AL130" s="32"/>
      <c r="AM130" s="32"/>
      <c r="AN130" s="32"/>
      <c r="AO130" s="33" t="str">
        <f aca="false">IF(A130="","",IF(AD130&lt;&gt;"",AD130,IF(AC130&lt;&gt;"",AC130,"")))</f>
        <v/>
      </c>
      <c r="AP130" s="24" t="str">
        <f aca="false">IF(AO130="","",IF(AD130&lt;&gt;"","Reported reach","Impressions (proxy)"))</f>
        <v/>
      </c>
      <c r="AQ130" s="34" t="str">
        <f aca="false">IF(OR(AO130="",N(S130)=0),"",AO130/S130)</f>
        <v/>
      </c>
      <c r="AR130" s="33" t="str">
        <f aca="false">IF(A130="","",IF(COUNT(AF130:AJ130)=0,"",SUM(AF130:AJ130)))</f>
        <v/>
      </c>
      <c r="AS130" s="34" t="str">
        <f aca="false">IF(OR(AR130="",N(AO130)=0),"",AR130/AO130)</f>
        <v/>
      </c>
      <c r="AT130" s="34" t="str">
        <f aca="false">IF(OR(AR130="",N(AC130)=0),"",AR130/AC130)</f>
        <v/>
      </c>
      <c r="AU130" s="34" t="str">
        <f aca="false">IF(OR(AR130="",N(S130)=0),"",AR130/S130)</f>
        <v/>
      </c>
      <c r="AV130" s="34" t="str">
        <f aca="false">IF(OR(AJ130="",N(AC130)=0),"",AJ130/AC130)</f>
        <v/>
      </c>
      <c r="AW130" s="34" t="str">
        <f aca="false">IF(OR(AH130="",N(AO130)=0),"",AH130/AO130)</f>
        <v/>
      </c>
      <c r="AX130" s="35" t="str">
        <f aca="false">IF(OR(AR130="",N(AO130)=0),"",(N(AF130)*Settings!$B$6+N(AG130)*Settings!$B$7+N(AH130)*Settings!$B$8+N(AI130)*Settings!$B$9+N(AJ130)*Settings!$B$10)/AO130*1000)</f>
        <v/>
      </c>
      <c r="AY130" s="36" t="str">
        <f aca="false">IF(AS130="","",IFERROR(AS130/AVERAGEIFS('Post Tracker'!$AS$5:$AS$1004,'Post Tracker'!$G$5:$G$1004,G130),""))</f>
        <v/>
      </c>
      <c r="AZ130" s="32"/>
      <c r="BA130" s="32"/>
      <c r="BB130" s="32"/>
      <c r="BC130" s="32"/>
      <c r="BD130" s="33" t="str">
        <f aca="false">IF(A130="","",COUNTIFS('Demo Pipeline'!$Q$5:$Q$504,A130))</f>
        <v/>
      </c>
      <c r="BE130" s="33" t="str">
        <f aca="false">IF(A130="","",COUNTIFS('Demo Pipeline'!$Q$5:$Q$504,A130,'Demo Pipeline'!$W$5:$W$504,"Attended"))</f>
        <v/>
      </c>
      <c r="BF130" s="33" t="str">
        <f aca="false">IF(A130="","",COUNTIFS('Demo Pipeline'!$Q$5:$Q$504,A130,'Demo Pipeline'!$X$5:$X$504,"Yes"))</f>
        <v/>
      </c>
      <c r="BG130" s="33" t="str">
        <f aca="false">IF(A130="","",COUNTIFS('Demo Pipeline'!$Q$5:$Q$504,A130,'Demo Pipeline'!$Y$5:$Y$504,"Closed Won"))</f>
        <v/>
      </c>
      <c r="BH130" s="37" t="str">
        <f aca="false">IF(A130="","",SUMIFS('Demo Pipeline'!$Z$5:$Z$504,'Demo Pipeline'!$Q$5:$Q$504,A130))</f>
        <v/>
      </c>
      <c r="BI130" s="34" t="str">
        <f aca="false">IF(OR(AZ130="",N(AJ130)=0),"",AZ130/AJ130)</f>
        <v/>
      </c>
      <c r="BJ130" s="34" t="str">
        <f aca="false">IF(OR(BB130="",N(AZ130)=0),"",BB130/AZ130)</f>
        <v/>
      </c>
      <c r="BK130" s="34" t="str">
        <f aca="false">IF(OR(A130="",N(BB130)=0),"",BD130/BB130)</f>
        <v/>
      </c>
      <c r="BL130" s="34" t="str">
        <f aca="false">IF(OR(A130="",N(AZ130)=0),"",BD130/AZ130)</f>
        <v/>
      </c>
      <c r="BM130" s="37" t="str">
        <f aca="false">IF(OR(N(Q130)=0,N(BD130)=0),"",Q130/BD130)</f>
        <v/>
      </c>
      <c r="BN130" s="29"/>
      <c r="BO130" s="29"/>
      <c r="BP130" s="33" t="str">
        <f aca="false">IF(OR(AR130="",N(AO130)=0),"",AR130)</f>
        <v/>
      </c>
      <c r="BQ130" s="33" t="str">
        <f aca="false">IF(OR(AR130="",N(S130)=0),"",S130)</f>
        <v/>
      </c>
      <c r="BR130" s="38" t="str">
        <f aca="false">IF(AND(ISNUMBER(B130),B130&gt;=Dashboard!$C$4,B130&lt;=Dashboard!$F$4,ISNUMBER(AU130)),AU130+ROW()/10^9,"")</f>
        <v/>
      </c>
      <c r="BS130" s="38" t="str">
        <f aca="false">IF(AND(ISNUMBER(B130),B130&gt;=Dashboard!$C$4,B130&lt;=Dashboard!$F$4,A130&lt;&gt;""),N(BD130)+N(AU130)/100+ROW()/10^9,"")</f>
        <v/>
      </c>
    </row>
    <row r="131" customFormat="false" ht="15" hidden="false" customHeight="false" outlineLevel="0" collapsed="false">
      <c r="A131" s="24" t="str">
        <f aca="false">IF(OR(B131="",G131="",H131=""),"",IFERROR(INDEX(Settings!$E$5:$E$49,MATCH(G131,Settings!$D$5:$D$49,0))&amp;INDEX(Settings!$H$5:$H$47,MATCH(H131,Settings!$G$5:$G$47,0))&amp;"-"&amp;TEXT(B131,"yymmdd")&amp;"-"&amp;IF(C131="","0000",TEXT(C131,"hhmm")),"CHECK LISTS"))</f>
        <v/>
      </c>
      <c r="B131" s="39"/>
      <c r="C131" s="40"/>
      <c r="D131" s="24" t="str">
        <f aca="false">IF(B131="","",TEXT(B131,"ddd"))</f>
        <v/>
      </c>
      <c r="E131" s="27" t="str">
        <f aca="false">IF(B131="","",B131-WEEKDAY(B131,3))</f>
        <v/>
      </c>
      <c r="F131" s="24" t="str">
        <f aca="false">IF(B131="","",TEXT(B131,"yyyy-mm"))</f>
        <v/>
      </c>
      <c r="G131" s="29"/>
      <c r="H131" s="29"/>
      <c r="I131" s="29"/>
      <c r="J131" s="29"/>
      <c r="K131" s="29"/>
      <c r="L131" s="29"/>
      <c r="M131" s="29"/>
      <c r="N131" s="29"/>
      <c r="O131" s="29"/>
      <c r="P131" s="29"/>
      <c r="Q131" s="30"/>
      <c r="R131" s="29"/>
      <c r="S131" s="32"/>
      <c r="T131" s="29"/>
      <c r="U131" s="29"/>
      <c r="V131" s="24" t="str">
        <f aca="false">IF(A131="","",IFERROR(INDEX(Settings!$F$5:$F$49,MATCH(G131,Settings!$D$5:$D$49,0)),""))</f>
        <v/>
      </c>
      <c r="W131" s="24" t="str">
        <f aca="false">IF(A131="","",IF(OR(P131="",P131="Organic"),"social","paid_social"))</f>
        <v/>
      </c>
      <c r="X131" s="24" t="str">
        <f aca="false">IF(A131="","",IF(K131&lt;&gt;"",IFERROR(INDEX('Case Studies'!$C$5:$C$54,MATCH(K131,'Case Studies'!$B$5:$B$54,0))&amp;"","case-study"),IF(J131&lt;&gt;"",IFERROR(INDEX(Settings!$J$5:$J$55,MATCH(J131,Settings!$I$5:$I$55,0)),"general"),"general")))</f>
        <v/>
      </c>
      <c r="Y131" s="24" t="str">
        <f aca="false">IF(A131="","",LOWER(A131))</f>
        <v/>
      </c>
      <c r="Z131" s="24" t="str">
        <f aca="false">IF(A131="","",IF(T131="",Settings!$B$5,T131)&amp;IF(ISNUMBER(FIND("?",IF(T131="",Settings!$B$5,T131))),"&amp;","?")&amp;"utm_source="&amp;V131&amp;"&amp;utm_medium="&amp;W131&amp;"&amp;utm_campaign="&amp;X131&amp;"&amp;utm_content="&amp;Y131)</f>
        <v/>
      </c>
      <c r="AA131" s="29"/>
      <c r="AB131" s="39"/>
      <c r="AC131" s="32"/>
      <c r="AD131" s="32"/>
      <c r="AE131" s="32"/>
      <c r="AF131" s="32"/>
      <c r="AG131" s="32"/>
      <c r="AH131" s="32"/>
      <c r="AI131" s="32"/>
      <c r="AJ131" s="32"/>
      <c r="AK131" s="32"/>
      <c r="AL131" s="32"/>
      <c r="AM131" s="32"/>
      <c r="AN131" s="32"/>
      <c r="AO131" s="33" t="str">
        <f aca="false">IF(A131="","",IF(AD131&lt;&gt;"",AD131,IF(AC131&lt;&gt;"",AC131,"")))</f>
        <v/>
      </c>
      <c r="AP131" s="24" t="str">
        <f aca="false">IF(AO131="","",IF(AD131&lt;&gt;"","Reported reach","Impressions (proxy)"))</f>
        <v/>
      </c>
      <c r="AQ131" s="34" t="str">
        <f aca="false">IF(OR(AO131="",N(S131)=0),"",AO131/S131)</f>
        <v/>
      </c>
      <c r="AR131" s="33" t="str">
        <f aca="false">IF(A131="","",IF(COUNT(AF131:AJ131)=0,"",SUM(AF131:AJ131)))</f>
        <v/>
      </c>
      <c r="AS131" s="34" t="str">
        <f aca="false">IF(OR(AR131="",N(AO131)=0),"",AR131/AO131)</f>
        <v/>
      </c>
      <c r="AT131" s="34" t="str">
        <f aca="false">IF(OR(AR131="",N(AC131)=0),"",AR131/AC131)</f>
        <v/>
      </c>
      <c r="AU131" s="34" t="str">
        <f aca="false">IF(OR(AR131="",N(S131)=0),"",AR131/S131)</f>
        <v/>
      </c>
      <c r="AV131" s="34" t="str">
        <f aca="false">IF(OR(AJ131="",N(AC131)=0),"",AJ131/AC131)</f>
        <v/>
      </c>
      <c r="AW131" s="34" t="str">
        <f aca="false">IF(OR(AH131="",N(AO131)=0),"",AH131/AO131)</f>
        <v/>
      </c>
      <c r="AX131" s="35" t="str">
        <f aca="false">IF(OR(AR131="",N(AO131)=0),"",(N(AF131)*Settings!$B$6+N(AG131)*Settings!$B$7+N(AH131)*Settings!$B$8+N(AI131)*Settings!$B$9+N(AJ131)*Settings!$B$10)/AO131*1000)</f>
        <v/>
      </c>
      <c r="AY131" s="36" t="str">
        <f aca="false">IF(AS131="","",IFERROR(AS131/AVERAGEIFS('Post Tracker'!$AS$5:$AS$1004,'Post Tracker'!$G$5:$G$1004,G131),""))</f>
        <v/>
      </c>
      <c r="AZ131" s="32"/>
      <c r="BA131" s="32"/>
      <c r="BB131" s="32"/>
      <c r="BC131" s="32"/>
      <c r="BD131" s="33" t="str">
        <f aca="false">IF(A131="","",COUNTIFS('Demo Pipeline'!$Q$5:$Q$504,A131))</f>
        <v/>
      </c>
      <c r="BE131" s="33" t="str">
        <f aca="false">IF(A131="","",COUNTIFS('Demo Pipeline'!$Q$5:$Q$504,A131,'Demo Pipeline'!$W$5:$W$504,"Attended"))</f>
        <v/>
      </c>
      <c r="BF131" s="33" t="str">
        <f aca="false">IF(A131="","",COUNTIFS('Demo Pipeline'!$Q$5:$Q$504,A131,'Demo Pipeline'!$X$5:$X$504,"Yes"))</f>
        <v/>
      </c>
      <c r="BG131" s="33" t="str">
        <f aca="false">IF(A131="","",COUNTIFS('Demo Pipeline'!$Q$5:$Q$504,A131,'Demo Pipeline'!$Y$5:$Y$504,"Closed Won"))</f>
        <v/>
      </c>
      <c r="BH131" s="37" t="str">
        <f aca="false">IF(A131="","",SUMIFS('Demo Pipeline'!$Z$5:$Z$504,'Demo Pipeline'!$Q$5:$Q$504,A131))</f>
        <v/>
      </c>
      <c r="BI131" s="34" t="str">
        <f aca="false">IF(OR(AZ131="",N(AJ131)=0),"",AZ131/AJ131)</f>
        <v/>
      </c>
      <c r="BJ131" s="34" t="str">
        <f aca="false">IF(OR(BB131="",N(AZ131)=0),"",BB131/AZ131)</f>
        <v/>
      </c>
      <c r="BK131" s="34" t="str">
        <f aca="false">IF(OR(A131="",N(BB131)=0),"",BD131/BB131)</f>
        <v/>
      </c>
      <c r="BL131" s="34" t="str">
        <f aca="false">IF(OR(A131="",N(AZ131)=0),"",BD131/AZ131)</f>
        <v/>
      </c>
      <c r="BM131" s="37" t="str">
        <f aca="false">IF(OR(N(Q131)=0,N(BD131)=0),"",Q131/BD131)</f>
        <v/>
      </c>
      <c r="BN131" s="29"/>
      <c r="BO131" s="29"/>
      <c r="BP131" s="33" t="str">
        <f aca="false">IF(OR(AR131="",N(AO131)=0),"",AR131)</f>
        <v/>
      </c>
      <c r="BQ131" s="33" t="str">
        <f aca="false">IF(OR(AR131="",N(S131)=0),"",S131)</f>
        <v/>
      </c>
      <c r="BR131" s="38" t="str">
        <f aca="false">IF(AND(ISNUMBER(B131),B131&gt;=Dashboard!$C$4,B131&lt;=Dashboard!$F$4,ISNUMBER(AU131)),AU131+ROW()/10^9,"")</f>
        <v/>
      </c>
      <c r="BS131" s="38" t="str">
        <f aca="false">IF(AND(ISNUMBER(B131),B131&gt;=Dashboard!$C$4,B131&lt;=Dashboard!$F$4,A131&lt;&gt;""),N(BD131)+N(AU131)/100+ROW()/10^9,"")</f>
        <v/>
      </c>
    </row>
    <row r="132" customFormat="false" ht="15" hidden="false" customHeight="false" outlineLevel="0" collapsed="false">
      <c r="A132" s="24" t="str">
        <f aca="false">IF(OR(B132="",G132="",H132=""),"",IFERROR(INDEX(Settings!$E$5:$E$49,MATCH(G132,Settings!$D$5:$D$49,0))&amp;INDEX(Settings!$H$5:$H$47,MATCH(H132,Settings!$G$5:$G$47,0))&amp;"-"&amp;TEXT(B132,"yymmdd")&amp;"-"&amp;IF(C132="","0000",TEXT(C132,"hhmm")),"CHECK LISTS"))</f>
        <v/>
      </c>
      <c r="B132" s="39"/>
      <c r="C132" s="40"/>
      <c r="D132" s="24" t="str">
        <f aca="false">IF(B132="","",TEXT(B132,"ddd"))</f>
        <v/>
      </c>
      <c r="E132" s="27" t="str">
        <f aca="false">IF(B132="","",B132-WEEKDAY(B132,3))</f>
        <v/>
      </c>
      <c r="F132" s="24" t="str">
        <f aca="false">IF(B132="","",TEXT(B132,"yyyy-mm"))</f>
        <v/>
      </c>
      <c r="G132" s="29"/>
      <c r="H132" s="29"/>
      <c r="I132" s="29"/>
      <c r="J132" s="29"/>
      <c r="K132" s="29"/>
      <c r="L132" s="29"/>
      <c r="M132" s="29"/>
      <c r="N132" s="29"/>
      <c r="O132" s="29"/>
      <c r="P132" s="29"/>
      <c r="Q132" s="30"/>
      <c r="R132" s="29"/>
      <c r="S132" s="32"/>
      <c r="T132" s="29"/>
      <c r="U132" s="29"/>
      <c r="V132" s="24" t="str">
        <f aca="false">IF(A132="","",IFERROR(INDEX(Settings!$F$5:$F$49,MATCH(G132,Settings!$D$5:$D$49,0)),""))</f>
        <v/>
      </c>
      <c r="W132" s="24" t="str">
        <f aca="false">IF(A132="","",IF(OR(P132="",P132="Organic"),"social","paid_social"))</f>
        <v/>
      </c>
      <c r="X132" s="24" t="str">
        <f aca="false">IF(A132="","",IF(K132&lt;&gt;"",IFERROR(INDEX('Case Studies'!$C$5:$C$54,MATCH(K132,'Case Studies'!$B$5:$B$54,0))&amp;"","case-study"),IF(J132&lt;&gt;"",IFERROR(INDEX(Settings!$J$5:$J$55,MATCH(J132,Settings!$I$5:$I$55,0)),"general"),"general")))</f>
        <v/>
      </c>
      <c r="Y132" s="24" t="str">
        <f aca="false">IF(A132="","",LOWER(A132))</f>
        <v/>
      </c>
      <c r="Z132" s="24" t="str">
        <f aca="false">IF(A132="","",IF(T132="",Settings!$B$5,T132)&amp;IF(ISNUMBER(FIND("?",IF(T132="",Settings!$B$5,T132))),"&amp;","?")&amp;"utm_source="&amp;V132&amp;"&amp;utm_medium="&amp;W132&amp;"&amp;utm_campaign="&amp;X132&amp;"&amp;utm_content="&amp;Y132)</f>
        <v/>
      </c>
      <c r="AA132" s="29"/>
      <c r="AB132" s="39"/>
      <c r="AC132" s="32"/>
      <c r="AD132" s="32"/>
      <c r="AE132" s="32"/>
      <c r="AF132" s="32"/>
      <c r="AG132" s="32"/>
      <c r="AH132" s="32"/>
      <c r="AI132" s="32"/>
      <c r="AJ132" s="32"/>
      <c r="AK132" s="32"/>
      <c r="AL132" s="32"/>
      <c r="AM132" s="32"/>
      <c r="AN132" s="32"/>
      <c r="AO132" s="33" t="str">
        <f aca="false">IF(A132="","",IF(AD132&lt;&gt;"",AD132,IF(AC132&lt;&gt;"",AC132,"")))</f>
        <v/>
      </c>
      <c r="AP132" s="24" t="str">
        <f aca="false">IF(AO132="","",IF(AD132&lt;&gt;"","Reported reach","Impressions (proxy)"))</f>
        <v/>
      </c>
      <c r="AQ132" s="34" t="str">
        <f aca="false">IF(OR(AO132="",N(S132)=0),"",AO132/S132)</f>
        <v/>
      </c>
      <c r="AR132" s="33" t="str">
        <f aca="false">IF(A132="","",IF(COUNT(AF132:AJ132)=0,"",SUM(AF132:AJ132)))</f>
        <v/>
      </c>
      <c r="AS132" s="34" t="str">
        <f aca="false">IF(OR(AR132="",N(AO132)=0),"",AR132/AO132)</f>
        <v/>
      </c>
      <c r="AT132" s="34" t="str">
        <f aca="false">IF(OR(AR132="",N(AC132)=0),"",AR132/AC132)</f>
        <v/>
      </c>
      <c r="AU132" s="34" t="str">
        <f aca="false">IF(OR(AR132="",N(S132)=0),"",AR132/S132)</f>
        <v/>
      </c>
      <c r="AV132" s="34" t="str">
        <f aca="false">IF(OR(AJ132="",N(AC132)=0),"",AJ132/AC132)</f>
        <v/>
      </c>
      <c r="AW132" s="34" t="str">
        <f aca="false">IF(OR(AH132="",N(AO132)=0),"",AH132/AO132)</f>
        <v/>
      </c>
      <c r="AX132" s="35" t="str">
        <f aca="false">IF(OR(AR132="",N(AO132)=0),"",(N(AF132)*Settings!$B$6+N(AG132)*Settings!$B$7+N(AH132)*Settings!$B$8+N(AI132)*Settings!$B$9+N(AJ132)*Settings!$B$10)/AO132*1000)</f>
        <v/>
      </c>
      <c r="AY132" s="36" t="str">
        <f aca="false">IF(AS132="","",IFERROR(AS132/AVERAGEIFS('Post Tracker'!$AS$5:$AS$1004,'Post Tracker'!$G$5:$G$1004,G132),""))</f>
        <v/>
      </c>
      <c r="AZ132" s="32"/>
      <c r="BA132" s="32"/>
      <c r="BB132" s="32"/>
      <c r="BC132" s="32"/>
      <c r="BD132" s="33" t="str">
        <f aca="false">IF(A132="","",COUNTIFS('Demo Pipeline'!$Q$5:$Q$504,A132))</f>
        <v/>
      </c>
      <c r="BE132" s="33" t="str">
        <f aca="false">IF(A132="","",COUNTIFS('Demo Pipeline'!$Q$5:$Q$504,A132,'Demo Pipeline'!$W$5:$W$504,"Attended"))</f>
        <v/>
      </c>
      <c r="BF132" s="33" t="str">
        <f aca="false">IF(A132="","",COUNTIFS('Demo Pipeline'!$Q$5:$Q$504,A132,'Demo Pipeline'!$X$5:$X$504,"Yes"))</f>
        <v/>
      </c>
      <c r="BG132" s="33" t="str">
        <f aca="false">IF(A132="","",COUNTIFS('Demo Pipeline'!$Q$5:$Q$504,A132,'Demo Pipeline'!$Y$5:$Y$504,"Closed Won"))</f>
        <v/>
      </c>
      <c r="BH132" s="37" t="str">
        <f aca="false">IF(A132="","",SUMIFS('Demo Pipeline'!$Z$5:$Z$504,'Demo Pipeline'!$Q$5:$Q$504,A132))</f>
        <v/>
      </c>
      <c r="BI132" s="34" t="str">
        <f aca="false">IF(OR(AZ132="",N(AJ132)=0),"",AZ132/AJ132)</f>
        <v/>
      </c>
      <c r="BJ132" s="34" t="str">
        <f aca="false">IF(OR(BB132="",N(AZ132)=0),"",BB132/AZ132)</f>
        <v/>
      </c>
      <c r="BK132" s="34" t="str">
        <f aca="false">IF(OR(A132="",N(BB132)=0),"",BD132/BB132)</f>
        <v/>
      </c>
      <c r="BL132" s="34" t="str">
        <f aca="false">IF(OR(A132="",N(AZ132)=0),"",BD132/AZ132)</f>
        <v/>
      </c>
      <c r="BM132" s="37" t="str">
        <f aca="false">IF(OR(N(Q132)=0,N(BD132)=0),"",Q132/BD132)</f>
        <v/>
      </c>
      <c r="BN132" s="29"/>
      <c r="BO132" s="29"/>
      <c r="BP132" s="33" t="str">
        <f aca="false">IF(OR(AR132="",N(AO132)=0),"",AR132)</f>
        <v/>
      </c>
      <c r="BQ132" s="33" t="str">
        <f aca="false">IF(OR(AR132="",N(S132)=0),"",S132)</f>
        <v/>
      </c>
      <c r="BR132" s="38" t="str">
        <f aca="false">IF(AND(ISNUMBER(B132),B132&gt;=Dashboard!$C$4,B132&lt;=Dashboard!$F$4,ISNUMBER(AU132)),AU132+ROW()/10^9,"")</f>
        <v/>
      </c>
      <c r="BS132" s="38" t="str">
        <f aca="false">IF(AND(ISNUMBER(B132),B132&gt;=Dashboard!$C$4,B132&lt;=Dashboard!$F$4,A132&lt;&gt;""),N(BD132)+N(AU132)/100+ROW()/10^9,"")</f>
        <v/>
      </c>
    </row>
    <row r="133" customFormat="false" ht="15" hidden="false" customHeight="false" outlineLevel="0" collapsed="false">
      <c r="A133" s="24" t="str">
        <f aca="false">IF(OR(B133="",G133="",H133=""),"",IFERROR(INDEX(Settings!$E$5:$E$49,MATCH(G133,Settings!$D$5:$D$49,0))&amp;INDEX(Settings!$H$5:$H$47,MATCH(H133,Settings!$G$5:$G$47,0))&amp;"-"&amp;TEXT(B133,"yymmdd")&amp;"-"&amp;IF(C133="","0000",TEXT(C133,"hhmm")),"CHECK LISTS"))</f>
        <v/>
      </c>
      <c r="B133" s="39"/>
      <c r="C133" s="40"/>
      <c r="D133" s="24" t="str">
        <f aca="false">IF(B133="","",TEXT(B133,"ddd"))</f>
        <v/>
      </c>
      <c r="E133" s="27" t="str">
        <f aca="false">IF(B133="","",B133-WEEKDAY(B133,3))</f>
        <v/>
      </c>
      <c r="F133" s="24" t="str">
        <f aca="false">IF(B133="","",TEXT(B133,"yyyy-mm"))</f>
        <v/>
      </c>
      <c r="G133" s="29"/>
      <c r="H133" s="29"/>
      <c r="I133" s="29"/>
      <c r="J133" s="29"/>
      <c r="K133" s="29"/>
      <c r="L133" s="29"/>
      <c r="M133" s="29"/>
      <c r="N133" s="29"/>
      <c r="O133" s="29"/>
      <c r="P133" s="29"/>
      <c r="Q133" s="30"/>
      <c r="R133" s="29"/>
      <c r="S133" s="32"/>
      <c r="T133" s="29"/>
      <c r="U133" s="29"/>
      <c r="V133" s="24" t="str">
        <f aca="false">IF(A133="","",IFERROR(INDEX(Settings!$F$5:$F$49,MATCH(G133,Settings!$D$5:$D$49,0)),""))</f>
        <v/>
      </c>
      <c r="W133" s="24" t="str">
        <f aca="false">IF(A133="","",IF(OR(P133="",P133="Organic"),"social","paid_social"))</f>
        <v/>
      </c>
      <c r="X133" s="24" t="str">
        <f aca="false">IF(A133="","",IF(K133&lt;&gt;"",IFERROR(INDEX('Case Studies'!$C$5:$C$54,MATCH(K133,'Case Studies'!$B$5:$B$54,0))&amp;"","case-study"),IF(J133&lt;&gt;"",IFERROR(INDEX(Settings!$J$5:$J$55,MATCH(J133,Settings!$I$5:$I$55,0)),"general"),"general")))</f>
        <v/>
      </c>
      <c r="Y133" s="24" t="str">
        <f aca="false">IF(A133="","",LOWER(A133))</f>
        <v/>
      </c>
      <c r="Z133" s="24" t="str">
        <f aca="false">IF(A133="","",IF(T133="",Settings!$B$5,T133)&amp;IF(ISNUMBER(FIND("?",IF(T133="",Settings!$B$5,T133))),"&amp;","?")&amp;"utm_source="&amp;V133&amp;"&amp;utm_medium="&amp;W133&amp;"&amp;utm_campaign="&amp;X133&amp;"&amp;utm_content="&amp;Y133)</f>
        <v/>
      </c>
      <c r="AA133" s="29"/>
      <c r="AB133" s="39"/>
      <c r="AC133" s="32"/>
      <c r="AD133" s="32"/>
      <c r="AE133" s="32"/>
      <c r="AF133" s="32"/>
      <c r="AG133" s="32"/>
      <c r="AH133" s="32"/>
      <c r="AI133" s="32"/>
      <c r="AJ133" s="32"/>
      <c r="AK133" s="32"/>
      <c r="AL133" s="32"/>
      <c r="AM133" s="32"/>
      <c r="AN133" s="32"/>
      <c r="AO133" s="33" t="str">
        <f aca="false">IF(A133="","",IF(AD133&lt;&gt;"",AD133,IF(AC133&lt;&gt;"",AC133,"")))</f>
        <v/>
      </c>
      <c r="AP133" s="24" t="str">
        <f aca="false">IF(AO133="","",IF(AD133&lt;&gt;"","Reported reach","Impressions (proxy)"))</f>
        <v/>
      </c>
      <c r="AQ133" s="34" t="str">
        <f aca="false">IF(OR(AO133="",N(S133)=0),"",AO133/S133)</f>
        <v/>
      </c>
      <c r="AR133" s="33" t="str">
        <f aca="false">IF(A133="","",IF(COUNT(AF133:AJ133)=0,"",SUM(AF133:AJ133)))</f>
        <v/>
      </c>
      <c r="AS133" s="34" t="str">
        <f aca="false">IF(OR(AR133="",N(AO133)=0),"",AR133/AO133)</f>
        <v/>
      </c>
      <c r="AT133" s="34" t="str">
        <f aca="false">IF(OR(AR133="",N(AC133)=0),"",AR133/AC133)</f>
        <v/>
      </c>
      <c r="AU133" s="34" t="str">
        <f aca="false">IF(OR(AR133="",N(S133)=0),"",AR133/S133)</f>
        <v/>
      </c>
      <c r="AV133" s="34" t="str">
        <f aca="false">IF(OR(AJ133="",N(AC133)=0),"",AJ133/AC133)</f>
        <v/>
      </c>
      <c r="AW133" s="34" t="str">
        <f aca="false">IF(OR(AH133="",N(AO133)=0),"",AH133/AO133)</f>
        <v/>
      </c>
      <c r="AX133" s="35" t="str">
        <f aca="false">IF(OR(AR133="",N(AO133)=0),"",(N(AF133)*Settings!$B$6+N(AG133)*Settings!$B$7+N(AH133)*Settings!$B$8+N(AI133)*Settings!$B$9+N(AJ133)*Settings!$B$10)/AO133*1000)</f>
        <v/>
      </c>
      <c r="AY133" s="36" t="str">
        <f aca="false">IF(AS133="","",IFERROR(AS133/AVERAGEIFS('Post Tracker'!$AS$5:$AS$1004,'Post Tracker'!$G$5:$G$1004,G133),""))</f>
        <v/>
      </c>
      <c r="AZ133" s="32"/>
      <c r="BA133" s="32"/>
      <c r="BB133" s="32"/>
      <c r="BC133" s="32"/>
      <c r="BD133" s="33" t="str">
        <f aca="false">IF(A133="","",COUNTIFS('Demo Pipeline'!$Q$5:$Q$504,A133))</f>
        <v/>
      </c>
      <c r="BE133" s="33" t="str">
        <f aca="false">IF(A133="","",COUNTIFS('Demo Pipeline'!$Q$5:$Q$504,A133,'Demo Pipeline'!$W$5:$W$504,"Attended"))</f>
        <v/>
      </c>
      <c r="BF133" s="33" t="str">
        <f aca="false">IF(A133="","",COUNTIFS('Demo Pipeline'!$Q$5:$Q$504,A133,'Demo Pipeline'!$X$5:$X$504,"Yes"))</f>
        <v/>
      </c>
      <c r="BG133" s="33" t="str">
        <f aca="false">IF(A133="","",COUNTIFS('Demo Pipeline'!$Q$5:$Q$504,A133,'Demo Pipeline'!$Y$5:$Y$504,"Closed Won"))</f>
        <v/>
      </c>
      <c r="BH133" s="37" t="str">
        <f aca="false">IF(A133="","",SUMIFS('Demo Pipeline'!$Z$5:$Z$504,'Demo Pipeline'!$Q$5:$Q$504,A133))</f>
        <v/>
      </c>
      <c r="BI133" s="34" t="str">
        <f aca="false">IF(OR(AZ133="",N(AJ133)=0),"",AZ133/AJ133)</f>
        <v/>
      </c>
      <c r="BJ133" s="34" t="str">
        <f aca="false">IF(OR(BB133="",N(AZ133)=0),"",BB133/AZ133)</f>
        <v/>
      </c>
      <c r="BK133" s="34" t="str">
        <f aca="false">IF(OR(A133="",N(BB133)=0),"",BD133/BB133)</f>
        <v/>
      </c>
      <c r="BL133" s="34" t="str">
        <f aca="false">IF(OR(A133="",N(AZ133)=0),"",BD133/AZ133)</f>
        <v/>
      </c>
      <c r="BM133" s="37" t="str">
        <f aca="false">IF(OR(N(Q133)=0,N(BD133)=0),"",Q133/BD133)</f>
        <v/>
      </c>
      <c r="BN133" s="29"/>
      <c r="BO133" s="29"/>
      <c r="BP133" s="33" t="str">
        <f aca="false">IF(OR(AR133="",N(AO133)=0),"",AR133)</f>
        <v/>
      </c>
      <c r="BQ133" s="33" t="str">
        <f aca="false">IF(OR(AR133="",N(S133)=0),"",S133)</f>
        <v/>
      </c>
      <c r="BR133" s="38" t="str">
        <f aca="false">IF(AND(ISNUMBER(B133),B133&gt;=Dashboard!$C$4,B133&lt;=Dashboard!$F$4,ISNUMBER(AU133)),AU133+ROW()/10^9,"")</f>
        <v/>
      </c>
      <c r="BS133" s="38" t="str">
        <f aca="false">IF(AND(ISNUMBER(B133),B133&gt;=Dashboard!$C$4,B133&lt;=Dashboard!$F$4,A133&lt;&gt;""),N(BD133)+N(AU133)/100+ROW()/10^9,"")</f>
        <v/>
      </c>
    </row>
    <row r="134" customFormat="false" ht="15" hidden="false" customHeight="false" outlineLevel="0" collapsed="false">
      <c r="A134" s="24" t="str">
        <f aca="false">IF(OR(B134="",G134="",H134=""),"",IFERROR(INDEX(Settings!$E$5:$E$49,MATCH(G134,Settings!$D$5:$D$49,0))&amp;INDEX(Settings!$H$5:$H$47,MATCH(H134,Settings!$G$5:$G$47,0))&amp;"-"&amp;TEXT(B134,"yymmdd")&amp;"-"&amp;IF(C134="","0000",TEXT(C134,"hhmm")),"CHECK LISTS"))</f>
        <v/>
      </c>
      <c r="B134" s="39"/>
      <c r="C134" s="40"/>
      <c r="D134" s="24" t="str">
        <f aca="false">IF(B134="","",TEXT(B134,"ddd"))</f>
        <v/>
      </c>
      <c r="E134" s="27" t="str">
        <f aca="false">IF(B134="","",B134-WEEKDAY(B134,3))</f>
        <v/>
      </c>
      <c r="F134" s="24" t="str">
        <f aca="false">IF(B134="","",TEXT(B134,"yyyy-mm"))</f>
        <v/>
      </c>
      <c r="G134" s="29"/>
      <c r="H134" s="29"/>
      <c r="I134" s="29"/>
      <c r="J134" s="29"/>
      <c r="K134" s="29"/>
      <c r="L134" s="29"/>
      <c r="M134" s="29"/>
      <c r="N134" s="29"/>
      <c r="O134" s="29"/>
      <c r="P134" s="29"/>
      <c r="Q134" s="30"/>
      <c r="R134" s="29"/>
      <c r="S134" s="32"/>
      <c r="T134" s="29"/>
      <c r="U134" s="29"/>
      <c r="V134" s="24" t="str">
        <f aca="false">IF(A134="","",IFERROR(INDEX(Settings!$F$5:$F$49,MATCH(G134,Settings!$D$5:$D$49,0)),""))</f>
        <v/>
      </c>
      <c r="W134" s="24" t="str">
        <f aca="false">IF(A134="","",IF(OR(P134="",P134="Organic"),"social","paid_social"))</f>
        <v/>
      </c>
      <c r="X134" s="24" t="str">
        <f aca="false">IF(A134="","",IF(K134&lt;&gt;"",IFERROR(INDEX('Case Studies'!$C$5:$C$54,MATCH(K134,'Case Studies'!$B$5:$B$54,0))&amp;"","case-study"),IF(J134&lt;&gt;"",IFERROR(INDEX(Settings!$J$5:$J$55,MATCH(J134,Settings!$I$5:$I$55,0)),"general"),"general")))</f>
        <v/>
      </c>
      <c r="Y134" s="24" t="str">
        <f aca="false">IF(A134="","",LOWER(A134))</f>
        <v/>
      </c>
      <c r="Z134" s="24" t="str">
        <f aca="false">IF(A134="","",IF(T134="",Settings!$B$5,T134)&amp;IF(ISNUMBER(FIND("?",IF(T134="",Settings!$B$5,T134))),"&amp;","?")&amp;"utm_source="&amp;V134&amp;"&amp;utm_medium="&amp;W134&amp;"&amp;utm_campaign="&amp;X134&amp;"&amp;utm_content="&amp;Y134)</f>
        <v/>
      </c>
      <c r="AA134" s="29"/>
      <c r="AB134" s="39"/>
      <c r="AC134" s="32"/>
      <c r="AD134" s="32"/>
      <c r="AE134" s="32"/>
      <c r="AF134" s="32"/>
      <c r="AG134" s="32"/>
      <c r="AH134" s="32"/>
      <c r="AI134" s="32"/>
      <c r="AJ134" s="32"/>
      <c r="AK134" s="32"/>
      <c r="AL134" s="32"/>
      <c r="AM134" s="32"/>
      <c r="AN134" s="32"/>
      <c r="AO134" s="33" t="str">
        <f aca="false">IF(A134="","",IF(AD134&lt;&gt;"",AD134,IF(AC134&lt;&gt;"",AC134,"")))</f>
        <v/>
      </c>
      <c r="AP134" s="24" t="str">
        <f aca="false">IF(AO134="","",IF(AD134&lt;&gt;"","Reported reach","Impressions (proxy)"))</f>
        <v/>
      </c>
      <c r="AQ134" s="34" t="str">
        <f aca="false">IF(OR(AO134="",N(S134)=0),"",AO134/S134)</f>
        <v/>
      </c>
      <c r="AR134" s="33" t="str">
        <f aca="false">IF(A134="","",IF(COUNT(AF134:AJ134)=0,"",SUM(AF134:AJ134)))</f>
        <v/>
      </c>
      <c r="AS134" s="34" t="str">
        <f aca="false">IF(OR(AR134="",N(AO134)=0),"",AR134/AO134)</f>
        <v/>
      </c>
      <c r="AT134" s="34" t="str">
        <f aca="false">IF(OR(AR134="",N(AC134)=0),"",AR134/AC134)</f>
        <v/>
      </c>
      <c r="AU134" s="34" t="str">
        <f aca="false">IF(OR(AR134="",N(S134)=0),"",AR134/S134)</f>
        <v/>
      </c>
      <c r="AV134" s="34" t="str">
        <f aca="false">IF(OR(AJ134="",N(AC134)=0),"",AJ134/AC134)</f>
        <v/>
      </c>
      <c r="AW134" s="34" t="str">
        <f aca="false">IF(OR(AH134="",N(AO134)=0),"",AH134/AO134)</f>
        <v/>
      </c>
      <c r="AX134" s="35" t="str">
        <f aca="false">IF(OR(AR134="",N(AO134)=0),"",(N(AF134)*Settings!$B$6+N(AG134)*Settings!$B$7+N(AH134)*Settings!$B$8+N(AI134)*Settings!$B$9+N(AJ134)*Settings!$B$10)/AO134*1000)</f>
        <v/>
      </c>
      <c r="AY134" s="36" t="str">
        <f aca="false">IF(AS134="","",IFERROR(AS134/AVERAGEIFS('Post Tracker'!$AS$5:$AS$1004,'Post Tracker'!$G$5:$G$1004,G134),""))</f>
        <v/>
      </c>
      <c r="AZ134" s="32"/>
      <c r="BA134" s="32"/>
      <c r="BB134" s="32"/>
      <c r="BC134" s="32"/>
      <c r="BD134" s="33" t="str">
        <f aca="false">IF(A134="","",COUNTIFS('Demo Pipeline'!$Q$5:$Q$504,A134))</f>
        <v/>
      </c>
      <c r="BE134" s="33" t="str">
        <f aca="false">IF(A134="","",COUNTIFS('Demo Pipeline'!$Q$5:$Q$504,A134,'Demo Pipeline'!$W$5:$W$504,"Attended"))</f>
        <v/>
      </c>
      <c r="BF134" s="33" t="str">
        <f aca="false">IF(A134="","",COUNTIFS('Demo Pipeline'!$Q$5:$Q$504,A134,'Demo Pipeline'!$X$5:$X$504,"Yes"))</f>
        <v/>
      </c>
      <c r="BG134" s="33" t="str">
        <f aca="false">IF(A134="","",COUNTIFS('Demo Pipeline'!$Q$5:$Q$504,A134,'Demo Pipeline'!$Y$5:$Y$504,"Closed Won"))</f>
        <v/>
      </c>
      <c r="BH134" s="37" t="str">
        <f aca="false">IF(A134="","",SUMIFS('Demo Pipeline'!$Z$5:$Z$504,'Demo Pipeline'!$Q$5:$Q$504,A134))</f>
        <v/>
      </c>
      <c r="BI134" s="34" t="str">
        <f aca="false">IF(OR(AZ134="",N(AJ134)=0),"",AZ134/AJ134)</f>
        <v/>
      </c>
      <c r="BJ134" s="34" t="str">
        <f aca="false">IF(OR(BB134="",N(AZ134)=0),"",BB134/AZ134)</f>
        <v/>
      </c>
      <c r="BK134" s="34" t="str">
        <f aca="false">IF(OR(A134="",N(BB134)=0),"",BD134/BB134)</f>
        <v/>
      </c>
      <c r="BL134" s="34" t="str">
        <f aca="false">IF(OR(A134="",N(AZ134)=0),"",BD134/AZ134)</f>
        <v/>
      </c>
      <c r="BM134" s="37" t="str">
        <f aca="false">IF(OR(N(Q134)=0,N(BD134)=0),"",Q134/BD134)</f>
        <v/>
      </c>
      <c r="BN134" s="29"/>
      <c r="BO134" s="29"/>
      <c r="BP134" s="33" t="str">
        <f aca="false">IF(OR(AR134="",N(AO134)=0),"",AR134)</f>
        <v/>
      </c>
      <c r="BQ134" s="33" t="str">
        <f aca="false">IF(OR(AR134="",N(S134)=0),"",S134)</f>
        <v/>
      </c>
      <c r="BR134" s="38" t="str">
        <f aca="false">IF(AND(ISNUMBER(B134),B134&gt;=Dashboard!$C$4,B134&lt;=Dashboard!$F$4,ISNUMBER(AU134)),AU134+ROW()/10^9,"")</f>
        <v/>
      </c>
      <c r="BS134" s="38" t="str">
        <f aca="false">IF(AND(ISNUMBER(B134),B134&gt;=Dashboard!$C$4,B134&lt;=Dashboard!$F$4,A134&lt;&gt;""),N(BD134)+N(AU134)/100+ROW()/10^9,"")</f>
        <v/>
      </c>
    </row>
    <row r="135" customFormat="false" ht="15" hidden="false" customHeight="false" outlineLevel="0" collapsed="false">
      <c r="A135" s="24" t="str">
        <f aca="false">IF(OR(B135="",G135="",H135=""),"",IFERROR(INDEX(Settings!$E$5:$E$49,MATCH(G135,Settings!$D$5:$D$49,0))&amp;INDEX(Settings!$H$5:$H$47,MATCH(H135,Settings!$G$5:$G$47,0))&amp;"-"&amp;TEXT(B135,"yymmdd")&amp;"-"&amp;IF(C135="","0000",TEXT(C135,"hhmm")),"CHECK LISTS"))</f>
        <v/>
      </c>
      <c r="B135" s="39"/>
      <c r="C135" s="40"/>
      <c r="D135" s="24" t="str">
        <f aca="false">IF(B135="","",TEXT(B135,"ddd"))</f>
        <v/>
      </c>
      <c r="E135" s="27" t="str">
        <f aca="false">IF(B135="","",B135-WEEKDAY(B135,3))</f>
        <v/>
      </c>
      <c r="F135" s="24" t="str">
        <f aca="false">IF(B135="","",TEXT(B135,"yyyy-mm"))</f>
        <v/>
      </c>
      <c r="G135" s="29"/>
      <c r="H135" s="29"/>
      <c r="I135" s="29"/>
      <c r="J135" s="29"/>
      <c r="K135" s="29"/>
      <c r="L135" s="29"/>
      <c r="M135" s="29"/>
      <c r="N135" s="29"/>
      <c r="O135" s="29"/>
      <c r="P135" s="29"/>
      <c r="Q135" s="30"/>
      <c r="R135" s="29"/>
      <c r="S135" s="32"/>
      <c r="T135" s="29"/>
      <c r="U135" s="29"/>
      <c r="V135" s="24" t="str">
        <f aca="false">IF(A135="","",IFERROR(INDEX(Settings!$F$5:$F$49,MATCH(G135,Settings!$D$5:$D$49,0)),""))</f>
        <v/>
      </c>
      <c r="W135" s="24" t="str">
        <f aca="false">IF(A135="","",IF(OR(P135="",P135="Organic"),"social","paid_social"))</f>
        <v/>
      </c>
      <c r="X135" s="24" t="str">
        <f aca="false">IF(A135="","",IF(K135&lt;&gt;"",IFERROR(INDEX('Case Studies'!$C$5:$C$54,MATCH(K135,'Case Studies'!$B$5:$B$54,0))&amp;"","case-study"),IF(J135&lt;&gt;"",IFERROR(INDEX(Settings!$J$5:$J$55,MATCH(J135,Settings!$I$5:$I$55,0)),"general"),"general")))</f>
        <v/>
      </c>
      <c r="Y135" s="24" t="str">
        <f aca="false">IF(A135="","",LOWER(A135))</f>
        <v/>
      </c>
      <c r="Z135" s="24" t="str">
        <f aca="false">IF(A135="","",IF(T135="",Settings!$B$5,T135)&amp;IF(ISNUMBER(FIND("?",IF(T135="",Settings!$B$5,T135))),"&amp;","?")&amp;"utm_source="&amp;V135&amp;"&amp;utm_medium="&amp;W135&amp;"&amp;utm_campaign="&amp;X135&amp;"&amp;utm_content="&amp;Y135)</f>
        <v/>
      </c>
      <c r="AA135" s="29"/>
      <c r="AB135" s="39"/>
      <c r="AC135" s="32"/>
      <c r="AD135" s="32"/>
      <c r="AE135" s="32"/>
      <c r="AF135" s="32"/>
      <c r="AG135" s="32"/>
      <c r="AH135" s="32"/>
      <c r="AI135" s="32"/>
      <c r="AJ135" s="32"/>
      <c r="AK135" s="32"/>
      <c r="AL135" s="32"/>
      <c r="AM135" s="32"/>
      <c r="AN135" s="32"/>
      <c r="AO135" s="33" t="str">
        <f aca="false">IF(A135="","",IF(AD135&lt;&gt;"",AD135,IF(AC135&lt;&gt;"",AC135,"")))</f>
        <v/>
      </c>
      <c r="AP135" s="24" t="str">
        <f aca="false">IF(AO135="","",IF(AD135&lt;&gt;"","Reported reach","Impressions (proxy)"))</f>
        <v/>
      </c>
      <c r="AQ135" s="34" t="str">
        <f aca="false">IF(OR(AO135="",N(S135)=0),"",AO135/S135)</f>
        <v/>
      </c>
      <c r="AR135" s="33" t="str">
        <f aca="false">IF(A135="","",IF(COUNT(AF135:AJ135)=0,"",SUM(AF135:AJ135)))</f>
        <v/>
      </c>
      <c r="AS135" s="34" t="str">
        <f aca="false">IF(OR(AR135="",N(AO135)=0),"",AR135/AO135)</f>
        <v/>
      </c>
      <c r="AT135" s="34" t="str">
        <f aca="false">IF(OR(AR135="",N(AC135)=0),"",AR135/AC135)</f>
        <v/>
      </c>
      <c r="AU135" s="34" t="str">
        <f aca="false">IF(OR(AR135="",N(S135)=0),"",AR135/S135)</f>
        <v/>
      </c>
      <c r="AV135" s="34" t="str">
        <f aca="false">IF(OR(AJ135="",N(AC135)=0),"",AJ135/AC135)</f>
        <v/>
      </c>
      <c r="AW135" s="34" t="str">
        <f aca="false">IF(OR(AH135="",N(AO135)=0),"",AH135/AO135)</f>
        <v/>
      </c>
      <c r="AX135" s="35" t="str">
        <f aca="false">IF(OR(AR135="",N(AO135)=0),"",(N(AF135)*Settings!$B$6+N(AG135)*Settings!$B$7+N(AH135)*Settings!$B$8+N(AI135)*Settings!$B$9+N(AJ135)*Settings!$B$10)/AO135*1000)</f>
        <v/>
      </c>
      <c r="AY135" s="36" t="str">
        <f aca="false">IF(AS135="","",IFERROR(AS135/AVERAGEIFS('Post Tracker'!$AS$5:$AS$1004,'Post Tracker'!$G$5:$G$1004,G135),""))</f>
        <v/>
      </c>
      <c r="AZ135" s="32"/>
      <c r="BA135" s="32"/>
      <c r="BB135" s="32"/>
      <c r="BC135" s="32"/>
      <c r="BD135" s="33" t="str">
        <f aca="false">IF(A135="","",COUNTIFS('Demo Pipeline'!$Q$5:$Q$504,A135))</f>
        <v/>
      </c>
      <c r="BE135" s="33" t="str">
        <f aca="false">IF(A135="","",COUNTIFS('Demo Pipeline'!$Q$5:$Q$504,A135,'Demo Pipeline'!$W$5:$W$504,"Attended"))</f>
        <v/>
      </c>
      <c r="BF135" s="33" t="str">
        <f aca="false">IF(A135="","",COUNTIFS('Demo Pipeline'!$Q$5:$Q$504,A135,'Demo Pipeline'!$X$5:$X$504,"Yes"))</f>
        <v/>
      </c>
      <c r="BG135" s="33" t="str">
        <f aca="false">IF(A135="","",COUNTIFS('Demo Pipeline'!$Q$5:$Q$504,A135,'Demo Pipeline'!$Y$5:$Y$504,"Closed Won"))</f>
        <v/>
      </c>
      <c r="BH135" s="37" t="str">
        <f aca="false">IF(A135="","",SUMIFS('Demo Pipeline'!$Z$5:$Z$504,'Demo Pipeline'!$Q$5:$Q$504,A135))</f>
        <v/>
      </c>
      <c r="BI135" s="34" t="str">
        <f aca="false">IF(OR(AZ135="",N(AJ135)=0),"",AZ135/AJ135)</f>
        <v/>
      </c>
      <c r="BJ135" s="34" t="str">
        <f aca="false">IF(OR(BB135="",N(AZ135)=0),"",BB135/AZ135)</f>
        <v/>
      </c>
      <c r="BK135" s="34" t="str">
        <f aca="false">IF(OR(A135="",N(BB135)=0),"",BD135/BB135)</f>
        <v/>
      </c>
      <c r="BL135" s="34" t="str">
        <f aca="false">IF(OR(A135="",N(AZ135)=0),"",BD135/AZ135)</f>
        <v/>
      </c>
      <c r="BM135" s="37" t="str">
        <f aca="false">IF(OR(N(Q135)=0,N(BD135)=0),"",Q135/BD135)</f>
        <v/>
      </c>
      <c r="BN135" s="29"/>
      <c r="BO135" s="29"/>
      <c r="BP135" s="33" t="str">
        <f aca="false">IF(OR(AR135="",N(AO135)=0),"",AR135)</f>
        <v/>
      </c>
      <c r="BQ135" s="33" t="str">
        <f aca="false">IF(OR(AR135="",N(S135)=0),"",S135)</f>
        <v/>
      </c>
      <c r="BR135" s="38" t="str">
        <f aca="false">IF(AND(ISNUMBER(B135),B135&gt;=Dashboard!$C$4,B135&lt;=Dashboard!$F$4,ISNUMBER(AU135)),AU135+ROW()/10^9,"")</f>
        <v/>
      </c>
      <c r="BS135" s="38" t="str">
        <f aca="false">IF(AND(ISNUMBER(B135),B135&gt;=Dashboard!$C$4,B135&lt;=Dashboard!$F$4,A135&lt;&gt;""),N(BD135)+N(AU135)/100+ROW()/10^9,"")</f>
        <v/>
      </c>
    </row>
    <row r="136" customFormat="false" ht="15" hidden="false" customHeight="false" outlineLevel="0" collapsed="false">
      <c r="A136" s="24" t="str">
        <f aca="false">IF(OR(B136="",G136="",H136=""),"",IFERROR(INDEX(Settings!$E$5:$E$49,MATCH(G136,Settings!$D$5:$D$49,0))&amp;INDEX(Settings!$H$5:$H$47,MATCH(H136,Settings!$G$5:$G$47,0))&amp;"-"&amp;TEXT(B136,"yymmdd")&amp;"-"&amp;IF(C136="","0000",TEXT(C136,"hhmm")),"CHECK LISTS"))</f>
        <v/>
      </c>
      <c r="B136" s="39"/>
      <c r="C136" s="40"/>
      <c r="D136" s="24" t="str">
        <f aca="false">IF(B136="","",TEXT(B136,"ddd"))</f>
        <v/>
      </c>
      <c r="E136" s="27" t="str">
        <f aca="false">IF(B136="","",B136-WEEKDAY(B136,3))</f>
        <v/>
      </c>
      <c r="F136" s="24" t="str">
        <f aca="false">IF(B136="","",TEXT(B136,"yyyy-mm"))</f>
        <v/>
      </c>
      <c r="G136" s="29"/>
      <c r="H136" s="29"/>
      <c r="I136" s="29"/>
      <c r="J136" s="29"/>
      <c r="K136" s="29"/>
      <c r="L136" s="29"/>
      <c r="M136" s="29"/>
      <c r="N136" s="29"/>
      <c r="O136" s="29"/>
      <c r="P136" s="29"/>
      <c r="Q136" s="30"/>
      <c r="R136" s="29"/>
      <c r="S136" s="32"/>
      <c r="T136" s="29"/>
      <c r="U136" s="29"/>
      <c r="V136" s="24" t="str">
        <f aca="false">IF(A136="","",IFERROR(INDEX(Settings!$F$5:$F$49,MATCH(G136,Settings!$D$5:$D$49,0)),""))</f>
        <v/>
      </c>
      <c r="W136" s="24" t="str">
        <f aca="false">IF(A136="","",IF(OR(P136="",P136="Organic"),"social","paid_social"))</f>
        <v/>
      </c>
      <c r="X136" s="24" t="str">
        <f aca="false">IF(A136="","",IF(K136&lt;&gt;"",IFERROR(INDEX('Case Studies'!$C$5:$C$54,MATCH(K136,'Case Studies'!$B$5:$B$54,0))&amp;"","case-study"),IF(J136&lt;&gt;"",IFERROR(INDEX(Settings!$J$5:$J$55,MATCH(J136,Settings!$I$5:$I$55,0)),"general"),"general")))</f>
        <v/>
      </c>
      <c r="Y136" s="24" t="str">
        <f aca="false">IF(A136="","",LOWER(A136))</f>
        <v/>
      </c>
      <c r="Z136" s="24" t="str">
        <f aca="false">IF(A136="","",IF(T136="",Settings!$B$5,T136)&amp;IF(ISNUMBER(FIND("?",IF(T136="",Settings!$B$5,T136))),"&amp;","?")&amp;"utm_source="&amp;V136&amp;"&amp;utm_medium="&amp;W136&amp;"&amp;utm_campaign="&amp;X136&amp;"&amp;utm_content="&amp;Y136)</f>
        <v/>
      </c>
      <c r="AA136" s="29"/>
      <c r="AB136" s="39"/>
      <c r="AC136" s="32"/>
      <c r="AD136" s="32"/>
      <c r="AE136" s="32"/>
      <c r="AF136" s="32"/>
      <c r="AG136" s="32"/>
      <c r="AH136" s="32"/>
      <c r="AI136" s="32"/>
      <c r="AJ136" s="32"/>
      <c r="AK136" s="32"/>
      <c r="AL136" s="32"/>
      <c r="AM136" s="32"/>
      <c r="AN136" s="32"/>
      <c r="AO136" s="33" t="str">
        <f aca="false">IF(A136="","",IF(AD136&lt;&gt;"",AD136,IF(AC136&lt;&gt;"",AC136,"")))</f>
        <v/>
      </c>
      <c r="AP136" s="24" t="str">
        <f aca="false">IF(AO136="","",IF(AD136&lt;&gt;"","Reported reach","Impressions (proxy)"))</f>
        <v/>
      </c>
      <c r="AQ136" s="34" t="str">
        <f aca="false">IF(OR(AO136="",N(S136)=0),"",AO136/S136)</f>
        <v/>
      </c>
      <c r="AR136" s="33" t="str">
        <f aca="false">IF(A136="","",IF(COUNT(AF136:AJ136)=0,"",SUM(AF136:AJ136)))</f>
        <v/>
      </c>
      <c r="AS136" s="34" t="str">
        <f aca="false">IF(OR(AR136="",N(AO136)=0),"",AR136/AO136)</f>
        <v/>
      </c>
      <c r="AT136" s="34" t="str">
        <f aca="false">IF(OR(AR136="",N(AC136)=0),"",AR136/AC136)</f>
        <v/>
      </c>
      <c r="AU136" s="34" t="str">
        <f aca="false">IF(OR(AR136="",N(S136)=0),"",AR136/S136)</f>
        <v/>
      </c>
      <c r="AV136" s="34" t="str">
        <f aca="false">IF(OR(AJ136="",N(AC136)=0),"",AJ136/AC136)</f>
        <v/>
      </c>
      <c r="AW136" s="34" t="str">
        <f aca="false">IF(OR(AH136="",N(AO136)=0),"",AH136/AO136)</f>
        <v/>
      </c>
      <c r="AX136" s="35" t="str">
        <f aca="false">IF(OR(AR136="",N(AO136)=0),"",(N(AF136)*Settings!$B$6+N(AG136)*Settings!$B$7+N(AH136)*Settings!$B$8+N(AI136)*Settings!$B$9+N(AJ136)*Settings!$B$10)/AO136*1000)</f>
        <v/>
      </c>
      <c r="AY136" s="36" t="str">
        <f aca="false">IF(AS136="","",IFERROR(AS136/AVERAGEIFS('Post Tracker'!$AS$5:$AS$1004,'Post Tracker'!$G$5:$G$1004,G136),""))</f>
        <v/>
      </c>
      <c r="AZ136" s="32"/>
      <c r="BA136" s="32"/>
      <c r="BB136" s="32"/>
      <c r="BC136" s="32"/>
      <c r="BD136" s="33" t="str">
        <f aca="false">IF(A136="","",COUNTIFS('Demo Pipeline'!$Q$5:$Q$504,A136))</f>
        <v/>
      </c>
      <c r="BE136" s="33" t="str">
        <f aca="false">IF(A136="","",COUNTIFS('Demo Pipeline'!$Q$5:$Q$504,A136,'Demo Pipeline'!$W$5:$W$504,"Attended"))</f>
        <v/>
      </c>
      <c r="BF136" s="33" t="str">
        <f aca="false">IF(A136="","",COUNTIFS('Demo Pipeline'!$Q$5:$Q$504,A136,'Demo Pipeline'!$X$5:$X$504,"Yes"))</f>
        <v/>
      </c>
      <c r="BG136" s="33" t="str">
        <f aca="false">IF(A136="","",COUNTIFS('Demo Pipeline'!$Q$5:$Q$504,A136,'Demo Pipeline'!$Y$5:$Y$504,"Closed Won"))</f>
        <v/>
      </c>
      <c r="BH136" s="37" t="str">
        <f aca="false">IF(A136="","",SUMIFS('Demo Pipeline'!$Z$5:$Z$504,'Demo Pipeline'!$Q$5:$Q$504,A136))</f>
        <v/>
      </c>
      <c r="BI136" s="34" t="str">
        <f aca="false">IF(OR(AZ136="",N(AJ136)=0),"",AZ136/AJ136)</f>
        <v/>
      </c>
      <c r="BJ136" s="34" t="str">
        <f aca="false">IF(OR(BB136="",N(AZ136)=0),"",BB136/AZ136)</f>
        <v/>
      </c>
      <c r="BK136" s="34" t="str">
        <f aca="false">IF(OR(A136="",N(BB136)=0),"",BD136/BB136)</f>
        <v/>
      </c>
      <c r="BL136" s="34" t="str">
        <f aca="false">IF(OR(A136="",N(AZ136)=0),"",BD136/AZ136)</f>
        <v/>
      </c>
      <c r="BM136" s="37" t="str">
        <f aca="false">IF(OR(N(Q136)=0,N(BD136)=0),"",Q136/BD136)</f>
        <v/>
      </c>
      <c r="BN136" s="29"/>
      <c r="BO136" s="29"/>
      <c r="BP136" s="33" t="str">
        <f aca="false">IF(OR(AR136="",N(AO136)=0),"",AR136)</f>
        <v/>
      </c>
      <c r="BQ136" s="33" t="str">
        <f aca="false">IF(OR(AR136="",N(S136)=0),"",S136)</f>
        <v/>
      </c>
      <c r="BR136" s="38" t="str">
        <f aca="false">IF(AND(ISNUMBER(B136),B136&gt;=Dashboard!$C$4,B136&lt;=Dashboard!$F$4,ISNUMBER(AU136)),AU136+ROW()/10^9,"")</f>
        <v/>
      </c>
      <c r="BS136" s="38" t="str">
        <f aca="false">IF(AND(ISNUMBER(B136),B136&gt;=Dashboard!$C$4,B136&lt;=Dashboard!$F$4,A136&lt;&gt;""),N(BD136)+N(AU136)/100+ROW()/10^9,"")</f>
        <v/>
      </c>
    </row>
    <row r="137" customFormat="false" ht="15" hidden="false" customHeight="false" outlineLevel="0" collapsed="false">
      <c r="A137" s="24" t="str">
        <f aca="false">IF(OR(B137="",G137="",H137=""),"",IFERROR(INDEX(Settings!$E$5:$E$49,MATCH(G137,Settings!$D$5:$D$49,0))&amp;INDEX(Settings!$H$5:$H$47,MATCH(H137,Settings!$G$5:$G$47,0))&amp;"-"&amp;TEXT(B137,"yymmdd")&amp;"-"&amp;IF(C137="","0000",TEXT(C137,"hhmm")),"CHECK LISTS"))</f>
        <v/>
      </c>
      <c r="B137" s="39"/>
      <c r="C137" s="40"/>
      <c r="D137" s="24" t="str">
        <f aca="false">IF(B137="","",TEXT(B137,"ddd"))</f>
        <v/>
      </c>
      <c r="E137" s="27" t="str">
        <f aca="false">IF(B137="","",B137-WEEKDAY(B137,3))</f>
        <v/>
      </c>
      <c r="F137" s="24" t="str">
        <f aca="false">IF(B137="","",TEXT(B137,"yyyy-mm"))</f>
        <v/>
      </c>
      <c r="G137" s="29"/>
      <c r="H137" s="29"/>
      <c r="I137" s="29"/>
      <c r="J137" s="29"/>
      <c r="K137" s="29"/>
      <c r="L137" s="29"/>
      <c r="M137" s="29"/>
      <c r="N137" s="29"/>
      <c r="O137" s="29"/>
      <c r="P137" s="29"/>
      <c r="Q137" s="30"/>
      <c r="R137" s="29"/>
      <c r="S137" s="32"/>
      <c r="T137" s="29"/>
      <c r="U137" s="29"/>
      <c r="V137" s="24" t="str">
        <f aca="false">IF(A137="","",IFERROR(INDEX(Settings!$F$5:$F$49,MATCH(G137,Settings!$D$5:$D$49,0)),""))</f>
        <v/>
      </c>
      <c r="W137" s="24" t="str">
        <f aca="false">IF(A137="","",IF(OR(P137="",P137="Organic"),"social","paid_social"))</f>
        <v/>
      </c>
      <c r="X137" s="24" t="str">
        <f aca="false">IF(A137="","",IF(K137&lt;&gt;"",IFERROR(INDEX('Case Studies'!$C$5:$C$54,MATCH(K137,'Case Studies'!$B$5:$B$54,0))&amp;"","case-study"),IF(J137&lt;&gt;"",IFERROR(INDEX(Settings!$J$5:$J$55,MATCH(J137,Settings!$I$5:$I$55,0)),"general"),"general")))</f>
        <v/>
      </c>
      <c r="Y137" s="24" t="str">
        <f aca="false">IF(A137="","",LOWER(A137))</f>
        <v/>
      </c>
      <c r="Z137" s="24" t="str">
        <f aca="false">IF(A137="","",IF(T137="",Settings!$B$5,T137)&amp;IF(ISNUMBER(FIND("?",IF(T137="",Settings!$B$5,T137))),"&amp;","?")&amp;"utm_source="&amp;V137&amp;"&amp;utm_medium="&amp;W137&amp;"&amp;utm_campaign="&amp;X137&amp;"&amp;utm_content="&amp;Y137)</f>
        <v/>
      </c>
      <c r="AA137" s="29"/>
      <c r="AB137" s="39"/>
      <c r="AC137" s="32"/>
      <c r="AD137" s="32"/>
      <c r="AE137" s="32"/>
      <c r="AF137" s="32"/>
      <c r="AG137" s="32"/>
      <c r="AH137" s="32"/>
      <c r="AI137" s="32"/>
      <c r="AJ137" s="32"/>
      <c r="AK137" s="32"/>
      <c r="AL137" s="32"/>
      <c r="AM137" s="32"/>
      <c r="AN137" s="32"/>
      <c r="AO137" s="33" t="str">
        <f aca="false">IF(A137="","",IF(AD137&lt;&gt;"",AD137,IF(AC137&lt;&gt;"",AC137,"")))</f>
        <v/>
      </c>
      <c r="AP137" s="24" t="str">
        <f aca="false">IF(AO137="","",IF(AD137&lt;&gt;"","Reported reach","Impressions (proxy)"))</f>
        <v/>
      </c>
      <c r="AQ137" s="34" t="str">
        <f aca="false">IF(OR(AO137="",N(S137)=0),"",AO137/S137)</f>
        <v/>
      </c>
      <c r="AR137" s="33" t="str">
        <f aca="false">IF(A137="","",IF(COUNT(AF137:AJ137)=0,"",SUM(AF137:AJ137)))</f>
        <v/>
      </c>
      <c r="AS137" s="34" t="str">
        <f aca="false">IF(OR(AR137="",N(AO137)=0),"",AR137/AO137)</f>
        <v/>
      </c>
      <c r="AT137" s="34" t="str">
        <f aca="false">IF(OR(AR137="",N(AC137)=0),"",AR137/AC137)</f>
        <v/>
      </c>
      <c r="AU137" s="34" t="str">
        <f aca="false">IF(OR(AR137="",N(S137)=0),"",AR137/S137)</f>
        <v/>
      </c>
      <c r="AV137" s="34" t="str">
        <f aca="false">IF(OR(AJ137="",N(AC137)=0),"",AJ137/AC137)</f>
        <v/>
      </c>
      <c r="AW137" s="34" t="str">
        <f aca="false">IF(OR(AH137="",N(AO137)=0),"",AH137/AO137)</f>
        <v/>
      </c>
      <c r="AX137" s="35" t="str">
        <f aca="false">IF(OR(AR137="",N(AO137)=0),"",(N(AF137)*Settings!$B$6+N(AG137)*Settings!$B$7+N(AH137)*Settings!$B$8+N(AI137)*Settings!$B$9+N(AJ137)*Settings!$B$10)/AO137*1000)</f>
        <v/>
      </c>
      <c r="AY137" s="36" t="str">
        <f aca="false">IF(AS137="","",IFERROR(AS137/AVERAGEIFS('Post Tracker'!$AS$5:$AS$1004,'Post Tracker'!$G$5:$G$1004,G137),""))</f>
        <v/>
      </c>
      <c r="AZ137" s="32"/>
      <c r="BA137" s="32"/>
      <c r="BB137" s="32"/>
      <c r="BC137" s="32"/>
      <c r="BD137" s="33" t="str">
        <f aca="false">IF(A137="","",COUNTIFS('Demo Pipeline'!$Q$5:$Q$504,A137))</f>
        <v/>
      </c>
      <c r="BE137" s="33" t="str">
        <f aca="false">IF(A137="","",COUNTIFS('Demo Pipeline'!$Q$5:$Q$504,A137,'Demo Pipeline'!$W$5:$W$504,"Attended"))</f>
        <v/>
      </c>
      <c r="BF137" s="33" t="str">
        <f aca="false">IF(A137="","",COUNTIFS('Demo Pipeline'!$Q$5:$Q$504,A137,'Demo Pipeline'!$X$5:$X$504,"Yes"))</f>
        <v/>
      </c>
      <c r="BG137" s="33" t="str">
        <f aca="false">IF(A137="","",COUNTIFS('Demo Pipeline'!$Q$5:$Q$504,A137,'Demo Pipeline'!$Y$5:$Y$504,"Closed Won"))</f>
        <v/>
      </c>
      <c r="BH137" s="37" t="str">
        <f aca="false">IF(A137="","",SUMIFS('Demo Pipeline'!$Z$5:$Z$504,'Demo Pipeline'!$Q$5:$Q$504,A137))</f>
        <v/>
      </c>
      <c r="BI137" s="34" t="str">
        <f aca="false">IF(OR(AZ137="",N(AJ137)=0),"",AZ137/AJ137)</f>
        <v/>
      </c>
      <c r="BJ137" s="34" t="str">
        <f aca="false">IF(OR(BB137="",N(AZ137)=0),"",BB137/AZ137)</f>
        <v/>
      </c>
      <c r="BK137" s="34" t="str">
        <f aca="false">IF(OR(A137="",N(BB137)=0),"",BD137/BB137)</f>
        <v/>
      </c>
      <c r="BL137" s="34" t="str">
        <f aca="false">IF(OR(A137="",N(AZ137)=0),"",BD137/AZ137)</f>
        <v/>
      </c>
      <c r="BM137" s="37" t="str">
        <f aca="false">IF(OR(N(Q137)=0,N(BD137)=0),"",Q137/BD137)</f>
        <v/>
      </c>
      <c r="BN137" s="29"/>
      <c r="BO137" s="29"/>
      <c r="BP137" s="33" t="str">
        <f aca="false">IF(OR(AR137="",N(AO137)=0),"",AR137)</f>
        <v/>
      </c>
      <c r="BQ137" s="33" t="str">
        <f aca="false">IF(OR(AR137="",N(S137)=0),"",S137)</f>
        <v/>
      </c>
      <c r="BR137" s="38" t="str">
        <f aca="false">IF(AND(ISNUMBER(B137),B137&gt;=Dashboard!$C$4,B137&lt;=Dashboard!$F$4,ISNUMBER(AU137)),AU137+ROW()/10^9,"")</f>
        <v/>
      </c>
      <c r="BS137" s="38" t="str">
        <f aca="false">IF(AND(ISNUMBER(B137),B137&gt;=Dashboard!$C$4,B137&lt;=Dashboard!$F$4,A137&lt;&gt;""),N(BD137)+N(AU137)/100+ROW()/10^9,"")</f>
        <v/>
      </c>
    </row>
    <row r="138" customFormat="false" ht="15" hidden="false" customHeight="false" outlineLevel="0" collapsed="false">
      <c r="A138" s="24" t="str">
        <f aca="false">IF(OR(B138="",G138="",H138=""),"",IFERROR(INDEX(Settings!$E$5:$E$49,MATCH(G138,Settings!$D$5:$D$49,0))&amp;INDEX(Settings!$H$5:$H$47,MATCH(H138,Settings!$G$5:$G$47,0))&amp;"-"&amp;TEXT(B138,"yymmdd")&amp;"-"&amp;IF(C138="","0000",TEXT(C138,"hhmm")),"CHECK LISTS"))</f>
        <v/>
      </c>
      <c r="B138" s="39"/>
      <c r="C138" s="40"/>
      <c r="D138" s="24" t="str">
        <f aca="false">IF(B138="","",TEXT(B138,"ddd"))</f>
        <v/>
      </c>
      <c r="E138" s="27" t="str">
        <f aca="false">IF(B138="","",B138-WEEKDAY(B138,3))</f>
        <v/>
      </c>
      <c r="F138" s="24" t="str">
        <f aca="false">IF(B138="","",TEXT(B138,"yyyy-mm"))</f>
        <v/>
      </c>
      <c r="G138" s="29"/>
      <c r="H138" s="29"/>
      <c r="I138" s="29"/>
      <c r="J138" s="29"/>
      <c r="K138" s="29"/>
      <c r="L138" s="29"/>
      <c r="M138" s="29"/>
      <c r="N138" s="29"/>
      <c r="O138" s="29"/>
      <c r="P138" s="29"/>
      <c r="Q138" s="30"/>
      <c r="R138" s="29"/>
      <c r="S138" s="32"/>
      <c r="T138" s="29"/>
      <c r="U138" s="29"/>
      <c r="V138" s="24" t="str">
        <f aca="false">IF(A138="","",IFERROR(INDEX(Settings!$F$5:$F$49,MATCH(G138,Settings!$D$5:$D$49,0)),""))</f>
        <v/>
      </c>
      <c r="W138" s="24" t="str">
        <f aca="false">IF(A138="","",IF(OR(P138="",P138="Organic"),"social","paid_social"))</f>
        <v/>
      </c>
      <c r="X138" s="24" t="str">
        <f aca="false">IF(A138="","",IF(K138&lt;&gt;"",IFERROR(INDEX('Case Studies'!$C$5:$C$54,MATCH(K138,'Case Studies'!$B$5:$B$54,0))&amp;"","case-study"),IF(J138&lt;&gt;"",IFERROR(INDEX(Settings!$J$5:$J$55,MATCH(J138,Settings!$I$5:$I$55,0)),"general"),"general")))</f>
        <v/>
      </c>
      <c r="Y138" s="24" t="str">
        <f aca="false">IF(A138="","",LOWER(A138))</f>
        <v/>
      </c>
      <c r="Z138" s="24" t="str">
        <f aca="false">IF(A138="","",IF(T138="",Settings!$B$5,T138)&amp;IF(ISNUMBER(FIND("?",IF(T138="",Settings!$B$5,T138))),"&amp;","?")&amp;"utm_source="&amp;V138&amp;"&amp;utm_medium="&amp;W138&amp;"&amp;utm_campaign="&amp;X138&amp;"&amp;utm_content="&amp;Y138)</f>
        <v/>
      </c>
      <c r="AA138" s="29"/>
      <c r="AB138" s="39"/>
      <c r="AC138" s="32"/>
      <c r="AD138" s="32"/>
      <c r="AE138" s="32"/>
      <c r="AF138" s="32"/>
      <c r="AG138" s="32"/>
      <c r="AH138" s="32"/>
      <c r="AI138" s="32"/>
      <c r="AJ138" s="32"/>
      <c r="AK138" s="32"/>
      <c r="AL138" s="32"/>
      <c r="AM138" s="32"/>
      <c r="AN138" s="32"/>
      <c r="AO138" s="33" t="str">
        <f aca="false">IF(A138="","",IF(AD138&lt;&gt;"",AD138,IF(AC138&lt;&gt;"",AC138,"")))</f>
        <v/>
      </c>
      <c r="AP138" s="24" t="str">
        <f aca="false">IF(AO138="","",IF(AD138&lt;&gt;"","Reported reach","Impressions (proxy)"))</f>
        <v/>
      </c>
      <c r="AQ138" s="34" t="str">
        <f aca="false">IF(OR(AO138="",N(S138)=0),"",AO138/S138)</f>
        <v/>
      </c>
      <c r="AR138" s="33" t="str">
        <f aca="false">IF(A138="","",IF(COUNT(AF138:AJ138)=0,"",SUM(AF138:AJ138)))</f>
        <v/>
      </c>
      <c r="AS138" s="34" t="str">
        <f aca="false">IF(OR(AR138="",N(AO138)=0),"",AR138/AO138)</f>
        <v/>
      </c>
      <c r="AT138" s="34" t="str">
        <f aca="false">IF(OR(AR138="",N(AC138)=0),"",AR138/AC138)</f>
        <v/>
      </c>
      <c r="AU138" s="34" t="str">
        <f aca="false">IF(OR(AR138="",N(S138)=0),"",AR138/S138)</f>
        <v/>
      </c>
      <c r="AV138" s="34" t="str">
        <f aca="false">IF(OR(AJ138="",N(AC138)=0),"",AJ138/AC138)</f>
        <v/>
      </c>
      <c r="AW138" s="34" t="str">
        <f aca="false">IF(OR(AH138="",N(AO138)=0),"",AH138/AO138)</f>
        <v/>
      </c>
      <c r="AX138" s="35" t="str">
        <f aca="false">IF(OR(AR138="",N(AO138)=0),"",(N(AF138)*Settings!$B$6+N(AG138)*Settings!$B$7+N(AH138)*Settings!$B$8+N(AI138)*Settings!$B$9+N(AJ138)*Settings!$B$10)/AO138*1000)</f>
        <v/>
      </c>
      <c r="AY138" s="36" t="str">
        <f aca="false">IF(AS138="","",IFERROR(AS138/AVERAGEIFS('Post Tracker'!$AS$5:$AS$1004,'Post Tracker'!$G$5:$G$1004,G138),""))</f>
        <v/>
      </c>
      <c r="AZ138" s="32"/>
      <c r="BA138" s="32"/>
      <c r="BB138" s="32"/>
      <c r="BC138" s="32"/>
      <c r="BD138" s="33" t="str">
        <f aca="false">IF(A138="","",COUNTIFS('Demo Pipeline'!$Q$5:$Q$504,A138))</f>
        <v/>
      </c>
      <c r="BE138" s="33" t="str">
        <f aca="false">IF(A138="","",COUNTIFS('Demo Pipeline'!$Q$5:$Q$504,A138,'Demo Pipeline'!$W$5:$W$504,"Attended"))</f>
        <v/>
      </c>
      <c r="BF138" s="33" t="str">
        <f aca="false">IF(A138="","",COUNTIFS('Demo Pipeline'!$Q$5:$Q$504,A138,'Demo Pipeline'!$X$5:$X$504,"Yes"))</f>
        <v/>
      </c>
      <c r="BG138" s="33" t="str">
        <f aca="false">IF(A138="","",COUNTIFS('Demo Pipeline'!$Q$5:$Q$504,A138,'Demo Pipeline'!$Y$5:$Y$504,"Closed Won"))</f>
        <v/>
      </c>
      <c r="BH138" s="37" t="str">
        <f aca="false">IF(A138="","",SUMIFS('Demo Pipeline'!$Z$5:$Z$504,'Demo Pipeline'!$Q$5:$Q$504,A138))</f>
        <v/>
      </c>
      <c r="BI138" s="34" t="str">
        <f aca="false">IF(OR(AZ138="",N(AJ138)=0),"",AZ138/AJ138)</f>
        <v/>
      </c>
      <c r="BJ138" s="34" t="str">
        <f aca="false">IF(OR(BB138="",N(AZ138)=0),"",BB138/AZ138)</f>
        <v/>
      </c>
      <c r="BK138" s="34" t="str">
        <f aca="false">IF(OR(A138="",N(BB138)=0),"",BD138/BB138)</f>
        <v/>
      </c>
      <c r="BL138" s="34" t="str">
        <f aca="false">IF(OR(A138="",N(AZ138)=0),"",BD138/AZ138)</f>
        <v/>
      </c>
      <c r="BM138" s="37" t="str">
        <f aca="false">IF(OR(N(Q138)=0,N(BD138)=0),"",Q138/BD138)</f>
        <v/>
      </c>
      <c r="BN138" s="29"/>
      <c r="BO138" s="29"/>
      <c r="BP138" s="33" t="str">
        <f aca="false">IF(OR(AR138="",N(AO138)=0),"",AR138)</f>
        <v/>
      </c>
      <c r="BQ138" s="33" t="str">
        <f aca="false">IF(OR(AR138="",N(S138)=0),"",S138)</f>
        <v/>
      </c>
      <c r="BR138" s="38" t="str">
        <f aca="false">IF(AND(ISNUMBER(B138),B138&gt;=Dashboard!$C$4,B138&lt;=Dashboard!$F$4,ISNUMBER(AU138)),AU138+ROW()/10^9,"")</f>
        <v/>
      </c>
      <c r="BS138" s="38" t="str">
        <f aca="false">IF(AND(ISNUMBER(B138),B138&gt;=Dashboard!$C$4,B138&lt;=Dashboard!$F$4,A138&lt;&gt;""),N(BD138)+N(AU138)/100+ROW()/10^9,"")</f>
        <v/>
      </c>
    </row>
    <row r="139" customFormat="false" ht="15" hidden="false" customHeight="false" outlineLevel="0" collapsed="false">
      <c r="A139" s="24" t="str">
        <f aca="false">IF(OR(B139="",G139="",H139=""),"",IFERROR(INDEX(Settings!$E$5:$E$49,MATCH(G139,Settings!$D$5:$D$49,0))&amp;INDEX(Settings!$H$5:$H$47,MATCH(H139,Settings!$G$5:$G$47,0))&amp;"-"&amp;TEXT(B139,"yymmdd")&amp;"-"&amp;IF(C139="","0000",TEXT(C139,"hhmm")),"CHECK LISTS"))</f>
        <v/>
      </c>
      <c r="B139" s="39"/>
      <c r="C139" s="40"/>
      <c r="D139" s="24" t="str">
        <f aca="false">IF(B139="","",TEXT(B139,"ddd"))</f>
        <v/>
      </c>
      <c r="E139" s="27" t="str">
        <f aca="false">IF(B139="","",B139-WEEKDAY(B139,3))</f>
        <v/>
      </c>
      <c r="F139" s="24" t="str">
        <f aca="false">IF(B139="","",TEXT(B139,"yyyy-mm"))</f>
        <v/>
      </c>
      <c r="G139" s="29"/>
      <c r="H139" s="29"/>
      <c r="I139" s="29"/>
      <c r="J139" s="29"/>
      <c r="K139" s="29"/>
      <c r="L139" s="29"/>
      <c r="M139" s="29"/>
      <c r="N139" s="29"/>
      <c r="O139" s="29"/>
      <c r="P139" s="29"/>
      <c r="Q139" s="30"/>
      <c r="R139" s="29"/>
      <c r="S139" s="32"/>
      <c r="T139" s="29"/>
      <c r="U139" s="29"/>
      <c r="V139" s="24" t="str">
        <f aca="false">IF(A139="","",IFERROR(INDEX(Settings!$F$5:$F$49,MATCH(G139,Settings!$D$5:$D$49,0)),""))</f>
        <v/>
      </c>
      <c r="W139" s="24" t="str">
        <f aca="false">IF(A139="","",IF(OR(P139="",P139="Organic"),"social","paid_social"))</f>
        <v/>
      </c>
      <c r="X139" s="24" t="str">
        <f aca="false">IF(A139="","",IF(K139&lt;&gt;"",IFERROR(INDEX('Case Studies'!$C$5:$C$54,MATCH(K139,'Case Studies'!$B$5:$B$54,0))&amp;"","case-study"),IF(J139&lt;&gt;"",IFERROR(INDEX(Settings!$J$5:$J$55,MATCH(J139,Settings!$I$5:$I$55,0)),"general"),"general")))</f>
        <v/>
      </c>
      <c r="Y139" s="24" t="str">
        <f aca="false">IF(A139="","",LOWER(A139))</f>
        <v/>
      </c>
      <c r="Z139" s="24" t="str">
        <f aca="false">IF(A139="","",IF(T139="",Settings!$B$5,T139)&amp;IF(ISNUMBER(FIND("?",IF(T139="",Settings!$B$5,T139))),"&amp;","?")&amp;"utm_source="&amp;V139&amp;"&amp;utm_medium="&amp;W139&amp;"&amp;utm_campaign="&amp;X139&amp;"&amp;utm_content="&amp;Y139)</f>
        <v/>
      </c>
      <c r="AA139" s="29"/>
      <c r="AB139" s="39"/>
      <c r="AC139" s="32"/>
      <c r="AD139" s="32"/>
      <c r="AE139" s="32"/>
      <c r="AF139" s="32"/>
      <c r="AG139" s="32"/>
      <c r="AH139" s="32"/>
      <c r="AI139" s="32"/>
      <c r="AJ139" s="32"/>
      <c r="AK139" s="32"/>
      <c r="AL139" s="32"/>
      <c r="AM139" s="32"/>
      <c r="AN139" s="32"/>
      <c r="AO139" s="33" t="str">
        <f aca="false">IF(A139="","",IF(AD139&lt;&gt;"",AD139,IF(AC139&lt;&gt;"",AC139,"")))</f>
        <v/>
      </c>
      <c r="AP139" s="24" t="str">
        <f aca="false">IF(AO139="","",IF(AD139&lt;&gt;"","Reported reach","Impressions (proxy)"))</f>
        <v/>
      </c>
      <c r="AQ139" s="34" t="str">
        <f aca="false">IF(OR(AO139="",N(S139)=0),"",AO139/S139)</f>
        <v/>
      </c>
      <c r="AR139" s="33" t="str">
        <f aca="false">IF(A139="","",IF(COUNT(AF139:AJ139)=0,"",SUM(AF139:AJ139)))</f>
        <v/>
      </c>
      <c r="AS139" s="34" t="str">
        <f aca="false">IF(OR(AR139="",N(AO139)=0),"",AR139/AO139)</f>
        <v/>
      </c>
      <c r="AT139" s="34" t="str">
        <f aca="false">IF(OR(AR139="",N(AC139)=0),"",AR139/AC139)</f>
        <v/>
      </c>
      <c r="AU139" s="34" t="str">
        <f aca="false">IF(OR(AR139="",N(S139)=0),"",AR139/S139)</f>
        <v/>
      </c>
      <c r="AV139" s="34" t="str">
        <f aca="false">IF(OR(AJ139="",N(AC139)=0),"",AJ139/AC139)</f>
        <v/>
      </c>
      <c r="AW139" s="34" t="str">
        <f aca="false">IF(OR(AH139="",N(AO139)=0),"",AH139/AO139)</f>
        <v/>
      </c>
      <c r="AX139" s="35" t="str">
        <f aca="false">IF(OR(AR139="",N(AO139)=0),"",(N(AF139)*Settings!$B$6+N(AG139)*Settings!$B$7+N(AH139)*Settings!$B$8+N(AI139)*Settings!$B$9+N(AJ139)*Settings!$B$10)/AO139*1000)</f>
        <v/>
      </c>
      <c r="AY139" s="36" t="str">
        <f aca="false">IF(AS139="","",IFERROR(AS139/AVERAGEIFS('Post Tracker'!$AS$5:$AS$1004,'Post Tracker'!$G$5:$G$1004,G139),""))</f>
        <v/>
      </c>
      <c r="AZ139" s="32"/>
      <c r="BA139" s="32"/>
      <c r="BB139" s="32"/>
      <c r="BC139" s="32"/>
      <c r="BD139" s="33" t="str">
        <f aca="false">IF(A139="","",COUNTIFS('Demo Pipeline'!$Q$5:$Q$504,A139))</f>
        <v/>
      </c>
      <c r="BE139" s="33" t="str">
        <f aca="false">IF(A139="","",COUNTIFS('Demo Pipeline'!$Q$5:$Q$504,A139,'Demo Pipeline'!$W$5:$W$504,"Attended"))</f>
        <v/>
      </c>
      <c r="BF139" s="33" t="str">
        <f aca="false">IF(A139="","",COUNTIFS('Demo Pipeline'!$Q$5:$Q$504,A139,'Demo Pipeline'!$X$5:$X$504,"Yes"))</f>
        <v/>
      </c>
      <c r="BG139" s="33" t="str">
        <f aca="false">IF(A139="","",COUNTIFS('Demo Pipeline'!$Q$5:$Q$504,A139,'Demo Pipeline'!$Y$5:$Y$504,"Closed Won"))</f>
        <v/>
      </c>
      <c r="BH139" s="37" t="str">
        <f aca="false">IF(A139="","",SUMIFS('Demo Pipeline'!$Z$5:$Z$504,'Demo Pipeline'!$Q$5:$Q$504,A139))</f>
        <v/>
      </c>
      <c r="BI139" s="34" t="str">
        <f aca="false">IF(OR(AZ139="",N(AJ139)=0),"",AZ139/AJ139)</f>
        <v/>
      </c>
      <c r="BJ139" s="34" t="str">
        <f aca="false">IF(OR(BB139="",N(AZ139)=0),"",BB139/AZ139)</f>
        <v/>
      </c>
      <c r="BK139" s="34" t="str">
        <f aca="false">IF(OR(A139="",N(BB139)=0),"",BD139/BB139)</f>
        <v/>
      </c>
      <c r="BL139" s="34" t="str">
        <f aca="false">IF(OR(A139="",N(AZ139)=0),"",BD139/AZ139)</f>
        <v/>
      </c>
      <c r="BM139" s="37" t="str">
        <f aca="false">IF(OR(N(Q139)=0,N(BD139)=0),"",Q139/BD139)</f>
        <v/>
      </c>
      <c r="BN139" s="29"/>
      <c r="BO139" s="29"/>
      <c r="BP139" s="33" t="str">
        <f aca="false">IF(OR(AR139="",N(AO139)=0),"",AR139)</f>
        <v/>
      </c>
      <c r="BQ139" s="33" t="str">
        <f aca="false">IF(OR(AR139="",N(S139)=0),"",S139)</f>
        <v/>
      </c>
      <c r="BR139" s="38" t="str">
        <f aca="false">IF(AND(ISNUMBER(B139),B139&gt;=Dashboard!$C$4,B139&lt;=Dashboard!$F$4,ISNUMBER(AU139)),AU139+ROW()/10^9,"")</f>
        <v/>
      </c>
      <c r="BS139" s="38" t="str">
        <f aca="false">IF(AND(ISNUMBER(B139),B139&gt;=Dashboard!$C$4,B139&lt;=Dashboard!$F$4,A139&lt;&gt;""),N(BD139)+N(AU139)/100+ROW()/10^9,"")</f>
        <v/>
      </c>
    </row>
    <row r="140" customFormat="false" ht="15" hidden="false" customHeight="false" outlineLevel="0" collapsed="false">
      <c r="A140" s="24" t="str">
        <f aca="false">IF(OR(B140="",G140="",H140=""),"",IFERROR(INDEX(Settings!$E$5:$E$49,MATCH(G140,Settings!$D$5:$D$49,0))&amp;INDEX(Settings!$H$5:$H$47,MATCH(H140,Settings!$G$5:$G$47,0))&amp;"-"&amp;TEXT(B140,"yymmdd")&amp;"-"&amp;IF(C140="","0000",TEXT(C140,"hhmm")),"CHECK LISTS"))</f>
        <v/>
      </c>
      <c r="B140" s="39"/>
      <c r="C140" s="40"/>
      <c r="D140" s="24" t="str">
        <f aca="false">IF(B140="","",TEXT(B140,"ddd"))</f>
        <v/>
      </c>
      <c r="E140" s="27" t="str">
        <f aca="false">IF(B140="","",B140-WEEKDAY(B140,3))</f>
        <v/>
      </c>
      <c r="F140" s="24" t="str">
        <f aca="false">IF(B140="","",TEXT(B140,"yyyy-mm"))</f>
        <v/>
      </c>
      <c r="G140" s="29"/>
      <c r="H140" s="29"/>
      <c r="I140" s="29"/>
      <c r="J140" s="29"/>
      <c r="K140" s="29"/>
      <c r="L140" s="29"/>
      <c r="M140" s="29"/>
      <c r="N140" s="29"/>
      <c r="O140" s="29"/>
      <c r="P140" s="29"/>
      <c r="Q140" s="30"/>
      <c r="R140" s="29"/>
      <c r="S140" s="32"/>
      <c r="T140" s="29"/>
      <c r="U140" s="29"/>
      <c r="V140" s="24" t="str">
        <f aca="false">IF(A140="","",IFERROR(INDEX(Settings!$F$5:$F$49,MATCH(G140,Settings!$D$5:$D$49,0)),""))</f>
        <v/>
      </c>
      <c r="W140" s="24" t="str">
        <f aca="false">IF(A140="","",IF(OR(P140="",P140="Organic"),"social","paid_social"))</f>
        <v/>
      </c>
      <c r="X140" s="24" t="str">
        <f aca="false">IF(A140="","",IF(K140&lt;&gt;"",IFERROR(INDEX('Case Studies'!$C$5:$C$54,MATCH(K140,'Case Studies'!$B$5:$B$54,0))&amp;"","case-study"),IF(J140&lt;&gt;"",IFERROR(INDEX(Settings!$J$5:$J$55,MATCH(J140,Settings!$I$5:$I$55,0)),"general"),"general")))</f>
        <v/>
      </c>
      <c r="Y140" s="24" t="str">
        <f aca="false">IF(A140="","",LOWER(A140))</f>
        <v/>
      </c>
      <c r="Z140" s="24" t="str">
        <f aca="false">IF(A140="","",IF(T140="",Settings!$B$5,T140)&amp;IF(ISNUMBER(FIND("?",IF(T140="",Settings!$B$5,T140))),"&amp;","?")&amp;"utm_source="&amp;V140&amp;"&amp;utm_medium="&amp;W140&amp;"&amp;utm_campaign="&amp;X140&amp;"&amp;utm_content="&amp;Y140)</f>
        <v/>
      </c>
      <c r="AA140" s="29"/>
      <c r="AB140" s="39"/>
      <c r="AC140" s="32"/>
      <c r="AD140" s="32"/>
      <c r="AE140" s="32"/>
      <c r="AF140" s="32"/>
      <c r="AG140" s="32"/>
      <c r="AH140" s="32"/>
      <c r="AI140" s="32"/>
      <c r="AJ140" s="32"/>
      <c r="AK140" s="32"/>
      <c r="AL140" s="32"/>
      <c r="AM140" s="32"/>
      <c r="AN140" s="32"/>
      <c r="AO140" s="33" t="str">
        <f aca="false">IF(A140="","",IF(AD140&lt;&gt;"",AD140,IF(AC140&lt;&gt;"",AC140,"")))</f>
        <v/>
      </c>
      <c r="AP140" s="24" t="str">
        <f aca="false">IF(AO140="","",IF(AD140&lt;&gt;"","Reported reach","Impressions (proxy)"))</f>
        <v/>
      </c>
      <c r="AQ140" s="34" t="str">
        <f aca="false">IF(OR(AO140="",N(S140)=0),"",AO140/S140)</f>
        <v/>
      </c>
      <c r="AR140" s="33" t="str">
        <f aca="false">IF(A140="","",IF(COUNT(AF140:AJ140)=0,"",SUM(AF140:AJ140)))</f>
        <v/>
      </c>
      <c r="AS140" s="34" t="str">
        <f aca="false">IF(OR(AR140="",N(AO140)=0),"",AR140/AO140)</f>
        <v/>
      </c>
      <c r="AT140" s="34" t="str">
        <f aca="false">IF(OR(AR140="",N(AC140)=0),"",AR140/AC140)</f>
        <v/>
      </c>
      <c r="AU140" s="34" t="str">
        <f aca="false">IF(OR(AR140="",N(S140)=0),"",AR140/S140)</f>
        <v/>
      </c>
      <c r="AV140" s="34" t="str">
        <f aca="false">IF(OR(AJ140="",N(AC140)=0),"",AJ140/AC140)</f>
        <v/>
      </c>
      <c r="AW140" s="34" t="str">
        <f aca="false">IF(OR(AH140="",N(AO140)=0),"",AH140/AO140)</f>
        <v/>
      </c>
      <c r="AX140" s="35" t="str">
        <f aca="false">IF(OR(AR140="",N(AO140)=0),"",(N(AF140)*Settings!$B$6+N(AG140)*Settings!$B$7+N(AH140)*Settings!$B$8+N(AI140)*Settings!$B$9+N(AJ140)*Settings!$B$10)/AO140*1000)</f>
        <v/>
      </c>
      <c r="AY140" s="36" t="str">
        <f aca="false">IF(AS140="","",IFERROR(AS140/AVERAGEIFS('Post Tracker'!$AS$5:$AS$1004,'Post Tracker'!$G$5:$G$1004,G140),""))</f>
        <v/>
      </c>
      <c r="AZ140" s="32"/>
      <c r="BA140" s="32"/>
      <c r="BB140" s="32"/>
      <c r="BC140" s="32"/>
      <c r="BD140" s="33" t="str">
        <f aca="false">IF(A140="","",COUNTIFS('Demo Pipeline'!$Q$5:$Q$504,A140))</f>
        <v/>
      </c>
      <c r="BE140" s="33" t="str">
        <f aca="false">IF(A140="","",COUNTIFS('Demo Pipeline'!$Q$5:$Q$504,A140,'Demo Pipeline'!$W$5:$W$504,"Attended"))</f>
        <v/>
      </c>
      <c r="BF140" s="33" t="str">
        <f aca="false">IF(A140="","",COUNTIFS('Demo Pipeline'!$Q$5:$Q$504,A140,'Demo Pipeline'!$X$5:$X$504,"Yes"))</f>
        <v/>
      </c>
      <c r="BG140" s="33" t="str">
        <f aca="false">IF(A140="","",COUNTIFS('Demo Pipeline'!$Q$5:$Q$504,A140,'Demo Pipeline'!$Y$5:$Y$504,"Closed Won"))</f>
        <v/>
      </c>
      <c r="BH140" s="37" t="str">
        <f aca="false">IF(A140="","",SUMIFS('Demo Pipeline'!$Z$5:$Z$504,'Demo Pipeline'!$Q$5:$Q$504,A140))</f>
        <v/>
      </c>
      <c r="BI140" s="34" t="str">
        <f aca="false">IF(OR(AZ140="",N(AJ140)=0),"",AZ140/AJ140)</f>
        <v/>
      </c>
      <c r="BJ140" s="34" t="str">
        <f aca="false">IF(OR(BB140="",N(AZ140)=0),"",BB140/AZ140)</f>
        <v/>
      </c>
      <c r="BK140" s="34" t="str">
        <f aca="false">IF(OR(A140="",N(BB140)=0),"",BD140/BB140)</f>
        <v/>
      </c>
      <c r="BL140" s="34" t="str">
        <f aca="false">IF(OR(A140="",N(AZ140)=0),"",BD140/AZ140)</f>
        <v/>
      </c>
      <c r="BM140" s="37" t="str">
        <f aca="false">IF(OR(N(Q140)=0,N(BD140)=0),"",Q140/BD140)</f>
        <v/>
      </c>
      <c r="BN140" s="29"/>
      <c r="BO140" s="29"/>
      <c r="BP140" s="33" t="str">
        <f aca="false">IF(OR(AR140="",N(AO140)=0),"",AR140)</f>
        <v/>
      </c>
      <c r="BQ140" s="33" t="str">
        <f aca="false">IF(OR(AR140="",N(S140)=0),"",S140)</f>
        <v/>
      </c>
      <c r="BR140" s="38" t="str">
        <f aca="false">IF(AND(ISNUMBER(B140),B140&gt;=Dashboard!$C$4,B140&lt;=Dashboard!$F$4,ISNUMBER(AU140)),AU140+ROW()/10^9,"")</f>
        <v/>
      </c>
      <c r="BS140" s="38" t="str">
        <f aca="false">IF(AND(ISNUMBER(B140),B140&gt;=Dashboard!$C$4,B140&lt;=Dashboard!$F$4,A140&lt;&gt;""),N(BD140)+N(AU140)/100+ROW()/10^9,"")</f>
        <v/>
      </c>
    </row>
    <row r="141" customFormat="false" ht="15" hidden="false" customHeight="false" outlineLevel="0" collapsed="false">
      <c r="A141" s="24" t="str">
        <f aca="false">IF(OR(B141="",G141="",H141=""),"",IFERROR(INDEX(Settings!$E$5:$E$49,MATCH(G141,Settings!$D$5:$D$49,0))&amp;INDEX(Settings!$H$5:$H$47,MATCH(H141,Settings!$G$5:$G$47,0))&amp;"-"&amp;TEXT(B141,"yymmdd")&amp;"-"&amp;IF(C141="","0000",TEXT(C141,"hhmm")),"CHECK LISTS"))</f>
        <v/>
      </c>
      <c r="B141" s="39"/>
      <c r="C141" s="40"/>
      <c r="D141" s="24" t="str">
        <f aca="false">IF(B141="","",TEXT(B141,"ddd"))</f>
        <v/>
      </c>
      <c r="E141" s="27" t="str">
        <f aca="false">IF(B141="","",B141-WEEKDAY(B141,3))</f>
        <v/>
      </c>
      <c r="F141" s="24" t="str">
        <f aca="false">IF(B141="","",TEXT(B141,"yyyy-mm"))</f>
        <v/>
      </c>
      <c r="G141" s="29"/>
      <c r="H141" s="29"/>
      <c r="I141" s="29"/>
      <c r="J141" s="29"/>
      <c r="K141" s="29"/>
      <c r="L141" s="29"/>
      <c r="M141" s="29"/>
      <c r="N141" s="29"/>
      <c r="O141" s="29"/>
      <c r="P141" s="29"/>
      <c r="Q141" s="30"/>
      <c r="R141" s="29"/>
      <c r="S141" s="32"/>
      <c r="T141" s="29"/>
      <c r="U141" s="29"/>
      <c r="V141" s="24" t="str">
        <f aca="false">IF(A141="","",IFERROR(INDEX(Settings!$F$5:$F$49,MATCH(G141,Settings!$D$5:$D$49,0)),""))</f>
        <v/>
      </c>
      <c r="W141" s="24" t="str">
        <f aca="false">IF(A141="","",IF(OR(P141="",P141="Organic"),"social","paid_social"))</f>
        <v/>
      </c>
      <c r="X141" s="24" t="str">
        <f aca="false">IF(A141="","",IF(K141&lt;&gt;"",IFERROR(INDEX('Case Studies'!$C$5:$C$54,MATCH(K141,'Case Studies'!$B$5:$B$54,0))&amp;"","case-study"),IF(J141&lt;&gt;"",IFERROR(INDEX(Settings!$J$5:$J$55,MATCH(J141,Settings!$I$5:$I$55,0)),"general"),"general")))</f>
        <v/>
      </c>
      <c r="Y141" s="24" t="str">
        <f aca="false">IF(A141="","",LOWER(A141))</f>
        <v/>
      </c>
      <c r="Z141" s="24" t="str">
        <f aca="false">IF(A141="","",IF(T141="",Settings!$B$5,T141)&amp;IF(ISNUMBER(FIND("?",IF(T141="",Settings!$B$5,T141))),"&amp;","?")&amp;"utm_source="&amp;V141&amp;"&amp;utm_medium="&amp;W141&amp;"&amp;utm_campaign="&amp;X141&amp;"&amp;utm_content="&amp;Y141)</f>
        <v/>
      </c>
      <c r="AA141" s="29"/>
      <c r="AB141" s="39"/>
      <c r="AC141" s="32"/>
      <c r="AD141" s="32"/>
      <c r="AE141" s="32"/>
      <c r="AF141" s="32"/>
      <c r="AG141" s="32"/>
      <c r="AH141" s="32"/>
      <c r="AI141" s="32"/>
      <c r="AJ141" s="32"/>
      <c r="AK141" s="32"/>
      <c r="AL141" s="32"/>
      <c r="AM141" s="32"/>
      <c r="AN141" s="32"/>
      <c r="AO141" s="33" t="str">
        <f aca="false">IF(A141="","",IF(AD141&lt;&gt;"",AD141,IF(AC141&lt;&gt;"",AC141,"")))</f>
        <v/>
      </c>
      <c r="AP141" s="24" t="str">
        <f aca="false">IF(AO141="","",IF(AD141&lt;&gt;"","Reported reach","Impressions (proxy)"))</f>
        <v/>
      </c>
      <c r="AQ141" s="34" t="str">
        <f aca="false">IF(OR(AO141="",N(S141)=0),"",AO141/S141)</f>
        <v/>
      </c>
      <c r="AR141" s="33" t="str">
        <f aca="false">IF(A141="","",IF(COUNT(AF141:AJ141)=0,"",SUM(AF141:AJ141)))</f>
        <v/>
      </c>
      <c r="AS141" s="34" t="str">
        <f aca="false">IF(OR(AR141="",N(AO141)=0),"",AR141/AO141)</f>
        <v/>
      </c>
      <c r="AT141" s="34" t="str">
        <f aca="false">IF(OR(AR141="",N(AC141)=0),"",AR141/AC141)</f>
        <v/>
      </c>
      <c r="AU141" s="34" t="str">
        <f aca="false">IF(OR(AR141="",N(S141)=0),"",AR141/S141)</f>
        <v/>
      </c>
      <c r="AV141" s="34" t="str">
        <f aca="false">IF(OR(AJ141="",N(AC141)=0),"",AJ141/AC141)</f>
        <v/>
      </c>
      <c r="AW141" s="34" t="str">
        <f aca="false">IF(OR(AH141="",N(AO141)=0),"",AH141/AO141)</f>
        <v/>
      </c>
      <c r="AX141" s="35" t="str">
        <f aca="false">IF(OR(AR141="",N(AO141)=0),"",(N(AF141)*Settings!$B$6+N(AG141)*Settings!$B$7+N(AH141)*Settings!$B$8+N(AI141)*Settings!$B$9+N(AJ141)*Settings!$B$10)/AO141*1000)</f>
        <v/>
      </c>
      <c r="AY141" s="36" t="str">
        <f aca="false">IF(AS141="","",IFERROR(AS141/AVERAGEIFS('Post Tracker'!$AS$5:$AS$1004,'Post Tracker'!$G$5:$G$1004,G141),""))</f>
        <v/>
      </c>
      <c r="AZ141" s="32"/>
      <c r="BA141" s="32"/>
      <c r="BB141" s="32"/>
      <c r="BC141" s="32"/>
      <c r="BD141" s="33" t="str">
        <f aca="false">IF(A141="","",COUNTIFS('Demo Pipeline'!$Q$5:$Q$504,A141))</f>
        <v/>
      </c>
      <c r="BE141" s="33" t="str">
        <f aca="false">IF(A141="","",COUNTIFS('Demo Pipeline'!$Q$5:$Q$504,A141,'Demo Pipeline'!$W$5:$W$504,"Attended"))</f>
        <v/>
      </c>
      <c r="BF141" s="33" t="str">
        <f aca="false">IF(A141="","",COUNTIFS('Demo Pipeline'!$Q$5:$Q$504,A141,'Demo Pipeline'!$X$5:$X$504,"Yes"))</f>
        <v/>
      </c>
      <c r="BG141" s="33" t="str">
        <f aca="false">IF(A141="","",COUNTIFS('Demo Pipeline'!$Q$5:$Q$504,A141,'Demo Pipeline'!$Y$5:$Y$504,"Closed Won"))</f>
        <v/>
      </c>
      <c r="BH141" s="37" t="str">
        <f aca="false">IF(A141="","",SUMIFS('Demo Pipeline'!$Z$5:$Z$504,'Demo Pipeline'!$Q$5:$Q$504,A141))</f>
        <v/>
      </c>
      <c r="BI141" s="34" t="str">
        <f aca="false">IF(OR(AZ141="",N(AJ141)=0),"",AZ141/AJ141)</f>
        <v/>
      </c>
      <c r="BJ141" s="34" t="str">
        <f aca="false">IF(OR(BB141="",N(AZ141)=0),"",BB141/AZ141)</f>
        <v/>
      </c>
      <c r="BK141" s="34" t="str">
        <f aca="false">IF(OR(A141="",N(BB141)=0),"",BD141/BB141)</f>
        <v/>
      </c>
      <c r="BL141" s="34" t="str">
        <f aca="false">IF(OR(A141="",N(AZ141)=0),"",BD141/AZ141)</f>
        <v/>
      </c>
      <c r="BM141" s="37" t="str">
        <f aca="false">IF(OR(N(Q141)=0,N(BD141)=0),"",Q141/BD141)</f>
        <v/>
      </c>
      <c r="BN141" s="29"/>
      <c r="BO141" s="29"/>
      <c r="BP141" s="33" t="str">
        <f aca="false">IF(OR(AR141="",N(AO141)=0),"",AR141)</f>
        <v/>
      </c>
      <c r="BQ141" s="33" t="str">
        <f aca="false">IF(OR(AR141="",N(S141)=0),"",S141)</f>
        <v/>
      </c>
      <c r="BR141" s="38" t="str">
        <f aca="false">IF(AND(ISNUMBER(B141),B141&gt;=Dashboard!$C$4,B141&lt;=Dashboard!$F$4,ISNUMBER(AU141)),AU141+ROW()/10^9,"")</f>
        <v/>
      </c>
      <c r="BS141" s="38" t="str">
        <f aca="false">IF(AND(ISNUMBER(B141),B141&gt;=Dashboard!$C$4,B141&lt;=Dashboard!$F$4,A141&lt;&gt;""),N(BD141)+N(AU141)/100+ROW()/10^9,"")</f>
        <v/>
      </c>
    </row>
    <row r="142" customFormat="false" ht="15" hidden="false" customHeight="false" outlineLevel="0" collapsed="false">
      <c r="A142" s="24" t="str">
        <f aca="false">IF(OR(B142="",G142="",H142=""),"",IFERROR(INDEX(Settings!$E$5:$E$49,MATCH(G142,Settings!$D$5:$D$49,0))&amp;INDEX(Settings!$H$5:$H$47,MATCH(H142,Settings!$G$5:$G$47,0))&amp;"-"&amp;TEXT(B142,"yymmdd")&amp;"-"&amp;IF(C142="","0000",TEXT(C142,"hhmm")),"CHECK LISTS"))</f>
        <v/>
      </c>
      <c r="B142" s="39"/>
      <c r="C142" s="40"/>
      <c r="D142" s="24" t="str">
        <f aca="false">IF(B142="","",TEXT(B142,"ddd"))</f>
        <v/>
      </c>
      <c r="E142" s="27" t="str">
        <f aca="false">IF(B142="","",B142-WEEKDAY(B142,3))</f>
        <v/>
      </c>
      <c r="F142" s="24" t="str">
        <f aca="false">IF(B142="","",TEXT(B142,"yyyy-mm"))</f>
        <v/>
      </c>
      <c r="G142" s="29"/>
      <c r="H142" s="29"/>
      <c r="I142" s="29"/>
      <c r="J142" s="29"/>
      <c r="K142" s="29"/>
      <c r="L142" s="29"/>
      <c r="M142" s="29"/>
      <c r="N142" s="29"/>
      <c r="O142" s="29"/>
      <c r="P142" s="29"/>
      <c r="Q142" s="30"/>
      <c r="R142" s="29"/>
      <c r="S142" s="32"/>
      <c r="T142" s="29"/>
      <c r="U142" s="29"/>
      <c r="V142" s="24" t="str">
        <f aca="false">IF(A142="","",IFERROR(INDEX(Settings!$F$5:$F$49,MATCH(G142,Settings!$D$5:$D$49,0)),""))</f>
        <v/>
      </c>
      <c r="W142" s="24" t="str">
        <f aca="false">IF(A142="","",IF(OR(P142="",P142="Organic"),"social","paid_social"))</f>
        <v/>
      </c>
      <c r="X142" s="24" t="str">
        <f aca="false">IF(A142="","",IF(K142&lt;&gt;"",IFERROR(INDEX('Case Studies'!$C$5:$C$54,MATCH(K142,'Case Studies'!$B$5:$B$54,0))&amp;"","case-study"),IF(J142&lt;&gt;"",IFERROR(INDEX(Settings!$J$5:$J$55,MATCH(J142,Settings!$I$5:$I$55,0)),"general"),"general")))</f>
        <v/>
      </c>
      <c r="Y142" s="24" t="str">
        <f aca="false">IF(A142="","",LOWER(A142))</f>
        <v/>
      </c>
      <c r="Z142" s="24" t="str">
        <f aca="false">IF(A142="","",IF(T142="",Settings!$B$5,T142)&amp;IF(ISNUMBER(FIND("?",IF(T142="",Settings!$B$5,T142))),"&amp;","?")&amp;"utm_source="&amp;V142&amp;"&amp;utm_medium="&amp;W142&amp;"&amp;utm_campaign="&amp;X142&amp;"&amp;utm_content="&amp;Y142)</f>
        <v/>
      </c>
      <c r="AA142" s="29"/>
      <c r="AB142" s="39"/>
      <c r="AC142" s="32"/>
      <c r="AD142" s="32"/>
      <c r="AE142" s="32"/>
      <c r="AF142" s="32"/>
      <c r="AG142" s="32"/>
      <c r="AH142" s="32"/>
      <c r="AI142" s="32"/>
      <c r="AJ142" s="32"/>
      <c r="AK142" s="32"/>
      <c r="AL142" s="32"/>
      <c r="AM142" s="32"/>
      <c r="AN142" s="32"/>
      <c r="AO142" s="33" t="str">
        <f aca="false">IF(A142="","",IF(AD142&lt;&gt;"",AD142,IF(AC142&lt;&gt;"",AC142,"")))</f>
        <v/>
      </c>
      <c r="AP142" s="24" t="str">
        <f aca="false">IF(AO142="","",IF(AD142&lt;&gt;"","Reported reach","Impressions (proxy)"))</f>
        <v/>
      </c>
      <c r="AQ142" s="34" t="str">
        <f aca="false">IF(OR(AO142="",N(S142)=0),"",AO142/S142)</f>
        <v/>
      </c>
      <c r="AR142" s="33" t="str">
        <f aca="false">IF(A142="","",IF(COUNT(AF142:AJ142)=0,"",SUM(AF142:AJ142)))</f>
        <v/>
      </c>
      <c r="AS142" s="34" t="str">
        <f aca="false">IF(OR(AR142="",N(AO142)=0),"",AR142/AO142)</f>
        <v/>
      </c>
      <c r="AT142" s="34" t="str">
        <f aca="false">IF(OR(AR142="",N(AC142)=0),"",AR142/AC142)</f>
        <v/>
      </c>
      <c r="AU142" s="34" t="str">
        <f aca="false">IF(OR(AR142="",N(S142)=0),"",AR142/S142)</f>
        <v/>
      </c>
      <c r="AV142" s="34" t="str">
        <f aca="false">IF(OR(AJ142="",N(AC142)=0),"",AJ142/AC142)</f>
        <v/>
      </c>
      <c r="AW142" s="34" t="str">
        <f aca="false">IF(OR(AH142="",N(AO142)=0),"",AH142/AO142)</f>
        <v/>
      </c>
      <c r="AX142" s="35" t="str">
        <f aca="false">IF(OR(AR142="",N(AO142)=0),"",(N(AF142)*Settings!$B$6+N(AG142)*Settings!$B$7+N(AH142)*Settings!$B$8+N(AI142)*Settings!$B$9+N(AJ142)*Settings!$B$10)/AO142*1000)</f>
        <v/>
      </c>
      <c r="AY142" s="36" t="str">
        <f aca="false">IF(AS142="","",IFERROR(AS142/AVERAGEIFS('Post Tracker'!$AS$5:$AS$1004,'Post Tracker'!$G$5:$G$1004,G142),""))</f>
        <v/>
      </c>
      <c r="AZ142" s="32"/>
      <c r="BA142" s="32"/>
      <c r="BB142" s="32"/>
      <c r="BC142" s="32"/>
      <c r="BD142" s="33" t="str">
        <f aca="false">IF(A142="","",COUNTIFS('Demo Pipeline'!$Q$5:$Q$504,A142))</f>
        <v/>
      </c>
      <c r="BE142" s="33" t="str">
        <f aca="false">IF(A142="","",COUNTIFS('Demo Pipeline'!$Q$5:$Q$504,A142,'Demo Pipeline'!$W$5:$W$504,"Attended"))</f>
        <v/>
      </c>
      <c r="BF142" s="33" t="str">
        <f aca="false">IF(A142="","",COUNTIFS('Demo Pipeline'!$Q$5:$Q$504,A142,'Demo Pipeline'!$X$5:$X$504,"Yes"))</f>
        <v/>
      </c>
      <c r="BG142" s="33" t="str">
        <f aca="false">IF(A142="","",COUNTIFS('Demo Pipeline'!$Q$5:$Q$504,A142,'Demo Pipeline'!$Y$5:$Y$504,"Closed Won"))</f>
        <v/>
      </c>
      <c r="BH142" s="37" t="str">
        <f aca="false">IF(A142="","",SUMIFS('Demo Pipeline'!$Z$5:$Z$504,'Demo Pipeline'!$Q$5:$Q$504,A142))</f>
        <v/>
      </c>
      <c r="BI142" s="34" t="str">
        <f aca="false">IF(OR(AZ142="",N(AJ142)=0),"",AZ142/AJ142)</f>
        <v/>
      </c>
      <c r="BJ142" s="34" t="str">
        <f aca="false">IF(OR(BB142="",N(AZ142)=0),"",BB142/AZ142)</f>
        <v/>
      </c>
      <c r="BK142" s="34" t="str">
        <f aca="false">IF(OR(A142="",N(BB142)=0),"",BD142/BB142)</f>
        <v/>
      </c>
      <c r="BL142" s="34" t="str">
        <f aca="false">IF(OR(A142="",N(AZ142)=0),"",BD142/AZ142)</f>
        <v/>
      </c>
      <c r="BM142" s="37" t="str">
        <f aca="false">IF(OR(N(Q142)=0,N(BD142)=0),"",Q142/BD142)</f>
        <v/>
      </c>
      <c r="BN142" s="29"/>
      <c r="BO142" s="29"/>
      <c r="BP142" s="33" t="str">
        <f aca="false">IF(OR(AR142="",N(AO142)=0),"",AR142)</f>
        <v/>
      </c>
      <c r="BQ142" s="33" t="str">
        <f aca="false">IF(OR(AR142="",N(S142)=0),"",S142)</f>
        <v/>
      </c>
      <c r="BR142" s="38" t="str">
        <f aca="false">IF(AND(ISNUMBER(B142),B142&gt;=Dashboard!$C$4,B142&lt;=Dashboard!$F$4,ISNUMBER(AU142)),AU142+ROW()/10^9,"")</f>
        <v/>
      </c>
      <c r="BS142" s="38" t="str">
        <f aca="false">IF(AND(ISNUMBER(B142),B142&gt;=Dashboard!$C$4,B142&lt;=Dashboard!$F$4,A142&lt;&gt;""),N(BD142)+N(AU142)/100+ROW()/10^9,"")</f>
        <v/>
      </c>
    </row>
    <row r="143" customFormat="false" ht="15" hidden="false" customHeight="false" outlineLevel="0" collapsed="false">
      <c r="A143" s="24" t="str">
        <f aca="false">IF(OR(B143="",G143="",H143=""),"",IFERROR(INDEX(Settings!$E$5:$E$49,MATCH(G143,Settings!$D$5:$D$49,0))&amp;INDEX(Settings!$H$5:$H$47,MATCH(H143,Settings!$G$5:$G$47,0))&amp;"-"&amp;TEXT(B143,"yymmdd")&amp;"-"&amp;IF(C143="","0000",TEXT(C143,"hhmm")),"CHECK LISTS"))</f>
        <v/>
      </c>
      <c r="B143" s="39"/>
      <c r="C143" s="40"/>
      <c r="D143" s="24" t="str">
        <f aca="false">IF(B143="","",TEXT(B143,"ddd"))</f>
        <v/>
      </c>
      <c r="E143" s="27" t="str">
        <f aca="false">IF(B143="","",B143-WEEKDAY(B143,3))</f>
        <v/>
      </c>
      <c r="F143" s="24" t="str">
        <f aca="false">IF(B143="","",TEXT(B143,"yyyy-mm"))</f>
        <v/>
      </c>
      <c r="G143" s="29"/>
      <c r="H143" s="29"/>
      <c r="I143" s="29"/>
      <c r="J143" s="29"/>
      <c r="K143" s="29"/>
      <c r="L143" s="29"/>
      <c r="M143" s="29"/>
      <c r="N143" s="29"/>
      <c r="O143" s="29"/>
      <c r="P143" s="29"/>
      <c r="Q143" s="30"/>
      <c r="R143" s="29"/>
      <c r="S143" s="32"/>
      <c r="T143" s="29"/>
      <c r="U143" s="29"/>
      <c r="V143" s="24" t="str">
        <f aca="false">IF(A143="","",IFERROR(INDEX(Settings!$F$5:$F$49,MATCH(G143,Settings!$D$5:$D$49,0)),""))</f>
        <v/>
      </c>
      <c r="W143" s="24" t="str">
        <f aca="false">IF(A143="","",IF(OR(P143="",P143="Organic"),"social","paid_social"))</f>
        <v/>
      </c>
      <c r="X143" s="24" t="str">
        <f aca="false">IF(A143="","",IF(K143&lt;&gt;"",IFERROR(INDEX('Case Studies'!$C$5:$C$54,MATCH(K143,'Case Studies'!$B$5:$B$54,0))&amp;"","case-study"),IF(J143&lt;&gt;"",IFERROR(INDEX(Settings!$J$5:$J$55,MATCH(J143,Settings!$I$5:$I$55,0)),"general"),"general")))</f>
        <v/>
      </c>
      <c r="Y143" s="24" t="str">
        <f aca="false">IF(A143="","",LOWER(A143))</f>
        <v/>
      </c>
      <c r="Z143" s="24" t="str">
        <f aca="false">IF(A143="","",IF(T143="",Settings!$B$5,T143)&amp;IF(ISNUMBER(FIND("?",IF(T143="",Settings!$B$5,T143))),"&amp;","?")&amp;"utm_source="&amp;V143&amp;"&amp;utm_medium="&amp;W143&amp;"&amp;utm_campaign="&amp;X143&amp;"&amp;utm_content="&amp;Y143)</f>
        <v/>
      </c>
      <c r="AA143" s="29"/>
      <c r="AB143" s="39"/>
      <c r="AC143" s="32"/>
      <c r="AD143" s="32"/>
      <c r="AE143" s="32"/>
      <c r="AF143" s="32"/>
      <c r="AG143" s="32"/>
      <c r="AH143" s="32"/>
      <c r="AI143" s="32"/>
      <c r="AJ143" s="32"/>
      <c r="AK143" s="32"/>
      <c r="AL143" s="32"/>
      <c r="AM143" s="32"/>
      <c r="AN143" s="32"/>
      <c r="AO143" s="33" t="str">
        <f aca="false">IF(A143="","",IF(AD143&lt;&gt;"",AD143,IF(AC143&lt;&gt;"",AC143,"")))</f>
        <v/>
      </c>
      <c r="AP143" s="24" t="str">
        <f aca="false">IF(AO143="","",IF(AD143&lt;&gt;"","Reported reach","Impressions (proxy)"))</f>
        <v/>
      </c>
      <c r="AQ143" s="34" t="str">
        <f aca="false">IF(OR(AO143="",N(S143)=0),"",AO143/S143)</f>
        <v/>
      </c>
      <c r="AR143" s="33" t="str">
        <f aca="false">IF(A143="","",IF(COUNT(AF143:AJ143)=0,"",SUM(AF143:AJ143)))</f>
        <v/>
      </c>
      <c r="AS143" s="34" t="str">
        <f aca="false">IF(OR(AR143="",N(AO143)=0),"",AR143/AO143)</f>
        <v/>
      </c>
      <c r="AT143" s="34" t="str">
        <f aca="false">IF(OR(AR143="",N(AC143)=0),"",AR143/AC143)</f>
        <v/>
      </c>
      <c r="AU143" s="34" t="str">
        <f aca="false">IF(OR(AR143="",N(S143)=0),"",AR143/S143)</f>
        <v/>
      </c>
      <c r="AV143" s="34" t="str">
        <f aca="false">IF(OR(AJ143="",N(AC143)=0),"",AJ143/AC143)</f>
        <v/>
      </c>
      <c r="AW143" s="34" t="str">
        <f aca="false">IF(OR(AH143="",N(AO143)=0),"",AH143/AO143)</f>
        <v/>
      </c>
      <c r="AX143" s="35" t="str">
        <f aca="false">IF(OR(AR143="",N(AO143)=0),"",(N(AF143)*Settings!$B$6+N(AG143)*Settings!$B$7+N(AH143)*Settings!$B$8+N(AI143)*Settings!$B$9+N(AJ143)*Settings!$B$10)/AO143*1000)</f>
        <v/>
      </c>
      <c r="AY143" s="36" t="str">
        <f aca="false">IF(AS143="","",IFERROR(AS143/AVERAGEIFS('Post Tracker'!$AS$5:$AS$1004,'Post Tracker'!$G$5:$G$1004,G143),""))</f>
        <v/>
      </c>
      <c r="AZ143" s="32"/>
      <c r="BA143" s="32"/>
      <c r="BB143" s="32"/>
      <c r="BC143" s="32"/>
      <c r="BD143" s="33" t="str">
        <f aca="false">IF(A143="","",COUNTIFS('Demo Pipeline'!$Q$5:$Q$504,A143))</f>
        <v/>
      </c>
      <c r="BE143" s="33" t="str">
        <f aca="false">IF(A143="","",COUNTIFS('Demo Pipeline'!$Q$5:$Q$504,A143,'Demo Pipeline'!$W$5:$W$504,"Attended"))</f>
        <v/>
      </c>
      <c r="BF143" s="33" t="str">
        <f aca="false">IF(A143="","",COUNTIFS('Demo Pipeline'!$Q$5:$Q$504,A143,'Demo Pipeline'!$X$5:$X$504,"Yes"))</f>
        <v/>
      </c>
      <c r="BG143" s="33" t="str">
        <f aca="false">IF(A143="","",COUNTIFS('Demo Pipeline'!$Q$5:$Q$504,A143,'Demo Pipeline'!$Y$5:$Y$504,"Closed Won"))</f>
        <v/>
      </c>
      <c r="BH143" s="37" t="str">
        <f aca="false">IF(A143="","",SUMIFS('Demo Pipeline'!$Z$5:$Z$504,'Demo Pipeline'!$Q$5:$Q$504,A143))</f>
        <v/>
      </c>
      <c r="BI143" s="34" t="str">
        <f aca="false">IF(OR(AZ143="",N(AJ143)=0),"",AZ143/AJ143)</f>
        <v/>
      </c>
      <c r="BJ143" s="34" t="str">
        <f aca="false">IF(OR(BB143="",N(AZ143)=0),"",BB143/AZ143)</f>
        <v/>
      </c>
      <c r="BK143" s="34" t="str">
        <f aca="false">IF(OR(A143="",N(BB143)=0),"",BD143/BB143)</f>
        <v/>
      </c>
      <c r="BL143" s="34" t="str">
        <f aca="false">IF(OR(A143="",N(AZ143)=0),"",BD143/AZ143)</f>
        <v/>
      </c>
      <c r="BM143" s="37" t="str">
        <f aca="false">IF(OR(N(Q143)=0,N(BD143)=0),"",Q143/BD143)</f>
        <v/>
      </c>
      <c r="BN143" s="29"/>
      <c r="BO143" s="29"/>
      <c r="BP143" s="33" t="str">
        <f aca="false">IF(OR(AR143="",N(AO143)=0),"",AR143)</f>
        <v/>
      </c>
      <c r="BQ143" s="33" t="str">
        <f aca="false">IF(OR(AR143="",N(S143)=0),"",S143)</f>
        <v/>
      </c>
      <c r="BR143" s="38" t="str">
        <f aca="false">IF(AND(ISNUMBER(B143),B143&gt;=Dashboard!$C$4,B143&lt;=Dashboard!$F$4,ISNUMBER(AU143)),AU143+ROW()/10^9,"")</f>
        <v/>
      </c>
      <c r="BS143" s="38" t="str">
        <f aca="false">IF(AND(ISNUMBER(B143),B143&gt;=Dashboard!$C$4,B143&lt;=Dashboard!$F$4,A143&lt;&gt;""),N(BD143)+N(AU143)/100+ROW()/10^9,"")</f>
        <v/>
      </c>
    </row>
    <row r="144" customFormat="false" ht="15" hidden="false" customHeight="false" outlineLevel="0" collapsed="false">
      <c r="A144" s="24" t="str">
        <f aca="false">IF(OR(B144="",G144="",H144=""),"",IFERROR(INDEX(Settings!$E$5:$E$49,MATCH(G144,Settings!$D$5:$D$49,0))&amp;INDEX(Settings!$H$5:$H$47,MATCH(H144,Settings!$G$5:$G$47,0))&amp;"-"&amp;TEXT(B144,"yymmdd")&amp;"-"&amp;IF(C144="","0000",TEXT(C144,"hhmm")),"CHECK LISTS"))</f>
        <v/>
      </c>
      <c r="B144" s="39"/>
      <c r="C144" s="40"/>
      <c r="D144" s="24" t="str">
        <f aca="false">IF(B144="","",TEXT(B144,"ddd"))</f>
        <v/>
      </c>
      <c r="E144" s="27" t="str">
        <f aca="false">IF(B144="","",B144-WEEKDAY(B144,3))</f>
        <v/>
      </c>
      <c r="F144" s="24" t="str">
        <f aca="false">IF(B144="","",TEXT(B144,"yyyy-mm"))</f>
        <v/>
      </c>
      <c r="G144" s="29"/>
      <c r="H144" s="29"/>
      <c r="I144" s="29"/>
      <c r="J144" s="29"/>
      <c r="K144" s="29"/>
      <c r="L144" s="29"/>
      <c r="M144" s="29"/>
      <c r="N144" s="29"/>
      <c r="O144" s="29"/>
      <c r="P144" s="29"/>
      <c r="Q144" s="30"/>
      <c r="R144" s="29"/>
      <c r="S144" s="32"/>
      <c r="T144" s="29"/>
      <c r="U144" s="29"/>
      <c r="V144" s="24" t="str">
        <f aca="false">IF(A144="","",IFERROR(INDEX(Settings!$F$5:$F$49,MATCH(G144,Settings!$D$5:$D$49,0)),""))</f>
        <v/>
      </c>
      <c r="W144" s="24" t="str">
        <f aca="false">IF(A144="","",IF(OR(P144="",P144="Organic"),"social","paid_social"))</f>
        <v/>
      </c>
      <c r="X144" s="24" t="str">
        <f aca="false">IF(A144="","",IF(K144&lt;&gt;"",IFERROR(INDEX('Case Studies'!$C$5:$C$54,MATCH(K144,'Case Studies'!$B$5:$B$54,0))&amp;"","case-study"),IF(J144&lt;&gt;"",IFERROR(INDEX(Settings!$J$5:$J$55,MATCH(J144,Settings!$I$5:$I$55,0)),"general"),"general")))</f>
        <v/>
      </c>
      <c r="Y144" s="24" t="str">
        <f aca="false">IF(A144="","",LOWER(A144))</f>
        <v/>
      </c>
      <c r="Z144" s="24" t="str">
        <f aca="false">IF(A144="","",IF(T144="",Settings!$B$5,T144)&amp;IF(ISNUMBER(FIND("?",IF(T144="",Settings!$B$5,T144))),"&amp;","?")&amp;"utm_source="&amp;V144&amp;"&amp;utm_medium="&amp;W144&amp;"&amp;utm_campaign="&amp;X144&amp;"&amp;utm_content="&amp;Y144)</f>
        <v/>
      </c>
      <c r="AA144" s="29"/>
      <c r="AB144" s="39"/>
      <c r="AC144" s="32"/>
      <c r="AD144" s="32"/>
      <c r="AE144" s="32"/>
      <c r="AF144" s="32"/>
      <c r="AG144" s="32"/>
      <c r="AH144" s="32"/>
      <c r="AI144" s="32"/>
      <c r="AJ144" s="32"/>
      <c r="AK144" s="32"/>
      <c r="AL144" s="32"/>
      <c r="AM144" s="32"/>
      <c r="AN144" s="32"/>
      <c r="AO144" s="33" t="str">
        <f aca="false">IF(A144="","",IF(AD144&lt;&gt;"",AD144,IF(AC144&lt;&gt;"",AC144,"")))</f>
        <v/>
      </c>
      <c r="AP144" s="24" t="str">
        <f aca="false">IF(AO144="","",IF(AD144&lt;&gt;"","Reported reach","Impressions (proxy)"))</f>
        <v/>
      </c>
      <c r="AQ144" s="34" t="str">
        <f aca="false">IF(OR(AO144="",N(S144)=0),"",AO144/S144)</f>
        <v/>
      </c>
      <c r="AR144" s="33" t="str">
        <f aca="false">IF(A144="","",IF(COUNT(AF144:AJ144)=0,"",SUM(AF144:AJ144)))</f>
        <v/>
      </c>
      <c r="AS144" s="34" t="str">
        <f aca="false">IF(OR(AR144="",N(AO144)=0),"",AR144/AO144)</f>
        <v/>
      </c>
      <c r="AT144" s="34" t="str">
        <f aca="false">IF(OR(AR144="",N(AC144)=0),"",AR144/AC144)</f>
        <v/>
      </c>
      <c r="AU144" s="34" t="str">
        <f aca="false">IF(OR(AR144="",N(S144)=0),"",AR144/S144)</f>
        <v/>
      </c>
      <c r="AV144" s="34" t="str">
        <f aca="false">IF(OR(AJ144="",N(AC144)=0),"",AJ144/AC144)</f>
        <v/>
      </c>
      <c r="AW144" s="34" t="str">
        <f aca="false">IF(OR(AH144="",N(AO144)=0),"",AH144/AO144)</f>
        <v/>
      </c>
      <c r="AX144" s="35" t="str">
        <f aca="false">IF(OR(AR144="",N(AO144)=0),"",(N(AF144)*Settings!$B$6+N(AG144)*Settings!$B$7+N(AH144)*Settings!$B$8+N(AI144)*Settings!$B$9+N(AJ144)*Settings!$B$10)/AO144*1000)</f>
        <v/>
      </c>
      <c r="AY144" s="36" t="str">
        <f aca="false">IF(AS144="","",IFERROR(AS144/AVERAGEIFS('Post Tracker'!$AS$5:$AS$1004,'Post Tracker'!$G$5:$G$1004,G144),""))</f>
        <v/>
      </c>
      <c r="AZ144" s="32"/>
      <c r="BA144" s="32"/>
      <c r="BB144" s="32"/>
      <c r="BC144" s="32"/>
      <c r="BD144" s="33" t="str">
        <f aca="false">IF(A144="","",COUNTIFS('Demo Pipeline'!$Q$5:$Q$504,A144))</f>
        <v/>
      </c>
      <c r="BE144" s="33" t="str">
        <f aca="false">IF(A144="","",COUNTIFS('Demo Pipeline'!$Q$5:$Q$504,A144,'Demo Pipeline'!$W$5:$W$504,"Attended"))</f>
        <v/>
      </c>
      <c r="BF144" s="33" t="str">
        <f aca="false">IF(A144="","",COUNTIFS('Demo Pipeline'!$Q$5:$Q$504,A144,'Demo Pipeline'!$X$5:$X$504,"Yes"))</f>
        <v/>
      </c>
      <c r="BG144" s="33" t="str">
        <f aca="false">IF(A144="","",COUNTIFS('Demo Pipeline'!$Q$5:$Q$504,A144,'Demo Pipeline'!$Y$5:$Y$504,"Closed Won"))</f>
        <v/>
      </c>
      <c r="BH144" s="37" t="str">
        <f aca="false">IF(A144="","",SUMIFS('Demo Pipeline'!$Z$5:$Z$504,'Demo Pipeline'!$Q$5:$Q$504,A144))</f>
        <v/>
      </c>
      <c r="BI144" s="34" t="str">
        <f aca="false">IF(OR(AZ144="",N(AJ144)=0),"",AZ144/AJ144)</f>
        <v/>
      </c>
      <c r="BJ144" s="34" t="str">
        <f aca="false">IF(OR(BB144="",N(AZ144)=0),"",BB144/AZ144)</f>
        <v/>
      </c>
      <c r="BK144" s="34" t="str">
        <f aca="false">IF(OR(A144="",N(BB144)=0),"",BD144/BB144)</f>
        <v/>
      </c>
      <c r="BL144" s="34" t="str">
        <f aca="false">IF(OR(A144="",N(AZ144)=0),"",BD144/AZ144)</f>
        <v/>
      </c>
      <c r="BM144" s="37" t="str">
        <f aca="false">IF(OR(N(Q144)=0,N(BD144)=0),"",Q144/BD144)</f>
        <v/>
      </c>
      <c r="BN144" s="29"/>
      <c r="BO144" s="29"/>
      <c r="BP144" s="33" t="str">
        <f aca="false">IF(OR(AR144="",N(AO144)=0),"",AR144)</f>
        <v/>
      </c>
      <c r="BQ144" s="33" t="str">
        <f aca="false">IF(OR(AR144="",N(S144)=0),"",S144)</f>
        <v/>
      </c>
      <c r="BR144" s="38" t="str">
        <f aca="false">IF(AND(ISNUMBER(B144),B144&gt;=Dashboard!$C$4,B144&lt;=Dashboard!$F$4,ISNUMBER(AU144)),AU144+ROW()/10^9,"")</f>
        <v/>
      </c>
      <c r="BS144" s="38" t="str">
        <f aca="false">IF(AND(ISNUMBER(B144),B144&gt;=Dashboard!$C$4,B144&lt;=Dashboard!$F$4,A144&lt;&gt;""),N(BD144)+N(AU144)/100+ROW()/10^9,"")</f>
        <v/>
      </c>
    </row>
    <row r="145" customFormat="false" ht="15" hidden="false" customHeight="false" outlineLevel="0" collapsed="false">
      <c r="A145" s="24" t="str">
        <f aca="false">IF(OR(B145="",G145="",H145=""),"",IFERROR(INDEX(Settings!$E$5:$E$49,MATCH(G145,Settings!$D$5:$D$49,0))&amp;INDEX(Settings!$H$5:$H$47,MATCH(H145,Settings!$G$5:$G$47,0))&amp;"-"&amp;TEXT(B145,"yymmdd")&amp;"-"&amp;IF(C145="","0000",TEXT(C145,"hhmm")),"CHECK LISTS"))</f>
        <v/>
      </c>
      <c r="B145" s="39"/>
      <c r="C145" s="40"/>
      <c r="D145" s="24" t="str">
        <f aca="false">IF(B145="","",TEXT(B145,"ddd"))</f>
        <v/>
      </c>
      <c r="E145" s="27" t="str">
        <f aca="false">IF(B145="","",B145-WEEKDAY(B145,3))</f>
        <v/>
      </c>
      <c r="F145" s="24" t="str">
        <f aca="false">IF(B145="","",TEXT(B145,"yyyy-mm"))</f>
        <v/>
      </c>
      <c r="G145" s="29"/>
      <c r="H145" s="29"/>
      <c r="I145" s="29"/>
      <c r="J145" s="29"/>
      <c r="K145" s="29"/>
      <c r="L145" s="29"/>
      <c r="M145" s="29"/>
      <c r="N145" s="29"/>
      <c r="O145" s="29"/>
      <c r="P145" s="29"/>
      <c r="Q145" s="30"/>
      <c r="R145" s="29"/>
      <c r="S145" s="32"/>
      <c r="T145" s="29"/>
      <c r="U145" s="29"/>
      <c r="V145" s="24" t="str">
        <f aca="false">IF(A145="","",IFERROR(INDEX(Settings!$F$5:$F$49,MATCH(G145,Settings!$D$5:$D$49,0)),""))</f>
        <v/>
      </c>
      <c r="W145" s="24" t="str">
        <f aca="false">IF(A145="","",IF(OR(P145="",P145="Organic"),"social","paid_social"))</f>
        <v/>
      </c>
      <c r="X145" s="24" t="str">
        <f aca="false">IF(A145="","",IF(K145&lt;&gt;"",IFERROR(INDEX('Case Studies'!$C$5:$C$54,MATCH(K145,'Case Studies'!$B$5:$B$54,0))&amp;"","case-study"),IF(J145&lt;&gt;"",IFERROR(INDEX(Settings!$J$5:$J$55,MATCH(J145,Settings!$I$5:$I$55,0)),"general"),"general")))</f>
        <v/>
      </c>
      <c r="Y145" s="24" t="str">
        <f aca="false">IF(A145="","",LOWER(A145))</f>
        <v/>
      </c>
      <c r="Z145" s="24" t="str">
        <f aca="false">IF(A145="","",IF(T145="",Settings!$B$5,T145)&amp;IF(ISNUMBER(FIND("?",IF(T145="",Settings!$B$5,T145))),"&amp;","?")&amp;"utm_source="&amp;V145&amp;"&amp;utm_medium="&amp;W145&amp;"&amp;utm_campaign="&amp;X145&amp;"&amp;utm_content="&amp;Y145)</f>
        <v/>
      </c>
      <c r="AA145" s="29"/>
      <c r="AB145" s="39"/>
      <c r="AC145" s="32"/>
      <c r="AD145" s="32"/>
      <c r="AE145" s="32"/>
      <c r="AF145" s="32"/>
      <c r="AG145" s="32"/>
      <c r="AH145" s="32"/>
      <c r="AI145" s="32"/>
      <c r="AJ145" s="32"/>
      <c r="AK145" s="32"/>
      <c r="AL145" s="32"/>
      <c r="AM145" s="32"/>
      <c r="AN145" s="32"/>
      <c r="AO145" s="33" t="str">
        <f aca="false">IF(A145="","",IF(AD145&lt;&gt;"",AD145,IF(AC145&lt;&gt;"",AC145,"")))</f>
        <v/>
      </c>
      <c r="AP145" s="24" t="str">
        <f aca="false">IF(AO145="","",IF(AD145&lt;&gt;"","Reported reach","Impressions (proxy)"))</f>
        <v/>
      </c>
      <c r="AQ145" s="34" t="str">
        <f aca="false">IF(OR(AO145="",N(S145)=0),"",AO145/S145)</f>
        <v/>
      </c>
      <c r="AR145" s="33" t="str">
        <f aca="false">IF(A145="","",IF(COUNT(AF145:AJ145)=0,"",SUM(AF145:AJ145)))</f>
        <v/>
      </c>
      <c r="AS145" s="34" t="str">
        <f aca="false">IF(OR(AR145="",N(AO145)=0),"",AR145/AO145)</f>
        <v/>
      </c>
      <c r="AT145" s="34" t="str">
        <f aca="false">IF(OR(AR145="",N(AC145)=0),"",AR145/AC145)</f>
        <v/>
      </c>
      <c r="AU145" s="34" t="str">
        <f aca="false">IF(OR(AR145="",N(S145)=0),"",AR145/S145)</f>
        <v/>
      </c>
      <c r="AV145" s="34" t="str">
        <f aca="false">IF(OR(AJ145="",N(AC145)=0),"",AJ145/AC145)</f>
        <v/>
      </c>
      <c r="AW145" s="34" t="str">
        <f aca="false">IF(OR(AH145="",N(AO145)=0),"",AH145/AO145)</f>
        <v/>
      </c>
      <c r="AX145" s="35" t="str">
        <f aca="false">IF(OR(AR145="",N(AO145)=0),"",(N(AF145)*Settings!$B$6+N(AG145)*Settings!$B$7+N(AH145)*Settings!$B$8+N(AI145)*Settings!$B$9+N(AJ145)*Settings!$B$10)/AO145*1000)</f>
        <v/>
      </c>
      <c r="AY145" s="36" t="str">
        <f aca="false">IF(AS145="","",IFERROR(AS145/AVERAGEIFS('Post Tracker'!$AS$5:$AS$1004,'Post Tracker'!$G$5:$G$1004,G145),""))</f>
        <v/>
      </c>
      <c r="AZ145" s="32"/>
      <c r="BA145" s="32"/>
      <c r="BB145" s="32"/>
      <c r="BC145" s="32"/>
      <c r="BD145" s="33" t="str">
        <f aca="false">IF(A145="","",COUNTIFS('Demo Pipeline'!$Q$5:$Q$504,A145))</f>
        <v/>
      </c>
      <c r="BE145" s="33" t="str">
        <f aca="false">IF(A145="","",COUNTIFS('Demo Pipeline'!$Q$5:$Q$504,A145,'Demo Pipeline'!$W$5:$W$504,"Attended"))</f>
        <v/>
      </c>
      <c r="BF145" s="33" t="str">
        <f aca="false">IF(A145="","",COUNTIFS('Demo Pipeline'!$Q$5:$Q$504,A145,'Demo Pipeline'!$X$5:$X$504,"Yes"))</f>
        <v/>
      </c>
      <c r="BG145" s="33" t="str">
        <f aca="false">IF(A145="","",COUNTIFS('Demo Pipeline'!$Q$5:$Q$504,A145,'Demo Pipeline'!$Y$5:$Y$504,"Closed Won"))</f>
        <v/>
      </c>
      <c r="BH145" s="37" t="str">
        <f aca="false">IF(A145="","",SUMIFS('Demo Pipeline'!$Z$5:$Z$504,'Demo Pipeline'!$Q$5:$Q$504,A145))</f>
        <v/>
      </c>
      <c r="BI145" s="34" t="str">
        <f aca="false">IF(OR(AZ145="",N(AJ145)=0),"",AZ145/AJ145)</f>
        <v/>
      </c>
      <c r="BJ145" s="34" t="str">
        <f aca="false">IF(OR(BB145="",N(AZ145)=0),"",BB145/AZ145)</f>
        <v/>
      </c>
      <c r="BK145" s="34" t="str">
        <f aca="false">IF(OR(A145="",N(BB145)=0),"",BD145/BB145)</f>
        <v/>
      </c>
      <c r="BL145" s="34" t="str">
        <f aca="false">IF(OR(A145="",N(AZ145)=0),"",BD145/AZ145)</f>
        <v/>
      </c>
      <c r="BM145" s="37" t="str">
        <f aca="false">IF(OR(N(Q145)=0,N(BD145)=0),"",Q145/BD145)</f>
        <v/>
      </c>
      <c r="BN145" s="29"/>
      <c r="BO145" s="29"/>
      <c r="BP145" s="33" t="str">
        <f aca="false">IF(OR(AR145="",N(AO145)=0),"",AR145)</f>
        <v/>
      </c>
      <c r="BQ145" s="33" t="str">
        <f aca="false">IF(OR(AR145="",N(S145)=0),"",S145)</f>
        <v/>
      </c>
      <c r="BR145" s="38" t="str">
        <f aca="false">IF(AND(ISNUMBER(B145),B145&gt;=Dashboard!$C$4,B145&lt;=Dashboard!$F$4,ISNUMBER(AU145)),AU145+ROW()/10^9,"")</f>
        <v/>
      </c>
      <c r="BS145" s="38" t="str">
        <f aca="false">IF(AND(ISNUMBER(B145),B145&gt;=Dashboard!$C$4,B145&lt;=Dashboard!$F$4,A145&lt;&gt;""),N(BD145)+N(AU145)/100+ROW()/10^9,"")</f>
        <v/>
      </c>
    </row>
    <row r="146" customFormat="false" ht="15" hidden="false" customHeight="false" outlineLevel="0" collapsed="false">
      <c r="A146" s="24" t="str">
        <f aca="false">IF(OR(B146="",G146="",H146=""),"",IFERROR(INDEX(Settings!$E$5:$E$49,MATCH(G146,Settings!$D$5:$D$49,0))&amp;INDEX(Settings!$H$5:$H$47,MATCH(H146,Settings!$G$5:$G$47,0))&amp;"-"&amp;TEXT(B146,"yymmdd")&amp;"-"&amp;IF(C146="","0000",TEXT(C146,"hhmm")),"CHECK LISTS"))</f>
        <v/>
      </c>
      <c r="B146" s="39"/>
      <c r="C146" s="40"/>
      <c r="D146" s="24" t="str">
        <f aca="false">IF(B146="","",TEXT(B146,"ddd"))</f>
        <v/>
      </c>
      <c r="E146" s="27" t="str">
        <f aca="false">IF(B146="","",B146-WEEKDAY(B146,3))</f>
        <v/>
      </c>
      <c r="F146" s="24" t="str">
        <f aca="false">IF(B146="","",TEXT(B146,"yyyy-mm"))</f>
        <v/>
      </c>
      <c r="G146" s="29"/>
      <c r="H146" s="29"/>
      <c r="I146" s="29"/>
      <c r="J146" s="29"/>
      <c r="K146" s="29"/>
      <c r="L146" s="29"/>
      <c r="M146" s="29"/>
      <c r="N146" s="29"/>
      <c r="O146" s="29"/>
      <c r="P146" s="29"/>
      <c r="Q146" s="30"/>
      <c r="R146" s="29"/>
      <c r="S146" s="32"/>
      <c r="T146" s="29"/>
      <c r="U146" s="29"/>
      <c r="V146" s="24" t="str">
        <f aca="false">IF(A146="","",IFERROR(INDEX(Settings!$F$5:$F$49,MATCH(G146,Settings!$D$5:$D$49,0)),""))</f>
        <v/>
      </c>
      <c r="W146" s="24" t="str">
        <f aca="false">IF(A146="","",IF(OR(P146="",P146="Organic"),"social","paid_social"))</f>
        <v/>
      </c>
      <c r="X146" s="24" t="str">
        <f aca="false">IF(A146="","",IF(K146&lt;&gt;"",IFERROR(INDEX('Case Studies'!$C$5:$C$54,MATCH(K146,'Case Studies'!$B$5:$B$54,0))&amp;"","case-study"),IF(J146&lt;&gt;"",IFERROR(INDEX(Settings!$J$5:$J$55,MATCH(J146,Settings!$I$5:$I$55,0)),"general"),"general")))</f>
        <v/>
      </c>
      <c r="Y146" s="24" t="str">
        <f aca="false">IF(A146="","",LOWER(A146))</f>
        <v/>
      </c>
      <c r="Z146" s="24" t="str">
        <f aca="false">IF(A146="","",IF(T146="",Settings!$B$5,T146)&amp;IF(ISNUMBER(FIND("?",IF(T146="",Settings!$B$5,T146))),"&amp;","?")&amp;"utm_source="&amp;V146&amp;"&amp;utm_medium="&amp;W146&amp;"&amp;utm_campaign="&amp;X146&amp;"&amp;utm_content="&amp;Y146)</f>
        <v/>
      </c>
      <c r="AA146" s="29"/>
      <c r="AB146" s="39"/>
      <c r="AC146" s="32"/>
      <c r="AD146" s="32"/>
      <c r="AE146" s="32"/>
      <c r="AF146" s="32"/>
      <c r="AG146" s="32"/>
      <c r="AH146" s="32"/>
      <c r="AI146" s="32"/>
      <c r="AJ146" s="32"/>
      <c r="AK146" s="32"/>
      <c r="AL146" s="32"/>
      <c r="AM146" s="32"/>
      <c r="AN146" s="32"/>
      <c r="AO146" s="33" t="str">
        <f aca="false">IF(A146="","",IF(AD146&lt;&gt;"",AD146,IF(AC146&lt;&gt;"",AC146,"")))</f>
        <v/>
      </c>
      <c r="AP146" s="24" t="str">
        <f aca="false">IF(AO146="","",IF(AD146&lt;&gt;"","Reported reach","Impressions (proxy)"))</f>
        <v/>
      </c>
      <c r="AQ146" s="34" t="str">
        <f aca="false">IF(OR(AO146="",N(S146)=0),"",AO146/S146)</f>
        <v/>
      </c>
      <c r="AR146" s="33" t="str">
        <f aca="false">IF(A146="","",IF(COUNT(AF146:AJ146)=0,"",SUM(AF146:AJ146)))</f>
        <v/>
      </c>
      <c r="AS146" s="34" t="str">
        <f aca="false">IF(OR(AR146="",N(AO146)=0),"",AR146/AO146)</f>
        <v/>
      </c>
      <c r="AT146" s="34" t="str">
        <f aca="false">IF(OR(AR146="",N(AC146)=0),"",AR146/AC146)</f>
        <v/>
      </c>
      <c r="AU146" s="34" t="str">
        <f aca="false">IF(OR(AR146="",N(S146)=0),"",AR146/S146)</f>
        <v/>
      </c>
      <c r="AV146" s="34" t="str">
        <f aca="false">IF(OR(AJ146="",N(AC146)=0),"",AJ146/AC146)</f>
        <v/>
      </c>
      <c r="AW146" s="34" t="str">
        <f aca="false">IF(OR(AH146="",N(AO146)=0),"",AH146/AO146)</f>
        <v/>
      </c>
      <c r="AX146" s="35" t="str">
        <f aca="false">IF(OR(AR146="",N(AO146)=0),"",(N(AF146)*Settings!$B$6+N(AG146)*Settings!$B$7+N(AH146)*Settings!$B$8+N(AI146)*Settings!$B$9+N(AJ146)*Settings!$B$10)/AO146*1000)</f>
        <v/>
      </c>
      <c r="AY146" s="36" t="str">
        <f aca="false">IF(AS146="","",IFERROR(AS146/AVERAGEIFS('Post Tracker'!$AS$5:$AS$1004,'Post Tracker'!$G$5:$G$1004,G146),""))</f>
        <v/>
      </c>
      <c r="AZ146" s="32"/>
      <c r="BA146" s="32"/>
      <c r="BB146" s="32"/>
      <c r="BC146" s="32"/>
      <c r="BD146" s="33" t="str">
        <f aca="false">IF(A146="","",COUNTIFS('Demo Pipeline'!$Q$5:$Q$504,A146))</f>
        <v/>
      </c>
      <c r="BE146" s="33" t="str">
        <f aca="false">IF(A146="","",COUNTIFS('Demo Pipeline'!$Q$5:$Q$504,A146,'Demo Pipeline'!$W$5:$W$504,"Attended"))</f>
        <v/>
      </c>
      <c r="BF146" s="33" t="str">
        <f aca="false">IF(A146="","",COUNTIFS('Demo Pipeline'!$Q$5:$Q$504,A146,'Demo Pipeline'!$X$5:$X$504,"Yes"))</f>
        <v/>
      </c>
      <c r="BG146" s="33" t="str">
        <f aca="false">IF(A146="","",COUNTIFS('Demo Pipeline'!$Q$5:$Q$504,A146,'Demo Pipeline'!$Y$5:$Y$504,"Closed Won"))</f>
        <v/>
      </c>
      <c r="BH146" s="37" t="str">
        <f aca="false">IF(A146="","",SUMIFS('Demo Pipeline'!$Z$5:$Z$504,'Demo Pipeline'!$Q$5:$Q$504,A146))</f>
        <v/>
      </c>
      <c r="BI146" s="34" t="str">
        <f aca="false">IF(OR(AZ146="",N(AJ146)=0),"",AZ146/AJ146)</f>
        <v/>
      </c>
      <c r="BJ146" s="34" t="str">
        <f aca="false">IF(OR(BB146="",N(AZ146)=0),"",BB146/AZ146)</f>
        <v/>
      </c>
      <c r="BK146" s="34" t="str">
        <f aca="false">IF(OR(A146="",N(BB146)=0),"",BD146/BB146)</f>
        <v/>
      </c>
      <c r="BL146" s="34" t="str">
        <f aca="false">IF(OR(A146="",N(AZ146)=0),"",BD146/AZ146)</f>
        <v/>
      </c>
      <c r="BM146" s="37" t="str">
        <f aca="false">IF(OR(N(Q146)=0,N(BD146)=0),"",Q146/BD146)</f>
        <v/>
      </c>
      <c r="BN146" s="29"/>
      <c r="BO146" s="29"/>
      <c r="BP146" s="33" t="str">
        <f aca="false">IF(OR(AR146="",N(AO146)=0),"",AR146)</f>
        <v/>
      </c>
      <c r="BQ146" s="33" t="str">
        <f aca="false">IF(OR(AR146="",N(S146)=0),"",S146)</f>
        <v/>
      </c>
      <c r="BR146" s="38" t="str">
        <f aca="false">IF(AND(ISNUMBER(B146),B146&gt;=Dashboard!$C$4,B146&lt;=Dashboard!$F$4,ISNUMBER(AU146)),AU146+ROW()/10^9,"")</f>
        <v/>
      </c>
      <c r="BS146" s="38" t="str">
        <f aca="false">IF(AND(ISNUMBER(B146),B146&gt;=Dashboard!$C$4,B146&lt;=Dashboard!$F$4,A146&lt;&gt;""),N(BD146)+N(AU146)/100+ROW()/10^9,"")</f>
        <v/>
      </c>
    </row>
    <row r="147" customFormat="false" ht="15" hidden="false" customHeight="false" outlineLevel="0" collapsed="false">
      <c r="A147" s="24" t="str">
        <f aca="false">IF(OR(B147="",G147="",H147=""),"",IFERROR(INDEX(Settings!$E$5:$E$49,MATCH(G147,Settings!$D$5:$D$49,0))&amp;INDEX(Settings!$H$5:$H$47,MATCH(H147,Settings!$G$5:$G$47,0))&amp;"-"&amp;TEXT(B147,"yymmdd")&amp;"-"&amp;IF(C147="","0000",TEXT(C147,"hhmm")),"CHECK LISTS"))</f>
        <v/>
      </c>
      <c r="B147" s="39"/>
      <c r="C147" s="40"/>
      <c r="D147" s="24" t="str">
        <f aca="false">IF(B147="","",TEXT(B147,"ddd"))</f>
        <v/>
      </c>
      <c r="E147" s="27" t="str">
        <f aca="false">IF(B147="","",B147-WEEKDAY(B147,3))</f>
        <v/>
      </c>
      <c r="F147" s="24" t="str">
        <f aca="false">IF(B147="","",TEXT(B147,"yyyy-mm"))</f>
        <v/>
      </c>
      <c r="G147" s="29"/>
      <c r="H147" s="29"/>
      <c r="I147" s="29"/>
      <c r="J147" s="29"/>
      <c r="K147" s="29"/>
      <c r="L147" s="29"/>
      <c r="M147" s="29"/>
      <c r="N147" s="29"/>
      <c r="O147" s="29"/>
      <c r="P147" s="29"/>
      <c r="Q147" s="30"/>
      <c r="R147" s="29"/>
      <c r="S147" s="32"/>
      <c r="T147" s="29"/>
      <c r="U147" s="29"/>
      <c r="V147" s="24" t="str">
        <f aca="false">IF(A147="","",IFERROR(INDEX(Settings!$F$5:$F$49,MATCH(G147,Settings!$D$5:$D$49,0)),""))</f>
        <v/>
      </c>
      <c r="W147" s="24" t="str">
        <f aca="false">IF(A147="","",IF(OR(P147="",P147="Organic"),"social","paid_social"))</f>
        <v/>
      </c>
      <c r="X147" s="24" t="str">
        <f aca="false">IF(A147="","",IF(K147&lt;&gt;"",IFERROR(INDEX('Case Studies'!$C$5:$C$54,MATCH(K147,'Case Studies'!$B$5:$B$54,0))&amp;"","case-study"),IF(J147&lt;&gt;"",IFERROR(INDEX(Settings!$J$5:$J$55,MATCH(J147,Settings!$I$5:$I$55,0)),"general"),"general")))</f>
        <v/>
      </c>
      <c r="Y147" s="24" t="str">
        <f aca="false">IF(A147="","",LOWER(A147))</f>
        <v/>
      </c>
      <c r="Z147" s="24" t="str">
        <f aca="false">IF(A147="","",IF(T147="",Settings!$B$5,T147)&amp;IF(ISNUMBER(FIND("?",IF(T147="",Settings!$B$5,T147))),"&amp;","?")&amp;"utm_source="&amp;V147&amp;"&amp;utm_medium="&amp;W147&amp;"&amp;utm_campaign="&amp;X147&amp;"&amp;utm_content="&amp;Y147)</f>
        <v/>
      </c>
      <c r="AA147" s="29"/>
      <c r="AB147" s="39"/>
      <c r="AC147" s="32"/>
      <c r="AD147" s="32"/>
      <c r="AE147" s="32"/>
      <c r="AF147" s="32"/>
      <c r="AG147" s="32"/>
      <c r="AH147" s="32"/>
      <c r="AI147" s="32"/>
      <c r="AJ147" s="32"/>
      <c r="AK147" s="32"/>
      <c r="AL147" s="32"/>
      <c r="AM147" s="32"/>
      <c r="AN147" s="32"/>
      <c r="AO147" s="33" t="str">
        <f aca="false">IF(A147="","",IF(AD147&lt;&gt;"",AD147,IF(AC147&lt;&gt;"",AC147,"")))</f>
        <v/>
      </c>
      <c r="AP147" s="24" t="str">
        <f aca="false">IF(AO147="","",IF(AD147&lt;&gt;"","Reported reach","Impressions (proxy)"))</f>
        <v/>
      </c>
      <c r="AQ147" s="34" t="str">
        <f aca="false">IF(OR(AO147="",N(S147)=0),"",AO147/S147)</f>
        <v/>
      </c>
      <c r="AR147" s="33" t="str">
        <f aca="false">IF(A147="","",IF(COUNT(AF147:AJ147)=0,"",SUM(AF147:AJ147)))</f>
        <v/>
      </c>
      <c r="AS147" s="34" t="str">
        <f aca="false">IF(OR(AR147="",N(AO147)=0),"",AR147/AO147)</f>
        <v/>
      </c>
      <c r="AT147" s="34" t="str">
        <f aca="false">IF(OR(AR147="",N(AC147)=0),"",AR147/AC147)</f>
        <v/>
      </c>
      <c r="AU147" s="34" t="str">
        <f aca="false">IF(OR(AR147="",N(S147)=0),"",AR147/S147)</f>
        <v/>
      </c>
      <c r="AV147" s="34" t="str">
        <f aca="false">IF(OR(AJ147="",N(AC147)=0),"",AJ147/AC147)</f>
        <v/>
      </c>
      <c r="AW147" s="34" t="str">
        <f aca="false">IF(OR(AH147="",N(AO147)=0),"",AH147/AO147)</f>
        <v/>
      </c>
      <c r="AX147" s="35" t="str">
        <f aca="false">IF(OR(AR147="",N(AO147)=0),"",(N(AF147)*Settings!$B$6+N(AG147)*Settings!$B$7+N(AH147)*Settings!$B$8+N(AI147)*Settings!$B$9+N(AJ147)*Settings!$B$10)/AO147*1000)</f>
        <v/>
      </c>
      <c r="AY147" s="36" t="str">
        <f aca="false">IF(AS147="","",IFERROR(AS147/AVERAGEIFS('Post Tracker'!$AS$5:$AS$1004,'Post Tracker'!$G$5:$G$1004,G147),""))</f>
        <v/>
      </c>
      <c r="AZ147" s="32"/>
      <c r="BA147" s="32"/>
      <c r="BB147" s="32"/>
      <c r="BC147" s="32"/>
      <c r="BD147" s="33" t="str">
        <f aca="false">IF(A147="","",COUNTIFS('Demo Pipeline'!$Q$5:$Q$504,A147))</f>
        <v/>
      </c>
      <c r="BE147" s="33" t="str">
        <f aca="false">IF(A147="","",COUNTIFS('Demo Pipeline'!$Q$5:$Q$504,A147,'Demo Pipeline'!$W$5:$W$504,"Attended"))</f>
        <v/>
      </c>
      <c r="BF147" s="33" t="str">
        <f aca="false">IF(A147="","",COUNTIFS('Demo Pipeline'!$Q$5:$Q$504,A147,'Demo Pipeline'!$X$5:$X$504,"Yes"))</f>
        <v/>
      </c>
      <c r="BG147" s="33" t="str">
        <f aca="false">IF(A147="","",COUNTIFS('Demo Pipeline'!$Q$5:$Q$504,A147,'Demo Pipeline'!$Y$5:$Y$504,"Closed Won"))</f>
        <v/>
      </c>
      <c r="BH147" s="37" t="str">
        <f aca="false">IF(A147="","",SUMIFS('Demo Pipeline'!$Z$5:$Z$504,'Demo Pipeline'!$Q$5:$Q$504,A147))</f>
        <v/>
      </c>
      <c r="BI147" s="34" t="str">
        <f aca="false">IF(OR(AZ147="",N(AJ147)=0),"",AZ147/AJ147)</f>
        <v/>
      </c>
      <c r="BJ147" s="34" t="str">
        <f aca="false">IF(OR(BB147="",N(AZ147)=0),"",BB147/AZ147)</f>
        <v/>
      </c>
      <c r="BK147" s="34" t="str">
        <f aca="false">IF(OR(A147="",N(BB147)=0),"",BD147/BB147)</f>
        <v/>
      </c>
      <c r="BL147" s="34" t="str">
        <f aca="false">IF(OR(A147="",N(AZ147)=0),"",BD147/AZ147)</f>
        <v/>
      </c>
      <c r="BM147" s="37" t="str">
        <f aca="false">IF(OR(N(Q147)=0,N(BD147)=0),"",Q147/BD147)</f>
        <v/>
      </c>
      <c r="BN147" s="29"/>
      <c r="BO147" s="29"/>
      <c r="BP147" s="33" t="str">
        <f aca="false">IF(OR(AR147="",N(AO147)=0),"",AR147)</f>
        <v/>
      </c>
      <c r="BQ147" s="33" t="str">
        <f aca="false">IF(OR(AR147="",N(S147)=0),"",S147)</f>
        <v/>
      </c>
      <c r="BR147" s="38" t="str">
        <f aca="false">IF(AND(ISNUMBER(B147),B147&gt;=Dashboard!$C$4,B147&lt;=Dashboard!$F$4,ISNUMBER(AU147)),AU147+ROW()/10^9,"")</f>
        <v/>
      </c>
      <c r="BS147" s="38" t="str">
        <f aca="false">IF(AND(ISNUMBER(B147),B147&gt;=Dashboard!$C$4,B147&lt;=Dashboard!$F$4,A147&lt;&gt;""),N(BD147)+N(AU147)/100+ROW()/10^9,"")</f>
        <v/>
      </c>
    </row>
    <row r="148" customFormat="false" ht="15" hidden="false" customHeight="false" outlineLevel="0" collapsed="false">
      <c r="A148" s="24" t="str">
        <f aca="false">IF(OR(B148="",G148="",H148=""),"",IFERROR(INDEX(Settings!$E$5:$E$49,MATCH(G148,Settings!$D$5:$D$49,0))&amp;INDEX(Settings!$H$5:$H$47,MATCH(H148,Settings!$G$5:$G$47,0))&amp;"-"&amp;TEXT(B148,"yymmdd")&amp;"-"&amp;IF(C148="","0000",TEXT(C148,"hhmm")),"CHECK LISTS"))</f>
        <v/>
      </c>
      <c r="B148" s="39"/>
      <c r="C148" s="40"/>
      <c r="D148" s="24" t="str">
        <f aca="false">IF(B148="","",TEXT(B148,"ddd"))</f>
        <v/>
      </c>
      <c r="E148" s="27" t="str">
        <f aca="false">IF(B148="","",B148-WEEKDAY(B148,3))</f>
        <v/>
      </c>
      <c r="F148" s="24" t="str">
        <f aca="false">IF(B148="","",TEXT(B148,"yyyy-mm"))</f>
        <v/>
      </c>
      <c r="G148" s="29"/>
      <c r="H148" s="29"/>
      <c r="I148" s="29"/>
      <c r="J148" s="29"/>
      <c r="K148" s="29"/>
      <c r="L148" s="29"/>
      <c r="M148" s="29"/>
      <c r="N148" s="29"/>
      <c r="O148" s="29"/>
      <c r="P148" s="29"/>
      <c r="Q148" s="30"/>
      <c r="R148" s="29"/>
      <c r="S148" s="32"/>
      <c r="T148" s="29"/>
      <c r="U148" s="29"/>
      <c r="V148" s="24" t="str">
        <f aca="false">IF(A148="","",IFERROR(INDEX(Settings!$F$5:$F$49,MATCH(G148,Settings!$D$5:$D$49,0)),""))</f>
        <v/>
      </c>
      <c r="W148" s="24" t="str">
        <f aca="false">IF(A148="","",IF(OR(P148="",P148="Organic"),"social","paid_social"))</f>
        <v/>
      </c>
      <c r="X148" s="24" t="str">
        <f aca="false">IF(A148="","",IF(K148&lt;&gt;"",IFERROR(INDEX('Case Studies'!$C$5:$C$54,MATCH(K148,'Case Studies'!$B$5:$B$54,0))&amp;"","case-study"),IF(J148&lt;&gt;"",IFERROR(INDEX(Settings!$J$5:$J$55,MATCH(J148,Settings!$I$5:$I$55,0)),"general"),"general")))</f>
        <v/>
      </c>
      <c r="Y148" s="24" t="str">
        <f aca="false">IF(A148="","",LOWER(A148))</f>
        <v/>
      </c>
      <c r="Z148" s="24" t="str">
        <f aca="false">IF(A148="","",IF(T148="",Settings!$B$5,T148)&amp;IF(ISNUMBER(FIND("?",IF(T148="",Settings!$B$5,T148))),"&amp;","?")&amp;"utm_source="&amp;V148&amp;"&amp;utm_medium="&amp;W148&amp;"&amp;utm_campaign="&amp;X148&amp;"&amp;utm_content="&amp;Y148)</f>
        <v/>
      </c>
      <c r="AA148" s="29"/>
      <c r="AB148" s="39"/>
      <c r="AC148" s="32"/>
      <c r="AD148" s="32"/>
      <c r="AE148" s="32"/>
      <c r="AF148" s="32"/>
      <c r="AG148" s="32"/>
      <c r="AH148" s="32"/>
      <c r="AI148" s="32"/>
      <c r="AJ148" s="32"/>
      <c r="AK148" s="32"/>
      <c r="AL148" s="32"/>
      <c r="AM148" s="32"/>
      <c r="AN148" s="32"/>
      <c r="AO148" s="33" t="str">
        <f aca="false">IF(A148="","",IF(AD148&lt;&gt;"",AD148,IF(AC148&lt;&gt;"",AC148,"")))</f>
        <v/>
      </c>
      <c r="AP148" s="24" t="str">
        <f aca="false">IF(AO148="","",IF(AD148&lt;&gt;"","Reported reach","Impressions (proxy)"))</f>
        <v/>
      </c>
      <c r="AQ148" s="34" t="str">
        <f aca="false">IF(OR(AO148="",N(S148)=0),"",AO148/S148)</f>
        <v/>
      </c>
      <c r="AR148" s="33" t="str">
        <f aca="false">IF(A148="","",IF(COUNT(AF148:AJ148)=0,"",SUM(AF148:AJ148)))</f>
        <v/>
      </c>
      <c r="AS148" s="34" t="str">
        <f aca="false">IF(OR(AR148="",N(AO148)=0),"",AR148/AO148)</f>
        <v/>
      </c>
      <c r="AT148" s="34" t="str">
        <f aca="false">IF(OR(AR148="",N(AC148)=0),"",AR148/AC148)</f>
        <v/>
      </c>
      <c r="AU148" s="34" t="str">
        <f aca="false">IF(OR(AR148="",N(S148)=0),"",AR148/S148)</f>
        <v/>
      </c>
      <c r="AV148" s="34" t="str">
        <f aca="false">IF(OR(AJ148="",N(AC148)=0),"",AJ148/AC148)</f>
        <v/>
      </c>
      <c r="AW148" s="34" t="str">
        <f aca="false">IF(OR(AH148="",N(AO148)=0),"",AH148/AO148)</f>
        <v/>
      </c>
      <c r="AX148" s="35" t="str">
        <f aca="false">IF(OR(AR148="",N(AO148)=0),"",(N(AF148)*Settings!$B$6+N(AG148)*Settings!$B$7+N(AH148)*Settings!$B$8+N(AI148)*Settings!$B$9+N(AJ148)*Settings!$B$10)/AO148*1000)</f>
        <v/>
      </c>
      <c r="AY148" s="36" t="str">
        <f aca="false">IF(AS148="","",IFERROR(AS148/AVERAGEIFS('Post Tracker'!$AS$5:$AS$1004,'Post Tracker'!$G$5:$G$1004,G148),""))</f>
        <v/>
      </c>
      <c r="AZ148" s="32"/>
      <c r="BA148" s="32"/>
      <c r="BB148" s="32"/>
      <c r="BC148" s="32"/>
      <c r="BD148" s="33" t="str">
        <f aca="false">IF(A148="","",COUNTIFS('Demo Pipeline'!$Q$5:$Q$504,A148))</f>
        <v/>
      </c>
      <c r="BE148" s="33" t="str">
        <f aca="false">IF(A148="","",COUNTIFS('Demo Pipeline'!$Q$5:$Q$504,A148,'Demo Pipeline'!$W$5:$W$504,"Attended"))</f>
        <v/>
      </c>
      <c r="BF148" s="33" t="str">
        <f aca="false">IF(A148="","",COUNTIFS('Demo Pipeline'!$Q$5:$Q$504,A148,'Demo Pipeline'!$X$5:$X$504,"Yes"))</f>
        <v/>
      </c>
      <c r="BG148" s="33" t="str">
        <f aca="false">IF(A148="","",COUNTIFS('Demo Pipeline'!$Q$5:$Q$504,A148,'Demo Pipeline'!$Y$5:$Y$504,"Closed Won"))</f>
        <v/>
      </c>
      <c r="BH148" s="37" t="str">
        <f aca="false">IF(A148="","",SUMIFS('Demo Pipeline'!$Z$5:$Z$504,'Demo Pipeline'!$Q$5:$Q$504,A148))</f>
        <v/>
      </c>
      <c r="BI148" s="34" t="str">
        <f aca="false">IF(OR(AZ148="",N(AJ148)=0),"",AZ148/AJ148)</f>
        <v/>
      </c>
      <c r="BJ148" s="34" t="str">
        <f aca="false">IF(OR(BB148="",N(AZ148)=0),"",BB148/AZ148)</f>
        <v/>
      </c>
      <c r="BK148" s="34" t="str">
        <f aca="false">IF(OR(A148="",N(BB148)=0),"",BD148/BB148)</f>
        <v/>
      </c>
      <c r="BL148" s="34" t="str">
        <f aca="false">IF(OR(A148="",N(AZ148)=0),"",BD148/AZ148)</f>
        <v/>
      </c>
      <c r="BM148" s="37" t="str">
        <f aca="false">IF(OR(N(Q148)=0,N(BD148)=0),"",Q148/BD148)</f>
        <v/>
      </c>
      <c r="BN148" s="29"/>
      <c r="BO148" s="29"/>
      <c r="BP148" s="33" t="str">
        <f aca="false">IF(OR(AR148="",N(AO148)=0),"",AR148)</f>
        <v/>
      </c>
      <c r="BQ148" s="33" t="str">
        <f aca="false">IF(OR(AR148="",N(S148)=0),"",S148)</f>
        <v/>
      </c>
      <c r="BR148" s="38" t="str">
        <f aca="false">IF(AND(ISNUMBER(B148),B148&gt;=Dashboard!$C$4,B148&lt;=Dashboard!$F$4,ISNUMBER(AU148)),AU148+ROW()/10^9,"")</f>
        <v/>
      </c>
      <c r="BS148" s="38" t="str">
        <f aca="false">IF(AND(ISNUMBER(B148),B148&gt;=Dashboard!$C$4,B148&lt;=Dashboard!$F$4,A148&lt;&gt;""),N(BD148)+N(AU148)/100+ROW()/10^9,"")</f>
        <v/>
      </c>
    </row>
    <row r="149" customFormat="false" ht="15" hidden="false" customHeight="false" outlineLevel="0" collapsed="false">
      <c r="A149" s="24" t="str">
        <f aca="false">IF(OR(B149="",G149="",H149=""),"",IFERROR(INDEX(Settings!$E$5:$E$49,MATCH(G149,Settings!$D$5:$D$49,0))&amp;INDEX(Settings!$H$5:$H$47,MATCH(H149,Settings!$G$5:$G$47,0))&amp;"-"&amp;TEXT(B149,"yymmdd")&amp;"-"&amp;IF(C149="","0000",TEXT(C149,"hhmm")),"CHECK LISTS"))</f>
        <v/>
      </c>
      <c r="B149" s="39"/>
      <c r="C149" s="40"/>
      <c r="D149" s="24" t="str">
        <f aca="false">IF(B149="","",TEXT(B149,"ddd"))</f>
        <v/>
      </c>
      <c r="E149" s="27" t="str">
        <f aca="false">IF(B149="","",B149-WEEKDAY(B149,3))</f>
        <v/>
      </c>
      <c r="F149" s="24" t="str">
        <f aca="false">IF(B149="","",TEXT(B149,"yyyy-mm"))</f>
        <v/>
      </c>
      <c r="G149" s="29"/>
      <c r="H149" s="29"/>
      <c r="I149" s="29"/>
      <c r="J149" s="29"/>
      <c r="K149" s="29"/>
      <c r="L149" s="29"/>
      <c r="M149" s="29"/>
      <c r="N149" s="29"/>
      <c r="O149" s="29"/>
      <c r="P149" s="29"/>
      <c r="Q149" s="30"/>
      <c r="R149" s="29"/>
      <c r="S149" s="32"/>
      <c r="T149" s="29"/>
      <c r="U149" s="29"/>
      <c r="V149" s="24" t="str">
        <f aca="false">IF(A149="","",IFERROR(INDEX(Settings!$F$5:$F$49,MATCH(G149,Settings!$D$5:$D$49,0)),""))</f>
        <v/>
      </c>
      <c r="W149" s="24" t="str">
        <f aca="false">IF(A149="","",IF(OR(P149="",P149="Organic"),"social","paid_social"))</f>
        <v/>
      </c>
      <c r="X149" s="24" t="str">
        <f aca="false">IF(A149="","",IF(K149&lt;&gt;"",IFERROR(INDEX('Case Studies'!$C$5:$C$54,MATCH(K149,'Case Studies'!$B$5:$B$54,0))&amp;"","case-study"),IF(J149&lt;&gt;"",IFERROR(INDEX(Settings!$J$5:$J$55,MATCH(J149,Settings!$I$5:$I$55,0)),"general"),"general")))</f>
        <v/>
      </c>
      <c r="Y149" s="24" t="str">
        <f aca="false">IF(A149="","",LOWER(A149))</f>
        <v/>
      </c>
      <c r="Z149" s="24" t="str">
        <f aca="false">IF(A149="","",IF(T149="",Settings!$B$5,T149)&amp;IF(ISNUMBER(FIND("?",IF(T149="",Settings!$B$5,T149))),"&amp;","?")&amp;"utm_source="&amp;V149&amp;"&amp;utm_medium="&amp;W149&amp;"&amp;utm_campaign="&amp;X149&amp;"&amp;utm_content="&amp;Y149)</f>
        <v/>
      </c>
      <c r="AA149" s="29"/>
      <c r="AB149" s="39"/>
      <c r="AC149" s="32"/>
      <c r="AD149" s="32"/>
      <c r="AE149" s="32"/>
      <c r="AF149" s="32"/>
      <c r="AG149" s="32"/>
      <c r="AH149" s="32"/>
      <c r="AI149" s="32"/>
      <c r="AJ149" s="32"/>
      <c r="AK149" s="32"/>
      <c r="AL149" s="32"/>
      <c r="AM149" s="32"/>
      <c r="AN149" s="32"/>
      <c r="AO149" s="33" t="str">
        <f aca="false">IF(A149="","",IF(AD149&lt;&gt;"",AD149,IF(AC149&lt;&gt;"",AC149,"")))</f>
        <v/>
      </c>
      <c r="AP149" s="24" t="str">
        <f aca="false">IF(AO149="","",IF(AD149&lt;&gt;"","Reported reach","Impressions (proxy)"))</f>
        <v/>
      </c>
      <c r="AQ149" s="34" t="str">
        <f aca="false">IF(OR(AO149="",N(S149)=0),"",AO149/S149)</f>
        <v/>
      </c>
      <c r="AR149" s="33" t="str">
        <f aca="false">IF(A149="","",IF(COUNT(AF149:AJ149)=0,"",SUM(AF149:AJ149)))</f>
        <v/>
      </c>
      <c r="AS149" s="34" t="str">
        <f aca="false">IF(OR(AR149="",N(AO149)=0),"",AR149/AO149)</f>
        <v/>
      </c>
      <c r="AT149" s="34" t="str">
        <f aca="false">IF(OR(AR149="",N(AC149)=0),"",AR149/AC149)</f>
        <v/>
      </c>
      <c r="AU149" s="34" t="str">
        <f aca="false">IF(OR(AR149="",N(S149)=0),"",AR149/S149)</f>
        <v/>
      </c>
      <c r="AV149" s="34" t="str">
        <f aca="false">IF(OR(AJ149="",N(AC149)=0),"",AJ149/AC149)</f>
        <v/>
      </c>
      <c r="AW149" s="34" t="str">
        <f aca="false">IF(OR(AH149="",N(AO149)=0),"",AH149/AO149)</f>
        <v/>
      </c>
      <c r="AX149" s="35" t="str">
        <f aca="false">IF(OR(AR149="",N(AO149)=0),"",(N(AF149)*Settings!$B$6+N(AG149)*Settings!$B$7+N(AH149)*Settings!$B$8+N(AI149)*Settings!$B$9+N(AJ149)*Settings!$B$10)/AO149*1000)</f>
        <v/>
      </c>
      <c r="AY149" s="36" t="str">
        <f aca="false">IF(AS149="","",IFERROR(AS149/AVERAGEIFS('Post Tracker'!$AS$5:$AS$1004,'Post Tracker'!$G$5:$G$1004,G149),""))</f>
        <v/>
      </c>
      <c r="AZ149" s="32"/>
      <c r="BA149" s="32"/>
      <c r="BB149" s="32"/>
      <c r="BC149" s="32"/>
      <c r="BD149" s="33" t="str">
        <f aca="false">IF(A149="","",COUNTIFS('Demo Pipeline'!$Q$5:$Q$504,A149))</f>
        <v/>
      </c>
      <c r="BE149" s="33" t="str">
        <f aca="false">IF(A149="","",COUNTIFS('Demo Pipeline'!$Q$5:$Q$504,A149,'Demo Pipeline'!$W$5:$W$504,"Attended"))</f>
        <v/>
      </c>
      <c r="BF149" s="33" t="str">
        <f aca="false">IF(A149="","",COUNTIFS('Demo Pipeline'!$Q$5:$Q$504,A149,'Demo Pipeline'!$X$5:$X$504,"Yes"))</f>
        <v/>
      </c>
      <c r="BG149" s="33" t="str">
        <f aca="false">IF(A149="","",COUNTIFS('Demo Pipeline'!$Q$5:$Q$504,A149,'Demo Pipeline'!$Y$5:$Y$504,"Closed Won"))</f>
        <v/>
      </c>
      <c r="BH149" s="37" t="str">
        <f aca="false">IF(A149="","",SUMIFS('Demo Pipeline'!$Z$5:$Z$504,'Demo Pipeline'!$Q$5:$Q$504,A149))</f>
        <v/>
      </c>
      <c r="BI149" s="34" t="str">
        <f aca="false">IF(OR(AZ149="",N(AJ149)=0),"",AZ149/AJ149)</f>
        <v/>
      </c>
      <c r="BJ149" s="34" t="str">
        <f aca="false">IF(OR(BB149="",N(AZ149)=0),"",BB149/AZ149)</f>
        <v/>
      </c>
      <c r="BK149" s="34" t="str">
        <f aca="false">IF(OR(A149="",N(BB149)=0),"",BD149/BB149)</f>
        <v/>
      </c>
      <c r="BL149" s="34" t="str">
        <f aca="false">IF(OR(A149="",N(AZ149)=0),"",BD149/AZ149)</f>
        <v/>
      </c>
      <c r="BM149" s="37" t="str">
        <f aca="false">IF(OR(N(Q149)=0,N(BD149)=0),"",Q149/BD149)</f>
        <v/>
      </c>
      <c r="BN149" s="29"/>
      <c r="BO149" s="29"/>
      <c r="BP149" s="33" t="str">
        <f aca="false">IF(OR(AR149="",N(AO149)=0),"",AR149)</f>
        <v/>
      </c>
      <c r="BQ149" s="33" t="str">
        <f aca="false">IF(OR(AR149="",N(S149)=0),"",S149)</f>
        <v/>
      </c>
      <c r="BR149" s="38" t="str">
        <f aca="false">IF(AND(ISNUMBER(B149),B149&gt;=Dashboard!$C$4,B149&lt;=Dashboard!$F$4,ISNUMBER(AU149)),AU149+ROW()/10^9,"")</f>
        <v/>
      </c>
      <c r="BS149" s="38" t="str">
        <f aca="false">IF(AND(ISNUMBER(B149),B149&gt;=Dashboard!$C$4,B149&lt;=Dashboard!$F$4,A149&lt;&gt;""),N(BD149)+N(AU149)/100+ROW()/10^9,"")</f>
        <v/>
      </c>
    </row>
    <row r="150" customFormat="false" ht="15" hidden="false" customHeight="false" outlineLevel="0" collapsed="false">
      <c r="A150" s="24" t="str">
        <f aca="false">IF(OR(B150="",G150="",H150=""),"",IFERROR(INDEX(Settings!$E$5:$E$49,MATCH(G150,Settings!$D$5:$D$49,0))&amp;INDEX(Settings!$H$5:$H$47,MATCH(H150,Settings!$G$5:$G$47,0))&amp;"-"&amp;TEXT(B150,"yymmdd")&amp;"-"&amp;IF(C150="","0000",TEXT(C150,"hhmm")),"CHECK LISTS"))</f>
        <v/>
      </c>
      <c r="B150" s="39"/>
      <c r="C150" s="40"/>
      <c r="D150" s="24" t="str">
        <f aca="false">IF(B150="","",TEXT(B150,"ddd"))</f>
        <v/>
      </c>
      <c r="E150" s="27" t="str">
        <f aca="false">IF(B150="","",B150-WEEKDAY(B150,3))</f>
        <v/>
      </c>
      <c r="F150" s="24" t="str">
        <f aca="false">IF(B150="","",TEXT(B150,"yyyy-mm"))</f>
        <v/>
      </c>
      <c r="G150" s="29"/>
      <c r="H150" s="29"/>
      <c r="I150" s="29"/>
      <c r="J150" s="29"/>
      <c r="K150" s="29"/>
      <c r="L150" s="29"/>
      <c r="M150" s="29"/>
      <c r="N150" s="29"/>
      <c r="O150" s="29"/>
      <c r="P150" s="29"/>
      <c r="Q150" s="30"/>
      <c r="R150" s="29"/>
      <c r="S150" s="32"/>
      <c r="T150" s="29"/>
      <c r="U150" s="29"/>
      <c r="V150" s="24" t="str">
        <f aca="false">IF(A150="","",IFERROR(INDEX(Settings!$F$5:$F$49,MATCH(G150,Settings!$D$5:$D$49,0)),""))</f>
        <v/>
      </c>
      <c r="W150" s="24" t="str">
        <f aca="false">IF(A150="","",IF(OR(P150="",P150="Organic"),"social","paid_social"))</f>
        <v/>
      </c>
      <c r="X150" s="24" t="str">
        <f aca="false">IF(A150="","",IF(K150&lt;&gt;"",IFERROR(INDEX('Case Studies'!$C$5:$C$54,MATCH(K150,'Case Studies'!$B$5:$B$54,0))&amp;"","case-study"),IF(J150&lt;&gt;"",IFERROR(INDEX(Settings!$J$5:$J$55,MATCH(J150,Settings!$I$5:$I$55,0)),"general"),"general")))</f>
        <v/>
      </c>
      <c r="Y150" s="24" t="str">
        <f aca="false">IF(A150="","",LOWER(A150))</f>
        <v/>
      </c>
      <c r="Z150" s="24" t="str">
        <f aca="false">IF(A150="","",IF(T150="",Settings!$B$5,T150)&amp;IF(ISNUMBER(FIND("?",IF(T150="",Settings!$B$5,T150))),"&amp;","?")&amp;"utm_source="&amp;V150&amp;"&amp;utm_medium="&amp;W150&amp;"&amp;utm_campaign="&amp;X150&amp;"&amp;utm_content="&amp;Y150)</f>
        <v/>
      </c>
      <c r="AA150" s="29"/>
      <c r="AB150" s="39"/>
      <c r="AC150" s="32"/>
      <c r="AD150" s="32"/>
      <c r="AE150" s="32"/>
      <c r="AF150" s="32"/>
      <c r="AG150" s="32"/>
      <c r="AH150" s="32"/>
      <c r="AI150" s="32"/>
      <c r="AJ150" s="32"/>
      <c r="AK150" s="32"/>
      <c r="AL150" s="32"/>
      <c r="AM150" s="32"/>
      <c r="AN150" s="32"/>
      <c r="AO150" s="33" t="str">
        <f aca="false">IF(A150="","",IF(AD150&lt;&gt;"",AD150,IF(AC150&lt;&gt;"",AC150,"")))</f>
        <v/>
      </c>
      <c r="AP150" s="24" t="str">
        <f aca="false">IF(AO150="","",IF(AD150&lt;&gt;"","Reported reach","Impressions (proxy)"))</f>
        <v/>
      </c>
      <c r="AQ150" s="34" t="str">
        <f aca="false">IF(OR(AO150="",N(S150)=0),"",AO150/S150)</f>
        <v/>
      </c>
      <c r="AR150" s="33" t="str">
        <f aca="false">IF(A150="","",IF(COUNT(AF150:AJ150)=0,"",SUM(AF150:AJ150)))</f>
        <v/>
      </c>
      <c r="AS150" s="34" t="str">
        <f aca="false">IF(OR(AR150="",N(AO150)=0),"",AR150/AO150)</f>
        <v/>
      </c>
      <c r="AT150" s="34" t="str">
        <f aca="false">IF(OR(AR150="",N(AC150)=0),"",AR150/AC150)</f>
        <v/>
      </c>
      <c r="AU150" s="34" t="str">
        <f aca="false">IF(OR(AR150="",N(S150)=0),"",AR150/S150)</f>
        <v/>
      </c>
      <c r="AV150" s="34" t="str">
        <f aca="false">IF(OR(AJ150="",N(AC150)=0),"",AJ150/AC150)</f>
        <v/>
      </c>
      <c r="AW150" s="34" t="str">
        <f aca="false">IF(OR(AH150="",N(AO150)=0),"",AH150/AO150)</f>
        <v/>
      </c>
      <c r="AX150" s="35" t="str">
        <f aca="false">IF(OR(AR150="",N(AO150)=0),"",(N(AF150)*Settings!$B$6+N(AG150)*Settings!$B$7+N(AH150)*Settings!$B$8+N(AI150)*Settings!$B$9+N(AJ150)*Settings!$B$10)/AO150*1000)</f>
        <v/>
      </c>
      <c r="AY150" s="36" t="str">
        <f aca="false">IF(AS150="","",IFERROR(AS150/AVERAGEIFS('Post Tracker'!$AS$5:$AS$1004,'Post Tracker'!$G$5:$G$1004,G150),""))</f>
        <v/>
      </c>
      <c r="AZ150" s="32"/>
      <c r="BA150" s="32"/>
      <c r="BB150" s="32"/>
      <c r="BC150" s="32"/>
      <c r="BD150" s="33" t="str">
        <f aca="false">IF(A150="","",COUNTIFS('Demo Pipeline'!$Q$5:$Q$504,A150))</f>
        <v/>
      </c>
      <c r="BE150" s="33" t="str">
        <f aca="false">IF(A150="","",COUNTIFS('Demo Pipeline'!$Q$5:$Q$504,A150,'Demo Pipeline'!$W$5:$W$504,"Attended"))</f>
        <v/>
      </c>
      <c r="BF150" s="33" t="str">
        <f aca="false">IF(A150="","",COUNTIFS('Demo Pipeline'!$Q$5:$Q$504,A150,'Demo Pipeline'!$X$5:$X$504,"Yes"))</f>
        <v/>
      </c>
      <c r="BG150" s="33" t="str">
        <f aca="false">IF(A150="","",COUNTIFS('Demo Pipeline'!$Q$5:$Q$504,A150,'Demo Pipeline'!$Y$5:$Y$504,"Closed Won"))</f>
        <v/>
      </c>
      <c r="BH150" s="37" t="str">
        <f aca="false">IF(A150="","",SUMIFS('Demo Pipeline'!$Z$5:$Z$504,'Demo Pipeline'!$Q$5:$Q$504,A150))</f>
        <v/>
      </c>
      <c r="BI150" s="34" t="str">
        <f aca="false">IF(OR(AZ150="",N(AJ150)=0),"",AZ150/AJ150)</f>
        <v/>
      </c>
      <c r="BJ150" s="34" t="str">
        <f aca="false">IF(OR(BB150="",N(AZ150)=0),"",BB150/AZ150)</f>
        <v/>
      </c>
      <c r="BK150" s="34" t="str">
        <f aca="false">IF(OR(A150="",N(BB150)=0),"",BD150/BB150)</f>
        <v/>
      </c>
      <c r="BL150" s="34" t="str">
        <f aca="false">IF(OR(A150="",N(AZ150)=0),"",BD150/AZ150)</f>
        <v/>
      </c>
      <c r="BM150" s="37" t="str">
        <f aca="false">IF(OR(N(Q150)=0,N(BD150)=0),"",Q150/BD150)</f>
        <v/>
      </c>
      <c r="BN150" s="29"/>
      <c r="BO150" s="29"/>
      <c r="BP150" s="33" t="str">
        <f aca="false">IF(OR(AR150="",N(AO150)=0),"",AR150)</f>
        <v/>
      </c>
      <c r="BQ150" s="33" t="str">
        <f aca="false">IF(OR(AR150="",N(S150)=0),"",S150)</f>
        <v/>
      </c>
      <c r="BR150" s="38" t="str">
        <f aca="false">IF(AND(ISNUMBER(B150),B150&gt;=Dashboard!$C$4,B150&lt;=Dashboard!$F$4,ISNUMBER(AU150)),AU150+ROW()/10^9,"")</f>
        <v/>
      </c>
      <c r="BS150" s="38" t="str">
        <f aca="false">IF(AND(ISNUMBER(B150),B150&gt;=Dashboard!$C$4,B150&lt;=Dashboard!$F$4,A150&lt;&gt;""),N(BD150)+N(AU150)/100+ROW()/10^9,"")</f>
        <v/>
      </c>
    </row>
    <row r="151" customFormat="false" ht="15" hidden="false" customHeight="false" outlineLevel="0" collapsed="false">
      <c r="A151" s="24" t="str">
        <f aca="false">IF(OR(B151="",G151="",H151=""),"",IFERROR(INDEX(Settings!$E$5:$E$49,MATCH(G151,Settings!$D$5:$D$49,0))&amp;INDEX(Settings!$H$5:$H$47,MATCH(H151,Settings!$G$5:$G$47,0))&amp;"-"&amp;TEXT(B151,"yymmdd")&amp;"-"&amp;IF(C151="","0000",TEXT(C151,"hhmm")),"CHECK LISTS"))</f>
        <v/>
      </c>
      <c r="B151" s="39"/>
      <c r="C151" s="40"/>
      <c r="D151" s="24" t="str">
        <f aca="false">IF(B151="","",TEXT(B151,"ddd"))</f>
        <v/>
      </c>
      <c r="E151" s="27" t="str">
        <f aca="false">IF(B151="","",B151-WEEKDAY(B151,3))</f>
        <v/>
      </c>
      <c r="F151" s="24" t="str">
        <f aca="false">IF(B151="","",TEXT(B151,"yyyy-mm"))</f>
        <v/>
      </c>
      <c r="G151" s="29"/>
      <c r="H151" s="29"/>
      <c r="I151" s="29"/>
      <c r="J151" s="29"/>
      <c r="K151" s="29"/>
      <c r="L151" s="29"/>
      <c r="M151" s="29"/>
      <c r="N151" s="29"/>
      <c r="O151" s="29"/>
      <c r="P151" s="29"/>
      <c r="Q151" s="30"/>
      <c r="R151" s="29"/>
      <c r="S151" s="32"/>
      <c r="T151" s="29"/>
      <c r="U151" s="29"/>
      <c r="V151" s="24" t="str">
        <f aca="false">IF(A151="","",IFERROR(INDEX(Settings!$F$5:$F$49,MATCH(G151,Settings!$D$5:$D$49,0)),""))</f>
        <v/>
      </c>
      <c r="W151" s="24" t="str">
        <f aca="false">IF(A151="","",IF(OR(P151="",P151="Organic"),"social","paid_social"))</f>
        <v/>
      </c>
      <c r="X151" s="24" t="str">
        <f aca="false">IF(A151="","",IF(K151&lt;&gt;"",IFERROR(INDEX('Case Studies'!$C$5:$C$54,MATCH(K151,'Case Studies'!$B$5:$B$54,0))&amp;"","case-study"),IF(J151&lt;&gt;"",IFERROR(INDEX(Settings!$J$5:$J$55,MATCH(J151,Settings!$I$5:$I$55,0)),"general"),"general")))</f>
        <v/>
      </c>
      <c r="Y151" s="24" t="str">
        <f aca="false">IF(A151="","",LOWER(A151))</f>
        <v/>
      </c>
      <c r="Z151" s="24" t="str">
        <f aca="false">IF(A151="","",IF(T151="",Settings!$B$5,T151)&amp;IF(ISNUMBER(FIND("?",IF(T151="",Settings!$B$5,T151))),"&amp;","?")&amp;"utm_source="&amp;V151&amp;"&amp;utm_medium="&amp;W151&amp;"&amp;utm_campaign="&amp;X151&amp;"&amp;utm_content="&amp;Y151)</f>
        <v/>
      </c>
      <c r="AA151" s="29"/>
      <c r="AB151" s="39"/>
      <c r="AC151" s="32"/>
      <c r="AD151" s="32"/>
      <c r="AE151" s="32"/>
      <c r="AF151" s="32"/>
      <c r="AG151" s="32"/>
      <c r="AH151" s="32"/>
      <c r="AI151" s="32"/>
      <c r="AJ151" s="32"/>
      <c r="AK151" s="32"/>
      <c r="AL151" s="32"/>
      <c r="AM151" s="32"/>
      <c r="AN151" s="32"/>
      <c r="AO151" s="33" t="str">
        <f aca="false">IF(A151="","",IF(AD151&lt;&gt;"",AD151,IF(AC151&lt;&gt;"",AC151,"")))</f>
        <v/>
      </c>
      <c r="AP151" s="24" t="str">
        <f aca="false">IF(AO151="","",IF(AD151&lt;&gt;"","Reported reach","Impressions (proxy)"))</f>
        <v/>
      </c>
      <c r="AQ151" s="34" t="str">
        <f aca="false">IF(OR(AO151="",N(S151)=0),"",AO151/S151)</f>
        <v/>
      </c>
      <c r="AR151" s="33" t="str">
        <f aca="false">IF(A151="","",IF(COUNT(AF151:AJ151)=0,"",SUM(AF151:AJ151)))</f>
        <v/>
      </c>
      <c r="AS151" s="34" t="str">
        <f aca="false">IF(OR(AR151="",N(AO151)=0),"",AR151/AO151)</f>
        <v/>
      </c>
      <c r="AT151" s="34" t="str">
        <f aca="false">IF(OR(AR151="",N(AC151)=0),"",AR151/AC151)</f>
        <v/>
      </c>
      <c r="AU151" s="34" t="str">
        <f aca="false">IF(OR(AR151="",N(S151)=0),"",AR151/S151)</f>
        <v/>
      </c>
      <c r="AV151" s="34" t="str">
        <f aca="false">IF(OR(AJ151="",N(AC151)=0),"",AJ151/AC151)</f>
        <v/>
      </c>
      <c r="AW151" s="34" t="str">
        <f aca="false">IF(OR(AH151="",N(AO151)=0),"",AH151/AO151)</f>
        <v/>
      </c>
      <c r="AX151" s="35" t="str">
        <f aca="false">IF(OR(AR151="",N(AO151)=0),"",(N(AF151)*Settings!$B$6+N(AG151)*Settings!$B$7+N(AH151)*Settings!$B$8+N(AI151)*Settings!$B$9+N(AJ151)*Settings!$B$10)/AO151*1000)</f>
        <v/>
      </c>
      <c r="AY151" s="36" t="str">
        <f aca="false">IF(AS151="","",IFERROR(AS151/AVERAGEIFS('Post Tracker'!$AS$5:$AS$1004,'Post Tracker'!$G$5:$G$1004,G151),""))</f>
        <v/>
      </c>
      <c r="AZ151" s="32"/>
      <c r="BA151" s="32"/>
      <c r="BB151" s="32"/>
      <c r="BC151" s="32"/>
      <c r="BD151" s="33" t="str">
        <f aca="false">IF(A151="","",COUNTIFS('Demo Pipeline'!$Q$5:$Q$504,A151))</f>
        <v/>
      </c>
      <c r="BE151" s="33" t="str">
        <f aca="false">IF(A151="","",COUNTIFS('Demo Pipeline'!$Q$5:$Q$504,A151,'Demo Pipeline'!$W$5:$W$504,"Attended"))</f>
        <v/>
      </c>
      <c r="BF151" s="33" t="str">
        <f aca="false">IF(A151="","",COUNTIFS('Demo Pipeline'!$Q$5:$Q$504,A151,'Demo Pipeline'!$X$5:$X$504,"Yes"))</f>
        <v/>
      </c>
      <c r="BG151" s="33" t="str">
        <f aca="false">IF(A151="","",COUNTIFS('Demo Pipeline'!$Q$5:$Q$504,A151,'Demo Pipeline'!$Y$5:$Y$504,"Closed Won"))</f>
        <v/>
      </c>
      <c r="BH151" s="37" t="str">
        <f aca="false">IF(A151="","",SUMIFS('Demo Pipeline'!$Z$5:$Z$504,'Demo Pipeline'!$Q$5:$Q$504,A151))</f>
        <v/>
      </c>
      <c r="BI151" s="34" t="str">
        <f aca="false">IF(OR(AZ151="",N(AJ151)=0),"",AZ151/AJ151)</f>
        <v/>
      </c>
      <c r="BJ151" s="34" t="str">
        <f aca="false">IF(OR(BB151="",N(AZ151)=0),"",BB151/AZ151)</f>
        <v/>
      </c>
      <c r="BK151" s="34" t="str">
        <f aca="false">IF(OR(A151="",N(BB151)=0),"",BD151/BB151)</f>
        <v/>
      </c>
      <c r="BL151" s="34" t="str">
        <f aca="false">IF(OR(A151="",N(AZ151)=0),"",BD151/AZ151)</f>
        <v/>
      </c>
      <c r="BM151" s="37" t="str">
        <f aca="false">IF(OR(N(Q151)=0,N(BD151)=0),"",Q151/BD151)</f>
        <v/>
      </c>
      <c r="BN151" s="29"/>
      <c r="BO151" s="29"/>
      <c r="BP151" s="33" t="str">
        <f aca="false">IF(OR(AR151="",N(AO151)=0),"",AR151)</f>
        <v/>
      </c>
      <c r="BQ151" s="33" t="str">
        <f aca="false">IF(OR(AR151="",N(S151)=0),"",S151)</f>
        <v/>
      </c>
      <c r="BR151" s="38" t="str">
        <f aca="false">IF(AND(ISNUMBER(B151),B151&gt;=Dashboard!$C$4,B151&lt;=Dashboard!$F$4,ISNUMBER(AU151)),AU151+ROW()/10^9,"")</f>
        <v/>
      </c>
      <c r="BS151" s="38" t="str">
        <f aca="false">IF(AND(ISNUMBER(B151),B151&gt;=Dashboard!$C$4,B151&lt;=Dashboard!$F$4,A151&lt;&gt;""),N(BD151)+N(AU151)/100+ROW()/10^9,"")</f>
        <v/>
      </c>
    </row>
    <row r="152" customFormat="false" ht="15" hidden="false" customHeight="false" outlineLevel="0" collapsed="false">
      <c r="A152" s="24" t="str">
        <f aca="false">IF(OR(B152="",G152="",H152=""),"",IFERROR(INDEX(Settings!$E$5:$E$49,MATCH(G152,Settings!$D$5:$D$49,0))&amp;INDEX(Settings!$H$5:$H$47,MATCH(H152,Settings!$G$5:$G$47,0))&amp;"-"&amp;TEXT(B152,"yymmdd")&amp;"-"&amp;IF(C152="","0000",TEXT(C152,"hhmm")),"CHECK LISTS"))</f>
        <v/>
      </c>
      <c r="B152" s="39"/>
      <c r="C152" s="40"/>
      <c r="D152" s="24" t="str">
        <f aca="false">IF(B152="","",TEXT(B152,"ddd"))</f>
        <v/>
      </c>
      <c r="E152" s="27" t="str">
        <f aca="false">IF(B152="","",B152-WEEKDAY(B152,3))</f>
        <v/>
      </c>
      <c r="F152" s="24" t="str">
        <f aca="false">IF(B152="","",TEXT(B152,"yyyy-mm"))</f>
        <v/>
      </c>
      <c r="G152" s="29"/>
      <c r="H152" s="29"/>
      <c r="I152" s="29"/>
      <c r="J152" s="29"/>
      <c r="K152" s="29"/>
      <c r="L152" s="29"/>
      <c r="M152" s="29"/>
      <c r="N152" s="29"/>
      <c r="O152" s="29"/>
      <c r="P152" s="29"/>
      <c r="Q152" s="30"/>
      <c r="R152" s="29"/>
      <c r="S152" s="32"/>
      <c r="T152" s="29"/>
      <c r="U152" s="29"/>
      <c r="V152" s="24" t="str">
        <f aca="false">IF(A152="","",IFERROR(INDEX(Settings!$F$5:$F$49,MATCH(G152,Settings!$D$5:$D$49,0)),""))</f>
        <v/>
      </c>
      <c r="W152" s="24" t="str">
        <f aca="false">IF(A152="","",IF(OR(P152="",P152="Organic"),"social","paid_social"))</f>
        <v/>
      </c>
      <c r="X152" s="24" t="str">
        <f aca="false">IF(A152="","",IF(K152&lt;&gt;"",IFERROR(INDEX('Case Studies'!$C$5:$C$54,MATCH(K152,'Case Studies'!$B$5:$B$54,0))&amp;"","case-study"),IF(J152&lt;&gt;"",IFERROR(INDEX(Settings!$J$5:$J$55,MATCH(J152,Settings!$I$5:$I$55,0)),"general"),"general")))</f>
        <v/>
      </c>
      <c r="Y152" s="24" t="str">
        <f aca="false">IF(A152="","",LOWER(A152))</f>
        <v/>
      </c>
      <c r="Z152" s="24" t="str">
        <f aca="false">IF(A152="","",IF(T152="",Settings!$B$5,T152)&amp;IF(ISNUMBER(FIND("?",IF(T152="",Settings!$B$5,T152))),"&amp;","?")&amp;"utm_source="&amp;V152&amp;"&amp;utm_medium="&amp;W152&amp;"&amp;utm_campaign="&amp;X152&amp;"&amp;utm_content="&amp;Y152)</f>
        <v/>
      </c>
      <c r="AA152" s="29"/>
      <c r="AB152" s="39"/>
      <c r="AC152" s="32"/>
      <c r="AD152" s="32"/>
      <c r="AE152" s="32"/>
      <c r="AF152" s="32"/>
      <c r="AG152" s="32"/>
      <c r="AH152" s="32"/>
      <c r="AI152" s="32"/>
      <c r="AJ152" s="32"/>
      <c r="AK152" s="32"/>
      <c r="AL152" s="32"/>
      <c r="AM152" s="32"/>
      <c r="AN152" s="32"/>
      <c r="AO152" s="33" t="str">
        <f aca="false">IF(A152="","",IF(AD152&lt;&gt;"",AD152,IF(AC152&lt;&gt;"",AC152,"")))</f>
        <v/>
      </c>
      <c r="AP152" s="24" t="str">
        <f aca="false">IF(AO152="","",IF(AD152&lt;&gt;"","Reported reach","Impressions (proxy)"))</f>
        <v/>
      </c>
      <c r="AQ152" s="34" t="str">
        <f aca="false">IF(OR(AO152="",N(S152)=0),"",AO152/S152)</f>
        <v/>
      </c>
      <c r="AR152" s="33" t="str">
        <f aca="false">IF(A152="","",IF(COUNT(AF152:AJ152)=0,"",SUM(AF152:AJ152)))</f>
        <v/>
      </c>
      <c r="AS152" s="34" t="str">
        <f aca="false">IF(OR(AR152="",N(AO152)=0),"",AR152/AO152)</f>
        <v/>
      </c>
      <c r="AT152" s="34" t="str">
        <f aca="false">IF(OR(AR152="",N(AC152)=0),"",AR152/AC152)</f>
        <v/>
      </c>
      <c r="AU152" s="34" t="str">
        <f aca="false">IF(OR(AR152="",N(S152)=0),"",AR152/S152)</f>
        <v/>
      </c>
      <c r="AV152" s="34" t="str">
        <f aca="false">IF(OR(AJ152="",N(AC152)=0),"",AJ152/AC152)</f>
        <v/>
      </c>
      <c r="AW152" s="34" t="str">
        <f aca="false">IF(OR(AH152="",N(AO152)=0),"",AH152/AO152)</f>
        <v/>
      </c>
      <c r="AX152" s="35" t="str">
        <f aca="false">IF(OR(AR152="",N(AO152)=0),"",(N(AF152)*Settings!$B$6+N(AG152)*Settings!$B$7+N(AH152)*Settings!$B$8+N(AI152)*Settings!$B$9+N(AJ152)*Settings!$B$10)/AO152*1000)</f>
        <v/>
      </c>
      <c r="AY152" s="36" t="str">
        <f aca="false">IF(AS152="","",IFERROR(AS152/AVERAGEIFS('Post Tracker'!$AS$5:$AS$1004,'Post Tracker'!$G$5:$G$1004,G152),""))</f>
        <v/>
      </c>
      <c r="AZ152" s="32"/>
      <c r="BA152" s="32"/>
      <c r="BB152" s="32"/>
      <c r="BC152" s="32"/>
      <c r="BD152" s="33" t="str">
        <f aca="false">IF(A152="","",COUNTIFS('Demo Pipeline'!$Q$5:$Q$504,A152))</f>
        <v/>
      </c>
      <c r="BE152" s="33" t="str">
        <f aca="false">IF(A152="","",COUNTIFS('Demo Pipeline'!$Q$5:$Q$504,A152,'Demo Pipeline'!$W$5:$W$504,"Attended"))</f>
        <v/>
      </c>
      <c r="BF152" s="33" t="str">
        <f aca="false">IF(A152="","",COUNTIFS('Demo Pipeline'!$Q$5:$Q$504,A152,'Demo Pipeline'!$X$5:$X$504,"Yes"))</f>
        <v/>
      </c>
      <c r="BG152" s="33" t="str">
        <f aca="false">IF(A152="","",COUNTIFS('Demo Pipeline'!$Q$5:$Q$504,A152,'Demo Pipeline'!$Y$5:$Y$504,"Closed Won"))</f>
        <v/>
      </c>
      <c r="BH152" s="37" t="str">
        <f aca="false">IF(A152="","",SUMIFS('Demo Pipeline'!$Z$5:$Z$504,'Demo Pipeline'!$Q$5:$Q$504,A152))</f>
        <v/>
      </c>
      <c r="BI152" s="34" t="str">
        <f aca="false">IF(OR(AZ152="",N(AJ152)=0),"",AZ152/AJ152)</f>
        <v/>
      </c>
      <c r="BJ152" s="34" t="str">
        <f aca="false">IF(OR(BB152="",N(AZ152)=0),"",BB152/AZ152)</f>
        <v/>
      </c>
      <c r="BK152" s="34" t="str">
        <f aca="false">IF(OR(A152="",N(BB152)=0),"",BD152/BB152)</f>
        <v/>
      </c>
      <c r="BL152" s="34" t="str">
        <f aca="false">IF(OR(A152="",N(AZ152)=0),"",BD152/AZ152)</f>
        <v/>
      </c>
      <c r="BM152" s="37" t="str">
        <f aca="false">IF(OR(N(Q152)=0,N(BD152)=0),"",Q152/BD152)</f>
        <v/>
      </c>
      <c r="BN152" s="29"/>
      <c r="BO152" s="29"/>
      <c r="BP152" s="33" t="str">
        <f aca="false">IF(OR(AR152="",N(AO152)=0),"",AR152)</f>
        <v/>
      </c>
      <c r="BQ152" s="33" t="str">
        <f aca="false">IF(OR(AR152="",N(S152)=0),"",S152)</f>
        <v/>
      </c>
      <c r="BR152" s="38" t="str">
        <f aca="false">IF(AND(ISNUMBER(B152),B152&gt;=Dashboard!$C$4,B152&lt;=Dashboard!$F$4,ISNUMBER(AU152)),AU152+ROW()/10^9,"")</f>
        <v/>
      </c>
      <c r="BS152" s="38" t="str">
        <f aca="false">IF(AND(ISNUMBER(B152),B152&gt;=Dashboard!$C$4,B152&lt;=Dashboard!$F$4,A152&lt;&gt;""),N(BD152)+N(AU152)/100+ROW()/10^9,"")</f>
        <v/>
      </c>
    </row>
    <row r="153" customFormat="false" ht="15" hidden="false" customHeight="false" outlineLevel="0" collapsed="false">
      <c r="A153" s="24" t="str">
        <f aca="false">IF(OR(B153="",G153="",H153=""),"",IFERROR(INDEX(Settings!$E$5:$E$49,MATCH(G153,Settings!$D$5:$D$49,0))&amp;INDEX(Settings!$H$5:$H$47,MATCH(H153,Settings!$G$5:$G$47,0))&amp;"-"&amp;TEXT(B153,"yymmdd")&amp;"-"&amp;IF(C153="","0000",TEXT(C153,"hhmm")),"CHECK LISTS"))</f>
        <v/>
      </c>
      <c r="B153" s="39"/>
      <c r="C153" s="40"/>
      <c r="D153" s="24" t="str">
        <f aca="false">IF(B153="","",TEXT(B153,"ddd"))</f>
        <v/>
      </c>
      <c r="E153" s="27" t="str">
        <f aca="false">IF(B153="","",B153-WEEKDAY(B153,3))</f>
        <v/>
      </c>
      <c r="F153" s="24" t="str">
        <f aca="false">IF(B153="","",TEXT(B153,"yyyy-mm"))</f>
        <v/>
      </c>
      <c r="G153" s="29"/>
      <c r="H153" s="29"/>
      <c r="I153" s="29"/>
      <c r="J153" s="29"/>
      <c r="K153" s="29"/>
      <c r="L153" s="29"/>
      <c r="M153" s="29"/>
      <c r="N153" s="29"/>
      <c r="O153" s="29"/>
      <c r="P153" s="29"/>
      <c r="Q153" s="30"/>
      <c r="R153" s="29"/>
      <c r="S153" s="32"/>
      <c r="T153" s="29"/>
      <c r="U153" s="29"/>
      <c r="V153" s="24" t="str">
        <f aca="false">IF(A153="","",IFERROR(INDEX(Settings!$F$5:$F$49,MATCH(G153,Settings!$D$5:$D$49,0)),""))</f>
        <v/>
      </c>
      <c r="W153" s="24" t="str">
        <f aca="false">IF(A153="","",IF(OR(P153="",P153="Organic"),"social","paid_social"))</f>
        <v/>
      </c>
      <c r="X153" s="24" t="str">
        <f aca="false">IF(A153="","",IF(K153&lt;&gt;"",IFERROR(INDEX('Case Studies'!$C$5:$C$54,MATCH(K153,'Case Studies'!$B$5:$B$54,0))&amp;"","case-study"),IF(J153&lt;&gt;"",IFERROR(INDEX(Settings!$J$5:$J$55,MATCH(J153,Settings!$I$5:$I$55,0)),"general"),"general")))</f>
        <v/>
      </c>
      <c r="Y153" s="24" t="str">
        <f aca="false">IF(A153="","",LOWER(A153))</f>
        <v/>
      </c>
      <c r="Z153" s="24" t="str">
        <f aca="false">IF(A153="","",IF(T153="",Settings!$B$5,T153)&amp;IF(ISNUMBER(FIND("?",IF(T153="",Settings!$B$5,T153))),"&amp;","?")&amp;"utm_source="&amp;V153&amp;"&amp;utm_medium="&amp;W153&amp;"&amp;utm_campaign="&amp;X153&amp;"&amp;utm_content="&amp;Y153)</f>
        <v/>
      </c>
      <c r="AA153" s="29"/>
      <c r="AB153" s="39"/>
      <c r="AC153" s="32"/>
      <c r="AD153" s="32"/>
      <c r="AE153" s="32"/>
      <c r="AF153" s="32"/>
      <c r="AG153" s="32"/>
      <c r="AH153" s="32"/>
      <c r="AI153" s="32"/>
      <c r="AJ153" s="32"/>
      <c r="AK153" s="32"/>
      <c r="AL153" s="32"/>
      <c r="AM153" s="32"/>
      <c r="AN153" s="32"/>
      <c r="AO153" s="33" t="str">
        <f aca="false">IF(A153="","",IF(AD153&lt;&gt;"",AD153,IF(AC153&lt;&gt;"",AC153,"")))</f>
        <v/>
      </c>
      <c r="AP153" s="24" t="str">
        <f aca="false">IF(AO153="","",IF(AD153&lt;&gt;"","Reported reach","Impressions (proxy)"))</f>
        <v/>
      </c>
      <c r="AQ153" s="34" t="str">
        <f aca="false">IF(OR(AO153="",N(S153)=0),"",AO153/S153)</f>
        <v/>
      </c>
      <c r="AR153" s="33" t="str">
        <f aca="false">IF(A153="","",IF(COUNT(AF153:AJ153)=0,"",SUM(AF153:AJ153)))</f>
        <v/>
      </c>
      <c r="AS153" s="34" t="str">
        <f aca="false">IF(OR(AR153="",N(AO153)=0),"",AR153/AO153)</f>
        <v/>
      </c>
      <c r="AT153" s="34" t="str">
        <f aca="false">IF(OR(AR153="",N(AC153)=0),"",AR153/AC153)</f>
        <v/>
      </c>
      <c r="AU153" s="34" t="str">
        <f aca="false">IF(OR(AR153="",N(S153)=0),"",AR153/S153)</f>
        <v/>
      </c>
      <c r="AV153" s="34" t="str">
        <f aca="false">IF(OR(AJ153="",N(AC153)=0),"",AJ153/AC153)</f>
        <v/>
      </c>
      <c r="AW153" s="34" t="str">
        <f aca="false">IF(OR(AH153="",N(AO153)=0),"",AH153/AO153)</f>
        <v/>
      </c>
      <c r="AX153" s="35" t="str">
        <f aca="false">IF(OR(AR153="",N(AO153)=0),"",(N(AF153)*Settings!$B$6+N(AG153)*Settings!$B$7+N(AH153)*Settings!$B$8+N(AI153)*Settings!$B$9+N(AJ153)*Settings!$B$10)/AO153*1000)</f>
        <v/>
      </c>
      <c r="AY153" s="36" t="str">
        <f aca="false">IF(AS153="","",IFERROR(AS153/AVERAGEIFS('Post Tracker'!$AS$5:$AS$1004,'Post Tracker'!$G$5:$G$1004,G153),""))</f>
        <v/>
      </c>
      <c r="AZ153" s="32"/>
      <c r="BA153" s="32"/>
      <c r="BB153" s="32"/>
      <c r="BC153" s="32"/>
      <c r="BD153" s="33" t="str">
        <f aca="false">IF(A153="","",COUNTIFS('Demo Pipeline'!$Q$5:$Q$504,A153))</f>
        <v/>
      </c>
      <c r="BE153" s="33" t="str">
        <f aca="false">IF(A153="","",COUNTIFS('Demo Pipeline'!$Q$5:$Q$504,A153,'Demo Pipeline'!$W$5:$W$504,"Attended"))</f>
        <v/>
      </c>
      <c r="BF153" s="33" t="str">
        <f aca="false">IF(A153="","",COUNTIFS('Demo Pipeline'!$Q$5:$Q$504,A153,'Demo Pipeline'!$X$5:$X$504,"Yes"))</f>
        <v/>
      </c>
      <c r="BG153" s="33" t="str">
        <f aca="false">IF(A153="","",COUNTIFS('Demo Pipeline'!$Q$5:$Q$504,A153,'Demo Pipeline'!$Y$5:$Y$504,"Closed Won"))</f>
        <v/>
      </c>
      <c r="BH153" s="37" t="str">
        <f aca="false">IF(A153="","",SUMIFS('Demo Pipeline'!$Z$5:$Z$504,'Demo Pipeline'!$Q$5:$Q$504,A153))</f>
        <v/>
      </c>
      <c r="BI153" s="34" t="str">
        <f aca="false">IF(OR(AZ153="",N(AJ153)=0),"",AZ153/AJ153)</f>
        <v/>
      </c>
      <c r="BJ153" s="34" t="str">
        <f aca="false">IF(OR(BB153="",N(AZ153)=0),"",BB153/AZ153)</f>
        <v/>
      </c>
      <c r="BK153" s="34" t="str">
        <f aca="false">IF(OR(A153="",N(BB153)=0),"",BD153/BB153)</f>
        <v/>
      </c>
      <c r="BL153" s="34" t="str">
        <f aca="false">IF(OR(A153="",N(AZ153)=0),"",BD153/AZ153)</f>
        <v/>
      </c>
      <c r="BM153" s="37" t="str">
        <f aca="false">IF(OR(N(Q153)=0,N(BD153)=0),"",Q153/BD153)</f>
        <v/>
      </c>
      <c r="BN153" s="29"/>
      <c r="BO153" s="29"/>
      <c r="BP153" s="33" t="str">
        <f aca="false">IF(OR(AR153="",N(AO153)=0),"",AR153)</f>
        <v/>
      </c>
      <c r="BQ153" s="33" t="str">
        <f aca="false">IF(OR(AR153="",N(S153)=0),"",S153)</f>
        <v/>
      </c>
      <c r="BR153" s="38" t="str">
        <f aca="false">IF(AND(ISNUMBER(B153),B153&gt;=Dashboard!$C$4,B153&lt;=Dashboard!$F$4,ISNUMBER(AU153)),AU153+ROW()/10^9,"")</f>
        <v/>
      </c>
      <c r="BS153" s="38" t="str">
        <f aca="false">IF(AND(ISNUMBER(B153),B153&gt;=Dashboard!$C$4,B153&lt;=Dashboard!$F$4,A153&lt;&gt;""),N(BD153)+N(AU153)/100+ROW()/10^9,"")</f>
        <v/>
      </c>
    </row>
    <row r="154" customFormat="false" ht="15" hidden="false" customHeight="false" outlineLevel="0" collapsed="false">
      <c r="A154" s="24" t="str">
        <f aca="false">IF(OR(B154="",G154="",H154=""),"",IFERROR(INDEX(Settings!$E$5:$E$49,MATCH(G154,Settings!$D$5:$D$49,0))&amp;INDEX(Settings!$H$5:$H$47,MATCH(H154,Settings!$G$5:$G$47,0))&amp;"-"&amp;TEXT(B154,"yymmdd")&amp;"-"&amp;IF(C154="","0000",TEXT(C154,"hhmm")),"CHECK LISTS"))</f>
        <v/>
      </c>
      <c r="B154" s="39"/>
      <c r="C154" s="40"/>
      <c r="D154" s="24" t="str">
        <f aca="false">IF(B154="","",TEXT(B154,"ddd"))</f>
        <v/>
      </c>
      <c r="E154" s="27" t="str">
        <f aca="false">IF(B154="","",B154-WEEKDAY(B154,3))</f>
        <v/>
      </c>
      <c r="F154" s="24" t="str">
        <f aca="false">IF(B154="","",TEXT(B154,"yyyy-mm"))</f>
        <v/>
      </c>
      <c r="G154" s="29"/>
      <c r="H154" s="29"/>
      <c r="I154" s="29"/>
      <c r="J154" s="29"/>
      <c r="K154" s="29"/>
      <c r="L154" s="29"/>
      <c r="M154" s="29"/>
      <c r="N154" s="29"/>
      <c r="O154" s="29"/>
      <c r="P154" s="29"/>
      <c r="Q154" s="30"/>
      <c r="R154" s="29"/>
      <c r="S154" s="32"/>
      <c r="T154" s="29"/>
      <c r="U154" s="29"/>
      <c r="V154" s="24" t="str">
        <f aca="false">IF(A154="","",IFERROR(INDEX(Settings!$F$5:$F$49,MATCH(G154,Settings!$D$5:$D$49,0)),""))</f>
        <v/>
      </c>
      <c r="W154" s="24" t="str">
        <f aca="false">IF(A154="","",IF(OR(P154="",P154="Organic"),"social","paid_social"))</f>
        <v/>
      </c>
      <c r="X154" s="24" t="str">
        <f aca="false">IF(A154="","",IF(K154&lt;&gt;"",IFERROR(INDEX('Case Studies'!$C$5:$C$54,MATCH(K154,'Case Studies'!$B$5:$B$54,0))&amp;"","case-study"),IF(J154&lt;&gt;"",IFERROR(INDEX(Settings!$J$5:$J$55,MATCH(J154,Settings!$I$5:$I$55,0)),"general"),"general")))</f>
        <v/>
      </c>
      <c r="Y154" s="24" t="str">
        <f aca="false">IF(A154="","",LOWER(A154))</f>
        <v/>
      </c>
      <c r="Z154" s="24" t="str">
        <f aca="false">IF(A154="","",IF(T154="",Settings!$B$5,T154)&amp;IF(ISNUMBER(FIND("?",IF(T154="",Settings!$B$5,T154))),"&amp;","?")&amp;"utm_source="&amp;V154&amp;"&amp;utm_medium="&amp;W154&amp;"&amp;utm_campaign="&amp;X154&amp;"&amp;utm_content="&amp;Y154)</f>
        <v/>
      </c>
      <c r="AA154" s="29"/>
      <c r="AB154" s="39"/>
      <c r="AC154" s="32"/>
      <c r="AD154" s="32"/>
      <c r="AE154" s="32"/>
      <c r="AF154" s="32"/>
      <c r="AG154" s="32"/>
      <c r="AH154" s="32"/>
      <c r="AI154" s="32"/>
      <c r="AJ154" s="32"/>
      <c r="AK154" s="32"/>
      <c r="AL154" s="32"/>
      <c r="AM154" s="32"/>
      <c r="AN154" s="32"/>
      <c r="AO154" s="33" t="str">
        <f aca="false">IF(A154="","",IF(AD154&lt;&gt;"",AD154,IF(AC154&lt;&gt;"",AC154,"")))</f>
        <v/>
      </c>
      <c r="AP154" s="24" t="str">
        <f aca="false">IF(AO154="","",IF(AD154&lt;&gt;"","Reported reach","Impressions (proxy)"))</f>
        <v/>
      </c>
      <c r="AQ154" s="34" t="str">
        <f aca="false">IF(OR(AO154="",N(S154)=0),"",AO154/S154)</f>
        <v/>
      </c>
      <c r="AR154" s="33" t="str">
        <f aca="false">IF(A154="","",IF(COUNT(AF154:AJ154)=0,"",SUM(AF154:AJ154)))</f>
        <v/>
      </c>
      <c r="AS154" s="34" t="str">
        <f aca="false">IF(OR(AR154="",N(AO154)=0),"",AR154/AO154)</f>
        <v/>
      </c>
      <c r="AT154" s="34" t="str">
        <f aca="false">IF(OR(AR154="",N(AC154)=0),"",AR154/AC154)</f>
        <v/>
      </c>
      <c r="AU154" s="34" t="str">
        <f aca="false">IF(OR(AR154="",N(S154)=0),"",AR154/S154)</f>
        <v/>
      </c>
      <c r="AV154" s="34" t="str">
        <f aca="false">IF(OR(AJ154="",N(AC154)=0),"",AJ154/AC154)</f>
        <v/>
      </c>
      <c r="AW154" s="34" t="str">
        <f aca="false">IF(OR(AH154="",N(AO154)=0),"",AH154/AO154)</f>
        <v/>
      </c>
      <c r="AX154" s="35" t="str">
        <f aca="false">IF(OR(AR154="",N(AO154)=0),"",(N(AF154)*Settings!$B$6+N(AG154)*Settings!$B$7+N(AH154)*Settings!$B$8+N(AI154)*Settings!$B$9+N(AJ154)*Settings!$B$10)/AO154*1000)</f>
        <v/>
      </c>
      <c r="AY154" s="36" t="str">
        <f aca="false">IF(AS154="","",IFERROR(AS154/AVERAGEIFS('Post Tracker'!$AS$5:$AS$1004,'Post Tracker'!$G$5:$G$1004,G154),""))</f>
        <v/>
      </c>
      <c r="AZ154" s="32"/>
      <c r="BA154" s="32"/>
      <c r="BB154" s="32"/>
      <c r="BC154" s="32"/>
      <c r="BD154" s="33" t="str">
        <f aca="false">IF(A154="","",COUNTIFS('Demo Pipeline'!$Q$5:$Q$504,A154))</f>
        <v/>
      </c>
      <c r="BE154" s="33" t="str">
        <f aca="false">IF(A154="","",COUNTIFS('Demo Pipeline'!$Q$5:$Q$504,A154,'Demo Pipeline'!$W$5:$W$504,"Attended"))</f>
        <v/>
      </c>
      <c r="BF154" s="33" t="str">
        <f aca="false">IF(A154="","",COUNTIFS('Demo Pipeline'!$Q$5:$Q$504,A154,'Demo Pipeline'!$X$5:$X$504,"Yes"))</f>
        <v/>
      </c>
      <c r="BG154" s="33" t="str">
        <f aca="false">IF(A154="","",COUNTIFS('Demo Pipeline'!$Q$5:$Q$504,A154,'Demo Pipeline'!$Y$5:$Y$504,"Closed Won"))</f>
        <v/>
      </c>
      <c r="BH154" s="37" t="str">
        <f aca="false">IF(A154="","",SUMIFS('Demo Pipeline'!$Z$5:$Z$504,'Demo Pipeline'!$Q$5:$Q$504,A154))</f>
        <v/>
      </c>
      <c r="BI154" s="34" t="str">
        <f aca="false">IF(OR(AZ154="",N(AJ154)=0),"",AZ154/AJ154)</f>
        <v/>
      </c>
      <c r="BJ154" s="34" t="str">
        <f aca="false">IF(OR(BB154="",N(AZ154)=0),"",BB154/AZ154)</f>
        <v/>
      </c>
      <c r="BK154" s="34" t="str">
        <f aca="false">IF(OR(A154="",N(BB154)=0),"",BD154/BB154)</f>
        <v/>
      </c>
      <c r="BL154" s="34" t="str">
        <f aca="false">IF(OR(A154="",N(AZ154)=0),"",BD154/AZ154)</f>
        <v/>
      </c>
      <c r="BM154" s="37" t="str">
        <f aca="false">IF(OR(N(Q154)=0,N(BD154)=0),"",Q154/BD154)</f>
        <v/>
      </c>
      <c r="BN154" s="29"/>
      <c r="BO154" s="29"/>
      <c r="BP154" s="33" t="str">
        <f aca="false">IF(OR(AR154="",N(AO154)=0),"",AR154)</f>
        <v/>
      </c>
      <c r="BQ154" s="33" t="str">
        <f aca="false">IF(OR(AR154="",N(S154)=0),"",S154)</f>
        <v/>
      </c>
      <c r="BR154" s="38" t="str">
        <f aca="false">IF(AND(ISNUMBER(B154),B154&gt;=Dashboard!$C$4,B154&lt;=Dashboard!$F$4,ISNUMBER(AU154)),AU154+ROW()/10^9,"")</f>
        <v/>
      </c>
      <c r="BS154" s="38" t="str">
        <f aca="false">IF(AND(ISNUMBER(B154),B154&gt;=Dashboard!$C$4,B154&lt;=Dashboard!$F$4,A154&lt;&gt;""),N(BD154)+N(AU154)/100+ROW()/10^9,"")</f>
        <v/>
      </c>
    </row>
    <row r="155" customFormat="false" ht="15" hidden="false" customHeight="false" outlineLevel="0" collapsed="false">
      <c r="A155" s="24" t="str">
        <f aca="false">IF(OR(B155="",G155="",H155=""),"",IFERROR(INDEX(Settings!$E$5:$E$49,MATCH(G155,Settings!$D$5:$D$49,0))&amp;INDEX(Settings!$H$5:$H$47,MATCH(H155,Settings!$G$5:$G$47,0))&amp;"-"&amp;TEXT(B155,"yymmdd")&amp;"-"&amp;IF(C155="","0000",TEXT(C155,"hhmm")),"CHECK LISTS"))</f>
        <v/>
      </c>
      <c r="B155" s="39"/>
      <c r="C155" s="40"/>
      <c r="D155" s="24" t="str">
        <f aca="false">IF(B155="","",TEXT(B155,"ddd"))</f>
        <v/>
      </c>
      <c r="E155" s="27" t="str">
        <f aca="false">IF(B155="","",B155-WEEKDAY(B155,3))</f>
        <v/>
      </c>
      <c r="F155" s="24" t="str">
        <f aca="false">IF(B155="","",TEXT(B155,"yyyy-mm"))</f>
        <v/>
      </c>
      <c r="G155" s="29"/>
      <c r="H155" s="29"/>
      <c r="I155" s="29"/>
      <c r="J155" s="29"/>
      <c r="K155" s="29"/>
      <c r="L155" s="29"/>
      <c r="M155" s="29"/>
      <c r="N155" s="29"/>
      <c r="O155" s="29"/>
      <c r="P155" s="29"/>
      <c r="Q155" s="30"/>
      <c r="R155" s="29"/>
      <c r="S155" s="32"/>
      <c r="T155" s="29"/>
      <c r="U155" s="29"/>
      <c r="V155" s="24" t="str">
        <f aca="false">IF(A155="","",IFERROR(INDEX(Settings!$F$5:$F$49,MATCH(G155,Settings!$D$5:$D$49,0)),""))</f>
        <v/>
      </c>
      <c r="W155" s="24" t="str">
        <f aca="false">IF(A155="","",IF(OR(P155="",P155="Organic"),"social","paid_social"))</f>
        <v/>
      </c>
      <c r="X155" s="24" t="str">
        <f aca="false">IF(A155="","",IF(K155&lt;&gt;"",IFERROR(INDEX('Case Studies'!$C$5:$C$54,MATCH(K155,'Case Studies'!$B$5:$B$54,0))&amp;"","case-study"),IF(J155&lt;&gt;"",IFERROR(INDEX(Settings!$J$5:$J$55,MATCH(J155,Settings!$I$5:$I$55,0)),"general"),"general")))</f>
        <v/>
      </c>
      <c r="Y155" s="24" t="str">
        <f aca="false">IF(A155="","",LOWER(A155))</f>
        <v/>
      </c>
      <c r="Z155" s="24" t="str">
        <f aca="false">IF(A155="","",IF(T155="",Settings!$B$5,T155)&amp;IF(ISNUMBER(FIND("?",IF(T155="",Settings!$B$5,T155))),"&amp;","?")&amp;"utm_source="&amp;V155&amp;"&amp;utm_medium="&amp;W155&amp;"&amp;utm_campaign="&amp;X155&amp;"&amp;utm_content="&amp;Y155)</f>
        <v/>
      </c>
      <c r="AA155" s="29"/>
      <c r="AB155" s="39"/>
      <c r="AC155" s="32"/>
      <c r="AD155" s="32"/>
      <c r="AE155" s="32"/>
      <c r="AF155" s="32"/>
      <c r="AG155" s="32"/>
      <c r="AH155" s="32"/>
      <c r="AI155" s="32"/>
      <c r="AJ155" s="32"/>
      <c r="AK155" s="32"/>
      <c r="AL155" s="32"/>
      <c r="AM155" s="32"/>
      <c r="AN155" s="32"/>
      <c r="AO155" s="33" t="str">
        <f aca="false">IF(A155="","",IF(AD155&lt;&gt;"",AD155,IF(AC155&lt;&gt;"",AC155,"")))</f>
        <v/>
      </c>
      <c r="AP155" s="24" t="str">
        <f aca="false">IF(AO155="","",IF(AD155&lt;&gt;"","Reported reach","Impressions (proxy)"))</f>
        <v/>
      </c>
      <c r="AQ155" s="34" t="str">
        <f aca="false">IF(OR(AO155="",N(S155)=0),"",AO155/S155)</f>
        <v/>
      </c>
      <c r="AR155" s="33" t="str">
        <f aca="false">IF(A155="","",IF(COUNT(AF155:AJ155)=0,"",SUM(AF155:AJ155)))</f>
        <v/>
      </c>
      <c r="AS155" s="34" t="str">
        <f aca="false">IF(OR(AR155="",N(AO155)=0),"",AR155/AO155)</f>
        <v/>
      </c>
      <c r="AT155" s="34" t="str">
        <f aca="false">IF(OR(AR155="",N(AC155)=0),"",AR155/AC155)</f>
        <v/>
      </c>
      <c r="AU155" s="34" t="str">
        <f aca="false">IF(OR(AR155="",N(S155)=0),"",AR155/S155)</f>
        <v/>
      </c>
      <c r="AV155" s="34" t="str">
        <f aca="false">IF(OR(AJ155="",N(AC155)=0),"",AJ155/AC155)</f>
        <v/>
      </c>
      <c r="AW155" s="34" t="str">
        <f aca="false">IF(OR(AH155="",N(AO155)=0),"",AH155/AO155)</f>
        <v/>
      </c>
      <c r="AX155" s="35" t="str">
        <f aca="false">IF(OR(AR155="",N(AO155)=0),"",(N(AF155)*Settings!$B$6+N(AG155)*Settings!$B$7+N(AH155)*Settings!$B$8+N(AI155)*Settings!$B$9+N(AJ155)*Settings!$B$10)/AO155*1000)</f>
        <v/>
      </c>
      <c r="AY155" s="36" t="str">
        <f aca="false">IF(AS155="","",IFERROR(AS155/AVERAGEIFS('Post Tracker'!$AS$5:$AS$1004,'Post Tracker'!$G$5:$G$1004,G155),""))</f>
        <v/>
      </c>
      <c r="AZ155" s="32"/>
      <c r="BA155" s="32"/>
      <c r="BB155" s="32"/>
      <c r="BC155" s="32"/>
      <c r="BD155" s="33" t="str">
        <f aca="false">IF(A155="","",COUNTIFS('Demo Pipeline'!$Q$5:$Q$504,A155))</f>
        <v/>
      </c>
      <c r="BE155" s="33" t="str">
        <f aca="false">IF(A155="","",COUNTIFS('Demo Pipeline'!$Q$5:$Q$504,A155,'Demo Pipeline'!$W$5:$W$504,"Attended"))</f>
        <v/>
      </c>
      <c r="BF155" s="33" t="str">
        <f aca="false">IF(A155="","",COUNTIFS('Demo Pipeline'!$Q$5:$Q$504,A155,'Demo Pipeline'!$X$5:$X$504,"Yes"))</f>
        <v/>
      </c>
      <c r="BG155" s="33" t="str">
        <f aca="false">IF(A155="","",COUNTIFS('Demo Pipeline'!$Q$5:$Q$504,A155,'Demo Pipeline'!$Y$5:$Y$504,"Closed Won"))</f>
        <v/>
      </c>
      <c r="BH155" s="37" t="str">
        <f aca="false">IF(A155="","",SUMIFS('Demo Pipeline'!$Z$5:$Z$504,'Demo Pipeline'!$Q$5:$Q$504,A155))</f>
        <v/>
      </c>
      <c r="BI155" s="34" t="str">
        <f aca="false">IF(OR(AZ155="",N(AJ155)=0),"",AZ155/AJ155)</f>
        <v/>
      </c>
      <c r="BJ155" s="34" t="str">
        <f aca="false">IF(OR(BB155="",N(AZ155)=0),"",BB155/AZ155)</f>
        <v/>
      </c>
      <c r="BK155" s="34" t="str">
        <f aca="false">IF(OR(A155="",N(BB155)=0),"",BD155/BB155)</f>
        <v/>
      </c>
      <c r="BL155" s="34" t="str">
        <f aca="false">IF(OR(A155="",N(AZ155)=0),"",BD155/AZ155)</f>
        <v/>
      </c>
      <c r="BM155" s="37" t="str">
        <f aca="false">IF(OR(N(Q155)=0,N(BD155)=0),"",Q155/BD155)</f>
        <v/>
      </c>
      <c r="BN155" s="29"/>
      <c r="BO155" s="29"/>
      <c r="BP155" s="33" t="str">
        <f aca="false">IF(OR(AR155="",N(AO155)=0),"",AR155)</f>
        <v/>
      </c>
      <c r="BQ155" s="33" t="str">
        <f aca="false">IF(OR(AR155="",N(S155)=0),"",S155)</f>
        <v/>
      </c>
      <c r="BR155" s="38" t="str">
        <f aca="false">IF(AND(ISNUMBER(B155),B155&gt;=Dashboard!$C$4,B155&lt;=Dashboard!$F$4,ISNUMBER(AU155)),AU155+ROW()/10^9,"")</f>
        <v/>
      </c>
      <c r="BS155" s="38" t="str">
        <f aca="false">IF(AND(ISNUMBER(B155),B155&gt;=Dashboard!$C$4,B155&lt;=Dashboard!$F$4,A155&lt;&gt;""),N(BD155)+N(AU155)/100+ROW()/10^9,"")</f>
        <v/>
      </c>
    </row>
    <row r="156" customFormat="false" ht="15" hidden="false" customHeight="false" outlineLevel="0" collapsed="false">
      <c r="A156" s="24" t="str">
        <f aca="false">IF(OR(B156="",G156="",H156=""),"",IFERROR(INDEX(Settings!$E$5:$E$49,MATCH(G156,Settings!$D$5:$D$49,0))&amp;INDEX(Settings!$H$5:$H$47,MATCH(H156,Settings!$G$5:$G$47,0))&amp;"-"&amp;TEXT(B156,"yymmdd")&amp;"-"&amp;IF(C156="","0000",TEXT(C156,"hhmm")),"CHECK LISTS"))</f>
        <v/>
      </c>
      <c r="B156" s="39"/>
      <c r="C156" s="40"/>
      <c r="D156" s="24" t="str">
        <f aca="false">IF(B156="","",TEXT(B156,"ddd"))</f>
        <v/>
      </c>
      <c r="E156" s="27" t="str">
        <f aca="false">IF(B156="","",B156-WEEKDAY(B156,3))</f>
        <v/>
      </c>
      <c r="F156" s="24" t="str">
        <f aca="false">IF(B156="","",TEXT(B156,"yyyy-mm"))</f>
        <v/>
      </c>
      <c r="G156" s="29"/>
      <c r="H156" s="29"/>
      <c r="I156" s="29"/>
      <c r="J156" s="29"/>
      <c r="K156" s="29"/>
      <c r="L156" s="29"/>
      <c r="M156" s="29"/>
      <c r="N156" s="29"/>
      <c r="O156" s="29"/>
      <c r="P156" s="29"/>
      <c r="Q156" s="30"/>
      <c r="R156" s="29"/>
      <c r="S156" s="32"/>
      <c r="T156" s="29"/>
      <c r="U156" s="29"/>
      <c r="V156" s="24" t="str">
        <f aca="false">IF(A156="","",IFERROR(INDEX(Settings!$F$5:$F$49,MATCH(G156,Settings!$D$5:$D$49,0)),""))</f>
        <v/>
      </c>
      <c r="W156" s="24" t="str">
        <f aca="false">IF(A156="","",IF(OR(P156="",P156="Organic"),"social","paid_social"))</f>
        <v/>
      </c>
      <c r="X156" s="24" t="str">
        <f aca="false">IF(A156="","",IF(K156&lt;&gt;"",IFERROR(INDEX('Case Studies'!$C$5:$C$54,MATCH(K156,'Case Studies'!$B$5:$B$54,0))&amp;"","case-study"),IF(J156&lt;&gt;"",IFERROR(INDEX(Settings!$J$5:$J$55,MATCH(J156,Settings!$I$5:$I$55,0)),"general"),"general")))</f>
        <v/>
      </c>
      <c r="Y156" s="24" t="str">
        <f aca="false">IF(A156="","",LOWER(A156))</f>
        <v/>
      </c>
      <c r="Z156" s="24" t="str">
        <f aca="false">IF(A156="","",IF(T156="",Settings!$B$5,T156)&amp;IF(ISNUMBER(FIND("?",IF(T156="",Settings!$B$5,T156))),"&amp;","?")&amp;"utm_source="&amp;V156&amp;"&amp;utm_medium="&amp;W156&amp;"&amp;utm_campaign="&amp;X156&amp;"&amp;utm_content="&amp;Y156)</f>
        <v/>
      </c>
      <c r="AA156" s="29"/>
      <c r="AB156" s="39"/>
      <c r="AC156" s="32"/>
      <c r="AD156" s="32"/>
      <c r="AE156" s="32"/>
      <c r="AF156" s="32"/>
      <c r="AG156" s="32"/>
      <c r="AH156" s="32"/>
      <c r="AI156" s="32"/>
      <c r="AJ156" s="32"/>
      <c r="AK156" s="32"/>
      <c r="AL156" s="32"/>
      <c r="AM156" s="32"/>
      <c r="AN156" s="32"/>
      <c r="AO156" s="33" t="str">
        <f aca="false">IF(A156="","",IF(AD156&lt;&gt;"",AD156,IF(AC156&lt;&gt;"",AC156,"")))</f>
        <v/>
      </c>
      <c r="AP156" s="24" t="str">
        <f aca="false">IF(AO156="","",IF(AD156&lt;&gt;"","Reported reach","Impressions (proxy)"))</f>
        <v/>
      </c>
      <c r="AQ156" s="34" t="str">
        <f aca="false">IF(OR(AO156="",N(S156)=0),"",AO156/S156)</f>
        <v/>
      </c>
      <c r="AR156" s="33" t="str">
        <f aca="false">IF(A156="","",IF(COUNT(AF156:AJ156)=0,"",SUM(AF156:AJ156)))</f>
        <v/>
      </c>
      <c r="AS156" s="34" t="str">
        <f aca="false">IF(OR(AR156="",N(AO156)=0),"",AR156/AO156)</f>
        <v/>
      </c>
      <c r="AT156" s="34" t="str">
        <f aca="false">IF(OR(AR156="",N(AC156)=0),"",AR156/AC156)</f>
        <v/>
      </c>
      <c r="AU156" s="34" t="str">
        <f aca="false">IF(OR(AR156="",N(S156)=0),"",AR156/S156)</f>
        <v/>
      </c>
      <c r="AV156" s="34" t="str">
        <f aca="false">IF(OR(AJ156="",N(AC156)=0),"",AJ156/AC156)</f>
        <v/>
      </c>
      <c r="AW156" s="34" t="str">
        <f aca="false">IF(OR(AH156="",N(AO156)=0),"",AH156/AO156)</f>
        <v/>
      </c>
      <c r="AX156" s="35" t="str">
        <f aca="false">IF(OR(AR156="",N(AO156)=0),"",(N(AF156)*Settings!$B$6+N(AG156)*Settings!$B$7+N(AH156)*Settings!$B$8+N(AI156)*Settings!$B$9+N(AJ156)*Settings!$B$10)/AO156*1000)</f>
        <v/>
      </c>
      <c r="AY156" s="36" t="str">
        <f aca="false">IF(AS156="","",IFERROR(AS156/AVERAGEIFS('Post Tracker'!$AS$5:$AS$1004,'Post Tracker'!$G$5:$G$1004,G156),""))</f>
        <v/>
      </c>
      <c r="AZ156" s="32"/>
      <c r="BA156" s="32"/>
      <c r="BB156" s="32"/>
      <c r="BC156" s="32"/>
      <c r="BD156" s="33" t="str">
        <f aca="false">IF(A156="","",COUNTIFS('Demo Pipeline'!$Q$5:$Q$504,A156))</f>
        <v/>
      </c>
      <c r="BE156" s="33" t="str">
        <f aca="false">IF(A156="","",COUNTIFS('Demo Pipeline'!$Q$5:$Q$504,A156,'Demo Pipeline'!$W$5:$W$504,"Attended"))</f>
        <v/>
      </c>
      <c r="BF156" s="33" t="str">
        <f aca="false">IF(A156="","",COUNTIFS('Demo Pipeline'!$Q$5:$Q$504,A156,'Demo Pipeline'!$X$5:$X$504,"Yes"))</f>
        <v/>
      </c>
      <c r="BG156" s="33" t="str">
        <f aca="false">IF(A156="","",COUNTIFS('Demo Pipeline'!$Q$5:$Q$504,A156,'Demo Pipeline'!$Y$5:$Y$504,"Closed Won"))</f>
        <v/>
      </c>
      <c r="BH156" s="37" t="str">
        <f aca="false">IF(A156="","",SUMIFS('Demo Pipeline'!$Z$5:$Z$504,'Demo Pipeline'!$Q$5:$Q$504,A156))</f>
        <v/>
      </c>
      <c r="BI156" s="34" t="str">
        <f aca="false">IF(OR(AZ156="",N(AJ156)=0),"",AZ156/AJ156)</f>
        <v/>
      </c>
      <c r="BJ156" s="34" t="str">
        <f aca="false">IF(OR(BB156="",N(AZ156)=0),"",BB156/AZ156)</f>
        <v/>
      </c>
      <c r="BK156" s="34" t="str">
        <f aca="false">IF(OR(A156="",N(BB156)=0),"",BD156/BB156)</f>
        <v/>
      </c>
      <c r="BL156" s="34" t="str">
        <f aca="false">IF(OR(A156="",N(AZ156)=0),"",BD156/AZ156)</f>
        <v/>
      </c>
      <c r="BM156" s="37" t="str">
        <f aca="false">IF(OR(N(Q156)=0,N(BD156)=0),"",Q156/BD156)</f>
        <v/>
      </c>
      <c r="BN156" s="29"/>
      <c r="BO156" s="29"/>
      <c r="BP156" s="33" t="str">
        <f aca="false">IF(OR(AR156="",N(AO156)=0),"",AR156)</f>
        <v/>
      </c>
      <c r="BQ156" s="33" t="str">
        <f aca="false">IF(OR(AR156="",N(S156)=0),"",S156)</f>
        <v/>
      </c>
      <c r="BR156" s="38" t="str">
        <f aca="false">IF(AND(ISNUMBER(B156),B156&gt;=Dashboard!$C$4,B156&lt;=Dashboard!$F$4,ISNUMBER(AU156)),AU156+ROW()/10^9,"")</f>
        <v/>
      </c>
      <c r="BS156" s="38" t="str">
        <f aca="false">IF(AND(ISNUMBER(B156),B156&gt;=Dashboard!$C$4,B156&lt;=Dashboard!$F$4,A156&lt;&gt;""),N(BD156)+N(AU156)/100+ROW()/10^9,"")</f>
        <v/>
      </c>
    </row>
    <row r="157" customFormat="false" ht="15" hidden="false" customHeight="false" outlineLevel="0" collapsed="false">
      <c r="A157" s="24" t="str">
        <f aca="false">IF(OR(B157="",G157="",H157=""),"",IFERROR(INDEX(Settings!$E$5:$E$49,MATCH(G157,Settings!$D$5:$D$49,0))&amp;INDEX(Settings!$H$5:$H$47,MATCH(H157,Settings!$G$5:$G$47,0))&amp;"-"&amp;TEXT(B157,"yymmdd")&amp;"-"&amp;IF(C157="","0000",TEXT(C157,"hhmm")),"CHECK LISTS"))</f>
        <v/>
      </c>
      <c r="B157" s="39"/>
      <c r="C157" s="40"/>
      <c r="D157" s="24" t="str">
        <f aca="false">IF(B157="","",TEXT(B157,"ddd"))</f>
        <v/>
      </c>
      <c r="E157" s="27" t="str">
        <f aca="false">IF(B157="","",B157-WEEKDAY(B157,3))</f>
        <v/>
      </c>
      <c r="F157" s="24" t="str">
        <f aca="false">IF(B157="","",TEXT(B157,"yyyy-mm"))</f>
        <v/>
      </c>
      <c r="G157" s="29"/>
      <c r="H157" s="29"/>
      <c r="I157" s="29"/>
      <c r="J157" s="29"/>
      <c r="K157" s="29"/>
      <c r="L157" s="29"/>
      <c r="M157" s="29"/>
      <c r="N157" s="29"/>
      <c r="O157" s="29"/>
      <c r="P157" s="29"/>
      <c r="Q157" s="30"/>
      <c r="R157" s="29"/>
      <c r="S157" s="32"/>
      <c r="T157" s="29"/>
      <c r="U157" s="29"/>
      <c r="V157" s="24" t="str">
        <f aca="false">IF(A157="","",IFERROR(INDEX(Settings!$F$5:$F$49,MATCH(G157,Settings!$D$5:$D$49,0)),""))</f>
        <v/>
      </c>
      <c r="W157" s="24" t="str">
        <f aca="false">IF(A157="","",IF(OR(P157="",P157="Organic"),"social","paid_social"))</f>
        <v/>
      </c>
      <c r="X157" s="24" t="str">
        <f aca="false">IF(A157="","",IF(K157&lt;&gt;"",IFERROR(INDEX('Case Studies'!$C$5:$C$54,MATCH(K157,'Case Studies'!$B$5:$B$54,0))&amp;"","case-study"),IF(J157&lt;&gt;"",IFERROR(INDEX(Settings!$J$5:$J$55,MATCH(J157,Settings!$I$5:$I$55,0)),"general"),"general")))</f>
        <v/>
      </c>
      <c r="Y157" s="24" t="str">
        <f aca="false">IF(A157="","",LOWER(A157))</f>
        <v/>
      </c>
      <c r="Z157" s="24" t="str">
        <f aca="false">IF(A157="","",IF(T157="",Settings!$B$5,T157)&amp;IF(ISNUMBER(FIND("?",IF(T157="",Settings!$B$5,T157))),"&amp;","?")&amp;"utm_source="&amp;V157&amp;"&amp;utm_medium="&amp;W157&amp;"&amp;utm_campaign="&amp;X157&amp;"&amp;utm_content="&amp;Y157)</f>
        <v/>
      </c>
      <c r="AA157" s="29"/>
      <c r="AB157" s="39"/>
      <c r="AC157" s="32"/>
      <c r="AD157" s="32"/>
      <c r="AE157" s="32"/>
      <c r="AF157" s="32"/>
      <c r="AG157" s="32"/>
      <c r="AH157" s="32"/>
      <c r="AI157" s="32"/>
      <c r="AJ157" s="32"/>
      <c r="AK157" s="32"/>
      <c r="AL157" s="32"/>
      <c r="AM157" s="32"/>
      <c r="AN157" s="32"/>
      <c r="AO157" s="33" t="str">
        <f aca="false">IF(A157="","",IF(AD157&lt;&gt;"",AD157,IF(AC157&lt;&gt;"",AC157,"")))</f>
        <v/>
      </c>
      <c r="AP157" s="24" t="str">
        <f aca="false">IF(AO157="","",IF(AD157&lt;&gt;"","Reported reach","Impressions (proxy)"))</f>
        <v/>
      </c>
      <c r="AQ157" s="34" t="str">
        <f aca="false">IF(OR(AO157="",N(S157)=0),"",AO157/S157)</f>
        <v/>
      </c>
      <c r="AR157" s="33" t="str">
        <f aca="false">IF(A157="","",IF(COUNT(AF157:AJ157)=0,"",SUM(AF157:AJ157)))</f>
        <v/>
      </c>
      <c r="AS157" s="34" t="str">
        <f aca="false">IF(OR(AR157="",N(AO157)=0),"",AR157/AO157)</f>
        <v/>
      </c>
      <c r="AT157" s="34" t="str">
        <f aca="false">IF(OR(AR157="",N(AC157)=0),"",AR157/AC157)</f>
        <v/>
      </c>
      <c r="AU157" s="34" t="str">
        <f aca="false">IF(OR(AR157="",N(S157)=0),"",AR157/S157)</f>
        <v/>
      </c>
      <c r="AV157" s="34" t="str">
        <f aca="false">IF(OR(AJ157="",N(AC157)=0),"",AJ157/AC157)</f>
        <v/>
      </c>
      <c r="AW157" s="34" t="str">
        <f aca="false">IF(OR(AH157="",N(AO157)=0),"",AH157/AO157)</f>
        <v/>
      </c>
      <c r="AX157" s="35" t="str">
        <f aca="false">IF(OR(AR157="",N(AO157)=0),"",(N(AF157)*Settings!$B$6+N(AG157)*Settings!$B$7+N(AH157)*Settings!$B$8+N(AI157)*Settings!$B$9+N(AJ157)*Settings!$B$10)/AO157*1000)</f>
        <v/>
      </c>
      <c r="AY157" s="36" t="str">
        <f aca="false">IF(AS157="","",IFERROR(AS157/AVERAGEIFS('Post Tracker'!$AS$5:$AS$1004,'Post Tracker'!$G$5:$G$1004,G157),""))</f>
        <v/>
      </c>
      <c r="AZ157" s="32"/>
      <c r="BA157" s="32"/>
      <c r="BB157" s="32"/>
      <c r="BC157" s="32"/>
      <c r="BD157" s="33" t="str">
        <f aca="false">IF(A157="","",COUNTIFS('Demo Pipeline'!$Q$5:$Q$504,A157))</f>
        <v/>
      </c>
      <c r="BE157" s="33" t="str">
        <f aca="false">IF(A157="","",COUNTIFS('Demo Pipeline'!$Q$5:$Q$504,A157,'Demo Pipeline'!$W$5:$W$504,"Attended"))</f>
        <v/>
      </c>
      <c r="BF157" s="33" t="str">
        <f aca="false">IF(A157="","",COUNTIFS('Demo Pipeline'!$Q$5:$Q$504,A157,'Demo Pipeline'!$X$5:$X$504,"Yes"))</f>
        <v/>
      </c>
      <c r="BG157" s="33" t="str">
        <f aca="false">IF(A157="","",COUNTIFS('Demo Pipeline'!$Q$5:$Q$504,A157,'Demo Pipeline'!$Y$5:$Y$504,"Closed Won"))</f>
        <v/>
      </c>
      <c r="BH157" s="37" t="str">
        <f aca="false">IF(A157="","",SUMIFS('Demo Pipeline'!$Z$5:$Z$504,'Demo Pipeline'!$Q$5:$Q$504,A157))</f>
        <v/>
      </c>
      <c r="BI157" s="34" t="str">
        <f aca="false">IF(OR(AZ157="",N(AJ157)=0),"",AZ157/AJ157)</f>
        <v/>
      </c>
      <c r="BJ157" s="34" t="str">
        <f aca="false">IF(OR(BB157="",N(AZ157)=0),"",BB157/AZ157)</f>
        <v/>
      </c>
      <c r="BK157" s="34" t="str">
        <f aca="false">IF(OR(A157="",N(BB157)=0),"",BD157/BB157)</f>
        <v/>
      </c>
      <c r="BL157" s="34" t="str">
        <f aca="false">IF(OR(A157="",N(AZ157)=0),"",BD157/AZ157)</f>
        <v/>
      </c>
      <c r="BM157" s="37" t="str">
        <f aca="false">IF(OR(N(Q157)=0,N(BD157)=0),"",Q157/BD157)</f>
        <v/>
      </c>
      <c r="BN157" s="29"/>
      <c r="BO157" s="29"/>
      <c r="BP157" s="33" t="str">
        <f aca="false">IF(OR(AR157="",N(AO157)=0),"",AR157)</f>
        <v/>
      </c>
      <c r="BQ157" s="33" t="str">
        <f aca="false">IF(OR(AR157="",N(S157)=0),"",S157)</f>
        <v/>
      </c>
      <c r="BR157" s="38" t="str">
        <f aca="false">IF(AND(ISNUMBER(B157),B157&gt;=Dashboard!$C$4,B157&lt;=Dashboard!$F$4,ISNUMBER(AU157)),AU157+ROW()/10^9,"")</f>
        <v/>
      </c>
      <c r="BS157" s="38" t="str">
        <f aca="false">IF(AND(ISNUMBER(B157),B157&gt;=Dashboard!$C$4,B157&lt;=Dashboard!$F$4,A157&lt;&gt;""),N(BD157)+N(AU157)/100+ROW()/10^9,"")</f>
        <v/>
      </c>
    </row>
    <row r="158" customFormat="false" ht="15" hidden="false" customHeight="false" outlineLevel="0" collapsed="false">
      <c r="A158" s="24" t="str">
        <f aca="false">IF(OR(B158="",G158="",H158=""),"",IFERROR(INDEX(Settings!$E$5:$E$49,MATCH(G158,Settings!$D$5:$D$49,0))&amp;INDEX(Settings!$H$5:$H$47,MATCH(H158,Settings!$G$5:$G$47,0))&amp;"-"&amp;TEXT(B158,"yymmdd")&amp;"-"&amp;IF(C158="","0000",TEXT(C158,"hhmm")),"CHECK LISTS"))</f>
        <v/>
      </c>
      <c r="B158" s="39"/>
      <c r="C158" s="40"/>
      <c r="D158" s="24" t="str">
        <f aca="false">IF(B158="","",TEXT(B158,"ddd"))</f>
        <v/>
      </c>
      <c r="E158" s="27" t="str">
        <f aca="false">IF(B158="","",B158-WEEKDAY(B158,3))</f>
        <v/>
      </c>
      <c r="F158" s="24" t="str">
        <f aca="false">IF(B158="","",TEXT(B158,"yyyy-mm"))</f>
        <v/>
      </c>
      <c r="G158" s="29"/>
      <c r="H158" s="29"/>
      <c r="I158" s="29"/>
      <c r="J158" s="29"/>
      <c r="K158" s="29"/>
      <c r="L158" s="29"/>
      <c r="M158" s="29"/>
      <c r="N158" s="29"/>
      <c r="O158" s="29"/>
      <c r="P158" s="29"/>
      <c r="Q158" s="30"/>
      <c r="R158" s="29"/>
      <c r="S158" s="32"/>
      <c r="T158" s="29"/>
      <c r="U158" s="29"/>
      <c r="V158" s="24" t="str">
        <f aca="false">IF(A158="","",IFERROR(INDEX(Settings!$F$5:$F$49,MATCH(G158,Settings!$D$5:$D$49,0)),""))</f>
        <v/>
      </c>
      <c r="W158" s="24" t="str">
        <f aca="false">IF(A158="","",IF(OR(P158="",P158="Organic"),"social","paid_social"))</f>
        <v/>
      </c>
      <c r="X158" s="24" t="str">
        <f aca="false">IF(A158="","",IF(K158&lt;&gt;"",IFERROR(INDEX('Case Studies'!$C$5:$C$54,MATCH(K158,'Case Studies'!$B$5:$B$54,0))&amp;"","case-study"),IF(J158&lt;&gt;"",IFERROR(INDEX(Settings!$J$5:$J$55,MATCH(J158,Settings!$I$5:$I$55,0)),"general"),"general")))</f>
        <v/>
      </c>
      <c r="Y158" s="24" t="str">
        <f aca="false">IF(A158="","",LOWER(A158))</f>
        <v/>
      </c>
      <c r="Z158" s="24" t="str">
        <f aca="false">IF(A158="","",IF(T158="",Settings!$B$5,T158)&amp;IF(ISNUMBER(FIND("?",IF(T158="",Settings!$B$5,T158))),"&amp;","?")&amp;"utm_source="&amp;V158&amp;"&amp;utm_medium="&amp;W158&amp;"&amp;utm_campaign="&amp;X158&amp;"&amp;utm_content="&amp;Y158)</f>
        <v/>
      </c>
      <c r="AA158" s="29"/>
      <c r="AB158" s="39"/>
      <c r="AC158" s="32"/>
      <c r="AD158" s="32"/>
      <c r="AE158" s="32"/>
      <c r="AF158" s="32"/>
      <c r="AG158" s="32"/>
      <c r="AH158" s="32"/>
      <c r="AI158" s="32"/>
      <c r="AJ158" s="32"/>
      <c r="AK158" s="32"/>
      <c r="AL158" s="32"/>
      <c r="AM158" s="32"/>
      <c r="AN158" s="32"/>
      <c r="AO158" s="33" t="str">
        <f aca="false">IF(A158="","",IF(AD158&lt;&gt;"",AD158,IF(AC158&lt;&gt;"",AC158,"")))</f>
        <v/>
      </c>
      <c r="AP158" s="24" t="str">
        <f aca="false">IF(AO158="","",IF(AD158&lt;&gt;"","Reported reach","Impressions (proxy)"))</f>
        <v/>
      </c>
      <c r="AQ158" s="34" t="str">
        <f aca="false">IF(OR(AO158="",N(S158)=0),"",AO158/S158)</f>
        <v/>
      </c>
      <c r="AR158" s="33" t="str">
        <f aca="false">IF(A158="","",IF(COUNT(AF158:AJ158)=0,"",SUM(AF158:AJ158)))</f>
        <v/>
      </c>
      <c r="AS158" s="34" t="str">
        <f aca="false">IF(OR(AR158="",N(AO158)=0),"",AR158/AO158)</f>
        <v/>
      </c>
      <c r="AT158" s="34" t="str">
        <f aca="false">IF(OR(AR158="",N(AC158)=0),"",AR158/AC158)</f>
        <v/>
      </c>
      <c r="AU158" s="34" t="str">
        <f aca="false">IF(OR(AR158="",N(S158)=0),"",AR158/S158)</f>
        <v/>
      </c>
      <c r="AV158" s="34" t="str">
        <f aca="false">IF(OR(AJ158="",N(AC158)=0),"",AJ158/AC158)</f>
        <v/>
      </c>
      <c r="AW158" s="34" t="str">
        <f aca="false">IF(OR(AH158="",N(AO158)=0),"",AH158/AO158)</f>
        <v/>
      </c>
      <c r="AX158" s="35" t="str">
        <f aca="false">IF(OR(AR158="",N(AO158)=0),"",(N(AF158)*Settings!$B$6+N(AG158)*Settings!$B$7+N(AH158)*Settings!$B$8+N(AI158)*Settings!$B$9+N(AJ158)*Settings!$B$10)/AO158*1000)</f>
        <v/>
      </c>
      <c r="AY158" s="36" t="str">
        <f aca="false">IF(AS158="","",IFERROR(AS158/AVERAGEIFS('Post Tracker'!$AS$5:$AS$1004,'Post Tracker'!$G$5:$G$1004,G158),""))</f>
        <v/>
      </c>
      <c r="AZ158" s="32"/>
      <c r="BA158" s="32"/>
      <c r="BB158" s="32"/>
      <c r="BC158" s="32"/>
      <c r="BD158" s="33" t="str">
        <f aca="false">IF(A158="","",COUNTIFS('Demo Pipeline'!$Q$5:$Q$504,A158))</f>
        <v/>
      </c>
      <c r="BE158" s="33" t="str">
        <f aca="false">IF(A158="","",COUNTIFS('Demo Pipeline'!$Q$5:$Q$504,A158,'Demo Pipeline'!$W$5:$W$504,"Attended"))</f>
        <v/>
      </c>
      <c r="BF158" s="33" t="str">
        <f aca="false">IF(A158="","",COUNTIFS('Demo Pipeline'!$Q$5:$Q$504,A158,'Demo Pipeline'!$X$5:$X$504,"Yes"))</f>
        <v/>
      </c>
      <c r="BG158" s="33" t="str">
        <f aca="false">IF(A158="","",COUNTIFS('Demo Pipeline'!$Q$5:$Q$504,A158,'Demo Pipeline'!$Y$5:$Y$504,"Closed Won"))</f>
        <v/>
      </c>
      <c r="BH158" s="37" t="str">
        <f aca="false">IF(A158="","",SUMIFS('Demo Pipeline'!$Z$5:$Z$504,'Demo Pipeline'!$Q$5:$Q$504,A158))</f>
        <v/>
      </c>
      <c r="BI158" s="34" t="str">
        <f aca="false">IF(OR(AZ158="",N(AJ158)=0),"",AZ158/AJ158)</f>
        <v/>
      </c>
      <c r="BJ158" s="34" t="str">
        <f aca="false">IF(OR(BB158="",N(AZ158)=0),"",BB158/AZ158)</f>
        <v/>
      </c>
      <c r="BK158" s="34" t="str">
        <f aca="false">IF(OR(A158="",N(BB158)=0),"",BD158/BB158)</f>
        <v/>
      </c>
      <c r="BL158" s="34" t="str">
        <f aca="false">IF(OR(A158="",N(AZ158)=0),"",BD158/AZ158)</f>
        <v/>
      </c>
      <c r="BM158" s="37" t="str">
        <f aca="false">IF(OR(N(Q158)=0,N(BD158)=0),"",Q158/BD158)</f>
        <v/>
      </c>
      <c r="BN158" s="29"/>
      <c r="BO158" s="29"/>
      <c r="BP158" s="33" t="str">
        <f aca="false">IF(OR(AR158="",N(AO158)=0),"",AR158)</f>
        <v/>
      </c>
      <c r="BQ158" s="33" t="str">
        <f aca="false">IF(OR(AR158="",N(S158)=0),"",S158)</f>
        <v/>
      </c>
      <c r="BR158" s="38" t="str">
        <f aca="false">IF(AND(ISNUMBER(B158),B158&gt;=Dashboard!$C$4,B158&lt;=Dashboard!$F$4,ISNUMBER(AU158)),AU158+ROW()/10^9,"")</f>
        <v/>
      </c>
      <c r="BS158" s="38" t="str">
        <f aca="false">IF(AND(ISNUMBER(B158),B158&gt;=Dashboard!$C$4,B158&lt;=Dashboard!$F$4,A158&lt;&gt;""),N(BD158)+N(AU158)/100+ROW()/10^9,"")</f>
        <v/>
      </c>
    </row>
    <row r="159" customFormat="false" ht="15" hidden="false" customHeight="false" outlineLevel="0" collapsed="false">
      <c r="A159" s="24" t="str">
        <f aca="false">IF(OR(B159="",G159="",H159=""),"",IFERROR(INDEX(Settings!$E$5:$E$49,MATCH(G159,Settings!$D$5:$D$49,0))&amp;INDEX(Settings!$H$5:$H$47,MATCH(H159,Settings!$G$5:$G$47,0))&amp;"-"&amp;TEXT(B159,"yymmdd")&amp;"-"&amp;IF(C159="","0000",TEXT(C159,"hhmm")),"CHECK LISTS"))</f>
        <v/>
      </c>
      <c r="B159" s="39"/>
      <c r="C159" s="40"/>
      <c r="D159" s="24" t="str">
        <f aca="false">IF(B159="","",TEXT(B159,"ddd"))</f>
        <v/>
      </c>
      <c r="E159" s="27" t="str">
        <f aca="false">IF(B159="","",B159-WEEKDAY(B159,3))</f>
        <v/>
      </c>
      <c r="F159" s="24" t="str">
        <f aca="false">IF(B159="","",TEXT(B159,"yyyy-mm"))</f>
        <v/>
      </c>
      <c r="G159" s="29"/>
      <c r="H159" s="29"/>
      <c r="I159" s="29"/>
      <c r="J159" s="29"/>
      <c r="K159" s="29"/>
      <c r="L159" s="29"/>
      <c r="M159" s="29"/>
      <c r="N159" s="29"/>
      <c r="O159" s="29"/>
      <c r="P159" s="29"/>
      <c r="Q159" s="30"/>
      <c r="R159" s="29"/>
      <c r="S159" s="32"/>
      <c r="T159" s="29"/>
      <c r="U159" s="29"/>
      <c r="V159" s="24" t="str">
        <f aca="false">IF(A159="","",IFERROR(INDEX(Settings!$F$5:$F$49,MATCH(G159,Settings!$D$5:$D$49,0)),""))</f>
        <v/>
      </c>
      <c r="W159" s="24" t="str">
        <f aca="false">IF(A159="","",IF(OR(P159="",P159="Organic"),"social","paid_social"))</f>
        <v/>
      </c>
      <c r="X159" s="24" t="str">
        <f aca="false">IF(A159="","",IF(K159&lt;&gt;"",IFERROR(INDEX('Case Studies'!$C$5:$C$54,MATCH(K159,'Case Studies'!$B$5:$B$54,0))&amp;"","case-study"),IF(J159&lt;&gt;"",IFERROR(INDEX(Settings!$J$5:$J$55,MATCH(J159,Settings!$I$5:$I$55,0)),"general"),"general")))</f>
        <v/>
      </c>
      <c r="Y159" s="24" t="str">
        <f aca="false">IF(A159="","",LOWER(A159))</f>
        <v/>
      </c>
      <c r="Z159" s="24" t="str">
        <f aca="false">IF(A159="","",IF(T159="",Settings!$B$5,T159)&amp;IF(ISNUMBER(FIND("?",IF(T159="",Settings!$B$5,T159))),"&amp;","?")&amp;"utm_source="&amp;V159&amp;"&amp;utm_medium="&amp;W159&amp;"&amp;utm_campaign="&amp;X159&amp;"&amp;utm_content="&amp;Y159)</f>
        <v/>
      </c>
      <c r="AA159" s="29"/>
      <c r="AB159" s="39"/>
      <c r="AC159" s="32"/>
      <c r="AD159" s="32"/>
      <c r="AE159" s="32"/>
      <c r="AF159" s="32"/>
      <c r="AG159" s="32"/>
      <c r="AH159" s="32"/>
      <c r="AI159" s="32"/>
      <c r="AJ159" s="32"/>
      <c r="AK159" s="32"/>
      <c r="AL159" s="32"/>
      <c r="AM159" s="32"/>
      <c r="AN159" s="32"/>
      <c r="AO159" s="33" t="str">
        <f aca="false">IF(A159="","",IF(AD159&lt;&gt;"",AD159,IF(AC159&lt;&gt;"",AC159,"")))</f>
        <v/>
      </c>
      <c r="AP159" s="24" t="str">
        <f aca="false">IF(AO159="","",IF(AD159&lt;&gt;"","Reported reach","Impressions (proxy)"))</f>
        <v/>
      </c>
      <c r="AQ159" s="34" t="str">
        <f aca="false">IF(OR(AO159="",N(S159)=0),"",AO159/S159)</f>
        <v/>
      </c>
      <c r="AR159" s="33" t="str">
        <f aca="false">IF(A159="","",IF(COUNT(AF159:AJ159)=0,"",SUM(AF159:AJ159)))</f>
        <v/>
      </c>
      <c r="AS159" s="34" t="str">
        <f aca="false">IF(OR(AR159="",N(AO159)=0),"",AR159/AO159)</f>
        <v/>
      </c>
      <c r="AT159" s="34" t="str">
        <f aca="false">IF(OR(AR159="",N(AC159)=0),"",AR159/AC159)</f>
        <v/>
      </c>
      <c r="AU159" s="34" t="str">
        <f aca="false">IF(OR(AR159="",N(S159)=0),"",AR159/S159)</f>
        <v/>
      </c>
      <c r="AV159" s="34" t="str">
        <f aca="false">IF(OR(AJ159="",N(AC159)=0),"",AJ159/AC159)</f>
        <v/>
      </c>
      <c r="AW159" s="34" t="str">
        <f aca="false">IF(OR(AH159="",N(AO159)=0),"",AH159/AO159)</f>
        <v/>
      </c>
      <c r="AX159" s="35" t="str">
        <f aca="false">IF(OR(AR159="",N(AO159)=0),"",(N(AF159)*Settings!$B$6+N(AG159)*Settings!$B$7+N(AH159)*Settings!$B$8+N(AI159)*Settings!$B$9+N(AJ159)*Settings!$B$10)/AO159*1000)</f>
        <v/>
      </c>
      <c r="AY159" s="36" t="str">
        <f aca="false">IF(AS159="","",IFERROR(AS159/AVERAGEIFS('Post Tracker'!$AS$5:$AS$1004,'Post Tracker'!$G$5:$G$1004,G159),""))</f>
        <v/>
      </c>
      <c r="AZ159" s="32"/>
      <c r="BA159" s="32"/>
      <c r="BB159" s="32"/>
      <c r="BC159" s="32"/>
      <c r="BD159" s="33" t="str">
        <f aca="false">IF(A159="","",COUNTIFS('Demo Pipeline'!$Q$5:$Q$504,A159))</f>
        <v/>
      </c>
      <c r="BE159" s="33" t="str">
        <f aca="false">IF(A159="","",COUNTIFS('Demo Pipeline'!$Q$5:$Q$504,A159,'Demo Pipeline'!$W$5:$W$504,"Attended"))</f>
        <v/>
      </c>
      <c r="BF159" s="33" t="str">
        <f aca="false">IF(A159="","",COUNTIFS('Demo Pipeline'!$Q$5:$Q$504,A159,'Demo Pipeline'!$X$5:$X$504,"Yes"))</f>
        <v/>
      </c>
      <c r="BG159" s="33" t="str">
        <f aca="false">IF(A159="","",COUNTIFS('Demo Pipeline'!$Q$5:$Q$504,A159,'Demo Pipeline'!$Y$5:$Y$504,"Closed Won"))</f>
        <v/>
      </c>
      <c r="BH159" s="37" t="str">
        <f aca="false">IF(A159="","",SUMIFS('Demo Pipeline'!$Z$5:$Z$504,'Demo Pipeline'!$Q$5:$Q$504,A159))</f>
        <v/>
      </c>
      <c r="BI159" s="34" t="str">
        <f aca="false">IF(OR(AZ159="",N(AJ159)=0),"",AZ159/AJ159)</f>
        <v/>
      </c>
      <c r="BJ159" s="34" t="str">
        <f aca="false">IF(OR(BB159="",N(AZ159)=0),"",BB159/AZ159)</f>
        <v/>
      </c>
      <c r="BK159" s="34" t="str">
        <f aca="false">IF(OR(A159="",N(BB159)=0),"",BD159/BB159)</f>
        <v/>
      </c>
      <c r="BL159" s="34" t="str">
        <f aca="false">IF(OR(A159="",N(AZ159)=0),"",BD159/AZ159)</f>
        <v/>
      </c>
      <c r="BM159" s="37" t="str">
        <f aca="false">IF(OR(N(Q159)=0,N(BD159)=0),"",Q159/BD159)</f>
        <v/>
      </c>
      <c r="BN159" s="29"/>
      <c r="BO159" s="29"/>
      <c r="BP159" s="33" t="str">
        <f aca="false">IF(OR(AR159="",N(AO159)=0),"",AR159)</f>
        <v/>
      </c>
      <c r="BQ159" s="33" t="str">
        <f aca="false">IF(OR(AR159="",N(S159)=0),"",S159)</f>
        <v/>
      </c>
      <c r="BR159" s="38" t="str">
        <f aca="false">IF(AND(ISNUMBER(B159),B159&gt;=Dashboard!$C$4,B159&lt;=Dashboard!$F$4,ISNUMBER(AU159)),AU159+ROW()/10^9,"")</f>
        <v/>
      </c>
      <c r="BS159" s="38" t="str">
        <f aca="false">IF(AND(ISNUMBER(B159),B159&gt;=Dashboard!$C$4,B159&lt;=Dashboard!$F$4,A159&lt;&gt;""),N(BD159)+N(AU159)/100+ROW()/10^9,"")</f>
        <v/>
      </c>
    </row>
    <row r="160" customFormat="false" ht="15" hidden="false" customHeight="false" outlineLevel="0" collapsed="false">
      <c r="A160" s="24" t="str">
        <f aca="false">IF(OR(B160="",G160="",H160=""),"",IFERROR(INDEX(Settings!$E$5:$E$49,MATCH(G160,Settings!$D$5:$D$49,0))&amp;INDEX(Settings!$H$5:$H$47,MATCH(H160,Settings!$G$5:$G$47,0))&amp;"-"&amp;TEXT(B160,"yymmdd")&amp;"-"&amp;IF(C160="","0000",TEXT(C160,"hhmm")),"CHECK LISTS"))</f>
        <v/>
      </c>
      <c r="B160" s="39"/>
      <c r="C160" s="40"/>
      <c r="D160" s="24" t="str">
        <f aca="false">IF(B160="","",TEXT(B160,"ddd"))</f>
        <v/>
      </c>
      <c r="E160" s="27" t="str">
        <f aca="false">IF(B160="","",B160-WEEKDAY(B160,3))</f>
        <v/>
      </c>
      <c r="F160" s="24" t="str">
        <f aca="false">IF(B160="","",TEXT(B160,"yyyy-mm"))</f>
        <v/>
      </c>
      <c r="G160" s="29"/>
      <c r="H160" s="29"/>
      <c r="I160" s="29"/>
      <c r="J160" s="29"/>
      <c r="K160" s="29"/>
      <c r="L160" s="29"/>
      <c r="M160" s="29"/>
      <c r="N160" s="29"/>
      <c r="O160" s="29"/>
      <c r="P160" s="29"/>
      <c r="Q160" s="30"/>
      <c r="R160" s="29"/>
      <c r="S160" s="32"/>
      <c r="T160" s="29"/>
      <c r="U160" s="29"/>
      <c r="V160" s="24" t="str">
        <f aca="false">IF(A160="","",IFERROR(INDEX(Settings!$F$5:$F$49,MATCH(G160,Settings!$D$5:$D$49,0)),""))</f>
        <v/>
      </c>
      <c r="W160" s="24" t="str">
        <f aca="false">IF(A160="","",IF(OR(P160="",P160="Organic"),"social","paid_social"))</f>
        <v/>
      </c>
      <c r="X160" s="24" t="str">
        <f aca="false">IF(A160="","",IF(K160&lt;&gt;"",IFERROR(INDEX('Case Studies'!$C$5:$C$54,MATCH(K160,'Case Studies'!$B$5:$B$54,0))&amp;"","case-study"),IF(J160&lt;&gt;"",IFERROR(INDEX(Settings!$J$5:$J$55,MATCH(J160,Settings!$I$5:$I$55,0)),"general"),"general")))</f>
        <v/>
      </c>
      <c r="Y160" s="24" t="str">
        <f aca="false">IF(A160="","",LOWER(A160))</f>
        <v/>
      </c>
      <c r="Z160" s="24" t="str">
        <f aca="false">IF(A160="","",IF(T160="",Settings!$B$5,T160)&amp;IF(ISNUMBER(FIND("?",IF(T160="",Settings!$B$5,T160))),"&amp;","?")&amp;"utm_source="&amp;V160&amp;"&amp;utm_medium="&amp;W160&amp;"&amp;utm_campaign="&amp;X160&amp;"&amp;utm_content="&amp;Y160)</f>
        <v/>
      </c>
      <c r="AA160" s="29"/>
      <c r="AB160" s="39"/>
      <c r="AC160" s="32"/>
      <c r="AD160" s="32"/>
      <c r="AE160" s="32"/>
      <c r="AF160" s="32"/>
      <c r="AG160" s="32"/>
      <c r="AH160" s="32"/>
      <c r="AI160" s="32"/>
      <c r="AJ160" s="32"/>
      <c r="AK160" s="32"/>
      <c r="AL160" s="32"/>
      <c r="AM160" s="32"/>
      <c r="AN160" s="32"/>
      <c r="AO160" s="33" t="str">
        <f aca="false">IF(A160="","",IF(AD160&lt;&gt;"",AD160,IF(AC160&lt;&gt;"",AC160,"")))</f>
        <v/>
      </c>
      <c r="AP160" s="24" t="str">
        <f aca="false">IF(AO160="","",IF(AD160&lt;&gt;"","Reported reach","Impressions (proxy)"))</f>
        <v/>
      </c>
      <c r="AQ160" s="34" t="str">
        <f aca="false">IF(OR(AO160="",N(S160)=0),"",AO160/S160)</f>
        <v/>
      </c>
      <c r="AR160" s="33" t="str">
        <f aca="false">IF(A160="","",IF(COUNT(AF160:AJ160)=0,"",SUM(AF160:AJ160)))</f>
        <v/>
      </c>
      <c r="AS160" s="34" t="str">
        <f aca="false">IF(OR(AR160="",N(AO160)=0),"",AR160/AO160)</f>
        <v/>
      </c>
      <c r="AT160" s="34" t="str">
        <f aca="false">IF(OR(AR160="",N(AC160)=0),"",AR160/AC160)</f>
        <v/>
      </c>
      <c r="AU160" s="34" t="str">
        <f aca="false">IF(OR(AR160="",N(S160)=0),"",AR160/S160)</f>
        <v/>
      </c>
      <c r="AV160" s="34" t="str">
        <f aca="false">IF(OR(AJ160="",N(AC160)=0),"",AJ160/AC160)</f>
        <v/>
      </c>
      <c r="AW160" s="34" t="str">
        <f aca="false">IF(OR(AH160="",N(AO160)=0),"",AH160/AO160)</f>
        <v/>
      </c>
      <c r="AX160" s="35" t="str">
        <f aca="false">IF(OR(AR160="",N(AO160)=0),"",(N(AF160)*Settings!$B$6+N(AG160)*Settings!$B$7+N(AH160)*Settings!$B$8+N(AI160)*Settings!$B$9+N(AJ160)*Settings!$B$10)/AO160*1000)</f>
        <v/>
      </c>
      <c r="AY160" s="36" t="str">
        <f aca="false">IF(AS160="","",IFERROR(AS160/AVERAGEIFS('Post Tracker'!$AS$5:$AS$1004,'Post Tracker'!$G$5:$G$1004,G160),""))</f>
        <v/>
      </c>
      <c r="AZ160" s="32"/>
      <c r="BA160" s="32"/>
      <c r="BB160" s="32"/>
      <c r="BC160" s="32"/>
      <c r="BD160" s="33" t="str">
        <f aca="false">IF(A160="","",COUNTIFS('Demo Pipeline'!$Q$5:$Q$504,A160))</f>
        <v/>
      </c>
      <c r="BE160" s="33" t="str">
        <f aca="false">IF(A160="","",COUNTIFS('Demo Pipeline'!$Q$5:$Q$504,A160,'Demo Pipeline'!$W$5:$W$504,"Attended"))</f>
        <v/>
      </c>
      <c r="BF160" s="33" t="str">
        <f aca="false">IF(A160="","",COUNTIFS('Demo Pipeline'!$Q$5:$Q$504,A160,'Demo Pipeline'!$X$5:$X$504,"Yes"))</f>
        <v/>
      </c>
      <c r="BG160" s="33" t="str">
        <f aca="false">IF(A160="","",COUNTIFS('Demo Pipeline'!$Q$5:$Q$504,A160,'Demo Pipeline'!$Y$5:$Y$504,"Closed Won"))</f>
        <v/>
      </c>
      <c r="BH160" s="37" t="str">
        <f aca="false">IF(A160="","",SUMIFS('Demo Pipeline'!$Z$5:$Z$504,'Demo Pipeline'!$Q$5:$Q$504,A160))</f>
        <v/>
      </c>
      <c r="BI160" s="34" t="str">
        <f aca="false">IF(OR(AZ160="",N(AJ160)=0),"",AZ160/AJ160)</f>
        <v/>
      </c>
      <c r="BJ160" s="34" t="str">
        <f aca="false">IF(OR(BB160="",N(AZ160)=0),"",BB160/AZ160)</f>
        <v/>
      </c>
      <c r="BK160" s="34" t="str">
        <f aca="false">IF(OR(A160="",N(BB160)=0),"",BD160/BB160)</f>
        <v/>
      </c>
      <c r="BL160" s="34" t="str">
        <f aca="false">IF(OR(A160="",N(AZ160)=0),"",BD160/AZ160)</f>
        <v/>
      </c>
      <c r="BM160" s="37" t="str">
        <f aca="false">IF(OR(N(Q160)=0,N(BD160)=0),"",Q160/BD160)</f>
        <v/>
      </c>
      <c r="BN160" s="29"/>
      <c r="BO160" s="29"/>
      <c r="BP160" s="33" t="str">
        <f aca="false">IF(OR(AR160="",N(AO160)=0),"",AR160)</f>
        <v/>
      </c>
      <c r="BQ160" s="33" t="str">
        <f aca="false">IF(OR(AR160="",N(S160)=0),"",S160)</f>
        <v/>
      </c>
      <c r="BR160" s="38" t="str">
        <f aca="false">IF(AND(ISNUMBER(B160),B160&gt;=Dashboard!$C$4,B160&lt;=Dashboard!$F$4,ISNUMBER(AU160)),AU160+ROW()/10^9,"")</f>
        <v/>
      </c>
      <c r="BS160" s="38" t="str">
        <f aca="false">IF(AND(ISNUMBER(B160),B160&gt;=Dashboard!$C$4,B160&lt;=Dashboard!$F$4,A160&lt;&gt;""),N(BD160)+N(AU160)/100+ROW()/10^9,"")</f>
        <v/>
      </c>
    </row>
    <row r="161" customFormat="false" ht="15" hidden="false" customHeight="false" outlineLevel="0" collapsed="false">
      <c r="A161" s="24" t="str">
        <f aca="false">IF(OR(B161="",G161="",H161=""),"",IFERROR(INDEX(Settings!$E$5:$E$49,MATCH(G161,Settings!$D$5:$D$49,0))&amp;INDEX(Settings!$H$5:$H$47,MATCH(H161,Settings!$G$5:$G$47,0))&amp;"-"&amp;TEXT(B161,"yymmdd")&amp;"-"&amp;IF(C161="","0000",TEXT(C161,"hhmm")),"CHECK LISTS"))</f>
        <v/>
      </c>
      <c r="B161" s="39"/>
      <c r="C161" s="40"/>
      <c r="D161" s="24" t="str">
        <f aca="false">IF(B161="","",TEXT(B161,"ddd"))</f>
        <v/>
      </c>
      <c r="E161" s="27" t="str">
        <f aca="false">IF(B161="","",B161-WEEKDAY(B161,3))</f>
        <v/>
      </c>
      <c r="F161" s="24" t="str">
        <f aca="false">IF(B161="","",TEXT(B161,"yyyy-mm"))</f>
        <v/>
      </c>
      <c r="G161" s="29"/>
      <c r="H161" s="29"/>
      <c r="I161" s="29"/>
      <c r="J161" s="29"/>
      <c r="K161" s="29"/>
      <c r="L161" s="29"/>
      <c r="M161" s="29"/>
      <c r="N161" s="29"/>
      <c r="O161" s="29"/>
      <c r="P161" s="29"/>
      <c r="Q161" s="30"/>
      <c r="R161" s="29"/>
      <c r="S161" s="32"/>
      <c r="T161" s="29"/>
      <c r="U161" s="29"/>
      <c r="V161" s="24" t="str">
        <f aca="false">IF(A161="","",IFERROR(INDEX(Settings!$F$5:$F$49,MATCH(G161,Settings!$D$5:$D$49,0)),""))</f>
        <v/>
      </c>
      <c r="W161" s="24" t="str">
        <f aca="false">IF(A161="","",IF(OR(P161="",P161="Organic"),"social","paid_social"))</f>
        <v/>
      </c>
      <c r="X161" s="24" t="str">
        <f aca="false">IF(A161="","",IF(K161&lt;&gt;"",IFERROR(INDEX('Case Studies'!$C$5:$C$54,MATCH(K161,'Case Studies'!$B$5:$B$54,0))&amp;"","case-study"),IF(J161&lt;&gt;"",IFERROR(INDEX(Settings!$J$5:$J$55,MATCH(J161,Settings!$I$5:$I$55,0)),"general"),"general")))</f>
        <v/>
      </c>
      <c r="Y161" s="24" t="str">
        <f aca="false">IF(A161="","",LOWER(A161))</f>
        <v/>
      </c>
      <c r="Z161" s="24" t="str">
        <f aca="false">IF(A161="","",IF(T161="",Settings!$B$5,T161)&amp;IF(ISNUMBER(FIND("?",IF(T161="",Settings!$B$5,T161))),"&amp;","?")&amp;"utm_source="&amp;V161&amp;"&amp;utm_medium="&amp;W161&amp;"&amp;utm_campaign="&amp;X161&amp;"&amp;utm_content="&amp;Y161)</f>
        <v/>
      </c>
      <c r="AA161" s="29"/>
      <c r="AB161" s="39"/>
      <c r="AC161" s="32"/>
      <c r="AD161" s="32"/>
      <c r="AE161" s="32"/>
      <c r="AF161" s="32"/>
      <c r="AG161" s="32"/>
      <c r="AH161" s="32"/>
      <c r="AI161" s="32"/>
      <c r="AJ161" s="32"/>
      <c r="AK161" s="32"/>
      <c r="AL161" s="32"/>
      <c r="AM161" s="32"/>
      <c r="AN161" s="32"/>
      <c r="AO161" s="33" t="str">
        <f aca="false">IF(A161="","",IF(AD161&lt;&gt;"",AD161,IF(AC161&lt;&gt;"",AC161,"")))</f>
        <v/>
      </c>
      <c r="AP161" s="24" t="str">
        <f aca="false">IF(AO161="","",IF(AD161&lt;&gt;"","Reported reach","Impressions (proxy)"))</f>
        <v/>
      </c>
      <c r="AQ161" s="34" t="str">
        <f aca="false">IF(OR(AO161="",N(S161)=0),"",AO161/S161)</f>
        <v/>
      </c>
      <c r="AR161" s="33" t="str">
        <f aca="false">IF(A161="","",IF(COUNT(AF161:AJ161)=0,"",SUM(AF161:AJ161)))</f>
        <v/>
      </c>
      <c r="AS161" s="34" t="str">
        <f aca="false">IF(OR(AR161="",N(AO161)=0),"",AR161/AO161)</f>
        <v/>
      </c>
      <c r="AT161" s="34" t="str">
        <f aca="false">IF(OR(AR161="",N(AC161)=0),"",AR161/AC161)</f>
        <v/>
      </c>
      <c r="AU161" s="34" t="str">
        <f aca="false">IF(OR(AR161="",N(S161)=0),"",AR161/S161)</f>
        <v/>
      </c>
      <c r="AV161" s="34" t="str">
        <f aca="false">IF(OR(AJ161="",N(AC161)=0),"",AJ161/AC161)</f>
        <v/>
      </c>
      <c r="AW161" s="34" t="str">
        <f aca="false">IF(OR(AH161="",N(AO161)=0),"",AH161/AO161)</f>
        <v/>
      </c>
      <c r="AX161" s="35" t="str">
        <f aca="false">IF(OR(AR161="",N(AO161)=0),"",(N(AF161)*Settings!$B$6+N(AG161)*Settings!$B$7+N(AH161)*Settings!$B$8+N(AI161)*Settings!$B$9+N(AJ161)*Settings!$B$10)/AO161*1000)</f>
        <v/>
      </c>
      <c r="AY161" s="36" t="str">
        <f aca="false">IF(AS161="","",IFERROR(AS161/AVERAGEIFS('Post Tracker'!$AS$5:$AS$1004,'Post Tracker'!$G$5:$G$1004,G161),""))</f>
        <v/>
      </c>
      <c r="AZ161" s="32"/>
      <c r="BA161" s="32"/>
      <c r="BB161" s="32"/>
      <c r="BC161" s="32"/>
      <c r="BD161" s="33" t="str">
        <f aca="false">IF(A161="","",COUNTIFS('Demo Pipeline'!$Q$5:$Q$504,A161))</f>
        <v/>
      </c>
      <c r="BE161" s="33" t="str">
        <f aca="false">IF(A161="","",COUNTIFS('Demo Pipeline'!$Q$5:$Q$504,A161,'Demo Pipeline'!$W$5:$W$504,"Attended"))</f>
        <v/>
      </c>
      <c r="BF161" s="33" t="str">
        <f aca="false">IF(A161="","",COUNTIFS('Demo Pipeline'!$Q$5:$Q$504,A161,'Demo Pipeline'!$X$5:$X$504,"Yes"))</f>
        <v/>
      </c>
      <c r="BG161" s="33" t="str">
        <f aca="false">IF(A161="","",COUNTIFS('Demo Pipeline'!$Q$5:$Q$504,A161,'Demo Pipeline'!$Y$5:$Y$504,"Closed Won"))</f>
        <v/>
      </c>
      <c r="BH161" s="37" t="str">
        <f aca="false">IF(A161="","",SUMIFS('Demo Pipeline'!$Z$5:$Z$504,'Demo Pipeline'!$Q$5:$Q$504,A161))</f>
        <v/>
      </c>
      <c r="BI161" s="34" t="str">
        <f aca="false">IF(OR(AZ161="",N(AJ161)=0),"",AZ161/AJ161)</f>
        <v/>
      </c>
      <c r="BJ161" s="34" t="str">
        <f aca="false">IF(OR(BB161="",N(AZ161)=0),"",BB161/AZ161)</f>
        <v/>
      </c>
      <c r="BK161" s="34" t="str">
        <f aca="false">IF(OR(A161="",N(BB161)=0),"",BD161/BB161)</f>
        <v/>
      </c>
      <c r="BL161" s="34" t="str">
        <f aca="false">IF(OR(A161="",N(AZ161)=0),"",BD161/AZ161)</f>
        <v/>
      </c>
      <c r="BM161" s="37" t="str">
        <f aca="false">IF(OR(N(Q161)=0,N(BD161)=0),"",Q161/BD161)</f>
        <v/>
      </c>
      <c r="BN161" s="29"/>
      <c r="BO161" s="29"/>
      <c r="BP161" s="33" t="str">
        <f aca="false">IF(OR(AR161="",N(AO161)=0),"",AR161)</f>
        <v/>
      </c>
      <c r="BQ161" s="33" t="str">
        <f aca="false">IF(OR(AR161="",N(S161)=0),"",S161)</f>
        <v/>
      </c>
      <c r="BR161" s="38" t="str">
        <f aca="false">IF(AND(ISNUMBER(B161),B161&gt;=Dashboard!$C$4,B161&lt;=Dashboard!$F$4,ISNUMBER(AU161)),AU161+ROW()/10^9,"")</f>
        <v/>
      </c>
      <c r="BS161" s="38" t="str">
        <f aca="false">IF(AND(ISNUMBER(B161),B161&gt;=Dashboard!$C$4,B161&lt;=Dashboard!$F$4,A161&lt;&gt;""),N(BD161)+N(AU161)/100+ROW()/10^9,"")</f>
        <v/>
      </c>
    </row>
    <row r="162" customFormat="false" ht="15" hidden="false" customHeight="false" outlineLevel="0" collapsed="false">
      <c r="A162" s="24" t="str">
        <f aca="false">IF(OR(B162="",G162="",H162=""),"",IFERROR(INDEX(Settings!$E$5:$E$49,MATCH(G162,Settings!$D$5:$D$49,0))&amp;INDEX(Settings!$H$5:$H$47,MATCH(H162,Settings!$G$5:$G$47,0))&amp;"-"&amp;TEXT(B162,"yymmdd")&amp;"-"&amp;IF(C162="","0000",TEXT(C162,"hhmm")),"CHECK LISTS"))</f>
        <v/>
      </c>
      <c r="B162" s="39"/>
      <c r="C162" s="40"/>
      <c r="D162" s="24" t="str">
        <f aca="false">IF(B162="","",TEXT(B162,"ddd"))</f>
        <v/>
      </c>
      <c r="E162" s="27" t="str">
        <f aca="false">IF(B162="","",B162-WEEKDAY(B162,3))</f>
        <v/>
      </c>
      <c r="F162" s="24" t="str">
        <f aca="false">IF(B162="","",TEXT(B162,"yyyy-mm"))</f>
        <v/>
      </c>
      <c r="G162" s="29"/>
      <c r="H162" s="29"/>
      <c r="I162" s="29"/>
      <c r="J162" s="29"/>
      <c r="K162" s="29"/>
      <c r="L162" s="29"/>
      <c r="M162" s="29"/>
      <c r="N162" s="29"/>
      <c r="O162" s="29"/>
      <c r="P162" s="29"/>
      <c r="Q162" s="30"/>
      <c r="R162" s="29"/>
      <c r="S162" s="32"/>
      <c r="T162" s="29"/>
      <c r="U162" s="29"/>
      <c r="V162" s="24" t="str">
        <f aca="false">IF(A162="","",IFERROR(INDEX(Settings!$F$5:$F$49,MATCH(G162,Settings!$D$5:$D$49,0)),""))</f>
        <v/>
      </c>
      <c r="W162" s="24" t="str">
        <f aca="false">IF(A162="","",IF(OR(P162="",P162="Organic"),"social","paid_social"))</f>
        <v/>
      </c>
      <c r="X162" s="24" t="str">
        <f aca="false">IF(A162="","",IF(K162&lt;&gt;"",IFERROR(INDEX('Case Studies'!$C$5:$C$54,MATCH(K162,'Case Studies'!$B$5:$B$54,0))&amp;"","case-study"),IF(J162&lt;&gt;"",IFERROR(INDEX(Settings!$J$5:$J$55,MATCH(J162,Settings!$I$5:$I$55,0)),"general"),"general")))</f>
        <v/>
      </c>
      <c r="Y162" s="24" t="str">
        <f aca="false">IF(A162="","",LOWER(A162))</f>
        <v/>
      </c>
      <c r="Z162" s="24" t="str">
        <f aca="false">IF(A162="","",IF(T162="",Settings!$B$5,T162)&amp;IF(ISNUMBER(FIND("?",IF(T162="",Settings!$B$5,T162))),"&amp;","?")&amp;"utm_source="&amp;V162&amp;"&amp;utm_medium="&amp;W162&amp;"&amp;utm_campaign="&amp;X162&amp;"&amp;utm_content="&amp;Y162)</f>
        <v/>
      </c>
      <c r="AA162" s="29"/>
      <c r="AB162" s="39"/>
      <c r="AC162" s="32"/>
      <c r="AD162" s="32"/>
      <c r="AE162" s="32"/>
      <c r="AF162" s="32"/>
      <c r="AG162" s="32"/>
      <c r="AH162" s="32"/>
      <c r="AI162" s="32"/>
      <c r="AJ162" s="32"/>
      <c r="AK162" s="32"/>
      <c r="AL162" s="32"/>
      <c r="AM162" s="32"/>
      <c r="AN162" s="32"/>
      <c r="AO162" s="33" t="str">
        <f aca="false">IF(A162="","",IF(AD162&lt;&gt;"",AD162,IF(AC162&lt;&gt;"",AC162,"")))</f>
        <v/>
      </c>
      <c r="AP162" s="24" t="str">
        <f aca="false">IF(AO162="","",IF(AD162&lt;&gt;"","Reported reach","Impressions (proxy)"))</f>
        <v/>
      </c>
      <c r="AQ162" s="34" t="str">
        <f aca="false">IF(OR(AO162="",N(S162)=0),"",AO162/S162)</f>
        <v/>
      </c>
      <c r="AR162" s="33" t="str">
        <f aca="false">IF(A162="","",IF(COUNT(AF162:AJ162)=0,"",SUM(AF162:AJ162)))</f>
        <v/>
      </c>
      <c r="AS162" s="34" t="str">
        <f aca="false">IF(OR(AR162="",N(AO162)=0),"",AR162/AO162)</f>
        <v/>
      </c>
      <c r="AT162" s="34" t="str">
        <f aca="false">IF(OR(AR162="",N(AC162)=0),"",AR162/AC162)</f>
        <v/>
      </c>
      <c r="AU162" s="34" t="str">
        <f aca="false">IF(OR(AR162="",N(S162)=0),"",AR162/S162)</f>
        <v/>
      </c>
      <c r="AV162" s="34" t="str">
        <f aca="false">IF(OR(AJ162="",N(AC162)=0),"",AJ162/AC162)</f>
        <v/>
      </c>
      <c r="AW162" s="34" t="str">
        <f aca="false">IF(OR(AH162="",N(AO162)=0),"",AH162/AO162)</f>
        <v/>
      </c>
      <c r="AX162" s="35" t="str">
        <f aca="false">IF(OR(AR162="",N(AO162)=0),"",(N(AF162)*Settings!$B$6+N(AG162)*Settings!$B$7+N(AH162)*Settings!$B$8+N(AI162)*Settings!$B$9+N(AJ162)*Settings!$B$10)/AO162*1000)</f>
        <v/>
      </c>
      <c r="AY162" s="36" t="str">
        <f aca="false">IF(AS162="","",IFERROR(AS162/AVERAGEIFS('Post Tracker'!$AS$5:$AS$1004,'Post Tracker'!$G$5:$G$1004,G162),""))</f>
        <v/>
      </c>
      <c r="AZ162" s="32"/>
      <c r="BA162" s="32"/>
      <c r="BB162" s="32"/>
      <c r="BC162" s="32"/>
      <c r="BD162" s="33" t="str">
        <f aca="false">IF(A162="","",COUNTIFS('Demo Pipeline'!$Q$5:$Q$504,A162))</f>
        <v/>
      </c>
      <c r="BE162" s="33" t="str">
        <f aca="false">IF(A162="","",COUNTIFS('Demo Pipeline'!$Q$5:$Q$504,A162,'Demo Pipeline'!$W$5:$W$504,"Attended"))</f>
        <v/>
      </c>
      <c r="BF162" s="33" t="str">
        <f aca="false">IF(A162="","",COUNTIFS('Demo Pipeline'!$Q$5:$Q$504,A162,'Demo Pipeline'!$X$5:$X$504,"Yes"))</f>
        <v/>
      </c>
      <c r="BG162" s="33" t="str">
        <f aca="false">IF(A162="","",COUNTIFS('Demo Pipeline'!$Q$5:$Q$504,A162,'Demo Pipeline'!$Y$5:$Y$504,"Closed Won"))</f>
        <v/>
      </c>
      <c r="BH162" s="37" t="str">
        <f aca="false">IF(A162="","",SUMIFS('Demo Pipeline'!$Z$5:$Z$504,'Demo Pipeline'!$Q$5:$Q$504,A162))</f>
        <v/>
      </c>
      <c r="BI162" s="34" t="str">
        <f aca="false">IF(OR(AZ162="",N(AJ162)=0),"",AZ162/AJ162)</f>
        <v/>
      </c>
      <c r="BJ162" s="34" t="str">
        <f aca="false">IF(OR(BB162="",N(AZ162)=0),"",BB162/AZ162)</f>
        <v/>
      </c>
      <c r="BK162" s="34" t="str">
        <f aca="false">IF(OR(A162="",N(BB162)=0),"",BD162/BB162)</f>
        <v/>
      </c>
      <c r="BL162" s="34" t="str">
        <f aca="false">IF(OR(A162="",N(AZ162)=0),"",BD162/AZ162)</f>
        <v/>
      </c>
      <c r="BM162" s="37" t="str">
        <f aca="false">IF(OR(N(Q162)=0,N(BD162)=0),"",Q162/BD162)</f>
        <v/>
      </c>
      <c r="BN162" s="29"/>
      <c r="BO162" s="29"/>
      <c r="BP162" s="33" t="str">
        <f aca="false">IF(OR(AR162="",N(AO162)=0),"",AR162)</f>
        <v/>
      </c>
      <c r="BQ162" s="33" t="str">
        <f aca="false">IF(OR(AR162="",N(S162)=0),"",S162)</f>
        <v/>
      </c>
      <c r="BR162" s="38" t="str">
        <f aca="false">IF(AND(ISNUMBER(B162),B162&gt;=Dashboard!$C$4,B162&lt;=Dashboard!$F$4,ISNUMBER(AU162)),AU162+ROW()/10^9,"")</f>
        <v/>
      </c>
      <c r="BS162" s="38" t="str">
        <f aca="false">IF(AND(ISNUMBER(B162),B162&gt;=Dashboard!$C$4,B162&lt;=Dashboard!$F$4,A162&lt;&gt;""),N(BD162)+N(AU162)/100+ROW()/10^9,"")</f>
        <v/>
      </c>
    </row>
    <row r="163" customFormat="false" ht="15" hidden="false" customHeight="false" outlineLevel="0" collapsed="false">
      <c r="A163" s="24" t="str">
        <f aca="false">IF(OR(B163="",G163="",H163=""),"",IFERROR(INDEX(Settings!$E$5:$E$49,MATCH(G163,Settings!$D$5:$D$49,0))&amp;INDEX(Settings!$H$5:$H$47,MATCH(H163,Settings!$G$5:$G$47,0))&amp;"-"&amp;TEXT(B163,"yymmdd")&amp;"-"&amp;IF(C163="","0000",TEXT(C163,"hhmm")),"CHECK LISTS"))</f>
        <v/>
      </c>
      <c r="B163" s="39"/>
      <c r="C163" s="40"/>
      <c r="D163" s="24" t="str">
        <f aca="false">IF(B163="","",TEXT(B163,"ddd"))</f>
        <v/>
      </c>
      <c r="E163" s="27" t="str">
        <f aca="false">IF(B163="","",B163-WEEKDAY(B163,3))</f>
        <v/>
      </c>
      <c r="F163" s="24" t="str">
        <f aca="false">IF(B163="","",TEXT(B163,"yyyy-mm"))</f>
        <v/>
      </c>
      <c r="G163" s="29"/>
      <c r="H163" s="29"/>
      <c r="I163" s="29"/>
      <c r="J163" s="29"/>
      <c r="K163" s="29"/>
      <c r="L163" s="29"/>
      <c r="M163" s="29"/>
      <c r="N163" s="29"/>
      <c r="O163" s="29"/>
      <c r="P163" s="29"/>
      <c r="Q163" s="30"/>
      <c r="R163" s="29"/>
      <c r="S163" s="32"/>
      <c r="T163" s="29"/>
      <c r="U163" s="29"/>
      <c r="V163" s="24" t="str">
        <f aca="false">IF(A163="","",IFERROR(INDEX(Settings!$F$5:$F$49,MATCH(G163,Settings!$D$5:$D$49,0)),""))</f>
        <v/>
      </c>
      <c r="W163" s="24" t="str">
        <f aca="false">IF(A163="","",IF(OR(P163="",P163="Organic"),"social","paid_social"))</f>
        <v/>
      </c>
      <c r="X163" s="24" t="str">
        <f aca="false">IF(A163="","",IF(K163&lt;&gt;"",IFERROR(INDEX('Case Studies'!$C$5:$C$54,MATCH(K163,'Case Studies'!$B$5:$B$54,0))&amp;"","case-study"),IF(J163&lt;&gt;"",IFERROR(INDEX(Settings!$J$5:$J$55,MATCH(J163,Settings!$I$5:$I$55,0)),"general"),"general")))</f>
        <v/>
      </c>
      <c r="Y163" s="24" t="str">
        <f aca="false">IF(A163="","",LOWER(A163))</f>
        <v/>
      </c>
      <c r="Z163" s="24" t="str">
        <f aca="false">IF(A163="","",IF(T163="",Settings!$B$5,T163)&amp;IF(ISNUMBER(FIND("?",IF(T163="",Settings!$B$5,T163))),"&amp;","?")&amp;"utm_source="&amp;V163&amp;"&amp;utm_medium="&amp;W163&amp;"&amp;utm_campaign="&amp;X163&amp;"&amp;utm_content="&amp;Y163)</f>
        <v/>
      </c>
      <c r="AA163" s="29"/>
      <c r="AB163" s="39"/>
      <c r="AC163" s="32"/>
      <c r="AD163" s="32"/>
      <c r="AE163" s="32"/>
      <c r="AF163" s="32"/>
      <c r="AG163" s="32"/>
      <c r="AH163" s="32"/>
      <c r="AI163" s="32"/>
      <c r="AJ163" s="32"/>
      <c r="AK163" s="32"/>
      <c r="AL163" s="32"/>
      <c r="AM163" s="32"/>
      <c r="AN163" s="32"/>
      <c r="AO163" s="33" t="str">
        <f aca="false">IF(A163="","",IF(AD163&lt;&gt;"",AD163,IF(AC163&lt;&gt;"",AC163,"")))</f>
        <v/>
      </c>
      <c r="AP163" s="24" t="str">
        <f aca="false">IF(AO163="","",IF(AD163&lt;&gt;"","Reported reach","Impressions (proxy)"))</f>
        <v/>
      </c>
      <c r="AQ163" s="34" t="str">
        <f aca="false">IF(OR(AO163="",N(S163)=0),"",AO163/S163)</f>
        <v/>
      </c>
      <c r="AR163" s="33" t="str">
        <f aca="false">IF(A163="","",IF(COUNT(AF163:AJ163)=0,"",SUM(AF163:AJ163)))</f>
        <v/>
      </c>
      <c r="AS163" s="34" t="str">
        <f aca="false">IF(OR(AR163="",N(AO163)=0),"",AR163/AO163)</f>
        <v/>
      </c>
      <c r="AT163" s="34" t="str">
        <f aca="false">IF(OR(AR163="",N(AC163)=0),"",AR163/AC163)</f>
        <v/>
      </c>
      <c r="AU163" s="34" t="str">
        <f aca="false">IF(OR(AR163="",N(S163)=0),"",AR163/S163)</f>
        <v/>
      </c>
      <c r="AV163" s="34" t="str">
        <f aca="false">IF(OR(AJ163="",N(AC163)=0),"",AJ163/AC163)</f>
        <v/>
      </c>
      <c r="AW163" s="34" t="str">
        <f aca="false">IF(OR(AH163="",N(AO163)=0),"",AH163/AO163)</f>
        <v/>
      </c>
      <c r="AX163" s="35" t="str">
        <f aca="false">IF(OR(AR163="",N(AO163)=0),"",(N(AF163)*Settings!$B$6+N(AG163)*Settings!$B$7+N(AH163)*Settings!$B$8+N(AI163)*Settings!$B$9+N(AJ163)*Settings!$B$10)/AO163*1000)</f>
        <v/>
      </c>
      <c r="AY163" s="36" t="str">
        <f aca="false">IF(AS163="","",IFERROR(AS163/AVERAGEIFS('Post Tracker'!$AS$5:$AS$1004,'Post Tracker'!$G$5:$G$1004,G163),""))</f>
        <v/>
      </c>
      <c r="AZ163" s="32"/>
      <c r="BA163" s="32"/>
      <c r="BB163" s="32"/>
      <c r="BC163" s="32"/>
      <c r="BD163" s="33" t="str">
        <f aca="false">IF(A163="","",COUNTIFS('Demo Pipeline'!$Q$5:$Q$504,A163))</f>
        <v/>
      </c>
      <c r="BE163" s="33" t="str">
        <f aca="false">IF(A163="","",COUNTIFS('Demo Pipeline'!$Q$5:$Q$504,A163,'Demo Pipeline'!$W$5:$W$504,"Attended"))</f>
        <v/>
      </c>
      <c r="BF163" s="33" t="str">
        <f aca="false">IF(A163="","",COUNTIFS('Demo Pipeline'!$Q$5:$Q$504,A163,'Demo Pipeline'!$X$5:$X$504,"Yes"))</f>
        <v/>
      </c>
      <c r="BG163" s="33" t="str">
        <f aca="false">IF(A163="","",COUNTIFS('Demo Pipeline'!$Q$5:$Q$504,A163,'Demo Pipeline'!$Y$5:$Y$504,"Closed Won"))</f>
        <v/>
      </c>
      <c r="BH163" s="37" t="str">
        <f aca="false">IF(A163="","",SUMIFS('Demo Pipeline'!$Z$5:$Z$504,'Demo Pipeline'!$Q$5:$Q$504,A163))</f>
        <v/>
      </c>
      <c r="BI163" s="34" t="str">
        <f aca="false">IF(OR(AZ163="",N(AJ163)=0),"",AZ163/AJ163)</f>
        <v/>
      </c>
      <c r="BJ163" s="34" t="str">
        <f aca="false">IF(OR(BB163="",N(AZ163)=0),"",BB163/AZ163)</f>
        <v/>
      </c>
      <c r="BK163" s="34" t="str">
        <f aca="false">IF(OR(A163="",N(BB163)=0),"",BD163/BB163)</f>
        <v/>
      </c>
      <c r="BL163" s="34" t="str">
        <f aca="false">IF(OR(A163="",N(AZ163)=0),"",BD163/AZ163)</f>
        <v/>
      </c>
      <c r="BM163" s="37" t="str">
        <f aca="false">IF(OR(N(Q163)=0,N(BD163)=0),"",Q163/BD163)</f>
        <v/>
      </c>
      <c r="BN163" s="29"/>
      <c r="BO163" s="29"/>
      <c r="BP163" s="33" t="str">
        <f aca="false">IF(OR(AR163="",N(AO163)=0),"",AR163)</f>
        <v/>
      </c>
      <c r="BQ163" s="33" t="str">
        <f aca="false">IF(OR(AR163="",N(S163)=0),"",S163)</f>
        <v/>
      </c>
      <c r="BR163" s="38" t="str">
        <f aca="false">IF(AND(ISNUMBER(B163),B163&gt;=Dashboard!$C$4,B163&lt;=Dashboard!$F$4,ISNUMBER(AU163)),AU163+ROW()/10^9,"")</f>
        <v/>
      </c>
      <c r="BS163" s="38" t="str">
        <f aca="false">IF(AND(ISNUMBER(B163),B163&gt;=Dashboard!$C$4,B163&lt;=Dashboard!$F$4,A163&lt;&gt;""),N(BD163)+N(AU163)/100+ROW()/10^9,"")</f>
        <v/>
      </c>
    </row>
    <row r="164" customFormat="false" ht="15" hidden="false" customHeight="false" outlineLevel="0" collapsed="false">
      <c r="A164" s="24" t="str">
        <f aca="false">IF(OR(B164="",G164="",H164=""),"",IFERROR(INDEX(Settings!$E$5:$E$49,MATCH(G164,Settings!$D$5:$D$49,0))&amp;INDEX(Settings!$H$5:$H$47,MATCH(H164,Settings!$G$5:$G$47,0))&amp;"-"&amp;TEXT(B164,"yymmdd")&amp;"-"&amp;IF(C164="","0000",TEXT(C164,"hhmm")),"CHECK LISTS"))</f>
        <v/>
      </c>
      <c r="B164" s="39"/>
      <c r="C164" s="40"/>
      <c r="D164" s="24" t="str">
        <f aca="false">IF(B164="","",TEXT(B164,"ddd"))</f>
        <v/>
      </c>
      <c r="E164" s="27" t="str">
        <f aca="false">IF(B164="","",B164-WEEKDAY(B164,3))</f>
        <v/>
      </c>
      <c r="F164" s="24" t="str">
        <f aca="false">IF(B164="","",TEXT(B164,"yyyy-mm"))</f>
        <v/>
      </c>
      <c r="G164" s="29"/>
      <c r="H164" s="29"/>
      <c r="I164" s="29"/>
      <c r="J164" s="29"/>
      <c r="K164" s="29"/>
      <c r="L164" s="29"/>
      <c r="M164" s="29"/>
      <c r="N164" s="29"/>
      <c r="O164" s="29"/>
      <c r="P164" s="29"/>
      <c r="Q164" s="30"/>
      <c r="R164" s="29"/>
      <c r="S164" s="32"/>
      <c r="T164" s="29"/>
      <c r="U164" s="29"/>
      <c r="V164" s="24" t="str">
        <f aca="false">IF(A164="","",IFERROR(INDEX(Settings!$F$5:$F$49,MATCH(G164,Settings!$D$5:$D$49,0)),""))</f>
        <v/>
      </c>
      <c r="W164" s="24" t="str">
        <f aca="false">IF(A164="","",IF(OR(P164="",P164="Organic"),"social","paid_social"))</f>
        <v/>
      </c>
      <c r="X164" s="24" t="str">
        <f aca="false">IF(A164="","",IF(K164&lt;&gt;"",IFERROR(INDEX('Case Studies'!$C$5:$C$54,MATCH(K164,'Case Studies'!$B$5:$B$54,0))&amp;"","case-study"),IF(J164&lt;&gt;"",IFERROR(INDEX(Settings!$J$5:$J$55,MATCH(J164,Settings!$I$5:$I$55,0)),"general"),"general")))</f>
        <v/>
      </c>
      <c r="Y164" s="24" t="str">
        <f aca="false">IF(A164="","",LOWER(A164))</f>
        <v/>
      </c>
      <c r="Z164" s="24" t="str">
        <f aca="false">IF(A164="","",IF(T164="",Settings!$B$5,T164)&amp;IF(ISNUMBER(FIND("?",IF(T164="",Settings!$B$5,T164))),"&amp;","?")&amp;"utm_source="&amp;V164&amp;"&amp;utm_medium="&amp;W164&amp;"&amp;utm_campaign="&amp;X164&amp;"&amp;utm_content="&amp;Y164)</f>
        <v/>
      </c>
      <c r="AA164" s="29"/>
      <c r="AB164" s="39"/>
      <c r="AC164" s="32"/>
      <c r="AD164" s="32"/>
      <c r="AE164" s="32"/>
      <c r="AF164" s="32"/>
      <c r="AG164" s="32"/>
      <c r="AH164" s="32"/>
      <c r="AI164" s="32"/>
      <c r="AJ164" s="32"/>
      <c r="AK164" s="32"/>
      <c r="AL164" s="32"/>
      <c r="AM164" s="32"/>
      <c r="AN164" s="32"/>
      <c r="AO164" s="33" t="str">
        <f aca="false">IF(A164="","",IF(AD164&lt;&gt;"",AD164,IF(AC164&lt;&gt;"",AC164,"")))</f>
        <v/>
      </c>
      <c r="AP164" s="24" t="str">
        <f aca="false">IF(AO164="","",IF(AD164&lt;&gt;"","Reported reach","Impressions (proxy)"))</f>
        <v/>
      </c>
      <c r="AQ164" s="34" t="str">
        <f aca="false">IF(OR(AO164="",N(S164)=0),"",AO164/S164)</f>
        <v/>
      </c>
      <c r="AR164" s="33" t="str">
        <f aca="false">IF(A164="","",IF(COUNT(AF164:AJ164)=0,"",SUM(AF164:AJ164)))</f>
        <v/>
      </c>
      <c r="AS164" s="34" t="str">
        <f aca="false">IF(OR(AR164="",N(AO164)=0),"",AR164/AO164)</f>
        <v/>
      </c>
      <c r="AT164" s="34" t="str">
        <f aca="false">IF(OR(AR164="",N(AC164)=0),"",AR164/AC164)</f>
        <v/>
      </c>
      <c r="AU164" s="34" t="str">
        <f aca="false">IF(OR(AR164="",N(S164)=0),"",AR164/S164)</f>
        <v/>
      </c>
      <c r="AV164" s="34" t="str">
        <f aca="false">IF(OR(AJ164="",N(AC164)=0),"",AJ164/AC164)</f>
        <v/>
      </c>
      <c r="AW164" s="34" t="str">
        <f aca="false">IF(OR(AH164="",N(AO164)=0),"",AH164/AO164)</f>
        <v/>
      </c>
      <c r="AX164" s="35" t="str">
        <f aca="false">IF(OR(AR164="",N(AO164)=0),"",(N(AF164)*Settings!$B$6+N(AG164)*Settings!$B$7+N(AH164)*Settings!$B$8+N(AI164)*Settings!$B$9+N(AJ164)*Settings!$B$10)/AO164*1000)</f>
        <v/>
      </c>
      <c r="AY164" s="36" t="str">
        <f aca="false">IF(AS164="","",IFERROR(AS164/AVERAGEIFS('Post Tracker'!$AS$5:$AS$1004,'Post Tracker'!$G$5:$G$1004,G164),""))</f>
        <v/>
      </c>
      <c r="AZ164" s="32"/>
      <c r="BA164" s="32"/>
      <c r="BB164" s="32"/>
      <c r="BC164" s="32"/>
      <c r="BD164" s="33" t="str">
        <f aca="false">IF(A164="","",COUNTIFS('Demo Pipeline'!$Q$5:$Q$504,A164))</f>
        <v/>
      </c>
      <c r="BE164" s="33" t="str">
        <f aca="false">IF(A164="","",COUNTIFS('Demo Pipeline'!$Q$5:$Q$504,A164,'Demo Pipeline'!$W$5:$W$504,"Attended"))</f>
        <v/>
      </c>
      <c r="BF164" s="33" t="str">
        <f aca="false">IF(A164="","",COUNTIFS('Demo Pipeline'!$Q$5:$Q$504,A164,'Demo Pipeline'!$X$5:$X$504,"Yes"))</f>
        <v/>
      </c>
      <c r="BG164" s="33" t="str">
        <f aca="false">IF(A164="","",COUNTIFS('Demo Pipeline'!$Q$5:$Q$504,A164,'Demo Pipeline'!$Y$5:$Y$504,"Closed Won"))</f>
        <v/>
      </c>
      <c r="BH164" s="37" t="str">
        <f aca="false">IF(A164="","",SUMIFS('Demo Pipeline'!$Z$5:$Z$504,'Demo Pipeline'!$Q$5:$Q$504,A164))</f>
        <v/>
      </c>
      <c r="BI164" s="34" t="str">
        <f aca="false">IF(OR(AZ164="",N(AJ164)=0),"",AZ164/AJ164)</f>
        <v/>
      </c>
      <c r="BJ164" s="34" t="str">
        <f aca="false">IF(OR(BB164="",N(AZ164)=0),"",BB164/AZ164)</f>
        <v/>
      </c>
      <c r="BK164" s="34" t="str">
        <f aca="false">IF(OR(A164="",N(BB164)=0),"",BD164/BB164)</f>
        <v/>
      </c>
      <c r="BL164" s="34" t="str">
        <f aca="false">IF(OR(A164="",N(AZ164)=0),"",BD164/AZ164)</f>
        <v/>
      </c>
      <c r="BM164" s="37" t="str">
        <f aca="false">IF(OR(N(Q164)=0,N(BD164)=0),"",Q164/BD164)</f>
        <v/>
      </c>
      <c r="BN164" s="29"/>
      <c r="BO164" s="29"/>
      <c r="BP164" s="33" t="str">
        <f aca="false">IF(OR(AR164="",N(AO164)=0),"",AR164)</f>
        <v/>
      </c>
      <c r="BQ164" s="33" t="str">
        <f aca="false">IF(OR(AR164="",N(S164)=0),"",S164)</f>
        <v/>
      </c>
      <c r="BR164" s="38" t="str">
        <f aca="false">IF(AND(ISNUMBER(B164),B164&gt;=Dashboard!$C$4,B164&lt;=Dashboard!$F$4,ISNUMBER(AU164)),AU164+ROW()/10^9,"")</f>
        <v/>
      </c>
      <c r="BS164" s="38" t="str">
        <f aca="false">IF(AND(ISNUMBER(B164),B164&gt;=Dashboard!$C$4,B164&lt;=Dashboard!$F$4,A164&lt;&gt;""),N(BD164)+N(AU164)/100+ROW()/10^9,"")</f>
        <v/>
      </c>
    </row>
    <row r="165" customFormat="false" ht="15" hidden="false" customHeight="false" outlineLevel="0" collapsed="false">
      <c r="A165" s="24" t="str">
        <f aca="false">IF(OR(B165="",G165="",H165=""),"",IFERROR(INDEX(Settings!$E$5:$E$49,MATCH(G165,Settings!$D$5:$D$49,0))&amp;INDEX(Settings!$H$5:$H$47,MATCH(H165,Settings!$G$5:$G$47,0))&amp;"-"&amp;TEXT(B165,"yymmdd")&amp;"-"&amp;IF(C165="","0000",TEXT(C165,"hhmm")),"CHECK LISTS"))</f>
        <v/>
      </c>
      <c r="B165" s="39"/>
      <c r="C165" s="40"/>
      <c r="D165" s="24" t="str">
        <f aca="false">IF(B165="","",TEXT(B165,"ddd"))</f>
        <v/>
      </c>
      <c r="E165" s="27" t="str">
        <f aca="false">IF(B165="","",B165-WEEKDAY(B165,3))</f>
        <v/>
      </c>
      <c r="F165" s="24" t="str">
        <f aca="false">IF(B165="","",TEXT(B165,"yyyy-mm"))</f>
        <v/>
      </c>
      <c r="G165" s="29"/>
      <c r="H165" s="29"/>
      <c r="I165" s="29"/>
      <c r="J165" s="29"/>
      <c r="K165" s="29"/>
      <c r="L165" s="29"/>
      <c r="M165" s="29"/>
      <c r="N165" s="29"/>
      <c r="O165" s="29"/>
      <c r="P165" s="29"/>
      <c r="Q165" s="30"/>
      <c r="R165" s="29"/>
      <c r="S165" s="32"/>
      <c r="T165" s="29"/>
      <c r="U165" s="29"/>
      <c r="V165" s="24" t="str">
        <f aca="false">IF(A165="","",IFERROR(INDEX(Settings!$F$5:$F$49,MATCH(G165,Settings!$D$5:$D$49,0)),""))</f>
        <v/>
      </c>
      <c r="W165" s="24" t="str">
        <f aca="false">IF(A165="","",IF(OR(P165="",P165="Organic"),"social","paid_social"))</f>
        <v/>
      </c>
      <c r="X165" s="24" t="str">
        <f aca="false">IF(A165="","",IF(K165&lt;&gt;"",IFERROR(INDEX('Case Studies'!$C$5:$C$54,MATCH(K165,'Case Studies'!$B$5:$B$54,0))&amp;"","case-study"),IF(J165&lt;&gt;"",IFERROR(INDEX(Settings!$J$5:$J$55,MATCH(J165,Settings!$I$5:$I$55,0)),"general"),"general")))</f>
        <v/>
      </c>
      <c r="Y165" s="24" t="str">
        <f aca="false">IF(A165="","",LOWER(A165))</f>
        <v/>
      </c>
      <c r="Z165" s="24" t="str">
        <f aca="false">IF(A165="","",IF(T165="",Settings!$B$5,T165)&amp;IF(ISNUMBER(FIND("?",IF(T165="",Settings!$B$5,T165))),"&amp;","?")&amp;"utm_source="&amp;V165&amp;"&amp;utm_medium="&amp;W165&amp;"&amp;utm_campaign="&amp;X165&amp;"&amp;utm_content="&amp;Y165)</f>
        <v/>
      </c>
      <c r="AA165" s="29"/>
      <c r="AB165" s="39"/>
      <c r="AC165" s="32"/>
      <c r="AD165" s="32"/>
      <c r="AE165" s="32"/>
      <c r="AF165" s="32"/>
      <c r="AG165" s="32"/>
      <c r="AH165" s="32"/>
      <c r="AI165" s="32"/>
      <c r="AJ165" s="32"/>
      <c r="AK165" s="32"/>
      <c r="AL165" s="32"/>
      <c r="AM165" s="32"/>
      <c r="AN165" s="32"/>
      <c r="AO165" s="33" t="str">
        <f aca="false">IF(A165="","",IF(AD165&lt;&gt;"",AD165,IF(AC165&lt;&gt;"",AC165,"")))</f>
        <v/>
      </c>
      <c r="AP165" s="24" t="str">
        <f aca="false">IF(AO165="","",IF(AD165&lt;&gt;"","Reported reach","Impressions (proxy)"))</f>
        <v/>
      </c>
      <c r="AQ165" s="34" t="str">
        <f aca="false">IF(OR(AO165="",N(S165)=0),"",AO165/S165)</f>
        <v/>
      </c>
      <c r="AR165" s="33" t="str">
        <f aca="false">IF(A165="","",IF(COUNT(AF165:AJ165)=0,"",SUM(AF165:AJ165)))</f>
        <v/>
      </c>
      <c r="AS165" s="34" t="str">
        <f aca="false">IF(OR(AR165="",N(AO165)=0),"",AR165/AO165)</f>
        <v/>
      </c>
      <c r="AT165" s="34" t="str">
        <f aca="false">IF(OR(AR165="",N(AC165)=0),"",AR165/AC165)</f>
        <v/>
      </c>
      <c r="AU165" s="34" t="str">
        <f aca="false">IF(OR(AR165="",N(S165)=0),"",AR165/S165)</f>
        <v/>
      </c>
      <c r="AV165" s="34" t="str">
        <f aca="false">IF(OR(AJ165="",N(AC165)=0),"",AJ165/AC165)</f>
        <v/>
      </c>
      <c r="AW165" s="34" t="str">
        <f aca="false">IF(OR(AH165="",N(AO165)=0),"",AH165/AO165)</f>
        <v/>
      </c>
      <c r="AX165" s="35" t="str">
        <f aca="false">IF(OR(AR165="",N(AO165)=0),"",(N(AF165)*Settings!$B$6+N(AG165)*Settings!$B$7+N(AH165)*Settings!$B$8+N(AI165)*Settings!$B$9+N(AJ165)*Settings!$B$10)/AO165*1000)</f>
        <v/>
      </c>
      <c r="AY165" s="36" t="str">
        <f aca="false">IF(AS165="","",IFERROR(AS165/AVERAGEIFS('Post Tracker'!$AS$5:$AS$1004,'Post Tracker'!$G$5:$G$1004,G165),""))</f>
        <v/>
      </c>
      <c r="AZ165" s="32"/>
      <c r="BA165" s="32"/>
      <c r="BB165" s="32"/>
      <c r="BC165" s="32"/>
      <c r="BD165" s="33" t="str">
        <f aca="false">IF(A165="","",COUNTIFS('Demo Pipeline'!$Q$5:$Q$504,A165))</f>
        <v/>
      </c>
      <c r="BE165" s="33" t="str">
        <f aca="false">IF(A165="","",COUNTIFS('Demo Pipeline'!$Q$5:$Q$504,A165,'Demo Pipeline'!$W$5:$W$504,"Attended"))</f>
        <v/>
      </c>
      <c r="BF165" s="33" t="str">
        <f aca="false">IF(A165="","",COUNTIFS('Demo Pipeline'!$Q$5:$Q$504,A165,'Demo Pipeline'!$X$5:$X$504,"Yes"))</f>
        <v/>
      </c>
      <c r="BG165" s="33" t="str">
        <f aca="false">IF(A165="","",COUNTIFS('Demo Pipeline'!$Q$5:$Q$504,A165,'Demo Pipeline'!$Y$5:$Y$504,"Closed Won"))</f>
        <v/>
      </c>
      <c r="BH165" s="37" t="str">
        <f aca="false">IF(A165="","",SUMIFS('Demo Pipeline'!$Z$5:$Z$504,'Demo Pipeline'!$Q$5:$Q$504,A165))</f>
        <v/>
      </c>
      <c r="BI165" s="34" t="str">
        <f aca="false">IF(OR(AZ165="",N(AJ165)=0),"",AZ165/AJ165)</f>
        <v/>
      </c>
      <c r="BJ165" s="34" t="str">
        <f aca="false">IF(OR(BB165="",N(AZ165)=0),"",BB165/AZ165)</f>
        <v/>
      </c>
      <c r="BK165" s="34" t="str">
        <f aca="false">IF(OR(A165="",N(BB165)=0),"",BD165/BB165)</f>
        <v/>
      </c>
      <c r="BL165" s="34" t="str">
        <f aca="false">IF(OR(A165="",N(AZ165)=0),"",BD165/AZ165)</f>
        <v/>
      </c>
      <c r="BM165" s="37" t="str">
        <f aca="false">IF(OR(N(Q165)=0,N(BD165)=0),"",Q165/BD165)</f>
        <v/>
      </c>
      <c r="BN165" s="29"/>
      <c r="BO165" s="29"/>
      <c r="BP165" s="33" t="str">
        <f aca="false">IF(OR(AR165="",N(AO165)=0),"",AR165)</f>
        <v/>
      </c>
      <c r="BQ165" s="33" t="str">
        <f aca="false">IF(OR(AR165="",N(S165)=0),"",S165)</f>
        <v/>
      </c>
      <c r="BR165" s="38" t="str">
        <f aca="false">IF(AND(ISNUMBER(B165),B165&gt;=Dashboard!$C$4,B165&lt;=Dashboard!$F$4,ISNUMBER(AU165)),AU165+ROW()/10^9,"")</f>
        <v/>
      </c>
      <c r="BS165" s="38" t="str">
        <f aca="false">IF(AND(ISNUMBER(B165),B165&gt;=Dashboard!$C$4,B165&lt;=Dashboard!$F$4,A165&lt;&gt;""),N(BD165)+N(AU165)/100+ROW()/10^9,"")</f>
        <v/>
      </c>
    </row>
    <row r="166" customFormat="false" ht="15" hidden="false" customHeight="false" outlineLevel="0" collapsed="false">
      <c r="A166" s="24" t="str">
        <f aca="false">IF(OR(B166="",G166="",H166=""),"",IFERROR(INDEX(Settings!$E$5:$E$49,MATCH(G166,Settings!$D$5:$D$49,0))&amp;INDEX(Settings!$H$5:$H$47,MATCH(H166,Settings!$G$5:$G$47,0))&amp;"-"&amp;TEXT(B166,"yymmdd")&amp;"-"&amp;IF(C166="","0000",TEXT(C166,"hhmm")),"CHECK LISTS"))</f>
        <v/>
      </c>
      <c r="B166" s="39"/>
      <c r="C166" s="40"/>
      <c r="D166" s="24" t="str">
        <f aca="false">IF(B166="","",TEXT(B166,"ddd"))</f>
        <v/>
      </c>
      <c r="E166" s="27" t="str">
        <f aca="false">IF(B166="","",B166-WEEKDAY(B166,3))</f>
        <v/>
      </c>
      <c r="F166" s="24" t="str">
        <f aca="false">IF(B166="","",TEXT(B166,"yyyy-mm"))</f>
        <v/>
      </c>
      <c r="G166" s="29"/>
      <c r="H166" s="29"/>
      <c r="I166" s="29"/>
      <c r="J166" s="29"/>
      <c r="K166" s="29"/>
      <c r="L166" s="29"/>
      <c r="M166" s="29"/>
      <c r="N166" s="29"/>
      <c r="O166" s="29"/>
      <c r="P166" s="29"/>
      <c r="Q166" s="30"/>
      <c r="R166" s="29"/>
      <c r="S166" s="32"/>
      <c r="T166" s="29"/>
      <c r="U166" s="29"/>
      <c r="V166" s="24" t="str">
        <f aca="false">IF(A166="","",IFERROR(INDEX(Settings!$F$5:$F$49,MATCH(G166,Settings!$D$5:$D$49,0)),""))</f>
        <v/>
      </c>
      <c r="W166" s="24" t="str">
        <f aca="false">IF(A166="","",IF(OR(P166="",P166="Organic"),"social","paid_social"))</f>
        <v/>
      </c>
      <c r="X166" s="24" t="str">
        <f aca="false">IF(A166="","",IF(K166&lt;&gt;"",IFERROR(INDEX('Case Studies'!$C$5:$C$54,MATCH(K166,'Case Studies'!$B$5:$B$54,0))&amp;"","case-study"),IF(J166&lt;&gt;"",IFERROR(INDEX(Settings!$J$5:$J$55,MATCH(J166,Settings!$I$5:$I$55,0)),"general"),"general")))</f>
        <v/>
      </c>
      <c r="Y166" s="24" t="str">
        <f aca="false">IF(A166="","",LOWER(A166))</f>
        <v/>
      </c>
      <c r="Z166" s="24" t="str">
        <f aca="false">IF(A166="","",IF(T166="",Settings!$B$5,T166)&amp;IF(ISNUMBER(FIND("?",IF(T166="",Settings!$B$5,T166))),"&amp;","?")&amp;"utm_source="&amp;V166&amp;"&amp;utm_medium="&amp;W166&amp;"&amp;utm_campaign="&amp;X166&amp;"&amp;utm_content="&amp;Y166)</f>
        <v/>
      </c>
      <c r="AA166" s="29"/>
      <c r="AB166" s="39"/>
      <c r="AC166" s="32"/>
      <c r="AD166" s="32"/>
      <c r="AE166" s="32"/>
      <c r="AF166" s="32"/>
      <c r="AG166" s="32"/>
      <c r="AH166" s="32"/>
      <c r="AI166" s="32"/>
      <c r="AJ166" s="32"/>
      <c r="AK166" s="32"/>
      <c r="AL166" s="32"/>
      <c r="AM166" s="32"/>
      <c r="AN166" s="32"/>
      <c r="AO166" s="33" t="str">
        <f aca="false">IF(A166="","",IF(AD166&lt;&gt;"",AD166,IF(AC166&lt;&gt;"",AC166,"")))</f>
        <v/>
      </c>
      <c r="AP166" s="24" t="str">
        <f aca="false">IF(AO166="","",IF(AD166&lt;&gt;"","Reported reach","Impressions (proxy)"))</f>
        <v/>
      </c>
      <c r="AQ166" s="34" t="str">
        <f aca="false">IF(OR(AO166="",N(S166)=0),"",AO166/S166)</f>
        <v/>
      </c>
      <c r="AR166" s="33" t="str">
        <f aca="false">IF(A166="","",IF(COUNT(AF166:AJ166)=0,"",SUM(AF166:AJ166)))</f>
        <v/>
      </c>
      <c r="AS166" s="34" t="str">
        <f aca="false">IF(OR(AR166="",N(AO166)=0),"",AR166/AO166)</f>
        <v/>
      </c>
      <c r="AT166" s="34" t="str">
        <f aca="false">IF(OR(AR166="",N(AC166)=0),"",AR166/AC166)</f>
        <v/>
      </c>
      <c r="AU166" s="34" t="str">
        <f aca="false">IF(OR(AR166="",N(S166)=0),"",AR166/S166)</f>
        <v/>
      </c>
      <c r="AV166" s="34" t="str">
        <f aca="false">IF(OR(AJ166="",N(AC166)=0),"",AJ166/AC166)</f>
        <v/>
      </c>
      <c r="AW166" s="34" t="str">
        <f aca="false">IF(OR(AH166="",N(AO166)=0),"",AH166/AO166)</f>
        <v/>
      </c>
      <c r="AX166" s="35" t="str">
        <f aca="false">IF(OR(AR166="",N(AO166)=0),"",(N(AF166)*Settings!$B$6+N(AG166)*Settings!$B$7+N(AH166)*Settings!$B$8+N(AI166)*Settings!$B$9+N(AJ166)*Settings!$B$10)/AO166*1000)</f>
        <v/>
      </c>
      <c r="AY166" s="36" t="str">
        <f aca="false">IF(AS166="","",IFERROR(AS166/AVERAGEIFS('Post Tracker'!$AS$5:$AS$1004,'Post Tracker'!$G$5:$G$1004,G166),""))</f>
        <v/>
      </c>
      <c r="AZ166" s="32"/>
      <c r="BA166" s="32"/>
      <c r="BB166" s="32"/>
      <c r="BC166" s="32"/>
      <c r="BD166" s="33" t="str">
        <f aca="false">IF(A166="","",COUNTIFS('Demo Pipeline'!$Q$5:$Q$504,A166))</f>
        <v/>
      </c>
      <c r="BE166" s="33" t="str">
        <f aca="false">IF(A166="","",COUNTIFS('Demo Pipeline'!$Q$5:$Q$504,A166,'Demo Pipeline'!$W$5:$W$504,"Attended"))</f>
        <v/>
      </c>
      <c r="BF166" s="33" t="str">
        <f aca="false">IF(A166="","",COUNTIFS('Demo Pipeline'!$Q$5:$Q$504,A166,'Demo Pipeline'!$X$5:$X$504,"Yes"))</f>
        <v/>
      </c>
      <c r="BG166" s="33" t="str">
        <f aca="false">IF(A166="","",COUNTIFS('Demo Pipeline'!$Q$5:$Q$504,A166,'Demo Pipeline'!$Y$5:$Y$504,"Closed Won"))</f>
        <v/>
      </c>
      <c r="BH166" s="37" t="str">
        <f aca="false">IF(A166="","",SUMIFS('Demo Pipeline'!$Z$5:$Z$504,'Demo Pipeline'!$Q$5:$Q$504,A166))</f>
        <v/>
      </c>
      <c r="BI166" s="34" t="str">
        <f aca="false">IF(OR(AZ166="",N(AJ166)=0),"",AZ166/AJ166)</f>
        <v/>
      </c>
      <c r="BJ166" s="34" t="str">
        <f aca="false">IF(OR(BB166="",N(AZ166)=0),"",BB166/AZ166)</f>
        <v/>
      </c>
      <c r="BK166" s="34" t="str">
        <f aca="false">IF(OR(A166="",N(BB166)=0),"",BD166/BB166)</f>
        <v/>
      </c>
      <c r="BL166" s="34" t="str">
        <f aca="false">IF(OR(A166="",N(AZ166)=0),"",BD166/AZ166)</f>
        <v/>
      </c>
      <c r="BM166" s="37" t="str">
        <f aca="false">IF(OR(N(Q166)=0,N(BD166)=0),"",Q166/BD166)</f>
        <v/>
      </c>
      <c r="BN166" s="29"/>
      <c r="BO166" s="29"/>
      <c r="BP166" s="33" t="str">
        <f aca="false">IF(OR(AR166="",N(AO166)=0),"",AR166)</f>
        <v/>
      </c>
      <c r="BQ166" s="33" t="str">
        <f aca="false">IF(OR(AR166="",N(S166)=0),"",S166)</f>
        <v/>
      </c>
      <c r="BR166" s="38" t="str">
        <f aca="false">IF(AND(ISNUMBER(B166),B166&gt;=Dashboard!$C$4,B166&lt;=Dashboard!$F$4,ISNUMBER(AU166)),AU166+ROW()/10^9,"")</f>
        <v/>
      </c>
      <c r="BS166" s="38" t="str">
        <f aca="false">IF(AND(ISNUMBER(B166),B166&gt;=Dashboard!$C$4,B166&lt;=Dashboard!$F$4,A166&lt;&gt;""),N(BD166)+N(AU166)/100+ROW()/10^9,"")</f>
        <v/>
      </c>
    </row>
    <row r="167" customFormat="false" ht="15" hidden="false" customHeight="false" outlineLevel="0" collapsed="false">
      <c r="A167" s="24" t="str">
        <f aca="false">IF(OR(B167="",G167="",H167=""),"",IFERROR(INDEX(Settings!$E$5:$E$49,MATCH(G167,Settings!$D$5:$D$49,0))&amp;INDEX(Settings!$H$5:$H$47,MATCH(H167,Settings!$G$5:$G$47,0))&amp;"-"&amp;TEXT(B167,"yymmdd")&amp;"-"&amp;IF(C167="","0000",TEXT(C167,"hhmm")),"CHECK LISTS"))</f>
        <v/>
      </c>
      <c r="B167" s="39"/>
      <c r="C167" s="40"/>
      <c r="D167" s="24" t="str">
        <f aca="false">IF(B167="","",TEXT(B167,"ddd"))</f>
        <v/>
      </c>
      <c r="E167" s="27" t="str">
        <f aca="false">IF(B167="","",B167-WEEKDAY(B167,3))</f>
        <v/>
      </c>
      <c r="F167" s="24" t="str">
        <f aca="false">IF(B167="","",TEXT(B167,"yyyy-mm"))</f>
        <v/>
      </c>
      <c r="G167" s="29"/>
      <c r="H167" s="29"/>
      <c r="I167" s="29"/>
      <c r="J167" s="29"/>
      <c r="K167" s="29"/>
      <c r="L167" s="29"/>
      <c r="M167" s="29"/>
      <c r="N167" s="29"/>
      <c r="O167" s="29"/>
      <c r="P167" s="29"/>
      <c r="Q167" s="30"/>
      <c r="R167" s="29"/>
      <c r="S167" s="32"/>
      <c r="T167" s="29"/>
      <c r="U167" s="29"/>
      <c r="V167" s="24" t="str">
        <f aca="false">IF(A167="","",IFERROR(INDEX(Settings!$F$5:$F$49,MATCH(G167,Settings!$D$5:$D$49,0)),""))</f>
        <v/>
      </c>
      <c r="W167" s="24" t="str">
        <f aca="false">IF(A167="","",IF(OR(P167="",P167="Organic"),"social","paid_social"))</f>
        <v/>
      </c>
      <c r="X167" s="24" t="str">
        <f aca="false">IF(A167="","",IF(K167&lt;&gt;"",IFERROR(INDEX('Case Studies'!$C$5:$C$54,MATCH(K167,'Case Studies'!$B$5:$B$54,0))&amp;"","case-study"),IF(J167&lt;&gt;"",IFERROR(INDEX(Settings!$J$5:$J$55,MATCH(J167,Settings!$I$5:$I$55,0)),"general"),"general")))</f>
        <v/>
      </c>
      <c r="Y167" s="24" t="str">
        <f aca="false">IF(A167="","",LOWER(A167))</f>
        <v/>
      </c>
      <c r="Z167" s="24" t="str">
        <f aca="false">IF(A167="","",IF(T167="",Settings!$B$5,T167)&amp;IF(ISNUMBER(FIND("?",IF(T167="",Settings!$B$5,T167))),"&amp;","?")&amp;"utm_source="&amp;V167&amp;"&amp;utm_medium="&amp;W167&amp;"&amp;utm_campaign="&amp;X167&amp;"&amp;utm_content="&amp;Y167)</f>
        <v/>
      </c>
      <c r="AA167" s="29"/>
      <c r="AB167" s="39"/>
      <c r="AC167" s="32"/>
      <c r="AD167" s="32"/>
      <c r="AE167" s="32"/>
      <c r="AF167" s="32"/>
      <c r="AG167" s="32"/>
      <c r="AH167" s="32"/>
      <c r="AI167" s="32"/>
      <c r="AJ167" s="32"/>
      <c r="AK167" s="32"/>
      <c r="AL167" s="32"/>
      <c r="AM167" s="32"/>
      <c r="AN167" s="32"/>
      <c r="AO167" s="33" t="str">
        <f aca="false">IF(A167="","",IF(AD167&lt;&gt;"",AD167,IF(AC167&lt;&gt;"",AC167,"")))</f>
        <v/>
      </c>
      <c r="AP167" s="24" t="str">
        <f aca="false">IF(AO167="","",IF(AD167&lt;&gt;"","Reported reach","Impressions (proxy)"))</f>
        <v/>
      </c>
      <c r="AQ167" s="34" t="str">
        <f aca="false">IF(OR(AO167="",N(S167)=0),"",AO167/S167)</f>
        <v/>
      </c>
      <c r="AR167" s="33" t="str">
        <f aca="false">IF(A167="","",IF(COUNT(AF167:AJ167)=0,"",SUM(AF167:AJ167)))</f>
        <v/>
      </c>
      <c r="AS167" s="34" t="str">
        <f aca="false">IF(OR(AR167="",N(AO167)=0),"",AR167/AO167)</f>
        <v/>
      </c>
      <c r="AT167" s="34" t="str">
        <f aca="false">IF(OR(AR167="",N(AC167)=0),"",AR167/AC167)</f>
        <v/>
      </c>
      <c r="AU167" s="34" t="str">
        <f aca="false">IF(OR(AR167="",N(S167)=0),"",AR167/S167)</f>
        <v/>
      </c>
      <c r="AV167" s="34" t="str">
        <f aca="false">IF(OR(AJ167="",N(AC167)=0),"",AJ167/AC167)</f>
        <v/>
      </c>
      <c r="AW167" s="34" t="str">
        <f aca="false">IF(OR(AH167="",N(AO167)=0),"",AH167/AO167)</f>
        <v/>
      </c>
      <c r="AX167" s="35" t="str">
        <f aca="false">IF(OR(AR167="",N(AO167)=0),"",(N(AF167)*Settings!$B$6+N(AG167)*Settings!$B$7+N(AH167)*Settings!$B$8+N(AI167)*Settings!$B$9+N(AJ167)*Settings!$B$10)/AO167*1000)</f>
        <v/>
      </c>
      <c r="AY167" s="36" t="str">
        <f aca="false">IF(AS167="","",IFERROR(AS167/AVERAGEIFS('Post Tracker'!$AS$5:$AS$1004,'Post Tracker'!$G$5:$G$1004,G167),""))</f>
        <v/>
      </c>
      <c r="AZ167" s="32"/>
      <c r="BA167" s="32"/>
      <c r="BB167" s="32"/>
      <c r="BC167" s="32"/>
      <c r="BD167" s="33" t="str">
        <f aca="false">IF(A167="","",COUNTIFS('Demo Pipeline'!$Q$5:$Q$504,A167))</f>
        <v/>
      </c>
      <c r="BE167" s="33" t="str">
        <f aca="false">IF(A167="","",COUNTIFS('Demo Pipeline'!$Q$5:$Q$504,A167,'Demo Pipeline'!$W$5:$W$504,"Attended"))</f>
        <v/>
      </c>
      <c r="BF167" s="33" t="str">
        <f aca="false">IF(A167="","",COUNTIFS('Demo Pipeline'!$Q$5:$Q$504,A167,'Demo Pipeline'!$X$5:$X$504,"Yes"))</f>
        <v/>
      </c>
      <c r="BG167" s="33" t="str">
        <f aca="false">IF(A167="","",COUNTIFS('Demo Pipeline'!$Q$5:$Q$504,A167,'Demo Pipeline'!$Y$5:$Y$504,"Closed Won"))</f>
        <v/>
      </c>
      <c r="BH167" s="37" t="str">
        <f aca="false">IF(A167="","",SUMIFS('Demo Pipeline'!$Z$5:$Z$504,'Demo Pipeline'!$Q$5:$Q$504,A167))</f>
        <v/>
      </c>
      <c r="BI167" s="34" t="str">
        <f aca="false">IF(OR(AZ167="",N(AJ167)=0),"",AZ167/AJ167)</f>
        <v/>
      </c>
      <c r="BJ167" s="34" t="str">
        <f aca="false">IF(OR(BB167="",N(AZ167)=0),"",BB167/AZ167)</f>
        <v/>
      </c>
      <c r="BK167" s="34" t="str">
        <f aca="false">IF(OR(A167="",N(BB167)=0),"",BD167/BB167)</f>
        <v/>
      </c>
      <c r="BL167" s="34" t="str">
        <f aca="false">IF(OR(A167="",N(AZ167)=0),"",BD167/AZ167)</f>
        <v/>
      </c>
      <c r="BM167" s="37" t="str">
        <f aca="false">IF(OR(N(Q167)=0,N(BD167)=0),"",Q167/BD167)</f>
        <v/>
      </c>
      <c r="BN167" s="29"/>
      <c r="BO167" s="29"/>
      <c r="BP167" s="33" t="str">
        <f aca="false">IF(OR(AR167="",N(AO167)=0),"",AR167)</f>
        <v/>
      </c>
      <c r="BQ167" s="33" t="str">
        <f aca="false">IF(OR(AR167="",N(S167)=0),"",S167)</f>
        <v/>
      </c>
      <c r="BR167" s="38" t="str">
        <f aca="false">IF(AND(ISNUMBER(B167),B167&gt;=Dashboard!$C$4,B167&lt;=Dashboard!$F$4,ISNUMBER(AU167)),AU167+ROW()/10^9,"")</f>
        <v/>
      </c>
      <c r="BS167" s="38" t="str">
        <f aca="false">IF(AND(ISNUMBER(B167),B167&gt;=Dashboard!$C$4,B167&lt;=Dashboard!$F$4,A167&lt;&gt;""),N(BD167)+N(AU167)/100+ROW()/10^9,"")</f>
        <v/>
      </c>
    </row>
    <row r="168" customFormat="false" ht="15" hidden="false" customHeight="false" outlineLevel="0" collapsed="false">
      <c r="A168" s="24" t="str">
        <f aca="false">IF(OR(B168="",G168="",H168=""),"",IFERROR(INDEX(Settings!$E$5:$E$49,MATCH(G168,Settings!$D$5:$D$49,0))&amp;INDEX(Settings!$H$5:$H$47,MATCH(H168,Settings!$G$5:$G$47,0))&amp;"-"&amp;TEXT(B168,"yymmdd")&amp;"-"&amp;IF(C168="","0000",TEXT(C168,"hhmm")),"CHECK LISTS"))</f>
        <v/>
      </c>
      <c r="B168" s="39"/>
      <c r="C168" s="40"/>
      <c r="D168" s="24" t="str">
        <f aca="false">IF(B168="","",TEXT(B168,"ddd"))</f>
        <v/>
      </c>
      <c r="E168" s="27" t="str">
        <f aca="false">IF(B168="","",B168-WEEKDAY(B168,3))</f>
        <v/>
      </c>
      <c r="F168" s="24" t="str">
        <f aca="false">IF(B168="","",TEXT(B168,"yyyy-mm"))</f>
        <v/>
      </c>
      <c r="G168" s="29"/>
      <c r="H168" s="29"/>
      <c r="I168" s="29"/>
      <c r="J168" s="29"/>
      <c r="K168" s="29"/>
      <c r="L168" s="29"/>
      <c r="M168" s="29"/>
      <c r="N168" s="29"/>
      <c r="O168" s="29"/>
      <c r="P168" s="29"/>
      <c r="Q168" s="30"/>
      <c r="R168" s="29"/>
      <c r="S168" s="32"/>
      <c r="T168" s="29"/>
      <c r="U168" s="29"/>
      <c r="V168" s="24" t="str">
        <f aca="false">IF(A168="","",IFERROR(INDEX(Settings!$F$5:$F$49,MATCH(G168,Settings!$D$5:$D$49,0)),""))</f>
        <v/>
      </c>
      <c r="W168" s="24" t="str">
        <f aca="false">IF(A168="","",IF(OR(P168="",P168="Organic"),"social","paid_social"))</f>
        <v/>
      </c>
      <c r="X168" s="24" t="str">
        <f aca="false">IF(A168="","",IF(K168&lt;&gt;"",IFERROR(INDEX('Case Studies'!$C$5:$C$54,MATCH(K168,'Case Studies'!$B$5:$B$54,0))&amp;"","case-study"),IF(J168&lt;&gt;"",IFERROR(INDEX(Settings!$J$5:$J$55,MATCH(J168,Settings!$I$5:$I$55,0)),"general"),"general")))</f>
        <v/>
      </c>
      <c r="Y168" s="24" t="str">
        <f aca="false">IF(A168="","",LOWER(A168))</f>
        <v/>
      </c>
      <c r="Z168" s="24" t="str">
        <f aca="false">IF(A168="","",IF(T168="",Settings!$B$5,T168)&amp;IF(ISNUMBER(FIND("?",IF(T168="",Settings!$B$5,T168))),"&amp;","?")&amp;"utm_source="&amp;V168&amp;"&amp;utm_medium="&amp;W168&amp;"&amp;utm_campaign="&amp;X168&amp;"&amp;utm_content="&amp;Y168)</f>
        <v/>
      </c>
      <c r="AA168" s="29"/>
      <c r="AB168" s="39"/>
      <c r="AC168" s="32"/>
      <c r="AD168" s="32"/>
      <c r="AE168" s="32"/>
      <c r="AF168" s="32"/>
      <c r="AG168" s="32"/>
      <c r="AH168" s="32"/>
      <c r="AI168" s="32"/>
      <c r="AJ168" s="32"/>
      <c r="AK168" s="32"/>
      <c r="AL168" s="32"/>
      <c r="AM168" s="32"/>
      <c r="AN168" s="32"/>
      <c r="AO168" s="33" t="str">
        <f aca="false">IF(A168="","",IF(AD168&lt;&gt;"",AD168,IF(AC168&lt;&gt;"",AC168,"")))</f>
        <v/>
      </c>
      <c r="AP168" s="24" t="str">
        <f aca="false">IF(AO168="","",IF(AD168&lt;&gt;"","Reported reach","Impressions (proxy)"))</f>
        <v/>
      </c>
      <c r="AQ168" s="34" t="str">
        <f aca="false">IF(OR(AO168="",N(S168)=0),"",AO168/S168)</f>
        <v/>
      </c>
      <c r="AR168" s="33" t="str">
        <f aca="false">IF(A168="","",IF(COUNT(AF168:AJ168)=0,"",SUM(AF168:AJ168)))</f>
        <v/>
      </c>
      <c r="AS168" s="34" t="str">
        <f aca="false">IF(OR(AR168="",N(AO168)=0),"",AR168/AO168)</f>
        <v/>
      </c>
      <c r="AT168" s="34" t="str">
        <f aca="false">IF(OR(AR168="",N(AC168)=0),"",AR168/AC168)</f>
        <v/>
      </c>
      <c r="AU168" s="34" t="str">
        <f aca="false">IF(OR(AR168="",N(S168)=0),"",AR168/S168)</f>
        <v/>
      </c>
      <c r="AV168" s="34" t="str">
        <f aca="false">IF(OR(AJ168="",N(AC168)=0),"",AJ168/AC168)</f>
        <v/>
      </c>
      <c r="AW168" s="34" t="str">
        <f aca="false">IF(OR(AH168="",N(AO168)=0),"",AH168/AO168)</f>
        <v/>
      </c>
      <c r="AX168" s="35" t="str">
        <f aca="false">IF(OR(AR168="",N(AO168)=0),"",(N(AF168)*Settings!$B$6+N(AG168)*Settings!$B$7+N(AH168)*Settings!$B$8+N(AI168)*Settings!$B$9+N(AJ168)*Settings!$B$10)/AO168*1000)</f>
        <v/>
      </c>
      <c r="AY168" s="36" t="str">
        <f aca="false">IF(AS168="","",IFERROR(AS168/AVERAGEIFS('Post Tracker'!$AS$5:$AS$1004,'Post Tracker'!$G$5:$G$1004,G168),""))</f>
        <v/>
      </c>
      <c r="AZ168" s="32"/>
      <c r="BA168" s="32"/>
      <c r="BB168" s="32"/>
      <c r="BC168" s="32"/>
      <c r="BD168" s="33" t="str">
        <f aca="false">IF(A168="","",COUNTIFS('Demo Pipeline'!$Q$5:$Q$504,A168))</f>
        <v/>
      </c>
      <c r="BE168" s="33" t="str">
        <f aca="false">IF(A168="","",COUNTIFS('Demo Pipeline'!$Q$5:$Q$504,A168,'Demo Pipeline'!$W$5:$W$504,"Attended"))</f>
        <v/>
      </c>
      <c r="BF168" s="33" t="str">
        <f aca="false">IF(A168="","",COUNTIFS('Demo Pipeline'!$Q$5:$Q$504,A168,'Demo Pipeline'!$X$5:$X$504,"Yes"))</f>
        <v/>
      </c>
      <c r="BG168" s="33" t="str">
        <f aca="false">IF(A168="","",COUNTIFS('Demo Pipeline'!$Q$5:$Q$504,A168,'Demo Pipeline'!$Y$5:$Y$504,"Closed Won"))</f>
        <v/>
      </c>
      <c r="BH168" s="37" t="str">
        <f aca="false">IF(A168="","",SUMIFS('Demo Pipeline'!$Z$5:$Z$504,'Demo Pipeline'!$Q$5:$Q$504,A168))</f>
        <v/>
      </c>
      <c r="BI168" s="34" t="str">
        <f aca="false">IF(OR(AZ168="",N(AJ168)=0),"",AZ168/AJ168)</f>
        <v/>
      </c>
      <c r="BJ168" s="34" t="str">
        <f aca="false">IF(OR(BB168="",N(AZ168)=0),"",BB168/AZ168)</f>
        <v/>
      </c>
      <c r="BK168" s="34" t="str">
        <f aca="false">IF(OR(A168="",N(BB168)=0),"",BD168/BB168)</f>
        <v/>
      </c>
      <c r="BL168" s="34" t="str">
        <f aca="false">IF(OR(A168="",N(AZ168)=0),"",BD168/AZ168)</f>
        <v/>
      </c>
      <c r="BM168" s="37" t="str">
        <f aca="false">IF(OR(N(Q168)=0,N(BD168)=0),"",Q168/BD168)</f>
        <v/>
      </c>
      <c r="BN168" s="29"/>
      <c r="BO168" s="29"/>
      <c r="BP168" s="33" t="str">
        <f aca="false">IF(OR(AR168="",N(AO168)=0),"",AR168)</f>
        <v/>
      </c>
      <c r="BQ168" s="33" t="str">
        <f aca="false">IF(OR(AR168="",N(S168)=0),"",S168)</f>
        <v/>
      </c>
      <c r="BR168" s="38" t="str">
        <f aca="false">IF(AND(ISNUMBER(B168),B168&gt;=Dashboard!$C$4,B168&lt;=Dashboard!$F$4,ISNUMBER(AU168)),AU168+ROW()/10^9,"")</f>
        <v/>
      </c>
      <c r="BS168" s="38" t="str">
        <f aca="false">IF(AND(ISNUMBER(B168),B168&gt;=Dashboard!$C$4,B168&lt;=Dashboard!$F$4,A168&lt;&gt;""),N(BD168)+N(AU168)/100+ROW()/10^9,"")</f>
        <v/>
      </c>
    </row>
    <row r="169" customFormat="false" ht="15" hidden="false" customHeight="false" outlineLevel="0" collapsed="false">
      <c r="A169" s="24" t="str">
        <f aca="false">IF(OR(B169="",G169="",H169=""),"",IFERROR(INDEX(Settings!$E$5:$E$49,MATCH(G169,Settings!$D$5:$D$49,0))&amp;INDEX(Settings!$H$5:$H$47,MATCH(H169,Settings!$G$5:$G$47,0))&amp;"-"&amp;TEXT(B169,"yymmdd")&amp;"-"&amp;IF(C169="","0000",TEXT(C169,"hhmm")),"CHECK LISTS"))</f>
        <v/>
      </c>
      <c r="B169" s="39"/>
      <c r="C169" s="40"/>
      <c r="D169" s="24" t="str">
        <f aca="false">IF(B169="","",TEXT(B169,"ddd"))</f>
        <v/>
      </c>
      <c r="E169" s="27" t="str">
        <f aca="false">IF(B169="","",B169-WEEKDAY(B169,3))</f>
        <v/>
      </c>
      <c r="F169" s="24" t="str">
        <f aca="false">IF(B169="","",TEXT(B169,"yyyy-mm"))</f>
        <v/>
      </c>
      <c r="G169" s="29"/>
      <c r="H169" s="29"/>
      <c r="I169" s="29"/>
      <c r="J169" s="29"/>
      <c r="K169" s="29"/>
      <c r="L169" s="29"/>
      <c r="M169" s="29"/>
      <c r="N169" s="29"/>
      <c r="O169" s="29"/>
      <c r="P169" s="29"/>
      <c r="Q169" s="30"/>
      <c r="R169" s="29"/>
      <c r="S169" s="32"/>
      <c r="T169" s="29"/>
      <c r="U169" s="29"/>
      <c r="V169" s="24" t="str">
        <f aca="false">IF(A169="","",IFERROR(INDEX(Settings!$F$5:$F$49,MATCH(G169,Settings!$D$5:$D$49,0)),""))</f>
        <v/>
      </c>
      <c r="W169" s="24" t="str">
        <f aca="false">IF(A169="","",IF(OR(P169="",P169="Organic"),"social","paid_social"))</f>
        <v/>
      </c>
      <c r="X169" s="24" t="str">
        <f aca="false">IF(A169="","",IF(K169&lt;&gt;"",IFERROR(INDEX('Case Studies'!$C$5:$C$54,MATCH(K169,'Case Studies'!$B$5:$B$54,0))&amp;"","case-study"),IF(J169&lt;&gt;"",IFERROR(INDEX(Settings!$J$5:$J$55,MATCH(J169,Settings!$I$5:$I$55,0)),"general"),"general")))</f>
        <v/>
      </c>
      <c r="Y169" s="24" t="str">
        <f aca="false">IF(A169="","",LOWER(A169))</f>
        <v/>
      </c>
      <c r="Z169" s="24" t="str">
        <f aca="false">IF(A169="","",IF(T169="",Settings!$B$5,T169)&amp;IF(ISNUMBER(FIND("?",IF(T169="",Settings!$B$5,T169))),"&amp;","?")&amp;"utm_source="&amp;V169&amp;"&amp;utm_medium="&amp;W169&amp;"&amp;utm_campaign="&amp;X169&amp;"&amp;utm_content="&amp;Y169)</f>
        <v/>
      </c>
      <c r="AA169" s="29"/>
      <c r="AB169" s="39"/>
      <c r="AC169" s="32"/>
      <c r="AD169" s="32"/>
      <c r="AE169" s="32"/>
      <c r="AF169" s="32"/>
      <c r="AG169" s="32"/>
      <c r="AH169" s="32"/>
      <c r="AI169" s="32"/>
      <c r="AJ169" s="32"/>
      <c r="AK169" s="32"/>
      <c r="AL169" s="32"/>
      <c r="AM169" s="32"/>
      <c r="AN169" s="32"/>
      <c r="AO169" s="33" t="str">
        <f aca="false">IF(A169="","",IF(AD169&lt;&gt;"",AD169,IF(AC169&lt;&gt;"",AC169,"")))</f>
        <v/>
      </c>
      <c r="AP169" s="24" t="str">
        <f aca="false">IF(AO169="","",IF(AD169&lt;&gt;"","Reported reach","Impressions (proxy)"))</f>
        <v/>
      </c>
      <c r="AQ169" s="34" t="str">
        <f aca="false">IF(OR(AO169="",N(S169)=0),"",AO169/S169)</f>
        <v/>
      </c>
      <c r="AR169" s="33" t="str">
        <f aca="false">IF(A169="","",IF(COUNT(AF169:AJ169)=0,"",SUM(AF169:AJ169)))</f>
        <v/>
      </c>
      <c r="AS169" s="34" t="str">
        <f aca="false">IF(OR(AR169="",N(AO169)=0),"",AR169/AO169)</f>
        <v/>
      </c>
      <c r="AT169" s="34" t="str">
        <f aca="false">IF(OR(AR169="",N(AC169)=0),"",AR169/AC169)</f>
        <v/>
      </c>
      <c r="AU169" s="34" t="str">
        <f aca="false">IF(OR(AR169="",N(S169)=0),"",AR169/S169)</f>
        <v/>
      </c>
      <c r="AV169" s="34" t="str">
        <f aca="false">IF(OR(AJ169="",N(AC169)=0),"",AJ169/AC169)</f>
        <v/>
      </c>
      <c r="AW169" s="34" t="str">
        <f aca="false">IF(OR(AH169="",N(AO169)=0),"",AH169/AO169)</f>
        <v/>
      </c>
      <c r="AX169" s="35" t="str">
        <f aca="false">IF(OR(AR169="",N(AO169)=0),"",(N(AF169)*Settings!$B$6+N(AG169)*Settings!$B$7+N(AH169)*Settings!$B$8+N(AI169)*Settings!$B$9+N(AJ169)*Settings!$B$10)/AO169*1000)</f>
        <v/>
      </c>
      <c r="AY169" s="36" t="str">
        <f aca="false">IF(AS169="","",IFERROR(AS169/AVERAGEIFS('Post Tracker'!$AS$5:$AS$1004,'Post Tracker'!$G$5:$G$1004,G169),""))</f>
        <v/>
      </c>
      <c r="AZ169" s="32"/>
      <c r="BA169" s="32"/>
      <c r="BB169" s="32"/>
      <c r="BC169" s="32"/>
      <c r="BD169" s="33" t="str">
        <f aca="false">IF(A169="","",COUNTIFS('Demo Pipeline'!$Q$5:$Q$504,A169))</f>
        <v/>
      </c>
      <c r="BE169" s="33" t="str">
        <f aca="false">IF(A169="","",COUNTIFS('Demo Pipeline'!$Q$5:$Q$504,A169,'Demo Pipeline'!$W$5:$W$504,"Attended"))</f>
        <v/>
      </c>
      <c r="BF169" s="33" t="str">
        <f aca="false">IF(A169="","",COUNTIFS('Demo Pipeline'!$Q$5:$Q$504,A169,'Demo Pipeline'!$X$5:$X$504,"Yes"))</f>
        <v/>
      </c>
      <c r="BG169" s="33" t="str">
        <f aca="false">IF(A169="","",COUNTIFS('Demo Pipeline'!$Q$5:$Q$504,A169,'Demo Pipeline'!$Y$5:$Y$504,"Closed Won"))</f>
        <v/>
      </c>
      <c r="BH169" s="37" t="str">
        <f aca="false">IF(A169="","",SUMIFS('Demo Pipeline'!$Z$5:$Z$504,'Demo Pipeline'!$Q$5:$Q$504,A169))</f>
        <v/>
      </c>
      <c r="BI169" s="34" t="str">
        <f aca="false">IF(OR(AZ169="",N(AJ169)=0),"",AZ169/AJ169)</f>
        <v/>
      </c>
      <c r="BJ169" s="34" t="str">
        <f aca="false">IF(OR(BB169="",N(AZ169)=0),"",BB169/AZ169)</f>
        <v/>
      </c>
      <c r="BK169" s="34" t="str">
        <f aca="false">IF(OR(A169="",N(BB169)=0),"",BD169/BB169)</f>
        <v/>
      </c>
      <c r="BL169" s="34" t="str">
        <f aca="false">IF(OR(A169="",N(AZ169)=0),"",BD169/AZ169)</f>
        <v/>
      </c>
      <c r="BM169" s="37" t="str">
        <f aca="false">IF(OR(N(Q169)=0,N(BD169)=0),"",Q169/BD169)</f>
        <v/>
      </c>
      <c r="BN169" s="29"/>
      <c r="BO169" s="29"/>
      <c r="BP169" s="33" t="str">
        <f aca="false">IF(OR(AR169="",N(AO169)=0),"",AR169)</f>
        <v/>
      </c>
      <c r="BQ169" s="33" t="str">
        <f aca="false">IF(OR(AR169="",N(S169)=0),"",S169)</f>
        <v/>
      </c>
      <c r="BR169" s="38" t="str">
        <f aca="false">IF(AND(ISNUMBER(B169),B169&gt;=Dashboard!$C$4,B169&lt;=Dashboard!$F$4,ISNUMBER(AU169)),AU169+ROW()/10^9,"")</f>
        <v/>
      </c>
      <c r="BS169" s="38" t="str">
        <f aca="false">IF(AND(ISNUMBER(B169),B169&gt;=Dashboard!$C$4,B169&lt;=Dashboard!$F$4,A169&lt;&gt;""),N(BD169)+N(AU169)/100+ROW()/10^9,"")</f>
        <v/>
      </c>
    </row>
    <row r="170" customFormat="false" ht="15" hidden="false" customHeight="false" outlineLevel="0" collapsed="false">
      <c r="A170" s="24" t="str">
        <f aca="false">IF(OR(B170="",G170="",H170=""),"",IFERROR(INDEX(Settings!$E$5:$E$49,MATCH(G170,Settings!$D$5:$D$49,0))&amp;INDEX(Settings!$H$5:$H$47,MATCH(H170,Settings!$G$5:$G$47,0))&amp;"-"&amp;TEXT(B170,"yymmdd")&amp;"-"&amp;IF(C170="","0000",TEXT(C170,"hhmm")),"CHECK LISTS"))</f>
        <v/>
      </c>
      <c r="B170" s="39"/>
      <c r="C170" s="40"/>
      <c r="D170" s="24" t="str">
        <f aca="false">IF(B170="","",TEXT(B170,"ddd"))</f>
        <v/>
      </c>
      <c r="E170" s="27" t="str">
        <f aca="false">IF(B170="","",B170-WEEKDAY(B170,3))</f>
        <v/>
      </c>
      <c r="F170" s="24" t="str">
        <f aca="false">IF(B170="","",TEXT(B170,"yyyy-mm"))</f>
        <v/>
      </c>
      <c r="G170" s="29"/>
      <c r="H170" s="29"/>
      <c r="I170" s="29"/>
      <c r="J170" s="29"/>
      <c r="K170" s="29"/>
      <c r="L170" s="29"/>
      <c r="M170" s="29"/>
      <c r="N170" s="29"/>
      <c r="O170" s="29"/>
      <c r="P170" s="29"/>
      <c r="Q170" s="30"/>
      <c r="R170" s="29"/>
      <c r="S170" s="32"/>
      <c r="T170" s="29"/>
      <c r="U170" s="29"/>
      <c r="V170" s="24" t="str">
        <f aca="false">IF(A170="","",IFERROR(INDEX(Settings!$F$5:$F$49,MATCH(G170,Settings!$D$5:$D$49,0)),""))</f>
        <v/>
      </c>
      <c r="W170" s="24" t="str">
        <f aca="false">IF(A170="","",IF(OR(P170="",P170="Organic"),"social","paid_social"))</f>
        <v/>
      </c>
      <c r="X170" s="24" t="str">
        <f aca="false">IF(A170="","",IF(K170&lt;&gt;"",IFERROR(INDEX('Case Studies'!$C$5:$C$54,MATCH(K170,'Case Studies'!$B$5:$B$54,0))&amp;"","case-study"),IF(J170&lt;&gt;"",IFERROR(INDEX(Settings!$J$5:$J$55,MATCH(J170,Settings!$I$5:$I$55,0)),"general"),"general")))</f>
        <v/>
      </c>
      <c r="Y170" s="24" t="str">
        <f aca="false">IF(A170="","",LOWER(A170))</f>
        <v/>
      </c>
      <c r="Z170" s="24" t="str">
        <f aca="false">IF(A170="","",IF(T170="",Settings!$B$5,T170)&amp;IF(ISNUMBER(FIND("?",IF(T170="",Settings!$B$5,T170))),"&amp;","?")&amp;"utm_source="&amp;V170&amp;"&amp;utm_medium="&amp;W170&amp;"&amp;utm_campaign="&amp;X170&amp;"&amp;utm_content="&amp;Y170)</f>
        <v/>
      </c>
      <c r="AA170" s="29"/>
      <c r="AB170" s="39"/>
      <c r="AC170" s="32"/>
      <c r="AD170" s="32"/>
      <c r="AE170" s="32"/>
      <c r="AF170" s="32"/>
      <c r="AG170" s="32"/>
      <c r="AH170" s="32"/>
      <c r="AI170" s="32"/>
      <c r="AJ170" s="32"/>
      <c r="AK170" s="32"/>
      <c r="AL170" s="32"/>
      <c r="AM170" s="32"/>
      <c r="AN170" s="32"/>
      <c r="AO170" s="33" t="str">
        <f aca="false">IF(A170="","",IF(AD170&lt;&gt;"",AD170,IF(AC170&lt;&gt;"",AC170,"")))</f>
        <v/>
      </c>
      <c r="AP170" s="24" t="str">
        <f aca="false">IF(AO170="","",IF(AD170&lt;&gt;"","Reported reach","Impressions (proxy)"))</f>
        <v/>
      </c>
      <c r="AQ170" s="34" t="str">
        <f aca="false">IF(OR(AO170="",N(S170)=0),"",AO170/S170)</f>
        <v/>
      </c>
      <c r="AR170" s="33" t="str">
        <f aca="false">IF(A170="","",IF(COUNT(AF170:AJ170)=0,"",SUM(AF170:AJ170)))</f>
        <v/>
      </c>
      <c r="AS170" s="34" t="str">
        <f aca="false">IF(OR(AR170="",N(AO170)=0),"",AR170/AO170)</f>
        <v/>
      </c>
      <c r="AT170" s="34" t="str">
        <f aca="false">IF(OR(AR170="",N(AC170)=0),"",AR170/AC170)</f>
        <v/>
      </c>
      <c r="AU170" s="34" t="str">
        <f aca="false">IF(OR(AR170="",N(S170)=0),"",AR170/S170)</f>
        <v/>
      </c>
      <c r="AV170" s="34" t="str">
        <f aca="false">IF(OR(AJ170="",N(AC170)=0),"",AJ170/AC170)</f>
        <v/>
      </c>
      <c r="AW170" s="34" t="str">
        <f aca="false">IF(OR(AH170="",N(AO170)=0),"",AH170/AO170)</f>
        <v/>
      </c>
      <c r="AX170" s="35" t="str">
        <f aca="false">IF(OR(AR170="",N(AO170)=0),"",(N(AF170)*Settings!$B$6+N(AG170)*Settings!$B$7+N(AH170)*Settings!$B$8+N(AI170)*Settings!$B$9+N(AJ170)*Settings!$B$10)/AO170*1000)</f>
        <v/>
      </c>
      <c r="AY170" s="36" t="str">
        <f aca="false">IF(AS170="","",IFERROR(AS170/AVERAGEIFS('Post Tracker'!$AS$5:$AS$1004,'Post Tracker'!$G$5:$G$1004,G170),""))</f>
        <v/>
      </c>
      <c r="AZ170" s="32"/>
      <c r="BA170" s="32"/>
      <c r="BB170" s="32"/>
      <c r="BC170" s="32"/>
      <c r="BD170" s="33" t="str">
        <f aca="false">IF(A170="","",COUNTIFS('Demo Pipeline'!$Q$5:$Q$504,A170))</f>
        <v/>
      </c>
      <c r="BE170" s="33" t="str">
        <f aca="false">IF(A170="","",COUNTIFS('Demo Pipeline'!$Q$5:$Q$504,A170,'Demo Pipeline'!$W$5:$W$504,"Attended"))</f>
        <v/>
      </c>
      <c r="BF170" s="33" t="str">
        <f aca="false">IF(A170="","",COUNTIFS('Demo Pipeline'!$Q$5:$Q$504,A170,'Demo Pipeline'!$X$5:$X$504,"Yes"))</f>
        <v/>
      </c>
      <c r="BG170" s="33" t="str">
        <f aca="false">IF(A170="","",COUNTIFS('Demo Pipeline'!$Q$5:$Q$504,A170,'Demo Pipeline'!$Y$5:$Y$504,"Closed Won"))</f>
        <v/>
      </c>
      <c r="BH170" s="37" t="str">
        <f aca="false">IF(A170="","",SUMIFS('Demo Pipeline'!$Z$5:$Z$504,'Demo Pipeline'!$Q$5:$Q$504,A170))</f>
        <v/>
      </c>
      <c r="BI170" s="34" t="str">
        <f aca="false">IF(OR(AZ170="",N(AJ170)=0),"",AZ170/AJ170)</f>
        <v/>
      </c>
      <c r="BJ170" s="34" t="str">
        <f aca="false">IF(OR(BB170="",N(AZ170)=0),"",BB170/AZ170)</f>
        <v/>
      </c>
      <c r="BK170" s="34" t="str">
        <f aca="false">IF(OR(A170="",N(BB170)=0),"",BD170/BB170)</f>
        <v/>
      </c>
      <c r="BL170" s="34" t="str">
        <f aca="false">IF(OR(A170="",N(AZ170)=0),"",BD170/AZ170)</f>
        <v/>
      </c>
      <c r="BM170" s="37" t="str">
        <f aca="false">IF(OR(N(Q170)=0,N(BD170)=0),"",Q170/BD170)</f>
        <v/>
      </c>
      <c r="BN170" s="29"/>
      <c r="BO170" s="29"/>
      <c r="BP170" s="33" t="str">
        <f aca="false">IF(OR(AR170="",N(AO170)=0),"",AR170)</f>
        <v/>
      </c>
      <c r="BQ170" s="33" t="str">
        <f aca="false">IF(OR(AR170="",N(S170)=0),"",S170)</f>
        <v/>
      </c>
      <c r="BR170" s="38" t="str">
        <f aca="false">IF(AND(ISNUMBER(B170),B170&gt;=Dashboard!$C$4,B170&lt;=Dashboard!$F$4,ISNUMBER(AU170)),AU170+ROW()/10^9,"")</f>
        <v/>
      </c>
      <c r="BS170" s="38" t="str">
        <f aca="false">IF(AND(ISNUMBER(B170),B170&gt;=Dashboard!$C$4,B170&lt;=Dashboard!$F$4,A170&lt;&gt;""),N(BD170)+N(AU170)/100+ROW()/10^9,"")</f>
        <v/>
      </c>
    </row>
    <row r="171" customFormat="false" ht="15" hidden="false" customHeight="false" outlineLevel="0" collapsed="false">
      <c r="A171" s="24" t="str">
        <f aca="false">IF(OR(B171="",G171="",H171=""),"",IFERROR(INDEX(Settings!$E$5:$E$49,MATCH(G171,Settings!$D$5:$D$49,0))&amp;INDEX(Settings!$H$5:$H$47,MATCH(H171,Settings!$G$5:$G$47,0))&amp;"-"&amp;TEXT(B171,"yymmdd")&amp;"-"&amp;IF(C171="","0000",TEXT(C171,"hhmm")),"CHECK LISTS"))</f>
        <v/>
      </c>
      <c r="B171" s="39"/>
      <c r="C171" s="40"/>
      <c r="D171" s="24" t="str">
        <f aca="false">IF(B171="","",TEXT(B171,"ddd"))</f>
        <v/>
      </c>
      <c r="E171" s="27" t="str">
        <f aca="false">IF(B171="","",B171-WEEKDAY(B171,3))</f>
        <v/>
      </c>
      <c r="F171" s="24" t="str">
        <f aca="false">IF(B171="","",TEXT(B171,"yyyy-mm"))</f>
        <v/>
      </c>
      <c r="G171" s="29"/>
      <c r="H171" s="29"/>
      <c r="I171" s="29"/>
      <c r="J171" s="29"/>
      <c r="K171" s="29"/>
      <c r="L171" s="29"/>
      <c r="M171" s="29"/>
      <c r="N171" s="29"/>
      <c r="O171" s="29"/>
      <c r="P171" s="29"/>
      <c r="Q171" s="30"/>
      <c r="R171" s="29"/>
      <c r="S171" s="32"/>
      <c r="T171" s="29"/>
      <c r="U171" s="29"/>
      <c r="V171" s="24" t="str">
        <f aca="false">IF(A171="","",IFERROR(INDEX(Settings!$F$5:$F$49,MATCH(G171,Settings!$D$5:$D$49,0)),""))</f>
        <v/>
      </c>
      <c r="W171" s="24" t="str">
        <f aca="false">IF(A171="","",IF(OR(P171="",P171="Organic"),"social","paid_social"))</f>
        <v/>
      </c>
      <c r="X171" s="24" t="str">
        <f aca="false">IF(A171="","",IF(K171&lt;&gt;"",IFERROR(INDEX('Case Studies'!$C$5:$C$54,MATCH(K171,'Case Studies'!$B$5:$B$54,0))&amp;"","case-study"),IF(J171&lt;&gt;"",IFERROR(INDEX(Settings!$J$5:$J$55,MATCH(J171,Settings!$I$5:$I$55,0)),"general"),"general")))</f>
        <v/>
      </c>
      <c r="Y171" s="24" t="str">
        <f aca="false">IF(A171="","",LOWER(A171))</f>
        <v/>
      </c>
      <c r="Z171" s="24" t="str">
        <f aca="false">IF(A171="","",IF(T171="",Settings!$B$5,T171)&amp;IF(ISNUMBER(FIND("?",IF(T171="",Settings!$B$5,T171))),"&amp;","?")&amp;"utm_source="&amp;V171&amp;"&amp;utm_medium="&amp;W171&amp;"&amp;utm_campaign="&amp;X171&amp;"&amp;utm_content="&amp;Y171)</f>
        <v/>
      </c>
      <c r="AA171" s="29"/>
      <c r="AB171" s="39"/>
      <c r="AC171" s="32"/>
      <c r="AD171" s="32"/>
      <c r="AE171" s="32"/>
      <c r="AF171" s="32"/>
      <c r="AG171" s="32"/>
      <c r="AH171" s="32"/>
      <c r="AI171" s="32"/>
      <c r="AJ171" s="32"/>
      <c r="AK171" s="32"/>
      <c r="AL171" s="32"/>
      <c r="AM171" s="32"/>
      <c r="AN171" s="32"/>
      <c r="AO171" s="33" t="str">
        <f aca="false">IF(A171="","",IF(AD171&lt;&gt;"",AD171,IF(AC171&lt;&gt;"",AC171,"")))</f>
        <v/>
      </c>
      <c r="AP171" s="24" t="str">
        <f aca="false">IF(AO171="","",IF(AD171&lt;&gt;"","Reported reach","Impressions (proxy)"))</f>
        <v/>
      </c>
      <c r="AQ171" s="34" t="str">
        <f aca="false">IF(OR(AO171="",N(S171)=0),"",AO171/S171)</f>
        <v/>
      </c>
      <c r="AR171" s="33" t="str">
        <f aca="false">IF(A171="","",IF(COUNT(AF171:AJ171)=0,"",SUM(AF171:AJ171)))</f>
        <v/>
      </c>
      <c r="AS171" s="34" t="str">
        <f aca="false">IF(OR(AR171="",N(AO171)=0),"",AR171/AO171)</f>
        <v/>
      </c>
      <c r="AT171" s="34" t="str">
        <f aca="false">IF(OR(AR171="",N(AC171)=0),"",AR171/AC171)</f>
        <v/>
      </c>
      <c r="AU171" s="34" t="str">
        <f aca="false">IF(OR(AR171="",N(S171)=0),"",AR171/S171)</f>
        <v/>
      </c>
      <c r="AV171" s="34" t="str">
        <f aca="false">IF(OR(AJ171="",N(AC171)=0),"",AJ171/AC171)</f>
        <v/>
      </c>
      <c r="AW171" s="34" t="str">
        <f aca="false">IF(OR(AH171="",N(AO171)=0),"",AH171/AO171)</f>
        <v/>
      </c>
      <c r="AX171" s="35" t="str">
        <f aca="false">IF(OR(AR171="",N(AO171)=0),"",(N(AF171)*Settings!$B$6+N(AG171)*Settings!$B$7+N(AH171)*Settings!$B$8+N(AI171)*Settings!$B$9+N(AJ171)*Settings!$B$10)/AO171*1000)</f>
        <v/>
      </c>
      <c r="AY171" s="36" t="str">
        <f aca="false">IF(AS171="","",IFERROR(AS171/AVERAGEIFS('Post Tracker'!$AS$5:$AS$1004,'Post Tracker'!$G$5:$G$1004,G171),""))</f>
        <v/>
      </c>
      <c r="AZ171" s="32"/>
      <c r="BA171" s="32"/>
      <c r="BB171" s="32"/>
      <c r="BC171" s="32"/>
      <c r="BD171" s="33" t="str">
        <f aca="false">IF(A171="","",COUNTIFS('Demo Pipeline'!$Q$5:$Q$504,A171))</f>
        <v/>
      </c>
      <c r="BE171" s="33" t="str">
        <f aca="false">IF(A171="","",COUNTIFS('Demo Pipeline'!$Q$5:$Q$504,A171,'Demo Pipeline'!$W$5:$W$504,"Attended"))</f>
        <v/>
      </c>
      <c r="BF171" s="33" t="str">
        <f aca="false">IF(A171="","",COUNTIFS('Demo Pipeline'!$Q$5:$Q$504,A171,'Demo Pipeline'!$X$5:$X$504,"Yes"))</f>
        <v/>
      </c>
      <c r="BG171" s="33" t="str">
        <f aca="false">IF(A171="","",COUNTIFS('Demo Pipeline'!$Q$5:$Q$504,A171,'Demo Pipeline'!$Y$5:$Y$504,"Closed Won"))</f>
        <v/>
      </c>
      <c r="BH171" s="37" t="str">
        <f aca="false">IF(A171="","",SUMIFS('Demo Pipeline'!$Z$5:$Z$504,'Demo Pipeline'!$Q$5:$Q$504,A171))</f>
        <v/>
      </c>
      <c r="BI171" s="34" t="str">
        <f aca="false">IF(OR(AZ171="",N(AJ171)=0),"",AZ171/AJ171)</f>
        <v/>
      </c>
      <c r="BJ171" s="34" t="str">
        <f aca="false">IF(OR(BB171="",N(AZ171)=0),"",BB171/AZ171)</f>
        <v/>
      </c>
      <c r="BK171" s="34" t="str">
        <f aca="false">IF(OR(A171="",N(BB171)=0),"",BD171/BB171)</f>
        <v/>
      </c>
      <c r="BL171" s="34" t="str">
        <f aca="false">IF(OR(A171="",N(AZ171)=0),"",BD171/AZ171)</f>
        <v/>
      </c>
      <c r="BM171" s="37" t="str">
        <f aca="false">IF(OR(N(Q171)=0,N(BD171)=0),"",Q171/BD171)</f>
        <v/>
      </c>
      <c r="BN171" s="29"/>
      <c r="BO171" s="29"/>
      <c r="BP171" s="33" t="str">
        <f aca="false">IF(OR(AR171="",N(AO171)=0),"",AR171)</f>
        <v/>
      </c>
      <c r="BQ171" s="33" t="str">
        <f aca="false">IF(OR(AR171="",N(S171)=0),"",S171)</f>
        <v/>
      </c>
      <c r="BR171" s="38" t="str">
        <f aca="false">IF(AND(ISNUMBER(B171),B171&gt;=Dashboard!$C$4,B171&lt;=Dashboard!$F$4,ISNUMBER(AU171)),AU171+ROW()/10^9,"")</f>
        <v/>
      </c>
      <c r="BS171" s="38" t="str">
        <f aca="false">IF(AND(ISNUMBER(B171),B171&gt;=Dashboard!$C$4,B171&lt;=Dashboard!$F$4,A171&lt;&gt;""),N(BD171)+N(AU171)/100+ROW()/10^9,"")</f>
        <v/>
      </c>
    </row>
    <row r="172" customFormat="false" ht="15" hidden="false" customHeight="false" outlineLevel="0" collapsed="false">
      <c r="A172" s="24" t="str">
        <f aca="false">IF(OR(B172="",G172="",H172=""),"",IFERROR(INDEX(Settings!$E$5:$E$49,MATCH(G172,Settings!$D$5:$D$49,0))&amp;INDEX(Settings!$H$5:$H$47,MATCH(H172,Settings!$G$5:$G$47,0))&amp;"-"&amp;TEXT(B172,"yymmdd")&amp;"-"&amp;IF(C172="","0000",TEXT(C172,"hhmm")),"CHECK LISTS"))</f>
        <v/>
      </c>
      <c r="B172" s="39"/>
      <c r="C172" s="40"/>
      <c r="D172" s="24" t="str">
        <f aca="false">IF(B172="","",TEXT(B172,"ddd"))</f>
        <v/>
      </c>
      <c r="E172" s="27" t="str">
        <f aca="false">IF(B172="","",B172-WEEKDAY(B172,3))</f>
        <v/>
      </c>
      <c r="F172" s="24" t="str">
        <f aca="false">IF(B172="","",TEXT(B172,"yyyy-mm"))</f>
        <v/>
      </c>
      <c r="G172" s="29"/>
      <c r="H172" s="29"/>
      <c r="I172" s="29"/>
      <c r="J172" s="29"/>
      <c r="K172" s="29"/>
      <c r="L172" s="29"/>
      <c r="M172" s="29"/>
      <c r="N172" s="29"/>
      <c r="O172" s="29"/>
      <c r="P172" s="29"/>
      <c r="Q172" s="30"/>
      <c r="R172" s="29"/>
      <c r="S172" s="32"/>
      <c r="T172" s="29"/>
      <c r="U172" s="29"/>
      <c r="V172" s="24" t="str">
        <f aca="false">IF(A172="","",IFERROR(INDEX(Settings!$F$5:$F$49,MATCH(G172,Settings!$D$5:$D$49,0)),""))</f>
        <v/>
      </c>
      <c r="W172" s="24" t="str">
        <f aca="false">IF(A172="","",IF(OR(P172="",P172="Organic"),"social","paid_social"))</f>
        <v/>
      </c>
      <c r="X172" s="24" t="str">
        <f aca="false">IF(A172="","",IF(K172&lt;&gt;"",IFERROR(INDEX('Case Studies'!$C$5:$C$54,MATCH(K172,'Case Studies'!$B$5:$B$54,0))&amp;"","case-study"),IF(J172&lt;&gt;"",IFERROR(INDEX(Settings!$J$5:$J$55,MATCH(J172,Settings!$I$5:$I$55,0)),"general"),"general")))</f>
        <v/>
      </c>
      <c r="Y172" s="24" t="str">
        <f aca="false">IF(A172="","",LOWER(A172))</f>
        <v/>
      </c>
      <c r="Z172" s="24" t="str">
        <f aca="false">IF(A172="","",IF(T172="",Settings!$B$5,T172)&amp;IF(ISNUMBER(FIND("?",IF(T172="",Settings!$B$5,T172))),"&amp;","?")&amp;"utm_source="&amp;V172&amp;"&amp;utm_medium="&amp;W172&amp;"&amp;utm_campaign="&amp;X172&amp;"&amp;utm_content="&amp;Y172)</f>
        <v/>
      </c>
      <c r="AA172" s="29"/>
      <c r="AB172" s="39"/>
      <c r="AC172" s="32"/>
      <c r="AD172" s="32"/>
      <c r="AE172" s="32"/>
      <c r="AF172" s="32"/>
      <c r="AG172" s="32"/>
      <c r="AH172" s="32"/>
      <c r="AI172" s="32"/>
      <c r="AJ172" s="32"/>
      <c r="AK172" s="32"/>
      <c r="AL172" s="32"/>
      <c r="AM172" s="32"/>
      <c r="AN172" s="32"/>
      <c r="AO172" s="33" t="str">
        <f aca="false">IF(A172="","",IF(AD172&lt;&gt;"",AD172,IF(AC172&lt;&gt;"",AC172,"")))</f>
        <v/>
      </c>
      <c r="AP172" s="24" t="str">
        <f aca="false">IF(AO172="","",IF(AD172&lt;&gt;"","Reported reach","Impressions (proxy)"))</f>
        <v/>
      </c>
      <c r="AQ172" s="34" t="str">
        <f aca="false">IF(OR(AO172="",N(S172)=0),"",AO172/S172)</f>
        <v/>
      </c>
      <c r="AR172" s="33" t="str">
        <f aca="false">IF(A172="","",IF(COUNT(AF172:AJ172)=0,"",SUM(AF172:AJ172)))</f>
        <v/>
      </c>
      <c r="AS172" s="34" t="str">
        <f aca="false">IF(OR(AR172="",N(AO172)=0),"",AR172/AO172)</f>
        <v/>
      </c>
      <c r="AT172" s="34" t="str">
        <f aca="false">IF(OR(AR172="",N(AC172)=0),"",AR172/AC172)</f>
        <v/>
      </c>
      <c r="AU172" s="34" t="str">
        <f aca="false">IF(OR(AR172="",N(S172)=0),"",AR172/S172)</f>
        <v/>
      </c>
      <c r="AV172" s="34" t="str">
        <f aca="false">IF(OR(AJ172="",N(AC172)=0),"",AJ172/AC172)</f>
        <v/>
      </c>
      <c r="AW172" s="34" t="str">
        <f aca="false">IF(OR(AH172="",N(AO172)=0),"",AH172/AO172)</f>
        <v/>
      </c>
      <c r="AX172" s="35" t="str">
        <f aca="false">IF(OR(AR172="",N(AO172)=0),"",(N(AF172)*Settings!$B$6+N(AG172)*Settings!$B$7+N(AH172)*Settings!$B$8+N(AI172)*Settings!$B$9+N(AJ172)*Settings!$B$10)/AO172*1000)</f>
        <v/>
      </c>
      <c r="AY172" s="36" t="str">
        <f aca="false">IF(AS172="","",IFERROR(AS172/AVERAGEIFS('Post Tracker'!$AS$5:$AS$1004,'Post Tracker'!$G$5:$G$1004,G172),""))</f>
        <v/>
      </c>
      <c r="AZ172" s="32"/>
      <c r="BA172" s="32"/>
      <c r="BB172" s="32"/>
      <c r="BC172" s="32"/>
      <c r="BD172" s="33" t="str">
        <f aca="false">IF(A172="","",COUNTIFS('Demo Pipeline'!$Q$5:$Q$504,A172))</f>
        <v/>
      </c>
      <c r="BE172" s="33" t="str">
        <f aca="false">IF(A172="","",COUNTIFS('Demo Pipeline'!$Q$5:$Q$504,A172,'Demo Pipeline'!$W$5:$W$504,"Attended"))</f>
        <v/>
      </c>
      <c r="BF172" s="33" t="str">
        <f aca="false">IF(A172="","",COUNTIFS('Demo Pipeline'!$Q$5:$Q$504,A172,'Demo Pipeline'!$X$5:$X$504,"Yes"))</f>
        <v/>
      </c>
      <c r="BG172" s="33" t="str">
        <f aca="false">IF(A172="","",COUNTIFS('Demo Pipeline'!$Q$5:$Q$504,A172,'Demo Pipeline'!$Y$5:$Y$504,"Closed Won"))</f>
        <v/>
      </c>
      <c r="BH172" s="37" t="str">
        <f aca="false">IF(A172="","",SUMIFS('Demo Pipeline'!$Z$5:$Z$504,'Demo Pipeline'!$Q$5:$Q$504,A172))</f>
        <v/>
      </c>
      <c r="BI172" s="34" t="str">
        <f aca="false">IF(OR(AZ172="",N(AJ172)=0),"",AZ172/AJ172)</f>
        <v/>
      </c>
      <c r="BJ172" s="34" t="str">
        <f aca="false">IF(OR(BB172="",N(AZ172)=0),"",BB172/AZ172)</f>
        <v/>
      </c>
      <c r="BK172" s="34" t="str">
        <f aca="false">IF(OR(A172="",N(BB172)=0),"",BD172/BB172)</f>
        <v/>
      </c>
      <c r="BL172" s="34" t="str">
        <f aca="false">IF(OR(A172="",N(AZ172)=0),"",BD172/AZ172)</f>
        <v/>
      </c>
      <c r="BM172" s="37" t="str">
        <f aca="false">IF(OR(N(Q172)=0,N(BD172)=0),"",Q172/BD172)</f>
        <v/>
      </c>
      <c r="BN172" s="29"/>
      <c r="BO172" s="29"/>
      <c r="BP172" s="33" t="str">
        <f aca="false">IF(OR(AR172="",N(AO172)=0),"",AR172)</f>
        <v/>
      </c>
      <c r="BQ172" s="33" t="str">
        <f aca="false">IF(OR(AR172="",N(S172)=0),"",S172)</f>
        <v/>
      </c>
      <c r="BR172" s="38" t="str">
        <f aca="false">IF(AND(ISNUMBER(B172),B172&gt;=Dashboard!$C$4,B172&lt;=Dashboard!$F$4,ISNUMBER(AU172)),AU172+ROW()/10^9,"")</f>
        <v/>
      </c>
      <c r="BS172" s="38" t="str">
        <f aca="false">IF(AND(ISNUMBER(B172),B172&gt;=Dashboard!$C$4,B172&lt;=Dashboard!$F$4,A172&lt;&gt;""),N(BD172)+N(AU172)/100+ROW()/10^9,"")</f>
        <v/>
      </c>
    </row>
    <row r="173" customFormat="false" ht="15" hidden="false" customHeight="false" outlineLevel="0" collapsed="false">
      <c r="A173" s="24" t="str">
        <f aca="false">IF(OR(B173="",G173="",H173=""),"",IFERROR(INDEX(Settings!$E$5:$E$49,MATCH(G173,Settings!$D$5:$D$49,0))&amp;INDEX(Settings!$H$5:$H$47,MATCH(H173,Settings!$G$5:$G$47,0))&amp;"-"&amp;TEXT(B173,"yymmdd")&amp;"-"&amp;IF(C173="","0000",TEXT(C173,"hhmm")),"CHECK LISTS"))</f>
        <v/>
      </c>
      <c r="B173" s="39"/>
      <c r="C173" s="40"/>
      <c r="D173" s="24" t="str">
        <f aca="false">IF(B173="","",TEXT(B173,"ddd"))</f>
        <v/>
      </c>
      <c r="E173" s="27" t="str">
        <f aca="false">IF(B173="","",B173-WEEKDAY(B173,3))</f>
        <v/>
      </c>
      <c r="F173" s="24" t="str">
        <f aca="false">IF(B173="","",TEXT(B173,"yyyy-mm"))</f>
        <v/>
      </c>
      <c r="G173" s="29"/>
      <c r="H173" s="29"/>
      <c r="I173" s="29"/>
      <c r="J173" s="29"/>
      <c r="K173" s="29"/>
      <c r="L173" s="29"/>
      <c r="M173" s="29"/>
      <c r="N173" s="29"/>
      <c r="O173" s="29"/>
      <c r="P173" s="29"/>
      <c r="Q173" s="30"/>
      <c r="R173" s="29"/>
      <c r="S173" s="32"/>
      <c r="T173" s="29"/>
      <c r="U173" s="29"/>
      <c r="V173" s="24" t="str">
        <f aca="false">IF(A173="","",IFERROR(INDEX(Settings!$F$5:$F$49,MATCH(G173,Settings!$D$5:$D$49,0)),""))</f>
        <v/>
      </c>
      <c r="W173" s="24" t="str">
        <f aca="false">IF(A173="","",IF(OR(P173="",P173="Organic"),"social","paid_social"))</f>
        <v/>
      </c>
      <c r="X173" s="24" t="str">
        <f aca="false">IF(A173="","",IF(K173&lt;&gt;"",IFERROR(INDEX('Case Studies'!$C$5:$C$54,MATCH(K173,'Case Studies'!$B$5:$B$54,0))&amp;"","case-study"),IF(J173&lt;&gt;"",IFERROR(INDEX(Settings!$J$5:$J$55,MATCH(J173,Settings!$I$5:$I$55,0)),"general"),"general")))</f>
        <v/>
      </c>
      <c r="Y173" s="24" t="str">
        <f aca="false">IF(A173="","",LOWER(A173))</f>
        <v/>
      </c>
      <c r="Z173" s="24" t="str">
        <f aca="false">IF(A173="","",IF(T173="",Settings!$B$5,T173)&amp;IF(ISNUMBER(FIND("?",IF(T173="",Settings!$B$5,T173))),"&amp;","?")&amp;"utm_source="&amp;V173&amp;"&amp;utm_medium="&amp;W173&amp;"&amp;utm_campaign="&amp;X173&amp;"&amp;utm_content="&amp;Y173)</f>
        <v/>
      </c>
      <c r="AA173" s="29"/>
      <c r="AB173" s="39"/>
      <c r="AC173" s="32"/>
      <c r="AD173" s="32"/>
      <c r="AE173" s="32"/>
      <c r="AF173" s="32"/>
      <c r="AG173" s="32"/>
      <c r="AH173" s="32"/>
      <c r="AI173" s="32"/>
      <c r="AJ173" s="32"/>
      <c r="AK173" s="32"/>
      <c r="AL173" s="32"/>
      <c r="AM173" s="32"/>
      <c r="AN173" s="32"/>
      <c r="AO173" s="33" t="str">
        <f aca="false">IF(A173="","",IF(AD173&lt;&gt;"",AD173,IF(AC173&lt;&gt;"",AC173,"")))</f>
        <v/>
      </c>
      <c r="AP173" s="24" t="str">
        <f aca="false">IF(AO173="","",IF(AD173&lt;&gt;"","Reported reach","Impressions (proxy)"))</f>
        <v/>
      </c>
      <c r="AQ173" s="34" t="str">
        <f aca="false">IF(OR(AO173="",N(S173)=0),"",AO173/S173)</f>
        <v/>
      </c>
      <c r="AR173" s="33" t="str">
        <f aca="false">IF(A173="","",IF(COUNT(AF173:AJ173)=0,"",SUM(AF173:AJ173)))</f>
        <v/>
      </c>
      <c r="AS173" s="34" t="str">
        <f aca="false">IF(OR(AR173="",N(AO173)=0),"",AR173/AO173)</f>
        <v/>
      </c>
      <c r="AT173" s="34" t="str">
        <f aca="false">IF(OR(AR173="",N(AC173)=0),"",AR173/AC173)</f>
        <v/>
      </c>
      <c r="AU173" s="34" t="str">
        <f aca="false">IF(OR(AR173="",N(S173)=0),"",AR173/S173)</f>
        <v/>
      </c>
      <c r="AV173" s="34" t="str">
        <f aca="false">IF(OR(AJ173="",N(AC173)=0),"",AJ173/AC173)</f>
        <v/>
      </c>
      <c r="AW173" s="34" t="str">
        <f aca="false">IF(OR(AH173="",N(AO173)=0),"",AH173/AO173)</f>
        <v/>
      </c>
      <c r="AX173" s="35" t="str">
        <f aca="false">IF(OR(AR173="",N(AO173)=0),"",(N(AF173)*Settings!$B$6+N(AG173)*Settings!$B$7+N(AH173)*Settings!$B$8+N(AI173)*Settings!$B$9+N(AJ173)*Settings!$B$10)/AO173*1000)</f>
        <v/>
      </c>
      <c r="AY173" s="36" t="str">
        <f aca="false">IF(AS173="","",IFERROR(AS173/AVERAGEIFS('Post Tracker'!$AS$5:$AS$1004,'Post Tracker'!$G$5:$G$1004,G173),""))</f>
        <v/>
      </c>
      <c r="AZ173" s="32"/>
      <c r="BA173" s="32"/>
      <c r="BB173" s="32"/>
      <c r="BC173" s="32"/>
      <c r="BD173" s="33" t="str">
        <f aca="false">IF(A173="","",COUNTIFS('Demo Pipeline'!$Q$5:$Q$504,A173))</f>
        <v/>
      </c>
      <c r="BE173" s="33" t="str">
        <f aca="false">IF(A173="","",COUNTIFS('Demo Pipeline'!$Q$5:$Q$504,A173,'Demo Pipeline'!$W$5:$W$504,"Attended"))</f>
        <v/>
      </c>
      <c r="BF173" s="33" t="str">
        <f aca="false">IF(A173="","",COUNTIFS('Demo Pipeline'!$Q$5:$Q$504,A173,'Demo Pipeline'!$X$5:$X$504,"Yes"))</f>
        <v/>
      </c>
      <c r="BG173" s="33" t="str">
        <f aca="false">IF(A173="","",COUNTIFS('Demo Pipeline'!$Q$5:$Q$504,A173,'Demo Pipeline'!$Y$5:$Y$504,"Closed Won"))</f>
        <v/>
      </c>
      <c r="BH173" s="37" t="str">
        <f aca="false">IF(A173="","",SUMIFS('Demo Pipeline'!$Z$5:$Z$504,'Demo Pipeline'!$Q$5:$Q$504,A173))</f>
        <v/>
      </c>
      <c r="BI173" s="34" t="str">
        <f aca="false">IF(OR(AZ173="",N(AJ173)=0),"",AZ173/AJ173)</f>
        <v/>
      </c>
      <c r="BJ173" s="34" t="str">
        <f aca="false">IF(OR(BB173="",N(AZ173)=0),"",BB173/AZ173)</f>
        <v/>
      </c>
      <c r="BK173" s="34" t="str">
        <f aca="false">IF(OR(A173="",N(BB173)=0),"",BD173/BB173)</f>
        <v/>
      </c>
      <c r="BL173" s="34" t="str">
        <f aca="false">IF(OR(A173="",N(AZ173)=0),"",BD173/AZ173)</f>
        <v/>
      </c>
      <c r="BM173" s="37" t="str">
        <f aca="false">IF(OR(N(Q173)=0,N(BD173)=0),"",Q173/BD173)</f>
        <v/>
      </c>
      <c r="BN173" s="29"/>
      <c r="BO173" s="29"/>
      <c r="BP173" s="33" t="str">
        <f aca="false">IF(OR(AR173="",N(AO173)=0),"",AR173)</f>
        <v/>
      </c>
      <c r="BQ173" s="33" t="str">
        <f aca="false">IF(OR(AR173="",N(S173)=0),"",S173)</f>
        <v/>
      </c>
      <c r="BR173" s="38" t="str">
        <f aca="false">IF(AND(ISNUMBER(B173),B173&gt;=Dashboard!$C$4,B173&lt;=Dashboard!$F$4,ISNUMBER(AU173)),AU173+ROW()/10^9,"")</f>
        <v/>
      </c>
      <c r="BS173" s="38" t="str">
        <f aca="false">IF(AND(ISNUMBER(B173),B173&gt;=Dashboard!$C$4,B173&lt;=Dashboard!$F$4,A173&lt;&gt;""),N(BD173)+N(AU173)/100+ROW()/10^9,"")</f>
        <v/>
      </c>
    </row>
    <row r="174" customFormat="false" ht="15" hidden="false" customHeight="false" outlineLevel="0" collapsed="false">
      <c r="A174" s="24" t="str">
        <f aca="false">IF(OR(B174="",G174="",H174=""),"",IFERROR(INDEX(Settings!$E$5:$E$49,MATCH(G174,Settings!$D$5:$D$49,0))&amp;INDEX(Settings!$H$5:$H$47,MATCH(H174,Settings!$G$5:$G$47,0))&amp;"-"&amp;TEXT(B174,"yymmdd")&amp;"-"&amp;IF(C174="","0000",TEXT(C174,"hhmm")),"CHECK LISTS"))</f>
        <v/>
      </c>
      <c r="B174" s="39"/>
      <c r="C174" s="40"/>
      <c r="D174" s="24" t="str">
        <f aca="false">IF(B174="","",TEXT(B174,"ddd"))</f>
        <v/>
      </c>
      <c r="E174" s="27" t="str">
        <f aca="false">IF(B174="","",B174-WEEKDAY(B174,3))</f>
        <v/>
      </c>
      <c r="F174" s="24" t="str">
        <f aca="false">IF(B174="","",TEXT(B174,"yyyy-mm"))</f>
        <v/>
      </c>
      <c r="G174" s="29"/>
      <c r="H174" s="29"/>
      <c r="I174" s="29"/>
      <c r="J174" s="29"/>
      <c r="K174" s="29"/>
      <c r="L174" s="29"/>
      <c r="M174" s="29"/>
      <c r="N174" s="29"/>
      <c r="O174" s="29"/>
      <c r="P174" s="29"/>
      <c r="Q174" s="30"/>
      <c r="R174" s="29"/>
      <c r="S174" s="32"/>
      <c r="T174" s="29"/>
      <c r="U174" s="29"/>
      <c r="V174" s="24" t="str">
        <f aca="false">IF(A174="","",IFERROR(INDEX(Settings!$F$5:$F$49,MATCH(G174,Settings!$D$5:$D$49,0)),""))</f>
        <v/>
      </c>
      <c r="W174" s="24" t="str">
        <f aca="false">IF(A174="","",IF(OR(P174="",P174="Organic"),"social","paid_social"))</f>
        <v/>
      </c>
      <c r="X174" s="24" t="str">
        <f aca="false">IF(A174="","",IF(K174&lt;&gt;"",IFERROR(INDEX('Case Studies'!$C$5:$C$54,MATCH(K174,'Case Studies'!$B$5:$B$54,0))&amp;"","case-study"),IF(J174&lt;&gt;"",IFERROR(INDEX(Settings!$J$5:$J$55,MATCH(J174,Settings!$I$5:$I$55,0)),"general"),"general")))</f>
        <v/>
      </c>
      <c r="Y174" s="24" t="str">
        <f aca="false">IF(A174="","",LOWER(A174))</f>
        <v/>
      </c>
      <c r="Z174" s="24" t="str">
        <f aca="false">IF(A174="","",IF(T174="",Settings!$B$5,T174)&amp;IF(ISNUMBER(FIND("?",IF(T174="",Settings!$B$5,T174))),"&amp;","?")&amp;"utm_source="&amp;V174&amp;"&amp;utm_medium="&amp;W174&amp;"&amp;utm_campaign="&amp;X174&amp;"&amp;utm_content="&amp;Y174)</f>
        <v/>
      </c>
      <c r="AA174" s="29"/>
      <c r="AB174" s="39"/>
      <c r="AC174" s="32"/>
      <c r="AD174" s="32"/>
      <c r="AE174" s="32"/>
      <c r="AF174" s="32"/>
      <c r="AG174" s="32"/>
      <c r="AH174" s="32"/>
      <c r="AI174" s="32"/>
      <c r="AJ174" s="32"/>
      <c r="AK174" s="32"/>
      <c r="AL174" s="32"/>
      <c r="AM174" s="32"/>
      <c r="AN174" s="32"/>
      <c r="AO174" s="33" t="str">
        <f aca="false">IF(A174="","",IF(AD174&lt;&gt;"",AD174,IF(AC174&lt;&gt;"",AC174,"")))</f>
        <v/>
      </c>
      <c r="AP174" s="24" t="str">
        <f aca="false">IF(AO174="","",IF(AD174&lt;&gt;"","Reported reach","Impressions (proxy)"))</f>
        <v/>
      </c>
      <c r="AQ174" s="34" t="str">
        <f aca="false">IF(OR(AO174="",N(S174)=0),"",AO174/S174)</f>
        <v/>
      </c>
      <c r="AR174" s="33" t="str">
        <f aca="false">IF(A174="","",IF(COUNT(AF174:AJ174)=0,"",SUM(AF174:AJ174)))</f>
        <v/>
      </c>
      <c r="AS174" s="34" t="str">
        <f aca="false">IF(OR(AR174="",N(AO174)=0),"",AR174/AO174)</f>
        <v/>
      </c>
      <c r="AT174" s="34" t="str">
        <f aca="false">IF(OR(AR174="",N(AC174)=0),"",AR174/AC174)</f>
        <v/>
      </c>
      <c r="AU174" s="34" t="str">
        <f aca="false">IF(OR(AR174="",N(S174)=0),"",AR174/S174)</f>
        <v/>
      </c>
      <c r="AV174" s="34" t="str">
        <f aca="false">IF(OR(AJ174="",N(AC174)=0),"",AJ174/AC174)</f>
        <v/>
      </c>
      <c r="AW174" s="34" t="str">
        <f aca="false">IF(OR(AH174="",N(AO174)=0),"",AH174/AO174)</f>
        <v/>
      </c>
      <c r="AX174" s="35" t="str">
        <f aca="false">IF(OR(AR174="",N(AO174)=0),"",(N(AF174)*Settings!$B$6+N(AG174)*Settings!$B$7+N(AH174)*Settings!$B$8+N(AI174)*Settings!$B$9+N(AJ174)*Settings!$B$10)/AO174*1000)</f>
        <v/>
      </c>
      <c r="AY174" s="36" t="str">
        <f aca="false">IF(AS174="","",IFERROR(AS174/AVERAGEIFS('Post Tracker'!$AS$5:$AS$1004,'Post Tracker'!$G$5:$G$1004,G174),""))</f>
        <v/>
      </c>
      <c r="AZ174" s="32"/>
      <c r="BA174" s="32"/>
      <c r="BB174" s="32"/>
      <c r="BC174" s="32"/>
      <c r="BD174" s="33" t="str">
        <f aca="false">IF(A174="","",COUNTIFS('Demo Pipeline'!$Q$5:$Q$504,A174))</f>
        <v/>
      </c>
      <c r="BE174" s="33" t="str">
        <f aca="false">IF(A174="","",COUNTIFS('Demo Pipeline'!$Q$5:$Q$504,A174,'Demo Pipeline'!$W$5:$W$504,"Attended"))</f>
        <v/>
      </c>
      <c r="BF174" s="33" t="str">
        <f aca="false">IF(A174="","",COUNTIFS('Demo Pipeline'!$Q$5:$Q$504,A174,'Demo Pipeline'!$X$5:$X$504,"Yes"))</f>
        <v/>
      </c>
      <c r="BG174" s="33" t="str">
        <f aca="false">IF(A174="","",COUNTIFS('Demo Pipeline'!$Q$5:$Q$504,A174,'Demo Pipeline'!$Y$5:$Y$504,"Closed Won"))</f>
        <v/>
      </c>
      <c r="BH174" s="37" t="str">
        <f aca="false">IF(A174="","",SUMIFS('Demo Pipeline'!$Z$5:$Z$504,'Demo Pipeline'!$Q$5:$Q$504,A174))</f>
        <v/>
      </c>
      <c r="BI174" s="34" t="str">
        <f aca="false">IF(OR(AZ174="",N(AJ174)=0),"",AZ174/AJ174)</f>
        <v/>
      </c>
      <c r="BJ174" s="34" t="str">
        <f aca="false">IF(OR(BB174="",N(AZ174)=0),"",BB174/AZ174)</f>
        <v/>
      </c>
      <c r="BK174" s="34" t="str">
        <f aca="false">IF(OR(A174="",N(BB174)=0),"",BD174/BB174)</f>
        <v/>
      </c>
      <c r="BL174" s="34" t="str">
        <f aca="false">IF(OR(A174="",N(AZ174)=0),"",BD174/AZ174)</f>
        <v/>
      </c>
      <c r="BM174" s="37" t="str">
        <f aca="false">IF(OR(N(Q174)=0,N(BD174)=0),"",Q174/BD174)</f>
        <v/>
      </c>
      <c r="BN174" s="29"/>
      <c r="BO174" s="29"/>
      <c r="BP174" s="33" t="str">
        <f aca="false">IF(OR(AR174="",N(AO174)=0),"",AR174)</f>
        <v/>
      </c>
      <c r="BQ174" s="33" t="str">
        <f aca="false">IF(OR(AR174="",N(S174)=0),"",S174)</f>
        <v/>
      </c>
      <c r="BR174" s="38" t="str">
        <f aca="false">IF(AND(ISNUMBER(B174),B174&gt;=Dashboard!$C$4,B174&lt;=Dashboard!$F$4,ISNUMBER(AU174)),AU174+ROW()/10^9,"")</f>
        <v/>
      </c>
      <c r="BS174" s="38" t="str">
        <f aca="false">IF(AND(ISNUMBER(B174),B174&gt;=Dashboard!$C$4,B174&lt;=Dashboard!$F$4,A174&lt;&gt;""),N(BD174)+N(AU174)/100+ROW()/10^9,"")</f>
        <v/>
      </c>
    </row>
    <row r="175" customFormat="false" ht="15" hidden="false" customHeight="false" outlineLevel="0" collapsed="false">
      <c r="A175" s="24" t="str">
        <f aca="false">IF(OR(B175="",G175="",H175=""),"",IFERROR(INDEX(Settings!$E$5:$E$49,MATCH(G175,Settings!$D$5:$D$49,0))&amp;INDEX(Settings!$H$5:$H$47,MATCH(H175,Settings!$G$5:$G$47,0))&amp;"-"&amp;TEXT(B175,"yymmdd")&amp;"-"&amp;IF(C175="","0000",TEXT(C175,"hhmm")),"CHECK LISTS"))</f>
        <v/>
      </c>
      <c r="B175" s="39"/>
      <c r="C175" s="40"/>
      <c r="D175" s="24" t="str">
        <f aca="false">IF(B175="","",TEXT(B175,"ddd"))</f>
        <v/>
      </c>
      <c r="E175" s="27" t="str">
        <f aca="false">IF(B175="","",B175-WEEKDAY(B175,3))</f>
        <v/>
      </c>
      <c r="F175" s="24" t="str">
        <f aca="false">IF(B175="","",TEXT(B175,"yyyy-mm"))</f>
        <v/>
      </c>
      <c r="G175" s="29"/>
      <c r="H175" s="29"/>
      <c r="I175" s="29"/>
      <c r="J175" s="29"/>
      <c r="K175" s="29"/>
      <c r="L175" s="29"/>
      <c r="M175" s="29"/>
      <c r="N175" s="29"/>
      <c r="O175" s="29"/>
      <c r="P175" s="29"/>
      <c r="Q175" s="30"/>
      <c r="R175" s="29"/>
      <c r="S175" s="32"/>
      <c r="T175" s="29"/>
      <c r="U175" s="29"/>
      <c r="V175" s="24" t="str">
        <f aca="false">IF(A175="","",IFERROR(INDEX(Settings!$F$5:$F$49,MATCH(G175,Settings!$D$5:$D$49,0)),""))</f>
        <v/>
      </c>
      <c r="W175" s="24" t="str">
        <f aca="false">IF(A175="","",IF(OR(P175="",P175="Organic"),"social","paid_social"))</f>
        <v/>
      </c>
      <c r="X175" s="24" t="str">
        <f aca="false">IF(A175="","",IF(K175&lt;&gt;"",IFERROR(INDEX('Case Studies'!$C$5:$C$54,MATCH(K175,'Case Studies'!$B$5:$B$54,0))&amp;"","case-study"),IF(J175&lt;&gt;"",IFERROR(INDEX(Settings!$J$5:$J$55,MATCH(J175,Settings!$I$5:$I$55,0)),"general"),"general")))</f>
        <v/>
      </c>
      <c r="Y175" s="24" t="str">
        <f aca="false">IF(A175="","",LOWER(A175))</f>
        <v/>
      </c>
      <c r="Z175" s="24" t="str">
        <f aca="false">IF(A175="","",IF(T175="",Settings!$B$5,T175)&amp;IF(ISNUMBER(FIND("?",IF(T175="",Settings!$B$5,T175))),"&amp;","?")&amp;"utm_source="&amp;V175&amp;"&amp;utm_medium="&amp;W175&amp;"&amp;utm_campaign="&amp;X175&amp;"&amp;utm_content="&amp;Y175)</f>
        <v/>
      </c>
      <c r="AA175" s="29"/>
      <c r="AB175" s="39"/>
      <c r="AC175" s="32"/>
      <c r="AD175" s="32"/>
      <c r="AE175" s="32"/>
      <c r="AF175" s="32"/>
      <c r="AG175" s="32"/>
      <c r="AH175" s="32"/>
      <c r="AI175" s="32"/>
      <c r="AJ175" s="32"/>
      <c r="AK175" s="32"/>
      <c r="AL175" s="32"/>
      <c r="AM175" s="32"/>
      <c r="AN175" s="32"/>
      <c r="AO175" s="33" t="str">
        <f aca="false">IF(A175="","",IF(AD175&lt;&gt;"",AD175,IF(AC175&lt;&gt;"",AC175,"")))</f>
        <v/>
      </c>
      <c r="AP175" s="24" t="str">
        <f aca="false">IF(AO175="","",IF(AD175&lt;&gt;"","Reported reach","Impressions (proxy)"))</f>
        <v/>
      </c>
      <c r="AQ175" s="34" t="str">
        <f aca="false">IF(OR(AO175="",N(S175)=0),"",AO175/S175)</f>
        <v/>
      </c>
      <c r="AR175" s="33" t="str">
        <f aca="false">IF(A175="","",IF(COUNT(AF175:AJ175)=0,"",SUM(AF175:AJ175)))</f>
        <v/>
      </c>
      <c r="AS175" s="34" t="str">
        <f aca="false">IF(OR(AR175="",N(AO175)=0),"",AR175/AO175)</f>
        <v/>
      </c>
      <c r="AT175" s="34" t="str">
        <f aca="false">IF(OR(AR175="",N(AC175)=0),"",AR175/AC175)</f>
        <v/>
      </c>
      <c r="AU175" s="34" t="str">
        <f aca="false">IF(OR(AR175="",N(S175)=0),"",AR175/S175)</f>
        <v/>
      </c>
      <c r="AV175" s="34" t="str">
        <f aca="false">IF(OR(AJ175="",N(AC175)=0),"",AJ175/AC175)</f>
        <v/>
      </c>
      <c r="AW175" s="34" t="str">
        <f aca="false">IF(OR(AH175="",N(AO175)=0),"",AH175/AO175)</f>
        <v/>
      </c>
      <c r="AX175" s="35" t="str">
        <f aca="false">IF(OR(AR175="",N(AO175)=0),"",(N(AF175)*Settings!$B$6+N(AG175)*Settings!$B$7+N(AH175)*Settings!$B$8+N(AI175)*Settings!$B$9+N(AJ175)*Settings!$B$10)/AO175*1000)</f>
        <v/>
      </c>
      <c r="AY175" s="36" t="str">
        <f aca="false">IF(AS175="","",IFERROR(AS175/AVERAGEIFS('Post Tracker'!$AS$5:$AS$1004,'Post Tracker'!$G$5:$G$1004,G175),""))</f>
        <v/>
      </c>
      <c r="AZ175" s="32"/>
      <c r="BA175" s="32"/>
      <c r="BB175" s="32"/>
      <c r="BC175" s="32"/>
      <c r="BD175" s="33" t="str">
        <f aca="false">IF(A175="","",COUNTIFS('Demo Pipeline'!$Q$5:$Q$504,A175))</f>
        <v/>
      </c>
      <c r="BE175" s="33" t="str">
        <f aca="false">IF(A175="","",COUNTIFS('Demo Pipeline'!$Q$5:$Q$504,A175,'Demo Pipeline'!$W$5:$W$504,"Attended"))</f>
        <v/>
      </c>
      <c r="BF175" s="33" t="str">
        <f aca="false">IF(A175="","",COUNTIFS('Demo Pipeline'!$Q$5:$Q$504,A175,'Demo Pipeline'!$X$5:$X$504,"Yes"))</f>
        <v/>
      </c>
      <c r="BG175" s="33" t="str">
        <f aca="false">IF(A175="","",COUNTIFS('Demo Pipeline'!$Q$5:$Q$504,A175,'Demo Pipeline'!$Y$5:$Y$504,"Closed Won"))</f>
        <v/>
      </c>
      <c r="BH175" s="37" t="str">
        <f aca="false">IF(A175="","",SUMIFS('Demo Pipeline'!$Z$5:$Z$504,'Demo Pipeline'!$Q$5:$Q$504,A175))</f>
        <v/>
      </c>
      <c r="BI175" s="34" t="str">
        <f aca="false">IF(OR(AZ175="",N(AJ175)=0),"",AZ175/AJ175)</f>
        <v/>
      </c>
      <c r="BJ175" s="34" t="str">
        <f aca="false">IF(OR(BB175="",N(AZ175)=0),"",BB175/AZ175)</f>
        <v/>
      </c>
      <c r="BK175" s="34" t="str">
        <f aca="false">IF(OR(A175="",N(BB175)=0),"",BD175/BB175)</f>
        <v/>
      </c>
      <c r="BL175" s="34" t="str">
        <f aca="false">IF(OR(A175="",N(AZ175)=0),"",BD175/AZ175)</f>
        <v/>
      </c>
      <c r="BM175" s="37" t="str">
        <f aca="false">IF(OR(N(Q175)=0,N(BD175)=0),"",Q175/BD175)</f>
        <v/>
      </c>
      <c r="BN175" s="29"/>
      <c r="BO175" s="29"/>
      <c r="BP175" s="33" t="str">
        <f aca="false">IF(OR(AR175="",N(AO175)=0),"",AR175)</f>
        <v/>
      </c>
      <c r="BQ175" s="33" t="str">
        <f aca="false">IF(OR(AR175="",N(S175)=0),"",S175)</f>
        <v/>
      </c>
      <c r="BR175" s="38" t="str">
        <f aca="false">IF(AND(ISNUMBER(B175),B175&gt;=Dashboard!$C$4,B175&lt;=Dashboard!$F$4,ISNUMBER(AU175)),AU175+ROW()/10^9,"")</f>
        <v/>
      </c>
      <c r="BS175" s="38" t="str">
        <f aca="false">IF(AND(ISNUMBER(B175),B175&gt;=Dashboard!$C$4,B175&lt;=Dashboard!$F$4,A175&lt;&gt;""),N(BD175)+N(AU175)/100+ROW()/10^9,"")</f>
        <v/>
      </c>
    </row>
    <row r="176" customFormat="false" ht="15" hidden="false" customHeight="false" outlineLevel="0" collapsed="false">
      <c r="A176" s="24" t="str">
        <f aca="false">IF(OR(B176="",G176="",H176=""),"",IFERROR(INDEX(Settings!$E$5:$E$49,MATCH(G176,Settings!$D$5:$D$49,0))&amp;INDEX(Settings!$H$5:$H$47,MATCH(H176,Settings!$G$5:$G$47,0))&amp;"-"&amp;TEXT(B176,"yymmdd")&amp;"-"&amp;IF(C176="","0000",TEXT(C176,"hhmm")),"CHECK LISTS"))</f>
        <v/>
      </c>
      <c r="B176" s="39"/>
      <c r="C176" s="40"/>
      <c r="D176" s="24" t="str">
        <f aca="false">IF(B176="","",TEXT(B176,"ddd"))</f>
        <v/>
      </c>
      <c r="E176" s="27" t="str">
        <f aca="false">IF(B176="","",B176-WEEKDAY(B176,3))</f>
        <v/>
      </c>
      <c r="F176" s="24" t="str">
        <f aca="false">IF(B176="","",TEXT(B176,"yyyy-mm"))</f>
        <v/>
      </c>
      <c r="G176" s="29"/>
      <c r="H176" s="29"/>
      <c r="I176" s="29"/>
      <c r="J176" s="29"/>
      <c r="K176" s="29"/>
      <c r="L176" s="29"/>
      <c r="M176" s="29"/>
      <c r="N176" s="29"/>
      <c r="O176" s="29"/>
      <c r="P176" s="29"/>
      <c r="Q176" s="30"/>
      <c r="R176" s="29"/>
      <c r="S176" s="32"/>
      <c r="T176" s="29"/>
      <c r="U176" s="29"/>
      <c r="V176" s="24" t="str">
        <f aca="false">IF(A176="","",IFERROR(INDEX(Settings!$F$5:$F$49,MATCH(G176,Settings!$D$5:$D$49,0)),""))</f>
        <v/>
      </c>
      <c r="W176" s="24" t="str">
        <f aca="false">IF(A176="","",IF(OR(P176="",P176="Organic"),"social","paid_social"))</f>
        <v/>
      </c>
      <c r="X176" s="24" t="str">
        <f aca="false">IF(A176="","",IF(K176&lt;&gt;"",IFERROR(INDEX('Case Studies'!$C$5:$C$54,MATCH(K176,'Case Studies'!$B$5:$B$54,0))&amp;"","case-study"),IF(J176&lt;&gt;"",IFERROR(INDEX(Settings!$J$5:$J$55,MATCH(J176,Settings!$I$5:$I$55,0)),"general"),"general")))</f>
        <v/>
      </c>
      <c r="Y176" s="24" t="str">
        <f aca="false">IF(A176="","",LOWER(A176))</f>
        <v/>
      </c>
      <c r="Z176" s="24" t="str">
        <f aca="false">IF(A176="","",IF(T176="",Settings!$B$5,T176)&amp;IF(ISNUMBER(FIND("?",IF(T176="",Settings!$B$5,T176))),"&amp;","?")&amp;"utm_source="&amp;V176&amp;"&amp;utm_medium="&amp;W176&amp;"&amp;utm_campaign="&amp;X176&amp;"&amp;utm_content="&amp;Y176)</f>
        <v/>
      </c>
      <c r="AA176" s="29"/>
      <c r="AB176" s="39"/>
      <c r="AC176" s="32"/>
      <c r="AD176" s="32"/>
      <c r="AE176" s="32"/>
      <c r="AF176" s="32"/>
      <c r="AG176" s="32"/>
      <c r="AH176" s="32"/>
      <c r="AI176" s="32"/>
      <c r="AJ176" s="32"/>
      <c r="AK176" s="32"/>
      <c r="AL176" s="32"/>
      <c r="AM176" s="32"/>
      <c r="AN176" s="32"/>
      <c r="AO176" s="33" t="str">
        <f aca="false">IF(A176="","",IF(AD176&lt;&gt;"",AD176,IF(AC176&lt;&gt;"",AC176,"")))</f>
        <v/>
      </c>
      <c r="AP176" s="24" t="str">
        <f aca="false">IF(AO176="","",IF(AD176&lt;&gt;"","Reported reach","Impressions (proxy)"))</f>
        <v/>
      </c>
      <c r="AQ176" s="34" t="str">
        <f aca="false">IF(OR(AO176="",N(S176)=0),"",AO176/S176)</f>
        <v/>
      </c>
      <c r="AR176" s="33" t="str">
        <f aca="false">IF(A176="","",IF(COUNT(AF176:AJ176)=0,"",SUM(AF176:AJ176)))</f>
        <v/>
      </c>
      <c r="AS176" s="34" t="str">
        <f aca="false">IF(OR(AR176="",N(AO176)=0),"",AR176/AO176)</f>
        <v/>
      </c>
      <c r="AT176" s="34" t="str">
        <f aca="false">IF(OR(AR176="",N(AC176)=0),"",AR176/AC176)</f>
        <v/>
      </c>
      <c r="AU176" s="34" t="str">
        <f aca="false">IF(OR(AR176="",N(S176)=0),"",AR176/S176)</f>
        <v/>
      </c>
      <c r="AV176" s="34" t="str">
        <f aca="false">IF(OR(AJ176="",N(AC176)=0),"",AJ176/AC176)</f>
        <v/>
      </c>
      <c r="AW176" s="34" t="str">
        <f aca="false">IF(OR(AH176="",N(AO176)=0),"",AH176/AO176)</f>
        <v/>
      </c>
      <c r="AX176" s="35" t="str">
        <f aca="false">IF(OR(AR176="",N(AO176)=0),"",(N(AF176)*Settings!$B$6+N(AG176)*Settings!$B$7+N(AH176)*Settings!$B$8+N(AI176)*Settings!$B$9+N(AJ176)*Settings!$B$10)/AO176*1000)</f>
        <v/>
      </c>
      <c r="AY176" s="36" t="str">
        <f aca="false">IF(AS176="","",IFERROR(AS176/AVERAGEIFS('Post Tracker'!$AS$5:$AS$1004,'Post Tracker'!$G$5:$G$1004,G176),""))</f>
        <v/>
      </c>
      <c r="AZ176" s="32"/>
      <c r="BA176" s="32"/>
      <c r="BB176" s="32"/>
      <c r="BC176" s="32"/>
      <c r="BD176" s="33" t="str">
        <f aca="false">IF(A176="","",COUNTIFS('Demo Pipeline'!$Q$5:$Q$504,A176))</f>
        <v/>
      </c>
      <c r="BE176" s="33" t="str">
        <f aca="false">IF(A176="","",COUNTIFS('Demo Pipeline'!$Q$5:$Q$504,A176,'Demo Pipeline'!$W$5:$W$504,"Attended"))</f>
        <v/>
      </c>
      <c r="BF176" s="33" t="str">
        <f aca="false">IF(A176="","",COUNTIFS('Demo Pipeline'!$Q$5:$Q$504,A176,'Demo Pipeline'!$X$5:$X$504,"Yes"))</f>
        <v/>
      </c>
      <c r="BG176" s="33" t="str">
        <f aca="false">IF(A176="","",COUNTIFS('Demo Pipeline'!$Q$5:$Q$504,A176,'Demo Pipeline'!$Y$5:$Y$504,"Closed Won"))</f>
        <v/>
      </c>
      <c r="BH176" s="37" t="str">
        <f aca="false">IF(A176="","",SUMIFS('Demo Pipeline'!$Z$5:$Z$504,'Demo Pipeline'!$Q$5:$Q$504,A176))</f>
        <v/>
      </c>
      <c r="BI176" s="34" t="str">
        <f aca="false">IF(OR(AZ176="",N(AJ176)=0),"",AZ176/AJ176)</f>
        <v/>
      </c>
      <c r="BJ176" s="34" t="str">
        <f aca="false">IF(OR(BB176="",N(AZ176)=0),"",BB176/AZ176)</f>
        <v/>
      </c>
      <c r="BK176" s="34" t="str">
        <f aca="false">IF(OR(A176="",N(BB176)=0),"",BD176/BB176)</f>
        <v/>
      </c>
      <c r="BL176" s="34" t="str">
        <f aca="false">IF(OR(A176="",N(AZ176)=0),"",BD176/AZ176)</f>
        <v/>
      </c>
      <c r="BM176" s="37" t="str">
        <f aca="false">IF(OR(N(Q176)=0,N(BD176)=0),"",Q176/BD176)</f>
        <v/>
      </c>
      <c r="BN176" s="29"/>
      <c r="BO176" s="29"/>
      <c r="BP176" s="33" t="str">
        <f aca="false">IF(OR(AR176="",N(AO176)=0),"",AR176)</f>
        <v/>
      </c>
      <c r="BQ176" s="33" t="str">
        <f aca="false">IF(OR(AR176="",N(S176)=0),"",S176)</f>
        <v/>
      </c>
      <c r="BR176" s="38" t="str">
        <f aca="false">IF(AND(ISNUMBER(B176),B176&gt;=Dashboard!$C$4,B176&lt;=Dashboard!$F$4,ISNUMBER(AU176)),AU176+ROW()/10^9,"")</f>
        <v/>
      </c>
      <c r="BS176" s="38" t="str">
        <f aca="false">IF(AND(ISNUMBER(B176),B176&gt;=Dashboard!$C$4,B176&lt;=Dashboard!$F$4,A176&lt;&gt;""),N(BD176)+N(AU176)/100+ROW()/10^9,"")</f>
        <v/>
      </c>
    </row>
    <row r="177" customFormat="false" ht="15" hidden="false" customHeight="false" outlineLevel="0" collapsed="false">
      <c r="A177" s="24" t="str">
        <f aca="false">IF(OR(B177="",G177="",H177=""),"",IFERROR(INDEX(Settings!$E$5:$E$49,MATCH(G177,Settings!$D$5:$D$49,0))&amp;INDEX(Settings!$H$5:$H$47,MATCH(H177,Settings!$G$5:$G$47,0))&amp;"-"&amp;TEXT(B177,"yymmdd")&amp;"-"&amp;IF(C177="","0000",TEXT(C177,"hhmm")),"CHECK LISTS"))</f>
        <v/>
      </c>
      <c r="B177" s="39"/>
      <c r="C177" s="40"/>
      <c r="D177" s="24" t="str">
        <f aca="false">IF(B177="","",TEXT(B177,"ddd"))</f>
        <v/>
      </c>
      <c r="E177" s="27" t="str">
        <f aca="false">IF(B177="","",B177-WEEKDAY(B177,3))</f>
        <v/>
      </c>
      <c r="F177" s="24" t="str">
        <f aca="false">IF(B177="","",TEXT(B177,"yyyy-mm"))</f>
        <v/>
      </c>
      <c r="G177" s="29"/>
      <c r="H177" s="29"/>
      <c r="I177" s="29"/>
      <c r="J177" s="29"/>
      <c r="K177" s="29"/>
      <c r="L177" s="29"/>
      <c r="M177" s="29"/>
      <c r="N177" s="29"/>
      <c r="O177" s="29"/>
      <c r="P177" s="29"/>
      <c r="Q177" s="30"/>
      <c r="R177" s="29"/>
      <c r="S177" s="32"/>
      <c r="T177" s="29"/>
      <c r="U177" s="29"/>
      <c r="V177" s="24" t="str">
        <f aca="false">IF(A177="","",IFERROR(INDEX(Settings!$F$5:$F$49,MATCH(G177,Settings!$D$5:$D$49,0)),""))</f>
        <v/>
      </c>
      <c r="W177" s="24" t="str">
        <f aca="false">IF(A177="","",IF(OR(P177="",P177="Organic"),"social","paid_social"))</f>
        <v/>
      </c>
      <c r="X177" s="24" t="str">
        <f aca="false">IF(A177="","",IF(K177&lt;&gt;"",IFERROR(INDEX('Case Studies'!$C$5:$C$54,MATCH(K177,'Case Studies'!$B$5:$B$54,0))&amp;"","case-study"),IF(J177&lt;&gt;"",IFERROR(INDEX(Settings!$J$5:$J$55,MATCH(J177,Settings!$I$5:$I$55,0)),"general"),"general")))</f>
        <v/>
      </c>
      <c r="Y177" s="24" t="str">
        <f aca="false">IF(A177="","",LOWER(A177))</f>
        <v/>
      </c>
      <c r="Z177" s="24" t="str">
        <f aca="false">IF(A177="","",IF(T177="",Settings!$B$5,T177)&amp;IF(ISNUMBER(FIND("?",IF(T177="",Settings!$B$5,T177))),"&amp;","?")&amp;"utm_source="&amp;V177&amp;"&amp;utm_medium="&amp;W177&amp;"&amp;utm_campaign="&amp;X177&amp;"&amp;utm_content="&amp;Y177)</f>
        <v/>
      </c>
      <c r="AA177" s="29"/>
      <c r="AB177" s="39"/>
      <c r="AC177" s="32"/>
      <c r="AD177" s="32"/>
      <c r="AE177" s="32"/>
      <c r="AF177" s="32"/>
      <c r="AG177" s="32"/>
      <c r="AH177" s="32"/>
      <c r="AI177" s="32"/>
      <c r="AJ177" s="32"/>
      <c r="AK177" s="32"/>
      <c r="AL177" s="32"/>
      <c r="AM177" s="32"/>
      <c r="AN177" s="32"/>
      <c r="AO177" s="33" t="str">
        <f aca="false">IF(A177="","",IF(AD177&lt;&gt;"",AD177,IF(AC177&lt;&gt;"",AC177,"")))</f>
        <v/>
      </c>
      <c r="AP177" s="24" t="str">
        <f aca="false">IF(AO177="","",IF(AD177&lt;&gt;"","Reported reach","Impressions (proxy)"))</f>
        <v/>
      </c>
      <c r="AQ177" s="34" t="str">
        <f aca="false">IF(OR(AO177="",N(S177)=0),"",AO177/S177)</f>
        <v/>
      </c>
      <c r="AR177" s="33" t="str">
        <f aca="false">IF(A177="","",IF(COUNT(AF177:AJ177)=0,"",SUM(AF177:AJ177)))</f>
        <v/>
      </c>
      <c r="AS177" s="34" t="str">
        <f aca="false">IF(OR(AR177="",N(AO177)=0),"",AR177/AO177)</f>
        <v/>
      </c>
      <c r="AT177" s="34" t="str">
        <f aca="false">IF(OR(AR177="",N(AC177)=0),"",AR177/AC177)</f>
        <v/>
      </c>
      <c r="AU177" s="34" t="str">
        <f aca="false">IF(OR(AR177="",N(S177)=0),"",AR177/S177)</f>
        <v/>
      </c>
      <c r="AV177" s="34" t="str">
        <f aca="false">IF(OR(AJ177="",N(AC177)=0),"",AJ177/AC177)</f>
        <v/>
      </c>
      <c r="AW177" s="34" t="str">
        <f aca="false">IF(OR(AH177="",N(AO177)=0),"",AH177/AO177)</f>
        <v/>
      </c>
      <c r="AX177" s="35" t="str">
        <f aca="false">IF(OR(AR177="",N(AO177)=0),"",(N(AF177)*Settings!$B$6+N(AG177)*Settings!$B$7+N(AH177)*Settings!$B$8+N(AI177)*Settings!$B$9+N(AJ177)*Settings!$B$10)/AO177*1000)</f>
        <v/>
      </c>
      <c r="AY177" s="36" t="str">
        <f aca="false">IF(AS177="","",IFERROR(AS177/AVERAGEIFS('Post Tracker'!$AS$5:$AS$1004,'Post Tracker'!$G$5:$G$1004,G177),""))</f>
        <v/>
      </c>
      <c r="AZ177" s="32"/>
      <c r="BA177" s="32"/>
      <c r="BB177" s="32"/>
      <c r="BC177" s="32"/>
      <c r="BD177" s="33" t="str">
        <f aca="false">IF(A177="","",COUNTIFS('Demo Pipeline'!$Q$5:$Q$504,A177))</f>
        <v/>
      </c>
      <c r="BE177" s="33" t="str">
        <f aca="false">IF(A177="","",COUNTIFS('Demo Pipeline'!$Q$5:$Q$504,A177,'Demo Pipeline'!$W$5:$W$504,"Attended"))</f>
        <v/>
      </c>
      <c r="BF177" s="33" t="str">
        <f aca="false">IF(A177="","",COUNTIFS('Demo Pipeline'!$Q$5:$Q$504,A177,'Demo Pipeline'!$X$5:$X$504,"Yes"))</f>
        <v/>
      </c>
      <c r="BG177" s="33" t="str">
        <f aca="false">IF(A177="","",COUNTIFS('Demo Pipeline'!$Q$5:$Q$504,A177,'Demo Pipeline'!$Y$5:$Y$504,"Closed Won"))</f>
        <v/>
      </c>
      <c r="BH177" s="37" t="str">
        <f aca="false">IF(A177="","",SUMIFS('Demo Pipeline'!$Z$5:$Z$504,'Demo Pipeline'!$Q$5:$Q$504,A177))</f>
        <v/>
      </c>
      <c r="BI177" s="34" t="str">
        <f aca="false">IF(OR(AZ177="",N(AJ177)=0),"",AZ177/AJ177)</f>
        <v/>
      </c>
      <c r="BJ177" s="34" t="str">
        <f aca="false">IF(OR(BB177="",N(AZ177)=0),"",BB177/AZ177)</f>
        <v/>
      </c>
      <c r="BK177" s="34" t="str">
        <f aca="false">IF(OR(A177="",N(BB177)=0),"",BD177/BB177)</f>
        <v/>
      </c>
      <c r="BL177" s="34" t="str">
        <f aca="false">IF(OR(A177="",N(AZ177)=0),"",BD177/AZ177)</f>
        <v/>
      </c>
      <c r="BM177" s="37" t="str">
        <f aca="false">IF(OR(N(Q177)=0,N(BD177)=0),"",Q177/BD177)</f>
        <v/>
      </c>
      <c r="BN177" s="29"/>
      <c r="BO177" s="29"/>
      <c r="BP177" s="33" t="str">
        <f aca="false">IF(OR(AR177="",N(AO177)=0),"",AR177)</f>
        <v/>
      </c>
      <c r="BQ177" s="33" t="str">
        <f aca="false">IF(OR(AR177="",N(S177)=0),"",S177)</f>
        <v/>
      </c>
      <c r="BR177" s="38" t="str">
        <f aca="false">IF(AND(ISNUMBER(B177),B177&gt;=Dashboard!$C$4,B177&lt;=Dashboard!$F$4,ISNUMBER(AU177)),AU177+ROW()/10^9,"")</f>
        <v/>
      </c>
      <c r="BS177" s="38" t="str">
        <f aca="false">IF(AND(ISNUMBER(B177),B177&gt;=Dashboard!$C$4,B177&lt;=Dashboard!$F$4,A177&lt;&gt;""),N(BD177)+N(AU177)/100+ROW()/10^9,"")</f>
        <v/>
      </c>
    </row>
    <row r="178" customFormat="false" ht="15" hidden="false" customHeight="false" outlineLevel="0" collapsed="false">
      <c r="A178" s="24" t="str">
        <f aca="false">IF(OR(B178="",G178="",H178=""),"",IFERROR(INDEX(Settings!$E$5:$E$49,MATCH(G178,Settings!$D$5:$D$49,0))&amp;INDEX(Settings!$H$5:$H$47,MATCH(H178,Settings!$G$5:$G$47,0))&amp;"-"&amp;TEXT(B178,"yymmdd")&amp;"-"&amp;IF(C178="","0000",TEXT(C178,"hhmm")),"CHECK LISTS"))</f>
        <v/>
      </c>
      <c r="B178" s="39"/>
      <c r="C178" s="40"/>
      <c r="D178" s="24" t="str">
        <f aca="false">IF(B178="","",TEXT(B178,"ddd"))</f>
        <v/>
      </c>
      <c r="E178" s="27" t="str">
        <f aca="false">IF(B178="","",B178-WEEKDAY(B178,3))</f>
        <v/>
      </c>
      <c r="F178" s="24" t="str">
        <f aca="false">IF(B178="","",TEXT(B178,"yyyy-mm"))</f>
        <v/>
      </c>
      <c r="G178" s="29"/>
      <c r="H178" s="29"/>
      <c r="I178" s="29"/>
      <c r="J178" s="29"/>
      <c r="K178" s="29"/>
      <c r="L178" s="29"/>
      <c r="M178" s="29"/>
      <c r="N178" s="29"/>
      <c r="O178" s="29"/>
      <c r="P178" s="29"/>
      <c r="Q178" s="30"/>
      <c r="R178" s="29"/>
      <c r="S178" s="32"/>
      <c r="T178" s="29"/>
      <c r="U178" s="29"/>
      <c r="V178" s="24" t="str">
        <f aca="false">IF(A178="","",IFERROR(INDEX(Settings!$F$5:$F$49,MATCH(G178,Settings!$D$5:$D$49,0)),""))</f>
        <v/>
      </c>
      <c r="W178" s="24" t="str">
        <f aca="false">IF(A178="","",IF(OR(P178="",P178="Organic"),"social","paid_social"))</f>
        <v/>
      </c>
      <c r="X178" s="24" t="str">
        <f aca="false">IF(A178="","",IF(K178&lt;&gt;"",IFERROR(INDEX('Case Studies'!$C$5:$C$54,MATCH(K178,'Case Studies'!$B$5:$B$54,0))&amp;"","case-study"),IF(J178&lt;&gt;"",IFERROR(INDEX(Settings!$J$5:$J$55,MATCH(J178,Settings!$I$5:$I$55,0)),"general"),"general")))</f>
        <v/>
      </c>
      <c r="Y178" s="24" t="str">
        <f aca="false">IF(A178="","",LOWER(A178))</f>
        <v/>
      </c>
      <c r="Z178" s="24" t="str">
        <f aca="false">IF(A178="","",IF(T178="",Settings!$B$5,T178)&amp;IF(ISNUMBER(FIND("?",IF(T178="",Settings!$B$5,T178))),"&amp;","?")&amp;"utm_source="&amp;V178&amp;"&amp;utm_medium="&amp;W178&amp;"&amp;utm_campaign="&amp;X178&amp;"&amp;utm_content="&amp;Y178)</f>
        <v/>
      </c>
      <c r="AA178" s="29"/>
      <c r="AB178" s="39"/>
      <c r="AC178" s="32"/>
      <c r="AD178" s="32"/>
      <c r="AE178" s="32"/>
      <c r="AF178" s="32"/>
      <c r="AG178" s="32"/>
      <c r="AH178" s="32"/>
      <c r="AI178" s="32"/>
      <c r="AJ178" s="32"/>
      <c r="AK178" s="32"/>
      <c r="AL178" s="32"/>
      <c r="AM178" s="32"/>
      <c r="AN178" s="32"/>
      <c r="AO178" s="33" t="str">
        <f aca="false">IF(A178="","",IF(AD178&lt;&gt;"",AD178,IF(AC178&lt;&gt;"",AC178,"")))</f>
        <v/>
      </c>
      <c r="AP178" s="24" t="str">
        <f aca="false">IF(AO178="","",IF(AD178&lt;&gt;"","Reported reach","Impressions (proxy)"))</f>
        <v/>
      </c>
      <c r="AQ178" s="34" t="str">
        <f aca="false">IF(OR(AO178="",N(S178)=0),"",AO178/S178)</f>
        <v/>
      </c>
      <c r="AR178" s="33" t="str">
        <f aca="false">IF(A178="","",IF(COUNT(AF178:AJ178)=0,"",SUM(AF178:AJ178)))</f>
        <v/>
      </c>
      <c r="AS178" s="34" t="str">
        <f aca="false">IF(OR(AR178="",N(AO178)=0),"",AR178/AO178)</f>
        <v/>
      </c>
      <c r="AT178" s="34" t="str">
        <f aca="false">IF(OR(AR178="",N(AC178)=0),"",AR178/AC178)</f>
        <v/>
      </c>
      <c r="AU178" s="34" t="str">
        <f aca="false">IF(OR(AR178="",N(S178)=0),"",AR178/S178)</f>
        <v/>
      </c>
      <c r="AV178" s="34" t="str">
        <f aca="false">IF(OR(AJ178="",N(AC178)=0),"",AJ178/AC178)</f>
        <v/>
      </c>
      <c r="AW178" s="34" t="str">
        <f aca="false">IF(OR(AH178="",N(AO178)=0),"",AH178/AO178)</f>
        <v/>
      </c>
      <c r="AX178" s="35" t="str">
        <f aca="false">IF(OR(AR178="",N(AO178)=0),"",(N(AF178)*Settings!$B$6+N(AG178)*Settings!$B$7+N(AH178)*Settings!$B$8+N(AI178)*Settings!$B$9+N(AJ178)*Settings!$B$10)/AO178*1000)</f>
        <v/>
      </c>
      <c r="AY178" s="36" t="str">
        <f aca="false">IF(AS178="","",IFERROR(AS178/AVERAGEIFS('Post Tracker'!$AS$5:$AS$1004,'Post Tracker'!$G$5:$G$1004,G178),""))</f>
        <v/>
      </c>
      <c r="AZ178" s="32"/>
      <c r="BA178" s="32"/>
      <c r="BB178" s="32"/>
      <c r="BC178" s="32"/>
      <c r="BD178" s="33" t="str">
        <f aca="false">IF(A178="","",COUNTIFS('Demo Pipeline'!$Q$5:$Q$504,A178))</f>
        <v/>
      </c>
      <c r="BE178" s="33" t="str">
        <f aca="false">IF(A178="","",COUNTIFS('Demo Pipeline'!$Q$5:$Q$504,A178,'Demo Pipeline'!$W$5:$W$504,"Attended"))</f>
        <v/>
      </c>
      <c r="BF178" s="33" t="str">
        <f aca="false">IF(A178="","",COUNTIFS('Demo Pipeline'!$Q$5:$Q$504,A178,'Demo Pipeline'!$X$5:$X$504,"Yes"))</f>
        <v/>
      </c>
      <c r="BG178" s="33" t="str">
        <f aca="false">IF(A178="","",COUNTIFS('Demo Pipeline'!$Q$5:$Q$504,A178,'Demo Pipeline'!$Y$5:$Y$504,"Closed Won"))</f>
        <v/>
      </c>
      <c r="BH178" s="37" t="str">
        <f aca="false">IF(A178="","",SUMIFS('Demo Pipeline'!$Z$5:$Z$504,'Demo Pipeline'!$Q$5:$Q$504,A178))</f>
        <v/>
      </c>
      <c r="BI178" s="34" t="str">
        <f aca="false">IF(OR(AZ178="",N(AJ178)=0),"",AZ178/AJ178)</f>
        <v/>
      </c>
      <c r="BJ178" s="34" t="str">
        <f aca="false">IF(OR(BB178="",N(AZ178)=0),"",BB178/AZ178)</f>
        <v/>
      </c>
      <c r="BK178" s="34" t="str">
        <f aca="false">IF(OR(A178="",N(BB178)=0),"",BD178/BB178)</f>
        <v/>
      </c>
      <c r="BL178" s="34" t="str">
        <f aca="false">IF(OR(A178="",N(AZ178)=0),"",BD178/AZ178)</f>
        <v/>
      </c>
      <c r="BM178" s="37" t="str">
        <f aca="false">IF(OR(N(Q178)=0,N(BD178)=0),"",Q178/BD178)</f>
        <v/>
      </c>
      <c r="BN178" s="29"/>
      <c r="BO178" s="29"/>
      <c r="BP178" s="33" t="str">
        <f aca="false">IF(OR(AR178="",N(AO178)=0),"",AR178)</f>
        <v/>
      </c>
      <c r="BQ178" s="33" t="str">
        <f aca="false">IF(OR(AR178="",N(S178)=0),"",S178)</f>
        <v/>
      </c>
      <c r="BR178" s="38" t="str">
        <f aca="false">IF(AND(ISNUMBER(B178),B178&gt;=Dashboard!$C$4,B178&lt;=Dashboard!$F$4,ISNUMBER(AU178)),AU178+ROW()/10^9,"")</f>
        <v/>
      </c>
      <c r="BS178" s="38" t="str">
        <f aca="false">IF(AND(ISNUMBER(B178),B178&gt;=Dashboard!$C$4,B178&lt;=Dashboard!$F$4,A178&lt;&gt;""),N(BD178)+N(AU178)/100+ROW()/10^9,"")</f>
        <v/>
      </c>
    </row>
    <row r="179" customFormat="false" ht="15" hidden="false" customHeight="false" outlineLevel="0" collapsed="false">
      <c r="A179" s="24" t="str">
        <f aca="false">IF(OR(B179="",G179="",H179=""),"",IFERROR(INDEX(Settings!$E$5:$E$49,MATCH(G179,Settings!$D$5:$D$49,0))&amp;INDEX(Settings!$H$5:$H$47,MATCH(H179,Settings!$G$5:$G$47,0))&amp;"-"&amp;TEXT(B179,"yymmdd")&amp;"-"&amp;IF(C179="","0000",TEXT(C179,"hhmm")),"CHECK LISTS"))</f>
        <v/>
      </c>
      <c r="B179" s="39"/>
      <c r="C179" s="40"/>
      <c r="D179" s="24" t="str">
        <f aca="false">IF(B179="","",TEXT(B179,"ddd"))</f>
        <v/>
      </c>
      <c r="E179" s="27" t="str">
        <f aca="false">IF(B179="","",B179-WEEKDAY(B179,3))</f>
        <v/>
      </c>
      <c r="F179" s="24" t="str">
        <f aca="false">IF(B179="","",TEXT(B179,"yyyy-mm"))</f>
        <v/>
      </c>
      <c r="G179" s="29"/>
      <c r="H179" s="29"/>
      <c r="I179" s="29"/>
      <c r="J179" s="29"/>
      <c r="K179" s="29"/>
      <c r="L179" s="29"/>
      <c r="M179" s="29"/>
      <c r="N179" s="29"/>
      <c r="O179" s="29"/>
      <c r="P179" s="29"/>
      <c r="Q179" s="30"/>
      <c r="R179" s="29"/>
      <c r="S179" s="32"/>
      <c r="T179" s="29"/>
      <c r="U179" s="29"/>
      <c r="V179" s="24" t="str">
        <f aca="false">IF(A179="","",IFERROR(INDEX(Settings!$F$5:$F$49,MATCH(G179,Settings!$D$5:$D$49,0)),""))</f>
        <v/>
      </c>
      <c r="W179" s="24" t="str">
        <f aca="false">IF(A179="","",IF(OR(P179="",P179="Organic"),"social","paid_social"))</f>
        <v/>
      </c>
      <c r="X179" s="24" t="str">
        <f aca="false">IF(A179="","",IF(K179&lt;&gt;"",IFERROR(INDEX('Case Studies'!$C$5:$C$54,MATCH(K179,'Case Studies'!$B$5:$B$54,0))&amp;"","case-study"),IF(J179&lt;&gt;"",IFERROR(INDEX(Settings!$J$5:$J$55,MATCH(J179,Settings!$I$5:$I$55,0)),"general"),"general")))</f>
        <v/>
      </c>
      <c r="Y179" s="24" t="str">
        <f aca="false">IF(A179="","",LOWER(A179))</f>
        <v/>
      </c>
      <c r="Z179" s="24" t="str">
        <f aca="false">IF(A179="","",IF(T179="",Settings!$B$5,T179)&amp;IF(ISNUMBER(FIND("?",IF(T179="",Settings!$B$5,T179))),"&amp;","?")&amp;"utm_source="&amp;V179&amp;"&amp;utm_medium="&amp;W179&amp;"&amp;utm_campaign="&amp;X179&amp;"&amp;utm_content="&amp;Y179)</f>
        <v/>
      </c>
      <c r="AA179" s="29"/>
      <c r="AB179" s="39"/>
      <c r="AC179" s="32"/>
      <c r="AD179" s="32"/>
      <c r="AE179" s="32"/>
      <c r="AF179" s="32"/>
      <c r="AG179" s="32"/>
      <c r="AH179" s="32"/>
      <c r="AI179" s="32"/>
      <c r="AJ179" s="32"/>
      <c r="AK179" s="32"/>
      <c r="AL179" s="32"/>
      <c r="AM179" s="32"/>
      <c r="AN179" s="32"/>
      <c r="AO179" s="33" t="str">
        <f aca="false">IF(A179="","",IF(AD179&lt;&gt;"",AD179,IF(AC179&lt;&gt;"",AC179,"")))</f>
        <v/>
      </c>
      <c r="AP179" s="24" t="str">
        <f aca="false">IF(AO179="","",IF(AD179&lt;&gt;"","Reported reach","Impressions (proxy)"))</f>
        <v/>
      </c>
      <c r="AQ179" s="34" t="str">
        <f aca="false">IF(OR(AO179="",N(S179)=0),"",AO179/S179)</f>
        <v/>
      </c>
      <c r="AR179" s="33" t="str">
        <f aca="false">IF(A179="","",IF(COUNT(AF179:AJ179)=0,"",SUM(AF179:AJ179)))</f>
        <v/>
      </c>
      <c r="AS179" s="34" t="str">
        <f aca="false">IF(OR(AR179="",N(AO179)=0),"",AR179/AO179)</f>
        <v/>
      </c>
      <c r="AT179" s="34" t="str">
        <f aca="false">IF(OR(AR179="",N(AC179)=0),"",AR179/AC179)</f>
        <v/>
      </c>
      <c r="AU179" s="34" t="str">
        <f aca="false">IF(OR(AR179="",N(S179)=0),"",AR179/S179)</f>
        <v/>
      </c>
      <c r="AV179" s="34" t="str">
        <f aca="false">IF(OR(AJ179="",N(AC179)=0),"",AJ179/AC179)</f>
        <v/>
      </c>
      <c r="AW179" s="34" t="str">
        <f aca="false">IF(OR(AH179="",N(AO179)=0),"",AH179/AO179)</f>
        <v/>
      </c>
      <c r="AX179" s="35" t="str">
        <f aca="false">IF(OR(AR179="",N(AO179)=0),"",(N(AF179)*Settings!$B$6+N(AG179)*Settings!$B$7+N(AH179)*Settings!$B$8+N(AI179)*Settings!$B$9+N(AJ179)*Settings!$B$10)/AO179*1000)</f>
        <v/>
      </c>
      <c r="AY179" s="36" t="str">
        <f aca="false">IF(AS179="","",IFERROR(AS179/AVERAGEIFS('Post Tracker'!$AS$5:$AS$1004,'Post Tracker'!$G$5:$G$1004,G179),""))</f>
        <v/>
      </c>
      <c r="AZ179" s="32"/>
      <c r="BA179" s="32"/>
      <c r="BB179" s="32"/>
      <c r="BC179" s="32"/>
      <c r="BD179" s="33" t="str">
        <f aca="false">IF(A179="","",COUNTIFS('Demo Pipeline'!$Q$5:$Q$504,A179))</f>
        <v/>
      </c>
      <c r="BE179" s="33" t="str">
        <f aca="false">IF(A179="","",COUNTIFS('Demo Pipeline'!$Q$5:$Q$504,A179,'Demo Pipeline'!$W$5:$W$504,"Attended"))</f>
        <v/>
      </c>
      <c r="BF179" s="33" t="str">
        <f aca="false">IF(A179="","",COUNTIFS('Demo Pipeline'!$Q$5:$Q$504,A179,'Demo Pipeline'!$X$5:$X$504,"Yes"))</f>
        <v/>
      </c>
      <c r="BG179" s="33" t="str">
        <f aca="false">IF(A179="","",COUNTIFS('Demo Pipeline'!$Q$5:$Q$504,A179,'Demo Pipeline'!$Y$5:$Y$504,"Closed Won"))</f>
        <v/>
      </c>
      <c r="BH179" s="37" t="str">
        <f aca="false">IF(A179="","",SUMIFS('Demo Pipeline'!$Z$5:$Z$504,'Demo Pipeline'!$Q$5:$Q$504,A179))</f>
        <v/>
      </c>
      <c r="BI179" s="34" t="str">
        <f aca="false">IF(OR(AZ179="",N(AJ179)=0),"",AZ179/AJ179)</f>
        <v/>
      </c>
      <c r="BJ179" s="34" t="str">
        <f aca="false">IF(OR(BB179="",N(AZ179)=0),"",BB179/AZ179)</f>
        <v/>
      </c>
      <c r="BK179" s="34" t="str">
        <f aca="false">IF(OR(A179="",N(BB179)=0),"",BD179/BB179)</f>
        <v/>
      </c>
      <c r="BL179" s="34" t="str">
        <f aca="false">IF(OR(A179="",N(AZ179)=0),"",BD179/AZ179)</f>
        <v/>
      </c>
      <c r="BM179" s="37" t="str">
        <f aca="false">IF(OR(N(Q179)=0,N(BD179)=0),"",Q179/BD179)</f>
        <v/>
      </c>
      <c r="BN179" s="29"/>
      <c r="BO179" s="29"/>
      <c r="BP179" s="33" t="str">
        <f aca="false">IF(OR(AR179="",N(AO179)=0),"",AR179)</f>
        <v/>
      </c>
      <c r="BQ179" s="33" t="str">
        <f aca="false">IF(OR(AR179="",N(S179)=0),"",S179)</f>
        <v/>
      </c>
      <c r="BR179" s="38" t="str">
        <f aca="false">IF(AND(ISNUMBER(B179),B179&gt;=Dashboard!$C$4,B179&lt;=Dashboard!$F$4,ISNUMBER(AU179)),AU179+ROW()/10^9,"")</f>
        <v/>
      </c>
      <c r="BS179" s="38" t="str">
        <f aca="false">IF(AND(ISNUMBER(B179),B179&gt;=Dashboard!$C$4,B179&lt;=Dashboard!$F$4,A179&lt;&gt;""),N(BD179)+N(AU179)/100+ROW()/10^9,"")</f>
        <v/>
      </c>
    </row>
    <row r="180" customFormat="false" ht="15" hidden="false" customHeight="false" outlineLevel="0" collapsed="false">
      <c r="A180" s="24" t="str">
        <f aca="false">IF(OR(B180="",G180="",H180=""),"",IFERROR(INDEX(Settings!$E$5:$E$49,MATCH(G180,Settings!$D$5:$D$49,0))&amp;INDEX(Settings!$H$5:$H$47,MATCH(H180,Settings!$G$5:$G$47,0))&amp;"-"&amp;TEXT(B180,"yymmdd")&amp;"-"&amp;IF(C180="","0000",TEXT(C180,"hhmm")),"CHECK LISTS"))</f>
        <v/>
      </c>
      <c r="B180" s="39"/>
      <c r="C180" s="40"/>
      <c r="D180" s="24" t="str">
        <f aca="false">IF(B180="","",TEXT(B180,"ddd"))</f>
        <v/>
      </c>
      <c r="E180" s="27" t="str">
        <f aca="false">IF(B180="","",B180-WEEKDAY(B180,3))</f>
        <v/>
      </c>
      <c r="F180" s="24" t="str">
        <f aca="false">IF(B180="","",TEXT(B180,"yyyy-mm"))</f>
        <v/>
      </c>
      <c r="G180" s="29"/>
      <c r="H180" s="29"/>
      <c r="I180" s="29"/>
      <c r="J180" s="29"/>
      <c r="K180" s="29"/>
      <c r="L180" s="29"/>
      <c r="M180" s="29"/>
      <c r="N180" s="29"/>
      <c r="O180" s="29"/>
      <c r="P180" s="29"/>
      <c r="Q180" s="30"/>
      <c r="R180" s="29"/>
      <c r="S180" s="32"/>
      <c r="T180" s="29"/>
      <c r="U180" s="29"/>
      <c r="V180" s="24" t="str">
        <f aca="false">IF(A180="","",IFERROR(INDEX(Settings!$F$5:$F$49,MATCH(G180,Settings!$D$5:$D$49,0)),""))</f>
        <v/>
      </c>
      <c r="W180" s="24" t="str">
        <f aca="false">IF(A180="","",IF(OR(P180="",P180="Organic"),"social","paid_social"))</f>
        <v/>
      </c>
      <c r="X180" s="24" t="str">
        <f aca="false">IF(A180="","",IF(K180&lt;&gt;"",IFERROR(INDEX('Case Studies'!$C$5:$C$54,MATCH(K180,'Case Studies'!$B$5:$B$54,0))&amp;"","case-study"),IF(J180&lt;&gt;"",IFERROR(INDEX(Settings!$J$5:$J$55,MATCH(J180,Settings!$I$5:$I$55,0)),"general"),"general")))</f>
        <v/>
      </c>
      <c r="Y180" s="24" t="str">
        <f aca="false">IF(A180="","",LOWER(A180))</f>
        <v/>
      </c>
      <c r="Z180" s="24" t="str">
        <f aca="false">IF(A180="","",IF(T180="",Settings!$B$5,T180)&amp;IF(ISNUMBER(FIND("?",IF(T180="",Settings!$B$5,T180))),"&amp;","?")&amp;"utm_source="&amp;V180&amp;"&amp;utm_medium="&amp;W180&amp;"&amp;utm_campaign="&amp;X180&amp;"&amp;utm_content="&amp;Y180)</f>
        <v/>
      </c>
      <c r="AA180" s="29"/>
      <c r="AB180" s="39"/>
      <c r="AC180" s="32"/>
      <c r="AD180" s="32"/>
      <c r="AE180" s="32"/>
      <c r="AF180" s="32"/>
      <c r="AG180" s="32"/>
      <c r="AH180" s="32"/>
      <c r="AI180" s="32"/>
      <c r="AJ180" s="32"/>
      <c r="AK180" s="32"/>
      <c r="AL180" s="32"/>
      <c r="AM180" s="32"/>
      <c r="AN180" s="32"/>
      <c r="AO180" s="33" t="str">
        <f aca="false">IF(A180="","",IF(AD180&lt;&gt;"",AD180,IF(AC180&lt;&gt;"",AC180,"")))</f>
        <v/>
      </c>
      <c r="AP180" s="24" t="str">
        <f aca="false">IF(AO180="","",IF(AD180&lt;&gt;"","Reported reach","Impressions (proxy)"))</f>
        <v/>
      </c>
      <c r="AQ180" s="34" t="str">
        <f aca="false">IF(OR(AO180="",N(S180)=0),"",AO180/S180)</f>
        <v/>
      </c>
      <c r="AR180" s="33" t="str">
        <f aca="false">IF(A180="","",IF(COUNT(AF180:AJ180)=0,"",SUM(AF180:AJ180)))</f>
        <v/>
      </c>
      <c r="AS180" s="34" t="str">
        <f aca="false">IF(OR(AR180="",N(AO180)=0),"",AR180/AO180)</f>
        <v/>
      </c>
      <c r="AT180" s="34" t="str">
        <f aca="false">IF(OR(AR180="",N(AC180)=0),"",AR180/AC180)</f>
        <v/>
      </c>
      <c r="AU180" s="34" t="str">
        <f aca="false">IF(OR(AR180="",N(S180)=0),"",AR180/S180)</f>
        <v/>
      </c>
      <c r="AV180" s="34" t="str">
        <f aca="false">IF(OR(AJ180="",N(AC180)=0),"",AJ180/AC180)</f>
        <v/>
      </c>
      <c r="AW180" s="34" t="str">
        <f aca="false">IF(OR(AH180="",N(AO180)=0),"",AH180/AO180)</f>
        <v/>
      </c>
      <c r="AX180" s="35" t="str">
        <f aca="false">IF(OR(AR180="",N(AO180)=0),"",(N(AF180)*Settings!$B$6+N(AG180)*Settings!$B$7+N(AH180)*Settings!$B$8+N(AI180)*Settings!$B$9+N(AJ180)*Settings!$B$10)/AO180*1000)</f>
        <v/>
      </c>
      <c r="AY180" s="36" t="str">
        <f aca="false">IF(AS180="","",IFERROR(AS180/AVERAGEIFS('Post Tracker'!$AS$5:$AS$1004,'Post Tracker'!$G$5:$G$1004,G180),""))</f>
        <v/>
      </c>
      <c r="AZ180" s="32"/>
      <c r="BA180" s="32"/>
      <c r="BB180" s="32"/>
      <c r="BC180" s="32"/>
      <c r="BD180" s="33" t="str">
        <f aca="false">IF(A180="","",COUNTIFS('Demo Pipeline'!$Q$5:$Q$504,A180))</f>
        <v/>
      </c>
      <c r="BE180" s="33" t="str">
        <f aca="false">IF(A180="","",COUNTIFS('Demo Pipeline'!$Q$5:$Q$504,A180,'Demo Pipeline'!$W$5:$W$504,"Attended"))</f>
        <v/>
      </c>
      <c r="BF180" s="33" t="str">
        <f aca="false">IF(A180="","",COUNTIFS('Demo Pipeline'!$Q$5:$Q$504,A180,'Demo Pipeline'!$X$5:$X$504,"Yes"))</f>
        <v/>
      </c>
      <c r="BG180" s="33" t="str">
        <f aca="false">IF(A180="","",COUNTIFS('Demo Pipeline'!$Q$5:$Q$504,A180,'Demo Pipeline'!$Y$5:$Y$504,"Closed Won"))</f>
        <v/>
      </c>
      <c r="BH180" s="37" t="str">
        <f aca="false">IF(A180="","",SUMIFS('Demo Pipeline'!$Z$5:$Z$504,'Demo Pipeline'!$Q$5:$Q$504,A180))</f>
        <v/>
      </c>
      <c r="BI180" s="34" t="str">
        <f aca="false">IF(OR(AZ180="",N(AJ180)=0),"",AZ180/AJ180)</f>
        <v/>
      </c>
      <c r="BJ180" s="34" t="str">
        <f aca="false">IF(OR(BB180="",N(AZ180)=0),"",BB180/AZ180)</f>
        <v/>
      </c>
      <c r="BK180" s="34" t="str">
        <f aca="false">IF(OR(A180="",N(BB180)=0),"",BD180/BB180)</f>
        <v/>
      </c>
      <c r="BL180" s="34" t="str">
        <f aca="false">IF(OR(A180="",N(AZ180)=0),"",BD180/AZ180)</f>
        <v/>
      </c>
      <c r="BM180" s="37" t="str">
        <f aca="false">IF(OR(N(Q180)=0,N(BD180)=0),"",Q180/BD180)</f>
        <v/>
      </c>
      <c r="BN180" s="29"/>
      <c r="BO180" s="29"/>
      <c r="BP180" s="33" t="str">
        <f aca="false">IF(OR(AR180="",N(AO180)=0),"",AR180)</f>
        <v/>
      </c>
      <c r="BQ180" s="33" t="str">
        <f aca="false">IF(OR(AR180="",N(S180)=0),"",S180)</f>
        <v/>
      </c>
      <c r="BR180" s="38" t="str">
        <f aca="false">IF(AND(ISNUMBER(B180),B180&gt;=Dashboard!$C$4,B180&lt;=Dashboard!$F$4,ISNUMBER(AU180)),AU180+ROW()/10^9,"")</f>
        <v/>
      </c>
      <c r="BS180" s="38" t="str">
        <f aca="false">IF(AND(ISNUMBER(B180),B180&gt;=Dashboard!$C$4,B180&lt;=Dashboard!$F$4,A180&lt;&gt;""),N(BD180)+N(AU180)/100+ROW()/10^9,"")</f>
        <v/>
      </c>
    </row>
    <row r="181" customFormat="false" ht="15" hidden="false" customHeight="false" outlineLevel="0" collapsed="false">
      <c r="A181" s="24" t="str">
        <f aca="false">IF(OR(B181="",G181="",H181=""),"",IFERROR(INDEX(Settings!$E$5:$E$49,MATCH(G181,Settings!$D$5:$D$49,0))&amp;INDEX(Settings!$H$5:$H$47,MATCH(H181,Settings!$G$5:$G$47,0))&amp;"-"&amp;TEXT(B181,"yymmdd")&amp;"-"&amp;IF(C181="","0000",TEXT(C181,"hhmm")),"CHECK LISTS"))</f>
        <v/>
      </c>
      <c r="B181" s="39"/>
      <c r="C181" s="40"/>
      <c r="D181" s="24" t="str">
        <f aca="false">IF(B181="","",TEXT(B181,"ddd"))</f>
        <v/>
      </c>
      <c r="E181" s="27" t="str">
        <f aca="false">IF(B181="","",B181-WEEKDAY(B181,3))</f>
        <v/>
      </c>
      <c r="F181" s="24" t="str">
        <f aca="false">IF(B181="","",TEXT(B181,"yyyy-mm"))</f>
        <v/>
      </c>
      <c r="G181" s="29"/>
      <c r="H181" s="29"/>
      <c r="I181" s="29"/>
      <c r="J181" s="29"/>
      <c r="K181" s="29"/>
      <c r="L181" s="29"/>
      <c r="M181" s="29"/>
      <c r="N181" s="29"/>
      <c r="O181" s="29"/>
      <c r="P181" s="29"/>
      <c r="Q181" s="30"/>
      <c r="R181" s="29"/>
      <c r="S181" s="32"/>
      <c r="T181" s="29"/>
      <c r="U181" s="29"/>
      <c r="V181" s="24" t="str">
        <f aca="false">IF(A181="","",IFERROR(INDEX(Settings!$F$5:$F$49,MATCH(G181,Settings!$D$5:$D$49,0)),""))</f>
        <v/>
      </c>
      <c r="W181" s="24" t="str">
        <f aca="false">IF(A181="","",IF(OR(P181="",P181="Organic"),"social","paid_social"))</f>
        <v/>
      </c>
      <c r="X181" s="24" t="str">
        <f aca="false">IF(A181="","",IF(K181&lt;&gt;"",IFERROR(INDEX('Case Studies'!$C$5:$C$54,MATCH(K181,'Case Studies'!$B$5:$B$54,0))&amp;"","case-study"),IF(J181&lt;&gt;"",IFERROR(INDEX(Settings!$J$5:$J$55,MATCH(J181,Settings!$I$5:$I$55,0)),"general"),"general")))</f>
        <v/>
      </c>
      <c r="Y181" s="24" t="str">
        <f aca="false">IF(A181="","",LOWER(A181))</f>
        <v/>
      </c>
      <c r="Z181" s="24" t="str">
        <f aca="false">IF(A181="","",IF(T181="",Settings!$B$5,T181)&amp;IF(ISNUMBER(FIND("?",IF(T181="",Settings!$B$5,T181))),"&amp;","?")&amp;"utm_source="&amp;V181&amp;"&amp;utm_medium="&amp;W181&amp;"&amp;utm_campaign="&amp;X181&amp;"&amp;utm_content="&amp;Y181)</f>
        <v/>
      </c>
      <c r="AA181" s="29"/>
      <c r="AB181" s="39"/>
      <c r="AC181" s="32"/>
      <c r="AD181" s="32"/>
      <c r="AE181" s="32"/>
      <c r="AF181" s="32"/>
      <c r="AG181" s="32"/>
      <c r="AH181" s="32"/>
      <c r="AI181" s="32"/>
      <c r="AJ181" s="32"/>
      <c r="AK181" s="32"/>
      <c r="AL181" s="32"/>
      <c r="AM181" s="32"/>
      <c r="AN181" s="32"/>
      <c r="AO181" s="33" t="str">
        <f aca="false">IF(A181="","",IF(AD181&lt;&gt;"",AD181,IF(AC181&lt;&gt;"",AC181,"")))</f>
        <v/>
      </c>
      <c r="AP181" s="24" t="str">
        <f aca="false">IF(AO181="","",IF(AD181&lt;&gt;"","Reported reach","Impressions (proxy)"))</f>
        <v/>
      </c>
      <c r="AQ181" s="34" t="str">
        <f aca="false">IF(OR(AO181="",N(S181)=0),"",AO181/S181)</f>
        <v/>
      </c>
      <c r="AR181" s="33" t="str">
        <f aca="false">IF(A181="","",IF(COUNT(AF181:AJ181)=0,"",SUM(AF181:AJ181)))</f>
        <v/>
      </c>
      <c r="AS181" s="34" t="str">
        <f aca="false">IF(OR(AR181="",N(AO181)=0),"",AR181/AO181)</f>
        <v/>
      </c>
      <c r="AT181" s="34" t="str">
        <f aca="false">IF(OR(AR181="",N(AC181)=0),"",AR181/AC181)</f>
        <v/>
      </c>
      <c r="AU181" s="34" t="str">
        <f aca="false">IF(OR(AR181="",N(S181)=0),"",AR181/S181)</f>
        <v/>
      </c>
      <c r="AV181" s="34" t="str">
        <f aca="false">IF(OR(AJ181="",N(AC181)=0),"",AJ181/AC181)</f>
        <v/>
      </c>
      <c r="AW181" s="34" t="str">
        <f aca="false">IF(OR(AH181="",N(AO181)=0),"",AH181/AO181)</f>
        <v/>
      </c>
      <c r="AX181" s="35" t="str">
        <f aca="false">IF(OR(AR181="",N(AO181)=0),"",(N(AF181)*Settings!$B$6+N(AG181)*Settings!$B$7+N(AH181)*Settings!$B$8+N(AI181)*Settings!$B$9+N(AJ181)*Settings!$B$10)/AO181*1000)</f>
        <v/>
      </c>
      <c r="AY181" s="36" t="str">
        <f aca="false">IF(AS181="","",IFERROR(AS181/AVERAGEIFS('Post Tracker'!$AS$5:$AS$1004,'Post Tracker'!$G$5:$G$1004,G181),""))</f>
        <v/>
      </c>
      <c r="AZ181" s="32"/>
      <c r="BA181" s="32"/>
      <c r="BB181" s="32"/>
      <c r="BC181" s="32"/>
      <c r="BD181" s="33" t="str">
        <f aca="false">IF(A181="","",COUNTIFS('Demo Pipeline'!$Q$5:$Q$504,A181))</f>
        <v/>
      </c>
      <c r="BE181" s="33" t="str">
        <f aca="false">IF(A181="","",COUNTIFS('Demo Pipeline'!$Q$5:$Q$504,A181,'Demo Pipeline'!$W$5:$W$504,"Attended"))</f>
        <v/>
      </c>
      <c r="BF181" s="33" t="str">
        <f aca="false">IF(A181="","",COUNTIFS('Demo Pipeline'!$Q$5:$Q$504,A181,'Demo Pipeline'!$X$5:$X$504,"Yes"))</f>
        <v/>
      </c>
      <c r="BG181" s="33" t="str">
        <f aca="false">IF(A181="","",COUNTIFS('Demo Pipeline'!$Q$5:$Q$504,A181,'Demo Pipeline'!$Y$5:$Y$504,"Closed Won"))</f>
        <v/>
      </c>
      <c r="BH181" s="37" t="str">
        <f aca="false">IF(A181="","",SUMIFS('Demo Pipeline'!$Z$5:$Z$504,'Demo Pipeline'!$Q$5:$Q$504,A181))</f>
        <v/>
      </c>
      <c r="BI181" s="34" t="str">
        <f aca="false">IF(OR(AZ181="",N(AJ181)=0),"",AZ181/AJ181)</f>
        <v/>
      </c>
      <c r="BJ181" s="34" t="str">
        <f aca="false">IF(OR(BB181="",N(AZ181)=0),"",BB181/AZ181)</f>
        <v/>
      </c>
      <c r="BK181" s="34" t="str">
        <f aca="false">IF(OR(A181="",N(BB181)=0),"",BD181/BB181)</f>
        <v/>
      </c>
      <c r="BL181" s="34" t="str">
        <f aca="false">IF(OR(A181="",N(AZ181)=0),"",BD181/AZ181)</f>
        <v/>
      </c>
      <c r="BM181" s="37" t="str">
        <f aca="false">IF(OR(N(Q181)=0,N(BD181)=0),"",Q181/BD181)</f>
        <v/>
      </c>
      <c r="BN181" s="29"/>
      <c r="BO181" s="29"/>
      <c r="BP181" s="33" t="str">
        <f aca="false">IF(OR(AR181="",N(AO181)=0),"",AR181)</f>
        <v/>
      </c>
      <c r="BQ181" s="33" t="str">
        <f aca="false">IF(OR(AR181="",N(S181)=0),"",S181)</f>
        <v/>
      </c>
      <c r="BR181" s="38" t="str">
        <f aca="false">IF(AND(ISNUMBER(B181),B181&gt;=Dashboard!$C$4,B181&lt;=Dashboard!$F$4,ISNUMBER(AU181)),AU181+ROW()/10^9,"")</f>
        <v/>
      </c>
      <c r="BS181" s="38" t="str">
        <f aca="false">IF(AND(ISNUMBER(B181),B181&gt;=Dashboard!$C$4,B181&lt;=Dashboard!$F$4,A181&lt;&gt;""),N(BD181)+N(AU181)/100+ROW()/10^9,"")</f>
        <v/>
      </c>
    </row>
    <row r="182" customFormat="false" ht="15" hidden="false" customHeight="false" outlineLevel="0" collapsed="false">
      <c r="A182" s="24" t="str">
        <f aca="false">IF(OR(B182="",G182="",H182=""),"",IFERROR(INDEX(Settings!$E$5:$E$49,MATCH(G182,Settings!$D$5:$D$49,0))&amp;INDEX(Settings!$H$5:$H$47,MATCH(H182,Settings!$G$5:$G$47,0))&amp;"-"&amp;TEXT(B182,"yymmdd")&amp;"-"&amp;IF(C182="","0000",TEXT(C182,"hhmm")),"CHECK LISTS"))</f>
        <v/>
      </c>
      <c r="B182" s="39"/>
      <c r="C182" s="40"/>
      <c r="D182" s="24" t="str">
        <f aca="false">IF(B182="","",TEXT(B182,"ddd"))</f>
        <v/>
      </c>
      <c r="E182" s="27" t="str">
        <f aca="false">IF(B182="","",B182-WEEKDAY(B182,3))</f>
        <v/>
      </c>
      <c r="F182" s="24" t="str">
        <f aca="false">IF(B182="","",TEXT(B182,"yyyy-mm"))</f>
        <v/>
      </c>
      <c r="G182" s="29"/>
      <c r="H182" s="29"/>
      <c r="I182" s="29"/>
      <c r="J182" s="29"/>
      <c r="K182" s="29"/>
      <c r="L182" s="29"/>
      <c r="M182" s="29"/>
      <c r="N182" s="29"/>
      <c r="O182" s="29"/>
      <c r="P182" s="29"/>
      <c r="Q182" s="30"/>
      <c r="R182" s="29"/>
      <c r="S182" s="32"/>
      <c r="T182" s="29"/>
      <c r="U182" s="29"/>
      <c r="V182" s="24" t="str">
        <f aca="false">IF(A182="","",IFERROR(INDEX(Settings!$F$5:$F$49,MATCH(G182,Settings!$D$5:$D$49,0)),""))</f>
        <v/>
      </c>
      <c r="W182" s="24" t="str">
        <f aca="false">IF(A182="","",IF(OR(P182="",P182="Organic"),"social","paid_social"))</f>
        <v/>
      </c>
      <c r="X182" s="24" t="str">
        <f aca="false">IF(A182="","",IF(K182&lt;&gt;"",IFERROR(INDEX('Case Studies'!$C$5:$C$54,MATCH(K182,'Case Studies'!$B$5:$B$54,0))&amp;"","case-study"),IF(J182&lt;&gt;"",IFERROR(INDEX(Settings!$J$5:$J$55,MATCH(J182,Settings!$I$5:$I$55,0)),"general"),"general")))</f>
        <v/>
      </c>
      <c r="Y182" s="24" t="str">
        <f aca="false">IF(A182="","",LOWER(A182))</f>
        <v/>
      </c>
      <c r="Z182" s="24" t="str">
        <f aca="false">IF(A182="","",IF(T182="",Settings!$B$5,T182)&amp;IF(ISNUMBER(FIND("?",IF(T182="",Settings!$B$5,T182))),"&amp;","?")&amp;"utm_source="&amp;V182&amp;"&amp;utm_medium="&amp;W182&amp;"&amp;utm_campaign="&amp;X182&amp;"&amp;utm_content="&amp;Y182)</f>
        <v/>
      </c>
      <c r="AA182" s="29"/>
      <c r="AB182" s="39"/>
      <c r="AC182" s="32"/>
      <c r="AD182" s="32"/>
      <c r="AE182" s="32"/>
      <c r="AF182" s="32"/>
      <c r="AG182" s="32"/>
      <c r="AH182" s="32"/>
      <c r="AI182" s="32"/>
      <c r="AJ182" s="32"/>
      <c r="AK182" s="32"/>
      <c r="AL182" s="32"/>
      <c r="AM182" s="32"/>
      <c r="AN182" s="32"/>
      <c r="AO182" s="33" t="str">
        <f aca="false">IF(A182="","",IF(AD182&lt;&gt;"",AD182,IF(AC182&lt;&gt;"",AC182,"")))</f>
        <v/>
      </c>
      <c r="AP182" s="24" t="str">
        <f aca="false">IF(AO182="","",IF(AD182&lt;&gt;"","Reported reach","Impressions (proxy)"))</f>
        <v/>
      </c>
      <c r="AQ182" s="34" t="str">
        <f aca="false">IF(OR(AO182="",N(S182)=0),"",AO182/S182)</f>
        <v/>
      </c>
      <c r="AR182" s="33" t="str">
        <f aca="false">IF(A182="","",IF(COUNT(AF182:AJ182)=0,"",SUM(AF182:AJ182)))</f>
        <v/>
      </c>
      <c r="AS182" s="34" t="str">
        <f aca="false">IF(OR(AR182="",N(AO182)=0),"",AR182/AO182)</f>
        <v/>
      </c>
      <c r="AT182" s="34" t="str">
        <f aca="false">IF(OR(AR182="",N(AC182)=0),"",AR182/AC182)</f>
        <v/>
      </c>
      <c r="AU182" s="34" t="str">
        <f aca="false">IF(OR(AR182="",N(S182)=0),"",AR182/S182)</f>
        <v/>
      </c>
      <c r="AV182" s="34" t="str">
        <f aca="false">IF(OR(AJ182="",N(AC182)=0),"",AJ182/AC182)</f>
        <v/>
      </c>
      <c r="AW182" s="34" t="str">
        <f aca="false">IF(OR(AH182="",N(AO182)=0),"",AH182/AO182)</f>
        <v/>
      </c>
      <c r="AX182" s="35" t="str">
        <f aca="false">IF(OR(AR182="",N(AO182)=0),"",(N(AF182)*Settings!$B$6+N(AG182)*Settings!$B$7+N(AH182)*Settings!$B$8+N(AI182)*Settings!$B$9+N(AJ182)*Settings!$B$10)/AO182*1000)</f>
        <v/>
      </c>
      <c r="AY182" s="36" t="str">
        <f aca="false">IF(AS182="","",IFERROR(AS182/AVERAGEIFS('Post Tracker'!$AS$5:$AS$1004,'Post Tracker'!$G$5:$G$1004,G182),""))</f>
        <v/>
      </c>
      <c r="AZ182" s="32"/>
      <c r="BA182" s="32"/>
      <c r="BB182" s="32"/>
      <c r="BC182" s="32"/>
      <c r="BD182" s="33" t="str">
        <f aca="false">IF(A182="","",COUNTIFS('Demo Pipeline'!$Q$5:$Q$504,A182))</f>
        <v/>
      </c>
      <c r="BE182" s="33" t="str">
        <f aca="false">IF(A182="","",COUNTIFS('Demo Pipeline'!$Q$5:$Q$504,A182,'Demo Pipeline'!$W$5:$W$504,"Attended"))</f>
        <v/>
      </c>
      <c r="BF182" s="33" t="str">
        <f aca="false">IF(A182="","",COUNTIFS('Demo Pipeline'!$Q$5:$Q$504,A182,'Demo Pipeline'!$X$5:$X$504,"Yes"))</f>
        <v/>
      </c>
      <c r="BG182" s="33" t="str">
        <f aca="false">IF(A182="","",COUNTIFS('Demo Pipeline'!$Q$5:$Q$504,A182,'Demo Pipeline'!$Y$5:$Y$504,"Closed Won"))</f>
        <v/>
      </c>
      <c r="BH182" s="37" t="str">
        <f aca="false">IF(A182="","",SUMIFS('Demo Pipeline'!$Z$5:$Z$504,'Demo Pipeline'!$Q$5:$Q$504,A182))</f>
        <v/>
      </c>
      <c r="BI182" s="34" t="str">
        <f aca="false">IF(OR(AZ182="",N(AJ182)=0),"",AZ182/AJ182)</f>
        <v/>
      </c>
      <c r="BJ182" s="34" t="str">
        <f aca="false">IF(OR(BB182="",N(AZ182)=0),"",BB182/AZ182)</f>
        <v/>
      </c>
      <c r="BK182" s="34" t="str">
        <f aca="false">IF(OR(A182="",N(BB182)=0),"",BD182/BB182)</f>
        <v/>
      </c>
      <c r="BL182" s="34" t="str">
        <f aca="false">IF(OR(A182="",N(AZ182)=0),"",BD182/AZ182)</f>
        <v/>
      </c>
      <c r="BM182" s="37" t="str">
        <f aca="false">IF(OR(N(Q182)=0,N(BD182)=0),"",Q182/BD182)</f>
        <v/>
      </c>
      <c r="BN182" s="29"/>
      <c r="BO182" s="29"/>
      <c r="BP182" s="33" t="str">
        <f aca="false">IF(OR(AR182="",N(AO182)=0),"",AR182)</f>
        <v/>
      </c>
      <c r="BQ182" s="33" t="str">
        <f aca="false">IF(OR(AR182="",N(S182)=0),"",S182)</f>
        <v/>
      </c>
      <c r="BR182" s="38" t="str">
        <f aca="false">IF(AND(ISNUMBER(B182),B182&gt;=Dashboard!$C$4,B182&lt;=Dashboard!$F$4,ISNUMBER(AU182)),AU182+ROW()/10^9,"")</f>
        <v/>
      </c>
      <c r="BS182" s="38" t="str">
        <f aca="false">IF(AND(ISNUMBER(B182),B182&gt;=Dashboard!$C$4,B182&lt;=Dashboard!$F$4,A182&lt;&gt;""),N(BD182)+N(AU182)/100+ROW()/10^9,"")</f>
        <v/>
      </c>
    </row>
    <row r="183" customFormat="false" ht="15" hidden="false" customHeight="false" outlineLevel="0" collapsed="false">
      <c r="A183" s="24" t="str">
        <f aca="false">IF(OR(B183="",G183="",H183=""),"",IFERROR(INDEX(Settings!$E$5:$E$49,MATCH(G183,Settings!$D$5:$D$49,0))&amp;INDEX(Settings!$H$5:$H$47,MATCH(H183,Settings!$G$5:$G$47,0))&amp;"-"&amp;TEXT(B183,"yymmdd")&amp;"-"&amp;IF(C183="","0000",TEXT(C183,"hhmm")),"CHECK LISTS"))</f>
        <v/>
      </c>
      <c r="B183" s="39"/>
      <c r="C183" s="40"/>
      <c r="D183" s="24" t="str">
        <f aca="false">IF(B183="","",TEXT(B183,"ddd"))</f>
        <v/>
      </c>
      <c r="E183" s="27" t="str">
        <f aca="false">IF(B183="","",B183-WEEKDAY(B183,3))</f>
        <v/>
      </c>
      <c r="F183" s="24" t="str">
        <f aca="false">IF(B183="","",TEXT(B183,"yyyy-mm"))</f>
        <v/>
      </c>
      <c r="G183" s="29"/>
      <c r="H183" s="29"/>
      <c r="I183" s="29"/>
      <c r="J183" s="29"/>
      <c r="K183" s="29"/>
      <c r="L183" s="29"/>
      <c r="M183" s="29"/>
      <c r="N183" s="29"/>
      <c r="O183" s="29"/>
      <c r="P183" s="29"/>
      <c r="Q183" s="30"/>
      <c r="R183" s="29"/>
      <c r="S183" s="32"/>
      <c r="T183" s="29"/>
      <c r="U183" s="29"/>
      <c r="V183" s="24" t="str">
        <f aca="false">IF(A183="","",IFERROR(INDEX(Settings!$F$5:$F$49,MATCH(G183,Settings!$D$5:$D$49,0)),""))</f>
        <v/>
      </c>
      <c r="W183" s="24" t="str">
        <f aca="false">IF(A183="","",IF(OR(P183="",P183="Organic"),"social","paid_social"))</f>
        <v/>
      </c>
      <c r="X183" s="24" t="str">
        <f aca="false">IF(A183="","",IF(K183&lt;&gt;"",IFERROR(INDEX('Case Studies'!$C$5:$C$54,MATCH(K183,'Case Studies'!$B$5:$B$54,0))&amp;"","case-study"),IF(J183&lt;&gt;"",IFERROR(INDEX(Settings!$J$5:$J$55,MATCH(J183,Settings!$I$5:$I$55,0)),"general"),"general")))</f>
        <v/>
      </c>
      <c r="Y183" s="24" t="str">
        <f aca="false">IF(A183="","",LOWER(A183))</f>
        <v/>
      </c>
      <c r="Z183" s="24" t="str">
        <f aca="false">IF(A183="","",IF(T183="",Settings!$B$5,T183)&amp;IF(ISNUMBER(FIND("?",IF(T183="",Settings!$B$5,T183))),"&amp;","?")&amp;"utm_source="&amp;V183&amp;"&amp;utm_medium="&amp;W183&amp;"&amp;utm_campaign="&amp;X183&amp;"&amp;utm_content="&amp;Y183)</f>
        <v/>
      </c>
      <c r="AA183" s="29"/>
      <c r="AB183" s="39"/>
      <c r="AC183" s="32"/>
      <c r="AD183" s="32"/>
      <c r="AE183" s="32"/>
      <c r="AF183" s="32"/>
      <c r="AG183" s="32"/>
      <c r="AH183" s="32"/>
      <c r="AI183" s="32"/>
      <c r="AJ183" s="32"/>
      <c r="AK183" s="32"/>
      <c r="AL183" s="32"/>
      <c r="AM183" s="32"/>
      <c r="AN183" s="32"/>
      <c r="AO183" s="33" t="str">
        <f aca="false">IF(A183="","",IF(AD183&lt;&gt;"",AD183,IF(AC183&lt;&gt;"",AC183,"")))</f>
        <v/>
      </c>
      <c r="AP183" s="24" t="str">
        <f aca="false">IF(AO183="","",IF(AD183&lt;&gt;"","Reported reach","Impressions (proxy)"))</f>
        <v/>
      </c>
      <c r="AQ183" s="34" t="str">
        <f aca="false">IF(OR(AO183="",N(S183)=0),"",AO183/S183)</f>
        <v/>
      </c>
      <c r="AR183" s="33" t="str">
        <f aca="false">IF(A183="","",IF(COUNT(AF183:AJ183)=0,"",SUM(AF183:AJ183)))</f>
        <v/>
      </c>
      <c r="AS183" s="34" t="str">
        <f aca="false">IF(OR(AR183="",N(AO183)=0),"",AR183/AO183)</f>
        <v/>
      </c>
      <c r="AT183" s="34" t="str">
        <f aca="false">IF(OR(AR183="",N(AC183)=0),"",AR183/AC183)</f>
        <v/>
      </c>
      <c r="AU183" s="34" t="str">
        <f aca="false">IF(OR(AR183="",N(S183)=0),"",AR183/S183)</f>
        <v/>
      </c>
      <c r="AV183" s="34" t="str">
        <f aca="false">IF(OR(AJ183="",N(AC183)=0),"",AJ183/AC183)</f>
        <v/>
      </c>
      <c r="AW183" s="34" t="str">
        <f aca="false">IF(OR(AH183="",N(AO183)=0),"",AH183/AO183)</f>
        <v/>
      </c>
      <c r="AX183" s="35" t="str">
        <f aca="false">IF(OR(AR183="",N(AO183)=0),"",(N(AF183)*Settings!$B$6+N(AG183)*Settings!$B$7+N(AH183)*Settings!$B$8+N(AI183)*Settings!$B$9+N(AJ183)*Settings!$B$10)/AO183*1000)</f>
        <v/>
      </c>
      <c r="AY183" s="36" t="str">
        <f aca="false">IF(AS183="","",IFERROR(AS183/AVERAGEIFS('Post Tracker'!$AS$5:$AS$1004,'Post Tracker'!$G$5:$G$1004,G183),""))</f>
        <v/>
      </c>
      <c r="AZ183" s="32"/>
      <c r="BA183" s="32"/>
      <c r="BB183" s="32"/>
      <c r="BC183" s="32"/>
      <c r="BD183" s="33" t="str">
        <f aca="false">IF(A183="","",COUNTIFS('Demo Pipeline'!$Q$5:$Q$504,A183))</f>
        <v/>
      </c>
      <c r="BE183" s="33" t="str">
        <f aca="false">IF(A183="","",COUNTIFS('Demo Pipeline'!$Q$5:$Q$504,A183,'Demo Pipeline'!$W$5:$W$504,"Attended"))</f>
        <v/>
      </c>
      <c r="BF183" s="33" t="str">
        <f aca="false">IF(A183="","",COUNTIFS('Demo Pipeline'!$Q$5:$Q$504,A183,'Demo Pipeline'!$X$5:$X$504,"Yes"))</f>
        <v/>
      </c>
      <c r="BG183" s="33" t="str">
        <f aca="false">IF(A183="","",COUNTIFS('Demo Pipeline'!$Q$5:$Q$504,A183,'Demo Pipeline'!$Y$5:$Y$504,"Closed Won"))</f>
        <v/>
      </c>
      <c r="BH183" s="37" t="str">
        <f aca="false">IF(A183="","",SUMIFS('Demo Pipeline'!$Z$5:$Z$504,'Demo Pipeline'!$Q$5:$Q$504,A183))</f>
        <v/>
      </c>
      <c r="BI183" s="34" t="str">
        <f aca="false">IF(OR(AZ183="",N(AJ183)=0),"",AZ183/AJ183)</f>
        <v/>
      </c>
      <c r="BJ183" s="34" t="str">
        <f aca="false">IF(OR(BB183="",N(AZ183)=0),"",BB183/AZ183)</f>
        <v/>
      </c>
      <c r="BK183" s="34" t="str">
        <f aca="false">IF(OR(A183="",N(BB183)=0),"",BD183/BB183)</f>
        <v/>
      </c>
      <c r="BL183" s="34" t="str">
        <f aca="false">IF(OR(A183="",N(AZ183)=0),"",BD183/AZ183)</f>
        <v/>
      </c>
      <c r="BM183" s="37" t="str">
        <f aca="false">IF(OR(N(Q183)=0,N(BD183)=0),"",Q183/BD183)</f>
        <v/>
      </c>
      <c r="BN183" s="29"/>
      <c r="BO183" s="29"/>
      <c r="BP183" s="33" t="str">
        <f aca="false">IF(OR(AR183="",N(AO183)=0),"",AR183)</f>
        <v/>
      </c>
      <c r="BQ183" s="33" t="str">
        <f aca="false">IF(OR(AR183="",N(S183)=0),"",S183)</f>
        <v/>
      </c>
      <c r="BR183" s="38" t="str">
        <f aca="false">IF(AND(ISNUMBER(B183),B183&gt;=Dashboard!$C$4,B183&lt;=Dashboard!$F$4,ISNUMBER(AU183)),AU183+ROW()/10^9,"")</f>
        <v/>
      </c>
      <c r="BS183" s="38" t="str">
        <f aca="false">IF(AND(ISNUMBER(B183),B183&gt;=Dashboard!$C$4,B183&lt;=Dashboard!$F$4,A183&lt;&gt;""),N(BD183)+N(AU183)/100+ROW()/10^9,"")</f>
        <v/>
      </c>
    </row>
    <row r="184" customFormat="false" ht="15" hidden="false" customHeight="false" outlineLevel="0" collapsed="false">
      <c r="A184" s="24" t="str">
        <f aca="false">IF(OR(B184="",G184="",H184=""),"",IFERROR(INDEX(Settings!$E$5:$E$49,MATCH(G184,Settings!$D$5:$D$49,0))&amp;INDEX(Settings!$H$5:$H$47,MATCH(H184,Settings!$G$5:$G$47,0))&amp;"-"&amp;TEXT(B184,"yymmdd")&amp;"-"&amp;IF(C184="","0000",TEXT(C184,"hhmm")),"CHECK LISTS"))</f>
        <v/>
      </c>
      <c r="B184" s="39"/>
      <c r="C184" s="40"/>
      <c r="D184" s="24" t="str">
        <f aca="false">IF(B184="","",TEXT(B184,"ddd"))</f>
        <v/>
      </c>
      <c r="E184" s="27" t="str">
        <f aca="false">IF(B184="","",B184-WEEKDAY(B184,3))</f>
        <v/>
      </c>
      <c r="F184" s="24" t="str">
        <f aca="false">IF(B184="","",TEXT(B184,"yyyy-mm"))</f>
        <v/>
      </c>
      <c r="G184" s="29"/>
      <c r="H184" s="29"/>
      <c r="I184" s="29"/>
      <c r="J184" s="29"/>
      <c r="K184" s="29"/>
      <c r="L184" s="29"/>
      <c r="M184" s="29"/>
      <c r="N184" s="29"/>
      <c r="O184" s="29"/>
      <c r="P184" s="29"/>
      <c r="Q184" s="30"/>
      <c r="R184" s="29"/>
      <c r="S184" s="32"/>
      <c r="T184" s="29"/>
      <c r="U184" s="29"/>
      <c r="V184" s="24" t="str">
        <f aca="false">IF(A184="","",IFERROR(INDEX(Settings!$F$5:$F$49,MATCH(G184,Settings!$D$5:$D$49,0)),""))</f>
        <v/>
      </c>
      <c r="W184" s="24" t="str">
        <f aca="false">IF(A184="","",IF(OR(P184="",P184="Organic"),"social","paid_social"))</f>
        <v/>
      </c>
      <c r="X184" s="24" t="str">
        <f aca="false">IF(A184="","",IF(K184&lt;&gt;"",IFERROR(INDEX('Case Studies'!$C$5:$C$54,MATCH(K184,'Case Studies'!$B$5:$B$54,0))&amp;"","case-study"),IF(J184&lt;&gt;"",IFERROR(INDEX(Settings!$J$5:$J$55,MATCH(J184,Settings!$I$5:$I$55,0)),"general"),"general")))</f>
        <v/>
      </c>
      <c r="Y184" s="24" t="str">
        <f aca="false">IF(A184="","",LOWER(A184))</f>
        <v/>
      </c>
      <c r="Z184" s="24" t="str">
        <f aca="false">IF(A184="","",IF(T184="",Settings!$B$5,T184)&amp;IF(ISNUMBER(FIND("?",IF(T184="",Settings!$B$5,T184))),"&amp;","?")&amp;"utm_source="&amp;V184&amp;"&amp;utm_medium="&amp;W184&amp;"&amp;utm_campaign="&amp;X184&amp;"&amp;utm_content="&amp;Y184)</f>
        <v/>
      </c>
      <c r="AA184" s="29"/>
      <c r="AB184" s="39"/>
      <c r="AC184" s="32"/>
      <c r="AD184" s="32"/>
      <c r="AE184" s="32"/>
      <c r="AF184" s="32"/>
      <c r="AG184" s="32"/>
      <c r="AH184" s="32"/>
      <c r="AI184" s="32"/>
      <c r="AJ184" s="32"/>
      <c r="AK184" s="32"/>
      <c r="AL184" s="32"/>
      <c r="AM184" s="32"/>
      <c r="AN184" s="32"/>
      <c r="AO184" s="33" t="str">
        <f aca="false">IF(A184="","",IF(AD184&lt;&gt;"",AD184,IF(AC184&lt;&gt;"",AC184,"")))</f>
        <v/>
      </c>
      <c r="AP184" s="24" t="str">
        <f aca="false">IF(AO184="","",IF(AD184&lt;&gt;"","Reported reach","Impressions (proxy)"))</f>
        <v/>
      </c>
      <c r="AQ184" s="34" t="str">
        <f aca="false">IF(OR(AO184="",N(S184)=0),"",AO184/S184)</f>
        <v/>
      </c>
      <c r="AR184" s="33" t="str">
        <f aca="false">IF(A184="","",IF(COUNT(AF184:AJ184)=0,"",SUM(AF184:AJ184)))</f>
        <v/>
      </c>
      <c r="AS184" s="34" t="str">
        <f aca="false">IF(OR(AR184="",N(AO184)=0),"",AR184/AO184)</f>
        <v/>
      </c>
      <c r="AT184" s="34" t="str">
        <f aca="false">IF(OR(AR184="",N(AC184)=0),"",AR184/AC184)</f>
        <v/>
      </c>
      <c r="AU184" s="34" t="str">
        <f aca="false">IF(OR(AR184="",N(S184)=0),"",AR184/S184)</f>
        <v/>
      </c>
      <c r="AV184" s="34" t="str">
        <f aca="false">IF(OR(AJ184="",N(AC184)=0),"",AJ184/AC184)</f>
        <v/>
      </c>
      <c r="AW184" s="34" t="str">
        <f aca="false">IF(OR(AH184="",N(AO184)=0),"",AH184/AO184)</f>
        <v/>
      </c>
      <c r="AX184" s="35" t="str">
        <f aca="false">IF(OR(AR184="",N(AO184)=0),"",(N(AF184)*Settings!$B$6+N(AG184)*Settings!$B$7+N(AH184)*Settings!$B$8+N(AI184)*Settings!$B$9+N(AJ184)*Settings!$B$10)/AO184*1000)</f>
        <v/>
      </c>
      <c r="AY184" s="36" t="str">
        <f aca="false">IF(AS184="","",IFERROR(AS184/AVERAGEIFS('Post Tracker'!$AS$5:$AS$1004,'Post Tracker'!$G$5:$G$1004,G184),""))</f>
        <v/>
      </c>
      <c r="AZ184" s="32"/>
      <c r="BA184" s="32"/>
      <c r="BB184" s="32"/>
      <c r="BC184" s="32"/>
      <c r="BD184" s="33" t="str">
        <f aca="false">IF(A184="","",COUNTIFS('Demo Pipeline'!$Q$5:$Q$504,A184))</f>
        <v/>
      </c>
      <c r="BE184" s="33" t="str">
        <f aca="false">IF(A184="","",COUNTIFS('Demo Pipeline'!$Q$5:$Q$504,A184,'Demo Pipeline'!$W$5:$W$504,"Attended"))</f>
        <v/>
      </c>
      <c r="BF184" s="33" t="str">
        <f aca="false">IF(A184="","",COUNTIFS('Demo Pipeline'!$Q$5:$Q$504,A184,'Demo Pipeline'!$X$5:$X$504,"Yes"))</f>
        <v/>
      </c>
      <c r="BG184" s="33" t="str">
        <f aca="false">IF(A184="","",COUNTIFS('Demo Pipeline'!$Q$5:$Q$504,A184,'Demo Pipeline'!$Y$5:$Y$504,"Closed Won"))</f>
        <v/>
      </c>
      <c r="BH184" s="37" t="str">
        <f aca="false">IF(A184="","",SUMIFS('Demo Pipeline'!$Z$5:$Z$504,'Demo Pipeline'!$Q$5:$Q$504,A184))</f>
        <v/>
      </c>
      <c r="BI184" s="34" t="str">
        <f aca="false">IF(OR(AZ184="",N(AJ184)=0),"",AZ184/AJ184)</f>
        <v/>
      </c>
      <c r="BJ184" s="34" t="str">
        <f aca="false">IF(OR(BB184="",N(AZ184)=0),"",BB184/AZ184)</f>
        <v/>
      </c>
      <c r="BK184" s="34" t="str">
        <f aca="false">IF(OR(A184="",N(BB184)=0),"",BD184/BB184)</f>
        <v/>
      </c>
      <c r="BL184" s="34" t="str">
        <f aca="false">IF(OR(A184="",N(AZ184)=0),"",BD184/AZ184)</f>
        <v/>
      </c>
      <c r="BM184" s="37" t="str">
        <f aca="false">IF(OR(N(Q184)=0,N(BD184)=0),"",Q184/BD184)</f>
        <v/>
      </c>
      <c r="BN184" s="29"/>
      <c r="BO184" s="29"/>
      <c r="BP184" s="33" t="str">
        <f aca="false">IF(OR(AR184="",N(AO184)=0),"",AR184)</f>
        <v/>
      </c>
      <c r="BQ184" s="33" t="str">
        <f aca="false">IF(OR(AR184="",N(S184)=0),"",S184)</f>
        <v/>
      </c>
      <c r="BR184" s="38" t="str">
        <f aca="false">IF(AND(ISNUMBER(B184),B184&gt;=Dashboard!$C$4,B184&lt;=Dashboard!$F$4,ISNUMBER(AU184)),AU184+ROW()/10^9,"")</f>
        <v/>
      </c>
      <c r="BS184" s="38" t="str">
        <f aca="false">IF(AND(ISNUMBER(B184),B184&gt;=Dashboard!$C$4,B184&lt;=Dashboard!$F$4,A184&lt;&gt;""),N(BD184)+N(AU184)/100+ROW()/10^9,"")</f>
        <v/>
      </c>
    </row>
    <row r="185" customFormat="false" ht="15" hidden="false" customHeight="false" outlineLevel="0" collapsed="false">
      <c r="A185" s="24" t="str">
        <f aca="false">IF(OR(B185="",G185="",H185=""),"",IFERROR(INDEX(Settings!$E$5:$E$49,MATCH(G185,Settings!$D$5:$D$49,0))&amp;INDEX(Settings!$H$5:$H$47,MATCH(H185,Settings!$G$5:$G$47,0))&amp;"-"&amp;TEXT(B185,"yymmdd")&amp;"-"&amp;IF(C185="","0000",TEXT(C185,"hhmm")),"CHECK LISTS"))</f>
        <v/>
      </c>
      <c r="B185" s="39"/>
      <c r="C185" s="40"/>
      <c r="D185" s="24" t="str">
        <f aca="false">IF(B185="","",TEXT(B185,"ddd"))</f>
        <v/>
      </c>
      <c r="E185" s="27" t="str">
        <f aca="false">IF(B185="","",B185-WEEKDAY(B185,3))</f>
        <v/>
      </c>
      <c r="F185" s="24" t="str">
        <f aca="false">IF(B185="","",TEXT(B185,"yyyy-mm"))</f>
        <v/>
      </c>
      <c r="G185" s="29"/>
      <c r="H185" s="29"/>
      <c r="I185" s="29"/>
      <c r="J185" s="29"/>
      <c r="K185" s="29"/>
      <c r="L185" s="29"/>
      <c r="M185" s="29"/>
      <c r="N185" s="29"/>
      <c r="O185" s="29"/>
      <c r="P185" s="29"/>
      <c r="Q185" s="30"/>
      <c r="R185" s="29"/>
      <c r="S185" s="32"/>
      <c r="T185" s="29"/>
      <c r="U185" s="29"/>
      <c r="V185" s="24" t="str">
        <f aca="false">IF(A185="","",IFERROR(INDEX(Settings!$F$5:$F$49,MATCH(G185,Settings!$D$5:$D$49,0)),""))</f>
        <v/>
      </c>
      <c r="W185" s="24" t="str">
        <f aca="false">IF(A185="","",IF(OR(P185="",P185="Organic"),"social","paid_social"))</f>
        <v/>
      </c>
      <c r="X185" s="24" t="str">
        <f aca="false">IF(A185="","",IF(K185&lt;&gt;"",IFERROR(INDEX('Case Studies'!$C$5:$C$54,MATCH(K185,'Case Studies'!$B$5:$B$54,0))&amp;"","case-study"),IF(J185&lt;&gt;"",IFERROR(INDEX(Settings!$J$5:$J$55,MATCH(J185,Settings!$I$5:$I$55,0)),"general"),"general")))</f>
        <v/>
      </c>
      <c r="Y185" s="24" t="str">
        <f aca="false">IF(A185="","",LOWER(A185))</f>
        <v/>
      </c>
      <c r="Z185" s="24" t="str">
        <f aca="false">IF(A185="","",IF(T185="",Settings!$B$5,T185)&amp;IF(ISNUMBER(FIND("?",IF(T185="",Settings!$B$5,T185))),"&amp;","?")&amp;"utm_source="&amp;V185&amp;"&amp;utm_medium="&amp;W185&amp;"&amp;utm_campaign="&amp;X185&amp;"&amp;utm_content="&amp;Y185)</f>
        <v/>
      </c>
      <c r="AA185" s="29"/>
      <c r="AB185" s="39"/>
      <c r="AC185" s="32"/>
      <c r="AD185" s="32"/>
      <c r="AE185" s="32"/>
      <c r="AF185" s="32"/>
      <c r="AG185" s="32"/>
      <c r="AH185" s="32"/>
      <c r="AI185" s="32"/>
      <c r="AJ185" s="32"/>
      <c r="AK185" s="32"/>
      <c r="AL185" s="32"/>
      <c r="AM185" s="32"/>
      <c r="AN185" s="32"/>
      <c r="AO185" s="33" t="str">
        <f aca="false">IF(A185="","",IF(AD185&lt;&gt;"",AD185,IF(AC185&lt;&gt;"",AC185,"")))</f>
        <v/>
      </c>
      <c r="AP185" s="24" t="str">
        <f aca="false">IF(AO185="","",IF(AD185&lt;&gt;"","Reported reach","Impressions (proxy)"))</f>
        <v/>
      </c>
      <c r="AQ185" s="34" t="str">
        <f aca="false">IF(OR(AO185="",N(S185)=0),"",AO185/S185)</f>
        <v/>
      </c>
      <c r="AR185" s="33" t="str">
        <f aca="false">IF(A185="","",IF(COUNT(AF185:AJ185)=0,"",SUM(AF185:AJ185)))</f>
        <v/>
      </c>
      <c r="AS185" s="34" t="str">
        <f aca="false">IF(OR(AR185="",N(AO185)=0),"",AR185/AO185)</f>
        <v/>
      </c>
      <c r="AT185" s="34" t="str">
        <f aca="false">IF(OR(AR185="",N(AC185)=0),"",AR185/AC185)</f>
        <v/>
      </c>
      <c r="AU185" s="34" t="str">
        <f aca="false">IF(OR(AR185="",N(S185)=0),"",AR185/S185)</f>
        <v/>
      </c>
      <c r="AV185" s="34" t="str">
        <f aca="false">IF(OR(AJ185="",N(AC185)=0),"",AJ185/AC185)</f>
        <v/>
      </c>
      <c r="AW185" s="34" t="str">
        <f aca="false">IF(OR(AH185="",N(AO185)=0),"",AH185/AO185)</f>
        <v/>
      </c>
      <c r="AX185" s="35" t="str">
        <f aca="false">IF(OR(AR185="",N(AO185)=0),"",(N(AF185)*Settings!$B$6+N(AG185)*Settings!$B$7+N(AH185)*Settings!$B$8+N(AI185)*Settings!$B$9+N(AJ185)*Settings!$B$10)/AO185*1000)</f>
        <v/>
      </c>
      <c r="AY185" s="36" t="str">
        <f aca="false">IF(AS185="","",IFERROR(AS185/AVERAGEIFS('Post Tracker'!$AS$5:$AS$1004,'Post Tracker'!$G$5:$G$1004,G185),""))</f>
        <v/>
      </c>
      <c r="AZ185" s="32"/>
      <c r="BA185" s="32"/>
      <c r="BB185" s="32"/>
      <c r="BC185" s="32"/>
      <c r="BD185" s="33" t="str">
        <f aca="false">IF(A185="","",COUNTIFS('Demo Pipeline'!$Q$5:$Q$504,A185))</f>
        <v/>
      </c>
      <c r="BE185" s="33" t="str">
        <f aca="false">IF(A185="","",COUNTIFS('Demo Pipeline'!$Q$5:$Q$504,A185,'Demo Pipeline'!$W$5:$W$504,"Attended"))</f>
        <v/>
      </c>
      <c r="BF185" s="33" t="str">
        <f aca="false">IF(A185="","",COUNTIFS('Demo Pipeline'!$Q$5:$Q$504,A185,'Demo Pipeline'!$X$5:$X$504,"Yes"))</f>
        <v/>
      </c>
      <c r="BG185" s="33" t="str">
        <f aca="false">IF(A185="","",COUNTIFS('Demo Pipeline'!$Q$5:$Q$504,A185,'Demo Pipeline'!$Y$5:$Y$504,"Closed Won"))</f>
        <v/>
      </c>
      <c r="BH185" s="37" t="str">
        <f aca="false">IF(A185="","",SUMIFS('Demo Pipeline'!$Z$5:$Z$504,'Demo Pipeline'!$Q$5:$Q$504,A185))</f>
        <v/>
      </c>
      <c r="BI185" s="34" t="str">
        <f aca="false">IF(OR(AZ185="",N(AJ185)=0),"",AZ185/AJ185)</f>
        <v/>
      </c>
      <c r="BJ185" s="34" t="str">
        <f aca="false">IF(OR(BB185="",N(AZ185)=0),"",BB185/AZ185)</f>
        <v/>
      </c>
      <c r="BK185" s="34" t="str">
        <f aca="false">IF(OR(A185="",N(BB185)=0),"",BD185/BB185)</f>
        <v/>
      </c>
      <c r="BL185" s="34" t="str">
        <f aca="false">IF(OR(A185="",N(AZ185)=0),"",BD185/AZ185)</f>
        <v/>
      </c>
      <c r="BM185" s="37" t="str">
        <f aca="false">IF(OR(N(Q185)=0,N(BD185)=0),"",Q185/BD185)</f>
        <v/>
      </c>
      <c r="BN185" s="29"/>
      <c r="BO185" s="29"/>
      <c r="BP185" s="33" t="str">
        <f aca="false">IF(OR(AR185="",N(AO185)=0),"",AR185)</f>
        <v/>
      </c>
      <c r="BQ185" s="33" t="str">
        <f aca="false">IF(OR(AR185="",N(S185)=0),"",S185)</f>
        <v/>
      </c>
      <c r="BR185" s="38" t="str">
        <f aca="false">IF(AND(ISNUMBER(B185),B185&gt;=Dashboard!$C$4,B185&lt;=Dashboard!$F$4,ISNUMBER(AU185)),AU185+ROW()/10^9,"")</f>
        <v/>
      </c>
      <c r="BS185" s="38" t="str">
        <f aca="false">IF(AND(ISNUMBER(B185),B185&gt;=Dashboard!$C$4,B185&lt;=Dashboard!$F$4,A185&lt;&gt;""),N(BD185)+N(AU185)/100+ROW()/10^9,"")</f>
        <v/>
      </c>
    </row>
    <row r="186" customFormat="false" ht="15" hidden="false" customHeight="false" outlineLevel="0" collapsed="false">
      <c r="A186" s="24" t="str">
        <f aca="false">IF(OR(B186="",G186="",H186=""),"",IFERROR(INDEX(Settings!$E$5:$E$49,MATCH(G186,Settings!$D$5:$D$49,0))&amp;INDEX(Settings!$H$5:$H$47,MATCH(H186,Settings!$G$5:$G$47,0))&amp;"-"&amp;TEXT(B186,"yymmdd")&amp;"-"&amp;IF(C186="","0000",TEXT(C186,"hhmm")),"CHECK LISTS"))</f>
        <v/>
      </c>
      <c r="B186" s="39"/>
      <c r="C186" s="40"/>
      <c r="D186" s="24" t="str">
        <f aca="false">IF(B186="","",TEXT(B186,"ddd"))</f>
        <v/>
      </c>
      <c r="E186" s="27" t="str">
        <f aca="false">IF(B186="","",B186-WEEKDAY(B186,3))</f>
        <v/>
      </c>
      <c r="F186" s="24" t="str">
        <f aca="false">IF(B186="","",TEXT(B186,"yyyy-mm"))</f>
        <v/>
      </c>
      <c r="G186" s="29"/>
      <c r="H186" s="29"/>
      <c r="I186" s="29"/>
      <c r="J186" s="29"/>
      <c r="K186" s="29"/>
      <c r="L186" s="29"/>
      <c r="M186" s="29"/>
      <c r="N186" s="29"/>
      <c r="O186" s="29"/>
      <c r="P186" s="29"/>
      <c r="Q186" s="30"/>
      <c r="R186" s="29"/>
      <c r="S186" s="32"/>
      <c r="T186" s="29"/>
      <c r="U186" s="29"/>
      <c r="V186" s="24" t="str">
        <f aca="false">IF(A186="","",IFERROR(INDEX(Settings!$F$5:$F$49,MATCH(G186,Settings!$D$5:$D$49,0)),""))</f>
        <v/>
      </c>
      <c r="W186" s="24" t="str">
        <f aca="false">IF(A186="","",IF(OR(P186="",P186="Organic"),"social","paid_social"))</f>
        <v/>
      </c>
      <c r="X186" s="24" t="str">
        <f aca="false">IF(A186="","",IF(K186&lt;&gt;"",IFERROR(INDEX('Case Studies'!$C$5:$C$54,MATCH(K186,'Case Studies'!$B$5:$B$54,0))&amp;"","case-study"),IF(J186&lt;&gt;"",IFERROR(INDEX(Settings!$J$5:$J$55,MATCH(J186,Settings!$I$5:$I$55,0)),"general"),"general")))</f>
        <v/>
      </c>
      <c r="Y186" s="24" t="str">
        <f aca="false">IF(A186="","",LOWER(A186))</f>
        <v/>
      </c>
      <c r="Z186" s="24" t="str">
        <f aca="false">IF(A186="","",IF(T186="",Settings!$B$5,T186)&amp;IF(ISNUMBER(FIND("?",IF(T186="",Settings!$B$5,T186))),"&amp;","?")&amp;"utm_source="&amp;V186&amp;"&amp;utm_medium="&amp;W186&amp;"&amp;utm_campaign="&amp;X186&amp;"&amp;utm_content="&amp;Y186)</f>
        <v/>
      </c>
      <c r="AA186" s="29"/>
      <c r="AB186" s="39"/>
      <c r="AC186" s="32"/>
      <c r="AD186" s="32"/>
      <c r="AE186" s="32"/>
      <c r="AF186" s="32"/>
      <c r="AG186" s="32"/>
      <c r="AH186" s="32"/>
      <c r="AI186" s="32"/>
      <c r="AJ186" s="32"/>
      <c r="AK186" s="32"/>
      <c r="AL186" s="32"/>
      <c r="AM186" s="32"/>
      <c r="AN186" s="32"/>
      <c r="AO186" s="33" t="str">
        <f aca="false">IF(A186="","",IF(AD186&lt;&gt;"",AD186,IF(AC186&lt;&gt;"",AC186,"")))</f>
        <v/>
      </c>
      <c r="AP186" s="24" t="str">
        <f aca="false">IF(AO186="","",IF(AD186&lt;&gt;"","Reported reach","Impressions (proxy)"))</f>
        <v/>
      </c>
      <c r="AQ186" s="34" t="str">
        <f aca="false">IF(OR(AO186="",N(S186)=0),"",AO186/S186)</f>
        <v/>
      </c>
      <c r="AR186" s="33" t="str">
        <f aca="false">IF(A186="","",IF(COUNT(AF186:AJ186)=0,"",SUM(AF186:AJ186)))</f>
        <v/>
      </c>
      <c r="AS186" s="34" t="str">
        <f aca="false">IF(OR(AR186="",N(AO186)=0),"",AR186/AO186)</f>
        <v/>
      </c>
      <c r="AT186" s="34" t="str">
        <f aca="false">IF(OR(AR186="",N(AC186)=0),"",AR186/AC186)</f>
        <v/>
      </c>
      <c r="AU186" s="34" t="str">
        <f aca="false">IF(OR(AR186="",N(S186)=0),"",AR186/S186)</f>
        <v/>
      </c>
      <c r="AV186" s="34" t="str">
        <f aca="false">IF(OR(AJ186="",N(AC186)=0),"",AJ186/AC186)</f>
        <v/>
      </c>
      <c r="AW186" s="34" t="str">
        <f aca="false">IF(OR(AH186="",N(AO186)=0),"",AH186/AO186)</f>
        <v/>
      </c>
      <c r="AX186" s="35" t="str">
        <f aca="false">IF(OR(AR186="",N(AO186)=0),"",(N(AF186)*Settings!$B$6+N(AG186)*Settings!$B$7+N(AH186)*Settings!$B$8+N(AI186)*Settings!$B$9+N(AJ186)*Settings!$B$10)/AO186*1000)</f>
        <v/>
      </c>
      <c r="AY186" s="36" t="str">
        <f aca="false">IF(AS186="","",IFERROR(AS186/AVERAGEIFS('Post Tracker'!$AS$5:$AS$1004,'Post Tracker'!$G$5:$G$1004,G186),""))</f>
        <v/>
      </c>
      <c r="AZ186" s="32"/>
      <c r="BA186" s="32"/>
      <c r="BB186" s="32"/>
      <c r="BC186" s="32"/>
      <c r="BD186" s="33" t="str">
        <f aca="false">IF(A186="","",COUNTIFS('Demo Pipeline'!$Q$5:$Q$504,A186))</f>
        <v/>
      </c>
      <c r="BE186" s="33" t="str">
        <f aca="false">IF(A186="","",COUNTIFS('Demo Pipeline'!$Q$5:$Q$504,A186,'Demo Pipeline'!$W$5:$W$504,"Attended"))</f>
        <v/>
      </c>
      <c r="BF186" s="33" t="str">
        <f aca="false">IF(A186="","",COUNTIFS('Demo Pipeline'!$Q$5:$Q$504,A186,'Demo Pipeline'!$X$5:$X$504,"Yes"))</f>
        <v/>
      </c>
      <c r="BG186" s="33" t="str">
        <f aca="false">IF(A186="","",COUNTIFS('Demo Pipeline'!$Q$5:$Q$504,A186,'Demo Pipeline'!$Y$5:$Y$504,"Closed Won"))</f>
        <v/>
      </c>
      <c r="BH186" s="37" t="str">
        <f aca="false">IF(A186="","",SUMIFS('Demo Pipeline'!$Z$5:$Z$504,'Demo Pipeline'!$Q$5:$Q$504,A186))</f>
        <v/>
      </c>
      <c r="BI186" s="34" t="str">
        <f aca="false">IF(OR(AZ186="",N(AJ186)=0),"",AZ186/AJ186)</f>
        <v/>
      </c>
      <c r="BJ186" s="34" t="str">
        <f aca="false">IF(OR(BB186="",N(AZ186)=0),"",BB186/AZ186)</f>
        <v/>
      </c>
      <c r="BK186" s="34" t="str">
        <f aca="false">IF(OR(A186="",N(BB186)=0),"",BD186/BB186)</f>
        <v/>
      </c>
      <c r="BL186" s="34" t="str">
        <f aca="false">IF(OR(A186="",N(AZ186)=0),"",BD186/AZ186)</f>
        <v/>
      </c>
      <c r="BM186" s="37" t="str">
        <f aca="false">IF(OR(N(Q186)=0,N(BD186)=0),"",Q186/BD186)</f>
        <v/>
      </c>
      <c r="BN186" s="29"/>
      <c r="BO186" s="29"/>
      <c r="BP186" s="33" t="str">
        <f aca="false">IF(OR(AR186="",N(AO186)=0),"",AR186)</f>
        <v/>
      </c>
      <c r="BQ186" s="33" t="str">
        <f aca="false">IF(OR(AR186="",N(S186)=0),"",S186)</f>
        <v/>
      </c>
      <c r="BR186" s="38" t="str">
        <f aca="false">IF(AND(ISNUMBER(B186),B186&gt;=Dashboard!$C$4,B186&lt;=Dashboard!$F$4,ISNUMBER(AU186)),AU186+ROW()/10^9,"")</f>
        <v/>
      </c>
      <c r="BS186" s="38" t="str">
        <f aca="false">IF(AND(ISNUMBER(B186),B186&gt;=Dashboard!$C$4,B186&lt;=Dashboard!$F$4,A186&lt;&gt;""),N(BD186)+N(AU186)/100+ROW()/10^9,"")</f>
        <v/>
      </c>
    </row>
    <row r="187" customFormat="false" ht="15" hidden="false" customHeight="false" outlineLevel="0" collapsed="false">
      <c r="A187" s="24" t="str">
        <f aca="false">IF(OR(B187="",G187="",H187=""),"",IFERROR(INDEX(Settings!$E$5:$E$49,MATCH(G187,Settings!$D$5:$D$49,0))&amp;INDEX(Settings!$H$5:$H$47,MATCH(H187,Settings!$G$5:$G$47,0))&amp;"-"&amp;TEXT(B187,"yymmdd")&amp;"-"&amp;IF(C187="","0000",TEXT(C187,"hhmm")),"CHECK LISTS"))</f>
        <v/>
      </c>
      <c r="B187" s="39"/>
      <c r="C187" s="40"/>
      <c r="D187" s="24" t="str">
        <f aca="false">IF(B187="","",TEXT(B187,"ddd"))</f>
        <v/>
      </c>
      <c r="E187" s="27" t="str">
        <f aca="false">IF(B187="","",B187-WEEKDAY(B187,3))</f>
        <v/>
      </c>
      <c r="F187" s="24" t="str">
        <f aca="false">IF(B187="","",TEXT(B187,"yyyy-mm"))</f>
        <v/>
      </c>
      <c r="G187" s="29"/>
      <c r="H187" s="29"/>
      <c r="I187" s="29"/>
      <c r="J187" s="29"/>
      <c r="K187" s="29"/>
      <c r="L187" s="29"/>
      <c r="M187" s="29"/>
      <c r="N187" s="29"/>
      <c r="O187" s="29"/>
      <c r="P187" s="29"/>
      <c r="Q187" s="30"/>
      <c r="R187" s="29"/>
      <c r="S187" s="32"/>
      <c r="T187" s="29"/>
      <c r="U187" s="29"/>
      <c r="V187" s="24" t="str">
        <f aca="false">IF(A187="","",IFERROR(INDEX(Settings!$F$5:$F$49,MATCH(G187,Settings!$D$5:$D$49,0)),""))</f>
        <v/>
      </c>
      <c r="W187" s="24" t="str">
        <f aca="false">IF(A187="","",IF(OR(P187="",P187="Organic"),"social","paid_social"))</f>
        <v/>
      </c>
      <c r="X187" s="24" t="str">
        <f aca="false">IF(A187="","",IF(K187&lt;&gt;"",IFERROR(INDEX('Case Studies'!$C$5:$C$54,MATCH(K187,'Case Studies'!$B$5:$B$54,0))&amp;"","case-study"),IF(J187&lt;&gt;"",IFERROR(INDEX(Settings!$J$5:$J$55,MATCH(J187,Settings!$I$5:$I$55,0)),"general"),"general")))</f>
        <v/>
      </c>
      <c r="Y187" s="24" t="str">
        <f aca="false">IF(A187="","",LOWER(A187))</f>
        <v/>
      </c>
      <c r="Z187" s="24" t="str">
        <f aca="false">IF(A187="","",IF(T187="",Settings!$B$5,T187)&amp;IF(ISNUMBER(FIND("?",IF(T187="",Settings!$B$5,T187))),"&amp;","?")&amp;"utm_source="&amp;V187&amp;"&amp;utm_medium="&amp;W187&amp;"&amp;utm_campaign="&amp;X187&amp;"&amp;utm_content="&amp;Y187)</f>
        <v/>
      </c>
      <c r="AA187" s="29"/>
      <c r="AB187" s="39"/>
      <c r="AC187" s="32"/>
      <c r="AD187" s="32"/>
      <c r="AE187" s="32"/>
      <c r="AF187" s="32"/>
      <c r="AG187" s="32"/>
      <c r="AH187" s="32"/>
      <c r="AI187" s="32"/>
      <c r="AJ187" s="32"/>
      <c r="AK187" s="32"/>
      <c r="AL187" s="32"/>
      <c r="AM187" s="32"/>
      <c r="AN187" s="32"/>
      <c r="AO187" s="33" t="str">
        <f aca="false">IF(A187="","",IF(AD187&lt;&gt;"",AD187,IF(AC187&lt;&gt;"",AC187,"")))</f>
        <v/>
      </c>
      <c r="AP187" s="24" t="str">
        <f aca="false">IF(AO187="","",IF(AD187&lt;&gt;"","Reported reach","Impressions (proxy)"))</f>
        <v/>
      </c>
      <c r="AQ187" s="34" t="str">
        <f aca="false">IF(OR(AO187="",N(S187)=0),"",AO187/S187)</f>
        <v/>
      </c>
      <c r="AR187" s="33" t="str">
        <f aca="false">IF(A187="","",IF(COUNT(AF187:AJ187)=0,"",SUM(AF187:AJ187)))</f>
        <v/>
      </c>
      <c r="AS187" s="34" t="str">
        <f aca="false">IF(OR(AR187="",N(AO187)=0),"",AR187/AO187)</f>
        <v/>
      </c>
      <c r="AT187" s="34" t="str">
        <f aca="false">IF(OR(AR187="",N(AC187)=0),"",AR187/AC187)</f>
        <v/>
      </c>
      <c r="AU187" s="34" t="str">
        <f aca="false">IF(OR(AR187="",N(S187)=0),"",AR187/S187)</f>
        <v/>
      </c>
      <c r="AV187" s="34" t="str">
        <f aca="false">IF(OR(AJ187="",N(AC187)=0),"",AJ187/AC187)</f>
        <v/>
      </c>
      <c r="AW187" s="34" t="str">
        <f aca="false">IF(OR(AH187="",N(AO187)=0),"",AH187/AO187)</f>
        <v/>
      </c>
      <c r="AX187" s="35" t="str">
        <f aca="false">IF(OR(AR187="",N(AO187)=0),"",(N(AF187)*Settings!$B$6+N(AG187)*Settings!$B$7+N(AH187)*Settings!$B$8+N(AI187)*Settings!$B$9+N(AJ187)*Settings!$B$10)/AO187*1000)</f>
        <v/>
      </c>
      <c r="AY187" s="36" t="str">
        <f aca="false">IF(AS187="","",IFERROR(AS187/AVERAGEIFS('Post Tracker'!$AS$5:$AS$1004,'Post Tracker'!$G$5:$G$1004,G187),""))</f>
        <v/>
      </c>
      <c r="AZ187" s="32"/>
      <c r="BA187" s="32"/>
      <c r="BB187" s="32"/>
      <c r="BC187" s="32"/>
      <c r="BD187" s="33" t="str">
        <f aca="false">IF(A187="","",COUNTIFS('Demo Pipeline'!$Q$5:$Q$504,A187))</f>
        <v/>
      </c>
      <c r="BE187" s="33" t="str">
        <f aca="false">IF(A187="","",COUNTIFS('Demo Pipeline'!$Q$5:$Q$504,A187,'Demo Pipeline'!$W$5:$W$504,"Attended"))</f>
        <v/>
      </c>
      <c r="BF187" s="33" t="str">
        <f aca="false">IF(A187="","",COUNTIFS('Demo Pipeline'!$Q$5:$Q$504,A187,'Demo Pipeline'!$X$5:$X$504,"Yes"))</f>
        <v/>
      </c>
      <c r="BG187" s="33" t="str">
        <f aca="false">IF(A187="","",COUNTIFS('Demo Pipeline'!$Q$5:$Q$504,A187,'Demo Pipeline'!$Y$5:$Y$504,"Closed Won"))</f>
        <v/>
      </c>
      <c r="BH187" s="37" t="str">
        <f aca="false">IF(A187="","",SUMIFS('Demo Pipeline'!$Z$5:$Z$504,'Demo Pipeline'!$Q$5:$Q$504,A187))</f>
        <v/>
      </c>
      <c r="BI187" s="34" t="str">
        <f aca="false">IF(OR(AZ187="",N(AJ187)=0),"",AZ187/AJ187)</f>
        <v/>
      </c>
      <c r="BJ187" s="34" t="str">
        <f aca="false">IF(OR(BB187="",N(AZ187)=0),"",BB187/AZ187)</f>
        <v/>
      </c>
      <c r="BK187" s="34" t="str">
        <f aca="false">IF(OR(A187="",N(BB187)=0),"",BD187/BB187)</f>
        <v/>
      </c>
      <c r="BL187" s="34" t="str">
        <f aca="false">IF(OR(A187="",N(AZ187)=0),"",BD187/AZ187)</f>
        <v/>
      </c>
      <c r="BM187" s="37" t="str">
        <f aca="false">IF(OR(N(Q187)=0,N(BD187)=0),"",Q187/BD187)</f>
        <v/>
      </c>
      <c r="BN187" s="29"/>
      <c r="BO187" s="29"/>
      <c r="BP187" s="33" t="str">
        <f aca="false">IF(OR(AR187="",N(AO187)=0),"",AR187)</f>
        <v/>
      </c>
      <c r="BQ187" s="33" t="str">
        <f aca="false">IF(OR(AR187="",N(S187)=0),"",S187)</f>
        <v/>
      </c>
      <c r="BR187" s="38" t="str">
        <f aca="false">IF(AND(ISNUMBER(B187),B187&gt;=Dashboard!$C$4,B187&lt;=Dashboard!$F$4,ISNUMBER(AU187)),AU187+ROW()/10^9,"")</f>
        <v/>
      </c>
      <c r="BS187" s="38" t="str">
        <f aca="false">IF(AND(ISNUMBER(B187),B187&gt;=Dashboard!$C$4,B187&lt;=Dashboard!$F$4,A187&lt;&gt;""),N(BD187)+N(AU187)/100+ROW()/10^9,"")</f>
        <v/>
      </c>
    </row>
    <row r="188" customFormat="false" ht="15" hidden="false" customHeight="false" outlineLevel="0" collapsed="false">
      <c r="A188" s="24" t="str">
        <f aca="false">IF(OR(B188="",G188="",H188=""),"",IFERROR(INDEX(Settings!$E$5:$E$49,MATCH(G188,Settings!$D$5:$D$49,0))&amp;INDEX(Settings!$H$5:$H$47,MATCH(H188,Settings!$G$5:$G$47,0))&amp;"-"&amp;TEXT(B188,"yymmdd")&amp;"-"&amp;IF(C188="","0000",TEXT(C188,"hhmm")),"CHECK LISTS"))</f>
        <v/>
      </c>
      <c r="B188" s="39"/>
      <c r="C188" s="40"/>
      <c r="D188" s="24" t="str">
        <f aca="false">IF(B188="","",TEXT(B188,"ddd"))</f>
        <v/>
      </c>
      <c r="E188" s="27" t="str">
        <f aca="false">IF(B188="","",B188-WEEKDAY(B188,3))</f>
        <v/>
      </c>
      <c r="F188" s="24" t="str">
        <f aca="false">IF(B188="","",TEXT(B188,"yyyy-mm"))</f>
        <v/>
      </c>
      <c r="G188" s="29"/>
      <c r="H188" s="29"/>
      <c r="I188" s="29"/>
      <c r="J188" s="29"/>
      <c r="K188" s="29"/>
      <c r="L188" s="29"/>
      <c r="M188" s="29"/>
      <c r="N188" s="29"/>
      <c r="O188" s="29"/>
      <c r="P188" s="29"/>
      <c r="Q188" s="30"/>
      <c r="R188" s="29"/>
      <c r="S188" s="32"/>
      <c r="T188" s="29"/>
      <c r="U188" s="29"/>
      <c r="V188" s="24" t="str">
        <f aca="false">IF(A188="","",IFERROR(INDEX(Settings!$F$5:$F$49,MATCH(G188,Settings!$D$5:$D$49,0)),""))</f>
        <v/>
      </c>
      <c r="W188" s="24" t="str">
        <f aca="false">IF(A188="","",IF(OR(P188="",P188="Organic"),"social","paid_social"))</f>
        <v/>
      </c>
      <c r="X188" s="24" t="str">
        <f aca="false">IF(A188="","",IF(K188&lt;&gt;"",IFERROR(INDEX('Case Studies'!$C$5:$C$54,MATCH(K188,'Case Studies'!$B$5:$B$54,0))&amp;"","case-study"),IF(J188&lt;&gt;"",IFERROR(INDEX(Settings!$J$5:$J$55,MATCH(J188,Settings!$I$5:$I$55,0)),"general"),"general")))</f>
        <v/>
      </c>
      <c r="Y188" s="24" t="str">
        <f aca="false">IF(A188="","",LOWER(A188))</f>
        <v/>
      </c>
      <c r="Z188" s="24" t="str">
        <f aca="false">IF(A188="","",IF(T188="",Settings!$B$5,T188)&amp;IF(ISNUMBER(FIND("?",IF(T188="",Settings!$B$5,T188))),"&amp;","?")&amp;"utm_source="&amp;V188&amp;"&amp;utm_medium="&amp;W188&amp;"&amp;utm_campaign="&amp;X188&amp;"&amp;utm_content="&amp;Y188)</f>
        <v/>
      </c>
      <c r="AA188" s="29"/>
      <c r="AB188" s="39"/>
      <c r="AC188" s="32"/>
      <c r="AD188" s="32"/>
      <c r="AE188" s="32"/>
      <c r="AF188" s="32"/>
      <c r="AG188" s="32"/>
      <c r="AH188" s="32"/>
      <c r="AI188" s="32"/>
      <c r="AJ188" s="32"/>
      <c r="AK188" s="32"/>
      <c r="AL188" s="32"/>
      <c r="AM188" s="32"/>
      <c r="AN188" s="32"/>
      <c r="AO188" s="33" t="str">
        <f aca="false">IF(A188="","",IF(AD188&lt;&gt;"",AD188,IF(AC188&lt;&gt;"",AC188,"")))</f>
        <v/>
      </c>
      <c r="AP188" s="24" t="str">
        <f aca="false">IF(AO188="","",IF(AD188&lt;&gt;"","Reported reach","Impressions (proxy)"))</f>
        <v/>
      </c>
      <c r="AQ188" s="34" t="str">
        <f aca="false">IF(OR(AO188="",N(S188)=0),"",AO188/S188)</f>
        <v/>
      </c>
      <c r="AR188" s="33" t="str">
        <f aca="false">IF(A188="","",IF(COUNT(AF188:AJ188)=0,"",SUM(AF188:AJ188)))</f>
        <v/>
      </c>
      <c r="AS188" s="34" t="str">
        <f aca="false">IF(OR(AR188="",N(AO188)=0),"",AR188/AO188)</f>
        <v/>
      </c>
      <c r="AT188" s="34" t="str">
        <f aca="false">IF(OR(AR188="",N(AC188)=0),"",AR188/AC188)</f>
        <v/>
      </c>
      <c r="AU188" s="34" t="str">
        <f aca="false">IF(OR(AR188="",N(S188)=0),"",AR188/S188)</f>
        <v/>
      </c>
      <c r="AV188" s="34" t="str">
        <f aca="false">IF(OR(AJ188="",N(AC188)=0),"",AJ188/AC188)</f>
        <v/>
      </c>
      <c r="AW188" s="34" t="str">
        <f aca="false">IF(OR(AH188="",N(AO188)=0),"",AH188/AO188)</f>
        <v/>
      </c>
      <c r="AX188" s="35" t="str">
        <f aca="false">IF(OR(AR188="",N(AO188)=0),"",(N(AF188)*Settings!$B$6+N(AG188)*Settings!$B$7+N(AH188)*Settings!$B$8+N(AI188)*Settings!$B$9+N(AJ188)*Settings!$B$10)/AO188*1000)</f>
        <v/>
      </c>
      <c r="AY188" s="36" t="str">
        <f aca="false">IF(AS188="","",IFERROR(AS188/AVERAGEIFS('Post Tracker'!$AS$5:$AS$1004,'Post Tracker'!$G$5:$G$1004,G188),""))</f>
        <v/>
      </c>
      <c r="AZ188" s="32"/>
      <c r="BA188" s="32"/>
      <c r="BB188" s="32"/>
      <c r="BC188" s="32"/>
      <c r="BD188" s="33" t="str">
        <f aca="false">IF(A188="","",COUNTIFS('Demo Pipeline'!$Q$5:$Q$504,A188))</f>
        <v/>
      </c>
      <c r="BE188" s="33" t="str">
        <f aca="false">IF(A188="","",COUNTIFS('Demo Pipeline'!$Q$5:$Q$504,A188,'Demo Pipeline'!$W$5:$W$504,"Attended"))</f>
        <v/>
      </c>
      <c r="BF188" s="33" t="str">
        <f aca="false">IF(A188="","",COUNTIFS('Demo Pipeline'!$Q$5:$Q$504,A188,'Demo Pipeline'!$X$5:$X$504,"Yes"))</f>
        <v/>
      </c>
      <c r="BG188" s="33" t="str">
        <f aca="false">IF(A188="","",COUNTIFS('Demo Pipeline'!$Q$5:$Q$504,A188,'Demo Pipeline'!$Y$5:$Y$504,"Closed Won"))</f>
        <v/>
      </c>
      <c r="BH188" s="37" t="str">
        <f aca="false">IF(A188="","",SUMIFS('Demo Pipeline'!$Z$5:$Z$504,'Demo Pipeline'!$Q$5:$Q$504,A188))</f>
        <v/>
      </c>
      <c r="BI188" s="34" t="str">
        <f aca="false">IF(OR(AZ188="",N(AJ188)=0),"",AZ188/AJ188)</f>
        <v/>
      </c>
      <c r="BJ188" s="34" t="str">
        <f aca="false">IF(OR(BB188="",N(AZ188)=0),"",BB188/AZ188)</f>
        <v/>
      </c>
      <c r="BK188" s="34" t="str">
        <f aca="false">IF(OR(A188="",N(BB188)=0),"",BD188/BB188)</f>
        <v/>
      </c>
      <c r="BL188" s="34" t="str">
        <f aca="false">IF(OR(A188="",N(AZ188)=0),"",BD188/AZ188)</f>
        <v/>
      </c>
      <c r="BM188" s="37" t="str">
        <f aca="false">IF(OR(N(Q188)=0,N(BD188)=0),"",Q188/BD188)</f>
        <v/>
      </c>
      <c r="BN188" s="29"/>
      <c r="BO188" s="29"/>
      <c r="BP188" s="33" t="str">
        <f aca="false">IF(OR(AR188="",N(AO188)=0),"",AR188)</f>
        <v/>
      </c>
      <c r="BQ188" s="33" t="str">
        <f aca="false">IF(OR(AR188="",N(S188)=0),"",S188)</f>
        <v/>
      </c>
      <c r="BR188" s="38" t="str">
        <f aca="false">IF(AND(ISNUMBER(B188),B188&gt;=Dashboard!$C$4,B188&lt;=Dashboard!$F$4,ISNUMBER(AU188)),AU188+ROW()/10^9,"")</f>
        <v/>
      </c>
      <c r="BS188" s="38" t="str">
        <f aca="false">IF(AND(ISNUMBER(B188),B188&gt;=Dashboard!$C$4,B188&lt;=Dashboard!$F$4,A188&lt;&gt;""),N(BD188)+N(AU188)/100+ROW()/10^9,"")</f>
        <v/>
      </c>
    </row>
    <row r="189" customFormat="false" ht="15" hidden="false" customHeight="false" outlineLevel="0" collapsed="false">
      <c r="A189" s="24" t="str">
        <f aca="false">IF(OR(B189="",G189="",H189=""),"",IFERROR(INDEX(Settings!$E$5:$E$49,MATCH(G189,Settings!$D$5:$D$49,0))&amp;INDEX(Settings!$H$5:$H$47,MATCH(H189,Settings!$G$5:$G$47,0))&amp;"-"&amp;TEXT(B189,"yymmdd")&amp;"-"&amp;IF(C189="","0000",TEXT(C189,"hhmm")),"CHECK LISTS"))</f>
        <v/>
      </c>
      <c r="B189" s="39"/>
      <c r="C189" s="40"/>
      <c r="D189" s="24" t="str">
        <f aca="false">IF(B189="","",TEXT(B189,"ddd"))</f>
        <v/>
      </c>
      <c r="E189" s="27" t="str">
        <f aca="false">IF(B189="","",B189-WEEKDAY(B189,3))</f>
        <v/>
      </c>
      <c r="F189" s="24" t="str">
        <f aca="false">IF(B189="","",TEXT(B189,"yyyy-mm"))</f>
        <v/>
      </c>
      <c r="G189" s="29"/>
      <c r="H189" s="29"/>
      <c r="I189" s="29"/>
      <c r="J189" s="29"/>
      <c r="K189" s="29"/>
      <c r="L189" s="29"/>
      <c r="M189" s="29"/>
      <c r="N189" s="29"/>
      <c r="O189" s="29"/>
      <c r="P189" s="29"/>
      <c r="Q189" s="30"/>
      <c r="R189" s="29"/>
      <c r="S189" s="32"/>
      <c r="T189" s="29"/>
      <c r="U189" s="29"/>
      <c r="V189" s="24" t="str">
        <f aca="false">IF(A189="","",IFERROR(INDEX(Settings!$F$5:$F$49,MATCH(G189,Settings!$D$5:$D$49,0)),""))</f>
        <v/>
      </c>
      <c r="W189" s="24" t="str">
        <f aca="false">IF(A189="","",IF(OR(P189="",P189="Organic"),"social","paid_social"))</f>
        <v/>
      </c>
      <c r="X189" s="24" t="str">
        <f aca="false">IF(A189="","",IF(K189&lt;&gt;"",IFERROR(INDEX('Case Studies'!$C$5:$C$54,MATCH(K189,'Case Studies'!$B$5:$B$54,0))&amp;"","case-study"),IF(J189&lt;&gt;"",IFERROR(INDEX(Settings!$J$5:$J$55,MATCH(J189,Settings!$I$5:$I$55,0)),"general"),"general")))</f>
        <v/>
      </c>
      <c r="Y189" s="24" t="str">
        <f aca="false">IF(A189="","",LOWER(A189))</f>
        <v/>
      </c>
      <c r="Z189" s="24" t="str">
        <f aca="false">IF(A189="","",IF(T189="",Settings!$B$5,T189)&amp;IF(ISNUMBER(FIND("?",IF(T189="",Settings!$B$5,T189))),"&amp;","?")&amp;"utm_source="&amp;V189&amp;"&amp;utm_medium="&amp;W189&amp;"&amp;utm_campaign="&amp;X189&amp;"&amp;utm_content="&amp;Y189)</f>
        <v/>
      </c>
      <c r="AA189" s="29"/>
      <c r="AB189" s="39"/>
      <c r="AC189" s="32"/>
      <c r="AD189" s="32"/>
      <c r="AE189" s="32"/>
      <c r="AF189" s="32"/>
      <c r="AG189" s="32"/>
      <c r="AH189" s="32"/>
      <c r="AI189" s="32"/>
      <c r="AJ189" s="32"/>
      <c r="AK189" s="32"/>
      <c r="AL189" s="32"/>
      <c r="AM189" s="32"/>
      <c r="AN189" s="32"/>
      <c r="AO189" s="33" t="str">
        <f aca="false">IF(A189="","",IF(AD189&lt;&gt;"",AD189,IF(AC189&lt;&gt;"",AC189,"")))</f>
        <v/>
      </c>
      <c r="AP189" s="24" t="str">
        <f aca="false">IF(AO189="","",IF(AD189&lt;&gt;"","Reported reach","Impressions (proxy)"))</f>
        <v/>
      </c>
      <c r="AQ189" s="34" t="str">
        <f aca="false">IF(OR(AO189="",N(S189)=0),"",AO189/S189)</f>
        <v/>
      </c>
      <c r="AR189" s="33" t="str">
        <f aca="false">IF(A189="","",IF(COUNT(AF189:AJ189)=0,"",SUM(AF189:AJ189)))</f>
        <v/>
      </c>
      <c r="AS189" s="34" t="str">
        <f aca="false">IF(OR(AR189="",N(AO189)=0),"",AR189/AO189)</f>
        <v/>
      </c>
      <c r="AT189" s="34" t="str">
        <f aca="false">IF(OR(AR189="",N(AC189)=0),"",AR189/AC189)</f>
        <v/>
      </c>
      <c r="AU189" s="34" t="str">
        <f aca="false">IF(OR(AR189="",N(S189)=0),"",AR189/S189)</f>
        <v/>
      </c>
      <c r="AV189" s="34" t="str">
        <f aca="false">IF(OR(AJ189="",N(AC189)=0),"",AJ189/AC189)</f>
        <v/>
      </c>
      <c r="AW189" s="34" t="str">
        <f aca="false">IF(OR(AH189="",N(AO189)=0),"",AH189/AO189)</f>
        <v/>
      </c>
      <c r="AX189" s="35" t="str">
        <f aca="false">IF(OR(AR189="",N(AO189)=0),"",(N(AF189)*Settings!$B$6+N(AG189)*Settings!$B$7+N(AH189)*Settings!$B$8+N(AI189)*Settings!$B$9+N(AJ189)*Settings!$B$10)/AO189*1000)</f>
        <v/>
      </c>
      <c r="AY189" s="36" t="str">
        <f aca="false">IF(AS189="","",IFERROR(AS189/AVERAGEIFS('Post Tracker'!$AS$5:$AS$1004,'Post Tracker'!$G$5:$G$1004,G189),""))</f>
        <v/>
      </c>
      <c r="AZ189" s="32"/>
      <c r="BA189" s="32"/>
      <c r="BB189" s="32"/>
      <c r="BC189" s="32"/>
      <c r="BD189" s="33" t="str">
        <f aca="false">IF(A189="","",COUNTIFS('Demo Pipeline'!$Q$5:$Q$504,A189))</f>
        <v/>
      </c>
      <c r="BE189" s="33" t="str">
        <f aca="false">IF(A189="","",COUNTIFS('Demo Pipeline'!$Q$5:$Q$504,A189,'Demo Pipeline'!$W$5:$W$504,"Attended"))</f>
        <v/>
      </c>
      <c r="BF189" s="33" t="str">
        <f aca="false">IF(A189="","",COUNTIFS('Demo Pipeline'!$Q$5:$Q$504,A189,'Demo Pipeline'!$X$5:$X$504,"Yes"))</f>
        <v/>
      </c>
      <c r="BG189" s="33" t="str">
        <f aca="false">IF(A189="","",COUNTIFS('Demo Pipeline'!$Q$5:$Q$504,A189,'Demo Pipeline'!$Y$5:$Y$504,"Closed Won"))</f>
        <v/>
      </c>
      <c r="BH189" s="37" t="str">
        <f aca="false">IF(A189="","",SUMIFS('Demo Pipeline'!$Z$5:$Z$504,'Demo Pipeline'!$Q$5:$Q$504,A189))</f>
        <v/>
      </c>
      <c r="BI189" s="34" t="str">
        <f aca="false">IF(OR(AZ189="",N(AJ189)=0),"",AZ189/AJ189)</f>
        <v/>
      </c>
      <c r="BJ189" s="34" t="str">
        <f aca="false">IF(OR(BB189="",N(AZ189)=0),"",BB189/AZ189)</f>
        <v/>
      </c>
      <c r="BK189" s="34" t="str">
        <f aca="false">IF(OR(A189="",N(BB189)=0),"",BD189/BB189)</f>
        <v/>
      </c>
      <c r="BL189" s="34" t="str">
        <f aca="false">IF(OR(A189="",N(AZ189)=0),"",BD189/AZ189)</f>
        <v/>
      </c>
      <c r="BM189" s="37" t="str">
        <f aca="false">IF(OR(N(Q189)=0,N(BD189)=0),"",Q189/BD189)</f>
        <v/>
      </c>
      <c r="BN189" s="29"/>
      <c r="BO189" s="29"/>
      <c r="BP189" s="33" t="str">
        <f aca="false">IF(OR(AR189="",N(AO189)=0),"",AR189)</f>
        <v/>
      </c>
      <c r="BQ189" s="33" t="str">
        <f aca="false">IF(OR(AR189="",N(S189)=0),"",S189)</f>
        <v/>
      </c>
      <c r="BR189" s="38" t="str">
        <f aca="false">IF(AND(ISNUMBER(B189),B189&gt;=Dashboard!$C$4,B189&lt;=Dashboard!$F$4,ISNUMBER(AU189)),AU189+ROW()/10^9,"")</f>
        <v/>
      </c>
      <c r="BS189" s="38" t="str">
        <f aca="false">IF(AND(ISNUMBER(B189),B189&gt;=Dashboard!$C$4,B189&lt;=Dashboard!$F$4,A189&lt;&gt;""),N(BD189)+N(AU189)/100+ROW()/10^9,"")</f>
        <v/>
      </c>
    </row>
    <row r="190" customFormat="false" ht="15" hidden="false" customHeight="false" outlineLevel="0" collapsed="false">
      <c r="A190" s="24" t="str">
        <f aca="false">IF(OR(B190="",G190="",H190=""),"",IFERROR(INDEX(Settings!$E$5:$E$49,MATCH(G190,Settings!$D$5:$D$49,0))&amp;INDEX(Settings!$H$5:$H$47,MATCH(H190,Settings!$G$5:$G$47,0))&amp;"-"&amp;TEXT(B190,"yymmdd")&amp;"-"&amp;IF(C190="","0000",TEXT(C190,"hhmm")),"CHECK LISTS"))</f>
        <v/>
      </c>
      <c r="B190" s="39"/>
      <c r="C190" s="40"/>
      <c r="D190" s="24" t="str">
        <f aca="false">IF(B190="","",TEXT(B190,"ddd"))</f>
        <v/>
      </c>
      <c r="E190" s="27" t="str">
        <f aca="false">IF(B190="","",B190-WEEKDAY(B190,3))</f>
        <v/>
      </c>
      <c r="F190" s="24" t="str">
        <f aca="false">IF(B190="","",TEXT(B190,"yyyy-mm"))</f>
        <v/>
      </c>
      <c r="G190" s="29"/>
      <c r="H190" s="29"/>
      <c r="I190" s="29"/>
      <c r="J190" s="29"/>
      <c r="K190" s="29"/>
      <c r="L190" s="29"/>
      <c r="M190" s="29"/>
      <c r="N190" s="29"/>
      <c r="O190" s="29"/>
      <c r="P190" s="29"/>
      <c r="Q190" s="30"/>
      <c r="R190" s="29"/>
      <c r="S190" s="32"/>
      <c r="T190" s="29"/>
      <c r="U190" s="29"/>
      <c r="V190" s="24" t="str">
        <f aca="false">IF(A190="","",IFERROR(INDEX(Settings!$F$5:$F$49,MATCH(G190,Settings!$D$5:$D$49,0)),""))</f>
        <v/>
      </c>
      <c r="W190" s="24" t="str">
        <f aca="false">IF(A190="","",IF(OR(P190="",P190="Organic"),"social","paid_social"))</f>
        <v/>
      </c>
      <c r="X190" s="24" t="str">
        <f aca="false">IF(A190="","",IF(K190&lt;&gt;"",IFERROR(INDEX('Case Studies'!$C$5:$C$54,MATCH(K190,'Case Studies'!$B$5:$B$54,0))&amp;"","case-study"),IF(J190&lt;&gt;"",IFERROR(INDEX(Settings!$J$5:$J$55,MATCH(J190,Settings!$I$5:$I$55,0)),"general"),"general")))</f>
        <v/>
      </c>
      <c r="Y190" s="24" t="str">
        <f aca="false">IF(A190="","",LOWER(A190))</f>
        <v/>
      </c>
      <c r="Z190" s="24" t="str">
        <f aca="false">IF(A190="","",IF(T190="",Settings!$B$5,T190)&amp;IF(ISNUMBER(FIND("?",IF(T190="",Settings!$B$5,T190))),"&amp;","?")&amp;"utm_source="&amp;V190&amp;"&amp;utm_medium="&amp;W190&amp;"&amp;utm_campaign="&amp;X190&amp;"&amp;utm_content="&amp;Y190)</f>
        <v/>
      </c>
      <c r="AA190" s="29"/>
      <c r="AB190" s="39"/>
      <c r="AC190" s="32"/>
      <c r="AD190" s="32"/>
      <c r="AE190" s="32"/>
      <c r="AF190" s="32"/>
      <c r="AG190" s="32"/>
      <c r="AH190" s="32"/>
      <c r="AI190" s="32"/>
      <c r="AJ190" s="32"/>
      <c r="AK190" s="32"/>
      <c r="AL190" s="32"/>
      <c r="AM190" s="32"/>
      <c r="AN190" s="32"/>
      <c r="AO190" s="33" t="str">
        <f aca="false">IF(A190="","",IF(AD190&lt;&gt;"",AD190,IF(AC190&lt;&gt;"",AC190,"")))</f>
        <v/>
      </c>
      <c r="AP190" s="24" t="str">
        <f aca="false">IF(AO190="","",IF(AD190&lt;&gt;"","Reported reach","Impressions (proxy)"))</f>
        <v/>
      </c>
      <c r="AQ190" s="34" t="str">
        <f aca="false">IF(OR(AO190="",N(S190)=0),"",AO190/S190)</f>
        <v/>
      </c>
      <c r="AR190" s="33" t="str">
        <f aca="false">IF(A190="","",IF(COUNT(AF190:AJ190)=0,"",SUM(AF190:AJ190)))</f>
        <v/>
      </c>
      <c r="AS190" s="34" t="str">
        <f aca="false">IF(OR(AR190="",N(AO190)=0),"",AR190/AO190)</f>
        <v/>
      </c>
      <c r="AT190" s="34" t="str">
        <f aca="false">IF(OR(AR190="",N(AC190)=0),"",AR190/AC190)</f>
        <v/>
      </c>
      <c r="AU190" s="34" t="str">
        <f aca="false">IF(OR(AR190="",N(S190)=0),"",AR190/S190)</f>
        <v/>
      </c>
      <c r="AV190" s="34" t="str">
        <f aca="false">IF(OR(AJ190="",N(AC190)=0),"",AJ190/AC190)</f>
        <v/>
      </c>
      <c r="AW190" s="34" t="str">
        <f aca="false">IF(OR(AH190="",N(AO190)=0),"",AH190/AO190)</f>
        <v/>
      </c>
      <c r="AX190" s="35" t="str">
        <f aca="false">IF(OR(AR190="",N(AO190)=0),"",(N(AF190)*Settings!$B$6+N(AG190)*Settings!$B$7+N(AH190)*Settings!$B$8+N(AI190)*Settings!$B$9+N(AJ190)*Settings!$B$10)/AO190*1000)</f>
        <v/>
      </c>
      <c r="AY190" s="36" t="str">
        <f aca="false">IF(AS190="","",IFERROR(AS190/AVERAGEIFS('Post Tracker'!$AS$5:$AS$1004,'Post Tracker'!$G$5:$G$1004,G190),""))</f>
        <v/>
      </c>
      <c r="AZ190" s="32"/>
      <c r="BA190" s="32"/>
      <c r="BB190" s="32"/>
      <c r="BC190" s="32"/>
      <c r="BD190" s="33" t="str">
        <f aca="false">IF(A190="","",COUNTIFS('Demo Pipeline'!$Q$5:$Q$504,A190))</f>
        <v/>
      </c>
      <c r="BE190" s="33" t="str">
        <f aca="false">IF(A190="","",COUNTIFS('Demo Pipeline'!$Q$5:$Q$504,A190,'Demo Pipeline'!$W$5:$W$504,"Attended"))</f>
        <v/>
      </c>
      <c r="BF190" s="33" t="str">
        <f aca="false">IF(A190="","",COUNTIFS('Demo Pipeline'!$Q$5:$Q$504,A190,'Demo Pipeline'!$X$5:$X$504,"Yes"))</f>
        <v/>
      </c>
      <c r="BG190" s="33" t="str">
        <f aca="false">IF(A190="","",COUNTIFS('Demo Pipeline'!$Q$5:$Q$504,A190,'Demo Pipeline'!$Y$5:$Y$504,"Closed Won"))</f>
        <v/>
      </c>
      <c r="BH190" s="37" t="str">
        <f aca="false">IF(A190="","",SUMIFS('Demo Pipeline'!$Z$5:$Z$504,'Demo Pipeline'!$Q$5:$Q$504,A190))</f>
        <v/>
      </c>
      <c r="BI190" s="34" t="str">
        <f aca="false">IF(OR(AZ190="",N(AJ190)=0),"",AZ190/AJ190)</f>
        <v/>
      </c>
      <c r="BJ190" s="34" t="str">
        <f aca="false">IF(OR(BB190="",N(AZ190)=0),"",BB190/AZ190)</f>
        <v/>
      </c>
      <c r="BK190" s="34" t="str">
        <f aca="false">IF(OR(A190="",N(BB190)=0),"",BD190/BB190)</f>
        <v/>
      </c>
      <c r="BL190" s="34" t="str">
        <f aca="false">IF(OR(A190="",N(AZ190)=0),"",BD190/AZ190)</f>
        <v/>
      </c>
      <c r="BM190" s="37" t="str">
        <f aca="false">IF(OR(N(Q190)=0,N(BD190)=0),"",Q190/BD190)</f>
        <v/>
      </c>
      <c r="BN190" s="29"/>
      <c r="BO190" s="29"/>
      <c r="BP190" s="33" t="str">
        <f aca="false">IF(OR(AR190="",N(AO190)=0),"",AR190)</f>
        <v/>
      </c>
      <c r="BQ190" s="33" t="str">
        <f aca="false">IF(OR(AR190="",N(S190)=0),"",S190)</f>
        <v/>
      </c>
      <c r="BR190" s="38" t="str">
        <f aca="false">IF(AND(ISNUMBER(B190),B190&gt;=Dashboard!$C$4,B190&lt;=Dashboard!$F$4,ISNUMBER(AU190)),AU190+ROW()/10^9,"")</f>
        <v/>
      </c>
      <c r="BS190" s="38" t="str">
        <f aca="false">IF(AND(ISNUMBER(B190),B190&gt;=Dashboard!$C$4,B190&lt;=Dashboard!$F$4,A190&lt;&gt;""),N(BD190)+N(AU190)/100+ROW()/10^9,"")</f>
        <v/>
      </c>
    </row>
    <row r="191" customFormat="false" ht="15" hidden="false" customHeight="false" outlineLevel="0" collapsed="false">
      <c r="A191" s="24" t="str">
        <f aca="false">IF(OR(B191="",G191="",H191=""),"",IFERROR(INDEX(Settings!$E$5:$E$49,MATCH(G191,Settings!$D$5:$D$49,0))&amp;INDEX(Settings!$H$5:$H$47,MATCH(H191,Settings!$G$5:$G$47,0))&amp;"-"&amp;TEXT(B191,"yymmdd")&amp;"-"&amp;IF(C191="","0000",TEXT(C191,"hhmm")),"CHECK LISTS"))</f>
        <v/>
      </c>
      <c r="B191" s="39"/>
      <c r="C191" s="40"/>
      <c r="D191" s="24" t="str">
        <f aca="false">IF(B191="","",TEXT(B191,"ddd"))</f>
        <v/>
      </c>
      <c r="E191" s="27" t="str">
        <f aca="false">IF(B191="","",B191-WEEKDAY(B191,3))</f>
        <v/>
      </c>
      <c r="F191" s="24" t="str">
        <f aca="false">IF(B191="","",TEXT(B191,"yyyy-mm"))</f>
        <v/>
      </c>
      <c r="G191" s="29"/>
      <c r="H191" s="29"/>
      <c r="I191" s="29"/>
      <c r="J191" s="29"/>
      <c r="K191" s="29"/>
      <c r="L191" s="29"/>
      <c r="M191" s="29"/>
      <c r="N191" s="29"/>
      <c r="O191" s="29"/>
      <c r="P191" s="29"/>
      <c r="Q191" s="30"/>
      <c r="R191" s="29"/>
      <c r="S191" s="32"/>
      <c r="T191" s="29"/>
      <c r="U191" s="29"/>
      <c r="V191" s="24" t="str">
        <f aca="false">IF(A191="","",IFERROR(INDEX(Settings!$F$5:$F$49,MATCH(G191,Settings!$D$5:$D$49,0)),""))</f>
        <v/>
      </c>
      <c r="W191" s="24" t="str">
        <f aca="false">IF(A191="","",IF(OR(P191="",P191="Organic"),"social","paid_social"))</f>
        <v/>
      </c>
      <c r="X191" s="24" t="str">
        <f aca="false">IF(A191="","",IF(K191&lt;&gt;"",IFERROR(INDEX('Case Studies'!$C$5:$C$54,MATCH(K191,'Case Studies'!$B$5:$B$54,0))&amp;"","case-study"),IF(J191&lt;&gt;"",IFERROR(INDEX(Settings!$J$5:$J$55,MATCH(J191,Settings!$I$5:$I$55,0)),"general"),"general")))</f>
        <v/>
      </c>
      <c r="Y191" s="24" t="str">
        <f aca="false">IF(A191="","",LOWER(A191))</f>
        <v/>
      </c>
      <c r="Z191" s="24" t="str">
        <f aca="false">IF(A191="","",IF(T191="",Settings!$B$5,T191)&amp;IF(ISNUMBER(FIND("?",IF(T191="",Settings!$B$5,T191))),"&amp;","?")&amp;"utm_source="&amp;V191&amp;"&amp;utm_medium="&amp;W191&amp;"&amp;utm_campaign="&amp;X191&amp;"&amp;utm_content="&amp;Y191)</f>
        <v/>
      </c>
      <c r="AA191" s="29"/>
      <c r="AB191" s="39"/>
      <c r="AC191" s="32"/>
      <c r="AD191" s="32"/>
      <c r="AE191" s="32"/>
      <c r="AF191" s="32"/>
      <c r="AG191" s="32"/>
      <c r="AH191" s="32"/>
      <c r="AI191" s="32"/>
      <c r="AJ191" s="32"/>
      <c r="AK191" s="32"/>
      <c r="AL191" s="32"/>
      <c r="AM191" s="32"/>
      <c r="AN191" s="32"/>
      <c r="AO191" s="33" t="str">
        <f aca="false">IF(A191="","",IF(AD191&lt;&gt;"",AD191,IF(AC191&lt;&gt;"",AC191,"")))</f>
        <v/>
      </c>
      <c r="AP191" s="24" t="str">
        <f aca="false">IF(AO191="","",IF(AD191&lt;&gt;"","Reported reach","Impressions (proxy)"))</f>
        <v/>
      </c>
      <c r="AQ191" s="34" t="str">
        <f aca="false">IF(OR(AO191="",N(S191)=0),"",AO191/S191)</f>
        <v/>
      </c>
      <c r="AR191" s="33" t="str">
        <f aca="false">IF(A191="","",IF(COUNT(AF191:AJ191)=0,"",SUM(AF191:AJ191)))</f>
        <v/>
      </c>
      <c r="AS191" s="34" t="str">
        <f aca="false">IF(OR(AR191="",N(AO191)=0),"",AR191/AO191)</f>
        <v/>
      </c>
      <c r="AT191" s="34" t="str">
        <f aca="false">IF(OR(AR191="",N(AC191)=0),"",AR191/AC191)</f>
        <v/>
      </c>
      <c r="AU191" s="34" t="str">
        <f aca="false">IF(OR(AR191="",N(S191)=0),"",AR191/S191)</f>
        <v/>
      </c>
      <c r="AV191" s="34" t="str">
        <f aca="false">IF(OR(AJ191="",N(AC191)=0),"",AJ191/AC191)</f>
        <v/>
      </c>
      <c r="AW191" s="34" t="str">
        <f aca="false">IF(OR(AH191="",N(AO191)=0),"",AH191/AO191)</f>
        <v/>
      </c>
      <c r="AX191" s="35" t="str">
        <f aca="false">IF(OR(AR191="",N(AO191)=0),"",(N(AF191)*Settings!$B$6+N(AG191)*Settings!$B$7+N(AH191)*Settings!$B$8+N(AI191)*Settings!$B$9+N(AJ191)*Settings!$B$10)/AO191*1000)</f>
        <v/>
      </c>
      <c r="AY191" s="36" t="str">
        <f aca="false">IF(AS191="","",IFERROR(AS191/AVERAGEIFS('Post Tracker'!$AS$5:$AS$1004,'Post Tracker'!$G$5:$G$1004,G191),""))</f>
        <v/>
      </c>
      <c r="AZ191" s="32"/>
      <c r="BA191" s="32"/>
      <c r="BB191" s="32"/>
      <c r="BC191" s="32"/>
      <c r="BD191" s="33" t="str">
        <f aca="false">IF(A191="","",COUNTIFS('Demo Pipeline'!$Q$5:$Q$504,A191))</f>
        <v/>
      </c>
      <c r="BE191" s="33" t="str">
        <f aca="false">IF(A191="","",COUNTIFS('Demo Pipeline'!$Q$5:$Q$504,A191,'Demo Pipeline'!$W$5:$W$504,"Attended"))</f>
        <v/>
      </c>
      <c r="BF191" s="33" t="str">
        <f aca="false">IF(A191="","",COUNTIFS('Demo Pipeline'!$Q$5:$Q$504,A191,'Demo Pipeline'!$X$5:$X$504,"Yes"))</f>
        <v/>
      </c>
      <c r="BG191" s="33" t="str">
        <f aca="false">IF(A191="","",COUNTIFS('Demo Pipeline'!$Q$5:$Q$504,A191,'Demo Pipeline'!$Y$5:$Y$504,"Closed Won"))</f>
        <v/>
      </c>
      <c r="BH191" s="37" t="str">
        <f aca="false">IF(A191="","",SUMIFS('Demo Pipeline'!$Z$5:$Z$504,'Demo Pipeline'!$Q$5:$Q$504,A191))</f>
        <v/>
      </c>
      <c r="BI191" s="34" t="str">
        <f aca="false">IF(OR(AZ191="",N(AJ191)=0),"",AZ191/AJ191)</f>
        <v/>
      </c>
      <c r="BJ191" s="34" t="str">
        <f aca="false">IF(OR(BB191="",N(AZ191)=0),"",BB191/AZ191)</f>
        <v/>
      </c>
      <c r="BK191" s="34" t="str">
        <f aca="false">IF(OR(A191="",N(BB191)=0),"",BD191/BB191)</f>
        <v/>
      </c>
      <c r="BL191" s="34" t="str">
        <f aca="false">IF(OR(A191="",N(AZ191)=0),"",BD191/AZ191)</f>
        <v/>
      </c>
      <c r="BM191" s="37" t="str">
        <f aca="false">IF(OR(N(Q191)=0,N(BD191)=0),"",Q191/BD191)</f>
        <v/>
      </c>
      <c r="BN191" s="29"/>
      <c r="BO191" s="29"/>
      <c r="BP191" s="33" t="str">
        <f aca="false">IF(OR(AR191="",N(AO191)=0),"",AR191)</f>
        <v/>
      </c>
      <c r="BQ191" s="33" t="str">
        <f aca="false">IF(OR(AR191="",N(S191)=0),"",S191)</f>
        <v/>
      </c>
      <c r="BR191" s="38" t="str">
        <f aca="false">IF(AND(ISNUMBER(B191),B191&gt;=Dashboard!$C$4,B191&lt;=Dashboard!$F$4,ISNUMBER(AU191)),AU191+ROW()/10^9,"")</f>
        <v/>
      </c>
      <c r="BS191" s="38" t="str">
        <f aca="false">IF(AND(ISNUMBER(B191),B191&gt;=Dashboard!$C$4,B191&lt;=Dashboard!$F$4,A191&lt;&gt;""),N(BD191)+N(AU191)/100+ROW()/10^9,"")</f>
        <v/>
      </c>
    </row>
    <row r="192" customFormat="false" ht="15" hidden="false" customHeight="false" outlineLevel="0" collapsed="false">
      <c r="A192" s="24" t="str">
        <f aca="false">IF(OR(B192="",G192="",H192=""),"",IFERROR(INDEX(Settings!$E$5:$E$49,MATCH(G192,Settings!$D$5:$D$49,0))&amp;INDEX(Settings!$H$5:$H$47,MATCH(H192,Settings!$G$5:$G$47,0))&amp;"-"&amp;TEXT(B192,"yymmdd")&amp;"-"&amp;IF(C192="","0000",TEXT(C192,"hhmm")),"CHECK LISTS"))</f>
        <v/>
      </c>
      <c r="B192" s="39"/>
      <c r="C192" s="40"/>
      <c r="D192" s="24" t="str">
        <f aca="false">IF(B192="","",TEXT(B192,"ddd"))</f>
        <v/>
      </c>
      <c r="E192" s="27" t="str">
        <f aca="false">IF(B192="","",B192-WEEKDAY(B192,3))</f>
        <v/>
      </c>
      <c r="F192" s="24" t="str">
        <f aca="false">IF(B192="","",TEXT(B192,"yyyy-mm"))</f>
        <v/>
      </c>
      <c r="G192" s="29"/>
      <c r="H192" s="29"/>
      <c r="I192" s="29"/>
      <c r="J192" s="29"/>
      <c r="K192" s="29"/>
      <c r="L192" s="29"/>
      <c r="M192" s="29"/>
      <c r="N192" s="29"/>
      <c r="O192" s="29"/>
      <c r="P192" s="29"/>
      <c r="Q192" s="30"/>
      <c r="R192" s="29"/>
      <c r="S192" s="32"/>
      <c r="T192" s="29"/>
      <c r="U192" s="29"/>
      <c r="V192" s="24" t="str">
        <f aca="false">IF(A192="","",IFERROR(INDEX(Settings!$F$5:$F$49,MATCH(G192,Settings!$D$5:$D$49,0)),""))</f>
        <v/>
      </c>
      <c r="W192" s="24" t="str">
        <f aca="false">IF(A192="","",IF(OR(P192="",P192="Organic"),"social","paid_social"))</f>
        <v/>
      </c>
      <c r="X192" s="24" t="str">
        <f aca="false">IF(A192="","",IF(K192&lt;&gt;"",IFERROR(INDEX('Case Studies'!$C$5:$C$54,MATCH(K192,'Case Studies'!$B$5:$B$54,0))&amp;"","case-study"),IF(J192&lt;&gt;"",IFERROR(INDEX(Settings!$J$5:$J$55,MATCH(J192,Settings!$I$5:$I$55,0)),"general"),"general")))</f>
        <v/>
      </c>
      <c r="Y192" s="24" t="str">
        <f aca="false">IF(A192="","",LOWER(A192))</f>
        <v/>
      </c>
      <c r="Z192" s="24" t="str">
        <f aca="false">IF(A192="","",IF(T192="",Settings!$B$5,T192)&amp;IF(ISNUMBER(FIND("?",IF(T192="",Settings!$B$5,T192))),"&amp;","?")&amp;"utm_source="&amp;V192&amp;"&amp;utm_medium="&amp;W192&amp;"&amp;utm_campaign="&amp;X192&amp;"&amp;utm_content="&amp;Y192)</f>
        <v/>
      </c>
      <c r="AA192" s="29"/>
      <c r="AB192" s="39"/>
      <c r="AC192" s="32"/>
      <c r="AD192" s="32"/>
      <c r="AE192" s="32"/>
      <c r="AF192" s="32"/>
      <c r="AG192" s="32"/>
      <c r="AH192" s="32"/>
      <c r="AI192" s="32"/>
      <c r="AJ192" s="32"/>
      <c r="AK192" s="32"/>
      <c r="AL192" s="32"/>
      <c r="AM192" s="32"/>
      <c r="AN192" s="32"/>
      <c r="AO192" s="33" t="str">
        <f aca="false">IF(A192="","",IF(AD192&lt;&gt;"",AD192,IF(AC192&lt;&gt;"",AC192,"")))</f>
        <v/>
      </c>
      <c r="AP192" s="24" t="str">
        <f aca="false">IF(AO192="","",IF(AD192&lt;&gt;"","Reported reach","Impressions (proxy)"))</f>
        <v/>
      </c>
      <c r="AQ192" s="34" t="str">
        <f aca="false">IF(OR(AO192="",N(S192)=0),"",AO192/S192)</f>
        <v/>
      </c>
      <c r="AR192" s="33" t="str">
        <f aca="false">IF(A192="","",IF(COUNT(AF192:AJ192)=0,"",SUM(AF192:AJ192)))</f>
        <v/>
      </c>
      <c r="AS192" s="34" t="str">
        <f aca="false">IF(OR(AR192="",N(AO192)=0),"",AR192/AO192)</f>
        <v/>
      </c>
      <c r="AT192" s="34" t="str">
        <f aca="false">IF(OR(AR192="",N(AC192)=0),"",AR192/AC192)</f>
        <v/>
      </c>
      <c r="AU192" s="34" t="str">
        <f aca="false">IF(OR(AR192="",N(S192)=0),"",AR192/S192)</f>
        <v/>
      </c>
      <c r="AV192" s="34" t="str">
        <f aca="false">IF(OR(AJ192="",N(AC192)=0),"",AJ192/AC192)</f>
        <v/>
      </c>
      <c r="AW192" s="34" t="str">
        <f aca="false">IF(OR(AH192="",N(AO192)=0),"",AH192/AO192)</f>
        <v/>
      </c>
      <c r="AX192" s="35" t="str">
        <f aca="false">IF(OR(AR192="",N(AO192)=0),"",(N(AF192)*Settings!$B$6+N(AG192)*Settings!$B$7+N(AH192)*Settings!$B$8+N(AI192)*Settings!$B$9+N(AJ192)*Settings!$B$10)/AO192*1000)</f>
        <v/>
      </c>
      <c r="AY192" s="36" t="str">
        <f aca="false">IF(AS192="","",IFERROR(AS192/AVERAGEIFS('Post Tracker'!$AS$5:$AS$1004,'Post Tracker'!$G$5:$G$1004,G192),""))</f>
        <v/>
      </c>
      <c r="AZ192" s="32"/>
      <c r="BA192" s="32"/>
      <c r="BB192" s="32"/>
      <c r="BC192" s="32"/>
      <c r="BD192" s="33" t="str">
        <f aca="false">IF(A192="","",COUNTIFS('Demo Pipeline'!$Q$5:$Q$504,A192))</f>
        <v/>
      </c>
      <c r="BE192" s="33" t="str">
        <f aca="false">IF(A192="","",COUNTIFS('Demo Pipeline'!$Q$5:$Q$504,A192,'Demo Pipeline'!$W$5:$W$504,"Attended"))</f>
        <v/>
      </c>
      <c r="BF192" s="33" t="str">
        <f aca="false">IF(A192="","",COUNTIFS('Demo Pipeline'!$Q$5:$Q$504,A192,'Demo Pipeline'!$X$5:$X$504,"Yes"))</f>
        <v/>
      </c>
      <c r="BG192" s="33" t="str">
        <f aca="false">IF(A192="","",COUNTIFS('Demo Pipeline'!$Q$5:$Q$504,A192,'Demo Pipeline'!$Y$5:$Y$504,"Closed Won"))</f>
        <v/>
      </c>
      <c r="BH192" s="37" t="str">
        <f aca="false">IF(A192="","",SUMIFS('Demo Pipeline'!$Z$5:$Z$504,'Demo Pipeline'!$Q$5:$Q$504,A192))</f>
        <v/>
      </c>
      <c r="BI192" s="34" t="str">
        <f aca="false">IF(OR(AZ192="",N(AJ192)=0),"",AZ192/AJ192)</f>
        <v/>
      </c>
      <c r="BJ192" s="34" t="str">
        <f aca="false">IF(OR(BB192="",N(AZ192)=0),"",BB192/AZ192)</f>
        <v/>
      </c>
      <c r="BK192" s="34" t="str">
        <f aca="false">IF(OR(A192="",N(BB192)=0),"",BD192/BB192)</f>
        <v/>
      </c>
      <c r="BL192" s="34" t="str">
        <f aca="false">IF(OR(A192="",N(AZ192)=0),"",BD192/AZ192)</f>
        <v/>
      </c>
      <c r="BM192" s="37" t="str">
        <f aca="false">IF(OR(N(Q192)=0,N(BD192)=0),"",Q192/BD192)</f>
        <v/>
      </c>
      <c r="BN192" s="29"/>
      <c r="BO192" s="29"/>
      <c r="BP192" s="33" t="str">
        <f aca="false">IF(OR(AR192="",N(AO192)=0),"",AR192)</f>
        <v/>
      </c>
      <c r="BQ192" s="33" t="str">
        <f aca="false">IF(OR(AR192="",N(S192)=0),"",S192)</f>
        <v/>
      </c>
      <c r="BR192" s="38" t="str">
        <f aca="false">IF(AND(ISNUMBER(B192),B192&gt;=Dashboard!$C$4,B192&lt;=Dashboard!$F$4,ISNUMBER(AU192)),AU192+ROW()/10^9,"")</f>
        <v/>
      </c>
      <c r="BS192" s="38" t="str">
        <f aca="false">IF(AND(ISNUMBER(B192),B192&gt;=Dashboard!$C$4,B192&lt;=Dashboard!$F$4,A192&lt;&gt;""),N(BD192)+N(AU192)/100+ROW()/10^9,"")</f>
        <v/>
      </c>
    </row>
    <row r="193" customFormat="false" ht="15" hidden="false" customHeight="false" outlineLevel="0" collapsed="false">
      <c r="A193" s="24" t="str">
        <f aca="false">IF(OR(B193="",G193="",H193=""),"",IFERROR(INDEX(Settings!$E$5:$E$49,MATCH(G193,Settings!$D$5:$D$49,0))&amp;INDEX(Settings!$H$5:$H$47,MATCH(H193,Settings!$G$5:$G$47,0))&amp;"-"&amp;TEXT(B193,"yymmdd")&amp;"-"&amp;IF(C193="","0000",TEXT(C193,"hhmm")),"CHECK LISTS"))</f>
        <v/>
      </c>
      <c r="B193" s="39"/>
      <c r="C193" s="40"/>
      <c r="D193" s="24" t="str">
        <f aca="false">IF(B193="","",TEXT(B193,"ddd"))</f>
        <v/>
      </c>
      <c r="E193" s="27" t="str">
        <f aca="false">IF(B193="","",B193-WEEKDAY(B193,3))</f>
        <v/>
      </c>
      <c r="F193" s="24" t="str">
        <f aca="false">IF(B193="","",TEXT(B193,"yyyy-mm"))</f>
        <v/>
      </c>
      <c r="G193" s="29"/>
      <c r="H193" s="29"/>
      <c r="I193" s="29"/>
      <c r="J193" s="29"/>
      <c r="K193" s="29"/>
      <c r="L193" s="29"/>
      <c r="M193" s="29"/>
      <c r="N193" s="29"/>
      <c r="O193" s="29"/>
      <c r="P193" s="29"/>
      <c r="Q193" s="30"/>
      <c r="R193" s="29"/>
      <c r="S193" s="32"/>
      <c r="T193" s="29"/>
      <c r="U193" s="29"/>
      <c r="V193" s="24" t="str">
        <f aca="false">IF(A193="","",IFERROR(INDEX(Settings!$F$5:$F$49,MATCH(G193,Settings!$D$5:$D$49,0)),""))</f>
        <v/>
      </c>
      <c r="W193" s="24" t="str">
        <f aca="false">IF(A193="","",IF(OR(P193="",P193="Organic"),"social","paid_social"))</f>
        <v/>
      </c>
      <c r="X193" s="24" t="str">
        <f aca="false">IF(A193="","",IF(K193&lt;&gt;"",IFERROR(INDEX('Case Studies'!$C$5:$C$54,MATCH(K193,'Case Studies'!$B$5:$B$54,0))&amp;"","case-study"),IF(J193&lt;&gt;"",IFERROR(INDEX(Settings!$J$5:$J$55,MATCH(J193,Settings!$I$5:$I$55,0)),"general"),"general")))</f>
        <v/>
      </c>
      <c r="Y193" s="24" t="str">
        <f aca="false">IF(A193="","",LOWER(A193))</f>
        <v/>
      </c>
      <c r="Z193" s="24" t="str">
        <f aca="false">IF(A193="","",IF(T193="",Settings!$B$5,T193)&amp;IF(ISNUMBER(FIND("?",IF(T193="",Settings!$B$5,T193))),"&amp;","?")&amp;"utm_source="&amp;V193&amp;"&amp;utm_medium="&amp;W193&amp;"&amp;utm_campaign="&amp;X193&amp;"&amp;utm_content="&amp;Y193)</f>
        <v/>
      </c>
      <c r="AA193" s="29"/>
      <c r="AB193" s="39"/>
      <c r="AC193" s="32"/>
      <c r="AD193" s="32"/>
      <c r="AE193" s="32"/>
      <c r="AF193" s="32"/>
      <c r="AG193" s="32"/>
      <c r="AH193" s="32"/>
      <c r="AI193" s="32"/>
      <c r="AJ193" s="32"/>
      <c r="AK193" s="32"/>
      <c r="AL193" s="32"/>
      <c r="AM193" s="32"/>
      <c r="AN193" s="32"/>
      <c r="AO193" s="33" t="str">
        <f aca="false">IF(A193="","",IF(AD193&lt;&gt;"",AD193,IF(AC193&lt;&gt;"",AC193,"")))</f>
        <v/>
      </c>
      <c r="AP193" s="24" t="str">
        <f aca="false">IF(AO193="","",IF(AD193&lt;&gt;"","Reported reach","Impressions (proxy)"))</f>
        <v/>
      </c>
      <c r="AQ193" s="34" t="str">
        <f aca="false">IF(OR(AO193="",N(S193)=0),"",AO193/S193)</f>
        <v/>
      </c>
      <c r="AR193" s="33" t="str">
        <f aca="false">IF(A193="","",IF(COUNT(AF193:AJ193)=0,"",SUM(AF193:AJ193)))</f>
        <v/>
      </c>
      <c r="AS193" s="34" t="str">
        <f aca="false">IF(OR(AR193="",N(AO193)=0),"",AR193/AO193)</f>
        <v/>
      </c>
      <c r="AT193" s="34" t="str">
        <f aca="false">IF(OR(AR193="",N(AC193)=0),"",AR193/AC193)</f>
        <v/>
      </c>
      <c r="AU193" s="34" t="str">
        <f aca="false">IF(OR(AR193="",N(S193)=0),"",AR193/S193)</f>
        <v/>
      </c>
      <c r="AV193" s="34" t="str">
        <f aca="false">IF(OR(AJ193="",N(AC193)=0),"",AJ193/AC193)</f>
        <v/>
      </c>
      <c r="AW193" s="34" t="str">
        <f aca="false">IF(OR(AH193="",N(AO193)=0),"",AH193/AO193)</f>
        <v/>
      </c>
      <c r="AX193" s="35" t="str">
        <f aca="false">IF(OR(AR193="",N(AO193)=0),"",(N(AF193)*Settings!$B$6+N(AG193)*Settings!$B$7+N(AH193)*Settings!$B$8+N(AI193)*Settings!$B$9+N(AJ193)*Settings!$B$10)/AO193*1000)</f>
        <v/>
      </c>
      <c r="AY193" s="36" t="str">
        <f aca="false">IF(AS193="","",IFERROR(AS193/AVERAGEIFS('Post Tracker'!$AS$5:$AS$1004,'Post Tracker'!$G$5:$G$1004,G193),""))</f>
        <v/>
      </c>
      <c r="AZ193" s="32"/>
      <c r="BA193" s="32"/>
      <c r="BB193" s="32"/>
      <c r="BC193" s="32"/>
      <c r="BD193" s="33" t="str">
        <f aca="false">IF(A193="","",COUNTIFS('Demo Pipeline'!$Q$5:$Q$504,A193))</f>
        <v/>
      </c>
      <c r="BE193" s="33" t="str">
        <f aca="false">IF(A193="","",COUNTIFS('Demo Pipeline'!$Q$5:$Q$504,A193,'Demo Pipeline'!$W$5:$W$504,"Attended"))</f>
        <v/>
      </c>
      <c r="BF193" s="33" t="str">
        <f aca="false">IF(A193="","",COUNTIFS('Demo Pipeline'!$Q$5:$Q$504,A193,'Demo Pipeline'!$X$5:$X$504,"Yes"))</f>
        <v/>
      </c>
      <c r="BG193" s="33" t="str">
        <f aca="false">IF(A193="","",COUNTIFS('Demo Pipeline'!$Q$5:$Q$504,A193,'Demo Pipeline'!$Y$5:$Y$504,"Closed Won"))</f>
        <v/>
      </c>
      <c r="BH193" s="37" t="str">
        <f aca="false">IF(A193="","",SUMIFS('Demo Pipeline'!$Z$5:$Z$504,'Demo Pipeline'!$Q$5:$Q$504,A193))</f>
        <v/>
      </c>
      <c r="BI193" s="34" t="str">
        <f aca="false">IF(OR(AZ193="",N(AJ193)=0),"",AZ193/AJ193)</f>
        <v/>
      </c>
      <c r="BJ193" s="34" t="str">
        <f aca="false">IF(OR(BB193="",N(AZ193)=0),"",BB193/AZ193)</f>
        <v/>
      </c>
      <c r="BK193" s="34" t="str">
        <f aca="false">IF(OR(A193="",N(BB193)=0),"",BD193/BB193)</f>
        <v/>
      </c>
      <c r="BL193" s="34" t="str">
        <f aca="false">IF(OR(A193="",N(AZ193)=0),"",BD193/AZ193)</f>
        <v/>
      </c>
      <c r="BM193" s="37" t="str">
        <f aca="false">IF(OR(N(Q193)=0,N(BD193)=0),"",Q193/BD193)</f>
        <v/>
      </c>
      <c r="BN193" s="29"/>
      <c r="BO193" s="29"/>
      <c r="BP193" s="33" t="str">
        <f aca="false">IF(OR(AR193="",N(AO193)=0),"",AR193)</f>
        <v/>
      </c>
      <c r="BQ193" s="33" t="str">
        <f aca="false">IF(OR(AR193="",N(S193)=0),"",S193)</f>
        <v/>
      </c>
      <c r="BR193" s="38" t="str">
        <f aca="false">IF(AND(ISNUMBER(B193),B193&gt;=Dashboard!$C$4,B193&lt;=Dashboard!$F$4,ISNUMBER(AU193)),AU193+ROW()/10^9,"")</f>
        <v/>
      </c>
      <c r="BS193" s="38" t="str">
        <f aca="false">IF(AND(ISNUMBER(B193),B193&gt;=Dashboard!$C$4,B193&lt;=Dashboard!$F$4,A193&lt;&gt;""),N(BD193)+N(AU193)/100+ROW()/10^9,"")</f>
        <v/>
      </c>
    </row>
    <row r="194" customFormat="false" ht="15" hidden="false" customHeight="false" outlineLevel="0" collapsed="false">
      <c r="A194" s="24" t="str">
        <f aca="false">IF(OR(B194="",G194="",H194=""),"",IFERROR(INDEX(Settings!$E$5:$E$49,MATCH(G194,Settings!$D$5:$D$49,0))&amp;INDEX(Settings!$H$5:$H$47,MATCH(H194,Settings!$G$5:$G$47,0))&amp;"-"&amp;TEXT(B194,"yymmdd")&amp;"-"&amp;IF(C194="","0000",TEXT(C194,"hhmm")),"CHECK LISTS"))</f>
        <v/>
      </c>
      <c r="B194" s="39"/>
      <c r="C194" s="40"/>
      <c r="D194" s="24" t="str">
        <f aca="false">IF(B194="","",TEXT(B194,"ddd"))</f>
        <v/>
      </c>
      <c r="E194" s="27" t="str">
        <f aca="false">IF(B194="","",B194-WEEKDAY(B194,3))</f>
        <v/>
      </c>
      <c r="F194" s="24" t="str">
        <f aca="false">IF(B194="","",TEXT(B194,"yyyy-mm"))</f>
        <v/>
      </c>
      <c r="G194" s="29"/>
      <c r="H194" s="29"/>
      <c r="I194" s="29"/>
      <c r="J194" s="29"/>
      <c r="K194" s="29"/>
      <c r="L194" s="29"/>
      <c r="M194" s="29"/>
      <c r="N194" s="29"/>
      <c r="O194" s="29"/>
      <c r="P194" s="29"/>
      <c r="Q194" s="30"/>
      <c r="R194" s="29"/>
      <c r="S194" s="32"/>
      <c r="T194" s="29"/>
      <c r="U194" s="29"/>
      <c r="V194" s="24" t="str">
        <f aca="false">IF(A194="","",IFERROR(INDEX(Settings!$F$5:$F$49,MATCH(G194,Settings!$D$5:$D$49,0)),""))</f>
        <v/>
      </c>
      <c r="W194" s="24" t="str">
        <f aca="false">IF(A194="","",IF(OR(P194="",P194="Organic"),"social","paid_social"))</f>
        <v/>
      </c>
      <c r="X194" s="24" t="str">
        <f aca="false">IF(A194="","",IF(K194&lt;&gt;"",IFERROR(INDEX('Case Studies'!$C$5:$C$54,MATCH(K194,'Case Studies'!$B$5:$B$54,0))&amp;"","case-study"),IF(J194&lt;&gt;"",IFERROR(INDEX(Settings!$J$5:$J$55,MATCH(J194,Settings!$I$5:$I$55,0)),"general"),"general")))</f>
        <v/>
      </c>
      <c r="Y194" s="24" t="str">
        <f aca="false">IF(A194="","",LOWER(A194))</f>
        <v/>
      </c>
      <c r="Z194" s="24" t="str">
        <f aca="false">IF(A194="","",IF(T194="",Settings!$B$5,T194)&amp;IF(ISNUMBER(FIND("?",IF(T194="",Settings!$B$5,T194))),"&amp;","?")&amp;"utm_source="&amp;V194&amp;"&amp;utm_medium="&amp;W194&amp;"&amp;utm_campaign="&amp;X194&amp;"&amp;utm_content="&amp;Y194)</f>
        <v/>
      </c>
      <c r="AA194" s="29"/>
      <c r="AB194" s="39"/>
      <c r="AC194" s="32"/>
      <c r="AD194" s="32"/>
      <c r="AE194" s="32"/>
      <c r="AF194" s="32"/>
      <c r="AG194" s="32"/>
      <c r="AH194" s="32"/>
      <c r="AI194" s="32"/>
      <c r="AJ194" s="32"/>
      <c r="AK194" s="32"/>
      <c r="AL194" s="32"/>
      <c r="AM194" s="32"/>
      <c r="AN194" s="32"/>
      <c r="AO194" s="33" t="str">
        <f aca="false">IF(A194="","",IF(AD194&lt;&gt;"",AD194,IF(AC194&lt;&gt;"",AC194,"")))</f>
        <v/>
      </c>
      <c r="AP194" s="24" t="str">
        <f aca="false">IF(AO194="","",IF(AD194&lt;&gt;"","Reported reach","Impressions (proxy)"))</f>
        <v/>
      </c>
      <c r="AQ194" s="34" t="str">
        <f aca="false">IF(OR(AO194="",N(S194)=0),"",AO194/S194)</f>
        <v/>
      </c>
      <c r="AR194" s="33" t="str">
        <f aca="false">IF(A194="","",IF(COUNT(AF194:AJ194)=0,"",SUM(AF194:AJ194)))</f>
        <v/>
      </c>
      <c r="AS194" s="34" t="str">
        <f aca="false">IF(OR(AR194="",N(AO194)=0),"",AR194/AO194)</f>
        <v/>
      </c>
      <c r="AT194" s="34" t="str">
        <f aca="false">IF(OR(AR194="",N(AC194)=0),"",AR194/AC194)</f>
        <v/>
      </c>
      <c r="AU194" s="34" t="str">
        <f aca="false">IF(OR(AR194="",N(S194)=0),"",AR194/S194)</f>
        <v/>
      </c>
      <c r="AV194" s="34" t="str">
        <f aca="false">IF(OR(AJ194="",N(AC194)=0),"",AJ194/AC194)</f>
        <v/>
      </c>
      <c r="AW194" s="34" t="str">
        <f aca="false">IF(OR(AH194="",N(AO194)=0),"",AH194/AO194)</f>
        <v/>
      </c>
      <c r="AX194" s="35" t="str">
        <f aca="false">IF(OR(AR194="",N(AO194)=0),"",(N(AF194)*Settings!$B$6+N(AG194)*Settings!$B$7+N(AH194)*Settings!$B$8+N(AI194)*Settings!$B$9+N(AJ194)*Settings!$B$10)/AO194*1000)</f>
        <v/>
      </c>
      <c r="AY194" s="36" t="str">
        <f aca="false">IF(AS194="","",IFERROR(AS194/AVERAGEIFS('Post Tracker'!$AS$5:$AS$1004,'Post Tracker'!$G$5:$G$1004,G194),""))</f>
        <v/>
      </c>
      <c r="AZ194" s="32"/>
      <c r="BA194" s="32"/>
      <c r="BB194" s="32"/>
      <c r="BC194" s="32"/>
      <c r="BD194" s="33" t="str">
        <f aca="false">IF(A194="","",COUNTIFS('Demo Pipeline'!$Q$5:$Q$504,A194))</f>
        <v/>
      </c>
      <c r="BE194" s="33" t="str">
        <f aca="false">IF(A194="","",COUNTIFS('Demo Pipeline'!$Q$5:$Q$504,A194,'Demo Pipeline'!$W$5:$W$504,"Attended"))</f>
        <v/>
      </c>
      <c r="BF194" s="33" t="str">
        <f aca="false">IF(A194="","",COUNTIFS('Demo Pipeline'!$Q$5:$Q$504,A194,'Demo Pipeline'!$X$5:$X$504,"Yes"))</f>
        <v/>
      </c>
      <c r="BG194" s="33" t="str">
        <f aca="false">IF(A194="","",COUNTIFS('Demo Pipeline'!$Q$5:$Q$504,A194,'Demo Pipeline'!$Y$5:$Y$504,"Closed Won"))</f>
        <v/>
      </c>
      <c r="BH194" s="37" t="str">
        <f aca="false">IF(A194="","",SUMIFS('Demo Pipeline'!$Z$5:$Z$504,'Demo Pipeline'!$Q$5:$Q$504,A194))</f>
        <v/>
      </c>
      <c r="BI194" s="34" t="str">
        <f aca="false">IF(OR(AZ194="",N(AJ194)=0),"",AZ194/AJ194)</f>
        <v/>
      </c>
      <c r="BJ194" s="34" t="str">
        <f aca="false">IF(OR(BB194="",N(AZ194)=0),"",BB194/AZ194)</f>
        <v/>
      </c>
      <c r="BK194" s="34" t="str">
        <f aca="false">IF(OR(A194="",N(BB194)=0),"",BD194/BB194)</f>
        <v/>
      </c>
      <c r="BL194" s="34" t="str">
        <f aca="false">IF(OR(A194="",N(AZ194)=0),"",BD194/AZ194)</f>
        <v/>
      </c>
      <c r="BM194" s="37" t="str">
        <f aca="false">IF(OR(N(Q194)=0,N(BD194)=0),"",Q194/BD194)</f>
        <v/>
      </c>
      <c r="BN194" s="29"/>
      <c r="BO194" s="29"/>
      <c r="BP194" s="33" t="str">
        <f aca="false">IF(OR(AR194="",N(AO194)=0),"",AR194)</f>
        <v/>
      </c>
      <c r="BQ194" s="33" t="str">
        <f aca="false">IF(OR(AR194="",N(S194)=0),"",S194)</f>
        <v/>
      </c>
      <c r="BR194" s="38" t="str">
        <f aca="false">IF(AND(ISNUMBER(B194),B194&gt;=Dashboard!$C$4,B194&lt;=Dashboard!$F$4,ISNUMBER(AU194)),AU194+ROW()/10^9,"")</f>
        <v/>
      </c>
      <c r="BS194" s="38" t="str">
        <f aca="false">IF(AND(ISNUMBER(B194),B194&gt;=Dashboard!$C$4,B194&lt;=Dashboard!$F$4,A194&lt;&gt;""),N(BD194)+N(AU194)/100+ROW()/10^9,"")</f>
        <v/>
      </c>
    </row>
    <row r="195" customFormat="false" ht="15" hidden="false" customHeight="false" outlineLevel="0" collapsed="false">
      <c r="A195" s="24" t="str">
        <f aca="false">IF(OR(B195="",G195="",H195=""),"",IFERROR(INDEX(Settings!$E$5:$E$49,MATCH(G195,Settings!$D$5:$D$49,0))&amp;INDEX(Settings!$H$5:$H$47,MATCH(H195,Settings!$G$5:$G$47,0))&amp;"-"&amp;TEXT(B195,"yymmdd")&amp;"-"&amp;IF(C195="","0000",TEXT(C195,"hhmm")),"CHECK LISTS"))</f>
        <v/>
      </c>
      <c r="B195" s="39"/>
      <c r="C195" s="40"/>
      <c r="D195" s="24" t="str">
        <f aca="false">IF(B195="","",TEXT(B195,"ddd"))</f>
        <v/>
      </c>
      <c r="E195" s="27" t="str">
        <f aca="false">IF(B195="","",B195-WEEKDAY(B195,3))</f>
        <v/>
      </c>
      <c r="F195" s="24" t="str">
        <f aca="false">IF(B195="","",TEXT(B195,"yyyy-mm"))</f>
        <v/>
      </c>
      <c r="G195" s="29"/>
      <c r="H195" s="29"/>
      <c r="I195" s="29"/>
      <c r="J195" s="29"/>
      <c r="K195" s="29"/>
      <c r="L195" s="29"/>
      <c r="M195" s="29"/>
      <c r="N195" s="29"/>
      <c r="O195" s="29"/>
      <c r="P195" s="29"/>
      <c r="Q195" s="30"/>
      <c r="R195" s="29"/>
      <c r="S195" s="32"/>
      <c r="T195" s="29"/>
      <c r="U195" s="29"/>
      <c r="V195" s="24" t="str">
        <f aca="false">IF(A195="","",IFERROR(INDEX(Settings!$F$5:$F$49,MATCH(G195,Settings!$D$5:$D$49,0)),""))</f>
        <v/>
      </c>
      <c r="W195" s="24" t="str">
        <f aca="false">IF(A195="","",IF(OR(P195="",P195="Organic"),"social","paid_social"))</f>
        <v/>
      </c>
      <c r="X195" s="24" t="str">
        <f aca="false">IF(A195="","",IF(K195&lt;&gt;"",IFERROR(INDEX('Case Studies'!$C$5:$C$54,MATCH(K195,'Case Studies'!$B$5:$B$54,0))&amp;"","case-study"),IF(J195&lt;&gt;"",IFERROR(INDEX(Settings!$J$5:$J$55,MATCH(J195,Settings!$I$5:$I$55,0)),"general"),"general")))</f>
        <v/>
      </c>
      <c r="Y195" s="24" t="str">
        <f aca="false">IF(A195="","",LOWER(A195))</f>
        <v/>
      </c>
      <c r="Z195" s="24" t="str">
        <f aca="false">IF(A195="","",IF(T195="",Settings!$B$5,T195)&amp;IF(ISNUMBER(FIND("?",IF(T195="",Settings!$B$5,T195))),"&amp;","?")&amp;"utm_source="&amp;V195&amp;"&amp;utm_medium="&amp;W195&amp;"&amp;utm_campaign="&amp;X195&amp;"&amp;utm_content="&amp;Y195)</f>
        <v/>
      </c>
      <c r="AA195" s="29"/>
      <c r="AB195" s="39"/>
      <c r="AC195" s="32"/>
      <c r="AD195" s="32"/>
      <c r="AE195" s="32"/>
      <c r="AF195" s="32"/>
      <c r="AG195" s="32"/>
      <c r="AH195" s="32"/>
      <c r="AI195" s="32"/>
      <c r="AJ195" s="32"/>
      <c r="AK195" s="32"/>
      <c r="AL195" s="32"/>
      <c r="AM195" s="32"/>
      <c r="AN195" s="32"/>
      <c r="AO195" s="33" t="str">
        <f aca="false">IF(A195="","",IF(AD195&lt;&gt;"",AD195,IF(AC195&lt;&gt;"",AC195,"")))</f>
        <v/>
      </c>
      <c r="AP195" s="24" t="str">
        <f aca="false">IF(AO195="","",IF(AD195&lt;&gt;"","Reported reach","Impressions (proxy)"))</f>
        <v/>
      </c>
      <c r="AQ195" s="34" t="str">
        <f aca="false">IF(OR(AO195="",N(S195)=0),"",AO195/S195)</f>
        <v/>
      </c>
      <c r="AR195" s="33" t="str">
        <f aca="false">IF(A195="","",IF(COUNT(AF195:AJ195)=0,"",SUM(AF195:AJ195)))</f>
        <v/>
      </c>
      <c r="AS195" s="34" t="str">
        <f aca="false">IF(OR(AR195="",N(AO195)=0),"",AR195/AO195)</f>
        <v/>
      </c>
      <c r="AT195" s="34" t="str">
        <f aca="false">IF(OR(AR195="",N(AC195)=0),"",AR195/AC195)</f>
        <v/>
      </c>
      <c r="AU195" s="34" t="str">
        <f aca="false">IF(OR(AR195="",N(S195)=0),"",AR195/S195)</f>
        <v/>
      </c>
      <c r="AV195" s="34" t="str">
        <f aca="false">IF(OR(AJ195="",N(AC195)=0),"",AJ195/AC195)</f>
        <v/>
      </c>
      <c r="AW195" s="34" t="str">
        <f aca="false">IF(OR(AH195="",N(AO195)=0),"",AH195/AO195)</f>
        <v/>
      </c>
      <c r="AX195" s="35" t="str">
        <f aca="false">IF(OR(AR195="",N(AO195)=0),"",(N(AF195)*Settings!$B$6+N(AG195)*Settings!$B$7+N(AH195)*Settings!$B$8+N(AI195)*Settings!$B$9+N(AJ195)*Settings!$B$10)/AO195*1000)</f>
        <v/>
      </c>
      <c r="AY195" s="36" t="str">
        <f aca="false">IF(AS195="","",IFERROR(AS195/AVERAGEIFS('Post Tracker'!$AS$5:$AS$1004,'Post Tracker'!$G$5:$G$1004,G195),""))</f>
        <v/>
      </c>
      <c r="AZ195" s="32"/>
      <c r="BA195" s="32"/>
      <c r="BB195" s="32"/>
      <c r="BC195" s="32"/>
      <c r="BD195" s="33" t="str">
        <f aca="false">IF(A195="","",COUNTIFS('Demo Pipeline'!$Q$5:$Q$504,A195))</f>
        <v/>
      </c>
      <c r="BE195" s="33" t="str">
        <f aca="false">IF(A195="","",COUNTIFS('Demo Pipeline'!$Q$5:$Q$504,A195,'Demo Pipeline'!$W$5:$W$504,"Attended"))</f>
        <v/>
      </c>
      <c r="BF195" s="33" t="str">
        <f aca="false">IF(A195="","",COUNTIFS('Demo Pipeline'!$Q$5:$Q$504,A195,'Demo Pipeline'!$X$5:$X$504,"Yes"))</f>
        <v/>
      </c>
      <c r="BG195" s="33" t="str">
        <f aca="false">IF(A195="","",COUNTIFS('Demo Pipeline'!$Q$5:$Q$504,A195,'Demo Pipeline'!$Y$5:$Y$504,"Closed Won"))</f>
        <v/>
      </c>
      <c r="BH195" s="37" t="str">
        <f aca="false">IF(A195="","",SUMIFS('Demo Pipeline'!$Z$5:$Z$504,'Demo Pipeline'!$Q$5:$Q$504,A195))</f>
        <v/>
      </c>
      <c r="BI195" s="34" t="str">
        <f aca="false">IF(OR(AZ195="",N(AJ195)=0),"",AZ195/AJ195)</f>
        <v/>
      </c>
      <c r="BJ195" s="34" t="str">
        <f aca="false">IF(OR(BB195="",N(AZ195)=0),"",BB195/AZ195)</f>
        <v/>
      </c>
      <c r="BK195" s="34" t="str">
        <f aca="false">IF(OR(A195="",N(BB195)=0),"",BD195/BB195)</f>
        <v/>
      </c>
      <c r="BL195" s="34" t="str">
        <f aca="false">IF(OR(A195="",N(AZ195)=0),"",BD195/AZ195)</f>
        <v/>
      </c>
      <c r="BM195" s="37" t="str">
        <f aca="false">IF(OR(N(Q195)=0,N(BD195)=0),"",Q195/BD195)</f>
        <v/>
      </c>
      <c r="BN195" s="29"/>
      <c r="BO195" s="29"/>
      <c r="BP195" s="33" t="str">
        <f aca="false">IF(OR(AR195="",N(AO195)=0),"",AR195)</f>
        <v/>
      </c>
      <c r="BQ195" s="33" t="str">
        <f aca="false">IF(OR(AR195="",N(S195)=0),"",S195)</f>
        <v/>
      </c>
      <c r="BR195" s="38" t="str">
        <f aca="false">IF(AND(ISNUMBER(B195),B195&gt;=Dashboard!$C$4,B195&lt;=Dashboard!$F$4,ISNUMBER(AU195)),AU195+ROW()/10^9,"")</f>
        <v/>
      </c>
      <c r="BS195" s="38" t="str">
        <f aca="false">IF(AND(ISNUMBER(B195),B195&gt;=Dashboard!$C$4,B195&lt;=Dashboard!$F$4,A195&lt;&gt;""),N(BD195)+N(AU195)/100+ROW()/10^9,"")</f>
        <v/>
      </c>
    </row>
    <row r="196" customFormat="false" ht="15" hidden="false" customHeight="false" outlineLevel="0" collapsed="false">
      <c r="A196" s="24" t="str">
        <f aca="false">IF(OR(B196="",G196="",H196=""),"",IFERROR(INDEX(Settings!$E$5:$E$49,MATCH(G196,Settings!$D$5:$D$49,0))&amp;INDEX(Settings!$H$5:$H$47,MATCH(H196,Settings!$G$5:$G$47,0))&amp;"-"&amp;TEXT(B196,"yymmdd")&amp;"-"&amp;IF(C196="","0000",TEXT(C196,"hhmm")),"CHECK LISTS"))</f>
        <v/>
      </c>
      <c r="B196" s="39"/>
      <c r="C196" s="40"/>
      <c r="D196" s="24" t="str">
        <f aca="false">IF(B196="","",TEXT(B196,"ddd"))</f>
        <v/>
      </c>
      <c r="E196" s="27" t="str">
        <f aca="false">IF(B196="","",B196-WEEKDAY(B196,3))</f>
        <v/>
      </c>
      <c r="F196" s="24" t="str">
        <f aca="false">IF(B196="","",TEXT(B196,"yyyy-mm"))</f>
        <v/>
      </c>
      <c r="G196" s="29"/>
      <c r="H196" s="29"/>
      <c r="I196" s="29"/>
      <c r="J196" s="29"/>
      <c r="K196" s="29"/>
      <c r="L196" s="29"/>
      <c r="M196" s="29"/>
      <c r="N196" s="29"/>
      <c r="O196" s="29"/>
      <c r="P196" s="29"/>
      <c r="Q196" s="30"/>
      <c r="R196" s="29"/>
      <c r="S196" s="32"/>
      <c r="T196" s="29"/>
      <c r="U196" s="29"/>
      <c r="V196" s="24" t="str">
        <f aca="false">IF(A196="","",IFERROR(INDEX(Settings!$F$5:$F$49,MATCH(G196,Settings!$D$5:$D$49,0)),""))</f>
        <v/>
      </c>
      <c r="W196" s="24" t="str">
        <f aca="false">IF(A196="","",IF(OR(P196="",P196="Organic"),"social","paid_social"))</f>
        <v/>
      </c>
      <c r="X196" s="24" t="str">
        <f aca="false">IF(A196="","",IF(K196&lt;&gt;"",IFERROR(INDEX('Case Studies'!$C$5:$C$54,MATCH(K196,'Case Studies'!$B$5:$B$54,0))&amp;"","case-study"),IF(J196&lt;&gt;"",IFERROR(INDEX(Settings!$J$5:$J$55,MATCH(J196,Settings!$I$5:$I$55,0)),"general"),"general")))</f>
        <v/>
      </c>
      <c r="Y196" s="24" t="str">
        <f aca="false">IF(A196="","",LOWER(A196))</f>
        <v/>
      </c>
      <c r="Z196" s="24" t="str">
        <f aca="false">IF(A196="","",IF(T196="",Settings!$B$5,T196)&amp;IF(ISNUMBER(FIND("?",IF(T196="",Settings!$B$5,T196))),"&amp;","?")&amp;"utm_source="&amp;V196&amp;"&amp;utm_medium="&amp;W196&amp;"&amp;utm_campaign="&amp;X196&amp;"&amp;utm_content="&amp;Y196)</f>
        <v/>
      </c>
      <c r="AA196" s="29"/>
      <c r="AB196" s="39"/>
      <c r="AC196" s="32"/>
      <c r="AD196" s="32"/>
      <c r="AE196" s="32"/>
      <c r="AF196" s="32"/>
      <c r="AG196" s="32"/>
      <c r="AH196" s="32"/>
      <c r="AI196" s="32"/>
      <c r="AJ196" s="32"/>
      <c r="AK196" s="32"/>
      <c r="AL196" s="32"/>
      <c r="AM196" s="32"/>
      <c r="AN196" s="32"/>
      <c r="AO196" s="33" t="str">
        <f aca="false">IF(A196="","",IF(AD196&lt;&gt;"",AD196,IF(AC196&lt;&gt;"",AC196,"")))</f>
        <v/>
      </c>
      <c r="AP196" s="24" t="str">
        <f aca="false">IF(AO196="","",IF(AD196&lt;&gt;"","Reported reach","Impressions (proxy)"))</f>
        <v/>
      </c>
      <c r="AQ196" s="34" t="str">
        <f aca="false">IF(OR(AO196="",N(S196)=0),"",AO196/S196)</f>
        <v/>
      </c>
      <c r="AR196" s="33" t="str">
        <f aca="false">IF(A196="","",IF(COUNT(AF196:AJ196)=0,"",SUM(AF196:AJ196)))</f>
        <v/>
      </c>
      <c r="AS196" s="34" t="str">
        <f aca="false">IF(OR(AR196="",N(AO196)=0),"",AR196/AO196)</f>
        <v/>
      </c>
      <c r="AT196" s="34" t="str">
        <f aca="false">IF(OR(AR196="",N(AC196)=0),"",AR196/AC196)</f>
        <v/>
      </c>
      <c r="AU196" s="34" t="str">
        <f aca="false">IF(OR(AR196="",N(S196)=0),"",AR196/S196)</f>
        <v/>
      </c>
      <c r="AV196" s="34" t="str">
        <f aca="false">IF(OR(AJ196="",N(AC196)=0),"",AJ196/AC196)</f>
        <v/>
      </c>
      <c r="AW196" s="34" t="str">
        <f aca="false">IF(OR(AH196="",N(AO196)=0),"",AH196/AO196)</f>
        <v/>
      </c>
      <c r="AX196" s="35" t="str">
        <f aca="false">IF(OR(AR196="",N(AO196)=0),"",(N(AF196)*Settings!$B$6+N(AG196)*Settings!$B$7+N(AH196)*Settings!$B$8+N(AI196)*Settings!$B$9+N(AJ196)*Settings!$B$10)/AO196*1000)</f>
        <v/>
      </c>
      <c r="AY196" s="36" t="str">
        <f aca="false">IF(AS196="","",IFERROR(AS196/AVERAGEIFS('Post Tracker'!$AS$5:$AS$1004,'Post Tracker'!$G$5:$G$1004,G196),""))</f>
        <v/>
      </c>
      <c r="AZ196" s="32"/>
      <c r="BA196" s="32"/>
      <c r="BB196" s="32"/>
      <c r="BC196" s="32"/>
      <c r="BD196" s="33" t="str">
        <f aca="false">IF(A196="","",COUNTIFS('Demo Pipeline'!$Q$5:$Q$504,A196))</f>
        <v/>
      </c>
      <c r="BE196" s="33" t="str">
        <f aca="false">IF(A196="","",COUNTIFS('Demo Pipeline'!$Q$5:$Q$504,A196,'Demo Pipeline'!$W$5:$W$504,"Attended"))</f>
        <v/>
      </c>
      <c r="BF196" s="33" t="str">
        <f aca="false">IF(A196="","",COUNTIFS('Demo Pipeline'!$Q$5:$Q$504,A196,'Demo Pipeline'!$X$5:$X$504,"Yes"))</f>
        <v/>
      </c>
      <c r="BG196" s="33" t="str">
        <f aca="false">IF(A196="","",COUNTIFS('Demo Pipeline'!$Q$5:$Q$504,A196,'Demo Pipeline'!$Y$5:$Y$504,"Closed Won"))</f>
        <v/>
      </c>
      <c r="BH196" s="37" t="str">
        <f aca="false">IF(A196="","",SUMIFS('Demo Pipeline'!$Z$5:$Z$504,'Demo Pipeline'!$Q$5:$Q$504,A196))</f>
        <v/>
      </c>
      <c r="BI196" s="34" t="str">
        <f aca="false">IF(OR(AZ196="",N(AJ196)=0),"",AZ196/AJ196)</f>
        <v/>
      </c>
      <c r="BJ196" s="34" t="str">
        <f aca="false">IF(OR(BB196="",N(AZ196)=0),"",BB196/AZ196)</f>
        <v/>
      </c>
      <c r="BK196" s="34" t="str">
        <f aca="false">IF(OR(A196="",N(BB196)=0),"",BD196/BB196)</f>
        <v/>
      </c>
      <c r="BL196" s="34" t="str">
        <f aca="false">IF(OR(A196="",N(AZ196)=0),"",BD196/AZ196)</f>
        <v/>
      </c>
      <c r="BM196" s="37" t="str">
        <f aca="false">IF(OR(N(Q196)=0,N(BD196)=0),"",Q196/BD196)</f>
        <v/>
      </c>
      <c r="BN196" s="29"/>
      <c r="BO196" s="29"/>
      <c r="BP196" s="33" t="str">
        <f aca="false">IF(OR(AR196="",N(AO196)=0),"",AR196)</f>
        <v/>
      </c>
      <c r="BQ196" s="33" t="str">
        <f aca="false">IF(OR(AR196="",N(S196)=0),"",S196)</f>
        <v/>
      </c>
      <c r="BR196" s="38" t="str">
        <f aca="false">IF(AND(ISNUMBER(B196),B196&gt;=Dashboard!$C$4,B196&lt;=Dashboard!$F$4,ISNUMBER(AU196)),AU196+ROW()/10^9,"")</f>
        <v/>
      </c>
      <c r="BS196" s="38" t="str">
        <f aca="false">IF(AND(ISNUMBER(B196),B196&gt;=Dashboard!$C$4,B196&lt;=Dashboard!$F$4,A196&lt;&gt;""),N(BD196)+N(AU196)/100+ROW()/10^9,"")</f>
        <v/>
      </c>
    </row>
    <row r="197" customFormat="false" ht="15" hidden="false" customHeight="false" outlineLevel="0" collapsed="false">
      <c r="A197" s="24" t="str">
        <f aca="false">IF(OR(B197="",G197="",H197=""),"",IFERROR(INDEX(Settings!$E$5:$E$49,MATCH(G197,Settings!$D$5:$D$49,0))&amp;INDEX(Settings!$H$5:$H$47,MATCH(H197,Settings!$G$5:$G$47,0))&amp;"-"&amp;TEXT(B197,"yymmdd")&amp;"-"&amp;IF(C197="","0000",TEXT(C197,"hhmm")),"CHECK LISTS"))</f>
        <v/>
      </c>
      <c r="B197" s="39"/>
      <c r="C197" s="40"/>
      <c r="D197" s="24" t="str">
        <f aca="false">IF(B197="","",TEXT(B197,"ddd"))</f>
        <v/>
      </c>
      <c r="E197" s="27" t="str">
        <f aca="false">IF(B197="","",B197-WEEKDAY(B197,3))</f>
        <v/>
      </c>
      <c r="F197" s="24" t="str">
        <f aca="false">IF(B197="","",TEXT(B197,"yyyy-mm"))</f>
        <v/>
      </c>
      <c r="G197" s="29"/>
      <c r="H197" s="29"/>
      <c r="I197" s="29"/>
      <c r="J197" s="29"/>
      <c r="K197" s="29"/>
      <c r="L197" s="29"/>
      <c r="M197" s="29"/>
      <c r="N197" s="29"/>
      <c r="O197" s="29"/>
      <c r="P197" s="29"/>
      <c r="Q197" s="30"/>
      <c r="R197" s="29"/>
      <c r="S197" s="32"/>
      <c r="T197" s="29"/>
      <c r="U197" s="29"/>
      <c r="V197" s="24" t="str">
        <f aca="false">IF(A197="","",IFERROR(INDEX(Settings!$F$5:$F$49,MATCH(G197,Settings!$D$5:$D$49,0)),""))</f>
        <v/>
      </c>
      <c r="W197" s="24" t="str">
        <f aca="false">IF(A197="","",IF(OR(P197="",P197="Organic"),"social","paid_social"))</f>
        <v/>
      </c>
      <c r="X197" s="24" t="str">
        <f aca="false">IF(A197="","",IF(K197&lt;&gt;"",IFERROR(INDEX('Case Studies'!$C$5:$C$54,MATCH(K197,'Case Studies'!$B$5:$B$54,0))&amp;"","case-study"),IF(J197&lt;&gt;"",IFERROR(INDEX(Settings!$J$5:$J$55,MATCH(J197,Settings!$I$5:$I$55,0)),"general"),"general")))</f>
        <v/>
      </c>
      <c r="Y197" s="24" t="str">
        <f aca="false">IF(A197="","",LOWER(A197))</f>
        <v/>
      </c>
      <c r="Z197" s="24" t="str">
        <f aca="false">IF(A197="","",IF(T197="",Settings!$B$5,T197)&amp;IF(ISNUMBER(FIND("?",IF(T197="",Settings!$B$5,T197))),"&amp;","?")&amp;"utm_source="&amp;V197&amp;"&amp;utm_medium="&amp;W197&amp;"&amp;utm_campaign="&amp;X197&amp;"&amp;utm_content="&amp;Y197)</f>
        <v/>
      </c>
      <c r="AA197" s="29"/>
      <c r="AB197" s="39"/>
      <c r="AC197" s="32"/>
      <c r="AD197" s="32"/>
      <c r="AE197" s="32"/>
      <c r="AF197" s="32"/>
      <c r="AG197" s="32"/>
      <c r="AH197" s="32"/>
      <c r="AI197" s="32"/>
      <c r="AJ197" s="32"/>
      <c r="AK197" s="32"/>
      <c r="AL197" s="32"/>
      <c r="AM197" s="32"/>
      <c r="AN197" s="32"/>
      <c r="AO197" s="33" t="str">
        <f aca="false">IF(A197="","",IF(AD197&lt;&gt;"",AD197,IF(AC197&lt;&gt;"",AC197,"")))</f>
        <v/>
      </c>
      <c r="AP197" s="24" t="str">
        <f aca="false">IF(AO197="","",IF(AD197&lt;&gt;"","Reported reach","Impressions (proxy)"))</f>
        <v/>
      </c>
      <c r="AQ197" s="34" t="str">
        <f aca="false">IF(OR(AO197="",N(S197)=0),"",AO197/S197)</f>
        <v/>
      </c>
      <c r="AR197" s="33" t="str">
        <f aca="false">IF(A197="","",IF(COUNT(AF197:AJ197)=0,"",SUM(AF197:AJ197)))</f>
        <v/>
      </c>
      <c r="AS197" s="34" t="str">
        <f aca="false">IF(OR(AR197="",N(AO197)=0),"",AR197/AO197)</f>
        <v/>
      </c>
      <c r="AT197" s="34" t="str">
        <f aca="false">IF(OR(AR197="",N(AC197)=0),"",AR197/AC197)</f>
        <v/>
      </c>
      <c r="AU197" s="34" t="str">
        <f aca="false">IF(OR(AR197="",N(S197)=0),"",AR197/S197)</f>
        <v/>
      </c>
      <c r="AV197" s="34" t="str">
        <f aca="false">IF(OR(AJ197="",N(AC197)=0),"",AJ197/AC197)</f>
        <v/>
      </c>
      <c r="AW197" s="34" t="str">
        <f aca="false">IF(OR(AH197="",N(AO197)=0),"",AH197/AO197)</f>
        <v/>
      </c>
      <c r="AX197" s="35" t="str">
        <f aca="false">IF(OR(AR197="",N(AO197)=0),"",(N(AF197)*Settings!$B$6+N(AG197)*Settings!$B$7+N(AH197)*Settings!$B$8+N(AI197)*Settings!$B$9+N(AJ197)*Settings!$B$10)/AO197*1000)</f>
        <v/>
      </c>
      <c r="AY197" s="36" t="str">
        <f aca="false">IF(AS197="","",IFERROR(AS197/AVERAGEIFS('Post Tracker'!$AS$5:$AS$1004,'Post Tracker'!$G$5:$G$1004,G197),""))</f>
        <v/>
      </c>
      <c r="AZ197" s="32"/>
      <c r="BA197" s="32"/>
      <c r="BB197" s="32"/>
      <c r="BC197" s="32"/>
      <c r="BD197" s="33" t="str">
        <f aca="false">IF(A197="","",COUNTIFS('Demo Pipeline'!$Q$5:$Q$504,A197))</f>
        <v/>
      </c>
      <c r="BE197" s="33" t="str">
        <f aca="false">IF(A197="","",COUNTIFS('Demo Pipeline'!$Q$5:$Q$504,A197,'Demo Pipeline'!$W$5:$W$504,"Attended"))</f>
        <v/>
      </c>
      <c r="BF197" s="33" t="str">
        <f aca="false">IF(A197="","",COUNTIFS('Demo Pipeline'!$Q$5:$Q$504,A197,'Demo Pipeline'!$X$5:$X$504,"Yes"))</f>
        <v/>
      </c>
      <c r="BG197" s="33" t="str">
        <f aca="false">IF(A197="","",COUNTIFS('Demo Pipeline'!$Q$5:$Q$504,A197,'Demo Pipeline'!$Y$5:$Y$504,"Closed Won"))</f>
        <v/>
      </c>
      <c r="BH197" s="37" t="str">
        <f aca="false">IF(A197="","",SUMIFS('Demo Pipeline'!$Z$5:$Z$504,'Demo Pipeline'!$Q$5:$Q$504,A197))</f>
        <v/>
      </c>
      <c r="BI197" s="34" t="str">
        <f aca="false">IF(OR(AZ197="",N(AJ197)=0),"",AZ197/AJ197)</f>
        <v/>
      </c>
      <c r="BJ197" s="34" t="str">
        <f aca="false">IF(OR(BB197="",N(AZ197)=0),"",BB197/AZ197)</f>
        <v/>
      </c>
      <c r="BK197" s="34" t="str">
        <f aca="false">IF(OR(A197="",N(BB197)=0),"",BD197/BB197)</f>
        <v/>
      </c>
      <c r="BL197" s="34" t="str">
        <f aca="false">IF(OR(A197="",N(AZ197)=0),"",BD197/AZ197)</f>
        <v/>
      </c>
      <c r="BM197" s="37" t="str">
        <f aca="false">IF(OR(N(Q197)=0,N(BD197)=0),"",Q197/BD197)</f>
        <v/>
      </c>
      <c r="BN197" s="29"/>
      <c r="BO197" s="29"/>
      <c r="BP197" s="33" t="str">
        <f aca="false">IF(OR(AR197="",N(AO197)=0),"",AR197)</f>
        <v/>
      </c>
      <c r="BQ197" s="33" t="str">
        <f aca="false">IF(OR(AR197="",N(S197)=0),"",S197)</f>
        <v/>
      </c>
      <c r="BR197" s="38" t="str">
        <f aca="false">IF(AND(ISNUMBER(B197),B197&gt;=Dashboard!$C$4,B197&lt;=Dashboard!$F$4,ISNUMBER(AU197)),AU197+ROW()/10^9,"")</f>
        <v/>
      </c>
      <c r="BS197" s="38" t="str">
        <f aca="false">IF(AND(ISNUMBER(B197),B197&gt;=Dashboard!$C$4,B197&lt;=Dashboard!$F$4,A197&lt;&gt;""),N(BD197)+N(AU197)/100+ROW()/10^9,"")</f>
        <v/>
      </c>
    </row>
    <row r="198" customFormat="false" ht="15" hidden="false" customHeight="false" outlineLevel="0" collapsed="false">
      <c r="A198" s="24" t="str">
        <f aca="false">IF(OR(B198="",G198="",H198=""),"",IFERROR(INDEX(Settings!$E$5:$E$49,MATCH(G198,Settings!$D$5:$D$49,0))&amp;INDEX(Settings!$H$5:$H$47,MATCH(H198,Settings!$G$5:$G$47,0))&amp;"-"&amp;TEXT(B198,"yymmdd")&amp;"-"&amp;IF(C198="","0000",TEXT(C198,"hhmm")),"CHECK LISTS"))</f>
        <v/>
      </c>
      <c r="B198" s="39"/>
      <c r="C198" s="40"/>
      <c r="D198" s="24" t="str">
        <f aca="false">IF(B198="","",TEXT(B198,"ddd"))</f>
        <v/>
      </c>
      <c r="E198" s="27" t="str">
        <f aca="false">IF(B198="","",B198-WEEKDAY(B198,3))</f>
        <v/>
      </c>
      <c r="F198" s="24" t="str">
        <f aca="false">IF(B198="","",TEXT(B198,"yyyy-mm"))</f>
        <v/>
      </c>
      <c r="G198" s="29"/>
      <c r="H198" s="29"/>
      <c r="I198" s="29"/>
      <c r="J198" s="29"/>
      <c r="K198" s="29"/>
      <c r="L198" s="29"/>
      <c r="M198" s="29"/>
      <c r="N198" s="29"/>
      <c r="O198" s="29"/>
      <c r="P198" s="29"/>
      <c r="Q198" s="30"/>
      <c r="R198" s="29"/>
      <c r="S198" s="32"/>
      <c r="T198" s="29"/>
      <c r="U198" s="29"/>
      <c r="V198" s="24" t="str">
        <f aca="false">IF(A198="","",IFERROR(INDEX(Settings!$F$5:$F$49,MATCH(G198,Settings!$D$5:$D$49,0)),""))</f>
        <v/>
      </c>
      <c r="W198" s="24" t="str">
        <f aca="false">IF(A198="","",IF(OR(P198="",P198="Organic"),"social","paid_social"))</f>
        <v/>
      </c>
      <c r="X198" s="24" t="str">
        <f aca="false">IF(A198="","",IF(K198&lt;&gt;"",IFERROR(INDEX('Case Studies'!$C$5:$C$54,MATCH(K198,'Case Studies'!$B$5:$B$54,0))&amp;"","case-study"),IF(J198&lt;&gt;"",IFERROR(INDEX(Settings!$J$5:$J$55,MATCH(J198,Settings!$I$5:$I$55,0)),"general"),"general")))</f>
        <v/>
      </c>
      <c r="Y198" s="24" t="str">
        <f aca="false">IF(A198="","",LOWER(A198))</f>
        <v/>
      </c>
      <c r="Z198" s="24" t="str">
        <f aca="false">IF(A198="","",IF(T198="",Settings!$B$5,T198)&amp;IF(ISNUMBER(FIND("?",IF(T198="",Settings!$B$5,T198))),"&amp;","?")&amp;"utm_source="&amp;V198&amp;"&amp;utm_medium="&amp;W198&amp;"&amp;utm_campaign="&amp;X198&amp;"&amp;utm_content="&amp;Y198)</f>
        <v/>
      </c>
      <c r="AA198" s="29"/>
      <c r="AB198" s="39"/>
      <c r="AC198" s="32"/>
      <c r="AD198" s="32"/>
      <c r="AE198" s="32"/>
      <c r="AF198" s="32"/>
      <c r="AG198" s="32"/>
      <c r="AH198" s="32"/>
      <c r="AI198" s="32"/>
      <c r="AJ198" s="32"/>
      <c r="AK198" s="32"/>
      <c r="AL198" s="32"/>
      <c r="AM198" s="32"/>
      <c r="AN198" s="32"/>
      <c r="AO198" s="33" t="str">
        <f aca="false">IF(A198="","",IF(AD198&lt;&gt;"",AD198,IF(AC198&lt;&gt;"",AC198,"")))</f>
        <v/>
      </c>
      <c r="AP198" s="24" t="str">
        <f aca="false">IF(AO198="","",IF(AD198&lt;&gt;"","Reported reach","Impressions (proxy)"))</f>
        <v/>
      </c>
      <c r="AQ198" s="34" t="str">
        <f aca="false">IF(OR(AO198="",N(S198)=0),"",AO198/S198)</f>
        <v/>
      </c>
      <c r="AR198" s="33" t="str">
        <f aca="false">IF(A198="","",IF(COUNT(AF198:AJ198)=0,"",SUM(AF198:AJ198)))</f>
        <v/>
      </c>
      <c r="AS198" s="34" t="str">
        <f aca="false">IF(OR(AR198="",N(AO198)=0),"",AR198/AO198)</f>
        <v/>
      </c>
      <c r="AT198" s="34" t="str">
        <f aca="false">IF(OR(AR198="",N(AC198)=0),"",AR198/AC198)</f>
        <v/>
      </c>
      <c r="AU198" s="34" t="str">
        <f aca="false">IF(OR(AR198="",N(S198)=0),"",AR198/S198)</f>
        <v/>
      </c>
      <c r="AV198" s="34" t="str">
        <f aca="false">IF(OR(AJ198="",N(AC198)=0),"",AJ198/AC198)</f>
        <v/>
      </c>
      <c r="AW198" s="34" t="str">
        <f aca="false">IF(OR(AH198="",N(AO198)=0),"",AH198/AO198)</f>
        <v/>
      </c>
      <c r="AX198" s="35" t="str">
        <f aca="false">IF(OR(AR198="",N(AO198)=0),"",(N(AF198)*Settings!$B$6+N(AG198)*Settings!$B$7+N(AH198)*Settings!$B$8+N(AI198)*Settings!$B$9+N(AJ198)*Settings!$B$10)/AO198*1000)</f>
        <v/>
      </c>
      <c r="AY198" s="36" t="str">
        <f aca="false">IF(AS198="","",IFERROR(AS198/AVERAGEIFS('Post Tracker'!$AS$5:$AS$1004,'Post Tracker'!$G$5:$G$1004,G198),""))</f>
        <v/>
      </c>
      <c r="AZ198" s="32"/>
      <c r="BA198" s="32"/>
      <c r="BB198" s="32"/>
      <c r="BC198" s="32"/>
      <c r="BD198" s="33" t="str">
        <f aca="false">IF(A198="","",COUNTIFS('Demo Pipeline'!$Q$5:$Q$504,A198))</f>
        <v/>
      </c>
      <c r="BE198" s="33" t="str">
        <f aca="false">IF(A198="","",COUNTIFS('Demo Pipeline'!$Q$5:$Q$504,A198,'Demo Pipeline'!$W$5:$W$504,"Attended"))</f>
        <v/>
      </c>
      <c r="BF198" s="33" t="str">
        <f aca="false">IF(A198="","",COUNTIFS('Demo Pipeline'!$Q$5:$Q$504,A198,'Demo Pipeline'!$X$5:$X$504,"Yes"))</f>
        <v/>
      </c>
      <c r="BG198" s="33" t="str">
        <f aca="false">IF(A198="","",COUNTIFS('Demo Pipeline'!$Q$5:$Q$504,A198,'Demo Pipeline'!$Y$5:$Y$504,"Closed Won"))</f>
        <v/>
      </c>
      <c r="BH198" s="37" t="str">
        <f aca="false">IF(A198="","",SUMIFS('Demo Pipeline'!$Z$5:$Z$504,'Demo Pipeline'!$Q$5:$Q$504,A198))</f>
        <v/>
      </c>
      <c r="BI198" s="34" t="str">
        <f aca="false">IF(OR(AZ198="",N(AJ198)=0),"",AZ198/AJ198)</f>
        <v/>
      </c>
      <c r="BJ198" s="34" t="str">
        <f aca="false">IF(OR(BB198="",N(AZ198)=0),"",BB198/AZ198)</f>
        <v/>
      </c>
      <c r="BK198" s="34" t="str">
        <f aca="false">IF(OR(A198="",N(BB198)=0),"",BD198/BB198)</f>
        <v/>
      </c>
      <c r="BL198" s="34" t="str">
        <f aca="false">IF(OR(A198="",N(AZ198)=0),"",BD198/AZ198)</f>
        <v/>
      </c>
      <c r="BM198" s="37" t="str">
        <f aca="false">IF(OR(N(Q198)=0,N(BD198)=0),"",Q198/BD198)</f>
        <v/>
      </c>
      <c r="BN198" s="29"/>
      <c r="BO198" s="29"/>
      <c r="BP198" s="33" t="str">
        <f aca="false">IF(OR(AR198="",N(AO198)=0),"",AR198)</f>
        <v/>
      </c>
      <c r="BQ198" s="33" t="str">
        <f aca="false">IF(OR(AR198="",N(S198)=0),"",S198)</f>
        <v/>
      </c>
      <c r="BR198" s="38" t="str">
        <f aca="false">IF(AND(ISNUMBER(B198),B198&gt;=Dashboard!$C$4,B198&lt;=Dashboard!$F$4,ISNUMBER(AU198)),AU198+ROW()/10^9,"")</f>
        <v/>
      </c>
      <c r="BS198" s="38" t="str">
        <f aca="false">IF(AND(ISNUMBER(B198),B198&gt;=Dashboard!$C$4,B198&lt;=Dashboard!$F$4,A198&lt;&gt;""),N(BD198)+N(AU198)/100+ROW()/10^9,"")</f>
        <v/>
      </c>
    </row>
    <row r="199" customFormat="false" ht="15" hidden="false" customHeight="false" outlineLevel="0" collapsed="false">
      <c r="A199" s="24" t="str">
        <f aca="false">IF(OR(B199="",G199="",H199=""),"",IFERROR(INDEX(Settings!$E$5:$E$49,MATCH(G199,Settings!$D$5:$D$49,0))&amp;INDEX(Settings!$H$5:$H$47,MATCH(H199,Settings!$G$5:$G$47,0))&amp;"-"&amp;TEXT(B199,"yymmdd")&amp;"-"&amp;IF(C199="","0000",TEXT(C199,"hhmm")),"CHECK LISTS"))</f>
        <v/>
      </c>
      <c r="B199" s="39"/>
      <c r="C199" s="40"/>
      <c r="D199" s="24" t="str">
        <f aca="false">IF(B199="","",TEXT(B199,"ddd"))</f>
        <v/>
      </c>
      <c r="E199" s="27" t="str">
        <f aca="false">IF(B199="","",B199-WEEKDAY(B199,3))</f>
        <v/>
      </c>
      <c r="F199" s="24" t="str">
        <f aca="false">IF(B199="","",TEXT(B199,"yyyy-mm"))</f>
        <v/>
      </c>
      <c r="G199" s="29"/>
      <c r="H199" s="29"/>
      <c r="I199" s="29"/>
      <c r="J199" s="29"/>
      <c r="K199" s="29"/>
      <c r="L199" s="29"/>
      <c r="M199" s="29"/>
      <c r="N199" s="29"/>
      <c r="O199" s="29"/>
      <c r="P199" s="29"/>
      <c r="Q199" s="30"/>
      <c r="R199" s="29"/>
      <c r="S199" s="32"/>
      <c r="T199" s="29"/>
      <c r="U199" s="29"/>
      <c r="V199" s="24" t="str">
        <f aca="false">IF(A199="","",IFERROR(INDEX(Settings!$F$5:$F$49,MATCH(G199,Settings!$D$5:$D$49,0)),""))</f>
        <v/>
      </c>
      <c r="W199" s="24" t="str">
        <f aca="false">IF(A199="","",IF(OR(P199="",P199="Organic"),"social","paid_social"))</f>
        <v/>
      </c>
      <c r="X199" s="24" t="str">
        <f aca="false">IF(A199="","",IF(K199&lt;&gt;"",IFERROR(INDEX('Case Studies'!$C$5:$C$54,MATCH(K199,'Case Studies'!$B$5:$B$54,0))&amp;"","case-study"),IF(J199&lt;&gt;"",IFERROR(INDEX(Settings!$J$5:$J$55,MATCH(J199,Settings!$I$5:$I$55,0)),"general"),"general")))</f>
        <v/>
      </c>
      <c r="Y199" s="24" t="str">
        <f aca="false">IF(A199="","",LOWER(A199))</f>
        <v/>
      </c>
      <c r="Z199" s="24" t="str">
        <f aca="false">IF(A199="","",IF(T199="",Settings!$B$5,T199)&amp;IF(ISNUMBER(FIND("?",IF(T199="",Settings!$B$5,T199))),"&amp;","?")&amp;"utm_source="&amp;V199&amp;"&amp;utm_medium="&amp;W199&amp;"&amp;utm_campaign="&amp;X199&amp;"&amp;utm_content="&amp;Y199)</f>
        <v/>
      </c>
      <c r="AA199" s="29"/>
      <c r="AB199" s="39"/>
      <c r="AC199" s="32"/>
      <c r="AD199" s="32"/>
      <c r="AE199" s="32"/>
      <c r="AF199" s="32"/>
      <c r="AG199" s="32"/>
      <c r="AH199" s="32"/>
      <c r="AI199" s="32"/>
      <c r="AJ199" s="32"/>
      <c r="AK199" s="32"/>
      <c r="AL199" s="32"/>
      <c r="AM199" s="32"/>
      <c r="AN199" s="32"/>
      <c r="AO199" s="33" t="str">
        <f aca="false">IF(A199="","",IF(AD199&lt;&gt;"",AD199,IF(AC199&lt;&gt;"",AC199,"")))</f>
        <v/>
      </c>
      <c r="AP199" s="24" t="str">
        <f aca="false">IF(AO199="","",IF(AD199&lt;&gt;"","Reported reach","Impressions (proxy)"))</f>
        <v/>
      </c>
      <c r="AQ199" s="34" t="str">
        <f aca="false">IF(OR(AO199="",N(S199)=0),"",AO199/S199)</f>
        <v/>
      </c>
      <c r="AR199" s="33" t="str">
        <f aca="false">IF(A199="","",IF(COUNT(AF199:AJ199)=0,"",SUM(AF199:AJ199)))</f>
        <v/>
      </c>
      <c r="AS199" s="34" t="str">
        <f aca="false">IF(OR(AR199="",N(AO199)=0),"",AR199/AO199)</f>
        <v/>
      </c>
      <c r="AT199" s="34" t="str">
        <f aca="false">IF(OR(AR199="",N(AC199)=0),"",AR199/AC199)</f>
        <v/>
      </c>
      <c r="AU199" s="34" t="str">
        <f aca="false">IF(OR(AR199="",N(S199)=0),"",AR199/S199)</f>
        <v/>
      </c>
      <c r="AV199" s="34" t="str">
        <f aca="false">IF(OR(AJ199="",N(AC199)=0),"",AJ199/AC199)</f>
        <v/>
      </c>
      <c r="AW199" s="34" t="str">
        <f aca="false">IF(OR(AH199="",N(AO199)=0),"",AH199/AO199)</f>
        <v/>
      </c>
      <c r="AX199" s="35" t="str">
        <f aca="false">IF(OR(AR199="",N(AO199)=0),"",(N(AF199)*Settings!$B$6+N(AG199)*Settings!$B$7+N(AH199)*Settings!$B$8+N(AI199)*Settings!$B$9+N(AJ199)*Settings!$B$10)/AO199*1000)</f>
        <v/>
      </c>
      <c r="AY199" s="36" t="str">
        <f aca="false">IF(AS199="","",IFERROR(AS199/AVERAGEIFS('Post Tracker'!$AS$5:$AS$1004,'Post Tracker'!$G$5:$G$1004,G199),""))</f>
        <v/>
      </c>
      <c r="AZ199" s="32"/>
      <c r="BA199" s="32"/>
      <c r="BB199" s="32"/>
      <c r="BC199" s="32"/>
      <c r="BD199" s="33" t="str">
        <f aca="false">IF(A199="","",COUNTIFS('Demo Pipeline'!$Q$5:$Q$504,A199))</f>
        <v/>
      </c>
      <c r="BE199" s="33" t="str">
        <f aca="false">IF(A199="","",COUNTIFS('Demo Pipeline'!$Q$5:$Q$504,A199,'Demo Pipeline'!$W$5:$W$504,"Attended"))</f>
        <v/>
      </c>
      <c r="BF199" s="33" t="str">
        <f aca="false">IF(A199="","",COUNTIFS('Demo Pipeline'!$Q$5:$Q$504,A199,'Demo Pipeline'!$X$5:$X$504,"Yes"))</f>
        <v/>
      </c>
      <c r="BG199" s="33" t="str">
        <f aca="false">IF(A199="","",COUNTIFS('Demo Pipeline'!$Q$5:$Q$504,A199,'Demo Pipeline'!$Y$5:$Y$504,"Closed Won"))</f>
        <v/>
      </c>
      <c r="BH199" s="37" t="str">
        <f aca="false">IF(A199="","",SUMIFS('Demo Pipeline'!$Z$5:$Z$504,'Demo Pipeline'!$Q$5:$Q$504,A199))</f>
        <v/>
      </c>
      <c r="BI199" s="34" t="str">
        <f aca="false">IF(OR(AZ199="",N(AJ199)=0),"",AZ199/AJ199)</f>
        <v/>
      </c>
      <c r="BJ199" s="34" t="str">
        <f aca="false">IF(OR(BB199="",N(AZ199)=0),"",BB199/AZ199)</f>
        <v/>
      </c>
      <c r="BK199" s="34" t="str">
        <f aca="false">IF(OR(A199="",N(BB199)=0),"",BD199/BB199)</f>
        <v/>
      </c>
      <c r="BL199" s="34" t="str">
        <f aca="false">IF(OR(A199="",N(AZ199)=0),"",BD199/AZ199)</f>
        <v/>
      </c>
      <c r="BM199" s="37" t="str">
        <f aca="false">IF(OR(N(Q199)=0,N(BD199)=0),"",Q199/BD199)</f>
        <v/>
      </c>
      <c r="BN199" s="29"/>
      <c r="BO199" s="29"/>
      <c r="BP199" s="33" t="str">
        <f aca="false">IF(OR(AR199="",N(AO199)=0),"",AR199)</f>
        <v/>
      </c>
      <c r="BQ199" s="33" t="str">
        <f aca="false">IF(OR(AR199="",N(S199)=0),"",S199)</f>
        <v/>
      </c>
      <c r="BR199" s="38" t="str">
        <f aca="false">IF(AND(ISNUMBER(B199),B199&gt;=Dashboard!$C$4,B199&lt;=Dashboard!$F$4,ISNUMBER(AU199)),AU199+ROW()/10^9,"")</f>
        <v/>
      </c>
      <c r="BS199" s="38" t="str">
        <f aca="false">IF(AND(ISNUMBER(B199),B199&gt;=Dashboard!$C$4,B199&lt;=Dashboard!$F$4,A199&lt;&gt;""),N(BD199)+N(AU199)/100+ROW()/10^9,"")</f>
        <v/>
      </c>
    </row>
    <row r="200" customFormat="false" ht="15" hidden="false" customHeight="false" outlineLevel="0" collapsed="false">
      <c r="A200" s="24" t="str">
        <f aca="false">IF(OR(B200="",G200="",H200=""),"",IFERROR(INDEX(Settings!$E$5:$E$49,MATCH(G200,Settings!$D$5:$D$49,0))&amp;INDEX(Settings!$H$5:$H$47,MATCH(H200,Settings!$G$5:$G$47,0))&amp;"-"&amp;TEXT(B200,"yymmdd")&amp;"-"&amp;IF(C200="","0000",TEXT(C200,"hhmm")),"CHECK LISTS"))</f>
        <v/>
      </c>
      <c r="B200" s="39"/>
      <c r="C200" s="40"/>
      <c r="D200" s="24" t="str">
        <f aca="false">IF(B200="","",TEXT(B200,"ddd"))</f>
        <v/>
      </c>
      <c r="E200" s="27" t="str">
        <f aca="false">IF(B200="","",B200-WEEKDAY(B200,3))</f>
        <v/>
      </c>
      <c r="F200" s="24" t="str">
        <f aca="false">IF(B200="","",TEXT(B200,"yyyy-mm"))</f>
        <v/>
      </c>
      <c r="G200" s="29"/>
      <c r="H200" s="29"/>
      <c r="I200" s="29"/>
      <c r="J200" s="29"/>
      <c r="K200" s="29"/>
      <c r="L200" s="29"/>
      <c r="M200" s="29"/>
      <c r="N200" s="29"/>
      <c r="O200" s="29"/>
      <c r="P200" s="29"/>
      <c r="Q200" s="30"/>
      <c r="R200" s="29"/>
      <c r="S200" s="32"/>
      <c r="T200" s="29"/>
      <c r="U200" s="29"/>
      <c r="V200" s="24" t="str">
        <f aca="false">IF(A200="","",IFERROR(INDEX(Settings!$F$5:$F$49,MATCH(G200,Settings!$D$5:$D$49,0)),""))</f>
        <v/>
      </c>
      <c r="W200" s="24" t="str">
        <f aca="false">IF(A200="","",IF(OR(P200="",P200="Organic"),"social","paid_social"))</f>
        <v/>
      </c>
      <c r="X200" s="24" t="str">
        <f aca="false">IF(A200="","",IF(K200&lt;&gt;"",IFERROR(INDEX('Case Studies'!$C$5:$C$54,MATCH(K200,'Case Studies'!$B$5:$B$54,0))&amp;"","case-study"),IF(J200&lt;&gt;"",IFERROR(INDEX(Settings!$J$5:$J$55,MATCH(J200,Settings!$I$5:$I$55,0)),"general"),"general")))</f>
        <v/>
      </c>
      <c r="Y200" s="24" t="str">
        <f aca="false">IF(A200="","",LOWER(A200))</f>
        <v/>
      </c>
      <c r="Z200" s="24" t="str">
        <f aca="false">IF(A200="","",IF(T200="",Settings!$B$5,T200)&amp;IF(ISNUMBER(FIND("?",IF(T200="",Settings!$B$5,T200))),"&amp;","?")&amp;"utm_source="&amp;V200&amp;"&amp;utm_medium="&amp;W200&amp;"&amp;utm_campaign="&amp;X200&amp;"&amp;utm_content="&amp;Y200)</f>
        <v/>
      </c>
      <c r="AA200" s="29"/>
      <c r="AB200" s="39"/>
      <c r="AC200" s="32"/>
      <c r="AD200" s="32"/>
      <c r="AE200" s="32"/>
      <c r="AF200" s="32"/>
      <c r="AG200" s="32"/>
      <c r="AH200" s="32"/>
      <c r="AI200" s="32"/>
      <c r="AJ200" s="32"/>
      <c r="AK200" s="32"/>
      <c r="AL200" s="32"/>
      <c r="AM200" s="32"/>
      <c r="AN200" s="32"/>
      <c r="AO200" s="33" t="str">
        <f aca="false">IF(A200="","",IF(AD200&lt;&gt;"",AD200,IF(AC200&lt;&gt;"",AC200,"")))</f>
        <v/>
      </c>
      <c r="AP200" s="24" t="str">
        <f aca="false">IF(AO200="","",IF(AD200&lt;&gt;"","Reported reach","Impressions (proxy)"))</f>
        <v/>
      </c>
      <c r="AQ200" s="34" t="str">
        <f aca="false">IF(OR(AO200="",N(S200)=0),"",AO200/S200)</f>
        <v/>
      </c>
      <c r="AR200" s="33" t="str">
        <f aca="false">IF(A200="","",IF(COUNT(AF200:AJ200)=0,"",SUM(AF200:AJ200)))</f>
        <v/>
      </c>
      <c r="AS200" s="34" t="str">
        <f aca="false">IF(OR(AR200="",N(AO200)=0),"",AR200/AO200)</f>
        <v/>
      </c>
      <c r="AT200" s="34" t="str">
        <f aca="false">IF(OR(AR200="",N(AC200)=0),"",AR200/AC200)</f>
        <v/>
      </c>
      <c r="AU200" s="34" t="str">
        <f aca="false">IF(OR(AR200="",N(S200)=0),"",AR200/S200)</f>
        <v/>
      </c>
      <c r="AV200" s="34" t="str">
        <f aca="false">IF(OR(AJ200="",N(AC200)=0),"",AJ200/AC200)</f>
        <v/>
      </c>
      <c r="AW200" s="34" t="str">
        <f aca="false">IF(OR(AH200="",N(AO200)=0),"",AH200/AO200)</f>
        <v/>
      </c>
      <c r="AX200" s="35" t="str">
        <f aca="false">IF(OR(AR200="",N(AO200)=0),"",(N(AF200)*Settings!$B$6+N(AG200)*Settings!$B$7+N(AH200)*Settings!$B$8+N(AI200)*Settings!$B$9+N(AJ200)*Settings!$B$10)/AO200*1000)</f>
        <v/>
      </c>
      <c r="AY200" s="36" t="str">
        <f aca="false">IF(AS200="","",IFERROR(AS200/AVERAGEIFS('Post Tracker'!$AS$5:$AS$1004,'Post Tracker'!$G$5:$G$1004,G200),""))</f>
        <v/>
      </c>
      <c r="AZ200" s="32"/>
      <c r="BA200" s="32"/>
      <c r="BB200" s="32"/>
      <c r="BC200" s="32"/>
      <c r="BD200" s="33" t="str">
        <f aca="false">IF(A200="","",COUNTIFS('Demo Pipeline'!$Q$5:$Q$504,A200))</f>
        <v/>
      </c>
      <c r="BE200" s="33" t="str">
        <f aca="false">IF(A200="","",COUNTIFS('Demo Pipeline'!$Q$5:$Q$504,A200,'Demo Pipeline'!$W$5:$W$504,"Attended"))</f>
        <v/>
      </c>
      <c r="BF200" s="33" t="str">
        <f aca="false">IF(A200="","",COUNTIFS('Demo Pipeline'!$Q$5:$Q$504,A200,'Demo Pipeline'!$X$5:$X$504,"Yes"))</f>
        <v/>
      </c>
      <c r="BG200" s="33" t="str">
        <f aca="false">IF(A200="","",COUNTIFS('Demo Pipeline'!$Q$5:$Q$504,A200,'Demo Pipeline'!$Y$5:$Y$504,"Closed Won"))</f>
        <v/>
      </c>
      <c r="BH200" s="37" t="str">
        <f aca="false">IF(A200="","",SUMIFS('Demo Pipeline'!$Z$5:$Z$504,'Demo Pipeline'!$Q$5:$Q$504,A200))</f>
        <v/>
      </c>
      <c r="BI200" s="34" t="str">
        <f aca="false">IF(OR(AZ200="",N(AJ200)=0),"",AZ200/AJ200)</f>
        <v/>
      </c>
      <c r="BJ200" s="34" t="str">
        <f aca="false">IF(OR(BB200="",N(AZ200)=0),"",BB200/AZ200)</f>
        <v/>
      </c>
      <c r="BK200" s="34" t="str">
        <f aca="false">IF(OR(A200="",N(BB200)=0),"",BD200/BB200)</f>
        <v/>
      </c>
      <c r="BL200" s="34" t="str">
        <f aca="false">IF(OR(A200="",N(AZ200)=0),"",BD200/AZ200)</f>
        <v/>
      </c>
      <c r="BM200" s="37" t="str">
        <f aca="false">IF(OR(N(Q200)=0,N(BD200)=0),"",Q200/BD200)</f>
        <v/>
      </c>
      <c r="BN200" s="29"/>
      <c r="BO200" s="29"/>
      <c r="BP200" s="33" t="str">
        <f aca="false">IF(OR(AR200="",N(AO200)=0),"",AR200)</f>
        <v/>
      </c>
      <c r="BQ200" s="33" t="str">
        <f aca="false">IF(OR(AR200="",N(S200)=0),"",S200)</f>
        <v/>
      </c>
      <c r="BR200" s="38" t="str">
        <f aca="false">IF(AND(ISNUMBER(B200),B200&gt;=Dashboard!$C$4,B200&lt;=Dashboard!$F$4,ISNUMBER(AU200)),AU200+ROW()/10^9,"")</f>
        <v/>
      </c>
      <c r="BS200" s="38" t="str">
        <f aca="false">IF(AND(ISNUMBER(B200),B200&gt;=Dashboard!$C$4,B200&lt;=Dashboard!$F$4,A200&lt;&gt;""),N(BD200)+N(AU200)/100+ROW()/10^9,"")</f>
        <v/>
      </c>
    </row>
    <row r="201" customFormat="false" ht="15" hidden="false" customHeight="false" outlineLevel="0" collapsed="false">
      <c r="A201" s="24" t="str">
        <f aca="false">IF(OR(B201="",G201="",H201=""),"",IFERROR(INDEX(Settings!$E$5:$E$49,MATCH(G201,Settings!$D$5:$D$49,0))&amp;INDEX(Settings!$H$5:$H$47,MATCH(H201,Settings!$G$5:$G$47,0))&amp;"-"&amp;TEXT(B201,"yymmdd")&amp;"-"&amp;IF(C201="","0000",TEXT(C201,"hhmm")),"CHECK LISTS"))</f>
        <v/>
      </c>
      <c r="B201" s="39"/>
      <c r="C201" s="40"/>
      <c r="D201" s="24" t="str">
        <f aca="false">IF(B201="","",TEXT(B201,"ddd"))</f>
        <v/>
      </c>
      <c r="E201" s="27" t="str">
        <f aca="false">IF(B201="","",B201-WEEKDAY(B201,3))</f>
        <v/>
      </c>
      <c r="F201" s="24" t="str">
        <f aca="false">IF(B201="","",TEXT(B201,"yyyy-mm"))</f>
        <v/>
      </c>
      <c r="G201" s="29"/>
      <c r="H201" s="29"/>
      <c r="I201" s="29"/>
      <c r="J201" s="29"/>
      <c r="K201" s="29"/>
      <c r="L201" s="29"/>
      <c r="M201" s="29"/>
      <c r="N201" s="29"/>
      <c r="O201" s="29"/>
      <c r="P201" s="29"/>
      <c r="Q201" s="30"/>
      <c r="R201" s="29"/>
      <c r="S201" s="32"/>
      <c r="T201" s="29"/>
      <c r="U201" s="29"/>
      <c r="V201" s="24" t="str">
        <f aca="false">IF(A201="","",IFERROR(INDEX(Settings!$F$5:$F$49,MATCH(G201,Settings!$D$5:$D$49,0)),""))</f>
        <v/>
      </c>
      <c r="W201" s="24" t="str">
        <f aca="false">IF(A201="","",IF(OR(P201="",P201="Organic"),"social","paid_social"))</f>
        <v/>
      </c>
      <c r="X201" s="24" t="str">
        <f aca="false">IF(A201="","",IF(K201&lt;&gt;"",IFERROR(INDEX('Case Studies'!$C$5:$C$54,MATCH(K201,'Case Studies'!$B$5:$B$54,0))&amp;"","case-study"),IF(J201&lt;&gt;"",IFERROR(INDEX(Settings!$J$5:$J$55,MATCH(J201,Settings!$I$5:$I$55,0)),"general"),"general")))</f>
        <v/>
      </c>
      <c r="Y201" s="24" t="str">
        <f aca="false">IF(A201="","",LOWER(A201))</f>
        <v/>
      </c>
      <c r="Z201" s="24" t="str">
        <f aca="false">IF(A201="","",IF(T201="",Settings!$B$5,T201)&amp;IF(ISNUMBER(FIND("?",IF(T201="",Settings!$B$5,T201))),"&amp;","?")&amp;"utm_source="&amp;V201&amp;"&amp;utm_medium="&amp;W201&amp;"&amp;utm_campaign="&amp;X201&amp;"&amp;utm_content="&amp;Y201)</f>
        <v/>
      </c>
      <c r="AA201" s="29"/>
      <c r="AB201" s="39"/>
      <c r="AC201" s="32"/>
      <c r="AD201" s="32"/>
      <c r="AE201" s="32"/>
      <c r="AF201" s="32"/>
      <c r="AG201" s="32"/>
      <c r="AH201" s="32"/>
      <c r="AI201" s="32"/>
      <c r="AJ201" s="32"/>
      <c r="AK201" s="32"/>
      <c r="AL201" s="32"/>
      <c r="AM201" s="32"/>
      <c r="AN201" s="32"/>
      <c r="AO201" s="33" t="str">
        <f aca="false">IF(A201="","",IF(AD201&lt;&gt;"",AD201,IF(AC201&lt;&gt;"",AC201,"")))</f>
        <v/>
      </c>
      <c r="AP201" s="24" t="str">
        <f aca="false">IF(AO201="","",IF(AD201&lt;&gt;"","Reported reach","Impressions (proxy)"))</f>
        <v/>
      </c>
      <c r="AQ201" s="34" t="str">
        <f aca="false">IF(OR(AO201="",N(S201)=0),"",AO201/S201)</f>
        <v/>
      </c>
      <c r="AR201" s="33" t="str">
        <f aca="false">IF(A201="","",IF(COUNT(AF201:AJ201)=0,"",SUM(AF201:AJ201)))</f>
        <v/>
      </c>
      <c r="AS201" s="34" t="str">
        <f aca="false">IF(OR(AR201="",N(AO201)=0),"",AR201/AO201)</f>
        <v/>
      </c>
      <c r="AT201" s="34" t="str">
        <f aca="false">IF(OR(AR201="",N(AC201)=0),"",AR201/AC201)</f>
        <v/>
      </c>
      <c r="AU201" s="34" t="str">
        <f aca="false">IF(OR(AR201="",N(S201)=0),"",AR201/S201)</f>
        <v/>
      </c>
      <c r="AV201" s="34" t="str">
        <f aca="false">IF(OR(AJ201="",N(AC201)=0),"",AJ201/AC201)</f>
        <v/>
      </c>
      <c r="AW201" s="34" t="str">
        <f aca="false">IF(OR(AH201="",N(AO201)=0),"",AH201/AO201)</f>
        <v/>
      </c>
      <c r="AX201" s="35" t="str">
        <f aca="false">IF(OR(AR201="",N(AO201)=0),"",(N(AF201)*Settings!$B$6+N(AG201)*Settings!$B$7+N(AH201)*Settings!$B$8+N(AI201)*Settings!$B$9+N(AJ201)*Settings!$B$10)/AO201*1000)</f>
        <v/>
      </c>
      <c r="AY201" s="36" t="str">
        <f aca="false">IF(AS201="","",IFERROR(AS201/AVERAGEIFS('Post Tracker'!$AS$5:$AS$1004,'Post Tracker'!$G$5:$G$1004,G201),""))</f>
        <v/>
      </c>
      <c r="AZ201" s="32"/>
      <c r="BA201" s="32"/>
      <c r="BB201" s="32"/>
      <c r="BC201" s="32"/>
      <c r="BD201" s="33" t="str">
        <f aca="false">IF(A201="","",COUNTIFS('Demo Pipeline'!$Q$5:$Q$504,A201))</f>
        <v/>
      </c>
      <c r="BE201" s="33" t="str">
        <f aca="false">IF(A201="","",COUNTIFS('Demo Pipeline'!$Q$5:$Q$504,A201,'Demo Pipeline'!$W$5:$W$504,"Attended"))</f>
        <v/>
      </c>
      <c r="BF201" s="33" t="str">
        <f aca="false">IF(A201="","",COUNTIFS('Demo Pipeline'!$Q$5:$Q$504,A201,'Demo Pipeline'!$X$5:$X$504,"Yes"))</f>
        <v/>
      </c>
      <c r="BG201" s="33" t="str">
        <f aca="false">IF(A201="","",COUNTIFS('Demo Pipeline'!$Q$5:$Q$504,A201,'Demo Pipeline'!$Y$5:$Y$504,"Closed Won"))</f>
        <v/>
      </c>
      <c r="BH201" s="37" t="str">
        <f aca="false">IF(A201="","",SUMIFS('Demo Pipeline'!$Z$5:$Z$504,'Demo Pipeline'!$Q$5:$Q$504,A201))</f>
        <v/>
      </c>
      <c r="BI201" s="34" t="str">
        <f aca="false">IF(OR(AZ201="",N(AJ201)=0),"",AZ201/AJ201)</f>
        <v/>
      </c>
      <c r="BJ201" s="34" t="str">
        <f aca="false">IF(OR(BB201="",N(AZ201)=0),"",BB201/AZ201)</f>
        <v/>
      </c>
      <c r="BK201" s="34" t="str">
        <f aca="false">IF(OR(A201="",N(BB201)=0),"",BD201/BB201)</f>
        <v/>
      </c>
      <c r="BL201" s="34" t="str">
        <f aca="false">IF(OR(A201="",N(AZ201)=0),"",BD201/AZ201)</f>
        <v/>
      </c>
      <c r="BM201" s="37" t="str">
        <f aca="false">IF(OR(N(Q201)=0,N(BD201)=0),"",Q201/BD201)</f>
        <v/>
      </c>
      <c r="BN201" s="29"/>
      <c r="BO201" s="29"/>
      <c r="BP201" s="33" t="str">
        <f aca="false">IF(OR(AR201="",N(AO201)=0),"",AR201)</f>
        <v/>
      </c>
      <c r="BQ201" s="33" t="str">
        <f aca="false">IF(OR(AR201="",N(S201)=0),"",S201)</f>
        <v/>
      </c>
      <c r="BR201" s="38" t="str">
        <f aca="false">IF(AND(ISNUMBER(B201),B201&gt;=Dashboard!$C$4,B201&lt;=Dashboard!$F$4,ISNUMBER(AU201)),AU201+ROW()/10^9,"")</f>
        <v/>
      </c>
      <c r="BS201" s="38" t="str">
        <f aca="false">IF(AND(ISNUMBER(B201),B201&gt;=Dashboard!$C$4,B201&lt;=Dashboard!$F$4,A201&lt;&gt;""),N(BD201)+N(AU201)/100+ROW()/10^9,"")</f>
        <v/>
      </c>
    </row>
    <row r="202" customFormat="false" ht="15" hidden="false" customHeight="false" outlineLevel="0" collapsed="false">
      <c r="A202" s="24" t="str">
        <f aca="false">IF(OR(B202="",G202="",H202=""),"",IFERROR(INDEX(Settings!$E$5:$E$49,MATCH(G202,Settings!$D$5:$D$49,0))&amp;INDEX(Settings!$H$5:$H$47,MATCH(H202,Settings!$G$5:$G$47,0))&amp;"-"&amp;TEXT(B202,"yymmdd")&amp;"-"&amp;IF(C202="","0000",TEXT(C202,"hhmm")),"CHECK LISTS"))</f>
        <v/>
      </c>
      <c r="B202" s="39"/>
      <c r="C202" s="40"/>
      <c r="D202" s="24" t="str">
        <f aca="false">IF(B202="","",TEXT(B202,"ddd"))</f>
        <v/>
      </c>
      <c r="E202" s="27" t="str">
        <f aca="false">IF(B202="","",B202-WEEKDAY(B202,3))</f>
        <v/>
      </c>
      <c r="F202" s="24" t="str">
        <f aca="false">IF(B202="","",TEXT(B202,"yyyy-mm"))</f>
        <v/>
      </c>
      <c r="G202" s="29"/>
      <c r="H202" s="29"/>
      <c r="I202" s="29"/>
      <c r="J202" s="29"/>
      <c r="K202" s="29"/>
      <c r="L202" s="29"/>
      <c r="M202" s="29"/>
      <c r="N202" s="29"/>
      <c r="O202" s="29"/>
      <c r="P202" s="29"/>
      <c r="Q202" s="30"/>
      <c r="R202" s="29"/>
      <c r="S202" s="32"/>
      <c r="T202" s="29"/>
      <c r="U202" s="29"/>
      <c r="V202" s="24" t="str">
        <f aca="false">IF(A202="","",IFERROR(INDEX(Settings!$F$5:$F$49,MATCH(G202,Settings!$D$5:$D$49,0)),""))</f>
        <v/>
      </c>
      <c r="W202" s="24" t="str">
        <f aca="false">IF(A202="","",IF(OR(P202="",P202="Organic"),"social","paid_social"))</f>
        <v/>
      </c>
      <c r="X202" s="24" t="str">
        <f aca="false">IF(A202="","",IF(K202&lt;&gt;"",IFERROR(INDEX('Case Studies'!$C$5:$C$54,MATCH(K202,'Case Studies'!$B$5:$B$54,0))&amp;"","case-study"),IF(J202&lt;&gt;"",IFERROR(INDEX(Settings!$J$5:$J$55,MATCH(J202,Settings!$I$5:$I$55,0)),"general"),"general")))</f>
        <v/>
      </c>
      <c r="Y202" s="24" t="str">
        <f aca="false">IF(A202="","",LOWER(A202))</f>
        <v/>
      </c>
      <c r="Z202" s="24" t="str">
        <f aca="false">IF(A202="","",IF(T202="",Settings!$B$5,T202)&amp;IF(ISNUMBER(FIND("?",IF(T202="",Settings!$B$5,T202))),"&amp;","?")&amp;"utm_source="&amp;V202&amp;"&amp;utm_medium="&amp;W202&amp;"&amp;utm_campaign="&amp;X202&amp;"&amp;utm_content="&amp;Y202)</f>
        <v/>
      </c>
      <c r="AA202" s="29"/>
      <c r="AB202" s="39"/>
      <c r="AC202" s="32"/>
      <c r="AD202" s="32"/>
      <c r="AE202" s="32"/>
      <c r="AF202" s="32"/>
      <c r="AG202" s="32"/>
      <c r="AH202" s="32"/>
      <c r="AI202" s="32"/>
      <c r="AJ202" s="32"/>
      <c r="AK202" s="32"/>
      <c r="AL202" s="32"/>
      <c r="AM202" s="32"/>
      <c r="AN202" s="32"/>
      <c r="AO202" s="33" t="str">
        <f aca="false">IF(A202="","",IF(AD202&lt;&gt;"",AD202,IF(AC202&lt;&gt;"",AC202,"")))</f>
        <v/>
      </c>
      <c r="AP202" s="24" t="str">
        <f aca="false">IF(AO202="","",IF(AD202&lt;&gt;"","Reported reach","Impressions (proxy)"))</f>
        <v/>
      </c>
      <c r="AQ202" s="34" t="str">
        <f aca="false">IF(OR(AO202="",N(S202)=0),"",AO202/S202)</f>
        <v/>
      </c>
      <c r="AR202" s="33" t="str">
        <f aca="false">IF(A202="","",IF(COUNT(AF202:AJ202)=0,"",SUM(AF202:AJ202)))</f>
        <v/>
      </c>
      <c r="AS202" s="34" t="str">
        <f aca="false">IF(OR(AR202="",N(AO202)=0),"",AR202/AO202)</f>
        <v/>
      </c>
      <c r="AT202" s="34" t="str">
        <f aca="false">IF(OR(AR202="",N(AC202)=0),"",AR202/AC202)</f>
        <v/>
      </c>
      <c r="AU202" s="34" t="str">
        <f aca="false">IF(OR(AR202="",N(S202)=0),"",AR202/S202)</f>
        <v/>
      </c>
      <c r="AV202" s="34" t="str">
        <f aca="false">IF(OR(AJ202="",N(AC202)=0),"",AJ202/AC202)</f>
        <v/>
      </c>
      <c r="AW202" s="34" t="str">
        <f aca="false">IF(OR(AH202="",N(AO202)=0),"",AH202/AO202)</f>
        <v/>
      </c>
      <c r="AX202" s="35" t="str">
        <f aca="false">IF(OR(AR202="",N(AO202)=0),"",(N(AF202)*Settings!$B$6+N(AG202)*Settings!$B$7+N(AH202)*Settings!$B$8+N(AI202)*Settings!$B$9+N(AJ202)*Settings!$B$10)/AO202*1000)</f>
        <v/>
      </c>
      <c r="AY202" s="36" t="str">
        <f aca="false">IF(AS202="","",IFERROR(AS202/AVERAGEIFS('Post Tracker'!$AS$5:$AS$1004,'Post Tracker'!$G$5:$G$1004,G202),""))</f>
        <v/>
      </c>
      <c r="AZ202" s="32"/>
      <c r="BA202" s="32"/>
      <c r="BB202" s="32"/>
      <c r="BC202" s="32"/>
      <c r="BD202" s="33" t="str">
        <f aca="false">IF(A202="","",COUNTIFS('Demo Pipeline'!$Q$5:$Q$504,A202))</f>
        <v/>
      </c>
      <c r="BE202" s="33" t="str">
        <f aca="false">IF(A202="","",COUNTIFS('Demo Pipeline'!$Q$5:$Q$504,A202,'Demo Pipeline'!$W$5:$W$504,"Attended"))</f>
        <v/>
      </c>
      <c r="BF202" s="33" t="str">
        <f aca="false">IF(A202="","",COUNTIFS('Demo Pipeline'!$Q$5:$Q$504,A202,'Demo Pipeline'!$X$5:$X$504,"Yes"))</f>
        <v/>
      </c>
      <c r="BG202" s="33" t="str">
        <f aca="false">IF(A202="","",COUNTIFS('Demo Pipeline'!$Q$5:$Q$504,A202,'Demo Pipeline'!$Y$5:$Y$504,"Closed Won"))</f>
        <v/>
      </c>
      <c r="BH202" s="37" t="str">
        <f aca="false">IF(A202="","",SUMIFS('Demo Pipeline'!$Z$5:$Z$504,'Demo Pipeline'!$Q$5:$Q$504,A202))</f>
        <v/>
      </c>
      <c r="BI202" s="34" t="str">
        <f aca="false">IF(OR(AZ202="",N(AJ202)=0),"",AZ202/AJ202)</f>
        <v/>
      </c>
      <c r="BJ202" s="34" t="str">
        <f aca="false">IF(OR(BB202="",N(AZ202)=0),"",BB202/AZ202)</f>
        <v/>
      </c>
      <c r="BK202" s="34" t="str">
        <f aca="false">IF(OR(A202="",N(BB202)=0),"",BD202/BB202)</f>
        <v/>
      </c>
      <c r="BL202" s="34" t="str">
        <f aca="false">IF(OR(A202="",N(AZ202)=0),"",BD202/AZ202)</f>
        <v/>
      </c>
      <c r="BM202" s="37" t="str">
        <f aca="false">IF(OR(N(Q202)=0,N(BD202)=0),"",Q202/BD202)</f>
        <v/>
      </c>
      <c r="BN202" s="29"/>
      <c r="BO202" s="29"/>
      <c r="BP202" s="33" t="str">
        <f aca="false">IF(OR(AR202="",N(AO202)=0),"",AR202)</f>
        <v/>
      </c>
      <c r="BQ202" s="33" t="str">
        <f aca="false">IF(OR(AR202="",N(S202)=0),"",S202)</f>
        <v/>
      </c>
      <c r="BR202" s="38" t="str">
        <f aca="false">IF(AND(ISNUMBER(B202),B202&gt;=Dashboard!$C$4,B202&lt;=Dashboard!$F$4,ISNUMBER(AU202)),AU202+ROW()/10^9,"")</f>
        <v/>
      </c>
      <c r="BS202" s="38" t="str">
        <f aca="false">IF(AND(ISNUMBER(B202),B202&gt;=Dashboard!$C$4,B202&lt;=Dashboard!$F$4,A202&lt;&gt;""),N(BD202)+N(AU202)/100+ROW()/10^9,"")</f>
        <v/>
      </c>
    </row>
    <row r="203" customFormat="false" ht="15" hidden="false" customHeight="false" outlineLevel="0" collapsed="false">
      <c r="A203" s="24" t="str">
        <f aca="false">IF(OR(B203="",G203="",H203=""),"",IFERROR(INDEX(Settings!$E$5:$E$49,MATCH(G203,Settings!$D$5:$D$49,0))&amp;INDEX(Settings!$H$5:$H$47,MATCH(H203,Settings!$G$5:$G$47,0))&amp;"-"&amp;TEXT(B203,"yymmdd")&amp;"-"&amp;IF(C203="","0000",TEXT(C203,"hhmm")),"CHECK LISTS"))</f>
        <v/>
      </c>
      <c r="B203" s="39"/>
      <c r="C203" s="40"/>
      <c r="D203" s="24" t="str">
        <f aca="false">IF(B203="","",TEXT(B203,"ddd"))</f>
        <v/>
      </c>
      <c r="E203" s="27" t="str">
        <f aca="false">IF(B203="","",B203-WEEKDAY(B203,3))</f>
        <v/>
      </c>
      <c r="F203" s="24" t="str">
        <f aca="false">IF(B203="","",TEXT(B203,"yyyy-mm"))</f>
        <v/>
      </c>
      <c r="G203" s="29"/>
      <c r="H203" s="29"/>
      <c r="I203" s="29"/>
      <c r="J203" s="29"/>
      <c r="K203" s="29"/>
      <c r="L203" s="29"/>
      <c r="M203" s="29"/>
      <c r="N203" s="29"/>
      <c r="O203" s="29"/>
      <c r="P203" s="29"/>
      <c r="Q203" s="30"/>
      <c r="R203" s="29"/>
      <c r="S203" s="32"/>
      <c r="T203" s="29"/>
      <c r="U203" s="29"/>
      <c r="V203" s="24" t="str">
        <f aca="false">IF(A203="","",IFERROR(INDEX(Settings!$F$5:$F$49,MATCH(G203,Settings!$D$5:$D$49,0)),""))</f>
        <v/>
      </c>
      <c r="W203" s="24" t="str">
        <f aca="false">IF(A203="","",IF(OR(P203="",P203="Organic"),"social","paid_social"))</f>
        <v/>
      </c>
      <c r="X203" s="24" t="str">
        <f aca="false">IF(A203="","",IF(K203&lt;&gt;"",IFERROR(INDEX('Case Studies'!$C$5:$C$54,MATCH(K203,'Case Studies'!$B$5:$B$54,0))&amp;"","case-study"),IF(J203&lt;&gt;"",IFERROR(INDEX(Settings!$J$5:$J$55,MATCH(J203,Settings!$I$5:$I$55,0)),"general"),"general")))</f>
        <v/>
      </c>
      <c r="Y203" s="24" t="str">
        <f aca="false">IF(A203="","",LOWER(A203))</f>
        <v/>
      </c>
      <c r="Z203" s="24" t="str">
        <f aca="false">IF(A203="","",IF(T203="",Settings!$B$5,T203)&amp;IF(ISNUMBER(FIND("?",IF(T203="",Settings!$B$5,T203))),"&amp;","?")&amp;"utm_source="&amp;V203&amp;"&amp;utm_medium="&amp;W203&amp;"&amp;utm_campaign="&amp;X203&amp;"&amp;utm_content="&amp;Y203)</f>
        <v/>
      </c>
      <c r="AA203" s="29"/>
      <c r="AB203" s="39"/>
      <c r="AC203" s="32"/>
      <c r="AD203" s="32"/>
      <c r="AE203" s="32"/>
      <c r="AF203" s="32"/>
      <c r="AG203" s="32"/>
      <c r="AH203" s="32"/>
      <c r="AI203" s="32"/>
      <c r="AJ203" s="32"/>
      <c r="AK203" s="32"/>
      <c r="AL203" s="32"/>
      <c r="AM203" s="32"/>
      <c r="AN203" s="32"/>
      <c r="AO203" s="33" t="str">
        <f aca="false">IF(A203="","",IF(AD203&lt;&gt;"",AD203,IF(AC203&lt;&gt;"",AC203,"")))</f>
        <v/>
      </c>
      <c r="AP203" s="24" t="str">
        <f aca="false">IF(AO203="","",IF(AD203&lt;&gt;"","Reported reach","Impressions (proxy)"))</f>
        <v/>
      </c>
      <c r="AQ203" s="34" t="str">
        <f aca="false">IF(OR(AO203="",N(S203)=0),"",AO203/S203)</f>
        <v/>
      </c>
      <c r="AR203" s="33" t="str">
        <f aca="false">IF(A203="","",IF(COUNT(AF203:AJ203)=0,"",SUM(AF203:AJ203)))</f>
        <v/>
      </c>
      <c r="AS203" s="34" t="str">
        <f aca="false">IF(OR(AR203="",N(AO203)=0),"",AR203/AO203)</f>
        <v/>
      </c>
      <c r="AT203" s="34" t="str">
        <f aca="false">IF(OR(AR203="",N(AC203)=0),"",AR203/AC203)</f>
        <v/>
      </c>
      <c r="AU203" s="34" t="str">
        <f aca="false">IF(OR(AR203="",N(S203)=0),"",AR203/S203)</f>
        <v/>
      </c>
      <c r="AV203" s="34" t="str">
        <f aca="false">IF(OR(AJ203="",N(AC203)=0),"",AJ203/AC203)</f>
        <v/>
      </c>
      <c r="AW203" s="34" t="str">
        <f aca="false">IF(OR(AH203="",N(AO203)=0),"",AH203/AO203)</f>
        <v/>
      </c>
      <c r="AX203" s="35" t="str">
        <f aca="false">IF(OR(AR203="",N(AO203)=0),"",(N(AF203)*Settings!$B$6+N(AG203)*Settings!$B$7+N(AH203)*Settings!$B$8+N(AI203)*Settings!$B$9+N(AJ203)*Settings!$B$10)/AO203*1000)</f>
        <v/>
      </c>
      <c r="AY203" s="36" t="str">
        <f aca="false">IF(AS203="","",IFERROR(AS203/AVERAGEIFS('Post Tracker'!$AS$5:$AS$1004,'Post Tracker'!$G$5:$G$1004,G203),""))</f>
        <v/>
      </c>
      <c r="AZ203" s="32"/>
      <c r="BA203" s="32"/>
      <c r="BB203" s="32"/>
      <c r="BC203" s="32"/>
      <c r="BD203" s="33" t="str">
        <f aca="false">IF(A203="","",COUNTIFS('Demo Pipeline'!$Q$5:$Q$504,A203))</f>
        <v/>
      </c>
      <c r="BE203" s="33" t="str">
        <f aca="false">IF(A203="","",COUNTIFS('Demo Pipeline'!$Q$5:$Q$504,A203,'Demo Pipeline'!$W$5:$W$504,"Attended"))</f>
        <v/>
      </c>
      <c r="BF203" s="33" t="str">
        <f aca="false">IF(A203="","",COUNTIFS('Demo Pipeline'!$Q$5:$Q$504,A203,'Demo Pipeline'!$X$5:$X$504,"Yes"))</f>
        <v/>
      </c>
      <c r="BG203" s="33" t="str">
        <f aca="false">IF(A203="","",COUNTIFS('Demo Pipeline'!$Q$5:$Q$504,A203,'Demo Pipeline'!$Y$5:$Y$504,"Closed Won"))</f>
        <v/>
      </c>
      <c r="BH203" s="37" t="str">
        <f aca="false">IF(A203="","",SUMIFS('Demo Pipeline'!$Z$5:$Z$504,'Demo Pipeline'!$Q$5:$Q$504,A203))</f>
        <v/>
      </c>
      <c r="BI203" s="34" t="str">
        <f aca="false">IF(OR(AZ203="",N(AJ203)=0),"",AZ203/AJ203)</f>
        <v/>
      </c>
      <c r="BJ203" s="34" t="str">
        <f aca="false">IF(OR(BB203="",N(AZ203)=0),"",BB203/AZ203)</f>
        <v/>
      </c>
      <c r="BK203" s="34" t="str">
        <f aca="false">IF(OR(A203="",N(BB203)=0),"",BD203/BB203)</f>
        <v/>
      </c>
      <c r="BL203" s="34" t="str">
        <f aca="false">IF(OR(A203="",N(AZ203)=0),"",BD203/AZ203)</f>
        <v/>
      </c>
      <c r="BM203" s="37" t="str">
        <f aca="false">IF(OR(N(Q203)=0,N(BD203)=0),"",Q203/BD203)</f>
        <v/>
      </c>
      <c r="BN203" s="29"/>
      <c r="BO203" s="29"/>
      <c r="BP203" s="33" t="str">
        <f aca="false">IF(OR(AR203="",N(AO203)=0),"",AR203)</f>
        <v/>
      </c>
      <c r="BQ203" s="33" t="str">
        <f aca="false">IF(OR(AR203="",N(S203)=0),"",S203)</f>
        <v/>
      </c>
      <c r="BR203" s="38" t="str">
        <f aca="false">IF(AND(ISNUMBER(B203),B203&gt;=Dashboard!$C$4,B203&lt;=Dashboard!$F$4,ISNUMBER(AU203)),AU203+ROW()/10^9,"")</f>
        <v/>
      </c>
      <c r="BS203" s="38" t="str">
        <f aca="false">IF(AND(ISNUMBER(B203),B203&gt;=Dashboard!$C$4,B203&lt;=Dashboard!$F$4,A203&lt;&gt;""),N(BD203)+N(AU203)/100+ROW()/10^9,"")</f>
        <v/>
      </c>
    </row>
    <row r="204" customFormat="false" ht="15" hidden="false" customHeight="false" outlineLevel="0" collapsed="false">
      <c r="A204" s="24" t="str">
        <f aca="false">IF(OR(B204="",G204="",H204=""),"",IFERROR(INDEX(Settings!$E$5:$E$49,MATCH(G204,Settings!$D$5:$D$49,0))&amp;INDEX(Settings!$H$5:$H$47,MATCH(H204,Settings!$G$5:$G$47,0))&amp;"-"&amp;TEXT(B204,"yymmdd")&amp;"-"&amp;IF(C204="","0000",TEXT(C204,"hhmm")),"CHECK LISTS"))</f>
        <v/>
      </c>
      <c r="B204" s="39"/>
      <c r="C204" s="40"/>
      <c r="D204" s="24" t="str">
        <f aca="false">IF(B204="","",TEXT(B204,"ddd"))</f>
        <v/>
      </c>
      <c r="E204" s="27" t="str">
        <f aca="false">IF(B204="","",B204-WEEKDAY(B204,3))</f>
        <v/>
      </c>
      <c r="F204" s="24" t="str">
        <f aca="false">IF(B204="","",TEXT(B204,"yyyy-mm"))</f>
        <v/>
      </c>
      <c r="G204" s="29"/>
      <c r="H204" s="29"/>
      <c r="I204" s="29"/>
      <c r="J204" s="29"/>
      <c r="K204" s="29"/>
      <c r="L204" s="29"/>
      <c r="M204" s="29"/>
      <c r="N204" s="29"/>
      <c r="O204" s="29"/>
      <c r="P204" s="29"/>
      <c r="Q204" s="30"/>
      <c r="R204" s="29"/>
      <c r="S204" s="32"/>
      <c r="T204" s="29"/>
      <c r="U204" s="29"/>
      <c r="V204" s="24" t="str">
        <f aca="false">IF(A204="","",IFERROR(INDEX(Settings!$F$5:$F$49,MATCH(G204,Settings!$D$5:$D$49,0)),""))</f>
        <v/>
      </c>
      <c r="W204" s="24" t="str">
        <f aca="false">IF(A204="","",IF(OR(P204="",P204="Organic"),"social","paid_social"))</f>
        <v/>
      </c>
      <c r="X204" s="24" t="str">
        <f aca="false">IF(A204="","",IF(K204&lt;&gt;"",IFERROR(INDEX('Case Studies'!$C$5:$C$54,MATCH(K204,'Case Studies'!$B$5:$B$54,0))&amp;"","case-study"),IF(J204&lt;&gt;"",IFERROR(INDEX(Settings!$J$5:$J$55,MATCH(J204,Settings!$I$5:$I$55,0)),"general"),"general")))</f>
        <v/>
      </c>
      <c r="Y204" s="24" t="str">
        <f aca="false">IF(A204="","",LOWER(A204))</f>
        <v/>
      </c>
      <c r="Z204" s="24" t="str">
        <f aca="false">IF(A204="","",IF(T204="",Settings!$B$5,T204)&amp;IF(ISNUMBER(FIND("?",IF(T204="",Settings!$B$5,T204))),"&amp;","?")&amp;"utm_source="&amp;V204&amp;"&amp;utm_medium="&amp;W204&amp;"&amp;utm_campaign="&amp;X204&amp;"&amp;utm_content="&amp;Y204)</f>
        <v/>
      </c>
      <c r="AA204" s="29"/>
      <c r="AB204" s="39"/>
      <c r="AC204" s="32"/>
      <c r="AD204" s="32"/>
      <c r="AE204" s="32"/>
      <c r="AF204" s="32"/>
      <c r="AG204" s="32"/>
      <c r="AH204" s="32"/>
      <c r="AI204" s="32"/>
      <c r="AJ204" s="32"/>
      <c r="AK204" s="32"/>
      <c r="AL204" s="32"/>
      <c r="AM204" s="32"/>
      <c r="AN204" s="32"/>
      <c r="AO204" s="33" t="str">
        <f aca="false">IF(A204="","",IF(AD204&lt;&gt;"",AD204,IF(AC204&lt;&gt;"",AC204,"")))</f>
        <v/>
      </c>
      <c r="AP204" s="24" t="str">
        <f aca="false">IF(AO204="","",IF(AD204&lt;&gt;"","Reported reach","Impressions (proxy)"))</f>
        <v/>
      </c>
      <c r="AQ204" s="34" t="str">
        <f aca="false">IF(OR(AO204="",N(S204)=0),"",AO204/S204)</f>
        <v/>
      </c>
      <c r="AR204" s="33" t="str">
        <f aca="false">IF(A204="","",IF(COUNT(AF204:AJ204)=0,"",SUM(AF204:AJ204)))</f>
        <v/>
      </c>
      <c r="AS204" s="34" t="str">
        <f aca="false">IF(OR(AR204="",N(AO204)=0),"",AR204/AO204)</f>
        <v/>
      </c>
      <c r="AT204" s="34" t="str">
        <f aca="false">IF(OR(AR204="",N(AC204)=0),"",AR204/AC204)</f>
        <v/>
      </c>
      <c r="AU204" s="34" t="str">
        <f aca="false">IF(OR(AR204="",N(S204)=0),"",AR204/S204)</f>
        <v/>
      </c>
      <c r="AV204" s="34" t="str">
        <f aca="false">IF(OR(AJ204="",N(AC204)=0),"",AJ204/AC204)</f>
        <v/>
      </c>
      <c r="AW204" s="34" t="str">
        <f aca="false">IF(OR(AH204="",N(AO204)=0),"",AH204/AO204)</f>
        <v/>
      </c>
      <c r="AX204" s="35" t="str">
        <f aca="false">IF(OR(AR204="",N(AO204)=0),"",(N(AF204)*Settings!$B$6+N(AG204)*Settings!$B$7+N(AH204)*Settings!$B$8+N(AI204)*Settings!$B$9+N(AJ204)*Settings!$B$10)/AO204*1000)</f>
        <v/>
      </c>
      <c r="AY204" s="36" t="str">
        <f aca="false">IF(AS204="","",IFERROR(AS204/AVERAGEIFS('Post Tracker'!$AS$5:$AS$1004,'Post Tracker'!$G$5:$G$1004,G204),""))</f>
        <v/>
      </c>
      <c r="AZ204" s="32"/>
      <c r="BA204" s="32"/>
      <c r="BB204" s="32"/>
      <c r="BC204" s="32"/>
      <c r="BD204" s="33" t="str">
        <f aca="false">IF(A204="","",COUNTIFS('Demo Pipeline'!$Q$5:$Q$504,A204))</f>
        <v/>
      </c>
      <c r="BE204" s="33" t="str">
        <f aca="false">IF(A204="","",COUNTIFS('Demo Pipeline'!$Q$5:$Q$504,A204,'Demo Pipeline'!$W$5:$W$504,"Attended"))</f>
        <v/>
      </c>
      <c r="BF204" s="33" t="str">
        <f aca="false">IF(A204="","",COUNTIFS('Demo Pipeline'!$Q$5:$Q$504,A204,'Demo Pipeline'!$X$5:$X$504,"Yes"))</f>
        <v/>
      </c>
      <c r="BG204" s="33" t="str">
        <f aca="false">IF(A204="","",COUNTIFS('Demo Pipeline'!$Q$5:$Q$504,A204,'Demo Pipeline'!$Y$5:$Y$504,"Closed Won"))</f>
        <v/>
      </c>
      <c r="BH204" s="37" t="str">
        <f aca="false">IF(A204="","",SUMIFS('Demo Pipeline'!$Z$5:$Z$504,'Demo Pipeline'!$Q$5:$Q$504,A204))</f>
        <v/>
      </c>
      <c r="BI204" s="34" t="str">
        <f aca="false">IF(OR(AZ204="",N(AJ204)=0),"",AZ204/AJ204)</f>
        <v/>
      </c>
      <c r="BJ204" s="34" t="str">
        <f aca="false">IF(OR(BB204="",N(AZ204)=0),"",BB204/AZ204)</f>
        <v/>
      </c>
      <c r="BK204" s="34" t="str">
        <f aca="false">IF(OR(A204="",N(BB204)=0),"",BD204/BB204)</f>
        <v/>
      </c>
      <c r="BL204" s="34" t="str">
        <f aca="false">IF(OR(A204="",N(AZ204)=0),"",BD204/AZ204)</f>
        <v/>
      </c>
      <c r="BM204" s="37" t="str">
        <f aca="false">IF(OR(N(Q204)=0,N(BD204)=0),"",Q204/BD204)</f>
        <v/>
      </c>
      <c r="BN204" s="29"/>
      <c r="BO204" s="29"/>
      <c r="BP204" s="33" t="str">
        <f aca="false">IF(OR(AR204="",N(AO204)=0),"",AR204)</f>
        <v/>
      </c>
      <c r="BQ204" s="33" t="str">
        <f aca="false">IF(OR(AR204="",N(S204)=0),"",S204)</f>
        <v/>
      </c>
      <c r="BR204" s="38" t="str">
        <f aca="false">IF(AND(ISNUMBER(B204),B204&gt;=Dashboard!$C$4,B204&lt;=Dashboard!$F$4,ISNUMBER(AU204)),AU204+ROW()/10^9,"")</f>
        <v/>
      </c>
      <c r="BS204" s="38" t="str">
        <f aca="false">IF(AND(ISNUMBER(B204),B204&gt;=Dashboard!$C$4,B204&lt;=Dashboard!$F$4,A204&lt;&gt;""),N(BD204)+N(AU204)/100+ROW()/10^9,"")</f>
        <v/>
      </c>
    </row>
    <row r="205" customFormat="false" ht="15" hidden="false" customHeight="false" outlineLevel="0" collapsed="false">
      <c r="A205" s="24" t="str">
        <f aca="false">IF(OR(B205="",G205="",H205=""),"",IFERROR(INDEX(Settings!$E$5:$E$49,MATCH(G205,Settings!$D$5:$D$49,0))&amp;INDEX(Settings!$H$5:$H$47,MATCH(H205,Settings!$G$5:$G$47,0))&amp;"-"&amp;TEXT(B205,"yymmdd")&amp;"-"&amp;IF(C205="","0000",TEXT(C205,"hhmm")),"CHECK LISTS"))</f>
        <v/>
      </c>
      <c r="B205" s="39"/>
      <c r="C205" s="40"/>
      <c r="D205" s="24" t="str">
        <f aca="false">IF(B205="","",TEXT(B205,"ddd"))</f>
        <v/>
      </c>
      <c r="E205" s="27" t="str">
        <f aca="false">IF(B205="","",B205-WEEKDAY(B205,3))</f>
        <v/>
      </c>
      <c r="F205" s="24" t="str">
        <f aca="false">IF(B205="","",TEXT(B205,"yyyy-mm"))</f>
        <v/>
      </c>
      <c r="G205" s="29"/>
      <c r="H205" s="29"/>
      <c r="I205" s="29"/>
      <c r="J205" s="29"/>
      <c r="K205" s="29"/>
      <c r="L205" s="29"/>
      <c r="M205" s="29"/>
      <c r="N205" s="29"/>
      <c r="O205" s="29"/>
      <c r="P205" s="29"/>
      <c r="Q205" s="30"/>
      <c r="R205" s="29"/>
      <c r="S205" s="32"/>
      <c r="T205" s="29"/>
      <c r="U205" s="29"/>
      <c r="V205" s="24" t="str">
        <f aca="false">IF(A205="","",IFERROR(INDEX(Settings!$F$5:$F$49,MATCH(G205,Settings!$D$5:$D$49,0)),""))</f>
        <v/>
      </c>
      <c r="W205" s="24" t="str">
        <f aca="false">IF(A205="","",IF(OR(P205="",P205="Organic"),"social","paid_social"))</f>
        <v/>
      </c>
      <c r="X205" s="24" t="str">
        <f aca="false">IF(A205="","",IF(K205&lt;&gt;"",IFERROR(INDEX('Case Studies'!$C$5:$C$54,MATCH(K205,'Case Studies'!$B$5:$B$54,0))&amp;"","case-study"),IF(J205&lt;&gt;"",IFERROR(INDEX(Settings!$J$5:$J$55,MATCH(J205,Settings!$I$5:$I$55,0)),"general"),"general")))</f>
        <v/>
      </c>
      <c r="Y205" s="24" t="str">
        <f aca="false">IF(A205="","",LOWER(A205))</f>
        <v/>
      </c>
      <c r="Z205" s="24" t="str">
        <f aca="false">IF(A205="","",IF(T205="",Settings!$B$5,T205)&amp;IF(ISNUMBER(FIND("?",IF(T205="",Settings!$B$5,T205))),"&amp;","?")&amp;"utm_source="&amp;V205&amp;"&amp;utm_medium="&amp;W205&amp;"&amp;utm_campaign="&amp;X205&amp;"&amp;utm_content="&amp;Y205)</f>
        <v/>
      </c>
      <c r="AA205" s="29"/>
      <c r="AB205" s="39"/>
      <c r="AC205" s="32"/>
      <c r="AD205" s="32"/>
      <c r="AE205" s="32"/>
      <c r="AF205" s="32"/>
      <c r="AG205" s="32"/>
      <c r="AH205" s="32"/>
      <c r="AI205" s="32"/>
      <c r="AJ205" s="32"/>
      <c r="AK205" s="32"/>
      <c r="AL205" s="32"/>
      <c r="AM205" s="32"/>
      <c r="AN205" s="32"/>
      <c r="AO205" s="33" t="str">
        <f aca="false">IF(A205="","",IF(AD205&lt;&gt;"",AD205,IF(AC205&lt;&gt;"",AC205,"")))</f>
        <v/>
      </c>
      <c r="AP205" s="24" t="str">
        <f aca="false">IF(AO205="","",IF(AD205&lt;&gt;"","Reported reach","Impressions (proxy)"))</f>
        <v/>
      </c>
      <c r="AQ205" s="34" t="str">
        <f aca="false">IF(OR(AO205="",N(S205)=0),"",AO205/S205)</f>
        <v/>
      </c>
      <c r="AR205" s="33" t="str">
        <f aca="false">IF(A205="","",IF(COUNT(AF205:AJ205)=0,"",SUM(AF205:AJ205)))</f>
        <v/>
      </c>
      <c r="AS205" s="34" t="str">
        <f aca="false">IF(OR(AR205="",N(AO205)=0),"",AR205/AO205)</f>
        <v/>
      </c>
      <c r="AT205" s="34" t="str">
        <f aca="false">IF(OR(AR205="",N(AC205)=0),"",AR205/AC205)</f>
        <v/>
      </c>
      <c r="AU205" s="34" t="str">
        <f aca="false">IF(OR(AR205="",N(S205)=0),"",AR205/S205)</f>
        <v/>
      </c>
      <c r="AV205" s="34" t="str">
        <f aca="false">IF(OR(AJ205="",N(AC205)=0),"",AJ205/AC205)</f>
        <v/>
      </c>
      <c r="AW205" s="34" t="str">
        <f aca="false">IF(OR(AH205="",N(AO205)=0),"",AH205/AO205)</f>
        <v/>
      </c>
      <c r="AX205" s="35" t="str">
        <f aca="false">IF(OR(AR205="",N(AO205)=0),"",(N(AF205)*Settings!$B$6+N(AG205)*Settings!$B$7+N(AH205)*Settings!$B$8+N(AI205)*Settings!$B$9+N(AJ205)*Settings!$B$10)/AO205*1000)</f>
        <v/>
      </c>
      <c r="AY205" s="36" t="str">
        <f aca="false">IF(AS205="","",IFERROR(AS205/AVERAGEIFS('Post Tracker'!$AS$5:$AS$1004,'Post Tracker'!$G$5:$G$1004,G205),""))</f>
        <v/>
      </c>
      <c r="AZ205" s="32"/>
      <c r="BA205" s="32"/>
      <c r="BB205" s="32"/>
      <c r="BC205" s="32"/>
      <c r="BD205" s="33" t="str">
        <f aca="false">IF(A205="","",COUNTIFS('Demo Pipeline'!$Q$5:$Q$504,A205))</f>
        <v/>
      </c>
      <c r="BE205" s="33" t="str">
        <f aca="false">IF(A205="","",COUNTIFS('Demo Pipeline'!$Q$5:$Q$504,A205,'Demo Pipeline'!$W$5:$W$504,"Attended"))</f>
        <v/>
      </c>
      <c r="BF205" s="33" t="str">
        <f aca="false">IF(A205="","",COUNTIFS('Demo Pipeline'!$Q$5:$Q$504,A205,'Demo Pipeline'!$X$5:$X$504,"Yes"))</f>
        <v/>
      </c>
      <c r="BG205" s="33" t="str">
        <f aca="false">IF(A205="","",COUNTIFS('Demo Pipeline'!$Q$5:$Q$504,A205,'Demo Pipeline'!$Y$5:$Y$504,"Closed Won"))</f>
        <v/>
      </c>
      <c r="BH205" s="37" t="str">
        <f aca="false">IF(A205="","",SUMIFS('Demo Pipeline'!$Z$5:$Z$504,'Demo Pipeline'!$Q$5:$Q$504,A205))</f>
        <v/>
      </c>
      <c r="BI205" s="34" t="str">
        <f aca="false">IF(OR(AZ205="",N(AJ205)=0),"",AZ205/AJ205)</f>
        <v/>
      </c>
      <c r="BJ205" s="34" t="str">
        <f aca="false">IF(OR(BB205="",N(AZ205)=0),"",BB205/AZ205)</f>
        <v/>
      </c>
      <c r="BK205" s="34" t="str">
        <f aca="false">IF(OR(A205="",N(BB205)=0),"",BD205/BB205)</f>
        <v/>
      </c>
      <c r="BL205" s="34" t="str">
        <f aca="false">IF(OR(A205="",N(AZ205)=0),"",BD205/AZ205)</f>
        <v/>
      </c>
      <c r="BM205" s="37" t="str">
        <f aca="false">IF(OR(N(Q205)=0,N(BD205)=0),"",Q205/BD205)</f>
        <v/>
      </c>
      <c r="BN205" s="29"/>
      <c r="BO205" s="29"/>
      <c r="BP205" s="33" t="str">
        <f aca="false">IF(OR(AR205="",N(AO205)=0),"",AR205)</f>
        <v/>
      </c>
      <c r="BQ205" s="33" t="str">
        <f aca="false">IF(OR(AR205="",N(S205)=0),"",S205)</f>
        <v/>
      </c>
      <c r="BR205" s="38" t="str">
        <f aca="false">IF(AND(ISNUMBER(B205),B205&gt;=Dashboard!$C$4,B205&lt;=Dashboard!$F$4,ISNUMBER(AU205)),AU205+ROW()/10^9,"")</f>
        <v/>
      </c>
      <c r="BS205" s="38" t="str">
        <f aca="false">IF(AND(ISNUMBER(B205),B205&gt;=Dashboard!$C$4,B205&lt;=Dashboard!$F$4,A205&lt;&gt;""),N(BD205)+N(AU205)/100+ROW()/10^9,"")</f>
        <v/>
      </c>
    </row>
    <row r="206" customFormat="false" ht="15" hidden="false" customHeight="false" outlineLevel="0" collapsed="false">
      <c r="A206" s="24" t="str">
        <f aca="false">IF(OR(B206="",G206="",H206=""),"",IFERROR(INDEX(Settings!$E$5:$E$49,MATCH(G206,Settings!$D$5:$D$49,0))&amp;INDEX(Settings!$H$5:$H$47,MATCH(H206,Settings!$G$5:$G$47,0))&amp;"-"&amp;TEXT(B206,"yymmdd")&amp;"-"&amp;IF(C206="","0000",TEXT(C206,"hhmm")),"CHECK LISTS"))</f>
        <v/>
      </c>
      <c r="B206" s="39"/>
      <c r="C206" s="40"/>
      <c r="D206" s="24" t="str">
        <f aca="false">IF(B206="","",TEXT(B206,"ddd"))</f>
        <v/>
      </c>
      <c r="E206" s="27" t="str">
        <f aca="false">IF(B206="","",B206-WEEKDAY(B206,3))</f>
        <v/>
      </c>
      <c r="F206" s="24" t="str">
        <f aca="false">IF(B206="","",TEXT(B206,"yyyy-mm"))</f>
        <v/>
      </c>
      <c r="G206" s="29"/>
      <c r="H206" s="29"/>
      <c r="I206" s="29"/>
      <c r="J206" s="29"/>
      <c r="K206" s="29"/>
      <c r="L206" s="29"/>
      <c r="M206" s="29"/>
      <c r="N206" s="29"/>
      <c r="O206" s="29"/>
      <c r="P206" s="29"/>
      <c r="Q206" s="30"/>
      <c r="R206" s="29"/>
      <c r="S206" s="32"/>
      <c r="T206" s="29"/>
      <c r="U206" s="29"/>
      <c r="V206" s="24" t="str">
        <f aca="false">IF(A206="","",IFERROR(INDEX(Settings!$F$5:$F$49,MATCH(G206,Settings!$D$5:$D$49,0)),""))</f>
        <v/>
      </c>
      <c r="W206" s="24" t="str">
        <f aca="false">IF(A206="","",IF(OR(P206="",P206="Organic"),"social","paid_social"))</f>
        <v/>
      </c>
      <c r="X206" s="24" t="str">
        <f aca="false">IF(A206="","",IF(K206&lt;&gt;"",IFERROR(INDEX('Case Studies'!$C$5:$C$54,MATCH(K206,'Case Studies'!$B$5:$B$54,0))&amp;"","case-study"),IF(J206&lt;&gt;"",IFERROR(INDEX(Settings!$J$5:$J$55,MATCH(J206,Settings!$I$5:$I$55,0)),"general"),"general")))</f>
        <v/>
      </c>
      <c r="Y206" s="24" t="str">
        <f aca="false">IF(A206="","",LOWER(A206))</f>
        <v/>
      </c>
      <c r="Z206" s="24" t="str">
        <f aca="false">IF(A206="","",IF(T206="",Settings!$B$5,T206)&amp;IF(ISNUMBER(FIND("?",IF(T206="",Settings!$B$5,T206))),"&amp;","?")&amp;"utm_source="&amp;V206&amp;"&amp;utm_medium="&amp;W206&amp;"&amp;utm_campaign="&amp;X206&amp;"&amp;utm_content="&amp;Y206)</f>
        <v/>
      </c>
      <c r="AA206" s="29"/>
      <c r="AB206" s="39"/>
      <c r="AC206" s="32"/>
      <c r="AD206" s="32"/>
      <c r="AE206" s="32"/>
      <c r="AF206" s="32"/>
      <c r="AG206" s="32"/>
      <c r="AH206" s="32"/>
      <c r="AI206" s="32"/>
      <c r="AJ206" s="32"/>
      <c r="AK206" s="32"/>
      <c r="AL206" s="32"/>
      <c r="AM206" s="32"/>
      <c r="AN206" s="32"/>
      <c r="AO206" s="33" t="str">
        <f aca="false">IF(A206="","",IF(AD206&lt;&gt;"",AD206,IF(AC206&lt;&gt;"",AC206,"")))</f>
        <v/>
      </c>
      <c r="AP206" s="24" t="str">
        <f aca="false">IF(AO206="","",IF(AD206&lt;&gt;"","Reported reach","Impressions (proxy)"))</f>
        <v/>
      </c>
      <c r="AQ206" s="34" t="str">
        <f aca="false">IF(OR(AO206="",N(S206)=0),"",AO206/S206)</f>
        <v/>
      </c>
      <c r="AR206" s="33" t="str">
        <f aca="false">IF(A206="","",IF(COUNT(AF206:AJ206)=0,"",SUM(AF206:AJ206)))</f>
        <v/>
      </c>
      <c r="AS206" s="34" t="str">
        <f aca="false">IF(OR(AR206="",N(AO206)=0),"",AR206/AO206)</f>
        <v/>
      </c>
      <c r="AT206" s="34" t="str">
        <f aca="false">IF(OR(AR206="",N(AC206)=0),"",AR206/AC206)</f>
        <v/>
      </c>
      <c r="AU206" s="34" t="str">
        <f aca="false">IF(OR(AR206="",N(S206)=0),"",AR206/S206)</f>
        <v/>
      </c>
      <c r="AV206" s="34" t="str">
        <f aca="false">IF(OR(AJ206="",N(AC206)=0),"",AJ206/AC206)</f>
        <v/>
      </c>
      <c r="AW206" s="34" t="str">
        <f aca="false">IF(OR(AH206="",N(AO206)=0),"",AH206/AO206)</f>
        <v/>
      </c>
      <c r="AX206" s="35" t="str">
        <f aca="false">IF(OR(AR206="",N(AO206)=0),"",(N(AF206)*Settings!$B$6+N(AG206)*Settings!$B$7+N(AH206)*Settings!$B$8+N(AI206)*Settings!$B$9+N(AJ206)*Settings!$B$10)/AO206*1000)</f>
        <v/>
      </c>
      <c r="AY206" s="36" t="str">
        <f aca="false">IF(AS206="","",IFERROR(AS206/AVERAGEIFS('Post Tracker'!$AS$5:$AS$1004,'Post Tracker'!$G$5:$G$1004,G206),""))</f>
        <v/>
      </c>
      <c r="AZ206" s="32"/>
      <c r="BA206" s="32"/>
      <c r="BB206" s="32"/>
      <c r="BC206" s="32"/>
      <c r="BD206" s="33" t="str">
        <f aca="false">IF(A206="","",COUNTIFS('Demo Pipeline'!$Q$5:$Q$504,A206))</f>
        <v/>
      </c>
      <c r="BE206" s="33" t="str">
        <f aca="false">IF(A206="","",COUNTIFS('Demo Pipeline'!$Q$5:$Q$504,A206,'Demo Pipeline'!$W$5:$W$504,"Attended"))</f>
        <v/>
      </c>
      <c r="BF206" s="33" t="str">
        <f aca="false">IF(A206="","",COUNTIFS('Demo Pipeline'!$Q$5:$Q$504,A206,'Demo Pipeline'!$X$5:$X$504,"Yes"))</f>
        <v/>
      </c>
      <c r="BG206" s="33" t="str">
        <f aca="false">IF(A206="","",COUNTIFS('Demo Pipeline'!$Q$5:$Q$504,A206,'Demo Pipeline'!$Y$5:$Y$504,"Closed Won"))</f>
        <v/>
      </c>
      <c r="BH206" s="37" t="str">
        <f aca="false">IF(A206="","",SUMIFS('Demo Pipeline'!$Z$5:$Z$504,'Demo Pipeline'!$Q$5:$Q$504,A206))</f>
        <v/>
      </c>
      <c r="BI206" s="34" t="str">
        <f aca="false">IF(OR(AZ206="",N(AJ206)=0),"",AZ206/AJ206)</f>
        <v/>
      </c>
      <c r="BJ206" s="34" t="str">
        <f aca="false">IF(OR(BB206="",N(AZ206)=0),"",BB206/AZ206)</f>
        <v/>
      </c>
      <c r="BK206" s="34" t="str">
        <f aca="false">IF(OR(A206="",N(BB206)=0),"",BD206/BB206)</f>
        <v/>
      </c>
      <c r="BL206" s="34" t="str">
        <f aca="false">IF(OR(A206="",N(AZ206)=0),"",BD206/AZ206)</f>
        <v/>
      </c>
      <c r="BM206" s="37" t="str">
        <f aca="false">IF(OR(N(Q206)=0,N(BD206)=0),"",Q206/BD206)</f>
        <v/>
      </c>
      <c r="BN206" s="29"/>
      <c r="BO206" s="29"/>
      <c r="BP206" s="33" t="str">
        <f aca="false">IF(OR(AR206="",N(AO206)=0),"",AR206)</f>
        <v/>
      </c>
      <c r="BQ206" s="33" t="str">
        <f aca="false">IF(OR(AR206="",N(S206)=0),"",S206)</f>
        <v/>
      </c>
      <c r="BR206" s="38" t="str">
        <f aca="false">IF(AND(ISNUMBER(B206),B206&gt;=Dashboard!$C$4,B206&lt;=Dashboard!$F$4,ISNUMBER(AU206)),AU206+ROW()/10^9,"")</f>
        <v/>
      </c>
      <c r="BS206" s="38" t="str">
        <f aca="false">IF(AND(ISNUMBER(B206),B206&gt;=Dashboard!$C$4,B206&lt;=Dashboard!$F$4,A206&lt;&gt;""),N(BD206)+N(AU206)/100+ROW()/10^9,"")</f>
        <v/>
      </c>
    </row>
    <row r="207" customFormat="false" ht="15" hidden="false" customHeight="false" outlineLevel="0" collapsed="false">
      <c r="A207" s="24" t="str">
        <f aca="false">IF(OR(B207="",G207="",H207=""),"",IFERROR(INDEX(Settings!$E$5:$E$49,MATCH(G207,Settings!$D$5:$D$49,0))&amp;INDEX(Settings!$H$5:$H$47,MATCH(H207,Settings!$G$5:$G$47,0))&amp;"-"&amp;TEXT(B207,"yymmdd")&amp;"-"&amp;IF(C207="","0000",TEXT(C207,"hhmm")),"CHECK LISTS"))</f>
        <v/>
      </c>
      <c r="B207" s="39"/>
      <c r="C207" s="40"/>
      <c r="D207" s="24" t="str">
        <f aca="false">IF(B207="","",TEXT(B207,"ddd"))</f>
        <v/>
      </c>
      <c r="E207" s="27" t="str">
        <f aca="false">IF(B207="","",B207-WEEKDAY(B207,3))</f>
        <v/>
      </c>
      <c r="F207" s="24" t="str">
        <f aca="false">IF(B207="","",TEXT(B207,"yyyy-mm"))</f>
        <v/>
      </c>
      <c r="G207" s="29"/>
      <c r="H207" s="29"/>
      <c r="I207" s="29"/>
      <c r="J207" s="29"/>
      <c r="K207" s="29"/>
      <c r="L207" s="29"/>
      <c r="M207" s="29"/>
      <c r="N207" s="29"/>
      <c r="O207" s="29"/>
      <c r="P207" s="29"/>
      <c r="Q207" s="30"/>
      <c r="R207" s="29"/>
      <c r="S207" s="32"/>
      <c r="T207" s="29"/>
      <c r="U207" s="29"/>
      <c r="V207" s="24" t="str">
        <f aca="false">IF(A207="","",IFERROR(INDEX(Settings!$F$5:$F$49,MATCH(G207,Settings!$D$5:$D$49,0)),""))</f>
        <v/>
      </c>
      <c r="W207" s="24" t="str">
        <f aca="false">IF(A207="","",IF(OR(P207="",P207="Organic"),"social","paid_social"))</f>
        <v/>
      </c>
      <c r="X207" s="24" t="str">
        <f aca="false">IF(A207="","",IF(K207&lt;&gt;"",IFERROR(INDEX('Case Studies'!$C$5:$C$54,MATCH(K207,'Case Studies'!$B$5:$B$54,0))&amp;"","case-study"),IF(J207&lt;&gt;"",IFERROR(INDEX(Settings!$J$5:$J$55,MATCH(J207,Settings!$I$5:$I$55,0)),"general"),"general")))</f>
        <v/>
      </c>
      <c r="Y207" s="24" t="str">
        <f aca="false">IF(A207="","",LOWER(A207))</f>
        <v/>
      </c>
      <c r="Z207" s="24" t="str">
        <f aca="false">IF(A207="","",IF(T207="",Settings!$B$5,T207)&amp;IF(ISNUMBER(FIND("?",IF(T207="",Settings!$B$5,T207))),"&amp;","?")&amp;"utm_source="&amp;V207&amp;"&amp;utm_medium="&amp;W207&amp;"&amp;utm_campaign="&amp;X207&amp;"&amp;utm_content="&amp;Y207)</f>
        <v/>
      </c>
      <c r="AA207" s="29"/>
      <c r="AB207" s="39"/>
      <c r="AC207" s="32"/>
      <c r="AD207" s="32"/>
      <c r="AE207" s="32"/>
      <c r="AF207" s="32"/>
      <c r="AG207" s="32"/>
      <c r="AH207" s="32"/>
      <c r="AI207" s="32"/>
      <c r="AJ207" s="32"/>
      <c r="AK207" s="32"/>
      <c r="AL207" s="32"/>
      <c r="AM207" s="32"/>
      <c r="AN207" s="32"/>
      <c r="AO207" s="33" t="str">
        <f aca="false">IF(A207="","",IF(AD207&lt;&gt;"",AD207,IF(AC207&lt;&gt;"",AC207,"")))</f>
        <v/>
      </c>
      <c r="AP207" s="24" t="str">
        <f aca="false">IF(AO207="","",IF(AD207&lt;&gt;"","Reported reach","Impressions (proxy)"))</f>
        <v/>
      </c>
      <c r="AQ207" s="34" t="str">
        <f aca="false">IF(OR(AO207="",N(S207)=0),"",AO207/S207)</f>
        <v/>
      </c>
      <c r="AR207" s="33" t="str">
        <f aca="false">IF(A207="","",IF(COUNT(AF207:AJ207)=0,"",SUM(AF207:AJ207)))</f>
        <v/>
      </c>
      <c r="AS207" s="34" t="str">
        <f aca="false">IF(OR(AR207="",N(AO207)=0),"",AR207/AO207)</f>
        <v/>
      </c>
      <c r="AT207" s="34" t="str">
        <f aca="false">IF(OR(AR207="",N(AC207)=0),"",AR207/AC207)</f>
        <v/>
      </c>
      <c r="AU207" s="34" t="str">
        <f aca="false">IF(OR(AR207="",N(S207)=0),"",AR207/S207)</f>
        <v/>
      </c>
      <c r="AV207" s="34" t="str">
        <f aca="false">IF(OR(AJ207="",N(AC207)=0),"",AJ207/AC207)</f>
        <v/>
      </c>
      <c r="AW207" s="34" t="str">
        <f aca="false">IF(OR(AH207="",N(AO207)=0),"",AH207/AO207)</f>
        <v/>
      </c>
      <c r="AX207" s="35" t="str">
        <f aca="false">IF(OR(AR207="",N(AO207)=0),"",(N(AF207)*Settings!$B$6+N(AG207)*Settings!$B$7+N(AH207)*Settings!$B$8+N(AI207)*Settings!$B$9+N(AJ207)*Settings!$B$10)/AO207*1000)</f>
        <v/>
      </c>
      <c r="AY207" s="36" t="str">
        <f aca="false">IF(AS207="","",IFERROR(AS207/AVERAGEIFS('Post Tracker'!$AS$5:$AS$1004,'Post Tracker'!$G$5:$G$1004,G207),""))</f>
        <v/>
      </c>
      <c r="AZ207" s="32"/>
      <c r="BA207" s="32"/>
      <c r="BB207" s="32"/>
      <c r="BC207" s="32"/>
      <c r="BD207" s="33" t="str">
        <f aca="false">IF(A207="","",COUNTIFS('Demo Pipeline'!$Q$5:$Q$504,A207))</f>
        <v/>
      </c>
      <c r="BE207" s="33" t="str">
        <f aca="false">IF(A207="","",COUNTIFS('Demo Pipeline'!$Q$5:$Q$504,A207,'Demo Pipeline'!$W$5:$W$504,"Attended"))</f>
        <v/>
      </c>
      <c r="BF207" s="33" t="str">
        <f aca="false">IF(A207="","",COUNTIFS('Demo Pipeline'!$Q$5:$Q$504,A207,'Demo Pipeline'!$X$5:$X$504,"Yes"))</f>
        <v/>
      </c>
      <c r="BG207" s="33" t="str">
        <f aca="false">IF(A207="","",COUNTIFS('Demo Pipeline'!$Q$5:$Q$504,A207,'Demo Pipeline'!$Y$5:$Y$504,"Closed Won"))</f>
        <v/>
      </c>
      <c r="BH207" s="37" t="str">
        <f aca="false">IF(A207="","",SUMIFS('Demo Pipeline'!$Z$5:$Z$504,'Demo Pipeline'!$Q$5:$Q$504,A207))</f>
        <v/>
      </c>
      <c r="BI207" s="34" t="str">
        <f aca="false">IF(OR(AZ207="",N(AJ207)=0),"",AZ207/AJ207)</f>
        <v/>
      </c>
      <c r="BJ207" s="34" t="str">
        <f aca="false">IF(OR(BB207="",N(AZ207)=0),"",BB207/AZ207)</f>
        <v/>
      </c>
      <c r="BK207" s="34" t="str">
        <f aca="false">IF(OR(A207="",N(BB207)=0),"",BD207/BB207)</f>
        <v/>
      </c>
      <c r="BL207" s="34" t="str">
        <f aca="false">IF(OR(A207="",N(AZ207)=0),"",BD207/AZ207)</f>
        <v/>
      </c>
      <c r="BM207" s="37" t="str">
        <f aca="false">IF(OR(N(Q207)=0,N(BD207)=0),"",Q207/BD207)</f>
        <v/>
      </c>
      <c r="BN207" s="29"/>
      <c r="BO207" s="29"/>
      <c r="BP207" s="33" t="str">
        <f aca="false">IF(OR(AR207="",N(AO207)=0),"",AR207)</f>
        <v/>
      </c>
      <c r="BQ207" s="33" t="str">
        <f aca="false">IF(OR(AR207="",N(S207)=0),"",S207)</f>
        <v/>
      </c>
      <c r="BR207" s="38" t="str">
        <f aca="false">IF(AND(ISNUMBER(B207),B207&gt;=Dashboard!$C$4,B207&lt;=Dashboard!$F$4,ISNUMBER(AU207)),AU207+ROW()/10^9,"")</f>
        <v/>
      </c>
      <c r="BS207" s="38" t="str">
        <f aca="false">IF(AND(ISNUMBER(B207),B207&gt;=Dashboard!$C$4,B207&lt;=Dashboard!$F$4,A207&lt;&gt;""),N(BD207)+N(AU207)/100+ROW()/10^9,"")</f>
        <v/>
      </c>
    </row>
    <row r="208" customFormat="false" ht="15" hidden="false" customHeight="false" outlineLevel="0" collapsed="false">
      <c r="A208" s="24" t="str">
        <f aca="false">IF(OR(B208="",G208="",H208=""),"",IFERROR(INDEX(Settings!$E$5:$E$49,MATCH(G208,Settings!$D$5:$D$49,0))&amp;INDEX(Settings!$H$5:$H$47,MATCH(H208,Settings!$G$5:$G$47,0))&amp;"-"&amp;TEXT(B208,"yymmdd")&amp;"-"&amp;IF(C208="","0000",TEXT(C208,"hhmm")),"CHECK LISTS"))</f>
        <v/>
      </c>
      <c r="B208" s="39"/>
      <c r="C208" s="40"/>
      <c r="D208" s="24" t="str">
        <f aca="false">IF(B208="","",TEXT(B208,"ddd"))</f>
        <v/>
      </c>
      <c r="E208" s="27" t="str">
        <f aca="false">IF(B208="","",B208-WEEKDAY(B208,3))</f>
        <v/>
      </c>
      <c r="F208" s="24" t="str">
        <f aca="false">IF(B208="","",TEXT(B208,"yyyy-mm"))</f>
        <v/>
      </c>
      <c r="G208" s="29"/>
      <c r="H208" s="29"/>
      <c r="I208" s="29"/>
      <c r="J208" s="29"/>
      <c r="K208" s="29"/>
      <c r="L208" s="29"/>
      <c r="M208" s="29"/>
      <c r="N208" s="29"/>
      <c r="O208" s="29"/>
      <c r="P208" s="29"/>
      <c r="Q208" s="30"/>
      <c r="R208" s="29"/>
      <c r="S208" s="32"/>
      <c r="T208" s="29"/>
      <c r="U208" s="29"/>
      <c r="V208" s="24" t="str">
        <f aca="false">IF(A208="","",IFERROR(INDEX(Settings!$F$5:$F$49,MATCH(G208,Settings!$D$5:$D$49,0)),""))</f>
        <v/>
      </c>
      <c r="W208" s="24" t="str">
        <f aca="false">IF(A208="","",IF(OR(P208="",P208="Organic"),"social","paid_social"))</f>
        <v/>
      </c>
      <c r="X208" s="24" t="str">
        <f aca="false">IF(A208="","",IF(K208&lt;&gt;"",IFERROR(INDEX('Case Studies'!$C$5:$C$54,MATCH(K208,'Case Studies'!$B$5:$B$54,0))&amp;"","case-study"),IF(J208&lt;&gt;"",IFERROR(INDEX(Settings!$J$5:$J$55,MATCH(J208,Settings!$I$5:$I$55,0)),"general"),"general")))</f>
        <v/>
      </c>
      <c r="Y208" s="24" t="str">
        <f aca="false">IF(A208="","",LOWER(A208))</f>
        <v/>
      </c>
      <c r="Z208" s="24" t="str">
        <f aca="false">IF(A208="","",IF(T208="",Settings!$B$5,T208)&amp;IF(ISNUMBER(FIND("?",IF(T208="",Settings!$B$5,T208))),"&amp;","?")&amp;"utm_source="&amp;V208&amp;"&amp;utm_medium="&amp;W208&amp;"&amp;utm_campaign="&amp;X208&amp;"&amp;utm_content="&amp;Y208)</f>
        <v/>
      </c>
      <c r="AA208" s="29"/>
      <c r="AB208" s="39"/>
      <c r="AC208" s="32"/>
      <c r="AD208" s="32"/>
      <c r="AE208" s="32"/>
      <c r="AF208" s="32"/>
      <c r="AG208" s="32"/>
      <c r="AH208" s="32"/>
      <c r="AI208" s="32"/>
      <c r="AJ208" s="32"/>
      <c r="AK208" s="32"/>
      <c r="AL208" s="32"/>
      <c r="AM208" s="32"/>
      <c r="AN208" s="32"/>
      <c r="AO208" s="33" t="str">
        <f aca="false">IF(A208="","",IF(AD208&lt;&gt;"",AD208,IF(AC208&lt;&gt;"",AC208,"")))</f>
        <v/>
      </c>
      <c r="AP208" s="24" t="str">
        <f aca="false">IF(AO208="","",IF(AD208&lt;&gt;"","Reported reach","Impressions (proxy)"))</f>
        <v/>
      </c>
      <c r="AQ208" s="34" t="str">
        <f aca="false">IF(OR(AO208="",N(S208)=0),"",AO208/S208)</f>
        <v/>
      </c>
      <c r="AR208" s="33" t="str">
        <f aca="false">IF(A208="","",IF(COUNT(AF208:AJ208)=0,"",SUM(AF208:AJ208)))</f>
        <v/>
      </c>
      <c r="AS208" s="34" t="str">
        <f aca="false">IF(OR(AR208="",N(AO208)=0),"",AR208/AO208)</f>
        <v/>
      </c>
      <c r="AT208" s="34" t="str">
        <f aca="false">IF(OR(AR208="",N(AC208)=0),"",AR208/AC208)</f>
        <v/>
      </c>
      <c r="AU208" s="34" t="str">
        <f aca="false">IF(OR(AR208="",N(S208)=0),"",AR208/S208)</f>
        <v/>
      </c>
      <c r="AV208" s="34" t="str">
        <f aca="false">IF(OR(AJ208="",N(AC208)=0),"",AJ208/AC208)</f>
        <v/>
      </c>
      <c r="AW208" s="34" t="str">
        <f aca="false">IF(OR(AH208="",N(AO208)=0),"",AH208/AO208)</f>
        <v/>
      </c>
      <c r="AX208" s="35" t="str">
        <f aca="false">IF(OR(AR208="",N(AO208)=0),"",(N(AF208)*Settings!$B$6+N(AG208)*Settings!$B$7+N(AH208)*Settings!$B$8+N(AI208)*Settings!$B$9+N(AJ208)*Settings!$B$10)/AO208*1000)</f>
        <v/>
      </c>
      <c r="AY208" s="36" t="str">
        <f aca="false">IF(AS208="","",IFERROR(AS208/AVERAGEIFS('Post Tracker'!$AS$5:$AS$1004,'Post Tracker'!$G$5:$G$1004,G208),""))</f>
        <v/>
      </c>
      <c r="AZ208" s="32"/>
      <c r="BA208" s="32"/>
      <c r="BB208" s="32"/>
      <c r="BC208" s="32"/>
      <c r="BD208" s="33" t="str">
        <f aca="false">IF(A208="","",COUNTIFS('Demo Pipeline'!$Q$5:$Q$504,A208))</f>
        <v/>
      </c>
      <c r="BE208" s="33" t="str">
        <f aca="false">IF(A208="","",COUNTIFS('Demo Pipeline'!$Q$5:$Q$504,A208,'Demo Pipeline'!$W$5:$W$504,"Attended"))</f>
        <v/>
      </c>
      <c r="BF208" s="33" t="str">
        <f aca="false">IF(A208="","",COUNTIFS('Demo Pipeline'!$Q$5:$Q$504,A208,'Demo Pipeline'!$X$5:$X$504,"Yes"))</f>
        <v/>
      </c>
      <c r="BG208" s="33" t="str">
        <f aca="false">IF(A208="","",COUNTIFS('Demo Pipeline'!$Q$5:$Q$504,A208,'Demo Pipeline'!$Y$5:$Y$504,"Closed Won"))</f>
        <v/>
      </c>
      <c r="BH208" s="37" t="str">
        <f aca="false">IF(A208="","",SUMIFS('Demo Pipeline'!$Z$5:$Z$504,'Demo Pipeline'!$Q$5:$Q$504,A208))</f>
        <v/>
      </c>
      <c r="BI208" s="34" t="str">
        <f aca="false">IF(OR(AZ208="",N(AJ208)=0),"",AZ208/AJ208)</f>
        <v/>
      </c>
      <c r="BJ208" s="34" t="str">
        <f aca="false">IF(OR(BB208="",N(AZ208)=0),"",BB208/AZ208)</f>
        <v/>
      </c>
      <c r="BK208" s="34" t="str">
        <f aca="false">IF(OR(A208="",N(BB208)=0),"",BD208/BB208)</f>
        <v/>
      </c>
      <c r="BL208" s="34" t="str">
        <f aca="false">IF(OR(A208="",N(AZ208)=0),"",BD208/AZ208)</f>
        <v/>
      </c>
      <c r="BM208" s="37" t="str">
        <f aca="false">IF(OR(N(Q208)=0,N(BD208)=0),"",Q208/BD208)</f>
        <v/>
      </c>
      <c r="BN208" s="29"/>
      <c r="BO208" s="29"/>
      <c r="BP208" s="33" t="str">
        <f aca="false">IF(OR(AR208="",N(AO208)=0),"",AR208)</f>
        <v/>
      </c>
      <c r="BQ208" s="33" t="str">
        <f aca="false">IF(OR(AR208="",N(S208)=0),"",S208)</f>
        <v/>
      </c>
      <c r="BR208" s="38" t="str">
        <f aca="false">IF(AND(ISNUMBER(B208),B208&gt;=Dashboard!$C$4,B208&lt;=Dashboard!$F$4,ISNUMBER(AU208)),AU208+ROW()/10^9,"")</f>
        <v/>
      </c>
      <c r="BS208" s="38" t="str">
        <f aca="false">IF(AND(ISNUMBER(B208),B208&gt;=Dashboard!$C$4,B208&lt;=Dashboard!$F$4,A208&lt;&gt;""),N(BD208)+N(AU208)/100+ROW()/10^9,"")</f>
        <v/>
      </c>
    </row>
    <row r="209" customFormat="false" ht="15" hidden="false" customHeight="false" outlineLevel="0" collapsed="false">
      <c r="A209" s="24" t="str">
        <f aca="false">IF(OR(B209="",G209="",H209=""),"",IFERROR(INDEX(Settings!$E$5:$E$49,MATCH(G209,Settings!$D$5:$D$49,0))&amp;INDEX(Settings!$H$5:$H$47,MATCH(H209,Settings!$G$5:$G$47,0))&amp;"-"&amp;TEXT(B209,"yymmdd")&amp;"-"&amp;IF(C209="","0000",TEXT(C209,"hhmm")),"CHECK LISTS"))</f>
        <v/>
      </c>
      <c r="B209" s="39"/>
      <c r="C209" s="40"/>
      <c r="D209" s="24" t="str">
        <f aca="false">IF(B209="","",TEXT(B209,"ddd"))</f>
        <v/>
      </c>
      <c r="E209" s="27" t="str">
        <f aca="false">IF(B209="","",B209-WEEKDAY(B209,3))</f>
        <v/>
      </c>
      <c r="F209" s="24" t="str">
        <f aca="false">IF(B209="","",TEXT(B209,"yyyy-mm"))</f>
        <v/>
      </c>
      <c r="G209" s="29"/>
      <c r="H209" s="29"/>
      <c r="I209" s="29"/>
      <c r="J209" s="29"/>
      <c r="K209" s="29"/>
      <c r="L209" s="29"/>
      <c r="M209" s="29"/>
      <c r="N209" s="29"/>
      <c r="O209" s="29"/>
      <c r="P209" s="29"/>
      <c r="Q209" s="30"/>
      <c r="R209" s="29"/>
      <c r="S209" s="32"/>
      <c r="T209" s="29"/>
      <c r="U209" s="29"/>
      <c r="V209" s="24" t="str">
        <f aca="false">IF(A209="","",IFERROR(INDEX(Settings!$F$5:$F$49,MATCH(G209,Settings!$D$5:$D$49,0)),""))</f>
        <v/>
      </c>
      <c r="W209" s="24" t="str">
        <f aca="false">IF(A209="","",IF(OR(P209="",P209="Organic"),"social","paid_social"))</f>
        <v/>
      </c>
      <c r="X209" s="24" t="str">
        <f aca="false">IF(A209="","",IF(K209&lt;&gt;"",IFERROR(INDEX('Case Studies'!$C$5:$C$54,MATCH(K209,'Case Studies'!$B$5:$B$54,0))&amp;"","case-study"),IF(J209&lt;&gt;"",IFERROR(INDEX(Settings!$J$5:$J$55,MATCH(J209,Settings!$I$5:$I$55,0)),"general"),"general")))</f>
        <v/>
      </c>
      <c r="Y209" s="24" t="str">
        <f aca="false">IF(A209="","",LOWER(A209))</f>
        <v/>
      </c>
      <c r="Z209" s="24" t="str">
        <f aca="false">IF(A209="","",IF(T209="",Settings!$B$5,T209)&amp;IF(ISNUMBER(FIND("?",IF(T209="",Settings!$B$5,T209))),"&amp;","?")&amp;"utm_source="&amp;V209&amp;"&amp;utm_medium="&amp;W209&amp;"&amp;utm_campaign="&amp;X209&amp;"&amp;utm_content="&amp;Y209)</f>
        <v/>
      </c>
      <c r="AA209" s="29"/>
      <c r="AB209" s="39"/>
      <c r="AC209" s="32"/>
      <c r="AD209" s="32"/>
      <c r="AE209" s="32"/>
      <c r="AF209" s="32"/>
      <c r="AG209" s="32"/>
      <c r="AH209" s="32"/>
      <c r="AI209" s="32"/>
      <c r="AJ209" s="32"/>
      <c r="AK209" s="32"/>
      <c r="AL209" s="32"/>
      <c r="AM209" s="32"/>
      <c r="AN209" s="32"/>
      <c r="AO209" s="33" t="str">
        <f aca="false">IF(A209="","",IF(AD209&lt;&gt;"",AD209,IF(AC209&lt;&gt;"",AC209,"")))</f>
        <v/>
      </c>
      <c r="AP209" s="24" t="str">
        <f aca="false">IF(AO209="","",IF(AD209&lt;&gt;"","Reported reach","Impressions (proxy)"))</f>
        <v/>
      </c>
      <c r="AQ209" s="34" t="str">
        <f aca="false">IF(OR(AO209="",N(S209)=0),"",AO209/S209)</f>
        <v/>
      </c>
      <c r="AR209" s="33" t="str">
        <f aca="false">IF(A209="","",IF(COUNT(AF209:AJ209)=0,"",SUM(AF209:AJ209)))</f>
        <v/>
      </c>
      <c r="AS209" s="34" t="str">
        <f aca="false">IF(OR(AR209="",N(AO209)=0),"",AR209/AO209)</f>
        <v/>
      </c>
      <c r="AT209" s="34" t="str">
        <f aca="false">IF(OR(AR209="",N(AC209)=0),"",AR209/AC209)</f>
        <v/>
      </c>
      <c r="AU209" s="34" t="str">
        <f aca="false">IF(OR(AR209="",N(S209)=0),"",AR209/S209)</f>
        <v/>
      </c>
      <c r="AV209" s="34" t="str">
        <f aca="false">IF(OR(AJ209="",N(AC209)=0),"",AJ209/AC209)</f>
        <v/>
      </c>
      <c r="AW209" s="34" t="str">
        <f aca="false">IF(OR(AH209="",N(AO209)=0),"",AH209/AO209)</f>
        <v/>
      </c>
      <c r="AX209" s="35" t="str">
        <f aca="false">IF(OR(AR209="",N(AO209)=0),"",(N(AF209)*Settings!$B$6+N(AG209)*Settings!$B$7+N(AH209)*Settings!$B$8+N(AI209)*Settings!$B$9+N(AJ209)*Settings!$B$10)/AO209*1000)</f>
        <v/>
      </c>
      <c r="AY209" s="36" t="str">
        <f aca="false">IF(AS209="","",IFERROR(AS209/AVERAGEIFS('Post Tracker'!$AS$5:$AS$1004,'Post Tracker'!$G$5:$G$1004,G209),""))</f>
        <v/>
      </c>
      <c r="AZ209" s="32"/>
      <c r="BA209" s="32"/>
      <c r="BB209" s="32"/>
      <c r="BC209" s="32"/>
      <c r="BD209" s="33" t="str">
        <f aca="false">IF(A209="","",COUNTIFS('Demo Pipeline'!$Q$5:$Q$504,A209))</f>
        <v/>
      </c>
      <c r="BE209" s="33" t="str">
        <f aca="false">IF(A209="","",COUNTIFS('Demo Pipeline'!$Q$5:$Q$504,A209,'Demo Pipeline'!$W$5:$W$504,"Attended"))</f>
        <v/>
      </c>
      <c r="BF209" s="33" t="str">
        <f aca="false">IF(A209="","",COUNTIFS('Demo Pipeline'!$Q$5:$Q$504,A209,'Demo Pipeline'!$X$5:$X$504,"Yes"))</f>
        <v/>
      </c>
      <c r="BG209" s="33" t="str">
        <f aca="false">IF(A209="","",COUNTIFS('Demo Pipeline'!$Q$5:$Q$504,A209,'Demo Pipeline'!$Y$5:$Y$504,"Closed Won"))</f>
        <v/>
      </c>
      <c r="BH209" s="37" t="str">
        <f aca="false">IF(A209="","",SUMIFS('Demo Pipeline'!$Z$5:$Z$504,'Demo Pipeline'!$Q$5:$Q$504,A209))</f>
        <v/>
      </c>
      <c r="BI209" s="34" t="str">
        <f aca="false">IF(OR(AZ209="",N(AJ209)=0),"",AZ209/AJ209)</f>
        <v/>
      </c>
      <c r="BJ209" s="34" t="str">
        <f aca="false">IF(OR(BB209="",N(AZ209)=0),"",BB209/AZ209)</f>
        <v/>
      </c>
      <c r="BK209" s="34" t="str">
        <f aca="false">IF(OR(A209="",N(BB209)=0),"",BD209/BB209)</f>
        <v/>
      </c>
      <c r="BL209" s="34" t="str">
        <f aca="false">IF(OR(A209="",N(AZ209)=0),"",BD209/AZ209)</f>
        <v/>
      </c>
      <c r="BM209" s="37" t="str">
        <f aca="false">IF(OR(N(Q209)=0,N(BD209)=0),"",Q209/BD209)</f>
        <v/>
      </c>
      <c r="BN209" s="29"/>
      <c r="BO209" s="29"/>
      <c r="BP209" s="33" t="str">
        <f aca="false">IF(OR(AR209="",N(AO209)=0),"",AR209)</f>
        <v/>
      </c>
      <c r="BQ209" s="33" t="str">
        <f aca="false">IF(OR(AR209="",N(S209)=0),"",S209)</f>
        <v/>
      </c>
      <c r="BR209" s="38" t="str">
        <f aca="false">IF(AND(ISNUMBER(B209),B209&gt;=Dashboard!$C$4,B209&lt;=Dashboard!$F$4,ISNUMBER(AU209)),AU209+ROW()/10^9,"")</f>
        <v/>
      </c>
      <c r="BS209" s="38" t="str">
        <f aca="false">IF(AND(ISNUMBER(B209),B209&gt;=Dashboard!$C$4,B209&lt;=Dashboard!$F$4,A209&lt;&gt;""),N(BD209)+N(AU209)/100+ROW()/10^9,"")</f>
        <v/>
      </c>
    </row>
    <row r="210" customFormat="false" ht="15" hidden="false" customHeight="false" outlineLevel="0" collapsed="false">
      <c r="A210" s="24" t="str">
        <f aca="false">IF(OR(B210="",G210="",H210=""),"",IFERROR(INDEX(Settings!$E$5:$E$49,MATCH(G210,Settings!$D$5:$D$49,0))&amp;INDEX(Settings!$H$5:$H$47,MATCH(H210,Settings!$G$5:$G$47,0))&amp;"-"&amp;TEXT(B210,"yymmdd")&amp;"-"&amp;IF(C210="","0000",TEXT(C210,"hhmm")),"CHECK LISTS"))</f>
        <v/>
      </c>
      <c r="B210" s="39"/>
      <c r="C210" s="40"/>
      <c r="D210" s="24" t="str">
        <f aca="false">IF(B210="","",TEXT(B210,"ddd"))</f>
        <v/>
      </c>
      <c r="E210" s="27" t="str">
        <f aca="false">IF(B210="","",B210-WEEKDAY(B210,3))</f>
        <v/>
      </c>
      <c r="F210" s="24" t="str">
        <f aca="false">IF(B210="","",TEXT(B210,"yyyy-mm"))</f>
        <v/>
      </c>
      <c r="G210" s="29"/>
      <c r="H210" s="29"/>
      <c r="I210" s="29"/>
      <c r="J210" s="29"/>
      <c r="K210" s="29"/>
      <c r="L210" s="29"/>
      <c r="M210" s="29"/>
      <c r="N210" s="29"/>
      <c r="O210" s="29"/>
      <c r="P210" s="29"/>
      <c r="Q210" s="30"/>
      <c r="R210" s="29"/>
      <c r="S210" s="32"/>
      <c r="T210" s="29"/>
      <c r="U210" s="29"/>
      <c r="V210" s="24" t="str">
        <f aca="false">IF(A210="","",IFERROR(INDEX(Settings!$F$5:$F$49,MATCH(G210,Settings!$D$5:$D$49,0)),""))</f>
        <v/>
      </c>
      <c r="W210" s="24" t="str">
        <f aca="false">IF(A210="","",IF(OR(P210="",P210="Organic"),"social","paid_social"))</f>
        <v/>
      </c>
      <c r="X210" s="24" t="str">
        <f aca="false">IF(A210="","",IF(K210&lt;&gt;"",IFERROR(INDEX('Case Studies'!$C$5:$C$54,MATCH(K210,'Case Studies'!$B$5:$B$54,0))&amp;"","case-study"),IF(J210&lt;&gt;"",IFERROR(INDEX(Settings!$J$5:$J$55,MATCH(J210,Settings!$I$5:$I$55,0)),"general"),"general")))</f>
        <v/>
      </c>
      <c r="Y210" s="24" t="str">
        <f aca="false">IF(A210="","",LOWER(A210))</f>
        <v/>
      </c>
      <c r="Z210" s="24" t="str">
        <f aca="false">IF(A210="","",IF(T210="",Settings!$B$5,T210)&amp;IF(ISNUMBER(FIND("?",IF(T210="",Settings!$B$5,T210))),"&amp;","?")&amp;"utm_source="&amp;V210&amp;"&amp;utm_medium="&amp;W210&amp;"&amp;utm_campaign="&amp;X210&amp;"&amp;utm_content="&amp;Y210)</f>
        <v/>
      </c>
      <c r="AA210" s="29"/>
      <c r="AB210" s="39"/>
      <c r="AC210" s="32"/>
      <c r="AD210" s="32"/>
      <c r="AE210" s="32"/>
      <c r="AF210" s="32"/>
      <c r="AG210" s="32"/>
      <c r="AH210" s="32"/>
      <c r="AI210" s="32"/>
      <c r="AJ210" s="32"/>
      <c r="AK210" s="32"/>
      <c r="AL210" s="32"/>
      <c r="AM210" s="32"/>
      <c r="AN210" s="32"/>
      <c r="AO210" s="33" t="str">
        <f aca="false">IF(A210="","",IF(AD210&lt;&gt;"",AD210,IF(AC210&lt;&gt;"",AC210,"")))</f>
        <v/>
      </c>
      <c r="AP210" s="24" t="str">
        <f aca="false">IF(AO210="","",IF(AD210&lt;&gt;"","Reported reach","Impressions (proxy)"))</f>
        <v/>
      </c>
      <c r="AQ210" s="34" t="str">
        <f aca="false">IF(OR(AO210="",N(S210)=0),"",AO210/S210)</f>
        <v/>
      </c>
      <c r="AR210" s="33" t="str">
        <f aca="false">IF(A210="","",IF(COUNT(AF210:AJ210)=0,"",SUM(AF210:AJ210)))</f>
        <v/>
      </c>
      <c r="AS210" s="34" t="str">
        <f aca="false">IF(OR(AR210="",N(AO210)=0),"",AR210/AO210)</f>
        <v/>
      </c>
      <c r="AT210" s="34" t="str">
        <f aca="false">IF(OR(AR210="",N(AC210)=0),"",AR210/AC210)</f>
        <v/>
      </c>
      <c r="AU210" s="34" t="str">
        <f aca="false">IF(OR(AR210="",N(S210)=0),"",AR210/S210)</f>
        <v/>
      </c>
      <c r="AV210" s="34" t="str">
        <f aca="false">IF(OR(AJ210="",N(AC210)=0),"",AJ210/AC210)</f>
        <v/>
      </c>
      <c r="AW210" s="34" t="str">
        <f aca="false">IF(OR(AH210="",N(AO210)=0),"",AH210/AO210)</f>
        <v/>
      </c>
      <c r="AX210" s="35" t="str">
        <f aca="false">IF(OR(AR210="",N(AO210)=0),"",(N(AF210)*Settings!$B$6+N(AG210)*Settings!$B$7+N(AH210)*Settings!$B$8+N(AI210)*Settings!$B$9+N(AJ210)*Settings!$B$10)/AO210*1000)</f>
        <v/>
      </c>
      <c r="AY210" s="36" t="str">
        <f aca="false">IF(AS210="","",IFERROR(AS210/AVERAGEIFS('Post Tracker'!$AS$5:$AS$1004,'Post Tracker'!$G$5:$G$1004,G210),""))</f>
        <v/>
      </c>
      <c r="AZ210" s="32"/>
      <c r="BA210" s="32"/>
      <c r="BB210" s="32"/>
      <c r="BC210" s="32"/>
      <c r="BD210" s="33" t="str">
        <f aca="false">IF(A210="","",COUNTIFS('Demo Pipeline'!$Q$5:$Q$504,A210))</f>
        <v/>
      </c>
      <c r="BE210" s="33" t="str">
        <f aca="false">IF(A210="","",COUNTIFS('Demo Pipeline'!$Q$5:$Q$504,A210,'Demo Pipeline'!$W$5:$W$504,"Attended"))</f>
        <v/>
      </c>
      <c r="BF210" s="33" t="str">
        <f aca="false">IF(A210="","",COUNTIFS('Demo Pipeline'!$Q$5:$Q$504,A210,'Demo Pipeline'!$X$5:$X$504,"Yes"))</f>
        <v/>
      </c>
      <c r="BG210" s="33" t="str">
        <f aca="false">IF(A210="","",COUNTIFS('Demo Pipeline'!$Q$5:$Q$504,A210,'Demo Pipeline'!$Y$5:$Y$504,"Closed Won"))</f>
        <v/>
      </c>
      <c r="BH210" s="37" t="str">
        <f aca="false">IF(A210="","",SUMIFS('Demo Pipeline'!$Z$5:$Z$504,'Demo Pipeline'!$Q$5:$Q$504,A210))</f>
        <v/>
      </c>
      <c r="BI210" s="34" t="str">
        <f aca="false">IF(OR(AZ210="",N(AJ210)=0),"",AZ210/AJ210)</f>
        <v/>
      </c>
      <c r="BJ210" s="34" t="str">
        <f aca="false">IF(OR(BB210="",N(AZ210)=0),"",BB210/AZ210)</f>
        <v/>
      </c>
      <c r="BK210" s="34" t="str">
        <f aca="false">IF(OR(A210="",N(BB210)=0),"",BD210/BB210)</f>
        <v/>
      </c>
      <c r="BL210" s="34" t="str">
        <f aca="false">IF(OR(A210="",N(AZ210)=0),"",BD210/AZ210)</f>
        <v/>
      </c>
      <c r="BM210" s="37" t="str">
        <f aca="false">IF(OR(N(Q210)=0,N(BD210)=0),"",Q210/BD210)</f>
        <v/>
      </c>
      <c r="BN210" s="29"/>
      <c r="BO210" s="29"/>
      <c r="BP210" s="33" t="str">
        <f aca="false">IF(OR(AR210="",N(AO210)=0),"",AR210)</f>
        <v/>
      </c>
      <c r="BQ210" s="33" t="str">
        <f aca="false">IF(OR(AR210="",N(S210)=0),"",S210)</f>
        <v/>
      </c>
      <c r="BR210" s="38" t="str">
        <f aca="false">IF(AND(ISNUMBER(B210),B210&gt;=Dashboard!$C$4,B210&lt;=Dashboard!$F$4,ISNUMBER(AU210)),AU210+ROW()/10^9,"")</f>
        <v/>
      </c>
      <c r="BS210" s="38" t="str">
        <f aca="false">IF(AND(ISNUMBER(B210),B210&gt;=Dashboard!$C$4,B210&lt;=Dashboard!$F$4,A210&lt;&gt;""),N(BD210)+N(AU210)/100+ROW()/10^9,"")</f>
        <v/>
      </c>
    </row>
    <row r="211" customFormat="false" ht="15" hidden="false" customHeight="false" outlineLevel="0" collapsed="false">
      <c r="A211" s="24" t="str">
        <f aca="false">IF(OR(B211="",G211="",H211=""),"",IFERROR(INDEX(Settings!$E$5:$E$49,MATCH(G211,Settings!$D$5:$D$49,0))&amp;INDEX(Settings!$H$5:$H$47,MATCH(H211,Settings!$G$5:$G$47,0))&amp;"-"&amp;TEXT(B211,"yymmdd")&amp;"-"&amp;IF(C211="","0000",TEXT(C211,"hhmm")),"CHECK LISTS"))</f>
        <v/>
      </c>
      <c r="B211" s="39"/>
      <c r="C211" s="40"/>
      <c r="D211" s="24" t="str">
        <f aca="false">IF(B211="","",TEXT(B211,"ddd"))</f>
        <v/>
      </c>
      <c r="E211" s="27" t="str">
        <f aca="false">IF(B211="","",B211-WEEKDAY(B211,3))</f>
        <v/>
      </c>
      <c r="F211" s="24" t="str">
        <f aca="false">IF(B211="","",TEXT(B211,"yyyy-mm"))</f>
        <v/>
      </c>
      <c r="G211" s="29"/>
      <c r="H211" s="29"/>
      <c r="I211" s="29"/>
      <c r="J211" s="29"/>
      <c r="K211" s="29"/>
      <c r="L211" s="29"/>
      <c r="M211" s="29"/>
      <c r="N211" s="29"/>
      <c r="O211" s="29"/>
      <c r="P211" s="29"/>
      <c r="Q211" s="30"/>
      <c r="R211" s="29"/>
      <c r="S211" s="32"/>
      <c r="T211" s="29"/>
      <c r="U211" s="29"/>
      <c r="V211" s="24" t="str">
        <f aca="false">IF(A211="","",IFERROR(INDEX(Settings!$F$5:$F$49,MATCH(G211,Settings!$D$5:$D$49,0)),""))</f>
        <v/>
      </c>
      <c r="W211" s="24" t="str">
        <f aca="false">IF(A211="","",IF(OR(P211="",P211="Organic"),"social","paid_social"))</f>
        <v/>
      </c>
      <c r="X211" s="24" t="str">
        <f aca="false">IF(A211="","",IF(K211&lt;&gt;"",IFERROR(INDEX('Case Studies'!$C$5:$C$54,MATCH(K211,'Case Studies'!$B$5:$B$54,0))&amp;"","case-study"),IF(J211&lt;&gt;"",IFERROR(INDEX(Settings!$J$5:$J$55,MATCH(J211,Settings!$I$5:$I$55,0)),"general"),"general")))</f>
        <v/>
      </c>
      <c r="Y211" s="24" t="str">
        <f aca="false">IF(A211="","",LOWER(A211))</f>
        <v/>
      </c>
      <c r="Z211" s="24" t="str">
        <f aca="false">IF(A211="","",IF(T211="",Settings!$B$5,T211)&amp;IF(ISNUMBER(FIND("?",IF(T211="",Settings!$B$5,T211))),"&amp;","?")&amp;"utm_source="&amp;V211&amp;"&amp;utm_medium="&amp;W211&amp;"&amp;utm_campaign="&amp;X211&amp;"&amp;utm_content="&amp;Y211)</f>
        <v/>
      </c>
      <c r="AA211" s="29"/>
      <c r="AB211" s="39"/>
      <c r="AC211" s="32"/>
      <c r="AD211" s="32"/>
      <c r="AE211" s="32"/>
      <c r="AF211" s="32"/>
      <c r="AG211" s="32"/>
      <c r="AH211" s="32"/>
      <c r="AI211" s="32"/>
      <c r="AJ211" s="32"/>
      <c r="AK211" s="32"/>
      <c r="AL211" s="32"/>
      <c r="AM211" s="32"/>
      <c r="AN211" s="32"/>
      <c r="AO211" s="33" t="str">
        <f aca="false">IF(A211="","",IF(AD211&lt;&gt;"",AD211,IF(AC211&lt;&gt;"",AC211,"")))</f>
        <v/>
      </c>
      <c r="AP211" s="24" t="str">
        <f aca="false">IF(AO211="","",IF(AD211&lt;&gt;"","Reported reach","Impressions (proxy)"))</f>
        <v/>
      </c>
      <c r="AQ211" s="34" t="str">
        <f aca="false">IF(OR(AO211="",N(S211)=0),"",AO211/S211)</f>
        <v/>
      </c>
      <c r="AR211" s="33" t="str">
        <f aca="false">IF(A211="","",IF(COUNT(AF211:AJ211)=0,"",SUM(AF211:AJ211)))</f>
        <v/>
      </c>
      <c r="AS211" s="34" t="str">
        <f aca="false">IF(OR(AR211="",N(AO211)=0),"",AR211/AO211)</f>
        <v/>
      </c>
      <c r="AT211" s="34" t="str">
        <f aca="false">IF(OR(AR211="",N(AC211)=0),"",AR211/AC211)</f>
        <v/>
      </c>
      <c r="AU211" s="34" t="str">
        <f aca="false">IF(OR(AR211="",N(S211)=0),"",AR211/S211)</f>
        <v/>
      </c>
      <c r="AV211" s="34" t="str">
        <f aca="false">IF(OR(AJ211="",N(AC211)=0),"",AJ211/AC211)</f>
        <v/>
      </c>
      <c r="AW211" s="34" t="str">
        <f aca="false">IF(OR(AH211="",N(AO211)=0),"",AH211/AO211)</f>
        <v/>
      </c>
      <c r="AX211" s="35" t="str">
        <f aca="false">IF(OR(AR211="",N(AO211)=0),"",(N(AF211)*Settings!$B$6+N(AG211)*Settings!$B$7+N(AH211)*Settings!$B$8+N(AI211)*Settings!$B$9+N(AJ211)*Settings!$B$10)/AO211*1000)</f>
        <v/>
      </c>
      <c r="AY211" s="36" t="str">
        <f aca="false">IF(AS211="","",IFERROR(AS211/AVERAGEIFS('Post Tracker'!$AS$5:$AS$1004,'Post Tracker'!$G$5:$G$1004,G211),""))</f>
        <v/>
      </c>
      <c r="AZ211" s="32"/>
      <c r="BA211" s="32"/>
      <c r="BB211" s="32"/>
      <c r="BC211" s="32"/>
      <c r="BD211" s="33" t="str">
        <f aca="false">IF(A211="","",COUNTIFS('Demo Pipeline'!$Q$5:$Q$504,A211))</f>
        <v/>
      </c>
      <c r="BE211" s="33" t="str">
        <f aca="false">IF(A211="","",COUNTIFS('Demo Pipeline'!$Q$5:$Q$504,A211,'Demo Pipeline'!$W$5:$W$504,"Attended"))</f>
        <v/>
      </c>
      <c r="BF211" s="33" t="str">
        <f aca="false">IF(A211="","",COUNTIFS('Demo Pipeline'!$Q$5:$Q$504,A211,'Demo Pipeline'!$X$5:$X$504,"Yes"))</f>
        <v/>
      </c>
      <c r="BG211" s="33" t="str">
        <f aca="false">IF(A211="","",COUNTIFS('Demo Pipeline'!$Q$5:$Q$504,A211,'Demo Pipeline'!$Y$5:$Y$504,"Closed Won"))</f>
        <v/>
      </c>
      <c r="BH211" s="37" t="str">
        <f aca="false">IF(A211="","",SUMIFS('Demo Pipeline'!$Z$5:$Z$504,'Demo Pipeline'!$Q$5:$Q$504,A211))</f>
        <v/>
      </c>
      <c r="BI211" s="34" t="str">
        <f aca="false">IF(OR(AZ211="",N(AJ211)=0),"",AZ211/AJ211)</f>
        <v/>
      </c>
      <c r="BJ211" s="34" t="str">
        <f aca="false">IF(OR(BB211="",N(AZ211)=0),"",BB211/AZ211)</f>
        <v/>
      </c>
      <c r="BK211" s="34" t="str">
        <f aca="false">IF(OR(A211="",N(BB211)=0),"",BD211/BB211)</f>
        <v/>
      </c>
      <c r="BL211" s="34" t="str">
        <f aca="false">IF(OR(A211="",N(AZ211)=0),"",BD211/AZ211)</f>
        <v/>
      </c>
      <c r="BM211" s="37" t="str">
        <f aca="false">IF(OR(N(Q211)=0,N(BD211)=0),"",Q211/BD211)</f>
        <v/>
      </c>
      <c r="BN211" s="29"/>
      <c r="BO211" s="29"/>
      <c r="BP211" s="33" t="str">
        <f aca="false">IF(OR(AR211="",N(AO211)=0),"",AR211)</f>
        <v/>
      </c>
      <c r="BQ211" s="33" t="str">
        <f aca="false">IF(OR(AR211="",N(S211)=0),"",S211)</f>
        <v/>
      </c>
      <c r="BR211" s="38" t="str">
        <f aca="false">IF(AND(ISNUMBER(B211),B211&gt;=Dashboard!$C$4,B211&lt;=Dashboard!$F$4,ISNUMBER(AU211)),AU211+ROW()/10^9,"")</f>
        <v/>
      </c>
      <c r="BS211" s="38" t="str">
        <f aca="false">IF(AND(ISNUMBER(B211),B211&gt;=Dashboard!$C$4,B211&lt;=Dashboard!$F$4,A211&lt;&gt;""),N(BD211)+N(AU211)/100+ROW()/10^9,"")</f>
        <v/>
      </c>
    </row>
    <row r="212" customFormat="false" ht="15" hidden="false" customHeight="false" outlineLevel="0" collapsed="false">
      <c r="A212" s="24" t="str">
        <f aca="false">IF(OR(B212="",G212="",H212=""),"",IFERROR(INDEX(Settings!$E$5:$E$49,MATCH(G212,Settings!$D$5:$D$49,0))&amp;INDEX(Settings!$H$5:$H$47,MATCH(H212,Settings!$G$5:$G$47,0))&amp;"-"&amp;TEXT(B212,"yymmdd")&amp;"-"&amp;IF(C212="","0000",TEXT(C212,"hhmm")),"CHECK LISTS"))</f>
        <v/>
      </c>
      <c r="B212" s="39"/>
      <c r="C212" s="40"/>
      <c r="D212" s="24" t="str">
        <f aca="false">IF(B212="","",TEXT(B212,"ddd"))</f>
        <v/>
      </c>
      <c r="E212" s="27" t="str">
        <f aca="false">IF(B212="","",B212-WEEKDAY(B212,3))</f>
        <v/>
      </c>
      <c r="F212" s="24" t="str">
        <f aca="false">IF(B212="","",TEXT(B212,"yyyy-mm"))</f>
        <v/>
      </c>
      <c r="G212" s="29"/>
      <c r="H212" s="29"/>
      <c r="I212" s="29"/>
      <c r="J212" s="29"/>
      <c r="K212" s="29"/>
      <c r="L212" s="29"/>
      <c r="M212" s="29"/>
      <c r="N212" s="29"/>
      <c r="O212" s="29"/>
      <c r="P212" s="29"/>
      <c r="Q212" s="30"/>
      <c r="R212" s="29"/>
      <c r="S212" s="32"/>
      <c r="T212" s="29"/>
      <c r="U212" s="29"/>
      <c r="V212" s="24" t="str">
        <f aca="false">IF(A212="","",IFERROR(INDEX(Settings!$F$5:$F$49,MATCH(G212,Settings!$D$5:$D$49,0)),""))</f>
        <v/>
      </c>
      <c r="W212" s="24" t="str">
        <f aca="false">IF(A212="","",IF(OR(P212="",P212="Organic"),"social","paid_social"))</f>
        <v/>
      </c>
      <c r="X212" s="24" t="str">
        <f aca="false">IF(A212="","",IF(K212&lt;&gt;"",IFERROR(INDEX('Case Studies'!$C$5:$C$54,MATCH(K212,'Case Studies'!$B$5:$B$54,0))&amp;"","case-study"),IF(J212&lt;&gt;"",IFERROR(INDEX(Settings!$J$5:$J$55,MATCH(J212,Settings!$I$5:$I$55,0)),"general"),"general")))</f>
        <v/>
      </c>
      <c r="Y212" s="24" t="str">
        <f aca="false">IF(A212="","",LOWER(A212))</f>
        <v/>
      </c>
      <c r="Z212" s="24" t="str">
        <f aca="false">IF(A212="","",IF(T212="",Settings!$B$5,T212)&amp;IF(ISNUMBER(FIND("?",IF(T212="",Settings!$B$5,T212))),"&amp;","?")&amp;"utm_source="&amp;V212&amp;"&amp;utm_medium="&amp;W212&amp;"&amp;utm_campaign="&amp;X212&amp;"&amp;utm_content="&amp;Y212)</f>
        <v/>
      </c>
      <c r="AA212" s="29"/>
      <c r="AB212" s="39"/>
      <c r="AC212" s="32"/>
      <c r="AD212" s="32"/>
      <c r="AE212" s="32"/>
      <c r="AF212" s="32"/>
      <c r="AG212" s="32"/>
      <c r="AH212" s="32"/>
      <c r="AI212" s="32"/>
      <c r="AJ212" s="32"/>
      <c r="AK212" s="32"/>
      <c r="AL212" s="32"/>
      <c r="AM212" s="32"/>
      <c r="AN212" s="32"/>
      <c r="AO212" s="33" t="str">
        <f aca="false">IF(A212="","",IF(AD212&lt;&gt;"",AD212,IF(AC212&lt;&gt;"",AC212,"")))</f>
        <v/>
      </c>
      <c r="AP212" s="24" t="str">
        <f aca="false">IF(AO212="","",IF(AD212&lt;&gt;"","Reported reach","Impressions (proxy)"))</f>
        <v/>
      </c>
      <c r="AQ212" s="34" t="str">
        <f aca="false">IF(OR(AO212="",N(S212)=0),"",AO212/S212)</f>
        <v/>
      </c>
      <c r="AR212" s="33" t="str">
        <f aca="false">IF(A212="","",IF(COUNT(AF212:AJ212)=0,"",SUM(AF212:AJ212)))</f>
        <v/>
      </c>
      <c r="AS212" s="34" t="str">
        <f aca="false">IF(OR(AR212="",N(AO212)=0),"",AR212/AO212)</f>
        <v/>
      </c>
      <c r="AT212" s="34" t="str">
        <f aca="false">IF(OR(AR212="",N(AC212)=0),"",AR212/AC212)</f>
        <v/>
      </c>
      <c r="AU212" s="34" t="str">
        <f aca="false">IF(OR(AR212="",N(S212)=0),"",AR212/S212)</f>
        <v/>
      </c>
      <c r="AV212" s="34" t="str">
        <f aca="false">IF(OR(AJ212="",N(AC212)=0),"",AJ212/AC212)</f>
        <v/>
      </c>
      <c r="AW212" s="34" t="str">
        <f aca="false">IF(OR(AH212="",N(AO212)=0),"",AH212/AO212)</f>
        <v/>
      </c>
      <c r="AX212" s="35" t="str">
        <f aca="false">IF(OR(AR212="",N(AO212)=0),"",(N(AF212)*Settings!$B$6+N(AG212)*Settings!$B$7+N(AH212)*Settings!$B$8+N(AI212)*Settings!$B$9+N(AJ212)*Settings!$B$10)/AO212*1000)</f>
        <v/>
      </c>
      <c r="AY212" s="36" t="str">
        <f aca="false">IF(AS212="","",IFERROR(AS212/AVERAGEIFS('Post Tracker'!$AS$5:$AS$1004,'Post Tracker'!$G$5:$G$1004,G212),""))</f>
        <v/>
      </c>
      <c r="AZ212" s="32"/>
      <c r="BA212" s="32"/>
      <c r="BB212" s="32"/>
      <c r="BC212" s="32"/>
      <c r="BD212" s="33" t="str">
        <f aca="false">IF(A212="","",COUNTIFS('Demo Pipeline'!$Q$5:$Q$504,A212))</f>
        <v/>
      </c>
      <c r="BE212" s="33" t="str">
        <f aca="false">IF(A212="","",COUNTIFS('Demo Pipeline'!$Q$5:$Q$504,A212,'Demo Pipeline'!$W$5:$W$504,"Attended"))</f>
        <v/>
      </c>
      <c r="BF212" s="33" t="str">
        <f aca="false">IF(A212="","",COUNTIFS('Demo Pipeline'!$Q$5:$Q$504,A212,'Demo Pipeline'!$X$5:$X$504,"Yes"))</f>
        <v/>
      </c>
      <c r="BG212" s="33" t="str">
        <f aca="false">IF(A212="","",COUNTIFS('Demo Pipeline'!$Q$5:$Q$504,A212,'Demo Pipeline'!$Y$5:$Y$504,"Closed Won"))</f>
        <v/>
      </c>
      <c r="BH212" s="37" t="str">
        <f aca="false">IF(A212="","",SUMIFS('Demo Pipeline'!$Z$5:$Z$504,'Demo Pipeline'!$Q$5:$Q$504,A212))</f>
        <v/>
      </c>
      <c r="BI212" s="34" t="str">
        <f aca="false">IF(OR(AZ212="",N(AJ212)=0),"",AZ212/AJ212)</f>
        <v/>
      </c>
      <c r="BJ212" s="34" t="str">
        <f aca="false">IF(OR(BB212="",N(AZ212)=0),"",BB212/AZ212)</f>
        <v/>
      </c>
      <c r="BK212" s="34" t="str">
        <f aca="false">IF(OR(A212="",N(BB212)=0),"",BD212/BB212)</f>
        <v/>
      </c>
      <c r="BL212" s="34" t="str">
        <f aca="false">IF(OR(A212="",N(AZ212)=0),"",BD212/AZ212)</f>
        <v/>
      </c>
      <c r="BM212" s="37" t="str">
        <f aca="false">IF(OR(N(Q212)=0,N(BD212)=0),"",Q212/BD212)</f>
        <v/>
      </c>
      <c r="BN212" s="29"/>
      <c r="BO212" s="29"/>
      <c r="BP212" s="33" t="str">
        <f aca="false">IF(OR(AR212="",N(AO212)=0),"",AR212)</f>
        <v/>
      </c>
      <c r="BQ212" s="33" t="str">
        <f aca="false">IF(OR(AR212="",N(S212)=0),"",S212)</f>
        <v/>
      </c>
      <c r="BR212" s="38" t="str">
        <f aca="false">IF(AND(ISNUMBER(B212),B212&gt;=Dashboard!$C$4,B212&lt;=Dashboard!$F$4,ISNUMBER(AU212)),AU212+ROW()/10^9,"")</f>
        <v/>
      </c>
      <c r="BS212" s="38" t="str">
        <f aca="false">IF(AND(ISNUMBER(B212),B212&gt;=Dashboard!$C$4,B212&lt;=Dashboard!$F$4,A212&lt;&gt;""),N(BD212)+N(AU212)/100+ROW()/10^9,"")</f>
        <v/>
      </c>
    </row>
    <row r="213" customFormat="false" ht="15" hidden="false" customHeight="false" outlineLevel="0" collapsed="false">
      <c r="A213" s="24" t="str">
        <f aca="false">IF(OR(B213="",G213="",H213=""),"",IFERROR(INDEX(Settings!$E$5:$E$49,MATCH(G213,Settings!$D$5:$D$49,0))&amp;INDEX(Settings!$H$5:$H$47,MATCH(H213,Settings!$G$5:$G$47,0))&amp;"-"&amp;TEXT(B213,"yymmdd")&amp;"-"&amp;IF(C213="","0000",TEXT(C213,"hhmm")),"CHECK LISTS"))</f>
        <v/>
      </c>
      <c r="B213" s="39"/>
      <c r="C213" s="40"/>
      <c r="D213" s="24" t="str">
        <f aca="false">IF(B213="","",TEXT(B213,"ddd"))</f>
        <v/>
      </c>
      <c r="E213" s="27" t="str">
        <f aca="false">IF(B213="","",B213-WEEKDAY(B213,3))</f>
        <v/>
      </c>
      <c r="F213" s="24" t="str">
        <f aca="false">IF(B213="","",TEXT(B213,"yyyy-mm"))</f>
        <v/>
      </c>
      <c r="G213" s="29"/>
      <c r="H213" s="29"/>
      <c r="I213" s="29"/>
      <c r="J213" s="29"/>
      <c r="K213" s="29"/>
      <c r="L213" s="29"/>
      <c r="M213" s="29"/>
      <c r="N213" s="29"/>
      <c r="O213" s="29"/>
      <c r="P213" s="29"/>
      <c r="Q213" s="30"/>
      <c r="R213" s="29"/>
      <c r="S213" s="32"/>
      <c r="T213" s="29"/>
      <c r="U213" s="29"/>
      <c r="V213" s="24" t="str">
        <f aca="false">IF(A213="","",IFERROR(INDEX(Settings!$F$5:$F$49,MATCH(G213,Settings!$D$5:$D$49,0)),""))</f>
        <v/>
      </c>
      <c r="W213" s="24" t="str">
        <f aca="false">IF(A213="","",IF(OR(P213="",P213="Organic"),"social","paid_social"))</f>
        <v/>
      </c>
      <c r="X213" s="24" t="str">
        <f aca="false">IF(A213="","",IF(K213&lt;&gt;"",IFERROR(INDEX('Case Studies'!$C$5:$C$54,MATCH(K213,'Case Studies'!$B$5:$B$54,0))&amp;"","case-study"),IF(J213&lt;&gt;"",IFERROR(INDEX(Settings!$J$5:$J$55,MATCH(J213,Settings!$I$5:$I$55,0)),"general"),"general")))</f>
        <v/>
      </c>
      <c r="Y213" s="24" t="str">
        <f aca="false">IF(A213="","",LOWER(A213))</f>
        <v/>
      </c>
      <c r="Z213" s="24" t="str">
        <f aca="false">IF(A213="","",IF(T213="",Settings!$B$5,T213)&amp;IF(ISNUMBER(FIND("?",IF(T213="",Settings!$B$5,T213))),"&amp;","?")&amp;"utm_source="&amp;V213&amp;"&amp;utm_medium="&amp;W213&amp;"&amp;utm_campaign="&amp;X213&amp;"&amp;utm_content="&amp;Y213)</f>
        <v/>
      </c>
      <c r="AA213" s="29"/>
      <c r="AB213" s="39"/>
      <c r="AC213" s="32"/>
      <c r="AD213" s="32"/>
      <c r="AE213" s="32"/>
      <c r="AF213" s="32"/>
      <c r="AG213" s="32"/>
      <c r="AH213" s="32"/>
      <c r="AI213" s="32"/>
      <c r="AJ213" s="32"/>
      <c r="AK213" s="32"/>
      <c r="AL213" s="32"/>
      <c r="AM213" s="32"/>
      <c r="AN213" s="32"/>
      <c r="AO213" s="33" t="str">
        <f aca="false">IF(A213="","",IF(AD213&lt;&gt;"",AD213,IF(AC213&lt;&gt;"",AC213,"")))</f>
        <v/>
      </c>
      <c r="AP213" s="24" t="str">
        <f aca="false">IF(AO213="","",IF(AD213&lt;&gt;"","Reported reach","Impressions (proxy)"))</f>
        <v/>
      </c>
      <c r="AQ213" s="34" t="str">
        <f aca="false">IF(OR(AO213="",N(S213)=0),"",AO213/S213)</f>
        <v/>
      </c>
      <c r="AR213" s="33" t="str">
        <f aca="false">IF(A213="","",IF(COUNT(AF213:AJ213)=0,"",SUM(AF213:AJ213)))</f>
        <v/>
      </c>
      <c r="AS213" s="34" t="str">
        <f aca="false">IF(OR(AR213="",N(AO213)=0),"",AR213/AO213)</f>
        <v/>
      </c>
      <c r="AT213" s="34" t="str">
        <f aca="false">IF(OR(AR213="",N(AC213)=0),"",AR213/AC213)</f>
        <v/>
      </c>
      <c r="AU213" s="34" t="str">
        <f aca="false">IF(OR(AR213="",N(S213)=0),"",AR213/S213)</f>
        <v/>
      </c>
      <c r="AV213" s="34" t="str">
        <f aca="false">IF(OR(AJ213="",N(AC213)=0),"",AJ213/AC213)</f>
        <v/>
      </c>
      <c r="AW213" s="34" t="str">
        <f aca="false">IF(OR(AH213="",N(AO213)=0),"",AH213/AO213)</f>
        <v/>
      </c>
      <c r="AX213" s="35" t="str">
        <f aca="false">IF(OR(AR213="",N(AO213)=0),"",(N(AF213)*Settings!$B$6+N(AG213)*Settings!$B$7+N(AH213)*Settings!$B$8+N(AI213)*Settings!$B$9+N(AJ213)*Settings!$B$10)/AO213*1000)</f>
        <v/>
      </c>
      <c r="AY213" s="36" t="str">
        <f aca="false">IF(AS213="","",IFERROR(AS213/AVERAGEIFS('Post Tracker'!$AS$5:$AS$1004,'Post Tracker'!$G$5:$G$1004,G213),""))</f>
        <v/>
      </c>
      <c r="AZ213" s="32"/>
      <c r="BA213" s="32"/>
      <c r="BB213" s="32"/>
      <c r="BC213" s="32"/>
      <c r="BD213" s="33" t="str">
        <f aca="false">IF(A213="","",COUNTIFS('Demo Pipeline'!$Q$5:$Q$504,A213))</f>
        <v/>
      </c>
      <c r="BE213" s="33" t="str">
        <f aca="false">IF(A213="","",COUNTIFS('Demo Pipeline'!$Q$5:$Q$504,A213,'Demo Pipeline'!$W$5:$W$504,"Attended"))</f>
        <v/>
      </c>
      <c r="BF213" s="33" t="str">
        <f aca="false">IF(A213="","",COUNTIFS('Demo Pipeline'!$Q$5:$Q$504,A213,'Demo Pipeline'!$X$5:$X$504,"Yes"))</f>
        <v/>
      </c>
      <c r="BG213" s="33" t="str">
        <f aca="false">IF(A213="","",COUNTIFS('Demo Pipeline'!$Q$5:$Q$504,A213,'Demo Pipeline'!$Y$5:$Y$504,"Closed Won"))</f>
        <v/>
      </c>
      <c r="BH213" s="37" t="str">
        <f aca="false">IF(A213="","",SUMIFS('Demo Pipeline'!$Z$5:$Z$504,'Demo Pipeline'!$Q$5:$Q$504,A213))</f>
        <v/>
      </c>
      <c r="BI213" s="34" t="str">
        <f aca="false">IF(OR(AZ213="",N(AJ213)=0),"",AZ213/AJ213)</f>
        <v/>
      </c>
      <c r="BJ213" s="34" t="str">
        <f aca="false">IF(OR(BB213="",N(AZ213)=0),"",BB213/AZ213)</f>
        <v/>
      </c>
      <c r="BK213" s="34" t="str">
        <f aca="false">IF(OR(A213="",N(BB213)=0),"",BD213/BB213)</f>
        <v/>
      </c>
      <c r="BL213" s="34" t="str">
        <f aca="false">IF(OR(A213="",N(AZ213)=0),"",BD213/AZ213)</f>
        <v/>
      </c>
      <c r="BM213" s="37" t="str">
        <f aca="false">IF(OR(N(Q213)=0,N(BD213)=0),"",Q213/BD213)</f>
        <v/>
      </c>
      <c r="BN213" s="29"/>
      <c r="BO213" s="29"/>
      <c r="BP213" s="33" t="str">
        <f aca="false">IF(OR(AR213="",N(AO213)=0),"",AR213)</f>
        <v/>
      </c>
      <c r="BQ213" s="33" t="str">
        <f aca="false">IF(OR(AR213="",N(S213)=0),"",S213)</f>
        <v/>
      </c>
      <c r="BR213" s="38" t="str">
        <f aca="false">IF(AND(ISNUMBER(B213),B213&gt;=Dashboard!$C$4,B213&lt;=Dashboard!$F$4,ISNUMBER(AU213)),AU213+ROW()/10^9,"")</f>
        <v/>
      </c>
      <c r="BS213" s="38" t="str">
        <f aca="false">IF(AND(ISNUMBER(B213),B213&gt;=Dashboard!$C$4,B213&lt;=Dashboard!$F$4,A213&lt;&gt;""),N(BD213)+N(AU213)/100+ROW()/10^9,"")</f>
        <v/>
      </c>
    </row>
    <row r="214" customFormat="false" ht="15" hidden="false" customHeight="false" outlineLevel="0" collapsed="false">
      <c r="A214" s="24" t="str">
        <f aca="false">IF(OR(B214="",G214="",H214=""),"",IFERROR(INDEX(Settings!$E$5:$E$49,MATCH(G214,Settings!$D$5:$D$49,0))&amp;INDEX(Settings!$H$5:$H$47,MATCH(H214,Settings!$G$5:$G$47,0))&amp;"-"&amp;TEXT(B214,"yymmdd")&amp;"-"&amp;IF(C214="","0000",TEXT(C214,"hhmm")),"CHECK LISTS"))</f>
        <v/>
      </c>
      <c r="B214" s="39"/>
      <c r="C214" s="40"/>
      <c r="D214" s="24" t="str">
        <f aca="false">IF(B214="","",TEXT(B214,"ddd"))</f>
        <v/>
      </c>
      <c r="E214" s="27" t="str">
        <f aca="false">IF(B214="","",B214-WEEKDAY(B214,3))</f>
        <v/>
      </c>
      <c r="F214" s="24" t="str">
        <f aca="false">IF(B214="","",TEXT(B214,"yyyy-mm"))</f>
        <v/>
      </c>
      <c r="G214" s="29"/>
      <c r="H214" s="29"/>
      <c r="I214" s="29"/>
      <c r="J214" s="29"/>
      <c r="K214" s="29"/>
      <c r="L214" s="29"/>
      <c r="M214" s="29"/>
      <c r="N214" s="29"/>
      <c r="O214" s="29"/>
      <c r="P214" s="29"/>
      <c r="Q214" s="30"/>
      <c r="R214" s="29"/>
      <c r="S214" s="32"/>
      <c r="T214" s="29"/>
      <c r="U214" s="29"/>
      <c r="V214" s="24" t="str">
        <f aca="false">IF(A214="","",IFERROR(INDEX(Settings!$F$5:$F$49,MATCH(G214,Settings!$D$5:$D$49,0)),""))</f>
        <v/>
      </c>
      <c r="W214" s="24" t="str">
        <f aca="false">IF(A214="","",IF(OR(P214="",P214="Organic"),"social","paid_social"))</f>
        <v/>
      </c>
      <c r="X214" s="24" t="str">
        <f aca="false">IF(A214="","",IF(K214&lt;&gt;"",IFERROR(INDEX('Case Studies'!$C$5:$C$54,MATCH(K214,'Case Studies'!$B$5:$B$54,0))&amp;"","case-study"),IF(J214&lt;&gt;"",IFERROR(INDEX(Settings!$J$5:$J$55,MATCH(J214,Settings!$I$5:$I$55,0)),"general"),"general")))</f>
        <v/>
      </c>
      <c r="Y214" s="24" t="str">
        <f aca="false">IF(A214="","",LOWER(A214))</f>
        <v/>
      </c>
      <c r="Z214" s="24" t="str">
        <f aca="false">IF(A214="","",IF(T214="",Settings!$B$5,T214)&amp;IF(ISNUMBER(FIND("?",IF(T214="",Settings!$B$5,T214))),"&amp;","?")&amp;"utm_source="&amp;V214&amp;"&amp;utm_medium="&amp;W214&amp;"&amp;utm_campaign="&amp;X214&amp;"&amp;utm_content="&amp;Y214)</f>
        <v/>
      </c>
      <c r="AA214" s="29"/>
      <c r="AB214" s="39"/>
      <c r="AC214" s="32"/>
      <c r="AD214" s="32"/>
      <c r="AE214" s="32"/>
      <c r="AF214" s="32"/>
      <c r="AG214" s="32"/>
      <c r="AH214" s="32"/>
      <c r="AI214" s="32"/>
      <c r="AJ214" s="32"/>
      <c r="AK214" s="32"/>
      <c r="AL214" s="32"/>
      <c r="AM214" s="32"/>
      <c r="AN214" s="32"/>
      <c r="AO214" s="33" t="str">
        <f aca="false">IF(A214="","",IF(AD214&lt;&gt;"",AD214,IF(AC214&lt;&gt;"",AC214,"")))</f>
        <v/>
      </c>
      <c r="AP214" s="24" t="str">
        <f aca="false">IF(AO214="","",IF(AD214&lt;&gt;"","Reported reach","Impressions (proxy)"))</f>
        <v/>
      </c>
      <c r="AQ214" s="34" t="str">
        <f aca="false">IF(OR(AO214="",N(S214)=0),"",AO214/S214)</f>
        <v/>
      </c>
      <c r="AR214" s="33" t="str">
        <f aca="false">IF(A214="","",IF(COUNT(AF214:AJ214)=0,"",SUM(AF214:AJ214)))</f>
        <v/>
      </c>
      <c r="AS214" s="34" t="str">
        <f aca="false">IF(OR(AR214="",N(AO214)=0),"",AR214/AO214)</f>
        <v/>
      </c>
      <c r="AT214" s="34" t="str">
        <f aca="false">IF(OR(AR214="",N(AC214)=0),"",AR214/AC214)</f>
        <v/>
      </c>
      <c r="AU214" s="34" t="str">
        <f aca="false">IF(OR(AR214="",N(S214)=0),"",AR214/S214)</f>
        <v/>
      </c>
      <c r="AV214" s="34" t="str">
        <f aca="false">IF(OR(AJ214="",N(AC214)=0),"",AJ214/AC214)</f>
        <v/>
      </c>
      <c r="AW214" s="34" t="str">
        <f aca="false">IF(OR(AH214="",N(AO214)=0),"",AH214/AO214)</f>
        <v/>
      </c>
      <c r="AX214" s="35" t="str">
        <f aca="false">IF(OR(AR214="",N(AO214)=0),"",(N(AF214)*Settings!$B$6+N(AG214)*Settings!$B$7+N(AH214)*Settings!$B$8+N(AI214)*Settings!$B$9+N(AJ214)*Settings!$B$10)/AO214*1000)</f>
        <v/>
      </c>
      <c r="AY214" s="36" t="str">
        <f aca="false">IF(AS214="","",IFERROR(AS214/AVERAGEIFS('Post Tracker'!$AS$5:$AS$1004,'Post Tracker'!$G$5:$G$1004,G214),""))</f>
        <v/>
      </c>
      <c r="AZ214" s="32"/>
      <c r="BA214" s="32"/>
      <c r="BB214" s="32"/>
      <c r="BC214" s="32"/>
      <c r="BD214" s="33" t="str">
        <f aca="false">IF(A214="","",COUNTIFS('Demo Pipeline'!$Q$5:$Q$504,A214))</f>
        <v/>
      </c>
      <c r="BE214" s="33" t="str">
        <f aca="false">IF(A214="","",COUNTIFS('Demo Pipeline'!$Q$5:$Q$504,A214,'Demo Pipeline'!$W$5:$W$504,"Attended"))</f>
        <v/>
      </c>
      <c r="BF214" s="33" t="str">
        <f aca="false">IF(A214="","",COUNTIFS('Demo Pipeline'!$Q$5:$Q$504,A214,'Demo Pipeline'!$X$5:$X$504,"Yes"))</f>
        <v/>
      </c>
      <c r="BG214" s="33" t="str">
        <f aca="false">IF(A214="","",COUNTIFS('Demo Pipeline'!$Q$5:$Q$504,A214,'Demo Pipeline'!$Y$5:$Y$504,"Closed Won"))</f>
        <v/>
      </c>
      <c r="BH214" s="37" t="str">
        <f aca="false">IF(A214="","",SUMIFS('Demo Pipeline'!$Z$5:$Z$504,'Demo Pipeline'!$Q$5:$Q$504,A214))</f>
        <v/>
      </c>
      <c r="BI214" s="34" t="str">
        <f aca="false">IF(OR(AZ214="",N(AJ214)=0),"",AZ214/AJ214)</f>
        <v/>
      </c>
      <c r="BJ214" s="34" t="str">
        <f aca="false">IF(OR(BB214="",N(AZ214)=0),"",BB214/AZ214)</f>
        <v/>
      </c>
      <c r="BK214" s="34" t="str">
        <f aca="false">IF(OR(A214="",N(BB214)=0),"",BD214/BB214)</f>
        <v/>
      </c>
      <c r="BL214" s="34" t="str">
        <f aca="false">IF(OR(A214="",N(AZ214)=0),"",BD214/AZ214)</f>
        <v/>
      </c>
      <c r="BM214" s="37" t="str">
        <f aca="false">IF(OR(N(Q214)=0,N(BD214)=0),"",Q214/BD214)</f>
        <v/>
      </c>
      <c r="BN214" s="29"/>
      <c r="BO214" s="29"/>
      <c r="BP214" s="33" t="str">
        <f aca="false">IF(OR(AR214="",N(AO214)=0),"",AR214)</f>
        <v/>
      </c>
      <c r="BQ214" s="33" t="str">
        <f aca="false">IF(OR(AR214="",N(S214)=0),"",S214)</f>
        <v/>
      </c>
      <c r="BR214" s="38" t="str">
        <f aca="false">IF(AND(ISNUMBER(B214),B214&gt;=Dashboard!$C$4,B214&lt;=Dashboard!$F$4,ISNUMBER(AU214)),AU214+ROW()/10^9,"")</f>
        <v/>
      </c>
      <c r="BS214" s="38" t="str">
        <f aca="false">IF(AND(ISNUMBER(B214),B214&gt;=Dashboard!$C$4,B214&lt;=Dashboard!$F$4,A214&lt;&gt;""),N(BD214)+N(AU214)/100+ROW()/10^9,"")</f>
        <v/>
      </c>
    </row>
    <row r="215" customFormat="false" ht="15" hidden="false" customHeight="false" outlineLevel="0" collapsed="false">
      <c r="A215" s="24" t="str">
        <f aca="false">IF(OR(B215="",G215="",H215=""),"",IFERROR(INDEX(Settings!$E$5:$E$49,MATCH(G215,Settings!$D$5:$D$49,0))&amp;INDEX(Settings!$H$5:$H$47,MATCH(H215,Settings!$G$5:$G$47,0))&amp;"-"&amp;TEXT(B215,"yymmdd")&amp;"-"&amp;IF(C215="","0000",TEXT(C215,"hhmm")),"CHECK LISTS"))</f>
        <v/>
      </c>
      <c r="B215" s="39"/>
      <c r="C215" s="40"/>
      <c r="D215" s="24" t="str">
        <f aca="false">IF(B215="","",TEXT(B215,"ddd"))</f>
        <v/>
      </c>
      <c r="E215" s="27" t="str">
        <f aca="false">IF(B215="","",B215-WEEKDAY(B215,3))</f>
        <v/>
      </c>
      <c r="F215" s="24" t="str">
        <f aca="false">IF(B215="","",TEXT(B215,"yyyy-mm"))</f>
        <v/>
      </c>
      <c r="G215" s="29"/>
      <c r="H215" s="29"/>
      <c r="I215" s="29"/>
      <c r="J215" s="29"/>
      <c r="K215" s="29"/>
      <c r="L215" s="29"/>
      <c r="M215" s="29"/>
      <c r="N215" s="29"/>
      <c r="O215" s="29"/>
      <c r="P215" s="29"/>
      <c r="Q215" s="30"/>
      <c r="R215" s="29"/>
      <c r="S215" s="32"/>
      <c r="T215" s="29"/>
      <c r="U215" s="29"/>
      <c r="V215" s="24" t="str">
        <f aca="false">IF(A215="","",IFERROR(INDEX(Settings!$F$5:$F$49,MATCH(G215,Settings!$D$5:$D$49,0)),""))</f>
        <v/>
      </c>
      <c r="W215" s="24" t="str">
        <f aca="false">IF(A215="","",IF(OR(P215="",P215="Organic"),"social","paid_social"))</f>
        <v/>
      </c>
      <c r="X215" s="24" t="str">
        <f aca="false">IF(A215="","",IF(K215&lt;&gt;"",IFERROR(INDEX('Case Studies'!$C$5:$C$54,MATCH(K215,'Case Studies'!$B$5:$B$54,0))&amp;"","case-study"),IF(J215&lt;&gt;"",IFERROR(INDEX(Settings!$J$5:$J$55,MATCH(J215,Settings!$I$5:$I$55,0)),"general"),"general")))</f>
        <v/>
      </c>
      <c r="Y215" s="24" t="str">
        <f aca="false">IF(A215="","",LOWER(A215))</f>
        <v/>
      </c>
      <c r="Z215" s="24" t="str">
        <f aca="false">IF(A215="","",IF(T215="",Settings!$B$5,T215)&amp;IF(ISNUMBER(FIND("?",IF(T215="",Settings!$B$5,T215))),"&amp;","?")&amp;"utm_source="&amp;V215&amp;"&amp;utm_medium="&amp;W215&amp;"&amp;utm_campaign="&amp;X215&amp;"&amp;utm_content="&amp;Y215)</f>
        <v/>
      </c>
      <c r="AA215" s="29"/>
      <c r="AB215" s="39"/>
      <c r="AC215" s="32"/>
      <c r="AD215" s="32"/>
      <c r="AE215" s="32"/>
      <c r="AF215" s="32"/>
      <c r="AG215" s="32"/>
      <c r="AH215" s="32"/>
      <c r="AI215" s="32"/>
      <c r="AJ215" s="32"/>
      <c r="AK215" s="32"/>
      <c r="AL215" s="32"/>
      <c r="AM215" s="32"/>
      <c r="AN215" s="32"/>
      <c r="AO215" s="33" t="str">
        <f aca="false">IF(A215="","",IF(AD215&lt;&gt;"",AD215,IF(AC215&lt;&gt;"",AC215,"")))</f>
        <v/>
      </c>
      <c r="AP215" s="24" t="str">
        <f aca="false">IF(AO215="","",IF(AD215&lt;&gt;"","Reported reach","Impressions (proxy)"))</f>
        <v/>
      </c>
      <c r="AQ215" s="34" t="str">
        <f aca="false">IF(OR(AO215="",N(S215)=0),"",AO215/S215)</f>
        <v/>
      </c>
      <c r="AR215" s="33" t="str">
        <f aca="false">IF(A215="","",IF(COUNT(AF215:AJ215)=0,"",SUM(AF215:AJ215)))</f>
        <v/>
      </c>
      <c r="AS215" s="34" t="str">
        <f aca="false">IF(OR(AR215="",N(AO215)=0),"",AR215/AO215)</f>
        <v/>
      </c>
      <c r="AT215" s="34" t="str">
        <f aca="false">IF(OR(AR215="",N(AC215)=0),"",AR215/AC215)</f>
        <v/>
      </c>
      <c r="AU215" s="34" t="str">
        <f aca="false">IF(OR(AR215="",N(S215)=0),"",AR215/S215)</f>
        <v/>
      </c>
      <c r="AV215" s="34" t="str">
        <f aca="false">IF(OR(AJ215="",N(AC215)=0),"",AJ215/AC215)</f>
        <v/>
      </c>
      <c r="AW215" s="34" t="str">
        <f aca="false">IF(OR(AH215="",N(AO215)=0),"",AH215/AO215)</f>
        <v/>
      </c>
      <c r="AX215" s="35" t="str">
        <f aca="false">IF(OR(AR215="",N(AO215)=0),"",(N(AF215)*Settings!$B$6+N(AG215)*Settings!$B$7+N(AH215)*Settings!$B$8+N(AI215)*Settings!$B$9+N(AJ215)*Settings!$B$10)/AO215*1000)</f>
        <v/>
      </c>
      <c r="AY215" s="36" t="str">
        <f aca="false">IF(AS215="","",IFERROR(AS215/AVERAGEIFS('Post Tracker'!$AS$5:$AS$1004,'Post Tracker'!$G$5:$G$1004,G215),""))</f>
        <v/>
      </c>
      <c r="AZ215" s="32"/>
      <c r="BA215" s="32"/>
      <c r="BB215" s="32"/>
      <c r="BC215" s="32"/>
      <c r="BD215" s="33" t="str">
        <f aca="false">IF(A215="","",COUNTIFS('Demo Pipeline'!$Q$5:$Q$504,A215))</f>
        <v/>
      </c>
      <c r="BE215" s="33" t="str">
        <f aca="false">IF(A215="","",COUNTIFS('Demo Pipeline'!$Q$5:$Q$504,A215,'Demo Pipeline'!$W$5:$W$504,"Attended"))</f>
        <v/>
      </c>
      <c r="BF215" s="33" t="str">
        <f aca="false">IF(A215="","",COUNTIFS('Demo Pipeline'!$Q$5:$Q$504,A215,'Demo Pipeline'!$X$5:$X$504,"Yes"))</f>
        <v/>
      </c>
      <c r="BG215" s="33" t="str">
        <f aca="false">IF(A215="","",COUNTIFS('Demo Pipeline'!$Q$5:$Q$504,A215,'Demo Pipeline'!$Y$5:$Y$504,"Closed Won"))</f>
        <v/>
      </c>
      <c r="BH215" s="37" t="str">
        <f aca="false">IF(A215="","",SUMIFS('Demo Pipeline'!$Z$5:$Z$504,'Demo Pipeline'!$Q$5:$Q$504,A215))</f>
        <v/>
      </c>
      <c r="BI215" s="34" t="str">
        <f aca="false">IF(OR(AZ215="",N(AJ215)=0),"",AZ215/AJ215)</f>
        <v/>
      </c>
      <c r="BJ215" s="34" t="str">
        <f aca="false">IF(OR(BB215="",N(AZ215)=0),"",BB215/AZ215)</f>
        <v/>
      </c>
      <c r="BK215" s="34" t="str">
        <f aca="false">IF(OR(A215="",N(BB215)=0),"",BD215/BB215)</f>
        <v/>
      </c>
      <c r="BL215" s="34" t="str">
        <f aca="false">IF(OR(A215="",N(AZ215)=0),"",BD215/AZ215)</f>
        <v/>
      </c>
      <c r="BM215" s="37" t="str">
        <f aca="false">IF(OR(N(Q215)=0,N(BD215)=0),"",Q215/BD215)</f>
        <v/>
      </c>
      <c r="BN215" s="29"/>
      <c r="BO215" s="29"/>
      <c r="BP215" s="33" t="str">
        <f aca="false">IF(OR(AR215="",N(AO215)=0),"",AR215)</f>
        <v/>
      </c>
      <c r="BQ215" s="33" t="str">
        <f aca="false">IF(OR(AR215="",N(S215)=0),"",S215)</f>
        <v/>
      </c>
      <c r="BR215" s="38" t="str">
        <f aca="false">IF(AND(ISNUMBER(B215),B215&gt;=Dashboard!$C$4,B215&lt;=Dashboard!$F$4,ISNUMBER(AU215)),AU215+ROW()/10^9,"")</f>
        <v/>
      </c>
      <c r="BS215" s="38" t="str">
        <f aca="false">IF(AND(ISNUMBER(B215),B215&gt;=Dashboard!$C$4,B215&lt;=Dashboard!$F$4,A215&lt;&gt;""),N(BD215)+N(AU215)/100+ROW()/10^9,"")</f>
        <v/>
      </c>
    </row>
    <row r="216" customFormat="false" ht="15" hidden="false" customHeight="false" outlineLevel="0" collapsed="false">
      <c r="A216" s="24" t="str">
        <f aca="false">IF(OR(B216="",G216="",H216=""),"",IFERROR(INDEX(Settings!$E$5:$E$49,MATCH(G216,Settings!$D$5:$D$49,0))&amp;INDEX(Settings!$H$5:$H$47,MATCH(H216,Settings!$G$5:$G$47,0))&amp;"-"&amp;TEXT(B216,"yymmdd")&amp;"-"&amp;IF(C216="","0000",TEXT(C216,"hhmm")),"CHECK LISTS"))</f>
        <v/>
      </c>
      <c r="B216" s="39"/>
      <c r="C216" s="40"/>
      <c r="D216" s="24" t="str">
        <f aca="false">IF(B216="","",TEXT(B216,"ddd"))</f>
        <v/>
      </c>
      <c r="E216" s="27" t="str">
        <f aca="false">IF(B216="","",B216-WEEKDAY(B216,3))</f>
        <v/>
      </c>
      <c r="F216" s="24" t="str">
        <f aca="false">IF(B216="","",TEXT(B216,"yyyy-mm"))</f>
        <v/>
      </c>
      <c r="G216" s="29"/>
      <c r="H216" s="29"/>
      <c r="I216" s="29"/>
      <c r="J216" s="29"/>
      <c r="K216" s="29"/>
      <c r="L216" s="29"/>
      <c r="M216" s="29"/>
      <c r="N216" s="29"/>
      <c r="O216" s="29"/>
      <c r="P216" s="29"/>
      <c r="Q216" s="30"/>
      <c r="R216" s="29"/>
      <c r="S216" s="32"/>
      <c r="T216" s="29"/>
      <c r="U216" s="29"/>
      <c r="V216" s="24" t="str">
        <f aca="false">IF(A216="","",IFERROR(INDEX(Settings!$F$5:$F$49,MATCH(G216,Settings!$D$5:$D$49,0)),""))</f>
        <v/>
      </c>
      <c r="W216" s="24" t="str">
        <f aca="false">IF(A216="","",IF(OR(P216="",P216="Organic"),"social","paid_social"))</f>
        <v/>
      </c>
      <c r="X216" s="24" t="str">
        <f aca="false">IF(A216="","",IF(K216&lt;&gt;"",IFERROR(INDEX('Case Studies'!$C$5:$C$54,MATCH(K216,'Case Studies'!$B$5:$B$54,0))&amp;"","case-study"),IF(J216&lt;&gt;"",IFERROR(INDEX(Settings!$J$5:$J$55,MATCH(J216,Settings!$I$5:$I$55,0)),"general"),"general")))</f>
        <v/>
      </c>
      <c r="Y216" s="24" t="str">
        <f aca="false">IF(A216="","",LOWER(A216))</f>
        <v/>
      </c>
      <c r="Z216" s="24" t="str">
        <f aca="false">IF(A216="","",IF(T216="",Settings!$B$5,T216)&amp;IF(ISNUMBER(FIND("?",IF(T216="",Settings!$B$5,T216))),"&amp;","?")&amp;"utm_source="&amp;V216&amp;"&amp;utm_medium="&amp;W216&amp;"&amp;utm_campaign="&amp;X216&amp;"&amp;utm_content="&amp;Y216)</f>
        <v/>
      </c>
      <c r="AA216" s="29"/>
      <c r="AB216" s="39"/>
      <c r="AC216" s="32"/>
      <c r="AD216" s="32"/>
      <c r="AE216" s="32"/>
      <c r="AF216" s="32"/>
      <c r="AG216" s="32"/>
      <c r="AH216" s="32"/>
      <c r="AI216" s="32"/>
      <c r="AJ216" s="32"/>
      <c r="AK216" s="32"/>
      <c r="AL216" s="32"/>
      <c r="AM216" s="32"/>
      <c r="AN216" s="32"/>
      <c r="AO216" s="33" t="str">
        <f aca="false">IF(A216="","",IF(AD216&lt;&gt;"",AD216,IF(AC216&lt;&gt;"",AC216,"")))</f>
        <v/>
      </c>
      <c r="AP216" s="24" t="str">
        <f aca="false">IF(AO216="","",IF(AD216&lt;&gt;"","Reported reach","Impressions (proxy)"))</f>
        <v/>
      </c>
      <c r="AQ216" s="34" t="str">
        <f aca="false">IF(OR(AO216="",N(S216)=0),"",AO216/S216)</f>
        <v/>
      </c>
      <c r="AR216" s="33" t="str">
        <f aca="false">IF(A216="","",IF(COUNT(AF216:AJ216)=0,"",SUM(AF216:AJ216)))</f>
        <v/>
      </c>
      <c r="AS216" s="34" t="str">
        <f aca="false">IF(OR(AR216="",N(AO216)=0),"",AR216/AO216)</f>
        <v/>
      </c>
      <c r="AT216" s="34" t="str">
        <f aca="false">IF(OR(AR216="",N(AC216)=0),"",AR216/AC216)</f>
        <v/>
      </c>
      <c r="AU216" s="34" t="str">
        <f aca="false">IF(OR(AR216="",N(S216)=0),"",AR216/S216)</f>
        <v/>
      </c>
      <c r="AV216" s="34" t="str">
        <f aca="false">IF(OR(AJ216="",N(AC216)=0),"",AJ216/AC216)</f>
        <v/>
      </c>
      <c r="AW216" s="34" t="str">
        <f aca="false">IF(OR(AH216="",N(AO216)=0),"",AH216/AO216)</f>
        <v/>
      </c>
      <c r="AX216" s="35" t="str">
        <f aca="false">IF(OR(AR216="",N(AO216)=0),"",(N(AF216)*Settings!$B$6+N(AG216)*Settings!$B$7+N(AH216)*Settings!$B$8+N(AI216)*Settings!$B$9+N(AJ216)*Settings!$B$10)/AO216*1000)</f>
        <v/>
      </c>
      <c r="AY216" s="36" t="str">
        <f aca="false">IF(AS216="","",IFERROR(AS216/AVERAGEIFS('Post Tracker'!$AS$5:$AS$1004,'Post Tracker'!$G$5:$G$1004,G216),""))</f>
        <v/>
      </c>
      <c r="AZ216" s="32"/>
      <c r="BA216" s="32"/>
      <c r="BB216" s="32"/>
      <c r="BC216" s="32"/>
      <c r="BD216" s="33" t="str">
        <f aca="false">IF(A216="","",COUNTIFS('Demo Pipeline'!$Q$5:$Q$504,A216))</f>
        <v/>
      </c>
      <c r="BE216" s="33" t="str">
        <f aca="false">IF(A216="","",COUNTIFS('Demo Pipeline'!$Q$5:$Q$504,A216,'Demo Pipeline'!$W$5:$W$504,"Attended"))</f>
        <v/>
      </c>
      <c r="BF216" s="33" t="str">
        <f aca="false">IF(A216="","",COUNTIFS('Demo Pipeline'!$Q$5:$Q$504,A216,'Demo Pipeline'!$X$5:$X$504,"Yes"))</f>
        <v/>
      </c>
      <c r="BG216" s="33" t="str">
        <f aca="false">IF(A216="","",COUNTIFS('Demo Pipeline'!$Q$5:$Q$504,A216,'Demo Pipeline'!$Y$5:$Y$504,"Closed Won"))</f>
        <v/>
      </c>
      <c r="BH216" s="37" t="str">
        <f aca="false">IF(A216="","",SUMIFS('Demo Pipeline'!$Z$5:$Z$504,'Demo Pipeline'!$Q$5:$Q$504,A216))</f>
        <v/>
      </c>
      <c r="BI216" s="34" t="str">
        <f aca="false">IF(OR(AZ216="",N(AJ216)=0),"",AZ216/AJ216)</f>
        <v/>
      </c>
      <c r="BJ216" s="34" t="str">
        <f aca="false">IF(OR(BB216="",N(AZ216)=0),"",BB216/AZ216)</f>
        <v/>
      </c>
      <c r="BK216" s="34" t="str">
        <f aca="false">IF(OR(A216="",N(BB216)=0),"",BD216/BB216)</f>
        <v/>
      </c>
      <c r="BL216" s="34" t="str">
        <f aca="false">IF(OR(A216="",N(AZ216)=0),"",BD216/AZ216)</f>
        <v/>
      </c>
      <c r="BM216" s="37" t="str">
        <f aca="false">IF(OR(N(Q216)=0,N(BD216)=0),"",Q216/BD216)</f>
        <v/>
      </c>
      <c r="BN216" s="29"/>
      <c r="BO216" s="29"/>
      <c r="BP216" s="33" t="str">
        <f aca="false">IF(OR(AR216="",N(AO216)=0),"",AR216)</f>
        <v/>
      </c>
      <c r="BQ216" s="33" t="str">
        <f aca="false">IF(OR(AR216="",N(S216)=0),"",S216)</f>
        <v/>
      </c>
      <c r="BR216" s="38" t="str">
        <f aca="false">IF(AND(ISNUMBER(B216),B216&gt;=Dashboard!$C$4,B216&lt;=Dashboard!$F$4,ISNUMBER(AU216)),AU216+ROW()/10^9,"")</f>
        <v/>
      </c>
      <c r="BS216" s="38" t="str">
        <f aca="false">IF(AND(ISNUMBER(B216),B216&gt;=Dashboard!$C$4,B216&lt;=Dashboard!$F$4,A216&lt;&gt;""),N(BD216)+N(AU216)/100+ROW()/10^9,"")</f>
        <v/>
      </c>
    </row>
    <row r="217" customFormat="false" ht="15" hidden="false" customHeight="false" outlineLevel="0" collapsed="false">
      <c r="A217" s="24" t="str">
        <f aca="false">IF(OR(B217="",G217="",H217=""),"",IFERROR(INDEX(Settings!$E$5:$E$49,MATCH(G217,Settings!$D$5:$D$49,0))&amp;INDEX(Settings!$H$5:$H$47,MATCH(H217,Settings!$G$5:$G$47,0))&amp;"-"&amp;TEXT(B217,"yymmdd")&amp;"-"&amp;IF(C217="","0000",TEXT(C217,"hhmm")),"CHECK LISTS"))</f>
        <v/>
      </c>
      <c r="B217" s="39"/>
      <c r="C217" s="40"/>
      <c r="D217" s="24" t="str">
        <f aca="false">IF(B217="","",TEXT(B217,"ddd"))</f>
        <v/>
      </c>
      <c r="E217" s="27" t="str">
        <f aca="false">IF(B217="","",B217-WEEKDAY(B217,3))</f>
        <v/>
      </c>
      <c r="F217" s="24" t="str">
        <f aca="false">IF(B217="","",TEXT(B217,"yyyy-mm"))</f>
        <v/>
      </c>
      <c r="G217" s="29"/>
      <c r="H217" s="29"/>
      <c r="I217" s="29"/>
      <c r="J217" s="29"/>
      <c r="K217" s="29"/>
      <c r="L217" s="29"/>
      <c r="M217" s="29"/>
      <c r="N217" s="29"/>
      <c r="O217" s="29"/>
      <c r="P217" s="29"/>
      <c r="Q217" s="30"/>
      <c r="R217" s="29"/>
      <c r="S217" s="32"/>
      <c r="T217" s="29"/>
      <c r="U217" s="29"/>
      <c r="V217" s="24" t="str">
        <f aca="false">IF(A217="","",IFERROR(INDEX(Settings!$F$5:$F$49,MATCH(G217,Settings!$D$5:$D$49,0)),""))</f>
        <v/>
      </c>
      <c r="W217" s="24" t="str">
        <f aca="false">IF(A217="","",IF(OR(P217="",P217="Organic"),"social","paid_social"))</f>
        <v/>
      </c>
      <c r="X217" s="24" t="str">
        <f aca="false">IF(A217="","",IF(K217&lt;&gt;"",IFERROR(INDEX('Case Studies'!$C$5:$C$54,MATCH(K217,'Case Studies'!$B$5:$B$54,0))&amp;"","case-study"),IF(J217&lt;&gt;"",IFERROR(INDEX(Settings!$J$5:$J$55,MATCH(J217,Settings!$I$5:$I$55,0)),"general"),"general")))</f>
        <v/>
      </c>
      <c r="Y217" s="24" t="str">
        <f aca="false">IF(A217="","",LOWER(A217))</f>
        <v/>
      </c>
      <c r="Z217" s="24" t="str">
        <f aca="false">IF(A217="","",IF(T217="",Settings!$B$5,T217)&amp;IF(ISNUMBER(FIND("?",IF(T217="",Settings!$B$5,T217))),"&amp;","?")&amp;"utm_source="&amp;V217&amp;"&amp;utm_medium="&amp;W217&amp;"&amp;utm_campaign="&amp;X217&amp;"&amp;utm_content="&amp;Y217)</f>
        <v/>
      </c>
      <c r="AA217" s="29"/>
      <c r="AB217" s="39"/>
      <c r="AC217" s="32"/>
      <c r="AD217" s="32"/>
      <c r="AE217" s="32"/>
      <c r="AF217" s="32"/>
      <c r="AG217" s="32"/>
      <c r="AH217" s="32"/>
      <c r="AI217" s="32"/>
      <c r="AJ217" s="32"/>
      <c r="AK217" s="32"/>
      <c r="AL217" s="32"/>
      <c r="AM217" s="32"/>
      <c r="AN217" s="32"/>
      <c r="AO217" s="33" t="str">
        <f aca="false">IF(A217="","",IF(AD217&lt;&gt;"",AD217,IF(AC217&lt;&gt;"",AC217,"")))</f>
        <v/>
      </c>
      <c r="AP217" s="24" t="str">
        <f aca="false">IF(AO217="","",IF(AD217&lt;&gt;"","Reported reach","Impressions (proxy)"))</f>
        <v/>
      </c>
      <c r="AQ217" s="34" t="str">
        <f aca="false">IF(OR(AO217="",N(S217)=0),"",AO217/S217)</f>
        <v/>
      </c>
      <c r="AR217" s="33" t="str">
        <f aca="false">IF(A217="","",IF(COUNT(AF217:AJ217)=0,"",SUM(AF217:AJ217)))</f>
        <v/>
      </c>
      <c r="AS217" s="34" t="str">
        <f aca="false">IF(OR(AR217="",N(AO217)=0),"",AR217/AO217)</f>
        <v/>
      </c>
      <c r="AT217" s="34" t="str">
        <f aca="false">IF(OR(AR217="",N(AC217)=0),"",AR217/AC217)</f>
        <v/>
      </c>
      <c r="AU217" s="34" t="str">
        <f aca="false">IF(OR(AR217="",N(S217)=0),"",AR217/S217)</f>
        <v/>
      </c>
      <c r="AV217" s="34" t="str">
        <f aca="false">IF(OR(AJ217="",N(AC217)=0),"",AJ217/AC217)</f>
        <v/>
      </c>
      <c r="AW217" s="34" t="str">
        <f aca="false">IF(OR(AH217="",N(AO217)=0),"",AH217/AO217)</f>
        <v/>
      </c>
      <c r="AX217" s="35" t="str">
        <f aca="false">IF(OR(AR217="",N(AO217)=0),"",(N(AF217)*Settings!$B$6+N(AG217)*Settings!$B$7+N(AH217)*Settings!$B$8+N(AI217)*Settings!$B$9+N(AJ217)*Settings!$B$10)/AO217*1000)</f>
        <v/>
      </c>
      <c r="AY217" s="36" t="str">
        <f aca="false">IF(AS217="","",IFERROR(AS217/AVERAGEIFS('Post Tracker'!$AS$5:$AS$1004,'Post Tracker'!$G$5:$G$1004,G217),""))</f>
        <v/>
      </c>
      <c r="AZ217" s="32"/>
      <c r="BA217" s="32"/>
      <c r="BB217" s="32"/>
      <c r="BC217" s="32"/>
      <c r="BD217" s="33" t="str">
        <f aca="false">IF(A217="","",COUNTIFS('Demo Pipeline'!$Q$5:$Q$504,A217))</f>
        <v/>
      </c>
      <c r="BE217" s="33" t="str">
        <f aca="false">IF(A217="","",COUNTIFS('Demo Pipeline'!$Q$5:$Q$504,A217,'Demo Pipeline'!$W$5:$W$504,"Attended"))</f>
        <v/>
      </c>
      <c r="BF217" s="33" t="str">
        <f aca="false">IF(A217="","",COUNTIFS('Demo Pipeline'!$Q$5:$Q$504,A217,'Demo Pipeline'!$X$5:$X$504,"Yes"))</f>
        <v/>
      </c>
      <c r="BG217" s="33" t="str">
        <f aca="false">IF(A217="","",COUNTIFS('Demo Pipeline'!$Q$5:$Q$504,A217,'Demo Pipeline'!$Y$5:$Y$504,"Closed Won"))</f>
        <v/>
      </c>
      <c r="BH217" s="37" t="str">
        <f aca="false">IF(A217="","",SUMIFS('Demo Pipeline'!$Z$5:$Z$504,'Demo Pipeline'!$Q$5:$Q$504,A217))</f>
        <v/>
      </c>
      <c r="BI217" s="34" t="str">
        <f aca="false">IF(OR(AZ217="",N(AJ217)=0),"",AZ217/AJ217)</f>
        <v/>
      </c>
      <c r="BJ217" s="34" t="str">
        <f aca="false">IF(OR(BB217="",N(AZ217)=0),"",BB217/AZ217)</f>
        <v/>
      </c>
      <c r="BK217" s="34" t="str">
        <f aca="false">IF(OR(A217="",N(BB217)=0),"",BD217/BB217)</f>
        <v/>
      </c>
      <c r="BL217" s="34" t="str">
        <f aca="false">IF(OR(A217="",N(AZ217)=0),"",BD217/AZ217)</f>
        <v/>
      </c>
      <c r="BM217" s="37" t="str">
        <f aca="false">IF(OR(N(Q217)=0,N(BD217)=0),"",Q217/BD217)</f>
        <v/>
      </c>
      <c r="BN217" s="29"/>
      <c r="BO217" s="29"/>
      <c r="BP217" s="33" t="str">
        <f aca="false">IF(OR(AR217="",N(AO217)=0),"",AR217)</f>
        <v/>
      </c>
      <c r="BQ217" s="33" t="str">
        <f aca="false">IF(OR(AR217="",N(S217)=0),"",S217)</f>
        <v/>
      </c>
      <c r="BR217" s="38" t="str">
        <f aca="false">IF(AND(ISNUMBER(B217),B217&gt;=Dashboard!$C$4,B217&lt;=Dashboard!$F$4,ISNUMBER(AU217)),AU217+ROW()/10^9,"")</f>
        <v/>
      </c>
      <c r="BS217" s="38" t="str">
        <f aca="false">IF(AND(ISNUMBER(B217),B217&gt;=Dashboard!$C$4,B217&lt;=Dashboard!$F$4,A217&lt;&gt;""),N(BD217)+N(AU217)/100+ROW()/10^9,"")</f>
        <v/>
      </c>
    </row>
    <row r="218" customFormat="false" ht="15" hidden="false" customHeight="false" outlineLevel="0" collapsed="false">
      <c r="A218" s="24" t="str">
        <f aca="false">IF(OR(B218="",G218="",H218=""),"",IFERROR(INDEX(Settings!$E$5:$E$49,MATCH(G218,Settings!$D$5:$D$49,0))&amp;INDEX(Settings!$H$5:$H$47,MATCH(H218,Settings!$G$5:$G$47,0))&amp;"-"&amp;TEXT(B218,"yymmdd")&amp;"-"&amp;IF(C218="","0000",TEXT(C218,"hhmm")),"CHECK LISTS"))</f>
        <v/>
      </c>
      <c r="B218" s="39"/>
      <c r="C218" s="40"/>
      <c r="D218" s="24" t="str">
        <f aca="false">IF(B218="","",TEXT(B218,"ddd"))</f>
        <v/>
      </c>
      <c r="E218" s="27" t="str">
        <f aca="false">IF(B218="","",B218-WEEKDAY(B218,3))</f>
        <v/>
      </c>
      <c r="F218" s="24" t="str">
        <f aca="false">IF(B218="","",TEXT(B218,"yyyy-mm"))</f>
        <v/>
      </c>
      <c r="G218" s="29"/>
      <c r="H218" s="29"/>
      <c r="I218" s="29"/>
      <c r="J218" s="29"/>
      <c r="K218" s="29"/>
      <c r="L218" s="29"/>
      <c r="M218" s="29"/>
      <c r="N218" s="29"/>
      <c r="O218" s="29"/>
      <c r="P218" s="29"/>
      <c r="Q218" s="30"/>
      <c r="R218" s="29"/>
      <c r="S218" s="32"/>
      <c r="T218" s="29"/>
      <c r="U218" s="29"/>
      <c r="V218" s="24" t="str">
        <f aca="false">IF(A218="","",IFERROR(INDEX(Settings!$F$5:$F$49,MATCH(G218,Settings!$D$5:$D$49,0)),""))</f>
        <v/>
      </c>
      <c r="W218" s="24" t="str">
        <f aca="false">IF(A218="","",IF(OR(P218="",P218="Organic"),"social","paid_social"))</f>
        <v/>
      </c>
      <c r="X218" s="24" t="str">
        <f aca="false">IF(A218="","",IF(K218&lt;&gt;"",IFERROR(INDEX('Case Studies'!$C$5:$C$54,MATCH(K218,'Case Studies'!$B$5:$B$54,0))&amp;"","case-study"),IF(J218&lt;&gt;"",IFERROR(INDEX(Settings!$J$5:$J$55,MATCH(J218,Settings!$I$5:$I$55,0)),"general"),"general")))</f>
        <v/>
      </c>
      <c r="Y218" s="24" t="str">
        <f aca="false">IF(A218="","",LOWER(A218))</f>
        <v/>
      </c>
      <c r="Z218" s="24" t="str">
        <f aca="false">IF(A218="","",IF(T218="",Settings!$B$5,T218)&amp;IF(ISNUMBER(FIND("?",IF(T218="",Settings!$B$5,T218))),"&amp;","?")&amp;"utm_source="&amp;V218&amp;"&amp;utm_medium="&amp;W218&amp;"&amp;utm_campaign="&amp;X218&amp;"&amp;utm_content="&amp;Y218)</f>
        <v/>
      </c>
      <c r="AA218" s="29"/>
      <c r="AB218" s="39"/>
      <c r="AC218" s="32"/>
      <c r="AD218" s="32"/>
      <c r="AE218" s="32"/>
      <c r="AF218" s="32"/>
      <c r="AG218" s="32"/>
      <c r="AH218" s="32"/>
      <c r="AI218" s="32"/>
      <c r="AJ218" s="32"/>
      <c r="AK218" s="32"/>
      <c r="AL218" s="32"/>
      <c r="AM218" s="32"/>
      <c r="AN218" s="32"/>
      <c r="AO218" s="33" t="str">
        <f aca="false">IF(A218="","",IF(AD218&lt;&gt;"",AD218,IF(AC218&lt;&gt;"",AC218,"")))</f>
        <v/>
      </c>
      <c r="AP218" s="24" t="str">
        <f aca="false">IF(AO218="","",IF(AD218&lt;&gt;"","Reported reach","Impressions (proxy)"))</f>
        <v/>
      </c>
      <c r="AQ218" s="34" t="str">
        <f aca="false">IF(OR(AO218="",N(S218)=0),"",AO218/S218)</f>
        <v/>
      </c>
      <c r="AR218" s="33" t="str">
        <f aca="false">IF(A218="","",IF(COUNT(AF218:AJ218)=0,"",SUM(AF218:AJ218)))</f>
        <v/>
      </c>
      <c r="AS218" s="34" t="str">
        <f aca="false">IF(OR(AR218="",N(AO218)=0),"",AR218/AO218)</f>
        <v/>
      </c>
      <c r="AT218" s="34" t="str">
        <f aca="false">IF(OR(AR218="",N(AC218)=0),"",AR218/AC218)</f>
        <v/>
      </c>
      <c r="AU218" s="34" t="str">
        <f aca="false">IF(OR(AR218="",N(S218)=0),"",AR218/S218)</f>
        <v/>
      </c>
      <c r="AV218" s="34" t="str">
        <f aca="false">IF(OR(AJ218="",N(AC218)=0),"",AJ218/AC218)</f>
        <v/>
      </c>
      <c r="AW218" s="34" t="str">
        <f aca="false">IF(OR(AH218="",N(AO218)=0),"",AH218/AO218)</f>
        <v/>
      </c>
      <c r="AX218" s="35" t="str">
        <f aca="false">IF(OR(AR218="",N(AO218)=0),"",(N(AF218)*Settings!$B$6+N(AG218)*Settings!$B$7+N(AH218)*Settings!$B$8+N(AI218)*Settings!$B$9+N(AJ218)*Settings!$B$10)/AO218*1000)</f>
        <v/>
      </c>
      <c r="AY218" s="36" t="str">
        <f aca="false">IF(AS218="","",IFERROR(AS218/AVERAGEIFS('Post Tracker'!$AS$5:$AS$1004,'Post Tracker'!$G$5:$G$1004,G218),""))</f>
        <v/>
      </c>
      <c r="AZ218" s="32"/>
      <c r="BA218" s="32"/>
      <c r="BB218" s="32"/>
      <c r="BC218" s="32"/>
      <c r="BD218" s="33" t="str">
        <f aca="false">IF(A218="","",COUNTIFS('Demo Pipeline'!$Q$5:$Q$504,A218))</f>
        <v/>
      </c>
      <c r="BE218" s="33" t="str">
        <f aca="false">IF(A218="","",COUNTIFS('Demo Pipeline'!$Q$5:$Q$504,A218,'Demo Pipeline'!$W$5:$W$504,"Attended"))</f>
        <v/>
      </c>
      <c r="BF218" s="33" t="str">
        <f aca="false">IF(A218="","",COUNTIFS('Demo Pipeline'!$Q$5:$Q$504,A218,'Demo Pipeline'!$X$5:$X$504,"Yes"))</f>
        <v/>
      </c>
      <c r="BG218" s="33" t="str">
        <f aca="false">IF(A218="","",COUNTIFS('Demo Pipeline'!$Q$5:$Q$504,A218,'Demo Pipeline'!$Y$5:$Y$504,"Closed Won"))</f>
        <v/>
      </c>
      <c r="BH218" s="37" t="str">
        <f aca="false">IF(A218="","",SUMIFS('Demo Pipeline'!$Z$5:$Z$504,'Demo Pipeline'!$Q$5:$Q$504,A218))</f>
        <v/>
      </c>
      <c r="BI218" s="34" t="str">
        <f aca="false">IF(OR(AZ218="",N(AJ218)=0),"",AZ218/AJ218)</f>
        <v/>
      </c>
      <c r="BJ218" s="34" t="str">
        <f aca="false">IF(OR(BB218="",N(AZ218)=0),"",BB218/AZ218)</f>
        <v/>
      </c>
      <c r="BK218" s="34" t="str">
        <f aca="false">IF(OR(A218="",N(BB218)=0),"",BD218/BB218)</f>
        <v/>
      </c>
      <c r="BL218" s="34" t="str">
        <f aca="false">IF(OR(A218="",N(AZ218)=0),"",BD218/AZ218)</f>
        <v/>
      </c>
      <c r="BM218" s="37" t="str">
        <f aca="false">IF(OR(N(Q218)=0,N(BD218)=0),"",Q218/BD218)</f>
        <v/>
      </c>
      <c r="BN218" s="29"/>
      <c r="BO218" s="29"/>
      <c r="BP218" s="33" t="str">
        <f aca="false">IF(OR(AR218="",N(AO218)=0),"",AR218)</f>
        <v/>
      </c>
      <c r="BQ218" s="33" t="str">
        <f aca="false">IF(OR(AR218="",N(S218)=0),"",S218)</f>
        <v/>
      </c>
      <c r="BR218" s="38" t="str">
        <f aca="false">IF(AND(ISNUMBER(B218),B218&gt;=Dashboard!$C$4,B218&lt;=Dashboard!$F$4,ISNUMBER(AU218)),AU218+ROW()/10^9,"")</f>
        <v/>
      </c>
      <c r="BS218" s="38" t="str">
        <f aca="false">IF(AND(ISNUMBER(B218),B218&gt;=Dashboard!$C$4,B218&lt;=Dashboard!$F$4,A218&lt;&gt;""),N(BD218)+N(AU218)/100+ROW()/10^9,"")</f>
        <v/>
      </c>
    </row>
    <row r="219" customFormat="false" ht="15" hidden="false" customHeight="false" outlineLevel="0" collapsed="false">
      <c r="A219" s="24" t="str">
        <f aca="false">IF(OR(B219="",G219="",H219=""),"",IFERROR(INDEX(Settings!$E$5:$E$49,MATCH(G219,Settings!$D$5:$D$49,0))&amp;INDEX(Settings!$H$5:$H$47,MATCH(H219,Settings!$G$5:$G$47,0))&amp;"-"&amp;TEXT(B219,"yymmdd")&amp;"-"&amp;IF(C219="","0000",TEXT(C219,"hhmm")),"CHECK LISTS"))</f>
        <v/>
      </c>
      <c r="B219" s="39"/>
      <c r="C219" s="40"/>
      <c r="D219" s="24" t="str">
        <f aca="false">IF(B219="","",TEXT(B219,"ddd"))</f>
        <v/>
      </c>
      <c r="E219" s="27" t="str">
        <f aca="false">IF(B219="","",B219-WEEKDAY(B219,3))</f>
        <v/>
      </c>
      <c r="F219" s="24" t="str">
        <f aca="false">IF(B219="","",TEXT(B219,"yyyy-mm"))</f>
        <v/>
      </c>
      <c r="G219" s="29"/>
      <c r="H219" s="29"/>
      <c r="I219" s="29"/>
      <c r="J219" s="29"/>
      <c r="K219" s="29"/>
      <c r="L219" s="29"/>
      <c r="M219" s="29"/>
      <c r="N219" s="29"/>
      <c r="O219" s="29"/>
      <c r="P219" s="29"/>
      <c r="Q219" s="30"/>
      <c r="R219" s="29"/>
      <c r="S219" s="32"/>
      <c r="T219" s="29"/>
      <c r="U219" s="29"/>
      <c r="V219" s="24" t="str">
        <f aca="false">IF(A219="","",IFERROR(INDEX(Settings!$F$5:$F$49,MATCH(G219,Settings!$D$5:$D$49,0)),""))</f>
        <v/>
      </c>
      <c r="W219" s="24" t="str">
        <f aca="false">IF(A219="","",IF(OR(P219="",P219="Organic"),"social","paid_social"))</f>
        <v/>
      </c>
      <c r="X219" s="24" t="str">
        <f aca="false">IF(A219="","",IF(K219&lt;&gt;"",IFERROR(INDEX('Case Studies'!$C$5:$C$54,MATCH(K219,'Case Studies'!$B$5:$B$54,0))&amp;"","case-study"),IF(J219&lt;&gt;"",IFERROR(INDEX(Settings!$J$5:$J$55,MATCH(J219,Settings!$I$5:$I$55,0)),"general"),"general")))</f>
        <v/>
      </c>
      <c r="Y219" s="24" t="str">
        <f aca="false">IF(A219="","",LOWER(A219))</f>
        <v/>
      </c>
      <c r="Z219" s="24" t="str">
        <f aca="false">IF(A219="","",IF(T219="",Settings!$B$5,T219)&amp;IF(ISNUMBER(FIND("?",IF(T219="",Settings!$B$5,T219))),"&amp;","?")&amp;"utm_source="&amp;V219&amp;"&amp;utm_medium="&amp;W219&amp;"&amp;utm_campaign="&amp;X219&amp;"&amp;utm_content="&amp;Y219)</f>
        <v/>
      </c>
      <c r="AA219" s="29"/>
      <c r="AB219" s="39"/>
      <c r="AC219" s="32"/>
      <c r="AD219" s="32"/>
      <c r="AE219" s="32"/>
      <c r="AF219" s="32"/>
      <c r="AG219" s="32"/>
      <c r="AH219" s="32"/>
      <c r="AI219" s="32"/>
      <c r="AJ219" s="32"/>
      <c r="AK219" s="32"/>
      <c r="AL219" s="32"/>
      <c r="AM219" s="32"/>
      <c r="AN219" s="32"/>
      <c r="AO219" s="33" t="str">
        <f aca="false">IF(A219="","",IF(AD219&lt;&gt;"",AD219,IF(AC219&lt;&gt;"",AC219,"")))</f>
        <v/>
      </c>
      <c r="AP219" s="24" t="str">
        <f aca="false">IF(AO219="","",IF(AD219&lt;&gt;"","Reported reach","Impressions (proxy)"))</f>
        <v/>
      </c>
      <c r="AQ219" s="34" t="str">
        <f aca="false">IF(OR(AO219="",N(S219)=0),"",AO219/S219)</f>
        <v/>
      </c>
      <c r="AR219" s="33" t="str">
        <f aca="false">IF(A219="","",IF(COUNT(AF219:AJ219)=0,"",SUM(AF219:AJ219)))</f>
        <v/>
      </c>
      <c r="AS219" s="34" t="str">
        <f aca="false">IF(OR(AR219="",N(AO219)=0),"",AR219/AO219)</f>
        <v/>
      </c>
      <c r="AT219" s="34" t="str">
        <f aca="false">IF(OR(AR219="",N(AC219)=0),"",AR219/AC219)</f>
        <v/>
      </c>
      <c r="AU219" s="34" t="str">
        <f aca="false">IF(OR(AR219="",N(S219)=0),"",AR219/S219)</f>
        <v/>
      </c>
      <c r="AV219" s="34" t="str">
        <f aca="false">IF(OR(AJ219="",N(AC219)=0),"",AJ219/AC219)</f>
        <v/>
      </c>
      <c r="AW219" s="34" t="str">
        <f aca="false">IF(OR(AH219="",N(AO219)=0),"",AH219/AO219)</f>
        <v/>
      </c>
      <c r="AX219" s="35" t="str">
        <f aca="false">IF(OR(AR219="",N(AO219)=0),"",(N(AF219)*Settings!$B$6+N(AG219)*Settings!$B$7+N(AH219)*Settings!$B$8+N(AI219)*Settings!$B$9+N(AJ219)*Settings!$B$10)/AO219*1000)</f>
        <v/>
      </c>
      <c r="AY219" s="36" t="str">
        <f aca="false">IF(AS219="","",IFERROR(AS219/AVERAGEIFS('Post Tracker'!$AS$5:$AS$1004,'Post Tracker'!$G$5:$G$1004,G219),""))</f>
        <v/>
      </c>
      <c r="AZ219" s="32"/>
      <c r="BA219" s="32"/>
      <c r="BB219" s="32"/>
      <c r="BC219" s="32"/>
      <c r="BD219" s="33" t="str">
        <f aca="false">IF(A219="","",COUNTIFS('Demo Pipeline'!$Q$5:$Q$504,A219))</f>
        <v/>
      </c>
      <c r="BE219" s="33" t="str">
        <f aca="false">IF(A219="","",COUNTIFS('Demo Pipeline'!$Q$5:$Q$504,A219,'Demo Pipeline'!$W$5:$W$504,"Attended"))</f>
        <v/>
      </c>
      <c r="BF219" s="33" t="str">
        <f aca="false">IF(A219="","",COUNTIFS('Demo Pipeline'!$Q$5:$Q$504,A219,'Demo Pipeline'!$X$5:$X$504,"Yes"))</f>
        <v/>
      </c>
      <c r="BG219" s="33" t="str">
        <f aca="false">IF(A219="","",COUNTIFS('Demo Pipeline'!$Q$5:$Q$504,A219,'Demo Pipeline'!$Y$5:$Y$504,"Closed Won"))</f>
        <v/>
      </c>
      <c r="BH219" s="37" t="str">
        <f aca="false">IF(A219="","",SUMIFS('Demo Pipeline'!$Z$5:$Z$504,'Demo Pipeline'!$Q$5:$Q$504,A219))</f>
        <v/>
      </c>
      <c r="BI219" s="34" t="str">
        <f aca="false">IF(OR(AZ219="",N(AJ219)=0),"",AZ219/AJ219)</f>
        <v/>
      </c>
      <c r="BJ219" s="34" t="str">
        <f aca="false">IF(OR(BB219="",N(AZ219)=0),"",BB219/AZ219)</f>
        <v/>
      </c>
      <c r="BK219" s="34" t="str">
        <f aca="false">IF(OR(A219="",N(BB219)=0),"",BD219/BB219)</f>
        <v/>
      </c>
      <c r="BL219" s="34" t="str">
        <f aca="false">IF(OR(A219="",N(AZ219)=0),"",BD219/AZ219)</f>
        <v/>
      </c>
      <c r="BM219" s="37" t="str">
        <f aca="false">IF(OR(N(Q219)=0,N(BD219)=0),"",Q219/BD219)</f>
        <v/>
      </c>
      <c r="BN219" s="29"/>
      <c r="BO219" s="29"/>
      <c r="BP219" s="33" t="str">
        <f aca="false">IF(OR(AR219="",N(AO219)=0),"",AR219)</f>
        <v/>
      </c>
      <c r="BQ219" s="33" t="str">
        <f aca="false">IF(OR(AR219="",N(S219)=0),"",S219)</f>
        <v/>
      </c>
      <c r="BR219" s="38" t="str">
        <f aca="false">IF(AND(ISNUMBER(B219),B219&gt;=Dashboard!$C$4,B219&lt;=Dashboard!$F$4,ISNUMBER(AU219)),AU219+ROW()/10^9,"")</f>
        <v/>
      </c>
      <c r="BS219" s="38" t="str">
        <f aca="false">IF(AND(ISNUMBER(B219),B219&gt;=Dashboard!$C$4,B219&lt;=Dashboard!$F$4,A219&lt;&gt;""),N(BD219)+N(AU219)/100+ROW()/10^9,"")</f>
        <v/>
      </c>
    </row>
    <row r="220" customFormat="false" ht="15" hidden="false" customHeight="false" outlineLevel="0" collapsed="false">
      <c r="A220" s="24" t="str">
        <f aca="false">IF(OR(B220="",G220="",H220=""),"",IFERROR(INDEX(Settings!$E$5:$E$49,MATCH(G220,Settings!$D$5:$D$49,0))&amp;INDEX(Settings!$H$5:$H$47,MATCH(H220,Settings!$G$5:$G$47,0))&amp;"-"&amp;TEXT(B220,"yymmdd")&amp;"-"&amp;IF(C220="","0000",TEXT(C220,"hhmm")),"CHECK LISTS"))</f>
        <v/>
      </c>
      <c r="B220" s="39"/>
      <c r="C220" s="40"/>
      <c r="D220" s="24" t="str">
        <f aca="false">IF(B220="","",TEXT(B220,"ddd"))</f>
        <v/>
      </c>
      <c r="E220" s="27" t="str">
        <f aca="false">IF(B220="","",B220-WEEKDAY(B220,3))</f>
        <v/>
      </c>
      <c r="F220" s="24" t="str">
        <f aca="false">IF(B220="","",TEXT(B220,"yyyy-mm"))</f>
        <v/>
      </c>
      <c r="G220" s="29"/>
      <c r="H220" s="29"/>
      <c r="I220" s="29"/>
      <c r="J220" s="29"/>
      <c r="K220" s="29"/>
      <c r="L220" s="29"/>
      <c r="M220" s="29"/>
      <c r="N220" s="29"/>
      <c r="O220" s="29"/>
      <c r="P220" s="29"/>
      <c r="Q220" s="30"/>
      <c r="R220" s="29"/>
      <c r="S220" s="32"/>
      <c r="T220" s="29"/>
      <c r="U220" s="29"/>
      <c r="V220" s="24" t="str">
        <f aca="false">IF(A220="","",IFERROR(INDEX(Settings!$F$5:$F$49,MATCH(G220,Settings!$D$5:$D$49,0)),""))</f>
        <v/>
      </c>
      <c r="W220" s="24" t="str">
        <f aca="false">IF(A220="","",IF(OR(P220="",P220="Organic"),"social","paid_social"))</f>
        <v/>
      </c>
      <c r="X220" s="24" t="str">
        <f aca="false">IF(A220="","",IF(K220&lt;&gt;"",IFERROR(INDEX('Case Studies'!$C$5:$C$54,MATCH(K220,'Case Studies'!$B$5:$B$54,0))&amp;"","case-study"),IF(J220&lt;&gt;"",IFERROR(INDEX(Settings!$J$5:$J$55,MATCH(J220,Settings!$I$5:$I$55,0)),"general"),"general")))</f>
        <v/>
      </c>
      <c r="Y220" s="24" t="str">
        <f aca="false">IF(A220="","",LOWER(A220))</f>
        <v/>
      </c>
      <c r="Z220" s="24" t="str">
        <f aca="false">IF(A220="","",IF(T220="",Settings!$B$5,T220)&amp;IF(ISNUMBER(FIND("?",IF(T220="",Settings!$B$5,T220))),"&amp;","?")&amp;"utm_source="&amp;V220&amp;"&amp;utm_medium="&amp;W220&amp;"&amp;utm_campaign="&amp;X220&amp;"&amp;utm_content="&amp;Y220)</f>
        <v/>
      </c>
      <c r="AA220" s="29"/>
      <c r="AB220" s="39"/>
      <c r="AC220" s="32"/>
      <c r="AD220" s="32"/>
      <c r="AE220" s="32"/>
      <c r="AF220" s="32"/>
      <c r="AG220" s="32"/>
      <c r="AH220" s="32"/>
      <c r="AI220" s="32"/>
      <c r="AJ220" s="32"/>
      <c r="AK220" s="32"/>
      <c r="AL220" s="32"/>
      <c r="AM220" s="32"/>
      <c r="AN220" s="32"/>
      <c r="AO220" s="33" t="str">
        <f aca="false">IF(A220="","",IF(AD220&lt;&gt;"",AD220,IF(AC220&lt;&gt;"",AC220,"")))</f>
        <v/>
      </c>
      <c r="AP220" s="24" t="str">
        <f aca="false">IF(AO220="","",IF(AD220&lt;&gt;"","Reported reach","Impressions (proxy)"))</f>
        <v/>
      </c>
      <c r="AQ220" s="34" t="str">
        <f aca="false">IF(OR(AO220="",N(S220)=0),"",AO220/S220)</f>
        <v/>
      </c>
      <c r="AR220" s="33" t="str">
        <f aca="false">IF(A220="","",IF(COUNT(AF220:AJ220)=0,"",SUM(AF220:AJ220)))</f>
        <v/>
      </c>
      <c r="AS220" s="34" t="str">
        <f aca="false">IF(OR(AR220="",N(AO220)=0),"",AR220/AO220)</f>
        <v/>
      </c>
      <c r="AT220" s="34" t="str">
        <f aca="false">IF(OR(AR220="",N(AC220)=0),"",AR220/AC220)</f>
        <v/>
      </c>
      <c r="AU220" s="34" t="str">
        <f aca="false">IF(OR(AR220="",N(S220)=0),"",AR220/S220)</f>
        <v/>
      </c>
      <c r="AV220" s="34" t="str">
        <f aca="false">IF(OR(AJ220="",N(AC220)=0),"",AJ220/AC220)</f>
        <v/>
      </c>
      <c r="AW220" s="34" t="str">
        <f aca="false">IF(OR(AH220="",N(AO220)=0),"",AH220/AO220)</f>
        <v/>
      </c>
      <c r="AX220" s="35" t="str">
        <f aca="false">IF(OR(AR220="",N(AO220)=0),"",(N(AF220)*Settings!$B$6+N(AG220)*Settings!$B$7+N(AH220)*Settings!$B$8+N(AI220)*Settings!$B$9+N(AJ220)*Settings!$B$10)/AO220*1000)</f>
        <v/>
      </c>
      <c r="AY220" s="36" t="str">
        <f aca="false">IF(AS220="","",IFERROR(AS220/AVERAGEIFS('Post Tracker'!$AS$5:$AS$1004,'Post Tracker'!$G$5:$G$1004,G220),""))</f>
        <v/>
      </c>
      <c r="AZ220" s="32"/>
      <c r="BA220" s="32"/>
      <c r="BB220" s="32"/>
      <c r="BC220" s="32"/>
      <c r="BD220" s="33" t="str">
        <f aca="false">IF(A220="","",COUNTIFS('Demo Pipeline'!$Q$5:$Q$504,A220))</f>
        <v/>
      </c>
      <c r="BE220" s="33" t="str">
        <f aca="false">IF(A220="","",COUNTIFS('Demo Pipeline'!$Q$5:$Q$504,A220,'Demo Pipeline'!$W$5:$W$504,"Attended"))</f>
        <v/>
      </c>
      <c r="BF220" s="33" t="str">
        <f aca="false">IF(A220="","",COUNTIFS('Demo Pipeline'!$Q$5:$Q$504,A220,'Demo Pipeline'!$X$5:$X$504,"Yes"))</f>
        <v/>
      </c>
      <c r="BG220" s="33" t="str">
        <f aca="false">IF(A220="","",COUNTIFS('Demo Pipeline'!$Q$5:$Q$504,A220,'Demo Pipeline'!$Y$5:$Y$504,"Closed Won"))</f>
        <v/>
      </c>
      <c r="BH220" s="37" t="str">
        <f aca="false">IF(A220="","",SUMIFS('Demo Pipeline'!$Z$5:$Z$504,'Demo Pipeline'!$Q$5:$Q$504,A220))</f>
        <v/>
      </c>
      <c r="BI220" s="34" t="str">
        <f aca="false">IF(OR(AZ220="",N(AJ220)=0),"",AZ220/AJ220)</f>
        <v/>
      </c>
      <c r="BJ220" s="34" t="str">
        <f aca="false">IF(OR(BB220="",N(AZ220)=0),"",BB220/AZ220)</f>
        <v/>
      </c>
      <c r="BK220" s="34" t="str">
        <f aca="false">IF(OR(A220="",N(BB220)=0),"",BD220/BB220)</f>
        <v/>
      </c>
      <c r="BL220" s="34" t="str">
        <f aca="false">IF(OR(A220="",N(AZ220)=0),"",BD220/AZ220)</f>
        <v/>
      </c>
      <c r="BM220" s="37" t="str">
        <f aca="false">IF(OR(N(Q220)=0,N(BD220)=0),"",Q220/BD220)</f>
        <v/>
      </c>
      <c r="BN220" s="29"/>
      <c r="BO220" s="29"/>
      <c r="BP220" s="33" t="str">
        <f aca="false">IF(OR(AR220="",N(AO220)=0),"",AR220)</f>
        <v/>
      </c>
      <c r="BQ220" s="33" t="str">
        <f aca="false">IF(OR(AR220="",N(S220)=0),"",S220)</f>
        <v/>
      </c>
      <c r="BR220" s="38" t="str">
        <f aca="false">IF(AND(ISNUMBER(B220),B220&gt;=Dashboard!$C$4,B220&lt;=Dashboard!$F$4,ISNUMBER(AU220)),AU220+ROW()/10^9,"")</f>
        <v/>
      </c>
      <c r="BS220" s="38" t="str">
        <f aca="false">IF(AND(ISNUMBER(B220),B220&gt;=Dashboard!$C$4,B220&lt;=Dashboard!$F$4,A220&lt;&gt;""),N(BD220)+N(AU220)/100+ROW()/10^9,"")</f>
        <v/>
      </c>
    </row>
    <row r="221" customFormat="false" ht="15" hidden="false" customHeight="false" outlineLevel="0" collapsed="false">
      <c r="A221" s="24" t="str">
        <f aca="false">IF(OR(B221="",G221="",H221=""),"",IFERROR(INDEX(Settings!$E$5:$E$49,MATCH(G221,Settings!$D$5:$D$49,0))&amp;INDEX(Settings!$H$5:$H$47,MATCH(H221,Settings!$G$5:$G$47,0))&amp;"-"&amp;TEXT(B221,"yymmdd")&amp;"-"&amp;IF(C221="","0000",TEXT(C221,"hhmm")),"CHECK LISTS"))</f>
        <v/>
      </c>
      <c r="B221" s="39"/>
      <c r="C221" s="40"/>
      <c r="D221" s="24" t="str">
        <f aca="false">IF(B221="","",TEXT(B221,"ddd"))</f>
        <v/>
      </c>
      <c r="E221" s="27" t="str">
        <f aca="false">IF(B221="","",B221-WEEKDAY(B221,3))</f>
        <v/>
      </c>
      <c r="F221" s="24" t="str">
        <f aca="false">IF(B221="","",TEXT(B221,"yyyy-mm"))</f>
        <v/>
      </c>
      <c r="G221" s="29"/>
      <c r="H221" s="29"/>
      <c r="I221" s="29"/>
      <c r="J221" s="29"/>
      <c r="K221" s="29"/>
      <c r="L221" s="29"/>
      <c r="M221" s="29"/>
      <c r="N221" s="29"/>
      <c r="O221" s="29"/>
      <c r="P221" s="29"/>
      <c r="Q221" s="30"/>
      <c r="R221" s="29"/>
      <c r="S221" s="32"/>
      <c r="T221" s="29"/>
      <c r="U221" s="29"/>
      <c r="V221" s="24" t="str">
        <f aca="false">IF(A221="","",IFERROR(INDEX(Settings!$F$5:$F$49,MATCH(G221,Settings!$D$5:$D$49,0)),""))</f>
        <v/>
      </c>
      <c r="W221" s="24" t="str">
        <f aca="false">IF(A221="","",IF(OR(P221="",P221="Organic"),"social","paid_social"))</f>
        <v/>
      </c>
      <c r="X221" s="24" t="str">
        <f aca="false">IF(A221="","",IF(K221&lt;&gt;"",IFERROR(INDEX('Case Studies'!$C$5:$C$54,MATCH(K221,'Case Studies'!$B$5:$B$54,0))&amp;"","case-study"),IF(J221&lt;&gt;"",IFERROR(INDEX(Settings!$J$5:$J$55,MATCH(J221,Settings!$I$5:$I$55,0)),"general"),"general")))</f>
        <v/>
      </c>
      <c r="Y221" s="24" t="str">
        <f aca="false">IF(A221="","",LOWER(A221))</f>
        <v/>
      </c>
      <c r="Z221" s="24" t="str">
        <f aca="false">IF(A221="","",IF(T221="",Settings!$B$5,T221)&amp;IF(ISNUMBER(FIND("?",IF(T221="",Settings!$B$5,T221))),"&amp;","?")&amp;"utm_source="&amp;V221&amp;"&amp;utm_medium="&amp;W221&amp;"&amp;utm_campaign="&amp;X221&amp;"&amp;utm_content="&amp;Y221)</f>
        <v/>
      </c>
      <c r="AA221" s="29"/>
      <c r="AB221" s="39"/>
      <c r="AC221" s="32"/>
      <c r="AD221" s="32"/>
      <c r="AE221" s="32"/>
      <c r="AF221" s="32"/>
      <c r="AG221" s="32"/>
      <c r="AH221" s="32"/>
      <c r="AI221" s="32"/>
      <c r="AJ221" s="32"/>
      <c r="AK221" s="32"/>
      <c r="AL221" s="32"/>
      <c r="AM221" s="32"/>
      <c r="AN221" s="32"/>
      <c r="AO221" s="33" t="str">
        <f aca="false">IF(A221="","",IF(AD221&lt;&gt;"",AD221,IF(AC221&lt;&gt;"",AC221,"")))</f>
        <v/>
      </c>
      <c r="AP221" s="24" t="str">
        <f aca="false">IF(AO221="","",IF(AD221&lt;&gt;"","Reported reach","Impressions (proxy)"))</f>
        <v/>
      </c>
      <c r="AQ221" s="34" t="str">
        <f aca="false">IF(OR(AO221="",N(S221)=0),"",AO221/S221)</f>
        <v/>
      </c>
      <c r="AR221" s="33" t="str">
        <f aca="false">IF(A221="","",IF(COUNT(AF221:AJ221)=0,"",SUM(AF221:AJ221)))</f>
        <v/>
      </c>
      <c r="AS221" s="34" t="str">
        <f aca="false">IF(OR(AR221="",N(AO221)=0),"",AR221/AO221)</f>
        <v/>
      </c>
      <c r="AT221" s="34" t="str">
        <f aca="false">IF(OR(AR221="",N(AC221)=0),"",AR221/AC221)</f>
        <v/>
      </c>
      <c r="AU221" s="34" t="str">
        <f aca="false">IF(OR(AR221="",N(S221)=0),"",AR221/S221)</f>
        <v/>
      </c>
      <c r="AV221" s="34" t="str">
        <f aca="false">IF(OR(AJ221="",N(AC221)=0),"",AJ221/AC221)</f>
        <v/>
      </c>
      <c r="AW221" s="34" t="str">
        <f aca="false">IF(OR(AH221="",N(AO221)=0),"",AH221/AO221)</f>
        <v/>
      </c>
      <c r="AX221" s="35" t="str">
        <f aca="false">IF(OR(AR221="",N(AO221)=0),"",(N(AF221)*Settings!$B$6+N(AG221)*Settings!$B$7+N(AH221)*Settings!$B$8+N(AI221)*Settings!$B$9+N(AJ221)*Settings!$B$10)/AO221*1000)</f>
        <v/>
      </c>
      <c r="AY221" s="36" t="str">
        <f aca="false">IF(AS221="","",IFERROR(AS221/AVERAGEIFS('Post Tracker'!$AS$5:$AS$1004,'Post Tracker'!$G$5:$G$1004,G221),""))</f>
        <v/>
      </c>
      <c r="AZ221" s="32"/>
      <c r="BA221" s="32"/>
      <c r="BB221" s="32"/>
      <c r="BC221" s="32"/>
      <c r="BD221" s="33" t="str">
        <f aca="false">IF(A221="","",COUNTIFS('Demo Pipeline'!$Q$5:$Q$504,A221))</f>
        <v/>
      </c>
      <c r="BE221" s="33" t="str">
        <f aca="false">IF(A221="","",COUNTIFS('Demo Pipeline'!$Q$5:$Q$504,A221,'Demo Pipeline'!$W$5:$W$504,"Attended"))</f>
        <v/>
      </c>
      <c r="BF221" s="33" t="str">
        <f aca="false">IF(A221="","",COUNTIFS('Demo Pipeline'!$Q$5:$Q$504,A221,'Demo Pipeline'!$X$5:$X$504,"Yes"))</f>
        <v/>
      </c>
      <c r="BG221" s="33" t="str">
        <f aca="false">IF(A221="","",COUNTIFS('Demo Pipeline'!$Q$5:$Q$504,A221,'Demo Pipeline'!$Y$5:$Y$504,"Closed Won"))</f>
        <v/>
      </c>
      <c r="BH221" s="37" t="str">
        <f aca="false">IF(A221="","",SUMIFS('Demo Pipeline'!$Z$5:$Z$504,'Demo Pipeline'!$Q$5:$Q$504,A221))</f>
        <v/>
      </c>
      <c r="BI221" s="34" t="str">
        <f aca="false">IF(OR(AZ221="",N(AJ221)=0),"",AZ221/AJ221)</f>
        <v/>
      </c>
      <c r="BJ221" s="34" t="str">
        <f aca="false">IF(OR(BB221="",N(AZ221)=0),"",BB221/AZ221)</f>
        <v/>
      </c>
      <c r="BK221" s="34" t="str">
        <f aca="false">IF(OR(A221="",N(BB221)=0),"",BD221/BB221)</f>
        <v/>
      </c>
      <c r="BL221" s="34" t="str">
        <f aca="false">IF(OR(A221="",N(AZ221)=0),"",BD221/AZ221)</f>
        <v/>
      </c>
      <c r="BM221" s="37" t="str">
        <f aca="false">IF(OR(N(Q221)=0,N(BD221)=0),"",Q221/BD221)</f>
        <v/>
      </c>
      <c r="BN221" s="29"/>
      <c r="BO221" s="29"/>
      <c r="BP221" s="33" t="str">
        <f aca="false">IF(OR(AR221="",N(AO221)=0),"",AR221)</f>
        <v/>
      </c>
      <c r="BQ221" s="33" t="str">
        <f aca="false">IF(OR(AR221="",N(S221)=0),"",S221)</f>
        <v/>
      </c>
      <c r="BR221" s="38" t="str">
        <f aca="false">IF(AND(ISNUMBER(B221),B221&gt;=Dashboard!$C$4,B221&lt;=Dashboard!$F$4,ISNUMBER(AU221)),AU221+ROW()/10^9,"")</f>
        <v/>
      </c>
      <c r="BS221" s="38" t="str">
        <f aca="false">IF(AND(ISNUMBER(B221),B221&gt;=Dashboard!$C$4,B221&lt;=Dashboard!$F$4,A221&lt;&gt;""),N(BD221)+N(AU221)/100+ROW()/10^9,"")</f>
        <v/>
      </c>
    </row>
    <row r="222" customFormat="false" ht="15" hidden="false" customHeight="false" outlineLevel="0" collapsed="false">
      <c r="A222" s="24" t="str">
        <f aca="false">IF(OR(B222="",G222="",H222=""),"",IFERROR(INDEX(Settings!$E$5:$E$49,MATCH(G222,Settings!$D$5:$D$49,0))&amp;INDEX(Settings!$H$5:$H$47,MATCH(H222,Settings!$G$5:$G$47,0))&amp;"-"&amp;TEXT(B222,"yymmdd")&amp;"-"&amp;IF(C222="","0000",TEXT(C222,"hhmm")),"CHECK LISTS"))</f>
        <v/>
      </c>
      <c r="B222" s="39"/>
      <c r="C222" s="40"/>
      <c r="D222" s="24" t="str">
        <f aca="false">IF(B222="","",TEXT(B222,"ddd"))</f>
        <v/>
      </c>
      <c r="E222" s="27" t="str">
        <f aca="false">IF(B222="","",B222-WEEKDAY(B222,3))</f>
        <v/>
      </c>
      <c r="F222" s="24" t="str">
        <f aca="false">IF(B222="","",TEXT(B222,"yyyy-mm"))</f>
        <v/>
      </c>
      <c r="G222" s="29"/>
      <c r="H222" s="29"/>
      <c r="I222" s="29"/>
      <c r="J222" s="29"/>
      <c r="K222" s="29"/>
      <c r="L222" s="29"/>
      <c r="M222" s="29"/>
      <c r="N222" s="29"/>
      <c r="O222" s="29"/>
      <c r="P222" s="29"/>
      <c r="Q222" s="30"/>
      <c r="R222" s="29"/>
      <c r="S222" s="32"/>
      <c r="T222" s="29"/>
      <c r="U222" s="29"/>
      <c r="V222" s="24" t="str">
        <f aca="false">IF(A222="","",IFERROR(INDEX(Settings!$F$5:$F$49,MATCH(G222,Settings!$D$5:$D$49,0)),""))</f>
        <v/>
      </c>
      <c r="W222" s="24" t="str">
        <f aca="false">IF(A222="","",IF(OR(P222="",P222="Organic"),"social","paid_social"))</f>
        <v/>
      </c>
      <c r="X222" s="24" t="str">
        <f aca="false">IF(A222="","",IF(K222&lt;&gt;"",IFERROR(INDEX('Case Studies'!$C$5:$C$54,MATCH(K222,'Case Studies'!$B$5:$B$54,0))&amp;"","case-study"),IF(J222&lt;&gt;"",IFERROR(INDEX(Settings!$J$5:$J$55,MATCH(J222,Settings!$I$5:$I$55,0)),"general"),"general")))</f>
        <v/>
      </c>
      <c r="Y222" s="24" t="str">
        <f aca="false">IF(A222="","",LOWER(A222))</f>
        <v/>
      </c>
      <c r="Z222" s="24" t="str">
        <f aca="false">IF(A222="","",IF(T222="",Settings!$B$5,T222)&amp;IF(ISNUMBER(FIND("?",IF(T222="",Settings!$B$5,T222))),"&amp;","?")&amp;"utm_source="&amp;V222&amp;"&amp;utm_medium="&amp;W222&amp;"&amp;utm_campaign="&amp;X222&amp;"&amp;utm_content="&amp;Y222)</f>
        <v/>
      </c>
      <c r="AA222" s="29"/>
      <c r="AB222" s="39"/>
      <c r="AC222" s="32"/>
      <c r="AD222" s="32"/>
      <c r="AE222" s="32"/>
      <c r="AF222" s="32"/>
      <c r="AG222" s="32"/>
      <c r="AH222" s="32"/>
      <c r="AI222" s="32"/>
      <c r="AJ222" s="32"/>
      <c r="AK222" s="32"/>
      <c r="AL222" s="32"/>
      <c r="AM222" s="32"/>
      <c r="AN222" s="32"/>
      <c r="AO222" s="33" t="str">
        <f aca="false">IF(A222="","",IF(AD222&lt;&gt;"",AD222,IF(AC222&lt;&gt;"",AC222,"")))</f>
        <v/>
      </c>
      <c r="AP222" s="24" t="str">
        <f aca="false">IF(AO222="","",IF(AD222&lt;&gt;"","Reported reach","Impressions (proxy)"))</f>
        <v/>
      </c>
      <c r="AQ222" s="34" t="str">
        <f aca="false">IF(OR(AO222="",N(S222)=0),"",AO222/S222)</f>
        <v/>
      </c>
      <c r="AR222" s="33" t="str">
        <f aca="false">IF(A222="","",IF(COUNT(AF222:AJ222)=0,"",SUM(AF222:AJ222)))</f>
        <v/>
      </c>
      <c r="AS222" s="34" t="str">
        <f aca="false">IF(OR(AR222="",N(AO222)=0),"",AR222/AO222)</f>
        <v/>
      </c>
      <c r="AT222" s="34" t="str">
        <f aca="false">IF(OR(AR222="",N(AC222)=0),"",AR222/AC222)</f>
        <v/>
      </c>
      <c r="AU222" s="34" t="str">
        <f aca="false">IF(OR(AR222="",N(S222)=0),"",AR222/S222)</f>
        <v/>
      </c>
      <c r="AV222" s="34" t="str">
        <f aca="false">IF(OR(AJ222="",N(AC222)=0),"",AJ222/AC222)</f>
        <v/>
      </c>
      <c r="AW222" s="34" t="str">
        <f aca="false">IF(OR(AH222="",N(AO222)=0),"",AH222/AO222)</f>
        <v/>
      </c>
      <c r="AX222" s="35" t="str">
        <f aca="false">IF(OR(AR222="",N(AO222)=0),"",(N(AF222)*Settings!$B$6+N(AG222)*Settings!$B$7+N(AH222)*Settings!$B$8+N(AI222)*Settings!$B$9+N(AJ222)*Settings!$B$10)/AO222*1000)</f>
        <v/>
      </c>
      <c r="AY222" s="36" t="str">
        <f aca="false">IF(AS222="","",IFERROR(AS222/AVERAGEIFS('Post Tracker'!$AS$5:$AS$1004,'Post Tracker'!$G$5:$G$1004,G222),""))</f>
        <v/>
      </c>
      <c r="AZ222" s="32"/>
      <c r="BA222" s="32"/>
      <c r="BB222" s="32"/>
      <c r="BC222" s="32"/>
      <c r="BD222" s="33" t="str">
        <f aca="false">IF(A222="","",COUNTIFS('Demo Pipeline'!$Q$5:$Q$504,A222))</f>
        <v/>
      </c>
      <c r="BE222" s="33" t="str">
        <f aca="false">IF(A222="","",COUNTIFS('Demo Pipeline'!$Q$5:$Q$504,A222,'Demo Pipeline'!$W$5:$W$504,"Attended"))</f>
        <v/>
      </c>
      <c r="BF222" s="33" t="str">
        <f aca="false">IF(A222="","",COUNTIFS('Demo Pipeline'!$Q$5:$Q$504,A222,'Demo Pipeline'!$X$5:$X$504,"Yes"))</f>
        <v/>
      </c>
      <c r="BG222" s="33" t="str">
        <f aca="false">IF(A222="","",COUNTIFS('Demo Pipeline'!$Q$5:$Q$504,A222,'Demo Pipeline'!$Y$5:$Y$504,"Closed Won"))</f>
        <v/>
      </c>
      <c r="BH222" s="37" t="str">
        <f aca="false">IF(A222="","",SUMIFS('Demo Pipeline'!$Z$5:$Z$504,'Demo Pipeline'!$Q$5:$Q$504,A222))</f>
        <v/>
      </c>
      <c r="BI222" s="34" t="str">
        <f aca="false">IF(OR(AZ222="",N(AJ222)=0),"",AZ222/AJ222)</f>
        <v/>
      </c>
      <c r="BJ222" s="34" t="str">
        <f aca="false">IF(OR(BB222="",N(AZ222)=0),"",BB222/AZ222)</f>
        <v/>
      </c>
      <c r="BK222" s="34" t="str">
        <f aca="false">IF(OR(A222="",N(BB222)=0),"",BD222/BB222)</f>
        <v/>
      </c>
      <c r="BL222" s="34" t="str">
        <f aca="false">IF(OR(A222="",N(AZ222)=0),"",BD222/AZ222)</f>
        <v/>
      </c>
      <c r="BM222" s="37" t="str">
        <f aca="false">IF(OR(N(Q222)=0,N(BD222)=0),"",Q222/BD222)</f>
        <v/>
      </c>
      <c r="BN222" s="29"/>
      <c r="BO222" s="29"/>
      <c r="BP222" s="33" t="str">
        <f aca="false">IF(OR(AR222="",N(AO222)=0),"",AR222)</f>
        <v/>
      </c>
      <c r="BQ222" s="33" t="str">
        <f aca="false">IF(OR(AR222="",N(S222)=0),"",S222)</f>
        <v/>
      </c>
      <c r="BR222" s="38" t="str">
        <f aca="false">IF(AND(ISNUMBER(B222),B222&gt;=Dashboard!$C$4,B222&lt;=Dashboard!$F$4,ISNUMBER(AU222)),AU222+ROW()/10^9,"")</f>
        <v/>
      </c>
      <c r="BS222" s="38" t="str">
        <f aca="false">IF(AND(ISNUMBER(B222),B222&gt;=Dashboard!$C$4,B222&lt;=Dashboard!$F$4,A222&lt;&gt;""),N(BD222)+N(AU222)/100+ROW()/10^9,"")</f>
        <v/>
      </c>
    </row>
    <row r="223" customFormat="false" ht="15" hidden="false" customHeight="false" outlineLevel="0" collapsed="false">
      <c r="A223" s="24" t="str">
        <f aca="false">IF(OR(B223="",G223="",H223=""),"",IFERROR(INDEX(Settings!$E$5:$E$49,MATCH(G223,Settings!$D$5:$D$49,0))&amp;INDEX(Settings!$H$5:$H$47,MATCH(H223,Settings!$G$5:$G$47,0))&amp;"-"&amp;TEXT(B223,"yymmdd")&amp;"-"&amp;IF(C223="","0000",TEXT(C223,"hhmm")),"CHECK LISTS"))</f>
        <v/>
      </c>
      <c r="B223" s="39"/>
      <c r="C223" s="40"/>
      <c r="D223" s="24" t="str">
        <f aca="false">IF(B223="","",TEXT(B223,"ddd"))</f>
        <v/>
      </c>
      <c r="E223" s="27" t="str">
        <f aca="false">IF(B223="","",B223-WEEKDAY(B223,3))</f>
        <v/>
      </c>
      <c r="F223" s="24" t="str">
        <f aca="false">IF(B223="","",TEXT(B223,"yyyy-mm"))</f>
        <v/>
      </c>
      <c r="G223" s="29"/>
      <c r="H223" s="29"/>
      <c r="I223" s="29"/>
      <c r="J223" s="29"/>
      <c r="K223" s="29"/>
      <c r="L223" s="29"/>
      <c r="M223" s="29"/>
      <c r="N223" s="29"/>
      <c r="O223" s="29"/>
      <c r="P223" s="29"/>
      <c r="Q223" s="30"/>
      <c r="R223" s="29"/>
      <c r="S223" s="32"/>
      <c r="T223" s="29"/>
      <c r="U223" s="29"/>
      <c r="V223" s="24" t="str">
        <f aca="false">IF(A223="","",IFERROR(INDEX(Settings!$F$5:$F$49,MATCH(G223,Settings!$D$5:$D$49,0)),""))</f>
        <v/>
      </c>
      <c r="W223" s="24" t="str">
        <f aca="false">IF(A223="","",IF(OR(P223="",P223="Organic"),"social","paid_social"))</f>
        <v/>
      </c>
      <c r="X223" s="24" t="str">
        <f aca="false">IF(A223="","",IF(K223&lt;&gt;"",IFERROR(INDEX('Case Studies'!$C$5:$C$54,MATCH(K223,'Case Studies'!$B$5:$B$54,0))&amp;"","case-study"),IF(J223&lt;&gt;"",IFERROR(INDEX(Settings!$J$5:$J$55,MATCH(J223,Settings!$I$5:$I$55,0)),"general"),"general")))</f>
        <v/>
      </c>
      <c r="Y223" s="24" t="str">
        <f aca="false">IF(A223="","",LOWER(A223))</f>
        <v/>
      </c>
      <c r="Z223" s="24" t="str">
        <f aca="false">IF(A223="","",IF(T223="",Settings!$B$5,T223)&amp;IF(ISNUMBER(FIND("?",IF(T223="",Settings!$B$5,T223))),"&amp;","?")&amp;"utm_source="&amp;V223&amp;"&amp;utm_medium="&amp;W223&amp;"&amp;utm_campaign="&amp;X223&amp;"&amp;utm_content="&amp;Y223)</f>
        <v/>
      </c>
      <c r="AA223" s="29"/>
      <c r="AB223" s="39"/>
      <c r="AC223" s="32"/>
      <c r="AD223" s="32"/>
      <c r="AE223" s="32"/>
      <c r="AF223" s="32"/>
      <c r="AG223" s="32"/>
      <c r="AH223" s="32"/>
      <c r="AI223" s="32"/>
      <c r="AJ223" s="32"/>
      <c r="AK223" s="32"/>
      <c r="AL223" s="32"/>
      <c r="AM223" s="32"/>
      <c r="AN223" s="32"/>
      <c r="AO223" s="33" t="str">
        <f aca="false">IF(A223="","",IF(AD223&lt;&gt;"",AD223,IF(AC223&lt;&gt;"",AC223,"")))</f>
        <v/>
      </c>
      <c r="AP223" s="24" t="str">
        <f aca="false">IF(AO223="","",IF(AD223&lt;&gt;"","Reported reach","Impressions (proxy)"))</f>
        <v/>
      </c>
      <c r="AQ223" s="34" t="str">
        <f aca="false">IF(OR(AO223="",N(S223)=0),"",AO223/S223)</f>
        <v/>
      </c>
      <c r="AR223" s="33" t="str">
        <f aca="false">IF(A223="","",IF(COUNT(AF223:AJ223)=0,"",SUM(AF223:AJ223)))</f>
        <v/>
      </c>
      <c r="AS223" s="34" t="str">
        <f aca="false">IF(OR(AR223="",N(AO223)=0),"",AR223/AO223)</f>
        <v/>
      </c>
      <c r="AT223" s="34" t="str">
        <f aca="false">IF(OR(AR223="",N(AC223)=0),"",AR223/AC223)</f>
        <v/>
      </c>
      <c r="AU223" s="34" t="str">
        <f aca="false">IF(OR(AR223="",N(S223)=0),"",AR223/S223)</f>
        <v/>
      </c>
      <c r="AV223" s="34" t="str">
        <f aca="false">IF(OR(AJ223="",N(AC223)=0),"",AJ223/AC223)</f>
        <v/>
      </c>
      <c r="AW223" s="34" t="str">
        <f aca="false">IF(OR(AH223="",N(AO223)=0),"",AH223/AO223)</f>
        <v/>
      </c>
      <c r="AX223" s="35" t="str">
        <f aca="false">IF(OR(AR223="",N(AO223)=0),"",(N(AF223)*Settings!$B$6+N(AG223)*Settings!$B$7+N(AH223)*Settings!$B$8+N(AI223)*Settings!$B$9+N(AJ223)*Settings!$B$10)/AO223*1000)</f>
        <v/>
      </c>
      <c r="AY223" s="36" t="str">
        <f aca="false">IF(AS223="","",IFERROR(AS223/AVERAGEIFS('Post Tracker'!$AS$5:$AS$1004,'Post Tracker'!$G$5:$G$1004,G223),""))</f>
        <v/>
      </c>
      <c r="AZ223" s="32"/>
      <c r="BA223" s="32"/>
      <c r="BB223" s="32"/>
      <c r="BC223" s="32"/>
      <c r="BD223" s="33" t="str">
        <f aca="false">IF(A223="","",COUNTIFS('Demo Pipeline'!$Q$5:$Q$504,A223))</f>
        <v/>
      </c>
      <c r="BE223" s="33" t="str">
        <f aca="false">IF(A223="","",COUNTIFS('Demo Pipeline'!$Q$5:$Q$504,A223,'Demo Pipeline'!$W$5:$W$504,"Attended"))</f>
        <v/>
      </c>
      <c r="BF223" s="33" t="str">
        <f aca="false">IF(A223="","",COUNTIFS('Demo Pipeline'!$Q$5:$Q$504,A223,'Demo Pipeline'!$X$5:$X$504,"Yes"))</f>
        <v/>
      </c>
      <c r="BG223" s="33" t="str">
        <f aca="false">IF(A223="","",COUNTIFS('Demo Pipeline'!$Q$5:$Q$504,A223,'Demo Pipeline'!$Y$5:$Y$504,"Closed Won"))</f>
        <v/>
      </c>
      <c r="BH223" s="37" t="str">
        <f aca="false">IF(A223="","",SUMIFS('Demo Pipeline'!$Z$5:$Z$504,'Demo Pipeline'!$Q$5:$Q$504,A223))</f>
        <v/>
      </c>
      <c r="BI223" s="34" t="str">
        <f aca="false">IF(OR(AZ223="",N(AJ223)=0),"",AZ223/AJ223)</f>
        <v/>
      </c>
      <c r="BJ223" s="34" t="str">
        <f aca="false">IF(OR(BB223="",N(AZ223)=0),"",BB223/AZ223)</f>
        <v/>
      </c>
      <c r="BK223" s="34" t="str">
        <f aca="false">IF(OR(A223="",N(BB223)=0),"",BD223/BB223)</f>
        <v/>
      </c>
      <c r="BL223" s="34" t="str">
        <f aca="false">IF(OR(A223="",N(AZ223)=0),"",BD223/AZ223)</f>
        <v/>
      </c>
      <c r="BM223" s="37" t="str">
        <f aca="false">IF(OR(N(Q223)=0,N(BD223)=0),"",Q223/BD223)</f>
        <v/>
      </c>
      <c r="BN223" s="29"/>
      <c r="BO223" s="29"/>
      <c r="BP223" s="33" t="str">
        <f aca="false">IF(OR(AR223="",N(AO223)=0),"",AR223)</f>
        <v/>
      </c>
      <c r="BQ223" s="33" t="str">
        <f aca="false">IF(OR(AR223="",N(S223)=0),"",S223)</f>
        <v/>
      </c>
      <c r="BR223" s="38" t="str">
        <f aca="false">IF(AND(ISNUMBER(B223),B223&gt;=Dashboard!$C$4,B223&lt;=Dashboard!$F$4,ISNUMBER(AU223)),AU223+ROW()/10^9,"")</f>
        <v/>
      </c>
      <c r="BS223" s="38" t="str">
        <f aca="false">IF(AND(ISNUMBER(B223),B223&gt;=Dashboard!$C$4,B223&lt;=Dashboard!$F$4,A223&lt;&gt;""),N(BD223)+N(AU223)/100+ROW()/10^9,"")</f>
        <v/>
      </c>
    </row>
    <row r="224" customFormat="false" ht="15" hidden="false" customHeight="false" outlineLevel="0" collapsed="false">
      <c r="A224" s="24" t="str">
        <f aca="false">IF(OR(B224="",G224="",H224=""),"",IFERROR(INDEX(Settings!$E$5:$E$49,MATCH(G224,Settings!$D$5:$D$49,0))&amp;INDEX(Settings!$H$5:$H$47,MATCH(H224,Settings!$G$5:$G$47,0))&amp;"-"&amp;TEXT(B224,"yymmdd")&amp;"-"&amp;IF(C224="","0000",TEXT(C224,"hhmm")),"CHECK LISTS"))</f>
        <v/>
      </c>
      <c r="B224" s="39"/>
      <c r="C224" s="40"/>
      <c r="D224" s="24" t="str">
        <f aca="false">IF(B224="","",TEXT(B224,"ddd"))</f>
        <v/>
      </c>
      <c r="E224" s="27" t="str">
        <f aca="false">IF(B224="","",B224-WEEKDAY(B224,3))</f>
        <v/>
      </c>
      <c r="F224" s="24" t="str">
        <f aca="false">IF(B224="","",TEXT(B224,"yyyy-mm"))</f>
        <v/>
      </c>
      <c r="G224" s="29"/>
      <c r="H224" s="29"/>
      <c r="I224" s="29"/>
      <c r="J224" s="29"/>
      <c r="K224" s="29"/>
      <c r="L224" s="29"/>
      <c r="M224" s="29"/>
      <c r="N224" s="29"/>
      <c r="O224" s="29"/>
      <c r="P224" s="29"/>
      <c r="Q224" s="30"/>
      <c r="R224" s="29"/>
      <c r="S224" s="32"/>
      <c r="T224" s="29"/>
      <c r="U224" s="29"/>
      <c r="V224" s="24" t="str">
        <f aca="false">IF(A224="","",IFERROR(INDEX(Settings!$F$5:$F$49,MATCH(G224,Settings!$D$5:$D$49,0)),""))</f>
        <v/>
      </c>
      <c r="W224" s="24" t="str">
        <f aca="false">IF(A224="","",IF(OR(P224="",P224="Organic"),"social","paid_social"))</f>
        <v/>
      </c>
      <c r="X224" s="24" t="str">
        <f aca="false">IF(A224="","",IF(K224&lt;&gt;"",IFERROR(INDEX('Case Studies'!$C$5:$C$54,MATCH(K224,'Case Studies'!$B$5:$B$54,0))&amp;"","case-study"),IF(J224&lt;&gt;"",IFERROR(INDEX(Settings!$J$5:$J$55,MATCH(J224,Settings!$I$5:$I$55,0)),"general"),"general")))</f>
        <v/>
      </c>
      <c r="Y224" s="24" t="str">
        <f aca="false">IF(A224="","",LOWER(A224))</f>
        <v/>
      </c>
      <c r="Z224" s="24" t="str">
        <f aca="false">IF(A224="","",IF(T224="",Settings!$B$5,T224)&amp;IF(ISNUMBER(FIND("?",IF(T224="",Settings!$B$5,T224))),"&amp;","?")&amp;"utm_source="&amp;V224&amp;"&amp;utm_medium="&amp;W224&amp;"&amp;utm_campaign="&amp;X224&amp;"&amp;utm_content="&amp;Y224)</f>
        <v/>
      </c>
      <c r="AA224" s="29"/>
      <c r="AB224" s="39"/>
      <c r="AC224" s="32"/>
      <c r="AD224" s="32"/>
      <c r="AE224" s="32"/>
      <c r="AF224" s="32"/>
      <c r="AG224" s="32"/>
      <c r="AH224" s="32"/>
      <c r="AI224" s="32"/>
      <c r="AJ224" s="32"/>
      <c r="AK224" s="32"/>
      <c r="AL224" s="32"/>
      <c r="AM224" s="32"/>
      <c r="AN224" s="32"/>
      <c r="AO224" s="33" t="str">
        <f aca="false">IF(A224="","",IF(AD224&lt;&gt;"",AD224,IF(AC224&lt;&gt;"",AC224,"")))</f>
        <v/>
      </c>
      <c r="AP224" s="24" t="str">
        <f aca="false">IF(AO224="","",IF(AD224&lt;&gt;"","Reported reach","Impressions (proxy)"))</f>
        <v/>
      </c>
      <c r="AQ224" s="34" t="str">
        <f aca="false">IF(OR(AO224="",N(S224)=0),"",AO224/S224)</f>
        <v/>
      </c>
      <c r="AR224" s="33" t="str">
        <f aca="false">IF(A224="","",IF(COUNT(AF224:AJ224)=0,"",SUM(AF224:AJ224)))</f>
        <v/>
      </c>
      <c r="AS224" s="34" t="str">
        <f aca="false">IF(OR(AR224="",N(AO224)=0),"",AR224/AO224)</f>
        <v/>
      </c>
      <c r="AT224" s="34" t="str">
        <f aca="false">IF(OR(AR224="",N(AC224)=0),"",AR224/AC224)</f>
        <v/>
      </c>
      <c r="AU224" s="34" t="str">
        <f aca="false">IF(OR(AR224="",N(S224)=0),"",AR224/S224)</f>
        <v/>
      </c>
      <c r="AV224" s="34" t="str">
        <f aca="false">IF(OR(AJ224="",N(AC224)=0),"",AJ224/AC224)</f>
        <v/>
      </c>
      <c r="AW224" s="34" t="str">
        <f aca="false">IF(OR(AH224="",N(AO224)=0),"",AH224/AO224)</f>
        <v/>
      </c>
      <c r="AX224" s="35" t="str">
        <f aca="false">IF(OR(AR224="",N(AO224)=0),"",(N(AF224)*Settings!$B$6+N(AG224)*Settings!$B$7+N(AH224)*Settings!$B$8+N(AI224)*Settings!$B$9+N(AJ224)*Settings!$B$10)/AO224*1000)</f>
        <v/>
      </c>
      <c r="AY224" s="36" t="str">
        <f aca="false">IF(AS224="","",IFERROR(AS224/AVERAGEIFS('Post Tracker'!$AS$5:$AS$1004,'Post Tracker'!$G$5:$G$1004,G224),""))</f>
        <v/>
      </c>
      <c r="AZ224" s="32"/>
      <c r="BA224" s="32"/>
      <c r="BB224" s="32"/>
      <c r="BC224" s="32"/>
      <c r="BD224" s="33" t="str">
        <f aca="false">IF(A224="","",COUNTIFS('Demo Pipeline'!$Q$5:$Q$504,A224))</f>
        <v/>
      </c>
      <c r="BE224" s="33" t="str">
        <f aca="false">IF(A224="","",COUNTIFS('Demo Pipeline'!$Q$5:$Q$504,A224,'Demo Pipeline'!$W$5:$W$504,"Attended"))</f>
        <v/>
      </c>
      <c r="BF224" s="33" t="str">
        <f aca="false">IF(A224="","",COUNTIFS('Demo Pipeline'!$Q$5:$Q$504,A224,'Demo Pipeline'!$X$5:$X$504,"Yes"))</f>
        <v/>
      </c>
      <c r="BG224" s="33" t="str">
        <f aca="false">IF(A224="","",COUNTIFS('Demo Pipeline'!$Q$5:$Q$504,A224,'Demo Pipeline'!$Y$5:$Y$504,"Closed Won"))</f>
        <v/>
      </c>
      <c r="BH224" s="37" t="str">
        <f aca="false">IF(A224="","",SUMIFS('Demo Pipeline'!$Z$5:$Z$504,'Demo Pipeline'!$Q$5:$Q$504,A224))</f>
        <v/>
      </c>
      <c r="BI224" s="34" t="str">
        <f aca="false">IF(OR(AZ224="",N(AJ224)=0),"",AZ224/AJ224)</f>
        <v/>
      </c>
      <c r="BJ224" s="34" t="str">
        <f aca="false">IF(OR(BB224="",N(AZ224)=0),"",BB224/AZ224)</f>
        <v/>
      </c>
      <c r="BK224" s="34" t="str">
        <f aca="false">IF(OR(A224="",N(BB224)=0),"",BD224/BB224)</f>
        <v/>
      </c>
      <c r="BL224" s="34" t="str">
        <f aca="false">IF(OR(A224="",N(AZ224)=0),"",BD224/AZ224)</f>
        <v/>
      </c>
      <c r="BM224" s="37" t="str">
        <f aca="false">IF(OR(N(Q224)=0,N(BD224)=0),"",Q224/BD224)</f>
        <v/>
      </c>
      <c r="BN224" s="29"/>
      <c r="BO224" s="29"/>
      <c r="BP224" s="33" t="str">
        <f aca="false">IF(OR(AR224="",N(AO224)=0),"",AR224)</f>
        <v/>
      </c>
      <c r="BQ224" s="33" t="str">
        <f aca="false">IF(OR(AR224="",N(S224)=0),"",S224)</f>
        <v/>
      </c>
      <c r="BR224" s="38" t="str">
        <f aca="false">IF(AND(ISNUMBER(B224),B224&gt;=Dashboard!$C$4,B224&lt;=Dashboard!$F$4,ISNUMBER(AU224)),AU224+ROW()/10^9,"")</f>
        <v/>
      </c>
      <c r="BS224" s="38" t="str">
        <f aca="false">IF(AND(ISNUMBER(B224),B224&gt;=Dashboard!$C$4,B224&lt;=Dashboard!$F$4,A224&lt;&gt;""),N(BD224)+N(AU224)/100+ROW()/10^9,"")</f>
        <v/>
      </c>
    </row>
    <row r="225" customFormat="false" ht="15" hidden="false" customHeight="false" outlineLevel="0" collapsed="false">
      <c r="A225" s="24" t="str">
        <f aca="false">IF(OR(B225="",G225="",H225=""),"",IFERROR(INDEX(Settings!$E$5:$E$49,MATCH(G225,Settings!$D$5:$D$49,0))&amp;INDEX(Settings!$H$5:$H$47,MATCH(H225,Settings!$G$5:$G$47,0))&amp;"-"&amp;TEXT(B225,"yymmdd")&amp;"-"&amp;IF(C225="","0000",TEXT(C225,"hhmm")),"CHECK LISTS"))</f>
        <v/>
      </c>
      <c r="B225" s="39"/>
      <c r="C225" s="40"/>
      <c r="D225" s="24" t="str">
        <f aca="false">IF(B225="","",TEXT(B225,"ddd"))</f>
        <v/>
      </c>
      <c r="E225" s="27" t="str">
        <f aca="false">IF(B225="","",B225-WEEKDAY(B225,3))</f>
        <v/>
      </c>
      <c r="F225" s="24" t="str">
        <f aca="false">IF(B225="","",TEXT(B225,"yyyy-mm"))</f>
        <v/>
      </c>
      <c r="G225" s="29"/>
      <c r="H225" s="29"/>
      <c r="I225" s="29"/>
      <c r="J225" s="29"/>
      <c r="K225" s="29"/>
      <c r="L225" s="29"/>
      <c r="M225" s="29"/>
      <c r="N225" s="29"/>
      <c r="O225" s="29"/>
      <c r="P225" s="29"/>
      <c r="Q225" s="30"/>
      <c r="R225" s="29"/>
      <c r="S225" s="32"/>
      <c r="T225" s="29"/>
      <c r="U225" s="29"/>
      <c r="V225" s="24" t="str">
        <f aca="false">IF(A225="","",IFERROR(INDEX(Settings!$F$5:$F$49,MATCH(G225,Settings!$D$5:$D$49,0)),""))</f>
        <v/>
      </c>
      <c r="W225" s="24" t="str">
        <f aca="false">IF(A225="","",IF(OR(P225="",P225="Organic"),"social","paid_social"))</f>
        <v/>
      </c>
      <c r="X225" s="24" t="str">
        <f aca="false">IF(A225="","",IF(K225&lt;&gt;"",IFERROR(INDEX('Case Studies'!$C$5:$C$54,MATCH(K225,'Case Studies'!$B$5:$B$54,0))&amp;"","case-study"),IF(J225&lt;&gt;"",IFERROR(INDEX(Settings!$J$5:$J$55,MATCH(J225,Settings!$I$5:$I$55,0)),"general"),"general")))</f>
        <v/>
      </c>
      <c r="Y225" s="24" t="str">
        <f aca="false">IF(A225="","",LOWER(A225))</f>
        <v/>
      </c>
      <c r="Z225" s="24" t="str">
        <f aca="false">IF(A225="","",IF(T225="",Settings!$B$5,T225)&amp;IF(ISNUMBER(FIND("?",IF(T225="",Settings!$B$5,T225))),"&amp;","?")&amp;"utm_source="&amp;V225&amp;"&amp;utm_medium="&amp;W225&amp;"&amp;utm_campaign="&amp;X225&amp;"&amp;utm_content="&amp;Y225)</f>
        <v/>
      </c>
      <c r="AA225" s="29"/>
      <c r="AB225" s="39"/>
      <c r="AC225" s="32"/>
      <c r="AD225" s="32"/>
      <c r="AE225" s="32"/>
      <c r="AF225" s="32"/>
      <c r="AG225" s="32"/>
      <c r="AH225" s="32"/>
      <c r="AI225" s="32"/>
      <c r="AJ225" s="32"/>
      <c r="AK225" s="32"/>
      <c r="AL225" s="32"/>
      <c r="AM225" s="32"/>
      <c r="AN225" s="32"/>
      <c r="AO225" s="33" t="str">
        <f aca="false">IF(A225="","",IF(AD225&lt;&gt;"",AD225,IF(AC225&lt;&gt;"",AC225,"")))</f>
        <v/>
      </c>
      <c r="AP225" s="24" t="str">
        <f aca="false">IF(AO225="","",IF(AD225&lt;&gt;"","Reported reach","Impressions (proxy)"))</f>
        <v/>
      </c>
      <c r="AQ225" s="34" t="str">
        <f aca="false">IF(OR(AO225="",N(S225)=0),"",AO225/S225)</f>
        <v/>
      </c>
      <c r="AR225" s="33" t="str">
        <f aca="false">IF(A225="","",IF(COUNT(AF225:AJ225)=0,"",SUM(AF225:AJ225)))</f>
        <v/>
      </c>
      <c r="AS225" s="34" t="str">
        <f aca="false">IF(OR(AR225="",N(AO225)=0),"",AR225/AO225)</f>
        <v/>
      </c>
      <c r="AT225" s="34" t="str">
        <f aca="false">IF(OR(AR225="",N(AC225)=0),"",AR225/AC225)</f>
        <v/>
      </c>
      <c r="AU225" s="34" t="str">
        <f aca="false">IF(OR(AR225="",N(S225)=0),"",AR225/S225)</f>
        <v/>
      </c>
      <c r="AV225" s="34" t="str">
        <f aca="false">IF(OR(AJ225="",N(AC225)=0),"",AJ225/AC225)</f>
        <v/>
      </c>
      <c r="AW225" s="34" t="str">
        <f aca="false">IF(OR(AH225="",N(AO225)=0),"",AH225/AO225)</f>
        <v/>
      </c>
      <c r="AX225" s="35" t="str">
        <f aca="false">IF(OR(AR225="",N(AO225)=0),"",(N(AF225)*Settings!$B$6+N(AG225)*Settings!$B$7+N(AH225)*Settings!$B$8+N(AI225)*Settings!$B$9+N(AJ225)*Settings!$B$10)/AO225*1000)</f>
        <v/>
      </c>
      <c r="AY225" s="36" t="str">
        <f aca="false">IF(AS225="","",IFERROR(AS225/AVERAGEIFS('Post Tracker'!$AS$5:$AS$1004,'Post Tracker'!$G$5:$G$1004,G225),""))</f>
        <v/>
      </c>
      <c r="AZ225" s="32"/>
      <c r="BA225" s="32"/>
      <c r="BB225" s="32"/>
      <c r="BC225" s="32"/>
      <c r="BD225" s="33" t="str">
        <f aca="false">IF(A225="","",COUNTIFS('Demo Pipeline'!$Q$5:$Q$504,A225))</f>
        <v/>
      </c>
      <c r="BE225" s="33" t="str">
        <f aca="false">IF(A225="","",COUNTIFS('Demo Pipeline'!$Q$5:$Q$504,A225,'Demo Pipeline'!$W$5:$W$504,"Attended"))</f>
        <v/>
      </c>
      <c r="BF225" s="33" t="str">
        <f aca="false">IF(A225="","",COUNTIFS('Demo Pipeline'!$Q$5:$Q$504,A225,'Demo Pipeline'!$X$5:$X$504,"Yes"))</f>
        <v/>
      </c>
      <c r="BG225" s="33" t="str">
        <f aca="false">IF(A225="","",COUNTIFS('Demo Pipeline'!$Q$5:$Q$504,A225,'Demo Pipeline'!$Y$5:$Y$504,"Closed Won"))</f>
        <v/>
      </c>
      <c r="BH225" s="37" t="str">
        <f aca="false">IF(A225="","",SUMIFS('Demo Pipeline'!$Z$5:$Z$504,'Demo Pipeline'!$Q$5:$Q$504,A225))</f>
        <v/>
      </c>
      <c r="BI225" s="34" t="str">
        <f aca="false">IF(OR(AZ225="",N(AJ225)=0),"",AZ225/AJ225)</f>
        <v/>
      </c>
      <c r="BJ225" s="34" t="str">
        <f aca="false">IF(OR(BB225="",N(AZ225)=0),"",BB225/AZ225)</f>
        <v/>
      </c>
      <c r="BK225" s="34" t="str">
        <f aca="false">IF(OR(A225="",N(BB225)=0),"",BD225/BB225)</f>
        <v/>
      </c>
      <c r="BL225" s="34" t="str">
        <f aca="false">IF(OR(A225="",N(AZ225)=0),"",BD225/AZ225)</f>
        <v/>
      </c>
      <c r="BM225" s="37" t="str">
        <f aca="false">IF(OR(N(Q225)=0,N(BD225)=0),"",Q225/BD225)</f>
        <v/>
      </c>
      <c r="BN225" s="29"/>
      <c r="BO225" s="29"/>
      <c r="BP225" s="33" t="str">
        <f aca="false">IF(OR(AR225="",N(AO225)=0),"",AR225)</f>
        <v/>
      </c>
      <c r="BQ225" s="33" t="str">
        <f aca="false">IF(OR(AR225="",N(S225)=0),"",S225)</f>
        <v/>
      </c>
      <c r="BR225" s="38" t="str">
        <f aca="false">IF(AND(ISNUMBER(B225),B225&gt;=Dashboard!$C$4,B225&lt;=Dashboard!$F$4,ISNUMBER(AU225)),AU225+ROW()/10^9,"")</f>
        <v/>
      </c>
      <c r="BS225" s="38" t="str">
        <f aca="false">IF(AND(ISNUMBER(B225),B225&gt;=Dashboard!$C$4,B225&lt;=Dashboard!$F$4,A225&lt;&gt;""),N(BD225)+N(AU225)/100+ROW()/10^9,"")</f>
        <v/>
      </c>
    </row>
    <row r="226" customFormat="false" ht="15" hidden="false" customHeight="false" outlineLevel="0" collapsed="false">
      <c r="A226" s="24" t="str">
        <f aca="false">IF(OR(B226="",G226="",H226=""),"",IFERROR(INDEX(Settings!$E$5:$E$49,MATCH(G226,Settings!$D$5:$D$49,0))&amp;INDEX(Settings!$H$5:$H$47,MATCH(H226,Settings!$G$5:$G$47,0))&amp;"-"&amp;TEXT(B226,"yymmdd")&amp;"-"&amp;IF(C226="","0000",TEXT(C226,"hhmm")),"CHECK LISTS"))</f>
        <v/>
      </c>
      <c r="B226" s="39"/>
      <c r="C226" s="40"/>
      <c r="D226" s="24" t="str">
        <f aca="false">IF(B226="","",TEXT(B226,"ddd"))</f>
        <v/>
      </c>
      <c r="E226" s="27" t="str">
        <f aca="false">IF(B226="","",B226-WEEKDAY(B226,3))</f>
        <v/>
      </c>
      <c r="F226" s="24" t="str">
        <f aca="false">IF(B226="","",TEXT(B226,"yyyy-mm"))</f>
        <v/>
      </c>
      <c r="G226" s="29"/>
      <c r="H226" s="29"/>
      <c r="I226" s="29"/>
      <c r="J226" s="29"/>
      <c r="K226" s="29"/>
      <c r="L226" s="29"/>
      <c r="M226" s="29"/>
      <c r="N226" s="29"/>
      <c r="O226" s="29"/>
      <c r="P226" s="29"/>
      <c r="Q226" s="30"/>
      <c r="R226" s="29"/>
      <c r="S226" s="32"/>
      <c r="T226" s="29"/>
      <c r="U226" s="29"/>
      <c r="V226" s="24" t="str">
        <f aca="false">IF(A226="","",IFERROR(INDEX(Settings!$F$5:$F$49,MATCH(G226,Settings!$D$5:$D$49,0)),""))</f>
        <v/>
      </c>
      <c r="W226" s="24" t="str">
        <f aca="false">IF(A226="","",IF(OR(P226="",P226="Organic"),"social","paid_social"))</f>
        <v/>
      </c>
      <c r="X226" s="24" t="str">
        <f aca="false">IF(A226="","",IF(K226&lt;&gt;"",IFERROR(INDEX('Case Studies'!$C$5:$C$54,MATCH(K226,'Case Studies'!$B$5:$B$54,0))&amp;"","case-study"),IF(J226&lt;&gt;"",IFERROR(INDEX(Settings!$J$5:$J$55,MATCH(J226,Settings!$I$5:$I$55,0)),"general"),"general")))</f>
        <v/>
      </c>
      <c r="Y226" s="24" t="str">
        <f aca="false">IF(A226="","",LOWER(A226))</f>
        <v/>
      </c>
      <c r="Z226" s="24" t="str">
        <f aca="false">IF(A226="","",IF(T226="",Settings!$B$5,T226)&amp;IF(ISNUMBER(FIND("?",IF(T226="",Settings!$B$5,T226))),"&amp;","?")&amp;"utm_source="&amp;V226&amp;"&amp;utm_medium="&amp;W226&amp;"&amp;utm_campaign="&amp;X226&amp;"&amp;utm_content="&amp;Y226)</f>
        <v/>
      </c>
      <c r="AA226" s="29"/>
      <c r="AB226" s="39"/>
      <c r="AC226" s="32"/>
      <c r="AD226" s="32"/>
      <c r="AE226" s="32"/>
      <c r="AF226" s="32"/>
      <c r="AG226" s="32"/>
      <c r="AH226" s="32"/>
      <c r="AI226" s="32"/>
      <c r="AJ226" s="32"/>
      <c r="AK226" s="32"/>
      <c r="AL226" s="32"/>
      <c r="AM226" s="32"/>
      <c r="AN226" s="32"/>
      <c r="AO226" s="33" t="str">
        <f aca="false">IF(A226="","",IF(AD226&lt;&gt;"",AD226,IF(AC226&lt;&gt;"",AC226,"")))</f>
        <v/>
      </c>
      <c r="AP226" s="24" t="str">
        <f aca="false">IF(AO226="","",IF(AD226&lt;&gt;"","Reported reach","Impressions (proxy)"))</f>
        <v/>
      </c>
      <c r="AQ226" s="34" t="str">
        <f aca="false">IF(OR(AO226="",N(S226)=0),"",AO226/S226)</f>
        <v/>
      </c>
      <c r="AR226" s="33" t="str">
        <f aca="false">IF(A226="","",IF(COUNT(AF226:AJ226)=0,"",SUM(AF226:AJ226)))</f>
        <v/>
      </c>
      <c r="AS226" s="34" t="str">
        <f aca="false">IF(OR(AR226="",N(AO226)=0),"",AR226/AO226)</f>
        <v/>
      </c>
      <c r="AT226" s="34" t="str">
        <f aca="false">IF(OR(AR226="",N(AC226)=0),"",AR226/AC226)</f>
        <v/>
      </c>
      <c r="AU226" s="34" t="str">
        <f aca="false">IF(OR(AR226="",N(S226)=0),"",AR226/S226)</f>
        <v/>
      </c>
      <c r="AV226" s="34" t="str">
        <f aca="false">IF(OR(AJ226="",N(AC226)=0),"",AJ226/AC226)</f>
        <v/>
      </c>
      <c r="AW226" s="34" t="str">
        <f aca="false">IF(OR(AH226="",N(AO226)=0),"",AH226/AO226)</f>
        <v/>
      </c>
      <c r="AX226" s="35" t="str">
        <f aca="false">IF(OR(AR226="",N(AO226)=0),"",(N(AF226)*Settings!$B$6+N(AG226)*Settings!$B$7+N(AH226)*Settings!$B$8+N(AI226)*Settings!$B$9+N(AJ226)*Settings!$B$10)/AO226*1000)</f>
        <v/>
      </c>
      <c r="AY226" s="36" t="str">
        <f aca="false">IF(AS226="","",IFERROR(AS226/AVERAGEIFS('Post Tracker'!$AS$5:$AS$1004,'Post Tracker'!$G$5:$G$1004,G226),""))</f>
        <v/>
      </c>
      <c r="AZ226" s="32"/>
      <c r="BA226" s="32"/>
      <c r="BB226" s="32"/>
      <c r="BC226" s="32"/>
      <c r="BD226" s="33" t="str">
        <f aca="false">IF(A226="","",COUNTIFS('Demo Pipeline'!$Q$5:$Q$504,A226))</f>
        <v/>
      </c>
      <c r="BE226" s="33" t="str">
        <f aca="false">IF(A226="","",COUNTIFS('Demo Pipeline'!$Q$5:$Q$504,A226,'Demo Pipeline'!$W$5:$W$504,"Attended"))</f>
        <v/>
      </c>
      <c r="BF226" s="33" t="str">
        <f aca="false">IF(A226="","",COUNTIFS('Demo Pipeline'!$Q$5:$Q$504,A226,'Demo Pipeline'!$X$5:$X$504,"Yes"))</f>
        <v/>
      </c>
      <c r="BG226" s="33" t="str">
        <f aca="false">IF(A226="","",COUNTIFS('Demo Pipeline'!$Q$5:$Q$504,A226,'Demo Pipeline'!$Y$5:$Y$504,"Closed Won"))</f>
        <v/>
      </c>
      <c r="BH226" s="37" t="str">
        <f aca="false">IF(A226="","",SUMIFS('Demo Pipeline'!$Z$5:$Z$504,'Demo Pipeline'!$Q$5:$Q$504,A226))</f>
        <v/>
      </c>
      <c r="BI226" s="34" t="str">
        <f aca="false">IF(OR(AZ226="",N(AJ226)=0),"",AZ226/AJ226)</f>
        <v/>
      </c>
      <c r="BJ226" s="34" t="str">
        <f aca="false">IF(OR(BB226="",N(AZ226)=0),"",BB226/AZ226)</f>
        <v/>
      </c>
      <c r="BK226" s="34" t="str">
        <f aca="false">IF(OR(A226="",N(BB226)=0),"",BD226/BB226)</f>
        <v/>
      </c>
      <c r="BL226" s="34" t="str">
        <f aca="false">IF(OR(A226="",N(AZ226)=0),"",BD226/AZ226)</f>
        <v/>
      </c>
      <c r="BM226" s="37" t="str">
        <f aca="false">IF(OR(N(Q226)=0,N(BD226)=0),"",Q226/BD226)</f>
        <v/>
      </c>
      <c r="BN226" s="29"/>
      <c r="BO226" s="29"/>
      <c r="BP226" s="33" t="str">
        <f aca="false">IF(OR(AR226="",N(AO226)=0),"",AR226)</f>
        <v/>
      </c>
      <c r="BQ226" s="33" t="str">
        <f aca="false">IF(OR(AR226="",N(S226)=0),"",S226)</f>
        <v/>
      </c>
      <c r="BR226" s="38" t="str">
        <f aca="false">IF(AND(ISNUMBER(B226),B226&gt;=Dashboard!$C$4,B226&lt;=Dashboard!$F$4,ISNUMBER(AU226)),AU226+ROW()/10^9,"")</f>
        <v/>
      </c>
      <c r="BS226" s="38" t="str">
        <f aca="false">IF(AND(ISNUMBER(B226),B226&gt;=Dashboard!$C$4,B226&lt;=Dashboard!$F$4,A226&lt;&gt;""),N(BD226)+N(AU226)/100+ROW()/10^9,"")</f>
        <v/>
      </c>
    </row>
    <row r="227" customFormat="false" ht="15" hidden="false" customHeight="false" outlineLevel="0" collapsed="false">
      <c r="A227" s="24" t="str">
        <f aca="false">IF(OR(B227="",G227="",H227=""),"",IFERROR(INDEX(Settings!$E$5:$E$49,MATCH(G227,Settings!$D$5:$D$49,0))&amp;INDEX(Settings!$H$5:$H$47,MATCH(H227,Settings!$G$5:$G$47,0))&amp;"-"&amp;TEXT(B227,"yymmdd")&amp;"-"&amp;IF(C227="","0000",TEXT(C227,"hhmm")),"CHECK LISTS"))</f>
        <v/>
      </c>
      <c r="B227" s="39"/>
      <c r="C227" s="40"/>
      <c r="D227" s="24" t="str">
        <f aca="false">IF(B227="","",TEXT(B227,"ddd"))</f>
        <v/>
      </c>
      <c r="E227" s="27" t="str">
        <f aca="false">IF(B227="","",B227-WEEKDAY(B227,3))</f>
        <v/>
      </c>
      <c r="F227" s="24" t="str">
        <f aca="false">IF(B227="","",TEXT(B227,"yyyy-mm"))</f>
        <v/>
      </c>
      <c r="G227" s="29"/>
      <c r="H227" s="29"/>
      <c r="I227" s="29"/>
      <c r="J227" s="29"/>
      <c r="K227" s="29"/>
      <c r="L227" s="29"/>
      <c r="M227" s="29"/>
      <c r="N227" s="29"/>
      <c r="O227" s="29"/>
      <c r="P227" s="29"/>
      <c r="Q227" s="30"/>
      <c r="R227" s="29"/>
      <c r="S227" s="32"/>
      <c r="T227" s="29"/>
      <c r="U227" s="29"/>
      <c r="V227" s="24" t="str">
        <f aca="false">IF(A227="","",IFERROR(INDEX(Settings!$F$5:$F$49,MATCH(G227,Settings!$D$5:$D$49,0)),""))</f>
        <v/>
      </c>
      <c r="W227" s="24" t="str">
        <f aca="false">IF(A227="","",IF(OR(P227="",P227="Organic"),"social","paid_social"))</f>
        <v/>
      </c>
      <c r="X227" s="24" t="str">
        <f aca="false">IF(A227="","",IF(K227&lt;&gt;"",IFERROR(INDEX('Case Studies'!$C$5:$C$54,MATCH(K227,'Case Studies'!$B$5:$B$54,0))&amp;"","case-study"),IF(J227&lt;&gt;"",IFERROR(INDEX(Settings!$J$5:$J$55,MATCH(J227,Settings!$I$5:$I$55,0)),"general"),"general")))</f>
        <v/>
      </c>
      <c r="Y227" s="24" t="str">
        <f aca="false">IF(A227="","",LOWER(A227))</f>
        <v/>
      </c>
      <c r="Z227" s="24" t="str">
        <f aca="false">IF(A227="","",IF(T227="",Settings!$B$5,T227)&amp;IF(ISNUMBER(FIND("?",IF(T227="",Settings!$B$5,T227))),"&amp;","?")&amp;"utm_source="&amp;V227&amp;"&amp;utm_medium="&amp;W227&amp;"&amp;utm_campaign="&amp;X227&amp;"&amp;utm_content="&amp;Y227)</f>
        <v/>
      </c>
      <c r="AA227" s="29"/>
      <c r="AB227" s="39"/>
      <c r="AC227" s="32"/>
      <c r="AD227" s="32"/>
      <c r="AE227" s="32"/>
      <c r="AF227" s="32"/>
      <c r="AG227" s="32"/>
      <c r="AH227" s="32"/>
      <c r="AI227" s="32"/>
      <c r="AJ227" s="32"/>
      <c r="AK227" s="32"/>
      <c r="AL227" s="32"/>
      <c r="AM227" s="32"/>
      <c r="AN227" s="32"/>
      <c r="AO227" s="33" t="str">
        <f aca="false">IF(A227="","",IF(AD227&lt;&gt;"",AD227,IF(AC227&lt;&gt;"",AC227,"")))</f>
        <v/>
      </c>
      <c r="AP227" s="24" t="str">
        <f aca="false">IF(AO227="","",IF(AD227&lt;&gt;"","Reported reach","Impressions (proxy)"))</f>
        <v/>
      </c>
      <c r="AQ227" s="34" t="str">
        <f aca="false">IF(OR(AO227="",N(S227)=0),"",AO227/S227)</f>
        <v/>
      </c>
      <c r="AR227" s="33" t="str">
        <f aca="false">IF(A227="","",IF(COUNT(AF227:AJ227)=0,"",SUM(AF227:AJ227)))</f>
        <v/>
      </c>
      <c r="AS227" s="34" t="str">
        <f aca="false">IF(OR(AR227="",N(AO227)=0),"",AR227/AO227)</f>
        <v/>
      </c>
      <c r="AT227" s="34" t="str">
        <f aca="false">IF(OR(AR227="",N(AC227)=0),"",AR227/AC227)</f>
        <v/>
      </c>
      <c r="AU227" s="34" t="str">
        <f aca="false">IF(OR(AR227="",N(S227)=0),"",AR227/S227)</f>
        <v/>
      </c>
      <c r="AV227" s="34" t="str">
        <f aca="false">IF(OR(AJ227="",N(AC227)=0),"",AJ227/AC227)</f>
        <v/>
      </c>
      <c r="AW227" s="34" t="str">
        <f aca="false">IF(OR(AH227="",N(AO227)=0),"",AH227/AO227)</f>
        <v/>
      </c>
      <c r="AX227" s="35" t="str">
        <f aca="false">IF(OR(AR227="",N(AO227)=0),"",(N(AF227)*Settings!$B$6+N(AG227)*Settings!$B$7+N(AH227)*Settings!$B$8+N(AI227)*Settings!$B$9+N(AJ227)*Settings!$B$10)/AO227*1000)</f>
        <v/>
      </c>
      <c r="AY227" s="36" t="str">
        <f aca="false">IF(AS227="","",IFERROR(AS227/AVERAGEIFS('Post Tracker'!$AS$5:$AS$1004,'Post Tracker'!$G$5:$G$1004,G227),""))</f>
        <v/>
      </c>
      <c r="AZ227" s="32"/>
      <c r="BA227" s="32"/>
      <c r="BB227" s="32"/>
      <c r="BC227" s="32"/>
      <c r="BD227" s="33" t="str">
        <f aca="false">IF(A227="","",COUNTIFS('Demo Pipeline'!$Q$5:$Q$504,A227))</f>
        <v/>
      </c>
      <c r="BE227" s="33" t="str">
        <f aca="false">IF(A227="","",COUNTIFS('Demo Pipeline'!$Q$5:$Q$504,A227,'Demo Pipeline'!$W$5:$W$504,"Attended"))</f>
        <v/>
      </c>
      <c r="BF227" s="33" t="str">
        <f aca="false">IF(A227="","",COUNTIFS('Demo Pipeline'!$Q$5:$Q$504,A227,'Demo Pipeline'!$X$5:$X$504,"Yes"))</f>
        <v/>
      </c>
      <c r="BG227" s="33" t="str">
        <f aca="false">IF(A227="","",COUNTIFS('Demo Pipeline'!$Q$5:$Q$504,A227,'Demo Pipeline'!$Y$5:$Y$504,"Closed Won"))</f>
        <v/>
      </c>
      <c r="BH227" s="37" t="str">
        <f aca="false">IF(A227="","",SUMIFS('Demo Pipeline'!$Z$5:$Z$504,'Demo Pipeline'!$Q$5:$Q$504,A227))</f>
        <v/>
      </c>
      <c r="BI227" s="34" t="str">
        <f aca="false">IF(OR(AZ227="",N(AJ227)=0),"",AZ227/AJ227)</f>
        <v/>
      </c>
      <c r="BJ227" s="34" t="str">
        <f aca="false">IF(OR(BB227="",N(AZ227)=0),"",BB227/AZ227)</f>
        <v/>
      </c>
      <c r="BK227" s="34" t="str">
        <f aca="false">IF(OR(A227="",N(BB227)=0),"",BD227/BB227)</f>
        <v/>
      </c>
      <c r="BL227" s="34" t="str">
        <f aca="false">IF(OR(A227="",N(AZ227)=0),"",BD227/AZ227)</f>
        <v/>
      </c>
      <c r="BM227" s="37" t="str">
        <f aca="false">IF(OR(N(Q227)=0,N(BD227)=0),"",Q227/BD227)</f>
        <v/>
      </c>
      <c r="BN227" s="29"/>
      <c r="BO227" s="29"/>
      <c r="BP227" s="33" t="str">
        <f aca="false">IF(OR(AR227="",N(AO227)=0),"",AR227)</f>
        <v/>
      </c>
      <c r="BQ227" s="33" t="str">
        <f aca="false">IF(OR(AR227="",N(S227)=0),"",S227)</f>
        <v/>
      </c>
      <c r="BR227" s="38" t="str">
        <f aca="false">IF(AND(ISNUMBER(B227),B227&gt;=Dashboard!$C$4,B227&lt;=Dashboard!$F$4,ISNUMBER(AU227)),AU227+ROW()/10^9,"")</f>
        <v/>
      </c>
      <c r="BS227" s="38" t="str">
        <f aca="false">IF(AND(ISNUMBER(B227),B227&gt;=Dashboard!$C$4,B227&lt;=Dashboard!$F$4,A227&lt;&gt;""),N(BD227)+N(AU227)/100+ROW()/10^9,"")</f>
        <v/>
      </c>
    </row>
    <row r="228" customFormat="false" ht="15" hidden="false" customHeight="false" outlineLevel="0" collapsed="false">
      <c r="A228" s="24" t="str">
        <f aca="false">IF(OR(B228="",G228="",H228=""),"",IFERROR(INDEX(Settings!$E$5:$E$49,MATCH(G228,Settings!$D$5:$D$49,0))&amp;INDEX(Settings!$H$5:$H$47,MATCH(H228,Settings!$G$5:$G$47,0))&amp;"-"&amp;TEXT(B228,"yymmdd")&amp;"-"&amp;IF(C228="","0000",TEXT(C228,"hhmm")),"CHECK LISTS"))</f>
        <v/>
      </c>
      <c r="B228" s="39"/>
      <c r="C228" s="40"/>
      <c r="D228" s="24" t="str">
        <f aca="false">IF(B228="","",TEXT(B228,"ddd"))</f>
        <v/>
      </c>
      <c r="E228" s="27" t="str">
        <f aca="false">IF(B228="","",B228-WEEKDAY(B228,3))</f>
        <v/>
      </c>
      <c r="F228" s="24" t="str">
        <f aca="false">IF(B228="","",TEXT(B228,"yyyy-mm"))</f>
        <v/>
      </c>
      <c r="G228" s="29"/>
      <c r="H228" s="29"/>
      <c r="I228" s="29"/>
      <c r="J228" s="29"/>
      <c r="K228" s="29"/>
      <c r="L228" s="29"/>
      <c r="M228" s="29"/>
      <c r="N228" s="29"/>
      <c r="O228" s="29"/>
      <c r="P228" s="29"/>
      <c r="Q228" s="30"/>
      <c r="R228" s="29"/>
      <c r="S228" s="32"/>
      <c r="T228" s="29"/>
      <c r="U228" s="29"/>
      <c r="V228" s="24" t="str">
        <f aca="false">IF(A228="","",IFERROR(INDEX(Settings!$F$5:$F$49,MATCH(G228,Settings!$D$5:$D$49,0)),""))</f>
        <v/>
      </c>
      <c r="W228" s="24" t="str">
        <f aca="false">IF(A228="","",IF(OR(P228="",P228="Organic"),"social","paid_social"))</f>
        <v/>
      </c>
      <c r="X228" s="24" t="str">
        <f aca="false">IF(A228="","",IF(K228&lt;&gt;"",IFERROR(INDEX('Case Studies'!$C$5:$C$54,MATCH(K228,'Case Studies'!$B$5:$B$54,0))&amp;"","case-study"),IF(J228&lt;&gt;"",IFERROR(INDEX(Settings!$J$5:$J$55,MATCH(J228,Settings!$I$5:$I$55,0)),"general"),"general")))</f>
        <v/>
      </c>
      <c r="Y228" s="24" t="str">
        <f aca="false">IF(A228="","",LOWER(A228))</f>
        <v/>
      </c>
      <c r="Z228" s="24" t="str">
        <f aca="false">IF(A228="","",IF(T228="",Settings!$B$5,T228)&amp;IF(ISNUMBER(FIND("?",IF(T228="",Settings!$B$5,T228))),"&amp;","?")&amp;"utm_source="&amp;V228&amp;"&amp;utm_medium="&amp;W228&amp;"&amp;utm_campaign="&amp;X228&amp;"&amp;utm_content="&amp;Y228)</f>
        <v/>
      </c>
      <c r="AA228" s="29"/>
      <c r="AB228" s="39"/>
      <c r="AC228" s="32"/>
      <c r="AD228" s="32"/>
      <c r="AE228" s="32"/>
      <c r="AF228" s="32"/>
      <c r="AG228" s="32"/>
      <c r="AH228" s="32"/>
      <c r="AI228" s="32"/>
      <c r="AJ228" s="32"/>
      <c r="AK228" s="32"/>
      <c r="AL228" s="32"/>
      <c r="AM228" s="32"/>
      <c r="AN228" s="32"/>
      <c r="AO228" s="33" t="str">
        <f aca="false">IF(A228="","",IF(AD228&lt;&gt;"",AD228,IF(AC228&lt;&gt;"",AC228,"")))</f>
        <v/>
      </c>
      <c r="AP228" s="24" t="str">
        <f aca="false">IF(AO228="","",IF(AD228&lt;&gt;"","Reported reach","Impressions (proxy)"))</f>
        <v/>
      </c>
      <c r="AQ228" s="34" t="str">
        <f aca="false">IF(OR(AO228="",N(S228)=0),"",AO228/S228)</f>
        <v/>
      </c>
      <c r="AR228" s="33" t="str">
        <f aca="false">IF(A228="","",IF(COUNT(AF228:AJ228)=0,"",SUM(AF228:AJ228)))</f>
        <v/>
      </c>
      <c r="AS228" s="34" t="str">
        <f aca="false">IF(OR(AR228="",N(AO228)=0),"",AR228/AO228)</f>
        <v/>
      </c>
      <c r="AT228" s="34" t="str">
        <f aca="false">IF(OR(AR228="",N(AC228)=0),"",AR228/AC228)</f>
        <v/>
      </c>
      <c r="AU228" s="34" t="str">
        <f aca="false">IF(OR(AR228="",N(S228)=0),"",AR228/S228)</f>
        <v/>
      </c>
      <c r="AV228" s="34" t="str">
        <f aca="false">IF(OR(AJ228="",N(AC228)=0),"",AJ228/AC228)</f>
        <v/>
      </c>
      <c r="AW228" s="34" t="str">
        <f aca="false">IF(OR(AH228="",N(AO228)=0),"",AH228/AO228)</f>
        <v/>
      </c>
      <c r="AX228" s="35" t="str">
        <f aca="false">IF(OR(AR228="",N(AO228)=0),"",(N(AF228)*Settings!$B$6+N(AG228)*Settings!$B$7+N(AH228)*Settings!$B$8+N(AI228)*Settings!$B$9+N(AJ228)*Settings!$B$10)/AO228*1000)</f>
        <v/>
      </c>
      <c r="AY228" s="36" t="str">
        <f aca="false">IF(AS228="","",IFERROR(AS228/AVERAGEIFS('Post Tracker'!$AS$5:$AS$1004,'Post Tracker'!$G$5:$G$1004,G228),""))</f>
        <v/>
      </c>
      <c r="AZ228" s="32"/>
      <c r="BA228" s="32"/>
      <c r="BB228" s="32"/>
      <c r="BC228" s="32"/>
      <c r="BD228" s="33" t="str">
        <f aca="false">IF(A228="","",COUNTIFS('Demo Pipeline'!$Q$5:$Q$504,A228))</f>
        <v/>
      </c>
      <c r="BE228" s="33" t="str">
        <f aca="false">IF(A228="","",COUNTIFS('Demo Pipeline'!$Q$5:$Q$504,A228,'Demo Pipeline'!$W$5:$W$504,"Attended"))</f>
        <v/>
      </c>
      <c r="BF228" s="33" t="str">
        <f aca="false">IF(A228="","",COUNTIFS('Demo Pipeline'!$Q$5:$Q$504,A228,'Demo Pipeline'!$X$5:$X$504,"Yes"))</f>
        <v/>
      </c>
      <c r="BG228" s="33" t="str">
        <f aca="false">IF(A228="","",COUNTIFS('Demo Pipeline'!$Q$5:$Q$504,A228,'Demo Pipeline'!$Y$5:$Y$504,"Closed Won"))</f>
        <v/>
      </c>
      <c r="BH228" s="37" t="str">
        <f aca="false">IF(A228="","",SUMIFS('Demo Pipeline'!$Z$5:$Z$504,'Demo Pipeline'!$Q$5:$Q$504,A228))</f>
        <v/>
      </c>
      <c r="BI228" s="34" t="str">
        <f aca="false">IF(OR(AZ228="",N(AJ228)=0),"",AZ228/AJ228)</f>
        <v/>
      </c>
      <c r="BJ228" s="34" t="str">
        <f aca="false">IF(OR(BB228="",N(AZ228)=0),"",BB228/AZ228)</f>
        <v/>
      </c>
      <c r="BK228" s="34" t="str">
        <f aca="false">IF(OR(A228="",N(BB228)=0),"",BD228/BB228)</f>
        <v/>
      </c>
      <c r="BL228" s="34" t="str">
        <f aca="false">IF(OR(A228="",N(AZ228)=0),"",BD228/AZ228)</f>
        <v/>
      </c>
      <c r="BM228" s="37" t="str">
        <f aca="false">IF(OR(N(Q228)=0,N(BD228)=0),"",Q228/BD228)</f>
        <v/>
      </c>
      <c r="BN228" s="29"/>
      <c r="BO228" s="29"/>
      <c r="BP228" s="33" t="str">
        <f aca="false">IF(OR(AR228="",N(AO228)=0),"",AR228)</f>
        <v/>
      </c>
      <c r="BQ228" s="33" t="str">
        <f aca="false">IF(OR(AR228="",N(S228)=0),"",S228)</f>
        <v/>
      </c>
      <c r="BR228" s="38" t="str">
        <f aca="false">IF(AND(ISNUMBER(B228),B228&gt;=Dashboard!$C$4,B228&lt;=Dashboard!$F$4,ISNUMBER(AU228)),AU228+ROW()/10^9,"")</f>
        <v/>
      </c>
      <c r="BS228" s="38" t="str">
        <f aca="false">IF(AND(ISNUMBER(B228),B228&gt;=Dashboard!$C$4,B228&lt;=Dashboard!$F$4,A228&lt;&gt;""),N(BD228)+N(AU228)/100+ROW()/10^9,"")</f>
        <v/>
      </c>
    </row>
    <row r="229" customFormat="false" ht="15" hidden="false" customHeight="false" outlineLevel="0" collapsed="false">
      <c r="A229" s="24" t="str">
        <f aca="false">IF(OR(B229="",G229="",H229=""),"",IFERROR(INDEX(Settings!$E$5:$E$49,MATCH(G229,Settings!$D$5:$D$49,0))&amp;INDEX(Settings!$H$5:$H$47,MATCH(H229,Settings!$G$5:$G$47,0))&amp;"-"&amp;TEXT(B229,"yymmdd")&amp;"-"&amp;IF(C229="","0000",TEXT(C229,"hhmm")),"CHECK LISTS"))</f>
        <v/>
      </c>
      <c r="B229" s="39"/>
      <c r="C229" s="40"/>
      <c r="D229" s="24" t="str">
        <f aca="false">IF(B229="","",TEXT(B229,"ddd"))</f>
        <v/>
      </c>
      <c r="E229" s="27" t="str">
        <f aca="false">IF(B229="","",B229-WEEKDAY(B229,3))</f>
        <v/>
      </c>
      <c r="F229" s="24" t="str">
        <f aca="false">IF(B229="","",TEXT(B229,"yyyy-mm"))</f>
        <v/>
      </c>
      <c r="G229" s="29"/>
      <c r="H229" s="29"/>
      <c r="I229" s="29"/>
      <c r="J229" s="29"/>
      <c r="K229" s="29"/>
      <c r="L229" s="29"/>
      <c r="M229" s="29"/>
      <c r="N229" s="29"/>
      <c r="O229" s="29"/>
      <c r="P229" s="29"/>
      <c r="Q229" s="30"/>
      <c r="R229" s="29"/>
      <c r="S229" s="32"/>
      <c r="T229" s="29"/>
      <c r="U229" s="29"/>
      <c r="V229" s="24" t="str">
        <f aca="false">IF(A229="","",IFERROR(INDEX(Settings!$F$5:$F$49,MATCH(G229,Settings!$D$5:$D$49,0)),""))</f>
        <v/>
      </c>
      <c r="W229" s="24" t="str">
        <f aca="false">IF(A229="","",IF(OR(P229="",P229="Organic"),"social","paid_social"))</f>
        <v/>
      </c>
      <c r="X229" s="24" t="str">
        <f aca="false">IF(A229="","",IF(K229&lt;&gt;"",IFERROR(INDEX('Case Studies'!$C$5:$C$54,MATCH(K229,'Case Studies'!$B$5:$B$54,0))&amp;"","case-study"),IF(J229&lt;&gt;"",IFERROR(INDEX(Settings!$J$5:$J$55,MATCH(J229,Settings!$I$5:$I$55,0)),"general"),"general")))</f>
        <v/>
      </c>
      <c r="Y229" s="24" t="str">
        <f aca="false">IF(A229="","",LOWER(A229))</f>
        <v/>
      </c>
      <c r="Z229" s="24" t="str">
        <f aca="false">IF(A229="","",IF(T229="",Settings!$B$5,T229)&amp;IF(ISNUMBER(FIND("?",IF(T229="",Settings!$B$5,T229))),"&amp;","?")&amp;"utm_source="&amp;V229&amp;"&amp;utm_medium="&amp;W229&amp;"&amp;utm_campaign="&amp;X229&amp;"&amp;utm_content="&amp;Y229)</f>
        <v/>
      </c>
      <c r="AA229" s="29"/>
      <c r="AB229" s="39"/>
      <c r="AC229" s="32"/>
      <c r="AD229" s="32"/>
      <c r="AE229" s="32"/>
      <c r="AF229" s="32"/>
      <c r="AG229" s="32"/>
      <c r="AH229" s="32"/>
      <c r="AI229" s="32"/>
      <c r="AJ229" s="32"/>
      <c r="AK229" s="32"/>
      <c r="AL229" s="32"/>
      <c r="AM229" s="32"/>
      <c r="AN229" s="32"/>
      <c r="AO229" s="33" t="str">
        <f aca="false">IF(A229="","",IF(AD229&lt;&gt;"",AD229,IF(AC229&lt;&gt;"",AC229,"")))</f>
        <v/>
      </c>
      <c r="AP229" s="24" t="str">
        <f aca="false">IF(AO229="","",IF(AD229&lt;&gt;"","Reported reach","Impressions (proxy)"))</f>
        <v/>
      </c>
      <c r="AQ229" s="34" t="str">
        <f aca="false">IF(OR(AO229="",N(S229)=0),"",AO229/S229)</f>
        <v/>
      </c>
      <c r="AR229" s="33" t="str">
        <f aca="false">IF(A229="","",IF(COUNT(AF229:AJ229)=0,"",SUM(AF229:AJ229)))</f>
        <v/>
      </c>
      <c r="AS229" s="34" t="str">
        <f aca="false">IF(OR(AR229="",N(AO229)=0),"",AR229/AO229)</f>
        <v/>
      </c>
      <c r="AT229" s="34" t="str">
        <f aca="false">IF(OR(AR229="",N(AC229)=0),"",AR229/AC229)</f>
        <v/>
      </c>
      <c r="AU229" s="34" t="str">
        <f aca="false">IF(OR(AR229="",N(S229)=0),"",AR229/S229)</f>
        <v/>
      </c>
      <c r="AV229" s="34" t="str">
        <f aca="false">IF(OR(AJ229="",N(AC229)=0),"",AJ229/AC229)</f>
        <v/>
      </c>
      <c r="AW229" s="34" t="str">
        <f aca="false">IF(OR(AH229="",N(AO229)=0),"",AH229/AO229)</f>
        <v/>
      </c>
      <c r="AX229" s="35" t="str">
        <f aca="false">IF(OR(AR229="",N(AO229)=0),"",(N(AF229)*Settings!$B$6+N(AG229)*Settings!$B$7+N(AH229)*Settings!$B$8+N(AI229)*Settings!$B$9+N(AJ229)*Settings!$B$10)/AO229*1000)</f>
        <v/>
      </c>
      <c r="AY229" s="36" t="str">
        <f aca="false">IF(AS229="","",IFERROR(AS229/AVERAGEIFS('Post Tracker'!$AS$5:$AS$1004,'Post Tracker'!$G$5:$G$1004,G229),""))</f>
        <v/>
      </c>
      <c r="AZ229" s="32"/>
      <c r="BA229" s="32"/>
      <c r="BB229" s="32"/>
      <c r="BC229" s="32"/>
      <c r="BD229" s="33" t="str">
        <f aca="false">IF(A229="","",COUNTIFS('Demo Pipeline'!$Q$5:$Q$504,A229))</f>
        <v/>
      </c>
      <c r="BE229" s="33" t="str">
        <f aca="false">IF(A229="","",COUNTIFS('Demo Pipeline'!$Q$5:$Q$504,A229,'Demo Pipeline'!$W$5:$W$504,"Attended"))</f>
        <v/>
      </c>
      <c r="BF229" s="33" t="str">
        <f aca="false">IF(A229="","",COUNTIFS('Demo Pipeline'!$Q$5:$Q$504,A229,'Demo Pipeline'!$X$5:$X$504,"Yes"))</f>
        <v/>
      </c>
      <c r="BG229" s="33" t="str">
        <f aca="false">IF(A229="","",COUNTIFS('Demo Pipeline'!$Q$5:$Q$504,A229,'Demo Pipeline'!$Y$5:$Y$504,"Closed Won"))</f>
        <v/>
      </c>
      <c r="BH229" s="37" t="str">
        <f aca="false">IF(A229="","",SUMIFS('Demo Pipeline'!$Z$5:$Z$504,'Demo Pipeline'!$Q$5:$Q$504,A229))</f>
        <v/>
      </c>
      <c r="BI229" s="34" t="str">
        <f aca="false">IF(OR(AZ229="",N(AJ229)=0),"",AZ229/AJ229)</f>
        <v/>
      </c>
      <c r="BJ229" s="34" t="str">
        <f aca="false">IF(OR(BB229="",N(AZ229)=0),"",BB229/AZ229)</f>
        <v/>
      </c>
      <c r="BK229" s="34" t="str">
        <f aca="false">IF(OR(A229="",N(BB229)=0),"",BD229/BB229)</f>
        <v/>
      </c>
      <c r="BL229" s="34" t="str">
        <f aca="false">IF(OR(A229="",N(AZ229)=0),"",BD229/AZ229)</f>
        <v/>
      </c>
      <c r="BM229" s="37" t="str">
        <f aca="false">IF(OR(N(Q229)=0,N(BD229)=0),"",Q229/BD229)</f>
        <v/>
      </c>
      <c r="BN229" s="29"/>
      <c r="BO229" s="29"/>
      <c r="BP229" s="33" t="str">
        <f aca="false">IF(OR(AR229="",N(AO229)=0),"",AR229)</f>
        <v/>
      </c>
      <c r="BQ229" s="33" t="str">
        <f aca="false">IF(OR(AR229="",N(S229)=0),"",S229)</f>
        <v/>
      </c>
      <c r="BR229" s="38" t="str">
        <f aca="false">IF(AND(ISNUMBER(B229),B229&gt;=Dashboard!$C$4,B229&lt;=Dashboard!$F$4,ISNUMBER(AU229)),AU229+ROW()/10^9,"")</f>
        <v/>
      </c>
      <c r="BS229" s="38" t="str">
        <f aca="false">IF(AND(ISNUMBER(B229),B229&gt;=Dashboard!$C$4,B229&lt;=Dashboard!$F$4,A229&lt;&gt;""),N(BD229)+N(AU229)/100+ROW()/10^9,"")</f>
        <v/>
      </c>
    </row>
    <row r="230" customFormat="false" ht="15" hidden="false" customHeight="false" outlineLevel="0" collapsed="false">
      <c r="A230" s="24" t="str">
        <f aca="false">IF(OR(B230="",G230="",H230=""),"",IFERROR(INDEX(Settings!$E$5:$E$49,MATCH(G230,Settings!$D$5:$D$49,0))&amp;INDEX(Settings!$H$5:$H$47,MATCH(H230,Settings!$G$5:$G$47,0))&amp;"-"&amp;TEXT(B230,"yymmdd")&amp;"-"&amp;IF(C230="","0000",TEXT(C230,"hhmm")),"CHECK LISTS"))</f>
        <v/>
      </c>
      <c r="B230" s="39"/>
      <c r="C230" s="40"/>
      <c r="D230" s="24" t="str">
        <f aca="false">IF(B230="","",TEXT(B230,"ddd"))</f>
        <v/>
      </c>
      <c r="E230" s="27" t="str">
        <f aca="false">IF(B230="","",B230-WEEKDAY(B230,3))</f>
        <v/>
      </c>
      <c r="F230" s="24" t="str">
        <f aca="false">IF(B230="","",TEXT(B230,"yyyy-mm"))</f>
        <v/>
      </c>
      <c r="G230" s="29"/>
      <c r="H230" s="29"/>
      <c r="I230" s="29"/>
      <c r="J230" s="29"/>
      <c r="K230" s="29"/>
      <c r="L230" s="29"/>
      <c r="M230" s="29"/>
      <c r="N230" s="29"/>
      <c r="O230" s="29"/>
      <c r="P230" s="29"/>
      <c r="Q230" s="30"/>
      <c r="R230" s="29"/>
      <c r="S230" s="32"/>
      <c r="T230" s="29"/>
      <c r="U230" s="29"/>
      <c r="V230" s="24" t="str">
        <f aca="false">IF(A230="","",IFERROR(INDEX(Settings!$F$5:$F$49,MATCH(G230,Settings!$D$5:$D$49,0)),""))</f>
        <v/>
      </c>
      <c r="W230" s="24" t="str">
        <f aca="false">IF(A230="","",IF(OR(P230="",P230="Organic"),"social","paid_social"))</f>
        <v/>
      </c>
      <c r="X230" s="24" t="str">
        <f aca="false">IF(A230="","",IF(K230&lt;&gt;"",IFERROR(INDEX('Case Studies'!$C$5:$C$54,MATCH(K230,'Case Studies'!$B$5:$B$54,0))&amp;"","case-study"),IF(J230&lt;&gt;"",IFERROR(INDEX(Settings!$J$5:$J$55,MATCH(J230,Settings!$I$5:$I$55,0)),"general"),"general")))</f>
        <v/>
      </c>
      <c r="Y230" s="24" t="str">
        <f aca="false">IF(A230="","",LOWER(A230))</f>
        <v/>
      </c>
      <c r="Z230" s="24" t="str">
        <f aca="false">IF(A230="","",IF(T230="",Settings!$B$5,T230)&amp;IF(ISNUMBER(FIND("?",IF(T230="",Settings!$B$5,T230))),"&amp;","?")&amp;"utm_source="&amp;V230&amp;"&amp;utm_medium="&amp;W230&amp;"&amp;utm_campaign="&amp;X230&amp;"&amp;utm_content="&amp;Y230)</f>
        <v/>
      </c>
      <c r="AA230" s="29"/>
      <c r="AB230" s="39"/>
      <c r="AC230" s="32"/>
      <c r="AD230" s="32"/>
      <c r="AE230" s="32"/>
      <c r="AF230" s="32"/>
      <c r="AG230" s="32"/>
      <c r="AH230" s="32"/>
      <c r="AI230" s="32"/>
      <c r="AJ230" s="32"/>
      <c r="AK230" s="32"/>
      <c r="AL230" s="32"/>
      <c r="AM230" s="32"/>
      <c r="AN230" s="32"/>
      <c r="AO230" s="33" t="str">
        <f aca="false">IF(A230="","",IF(AD230&lt;&gt;"",AD230,IF(AC230&lt;&gt;"",AC230,"")))</f>
        <v/>
      </c>
      <c r="AP230" s="24" t="str">
        <f aca="false">IF(AO230="","",IF(AD230&lt;&gt;"","Reported reach","Impressions (proxy)"))</f>
        <v/>
      </c>
      <c r="AQ230" s="34" t="str">
        <f aca="false">IF(OR(AO230="",N(S230)=0),"",AO230/S230)</f>
        <v/>
      </c>
      <c r="AR230" s="33" t="str">
        <f aca="false">IF(A230="","",IF(COUNT(AF230:AJ230)=0,"",SUM(AF230:AJ230)))</f>
        <v/>
      </c>
      <c r="AS230" s="34" t="str">
        <f aca="false">IF(OR(AR230="",N(AO230)=0),"",AR230/AO230)</f>
        <v/>
      </c>
      <c r="AT230" s="34" t="str">
        <f aca="false">IF(OR(AR230="",N(AC230)=0),"",AR230/AC230)</f>
        <v/>
      </c>
      <c r="AU230" s="34" t="str">
        <f aca="false">IF(OR(AR230="",N(S230)=0),"",AR230/S230)</f>
        <v/>
      </c>
      <c r="AV230" s="34" t="str">
        <f aca="false">IF(OR(AJ230="",N(AC230)=0),"",AJ230/AC230)</f>
        <v/>
      </c>
      <c r="AW230" s="34" t="str">
        <f aca="false">IF(OR(AH230="",N(AO230)=0),"",AH230/AO230)</f>
        <v/>
      </c>
      <c r="AX230" s="35" t="str">
        <f aca="false">IF(OR(AR230="",N(AO230)=0),"",(N(AF230)*Settings!$B$6+N(AG230)*Settings!$B$7+N(AH230)*Settings!$B$8+N(AI230)*Settings!$B$9+N(AJ230)*Settings!$B$10)/AO230*1000)</f>
        <v/>
      </c>
      <c r="AY230" s="36" t="str">
        <f aca="false">IF(AS230="","",IFERROR(AS230/AVERAGEIFS('Post Tracker'!$AS$5:$AS$1004,'Post Tracker'!$G$5:$G$1004,G230),""))</f>
        <v/>
      </c>
      <c r="AZ230" s="32"/>
      <c r="BA230" s="32"/>
      <c r="BB230" s="32"/>
      <c r="BC230" s="32"/>
      <c r="BD230" s="33" t="str">
        <f aca="false">IF(A230="","",COUNTIFS('Demo Pipeline'!$Q$5:$Q$504,A230))</f>
        <v/>
      </c>
      <c r="BE230" s="33" t="str">
        <f aca="false">IF(A230="","",COUNTIFS('Demo Pipeline'!$Q$5:$Q$504,A230,'Demo Pipeline'!$W$5:$W$504,"Attended"))</f>
        <v/>
      </c>
      <c r="BF230" s="33" t="str">
        <f aca="false">IF(A230="","",COUNTIFS('Demo Pipeline'!$Q$5:$Q$504,A230,'Demo Pipeline'!$X$5:$X$504,"Yes"))</f>
        <v/>
      </c>
      <c r="BG230" s="33" t="str">
        <f aca="false">IF(A230="","",COUNTIFS('Demo Pipeline'!$Q$5:$Q$504,A230,'Demo Pipeline'!$Y$5:$Y$504,"Closed Won"))</f>
        <v/>
      </c>
      <c r="BH230" s="37" t="str">
        <f aca="false">IF(A230="","",SUMIFS('Demo Pipeline'!$Z$5:$Z$504,'Demo Pipeline'!$Q$5:$Q$504,A230))</f>
        <v/>
      </c>
      <c r="BI230" s="34" t="str">
        <f aca="false">IF(OR(AZ230="",N(AJ230)=0),"",AZ230/AJ230)</f>
        <v/>
      </c>
      <c r="BJ230" s="34" t="str">
        <f aca="false">IF(OR(BB230="",N(AZ230)=0),"",BB230/AZ230)</f>
        <v/>
      </c>
      <c r="BK230" s="34" t="str">
        <f aca="false">IF(OR(A230="",N(BB230)=0),"",BD230/BB230)</f>
        <v/>
      </c>
      <c r="BL230" s="34" t="str">
        <f aca="false">IF(OR(A230="",N(AZ230)=0),"",BD230/AZ230)</f>
        <v/>
      </c>
      <c r="BM230" s="37" t="str">
        <f aca="false">IF(OR(N(Q230)=0,N(BD230)=0),"",Q230/BD230)</f>
        <v/>
      </c>
      <c r="BN230" s="29"/>
      <c r="BO230" s="29"/>
      <c r="BP230" s="33" t="str">
        <f aca="false">IF(OR(AR230="",N(AO230)=0),"",AR230)</f>
        <v/>
      </c>
      <c r="BQ230" s="33" t="str">
        <f aca="false">IF(OR(AR230="",N(S230)=0),"",S230)</f>
        <v/>
      </c>
      <c r="BR230" s="38" t="str">
        <f aca="false">IF(AND(ISNUMBER(B230),B230&gt;=Dashboard!$C$4,B230&lt;=Dashboard!$F$4,ISNUMBER(AU230)),AU230+ROW()/10^9,"")</f>
        <v/>
      </c>
      <c r="BS230" s="38" t="str">
        <f aca="false">IF(AND(ISNUMBER(B230),B230&gt;=Dashboard!$C$4,B230&lt;=Dashboard!$F$4,A230&lt;&gt;""),N(BD230)+N(AU230)/100+ROW()/10^9,"")</f>
        <v/>
      </c>
    </row>
    <row r="231" customFormat="false" ht="15" hidden="false" customHeight="false" outlineLevel="0" collapsed="false">
      <c r="A231" s="24" t="str">
        <f aca="false">IF(OR(B231="",G231="",H231=""),"",IFERROR(INDEX(Settings!$E$5:$E$49,MATCH(G231,Settings!$D$5:$D$49,0))&amp;INDEX(Settings!$H$5:$H$47,MATCH(H231,Settings!$G$5:$G$47,0))&amp;"-"&amp;TEXT(B231,"yymmdd")&amp;"-"&amp;IF(C231="","0000",TEXT(C231,"hhmm")),"CHECK LISTS"))</f>
        <v/>
      </c>
      <c r="B231" s="39"/>
      <c r="C231" s="40"/>
      <c r="D231" s="24" t="str">
        <f aca="false">IF(B231="","",TEXT(B231,"ddd"))</f>
        <v/>
      </c>
      <c r="E231" s="27" t="str">
        <f aca="false">IF(B231="","",B231-WEEKDAY(B231,3))</f>
        <v/>
      </c>
      <c r="F231" s="24" t="str">
        <f aca="false">IF(B231="","",TEXT(B231,"yyyy-mm"))</f>
        <v/>
      </c>
      <c r="G231" s="29"/>
      <c r="H231" s="29"/>
      <c r="I231" s="29"/>
      <c r="J231" s="29"/>
      <c r="K231" s="29"/>
      <c r="L231" s="29"/>
      <c r="M231" s="29"/>
      <c r="N231" s="29"/>
      <c r="O231" s="29"/>
      <c r="P231" s="29"/>
      <c r="Q231" s="30"/>
      <c r="R231" s="29"/>
      <c r="S231" s="32"/>
      <c r="T231" s="29"/>
      <c r="U231" s="29"/>
      <c r="V231" s="24" t="str">
        <f aca="false">IF(A231="","",IFERROR(INDEX(Settings!$F$5:$F$49,MATCH(G231,Settings!$D$5:$D$49,0)),""))</f>
        <v/>
      </c>
      <c r="W231" s="24" t="str">
        <f aca="false">IF(A231="","",IF(OR(P231="",P231="Organic"),"social","paid_social"))</f>
        <v/>
      </c>
      <c r="X231" s="24" t="str">
        <f aca="false">IF(A231="","",IF(K231&lt;&gt;"",IFERROR(INDEX('Case Studies'!$C$5:$C$54,MATCH(K231,'Case Studies'!$B$5:$B$54,0))&amp;"","case-study"),IF(J231&lt;&gt;"",IFERROR(INDEX(Settings!$J$5:$J$55,MATCH(J231,Settings!$I$5:$I$55,0)),"general"),"general")))</f>
        <v/>
      </c>
      <c r="Y231" s="24" t="str">
        <f aca="false">IF(A231="","",LOWER(A231))</f>
        <v/>
      </c>
      <c r="Z231" s="24" t="str">
        <f aca="false">IF(A231="","",IF(T231="",Settings!$B$5,T231)&amp;IF(ISNUMBER(FIND("?",IF(T231="",Settings!$B$5,T231))),"&amp;","?")&amp;"utm_source="&amp;V231&amp;"&amp;utm_medium="&amp;W231&amp;"&amp;utm_campaign="&amp;X231&amp;"&amp;utm_content="&amp;Y231)</f>
        <v/>
      </c>
      <c r="AA231" s="29"/>
      <c r="AB231" s="39"/>
      <c r="AC231" s="32"/>
      <c r="AD231" s="32"/>
      <c r="AE231" s="32"/>
      <c r="AF231" s="32"/>
      <c r="AG231" s="32"/>
      <c r="AH231" s="32"/>
      <c r="AI231" s="32"/>
      <c r="AJ231" s="32"/>
      <c r="AK231" s="32"/>
      <c r="AL231" s="32"/>
      <c r="AM231" s="32"/>
      <c r="AN231" s="32"/>
      <c r="AO231" s="33" t="str">
        <f aca="false">IF(A231="","",IF(AD231&lt;&gt;"",AD231,IF(AC231&lt;&gt;"",AC231,"")))</f>
        <v/>
      </c>
      <c r="AP231" s="24" t="str">
        <f aca="false">IF(AO231="","",IF(AD231&lt;&gt;"","Reported reach","Impressions (proxy)"))</f>
        <v/>
      </c>
      <c r="AQ231" s="34" t="str">
        <f aca="false">IF(OR(AO231="",N(S231)=0),"",AO231/S231)</f>
        <v/>
      </c>
      <c r="AR231" s="33" t="str">
        <f aca="false">IF(A231="","",IF(COUNT(AF231:AJ231)=0,"",SUM(AF231:AJ231)))</f>
        <v/>
      </c>
      <c r="AS231" s="34" t="str">
        <f aca="false">IF(OR(AR231="",N(AO231)=0),"",AR231/AO231)</f>
        <v/>
      </c>
      <c r="AT231" s="34" t="str">
        <f aca="false">IF(OR(AR231="",N(AC231)=0),"",AR231/AC231)</f>
        <v/>
      </c>
      <c r="AU231" s="34" t="str">
        <f aca="false">IF(OR(AR231="",N(S231)=0),"",AR231/S231)</f>
        <v/>
      </c>
      <c r="AV231" s="34" t="str">
        <f aca="false">IF(OR(AJ231="",N(AC231)=0),"",AJ231/AC231)</f>
        <v/>
      </c>
      <c r="AW231" s="34" t="str">
        <f aca="false">IF(OR(AH231="",N(AO231)=0),"",AH231/AO231)</f>
        <v/>
      </c>
      <c r="AX231" s="35" t="str">
        <f aca="false">IF(OR(AR231="",N(AO231)=0),"",(N(AF231)*Settings!$B$6+N(AG231)*Settings!$B$7+N(AH231)*Settings!$B$8+N(AI231)*Settings!$B$9+N(AJ231)*Settings!$B$10)/AO231*1000)</f>
        <v/>
      </c>
      <c r="AY231" s="36" t="str">
        <f aca="false">IF(AS231="","",IFERROR(AS231/AVERAGEIFS('Post Tracker'!$AS$5:$AS$1004,'Post Tracker'!$G$5:$G$1004,G231),""))</f>
        <v/>
      </c>
      <c r="AZ231" s="32"/>
      <c r="BA231" s="32"/>
      <c r="BB231" s="32"/>
      <c r="BC231" s="32"/>
      <c r="BD231" s="33" t="str">
        <f aca="false">IF(A231="","",COUNTIFS('Demo Pipeline'!$Q$5:$Q$504,A231))</f>
        <v/>
      </c>
      <c r="BE231" s="33" t="str">
        <f aca="false">IF(A231="","",COUNTIFS('Demo Pipeline'!$Q$5:$Q$504,A231,'Demo Pipeline'!$W$5:$W$504,"Attended"))</f>
        <v/>
      </c>
      <c r="BF231" s="33" t="str">
        <f aca="false">IF(A231="","",COUNTIFS('Demo Pipeline'!$Q$5:$Q$504,A231,'Demo Pipeline'!$X$5:$X$504,"Yes"))</f>
        <v/>
      </c>
      <c r="BG231" s="33" t="str">
        <f aca="false">IF(A231="","",COUNTIFS('Demo Pipeline'!$Q$5:$Q$504,A231,'Demo Pipeline'!$Y$5:$Y$504,"Closed Won"))</f>
        <v/>
      </c>
      <c r="BH231" s="37" t="str">
        <f aca="false">IF(A231="","",SUMIFS('Demo Pipeline'!$Z$5:$Z$504,'Demo Pipeline'!$Q$5:$Q$504,A231))</f>
        <v/>
      </c>
      <c r="BI231" s="34" t="str">
        <f aca="false">IF(OR(AZ231="",N(AJ231)=0),"",AZ231/AJ231)</f>
        <v/>
      </c>
      <c r="BJ231" s="34" t="str">
        <f aca="false">IF(OR(BB231="",N(AZ231)=0),"",BB231/AZ231)</f>
        <v/>
      </c>
      <c r="BK231" s="34" t="str">
        <f aca="false">IF(OR(A231="",N(BB231)=0),"",BD231/BB231)</f>
        <v/>
      </c>
      <c r="BL231" s="34" t="str">
        <f aca="false">IF(OR(A231="",N(AZ231)=0),"",BD231/AZ231)</f>
        <v/>
      </c>
      <c r="BM231" s="37" t="str">
        <f aca="false">IF(OR(N(Q231)=0,N(BD231)=0),"",Q231/BD231)</f>
        <v/>
      </c>
      <c r="BN231" s="29"/>
      <c r="BO231" s="29"/>
      <c r="BP231" s="33" t="str">
        <f aca="false">IF(OR(AR231="",N(AO231)=0),"",AR231)</f>
        <v/>
      </c>
      <c r="BQ231" s="33" t="str">
        <f aca="false">IF(OR(AR231="",N(S231)=0),"",S231)</f>
        <v/>
      </c>
      <c r="BR231" s="38" t="str">
        <f aca="false">IF(AND(ISNUMBER(B231),B231&gt;=Dashboard!$C$4,B231&lt;=Dashboard!$F$4,ISNUMBER(AU231)),AU231+ROW()/10^9,"")</f>
        <v/>
      </c>
      <c r="BS231" s="38" t="str">
        <f aca="false">IF(AND(ISNUMBER(B231),B231&gt;=Dashboard!$C$4,B231&lt;=Dashboard!$F$4,A231&lt;&gt;""),N(BD231)+N(AU231)/100+ROW()/10^9,"")</f>
        <v/>
      </c>
    </row>
    <row r="232" customFormat="false" ht="15" hidden="false" customHeight="false" outlineLevel="0" collapsed="false">
      <c r="A232" s="24" t="str">
        <f aca="false">IF(OR(B232="",G232="",H232=""),"",IFERROR(INDEX(Settings!$E$5:$E$49,MATCH(G232,Settings!$D$5:$D$49,0))&amp;INDEX(Settings!$H$5:$H$47,MATCH(H232,Settings!$G$5:$G$47,0))&amp;"-"&amp;TEXT(B232,"yymmdd")&amp;"-"&amp;IF(C232="","0000",TEXT(C232,"hhmm")),"CHECK LISTS"))</f>
        <v/>
      </c>
      <c r="B232" s="39"/>
      <c r="C232" s="40"/>
      <c r="D232" s="24" t="str">
        <f aca="false">IF(B232="","",TEXT(B232,"ddd"))</f>
        <v/>
      </c>
      <c r="E232" s="27" t="str">
        <f aca="false">IF(B232="","",B232-WEEKDAY(B232,3))</f>
        <v/>
      </c>
      <c r="F232" s="24" t="str">
        <f aca="false">IF(B232="","",TEXT(B232,"yyyy-mm"))</f>
        <v/>
      </c>
      <c r="G232" s="29"/>
      <c r="H232" s="29"/>
      <c r="I232" s="29"/>
      <c r="J232" s="29"/>
      <c r="K232" s="29"/>
      <c r="L232" s="29"/>
      <c r="M232" s="29"/>
      <c r="N232" s="29"/>
      <c r="O232" s="29"/>
      <c r="P232" s="29"/>
      <c r="Q232" s="30"/>
      <c r="R232" s="29"/>
      <c r="S232" s="32"/>
      <c r="T232" s="29"/>
      <c r="U232" s="29"/>
      <c r="V232" s="24" t="str">
        <f aca="false">IF(A232="","",IFERROR(INDEX(Settings!$F$5:$F$49,MATCH(G232,Settings!$D$5:$D$49,0)),""))</f>
        <v/>
      </c>
      <c r="W232" s="24" t="str">
        <f aca="false">IF(A232="","",IF(OR(P232="",P232="Organic"),"social","paid_social"))</f>
        <v/>
      </c>
      <c r="X232" s="24" t="str">
        <f aca="false">IF(A232="","",IF(K232&lt;&gt;"",IFERROR(INDEX('Case Studies'!$C$5:$C$54,MATCH(K232,'Case Studies'!$B$5:$B$54,0))&amp;"","case-study"),IF(J232&lt;&gt;"",IFERROR(INDEX(Settings!$J$5:$J$55,MATCH(J232,Settings!$I$5:$I$55,0)),"general"),"general")))</f>
        <v/>
      </c>
      <c r="Y232" s="24" t="str">
        <f aca="false">IF(A232="","",LOWER(A232))</f>
        <v/>
      </c>
      <c r="Z232" s="24" t="str">
        <f aca="false">IF(A232="","",IF(T232="",Settings!$B$5,T232)&amp;IF(ISNUMBER(FIND("?",IF(T232="",Settings!$B$5,T232))),"&amp;","?")&amp;"utm_source="&amp;V232&amp;"&amp;utm_medium="&amp;W232&amp;"&amp;utm_campaign="&amp;X232&amp;"&amp;utm_content="&amp;Y232)</f>
        <v/>
      </c>
      <c r="AA232" s="29"/>
      <c r="AB232" s="39"/>
      <c r="AC232" s="32"/>
      <c r="AD232" s="32"/>
      <c r="AE232" s="32"/>
      <c r="AF232" s="32"/>
      <c r="AG232" s="32"/>
      <c r="AH232" s="32"/>
      <c r="AI232" s="32"/>
      <c r="AJ232" s="32"/>
      <c r="AK232" s="32"/>
      <c r="AL232" s="32"/>
      <c r="AM232" s="32"/>
      <c r="AN232" s="32"/>
      <c r="AO232" s="33" t="str">
        <f aca="false">IF(A232="","",IF(AD232&lt;&gt;"",AD232,IF(AC232&lt;&gt;"",AC232,"")))</f>
        <v/>
      </c>
      <c r="AP232" s="24" t="str">
        <f aca="false">IF(AO232="","",IF(AD232&lt;&gt;"","Reported reach","Impressions (proxy)"))</f>
        <v/>
      </c>
      <c r="AQ232" s="34" t="str">
        <f aca="false">IF(OR(AO232="",N(S232)=0),"",AO232/S232)</f>
        <v/>
      </c>
      <c r="AR232" s="33" t="str">
        <f aca="false">IF(A232="","",IF(COUNT(AF232:AJ232)=0,"",SUM(AF232:AJ232)))</f>
        <v/>
      </c>
      <c r="AS232" s="34" t="str">
        <f aca="false">IF(OR(AR232="",N(AO232)=0),"",AR232/AO232)</f>
        <v/>
      </c>
      <c r="AT232" s="34" t="str">
        <f aca="false">IF(OR(AR232="",N(AC232)=0),"",AR232/AC232)</f>
        <v/>
      </c>
      <c r="AU232" s="34" t="str">
        <f aca="false">IF(OR(AR232="",N(S232)=0),"",AR232/S232)</f>
        <v/>
      </c>
      <c r="AV232" s="34" t="str">
        <f aca="false">IF(OR(AJ232="",N(AC232)=0),"",AJ232/AC232)</f>
        <v/>
      </c>
      <c r="AW232" s="34" t="str">
        <f aca="false">IF(OR(AH232="",N(AO232)=0),"",AH232/AO232)</f>
        <v/>
      </c>
      <c r="AX232" s="35" t="str">
        <f aca="false">IF(OR(AR232="",N(AO232)=0),"",(N(AF232)*Settings!$B$6+N(AG232)*Settings!$B$7+N(AH232)*Settings!$B$8+N(AI232)*Settings!$B$9+N(AJ232)*Settings!$B$10)/AO232*1000)</f>
        <v/>
      </c>
      <c r="AY232" s="36" t="str">
        <f aca="false">IF(AS232="","",IFERROR(AS232/AVERAGEIFS('Post Tracker'!$AS$5:$AS$1004,'Post Tracker'!$G$5:$G$1004,G232),""))</f>
        <v/>
      </c>
      <c r="AZ232" s="32"/>
      <c r="BA232" s="32"/>
      <c r="BB232" s="32"/>
      <c r="BC232" s="32"/>
      <c r="BD232" s="33" t="str">
        <f aca="false">IF(A232="","",COUNTIFS('Demo Pipeline'!$Q$5:$Q$504,A232))</f>
        <v/>
      </c>
      <c r="BE232" s="33" t="str">
        <f aca="false">IF(A232="","",COUNTIFS('Demo Pipeline'!$Q$5:$Q$504,A232,'Demo Pipeline'!$W$5:$W$504,"Attended"))</f>
        <v/>
      </c>
      <c r="BF232" s="33" t="str">
        <f aca="false">IF(A232="","",COUNTIFS('Demo Pipeline'!$Q$5:$Q$504,A232,'Demo Pipeline'!$X$5:$X$504,"Yes"))</f>
        <v/>
      </c>
      <c r="BG232" s="33" t="str">
        <f aca="false">IF(A232="","",COUNTIFS('Demo Pipeline'!$Q$5:$Q$504,A232,'Demo Pipeline'!$Y$5:$Y$504,"Closed Won"))</f>
        <v/>
      </c>
      <c r="BH232" s="37" t="str">
        <f aca="false">IF(A232="","",SUMIFS('Demo Pipeline'!$Z$5:$Z$504,'Demo Pipeline'!$Q$5:$Q$504,A232))</f>
        <v/>
      </c>
      <c r="BI232" s="34" t="str">
        <f aca="false">IF(OR(AZ232="",N(AJ232)=0),"",AZ232/AJ232)</f>
        <v/>
      </c>
      <c r="BJ232" s="34" t="str">
        <f aca="false">IF(OR(BB232="",N(AZ232)=0),"",BB232/AZ232)</f>
        <v/>
      </c>
      <c r="BK232" s="34" t="str">
        <f aca="false">IF(OR(A232="",N(BB232)=0),"",BD232/BB232)</f>
        <v/>
      </c>
      <c r="BL232" s="34" t="str">
        <f aca="false">IF(OR(A232="",N(AZ232)=0),"",BD232/AZ232)</f>
        <v/>
      </c>
      <c r="BM232" s="37" t="str">
        <f aca="false">IF(OR(N(Q232)=0,N(BD232)=0),"",Q232/BD232)</f>
        <v/>
      </c>
      <c r="BN232" s="29"/>
      <c r="BO232" s="29"/>
      <c r="BP232" s="33" t="str">
        <f aca="false">IF(OR(AR232="",N(AO232)=0),"",AR232)</f>
        <v/>
      </c>
      <c r="BQ232" s="33" t="str">
        <f aca="false">IF(OR(AR232="",N(S232)=0),"",S232)</f>
        <v/>
      </c>
      <c r="BR232" s="38" t="str">
        <f aca="false">IF(AND(ISNUMBER(B232),B232&gt;=Dashboard!$C$4,B232&lt;=Dashboard!$F$4,ISNUMBER(AU232)),AU232+ROW()/10^9,"")</f>
        <v/>
      </c>
      <c r="BS232" s="38" t="str">
        <f aca="false">IF(AND(ISNUMBER(B232),B232&gt;=Dashboard!$C$4,B232&lt;=Dashboard!$F$4,A232&lt;&gt;""),N(BD232)+N(AU232)/100+ROW()/10^9,"")</f>
        <v/>
      </c>
    </row>
    <row r="233" customFormat="false" ht="15" hidden="false" customHeight="false" outlineLevel="0" collapsed="false">
      <c r="A233" s="24" t="str">
        <f aca="false">IF(OR(B233="",G233="",H233=""),"",IFERROR(INDEX(Settings!$E$5:$E$49,MATCH(G233,Settings!$D$5:$D$49,0))&amp;INDEX(Settings!$H$5:$H$47,MATCH(H233,Settings!$G$5:$G$47,0))&amp;"-"&amp;TEXT(B233,"yymmdd")&amp;"-"&amp;IF(C233="","0000",TEXT(C233,"hhmm")),"CHECK LISTS"))</f>
        <v/>
      </c>
      <c r="B233" s="39"/>
      <c r="C233" s="40"/>
      <c r="D233" s="24" t="str">
        <f aca="false">IF(B233="","",TEXT(B233,"ddd"))</f>
        <v/>
      </c>
      <c r="E233" s="27" t="str">
        <f aca="false">IF(B233="","",B233-WEEKDAY(B233,3))</f>
        <v/>
      </c>
      <c r="F233" s="24" t="str">
        <f aca="false">IF(B233="","",TEXT(B233,"yyyy-mm"))</f>
        <v/>
      </c>
      <c r="G233" s="29"/>
      <c r="H233" s="29"/>
      <c r="I233" s="29"/>
      <c r="J233" s="29"/>
      <c r="K233" s="29"/>
      <c r="L233" s="29"/>
      <c r="M233" s="29"/>
      <c r="N233" s="29"/>
      <c r="O233" s="29"/>
      <c r="P233" s="29"/>
      <c r="Q233" s="30"/>
      <c r="R233" s="29"/>
      <c r="S233" s="32"/>
      <c r="T233" s="29"/>
      <c r="U233" s="29"/>
      <c r="V233" s="24" t="str">
        <f aca="false">IF(A233="","",IFERROR(INDEX(Settings!$F$5:$F$49,MATCH(G233,Settings!$D$5:$D$49,0)),""))</f>
        <v/>
      </c>
      <c r="W233" s="24" t="str">
        <f aca="false">IF(A233="","",IF(OR(P233="",P233="Organic"),"social","paid_social"))</f>
        <v/>
      </c>
      <c r="X233" s="24" t="str">
        <f aca="false">IF(A233="","",IF(K233&lt;&gt;"",IFERROR(INDEX('Case Studies'!$C$5:$C$54,MATCH(K233,'Case Studies'!$B$5:$B$54,0))&amp;"","case-study"),IF(J233&lt;&gt;"",IFERROR(INDEX(Settings!$J$5:$J$55,MATCH(J233,Settings!$I$5:$I$55,0)),"general"),"general")))</f>
        <v/>
      </c>
      <c r="Y233" s="24" t="str">
        <f aca="false">IF(A233="","",LOWER(A233))</f>
        <v/>
      </c>
      <c r="Z233" s="24" t="str">
        <f aca="false">IF(A233="","",IF(T233="",Settings!$B$5,T233)&amp;IF(ISNUMBER(FIND("?",IF(T233="",Settings!$B$5,T233))),"&amp;","?")&amp;"utm_source="&amp;V233&amp;"&amp;utm_medium="&amp;W233&amp;"&amp;utm_campaign="&amp;X233&amp;"&amp;utm_content="&amp;Y233)</f>
        <v/>
      </c>
      <c r="AA233" s="29"/>
      <c r="AB233" s="39"/>
      <c r="AC233" s="32"/>
      <c r="AD233" s="32"/>
      <c r="AE233" s="32"/>
      <c r="AF233" s="32"/>
      <c r="AG233" s="32"/>
      <c r="AH233" s="32"/>
      <c r="AI233" s="32"/>
      <c r="AJ233" s="32"/>
      <c r="AK233" s="32"/>
      <c r="AL233" s="32"/>
      <c r="AM233" s="32"/>
      <c r="AN233" s="32"/>
      <c r="AO233" s="33" t="str">
        <f aca="false">IF(A233="","",IF(AD233&lt;&gt;"",AD233,IF(AC233&lt;&gt;"",AC233,"")))</f>
        <v/>
      </c>
      <c r="AP233" s="24" t="str">
        <f aca="false">IF(AO233="","",IF(AD233&lt;&gt;"","Reported reach","Impressions (proxy)"))</f>
        <v/>
      </c>
      <c r="AQ233" s="34" t="str">
        <f aca="false">IF(OR(AO233="",N(S233)=0),"",AO233/S233)</f>
        <v/>
      </c>
      <c r="AR233" s="33" t="str">
        <f aca="false">IF(A233="","",IF(COUNT(AF233:AJ233)=0,"",SUM(AF233:AJ233)))</f>
        <v/>
      </c>
      <c r="AS233" s="34" t="str">
        <f aca="false">IF(OR(AR233="",N(AO233)=0),"",AR233/AO233)</f>
        <v/>
      </c>
      <c r="AT233" s="34" t="str">
        <f aca="false">IF(OR(AR233="",N(AC233)=0),"",AR233/AC233)</f>
        <v/>
      </c>
      <c r="AU233" s="34" t="str">
        <f aca="false">IF(OR(AR233="",N(S233)=0),"",AR233/S233)</f>
        <v/>
      </c>
      <c r="AV233" s="34" t="str">
        <f aca="false">IF(OR(AJ233="",N(AC233)=0),"",AJ233/AC233)</f>
        <v/>
      </c>
      <c r="AW233" s="34" t="str">
        <f aca="false">IF(OR(AH233="",N(AO233)=0),"",AH233/AO233)</f>
        <v/>
      </c>
      <c r="AX233" s="35" t="str">
        <f aca="false">IF(OR(AR233="",N(AO233)=0),"",(N(AF233)*Settings!$B$6+N(AG233)*Settings!$B$7+N(AH233)*Settings!$B$8+N(AI233)*Settings!$B$9+N(AJ233)*Settings!$B$10)/AO233*1000)</f>
        <v/>
      </c>
      <c r="AY233" s="36" t="str">
        <f aca="false">IF(AS233="","",IFERROR(AS233/AVERAGEIFS('Post Tracker'!$AS$5:$AS$1004,'Post Tracker'!$G$5:$G$1004,G233),""))</f>
        <v/>
      </c>
      <c r="AZ233" s="32"/>
      <c r="BA233" s="32"/>
      <c r="BB233" s="32"/>
      <c r="BC233" s="32"/>
      <c r="BD233" s="33" t="str">
        <f aca="false">IF(A233="","",COUNTIFS('Demo Pipeline'!$Q$5:$Q$504,A233))</f>
        <v/>
      </c>
      <c r="BE233" s="33" t="str">
        <f aca="false">IF(A233="","",COUNTIFS('Demo Pipeline'!$Q$5:$Q$504,A233,'Demo Pipeline'!$W$5:$W$504,"Attended"))</f>
        <v/>
      </c>
      <c r="BF233" s="33" t="str">
        <f aca="false">IF(A233="","",COUNTIFS('Demo Pipeline'!$Q$5:$Q$504,A233,'Demo Pipeline'!$X$5:$X$504,"Yes"))</f>
        <v/>
      </c>
      <c r="BG233" s="33" t="str">
        <f aca="false">IF(A233="","",COUNTIFS('Demo Pipeline'!$Q$5:$Q$504,A233,'Demo Pipeline'!$Y$5:$Y$504,"Closed Won"))</f>
        <v/>
      </c>
      <c r="BH233" s="37" t="str">
        <f aca="false">IF(A233="","",SUMIFS('Demo Pipeline'!$Z$5:$Z$504,'Demo Pipeline'!$Q$5:$Q$504,A233))</f>
        <v/>
      </c>
      <c r="BI233" s="34" t="str">
        <f aca="false">IF(OR(AZ233="",N(AJ233)=0),"",AZ233/AJ233)</f>
        <v/>
      </c>
      <c r="BJ233" s="34" t="str">
        <f aca="false">IF(OR(BB233="",N(AZ233)=0),"",BB233/AZ233)</f>
        <v/>
      </c>
      <c r="BK233" s="34" t="str">
        <f aca="false">IF(OR(A233="",N(BB233)=0),"",BD233/BB233)</f>
        <v/>
      </c>
      <c r="BL233" s="34" t="str">
        <f aca="false">IF(OR(A233="",N(AZ233)=0),"",BD233/AZ233)</f>
        <v/>
      </c>
      <c r="BM233" s="37" t="str">
        <f aca="false">IF(OR(N(Q233)=0,N(BD233)=0),"",Q233/BD233)</f>
        <v/>
      </c>
      <c r="BN233" s="29"/>
      <c r="BO233" s="29"/>
      <c r="BP233" s="33" t="str">
        <f aca="false">IF(OR(AR233="",N(AO233)=0),"",AR233)</f>
        <v/>
      </c>
      <c r="BQ233" s="33" t="str">
        <f aca="false">IF(OR(AR233="",N(S233)=0),"",S233)</f>
        <v/>
      </c>
      <c r="BR233" s="38" t="str">
        <f aca="false">IF(AND(ISNUMBER(B233),B233&gt;=Dashboard!$C$4,B233&lt;=Dashboard!$F$4,ISNUMBER(AU233)),AU233+ROW()/10^9,"")</f>
        <v/>
      </c>
      <c r="BS233" s="38" t="str">
        <f aca="false">IF(AND(ISNUMBER(B233),B233&gt;=Dashboard!$C$4,B233&lt;=Dashboard!$F$4,A233&lt;&gt;""),N(BD233)+N(AU233)/100+ROW()/10^9,"")</f>
        <v/>
      </c>
    </row>
    <row r="234" customFormat="false" ht="15" hidden="false" customHeight="false" outlineLevel="0" collapsed="false">
      <c r="A234" s="24" t="str">
        <f aca="false">IF(OR(B234="",G234="",H234=""),"",IFERROR(INDEX(Settings!$E$5:$E$49,MATCH(G234,Settings!$D$5:$D$49,0))&amp;INDEX(Settings!$H$5:$H$47,MATCH(H234,Settings!$G$5:$G$47,0))&amp;"-"&amp;TEXT(B234,"yymmdd")&amp;"-"&amp;IF(C234="","0000",TEXT(C234,"hhmm")),"CHECK LISTS"))</f>
        <v/>
      </c>
      <c r="B234" s="39"/>
      <c r="C234" s="40"/>
      <c r="D234" s="24" t="str">
        <f aca="false">IF(B234="","",TEXT(B234,"ddd"))</f>
        <v/>
      </c>
      <c r="E234" s="27" t="str">
        <f aca="false">IF(B234="","",B234-WEEKDAY(B234,3))</f>
        <v/>
      </c>
      <c r="F234" s="24" t="str">
        <f aca="false">IF(B234="","",TEXT(B234,"yyyy-mm"))</f>
        <v/>
      </c>
      <c r="G234" s="29"/>
      <c r="H234" s="29"/>
      <c r="I234" s="29"/>
      <c r="J234" s="29"/>
      <c r="K234" s="29"/>
      <c r="L234" s="29"/>
      <c r="M234" s="29"/>
      <c r="N234" s="29"/>
      <c r="O234" s="29"/>
      <c r="P234" s="29"/>
      <c r="Q234" s="30"/>
      <c r="R234" s="29"/>
      <c r="S234" s="32"/>
      <c r="T234" s="29"/>
      <c r="U234" s="29"/>
      <c r="V234" s="24" t="str">
        <f aca="false">IF(A234="","",IFERROR(INDEX(Settings!$F$5:$F$49,MATCH(G234,Settings!$D$5:$D$49,0)),""))</f>
        <v/>
      </c>
      <c r="W234" s="24" t="str">
        <f aca="false">IF(A234="","",IF(OR(P234="",P234="Organic"),"social","paid_social"))</f>
        <v/>
      </c>
      <c r="X234" s="24" t="str">
        <f aca="false">IF(A234="","",IF(K234&lt;&gt;"",IFERROR(INDEX('Case Studies'!$C$5:$C$54,MATCH(K234,'Case Studies'!$B$5:$B$54,0))&amp;"","case-study"),IF(J234&lt;&gt;"",IFERROR(INDEX(Settings!$J$5:$J$55,MATCH(J234,Settings!$I$5:$I$55,0)),"general"),"general")))</f>
        <v/>
      </c>
      <c r="Y234" s="24" t="str">
        <f aca="false">IF(A234="","",LOWER(A234))</f>
        <v/>
      </c>
      <c r="Z234" s="24" t="str">
        <f aca="false">IF(A234="","",IF(T234="",Settings!$B$5,T234)&amp;IF(ISNUMBER(FIND("?",IF(T234="",Settings!$B$5,T234))),"&amp;","?")&amp;"utm_source="&amp;V234&amp;"&amp;utm_medium="&amp;W234&amp;"&amp;utm_campaign="&amp;X234&amp;"&amp;utm_content="&amp;Y234)</f>
        <v/>
      </c>
      <c r="AA234" s="29"/>
      <c r="AB234" s="39"/>
      <c r="AC234" s="32"/>
      <c r="AD234" s="32"/>
      <c r="AE234" s="32"/>
      <c r="AF234" s="32"/>
      <c r="AG234" s="32"/>
      <c r="AH234" s="32"/>
      <c r="AI234" s="32"/>
      <c r="AJ234" s="32"/>
      <c r="AK234" s="32"/>
      <c r="AL234" s="32"/>
      <c r="AM234" s="32"/>
      <c r="AN234" s="32"/>
      <c r="AO234" s="33" t="str">
        <f aca="false">IF(A234="","",IF(AD234&lt;&gt;"",AD234,IF(AC234&lt;&gt;"",AC234,"")))</f>
        <v/>
      </c>
      <c r="AP234" s="24" t="str">
        <f aca="false">IF(AO234="","",IF(AD234&lt;&gt;"","Reported reach","Impressions (proxy)"))</f>
        <v/>
      </c>
      <c r="AQ234" s="34" t="str">
        <f aca="false">IF(OR(AO234="",N(S234)=0),"",AO234/S234)</f>
        <v/>
      </c>
      <c r="AR234" s="33" t="str">
        <f aca="false">IF(A234="","",IF(COUNT(AF234:AJ234)=0,"",SUM(AF234:AJ234)))</f>
        <v/>
      </c>
      <c r="AS234" s="34" t="str">
        <f aca="false">IF(OR(AR234="",N(AO234)=0),"",AR234/AO234)</f>
        <v/>
      </c>
      <c r="AT234" s="34" t="str">
        <f aca="false">IF(OR(AR234="",N(AC234)=0),"",AR234/AC234)</f>
        <v/>
      </c>
      <c r="AU234" s="34" t="str">
        <f aca="false">IF(OR(AR234="",N(S234)=0),"",AR234/S234)</f>
        <v/>
      </c>
      <c r="AV234" s="34" t="str">
        <f aca="false">IF(OR(AJ234="",N(AC234)=0),"",AJ234/AC234)</f>
        <v/>
      </c>
      <c r="AW234" s="34" t="str">
        <f aca="false">IF(OR(AH234="",N(AO234)=0),"",AH234/AO234)</f>
        <v/>
      </c>
      <c r="AX234" s="35" t="str">
        <f aca="false">IF(OR(AR234="",N(AO234)=0),"",(N(AF234)*Settings!$B$6+N(AG234)*Settings!$B$7+N(AH234)*Settings!$B$8+N(AI234)*Settings!$B$9+N(AJ234)*Settings!$B$10)/AO234*1000)</f>
        <v/>
      </c>
      <c r="AY234" s="36" t="str">
        <f aca="false">IF(AS234="","",IFERROR(AS234/AVERAGEIFS('Post Tracker'!$AS$5:$AS$1004,'Post Tracker'!$G$5:$G$1004,G234),""))</f>
        <v/>
      </c>
      <c r="AZ234" s="32"/>
      <c r="BA234" s="32"/>
      <c r="BB234" s="32"/>
      <c r="BC234" s="32"/>
      <c r="BD234" s="33" t="str">
        <f aca="false">IF(A234="","",COUNTIFS('Demo Pipeline'!$Q$5:$Q$504,A234))</f>
        <v/>
      </c>
      <c r="BE234" s="33" t="str">
        <f aca="false">IF(A234="","",COUNTIFS('Demo Pipeline'!$Q$5:$Q$504,A234,'Demo Pipeline'!$W$5:$W$504,"Attended"))</f>
        <v/>
      </c>
      <c r="BF234" s="33" t="str">
        <f aca="false">IF(A234="","",COUNTIFS('Demo Pipeline'!$Q$5:$Q$504,A234,'Demo Pipeline'!$X$5:$X$504,"Yes"))</f>
        <v/>
      </c>
      <c r="BG234" s="33" t="str">
        <f aca="false">IF(A234="","",COUNTIFS('Demo Pipeline'!$Q$5:$Q$504,A234,'Demo Pipeline'!$Y$5:$Y$504,"Closed Won"))</f>
        <v/>
      </c>
      <c r="BH234" s="37" t="str">
        <f aca="false">IF(A234="","",SUMIFS('Demo Pipeline'!$Z$5:$Z$504,'Demo Pipeline'!$Q$5:$Q$504,A234))</f>
        <v/>
      </c>
      <c r="BI234" s="34" t="str">
        <f aca="false">IF(OR(AZ234="",N(AJ234)=0),"",AZ234/AJ234)</f>
        <v/>
      </c>
      <c r="BJ234" s="34" t="str">
        <f aca="false">IF(OR(BB234="",N(AZ234)=0),"",BB234/AZ234)</f>
        <v/>
      </c>
      <c r="BK234" s="34" t="str">
        <f aca="false">IF(OR(A234="",N(BB234)=0),"",BD234/BB234)</f>
        <v/>
      </c>
      <c r="BL234" s="34" t="str">
        <f aca="false">IF(OR(A234="",N(AZ234)=0),"",BD234/AZ234)</f>
        <v/>
      </c>
      <c r="BM234" s="37" t="str">
        <f aca="false">IF(OR(N(Q234)=0,N(BD234)=0),"",Q234/BD234)</f>
        <v/>
      </c>
      <c r="BN234" s="29"/>
      <c r="BO234" s="29"/>
      <c r="BP234" s="33" t="str">
        <f aca="false">IF(OR(AR234="",N(AO234)=0),"",AR234)</f>
        <v/>
      </c>
      <c r="BQ234" s="33" t="str">
        <f aca="false">IF(OR(AR234="",N(S234)=0),"",S234)</f>
        <v/>
      </c>
      <c r="BR234" s="38" t="str">
        <f aca="false">IF(AND(ISNUMBER(B234),B234&gt;=Dashboard!$C$4,B234&lt;=Dashboard!$F$4,ISNUMBER(AU234)),AU234+ROW()/10^9,"")</f>
        <v/>
      </c>
      <c r="BS234" s="38" t="str">
        <f aca="false">IF(AND(ISNUMBER(B234),B234&gt;=Dashboard!$C$4,B234&lt;=Dashboard!$F$4,A234&lt;&gt;""),N(BD234)+N(AU234)/100+ROW()/10^9,"")</f>
        <v/>
      </c>
    </row>
    <row r="235" customFormat="false" ht="15" hidden="false" customHeight="false" outlineLevel="0" collapsed="false">
      <c r="A235" s="24" t="str">
        <f aca="false">IF(OR(B235="",G235="",H235=""),"",IFERROR(INDEX(Settings!$E$5:$E$49,MATCH(G235,Settings!$D$5:$D$49,0))&amp;INDEX(Settings!$H$5:$H$47,MATCH(H235,Settings!$G$5:$G$47,0))&amp;"-"&amp;TEXT(B235,"yymmdd")&amp;"-"&amp;IF(C235="","0000",TEXT(C235,"hhmm")),"CHECK LISTS"))</f>
        <v/>
      </c>
      <c r="B235" s="39"/>
      <c r="C235" s="40"/>
      <c r="D235" s="24" t="str">
        <f aca="false">IF(B235="","",TEXT(B235,"ddd"))</f>
        <v/>
      </c>
      <c r="E235" s="27" t="str">
        <f aca="false">IF(B235="","",B235-WEEKDAY(B235,3))</f>
        <v/>
      </c>
      <c r="F235" s="24" t="str">
        <f aca="false">IF(B235="","",TEXT(B235,"yyyy-mm"))</f>
        <v/>
      </c>
      <c r="G235" s="29"/>
      <c r="H235" s="29"/>
      <c r="I235" s="29"/>
      <c r="J235" s="29"/>
      <c r="K235" s="29"/>
      <c r="L235" s="29"/>
      <c r="M235" s="29"/>
      <c r="N235" s="29"/>
      <c r="O235" s="29"/>
      <c r="P235" s="29"/>
      <c r="Q235" s="30"/>
      <c r="R235" s="29"/>
      <c r="S235" s="32"/>
      <c r="T235" s="29"/>
      <c r="U235" s="29"/>
      <c r="V235" s="24" t="str">
        <f aca="false">IF(A235="","",IFERROR(INDEX(Settings!$F$5:$F$49,MATCH(G235,Settings!$D$5:$D$49,0)),""))</f>
        <v/>
      </c>
      <c r="W235" s="24" t="str">
        <f aca="false">IF(A235="","",IF(OR(P235="",P235="Organic"),"social","paid_social"))</f>
        <v/>
      </c>
      <c r="X235" s="24" t="str">
        <f aca="false">IF(A235="","",IF(K235&lt;&gt;"",IFERROR(INDEX('Case Studies'!$C$5:$C$54,MATCH(K235,'Case Studies'!$B$5:$B$54,0))&amp;"","case-study"),IF(J235&lt;&gt;"",IFERROR(INDEX(Settings!$J$5:$J$55,MATCH(J235,Settings!$I$5:$I$55,0)),"general"),"general")))</f>
        <v/>
      </c>
      <c r="Y235" s="24" t="str">
        <f aca="false">IF(A235="","",LOWER(A235))</f>
        <v/>
      </c>
      <c r="Z235" s="24" t="str">
        <f aca="false">IF(A235="","",IF(T235="",Settings!$B$5,T235)&amp;IF(ISNUMBER(FIND("?",IF(T235="",Settings!$B$5,T235))),"&amp;","?")&amp;"utm_source="&amp;V235&amp;"&amp;utm_medium="&amp;W235&amp;"&amp;utm_campaign="&amp;X235&amp;"&amp;utm_content="&amp;Y235)</f>
        <v/>
      </c>
      <c r="AA235" s="29"/>
      <c r="AB235" s="39"/>
      <c r="AC235" s="32"/>
      <c r="AD235" s="32"/>
      <c r="AE235" s="32"/>
      <c r="AF235" s="32"/>
      <c r="AG235" s="32"/>
      <c r="AH235" s="32"/>
      <c r="AI235" s="32"/>
      <c r="AJ235" s="32"/>
      <c r="AK235" s="32"/>
      <c r="AL235" s="32"/>
      <c r="AM235" s="32"/>
      <c r="AN235" s="32"/>
      <c r="AO235" s="33" t="str">
        <f aca="false">IF(A235="","",IF(AD235&lt;&gt;"",AD235,IF(AC235&lt;&gt;"",AC235,"")))</f>
        <v/>
      </c>
      <c r="AP235" s="24" t="str">
        <f aca="false">IF(AO235="","",IF(AD235&lt;&gt;"","Reported reach","Impressions (proxy)"))</f>
        <v/>
      </c>
      <c r="AQ235" s="34" t="str">
        <f aca="false">IF(OR(AO235="",N(S235)=0),"",AO235/S235)</f>
        <v/>
      </c>
      <c r="AR235" s="33" t="str">
        <f aca="false">IF(A235="","",IF(COUNT(AF235:AJ235)=0,"",SUM(AF235:AJ235)))</f>
        <v/>
      </c>
      <c r="AS235" s="34" t="str">
        <f aca="false">IF(OR(AR235="",N(AO235)=0),"",AR235/AO235)</f>
        <v/>
      </c>
      <c r="AT235" s="34" t="str">
        <f aca="false">IF(OR(AR235="",N(AC235)=0),"",AR235/AC235)</f>
        <v/>
      </c>
      <c r="AU235" s="34" t="str">
        <f aca="false">IF(OR(AR235="",N(S235)=0),"",AR235/S235)</f>
        <v/>
      </c>
      <c r="AV235" s="34" t="str">
        <f aca="false">IF(OR(AJ235="",N(AC235)=0),"",AJ235/AC235)</f>
        <v/>
      </c>
      <c r="AW235" s="34" t="str">
        <f aca="false">IF(OR(AH235="",N(AO235)=0),"",AH235/AO235)</f>
        <v/>
      </c>
      <c r="AX235" s="35" t="str">
        <f aca="false">IF(OR(AR235="",N(AO235)=0),"",(N(AF235)*Settings!$B$6+N(AG235)*Settings!$B$7+N(AH235)*Settings!$B$8+N(AI235)*Settings!$B$9+N(AJ235)*Settings!$B$10)/AO235*1000)</f>
        <v/>
      </c>
      <c r="AY235" s="36" t="str">
        <f aca="false">IF(AS235="","",IFERROR(AS235/AVERAGEIFS('Post Tracker'!$AS$5:$AS$1004,'Post Tracker'!$G$5:$G$1004,G235),""))</f>
        <v/>
      </c>
      <c r="AZ235" s="32"/>
      <c r="BA235" s="32"/>
      <c r="BB235" s="32"/>
      <c r="BC235" s="32"/>
      <c r="BD235" s="33" t="str">
        <f aca="false">IF(A235="","",COUNTIFS('Demo Pipeline'!$Q$5:$Q$504,A235))</f>
        <v/>
      </c>
      <c r="BE235" s="33" t="str">
        <f aca="false">IF(A235="","",COUNTIFS('Demo Pipeline'!$Q$5:$Q$504,A235,'Demo Pipeline'!$W$5:$W$504,"Attended"))</f>
        <v/>
      </c>
      <c r="BF235" s="33" t="str">
        <f aca="false">IF(A235="","",COUNTIFS('Demo Pipeline'!$Q$5:$Q$504,A235,'Demo Pipeline'!$X$5:$X$504,"Yes"))</f>
        <v/>
      </c>
      <c r="BG235" s="33" t="str">
        <f aca="false">IF(A235="","",COUNTIFS('Demo Pipeline'!$Q$5:$Q$504,A235,'Demo Pipeline'!$Y$5:$Y$504,"Closed Won"))</f>
        <v/>
      </c>
      <c r="BH235" s="37" t="str">
        <f aca="false">IF(A235="","",SUMIFS('Demo Pipeline'!$Z$5:$Z$504,'Demo Pipeline'!$Q$5:$Q$504,A235))</f>
        <v/>
      </c>
      <c r="BI235" s="34" t="str">
        <f aca="false">IF(OR(AZ235="",N(AJ235)=0),"",AZ235/AJ235)</f>
        <v/>
      </c>
      <c r="BJ235" s="34" t="str">
        <f aca="false">IF(OR(BB235="",N(AZ235)=0),"",BB235/AZ235)</f>
        <v/>
      </c>
      <c r="BK235" s="34" t="str">
        <f aca="false">IF(OR(A235="",N(BB235)=0),"",BD235/BB235)</f>
        <v/>
      </c>
      <c r="BL235" s="34" t="str">
        <f aca="false">IF(OR(A235="",N(AZ235)=0),"",BD235/AZ235)</f>
        <v/>
      </c>
      <c r="BM235" s="37" t="str">
        <f aca="false">IF(OR(N(Q235)=0,N(BD235)=0),"",Q235/BD235)</f>
        <v/>
      </c>
      <c r="BN235" s="29"/>
      <c r="BO235" s="29"/>
      <c r="BP235" s="33" t="str">
        <f aca="false">IF(OR(AR235="",N(AO235)=0),"",AR235)</f>
        <v/>
      </c>
      <c r="BQ235" s="33" t="str">
        <f aca="false">IF(OR(AR235="",N(S235)=0),"",S235)</f>
        <v/>
      </c>
      <c r="BR235" s="38" t="str">
        <f aca="false">IF(AND(ISNUMBER(B235),B235&gt;=Dashboard!$C$4,B235&lt;=Dashboard!$F$4,ISNUMBER(AU235)),AU235+ROW()/10^9,"")</f>
        <v/>
      </c>
      <c r="BS235" s="38" t="str">
        <f aca="false">IF(AND(ISNUMBER(B235),B235&gt;=Dashboard!$C$4,B235&lt;=Dashboard!$F$4,A235&lt;&gt;""),N(BD235)+N(AU235)/100+ROW()/10^9,"")</f>
        <v/>
      </c>
    </row>
    <row r="236" customFormat="false" ht="15" hidden="false" customHeight="false" outlineLevel="0" collapsed="false">
      <c r="A236" s="24" t="str">
        <f aca="false">IF(OR(B236="",G236="",H236=""),"",IFERROR(INDEX(Settings!$E$5:$E$49,MATCH(G236,Settings!$D$5:$D$49,0))&amp;INDEX(Settings!$H$5:$H$47,MATCH(H236,Settings!$G$5:$G$47,0))&amp;"-"&amp;TEXT(B236,"yymmdd")&amp;"-"&amp;IF(C236="","0000",TEXT(C236,"hhmm")),"CHECK LISTS"))</f>
        <v/>
      </c>
      <c r="B236" s="39"/>
      <c r="C236" s="40"/>
      <c r="D236" s="24" t="str">
        <f aca="false">IF(B236="","",TEXT(B236,"ddd"))</f>
        <v/>
      </c>
      <c r="E236" s="27" t="str">
        <f aca="false">IF(B236="","",B236-WEEKDAY(B236,3))</f>
        <v/>
      </c>
      <c r="F236" s="24" t="str">
        <f aca="false">IF(B236="","",TEXT(B236,"yyyy-mm"))</f>
        <v/>
      </c>
      <c r="G236" s="29"/>
      <c r="H236" s="29"/>
      <c r="I236" s="29"/>
      <c r="J236" s="29"/>
      <c r="K236" s="29"/>
      <c r="L236" s="29"/>
      <c r="M236" s="29"/>
      <c r="N236" s="29"/>
      <c r="O236" s="29"/>
      <c r="P236" s="29"/>
      <c r="Q236" s="30"/>
      <c r="R236" s="29"/>
      <c r="S236" s="32"/>
      <c r="T236" s="29"/>
      <c r="U236" s="29"/>
      <c r="V236" s="24" t="str">
        <f aca="false">IF(A236="","",IFERROR(INDEX(Settings!$F$5:$F$49,MATCH(G236,Settings!$D$5:$D$49,0)),""))</f>
        <v/>
      </c>
      <c r="W236" s="24" t="str">
        <f aca="false">IF(A236="","",IF(OR(P236="",P236="Organic"),"social","paid_social"))</f>
        <v/>
      </c>
      <c r="X236" s="24" t="str">
        <f aca="false">IF(A236="","",IF(K236&lt;&gt;"",IFERROR(INDEX('Case Studies'!$C$5:$C$54,MATCH(K236,'Case Studies'!$B$5:$B$54,0))&amp;"","case-study"),IF(J236&lt;&gt;"",IFERROR(INDEX(Settings!$J$5:$J$55,MATCH(J236,Settings!$I$5:$I$55,0)),"general"),"general")))</f>
        <v/>
      </c>
      <c r="Y236" s="24" t="str">
        <f aca="false">IF(A236="","",LOWER(A236))</f>
        <v/>
      </c>
      <c r="Z236" s="24" t="str">
        <f aca="false">IF(A236="","",IF(T236="",Settings!$B$5,T236)&amp;IF(ISNUMBER(FIND("?",IF(T236="",Settings!$B$5,T236))),"&amp;","?")&amp;"utm_source="&amp;V236&amp;"&amp;utm_medium="&amp;W236&amp;"&amp;utm_campaign="&amp;X236&amp;"&amp;utm_content="&amp;Y236)</f>
        <v/>
      </c>
      <c r="AA236" s="29"/>
      <c r="AB236" s="39"/>
      <c r="AC236" s="32"/>
      <c r="AD236" s="32"/>
      <c r="AE236" s="32"/>
      <c r="AF236" s="32"/>
      <c r="AG236" s="32"/>
      <c r="AH236" s="32"/>
      <c r="AI236" s="32"/>
      <c r="AJ236" s="32"/>
      <c r="AK236" s="32"/>
      <c r="AL236" s="32"/>
      <c r="AM236" s="32"/>
      <c r="AN236" s="32"/>
      <c r="AO236" s="33" t="str">
        <f aca="false">IF(A236="","",IF(AD236&lt;&gt;"",AD236,IF(AC236&lt;&gt;"",AC236,"")))</f>
        <v/>
      </c>
      <c r="AP236" s="24" t="str">
        <f aca="false">IF(AO236="","",IF(AD236&lt;&gt;"","Reported reach","Impressions (proxy)"))</f>
        <v/>
      </c>
      <c r="AQ236" s="34" t="str">
        <f aca="false">IF(OR(AO236="",N(S236)=0),"",AO236/S236)</f>
        <v/>
      </c>
      <c r="AR236" s="33" t="str">
        <f aca="false">IF(A236="","",IF(COUNT(AF236:AJ236)=0,"",SUM(AF236:AJ236)))</f>
        <v/>
      </c>
      <c r="AS236" s="34" t="str">
        <f aca="false">IF(OR(AR236="",N(AO236)=0),"",AR236/AO236)</f>
        <v/>
      </c>
      <c r="AT236" s="34" t="str">
        <f aca="false">IF(OR(AR236="",N(AC236)=0),"",AR236/AC236)</f>
        <v/>
      </c>
      <c r="AU236" s="34" t="str">
        <f aca="false">IF(OR(AR236="",N(S236)=0),"",AR236/S236)</f>
        <v/>
      </c>
      <c r="AV236" s="34" t="str">
        <f aca="false">IF(OR(AJ236="",N(AC236)=0),"",AJ236/AC236)</f>
        <v/>
      </c>
      <c r="AW236" s="34" t="str">
        <f aca="false">IF(OR(AH236="",N(AO236)=0),"",AH236/AO236)</f>
        <v/>
      </c>
      <c r="AX236" s="35" t="str">
        <f aca="false">IF(OR(AR236="",N(AO236)=0),"",(N(AF236)*Settings!$B$6+N(AG236)*Settings!$B$7+N(AH236)*Settings!$B$8+N(AI236)*Settings!$B$9+N(AJ236)*Settings!$B$10)/AO236*1000)</f>
        <v/>
      </c>
      <c r="AY236" s="36" t="str">
        <f aca="false">IF(AS236="","",IFERROR(AS236/AVERAGEIFS('Post Tracker'!$AS$5:$AS$1004,'Post Tracker'!$G$5:$G$1004,G236),""))</f>
        <v/>
      </c>
      <c r="AZ236" s="32"/>
      <c r="BA236" s="32"/>
      <c r="BB236" s="32"/>
      <c r="BC236" s="32"/>
      <c r="BD236" s="33" t="str">
        <f aca="false">IF(A236="","",COUNTIFS('Demo Pipeline'!$Q$5:$Q$504,A236))</f>
        <v/>
      </c>
      <c r="BE236" s="33" t="str">
        <f aca="false">IF(A236="","",COUNTIFS('Demo Pipeline'!$Q$5:$Q$504,A236,'Demo Pipeline'!$W$5:$W$504,"Attended"))</f>
        <v/>
      </c>
      <c r="BF236" s="33" t="str">
        <f aca="false">IF(A236="","",COUNTIFS('Demo Pipeline'!$Q$5:$Q$504,A236,'Demo Pipeline'!$X$5:$X$504,"Yes"))</f>
        <v/>
      </c>
      <c r="BG236" s="33" t="str">
        <f aca="false">IF(A236="","",COUNTIFS('Demo Pipeline'!$Q$5:$Q$504,A236,'Demo Pipeline'!$Y$5:$Y$504,"Closed Won"))</f>
        <v/>
      </c>
      <c r="BH236" s="37" t="str">
        <f aca="false">IF(A236="","",SUMIFS('Demo Pipeline'!$Z$5:$Z$504,'Demo Pipeline'!$Q$5:$Q$504,A236))</f>
        <v/>
      </c>
      <c r="BI236" s="34" t="str">
        <f aca="false">IF(OR(AZ236="",N(AJ236)=0),"",AZ236/AJ236)</f>
        <v/>
      </c>
      <c r="BJ236" s="34" t="str">
        <f aca="false">IF(OR(BB236="",N(AZ236)=0),"",BB236/AZ236)</f>
        <v/>
      </c>
      <c r="BK236" s="34" t="str">
        <f aca="false">IF(OR(A236="",N(BB236)=0),"",BD236/BB236)</f>
        <v/>
      </c>
      <c r="BL236" s="34" t="str">
        <f aca="false">IF(OR(A236="",N(AZ236)=0),"",BD236/AZ236)</f>
        <v/>
      </c>
      <c r="BM236" s="37" t="str">
        <f aca="false">IF(OR(N(Q236)=0,N(BD236)=0),"",Q236/BD236)</f>
        <v/>
      </c>
      <c r="BN236" s="29"/>
      <c r="BO236" s="29"/>
      <c r="BP236" s="33" t="str">
        <f aca="false">IF(OR(AR236="",N(AO236)=0),"",AR236)</f>
        <v/>
      </c>
      <c r="BQ236" s="33" t="str">
        <f aca="false">IF(OR(AR236="",N(S236)=0),"",S236)</f>
        <v/>
      </c>
      <c r="BR236" s="38" t="str">
        <f aca="false">IF(AND(ISNUMBER(B236),B236&gt;=Dashboard!$C$4,B236&lt;=Dashboard!$F$4,ISNUMBER(AU236)),AU236+ROW()/10^9,"")</f>
        <v/>
      </c>
      <c r="BS236" s="38" t="str">
        <f aca="false">IF(AND(ISNUMBER(B236),B236&gt;=Dashboard!$C$4,B236&lt;=Dashboard!$F$4,A236&lt;&gt;""),N(BD236)+N(AU236)/100+ROW()/10^9,"")</f>
        <v/>
      </c>
    </row>
    <row r="237" customFormat="false" ht="15" hidden="false" customHeight="false" outlineLevel="0" collapsed="false">
      <c r="A237" s="24" t="str">
        <f aca="false">IF(OR(B237="",G237="",H237=""),"",IFERROR(INDEX(Settings!$E$5:$E$49,MATCH(G237,Settings!$D$5:$D$49,0))&amp;INDEX(Settings!$H$5:$H$47,MATCH(H237,Settings!$G$5:$G$47,0))&amp;"-"&amp;TEXT(B237,"yymmdd")&amp;"-"&amp;IF(C237="","0000",TEXT(C237,"hhmm")),"CHECK LISTS"))</f>
        <v/>
      </c>
      <c r="B237" s="39"/>
      <c r="C237" s="40"/>
      <c r="D237" s="24" t="str">
        <f aca="false">IF(B237="","",TEXT(B237,"ddd"))</f>
        <v/>
      </c>
      <c r="E237" s="27" t="str">
        <f aca="false">IF(B237="","",B237-WEEKDAY(B237,3))</f>
        <v/>
      </c>
      <c r="F237" s="24" t="str">
        <f aca="false">IF(B237="","",TEXT(B237,"yyyy-mm"))</f>
        <v/>
      </c>
      <c r="G237" s="29"/>
      <c r="H237" s="29"/>
      <c r="I237" s="29"/>
      <c r="J237" s="29"/>
      <c r="K237" s="29"/>
      <c r="L237" s="29"/>
      <c r="M237" s="29"/>
      <c r="N237" s="29"/>
      <c r="O237" s="29"/>
      <c r="P237" s="29"/>
      <c r="Q237" s="30"/>
      <c r="R237" s="29"/>
      <c r="S237" s="32"/>
      <c r="T237" s="29"/>
      <c r="U237" s="29"/>
      <c r="V237" s="24" t="str">
        <f aca="false">IF(A237="","",IFERROR(INDEX(Settings!$F$5:$F$49,MATCH(G237,Settings!$D$5:$D$49,0)),""))</f>
        <v/>
      </c>
      <c r="W237" s="24" t="str">
        <f aca="false">IF(A237="","",IF(OR(P237="",P237="Organic"),"social","paid_social"))</f>
        <v/>
      </c>
      <c r="X237" s="24" t="str">
        <f aca="false">IF(A237="","",IF(K237&lt;&gt;"",IFERROR(INDEX('Case Studies'!$C$5:$C$54,MATCH(K237,'Case Studies'!$B$5:$B$54,0))&amp;"","case-study"),IF(J237&lt;&gt;"",IFERROR(INDEX(Settings!$J$5:$J$55,MATCH(J237,Settings!$I$5:$I$55,0)),"general"),"general")))</f>
        <v/>
      </c>
      <c r="Y237" s="24" t="str">
        <f aca="false">IF(A237="","",LOWER(A237))</f>
        <v/>
      </c>
      <c r="Z237" s="24" t="str">
        <f aca="false">IF(A237="","",IF(T237="",Settings!$B$5,T237)&amp;IF(ISNUMBER(FIND("?",IF(T237="",Settings!$B$5,T237))),"&amp;","?")&amp;"utm_source="&amp;V237&amp;"&amp;utm_medium="&amp;W237&amp;"&amp;utm_campaign="&amp;X237&amp;"&amp;utm_content="&amp;Y237)</f>
        <v/>
      </c>
      <c r="AA237" s="29"/>
      <c r="AB237" s="39"/>
      <c r="AC237" s="32"/>
      <c r="AD237" s="32"/>
      <c r="AE237" s="32"/>
      <c r="AF237" s="32"/>
      <c r="AG237" s="32"/>
      <c r="AH237" s="32"/>
      <c r="AI237" s="32"/>
      <c r="AJ237" s="32"/>
      <c r="AK237" s="32"/>
      <c r="AL237" s="32"/>
      <c r="AM237" s="32"/>
      <c r="AN237" s="32"/>
      <c r="AO237" s="33" t="str">
        <f aca="false">IF(A237="","",IF(AD237&lt;&gt;"",AD237,IF(AC237&lt;&gt;"",AC237,"")))</f>
        <v/>
      </c>
      <c r="AP237" s="24" t="str">
        <f aca="false">IF(AO237="","",IF(AD237&lt;&gt;"","Reported reach","Impressions (proxy)"))</f>
        <v/>
      </c>
      <c r="AQ237" s="34" t="str">
        <f aca="false">IF(OR(AO237="",N(S237)=0),"",AO237/S237)</f>
        <v/>
      </c>
      <c r="AR237" s="33" t="str">
        <f aca="false">IF(A237="","",IF(COUNT(AF237:AJ237)=0,"",SUM(AF237:AJ237)))</f>
        <v/>
      </c>
      <c r="AS237" s="34" t="str">
        <f aca="false">IF(OR(AR237="",N(AO237)=0),"",AR237/AO237)</f>
        <v/>
      </c>
      <c r="AT237" s="34" t="str">
        <f aca="false">IF(OR(AR237="",N(AC237)=0),"",AR237/AC237)</f>
        <v/>
      </c>
      <c r="AU237" s="34" t="str">
        <f aca="false">IF(OR(AR237="",N(S237)=0),"",AR237/S237)</f>
        <v/>
      </c>
      <c r="AV237" s="34" t="str">
        <f aca="false">IF(OR(AJ237="",N(AC237)=0),"",AJ237/AC237)</f>
        <v/>
      </c>
      <c r="AW237" s="34" t="str">
        <f aca="false">IF(OR(AH237="",N(AO237)=0),"",AH237/AO237)</f>
        <v/>
      </c>
      <c r="AX237" s="35" t="str">
        <f aca="false">IF(OR(AR237="",N(AO237)=0),"",(N(AF237)*Settings!$B$6+N(AG237)*Settings!$B$7+N(AH237)*Settings!$B$8+N(AI237)*Settings!$B$9+N(AJ237)*Settings!$B$10)/AO237*1000)</f>
        <v/>
      </c>
      <c r="AY237" s="36" t="str">
        <f aca="false">IF(AS237="","",IFERROR(AS237/AVERAGEIFS('Post Tracker'!$AS$5:$AS$1004,'Post Tracker'!$G$5:$G$1004,G237),""))</f>
        <v/>
      </c>
      <c r="AZ237" s="32"/>
      <c r="BA237" s="32"/>
      <c r="BB237" s="32"/>
      <c r="BC237" s="32"/>
      <c r="BD237" s="33" t="str">
        <f aca="false">IF(A237="","",COUNTIFS('Demo Pipeline'!$Q$5:$Q$504,A237))</f>
        <v/>
      </c>
      <c r="BE237" s="33" t="str">
        <f aca="false">IF(A237="","",COUNTIFS('Demo Pipeline'!$Q$5:$Q$504,A237,'Demo Pipeline'!$W$5:$W$504,"Attended"))</f>
        <v/>
      </c>
      <c r="BF237" s="33" t="str">
        <f aca="false">IF(A237="","",COUNTIFS('Demo Pipeline'!$Q$5:$Q$504,A237,'Demo Pipeline'!$X$5:$X$504,"Yes"))</f>
        <v/>
      </c>
      <c r="BG237" s="33" t="str">
        <f aca="false">IF(A237="","",COUNTIFS('Demo Pipeline'!$Q$5:$Q$504,A237,'Demo Pipeline'!$Y$5:$Y$504,"Closed Won"))</f>
        <v/>
      </c>
      <c r="BH237" s="37" t="str">
        <f aca="false">IF(A237="","",SUMIFS('Demo Pipeline'!$Z$5:$Z$504,'Demo Pipeline'!$Q$5:$Q$504,A237))</f>
        <v/>
      </c>
      <c r="BI237" s="34" t="str">
        <f aca="false">IF(OR(AZ237="",N(AJ237)=0),"",AZ237/AJ237)</f>
        <v/>
      </c>
      <c r="BJ237" s="34" t="str">
        <f aca="false">IF(OR(BB237="",N(AZ237)=0),"",BB237/AZ237)</f>
        <v/>
      </c>
      <c r="BK237" s="34" t="str">
        <f aca="false">IF(OR(A237="",N(BB237)=0),"",BD237/BB237)</f>
        <v/>
      </c>
      <c r="BL237" s="34" t="str">
        <f aca="false">IF(OR(A237="",N(AZ237)=0),"",BD237/AZ237)</f>
        <v/>
      </c>
      <c r="BM237" s="37" t="str">
        <f aca="false">IF(OR(N(Q237)=0,N(BD237)=0),"",Q237/BD237)</f>
        <v/>
      </c>
      <c r="BN237" s="29"/>
      <c r="BO237" s="29"/>
      <c r="BP237" s="33" t="str">
        <f aca="false">IF(OR(AR237="",N(AO237)=0),"",AR237)</f>
        <v/>
      </c>
      <c r="BQ237" s="33" t="str">
        <f aca="false">IF(OR(AR237="",N(S237)=0),"",S237)</f>
        <v/>
      </c>
      <c r="BR237" s="38" t="str">
        <f aca="false">IF(AND(ISNUMBER(B237),B237&gt;=Dashboard!$C$4,B237&lt;=Dashboard!$F$4,ISNUMBER(AU237)),AU237+ROW()/10^9,"")</f>
        <v/>
      </c>
      <c r="BS237" s="38" t="str">
        <f aca="false">IF(AND(ISNUMBER(B237),B237&gt;=Dashboard!$C$4,B237&lt;=Dashboard!$F$4,A237&lt;&gt;""),N(BD237)+N(AU237)/100+ROW()/10^9,"")</f>
        <v/>
      </c>
    </row>
    <row r="238" customFormat="false" ht="15" hidden="false" customHeight="false" outlineLevel="0" collapsed="false">
      <c r="A238" s="24" t="str">
        <f aca="false">IF(OR(B238="",G238="",H238=""),"",IFERROR(INDEX(Settings!$E$5:$E$49,MATCH(G238,Settings!$D$5:$D$49,0))&amp;INDEX(Settings!$H$5:$H$47,MATCH(H238,Settings!$G$5:$G$47,0))&amp;"-"&amp;TEXT(B238,"yymmdd")&amp;"-"&amp;IF(C238="","0000",TEXT(C238,"hhmm")),"CHECK LISTS"))</f>
        <v/>
      </c>
      <c r="B238" s="39"/>
      <c r="C238" s="40"/>
      <c r="D238" s="24" t="str">
        <f aca="false">IF(B238="","",TEXT(B238,"ddd"))</f>
        <v/>
      </c>
      <c r="E238" s="27" t="str">
        <f aca="false">IF(B238="","",B238-WEEKDAY(B238,3))</f>
        <v/>
      </c>
      <c r="F238" s="24" t="str">
        <f aca="false">IF(B238="","",TEXT(B238,"yyyy-mm"))</f>
        <v/>
      </c>
      <c r="G238" s="29"/>
      <c r="H238" s="29"/>
      <c r="I238" s="29"/>
      <c r="J238" s="29"/>
      <c r="K238" s="29"/>
      <c r="L238" s="29"/>
      <c r="M238" s="29"/>
      <c r="N238" s="29"/>
      <c r="O238" s="29"/>
      <c r="P238" s="29"/>
      <c r="Q238" s="30"/>
      <c r="R238" s="29"/>
      <c r="S238" s="32"/>
      <c r="T238" s="29"/>
      <c r="U238" s="29"/>
      <c r="V238" s="24" t="str">
        <f aca="false">IF(A238="","",IFERROR(INDEX(Settings!$F$5:$F$49,MATCH(G238,Settings!$D$5:$D$49,0)),""))</f>
        <v/>
      </c>
      <c r="W238" s="24" t="str">
        <f aca="false">IF(A238="","",IF(OR(P238="",P238="Organic"),"social","paid_social"))</f>
        <v/>
      </c>
      <c r="X238" s="24" t="str">
        <f aca="false">IF(A238="","",IF(K238&lt;&gt;"",IFERROR(INDEX('Case Studies'!$C$5:$C$54,MATCH(K238,'Case Studies'!$B$5:$B$54,0))&amp;"","case-study"),IF(J238&lt;&gt;"",IFERROR(INDEX(Settings!$J$5:$J$55,MATCH(J238,Settings!$I$5:$I$55,0)),"general"),"general")))</f>
        <v/>
      </c>
      <c r="Y238" s="24" t="str">
        <f aca="false">IF(A238="","",LOWER(A238))</f>
        <v/>
      </c>
      <c r="Z238" s="24" t="str">
        <f aca="false">IF(A238="","",IF(T238="",Settings!$B$5,T238)&amp;IF(ISNUMBER(FIND("?",IF(T238="",Settings!$B$5,T238))),"&amp;","?")&amp;"utm_source="&amp;V238&amp;"&amp;utm_medium="&amp;W238&amp;"&amp;utm_campaign="&amp;X238&amp;"&amp;utm_content="&amp;Y238)</f>
        <v/>
      </c>
      <c r="AA238" s="29"/>
      <c r="AB238" s="39"/>
      <c r="AC238" s="32"/>
      <c r="AD238" s="32"/>
      <c r="AE238" s="32"/>
      <c r="AF238" s="32"/>
      <c r="AG238" s="32"/>
      <c r="AH238" s="32"/>
      <c r="AI238" s="32"/>
      <c r="AJ238" s="32"/>
      <c r="AK238" s="32"/>
      <c r="AL238" s="32"/>
      <c r="AM238" s="32"/>
      <c r="AN238" s="32"/>
      <c r="AO238" s="33" t="str">
        <f aca="false">IF(A238="","",IF(AD238&lt;&gt;"",AD238,IF(AC238&lt;&gt;"",AC238,"")))</f>
        <v/>
      </c>
      <c r="AP238" s="24" t="str">
        <f aca="false">IF(AO238="","",IF(AD238&lt;&gt;"","Reported reach","Impressions (proxy)"))</f>
        <v/>
      </c>
      <c r="AQ238" s="34" t="str">
        <f aca="false">IF(OR(AO238="",N(S238)=0),"",AO238/S238)</f>
        <v/>
      </c>
      <c r="AR238" s="33" t="str">
        <f aca="false">IF(A238="","",IF(COUNT(AF238:AJ238)=0,"",SUM(AF238:AJ238)))</f>
        <v/>
      </c>
      <c r="AS238" s="34" t="str">
        <f aca="false">IF(OR(AR238="",N(AO238)=0),"",AR238/AO238)</f>
        <v/>
      </c>
      <c r="AT238" s="34" t="str">
        <f aca="false">IF(OR(AR238="",N(AC238)=0),"",AR238/AC238)</f>
        <v/>
      </c>
      <c r="AU238" s="34" t="str">
        <f aca="false">IF(OR(AR238="",N(S238)=0),"",AR238/S238)</f>
        <v/>
      </c>
      <c r="AV238" s="34" t="str">
        <f aca="false">IF(OR(AJ238="",N(AC238)=0),"",AJ238/AC238)</f>
        <v/>
      </c>
      <c r="AW238" s="34" t="str">
        <f aca="false">IF(OR(AH238="",N(AO238)=0),"",AH238/AO238)</f>
        <v/>
      </c>
      <c r="AX238" s="35" t="str">
        <f aca="false">IF(OR(AR238="",N(AO238)=0),"",(N(AF238)*Settings!$B$6+N(AG238)*Settings!$B$7+N(AH238)*Settings!$B$8+N(AI238)*Settings!$B$9+N(AJ238)*Settings!$B$10)/AO238*1000)</f>
        <v/>
      </c>
      <c r="AY238" s="36" t="str">
        <f aca="false">IF(AS238="","",IFERROR(AS238/AVERAGEIFS('Post Tracker'!$AS$5:$AS$1004,'Post Tracker'!$G$5:$G$1004,G238),""))</f>
        <v/>
      </c>
      <c r="AZ238" s="32"/>
      <c r="BA238" s="32"/>
      <c r="BB238" s="32"/>
      <c r="BC238" s="32"/>
      <c r="BD238" s="33" t="str">
        <f aca="false">IF(A238="","",COUNTIFS('Demo Pipeline'!$Q$5:$Q$504,A238))</f>
        <v/>
      </c>
      <c r="BE238" s="33" t="str">
        <f aca="false">IF(A238="","",COUNTIFS('Demo Pipeline'!$Q$5:$Q$504,A238,'Demo Pipeline'!$W$5:$W$504,"Attended"))</f>
        <v/>
      </c>
      <c r="BF238" s="33" t="str">
        <f aca="false">IF(A238="","",COUNTIFS('Demo Pipeline'!$Q$5:$Q$504,A238,'Demo Pipeline'!$X$5:$X$504,"Yes"))</f>
        <v/>
      </c>
      <c r="BG238" s="33" t="str">
        <f aca="false">IF(A238="","",COUNTIFS('Demo Pipeline'!$Q$5:$Q$504,A238,'Demo Pipeline'!$Y$5:$Y$504,"Closed Won"))</f>
        <v/>
      </c>
      <c r="BH238" s="37" t="str">
        <f aca="false">IF(A238="","",SUMIFS('Demo Pipeline'!$Z$5:$Z$504,'Demo Pipeline'!$Q$5:$Q$504,A238))</f>
        <v/>
      </c>
      <c r="BI238" s="34" t="str">
        <f aca="false">IF(OR(AZ238="",N(AJ238)=0),"",AZ238/AJ238)</f>
        <v/>
      </c>
      <c r="BJ238" s="34" t="str">
        <f aca="false">IF(OR(BB238="",N(AZ238)=0),"",BB238/AZ238)</f>
        <v/>
      </c>
      <c r="BK238" s="34" t="str">
        <f aca="false">IF(OR(A238="",N(BB238)=0),"",BD238/BB238)</f>
        <v/>
      </c>
      <c r="BL238" s="34" t="str">
        <f aca="false">IF(OR(A238="",N(AZ238)=0),"",BD238/AZ238)</f>
        <v/>
      </c>
      <c r="BM238" s="37" t="str">
        <f aca="false">IF(OR(N(Q238)=0,N(BD238)=0),"",Q238/BD238)</f>
        <v/>
      </c>
      <c r="BN238" s="29"/>
      <c r="BO238" s="29"/>
      <c r="BP238" s="33" t="str">
        <f aca="false">IF(OR(AR238="",N(AO238)=0),"",AR238)</f>
        <v/>
      </c>
      <c r="BQ238" s="33" t="str">
        <f aca="false">IF(OR(AR238="",N(S238)=0),"",S238)</f>
        <v/>
      </c>
      <c r="BR238" s="38" t="str">
        <f aca="false">IF(AND(ISNUMBER(B238),B238&gt;=Dashboard!$C$4,B238&lt;=Dashboard!$F$4,ISNUMBER(AU238)),AU238+ROW()/10^9,"")</f>
        <v/>
      </c>
      <c r="BS238" s="38" t="str">
        <f aca="false">IF(AND(ISNUMBER(B238),B238&gt;=Dashboard!$C$4,B238&lt;=Dashboard!$F$4,A238&lt;&gt;""),N(BD238)+N(AU238)/100+ROW()/10^9,"")</f>
        <v/>
      </c>
    </row>
    <row r="239" customFormat="false" ht="15" hidden="false" customHeight="false" outlineLevel="0" collapsed="false">
      <c r="A239" s="24" t="str">
        <f aca="false">IF(OR(B239="",G239="",H239=""),"",IFERROR(INDEX(Settings!$E$5:$E$49,MATCH(G239,Settings!$D$5:$D$49,0))&amp;INDEX(Settings!$H$5:$H$47,MATCH(H239,Settings!$G$5:$G$47,0))&amp;"-"&amp;TEXT(B239,"yymmdd")&amp;"-"&amp;IF(C239="","0000",TEXT(C239,"hhmm")),"CHECK LISTS"))</f>
        <v/>
      </c>
      <c r="B239" s="39"/>
      <c r="C239" s="40"/>
      <c r="D239" s="24" t="str">
        <f aca="false">IF(B239="","",TEXT(B239,"ddd"))</f>
        <v/>
      </c>
      <c r="E239" s="27" t="str">
        <f aca="false">IF(B239="","",B239-WEEKDAY(B239,3))</f>
        <v/>
      </c>
      <c r="F239" s="24" t="str">
        <f aca="false">IF(B239="","",TEXT(B239,"yyyy-mm"))</f>
        <v/>
      </c>
      <c r="G239" s="29"/>
      <c r="H239" s="29"/>
      <c r="I239" s="29"/>
      <c r="J239" s="29"/>
      <c r="K239" s="29"/>
      <c r="L239" s="29"/>
      <c r="M239" s="29"/>
      <c r="N239" s="29"/>
      <c r="O239" s="29"/>
      <c r="P239" s="29"/>
      <c r="Q239" s="30"/>
      <c r="R239" s="29"/>
      <c r="S239" s="32"/>
      <c r="T239" s="29"/>
      <c r="U239" s="29"/>
      <c r="V239" s="24" t="str">
        <f aca="false">IF(A239="","",IFERROR(INDEX(Settings!$F$5:$F$49,MATCH(G239,Settings!$D$5:$D$49,0)),""))</f>
        <v/>
      </c>
      <c r="W239" s="24" t="str">
        <f aca="false">IF(A239="","",IF(OR(P239="",P239="Organic"),"social","paid_social"))</f>
        <v/>
      </c>
      <c r="X239" s="24" t="str">
        <f aca="false">IF(A239="","",IF(K239&lt;&gt;"",IFERROR(INDEX('Case Studies'!$C$5:$C$54,MATCH(K239,'Case Studies'!$B$5:$B$54,0))&amp;"","case-study"),IF(J239&lt;&gt;"",IFERROR(INDEX(Settings!$J$5:$J$55,MATCH(J239,Settings!$I$5:$I$55,0)),"general"),"general")))</f>
        <v/>
      </c>
      <c r="Y239" s="24" t="str">
        <f aca="false">IF(A239="","",LOWER(A239))</f>
        <v/>
      </c>
      <c r="Z239" s="24" t="str">
        <f aca="false">IF(A239="","",IF(T239="",Settings!$B$5,T239)&amp;IF(ISNUMBER(FIND("?",IF(T239="",Settings!$B$5,T239))),"&amp;","?")&amp;"utm_source="&amp;V239&amp;"&amp;utm_medium="&amp;W239&amp;"&amp;utm_campaign="&amp;X239&amp;"&amp;utm_content="&amp;Y239)</f>
        <v/>
      </c>
      <c r="AA239" s="29"/>
      <c r="AB239" s="39"/>
      <c r="AC239" s="32"/>
      <c r="AD239" s="32"/>
      <c r="AE239" s="32"/>
      <c r="AF239" s="32"/>
      <c r="AG239" s="32"/>
      <c r="AH239" s="32"/>
      <c r="AI239" s="32"/>
      <c r="AJ239" s="32"/>
      <c r="AK239" s="32"/>
      <c r="AL239" s="32"/>
      <c r="AM239" s="32"/>
      <c r="AN239" s="32"/>
      <c r="AO239" s="33" t="str">
        <f aca="false">IF(A239="","",IF(AD239&lt;&gt;"",AD239,IF(AC239&lt;&gt;"",AC239,"")))</f>
        <v/>
      </c>
      <c r="AP239" s="24" t="str">
        <f aca="false">IF(AO239="","",IF(AD239&lt;&gt;"","Reported reach","Impressions (proxy)"))</f>
        <v/>
      </c>
      <c r="AQ239" s="34" t="str">
        <f aca="false">IF(OR(AO239="",N(S239)=0),"",AO239/S239)</f>
        <v/>
      </c>
      <c r="AR239" s="33" t="str">
        <f aca="false">IF(A239="","",IF(COUNT(AF239:AJ239)=0,"",SUM(AF239:AJ239)))</f>
        <v/>
      </c>
      <c r="AS239" s="34" t="str">
        <f aca="false">IF(OR(AR239="",N(AO239)=0),"",AR239/AO239)</f>
        <v/>
      </c>
      <c r="AT239" s="34" t="str">
        <f aca="false">IF(OR(AR239="",N(AC239)=0),"",AR239/AC239)</f>
        <v/>
      </c>
      <c r="AU239" s="34" t="str">
        <f aca="false">IF(OR(AR239="",N(S239)=0),"",AR239/S239)</f>
        <v/>
      </c>
      <c r="AV239" s="34" t="str">
        <f aca="false">IF(OR(AJ239="",N(AC239)=0),"",AJ239/AC239)</f>
        <v/>
      </c>
      <c r="AW239" s="34" t="str">
        <f aca="false">IF(OR(AH239="",N(AO239)=0),"",AH239/AO239)</f>
        <v/>
      </c>
      <c r="AX239" s="35" t="str">
        <f aca="false">IF(OR(AR239="",N(AO239)=0),"",(N(AF239)*Settings!$B$6+N(AG239)*Settings!$B$7+N(AH239)*Settings!$B$8+N(AI239)*Settings!$B$9+N(AJ239)*Settings!$B$10)/AO239*1000)</f>
        <v/>
      </c>
      <c r="AY239" s="36" t="str">
        <f aca="false">IF(AS239="","",IFERROR(AS239/AVERAGEIFS('Post Tracker'!$AS$5:$AS$1004,'Post Tracker'!$G$5:$G$1004,G239),""))</f>
        <v/>
      </c>
      <c r="AZ239" s="32"/>
      <c r="BA239" s="32"/>
      <c r="BB239" s="32"/>
      <c r="BC239" s="32"/>
      <c r="BD239" s="33" t="str">
        <f aca="false">IF(A239="","",COUNTIFS('Demo Pipeline'!$Q$5:$Q$504,A239))</f>
        <v/>
      </c>
      <c r="BE239" s="33" t="str">
        <f aca="false">IF(A239="","",COUNTIFS('Demo Pipeline'!$Q$5:$Q$504,A239,'Demo Pipeline'!$W$5:$W$504,"Attended"))</f>
        <v/>
      </c>
      <c r="BF239" s="33" t="str">
        <f aca="false">IF(A239="","",COUNTIFS('Demo Pipeline'!$Q$5:$Q$504,A239,'Demo Pipeline'!$X$5:$X$504,"Yes"))</f>
        <v/>
      </c>
      <c r="BG239" s="33" t="str">
        <f aca="false">IF(A239="","",COUNTIFS('Demo Pipeline'!$Q$5:$Q$504,A239,'Demo Pipeline'!$Y$5:$Y$504,"Closed Won"))</f>
        <v/>
      </c>
      <c r="BH239" s="37" t="str">
        <f aca="false">IF(A239="","",SUMIFS('Demo Pipeline'!$Z$5:$Z$504,'Demo Pipeline'!$Q$5:$Q$504,A239))</f>
        <v/>
      </c>
      <c r="BI239" s="34" t="str">
        <f aca="false">IF(OR(AZ239="",N(AJ239)=0),"",AZ239/AJ239)</f>
        <v/>
      </c>
      <c r="BJ239" s="34" t="str">
        <f aca="false">IF(OR(BB239="",N(AZ239)=0),"",BB239/AZ239)</f>
        <v/>
      </c>
      <c r="BK239" s="34" t="str">
        <f aca="false">IF(OR(A239="",N(BB239)=0),"",BD239/BB239)</f>
        <v/>
      </c>
      <c r="BL239" s="34" t="str">
        <f aca="false">IF(OR(A239="",N(AZ239)=0),"",BD239/AZ239)</f>
        <v/>
      </c>
      <c r="BM239" s="37" t="str">
        <f aca="false">IF(OR(N(Q239)=0,N(BD239)=0),"",Q239/BD239)</f>
        <v/>
      </c>
      <c r="BN239" s="29"/>
      <c r="BO239" s="29"/>
      <c r="BP239" s="33" t="str">
        <f aca="false">IF(OR(AR239="",N(AO239)=0),"",AR239)</f>
        <v/>
      </c>
      <c r="BQ239" s="33" t="str">
        <f aca="false">IF(OR(AR239="",N(S239)=0),"",S239)</f>
        <v/>
      </c>
      <c r="BR239" s="38" t="str">
        <f aca="false">IF(AND(ISNUMBER(B239),B239&gt;=Dashboard!$C$4,B239&lt;=Dashboard!$F$4,ISNUMBER(AU239)),AU239+ROW()/10^9,"")</f>
        <v/>
      </c>
      <c r="BS239" s="38" t="str">
        <f aca="false">IF(AND(ISNUMBER(B239),B239&gt;=Dashboard!$C$4,B239&lt;=Dashboard!$F$4,A239&lt;&gt;""),N(BD239)+N(AU239)/100+ROW()/10^9,"")</f>
        <v/>
      </c>
    </row>
    <row r="240" customFormat="false" ht="15" hidden="false" customHeight="false" outlineLevel="0" collapsed="false">
      <c r="A240" s="24" t="str">
        <f aca="false">IF(OR(B240="",G240="",H240=""),"",IFERROR(INDEX(Settings!$E$5:$E$49,MATCH(G240,Settings!$D$5:$D$49,0))&amp;INDEX(Settings!$H$5:$H$47,MATCH(H240,Settings!$G$5:$G$47,0))&amp;"-"&amp;TEXT(B240,"yymmdd")&amp;"-"&amp;IF(C240="","0000",TEXT(C240,"hhmm")),"CHECK LISTS"))</f>
        <v/>
      </c>
      <c r="B240" s="39"/>
      <c r="C240" s="40"/>
      <c r="D240" s="24" t="str">
        <f aca="false">IF(B240="","",TEXT(B240,"ddd"))</f>
        <v/>
      </c>
      <c r="E240" s="27" t="str">
        <f aca="false">IF(B240="","",B240-WEEKDAY(B240,3))</f>
        <v/>
      </c>
      <c r="F240" s="24" t="str">
        <f aca="false">IF(B240="","",TEXT(B240,"yyyy-mm"))</f>
        <v/>
      </c>
      <c r="G240" s="29"/>
      <c r="H240" s="29"/>
      <c r="I240" s="29"/>
      <c r="J240" s="29"/>
      <c r="K240" s="29"/>
      <c r="L240" s="29"/>
      <c r="M240" s="29"/>
      <c r="N240" s="29"/>
      <c r="O240" s="29"/>
      <c r="P240" s="29"/>
      <c r="Q240" s="30"/>
      <c r="R240" s="29"/>
      <c r="S240" s="32"/>
      <c r="T240" s="29"/>
      <c r="U240" s="29"/>
      <c r="V240" s="24" t="str">
        <f aca="false">IF(A240="","",IFERROR(INDEX(Settings!$F$5:$F$49,MATCH(G240,Settings!$D$5:$D$49,0)),""))</f>
        <v/>
      </c>
      <c r="W240" s="24" t="str">
        <f aca="false">IF(A240="","",IF(OR(P240="",P240="Organic"),"social","paid_social"))</f>
        <v/>
      </c>
      <c r="X240" s="24" t="str">
        <f aca="false">IF(A240="","",IF(K240&lt;&gt;"",IFERROR(INDEX('Case Studies'!$C$5:$C$54,MATCH(K240,'Case Studies'!$B$5:$B$54,0))&amp;"","case-study"),IF(J240&lt;&gt;"",IFERROR(INDEX(Settings!$J$5:$J$55,MATCH(J240,Settings!$I$5:$I$55,0)),"general"),"general")))</f>
        <v/>
      </c>
      <c r="Y240" s="24" t="str">
        <f aca="false">IF(A240="","",LOWER(A240))</f>
        <v/>
      </c>
      <c r="Z240" s="24" t="str">
        <f aca="false">IF(A240="","",IF(T240="",Settings!$B$5,T240)&amp;IF(ISNUMBER(FIND("?",IF(T240="",Settings!$B$5,T240))),"&amp;","?")&amp;"utm_source="&amp;V240&amp;"&amp;utm_medium="&amp;W240&amp;"&amp;utm_campaign="&amp;X240&amp;"&amp;utm_content="&amp;Y240)</f>
        <v/>
      </c>
      <c r="AA240" s="29"/>
      <c r="AB240" s="39"/>
      <c r="AC240" s="32"/>
      <c r="AD240" s="32"/>
      <c r="AE240" s="32"/>
      <c r="AF240" s="32"/>
      <c r="AG240" s="32"/>
      <c r="AH240" s="32"/>
      <c r="AI240" s="32"/>
      <c r="AJ240" s="32"/>
      <c r="AK240" s="32"/>
      <c r="AL240" s="32"/>
      <c r="AM240" s="32"/>
      <c r="AN240" s="32"/>
      <c r="AO240" s="33" t="str">
        <f aca="false">IF(A240="","",IF(AD240&lt;&gt;"",AD240,IF(AC240&lt;&gt;"",AC240,"")))</f>
        <v/>
      </c>
      <c r="AP240" s="24" t="str">
        <f aca="false">IF(AO240="","",IF(AD240&lt;&gt;"","Reported reach","Impressions (proxy)"))</f>
        <v/>
      </c>
      <c r="AQ240" s="34" t="str">
        <f aca="false">IF(OR(AO240="",N(S240)=0),"",AO240/S240)</f>
        <v/>
      </c>
      <c r="AR240" s="33" t="str">
        <f aca="false">IF(A240="","",IF(COUNT(AF240:AJ240)=0,"",SUM(AF240:AJ240)))</f>
        <v/>
      </c>
      <c r="AS240" s="34" t="str">
        <f aca="false">IF(OR(AR240="",N(AO240)=0),"",AR240/AO240)</f>
        <v/>
      </c>
      <c r="AT240" s="34" t="str">
        <f aca="false">IF(OR(AR240="",N(AC240)=0),"",AR240/AC240)</f>
        <v/>
      </c>
      <c r="AU240" s="34" t="str">
        <f aca="false">IF(OR(AR240="",N(S240)=0),"",AR240/S240)</f>
        <v/>
      </c>
      <c r="AV240" s="34" t="str">
        <f aca="false">IF(OR(AJ240="",N(AC240)=0),"",AJ240/AC240)</f>
        <v/>
      </c>
      <c r="AW240" s="34" t="str">
        <f aca="false">IF(OR(AH240="",N(AO240)=0),"",AH240/AO240)</f>
        <v/>
      </c>
      <c r="AX240" s="35" t="str">
        <f aca="false">IF(OR(AR240="",N(AO240)=0),"",(N(AF240)*Settings!$B$6+N(AG240)*Settings!$B$7+N(AH240)*Settings!$B$8+N(AI240)*Settings!$B$9+N(AJ240)*Settings!$B$10)/AO240*1000)</f>
        <v/>
      </c>
      <c r="AY240" s="36" t="str">
        <f aca="false">IF(AS240="","",IFERROR(AS240/AVERAGEIFS('Post Tracker'!$AS$5:$AS$1004,'Post Tracker'!$G$5:$G$1004,G240),""))</f>
        <v/>
      </c>
      <c r="AZ240" s="32"/>
      <c r="BA240" s="32"/>
      <c r="BB240" s="32"/>
      <c r="BC240" s="32"/>
      <c r="BD240" s="33" t="str">
        <f aca="false">IF(A240="","",COUNTIFS('Demo Pipeline'!$Q$5:$Q$504,A240))</f>
        <v/>
      </c>
      <c r="BE240" s="33" t="str">
        <f aca="false">IF(A240="","",COUNTIFS('Demo Pipeline'!$Q$5:$Q$504,A240,'Demo Pipeline'!$W$5:$W$504,"Attended"))</f>
        <v/>
      </c>
      <c r="BF240" s="33" t="str">
        <f aca="false">IF(A240="","",COUNTIFS('Demo Pipeline'!$Q$5:$Q$504,A240,'Demo Pipeline'!$X$5:$X$504,"Yes"))</f>
        <v/>
      </c>
      <c r="BG240" s="33" t="str">
        <f aca="false">IF(A240="","",COUNTIFS('Demo Pipeline'!$Q$5:$Q$504,A240,'Demo Pipeline'!$Y$5:$Y$504,"Closed Won"))</f>
        <v/>
      </c>
      <c r="BH240" s="37" t="str">
        <f aca="false">IF(A240="","",SUMIFS('Demo Pipeline'!$Z$5:$Z$504,'Demo Pipeline'!$Q$5:$Q$504,A240))</f>
        <v/>
      </c>
      <c r="BI240" s="34" t="str">
        <f aca="false">IF(OR(AZ240="",N(AJ240)=0),"",AZ240/AJ240)</f>
        <v/>
      </c>
      <c r="BJ240" s="34" t="str">
        <f aca="false">IF(OR(BB240="",N(AZ240)=0),"",BB240/AZ240)</f>
        <v/>
      </c>
      <c r="BK240" s="34" t="str">
        <f aca="false">IF(OR(A240="",N(BB240)=0),"",BD240/BB240)</f>
        <v/>
      </c>
      <c r="BL240" s="34" t="str">
        <f aca="false">IF(OR(A240="",N(AZ240)=0),"",BD240/AZ240)</f>
        <v/>
      </c>
      <c r="BM240" s="37" t="str">
        <f aca="false">IF(OR(N(Q240)=0,N(BD240)=0),"",Q240/BD240)</f>
        <v/>
      </c>
      <c r="BN240" s="29"/>
      <c r="BO240" s="29"/>
      <c r="BP240" s="33" t="str">
        <f aca="false">IF(OR(AR240="",N(AO240)=0),"",AR240)</f>
        <v/>
      </c>
      <c r="BQ240" s="33" t="str">
        <f aca="false">IF(OR(AR240="",N(S240)=0),"",S240)</f>
        <v/>
      </c>
      <c r="BR240" s="38" t="str">
        <f aca="false">IF(AND(ISNUMBER(B240),B240&gt;=Dashboard!$C$4,B240&lt;=Dashboard!$F$4,ISNUMBER(AU240)),AU240+ROW()/10^9,"")</f>
        <v/>
      </c>
      <c r="BS240" s="38" t="str">
        <f aca="false">IF(AND(ISNUMBER(B240),B240&gt;=Dashboard!$C$4,B240&lt;=Dashboard!$F$4,A240&lt;&gt;""),N(BD240)+N(AU240)/100+ROW()/10^9,"")</f>
        <v/>
      </c>
    </row>
    <row r="241" customFormat="false" ht="15" hidden="false" customHeight="false" outlineLevel="0" collapsed="false">
      <c r="A241" s="24" t="str">
        <f aca="false">IF(OR(B241="",G241="",H241=""),"",IFERROR(INDEX(Settings!$E$5:$E$49,MATCH(G241,Settings!$D$5:$D$49,0))&amp;INDEX(Settings!$H$5:$H$47,MATCH(H241,Settings!$G$5:$G$47,0))&amp;"-"&amp;TEXT(B241,"yymmdd")&amp;"-"&amp;IF(C241="","0000",TEXT(C241,"hhmm")),"CHECK LISTS"))</f>
        <v/>
      </c>
      <c r="B241" s="39"/>
      <c r="C241" s="40"/>
      <c r="D241" s="24" t="str">
        <f aca="false">IF(B241="","",TEXT(B241,"ddd"))</f>
        <v/>
      </c>
      <c r="E241" s="27" t="str">
        <f aca="false">IF(B241="","",B241-WEEKDAY(B241,3))</f>
        <v/>
      </c>
      <c r="F241" s="24" t="str">
        <f aca="false">IF(B241="","",TEXT(B241,"yyyy-mm"))</f>
        <v/>
      </c>
      <c r="G241" s="29"/>
      <c r="H241" s="29"/>
      <c r="I241" s="29"/>
      <c r="J241" s="29"/>
      <c r="K241" s="29"/>
      <c r="L241" s="29"/>
      <c r="M241" s="29"/>
      <c r="N241" s="29"/>
      <c r="O241" s="29"/>
      <c r="P241" s="29"/>
      <c r="Q241" s="30"/>
      <c r="R241" s="29"/>
      <c r="S241" s="32"/>
      <c r="T241" s="29"/>
      <c r="U241" s="29"/>
      <c r="V241" s="24" t="str">
        <f aca="false">IF(A241="","",IFERROR(INDEX(Settings!$F$5:$F$49,MATCH(G241,Settings!$D$5:$D$49,0)),""))</f>
        <v/>
      </c>
      <c r="W241" s="24" t="str">
        <f aca="false">IF(A241="","",IF(OR(P241="",P241="Organic"),"social","paid_social"))</f>
        <v/>
      </c>
      <c r="X241" s="24" t="str">
        <f aca="false">IF(A241="","",IF(K241&lt;&gt;"",IFERROR(INDEX('Case Studies'!$C$5:$C$54,MATCH(K241,'Case Studies'!$B$5:$B$54,0))&amp;"","case-study"),IF(J241&lt;&gt;"",IFERROR(INDEX(Settings!$J$5:$J$55,MATCH(J241,Settings!$I$5:$I$55,0)),"general"),"general")))</f>
        <v/>
      </c>
      <c r="Y241" s="24" t="str">
        <f aca="false">IF(A241="","",LOWER(A241))</f>
        <v/>
      </c>
      <c r="Z241" s="24" t="str">
        <f aca="false">IF(A241="","",IF(T241="",Settings!$B$5,T241)&amp;IF(ISNUMBER(FIND("?",IF(T241="",Settings!$B$5,T241))),"&amp;","?")&amp;"utm_source="&amp;V241&amp;"&amp;utm_medium="&amp;W241&amp;"&amp;utm_campaign="&amp;X241&amp;"&amp;utm_content="&amp;Y241)</f>
        <v/>
      </c>
      <c r="AA241" s="29"/>
      <c r="AB241" s="39"/>
      <c r="AC241" s="32"/>
      <c r="AD241" s="32"/>
      <c r="AE241" s="32"/>
      <c r="AF241" s="32"/>
      <c r="AG241" s="32"/>
      <c r="AH241" s="32"/>
      <c r="AI241" s="32"/>
      <c r="AJ241" s="32"/>
      <c r="AK241" s="32"/>
      <c r="AL241" s="32"/>
      <c r="AM241" s="32"/>
      <c r="AN241" s="32"/>
      <c r="AO241" s="33" t="str">
        <f aca="false">IF(A241="","",IF(AD241&lt;&gt;"",AD241,IF(AC241&lt;&gt;"",AC241,"")))</f>
        <v/>
      </c>
      <c r="AP241" s="24" t="str">
        <f aca="false">IF(AO241="","",IF(AD241&lt;&gt;"","Reported reach","Impressions (proxy)"))</f>
        <v/>
      </c>
      <c r="AQ241" s="34" t="str">
        <f aca="false">IF(OR(AO241="",N(S241)=0),"",AO241/S241)</f>
        <v/>
      </c>
      <c r="AR241" s="33" t="str">
        <f aca="false">IF(A241="","",IF(COUNT(AF241:AJ241)=0,"",SUM(AF241:AJ241)))</f>
        <v/>
      </c>
      <c r="AS241" s="34" t="str">
        <f aca="false">IF(OR(AR241="",N(AO241)=0),"",AR241/AO241)</f>
        <v/>
      </c>
      <c r="AT241" s="34" t="str">
        <f aca="false">IF(OR(AR241="",N(AC241)=0),"",AR241/AC241)</f>
        <v/>
      </c>
      <c r="AU241" s="34" t="str">
        <f aca="false">IF(OR(AR241="",N(S241)=0),"",AR241/S241)</f>
        <v/>
      </c>
      <c r="AV241" s="34" t="str">
        <f aca="false">IF(OR(AJ241="",N(AC241)=0),"",AJ241/AC241)</f>
        <v/>
      </c>
      <c r="AW241" s="34" t="str">
        <f aca="false">IF(OR(AH241="",N(AO241)=0),"",AH241/AO241)</f>
        <v/>
      </c>
      <c r="AX241" s="35" t="str">
        <f aca="false">IF(OR(AR241="",N(AO241)=0),"",(N(AF241)*Settings!$B$6+N(AG241)*Settings!$B$7+N(AH241)*Settings!$B$8+N(AI241)*Settings!$B$9+N(AJ241)*Settings!$B$10)/AO241*1000)</f>
        <v/>
      </c>
      <c r="AY241" s="36" t="str">
        <f aca="false">IF(AS241="","",IFERROR(AS241/AVERAGEIFS('Post Tracker'!$AS$5:$AS$1004,'Post Tracker'!$G$5:$G$1004,G241),""))</f>
        <v/>
      </c>
      <c r="AZ241" s="32"/>
      <c r="BA241" s="32"/>
      <c r="BB241" s="32"/>
      <c r="BC241" s="32"/>
      <c r="BD241" s="33" t="str">
        <f aca="false">IF(A241="","",COUNTIFS('Demo Pipeline'!$Q$5:$Q$504,A241))</f>
        <v/>
      </c>
      <c r="BE241" s="33" t="str">
        <f aca="false">IF(A241="","",COUNTIFS('Demo Pipeline'!$Q$5:$Q$504,A241,'Demo Pipeline'!$W$5:$W$504,"Attended"))</f>
        <v/>
      </c>
      <c r="BF241" s="33" t="str">
        <f aca="false">IF(A241="","",COUNTIFS('Demo Pipeline'!$Q$5:$Q$504,A241,'Demo Pipeline'!$X$5:$X$504,"Yes"))</f>
        <v/>
      </c>
      <c r="BG241" s="33" t="str">
        <f aca="false">IF(A241="","",COUNTIFS('Demo Pipeline'!$Q$5:$Q$504,A241,'Demo Pipeline'!$Y$5:$Y$504,"Closed Won"))</f>
        <v/>
      </c>
      <c r="BH241" s="37" t="str">
        <f aca="false">IF(A241="","",SUMIFS('Demo Pipeline'!$Z$5:$Z$504,'Demo Pipeline'!$Q$5:$Q$504,A241))</f>
        <v/>
      </c>
      <c r="BI241" s="34" t="str">
        <f aca="false">IF(OR(AZ241="",N(AJ241)=0),"",AZ241/AJ241)</f>
        <v/>
      </c>
      <c r="BJ241" s="34" t="str">
        <f aca="false">IF(OR(BB241="",N(AZ241)=0),"",BB241/AZ241)</f>
        <v/>
      </c>
      <c r="BK241" s="34" t="str">
        <f aca="false">IF(OR(A241="",N(BB241)=0),"",BD241/BB241)</f>
        <v/>
      </c>
      <c r="BL241" s="34" t="str">
        <f aca="false">IF(OR(A241="",N(AZ241)=0),"",BD241/AZ241)</f>
        <v/>
      </c>
      <c r="BM241" s="37" t="str">
        <f aca="false">IF(OR(N(Q241)=0,N(BD241)=0),"",Q241/BD241)</f>
        <v/>
      </c>
      <c r="BN241" s="29"/>
      <c r="BO241" s="29"/>
      <c r="BP241" s="33" t="str">
        <f aca="false">IF(OR(AR241="",N(AO241)=0),"",AR241)</f>
        <v/>
      </c>
      <c r="BQ241" s="33" t="str">
        <f aca="false">IF(OR(AR241="",N(S241)=0),"",S241)</f>
        <v/>
      </c>
      <c r="BR241" s="38" t="str">
        <f aca="false">IF(AND(ISNUMBER(B241),B241&gt;=Dashboard!$C$4,B241&lt;=Dashboard!$F$4,ISNUMBER(AU241)),AU241+ROW()/10^9,"")</f>
        <v/>
      </c>
      <c r="BS241" s="38" t="str">
        <f aca="false">IF(AND(ISNUMBER(B241),B241&gt;=Dashboard!$C$4,B241&lt;=Dashboard!$F$4,A241&lt;&gt;""),N(BD241)+N(AU241)/100+ROW()/10^9,"")</f>
        <v/>
      </c>
    </row>
    <row r="242" customFormat="false" ht="15" hidden="false" customHeight="false" outlineLevel="0" collapsed="false">
      <c r="A242" s="24" t="str">
        <f aca="false">IF(OR(B242="",G242="",H242=""),"",IFERROR(INDEX(Settings!$E$5:$E$49,MATCH(G242,Settings!$D$5:$D$49,0))&amp;INDEX(Settings!$H$5:$H$47,MATCH(H242,Settings!$G$5:$G$47,0))&amp;"-"&amp;TEXT(B242,"yymmdd")&amp;"-"&amp;IF(C242="","0000",TEXT(C242,"hhmm")),"CHECK LISTS"))</f>
        <v/>
      </c>
      <c r="B242" s="39"/>
      <c r="C242" s="40"/>
      <c r="D242" s="24" t="str">
        <f aca="false">IF(B242="","",TEXT(B242,"ddd"))</f>
        <v/>
      </c>
      <c r="E242" s="27" t="str">
        <f aca="false">IF(B242="","",B242-WEEKDAY(B242,3))</f>
        <v/>
      </c>
      <c r="F242" s="24" t="str">
        <f aca="false">IF(B242="","",TEXT(B242,"yyyy-mm"))</f>
        <v/>
      </c>
      <c r="G242" s="29"/>
      <c r="H242" s="29"/>
      <c r="I242" s="29"/>
      <c r="J242" s="29"/>
      <c r="K242" s="29"/>
      <c r="L242" s="29"/>
      <c r="M242" s="29"/>
      <c r="N242" s="29"/>
      <c r="O242" s="29"/>
      <c r="P242" s="29"/>
      <c r="Q242" s="30"/>
      <c r="R242" s="29"/>
      <c r="S242" s="32"/>
      <c r="T242" s="29"/>
      <c r="U242" s="29"/>
      <c r="V242" s="24" t="str">
        <f aca="false">IF(A242="","",IFERROR(INDEX(Settings!$F$5:$F$49,MATCH(G242,Settings!$D$5:$D$49,0)),""))</f>
        <v/>
      </c>
      <c r="W242" s="24" t="str">
        <f aca="false">IF(A242="","",IF(OR(P242="",P242="Organic"),"social","paid_social"))</f>
        <v/>
      </c>
      <c r="X242" s="24" t="str">
        <f aca="false">IF(A242="","",IF(K242&lt;&gt;"",IFERROR(INDEX('Case Studies'!$C$5:$C$54,MATCH(K242,'Case Studies'!$B$5:$B$54,0))&amp;"","case-study"),IF(J242&lt;&gt;"",IFERROR(INDEX(Settings!$J$5:$J$55,MATCH(J242,Settings!$I$5:$I$55,0)),"general"),"general")))</f>
        <v/>
      </c>
      <c r="Y242" s="24" t="str">
        <f aca="false">IF(A242="","",LOWER(A242))</f>
        <v/>
      </c>
      <c r="Z242" s="24" t="str">
        <f aca="false">IF(A242="","",IF(T242="",Settings!$B$5,T242)&amp;IF(ISNUMBER(FIND("?",IF(T242="",Settings!$B$5,T242))),"&amp;","?")&amp;"utm_source="&amp;V242&amp;"&amp;utm_medium="&amp;W242&amp;"&amp;utm_campaign="&amp;X242&amp;"&amp;utm_content="&amp;Y242)</f>
        <v/>
      </c>
      <c r="AA242" s="29"/>
      <c r="AB242" s="39"/>
      <c r="AC242" s="32"/>
      <c r="AD242" s="32"/>
      <c r="AE242" s="32"/>
      <c r="AF242" s="32"/>
      <c r="AG242" s="32"/>
      <c r="AH242" s="32"/>
      <c r="AI242" s="32"/>
      <c r="AJ242" s="32"/>
      <c r="AK242" s="32"/>
      <c r="AL242" s="32"/>
      <c r="AM242" s="32"/>
      <c r="AN242" s="32"/>
      <c r="AO242" s="33" t="str">
        <f aca="false">IF(A242="","",IF(AD242&lt;&gt;"",AD242,IF(AC242&lt;&gt;"",AC242,"")))</f>
        <v/>
      </c>
      <c r="AP242" s="24" t="str">
        <f aca="false">IF(AO242="","",IF(AD242&lt;&gt;"","Reported reach","Impressions (proxy)"))</f>
        <v/>
      </c>
      <c r="AQ242" s="34" t="str">
        <f aca="false">IF(OR(AO242="",N(S242)=0),"",AO242/S242)</f>
        <v/>
      </c>
      <c r="AR242" s="33" t="str">
        <f aca="false">IF(A242="","",IF(COUNT(AF242:AJ242)=0,"",SUM(AF242:AJ242)))</f>
        <v/>
      </c>
      <c r="AS242" s="34" t="str">
        <f aca="false">IF(OR(AR242="",N(AO242)=0),"",AR242/AO242)</f>
        <v/>
      </c>
      <c r="AT242" s="34" t="str">
        <f aca="false">IF(OR(AR242="",N(AC242)=0),"",AR242/AC242)</f>
        <v/>
      </c>
      <c r="AU242" s="34" t="str">
        <f aca="false">IF(OR(AR242="",N(S242)=0),"",AR242/S242)</f>
        <v/>
      </c>
      <c r="AV242" s="34" t="str">
        <f aca="false">IF(OR(AJ242="",N(AC242)=0),"",AJ242/AC242)</f>
        <v/>
      </c>
      <c r="AW242" s="34" t="str">
        <f aca="false">IF(OR(AH242="",N(AO242)=0),"",AH242/AO242)</f>
        <v/>
      </c>
      <c r="AX242" s="35" t="str">
        <f aca="false">IF(OR(AR242="",N(AO242)=0),"",(N(AF242)*Settings!$B$6+N(AG242)*Settings!$B$7+N(AH242)*Settings!$B$8+N(AI242)*Settings!$B$9+N(AJ242)*Settings!$B$10)/AO242*1000)</f>
        <v/>
      </c>
      <c r="AY242" s="36" t="str">
        <f aca="false">IF(AS242="","",IFERROR(AS242/AVERAGEIFS('Post Tracker'!$AS$5:$AS$1004,'Post Tracker'!$G$5:$G$1004,G242),""))</f>
        <v/>
      </c>
      <c r="AZ242" s="32"/>
      <c r="BA242" s="32"/>
      <c r="BB242" s="32"/>
      <c r="BC242" s="32"/>
      <c r="BD242" s="33" t="str">
        <f aca="false">IF(A242="","",COUNTIFS('Demo Pipeline'!$Q$5:$Q$504,A242))</f>
        <v/>
      </c>
      <c r="BE242" s="33" t="str">
        <f aca="false">IF(A242="","",COUNTIFS('Demo Pipeline'!$Q$5:$Q$504,A242,'Demo Pipeline'!$W$5:$W$504,"Attended"))</f>
        <v/>
      </c>
      <c r="BF242" s="33" t="str">
        <f aca="false">IF(A242="","",COUNTIFS('Demo Pipeline'!$Q$5:$Q$504,A242,'Demo Pipeline'!$X$5:$X$504,"Yes"))</f>
        <v/>
      </c>
      <c r="BG242" s="33" t="str">
        <f aca="false">IF(A242="","",COUNTIFS('Demo Pipeline'!$Q$5:$Q$504,A242,'Demo Pipeline'!$Y$5:$Y$504,"Closed Won"))</f>
        <v/>
      </c>
      <c r="BH242" s="37" t="str">
        <f aca="false">IF(A242="","",SUMIFS('Demo Pipeline'!$Z$5:$Z$504,'Demo Pipeline'!$Q$5:$Q$504,A242))</f>
        <v/>
      </c>
      <c r="BI242" s="34" t="str">
        <f aca="false">IF(OR(AZ242="",N(AJ242)=0),"",AZ242/AJ242)</f>
        <v/>
      </c>
      <c r="BJ242" s="34" t="str">
        <f aca="false">IF(OR(BB242="",N(AZ242)=0),"",BB242/AZ242)</f>
        <v/>
      </c>
      <c r="BK242" s="34" t="str">
        <f aca="false">IF(OR(A242="",N(BB242)=0),"",BD242/BB242)</f>
        <v/>
      </c>
      <c r="BL242" s="34" t="str">
        <f aca="false">IF(OR(A242="",N(AZ242)=0),"",BD242/AZ242)</f>
        <v/>
      </c>
      <c r="BM242" s="37" t="str">
        <f aca="false">IF(OR(N(Q242)=0,N(BD242)=0),"",Q242/BD242)</f>
        <v/>
      </c>
      <c r="BN242" s="29"/>
      <c r="BO242" s="29"/>
      <c r="BP242" s="33" t="str">
        <f aca="false">IF(OR(AR242="",N(AO242)=0),"",AR242)</f>
        <v/>
      </c>
      <c r="BQ242" s="33" t="str">
        <f aca="false">IF(OR(AR242="",N(S242)=0),"",S242)</f>
        <v/>
      </c>
      <c r="BR242" s="38" t="str">
        <f aca="false">IF(AND(ISNUMBER(B242),B242&gt;=Dashboard!$C$4,B242&lt;=Dashboard!$F$4,ISNUMBER(AU242)),AU242+ROW()/10^9,"")</f>
        <v/>
      </c>
      <c r="BS242" s="38" t="str">
        <f aca="false">IF(AND(ISNUMBER(B242),B242&gt;=Dashboard!$C$4,B242&lt;=Dashboard!$F$4,A242&lt;&gt;""),N(BD242)+N(AU242)/100+ROW()/10^9,"")</f>
        <v/>
      </c>
    </row>
    <row r="243" customFormat="false" ht="15" hidden="false" customHeight="false" outlineLevel="0" collapsed="false">
      <c r="A243" s="24" t="str">
        <f aca="false">IF(OR(B243="",G243="",H243=""),"",IFERROR(INDEX(Settings!$E$5:$E$49,MATCH(G243,Settings!$D$5:$D$49,0))&amp;INDEX(Settings!$H$5:$H$47,MATCH(H243,Settings!$G$5:$G$47,0))&amp;"-"&amp;TEXT(B243,"yymmdd")&amp;"-"&amp;IF(C243="","0000",TEXT(C243,"hhmm")),"CHECK LISTS"))</f>
        <v/>
      </c>
      <c r="B243" s="39"/>
      <c r="C243" s="40"/>
      <c r="D243" s="24" t="str">
        <f aca="false">IF(B243="","",TEXT(B243,"ddd"))</f>
        <v/>
      </c>
      <c r="E243" s="27" t="str">
        <f aca="false">IF(B243="","",B243-WEEKDAY(B243,3))</f>
        <v/>
      </c>
      <c r="F243" s="24" t="str">
        <f aca="false">IF(B243="","",TEXT(B243,"yyyy-mm"))</f>
        <v/>
      </c>
      <c r="G243" s="29"/>
      <c r="H243" s="29"/>
      <c r="I243" s="29"/>
      <c r="J243" s="29"/>
      <c r="K243" s="29"/>
      <c r="L243" s="29"/>
      <c r="M243" s="29"/>
      <c r="N243" s="29"/>
      <c r="O243" s="29"/>
      <c r="P243" s="29"/>
      <c r="Q243" s="30"/>
      <c r="R243" s="29"/>
      <c r="S243" s="32"/>
      <c r="T243" s="29"/>
      <c r="U243" s="29"/>
      <c r="V243" s="24" t="str">
        <f aca="false">IF(A243="","",IFERROR(INDEX(Settings!$F$5:$F$49,MATCH(G243,Settings!$D$5:$D$49,0)),""))</f>
        <v/>
      </c>
      <c r="W243" s="24" t="str">
        <f aca="false">IF(A243="","",IF(OR(P243="",P243="Organic"),"social","paid_social"))</f>
        <v/>
      </c>
      <c r="X243" s="24" t="str">
        <f aca="false">IF(A243="","",IF(K243&lt;&gt;"",IFERROR(INDEX('Case Studies'!$C$5:$C$54,MATCH(K243,'Case Studies'!$B$5:$B$54,0))&amp;"","case-study"),IF(J243&lt;&gt;"",IFERROR(INDEX(Settings!$J$5:$J$55,MATCH(J243,Settings!$I$5:$I$55,0)),"general"),"general")))</f>
        <v/>
      </c>
      <c r="Y243" s="24" t="str">
        <f aca="false">IF(A243="","",LOWER(A243))</f>
        <v/>
      </c>
      <c r="Z243" s="24" t="str">
        <f aca="false">IF(A243="","",IF(T243="",Settings!$B$5,T243)&amp;IF(ISNUMBER(FIND("?",IF(T243="",Settings!$B$5,T243))),"&amp;","?")&amp;"utm_source="&amp;V243&amp;"&amp;utm_medium="&amp;W243&amp;"&amp;utm_campaign="&amp;X243&amp;"&amp;utm_content="&amp;Y243)</f>
        <v/>
      </c>
      <c r="AA243" s="29"/>
      <c r="AB243" s="39"/>
      <c r="AC243" s="32"/>
      <c r="AD243" s="32"/>
      <c r="AE243" s="32"/>
      <c r="AF243" s="32"/>
      <c r="AG243" s="32"/>
      <c r="AH243" s="32"/>
      <c r="AI243" s="32"/>
      <c r="AJ243" s="32"/>
      <c r="AK243" s="32"/>
      <c r="AL243" s="32"/>
      <c r="AM243" s="32"/>
      <c r="AN243" s="32"/>
      <c r="AO243" s="33" t="str">
        <f aca="false">IF(A243="","",IF(AD243&lt;&gt;"",AD243,IF(AC243&lt;&gt;"",AC243,"")))</f>
        <v/>
      </c>
      <c r="AP243" s="24" t="str">
        <f aca="false">IF(AO243="","",IF(AD243&lt;&gt;"","Reported reach","Impressions (proxy)"))</f>
        <v/>
      </c>
      <c r="AQ243" s="34" t="str">
        <f aca="false">IF(OR(AO243="",N(S243)=0),"",AO243/S243)</f>
        <v/>
      </c>
      <c r="AR243" s="33" t="str">
        <f aca="false">IF(A243="","",IF(COUNT(AF243:AJ243)=0,"",SUM(AF243:AJ243)))</f>
        <v/>
      </c>
      <c r="AS243" s="34" t="str">
        <f aca="false">IF(OR(AR243="",N(AO243)=0),"",AR243/AO243)</f>
        <v/>
      </c>
      <c r="AT243" s="34" t="str">
        <f aca="false">IF(OR(AR243="",N(AC243)=0),"",AR243/AC243)</f>
        <v/>
      </c>
      <c r="AU243" s="34" t="str">
        <f aca="false">IF(OR(AR243="",N(S243)=0),"",AR243/S243)</f>
        <v/>
      </c>
      <c r="AV243" s="34" t="str">
        <f aca="false">IF(OR(AJ243="",N(AC243)=0),"",AJ243/AC243)</f>
        <v/>
      </c>
      <c r="AW243" s="34" t="str">
        <f aca="false">IF(OR(AH243="",N(AO243)=0),"",AH243/AO243)</f>
        <v/>
      </c>
      <c r="AX243" s="35" t="str">
        <f aca="false">IF(OR(AR243="",N(AO243)=0),"",(N(AF243)*Settings!$B$6+N(AG243)*Settings!$B$7+N(AH243)*Settings!$B$8+N(AI243)*Settings!$B$9+N(AJ243)*Settings!$B$10)/AO243*1000)</f>
        <v/>
      </c>
      <c r="AY243" s="36" t="str">
        <f aca="false">IF(AS243="","",IFERROR(AS243/AVERAGEIFS('Post Tracker'!$AS$5:$AS$1004,'Post Tracker'!$G$5:$G$1004,G243),""))</f>
        <v/>
      </c>
      <c r="AZ243" s="32"/>
      <c r="BA243" s="32"/>
      <c r="BB243" s="32"/>
      <c r="BC243" s="32"/>
      <c r="BD243" s="33" t="str">
        <f aca="false">IF(A243="","",COUNTIFS('Demo Pipeline'!$Q$5:$Q$504,A243))</f>
        <v/>
      </c>
      <c r="BE243" s="33" t="str">
        <f aca="false">IF(A243="","",COUNTIFS('Demo Pipeline'!$Q$5:$Q$504,A243,'Demo Pipeline'!$W$5:$W$504,"Attended"))</f>
        <v/>
      </c>
      <c r="BF243" s="33" t="str">
        <f aca="false">IF(A243="","",COUNTIFS('Demo Pipeline'!$Q$5:$Q$504,A243,'Demo Pipeline'!$X$5:$X$504,"Yes"))</f>
        <v/>
      </c>
      <c r="BG243" s="33" t="str">
        <f aca="false">IF(A243="","",COUNTIFS('Demo Pipeline'!$Q$5:$Q$504,A243,'Demo Pipeline'!$Y$5:$Y$504,"Closed Won"))</f>
        <v/>
      </c>
      <c r="BH243" s="37" t="str">
        <f aca="false">IF(A243="","",SUMIFS('Demo Pipeline'!$Z$5:$Z$504,'Demo Pipeline'!$Q$5:$Q$504,A243))</f>
        <v/>
      </c>
      <c r="BI243" s="34" t="str">
        <f aca="false">IF(OR(AZ243="",N(AJ243)=0),"",AZ243/AJ243)</f>
        <v/>
      </c>
      <c r="BJ243" s="34" t="str">
        <f aca="false">IF(OR(BB243="",N(AZ243)=0),"",BB243/AZ243)</f>
        <v/>
      </c>
      <c r="BK243" s="34" t="str">
        <f aca="false">IF(OR(A243="",N(BB243)=0),"",BD243/BB243)</f>
        <v/>
      </c>
      <c r="BL243" s="34" t="str">
        <f aca="false">IF(OR(A243="",N(AZ243)=0),"",BD243/AZ243)</f>
        <v/>
      </c>
      <c r="BM243" s="37" t="str">
        <f aca="false">IF(OR(N(Q243)=0,N(BD243)=0),"",Q243/BD243)</f>
        <v/>
      </c>
      <c r="BN243" s="29"/>
      <c r="BO243" s="29"/>
      <c r="BP243" s="33" t="str">
        <f aca="false">IF(OR(AR243="",N(AO243)=0),"",AR243)</f>
        <v/>
      </c>
      <c r="BQ243" s="33" t="str">
        <f aca="false">IF(OR(AR243="",N(S243)=0),"",S243)</f>
        <v/>
      </c>
      <c r="BR243" s="38" t="str">
        <f aca="false">IF(AND(ISNUMBER(B243),B243&gt;=Dashboard!$C$4,B243&lt;=Dashboard!$F$4,ISNUMBER(AU243)),AU243+ROW()/10^9,"")</f>
        <v/>
      </c>
      <c r="BS243" s="38" t="str">
        <f aca="false">IF(AND(ISNUMBER(B243),B243&gt;=Dashboard!$C$4,B243&lt;=Dashboard!$F$4,A243&lt;&gt;""),N(BD243)+N(AU243)/100+ROW()/10^9,"")</f>
        <v/>
      </c>
    </row>
    <row r="244" customFormat="false" ht="15" hidden="false" customHeight="false" outlineLevel="0" collapsed="false">
      <c r="A244" s="24" t="str">
        <f aca="false">IF(OR(B244="",G244="",H244=""),"",IFERROR(INDEX(Settings!$E$5:$E$49,MATCH(G244,Settings!$D$5:$D$49,0))&amp;INDEX(Settings!$H$5:$H$47,MATCH(H244,Settings!$G$5:$G$47,0))&amp;"-"&amp;TEXT(B244,"yymmdd")&amp;"-"&amp;IF(C244="","0000",TEXT(C244,"hhmm")),"CHECK LISTS"))</f>
        <v/>
      </c>
      <c r="B244" s="39"/>
      <c r="C244" s="40"/>
      <c r="D244" s="24" t="str">
        <f aca="false">IF(B244="","",TEXT(B244,"ddd"))</f>
        <v/>
      </c>
      <c r="E244" s="27" t="str">
        <f aca="false">IF(B244="","",B244-WEEKDAY(B244,3))</f>
        <v/>
      </c>
      <c r="F244" s="24" t="str">
        <f aca="false">IF(B244="","",TEXT(B244,"yyyy-mm"))</f>
        <v/>
      </c>
      <c r="G244" s="29"/>
      <c r="H244" s="29"/>
      <c r="I244" s="29"/>
      <c r="J244" s="29"/>
      <c r="K244" s="29"/>
      <c r="L244" s="29"/>
      <c r="M244" s="29"/>
      <c r="N244" s="29"/>
      <c r="O244" s="29"/>
      <c r="P244" s="29"/>
      <c r="Q244" s="30"/>
      <c r="R244" s="29"/>
      <c r="S244" s="32"/>
      <c r="T244" s="29"/>
      <c r="U244" s="29"/>
      <c r="V244" s="24" t="str">
        <f aca="false">IF(A244="","",IFERROR(INDEX(Settings!$F$5:$F$49,MATCH(G244,Settings!$D$5:$D$49,0)),""))</f>
        <v/>
      </c>
      <c r="W244" s="24" t="str">
        <f aca="false">IF(A244="","",IF(OR(P244="",P244="Organic"),"social","paid_social"))</f>
        <v/>
      </c>
      <c r="X244" s="24" t="str">
        <f aca="false">IF(A244="","",IF(K244&lt;&gt;"",IFERROR(INDEX('Case Studies'!$C$5:$C$54,MATCH(K244,'Case Studies'!$B$5:$B$54,0))&amp;"","case-study"),IF(J244&lt;&gt;"",IFERROR(INDEX(Settings!$J$5:$J$55,MATCH(J244,Settings!$I$5:$I$55,0)),"general"),"general")))</f>
        <v/>
      </c>
      <c r="Y244" s="24" t="str">
        <f aca="false">IF(A244="","",LOWER(A244))</f>
        <v/>
      </c>
      <c r="Z244" s="24" t="str">
        <f aca="false">IF(A244="","",IF(T244="",Settings!$B$5,T244)&amp;IF(ISNUMBER(FIND("?",IF(T244="",Settings!$B$5,T244))),"&amp;","?")&amp;"utm_source="&amp;V244&amp;"&amp;utm_medium="&amp;W244&amp;"&amp;utm_campaign="&amp;X244&amp;"&amp;utm_content="&amp;Y244)</f>
        <v/>
      </c>
      <c r="AA244" s="29"/>
      <c r="AB244" s="39"/>
      <c r="AC244" s="32"/>
      <c r="AD244" s="32"/>
      <c r="AE244" s="32"/>
      <c r="AF244" s="32"/>
      <c r="AG244" s="32"/>
      <c r="AH244" s="32"/>
      <c r="AI244" s="32"/>
      <c r="AJ244" s="32"/>
      <c r="AK244" s="32"/>
      <c r="AL244" s="32"/>
      <c r="AM244" s="32"/>
      <c r="AN244" s="32"/>
      <c r="AO244" s="33" t="str">
        <f aca="false">IF(A244="","",IF(AD244&lt;&gt;"",AD244,IF(AC244&lt;&gt;"",AC244,"")))</f>
        <v/>
      </c>
      <c r="AP244" s="24" t="str">
        <f aca="false">IF(AO244="","",IF(AD244&lt;&gt;"","Reported reach","Impressions (proxy)"))</f>
        <v/>
      </c>
      <c r="AQ244" s="34" t="str">
        <f aca="false">IF(OR(AO244="",N(S244)=0),"",AO244/S244)</f>
        <v/>
      </c>
      <c r="AR244" s="33" t="str">
        <f aca="false">IF(A244="","",IF(COUNT(AF244:AJ244)=0,"",SUM(AF244:AJ244)))</f>
        <v/>
      </c>
      <c r="AS244" s="34" t="str">
        <f aca="false">IF(OR(AR244="",N(AO244)=0),"",AR244/AO244)</f>
        <v/>
      </c>
      <c r="AT244" s="34" t="str">
        <f aca="false">IF(OR(AR244="",N(AC244)=0),"",AR244/AC244)</f>
        <v/>
      </c>
      <c r="AU244" s="34" t="str">
        <f aca="false">IF(OR(AR244="",N(S244)=0),"",AR244/S244)</f>
        <v/>
      </c>
      <c r="AV244" s="34" t="str">
        <f aca="false">IF(OR(AJ244="",N(AC244)=0),"",AJ244/AC244)</f>
        <v/>
      </c>
      <c r="AW244" s="34" t="str">
        <f aca="false">IF(OR(AH244="",N(AO244)=0),"",AH244/AO244)</f>
        <v/>
      </c>
      <c r="AX244" s="35" t="str">
        <f aca="false">IF(OR(AR244="",N(AO244)=0),"",(N(AF244)*Settings!$B$6+N(AG244)*Settings!$B$7+N(AH244)*Settings!$B$8+N(AI244)*Settings!$B$9+N(AJ244)*Settings!$B$10)/AO244*1000)</f>
        <v/>
      </c>
      <c r="AY244" s="36" t="str">
        <f aca="false">IF(AS244="","",IFERROR(AS244/AVERAGEIFS('Post Tracker'!$AS$5:$AS$1004,'Post Tracker'!$G$5:$G$1004,G244),""))</f>
        <v/>
      </c>
      <c r="AZ244" s="32"/>
      <c r="BA244" s="32"/>
      <c r="BB244" s="32"/>
      <c r="BC244" s="32"/>
      <c r="BD244" s="33" t="str">
        <f aca="false">IF(A244="","",COUNTIFS('Demo Pipeline'!$Q$5:$Q$504,A244))</f>
        <v/>
      </c>
      <c r="BE244" s="33" t="str">
        <f aca="false">IF(A244="","",COUNTIFS('Demo Pipeline'!$Q$5:$Q$504,A244,'Demo Pipeline'!$W$5:$W$504,"Attended"))</f>
        <v/>
      </c>
      <c r="BF244" s="33" t="str">
        <f aca="false">IF(A244="","",COUNTIFS('Demo Pipeline'!$Q$5:$Q$504,A244,'Demo Pipeline'!$X$5:$X$504,"Yes"))</f>
        <v/>
      </c>
      <c r="BG244" s="33" t="str">
        <f aca="false">IF(A244="","",COUNTIFS('Demo Pipeline'!$Q$5:$Q$504,A244,'Demo Pipeline'!$Y$5:$Y$504,"Closed Won"))</f>
        <v/>
      </c>
      <c r="BH244" s="37" t="str">
        <f aca="false">IF(A244="","",SUMIFS('Demo Pipeline'!$Z$5:$Z$504,'Demo Pipeline'!$Q$5:$Q$504,A244))</f>
        <v/>
      </c>
      <c r="BI244" s="34" t="str">
        <f aca="false">IF(OR(AZ244="",N(AJ244)=0),"",AZ244/AJ244)</f>
        <v/>
      </c>
      <c r="BJ244" s="34" t="str">
        <f aca="false">IF(OR(BB244="",N(AZ244)=0),"",BB244/AZ244)</f>
        <v/>
      </c>
      <c r="BK244" s="34" t="str">
        <f aca="false">IF(OR(A244="",N(BB244)=0),"",BD244/BB244)</f>
        <v/>
      </c>
      <c r="BL244" s="34" t="str">
        <f aca="false">IF(OR(A244="",N(AZ244)=0),"",BD244/AZ244)</f>
        <v/>
      </c>
      <c r="BM244" s="37" t="str">
        <f aca="false">IF(OR(N(Q244)=0,N(BD244)=0),"",Q244/BD244)</f>
        <v/>
      </c>
      <c r="BN244" s="29"/>
      <c r="BO244" s="29"/>
      <c r="BP244" s="33" t="str">
        <f aca="false">IF(OR(AR244="",N(AO244)=0),"",AR244)</f>
        <v/>
      </c>
      <c r="BQ244" s="33" t="str">
        <f aca="false">IF(OR(AR244="",N(S244)=0),"",S244)</f>
        <v/>
      </c>
      <c r="BR244" s="38" t="str">
        <f aca="false">IF(AND(ISNUMBER(B244),B244&gt;=Dashboard!$C$4,B244&lt;=Dashboard!$F$4,ISNUMBER(AU244)),AU244+ROW()/10^9,"")</f>
        <v/>
      </c>
      <c r="BS244" s="38" t="str">
        <f aca="false">IF(AND(ISNUMBER(B244),B244&gt;=Dashboard!$C$4,B244&lt;=Dashboard!$F$4,A244&lt;&gt;""),N(BD244)+N(AU244)/100+ROW()/10^9,"")</f>
        <v/>
      </c>
    </row>
    <row r="245" customFormat="false" ht="15" hidden="false" customHeight="false" outlineLevel="0" collapsed="false">
      <c r="A245" s="24" t="str">
        <f aca="false">IF(OR(B245="",G245="",H245=""),"",IFERROR(INDEX(Settings!$E$5:$E$49,MATCH(G245,Settings!$D$5:$D$49,0))&amp;INDEX(Settings!$H$5:$H$47,MATCH(H245,Settings!$G$5:$G$47,0))&amp;"-"&amp;TEXT(B245,"yymmdd")&amp;"-"&amp;IF(C245="","0000",TEXT(C245,"hhmm")),"CHECK LISTS"))</f>
        <v/>
      </c>
      <c r="B245" s="39"/>
      <c r="C245" s="40"/>
      <c r="D245" s="24" t="str">
        <f aca="false">IF(B245="","",TEXT(B245,"ddd"))</f>
        <v/>
      </c>
      <c r="E245" s="27" t="str">
        <f aca="false">IF(B245="","",B245-WEEKDAY(B245,3))</f>
        <v/>
      </c>
      <c r="F245" s="24" t="str">
        <f aca="false">IF(B245="","",TEXT(B245,"yyyy-mm"))</f>
        <v/>
      </c>
      <c r="G245" s="29"/>
      <c r="H245" s="29"/>
      <c r="I245" s="29"/>
      <c r="J245" s="29"/>
      <c r="K245" s="29"/>
      <c r="L245" s="29"/>
      <c r="M245" s="29"/>
      <c r="N245" s="29"/>
      <c r="O245" s="29"/>
      <c r="P245" s="29"/>
      <c r="Q245" s="30"/>
      <c r="R245" s="29"/>
      <c r="S245" s="32"/>
      <c r="T245" s="29"/>
      <c r="U245" s="29"/>
      <c r="V245" s="24" t="str">
        <f aca="false">IF(A245="","",IFERROR(INDEX(Settings!$F$5:$F$49,MATCH(G245,Settings!$D$5:$D$49,0)),""))</f>
        <v/>
      </c>
      <c r="W245" s="24" t="str">
        <f aca="false">IF(A245="","",IF(OR(P245="",P245="Organic"),"social","paid_social"))</f>
        <v/>
      </c>
      <c r="X245" s="24" t="str">
        <f aca="false">IF(A245="","",IF(K245&lt;&gt;"",IFERROR(INDEX('Case Studies'!$C$5:$C$54,MATCH(K245,'Case Studies'!$B$5:$B$54,0))&amp;"","case-study"),IF(J245&lt;&gt;"",IFERROR(INDEX(Settings!$J$5:$J$55,MATCH(J245,Settings!$I$5:$I$55,0)),"general"),"general")))</f>
        <v/>
      </c>
      <c r="Y245" s="24" t="str">
        <f aca="false">IF(A245="","",LOWER(A245))</f>
        <v/>
      </c>
      <c r="Z245" s="24" t="str">
        <f aca="false">IF(A245="","",IF(T245="",Settings!$B$5,T245)&amp;IF(ISNUMBER(FIND("?",IF(T245="",Settings!$B$5,T245))),"&amp;","?")&amp;"utm_source="&amp;V245&amp;"&amp;utm_medium="&amp;W245&amp;"&amp;utm_campaign="&amp;X245&amp;"&amp;utm_content="&amp;Y245)</f>
        <v/>
      </c>
      <c r="AA245" s="29"/>
      <c r="AB245" s="39"/>
      <c r="AC245" s="32"/>
      <c r="AD245" s="32"/>
      <c r="AE245" s="32"/>
      <c r="AF245" s="32"/>
      <c r="AG245" s="32"/>
      <c r="AH245" s="32"/>
      <c r="AI245" s="32"/>
      <c r="AJ245" s="32"/>
      <c r="AK245" s="32"/>
      <c r="AL245" s="32"/>
      <c r="AM245" s="32"/>
      <c r="AN245" s="32"/>
      <c r="AO245" s="33" t="str">
        <f aca="false">IF(A245="","",IF(AD245&lt;&gt;"",AD245,IF(AC245&lt;&gt;"",AC245,"")))</f>
        <v/>
      </c>
      <c r="AP245" s="24" t="str">
        <f aca="false">IF(AO245="","",IF(AD245&lt;&gt;"","Reported reach","Impressions (proxy)"))</f>
        <v/>
      </c>
      <c r="AQ245" s="34" t="str">
        <f aca="false">IF(OR(AO245="",N(S245)=0),"",AO245/S245)</f>
        <v/>
      </c>
      <c r="AR245" s="33" t="str">
        <f aca="false">IF(A245="","",IF(COUNT(AF245:AJ245)=0,"",SUM(AF245:AJ245)))</f>
        <v/>
      </c>
      <c r="AS245" s="34" t="str">
        <f aca="false">IF(OR(AR245="",N(AO245)=0),"",AR245/AO245)</f>
        <v/>
      </c>
      <c r="AT245" s="34" t="str">
        <f aca="false">IF(OR(AR245="",N(AC245)=0),"",AR245/AC245)</f>
        <v/>
      </c>
      <c r="AU245" s="34" t="str">
        <f aca="false">IF(OR(AR245="",N(S245)=0),"",AR245/S245)</f>
        <v/>
      </c>
      <c r="AV245" s="34" t="str">
        <f aca="false">IF(OR(AJ245="",N(AC245)=0),"",AJ245/AC245)</f>
        <v/>
      </c>
      <c r="AW245" s="34" t="str">
        <f aca="false">IF(OR(AH245="",N(AO245)=0),"",AH245/AO245)</f>
        <v/>
      </c>
      <c r="AX245" s="35" t="str">
        <f aca="false">IF(OR(AR245="",N(AO245)=0),"",(N(AF245)*Settings!$B$6+N(AG245)*Settings!$B$7+N(AH245)*Settings!$B$8+N(AI245)*Settings!$B$9+N(AJ245)*Settings!$B$10)/AO245*1000)</f>
        <v/>
      </c>
      <c r="AY245" s="36" t="str">
        <f aca="false">IF(AS245="","",IFERROR(AS245/AVERAGEIFS('Post Tracker'!$AS$5:$AS$1004,'Post Tracker'!$G$5:$G$1004,G245),""))</f>
        <v/>
      </c>
      <c r="AZ245" s="32"/>
      <c r="BA245" s="32"/>
      <c r="BB245" s="32"/>
      <c r="BC245" s="32"/>
      <c r="BD245" s="33" t="str">
        <f aca="false">IF(A245="","",COUNTIFS('Demo Pipeline'!$Q$5:$Q$504,A245))</f>
        <v/>
      </c>
      <c r="BE245" s="33" t="str">
        <f aca="false">IF(A245="","",COUNTIFS('Demo Pipeline'!$Q$5:$Q$504,A245,'Demo Pipeline'!$W$5:$W$504,"Attended"))</f>
        <v/>
      </c>
      <c r="BF245" s="33" t="str">
        <f aca="false">IF(A245="","",COUNTIFS('Demo Pipeline'!$Q$5:$Q$504,A245,'Demo Pipeline'!$X$5:$X$504,"Yes"))</f>
        <v/>
      </c>
      <c r="BG245" s="33" t="str">
        <f aca="false">IF(A245="","",COUNTIFS('Demo Pipeline'!$Q$5:$Q$504,A245,'Demo Pipeline'!$Y$5:$Y$504,"Closed Won"))</f>
        <v/>
      </c>
      <c r="BH245" s="37" t="str">
        <f aca="false">IF(A245="","",SUMIFS('Demo Pipeline'!$Z$5:$Z$504,'Demo Pipeline'!$Q$5:$Q$504,A245))</f>
        <v/>
      </c>
      <c r="BI245" s="34" t="str">
        <f aca="false">IF(OR(AZ245="",N(AJ245)=0),"",AZ245/AJ245)</f>
        <v/>
      </c>
      <c r="BJ245" s="34" t="str">
        <f aca="false">IF(OR(BB245="",N(AZ245)=0),"",BB245/AZ245)</f>
        <v/>
      </c>
      <c r="BK245" s="34" t="str">
        <f aca="false">IF(OR(A245="",N(BB245)=0),"",BD245/BB245)</f>
        <v/>
      </c>
      <c r="BL245" s="34" t="str">
        <f aca="false">IF(OR(A245="",N(AZ245)=0),"",BD245/AZ245)</f>
        <v/>
      </c>
      <c r="BM245" s="37" t="str">
        <f aca="false">IF(OR(N(Q245)=0,N(BD245)=0),"",Q245/BD245)</f>
        <v/>
      </c>
      <c r="BN245" s="29"/>
      <c r="BO245" s="29"/>
      <c r="BP245" s="33" t="str">
        <f aca="false">IF(OR(AR245="",N(AO245)=0),"",AR245)</f>
        <v/>
      </c>
      <c r="BQ245" s="33" t="str">
        <f aca="false">IF(OR(AR245="",N(S245)=0),"",S245)</f>
        <v/>
      </c>
      <c r="BR245" s="38" t="str">
        <f aca="false">IF(AND(ISNUMBER(B245),B245&gt;=Dashboard!$C$4,B245&lt;=Dashboard!$F$4,ISNUMBER(AU245)),AU245+ROW()/10^9,"")</f>
        <v/>
      </c>
      <c r="BS245" s="38" t="str">
        <f aca="false">IF(AND(ISNUMBER(B245),B245&gt;=Dashboard!$C$4,B245&lt;=Dashboard!$F$4,A245&lt;&gt;""),N(BD245)+N(AU245)/100+ROW()/10^9,"")</f>
        <v/>
      </c>
    </row>
    <row r="246" customFormat="false" ht="15" hidden="false" customHeight="false" outlineLevel="0" collapsed="false">
      <c r="A246" s="24" t="str">
        <f aca="false">IF(OR(B246="",G246="",H246=""),"",IFERROR(INDEX(Settings!$E$5:$E$49,MATCH(G246,Settings!$D$5:$D$49,0))&amp;INDEX(Settings!$H$5:$H$47,MATCH(H246,Settings!$G$5:$G$47,0))&amp;"-"&amp;TEXT(B246,"yymmdd")&amp;"-"&amp;IF(C246="","0000",TEXT(C246,"hhmm")),"CHECK LISTS"))</f>
        <v/>
      </c>
      <c r="B246" s="39"/>
      <c r="C246" s="40"/>
      <c r="D246" s="24" t="str">
        <f aca="false">IF(B246="","",TEXT(B246,"ddd"))</f>
        <v/>
      </c>
      <c r="E246" s="27" t="str">
        <f aca="false">IF(B246="","",B246-WEEKDAY(B246,3))</f>
        <v/>
      </c>
      <c r="F246" s="24" t="str">
        <f aca="false">IF(B246="","",TEXT(B246,"yyyy-mm"))</f>
        <v/>
      </c>
      <c r="G246" s="29"/>
      <c r="H246" s="29"/>
      <c r="I246" s="29"/>
      <c r="J246" s="29"/>
      <c r="K246" s="29"/>
      <c r="L246" s="29"/>
      <c r="M246" s="29"/>
      <c r="N246" s="29"/>
      <c r="O246" s="29"/>
      <c r="P246" s="29"/>
      <c r="Q246" s="30"/>
      <c r="R246" s="29"/>
      <c r="S246" s="32"/>
      <c r="T246" s="29"/>
      <c r="U246" s="29"/>
      <c r="V246" s="24" t="str">
        <f aca="false">IF(A246="","",IFERROR(INDEX(Settings!$F$5:$F$49,MATCH(G246,Settings!$D$5:$D$49,0)),""))</f>
        <v/>
      </c>
      <c r="W246" s="24" t="str">
        <f aca="false">IF(A246="","",IF(OR(P246="",P246="Organic"),"social","paid_social"))</f>
        <v/>
      </c>
      <c r="X246" s="24" t="str">
        <f aca="false">IF(A246="","",IF(K246&lt;&gt;"",IFERROR(INDEX('Case Studies'!$C$5:$C$54,MATCH(K246,'Case Studies'!$B$5:$B$54,0))&amp;"","case-study"),IF(J246&lt;&gt;"",IFERROR(INDEX(Settings!$J$5:$J$55,MATCH(J246,Settings!$I$5:$I$55,0)),"general"),"general")))</f>
        <v/>
      </c>
      <c r="Y246" s="24" t="str">
        <f aca="false">IF(A246="","",LOWER(A246))</f>
        <v/>
      </c>
      <c r="Z246" s="24" t="str">
        <f aca="false">IF(A246="","",IF(T246="",Settings!$B$5,T246)&amp;IF(ISNUMBER(FIND("?",IF(T246="",Settings!$B$5,T246))),"&amp;","?")&amp;"utm_source="&amp;V246&amp;"&amp;utm_medium="&amp;W246&amp;"&amp;utm_campaign="&amp;X246&amp;"&amp;utm_content="&amp;Y246)</f>
        <v/>
      </c>
      <c r="AA246" s="29"/>
      <c r="AB246" s="39"/>
      <c r="AC246" s="32"/>
      <c r="AD246" s="32"/>
      <c r="AE246" s="32"/>
      <c r="AF246" s="32"/>
      <c r="AG246" s="32"/>
      <c r="AH246" s="32"/>
      <c r="AI246" s="32"/>
      <c r="AJ246" s="32"/>
      <c r="AK246" s="32"/>
      <c r="AL246" s="32"/>
      <c r="AM246" s="32"/>
      <c r="AN246" s="32"/>
      <c r="AO246" s="33" t="str">
        <f aca="false">IF(A246="","",IF(AD246&lt;&gt;"",AD246,IF(AC246&lt;&gt;"",AC246,"")))</f>
        <v/>
      </c>
      <c r="AP246" s="24" t="str">
        <f aca="false">IF(AO246="","",IF(AD246&lt;&gt;"","Reported reach","Impressions (proxy)"))</f>
        <v/>
      </c>
      <c r="AQ246" s="34" t="str">
        <f aca="false">IF(OR(AO246="",N(S246)=0),"",AO246/S246)</f>
        <v/>
      </c>
      <c r="AR246" s="33" t="str">
        <f aca="false">IF(A246="","",IF(COUNT(AF246:AJ246)=0,"",SUM(AF246:AJ246)))</f>
        <v/>
      </c>
      <c r="AS246" s="34" t="str">
        <f aca="false">IF(OR(AR246="",N(AO246)=0),"",AR246/AO246)</f>
        <v/>
      </c>
      <c r="AT246" s="34" t="str">
        <f aca="false">IF(OR(AR246="",N(AC246)=0),"",AR246/AC246)</f>
        <v/>
      </c>
      <c r="AU246" s="34" t="str">
        <f aca="false">IF(OR(AR246="",N(S246)=0),"",AR246/S246)</f>
        <v/>
      </c>
      <c r="AV246" s="34" t="str">
        <f aca="false">IF(OR(AJ246="",N(AC246)=0),"",AJ246/AC246)</f>
        <v/>
      </c>
      <c r="AW246" s="34" t="str">
        <f aca="false">IF(OR(AH246="",N(AO246)=0),"",AH246/AO246)</f>
        <v/>
      </c>
      <c r="AX246" s="35" t="str">
        <f aca="false">IF(OR(AR246="",N(AO246)=0),"",(N(AF246)*Settings!$B$6+N(AG246)*Settings!$B$7+N(AH246)*Settings!$B$8+N(AI246)*Settings!$B$9+N(AJ246)*Settings!$B$10)/AO246*1000)</f>
        <v/>
      </c>
      <c r="AY246" s="36" t="str">
        <f aca="false">IF(AS246="","",IFERROR(AS246/AVERAGEIFS('Post Tracker'!$AS$5:$AS$1004,'Post Tracker'!$G$5:$G$1004,G246),""))</f>
        <v/>
      </c>
      <c r="AZ246" s="32"/>
      <c r="BA246" s="32"/>
      <c r="BB246" s="32"/>
      <c r="BC246" s="32"/>
      <c r="BD246" s="33" t="str">
        <f aca="false">IF(A246="","",COUNTIFS('Demo Pipeline'!$Q$5:$Q$504,A246))</f>
        <v/>
      </c>
      <c r="BE246" s="33" t="str">
        <f aca="false">IF(A246="","",COUNTIFS('Demo Pipeline'!$Q$5:$Q$504,A246,'Demo Pipeline'!$W$5:$W$504,"Attended"))</f>
        <v/>
      </c>
      <c r="BF246" s="33" t="str">
        <f aca="false">IF(A246="","",COUNTIFS('Demo Pipeline'!$Q$5:$Q$504,A246,'Demo Pipeline'!$X$5:$X$504,"Yes"))</f>
        <v/>
      </c>
      <c r="BG246" s="33" t="str">
        <f aca="false">IF(A246="","",COUNTIFS('Demo Pipeline'!$Q$5:$Q$504,A246,'Demo Pipeline'!$Y$5:$Y$504,"Closed Won"))</f>
        <v/>
      </c>
      <c r="BH246" s="37" t="str">
        <f aca="false">IF(A246="","",SUMIFS('Demo Pipeline'!$Z$5:$Z$504,'Demo Pipeline'!$Q$5:$Q$504,A246))</f>
        <v/>
      </c>
      <c r="BI246" s="34" t="str">
        <f aca="false">IF(OR(AZ246="",N(AJ246)=0),"",AZ246/AJ246)</f>
        <v/>
      </c>
      <c r="BJ246" s="34" t="str">
        <f aca="false">IF(OR(BB246="",N(AZ246)=0),"",BB246/AZ246)</f>
        <v/>
      </c>
      <c r="BK246" s="34" t="str">
        <f aca="false">IF(OR(A246="",N(BB246)=0),"",BD246/BB246)</f>
        <v/>
      </c>
      <c r="BL246" s="34" t="str">
        <f aca="false">IF(OR(A246="",N(AZ246)=0),"",BD246/AZ246)</f>
        <v/>
      </c>
      <c r="BM246" s="37" t="str">
        <f aca="false">IF(OR(N(Q246)=0,N(BD246)=0),"",Q246/BD246)</f>
        <v/>
      </c>
      <c r="BN246" s="29"/>
      <c r="BO246" s="29"/>
      <c r="BP246" s="33" t="str">
        <f aca="false">IF(OR(AR246="",N(AO246)=0),"",AR246)</f>
        <v/>
      </c>
      <c r="BQ246" s="33" t="str">
        <f aca="false">IF(OR(AR246="",N(S246)=0),"",S246)</f>
        <v/>
      </c>
      <c r="BR246" s="38" t="str">
        <f aca="false">IF(AND(ISNUMBER(B246),B246&gt;=Dashboard!$C$4,B246&lt;=Dashboard!$F$4,ISNUMBER(AU246)),AU246+ROW()/10^9,"")</f>
        <v/>
      </c>
      <c r="BS246" s="38" t="str">
        <f aca="false">IF(AND(ISNUMBER(B246),B246&gt;=Dashboard!$C$4,B246&lt;=Dashboard!$F$4,A246&lt;&gt;""),N(BD246)+N(AU246)/100+ROW()/10^9,"")</f>
        <v/>
      </c>
    </row>
    <row r="247" customFormat="false" ht="15" hidden="false" customHeight="false" outlineLevel="0" collapsed="false">
      <c r="A247" s="24" t="str">
        <f aca="false">IF(OR(B247="",G247="",H247=""),"",IFERROR(INDEX(Settings!$E$5:$E$49,MATCH(G247,Settings!$D$5:$D$49,0))&amp;INDEX(Settings!$H$5:$H$47,MATCH(H247,Settings!$G$5:$G$47,0))&amp;"-"&amp;TEXT(B247,"yymmdd")&amp;"-"&amp;IF(C247="","0000",TEXT(C247,"hhmm")),"CHECK LISTS"))</f>
        <v/>
      </c>
      <c r="B247" s="39"/>
      <c r="C247" s="40"/>
      <c r="D247" s="24" t="str">
        <f aca="false">IF(B247="","",TEXT(B247,"ddd"))</f>
        <v/>
      </c>
      <c r="E247" s="27" t="str">
        <f aca="false">IF(B247="","",B247-WEEKDAY(B247,3))</f>
        <v/>
      </c>
      <c r="F247" s="24" t="str">
        <f aca="false">IF(B247="","",TEXT(B247,"yyyy-mm"))</f>
        <v/>
      </c>
      <c r="G247" s="29"/>
      <c r="H247" s="29"/>
      <c r="I247" s="29"/>
      <c r="J247" s="29"/>
      <c r="K247" s="29"/>
      <c r="L247" s="29"/>
      <c r="M247" s="29"/>
      <c r="N247" s="29"/>
      <c r="O247" s="29"/>
      <c r="P247" s="29"/>
      <c r="Q247" s="30"/>
      <c r="R247" s="29"/>
      <c r="S247" s="32"/>
      <c r="T247" s="29"/>
      <c r="U247" s="29"/>
      <c r="V247" s="24" t="str">
        <f aca="false">IF(A247="","",IFERROR(INDEX(Settings!$F$5:$F$49,MATCH(G247,Settings!$D$5:$D$49,0)),""))</f>
        <v/>
      </c>
      <c r="W247" s="24" t="str">
        <f aca="false">IF(A247="","",IF(OR(P247="",P247="Organic"),"social","paid_social"))</f>
        <v/>
      </c>
      <c r="X247" s="24" t="str">
        <f aca="false">IF(A247="","",IF(K247&lt;&gt;"",IFERROR(INDEX('Case Studies'!$C$5:$C$54,MATCH(K247,'Case Studies'!$B$5:$B$54,0))&amp;"","case-study"),IF(J247&lt;&gt;"",IFERROR(INDEX(Settings!$J$5:$J$55,MATCH(J247,Settings!$I$5:$I$55,0)),"general"),"general")))</f>
        <v/>
      </c>
      <c r="Y247" s="24" t="str">
        <f aca="false">IF(A247="","",LOWER(A247))</f>
        <v/>
      </c>
      <c r="Z247" s="24" t="str">
        <f aca="false">IF(A247="","",IF(T247="",Settings!$B$5,T247)&amp;IF(ISNUMBER(FIND("?",IF(T247="",Settings!$B$5,T247))),"&amp;","?")&amp;"utm_source="&amp;V247&amp;"&amp;utm_medium="&amp;W247&amp;"&amp;utm_campaign="&amp;X247&amp;"&amp;utm_content="&amp;Y247)</f>
        <v/>
      </c>
      <c r="AA247" s="29"/>
      <c r="AB247" s="39"/>
      <c r="AC247" s="32"/>
      <c r="AD247" s="32"/>
      <c r="AE247" s="32"/>
      <c r="AF247" s="32"/>
      <c r="AG247" s="32"/>
      <c r="AH247" s="32"/>
      <c r="AI247" s="32"/>
      <c r="AJ247" s="32"/>
      <c r="AK247" s="32"/>
      <c r="AL247" s="32"/>
      <c r="AM247" s="32"/>
      <c r="AN247" s="32"/>
      <c r="AO247" s="33" t="str">
        <f aca="false">IF(A247="","",IF(AD247&lt;&gt;"",AD247,IF(AC247&lt;&gt;"",AC247,"")))</f>
        <v/>
      </c>
      <c r="AP247" s="24" t="str">
        <f aca="false">IF(AO247="","",IF(AD247&lt;&gt;"","Reported reach","Impressions (proxy)"))</f>
        <v/>
      </c>
      <c r="AQ247" s="34" t="str">
        <f aca="false">IF(OR(AO247="",N(S247)=0),"",AO247/S247)</f>
        <v/>
      </c>
      <c r="AR247" s="33" t="str">
        <f aca="false">IF(A247="","",IF(COUNT(AF247:AJ247)=0,"",SUM(AF247:AJ247)))</f>
        <v/>
      </c>
      <c r="AS247" s="34" t="str">
        <f aca="false">IF(OR(AR247="",N(AO247)=0),"",AR247/AO247)</f>
        <v/>
      </c>
      <c r="AT247" s="34" t="str">
        <f aca="false">IF(OR(AR247="",N(AC247)=0),"",AR247/AC247)</f>
        <v/>
      </c>
      <c r="AU247" s="34" t="str">
        <f aca="false">IF(OR(AR247="",N(S247)=0),"",AR247/S247)</f>
        <v/>
      </c>
      <c r="AV247" s="34" t="str">
        <f aca="false">IF(OR(AJ247="",N(AC247)=0),"",AJ247/AC247)</f>
        <v/>
      </c>
      <c r="AW247" s="34" t="str">
        <f aca="false">IF(OR(AH247="",N(AO247)=0),"",AH247/AO247)</f>
        <v/>
      </c>
      <c r="AX247" s="35" t="str">
        <f aca="false">IF(OR(AR247="",N(AO247)=0),"",(N(AF247)*Settings!$B$6+N(AG247)*Settings!$B$7+N(AH247)*Settings!$B$8+N(AI247)*Settings!$B$9+N(AJ247)*Settings!$B$10)/AO247*1000)</f>
        <v/>
      </c>
      <c r="AY247" s="36" t="str">
        <f aca="false">IF(AS247="","",IFERROR(AS247/AVERAGEIFS('Post Tracker'!$AS$5:$AS$1004,'Post Tracker'!$G$5:$G$1004,G247),""))</f>
        <v/>
      </c>
      <c r="AZ247" s="32"/>
      <c r="BA247" s="32"/>
      <c r="BB247" s="32"/>
      <c r="BC247" s="32"/>
      <c r="BD247" s="33" t="str">
        <f aca="false">IF(A247="","",COUNTIFS('Demo Pipeline'!$Q$5:$Q$504,A247))</f>
        <v/>
      </c>
      <c r="BE247" s="33" t="str">
        <f aca="false">IF(A247="","",COUNTIFS('Demo Pipeline'!$Q$5:$Q$504,A247,'Demo Pipeline'!$W$5:$W$504,"Attended"))</f>
        <v/>
      </c>
      <c r="BF247" s="33" t="str">
        <f aca="false">IF(A247="","",COUNTIFS('Demo Pipeline'!$Q$5:$Q$504,A247,'Demo Pipeline'!$X$5:$X$504,"Yes"))</f>
        <v/>
      </c>
      <c r="BG247" s="33" t="str">
        <f aca="false">IF(A247="","",COUNTIFS('Demo Pipeline'!$Q$5:$Q$504,A247,'Demo Pipeline'!$Y$5:$Y$504,"Closed Won"))</f>
        <v/>
      </c>
      <c r="BH247" s="37" t="str">
        <f aca="false">IF(A247="","",SUMIFS('Demo Pipeline'!$Z$5:$Z$504,'Demo Pipeline'!$Q$5:$Q$504,A247))</f>
        <v/>
      </c>
      <c r="BI247" s="34" t="str">
        <f aca="false">IF(OR(AZ247="",N(AJ247)=0),"",AZ247/AJ247)</f>
        <v/>
      </c>
      <c r="BJ247" s="34" t="str">
        <f aca="false">IF(OR(BB247="",N(AZ247)=0),"",BB247/AZ247)</f>
        <v/>
      </c>
      <c r="BK247" s="34" t="str">
        <f aca="false">IF(OR(A247="",N(BB247)=0),"",BD247/BB247)</f>
        <v/>
      </c>
      <c r="BL247" s="34" t="str">
        <f aca="false">IF(OR(A247="",N(AZ247)=0),"",BD247/AZ247)</f>
        <v/>
      </c>
      <c r="BM247" s="37" t="str">
        <f aca="false">IF(OR(N(Q247)=0,N(BD247)=0),"",Q247/BD247)</f>
        <v/>
      </c>
      <c r="BN247" s="29"/>
      <c r="BO247" s="29"/>
      <c r="BP247" s="33" t="str">
        <f aca="false">IF(OR(AR247="",N(AO247)=0),"",AR247)</f>
        <v/>
      </c>
      <c r="BQ247" s="33" t="str">
        <f aca="false">IF(OR(AR247="",N(S247)=0),"",S247)</f>
        <v/>
      </c>
      <c r="BR247" s="38" t="str">
        <f aca="false">IF(AND(ISNUMBER(B247),B247&gt;=Dashboard!$C$4,B247&lt;=Dashboard!$F$4,ISNUMBER(AU247)),AU247+ROW()/10^9,"")</f>
        <v/>
      </c>
      <c r="BS247" s="38" t="str">
        <f aca="false">IF(AND(ISNUMBER(B247),B247&gt;=Dashboard!$C$4,B247&lt;=Dashboard!$F$4,A247&lt;&gt;""),N(BD247)+N(AU247)/100+ROW()/10^9,"")</f>
        <v/>
      </c>
    </row>
    <row r="248" customFormat="false" ht="15" hidden="false" customHeight="false" outlineLevel="0" collapsed="false">
      <c r="A248" s="24" t="str">
        <f aca="false">IF(OR(B248="",G248="",H248=""),"",IFERROR(INDEX(Settings!$E$5:$E$49,MATCH(G248,Settings!$D$5:$D$49,0))&amp;INDEX(Settings!$H$5:$H$47,MATCH(H248,Settings!$G$5:$G$47,0))&amp;"-"&amp;TEXT(B248,"yymmdd")&amp;"-"&amp;IF(C248="","0000",TEXT(C248,"hhmm")),"CHECK LISTS"))</f>
        <v/>
      </c>
      <c r="B248" s="39"/>
      <c r="C248" s="40"/>
      <c r="D248" s="24" t="str">
        <f aca="false">IF(B248="","",TEXT(B248,"ddd"))</f>
        <v/>
      </c>
      <c r="E248" s="27" t="str">
        <f aca="false">IF(B248="","",B248-WEEKDAY(B248,3))</f>
        <v/>
      </c>
      <c r="F248" s="24" t="str">
        <f aca="false">IF(B248="","",TEXT(B248,"yyyy-mm"))</f>
        <v/>
      </c>
      <c r="G248" s="29"/>
      <c r="H248" s="29"/>
      <c r="I248" s="29"/>
      <c r="J248" s="29"/>
      <c r="K248" s="29"/>
      <c r="L248" s="29"/>
      <c r="M248" s="29"/>
      <c r="N248" s="29"/>
      <c r="O248" s="29"/>
      <c r="P248" s="29"/>
      <c r="Q248" s="30"/>
      <c r="R248" s="29"/>
      <c r="S248" s="32"/>
      <c r="T248" s="29"/>
      <c r="U248" s="29"/>
      <c r="V248" s="24" t="str">
        <f aca="false">IF(A248="","",IFERROR(INDEX(Settings!$F$5:$F$49,MATCH(G248,Settings!$D$5:$D$49,0)),""))</f>
        <v/>
      </c>
      <c r="W248" s="24" t="str">
        <f aca="false">IF(A248="","",IF(OR(P248="",P248="Organic"),"social","paid_social"))</f>
        <v/>
      </c>
      <c r="X248" s="24" t="str">
        <f aca="false">IF(A248="","",IF(K248&lt;&gt;"",IFERROR(INDEX('Case Studies'!$C$5:$C$54,MATCH(K248,'Case Studies'!$B$5:$B$54,0))&amp;"","case-study"),IF(J248&lt;&gt;"",IFERROR(INDEX(Settings!$J$5:$J$55,MATCH(J248,Settings!$I$5:$I$55,0)),"general"),"general")))</f>
        <v/>
      </c>
      <c r="Y248" s="24" t="str">
        <f aca="false">IF(A248="","",LOWER(A248))</f>
        <v/>
      </c>
      <c r="Z248" s="24" t="str">
        <f aca="false">IF(A248="","",IF(T248="",Settings!$B$5,T248)&amp;IF(ISNUMBER(FIND("?",IF(T248="",Settings!$B$5,T248))),"&amp;","?")&amp;"utm_source="&amp;V248&amp;"&amp;utm_medium="&amp;W248&amp;"&amp;utm_campaign="&amp;X248&amp;"&amp;utm_content="&amp;Y248)</f>
        <v/>
      </c>
      <c r="AA248" s="29"/>
      <c r="AB248" s="39"/>
      <c r="AC248" s="32"/>
      <c r="AD248" s="32"/>
      <c r="AE248" s="32"/>
      <c r="AF248" s="32"/>
      <c r="AG248" s="32"/>
      <c r="AH248" s="32"/>
      <c r="AI248" s="32"/>
      <c r="AJ248" s="32"/>
      <c r="AK248" s="32"/>
      <c r="AL248" s="32"/>
      <c r="AM248" s="32"/>
      <c r="AN248" s="32"/>
      <c r="AO248" s="33" t="str">
        <f aca="false">IF(A248="","",IF(AD248&lt;&gt;"",AD248,IF(AC248&lt;&gt;"",AC248,"")))</f>
        <v/>
      </c>
      <c r="AP248" s="24" t="str">
        <f aca="false">IF(AO248="","",IF(AD248&lt;&gt;"","Reported reach","Impressions (proxy)"))</f>
        <v/>
      </c>
      <c r="AQ248" s="34" t="str">
        <f aca="false">IF(OR(AO248="",N(S248)=0),"",AO248/S248)</f>
        <v/>
      </c>
      <c r="AR248" s="33" t="str">
        <f aca="false">IF(A248="","",IF(COUNT(AF248:AJ248)=0,"",SUM(AF248:AJ248)))</f>
        <v/>
      </c>
      <c r="AS248" s="34" t="str">
        <f aca="false">IF(OR(AR248="",N(AO248)=0),"",AR248/AO248)</f>
        <v/>
      </c>
      <c r="AT248" s="34" t="str">
        <f aca="false">IF(OR(AR248="",N(AC248)=0),"",AR248/AC248)</f>
        <v/>
      </c>
      <c r="AU248" s="34" t="str">
        <f aca="false">IF(OR(AR248="",N(S248)=0),"",AR248/S248)</f>
        <v/>
      </c>
      <c r="AV248" s="34" t="str">
        <f aca="false">IF(OR(AJ248="",N(AC248)=0),"",AJ248/AC248)</f>
        <v/>
      </c>
      <c r="AW248" s="34" t="str">
        <f aca="false">IF(OR(AH248="",N(AO248)=0),"",AH248/AO248)</f>
        <v/>
      </c>
      <c r="AX248" s="35" t="str">
        <f aca="false">IF(OR(AR248="",N(AO248)=0),"",(N(AF248)*Settings!$B$6+N(AG248)*Settings!$B$7+N(AH248)*Settings!$B$8+N(AI248)*Settings!$B$9+N(AJ248)*Settings!$B$10)/AO248*1000)</f>
        <v/>
      </c>
      <c r="AY248" s="36" t="str">
        <f aca="false">IF(AS248="","",IFERROR(AS248/AVERAGEIFS('Post Tracker'!$AS$5:$AS$1004,'Post Tracker'!$G$5:$G$1004,G248),""))</f>
        <v/>
      </c>
      <c r="AZ248" s="32"/>
      <c r="BA248" s="32"/>
      <c r="BB248" s="32"/>
      <c r="BC248" s="32"/>
      <c r="BD248" s="33" t="str">
        <f aca="false">IF(A248="","",COUNTIFS('Demo Pipeline'!$Q$5:$Q$504,A248))</f>
        <v/>
      </c>
      <c r="BE248" s="33" t="str">
        <f aca="false">IF(A248="","",COUNTIFS('Demo Pipeline'!$Q$5:$Q$504,A248,'Demo Pipeline'!$W$5:$W$504,"Attended"))</f>
        <v/>
      </c>
      <c r="BF248" s="33" t="str">
        <f aca="false">IF(A248="","",COUNTIFS('Demo Pipeline'!$Q$5:$Q$504,A248,'Demo Pipeline'!$X$5:$X$504,"Yes"))</f>
        <v/>
      </c>
      <c r="BG248" s="33" t="str">
        <f aca="false">IF(A248="","",COUNTIFS('Demo Pipeline'!$Q$5:$Q$504,A248,'Demo Pipeline'!$Y$5:$Y$504,"Closed Won"))</f>
        <v/>
      </c>
      <c r="BH248" s="37" t="str">
        <f aca="false">IF(A248="","",SUMIFS('Demo Pipeline'!$Z$5:$Z$504,'Demo Pipeline'!$Q$5:$Q$504,A248))</f>
        <v/>
      </c>
      <c r="BI248" s="34" t="str">
        <f aca="false">IF(OR(AZ248="",N(AJ248)=0),"",AZ248/AJ248)</f>
        <v/>
      </c>
      <c r="BJ248" s="34" t="str">
        <f aca="false">IF(OR(BB248="",N(AZ248)=0),"",BB248/AZ248)</f>
        <v/>
      </c>
      <c r="BK248" s="34" t="str">
        <f aca="false">IF(OR(A248="",N(BB248)=0),"",BD248/BB248)</f>
        <v/>
      </c>
      <c r="BL248" s="34" t="str">
        <f aca="false">IF(OR(A248="",N(AZ248)=0),"",BD248/AZ248)</f>
        <v/>
      </c>
      <c r="BM248" s="37" t="str">
        <f aca="false">IF(OR(N(Q248)=0,N(BD248)=0),"",Q248/BD248)</f>
        <v/>
      </c>
      <c r="BN248" s="29"/>
      <c r="BO248" s="29"/>
      <c r="BP248" s="33" t="str">
        <f aca="false">IF(OR(AR248="",N(AO248)=0),"",AR248)</f>
        <v/>
      </c>
      <c r="BQ248" s="33" t="str">
        <f aca="false">IF(OR(AR248="",N(S248)=0),"",S248)</f>
        <v/>
      </c>
      <c r="BR248" s="38" t="str">
        <f aca="false">IF(AND(ISNUMBER(B248),B248&gt;=Dashboard!$C$4,B248&lt;=Dashboard!$F$4,ISNUMBER(AU248)),AU248+ROW()/10^9,"")</f>
        <v/>
      </c>
      <c r="BS248" s="38" t="str">
        <f aca="false">IF(AND(ISNUMBER(B248),B248&gt;=Dashboard!$C$4,B248&lt;=Dashboard!$F$4,A248&lt;&gt;""),N(BD248)+N(AU248)/100+ROW()/10^9,"")</f>
        <v/>
      </c>
    </row>
    <row r="249" customFormat="false" ht="15" hidden="false" customHeight="false" outlineLevel="0" collapsed="false">
      <c r="A249" s="24" t="str">
        <f aca="false">IF(OR(B249="",G249="",H249=""),"",IFERROR(INDEX(Settings!$E$5:$E$49,MATCH(G249,Settings!$D$5:$D$49,0))&amp;INDEX(Settings!$H$5:$H$47,MATCH(H249,Settings!$G$5:$G$47,0))&amp;"-"&amp;TEXT(B249,"yymmdd")&amp;"-"&amp;IF(C249="","0000",TEXT(C249,"hhmm")),"CHECK LISTS"))</f>
        <v/>
      </c>
      <c r="B249" s="39"/>
      <c r="C249" s="40"/>
      <c r="D249" s="24" t="str">
        <f aca="false">IF(B249="","",TEXT(B249,"ddd"))</f>
        <v/>
      </c>
      <c r="E249" s="27" t="str">
        <f aca="false">IF(B249="","",B249-WEEKDAY(B249,3))</f>
        <v/>
      </c>
      <c r="F249" s="24" t="str">
        <f aca="false">IF(B249="","",TEXT(B249,"yyyy-mm"))</f>
        <v/>
      </c>
      <c r="G249" s="29"/>
      <c r="H249" s="29"/>
      <c r="I249" s="29"/>
      <c r="J249" s="29"/>
      <c r="K249" s="29"/>
      <c r="L249" s="29"/>
      <c r="M249" s="29"/>
      <c r="N249" s="29"/>
      <c r="O249" s="29"/>
      <c r="P249" s="29"/>
      <c r="Q249" s="30"/>
      <c r="R249" s="29"/>
      <c r="S249" s="32"/>
      <c r="T249" s="29"/>
      <c r="U249" s="29"/>
      <c r="V249" s="24" t="str">
        <f aca="false">IF(A249="","",IFERROR(INDEX(Settings!$F$5:$F$49,MATCH(G249,Settings!$D$5:$D$49,0)),""))</f>
        <v/>
      </c>
      <c r="W249" s="24" t="str">
        <f aca="false">IF(A249="","",IF(OR(P249="",P249="Organic"),"social","paid_social"))</f>
        <v/>
      </c>
      <c r="X249" s="24" t="str">
        <f aca="false">IF(A249="","",IF(K249&lt;&gt;"",IFERROR(INDEX('Case Studies'!$C$5:$C$54,MATCH(K249,'Case Studies'!$B$5:$B$54,0))&amp;"","case-study"),IF(J249&lt;&gt;"",IFERROR(INDEX(Settings!$J$5:$J$55,MATCH(J249,Settings!$I$5:$I$55,0)),"general"),"general")))</f>
        <v/>
      </c>
      <c r="Y249" s="24" t="str">
        <f aca="false">IF(A249="","",LOWER(A249))</f>
        <v/>
      </c>
      <c r="Z249" s="24" t="str">
        <f aca="false">IF(A249="","",IF(T249="",Settings!$B$5,T249)&amp;IF(ISNUMBER(FIND("?",IF(T249="",Settings!$B$5,T249))),"&amp;","?")&amp;"utm_source="&amp;V249&amp;"&amp;utm_medium="&amp;W249&amp;"&amp;utm_campaign="&amp;X249&amp;"&amp;utm_content="&amp;Y249)</f>
        <v/>
      </c>
      <c r="AA249" s="29"/>
      <c r="AB249" s="39"/>
      <c r="AC249" s="32"/>
      <c r="AD249" s="32"/>
      <c r="AE249" s="32"/>
      <c r="AF249" s="32"/>
      <c r="AG249" s="32"/>
      <c r="AH249" s="32"/>
      <c r="AI249" s="32"/>
      <c r="AJ249" s="32"/>
      <c r="AK249" s="32"/>
      <c r="AL249" s="32"/>
      <c r="AM249" s="32"/>
      <c r="AN249" s="32"/>
      <c r="AO249" s="33" t="str">
        <f aca="false">IF(A249="","",IF(AD249&lt;&gt;"",AD249,IF(AC249&lt;&gt;"",AC249,"")))</f>
        <v/>
      </c>
      <c r="AP249" s="24" t="str">
        <f aca="false">IF(AO249="","",IF(AD249&lt;&gt;"","Reported reach","Impressions (proxy)"))</f>
        <v/>
      </c>
      <c r="AQ249" s="34" t="str">
        <f aca="false">IF(OR(AO249="",N(S249)=0),"",AO249/S249)</f>
        <v/>
      </c>
      <c r="AR249" s="33" t="str">
        <f aca="false">IF(A249="","",IF(COUNT(AF249:AJ249)=0,"",SUM(AF249:AJ249)))</f>
        <v/>
      </c>
      <c r="AS249" s="34" t="str">
        <f aca="false">IF(OR(AR249="",N(AO249)=0),"",AR249/AO249)</f>
        <v/>
      </c>
      <c r="AT249" s="34" t="str">
        <f aca="false">IF(OR(AR249="",N(AC249)=0),"",AR249/AC249)</f>
        <v/>
      </c>
      <c r="AU249" s="34" t="str">
        <f aca="false">IF(OR(AR249="",N(S249)=0),"",AR249/S249)</f>
        <v/>
      </c>
      <c r="AV249" s="34" t="str">
        <f aca="false">IF(OR(AJ249="",N(AC249)=0),"",AJ249/AC249)</f>
        <v/>
      </c>
      <c r="AW249" s="34" t="str">
        <f aca="false">IF(OR(AH249="",N(AO249)=0),"",AH249/AO249)</f>
        <v/>
      </c>
      <c r="AX249" s="35" t="str">
        <f aca="false">IF(OR(AR249="",N(AO249)=0),"",(N(AF249)*Settings!$B$6+N(AG249)*Settings!$B$7+N(AH249)*Settings!$B$8+N(AI249)*Settings!$B$9+N(AJ249)*Settings!$B$10)/AO249*1000)</f>
        <v/>
      </c>
      <c r="AY249" s="36" t="str">
        <f aca="false">IF(AS249="","",IFERROR(AS249/AVERAGEIFS('Post Tracker'!$AS$5:$AS$1004,'Post Tracker'!$G$5:$G$1004,G249),""))</f>
        <v/>
      </c>
      <c r="AZ249" s="32"/>
      <c r="BA249" s="32"/>
      <c r="BB249" s="32"/>
      <c r="BC249" s="32"/>
      <c r="BD249" s="33" t="str">
        <f aca="false">IF(A249="","",COUNTIFS('Demo Pipeline'!$Q$5:$Q$504,A249))</f>
        <v/>
      </c>
      <c r="BE249" s="33" t="str">
        <f aca="false">IF(A249="","",COUNTIFS('Demo Pipeline'!$Q$5:$Q$504,A249,'Demo Pipeline'!$W$5:$W$504,"Attended"))</f>
        <v/>
      </c>
      <c r="BF249" s="33" t="str">
        <f aca="false">IF(A249="","",COUNTIFS('Demo Pipeline'!$Q$5:$Q$504,A249,'Demo Pipeline'!$X$5:$X$504,"Yes"))</f>
        <v/>
      </c>
      <c r="BG249" s="33" t="str">
        <f aca="false">IF(A249="","",COUNTIFS('Demo Pipeline'!$Q$5:$Q$504,A249,'Demo Pipeline'!$Y$5:$Y$504,"Closed Won"))</f>
        <v/>
      </c>
      <c r="BH249" s="37" t="str">
        <f aca="false">IF(A249="","",SUMIFS('Demo Pipeline'!$Z$5:$Z$504,'Demo Pipeline'!$Q$5:$Q$504,A249))</f>
        <v/>
      </c>
      <c r="BI249" s="34" t="str">
        <f aca="false">IF(OR(AZ249="",N(AJ249)=0),"",AZ249/AJ249)</f>
        <v/>
      </c>
      <c r="BJ249" s="34" t="str">
        <f aca="false">IF(OR(BB249="",N(AZ249)=0),"",BB249/AZ249)</f>
        <v/>
      </c>
      <c r="BK249" s="34" t="str">
        <f aca="false">IF(OR(A249="",N(BB249)=0),"",BD249/BB249)</f>
        <v/>
      </c>
      <c r="BL249" s="34" t="str">
        <f aca="false">IF(OR(A249="",N(AZ249)=0),"",BD249/AZ249)</f>
        <v/>
      </c>
      <c r="BM249" s="37" t="str">
        <f aca="false">IF(OR(N(Q249)=0,N(BD249)=0),"",Q249/BD249)</f>
        <v/>
      </c>
      <c r="BN249" s="29"/>
      <c r="BO249" s="29"/>
      <c r="BP249" s="33" t="str">
        <f aca="false">IF(OR(AR249="",N(AO249)=0),"",AR249)</f>
        <v/>
      </c>
      <c r="BQ249" s="33" t="str">
        <f aca="false">IF(OR(AR249="",N(S249)=0),"",S249)</f>
        <v/>
      </c>
      <c r="BR249" s="38" t="str">
        <f aca="false">IF(AND(ISNUMBER(B249),B249&gt;=Dashboard!$C$4,B249&lt;=Dashboard!$F$4,ISNUMBER(AU249)),AU249+ROW()/10^9,"")</f>
        <v/>
      </c>
      <c r="BS249" s="38" t="str">
        <f aca="false">IF(AND(ISNUMBER(B249),B249&gt;=Dashboard!$C$4,B249&lt;=Dashboard!$F$4,A249&lt;&gt;""),N(BD249)+N(AU249)/100+ROW()/10^9,"")</f>
        <v/>
      </c>
    </row>
    <row r="250" customFormat="false" ht="15" hidden="false" customHeight="false" outlineLevel="0" collapsed="false">
      <c r="A250" s="24" t="str">
        <f aca="false">IF(OR(B250="",G250="",H250=""),"",IFERROR(INDEX(Settings!$E$5:$E$49,MATCH(G250,Settings!$D$5:$D$49,0))&amp;INDEX(Settings!$H$5:$H$47,MATCH(H250,Settings!$G$5:$G$47,0))&amp;"-"&amp;TEXT(B250,"yymmdd")&amp;"-"&amp;IF(C250="","0000",TEXT(C250,"hhmm")),"CHECK LISTS"))</f>
        <v/>
      </c>
      <c r="B250" s="39"/>
      <c r="C250" s="40"/>
      <c r="D250" s="24" t="str">
        <f aca="false">IF(B250="","",TEXT(B250,"ddd"))</f>
        <v/>
      </c>
      <c r="E250" s="27" t="str">
        <f aca="false">IF(B250="","",B250-WEEKDAY(B250,3))</f>
        <v/>
      </c>
      <c r="F250" s="24" t="str">
        <f aca="false">IF(B250="","",TEXT(B250,"yyyy-mm"))</f>
        <v/>
      </c>
      <c r="G250" s="29"/>
      <c r="H250" s="29"/>
      <c r="I250" s="29"/>
      <c r="J250" s="29"/>
      <c r="K250" s="29"/>
      <c r="L250" s="29"/>
      <c r="M250" s="29"/>
      <c r="N250" s="29"/>
      <c r="O250" s="29"/>
      <c r="P250" s="29"/>
      <c r="Q250" s="30"/>
      <c r="R250" s="29"/>
      <c r="S250" s="32"/>
      <c r="T250" s="29"/>
      <c r="U250" s="29"/>
      <c r="V250" s="24" t="str">
        <f aca="false">IF(A250="","",IFERROR(INDEX(Settings!$F$5:$F$49,MATCH(G250,Settings!$D$5:$D$49,0)),""))</f>
        <v/>
      </c>
      <c r="W250" s="24" t="str">
        <f aca="false">IF(A250="","",IF(OR(P250="",P250="Organic"),"social","paid_social"))</f>
        <v/>
      </c>
      <c r="X250" s="24" t="str">
        <f aca="false">IF(A250="","",IF(K250&lt;&gt;"",IFERROR(INDEX('Case Studies'!$C$5:$C$54,MATCH(K250,'Case Studies'!$B$5:$B$54,0))&amp;"","case-study"),IF(J250&lt;&gt;"",IFERROR(INDEX(Settings!$J$5:$J$55,MATCH(J250,Settings!$I$5:$I$55,0)),"general"),"general")))</f>
        <v/>
      </c>
      <c r="Y250" s="24" t="str">
        <f aca="false">IF(A250="","",LOWER(A250))</f>
        <v/>
      </c>
      <c r="Z250" s="24" t="str">
        <f aca="false">IF(A250="","",IF(T250="",Settings!$B$5,T250)&amp;IF(ISNUMBER(FIND("?",IF(T250="",Settings!$B$5,T250))),"&amp;","?")&amp;"utm_source="&amp;V250&amp;"&amp;utm_medium="&amp;W250&amp;"&amp;utm_campaign="&amp;X250&amp;"&amp;utm_content="&amp;Y250)</f>
        <v/>
      </c>
      <c r="AA250" s="29"/>
      <c r="AB250" s="39"/>
      <c r="AC250" s="32"/>
      <c r="AD250" s="32"/>
      <c r="AE250" s="32"/>
      <c r="AF250" s="32"/>
      <c r="AG250" s="32"/>
      <c r="AH250" s="32"/>
      <c r="AI250" s="32"/>
      <c r="AJ250" s="32"/>
      <c r="AK250" s="32"/>
      <c r="AL250" s="32"/>
      <c r="AM250" s="32"/>
      <c r="AN250" s="32"/>
      <c r="AO250" s="33" t="str">
        <f aca="false">IF(A250="","",IF(AD250&lt;&gt;"",AD250,IF(AC250&lt;&gt;"",AC250,"")))</f>
        <v/>
      </c>
      <c r="AP250" s="24" t="str">
        <f aca="false">IF(AO250="","",IF(AD250&lt;&gt;"","Reported reach","Impressions (proxy)"))</f>
        <v/>
      </c>
      <c r="AQ250" s="34" t="str">
        <f aca="false">IF(OR(AO250="",N(S250)=0),"",AO250/S250)</f>
        <v/>
      </c>
      <c r="AR250" s="33" t="str">
        <f aca="false">IF(A250="","",IF(COUNT(AF250:AJ250)=0,"",SUM(AF250:AJ250)))</f>
        <v/>
      </c>
      <c r="AS250" s="34" t="str">
        <f aca="false">IF(OR(AR250="",N(AO250)=0),"",AR250/AO250)</f>
        <v/>
      </c>
      <c r="AT250" s="34" t="str">
        <f aca="false">IF(OR(AR250="",N(AC250)=0),"",AR250/AC250)</f>
        <v/>
      </c>
      <c r="AU250" s="34" t="str">
        <f aca="false">IF(OR(AR250="",N(S250)=0),"",AR250/S250)</f>
        <v/>
      </c>
      <c r="AV250" s="34" t="str">
        <f aca="false">IF(OR(AJ250="",N(AC250)=0),"",AJ250/AC250)</f>
        <v/>
      </c>
      <c r="AW250" s="34" t="str">
        <f aca="false">IF(OR(AH250="",N(AO250)=0),"",AH250/AO250)</f>
        <v/>
      </c>
      <c r="AX250" s="35" t="str">
        <f aca="false">IF(OR(AR250="",N(AO250)=0),"",(N(AF250)*Settings!$B$6+N(AG250)*Settings!$B$7+N(AH250)*Settings!$B$8+N(AI250)*Settings!$B$9+N(AJ250)*Settings!$B$10)/AO250*1000)</f>
        <v/>
      </c>
      <c r="AY250" s="36" t="str">
        <f aca="false">IF(AS250="","",IFERROR(AS250/AVERAGEIFS('Post Tracker'!$AS$5:$AS$1004,'Post Tracker'!$G$5:$G$1004,G250),""))</f>
        <v/>
      </c>
      <c r="AZ250" s="32"/>
      <c r="BA250" s="32"/>
      <c r="BB250" s="32"/>
      <c r="BC250" s="32"/>
      <c r="BD250" s="33" t="str">
        <f aca="false">IF(A250="","",COUNTIFS('Demo Pipeline'!$Q$5:$Q$504,A250))</f>
        <v/>
      </c>
      <c r="BE250" s="33" t="str">
        <f aca="false">IF(A250="","",COUNTIFS('Demo Pipeline'!$Q$5:$Q$504,A250,'Demo Pipeline'!$W$5:$W$504,"Attended"))</f>
        <v/>
      </c>
      <c r="BF250" s="33" t="str">
        <f aca="false">IF(A250="","",COUNTIFS('Demo Pipeline'!$Q$5:$Q$504,A250,'Demo Pipeline'!$X$5:$X$504,"Yes"))</f>
        <v/>
      </c>
      <c r="BG250" s="33" t="str">
        <f aca="false">IF(A250="","",COUNTIFS('Demo Pipeline'!$Q$5:$Q$504,A250,'Demo Pipeline'!$Y$5:$Y$504,"Closed Won"))</f>
        <v/>
      </c>
      <c r="BH250" s="37" t="str">
        <f aca="false">IF(A250="","",SUMIFS('Demo Pipeline'!$Z$5:$Z$504,'Demo Pipeline'!$Q$5:$Q$504,A250))</f>
        <v/>
      </c>
      <c r="BI250" s="34" t="str">
        <f aca="false">IF(OR(AZ250="",N(AJ250)=0),"",AZ250/AJ250)</f>
        <v/>
      </c>
      <c r="BJ250" s="34" t="str">
        <f aca="false">IF(OR(BB250="",N(AZ250)=0),"",BB250/AZ250)</f>
        <v/>
      </c>
      <c r="BK250" s="34" t="str">
        <f aca="false">IF(OR(A250="",N(BB250)=0),"",BD250/BB250)</f>
        <v/>
      </c>
      <c r="BL250" s="34" t="str">
        <f aca="false">IF(OR(A250="",N(AZ250)=0),"",BD250/AZ250)</f>
        <v/>
      </c>
      <c r="BM250" s="37" t="str">
        <f aca="false">IF(OR(N(Q250)=0,N(BD250)=0),"",Q250/BD250)</f>
        <v/>
      </c>
      <c r="BN250" s="29"/>
      <c r="BO250" s="29"/>
      <c r="BP250" s="33" t="str">
        <f aca="false">IF(OR(AR250="",N(AO250)=0),"",AR250)</f>
        <v/>
      </c>
      <c r="BQ250" s="33" t="str">
        <f aca="false">IF(OR(AR250="",N(S250)=0),"",S250)</f>
        <v/>
      </c>
      <c r="BR250" s="38" t="str">
        <f aca="false">IF(AND(ISNUMBER(B250),B250&gt;=Dashboard!$C$4,B250&lt;=Dashboard!$F$4,ISNUMBER(AU250)),AU250+ROW()/10^9,"")</f>
        <v/>
      </c>
      <c r="BS250" s="38" t="str">
        <f aca="false">IF(AND(ISNUMBER(B250),B250&gt;=Dashboard!$C$4,B250&lt;=Dashboard!$F$4,A250&lt;&gt;""),N(BD250)+N(AU250)/100+ROW()/10^9,"")</f>
        <v/>
      </c>
    </row>
    <row r="251" customFormat="false" ht="15" hidden="false" customHeight="false" outlineLevel="0" collapsed="false">
      <c r="A251" s="24" t="str">
        <f aca="false">IF(OR(B251="",G251="",H251=""),"",IFERROR(INDEX(Settings!$E$5:$E$49,MATCH(G251,Settings!$D$5:$D$49,0))&amp;INDEX(Settings!$H$5:$H$47,MATCH(H251,Settings!$G$5:$G$47,0))&amp;"-"&amp;TEXT(B251,"yymmdd")&amp;"-"&amp;IF(C251="","0000",TEXT(C251,"hhmm")),"CHECK LISTS"))</f>
        <v/>
      </c>
      <c r="B251" s="39"/>
      <c r="C251" s="40"/>
      <c r="D251" s="24" t="str">
        <f aca="false">IF(B251="","",TEXT(B251,"ddd"))</f>
        <v/>
      </c>
      <c r="E251" s="27" t="str">
        <f aca="false">IF(B251="","",B251-WEEKDAY(B251,3))</f>
        <v/>
      </c>
      <c r="F251" s="24" t="str">
        <f aca="false">IF(B251="","",TEXT(B251,"yyyy-mm"))</f>
        <v/>
      </c>
      <c r="G251" s="29"/>
      <c r="H251" s="29"/>
      <c r="I251" s="29"/>
      <c r="J251" s="29"/>
      <c r="K251" s="29"/>
      <c r="L251" s="29"/>
      <c r="M251" s="29"/>
      <c r="N251" s="29"/>
      <c r="O251" s="29"/>
      <c r="P251" s="29"/>
      <c r="Q251" s="30"/>
      <c r="R251" s="29"/>
      <c r="S251" s="32"/>
      <c r="T251" s="29"/>
      <c r="U251" s="29"/>
      <c r="V251" s="24" t="str">
        <f aca="false">IF(A251="","",IFERROR(INDEX(Settings!$F$5:$F$49,MATCH(G251,Settings!$D$5:$D$49,0)),""))</f>
        <v/>
      </c>
      <c r="W251" s="24" t="str">
        <f aca="false">IF(A251="","",IF(OR(P251="",P251="Organic"),"social","paid_social"))</f>
        <v/>
      </c>
      <c r="X251" s="24" t="str">
        <f aca="false">IF(A251="","",IF(K251&lt;&gt;"",IFERROR(INDEX('Case Studies'!$C$5:$C$54,MATCH(K251,'Case Studies'!$B$5:$B$54,0))&amp;"","case-study"),IF(J251&lt;&gt;"",IFERROR(INDEX(Settings!$J$5:$J$55,MATCH(J251,Settings!$I$5:$I$55,0)),"general"),"general")))</f>
        <v/>
      </c>
      <c r="Y251" s="24" t="str">
        <f aca="false">IF(A251="","",LOWER(A251))</f>
        <v/>
      </c>
      <c r="Z251" s="24" t="str">
        <f aca="false">IF(A251="","",IF(T251="",Settings!$B$5,T251)&amp;IF(ISNUMBER(FIND("?",IF(T251="",Settings!$B$5,T251))),"&amp;","?")&amp;"utm_source="&amp;V251&amp;"&amp;utm_medium="&amp;W251&amp;"&amp;utm_campaign="&amp;X251&amp;"&amp;utm_content="&amp;Y251)</f>
        <v/>
      </c>
      <c r="AA251" s="29"/>
      <c r="AB251" s="39"/>
      <c r="AC251" s="32"/>
      <c r="AD251" s="32"/>
      <c r="AE251" s="32"/>
      <c r="AF251" s="32"/>
      <c r="AG251" s="32"/>
      <c r="AH251" s="32"/>
      <c r="AI251" s="32"/>
      <c r="AJ251" s="32"/>
      <c r="AK251" s="32"/>
      <c r="AL251" s="32"/>
      <c r="AM251" s="32"/>
      <c r="AN251" s="32"/>
      <c r="AO251" s="33" t="str">
        <f aca="false">IF(A251="","",IF(AD251&lt;&gt;"",AD251,IF(AC251&lt;&gt;"",AC251,"")))</f>
        <v/>
      </c>
      <c r="AP251" s="24" t="str">
        <f aca="false">IF(AO251="","",IF(AD251&lt;&gt;"","Reported reach","Impressions (proxy)"))</f>
        <v/>
      </c>
      <c r="AQ251" s="34" t="str">
        <f aca="false">IF(OR(AO251="",N(S251)=0),"",AO251/S251)</f>
        <v/>
      </c>
      <c r="AR251" s="33" t="str">
        <f aca="false">IF(A251="","",IF(COUNT(AF251:AJ251)=0,"",SUM(AF251:AJ251)))</f>
        <v/>
      </c>
      <c r="AS251" s="34" t="str">
        <f aca="false">IF(OR(AR251="",N(AO251)=0),"",AR251/AO251)</f>
        <v/>
      </c>
      <c r="AT251" s="34" t="str">
        <f aca="false">IF(OR(AR251="",N(AC251)=0),"",AR251/AC251)</f>
        <v/>
      </c>
      <c r="AU251" s="34" t="str">
        <f aca="false">IF(OR(AR251="",N(S251)=0),"",AR251/S251)</f>
        <v/>
      </c>
      <c r="AV251" s="34" t="str">
        <f aca="false">IF(OR(AJ251="",N(AC251)=0),"",AJ251/AC251)</f>
        <v/>
      </c>
      <c r="AW251" s="34" t="str">
        <f aca="false">IF(OR(AH251="",N(AO251)=0),"",AH251/AO251)</f>
        <v/>
      </c>
      <c r="AX251" s="35" t="str">
        <f aca="false">IF(OR(AR251="",N(AO251)=0),"",(N(AF251)*Settings!$B$6+N(AG251)*Settings!$B$7+N(AH251)*Settings!$B$8+N(AI251)*Settings!$B$9+N(AJ251)*Settings!$B$10)/AO251*1000)</f>
        <v/>
      </c>
      <c r="AY251" s="36" t="str">
        <f aca="false">IF(AS251="","",IFERROR(AS251/AVERAGEIFS('Post Tracker'!$AS$5:$AS$1004,'Post Tracker'!$G$5:$G$1004,G251),""))</f>
        <v/>
      </c>
      <c r="AZ251" s="32"/>
      <c r="BA251" s="32"/>
      <c r="BB251" s="32"/>
      <c r="BC251" s="32"/>
      <c r="BD251" s="33" t="str">
        <f aca="false">IF(A251="","",COUNTIFS('Demo Pipeline'!$Q$5:$Q$504,A251))</f>
        <v/>
      </c>
      <c r="BE251" s="33" t="str">
        <f aca="false">IF(A251="","",COUNTIFS('Demo Pipeline'!$Q$5:$Q$504,A251,'Demo Pipeline'!$W$5:$W$504,"Attended"))</f>
        <v/>
      </c>
      <c r="BF251" s="33" t="str">
        <f aca="false">IF(A251="","",COUNTIFS('Demo Pipeline'!$Q$5:$Q$504,A251,'Demo Pipeline'!$X$5:$X$504,"Yes"))</f>
        <v/>
      </c>
      <c r="BG251" s="33" t="str">
        <f aca="false">IF(A251="","",COUNTIFS('Demo Pipeline'!$Q$5:$Q$504,A251,'Demo Pipeline'!$Y$5:$Y$504,"Closed Won"))</f>
        <v/>
      </c>
      <c r="BH251" s="37" t="str">
        <f aca="false">IF(A251="","",SUMIFS('Demo Pipeline'!$Z$5:$Z$504,'Demo Pipeline'!$Q$5:$Q$504,A251))</f>
        <v/>
      </c>
      <c r="BI251" s="34" t="str">
        <f aca="false">IF(OR(AZ251="",N(AJ251)=0),"",AZ251/AJ251)</f>
        <v/>
      </c>
      <c r="BJ251" s="34" t="str">
        <f aca="false">IF(OR(BB251="",N(AZ251)=0),"",BB251/AZ251)</f>
        <v/>
      </c>
      <c r="BK251" s="34" t="str">
        <f aca="false">IF(OR(A251="",N(BB251)=0),"",BD251/BB251)</f>
        <v/>
      </c>
      <c r="BL251" s="34" t="str">
        <f aca="false">IF(OR(A251="",N(AZ251)=0),"",BD251/AZ251)</f>
        <v/>
      </c>
      <c r="BM251" s="37" t="str">
        <f aca="false">IF(OR(N(Q251)=0,N(BD251)=0),"",Q251/BD251)</f>
        <v/>
      </c>
      <c r="BN251" s="29"/>
      <c r="BO251" s="29"/>
      <c r="BP251" s="33" t="str">
        <f aca="false">IF(OR(AR251="",N(AO251)=0),"",AR251)</f>
        <v/>
      </c>
      <c r="BQ251" s="33" t="str">
        <f aca="false">IF(OR(AR251="",N(S251)=0),"",S251)</f>
        <v/>
      </c>
      <c r="BR251" s="38" t="str">
        <f aca="false">IF(AND(ISNUMBER(B251),B251&gt;=Dashboard!$C$4,B251&lt;=Dashboard!$F$4,ISNUMBER(AU251)),AU251+ROW()/10^9,"")</f>
        <v/>
      </c>
      <c r="BS251" s="38" t="str">
        <f aca="false">IF(AND(ISNUMBER(B251),B251&gt;=Dashboard!$C$4,B251&lt;=Dashboard!$F$4,A251&lt;&gt;""),N(BD251)+N(AU251)/100+ROW()/10^9,"")</f>
        <v/>
      </c>
    </row>
    <row r="252" customFormat="false" ht="15" hidden="false" customHeight="false" outlineLevel="0" collapsed="false">
      <c r="A252" s="24" t="str">
        <f aca="false">IF(OR(B252="",G252="",H252=""),"",IFERROR(INDEX(Settings!$E$5:$E$49,MATCH(G252,Settings!$D$5:$D$49,0))&amp;INDEX(Settings!$H$5:$H$47,MATCH(H252,Settings!$G$5:$G$47,0))&amp;"-"&amp;TEXT(B252,"yymmdd")&amp;"-"&amp;IF(C252="","0000",TEXT(C252,"hhmm")),"CHECK LISTS"))</f>
        <v/>
      </c>
      <c r="B252" s="39"/>
      <c r="C252" s="40"/>
      <c r="D252" s="24" t="str">
        <f aca="false">IF(B252="","",TEXT(B252,"ddd"))</f>
        <v/>
      </c>
      <c r="E252" s="27" t="str">
        <f aca="false">IF(B252="","",B252-WEEKDAY(B252,3))</f>
        <v/>
      </c>
      <c r="F252" s="24" t="str">
        <f aca="false">IF(B252="","",TEXT(B252,"yyyy-mm"))</f>
        <v/>
      </c>
      <c r="G252" s="29"/>
      <c r="H252" s="29"/>
      <c r="I252" s="29"/>
      <c r="J252" s="29"/>
      <c r="K252" s="29"/>
      <c r="L252" s="29"/>
      <c r="M252" s="29"/>
      <c r="N252" s="29"/>
      <c r="O252" s="29"/>
      <c r="P252" s="29"/>
      <c r="Q252" s="30"/>
      <c r="R252" s="29"/>
      <c r="S252" s="32"/>
      <c r="T252" s="29"/>
      <c r="U252" s="29"/>
      <c r="V252" s="24" t="str">
        <f aca="false">IF(A252="","",IFERROR(INDEX(Settings!$F$5:$F$49,MATCH(G252,Settings!$D$5:$D$49,0)),""))</f>
        <v/>
      </c>
      <c r="W252" s="24" t="str">
        <f aca="false">IF(A252="","",IF(OR(P252="",P252="Organic"),"social","paid_social"))</f>
        <v/>
      </c>
      <c r="X252" s="24" t="str">
        <f aca="false">IF(A252="","",IF(K252&lt;&gt;"",IFERROR(INDEX('Case Studies'!$C$5:$C$54,MATCH(K252,'Case Studies'!$B$5:$B$54,0))&amp;"","case-study"),IF(J252&lt;&gt;"",IFERROR(INDEX(Settings!$J$5:$J$55,MATCH(J252,Settings!$I$5:$I$55,0)),"general"),"general")))</f>
        <v/>
      </c>
      <c r="Y252" s="24" t="str">
        <f aca="false">IF(A252="","",LOWER(A252))</f>
        <v/>
      </c>
      <c r="Z252" s="24" t="str">
        <f aca="false">IF(A252="","",IF(T252="",Settings!$B$5,T252)&amp;IF(ISNUMBER(FIND("?",IF(T252="",Settings!$B$5,T252))),"&amp;","?")&amp;"utm_source="&amp;V252&amp;"&amp;utm_medium="&amp;W252&amp;"&amp;utm_campaign="&amp;X252&amp;"&amp;utm_content="&amp;Y252)</f>
        <v/>
      </c>
      <c r="AA252" s="29"/>
      <c r="AB252" s="39"/>
      <c r="AC252" s="32"/>
      <c r="AD252" s="32"/>
      <c r="AE252" s="32"/>
      <c r="AF252" s="32"/>
      <c r="AG252" s="32"/>
      <c r="AH252" s="32"/>
      <c r="AI252" s="32"/>
      <c r="AJ252" s="32"/>
      <c r="AK252" s="32"/>
      <c r="AL252" s="32"/>
      <c r="AM252" s="32"/>
      <c r="AN252" s="32"/>
      <c r="AO252" s="33" t="str">
        <f aca="false">IF(A252="","",IF(AD252&lt;&gt;"",AD252,IF(AC252&lt;&gt;"",AC252,"")))</f>
        <v/>
      </c>
      <c r="AP252" s="24" t="str">
        <f aca="false">IF(AO252="","",IF(AD252&lt;&gt;"","Reported reach","Impressions (proxy)"))</f>
        <v/>
      </c>
      <c r="AQ252" s="34" t="str">
        <f aca="false">IF(OR(AO252="",N(S252)=0),"",AO252/S252)</f>
        <v/>
      </c>
      <c r="AR252" s="33" t="str">
        <f aca="false">IF(A252="","",IF(COUNT(AF252:AJ252)=0,"",SUM(AF252:AJ252)))</f>
        <v/>
      </c>
      <c r="AS252" s="34" t="str">
        <f aca="false">IF(OR(AR252="",N(AO252)=0),"",AR252/AO252)</f>
        <v/>
      </c>
      <c r="AT252" s="34" t="str">
        <f aca="false">IF(OR(AR252="",N(AC252)=0),"",AR252/AC252)</f>
        <v/>
      </c>
      <c r="AU252" s="34" t="str">
        <f aca="false">IF(OR(AR252="",N(S252)=0),"",AR252/S252)</f>
        <v/>
      </c>
      <c r="AV252" s="34" t="str">
        <f aca="false">IF(OR(AJ252="",N(AC252)=0),"",AJ252/AC252)</f>
        <v/>
      </c>
      <c r="AW252" s="34" t="str">
        <f aca="false">IF(OR(AH252="",N(AO252)=0),"",AH252/AO252)</f>
        <v/>
      </c>
      <c r="AX252" s="35" t="str">
        <f aca="false">IF(OR(AR252="",N(AO252)=0),"",(N(AF252)*Settings!$B$6+N(AG252)*Settings!$B$7+N(AH252)*Settings!$B$8+N(AI252)*Settings!$B$9+N(AJ252)*Settings!$B$10)/AO252*1000)</f>
        <v/>
      </c>
      <c r="AY252" s="36" t="str">
        <f aca="false">IF(AS252="","",IFERROR(AS252/AVERAGEIFS('Post Tracker'!$AS$5:$AS$1004,'Post Tracker'!$G$5:$G$1004,G252),""))</f>
        <v/>
      </c>
      <c r="AZ252" s="32"/>
      <c r="BA252" s="32"/>
      <c r="BB252" s="32"/>
      <c r="BC252" s="32"/>
      <c r="BD252" s="33" t="str">
        <f aca="false">IF(A252="","",COUNTIFS('Demo Pipeline'!$Q$5:$Q$504,A252))</f>
        <v/>
      </c>
      <c r="BE252" s="33" t="str">
        <f aca="false">IF(A252="","",COUNTIFS('Demo Pipeline'!$Q$5:$Q$504,A252,'Demo Pipeline'!$W$5:$W$504,"Attended"))</f>
        <v/>
      </c>
      <c r="BF252" s="33" t="str">
        <f aca="false">IF(A252="","",COUNTIFS('Demo Pipeline'!$Q$5:$Q$504,A252,'Demo Pipeline'!$X$5:$X$504,"Yes"))</f>
        <v/>
      </c>
      <c r="BG252" s="33" t="str">
        <f aca="false">IF(A252="","",COUNTIFS('Demo Pipeline'!$Q$5:$Q$504,A252,'Demo Pipeline'!$Y$5:$Y$504,"Closed Won"))</f>
        <v/>
      </c>
      <c r="BH252" s="37" t="str">
        <f aca="false">IF(A252="","",SUMIFS('Demo Pipeline'!$Z$5:$Z$504,'Demo Pipeline'!$Q$5:$Q$504,A252))</f>
        <v/>
      </c>
      <c r="BI252" s="34" t="str">
        <f aca="false">IF(OR(AZ252="",N(AJ252)=0),"",AZ252/AJ252)</f>
        <v/>
      </c>
      <c r="BJ252" s="34" t="str">
        <f aca="false">IF(OR(BB252="",N(AZ252)=0),"",BB252/AZ252)</f>
        <v/>
      </c>
      <c r="BK252" s="34" t="str">
        <f aca="false">IF(OR(A252="",N(BB252)=0),"",BD252/BB252)</f>
        <v/>
      </c>
      <c r="BL252" s="34" t="str">
        <f aca="false">IF(OR(A252="",N(AZ252)=0),"",BD252/AZ252)</f>
        <v/>
      </c>
      <c r="BM252" s="37" t="str">
        <f aca="false">IF(OR(N(Q252)=0,N(BD252)=0),"",Q252/BD252)</f>
        <v/>
      </c>
      <c r="BN252" s="29"/>
      <c r="BO252" s="29"/>
      <c r="BP252" s="33" t="str">
        <f aca="false">IF(OR(AR252="",N(AO252)=0),"",AR252)</f>
        <v/>
      </c>
      <c r="BQ252" s="33" t="str">
        <f aca="false">IF(OR(AR252="",N(S252)=0),"",S252)</f>
        <v/>
      </c>
      <c r="BR252" s="38" t="str">
        <f aca="false">IF(AND(ISNUMBER(B252),B252&gt;=Dashboard!$C$4,B252&lt;=Dashboard!$F$4,ISNUMBER(AU252)),AU252+ROW()/10^9,"")</f>
        <v/>
      </c>
      <c r="BS252" s="38" t="str">
        <f aca="false">IF(AND(ISNUMBER(B252),B252&gt;=Dashboard!$C$4,B252&lt;=Dashboard!$F$4,A252&lt;&gt;""),N(BD252)+N(AU252)/100+ROW()/10^9,"")</f>
        <v/>
      </c>
    </row>
    <row r="253" customFormat="false" ht="15" hidden="false" customHeight="false" outlineLevel="0" collapsed="false">
      <c r="A253" s="24" t="str">
        <f aca="false">IF(OR(B253="",G253="",H253=""),"",IFERROR(INDEX(Settings!$E$5:$E$49,MATCH(G253,Settings!$D$5:$D$49,0))&amp;INDEX(Settings!$H$5:$H$47,MATCH(H253,Settings!$G$5:$G$47,0))&amp;"-"&amp;TEXT(B253,"yymmdd")&amp;"-"&amp;IF(C253="","0000",TEXT(C253,"hhmm")),"CHECK LISTS"))</f>
        <v/>
      </c>
      <c r="B253" s="39"/>
      <c r="C253" s="40"/>
      <c r="D253" s="24" t="str">
        <f aca="false">IF(B253="","",TEXT(B253,"ddd"))</f>
        <v/>
      </c>
      <c r="E253" s="27" t="str">
        <f aca="false">IF(B253="","",B253-WEEKDAY(B253,3))</f>
        <v/>
      </c>
      <c r="F253" s="24" t="str">
        <f aca="false">IF(B253="","",TEXT(B253,"yyyy-mm"))</f>
        <v/>
      </c>
      <c r="G253" s="29"/>
      <c r="H253" s="29"/>
      <c r="I253" s="29"/>
      <c r="J253" s="29"/>
      <c r="K253" s="29"/>
      <c r="L253" s="29"/>
      <c r="M253" s="29"/>
      <c r="N253" s="29"/>
      <c r="O253" s="29"/>
      <c r="P253" s="29"/>
      <c r="Q253" s="30"/>
      <c r="R253" s="29"/>
      <c r="S253" s="32"/>
      <c r="T253" s="29"/>
      <c r="U253" s="29"/>
      <c r="V253" s="24" t="str">
        <f aca="false">IF(A253="","",IFERROR(INDEX(Settings!$F$5:$F$49,MATCH(G253,Settings!$D$5:$D$49,0)),""))</f>
        <v/>
      </c>
      <c r="W253" s="24" t="str">
        <f aca="false">IF(A253="","",IF(OR(P253="",P253="Organic"),"social","paid_social"))</f>
        <v/>
      </c>
      <c r="X253" s="24" t="str">
        <f aca="false">IF(A253="","",IF(K253&lt;&gt;"",IFERROR(INDEX('Case Studies'!$C$5:$C$54,MATCH(K253,'Case Studies'!$B$5:$B$54,0))&amp;"","case-study"),IF(J253&lt;&gt;"",IFERROR(INDEX(Settings!$J$5:$J$55,MATCH(J253,Settings!$I$5:$I$55,0)),"general"),"general")))</f>
        <v/>
      </c>
      <c r="Y253" s="24" t="str">
        <f aca="false">IF(A253="","",LOWER(A253))</f>
        <v/>
      </c>
      <c r="Z253" s="24" t="str">
        <f aca="false">IF(A253="","",IF(T253="",Settings!$B$5,T253)&amp;IF(ISNUMBER(FIND("?",IF(T253="",Settings!$B$5,T253))),"&amp;","?")&amp;"utm_source="&amp;V253&amp;"&amp;utm_medium="&amp;W253&amp;"&amp;utm_campaign="&amp;X253&amp;"&amp;utm_content="&amp;Y253)</f>
        <v/>
      </c>
      <c r="AA253" s="29"/>
      <c r="AB253" s="39"/>
      <c r="AC253" s="32"/>
      <c r="AD253" s="32"/>
      <c r="AE253" s="32"/>
      <c r="AF253" s="32"/>
      <c r="AG253" s="32"/>
      <c r="AH253" s="32"/>
      <c r="AI253" s="32"/>
      <c r="AJ253" s="32"/>
      <c r="AK253" s="32"/>
      <c r="AL253" s="32"/>
      <c r="AM253" s="32"/>
      <c r="AN253" s="32"/>
      <c r="AO253" s="33" t="str">
        <f aca="false">IF(A253="","",IF(AD253&lt;&gt;"",AD253,IF(AC253&lt;&gt;"",AC253,"")))</f>
        <v/>
      </c>
      <c r="AP253" s="24" t="str">
        <f aca="false">IF(AO253="","",IF(AD253&lt;&gt;"","Reported reach","Impressions (proxy)"))</f>
        <v/>
      </c>
      <c r="AQ253" s="34" t="str">
        <f aca="false">IF(OR(AO253="",N(S253)=0),"",AO253/S253)</f>
        <v/>
      </c>
      <c r="AR253" s="33" t="str">
        <f aca="false">IF(A253="","",IF(COUNT(AF253:AJ253)=0,"",SUM(AF253:AJ253)))</f>
        <v/>
      </c>
      <c r="AS253" s="34" t="str">
        <f aca="false">IF(OR(AR253="",N(AO253)=0),"",AR253/AO253)</f>
        <v/>
      </c>
      <c r="AT253" s="34" t="str">
        <f aca="false">IF(OR(AR253="",N(AC253)=0),"",AR253/AC253)</f>
        <v/>
      </c>
      <c r="AU253" s="34" t="str">
        <f aca="false">IF(OR(AR253="",N(S253)=0),"",AR253/S253)</f>
        <v/>
      </c>
      <c r="AV253" s="34" t="str">
        <f aca="false">IF(OR(AJ253="",N(AC253)=0),"",AJ253/AC253)</f>
        <v/>
      </c>
      <c r="AW253" s="34" t="str">
        <f aca="false">IF(OR(AH253="",N(AO253)=0),"",AH253/AO253)</f>
        <v/>
      </c>
      <c r="AX253" s="35" t="str">
        <f aca="false">IF(OR(AR253="",N(AO253)=0),"",(N(AF253)*Settings!$B$6+N(AG253)*Settings!$B$7+N(AH253)*Settings!$B$8+N(AI253)*Settings!$B$9+N(AJ253)*Settings!$B$10)/AO253*1000)</f>
        <v/>
      </c>
      <c r="AY253" s="36" t="str">
        <f aca="false">IF(AS253="","",IFERROR(AS253/AVERAGEIFS('Post Tracker'!$AS$5:$AS$1004,'Post Tracker'!$G$5:$G$1004,G253),""))</f>
        <v/>
      </c>
      <c r="AZ253" s="32"/>
      <c r="BA253" s="32"/>
      <c r="BB253" s="32"/>
      <c r="BC253" s="32"/>
      <c r="BD253" s="33" t="str">
        <f aca="false">IF(A253="","",COUNTIFS('Demo Pipeline'!$Q$5:$Q$504,A253))</f>
        <v/>
      </c>
      <c r="BE253" s="33" t="str">
        <f aca="false">IF(A253="","",COUNTIFS('Demo Pipeline'!$Q$5:$Q$504,A253,'Demo Pipeline'!$W$5:$W$504,"Attended"))</f>
        <v/>
      </c>
      <c r="BF253" s="33" t="str">
        <f aca="false">IF(A253="","",COUNTIFS('Demo Pipeline'!$Q$5:$Q$504,A253,'Demo Pipeline'!$X$5:$X$504,"Yes"))</f>
        <v/>
      </c>
      <c r="BG253" s="33" t="str">
        <f aca="false">IF(A253="","",COUNTIFS('Demo Pipeline'!$Q$5:$Q$504,A253,'Demo Pipeline'!$Y$5:$Y$504,"Closed Won"))</f>
        <v/>
      </c>
      <c r="BH253" s="37" t="str">
        <f aca="false">IF(A253="","",SUMIFS('Demo Pipeline'!$Z$5:$Z$504,'Demo Pipeline'!$Q$5:$Q$504,A253))</f>
        <v/>
      </c>
      <c r="BI253" s="34" t="str">
        <f aca="false">IF(OR(AZ253="",N(AJ253)=0),"",AZ253/AJ253)</f>
        <v/>
      </c>
      <c r="BJ253" s="34" t="str">
        <f aca="false">IF(OR(BB253="",N(AZ253)=0),"",BB253/AZ253)</f>
        <v/>
      </c>
      <c r="BK253" s="34" t="str">
        <f aca="false">IF(OR(A253="",N(BB253)=0),"",BD253/BB253)</f>
        <v/>
      </c>
      <c r="BL253" s="34" t="str">
        <f aca="false">IF(OR(A253="",N(AZ253)=0),"",BD253/AZ253)</f>
        <v/>
      </c>
      <c r="BM253" s="37" t="str">
        <f aca="false">IF(OR(N(Q253)=0,N(BD253)=0),"",Q253/BD253)</f>
        <v/>
      </c>
      <c r="BN253" s="29"/>
      <c r="BO253" s="29"/>
      <c r="BP253" s="33" t="str">
        <f aca="false">IF(OR(AR253="",N(AO253)=0),"",AR253)</f>
        <v/>
      </c>
      <c r="BQ253" s="33" t="str">
        <f aca="false">IF(OR(AR253="",N(S253)=0),"",S253)</f>
        <v/>
      </c>
      <c r="BR253" s="38" t="str">
        <f aca="false">IF(AND(ISNUMBER(B253),B253&gt;=Dashboard!$C$4,B253&lt;=Dashboard!$F$4,ISNUMBER(AU253)),AU253+ROW()/10^9,"")</f>
        <v/>
      </c>
      <c r="BS253" s="38" t="str">
        <f aca="false">IF(AND(ISNUMBER(B253),B253&gt;=Dashboard!$C$4,B253&lt;=Dashboard!$F$4,A253&lt;&gt;""),N(BD253)+N(AU253)/100+ROW()/10^9,"")</f>
        <v/>
      </c>
    </row>
    <row r="254" customFormat="false" ht="15" hidden="false" customHeight="false" outlineLevel="0" collapsed="false">
      <c r="A254" s="24" t="str">
        <f aca="false">IF(OR(B254="",G254="",H254=""),"",IFERROR(INDEX(Settings!$E$5:$E$49,MATCH(G254,Settings!$D$5:$D$49,0))&amp;INDEX(Settings!$H$5:$H$47,MATCH(H254,Settings!$G$5:$G$47,0))&amp;"-"&amp;TEXT(B254,"yymmdd")&amp;"-"&amp;IF(C254="","0000",TEXT(C254,"hhmm")),"CHECK LISTS"))</f>
        <v/>
      </c>
      <c r="B254" s="39"/>
      <c r="C254" s="40"/>
      <c r="D254" s="24" t="str">
        <f aca="false">IF(B254="","",TEXT(B254,"ddd"))</f>
        <v/>
      </c>
      <c r="E254" s="27" t="str">
        <f aca="false">IF(B254="","",B254-WEEKDAY(B254,3))</f>
        <v/>
      </c>
      <c r="F254" s="24" t="str">
        <f aca="false">IF(B254="","",TEXT(B254,"yyyy-mm"))</f>
        <v/>
      </c>
      <c r="G254" s="29"/>
      <c r="H254" s="29"/>
      <c r="I254" s="29"/>
      <c r="J254" s="29"/>
      <c r="K254" s="29"/>
      <c r="L254" s="29"/>
      <c r="M254" s="29"/>
      <c r="N254" s="29"/>
      <c r="O254" s="29"/>
      <c r="P254" s="29"/>
      <c r="Q254" s="30"/>
      <c r="R254" s="29"/>
      <c r="S254" s="32"/>
      <c r="T254" s="29"/>
      <c r="U254" s="29"/>
      <c r="V254" s="24" t="str">
        <f aca="false">IF(A254="","",IFERROR(INDEX(Settings!$F$5:$F$49,MATCH(G254,Settings!$D$5:$D$49,0)),""))</f>
        <v/>
      </c>
      <c r="W254" s="24" t="str">
        <f aca="false">IF(A254="","",IF(OR(P254="",P254="Organic"),"social","paid_social"))</f>
        <v/>
      </c>
      <c r="X254" s="24" t="str">
        <f aca="false">IF(A254="","",IF(K254&lt;&gt;"",IFERROR(INDEX('Case Studies'!$C$5:$C$54,MATCH(K254,'Case Studies'!$B$5:$B$54,0))&amp;"","case-study"),IF(J254&lt;&gt;"",IFERROR(INDEX(Settings!$J$5:$J$55,MATCH(J254,Settings!$I$5:$I$55,0)),"general"),"general")))</f>
        <v/>
      </c>
      <c r="Y254" s="24" t="str">
        <f aca="false">IF(A254="","",LOWER(A254))</f>
        <v/>
      </c>
      <c r="Z254" s="24" t="str">
        <f aca="false">IF(A254="","",IF(T254="",Settings!$B$5,T254)&amp;IF(ISNUMBER(FIND("?",IF(T254="",Settings!$B$5,T254))),"&amp;","?")&amp;"utm_source="&amp;V254&amp;"&amp;utm_medium="&amp;W254&amp;"&amp;utm_campaign="&amp;X254&amp;"&amp;utm_content="&amp;Y254)</f>
        <v/>
      </c>
      <c r="AA254" s="29"/>
      <c r="AB254" s="39"/>
      <c r="AC254" s="32"/>
      <c r="AD254" s="32"/>
      <c r="AE254" s="32"/>
      <c r="AF254" s="32"/>
      <c r="AG254" s="32"/>
      <c r="AH254" s="32"/>
      <c r="AI254" s="32"/>
      <c r="AJ254" s="32"/>
      <c r="AK254" s="32"/>
      <c r="AL254" s="32"/>
      <c r="AM254" s="32"/>
      <c r="AN254" s="32"/>
      <c r="AO254" s="33" t="str">
        <f aca="false">IF(A254="","",IF(AD254&lt;&gt;"",AD254,IF(AC254&lt;&gt;"",AC254,"")))</f>
        <v/>
      </c>
      <c r="AP254" s="24" t="str">
        <f aca="false">IF(AO254="","",IF(AD254&lt;&gt;"","Reported reach","Impressions (proxy)"))</f>
        <v/>
      </c>
      <c r="AQ254" s="34" t="str">
        <f aca="false">IF(OR(AO254="",N(S254)=0),"",AO254/S254)</f>
        <v/>
      </c>
      <c r="AR254" s="33" t="str">
        <f aca="false">IF(A254="","",IF(COUNT(AF254:AJ254)=0,"",SUM(AF254:AJ254)))</f>
        <v/>
      </c>
      <c r="AS254" s="34" t="str">
        <f aca="false">IF(OR(AR254="",N(AO254)=0),"",AR254/AO254)</f>
        <v/>
      </c>
      <c r="AT254" s="34" t="str">
        <f aca="false">IF(OR(AR254="",N(AC254)=0),"",AR254/AC254)</f>
        <v/>
      </c>
      <c r="AU254" s="34" t="str">
        <f aca="false">IF(OR(AR254="",N(S254)=0),"",AR254/S254)</f>
        <v/>
      </c>
      <c r="AV254" s="34" t="str">
        <f aca="false">IF(OR(AJ254="",N(AC254)=0),"",AJ254/AC254)</f>
        <v/>
      </c>
      <c r="AW254" s="34" t="str">
        <f aca="false">IF(OR(AH254="",N(AO254)=0),"",AH254/AO254)</f>
        <v/>
      </c>
      <c r="AX254" s="35" t="str">
        <f aca="false">IF(OR(AR254="",N(AO254)=0),"",(N(AF254)*Settings!$B$6+N(AG254)*Settings!$B$7+N(AH254)*Settings!$B$8+N(AI254)*Settings!$B$9+N(AJ254)*Settings!$B$10)/AO254*1000)</f>
        <v/>
      </c>
      <c r="AY254" s="36" t="str">
        <f aca="false">IF(AS254="","",IFERROR(AS254/AVERAGEIFS('Post Tracker'!$AS$5:$AS$1004,'Post Tracker'!$G$5:$G$1004,G254),""))</f>
        <v/>
      </c>
      <c r="AZ254" s="32"/>
      <c r="BA254" s="32"/>
      <c r="BB254" s="32"/>
      <c r="BC254" s="32"/>
      <c r="BD254" s="33" t="str">
        <f aca="false">IF(A254="","",COUNTIFS('Demo Pipeline'!$Q$5:$Q$504,A254))</f>
        <v/>
      </c>
      <c r="BE254" s="33" t="str">
        <f aca="false">IF(A254="","",COUNTIFS('Demo Pipeline'!$Q$5:$Q$504,A254,'Demo Pipeline'!$W$5:$W$504,"Attended"))</f>
        <v/>
      </c>
      <c r="BF254" s="33" t="str">
        <f aca="false">IF(A254="","",COUNTIFS('Demo Pipeline'!$Q$5:$Q$504,A254,'Demo Pipeline'!$X$5:$X$504,"Yes"))</f>
        <v/>
      </c>
      <c r="BG254" s="33" t="str">
        <f aca="false">IF(A254="","",COUNTIFS('Demo Pipeline'!$Q$5:$Q$504,A254,'Demo Pipeline'!$Y$5:$Y$504,"Closed Won"))</f>
        <v/>
      </c>
      <c r="BH254" s="37" t="str">
        <f aca="false">IF(A254="","",SUMIFS('Demo Pipeline'!$Z$5:$Z$504,'Demo Pipeline'!$Q$5:$Q$504,A254))</f>
        <v/>
      </c>
      <c r="BI254" s="34" t="str">
        <f aca="false">IF(OR(AZ254="",N(AJ254)=0),"",AZ254/AJ254)</f>
        <v/>
      </c>
      <c r="BJ254" s="34" t="str">
        <f aca="false">IF(OR(BB254="",N(AZ254)=0),"",BB254/AZ254)</f>
        <v/>
      </c>
      <c r="BK254" s="34" t="str">
        <f aca="false">IF(OR(A254="",N(BB254)=0),"",BD254/BB254)</f>
        <v/>
      </c>
      <c r="BL254" s="34" t="str">
        <f aca="false">IF(OR(A254="",N(AZ254)=0),"",BD254/AZ254)</f>
        <v/>
      </c>
      <c r="BM254" s="37" t="str">
        <f aca="false">IF(OR(N(Q254)=0,N(BD254)=0),"",Q254/BD254)</f>
        <v/>
      </c>
      <c r="BN254" s="29"/>
      <c r="BO254" s="29"/>
      <c r="BP254" s="33" t="str">
        <f aca="false">IF(OR(AR254="",N(AO254)=0),"",AR254)</f>
        <v/>
      </c>
      <c r="BQ254" s="33" t="str">
        <f aca="false">IF(OR(AR254="",N(S254)=0),"",S254)</f>
        <v/>
      </c>
      <c r="BR254" s="38" t="str">
        <f aca="false">IF(AND(ISNUMBER(B254),B254&gt;=Dashboard!$C$4,B254&lt;=Dashboard!$F$4,ISNUMBER(AU254)),AU254+ROW()/10^9,"")</f>
        <v/>
      </c>
      <c r="BS254" s="38" t="str">
        <f aca="false">IF(AND(ISNUMBER(B254),B254&gt;=Dashboard!$C$4,B254&lt;=Dashboard!$F$4,A254&lt;&gt;""),N(BD254)+N(AU254)/100+ROW()/10^9,"")</f>
        <v/>
      </c>
    </row>
    <row r="255" customFormat="false" ht="15" hidden="false" customHeight="false" outlineLevel="0" collapsed="false">
      <c r="A255" s="24" t="str">
        <f aca="false">IF(OR(B255="",G255="",H255=""),"",IFERROR(INDEX(Settings!$E$5:$E$49,MATCH(G255,Settings!$D$5:$D$49,0))&amp;INDEX(Settings!$H$5:$H$47,MATCH(H255,Settings!$G$5:$G$47,0))&amp;"-"&amp;TEXT(B255,"yymmdd")&amp;"-"&amp;IF(C255="","0000",TEXT(C255,"hhmm")),"CHECK LISTS"))</f>
        <v/>
      </c>
      <c r="B255" s="39"/>
      <c r="C255" s="40"/>
      <c r="D255" s="24" t="str">
        <f aca="false">IF(B255="","",TEXT(B255,"ddd"))</f>
        <v/>
      </c>
      <c r="E255" s="27" t="str">
        <f aca="false">IF(B255="","",B255-WEEKDAY(B255,3))</f>
        <v/>
      </c>
      <c r="F255" s="24" t="str">
        <f aca="false">IF(B255="","",TEXT(B255,"yyyy-mm"))</f>
        <v/>
      </c>
      <c r="G255" s="29"/>
      <c r="H255" s="29"/>
      <c r="I255" s="29"/>
      <c r="J255" s="29"/>
      <c r="K255" s="29"/>
      <c r="L255" s="29"/>
      <c r="M255" s="29"/>
      <c r="N255" s="29"/>
      <c r="O255" s="29"/>
      <c r="P255" s="29"/>
      <c r="Q255" s="30"/>
      <c r="R255" s="29"/>
      <c r="S255" s="32"/>
      <c r="T255" s="29"/>
      <c r="U255" s="29"/>
      <c r="V255" s="24" t="str">
        <f aca="false">IF(A255="","",IFERROR(INDEX(Settings!$F$5:$F$49,MATCH(G255,Settings!$D$5:$D$49,0)),""))</f>
        <v/>
      </c>
      <c r="W255" s="24" t="str">
        <f aca="false">IF(A255="","",IF(OR(P255="",P255="Organic"),"social","paid_social"))</f>
        <v/>
      </c>
      <c r="X255" s="24" t="str">
        <f aca="false">IF(A255="","",IF(K255&lt;&gt;"",IFERROR(INDEX('Case Studies'!$C$5:$C$54,MATCH(K255,'Case Studies'!$B$5:$B$54,0))&amp;"","case-study"),IF(J255&lt;&gt;"",IFERROR(INDEX(Settings!$J$5:$J$55,MATCH(J255,Settings!$I$5:$I$55,0)),"general"),"general")))</f>
        <v/>
      </c>
      <c r="Y255" s="24" t="str">
        <f aca="false">IF(A255="","",LOWER(A255))</f>
        <v/>
      </c>
      <c r="Z255" s="24" t="str">
        <f aca="false">IF(A255="","",IF(T255="",Settings!$B$5,T255)&amp;IF(ISNUMBER(FIND("?",IF(T255="",Settings!$B$5,T255))),"&amp;","?")&amp;"utm_source="&amp;V255&amp;"&amp;utm_medium="&amp;W255&amp;"&amp;utm_campaign="&amp;X255&amp;"&amp;utm_content="&amp;Y255)</f>
        <v/>
      </c>
      <c r="AA255" s="29"/>
      <c r="AB255" s="39"/>
      <c r="AC255" s="32"/>
      <c r="AD255" s="32"/>
      <c r="AE255" s="32"/>
      <c r="AF255" s="32"/>
      <c r="AG255" s="32"/>
      <c r="AH255" s="32"/>
      <c r="AI255" s="32"/>
      <c r="AJ255" s="32"/>
      <c r="AK255" s="32"/>
      <c r="AL255" s="32"/>
      <c r="AM255" s="32"/>
      <c r="AN255" s="32"/>
      <c r="AO255" s="33" t="str">
        <f aca="false">IF(A255="","",IF(AD255&lt;&gt;"",AD255,IF(AC255&lt;&gt;"",AC255,"")))</f>
        <v/>
      </c>
      <c r="AP255" s="24" t="str">
        <f aca="false">IF(AO255="","",IF(AD255&lt;&gt;"","Reported reach","Impressions (proxy)"))</f>
        <v/>
      </c>
      <c r="AQ255" s="34" t="str">
        <f aca="false">IF(OR(AO255="",N(S255)=0),"",AO255/S255)</f>
        <v/>
      </c>
      <c r="AR255" s="33" t="str">
        <f aca="false">IF(A255="","",IF(COUNT(AF255:AJ255)=0,"",SUM(AF255:AJ255)))</f>
        <v/>
      </c>
      <c r="AS255" s="34" t="str">
        <f aca="false">IF(OR(AR255="",N(AO255)=0),"",AR255/AO255)</f>
        <v/>
      </c>
      <c r="AT255" s="34" t="str">
        <f aca="false">IF(OR(AR255="",N(AC255)=0),"",AR255/AC255)</f>
        <v/>
      </c>
      <c r="AU255" s="34" t="str">
        <f aca="false">IF(OR(AR255="",N(S255)=0),"",AR255/S255)</f>
        <v/>
      </c>
      <c r="AV255" s="34" t="str">
        <f aca="false">IF(OR(AJ255="",N(AC255)=0),"",AJ255/AC255)</f>
        <v/>
      </c>
      <c r="AW255" s="34" t="str">
        <f aca="false">IF(OR(AH255="",N(AO255)=0),"",AH255/AO255)</f>
        <v/>
      </c>
      <c r="AX255" s="35" t="str">
        <f aca="false">IF(OR(AR255="",N(AO255)=0),"",(N(AF255)*Settings!$B$6+N(AG255)*Settings!$B$7+N(AH255)*Settings!$B$8+N(AI255)*Settings!$B$9+N(AJ255)*Settings!$B$10)/AO255*1000)</f>
        <v/>
      </c>
      <c r="AY255" s="36" t="str">
        <f aca="false">IF(AS255="","",IFERROR(AS255/AVERAGEIFS('Post Tracker'!$AS$5:$AS$1004,'Post Tracker'!$G$5:$G$1004,G255),""))</f>
        <v/>
      </c>
      <c r="AZ255" s="32"/>
      <c r="BA255" s="32"/>
      <c r="BB255" s="32"/>
      <c r="BC255" s="32"/>
      <c r="BD255" s="33" t="str">
        <f aca="false">IF(A255="","",COUNTIFS('Demo Pipeline'!$Q$5:$Q$504,A255))</f>
        <v/>
      </c>
      <c r="BE255" s="33" t="str">
        <f aca="false">IF(A255="","",COUNTIFS('Demo Pipeline'!$Q$5:$Q$504,A255,'Demo Pipeline'!$W$5:$W$504,"Attended"))</f>
        <v/>
      </c>
      <c r="BF255" s="33" t="str">
        <f aca="false">IF(A255="","",COUNTIFS('Demo Pipeline'!$Q$5:$Q$504,A255,'Demo Pipeline'!$X$5:$X$504,"Yes"))</f>
        <v/>
      </c>
      <c r="BG255" s="33" t="str">
        <f aca="false">IF(A255="","",COUNTIFS('Demo Pipeline'!$Q$5:$Q$504,A255,'Demo Pipeline'!$Y$5:$Y$504,"Closed Won"))</f>
        <v/>
      </c>
      <c r="BH255" s="37" t="str">
        <f aca="false">IF(A255="","",SUMIFS('Demo Pipeline'!$Z$5:$Z$504,'Demo Pipeline'!$Q$5:$Q$504,A255))</f>
        <v/>
      </c>
      <c r="BI255" s="34" t="str">
        <f aca="false">IF(OR(AZ255="",N(AJ255)=0),"",AZ255/AJ255)</f>
        <v/>
      </c>
      <c r="BJ255" s="34" t="str">
        <f aca="false">IF(OR(BB255="",N(AZ255)=0),"",BB255/AZ255)</f>
        <v/>
      </c>
      <c r="BK255" s="34" t="str">
        <f aca="false">IF(OR(A255="",N(BB255)=0),"",BD255/BB255)</f>
        <v/>
      </c>
      <c r="BL255" s="34" t="str">
        <f aca="false">IF(OR(A255="",N(AZ255)=0),"",BD255/AZ255)</f>
        <v/>
      </c>
      <c r="BM255" s="37" t="str">
        <f aca="false">IF(OR(N(Q255)=0,N(BD255)=0),"",Q255/BD255)</f>
        <v/>
      </c>
      <c r="BN255" s="29"/>
      <c r="BO255" s="29"/>
      <c r="BP255" s="33" t="str">
        <f aca="false">IF(OR(AR255="",N(AO255)=0),"",AR255)</f>
        <v/>
      </c>
      <c r="BQ255" s="33" t="str">
        <f aca="false">IF(OR(AR255="",N(S255)=0),"",S255)</f>
        <v/>
      </c>
      <c r="BR255" s="38" t="str">
        <f aca="false">IF(AND(ISNUMBER(B255),B255&gt;=Dashboard!$C$4,B255&lt;=Dashboard!$F$4,ISNUMBER(AU255)),AU255+ROW()/10^9,"")</f>
        <v/>
      </c>
      <c r="BS255" s="38" t="str">
        <f aca="false">IF(AND(ISNUMBER(B255),B255&gt;=Dashboard!$C$4,B255&lt;=Dashboard!$F$4,A255&lt;&gt;""),N(BD255)+N(AU255)/100+ROW()/10^9,"")</f>
        <v/>
      </c>
    </row>
    <row r="256" customFormat="false" ht="15" hidden="false" customHeight="false" outlineLevel="0" collapsed="false">
      <c r="A256" s="24" t="str">
        <f aca="false">IF(OR(B256="",G256="",H256=""),"",IFERROR(INDEX(Settings!$E$5:$E$49,MATCH(G256,Settings!$D$5:$D$49,0))&amp;INDEX(Settings!$H$5:$H$47,MATCH(H256,Settings!$G$5:$G$47,0))&amp;"-"&amp;TEXT(B256,"yymmdd")&amp;"-"&amp;IF(C256="","0000",TEXT(C256,"hhmm")),"CHECK LISTS"))</f>
        <v/>
      </c>
      <c r="B256" s="39"/>
      <c r="C256" s="40"/>
      <c r="D256" s="24" t="str">
        <f aca="false">IF(B256="","",TEXT(B256,"ddd"))</f>
        <v/>
      </c>
      <c r="E256" s="27" t="str">
        <f aca="false">IF(B256="","",B256-WEEKDAY(B256,3))</f>
        <v/>
      </c>
      <c r="F256" s="24" t="str">
        <f aca="false">IF(B256="","",TEXT(B256,"yyyy-mm"))</f>
        <v/>
      </c>
      <c r="G256" s="29"/>
      <c r="H256" s="29"/>
      <c r="I256" s="29"/>
      <c r="J256" s="29"/>
      <c r="K256" s="29"/>
      <c r="L256" s="29"/>
      <c r="M256" s="29"/>
      <c r="N256" s="29"/>
      <c r="O256" s="29"/>
      <c r="P256" s="29"/>
      <c r="Q256" s="30"/>
      <c r="R256" s="29"/>
      <c r="S256" s="32"/>
      <c r="T256" s="29"/>
      <c r="U256" s="29"/>
      <c r="V256" s="24" t="str">
        <f aca="false">IF(A256="","",IFERROR(INDEX(Settings!$F$5:$F$49,MATCH(G256,Settings!$D$5:$D$49,0)),""))</f>
        <v/>
      </c>
      <c r="W256" s="24" t="str">
        <f aca="false">IF(A256="","",IF(OR(P256="",P256="Organic"),"social","paid_social"))</f>
        <v/>
      </c>
      <c r="X256" s="24" t="str">
        <f aca="false">IF(A256="","",IF(K256&lt;&gt;"",IFERROR(INDEX('Case Studies'!$C$5:$C$54,MATCH(K256,'Case Studies'!$B$5:$B$54,0))&amp;"","case-study"),IF(J256&lt;&gt;"",IFERROR(INDEX(Settings!$J$5:$J$55,MATCH(J256,Settings!$I$5:$I$55,0)),"general"),"general")))</f>
        <v/>
      </c>
      <c r="Y256" s="24" t="str">
        <f aca="false">IF(A256="","",LOWER(A256))</f>
        <v/>
      </c>
      <c r="Z256" s="24" t="str">
        <f aca="false">IF(A256="","",IF(T256="",Settings!$B$5,T256)&amp;IF(ISNUMBER(FIND("?",IF(T256="",Settings!$B$5,T256))),"&amp;","?")&amp;"utm_source="&amp;V256&amp;"&amp;utm_medium="&amp;W256&amp;"&amp;utm_campaign="&amp;X256&amp;"&amp;utm_content="&amp;Y256)</f>
        <v/>
      </c>
      <c r="AA256" s="29"/>
      <c r="AB256" s="39"/>
      <c r="AC256" s="32"/>
      <c r="AD256" s="32"/>
      <c r="AE256" s="32"/>
      <c r="AF256" s="32"/>
      <c r="AG256" s="32"/>
      <c r="AH256" s="32"/>
      <c r="AI256" s="32"/>
      <c r="AJ256" s="32"/>
      <c r="AK256" s="32"/>
      <c r="AL256" s="32"/>
      <c r="AM256" s="32"/>
      <c r="AN256" s="32"/>
      <c r="AO256" s="33" t="str">
        <f aca="false">IF(A256="","",IF(AD256&lt;&gt;"",AD256,IF(AC256&lt;&gt;"",AC256,"")))</f>
        <v/>
      </c>
      <c r="AP256" s="24" t="str">
        <f aca="false">IF(AO256="","",IF(AD256&lt;&gt;"","Reported reach","Impressions (proxy)"))</f>
        <v/>
      </c>
      <c r="AQ256" s="34" t="str">
        <f aca="false">IF(OR(AO256="",N(S256)=0),"",AO256/S256)</f>
        <v/>
      </c>
      <c r="AR256" s="33" t="str">
        <f aca="false">IF(A256="","",IF(COUNT(AF256:AJ256)=0,"",SUM(AF256:AJ256)))</f>
        <v/>
      </c>
      <c r="AS256" s="34" t="str">
        <f aca="false">IF(OR(AR256="",N(AO256)=0),"",AR256/AO256)</f>
        <v/>
      </c>
      <c r="AT256" s="34" t="str">
        <f aca="false">IF(OR(AR256="",N(AC256)=0),"",AR256/AC256)</f>
        <v/>
      </c>
      <c r="AU256" s="34" t="str">
        <f aca="false">IF(OR(AR256="",N(S256)=0),"",AR256/S256)</f>
        <v/>
      </c>
      <c r="AV256" s="34" t="str">
        <f aca="false">IF(OR(AJ256="",N(AC256)=0),"",AJ256/AC256)</f>
        <v/>
      </c>
      <c r="AW256" s="34" t="str">
        <f aca="false">IF(OR(AH256="",N(AO256)=0),"",AH256/AO256)</f>
        <v/>
      </c>
      <c r="AX256" s="35" t="str">
        <f aca="false">IF(OR(AR256="",N(AO256)=0),"",(N(AF256)*Settings!$B$6+N(AG256)*Settings!$B$7+N(AH256)*Settings!$B$8+N(AI256)*Settings!$B$9+N(AJ256)*Settings!$B$10)/AO256*1000)</f>
        <v/>
      </c>
      <c r="AY256" s="36" t="str">
        <f aca="false">IF(AS256="","",IFERROR(AS256/AVERAGEIFS('Post Tracker'!$AS$5:$AS$1004,'Post Tracker'!$G$5:$G$1004,G256),""))</f>
        <v/>
      </c>
      <c r="AZ256" s="32"/>
      <c r="BA256" s="32"/>
      <c r="BB256" s="32"/>
      <c r="BC256" s="32"/>
      <c r="BD256" s="33" t="str">
        <f aca="false">IF(A256="","",COUNTIFS('Demo Pipeline'!$Q$5:$Q$504,A256))</f>
        <v/>
      </c>
      <c r="BE256" s="33" t="str">
        <f aca="false">IF(A256="","",COUNTIFS('Demo Pipeline'!$Q$5:$Q$504,A256,'Demo Pipeline'!$W$5:$W$504,"Attended"))</f>
        <v/>
      </c>
      <c r="BF256" s="33" t="str">
        <f aca="false">IF(A256="","",COUNTIFS('Demo Pipeline'!$Q$5:$Q$504,A256,'Demo Pipeline'!$X$5:$X$504,"Yes"))</f>
        <v/>
      </c>
      <c r="BG256" s="33" t="str">
        <f aca="false">IF(A256="","",COUNTIFS('Demo Pipeline'!$Q$5:$Q$504,A256,'Demo Pipeline'!$Y$5:$Y$504,"Closed Won"))</f>
        <v/>
      </c>
      <c r="BH256" s="37" t="str">
        <f aca="false">IF(A256="","",SUMIFS('Demo Pipeline'!$Z$5:$Z$504,'Demo Pipeline'!$Q$5:$Q$504,A256))</f>
        <v/>
      </c>
      <c r="BI256" s="34" t="str">
        <f aca="false">IF(OR(AZ256="",N(AJ256)=0),"",AZ256/AJ256)</f>
        <v/>
      </c>
      <c r="BJ256" s="34" t="str">
        <f aca="false">IF(OR(BB256="",N(AZ256)=0),"",BB256/AZ256)</f>
        <v/>
      </c>
      <c r="BK256" s="34" t="str">
        <f aca="false">IF(OR(A256="",N(BB256)=0),"",BD256/BB256)</f>
        <v/>
      </c>
      <c r="BL256" s="34" t="str">
        <f aca="false">IF(OR(A256="",N(AZ256)=0),"",BD256/AZ256)</f>
        <v/>
      </c>
      <c r="BM256" s="37" t="str">
        <f aca="false">IF(OR(N(Q256)=0,N(BD256)=0),"",Q256/BD256)</f>
        <v/>
      </c>
      <c r="BN256" s="29"/>
      <c r="BO256" s="29"/>
      <c r="BP256" s="33" t="str">
        <f aca="false">IF(OR(AR256="",N(AO256)=0),"",AR256)</f>
        <v/>
      </c>
      <c r="BQ256" s="33" t="str">
        <f aca="false">IF(OR(AR256="",N(S256)=0),"",S256)</f>
        <v/>
      </c>
      <c r="BR256" s="38" t="str">
        <f aca="false">IF(AND(ISNUMBER(B256),B256&gt;=Dashboard!$C$4,B256&lt;=Dashboard!$F$4,ISNUMBER(AU256)),AU256+ROW()/10^9,"")</f>
        <v/>
      </c>
      <c r="BS256" s="38" t="str">
        <f aca="false">IF(AND(ISNUMBER(B256),B256&gt;=Dashboard!$C$4,B256&lt;=Dashboard!$F$4,A256&lt;&gt;""),N(BD256)+N(AU256)/100+ROW()/10^9,"")</f>
        <v/>
      </c>
    </row>
    <row r="257" customFormat="false" ht="15" hidden="false" customHeight="false" outlineLevel="0" collapsed="false">
      <c r="A257" s="24" t="str">
        <f aca="false">IF(OR(B257="",G257="",H257=""),"",IFERROR(INDEX(Settings!$E$5:$E$49,MATCH(G257,Settings!$D$5:$D$49,0))&amp;INDEX(Settings!$H$5:$H$47,MATCH(H257,Settings!$G$5:$G$47,0))&amp;"-"&amp;TEXT(B257,"yymmdd")&amp;"-"&amp;IF(C257="","0000",TEXT(C257,"hhmm")),"CHECK LISTS"))</f>
        <v/>
      </c>
      <c r="B257" s="39"/>
      <c r="C257" s="40"/>
      <c r="D257" s="24" t="str">
        <f aca="false">IF(B257="","",TEXT(B257,"ddd"))</f>
        <v/>
      </c>
      <c r="E257" s="27" t="str">
        <f aca="false">IF(B257="","",B257-WEEKDAY(B257,3))</f>
        <v/>
      </c>
      <c r="F257" s="24" t="str">
        <f aca="false">IF(B257="","",TEXT(B257,"yyyy-mm"))</f>
        <v/>
      </c>
      <c r="G257" s="29"/>
      <c r="H257" s="29"/>
      <c r="I257" s="29"/>
      <c r="J257" s="29"/>
      <c r="K257" s="29"/>
      <c r="L257" s="29"/>
      <c r="M257" s="29"/>
      <c r="N257" s="29"/>
      <c r="O257" s="29"/>
      <c r="P257" s="29"/>
      <c r="Q257" s="30"/>
      <c r="R257" s="29"/>
      <c r="S257" s="32"/>
      <c r="T257" s="29"/>
      <c r="U257" s="29"/>
      <c r="V257" s="24" t="str">
        <f aca="false">IF(A257="","",IFERROR(INDEX(Settings!$F$5:$F$49,MATCH(G257,Settings!$D$5:$D$49,0)),""))</f>
        <v/>
      </c>
      <c r="W257" s="24" t="str">
        <f aca="false">IF(A257="","",IF(OR(P257="",P257="Organic"),"social","paid_social"))</f>
        <v/>
      </c>
      <c r="X257" s="24" t="str">
        <f aca="false">IF(A257="","",IF(K257&lt;&gt;"",IFERROR(INDEX('Case Studies'!$C$5:$C$54,MATCH(K257,'Case Studies'!$B$5:$B$54,0))&amp;"","case-study"),IF(J257&lt;&gt;"",IFERROR(INDEX(Settings!$J$5:$J$55,MATCH(J257,Settings!$I$5:$I$55,0)),"general"),"general")))</f>
        <v/>
      </c>
      <c r="Y257" s="24" t="str">
        <f aca="false">IF(A257="","",LOWER(A257))</f>
        <v/>
      </c>
      <c r="Z257" s="24" t="str">
        <f aca="false">IF(A257="","",IF(T257="",Settings!$B$5,T257)&amp;IF(ISNUMBER(FIND("?",IF(T257="",Settings!$B$5,T257))),"&amp;","?")&amp;"utm_source="&amp;V257&amp;"&amp;utm_medium="&amp;W257&amp;"&amp;utm_campaign="&amp;X257&amp;"&amp;utm_content="&amp;Y257)</f>
        <v/>
      </c>
      <c r="AA257" s="29"/>
      <c r="AB257" s="39"/>
      <c r="AC257" s="32"/>
      <c r="AD257" s="32"/>
      <c r="AE257" s="32"/>
      <c r="AF257" s="32"/>
      <c r="AG257" s="32"/>
      <c r="AH257" s="32"/>
      <c r="AI257" s="32"/>
      <c r="AJ257" s="32"/>
      <c r="AK257" s="32"/>
      <c r="AL257" s="32"/>
      <c r="AM257" s="32"/>
      <c r="AN257" s="32"/>
      <c r="AO257" s="33" t="str">
        <f aca="false">IF(A257="","",IF(AD257&lt;&gt;"",AD257,IF(AC257&lt;&gt;"",AC257,"")))</f>
        <v/>
      </c>
      <c r="AP257" s="24" t="str">
        <f aca="false">IF(AO257="","",IF(AD257&lt;&gt;"","Reported reach","Impressions (proxy)"))</f>
        <v/>
      </c>
      <c r="AQ257" s="34" t="str">
        <f aca="false">IF(OR(AO257="",N(S257)=0),"",AO257/S257)</f>
        <v/>
      </c>
      <c r="AR257" s="33" t="str">
        <f aca="false">IF(A257="","",IF(COUNT(AF257:AJ257)=0,"",SUM(AF257:AJ257)))</f>
        <v/>
      </c>
      <c r="AS257" s="34" t="str">
        <f aca="false">IF(OR(AR257="",N(AO257)=0),"",AR257/AO257)</f>
        <v/>
      </c>
      <c r="AT257" s="34" t="str">
        <f aca="false">IF(OR(AR257="",N(AC257)=0),"",AR257/AC257)</f>
        <v/>
      </c>
      <c r="AU257" s="34" t="str">
        <f aca="false">IF(OR(AR257="",N(S257)=0),"",AR257/S257)</f>
        <v/>
      </c>
      <c r="AV257" s="34" t="str">
        <f aca="false">IF(OR(AJ257="",N(AC257)=0),"",AJ257/AC257)</f>
        <v/>
      </c>
      <c r="AW257" s="34" t="str">
        <f aca="false">IF(OR(AH257="",N(AO257)=0),"",AH257/AO257)</f>
        <v/>
      </c>
      <c r="AX257" s="35" t="str">
        <f aca="false">IF(OR(AR257="",N(AO257)=0),"",(N(AF257)*Settings!$B$6+N(AG257)*Settings!$B$7+N(AH257)*Settings!$B$8+N(AI257)*Settings!$B$9+N(AJ257)*Settings!$B$10)/AO257*1000)</f>
        <v/>
      </c>
      <c r="AY257" s="36" t="str">
        <f aca="false">IF(AS257="","",IFERROR(AS257/AVERAGEIFS('Post Tracker'!$AS$5:$AS$1004,'Post Tracker'!$G$5:$G$1004,G257),""))</f>
        <v/>
      </c>
      <c r="AZ257" s="32"/>
      <c r="BA257" s="32"/>
      <c r="BB257" s="32"/>
      <c r="BC257" s="32"/>
      <c r="BD257" s="33" t="str">
        <f aca="false">IF(A257="","",COUNTIFS('Demo Pipeline'!$Q$5:$Q$504,A257))</f>
        <v/>
      </c>
      <c r="BE257" s="33" t="str">
        <f aca="false">IF(A257="","",COUNTIFS('Demo Pipeline'!$Q$5:$Q$504,A257,'Demo Pipeline'!$W$5:$W$504,"Attended"))</f>
        <v/>
      </c>
      <c r="BF257" s="33" t="str">
        <f aca="false">IF(A257="","",COUNTIFS('Demo Pipeline'!$Q$5:$Q$504,A257,'Demo Pipeline'!$X$5:$X$504,"Yes"))</f>
        <v/>
      </c>
      <c r="BG257" s="33" t="str">
        <f aca="false">IF(A257="","",COUNTIFS('Demo Pipeline'!$Q$5:$Q$504,A257,'Demo Pipeline'!$Y$5:$Y$504,"Closed Won"))</f>
        <v/>
      </c>
      <c r="BH257" s="37" t="str">
        <f aca="false">IF(A257="","",SUMIFS('Demo Pipeline'!$Z$5:$Z$504,'Demo Pipeline'!$Q$5:$Q$504,A257))</f>
        <v/>
      </c>
      <c r="BI257" s="34" t="str">
        <f aca="false">IF(OR(AZ257="",N(AJ257)=0),"",AZ257/AJ257)</f>
        <v/>
      </c>
      <c r="BJ257" s="34" t="str">
        <f aca="false">IF(OR(BB257="",N(AZ257)=0),"",BB257/AZ257)</f>
        <v/>
      </c>
      <c r="BK257" s="34" t="str">
        <f aca="false">IF(OR(A257="",N(BB257)=0),"",BD257/BB257)</f>
        <v/>
      </c>
      <c r="BL257" s="34" t="str">
        <f aca="false">IF(OR(A257="",N(AZ257)=0),"",BD257/AZ257)</f>
        <v/>
      </c>
      <c r="BM257" s="37" t="str">
        <f aca="false">IF(OR(N(Q257)=0,N(BD257)=0),"",Q257/BD257)</f>
        <v/>
      </c>
      <c r="BN257" s="29"/>
      <c r="BO257" s="29"/>
      <c r="BP257" s="33" t="str">
        <f aca="false">IF(OR(AR257="",N(AO257)=0),"",AR257)</f>
        <v/>
      </c>
      <c r="BQ257" s="33" t="str">
        <f aca="false">IF(OR(AR257="",N(S257)=0),"",S257)</f>
        <v/>
      </c>
      <c r="BR257" s="38" t="str">
        <f aca="false">IF(AND(ISNUMBER(B257),B257&gt;=Dashboard!$C$4,B257&lt;=Dashboard!$F$4,ISNUMBER(AU257)),AU257+ROW()/10^9,"")</f>
        <v/>
      </c>
      <c r="BS257" s="38" t="str">
        <f aca="false">IF(AND(ISNUMBER(B257),B257&gt;=Dashboard!$C$4,B257&lt;=Dashboard!$F$4,A257&lt;&gt;""),N(BD257)+N(AU257)/100+ROW()/10^9,"")</f>
        <v/>
      </c>
    </row>
    <row r="258" customFormat="false" ht="15" hidden="false" customHeight="false" outlineLevel="0" collapsed="false">
      <c r="A258" s="24" t="str">
        <f aca="false">IF(OR(B258="",G258="",H258=""),"",IFERROR(INDEX(Settings!$E$5:$E$49,MATCH(G258,Settings!$D$5:$D$49,0))&amp;INDEX(Settings!$H$5:$H$47,MATCH(H258,Settings!$G$5:$G$47,0))&amp;"-"&amp;TEXT(B258,"yymmdd")&amp;"-"&amp;IF(C258="","0000",TEXT(C258,"hhmm")),"CHECK LISTS"))</f>
        <v/>
      </c>
      <c r="B258" s="39"/>
      <c r="C258" s="40"/>
      <c r="D258" s="24" t="str">
        <f aca="false">IF(B258="","",TEXT(B258,"ddd"))</f>
        <v/>
      </c>
      <c r="E258" s="27" t="str">
        <f aca="false">IF(B258="","",B258-WEEKDAY(B258,3))</f>
        <v/>
      </c>
      <c r="F258" s="24" t="str">
        <f aca="false">IF(B258="","",TEXT(B258,"yyyy-mm"))</f>
        <v/>
      </c>
      <c r="G258" s="29"/>
      <c r="H258" s="29"/>
      <c r="I258" s="29"/>
      <c r="J258" s="29"/>
      <c r="K258" s="29"/>
      <c r="L258" s="29"/>
      <c r="M258" s="29"/>
      <c r="N258" s="29"/>
      <c r="O258" s="29"/>
      <c r="P258" s="29"/>
      <c r="Q258" s="30"/>
      <c r="R258" s="29"/>
      <c r="S258" s="32"/>
      <c r="T258" s="29"/>
      <c r="U258" s="29"/>
      <c r="V258" s="24" t="str">
        <f aca="false">IF(A258="","",IFERROR(INDEX(Settings!$F$5:$F$49,MATCH(G258,Settings!$D$5:$D$49,0)),""))</f>
        <v/>
      </c>
      <c r="W258" s="24" t="str">
        <f aca="false">IF(A258="","",IF(OR(P258="",P258="Organic"),"social","paid_social"))</f>
        <v/>
      </c>
      <c r="X258" s="24" t="str">
        <f aca="false">IF(A258="","",IF(K258&lt;&gt;"",IFERROR(INDEX('Case Studies'!$C$5:$C$54,MATCH(K258,'Case Studies'!$B$5:$B$54,0))&amp;"","case-study"),IF(J258&lt;&gt;"",IFERROR(INDEX(Settings!$J$5:$J$55,MATCH(J258,Settings!$I$5:$I$55,0)),"general"),"general")))</f>
        <v/>
      </c>
      <c r="Y258" s="24" t="str">
        <f aca="false">IF(A258="","",LOWER(A258))</f>
        <v/>
      </c>
      <c r="Z258" s="24" t="str">
        <f aca="false">IF(A258="","",IF(T258="",Settings!$B$5,T258)&amp;IF(ISNUMBER(FIND("?",IF(T258="",Settings!$B$5,T258))),"&amp;","?")&amp;"utm_source="&amp;V258&amp;"&amp;utm_medium="&amp;W258&amp;"&amp;utm_campaign="&amp;X258&amp;"&amp;utm_content="&amp;Y258)</f>
        <v/>
      </c>
      <c r="AA258" s="29"/>
      <c r="AB258" s="39"/>
      <c r="AC258" s="32"/>
      <c r="AD258" s="32"/>
      <c r="AE258" s="32"/>
      <c r="AF258" s="32"/>
      <c r="AG258" s="32"/>
      <c r="AH258" s="32"/>
      <c r="AI258" s="32"/>
      <c r="AJ258" s="32"/>
      <c r="AK258" s="32"/>
      <c r="AL258" s="32"/>
      <c r="AM258" s="32"/>
      <c r="AN258" s="32"/>
      <c r="AO258" s="33" t="str">
        <f aca="false">IF(A258="","",IF(AD258&lt;&gt;"",AD258,IF(AC258&lt;&gt;"",AC258,"")))</f>
        <v/>
      </c>
      <c r="AP258" s="24" t="str">
        <f aca="false">IF(AO258="","",IF(AD258&lt;&gt;"","Reported reach","Impressions (proxy)"))</f>
        <v/>
      </c>
      <c r="AQ258" s="34" t="str">
        <f aca="false">IF(OR(AO258="",N(S258)=0),"",AO258/S258)</f>
        <v/>
      </c>
      <c r="AR258" s="33" t="str">
        <f aca="false">IF(A258="","",IF(COUNT(AF258:AJ258)=0,"",SUM(AF258:AJ258)))</f>
        <v/>
      </c>
      <c r="AS258" s="34" t="str">
        <f aca="false">IF(OR(AR258="",N(AO258)=0),"",AR258/AO258)</f>
        <v/>
      </c>
      <c r="AT258" s="34" t="str">
        <f aca="false">IF(OR(AR258="",N(AC258)=0),"",AR258/AC258)</f>
        <v/>
      </c>
      <c r="AU258" s="34" t="str">
        <f aca="false">IF(OR(AR258="",N(S258)=0),"",AR258/S258)</f>
        <v/>
      </c>
      <c r="AV258" s="34" t="str">
        <f aca="false">IF(OR(AJ258="",N(AC258)=0),"",AJ258/AC258)</f>
        <v/>
      </c>
      <c r="AW258" s="34" t="str">
        <f aca="false">IF(OR(AH258="",N(AO258)=0),"",AH258/AO258)</f>
        <v/>
      </c>
      <c r="AX258" s="35" t="str">
        <f aca="false">IF(OR(AR258="",N(AO258)=0),"",(N(AF258)*Settings!$B$6+N(AG258)*Settings!$B$7+N(AH258)*Settings!$B$8+N(AI258)*Settings!$B$9+N(AJ258)*Settings!$B$10)/AO258*1000)</f>
        <v/>
      </c>
      <c r="AY258" s="36" t="str">
        <f aca="false">IF(AS258="","",IFERROR(AS258/AVERAGEIFS('Post Tracker'!$AS$5:$AS$1004,'Post Tracker'!$G$5:$G$1004,G258),""))</f>
        <v/>
      </c>
      <c r="AZ258" s="32"/>
      <c r="BA258" s="32"/>
      <c r="BB258" s="32"/>
      <c r="BC258" s="32"/>
      <c r="BD258" s="33" t="str">
        <f aca="false">IF(A258="","",COUNTIFS('Demo Pipeline'!$Q$5:$Q$504,A258))</f>
        <v/>
      </c>
      <c r="BE258" s="33" t="str">
        <f aca="false">IF(A258="","",COUNTIFS('Demo Pipeline'!$Q$5:$Q$504,A258,'Demo Pipeline'!$W$5:$W$504,"Attended"))</f>
        <v/>
      </c>
      <c r="BF258" s="33" t="str">
        <f aca="false">IF(A258="","",COUNTIFS('Demo Pipeline'!$Q$5:$Q$504,A258,'Demo Pipeline'!$X$5:$X$504,"Yes"))</f>
        <v/>
      </c>
      <c r="BG258" s="33" t="str">
        <f aca="false">IF(A258="","",COUNTIFS('Demo Pipeline'!$Q$5:$Q$504,A258,'Demo Pipeline'!$Y$5:$Y$504,"Closed Won"))</f>
        <v/>
      </c>
      <c r="BH258" s="37" t="str">
        <f aca="false">IF(A258="","",SUMIFS('Demo Pipeline'!$Z$5:$Z$504,'Demo Pipeline'!$Q$5:$Q$504,A258))</f>
        <v/>
      </c>
      <c r="BI258" s="34" t="str">
        <f aca="false">IF(OR(AZ258="",N(AJ258)=0),"",AZ258/AJ258)</f>
        <v/>
      </c>
      <c r="BJ258" s="34" t="str">
        <f aca="false">IF(OR(BB258="",N(AZ258)=0),"",BB258/AZ258)</f>
        <v/>
      </c>
      <c r="BK258" s="34" t="str">
        <f aca="false">IF(OR(A258="",N(BB258)=0),"",BD258/BB258)</f>
        <v/>
      </c>
      <c r="BL258" s="34" t="str">
        <f aca="false">IF(OR(A258="",N(AZ258)=0),"",BD258/AZ258)</f>
        <v/>
      </c>
      <c r="BM258" s="37" t="str">
        <f aca="false">IF(OR(N(Q258)=0,N(BD258)=0),"",Q258/BD258)</f>
        <v/>
      </c>
      <c r="BN258" s="29"/>
      <c r="BO258" s="29"/>
      <c r="BP258" s="33" t="str">
        <f aca="false">IF(OR(AR258="",N(AO258)=0),"",AR258)</f>
        <v/>
      </c>
      <c r="BQ258" s="33" t="str">
        <f aca="false">IF(OR(AR258="",N(S258)=0),"",S258)</f>
        <v/>
      </c>
      <c r="BR258" s="38" t="str">
        <f aca="false">IF(AND(ISNUMBER(B258),B258&gt;=Dashboard!$C$4,B258&lt;=Dashboard!$F$4,ISNUMBER(AU258)),AU258+ROW()/10^9,"")</f>
        <v/>
      </c>
      <c r="BS258" s="38" t="str">
        <f aca="false">IF(AND(ISNUMBER(B258),B258&gt;=Dashboard!$C$4,B258&lt;=Dashboard!$F$4,A258&lt;&gt;""),N(BD258)+N(AU258)/100+ROW()/10^9,"")</f>
        <v/>
      </c>
    </row>
    <row r="259" customFormat="false" ht="15" hidden="false" customHeight="false" outlineLevel="0" collapsed="false">
      <c r="A259" s="24" t="str">
        <f aca="false">IF(OR(B259="",G259="",H259=""),"",IFERROR(INDEX(Settings!$E$5:$E$49,MATCH(G259,Settings!$D$5:$D$49,0))&amp;INDEX(Settings!$H$5:$H$47,MATCH(H259,Settings!$G$5:$G$47,0))&amp;"-"&amp;TEXT(B259,"yymmdd")&amp;"-"&amp;IF(C259="","0000",TEXT(C259,"hhmm")),"CHECK LISTS"))</f>
        <v/>
      </c>
      <c r="B259" s="39"/>
      <c r="C259" s="40"/>
      <c r="D259" s="24" t="str">
        <f aca="false">IF(B259="","",TEXT(B259,"ddd"))</f>
        <v/>
      </c>
      <c r="E259" s="27" t="str">
        <f aca="false">IF(B259="","",B259-WEEKDAY(B259,3))</f>
        <v/>
      </c>
      <c r="F259" s="24" t="str">
        <f aca="false">IF(B259="","",TEXT(B259,"yyyy-mm"))</f>
        <v/>
      </c>
      <c r="G259" s="29"/>
      <c r="H259" s="29"/>
      <c r="I259" s="29"/>
      <c r="J259" s="29"/>
      <c r="K259" s="29"/>
      <c r="L259" s="29"/>
      <c r="M259" s="29"/>
      <c r="N259" s="29"/>
      <c r="O259" s="29"/>
      <c r="P259" s="29"/>
      <c r="Q259" s="30"/>
      <c r="R259" s="29"/>
      <c r="S259" s="32"/>
      <c r="T259" s="29"/>
      <c r="U259" s="29"/>
      <c r="V259" s="24" t="str">
        <f aca="false">IF(A259="","",IFERROR(INDEX(Settings!$F$5:$F$49,MATCH(G259,Settings!$D$5:$D$49,0)),""))</f>
        <v/>
      </c>
      <c r="W259" s="24" t="str">
        <f aca="false">IF(A259="","",IF(OR(P259="",P259="Organic"),"social","paid_social"))</f>
        <v/>
      </c>
      <c r="X259" s="24" t="str">
        <f aca="false">IF(A259="","",IF(K259&lt;&gt;"",IFERROR(INDEX('Case Studies'!$C$5:$C$54,MATCH(K259,'Case Studies'!$B$5:$B$54,0))&amp;"","case-study"),IF(J259&lt;&gt;"",IFERROR(INDEX(Settings!$J$5:$J$55,MATCH(J259,Settings!$I$5:$I$55,0)),"general"),"general")))</f>
        <v/>
      </c>
      <c r="Y259" s="24" t="str">
        <f aca="false">IF(A259="","",LOWER(A259))</f>
        <v/>
      </c>
      <c r="Z259" s="24" t="str">
        <f aca="false">IF(A259="","",IF(T259="",Settings!$B$5,T259)&amp;IF(ISNUMBER(FIND("?",IF(T259="",Settings!$B$5,T259))),"&amp;","?")&amp;"utm_source="&amp;V259&amp;"&amp;utm_medium="&amp;W259&amp;"&amp;utm_campaign="&amp;X259&amp;"&amp;utm_content="&amp;Y259)</f>
        <v/>
      </c>
      <c r="AA259" s="29"/>
      <c r="AB259" s="39"/>
      <c r="AC259" s="32"/>
      <c r="AD259" s="32"/>
      <c r="AE259" s="32"/>
      <c r="AF259" s="32"/>
      <c r="AG259" s="32"/>
      <c r="AH259" s="32"/>
      <c r="AI259" s="32"/>
      <c r="AJ259" s="32"/>
      <c r="AK259" s="32"/>
      <c r="AL259" s="32"/>
      <c r="AM259" s="32"/>
      <c r="AN259" s="32"/>
      <c r="AO259" s="33" t="str">
        <f aca="false">IF(A259="","",IF(AD259&lt;&gt;"",AD259,IF(AC259&lt;&gt;"",AC259,"")))</f>
        <v/>
      </c>
      <c r="AP259" s="24" t="str">
        <f aca="false">IF(AO259="","",IF(AD259&lt;&gt;"","Reported reach","Impressions (proxy)"))</f>
        <v/>
      </c>
      <c r="AQ259" s="34" t="str">
        <f aca="false">IF(OR(AO259="",N(S259)=0),"",AO259/S259)</f>
        <v/>
      </c>
      <c r="AR259" s="33" t="str">
        <f aca="false">IF(A259="","",IF(COUNT(AF259:AJ259)=0,"",SUM(AF259:AJ259)))</f>
        <v/>
      </c>
      <c r="AS259" s="34" t="str">
        <f aca="false">IF(OR(AR259="",N(AO259)=0),"",AR259/AO259)</f>
        <v/>
      </c>
      <c r="AT259" s="34" t="str">
        <f aca="false">IF(OR(AR259="",N(AC259)=0),"",AR259/AC259)</f>
        <v/>
      </c>
      <c r="AU259" s="34" t="str">
        <f aca="false">IF(OR(AR259="",N(S259)=0),"",AR259/S259)</f>
        <v/>
      </c>
      <c r="AV259" s="34" t="str">
        <f aca="false">IF(OR(AJ259="",N(AC259)=0),"",AJ259/AC259)</f>
        <v/>
      </c>
      <c r="AW259" s="34" t="str">
        <f aca="false">IF(OR(AH259="",N(AO259)=0),"",AH259/AO259)</f>
        <v/>
      </c>
      <c r="AX259" s="35" t="str">
        <f aca="false">IF(OR(AR259="",N(AO259)=0),"",(N(AF259)*Settings!$B$6+N(AG259)*Settings!$B$7+N(AH259)*Settings!$B$8+N(AI259)*Settings!$B$9+N(AJ259)*Settings!$B$10)/AO259*1000)</f>
        <v/>
      </c>
      <c r="AY259" s="36" t="str">
        <f aca="false">IF(AS259="","",IFERROR(AS259/AVERAGEIFS('Post Tracker'!$AS$5:$AS$1004,'Post Tracker'!$G$5:$G$1004,G259),""))</f>
        <v/>
      </c>
      <c r="AZ259" s="32"/>
      <c r="BA259" s="32"/>
      <c r="BB259" s="32"/>
      <c r="BC259" s="32"/>
      <c r="BD259" s="33" t="str">
        <f aca="false">IF(A259="","",COUNTIFS('Demo Pipeline'!$Q$5:$Q$504,A259))</f>
        <v/>
      </c>
      <c r="BE259" s="33" t="str">
        <f aca="false">IF(A259="","",COUNTIFS('Demo Pipeline'!$Q$5:$Q$504,A259,'Demo Pipeline'!$W$5:$W$504,"Attended"))</f>
        <v/>
      </c>
      <c r="BF259" s="33" t="str">
        <f aca="false">IF(A259="","",COUNTIFS('Demo Pipeline'!$Q$5:$Q$504,A259,'Demo Pipeline'!$X$5:$X$504,"Yes"))</f>
        <v/>
      </c>
      <c r="BG259" s="33" t="str">
        <f aca="false">IF(A259="","",COUNTIFS('Demo Pipeline'!$Q$5:$Q$504,A259,'Demo Pipeline'!$Y$5:$Y$504,"Closed Won"))</f>
        <v/>
      </c>
      <c r="BH259" s="37" t="str">
        <f aca="false">IF(A259="","",SUMIFS('Demo Pipeline'!$Z$5:$Z$504,'Demo Pipeline'!$Q$5:$Q$504,A259))</f>
        <v/>
      </c>
      <c r="BI259" s="34" t="str">
        <f aca="false">IF(OR(AZ259="",N(AJ259)=0),"",AZ259/AJ259)</f>
        <v/>
      </c>
      <c r="BJ259" s="34" t="str">
        <f aca="false">IF(OR(BB259="",N(AZ259)=0),"",BB259/AZ259)</f>
        <v/>
      </c>
      <c r="BK259" s="34" t="str">
        <f aca="false">IF(OR(A259="",N(BB259)=0),"",BD259/BB259)</f>
        <v/>
      </c>
      <c r="BL259" s="34" t="str">
        <f aca="false">IF(OR(A259="",N(AZ259)=0),"",BD259/AZ259)</f>
        <v/>
      </c>
      <c r="BM259" s="37" t="str">
        <f aca="false">IF(OR(N(Q259)=0,N(BD259)=0),"",Q259/BD259)</f>
        <v/>
      </c>
      <c r="BN259" s="29"/>
      <c r="BO259" s="29"/>
      <c r="BP259" s="33" t="str">
        <f aca="false">IF(OR(AR259="",N(AO259)=0),"",AR259)</f>
        <v/>
      </c>
      <c r="BQ259" s="33" t="str">
        <f aca="false">IF(OR(AR259="",N(S259)=0),"",S259)</f>
        <v/>
      </c>
      <c r="BR259" s="38" t="str">
        <f aca="false">IF(AND(ISNUMBER(B259),B259&gt;=Dashboard!$C$4,B259&lt;=Dashboard!$F$4,ISNUMBER(AU259)),AU259+ROW()/10^9,"")</f>
        <v/>
      </c>
      <c r="BS259" s="38" t="str">
        <f aca="false">IF(AND(ISNUMBER(B259),B259&gt;=Dashboard!$C$4,B259&lt;=Dashboard!$F$4,A259&lt;&gt;""),N(BD259)+N(AU259)/100+ROW()/10^9,"")</f>
        <v/>
      </c>
    </row>
    <row r="260" customFormat="false" ht="15" hidden="false" customHeight="false" outlineLevel="0" collapsed="false">
      <c r="A260" s="24" t="str">
        <f aca="false">IF(OR(B260="",G260="",H260=""),"",IFERROR(INDEX(Settings!$E$5:$E$49,MATCH(G260,Settings!$D$5:$D$49,0))&amp;INDEX(Settings!$H$5:$H$47,MATCH(H260,Settings!$G$5:$G$47,0))&amp;"-"&amp;TEXT(B260,"yymmdd")&amp;"-"&amp;IF(C260="","0000",TEXT(C260,"hhmm")),"CHECK LISTS"))</f>
        <v/>
      </c>
      <c r="B260" s="39"/>
      <c r="C260" s="40"/>
      <c r="D260" s="24" t="str">
        <f aca="false">IF(B260="","",TEXT(B260,"ddd"))</f>
        <v/>
      </c>
      <c r="E260" s="27" t="str">
        <f aca="false">IF(B260="","",B260-WEEKDAY(B260,3))</f>
        <v/>
      </c>
      <c r="F260" s="24" t="str">
        <f aca="false">IF(B260="","",TEXT(B260,"yyyy-mm"))</f>
        <v/>
      </c>
      <c r="G260" s="29"/>
      <c r="H260" s="29"/>
      <c r="I260" s="29"/>
      <c r="J260" s="29"/>
      <c r="K260" s="29"/>
      <c r="L260" s="29"/>
      <c r="M260" s="29"/>
      <c r="N260" s="29"/>
      <c r="O260" s="29"/>
      <c r="P260" s="29"/>
      <c r="Q260" s="30"/>
      <c r="R260" s="29"/>
      <c r="S260" s="32"/>
      <c r="T260" s="29"/>
      <c r="U260" s="29"/>
      <c r="V260" s="24" t="str">
        <f aca="false">IF(A260="","",IFERROR(INDEX(Settings!$F$5:$F$49,MATCH(G260,Settings!$D$5:$D$49,0)),""))</f>
        <v/>
      </c>
      <c r="W260" s="24" t="str">
        <f aca="false">IF(A260="","",IF(OR(P260="",P260="Organic"),"social","paid_social"))</f>
        <v/>
      </c>
      <c r="X260" s="24" t="str">
        <f aca="false">IF(A260="","",IF(K260&lt;&gt;"",IFERROR(INDEX('Case Studies'!$C$5:$C$54,MATCH(K260,'Case Studies'!$B$5:$B$54,0))&amp;"","case-study"),IF(J260&lt;&gt;"",IFERROR(INDEX(Settings!$J$5:$J$55,MATCH(J260,Settings!$I$5:$I$55,0)),"general"),"general")))</f>
        <v/>
      </c>
      <c r="Y260" s="24" t="str">
        <f aca="false">IF(A260="","",LOWER(A260))</f>
        <v/>
      </c>
      <c r="Z260" s="24" t="str">
        <f aca="false">IF(A260="","",IF(T260="",Settings!$B$5,T260)&amp;IF(ISNUMBER(FIND("?",IF(T260="",Settings!$B$5,T260))),"&amp;","?")&amp;"utm_source="&amp;V260&amp;"&amp;utm_medium="&amp;W260&amp;"&amp;utm_campaign="&amp;X260&amp;"&amp;utm_content="&amp;Y260)</f>
        <v/>
      </c>
      <c r="AA260" s="29"/>
      <c r="AB260" s="39"/>
      <c r="AC260" s="32"/>
      <c r="AD260" s="32"/>
      <c r="AE260" s="32"/>
      <c r="AF260" s="32"/>
      <c r="AG260" s="32"/>
      <c r="AH260" s="32"/>
      <c r="AI260" s="32"/>
      <c r="AJ260" s="32"/>
      <c r="AK260" s="32"/>
      <c r="AL260" s="32"/>
      <c r="AM260" s="32"/>
      <c r="AN260" s="32"/>
      <c r="AO260" s="33" t="str">
        <f aca="false">IF(A260="","",IF(AD260&lt;&gt;"",AD260,IF(AC260&lt;&gt;"",AC260,"")))</f>
        <v/>
      </c>
      <c r="AP260" s="24" t="str">
        <f aca="false">IF(AO260="","",IF(AD260&lt;&gt;"","Reported reach","Impressions (proxy)"))</f>
        <v/>
      </c>
      <c r="AQ260" s="34" t="str">
        <f aca="false">IF(OR(AO260="",N(S260)=0),"",AO260/S260)</f>
        <v/>
      </c>
      <c r="AR260" s="33" t="str">
        <f aca="false">IF(A260="","",IF(COUNT(AF260:AJ260)=0,"",SUM(AF260:AJ260)))</f>
        <v/>
      </c>
      <c r="AS260" s="34" t="str">
        <f aca="false">IF(OR(AR260="",N(AO260)=0),"",AR260/AO260)</f>
        <v/>
      </c>
      <c r="AT260" s="34" t="str">
        <f aca="false">IF(OR(AR260="",N(AC260)=0),"",AR260/AC260)</f>
        <v/>
      </c>
      <c r="AU260" s="34" t="str">
        <f aca="false">IF(OR(AR260="",N(S260)=0),"",AR260/S260)</f>
        <v/>
      </c>
      <c r="AV260" s="34" t="str">
        <f aca="false">IF(OR(AJ260="",N(AC260)=0),"",AJ260/AC260)</f>
        <v/>
      </c>
      <c r="AW260" s="34" t="str">
        <f aca="false">IF(OR(AH260="",N(AO260)=0),"",AH260/AO260)</f>
        <v/>
      </c>
      <c r="AX260" s="35" t="str">
        <f aca="false">IF(OR(AR260="",N(AO260)=0),"",(N(AF260)*Settings!$B$6+N(AG260)*Settings!$B$7+N(AH260)*Settings!$B$8+N(AI260)*Settings!$B$9+N(AJ260)*Settings!$B$10)/AO260*1000)</f>
        <v/>
      </c>
      <c r="AY260" s="36" t="str">
        <f aca="false">IF(AS260="","",IFERROR(AS260/AVERAGEIFS('Post Tracker'!$AS$5:$AS$1004,'Post Tracker'!$G$5:$G$1004,G260),""))</f>
        <v/>
      </c>
      <c r="AZ260" s="32"/>
      <c r="BA260" s="32"/>
      <c r="BB260" s="32"/>
      <c r="BC260" s="32"/>
      <c r="BD260" s="33" t="str">
        <f aca="false">IF(A260="","",COUNTIFS('Demo Pipeline'!$Q$5:$Q$504,A260))</f>
        <v/>
      </c>
      <c r="BE260" s="33" t="str">
        <f aca="false">IF(A260="","",COUNTIFS('Demo Pipeline'!$Q$5:$Q$504,A260,'Demo Pipeline'!$W$5:$W$504,"Attended"))</f>
        <v/>
      </c>
      <c r="BF260" s="33" t="str">
        <f aca="false">IF(A260="","",COUNTIFS('Demo Pipeline'!$Q$5:$Q$504,A260,'Demo Pipeline'!$X$5:$X$504,"Yes"))</f>
        <v/>
      </c>
      <c r="BG260" s="33" t="str">
        <f aca="false">IF(A260="","",COUNTIFS('Demo Pipeline'!$Q$5:$Q$504,A260,'Demo Pipeline'!$Y$5:$Y$504,"Closed Won"))</f>
        <v/>
      </c>
      <c r="BH260" s="37" t="str">
        <f aca="false">IF(A260="","",SUMIFS('Demo Pipeline'!$Z$5:$Z$504,'Demo Pipeline'!$Q$5:$Q$504,A260))</f>
        <v/>
      </c>
      <c r="BI260" s="34" t="str">
        <f aca="false">IF(OR(AZ260="",N(AJ260)=0),"",AZ260/AJ260)</f>
        <v/>
      </c>
      <c r="BJ260" s="34" t="str">
        <f aca="false">IF(OR(BB260="",N(AZ260)=0),"",BB260/AZ260)</f>
        <v/>
      </c>
      <c r="BK260" s="34" t="str">
        <f aca="false">IF(OR(A260="",N(BB260)=0),"",BD260/BB260)</f>
        <v/>
      </c>
      <c r="BL260" s="34" t="str">
        <f aca="false">IF(OR(A260="",N(AZ260)=0),"",BD260/AZ260)</f>
        <v/>
      </c>
      <c r="BM260" s="37" t="str">
        <f aca="false">IF(OR(N(Q260)=0,N(BD260)=0),"",Q260/BD260)</f>
        <v/>
      </c>
      <c r="BN260" s="29"/>
      <c r="BO260" s="29"/>
      <c r="BP260" s="33" t="str">
        <f aca="false">IF(OR(AR260="",N(AO260)=0),"",AR260)</f>
        <v/>
      </c>
      <c r="BQ260" s="33" t="str">
        <f aca="false">IF(OR(AR260="",N(S260)=0),"",S260)</f>
        <v/>
      </c>
      <c r="BR260" s="38" t="str">
        <f aca="false">IF(AND(ISNUMBER(B260),B260&gt;=Dashboard!$C$4,B260&lt;=Dashboard!$F$4,ISNUMBER(AU260)),AU260+ROW()/10^9,"")</f>
        <v/>
      </c>
      <c r="BS260" s="38" t="str">
        <f aca="false">IF(AND(ISNUMBER(B260),B260&gt;=Dashboard!$C$4,B260&lt;=Dashboard!$F$4,A260&lt;&gt;""),N(BD260)+N(AU260)/100+ROW()/10^9,"")</f>
        <v/>
      </c>
    </row>
    <row r="261" customFormat="false" ht="15" hidden="false" customHeight="false" outlineLevel="0" collapsed="false">
      <c r="A261" s="24" t="str">
        <f aca="false">IF(OR(B261="",G261="",H261=""),"",IFERROR(INDEX(Settings!$E$5:$E$49,MATCH(G261,Settings!$D$5:$D$49,0))&amp;INDEX(Settings!$H$5:$H$47,MATCH(H261,Settings!$G$5:$G$47,0))&amp;"-"&amp;TEXT(B261,"yymmdd")&amp;"-"&amp;IF(C261="","0000",TEXT(C261,"hhmm")),"CHECK LISTS"))</f>
        <v/>
      </c>
      <c r="B261" s="39"/>
      <c r="C261" s="40"/>
      <c r="D261" s="24" t="str">
        <f aca="false">IF(B261="","",TEXT(B261,"ddd"))</f>
        <v/>
      </c>
      <c r="E261" s="27" t="str">
        <f aca="false">IF(B261="","",B261-WEEKDAY(B261,3))</f>
        <v/>
      </c>
      <c r="F261" s="24" t="str">
        <f aca="false">IF(B261="","",TEXT(B261,"yyyy-mm"))</f>
        <v/>
      </c>
      <c r="G261" s="29"/>
      <c r="H261" s="29"/>
      <c r="I261" s="29"/>
      <c r="J261" s="29"/>
      <c r="K261" s="29"/>
      <c r="L261" s="29"/>
      <c r="M261" s="29"/>
      <c r="N261" s="29"/>
      <c r="O261" s="29"/>
      <c r="P261" s="29"/>
      <c r="Q261" s="30"/>
      <c r="R261" s="29"/>
      <c r="S261" s="32"/>
      <c r="T261" s="29"/>
      <c r="U261" s="29"/>
      <c r="V261" s="24" t="str">
        <f aca="false">IF(A261="","",IFERROR(INDEX(Settings!$F$5:$F$49,MATCH(G261,Settings!$D$5:$D$49,0)),""))</f>
        <v/>
      </c>
      <c r="W261" s="24" t="str">
        <f aca="false">IF(A261="","",IF(OR(P261="",P261="Organic"),"social","paid_social"))</f>
        <v/>
      </c>
      <c r="X261" s="24" t="str">
        <f aca="false">IF(A261="","",IF(K261&lt;&gt;"",IFERROR(INDEX('Case Studies'!$C$5:$C$54,MATCH(K261,'Case Studies'!$B$5:$B$54,0))&amp;"","case-study"),IF(J261&lt;&gt;"",IFERROR(INDEX(Settings!$J$5:$J$55,MATCH(J261,Settings!$I$5:$I$55,0)),"general"),"general")))</f>
        <v/>
      </c>
      <c r="Y261" s="24" t="str">
        <f aca="false">IF(A261="","",LOWER(A261))</f>
        <v/>
      </c>
      <c r="Z261" s="24" t="str">
        <f aca="false">IF(A261="","",IF(T261="",Settings!$B$5,T261)&amp;IF(ISNUMBER(FIND("?",IF(T261="",Settings!$B$5,T261))),"&amp;","?")&amp;"utm_source="&amp;V261&amp;"&amp;utm_medium="&amp;W261&amp;"&amp;utm_campaign="&amp;X261&amp;"&amp;utm_content="&amp;Y261)</f>
        <v/>
      </c>
      <c r="AA261" s="29"/>
      <c r="AB261" s="39"/>
      <c r="AC261" s="32"/>
      <c r="AD261" s="32"/>
      <c r="AE261" s="32"/>
      <c r="AF261" s="32"/>
      <c r="AG261" s="32"/>
      <c r="AH261" s="32"/>
      <c r="AI261" s="32"/>
      <c r="AJ261" s="32"/>
      <c r="AK261" s="32"/>
      <c r="AL261" s="32"/>
      <c r="AM261" s="32"/>
      <c r="AN261" s="32"/>
      <c r="AO261" s="33" t="str">
        <f aca="false">IF(A261="","",IF(AD261&lt;&gt;"",AD261,IF(AC261&lt;&gt;"",AC261,"")))</f>
        <v/>
      </c>
      <c r="AP261" s="24" t="str">
        <f aca="false">IF(AO261="","",IF(AD261&lt;&gt;"","Reported reach","Impressions (proxy)"))</f>
        <v/>
      </c>
      <c r="AQ261" s="34" t="str">
        <f aca="false">IF(OR(AO261="",N(S261)=0),"",AO261/S261)</f>
        <v/>
      </c>
      <c r="AR261" s="33" t="str">
        <f aca="false">IF(A261="","",IF(COUNT(AF261:AJ261)=0,"",SUM(AF261:AJ261)))</f>
        <v/>
      </c>
      <c r="AS261" s="34" t="str">
        <f aca="false">IF(OR(AR261="",N(AO261)=0),"",AR261/AO261)</f>
        <v/>
      </c>
      <c r="AT261" s="34" t="str">
        <f aca="false">IF(OR(AR261="",N(AC261)=0),"",AR261/AC261)</f>
        <v/>
      </c>
      <c r="AU261" s="34" t="str">
        <f aca="false">IF(OR(AR261="",N(S261)=0),"",AR261/S261)</f>
        <v/>
      </c>
      <c r="AV261" s="34" t="str">
        <f aca="false">IF(OR(AJ261="",N(AC261)=0),"",AJ261/AC261)</f>
        <v/>
      </c>
      <c r="AW261" s="34" t="str">
        <f aca="false">IF(OR(AH261="",N(AO261)=0),"",AH261/AO261)</f>
        <v/>
      </c>
      <c r="AX261" s="35" t="str">
        <f aca="false">IF(OR(AR261="",N(AO261)=0),"",(N(AF261)*Settings!$B$6+N(AG261)*Settings!$B$7+N(AH261)*Settings!$B$8+N(AI261)*Settings!$B$9+N(AJ261)*Settings!$B$10)/AO261*1000)</f>
        <v/>
      </c>
      <c r="AY261" s="36" t="str">
        <f aca="false">IF(AS261="","",IFERROR(AS261/AVERAGEIFS('Post Tracker'!$AS$5:$AS$1004,'Post Tracker'!$G$5:$G$1004,G261),""))</f>
        <v/>
      </c>
      <c r="AZ261" s="32"/>
      <c r="BA261" s="32"/>
      <c r="BB261" s="32"/>
      <c r="BC261" s="32"/>
      <c r="BD261" s="33" t="str">
        <f aca="false">IF(A261="","",COUNTIFS('Demo Pipeline'!$Q$5:$Q$504,A261))</f>
        <v/>
      </c>
      <c r="BE261" s="33" t="str">
        <f aca="false">IF(A261="","",COUNTIFS('Demo Pipeline'!$Q$5:$Q$504,A261,'Demo Pipeline'!$W$5:$W$504,"Attended"))</f>
        <v/>
      </c>
      <c r="BF261" s="33" t="str">
        <f aca="false">IF(A261="","",COUNTIFS('Demo Pipeline'!$Q$5:$Q$504,A261,'Demo Pipeline'!$X$5:$X$504,"Yes"))</f>
        <v/>
      </c>
      <c r="BG261" s="33" t="str">
        <f aca="false">IF(A261="","",COUNTIFS('Demo Pipeline'!$Q$5:$Q$504,A261,'Demo Pipeline'!$Y$5:$Y$504,"Closed Won"))</f>
        <v/>
      </c>
      <c r="BH261" s="37" t="str">
        <f aca="false">IF(A261="","",SUMIFS('Demo Pipeline'!$Z$5:$Z$504,'Demo Pipeline'!$Q$5:$Q$504,A261))</f>
        <v/>
      </c>
      <c r="BI261" s="34" t="str">
        <f aca="false">IF(OR(AZ261="",N(AJ261)=0),"",AZ261/AJ261)</f>
        <v/>
      </c>
      <c r="BJ261" s="34" t="str">
        <f aca="false">IF(OR(BB261="",N(AZ261)=0),"",BB261/AZ261)</f>
        <v/>
      </c>
      <c r="BK261" s="34" t="str">
        <f aca="false">IF(OR(A261="",N(BB261)=0),"",BD261/BB261)</f>
        <v/>
      </c>
      <c r="BL261" s="34" t="str">
        <f aca="false">IF(OR(A261="",N(AZ261)=0),"",BD261/AZ261)</f>
        <v/>
      </c>
      <c r="BM261" s="37" t="str">
        <f aca="false">IF(OR(N(Q261)=0,N(BD261)=0),"",Q261/BD261)</f>
        <v/>
      </c>
      <c r="BN261" s="29"/>
      <c r="BO261" s="29"/>
      <c r="BP261" s="33" t="str">
        <f aca="false">IF(OR(AR261="",N(AO261)=0),"",AR261)</f>
        <v/>
      </c>
      <c r="BQ261" s="33" t="str">
        <f aca="false">IF(OR(AR261="",N(S261)=0),"",S261)</f>
        <v/>
      </c>
      <c r="BR261" s="38" t="str">
        <f aca="false">IF(AND(ISNUMBER(B261),B261&gt;=Dashboard!$C$4,B261&lt;=Dashboard!$F$4,ISNUMBER(AU261)),AU261+ROW()/10^9,"")</f>
        <v/>
      </c>
      <c r="BS261" s="38" t="str">
        <f aca="false">IF(AND(ISNUMBER(B261),B261&gt;=Dashboard!$C$4,B261&lt;=Dashboard!$F$4,A261&lt;&gt;""),N(BD261)+N(AU261)/100+ROW()/10^9,"")</f>
        <v/>
      </c>
    </row>
    <row r="262" customFormat="false" ht="15" hidden="false" customHeight="false" outlineLevel="0" collapsed="false">
      <c r="A262" s="24" t="str">
        <f aca="false">IF(OR(B262="",G262="",H262=""),"",IFERROR(INDEX(Settings!$E$5:$E$49,MATCH(G262,Settings!$D$5:$D$49,0))&amp;INDEX(Settings!$H$5:$H$47,MATCH(H262,Settings!$G$5:$G$47,0))&amp;"-"&amp;TEXT(B262,"yymmdd")&amp;"-"&amp;IF(C262="","0000",TEXT(C262,"hhmm")),"CHECK LISTS"))</f>
        <v/>
      </c>
      <c r="B262" s="39"/>
      <c r="C262" s="40"/>
      <c r="D262" s="24" t="str">
        <f aca="false">IF(B262="","",TEXT(B262,"ddd"))</f>
        <v/>
      </c>
      <c r="E262" s="27" t="str">
        <f aca="false">IF(B262="","",B262-WEEKDAY(B262,3))</f>
        <v/>
      </c>
      <c r="F262" s="24" t="str">
        <f aca="false">IF(B262="","",TEXT(B262,"yyyy-mm"))</f>
        <v/>
      </c>
      <c r="G262" s="29"/>
      <c r="H262" s="29"/>
      <c r="I262" s="29"/>
      <c r="J262" s="29"/>
      <c r="K262" s="29"/>
      <c r="L262" s="29"/>
      <c r="M262" s="29"/>
      <c r="N262" s="29"/>
      <c r="O262" s="29"/>
      <c r="P262" s="29"/>
      <c r="Q262" s="30"/>
      <c r="R262" s="29"/>
      <c r="S262" s="32"/>
      <c r="T262" s="29"/>
      <c r="U262" s="29"/>
      <c r="V262" s="24" t="str">
        <f aca="false">IF(A262="","",IFERROR(INDEX(Settings!$F$5:$F$49,MATCH(G262,Settings!$D$5:$D$49,0)),""))</f>
        <v/>
      </c>
      <c r="W262" s="24" t="str">
        <f aca="false">IF(A262="","",IF(OR(P262="",P262="Organic"),"social","paid_social"))</f>
        <v/>
      </c>
      <c r="X262" s="24" t="str">
        <f aca="false">IF(A262="","",IF(K262&lt;&gt;"",IFERROR(INDEX('Case Studies'!$C$5:$C$54,MATCH(K262,'Case Studies'!$B$5:$B$54,0))&amp;"","case-study"),IF(J262&lt;&gt;"",IFERROR(INDEX(Settings!$J$5:$J$55,MATCH(J262,Settings!$I$5:$I$55,0)),"general"),"general")))</f>
        <v/>
      </c>
      <c r="Y262" s="24" t="str">
        <f aca="false">IF(A262="","",LOWER(A262))</f>
        <v/>
      </c>
      <c r="Z262" s="24" t="str">
        <f aca="false">IF(A262="","",IF(T262="",Settings!$B$5,T262)&amp;IF(ISNUMBER(FIND("?",IF(T262="",Settings!$B$5,T262))),"&amp;","?")&amp;"utm_source="&amp;V262&amp;"&amp;utm_medium="&amp;W262&amp;"&amp;utm_campaign="&amp;X262&amp;"&amp;utm_content="&amp;Y262)</f>
        <v/>
      </c>
      <c r="AA262" s="29"/>
      <c r="AB262" s="39"/>
      <c r="AC262" s="32"/>
      <c r="AD262" s="32"/>
      <c r="AE262" s="32"/>
      <c r="AF262" s="32"/>
      <c r="AG262" s="32"/>
      <c r="AH262" s="32"/>
      <c r="AI262" s="32"/>
      <c r="AJ262" s="32"/>
      <c r="AK262" s="32"/>
      <c r="AL262" s="32"/>
      <c r="AM262" s="32"/>
      <c r="AN262" s="32"/>
      <c r="AO262" s="33" t="str">
        <f aca="false">IF(A262="","",IF(AD262&lt;&gt;"",AD262,IF(AC262&lt;&gt;"",AC262,"")))</f>
        <v/>
      </c>
      <c r="AP262" s="24" t="str">
        <f aca="false">IF(AO262="","",IF(AD262&lt;&gt;"","Reported reach","Impressions (proxy)"))</f>
        <v/>
      </c>
      <c r="AQ262" s="34" t="str">
        <f aca="false">IF(OR(AO262="",N(S262)=0),"",AO262/S262)</f>
        <v/>
      </c>
      <c r="AR262" s="33" t="str">
        <f aca="false">IF(A262="","",IF(COUNT(AF262:AJ262)=0,"",SUM(AF262:AJ262)))</f>
        <v/>
      </c>
      <c r="AS262" s="34" t="str">
        <f aca="false">IF(OR(AR262="",N(AO262)=0),"",AR262/AO262)</f>
        <v/>
      </c>
      <c r="AT262" s="34" t="str">
        <f aca="false">IF(OR(AR262="",N(AC262)=0),"",AR262/AC262)</f>
        <v/>
      </c>
      <c r="AU262" s="34" t="str">
        <f aca="false">IF(OR(AR262="",N(S262)=0),"",AR262/S262)</f>
        <v/>
      </c>
      <c r="AV262" s="34" t="str">
        <f aca="false">IF(OR(AJ262="",N(AC262)=0),"",AJ262/AC262)</f>
        <v/>
      </c>
      <c r="AW262" s="34" t="str">
        <f aca="false">IF(OR(AH262="",N(AO262)=0),"",AH262/AO262)</f>
        <v/>
      </c>
      <c r="AX262" s="35" t="str">
        <f aca="false">IF(OR(AR262="",N(AO262)=0),"",(N(AF262)*Settings!$B$6+N(AG262)*Settings!$B$7+N(AH262)*Settings!$B$8+N(AI262)*Settings!$B$9+N(AJ262)*Settings!$B$10)/AO262*1000)</f>
        <v/>
      </c>
      <c r="AY262" s="36" t="str">
        <f aca="false">IF(AS262="","",IFERROR(AS262/AVERAGEIFS('Post Tracker'!$AS$5:$AS$1004,'Post Tracker'!$G$5:$G$1004,G262),""))</f>
        <v/>
      </c>
      <c r="AZ262" s="32"/>
      <c r="BA262" s="32"/>
      <c r="BB262" s="32"/>
      <c r="BC262" s="32"/>
      <c r="BD262" s="33" t="str">
        <f aca="false">IF(A262="","",COUNTIFS('Demo Pipeline'!$Q$5:$Q$504,A262))</f>
        <v/>
      </c>
      <c r="BE262" s="33" t="str">
        <f aca="false">IF(A262="","",COUNTIFS('Demo Pipeline'!$Q$5:$Q$504,A262,'Demo Pipeline'!$W$5:$W$504,"Attended"))</f>
        <v/>
      </c>
      <c r="BF262" s="33" t="str">
        <f aca="false">IF(A262="","",COUNTIFS('Demo Pipeline'!$Q$5:$Q$504,A262,'Demo Pipeline'!$X$5:$X$504,"Yes"))</f>
        <v/>
      </c>
      <c r="BG262" s="33" t="str">
        <f aca="false">IF(A262="","",COUNTIFS('Demo Pipeline'!$Q$5:$Q$504,A262,'Demo Pipeline'!$Y$5:$Y$504,"Closed Won"))</f>
        <v/>
      </c>
      <c r="BH262" s="37" t="str">
        <f aca="false">IF(A262="","",SUMIFS('Demo Pipeline'!$Z$5:$Z$504,'Demo Pipeline'!$Q$5:$Q$504,A262))</f>
        <v/>
      </c>
      <c r="BI262" s="34" t="str">
        <f aca="false">IF(OR(AZ262="",N(AJ262)=0),"",AZ262/AJ262)</f>
        <v/>
      </c>
      <c r="BJ262" s="34" t="str">
        <f aca="false">IF(OR(BB262="",N(AZ262)=0),"",BB262/AZ262)</f>
        <v/>
      </c>
      <c r="BK262" s="34" t="str">
        <f aca="false">IF(OR(A262="",N(BB262)=0),"",BD262/BB262)</f>
        <v/>
      </c>
      <c r="BL262" s="34" t="str">
        <f aca="false">IF(OR(A262="",N(AZ262)=0),"",BD262/AZ262)</f>
        <v/>
      </c>
      <c r="BM262" s="37" t="str">
        <f aca="false">IF(OR(N(Q262)=0,N(BD262)=0),"",Q262/BD262)</f>
        <v/>
      </c>
      <c r="BN262" s="29"/>
      <c r="BO262" s="29"/>
      <c r="BP262" s="33" t="str">
        <f aca="false">IF(OR(AR262="",N(AO262)=0),"",AR262)</f>
        <v/>
      </c>
      <c r="BQ262" s="33" t="str">
        <f aca="false">IF(OR(AR262="",N(S262)=0),"",S262)</f>
        <v/>
      </c>
      <c r="BR262" s="38" t="str">
        <f aca="false">IF(AND(ISNUMBER(B262),B262&gt;=Dashboard!$C$4,B262&lt;=Dashboard!$F$4,ISNUMBER(AU262)),AU262+ROW()/10^9,"")</f>
        <v/>
      </c>
      <c r="BS262" s="38" t="str">
        <f aca="false">IF(AND(ISNUMBER(B262),B262&gt;=Dashboard!$C$4,B262&lt;=Dashboard!$F$4,A262&lt;&gt;""),N(BD262)+N(AU262)/100+ROW()/10^9,"")</f>
        <v/>
      </c>
    </row>
    <row r="263" customFormat="false" ht="15" hidden="false" customHeight="false" outlineLevel="0" collapsed="false">
      <c r="A263" s="24" t="str">
        <f aca="false">IF(OR(B263="",G263="",H263=""),"",IFERROR(INDEX(Settings!$E$5:$E$49,MATCH(G263,Settings!$D$5:$D$49,0))&amp;INDEX(Settings!$H$5:$H$47,MATCH(H263,Settings!$G$5:$G$47,0))&amp;"-"&amp;TEXT(B263,"yymmdd")&amp;"-"&amp;IF(C263="","0000",TEXT(C263,"hhmm")),"CHECK LISTS"))</f>
        <v/>
      </c>
      <c r="B263" s="39"/>
      <c r="C263" s="40"/>
      <c r="D263" s="24" t="str">
        <f aca="false">IF(B263="","",TEXT(B263,"ddd"))</f>
        <v/>
      </c>
      <c r="E263" s="27" t="str">
        <f aca="false">IF(B263="","",B263-WEEKDAY(B263,3))</f>
        <v/>
      </c>
      <c r="F263" s="24" t="str">
        <f aca="false">IF(B263="","",TEXT(B263,"yyyy-mm"))</f>
        <v/>
      </c>
      <c r="G263" s="29"/>
      <c r="H263" s="29"/>
      <c r="I263" s="29"/>
      <c r="J263" s="29"/>
      <c r="K263" s="29"/>
      <c r="L263" s="29"/>
      <c r="M263" s="29"/>
      <c r="N263" s="29"/>
      <c r="O263" s="29"/>
      <c r="P263" s="29"/>
      <c r="Q263" s="30"/>
      <c r="R263" s="29"/>
      <c r="S263" s="32"/>
      <c r="T263" s="29"/>
      <c r="U263" s="29"/>
      <c r="V263" s="24" t="str">
        <f aca="false">IF(A263="","",IFERROR(INDEX(Settings!$F$5:$F$49,MATCH(G263,Settings!$D$5:$D$49,0)),""))</f>
        <v/>
      </c>
      <c r="W263" s="24" t="str">
        <f aca="false">IF(A263="","",IF(OR(P263="",P263="Organic"),"social","paid_social"))</f>
        <v/>
      </c>
      <c r="X263" s="24" t="str">
        <f aca="false">IF(A263="","",IF(K263&lt;&gt;"",IFERROR(INDEX('Case Studies'!$C$5:$C$54,MATCH(K263,'Case Studies'!$B$5:$B$54,0))&amp;"","case-study"),IF(J263&lt;&gt;"",IFERROR(INDEX(Settings!$J$5:$J$55,MATCH(J263,Settings!$I$5:$I$55,0)),"general"),"general")))</f>
        <v/>
      </c>
      <c r="Y263" s="24" t="str">
        <f aca="false">IF(A263="","",LOWER(A263))</f>
        <v/>
      </c>
      <c r="Z263" s="24" t="str">
        <f aca="false">IF(A263="","",IF(T263="",Settings!$B$5,T263)&amp;IF(ISNUMBER(FIND("?",IF(T263="",Settings!$B$5,T263))),"&amp;","?")&amp;"utm_source="&amp;V263&amp;"&amp;utm_medium="&amp;W263&amp;"&amp;utm_campaign="&amp;X263&amp;"&amp;utm_content="&amp;Y263)</f>
        <v/>
      </c>
      <c r="AA263" s="29"/>
      <c r="AB263" s="39"/>
      <c r="AC263" s="32"/>
      <c r="AD263" s="32"/>
      <c r="AE263" s="32"/>
      <c r="AF263" s="32"/>
      <c r="AG263" s="32"/>
      <c r="AH263" s="32"/>
      <c r="AI263" s="32"/>
      <c r="AJ263" s="32"/>
      <c r="AK263" s="32"/>
      <c r="AL263" s="32"/>
      <c r="AM263" s="32"/>
      <c r="AN263" s="32"/>
      <c r="AO263" s="33" t="str">
        <f aca="false">IF(A263="","",IF(AD263&lt;&gt;"",AD263,IF(AC263&lt;&gt;"",AC263,"")))</f>
        <v/>
      </c>
      <c r="AP263" s="24" t="str">
        <f aca="false">IF(AO263="","",IF(AD263&lt;&gt;"","Reported reach","Impressions (proxy)"))</f>
        <v/>
      </c>
      <c r="AQ263" s="34" t="str">
        <f aca="false">IF(OR(AO263="",N(S263)=0),"",AO263/S263)</f>
        <v/>
      </c>
      <c r="AR263" s="33" t="str">
        <f aca="false">IF(A263="","",IF(COUNT(AF263:AJ263)=0,"",SUM(AF263:AJ263)))</f>
        <v/>
      </c>
      <c r="AS263" s="34" t="str">
        <f aca="false">IF(OR(AR263="",N(AO263)=0),"",AR263/AO263)</f>
        <v/>
      </c>
      <c r="AT263" s="34" t="str">
        <f aca="false">IF(OR(AR263="",N(AC263)=0),"",AR263/AC263)</f>
        <v/>
      </c>
      <c r="AU263" s="34" t="str">
        <f aca="false">IF(OR(AR263="",N(S263)=0),"",AR263/S263)</f>
        <v/>
      </c>
      <c r="AV263" s="34" t="str">
        <f aca="false">IF(OR(AJ263="",N(AC263)=0),"",AJ263/AC263)</f>
        <v/>
      </c>
      <c r="AW263" s="34" t="str">
        <f aca="false">IF(OR(AH263="",N(AO263)=0),"",AH263/AO263)</f>
        <v/>
      </c>
      <c r="AX263" s="35" t="str">
        <f aca="false">IF(OR(AR263="",N(AO263)=0),"",(N(AF263)*Settings!$B$6+N(AG263)*Settings!$B$7+N(AH263)*Settings!$B$8+N(AI263)*Settings!$B$9+N(AJ263)*Settings!$B$10)/AO263*1000)</f>
        <v/>
      </c>
      <c r="AY263" s="36" t="str">
        <f aca="false">IF(AS263="","",IFERROR(AS263/AVERAGEIFS('Post Tracker'!$AS$5:$AS$1004,'Post Tracker'!$G$5:$G$1004,G263),""))</f>
        <v/>
      </c>
      <c r="AZ263" s="32"/>
      <c r="BA263" s="32"/>
      <c r="BB263" s="32"/>
      <c r="BC263" s="32"/>
      <c r="BD263" s="33" t="str">
        <f aca="false">IF(A263="","",COUNTIFS('Demo Pipeline'!$Q$5:$Q$504,A263))</f>
        <v/>
      </c>
      <c r="BE263" s="33" t="str">
        <f aca="false">IF(A263="","",COUNTIFS('Demo Pipeline'!$Q$5:$Q$504,A263,'Demo Pipeline'!$W$5:$W$504,"Attended"))</f>
        <v/>
      </c>
      <c r="BF263" s="33" t="str">
        <f aca="false">IF(A263="","",COUNTIFS('Demo Pipeline'!$Q$5:$Q$504,A263,'Demo Pipeline'!$X$5:$X$504,"Yes"))</f>
        <v/>
      </c>
      <c r="BG263" s="33" t="str">
        <f aca="false">IF(A263="","",COUNTIFS('Demo Pipeline'!$Q$5:$Q$504,A263,'Demo Pipeline'!$Y$5:$Y$504,"Closed Won"))</f>
        <v/>
      </c>
      <c r="BH263" s="37" t="str">
        <f aca="false">IF(A263="","",SUMIFS('Demo Pipeline'!$Z$5:$Z$504,'Demo Pipeline'!$Q$5:$Q$504,A263))</f>
        <v/>
      </c>
      <c r="BI263" s="34" t="str">
        <f aca="false">IF(OR(AZ263="",N(AJ263)=0),"",AZ263/AJ263)</f>
        <v/>
      </c>
      <c r="BJ263" s="34" t="str">
        <f aca="false">IF(OR(BB263="",N(AZ263)=0),"",BB263/AZ263)</f>
        <v/>
      </c>
      <c r="BK263" s="34" t="str">
        <f aca="false">IF(OR(A263="",N(BB263)=0),"",BD263/BB263)</f>
        <v/>
      </c>
      <c r="BL263" s="34" t="str">
        <f aca="false">IF(OR(A263="",N(AZ263)=0),"",BD263/AZ263)</f>
        <v/>
      </c>
      <c r="BM263" s="37" t="str">
        <f aca="false">IF(OR(N(Q263)=0,N(BD263)=0),"",Q263/BD263)</f>
        <v/>
      </c>
      <c r="BN263" s="29"/>
      <c r="BO263" s="29"/>
      <c r="BP263" s="33" t="str">
        <f aca="false">IF(OR(AR263="",N(AO263)=0),"",AR263)</f>
        <v/>
      </c>
      <c r="BQ263" s="33" t="str">
        <f aca="false">IF(OR(AR263="",N(S263)=0),"",S263)</f>
        <v/>
      </c>
      <c r="BR263" s="38" t="str">
        <f aca="false">IF(AND(ISNUMBER(B263),B263&gt;=Dashboard!$C$4,B263&lt;=Dashboard!$F$4,ISNUMBER(AU263)),AU263+ROW()/10^9,"")</f>
        <v/>
      </c>
      <c r="BS263" s="38" t="str">
        <f aca="false">IF(AND(ISNUMBER(B263),B263&gt;=Dashboard!$C$4,B263&lt;=Dashboard!$F$4,A263&lt;&gt;""),N(BD263)+N(AU263)/100+ROW()/10^9,"")</f>
        <v/>
      </c>
    </row>
    <row r="264" customFormat="false" ht="15" hidden="false" customHeight="false" outlineLevel="0" collapsed="false">
      <c r="A264" s="24" t="str">
        <f aca="false">IF(OR(B264="",G264="",H264=""),"",IFERROR(INDEX(Settings!$E$5:$E$49,MATCH(G264,Settings!$D$5:$D$49,0))&amp;INDEX(Settings!$H$5:$H$47,MATCH(H264,Settings!$G$5:$G$47,0))&amp;"-"&amp;TEXT(B264,"yymmdd")&amp;"-"&amp;IF(C264="","0000",TEXT(C264,"hhmm")),"CHECK LISTS"))</f>
        <v/>
      </c>
      <c r="B264" s="39"/>
      <c r="C264" s="40"/>
      <c r="D264" s="24" t="str">
        <f aca="false">IF(B264="","",TEXT(B264,"ddd"))</f>
        <v/>
      </c>
      <c r="E264" s="27" t="str">
        <f aca="false">IF(B264="","",B264-WEEKDAY(B264,3))</f>
        <v/>
      </c>
      <c r="F264" s="24" t="str">
        <f aca="false">IF(B264="","",TEXT(B264,"yyyy-mm"))</f>
        <v/>
      </c>
      <c r="G264" s="29"/>
      <c r="H264" s="29"/>
      <c r="I264" s="29"/>
      <c r="J264" s="29"/>
      <c r="K264" s="29"/>
      <c r="L264" s="29"/>
      <c r="M264" s="29"/>
      <c r="N264" s="29"/>
      <c r="O264" s="29"/>
      <c r="P264" s="29"/>
      <c r="Q264" s="30"/>
      <c r="R264" s="29"/>
      <c r="S264" s="32"/>
      <c r="T264" s="29"/>
      <c r="U264" s="29"/>
      <c r="V264" s="24" t="str">
        <f aca="false">IF(A264="","",IFERROR(INDEX(Settings!$F$5:$F$49,MATCH(G264,Settings!$D$5:$D$49,0)),""))</f>
        <v/>
      </c>
      <c r="W264" s="24" t="str">
        <f aca="false">IF(A264="","",IF(OR(P264="",P264="Organic"),"social","paid_social"))</f>
        <v/>
      </c>
      <c r="X264" s="24" t="str">
        <f aca="false">IF(A264="","",IF(K264&lt;&gt;"",IFERROR(INDEX('Case Studies'!$C$5:$C$54,MATCH(K264,'Case Studies'!$B$5:$B$54,0))&amp;"","case-study"),IF(J264&lt;&gt;"",IFERROR(INDEX(Settings!$J$5:$J$55,MATCH(J264,Settings!$I$5:$I$55,0)),"general"),"general")))</f>
        <v/>
      </c>
      <c r="Y264" s="24" t="str">
        <f aca="false">IF(A264="","",LOWER(A264))</f>
        <v/>
      </c>
      <c r="Z264" s="24" t="str">
        <f aca="false">IF(A264="","",IF(T264="",Settings!$B$5,T264)&amp;IF(ISNUMBER(FIND("?",IF(T264="",Settings!$B$5,T264))),"&amp;","?")&amp;"utm_source="&amp;V264&amp;"&amp;utm_medium="&amp;W264&amp;"&amp;utm_campaign="&amp;X264&amp;"&amp;utm_content="&amp;Y264)</f>
        <v/>
      </c>
      <c r="AA264" s="29"/>
      <c r="AB264" s="39"/>
      <c r="AC264" s="32"/>
      <c r="AD264" s="32"/>
      <c r="AE264" s="32"/>
      <c r="AF264" s="32"/>
      <c r="AG264" s="32"/>
      <c r="AH264" s="32"/>
      <c r="AI264" s="32"/>
      <c r="AJ264" s="32"/>
      <c r="AK264" s="32"/>
      <c r="AL264" s="32"/>
      <c r="AM264" s="32"/>
      <c r="AN264" s="32"/>
      <c r="AO264" s="33" t="str">
        <f aca="false">IF(A264="","",IF(AD264&lt;&gt;"",AD264,IF(AC264&lt;&gt;"",AC264,"")))</f>
        <v/>
      </c>
      <c r="AP264" s="24" t="str">
        <f aca="false">IF(AO264="","",IF(AD264&lt;&gt;"","Reported reach","Impressions (proxy)"))</f>
        <v/>
      </c>
      <c r="AQ264" s="34" t="str">
        <f aca="false">IF(OR(AO264="",N(S264)=0),"",AO264/S264)</f>
        <v/>
      </c>
      <c r="AR264" s="33" t="str">
        <f aca="false">IF(A264="","",IF(COUNT(AF264:AJ264)=0,"",SUM(AF264:AJ264)))</f>
        <v/>
      </c>
      <c r="AS264" s="34" t="str">
        <f aca="false">IF(OR(AR264="",N(AO264)=0),"",AR264/AO264)</f>
        <v/>
      </c>
      <c r="AT264" s="34" t="str">
        <f aca="false">IF(OR(AR264="",N(AC264)=0),"",AR264/AC264)</f>
        <v/>
      </c>
      <c r="AU264" s="34" t="str">
        <f aca="false">IF(OR(AR264="",N(S264)=0),"",AR264/S264)</f>
        <v/>
      </c>
      <c r="AV264" s="34" t="str">
        <f aca="false">IF(OR(AJ264="",N(AC264)=0),"",AJ264/AC264)</f>
        <v/>
      </c>
      <c r="AW264" s="34" t="str">
        <f aca="false">IF(OR(AH264="",N(AO264)=0),"",AH264/AO264)</f>
        <v/>
      </c>
      <c r="AX264" s="35" t="str">
        <f aca="false">IF(OR(AR264="",N(AO264)=0),"",(N(AF264)*Settings!$B$6+N(AG264)*Settings!$B$7+N(AH264)*Settings!$B$8+N(AI264)*Settings!$B$9+N(AJ264)*Settings!$B$10)/AO264*1000)</f>
        <v/>
      </c>
      <c r="AY264" s="36" t="str">
        <f aca="false">IF(AS264="","",IFERROR(AS264/AVERAGEIFS('Post Tracker'!$AS$5:$AS$1004,'Post Tracker'!$G$5:$G$1004,G264),""))</f>
        <v/>
      </c>
      <c r="AZ264" s="32"/>
      <c r="BA264" s="32"/>
      <c r="BB264" s="32"/>
      <c r="BC264" s="32"/>
      <c r="BD264" s="33" t="str">
        <f aca="false">IF(A264="","",COUNTIFS('Demo Pipeline'!$Q$5:$Q$504,A264))</f>
        <v/>
      </c>
      <c r="BE264" s="33" t="str">
        <f aca="false">IF(A264="","",COUNTIFS('Demo Pipeline'!$Q$5:$Q$504,A264,'Demo Pipeline'!$W$5:$W$504,"Attended"))</f>
        <v/>
      </c>
      <c r="BF264" s="33" t="str">
        <f aca="false">IF(A264="","",COUNTIFS('Demo Pipeline'!$Q$5:$Q$504,A264,'Demo Pipeline'!$X$5:$X$504,"Yes"))</f>
        <v/>
      </c>
      <c r="BG264" s="33" t="str">
        <f aca="false">IF(A264="","",COUNTIFS('Demo Pipeline'!$Q$5:$Q$504,A264,'Demo Pipeline'!$Y$5:$Y$504,"Closed Won"))</f>
        <v/>
      </c>
      <c r="BH264" s="37" t="str">
        <f aca="false">IF(A264="","",SUMIFS('Demo Pipeline'!$Z$5:$Z$504,'Demo Pipeline'!$Q$5:$Q$504,A264))</f>
        <v/>
      </c>
      <c r="BI264" s="34" t="str">
        <f aca="false">IF(OR(AZ264="",N(AJ264)=0),"",AZ264/AJ264)</f>
        <v/>
      </c>
      <c r="BJ264" s="34" t="str">
        <f aca="false">IF(OR(BB264="",N(AZ264)=0),"",BB264/AZ264)</f>
        <v/>
      </c>
      <c r="BK264" s="34" t="str">
        <f aca="false">IF(OR(A264="",N(BB264)=0),"",BD264/BB264)</f>
        <v/>
      </c>
      <c r="BL264" s="34" t="str">
        <f aca="false">IF(OR(A264="",N(AZ264)=0),"",BD264/AZ264)</f>
        <v/>
      </c>
      <c r="BM264" s="37" t="str">
        <f aca="false">IF(OR(N(Q264)=0,N(BD264)=0),"",Q264/BD264)</f>
        <v/>
      </c>
      <c r="BN264" s="29"/>
      <c r="BO264" s="29"/>
      <c r="BP264" s="33" t="str">
        <f aca="false">IF(OR(AR264="",N(AO264)=0),"",AR264)</f>
        <v/>
      </c>
      <c r="BQ264" s="33" t="str">
        <f aca="false">IF(OR(AR264="",N(S264)=0),"",S264)</f>
        <v/>
      </c>
      <c r="BR264" s="38" t="str">
        <f aca="false">IF(AND(ISNUMBER(B264),B264&gt;=Dashboard!$C$4,B264&lt;=Dashboard!$F$4,ISNUMBER(AU264)),AU264+ROW()/10^9,"")</f>
        <v/>
      </c>
      <c r="BS264" s="38" t="str">
        <f aca="false">IF(AND(ISNUMBER(B264),B264&gt;=Dashboard!$C$4,B264&lt;=Dashboard!$F$4,A264&lt;&gt;""),N(BD264)+N(AU264)/100+ROW()/10^9,"")</f>
        <v/>
      </c>
    </row>
    <row r="265" customFormat="false" ht="15" hidden="false" customHeight="false" outlineLevel="0" collapsed="false">
      <c r="A265" s="24" t="str">
        <f aca="false">IF(OR(B265="",G265="",H265=""),"",IFERROR(INDEX(Settings!$E$5:$E$49,MATCH(G265,Settings!$D$5:$D$49,0))&amp;INDEX(Settings!$H$5:$H$47,MATCH(H265,Settings!$G$5:$G$47,0))&amp;"-"&amp;TEXT(B265,"yymmdd")&amp;"-"&amp;IF(C265="","0000",TEXT(C265,"hhmm")),"CHECK LISTS"))</f>
        <v/>
      </c>
      <c r="B265" s="39"/>
      <c r="C265" s="40"/>
      <c r="D265" s="24" t="str">
        <f aca="false">IF(B265="","",TEXT(B265,"ddd"))</f>
        <v/>
      </c>
      <c r="E265" s="27" t="str">
        <f aca="false">IF(B265="","",B265-WEEKDAY(B265,3))</f>
        <v/>
      </c>
      <c r="F265" s="24" t="str">
        <f aca="false">IF(B265="","",TEXT(B265,"yyyy-mm"))</f>
        <v/>
      </c>
      <c r="G265" s="29"/>
      <c r="H265" s="29"/>
      <c r="I265" s="29"/>
      <c r="J265" s="29"/>
      <c r="K265" s="29"/>
      <c r="L265" s="29"/>
      <c r="M265" s="29"/>
      <c r="N265" s="29"/>
      <c r="O265" s="29"/>
      <c r="P265" s="29"/>
      <c r="Q265" s="30"/>
      <c r="R265" s="29"/>
      <c r="S265" s="32"/>
      <c r="T265" s="29"/>
      <c r="U265" s="29"/>
      <c r="V265" s="24" t="str">
        <f aca="false">IF(A265="","",IFERROR(INDEX(Settings!$F$5:$F$49,MATCH(G265,Settings!$D$5:$D$49,0)),""))</f>
        <v/>
      </c>
      <c r="W265" s="24" t="str">
        <f aca="false">IF(A265="","",IF(OR(P265="",P265="Organic"),"social","paid_social"))</f>
        <v/>
      </c>
      <c r="X265" s="24" t="str">
        <f aca="false">IF(A265="","",IF(K265&lt;&gt;"",IFERROR(INDEX('Case Studies'!$C$5:$C$54,MATCH(K265,'Case Studies'!$B$5:$B$54,0))&amp;"","case-study"),IF(J265&lt;&gt;"",IFERROR(INDEX(Settings!$J$5:$J$55,MATCH(J265,Settings!$I$5:$I$55,0)),"general"),"general")))</f>
        <v/>
      </c>
      <c r="Y265" s="24" t="str">
        <f aca="false">IF(A265="","",LOWER(A265))</f>
        <v/>
      </c>
      <c r="Z265" s="24" t="str">
        <f aca="false">IF(A265="","",IF(T265="",Settings!$B$5,T265)&amp;IF(ISNUMBER(FIND("?",IF(T265="",Settings!$B$5,T265))),"&amp;","?")&amp;"utm_source="&amp;V265&amp;"&amp;utm_medium="&amp;W265&amp;"&amp;utm_campaign="&amp;X265&amp;"&amp;utm_content="&amp;Y265)</f>
        <v/>
      </c>
      <c r="AA265" s="29"/>
      <c r="AB265" s="39"/>
      <c r="AC265" s="32"/>
      <c r="AD265" s="32"/>
      <c r="AE265" s="32"/>
      <c r="AF265" s="32"/>
      <c r="AG265" s="32"/>
      <c r="AH265" s="32"/>
      <c r="AI265" s="32"/>
      <c r="AJ265" s="32"/>
      <c r="AK265" s="32"/>
      <c r="AL265" s="32"/>
      <c r="AM265" s="32"/>
      <c r="AN265" s="32"/>
      <c r="AO265" s="33" t="str">
        <f aca="false">IF(A265="","",IF(AD265&lt;&gt;"",AD265,IF(AC265&lt;&gt;"",AC265,"")))</f>
        <v/>
      </c>
      <c r="AP265" s="24" t="str">
        <f aca="false">IF(AO265="","",IF(AD265&lt;&gt;"","Reported reach","Impressions (proxy)"))</f>
        <v/>
      </c>
      <c r="AQ265" s="34" t="str">
        <f aca="false">IF(OR(AO265="",N(S265)=0),"",AO265/S265)</f>
        <v/>
      </c>
      <c r="AR265" s="33" t="str">
        <f aca="false">IF(A265="","",IF(COUNT(AF265:AJ265)=0,"",SUM(AF265:AJ265)))</f>
        <v/>
      </c>
      <c r="AS265" s="34" t="str">
        <f aca="false">IF(OR(AR265="",N(AO265)=0),"",AR265/AO265)</f>
        <v/>
      </c>
      <c r="AT265" s="34" t="str">
        <f aca="false">IF(OR(AR265="",N(AC265)=0),"",AR265/AC265)</f>
        <v/>
      </c>
      <c r="AU265" s="34" t="str">
        <f aca="false">IF(OR(AR265="",N(S265)=0),"",AR265/S265)</f>
        <v/>
      </c>
      <c r="AV265" s="34" t="str">
        <f aca="false">IF(OR(AJ265="",N(AC265)=0),"",AJ265/AC265)</f>
        <v/>
      </c>
      <c r="AW265" s="34" t="str">
        <f aca="false">IF(OR(AH265="",N(AO265)=0),"",AH265/AO265)</f>
        <v/>
      </c>
      <c r="AX265" s="35" t="str">
        <f aca="false">IF(OR(AR265="",N(AO265)=0),"",(N(AF265)*Settings!$B$6+N(AG265)*Settings!$B$7+N(AH265)*Settings!$B$8+N(AI265)*Settings!$B$9+N(AJ265)*Settings!$B$10)/AO265*1000)</f>
        <v/>
      </c>
      <c r="AY265" s="36" t="str">
        <f aca="false">IF(AS265="","",IFERROR(AS265/AVERAGEIFS('Post Tracker'!$AS$5:$AS$1004,'Post Tracker'!$G$5:$G$1004,G265),""))</f>
        <v/>
      </c>
      <c r="AZ265" s="32"/>
      <c r="BA265" s="32"/>
      <c r="BB265" s="32"/>
      <c r="BC265" s="32"/>
      <c r="BD265" s="33" t="str">
        <f aca="false">IF(A265="","",COUNTIFS('Demo Pipeline'!$Q$5:$Q$504,A265))</f>
        <v/>
      </c>
      <c r="BE265" s="33" t="str">
        <f aca="false">IF(A265="","",COUNTIFS('Demo Pipeline'!$Q$5:$Q$504,A265,'Demo Pipeline'!$W$5:$W$504,"Attended"))</f>
        <v/>
      </c>
      <c r="BF265" s="33" t="str">
        <f aca="false">IF(A265="","",COUNTIFS('Demo Pipeline'!$Q$5:$Q$504,A265,'Demo Pipeline'!$X$5:$X$504,"Yes"))</f>
        <v/>
      </c>
      <c r="BG265" s="33" t="str">
        <f aca="false">IF(A265="","",COUNTIFS('Demo Pipeline'!$Q$5:$Q$504,A265,'Demo Pipeline'!$Y$5:$Y$504,"Closed Won"))</f>
        <v/>
      </c>
      <c r="BH265" s="37" t="str">
        <f aca="false">IF(A265="","",SUMIFS('Demo Pipeline'!$Z$5:$Z$504,'Demo Pipeline'!$Q$5:$Q$504,A265))</f>
        <v/>
      </c>
      <c r="BI265" s="34" t="str">
        <f aca="false">IF(OR(AZ265="",N(AJ265)=0),"",AZ265/AJ265)</f>
        <v/>
      </c>
      <c r="BJ265" s="34" t="str">
        <f aca="false">IF(OR(BB265="",N(AZ265)=0),"",BB265/AZ265)</f>
        <v/>
      </c>
      <c r="BK265" s="34" t="str">
        <f aca="false">IF(OR(A265="",N(BB265)=0),"",BD265/BB265)</f>
        <v/>
      </c>
      <c r="BL265" s="34" t="str">
        <f aca="false">IF(OR(A265="",N(AZ265)=0),"",BD265/AZ265)</f>
        <v/>
      </c>
      <c r="BM265" s="37" t="str">
        <f aca="false">IF(OR(N(Q265)=0,N(BD265)=0),"",Q265/BD265)</f>
        <v/>
      </c>
      <c r="BN265" s="29"/>
      <c r="BO265" s="29"/>
      <c r="BP265" s="33" t="str">
        <f aca="false">IF(OR(AR265="",N(AO265)=0),"",AR265)</f>
        <v/>
      </c>
      <c r="BQ265" s="33" t="str">
        <f aca="false">IF(OR(AR265="",N(S265)=0),"",S265)</f>
        <v/>
      </c>
      <c r="BR265" s="38" t="str">
        <f aca="false">IF(AND(ISNUMBER(B265),B265&gt;=Dashboard!$C$4,B265&lt;=Dashboard!$F$4,ISNUMBER(AU265)),AU265+ROW()/10^9,"")</f>
        <v/>
      </c>
      <c r="BS265" s="38" t="str">
        <f aca="false">IF(AND(ISNUMBER(B265),B265&gt;=Dashboard!$C$4,B265&lt;=Dashboard!$F$4,A265&lt;&gt;""),N(BD265)+N(AU265)/100+ROW()/10^9,"")</f>
        <v/>
      </c>
    </row>
    <row r="266" customFormat="false" ht="15" hidden="false" customHeight="false" outlineLevel="0" collapsed="false">
      <c r="A266" s="24" t="str">
        <f aca="false">IF(OR(B266="",G266="",H266=""),"",IFERROR(INDEX(Settings!$E$5:$E$49,MATCH(G266,Settings!$D$5:$D$49,0))&amp;INDEX(Settings!$H$5:$H$47,MATCH(H266,Settings!$G$5:$G$47,0))&amp;"-"&amp;TEXT(B266,"yymmdd")&amp;"-"&amp;IF(C266="","0000",TEXT(C266,"hhmm")),"CHECK LISTS"))</f>
        <v/>
      </c>
      <c r="B266" s="39"/>
      <c r="C266" s="40"/>
      <c r="D266" s="24" t="str">
        <f aca="false">IF(B266="","",TEXT(B266,"ddd"))</f>
        <v/>
      </c>
      <c r="E266" s="27" t="str">
        <f aca="false">IF(B266="","",B266-WEEKDAY(B266,3))</f>
        <v/>
      </c>
      <c r="F266" s="24" t="str">
        <f aca="false">IF(B266="","",TEXT(B266,"yyyy-mm"))</f>
        <v/>
      </c>
      <c r="G266" s="29"/>
      <c r="H266" s="29"/>
      <c r="I266" s="29"/>
      <c r="J266" s="29"/>
      <c r="K266" s="29"/>
      <c r="L266" s="29"/>
      <c r="M266" s="29"/>
      <c r="N266" s="29"/>
      <c r="O266" s="29"/>
      <c r="P266" s="29"/>
      <c r="Q266" s="30"/>
      <c r="R266" s="29"/>
      <c r="S266" s="32"/>
      <c r="T266" s="29"/>
      <c r="U266" s="29"/>
      <c r="V266" s="24" t="str">
        <f aca="false">IF(A266="","",IFERROR(INDEX(Settings!$F$5:$F$49,MATCH(G266,Settings!$D$5:$D$49,0)),""))</f>
        <v/>
      </c>
      <c r="W266" s="24" t="str">
        <f aca="false">IF(A266="","",IF(OR(P266="",P266="Organic"),"social","paid_social"))</f>
        <v/>
      </c>
      <c r="X266" s="24" t="str">
        <f aca="false">IF(A266="","",IF(K266&lt;&gt;"",IFERROR(INDEX('Case Studies'!$C$5:$C$54,MATCH(K266,'Case Studies'!$B$5:$B$54,0))&amp;"","case-study"),IF(J266&lt;&gt;"",IFERROR(INDEX(Settings!$J$5:$J$55,MATCH(J266,Settings!$I$5:$I$55,0)),"general"),"general")))</f>
        <v/>
      </c>
      <c r="Y266" s="24" t="str">
        <f aca="false">IF(A266="","",LOWER(A266))</f>
        <v/>
      </c>
      <c r="Z266" s="24" t="str">
        <f aca="false">IF(A266="","",IF(T266="",Settings!$B$5,T266)&amp;IF(ISNUMBER(FIND("?",IF(T266="",Settings!$B$5,T266))),"&amp;","?")&amp;"utm_source="&amp;V266&amp;"&amp;utm_medium="&amp;W266&amp;"&amp;utm_campaign="&amp;X266&amp;"&amp;utm_content="&amp;Y266)</f>
        <v/>
      </c>
      <c r="AA266" s="29"/>
      <c r="AB266" s="39"/>
      <c r="AC266" s="32"/>
      <c r="AD266" s="32"/>
      <c r="AE266" s="32"/>
      <c r="AF266" s="32"/>
      <c r="AG266" s="32"/>
      <c r="AH266" s="32"/>
      <c r="AI266" s="32"/>
      <c r="AJ266" s="32"/>
      <c r="AK266" s="32"/>
      <c r="AL266" s="32"/>
      <c r="AM266" s="32"/>
      <c r="AN266" s="32"/>
      <c r="AO266" s="33" t="str">
        <f aca="false">IF(A266="","",IF(AD266&lt;&gt;"",AD266,IF(AC266&lt;&gt;"",AC266,"")))</f>
        <v/>
      </c>
      <c r="AP266" s="24" t="str">
        <f aca="false">IF(AO266="","",IF(AD266&lt;&gt;"","Reported reach","Impressions (proxy)"))</f>
        <v/>
      </c>
      <c r="AQ266" s="34" t="str">
        <f aca="false">IF(OR(AO266="",N(S266)=0),"",AO266/S266)</f>
        <v/>
      </c>
      <c r="AR266" s="33" t="str">
        <f aca="false">IF(A266="","",IF(COUNT(AF266:AJ266)=0,"",SUM(AF266:AJ266)))</f>
        <v/>
      </c>
      <c r="AS266" s="34" t="str">
        <f aca="false">IF(OR(AR266="",N(AO266)=0),"",AR266/AO266)</f>
        <v/>
      </c>
      <c r="AT266" s="34" t="str">
        <f aca="false">IF(OR(AR266="",N(AC266)=0),"",AR266/AC266)</f>
        <v/>
      </c>
      <c r="AU266" s="34" t="str">
        <f aca="false">IF(OR(AR266="",N(S266)=0),"",AR266/S266)</f>
        <v/>
      </c>
      <c r="AV266" s="34" t="str">
        <f aca="false">IF(OR(AJ266="",N(AC266)=0),"",AJ266/AC266)</f>
        <v/>
      </c>
      <c r="AW266" s="34" t="str">
        <f aca="false">IF(OR(AH266="",N(AO266)=0),"",AH266/AO266)</f>
        <v/>
      </c>
      <c r="AX266" s="35" t="str">
        <f aca="false">IF(OR(AR266="",N(AO266)=0),"",(N(AF266)*Settings!$B$6+N(AG266)*Settings!$B$7+N(AH266)*Settings!$B$8+N(AI266)*Settings!$B$9+N(AJ266)*Settings!$B$10)/AO266*1000)</f>
        <v/>
      </c>
      <c r="AY266" s="36" t="str">
        <f aca="false">IF(AS266="","",IFERROR(AS266/AVERAGEIFS('Post Tracker'!$AS$5:$AS$1004,'Post Tracker'!$G$5:$G$1004,G266),""))</f>
        <v/>
      </c>
      <c r="AZ266" s="32"/>
      <c r="BA266" s="32"/>
      <c r="BB266" s="32"/>
      <c r="BC266" s="32"/>
      <c r="BD266" s="33" t="str">
        <f aca="false">IF(A266="","",COUNTIFS('Demo Pipeline'!$Q$5:$Q$504,A266))</f>
        <v/>
      </c>
      <c r="BE266" s="33" t="str">
        <f aca="false">IF(A266="","",COUNTIFS('Demo Pipeline'!$Q$5:$Q$504,A266,'Demo Pipeline'!$W$5:$W$504,"Attended"))</f>
        <v/>
      </c>
      <c r="BF266" s="33" t="str">
        <f aca="false">IF(A266="","",COUNTIFS('Demo Pipeline'!$Q$5:$Q$504,A266,'Demo Pipeline'!$X$5:$X$504,"Yes"))</f>
        <v/>
      </c>
      <c r="BG266" s="33" t="str">
        <f aca="false">IF(A266="","",COUNTIFS('Demo Pipeline'!$Q$5:$Q$504,A266,'Demo Pipeline'!$Y$5:$Y$504,"Closed Won"))</f>
        <v/>
      </c>
      <c r="BH266" s="37" t="str">
        <f aca="false">IF(A266="","",SUMIFS('Demo Pipeline'!$Z$5:$Z$504,'Demo Pipeline'!$Q$5:$Q$504,A266))</f>
        <v/>
      </c>
      <c r="BI266" s="34" t="str">
        <f aca="false">IF(OR(AZ266="",N(AJ266)=0),"",AZ266/AJ266)</f>
        <v/>
      </c>
      <c r="BJ266" s="34" t="str">
        <f aca="false">IF(OR(BB266="",N(AZ266)=0),"",BB266/AZ266)</f>
        <v/>
      </c>
      <c r="BK266" s="34" t="str">
        <f aca="false">IF(OR(A266="",N(BB266)=0),"",BD266/BB266)</f>
        <v/>
      </c>
      <c r="BL266" s="34" t="str">
        <f aca="false">IF(OR(A266="",N(AZ266)=0),"",BD266/AZ266)</f>
        <v/>
      </c>
      <c r="BM266" s="37" t="str">
        <f aca="false">IF(OR(N(Q266)=0,N(BD266)=0),"",Q266/BD266)</f>
        <v/>
      </c>
      <c r="BN266" s="29"/>
      <c r="BO266" s="29"/>
      <c r="BP266" s="33" t="str">
        <f aca="false">IF(OR(AR266="",N(AO266)=0),"",AR266)</f>
        <v/>
      </c>
      <c r="BQ266" s="33" t="str">
        <f aca="false">IF(OR(AR266="",N(S266)=0),"",S266)</f>
        <v/>
      </c>
      <c r="BR266" s="38" t="str">
        <f aca="false">IF(AND(ISNUMBER(B266),B266&gt;=Dashboard!$C$4,B266&lt;=Dashboard!$F$4,ISNUMBER(AU266)),AU266+ROW()/10^9,"")</f>
        <v/>
      </c>
      <c r="BS266" s="38" t="str">
        <f aca="false">IF(AND(ISNUMBER(B266),B266&gt;=Dashboard!$C$4,B266&lt;=Dashboard!$F$4,A266&lt;&gt;""),N(BD266)+N(AU266)/100+ROW()/10^9,"")</f>
        <v/>
      </c>
    </row>
    <row r="267" customFormat="false" ht="15" hidden="false" customHeight="false" outlineLevel="0" collapsed="false">
      <c r="A267" s="24" t="str">
        <f aca="false">IF(OR(B267="",G267="",H267=""),"",IFERROR(INDEX(Settings!$E$5:$E$49,MATCH(G267,Settings!$D$5:$D$49,0))&amp;INDEX(Settings!$H$5:$H$47,MATCH(H267,Settings!$G$5:$G$47,0))&amp;"-"&amp;TEXT(B267,"yymmdd")&amp;"-"&amp;IF(C267="","0000",TEXT(C267,"hhmm")),"CHECK LISTS"))</f>
        <v/>
      </c>
      <c r="B267" s="39"/>
      <c r="C267" s="40"/>
      <c r="D267" s="24" t="str">
        <f aca="false">IF(B267="","",TEXT(B267,"ddd"))</f>
        <v/>
      </c>
      <c r="E267" s="27" t="str">
        <f aca="false">IF(B267="","",B267-WEEKDAY(B267,3))</f>
        <v/>
      </c>
      <c r="F267" s="24" t="str">
        <f aca="false">IF(B267="","",TEXT(B267,"yyyy-mm"))</f>
        <v/>
      </c>
      <c r="G267" s="29"/>
      <c r="H267" s="29"/>
      <c r="I267" s="29"/>
      <c r="J267" s="29"/>
      <c r="K267" s="29"/>
      <c r="L267" s="29"/>
      <c r="M267" s="29"/>
      <c r="N267" s="29"/>
      <c r="O267" s="29"/>
      <c r="P267" s="29"/>
      <c r="Q267" s="30"/>
      <c r="R267" s="29"/>
      <c r="S267" s="32"/>
      <c r="T267" s="29"/>
      <c r="U267" s="29"/>
      <c r="V267" s="24" t="str">
        <f aca="false">IF(A267="","",IFERROR(INDEX(Settings!$F$5:$F$49,MATCH(G267,Settings!$D$5:$D$49,0)),""))</f>
        <v/>
      </c>
      <c r="W267" s="24" t="str">
        <f aca="false">IF(A267="","",IF(OR(P267="",P267="Organic"),"social","paid_social"))</f>
        <v/>
      </c>
      <c r="X267" s="24" t="str">
        <f aca="false">IF(A267="","",IF(K267&lt;&gt;"",IFERROR(INDEX('Case Studies'!$C$5:$C$54,MATCH(K267,'Case Studies'!$B$5:$B$54,0))&amp;"","case-study"),IF(J267&lt;&gt;"",IFERROR(INDEX(Settings!$J$5:$J$55,MATCH(J267,Settings!$I$5:$I$55,0)),"general"),"general")))</f>
        <v/>
      </c>
      <c r="Y267" s="24" t="str">
        <f aca="false">IF(A267="","",LOWER(A267))</f>
        <v/>
      </c>
      <c r="Z267" s="24" t="str">
        <f aca="false">IF(A267="","",IF(T267="",Settings!$B$5,T267)&amp;IF(ISNUMBER(FIND("?",IF(T267="",Settings!$B$5,T267))),"&amp;","?")&amp;"utm_source="&amp;V267&amp;"&amp;utm_medium="&amp;W267&amp;"&amp;utm_campaign="&amp;X267&amp;"&amp;utm_content="&amp;Y267)</f>
        <v/>
      </c>
      <c r="AA267" s="29"/>
      <c r="AB267" s="39"/>
      <c r="AC267" s="32"/>
      <c r="AD267" s="32"/>
      <c r="AE267" s="32"/>
      <c r="AF267" s="32"/>
      <c r="AG267" s="32"/>
      <c r="AH267" s="32"/>
      <c r="AI267" s="32"/>
      <c r="AJ267" s="32"/>
      <c r="AK267" s="32"/>
      <c r="AL267" s="32"/>
      <c r="AM267" s="32"/>
      <c r="AN267" s="32"/>
      <c r="AO267" s="33" t="str">
        <f aca="false">IF(A267="","",IF(AD267&lt;&gt;"",AD267,IF(AC267&lt;&gt;"",AC267,"")))</f>
        <v/>
      </c>
      <c r="AP267" s="24" t="str">
        <f aca="false">IF(AO267="","",IF(AD267&lt;&gt;"","Reported reach","Impressions (proxy)"))</f>
        <v/>
      </c>
      <c r="AQ267" s="34" t="str">
        <f aca="false">IF(OR(AO267="",N(S267)=0),"",AO267/S267)</f>
        <v/>
      </c>
      <c r="AR267" s="33" t="str">
        <f aca="false">IF(A267="","",IF(COUNT(AF267:AJ267)=0,"",SUM(AF267:AJ267)))</f>
        <v/>
      </c>
      <c r="AS267" s="34" t="str">
        <f aca="false">IF(OR(AR267="",N(AO267)=0),"",AR267/AO267)</f>
        <v/>
      </c>
      <c r="AT267" s="34" t="str">
        <f aca="false">IF(OR(AR267="",N(AC267)=0),"",AR267/AC267)</f>
        <v/>
      </c>
      <c r="AU267" s="34" t="str">
        <f aca="false">IF(OR(AR267="",N(S267)=0),"",AR267/S267)</f>
        <v/>
      </c>
      <c r="AV267" s="34" t="str">
        <f aca="false">IF(OR(AJ267="",N(AC267)=0),"",AJ267/AC267)</f>
        <v/>
      </c>
      <c r="AW267" s="34" t="str">
        <f aca="false">IF(OR(AH267="",N(AO267)=0),"",AH267/AO267)</f>
        <v/>
      </c>
      <c r="AX267" s="35" t="str">
        <f aca="false">IF(OR(AR267="",N(AO267)=0),"",(N(AF267)*Settings!$B$6+N(AG267)*Settings!$B$7+N(AH267)*Settings!$B$8+N(AI267)*Settings!$B$9+N(AJ267)*Settings!$B$10)/AO267*1000)</f>
        <v/>
      </c>
      <c r="AY267" s="36" t="str">
        <f aca="false">IF(AS267="","",IFERROR(AS267/AVERAGEIFS('Post Tracker'!$AS$5:$AS$1004,'Post Tracker'!$G$5:$G$1004,G267),""))</f>
        <v/>
      </c>
      <c r="AZ267" s="32"/>
      <c r="BA267" s="32"/>
      <c r="BB267" s="32"/>
      <c r="BC267" s="32"/>
      <c r="BD267" s="33" t="str">
        <f aca="false">IF(A267="","",COUNTIFS('Demo Pipeline'!$Q$5:$Q$504,A267))</f>
        <v/>
      </c>
      <c r="BE267" s="33" t="str">
        <f aca="false">IF(A267="","",COUNTIFS('Demo Pipeline'!$Q$5:$Q$504,A267,'Demo Pipeline'!$W$5:$W$504,"Attended"))</f>
        <v/>
      </c>
      <c r="BF267" s="33" t="str">
        <f aca="false">IF(A267="","",COUNTIFS('Demo Pipeline'!$Q$5:$Q$504,A267,'Demo Pipeline'!$X$5:$X$504,"Yes"))</f>
        <v/>
      </c>
      <c r="BG267" s="33" t="str">
        <f aca="false">IF(A267="","",COUNTIFS('Demo Pipeline'!$Q$5:$Q$504,A267,'Demo Pipeline'!$Y$5:$Y$504,"Closed Won"))</f>
        <v/>
      </c>
      <c r="BH267" s="37" t="str">
        <f aca="false">IF(A267="","",SUMIFS('Demo Pipeline'!$Z$5:$Z$504,'Demo Pipeline'!$Q$5:$Q$504,A267))</f>
        <v/>
      </c>
      <c r="BI267" s="34" t="str">
        <f aca="false">IF(OR(AZ267="",N(AJ267)=0),"",AZ267/AJ267)</f>
        <v/>
      </c>
      <c r="BJ267" s="34" t="str">
        <f aca="false">IF(OR(BB267="",N(AZ267)=0),"",BB267/AZ267)</f>
        <v/>
      </c>
      <c r="BK267" s="34" t="str">
        <f aca="false">IF(OR(A267="",N(BB267)=0),"",BD267/BB267)</f>
        <v/>
      </c>
      <c r="BL267" s="34" t="str">
        <f aca="false">IF(OR(A267="",N(AZ267)=0),"",BD267/AZ267)</f>
        <v/>
      </c>
      <c r="BM267" s="37" t="str">
        <f aca="false">IF(OR(N(Q267)=0,N(BD267)=0),"",Q267/BD267)</f>
        <v/>
      </c>
      <c r="BN267" s="29"/>
      <c r="BO267" s="29"/>
      <c r="BP267" s="33" t="str">
        <f aca="false">IF(OR(AR267="",N(AO267)=0),"",AR267)</f>
        <v/>
      </c>
      <c r="BQ267" s="33" t="str">
        <f aca="false">IF(OR(AR267="",N(S267)=0),"",S267)</f>
        <v/>
      </c>
      <c r="BR267" s="38" t="str">
        <f aca="false">IF(AND(ISNUMBER(B267),B267&gt;=Dashboard!$C$4,B267&lt;=Dashboard!$F$4,ISNUMBER(AU267)),AU267+ROW()/10^9,"")</f>
        <v/>
      </c>
      <c r="BS267" s="38" t="str">
        <f aca="false">IF(AND(ISNUMBER(B267),B267&gt;=Dashboard!$C$4,B267&lt;=Dashboard!$F$4,A267&lt;&gt;""),N(BD267)+N(AU267)/100+ROW()/10^9,"")</f>
        <v/>
      </c>
    </row>
    <row r="268" customFormat="false" ht="15" hidden="false" customHeight="false" outlineLevel="0" collapsed="false">
      <c r="A268" s="24" t="str">
        <f aca="false">IF(OR(B268="",G268="",H268=""),"",IFERROR(INDEX(Settings!$E$5:$E$49,MATCH(G268,Settings!$D$5:$D$49,0))&amp;INDEX(Settings!$H$5:$H$47,MATCH(H268,Settings!$G$5:$G$47,0))&amp;"-"&amp;TEXT(B268,"yymmdd")&amp;"-"&amp;IF(C268="","0000",TEXT(C268,"hhmm")),"CHECK LISTS"))</f>
        <v/>
      </c>
      <c r="B268" s="39"/>
      <c r="C268" s="40"/>
      <c r="D268" s="24" t="str">
        <f aca="false">IF(B268="","",TEXT(B268,"ddd"))</f>
        <v/>
      </c>
      <c r="E268" s="27" t="str">
        <f aca="false">IF(B268="","",B268-WEEKDAY(B268,3))</f>
        <v/>
      </c>
      <c r="F268" s="24" t="str">
        <f aca="false">IF(B268="","",TEXT(B268,"yyyy-mm"))</f>
        <v/>
      </c>
      <c r="G268" s="29"/>
      <c r="H268" s="29"/>
      <c r="I268" s="29"/>
      <c r="J268" s="29"/>
      <c r="K268" s="29"/>
      <c r="L268" s="29"/>
      <c r="M268" s="29"/>
      <c r="N268" s="29"/>
      <c r="O268" s="29"/>
      <c r="P268" s="29"/>
      <c r="Q268" s="30"/>
      <c r="R268" s="29"/>
      <c r="S268" s="32"/>
      <c r="T268" s="29"/>
      <c r="U268" s="29"/>
      <c r="V268" s="24" t="str">
        <f aca="false">IF(A268="","",IFERROR(INDEX(Settings!$F$5:$F$49,MATCH(G268,Settings!$D$5:$D$49,0)),""))</f>
        <v/>
      </c>
      <c r="W268" s="24" t="str">
        <f aca="false">IF(A268="","",IF(OR(P268="",P268="Organic"),"social","paid_social"))</f>
        <v/>
      </c>
      <c r="X268" s="24" t="str">
        <f aca="false">IF(A268="","",IF(K268&lt;&gt;"",IFERROR(INDEX('Case Studies'!$C$5:$C$54,MATCH(K268,'Case Studies'!$B$5:$B$54,0))&amp;"","case-study"),IF(J268&lt;&gt;"",IFERROR(INDEX(Settings!$J$5:$J$55,MATCH(J268,Settings!$I$5:$I$55,0)),"general"),"general")))</f>
        <v/>
      </c>
      <c r="Y268" s="24" t="str">
        <f aca="false">IF(A268="","",LOWER(A268))</f>
        <v/>
      </c>
      <c r="Z268" s="24" t="str">
        <f aca="false">IF(A268="","",IF(T268="",Settings!$B$5,T268)&amp;IF(ISNUMBER(FIND("?",IF(T268="",Settings!$B$5,T268))),"&amp;","?")&amp;"utm_source="&amp;V268&amp;"&amp;utm_medium="&amp;W268&amp;"&amp;utm_campaign="&amp;X268&amp;"&amp;utm_content="&amp;Y268)</f>
        <v/>
      </c>
      <c r="AA268" s="29"/>
      <c r="AB268" s="39"/>
      <c r="AC268" s="32"/>
      <c r="AD268" s="32"/>
      <c r="AE268" s="32"/>
      <c r="AF268" s="32"/>
      <c r="AG268" s="32"/>
      <c r="AH268" s="32"/>
      <c r="AI268" s="32"/>
      <c r="AJ268" s="32"/>
      <c r="AK268" s="32"/>
      <c r="AL268" s="32"/>
      <c r="AM268" s="32"/>
      <c r="AN268" s="32"/>
      <c r="AO268" s="33" t="str">
        <f aca="false">IF(A268="","",IF(AD268&lt;&gt;"",AD268,IF(AC268&lt;&gt;"",AC268,"")))</f>
        <v/>
      </c>
      <c r="AP268" s="24" t="str">
        <f aca="false">IF(AO268="","",IF(AD268&lt;&gt;"","Reported reach","Impressions (proxy)"))</f>
        <v/>
      </c>
      <c r="AQ268" s="34" t="str">
        <f aca="false">IF(OR(AO268="",N(S268)=0),"",AO268/S268)</f>
        <v/>
      </c>
      <c r="AR268" s="33" t="str">
        <f aca="false">IF(A268="","",IF(COUNT(AF268:AJ268)=0,"",SUM(AF268:AJ268)))</f>
        <v/>
      </c>
      <c r="AS268" s="34" t="str">
        <f aca="false">IF(OR(AR268="",N(AO268)=0),"",AR268/AO268)</f>
        <v/>
      </c>
      <c r="AT268" s="34" t="str">
        <f aca="false">IF(OR(AR268="",N(AC268)=0),"",AR268/AC268)</f>
        <v/>
      </c>
      <c r="AU268" s="34" t="str">
        <f aca="false">IF(OR(AR268="",N(S268)=0),"",AR268/S268)</f>
        <v/>
      </c>
      <c r="AV268" s="34" t="str">
        <f aca="false">IF(OR(AJ268="",N(AC268)=0),"",AJ268/AC268)</f>
        <v/>
      </c>
      <c r="AW268" s="34" t="str">
        <f aca="false">IF(OR(AH268="",N(AO268)=0),"",AH268/AO268)</f>
        <v/>
      </c>
      <c r="AX268" s="35" t="str">
        <f aca="false">IF(OR(AR268="",N(AO268)=0),"",(N(AF268)*Settings!$B$6+N(AG268)*Settings!$B$7+N(AH268)*Settings!$B$8+N(AI268)*Settings!$B$9+N(AJ268)*Settings!$B$10)/AO268*1000)</f>
        <v/>
      </c>
      <c r="AY268" s="36" t="str">
        <f aca="false">IF(AS268="","",IFERROR(AS268/AVERAGEIFS('Post Tracker'!$AS$5:$AS$1004,'Post Tracker'!$G$5:$G$1004,G268),""))</f>
        <v/>
      </c>
      <c r="AZ268" s="32"/>
      <c r="BA268" s="32"/>
      <c r="BB268" s="32"/>
      <c r="BC268" s="32"/>
      <c r="BD268" s="33" t="str">
        <f aca="false">IF(A268="","",COUNTIFS('Demo Pipeline'!$Q$5:$Q$504,A268))</f>
        <v/>
      </c>
      <c r="BE268" s="33" t="str">
        <f aca="false">IF(A268="","",COUNTIFS('Demo Pipeline'!$Q$5:$Q$504,A268,'Demo Pipeline'!$W$5:$W$504,"Attended"))</f>
        <v/>
      </c>
      <c r="BF268" s="33" t="str">
        <f aca="false">IF(A268="","",COUNTIFS('Demo Pipeline'!$Q$5:$Q$504,A268,'Demo Pipeline'!$X$5:$X$504,"Yes"))</f>
        <v/>
      </c>
      <c r="BG268" s="33" t="str">
        <f aca="false">IF(A268="","",COUNTIFS('Demo Pipeline'!$Q$5:$Q$504,A268,'Demo Pipeline'!$Y$5:$Y$504,"Closed Won"))</f>
        <v/>
      </c>
      <c r="BH268" s="37" t="str">
        <f aca="false">IF(A268="","",SUMIFS('Demo Pipeline'!$Z$5:$Z$504,'Demo Pipeline'!$Q$5:$Q$504,A268))</f>
        <v/>
      </c>
      <c r="BI268" s="34" t="str">
        <f aca="false">IF(OR(AZ268="",N(AJ268)=0),"",AZ268/AJ268)</f>
        <v/>
      </c>
      <c r="BJ268" s="34" t="str">
        <f aca="false">IF(OR(BB268="",N(AZ268)=0),"",BB268/AZ268)</f>
        <v/>
      </c>
      <c r="BK268" s="34" t="str">
        <f aca="false">IF(OR(A268="",N(BB268)=0),"",BD268/BB268)</f>
        <v/>
      </c>
      <c r="BL268" s="34" t="str">
        <f aca="false">IF(OR(A268="",N(AZ268)=0),"",BD268/AZ268)</f>
        <v/>
      </c>
      <c r="BM268" s="37" t="str">
        <f aca="false">IF(OR(N(Q268)=0,N(BD268)=0),"",Q268/BD268)</f>
        <v/>
      </c>
      <c r="BN268" s="29"/>
      <c r="BO268" s="29"/>
      <c r="BP268" s="33" t="str">
        <f aca="false">IF(OR(AR268="",N(AO268)=0),"",AR268)</f>
        <v/>
      </c>
      <c r="BQ268" s="33" t="str">
        <f aca="false">IF(OR(AR268="",N(S268)=0),"",S268)</f>
        <v/>
      </c>
      <c r="BR268" s="38" t="str">
        <f aca="false">IF(AND(ISNUMBER(B268),B268&gt;=Dashboard!$C$4,B268&lt;=Dashboard!$F$4,ISNUMBER(AU268)),AU268+ROW()/10^9,"")</f>
        <v/>
      </c>
      <c r="BS268" s="38" t="str">
        <f aca="false">IF(AND(ISNUMBER(B268),B268&gt;=Dashboard!$C$4,B268&lt;=Dashboard!$F$4,A268&lt;&gt;""),N(BD268)+N(AU268)/100+ROW()/10^9,"")</f>
        <v/>
      </c>
    </row>
    <row r="269" customFormat="false" ht="15" hidden="false" customHeight="false" outlineLevel="0" collapsed="false">
      <c r="A269" s="24" t="str">
        <f aca="false">IF(OR(B269="",G269="",H269=""),"",IFERROR(INDEX(Settings!$E$5:$E$49,MATCH(G269,Settings!$D$5:$D$49,0))&amp;INDEX(Settings!$H$5:$H$47,MATCH(H269,Settings!$G$5:$G$47,0))&amp;"-"&amp;TEXT(B269,"yymmdd")&amp;"-"&amp;IF(C269="","0000",TEXT(C269,"hhmm")),"CHECK LISTS"))</f>
        <v/>
      </c>
      <c r="B269" s="39"/>
      <c r="C269" s="40"/>
      <c r="D269" s="24" t="str">
        <f aca="false">IF(B269="","",TEXT(B269,"ddd"))</f>
        <v/>
      </c>
      <c r="E269" s="27" t="str">
        <f aca="false">IF(B269="","",B269-WEEKDAY(B269,3))</f>
        <v/>
      </c>
      <c r="F269" s="24" t="str">
        <f aca="false">IF(B269="","",TEXT(B269,"yyyy-mm"))</f>
        <v/>
      </c>
      <c r="G269" s="29"/>
      <c r="H269" s="29"/>
      <c r="I269" s="29"/>
      <c r="J269" s="29"/>
      <c r="K269" s="29"/>
      <c r="L269" s="29"/>
      <c r="M269" s="29"/>
      <c r="N269" s="29"/>
      <c r="O269" s="29"/>
      <c r="P269" s="29"/>
      <c r="Q269" s="30"/>
      <c r="R269" s="29"/>
      <c r="S269" s="32"/>
      <c r="T269" s="29"/>
      <c r="U269" s="29"/>
      <c r="V269" s="24" t="str">
        <f aca="false">IF(A269="","",IFERROR(INDEX(Settings!$F$5:$F$49,MATCH(G269,Settings!$D$5:$D$49,0)),""))</f>
        <v/>
      </c>
      <c r="W269" s="24" t="str">
        <f aca="false">IF(A269="","",IF(OR(P269="",P269="Organic"),"social","paid_social"))</f>
        <v/>
      </c>
      <c r="X269" s="24" t="str">
        <f aca="false">IF(A269="","",IF(K269&lt;&gt;"",IFERROR(INDEX('Case Studies'!$C$5:$C$54,MATCH(K269,'Case Studies'!$B$5:$B$54,0))&amp;"","case-study"),IF(J269&lt;&gt;"",IFERROR(INDEX(Settings!$J$5:$J$55,MATCH(J269,Settings!$I$5:$I$55,0)),"general"),"general")))</f>
        <v/>
      </c>
      <c r="Y269" s="24" t="str">
        <f aca="false">IF(A269="","",LOWER(A269))</f>
        <v/>
      </c>
      <c r="Z269" s="24" t="str">
        <f aca="false">IF(A269="","",IF(T269="",Settings!$B$5,T269)&amp;IF(ISNUMBER(FIND("?",IF(T269="",Settings!$B$5,T269))),"&amp;","?")&amp;"utm_source="&amp;V269&amp;"&amp;utm_medium="&amp;W269&amp;"&amp;utm_campaign="&amp;X269&amp;"&amp;utm_content="&amp;Y269)</f>
        <v/>
      </c>
      <c r="AA269" s="29"/>
      <c r="AB269" s="39"/>
      <c r="AC269" s="32"/>
      <c r="AD269" s="32"/>
      <c r="AE269" s="32"/>
      <c r="AF269" s="32"/>
      <c r="AG269" s="32"/>
      <c r="AH269" s="32"/>
      <c r="AI269" s="32"/>
      <c r="AJ269" s="32"/>
      <c r="AK269" s="32"/>
      <c r="AL269" s="32"/>
      <c r="AM269" s="32"/>
      <c r="AN269" s="32"/>
      <c r="AO269" s="33" t="str">
        <f aca="false">IF(A269="","",IF(AD269&lt;&gt;"",AD269,IF(AC269&lt;&gt;"",AC269,"")))</f>
        <v/>
      </c>
      <c r="AP269" s="24" t="str">
        <f aca="false">IF(AO269="","",IF(AD269&lt;&gt;"","Reported reach","Impressions (proxy)"))</f>
        <v/>
      </c>
      <c r="AQ269" s="34" t="str">
        <f aca="false">IF(OR(AO269="",N(S269)=0),"",AO269/S269)</f>
        <v/>
      </c>
      <c r="AR269" s="33" t="str">
        <f aca="false">IF(A269="","",IF(COUNT(AF269:AJ269)=0,"",SUM(AF269:AJ269)))</f>
        <v/>
      </c>
      <c r="AS269" s="34" t="str">
        <f aca="false">IF(OR(AR269="",N(AO269)=0),"",AR269/AO269)</f>
        <v/>
      </c>
      <c r="AT269" s="34" t="str">
        <f aca="false">IF(OR(AR269="",N(AC269)=0),"",AR269/AC269)</f>
        <v/>
      </c>
      <c r="AU269" s="34" t="str">
        <f aca="false">IF(OR(AR269="",N(S269)=0),"",AR269/S269)</f>
        <v/>
      </c>
      <c r="AV269" s="34" t="str">
        <f aca="false">IF(OR(AJ269="",N(AC269)=0),"",AJ269/AC269)</f>
        <v/>
      </c>
      <c r="AW269" s="34" t="str">
        <f aca="false">IF(OR(AH269="",N(AO269)=0),"",AH269/AO269)</f>
        <v/>
      </c>
      <c r="AX269" s="35" t="str">
        <f aca="false">IF(OR(AR269="",N(AO269)=0),"",(N(AF269)*Settings!$B$6+N(AG269)*Settings!$B$7+N(AH269)*Settings!$B$8+N(AI269)*Settings!$B$9+N(AJ269)*Settings!$B$10)/AO269*1000)</f>
        <v/>
      </c>
      <c r="AY269" s="36" t="str">
        <f aca="false">IF(AS269="","",IFERROR(AS269/AVERAGEIFS('Post Tracker'!$AS$5:$AS$1004,'Post Tracker'!$G$5:$G$1004,G269),""))</f>
        <v/>
      </c>
      <c r="AZ269" s="32"/>
      <c r="BA269" s="32"/>
      <c r="BB269" s="32"/>
      <c r="BC269" s="32"/>
      <c r="BD269" s="33" t="str">
        <f aca="false">IF(A269="","",COUNTIFS('Demo Pipeline'!$Q$5:$Q$504,A269))</f>
        <v/>
      </c>
      <c r="BE269" s="33" t="str">
        <f aca="false">IF(A269="","",COUNTIFS('Demo Pipeline'!$Q$5:$Q$504,A269,'Demo Pipeline'!$W$5:$W$504,"Attended"))</f>
        <v/>
      </c>
      <c r="BF269" s="33" t="str">
        <f aca="false">IF(A269="","",COUNTIFS('Demo Pipeline'!$Q$5:$Q$504,A269,'Demo Pipeline'!$X$5:$X$504,"Yes"))</f>
        <v/>
      </c>
      <c r="BG269" s="33" t="str">
        <f aca="false">IF(A269="","",COUNTIFS('Demo Pipeline'!$Q$5:$Q$504,A269,'Demo Pipeline'!$Y$5:$Y$504,"Closed Won"))</f>
        <v/>
      </c>
      <c r="BH269" s="37" t="str">
        <f aca="false">IF(A269="","",SUMIFS('Demo Pipeline'!$Z$5:$Z$504,'Demo Pipeline'!$Q$5:$Q$504,A269))</f>
        <v/>
      </c>
      <c r="BI269" s="34" t="str">
        <f aca="false">IF(OR(AZ269="",N(AJ269)=0),"",AZ269/AJ269)</f>
        <v/>
      </c>
      <c r="BJ269" s="34" t="str">
        <f aca="false">IF(OR(BB269="",N(AZ269)=0),"",BB269/AZ269)</f>
        <v/>
      </c>
      <c r="BK269" s="34" t="str">
        <f aca="false">IF(OR(A269="",N(BB269)=0),"",BD269/BB269)</f>
        <v/>
      </c>
      <c r="BL269" s="34" t="str">
        <f aca="false">IF(OR(A269="",N(AZ269)=0),"",BD269/AZ269)</f>
        <v/>
      </c>
      <c r="BM269" s="37" t="str">
        <f aca="false">IF(OR(N(Q269)=0,N(BD269)=0),"",Q269/BD269)</f>
        <v/>
      </c>
      <c r="BN269" s="29"/>
      <c r="BO269" s="29"/>
      <c r="BP269" s="33" t="str">
        <f aca="false">IF(OR(AR269="",N(AO269)=0),"",AR269)</f>
        <v/>
      </c>
      <c r="BQ269" s="33" t="str">
        <f aca="false">IF(OR(AR269="",N(S269)=0),"",S269)</f>
        <v/>
      </c>
      <c r="BR269" s="38" t="str">
        <f aca="false">IF(AND(ISNUMBER(B269),B269&gt;=Dashboard!$C$4,B269&lt;=Dashboard!$F$4,ISNUMBER(AU269)),AU269+ROW()/10^9,"")</f>
        <v/>
      </c>
      <c r="BS269" s="38" t="str">
        <f aca="false">IF(AND(ISNUMBER(B269),B269&gt;=Dashboard!$C$4,B269&lt;=Dashboard!$F$4,A269&lt;&gt;""),N(BD269)+N(AU269)/100+ROW()/10^9,"")</f>
        <v/>
      </c>
    </row>
    <row r="270" customFormat="false" ht="15" hidden="false" customHeight="false" outlineLevel="0" collapsed="false">
      <c r="A270" s="24" t="str">
        <f aca="false">IF(OR(B270="",G270="",H270=""),"",IFERROR(INDEX(Settings!$E$5:$E$49,MATCH(G270,Settings!$D$5:$D$49,0))&amp;INDEX(Settings!$H$5:$H$47,MATCH(H270,Settings!$G$5:$G$47,0))&amp;"-"&amp;TEXT(B270,"yymmdd")&amp;"-"&amp;IF(C270="","0000",TEXT(C270,"hhmm")),"CHECK LISTS"))</f>
        <v/>
      </c>
      <c r="B270" s="39"/>
      <c r="C270" s="40"/>
      <c r="D270" s="24" t="str">
        <f aca="false">IF(B270="","",TEXT(B270,"ddd"))</f>
        <v/>
      </c>
      <c r="E270" s="27" t="str">
        <f aca="false">IF(B270="","",B270-WEEKDAY(B270,3))</f>
        <v/>
      </c>
      <c r="F270" s="24" t="str">
        <f aca="false">IF(B270="","",TEXT(B270,"yyyy-mm"))</f>
        <v/>
      </c>
      <c r="G270" s="29"/>
      <c r="H270" s="29"/>
      <c r="I270" s="29"/>
      <c r="J270" s="29"/>
      <c r="K270" s="29"/>
      <c r="L270" s="29"/>
      <c r="M270" s="29"/>
      <c r="N270" s="29"/>
      <c r="O270" s="29"/>
      <c r="P270" s="29"/>
      <c r="Q270" s="30"/>
      <c r="R270" s="29"/>
      <c r="S270" s="32"/>
      <c r="T270" s="29"/>
      <c r="U270" s="29"/>
      <c r="V270" s="24" t="str">
        <f aca="false">IF(A270="","",IFERROR(INDEX(Settings!$F$5:$F$49,MATCH(G270,Settings!$D$5:$D$49,0)),""))</f>
        <v/>
      </c>
      <c r="W270" s="24" t="str">
        <f aca="false">IF(A270="","",IF(OR(P270="",P270="Organic"),"social","paid_social"))</f>
        <v/>
      </c>
      <c r="X270" s="24" t="str">
        <f aca="false">IF(A270="","",IF(K270&lt;&gt;"",IFERROR(INDEX('Case Studies'!$C$5:$C$54,MATCH(K270,'Case Studies'!$B$5:$B$54,0))&amp;"","case-study"),IF(J270&lt;&gt;"",IFERROR(INDEX(Settings!$J$5:$J$55,MATCH(J270,Settings!$I$5:$I$55,0)),"general"),"general")))</f>
        <v/>
      </c>
      <c r="Y270" s="24" t="str">
        <f aca="false">IF(A270="","",LOWER(A270))</f>
        <v/>
      </c>
      <c r="Z270" s="24" t="str">
        <f aca="false">IF(A270="","",IF(T270="",Settings!$B$5,T270)&amp;IF(ISNUMBER(FIND("?",IF(T270="",Settings!$B$5,T270))),"&amp;","?")&amp;"utm_source="&amp;V270&amp;"&amp;utm_medium="&amp;W270&amp;"&amp;utm_campaign="&amp;X270&amp;"&amp;utm_content="&amp;Y270)</f>
        <v/>
      </c>
      <c r="AA270" s="29"/>
      <c r="AB270" s="39"/>
      <c r="AC270" s="32"/>
      <c r="AD270" s="32"/>
      <c r="AE270" s="32"/>
      <c r="AF270" s="32"/>
      <c r="AG270" s="32"/>
      <c r="AH270" s="32"/>
      <c r="AI270" s="32"/>
      <c r="AJ270" s="32"/>
      <c r="AK270" s="32"/>
      <c r="AL270" s="32"/>
      <c r="AM270" s="32"/>
      <c r="AN270" s="32"/>
      <c r="AO270" s="33" t="str">
        <f aca="false">IF(A270="","",IF(AD270&lt;&gt;"",AD270,IF(AC270&lt;&gt;"",AC270,"")))</f>
        <v/>
      </c>
      <c r="AP270" s="24" t="str">
        <f aca="false">IF(AO270="","",IF(AD270&lt;&gt;"","Reported reach","Impressions (proxy)"))</f>
        <v/>
      </c>
      <c r="AQ270" s="34" t="str">
        <f aca="false">IF(OR(AO270="",N(S270)=0),"",AO270/S270)</f>
        <v/>
      </c>
      <c r="AR270" s="33" t="str">
        <f aca="false">IF(A270="","",IF(COUNT(AF270:AJ270)=0,"",SUM(AF270:AJ270)))</f>
        <v/>
      </c>
      <c r="AS270" s="34" t="str">
        <f aca="false">IF(OR(AR270="",N(AO270)=0),"",AR270/AO270)</f>
        <v/>
      </c>
      <c r="AT270" s="34" t="str">
        <f aca="false">IF(OR(AR270="",N(AC270)=0),"",AR270/AC270)</f>
        <v/>
      </c>
      <c r="AU270" s="34" t="str">
        <f aca="false">IF(OR(AR270="",N(S270)=0),"",AR270/S270)</f>
        <v/>
      </c>
      <c r="AV270" s="34" t="str">
        <f aca="false">IF(OR(AJ270="",N(AC270)=0),"",AJ270/AC270)</f>
        <v/>
      </c>
      <c r="AW270" s="34" t="str">
        <f aca="false">IF(OR(AH270="",N(AO270)=0),"",AH270/AO270)</f>
        <v/>
      </c>
      <c r="AX270" s="35" t="str">
        <f aca="false">IF(OR(AR270="",N(AO270)=0),"",(N(AF270)*Settings!$B$6+N(AG270)*Settings!$B$7+N(AH270)*Settings!$B$8+N(AI270)*Settings!$B$9+N(AJ270)*Settings!$B$10)/AO270*1000)</f>
        <v/>
      </c>
      <c r="AY270" s="36" t="str">
        <f aca="false">IF(AS270="","",IFERROR(AS270/AVERAGEIFS('Post Tracker'!$AS$5:$AS$1004,'Post Tracker'!$G$5:$G$1004,G270),""))</f>
        <v/>
      </c>
      <c r="AZ270" s="32"/>
      <c r="BA270" s="32"/>
      <c r="BB270" s="32"/>
      <c r="BC270" s="32"/>
      <c r="BD270" s="33" t="str">
        <f aca="false">IF(A270="","",COUNTIFS('Demo Pipeline'!$Q$5:$Q$504,A270))</f>
        <v/>
      </c>
      <c r="BE270" s="33" t="str">
        <f aca="false">IF(A270="","",COUNTIFS('Demo Pipeline'!$Q$5:$Q$504,A270,'Demo Pipeline'!$W$5:$W$504,"Attended"))</f>
        <v/>
      </c>
      <c r="BF270" s="33" t="str">
        <f aca="false">IF(A270="","",COUNTIFS('Demo Pipeline'!$Q$5:$Q$504,A270,'Demo Pipeline'!$X$5:$X$504,"Yes"))</f>
        <v/>
      </c>
      <c r="BG270" s="33" t="str">
        <f aca="false">IF(A270="","",COUNTIFS('Demo Pipeline'!$Q$5:$Q$504,A270,'Demo Pipeline'!$Y$5:$Y$504,"Closed Won"))</f>
        <v/>
      </c>
      <c r="BH270" s="37" t="str">
        <f aca="false">IF(A270="","",SUMIFS('Demo Pipeline'!$Z$5:$Z$504,'Demo Pipeline'!$Q$5:$Q$504,A270))</f>
        <v/>
      </c>
      <c r="BI270" s="34" t="str">
        <f aca="false">IF(OR(AZ270="",N(AJ270)=0),"",AZ270/AJ270)</f>
        <v/>
      </c>
      <c r="BJ270" s="34" t="str">
        <f aca="false">IF(OR(BB270="",N(AZ270)=0),"",BB270/AZ270)</f>
        <v/>
      </c>
      <c r="BK270" s="34" t="str">
        <f aca="false">IF(OR(A270="",N(BB270)=0),"",BD270/BB270)</f>
        <v/>
      </c>
      <c r="BL270" s="34" t="str">
        <f aca="false">IF(OR(A270="",N(AZ270)=0),"",BD270/AZ270)</f>
        <v/>
      </c>
      <c r="BM270" s="37" t="str">
        <f aca="false">IF(OR(N(Q270)=0,N(BD270)=0),"",Q270/BD270)</f>
        <v/>
      </c>
      <c r="BN270" s="29"/>
      <c r="BO270" s="29"/>
      <c r="BP270" s="33" t="str">
        <f aca="false">IF(OR(AR270="",N(AO270)=0),"",AR270)</f>
        <v/>
      </c>
      <c r="BQ270" s="33" t="str">
        <f aca="false">IF(OR(AR270="",N(S270)=0),"",S270)</f>
        <v/>
      </c>
      <c r="BR270" s="38" t="str">
        <f aca="false">IF(AND(ISNUMBER(B270),B270&gt;=Dashboard!$C$4,B270&lt;=Dashboard!$F$4,ISNUMBER(AU270)),AU270+ROW()/10^9,"")</f>
        <v/>
      </c>
      <c r="BS270" s="38" t="str">
        <f aca="false">IF(AND(ISNUMBER(B270),B270&gt;=Dashboard!$C$4,B270&lt;=Dashboard!$F$4,A270&lt;&gt;""),N(BD270)+N(AU270)/100+ROW()/10^9,"")</f>
        <v/>
      </c>
    </row>
    <row r="271" customFormat="false" ht="15" hidden="false" customHeight="false" outlineLevel="0" collapsed="false">
      <c r="A271" s="24" t="str">
        <f aca="false">IF(OR(B271="",G271="",H271=""),"",IFERROR(INDEX(Settings!$E$5:$E$49,MATCH(G271,Settings!$D$5:$D$49,0))&amp;INDEX(Settings!$H$5:$H$47,MATCH(H271,Settings!$G$5:$G$47,0))&amp;"-"&amp;TEXT(B271,"yymmdd")&amp;"-"&amp;IF(C271="","0000",TEXT(C271,"hhmm")),"CHECK LISTS"))</f>
        <v/>
      </c>
      <c r="B271" s="39"/>
      <c r="C271" s="40"/>
      <c r="D271" s="24" t="str">
        <f aca="false">IF(B271="","",TEXT(B271,"ddd"))</f>
        <v/>
      </c>
      <c r="E271" s="27" t="str">
        <f aca="false">IF(B271="","",B271-WEEKDAY(B271,3))</f>
        <v/>
      </c>
      <c r="F271" s="24" t="str">
        <f aca="false">IF(B271="","",TEXT(B271,"yyyy-mm"))</f>
        <v/>
      </c>
      <c r="G271" s="29"/>
      <c r="H271" s="29"/>
      <c r="I271" s="29"/>
      <c r="J271" s="29"/>
      <c r="K271" s="29"/>
      <c r="L271" s="29"/>
      <c r="M271" s="29"/>
      <c r="N271" s="29"/>
      <c r="O271" s="29"/>
      <c r="P271" s="29"/>
      <c r="Q271" s="30"/>
      <c r="R271" s="29"/>
      <c r="S271" s="32"/>
      <c r="T271" s="29"/>
      <c r="U271" s="29"/>
      <c r="V271" s="24" t="str">
        <f aca="false">IF(A271="","",IFERROR(INDEX(Settings!$F$5:$F$49,MATCH(G271,Settings!$D$5:$D$49,0)),""))</f>
        <v/>
      </c>
      <c r="W271" s="24" t="str">
        <f aca="false">IF(A271="","",IF(OR(P271="",P271="Organic"),"social","paid_social"))</f>
        <v/>
      </c>
      <c r="X271" s="24" t="str">
        <f aca="false">IF(A271="","",IF(K271&lt;&gt;"",IFERROR(INDEX('Case Studies'!$C$5:$C$54,MATCH(K271,'Case Studies'!$B$5:$B$54,0))&amp;"","case-study"),IF(J271&lt;&gt;"",IFERROR(INDEX(Settings!$J$5:$J$55,MATCH(J271,Settings!$I$5:$I$55,0)),"general"),"general")))</f>
        <v/>
      </c>
      <c r="Y271" s="24" t="str">
        <f aca="false">IF(A271="","",LOWER(A271))</f>
        <v/>
      </c>
      <c r="Z271" s="24" t="str">
        <f aca="false">IF(A271="","",IF(T271="",Settings!$B$5,T271)&amp;IF(ISNUMBER(FIND("?",IF(T271="",Settings!$B$5,T271))),"&amp;","?")&amp;"utm_source="&amp;V271&amp;"&amp;utm_medium="&amp;W271&amp;"&amp;utm_campaign="&amp;X271&amp;"&amp;utm_content="&amp;Y271)</f>
        <v/>
      </c>
      <c r="AA271" s="29"/>
      <c r="AB271" s="39"/>
      <c r="AC271" s="32"/>
      <c r="AD271" s="32"/>
      <c r="AE271" s="32"/>
      <c r="AF271" s="32"/>
      <c r="AG271" s="32"/>
      <c r="AH271" s="32"/>
      <c r="AI271" s="32"/>
      <c r="AJ271" s="32"/>
      <c r="AK271" s="32"/>
      <c r="AL271" s="32"/>
      <c r="AM271" s="32"/>
      <c r="AN271" s="32"/>
      <c r="AO271" s="33" t="str">
        <f aca="false">IF(A271="","",IF(AD271&lt;&gt;"",AD271,IF(AC271&lt;&gt;"",AC271,"")))</f>
        <v/>
      </c>
      <c r="AP271" s="24" t="str">
        <f aca="false">IF(AO271="","",IF(AD271&lt;&gt;"","Reported reach","Impressions (proxy)"))</f>
        <v/>
      </c>
      <c r="AQ271" s="34" t="str">
        <f aca="false">IF(OR(AO271="",N(S271)=0),"",AO271/S271)</f>
        <v/>
      </c>
      <c r="AR271" s="33" t="str">
        <f aca="false">IF(A271="","",IF(COUNT(AF271:AJ271)=0,"",SUM(AF271:AJ271)))</f>
        <v/>
      </c>
      <c r="AS271" s="34" t="str">
        <f aca="false">IF(OR(AR271="",N(AO271)=0),"",AR271/AO271)</f>
        <v/>
      </c>
      <c r="AT271" s="34" t="str">
        <f aca="false">IF(OR(AR271="",N(AC271)=0),"",AR271/AC271)</f>
        <v/>
      </c>
      <c r="AU271" s="34" t="str">
        <f aca="false">IF(OR(AR271="",N(S271)=0),"",AR271/S271)</f>
        <v/>
      </c>
      <c r="AV271" s="34" t="str">
        <f aca="false">IF(OR(AJ271="",N(AC271)=0),"",AJ271/AC271)</f>
        <v/>
      </c>
      <c r="AW271" s="34" t="str">
        <f aca="false">IF(OR(AH271="",N(AO271)=0),"",AH271/AO271)</f>
        <v/>
      </c>
      <c r="AX271" s="35" t="str">
        <f aca="false">IF(OR(AR271="",N(AO271)=0),"",(N(AF271)*Settings!$B$6+N(AG271)*Settings!$B$7+N(AH271)*Settings!$B$8+N(AI271)*Settings!$B$9+N(AJ271)*Settings!$B$10)/AO271*1000)</f>
        <v/>
      </c>
      <c r="AY271" s="36" t="str">
        <f aca="false">IF(AS271="","",IFERROR(AS271/AVERAGEIFS('Post Tracker'!$AS$5:$AS$1004,'Post Tracker'!$G$5:$G$1004,G271),""))</f>
        <v/>
      </c>
      <c r="AZ271" s="32"/>
      <c r="BA271" s="32"/>
      <c r="BB271" s="32"/>
      <c r="BC271" s="32"/>
      <c r="BD271" s="33" t="str">
        <f aca="false">IF(A271="","",COUNTIFS('Demo Pipeline'!$Q$5:$Q$504,A271))</f>
        <v/>
      </c>
      <c r="BE271" s="33" t="str">
        <f aca="false">IF(A271="","",COUNTIFS('Demo Pipeline'!$Q$5:$Q$504,A271,'Demo Pipeline'!$W$5:$W$504,"Attended"))</f>
        <v/>
      </c>
      <c r="BF271" s="33" t="str">
        <f aca="false">IF(A271="","",COUNTIFS('Demo Pipeline'!$Q$5:$Q$504,A271,'Demo Pipeline'!$X$5:$X$504,"Yes"))</f>
        <v/>
      </c>
      <c r="BG271" s="33" t="str">
        <f aca="false">IF(A271="","",COUNTIFS('Demo Pipeline'!$Q$5:$Q$504,A271,'Demo Pipeline'!$Y$5:$Y$504,"Closed Won"))</f>
        <v/>
      </c>
      <c r="BH271" s="37" t="str">
        <f aca="false">IF(A271="","",SUMIFS('Demo Pipeline'!$Z$5:$Z$504,'Demo Pipeline'!$Q$5:$Q$504,A271))</f>
        <v/>
      </c>
      <c r="BI271" s="34" t="str">
        <f aca="false">IF(OR(AZ271="",N(AJ271)=0),"",AZ271/AJ271)</f>
        <v/>
      </c>
      <c r="BJ271" s="34" t="str">
        <f aca="false">IF(OR(BB271="",N(AZ271)=0),"",BB271/AZ271)</f>
        <v/>
      </c>
      <c r="BK271" s="34" t="str">
        <f aca="false">IF(OR(A271="",N(BB271)=0),"",BD271/BB271)</f>
        <v/>
      </c>
      <c r="BL271" s="34" t="str">
        <f aca="false">IF(OR(A271="",N(AZ271)=0),"",BD271/AZ271)</f>
        <v/>
      </c>
      <c r="BM271" s="37" t="str">
        <f aca="false">IF(OR(N(Q271)=0,N(BD271)=0),"",Q271/BD271)</f>
        <v/>
      </c>
      <c r="BN271" s="29"/>
      <c r="BO271" s="29"/>
      <c r="BP271" s="33" t="str">
        <f aca="false">IF(OR(AR271="",N(AO271)=0),"",AR271)</f>
        <v/>
      </c>
      <c r="BQ271" s="33" t="str">
        <f aca="false">IF(OR(AR271="",N(S271)=0),"",S271)</f>
        <v/>
      </c>
      <c r="BR271" s="38" t="str">
        <f aca="false">IF(AND(ISNUMBER(B271),B271&gt;=Dashboard!$C$4,B271&lt;=Dashboard!$F$4,ISNUMBER(AU271)),AU271+ROW()/10^9,"")</f>
        <v/>
      </c>
      <c r="BS271" s="38" t="str">
        <f aca="false">IF(AND(ISNUMBER(B271),B271&gt;=Dashboard!$C$4,B271&lt;=Dashboard!$F$4,A271&lt;&gt;""),N(BD271)+N(AU271)/100+ROW()/10^9,"")</f>
        <v/>
      </c>
    </row>
    <row r="272" customFormat="false" ht="15" hidden="false" customHeight="false" outlineLevel="0" collapsed="false">
      <c r="A272" s="24" t="str">
        <f aca="false">IF(OR(B272="",G272="",H272=""),"",IFERROR(INDEX(Settings!$E$5:$E$49,MATCH(G272,Settings!$D$5:$D$49,0))&amp;INDEX(Settings!$H$5:$H$47,MATCH(H272,Settings!$G$5:$G$47,0))&amp;"-"&amp;TEXT(B272,"yymmdd")&amp;"-"&amp;IF(C272="","0000",TEXT(C272,"hhmm")),"CHECK LISTS"))</f>
        <v/>
      </c>
      <c r="B272" s="39"/>
      <c r="C272" s="40"/>
      <c r="D272" s="24" t="str">
        <f aca="false">IF(B272="","",TEXT(B272,"ddd"))</f>
        <v/>
      </c>
      <c r="E272" s="27" t="str">
        <f aca="false">IF(B272="","",B272-WEEKDAY(B272,3))</f>
        <v/>
      </c>
      <c r="F272" s="24" t="str">
        <f aca="false">IF(B272="","",TEXT(B272,"yyyy-mm"))</f>
        <v/>
      </c>
      <c r="G272" s="29"/>
      <c r="H272" s="29"/>
      <c r="I272" s="29"/>
      <c r="J272" s="29"/>
      <c r="K272" s="29"/>
      <c r="L272" s="29"/>
      <c r="M272" s="29"/>
      <c r="N272" s="29"/>
      <c r="O272" s="29"/>
      <c r="P272" s="29"/>
      <c r="Q272" s="30"/>
      <c r="R272" s="29"/>
      <c r="S272" s="32"/>
      <c r="T272" s="29"/>
      <c r="U272" s="29"/>
      <c r="V272" s="24" t="str">
        <f aca="false">IF(A272="","",IFERROR(INDEX(Settings!$F$5:$F$49,MATCH(G272,Settings!$D$5:$D$49,0)),""))</f>
        <v/>
      </c>
      <c r="W272" s="24" t="str">
        <f aca="false">IF(A272="","",IF(OR(P272="",P272="Organic"),"social","paid_social"))</f>
        <v/>
      </c>
      <c r="X272" s="24" t="str">
        <f aca="false">IF(A272="","",IF(K272&lt;&gt;"",IFERROR(INDEX('Case Studies'!$C$5:$C$54,MATCH(K272,'Case Studies'!$B$5:$B$54,0))&amp;"","case-study"),IF(J272&lt;&gt;"",IFERROR(INDEX(Settings!$J$5:$J$55,MATCH(J272,Settings!$I$5:$I$55,0)),"general"),"general")))</f>
        <v/>
      </c>
      <c r="Y272" s="24" t="str">
        <f aca="false">IF(A272="","",LOWER(A272))</f>
        <v/>
      </c>
      <c r="Z272" s="24" t="str">
        <f aca="false">IF(A272="","",IF(T272="",Settings!$B$5,T272)&amp;IF(ISNUMBER(FIND("?",IF(T272="",Settings!$B$5,T272))),"&amp;","?")&amp;"utm_source="&amp;V272&amp;"&amp;utm_medium="&amp;W272&amp;"&amp;utm_campaign="&amp;X272&amp;"&amp;utm_content="&amp;Y272)</f>
        <v/>
      </c>
      <c r="AA272" s="29"/>
      <c r="AB272" s="39"/>
      <c r="AC272" s="32"/>
      <c r="AD272" s="32"/>
      <c r="AE272" s="32"/>
      <c r="AF272" s="32"/>
      <c r="AG272" s="32"/>
      <c r="AH272" s="32"/>
      <c r="AI272" s="32"/>
      <c r="AJ272" s="32"/>
      <c r="AK272" s="32"/>
      <c r="AL272" s="32"/>
      <c r="AM272" s="32"/>
      <c r="AN272" s="32"/>
      <c r="AO272" s="33" t="str">
        <f aca="false">IF(A272="","",IF(AD272&lt;&gt;"",AD272,IF(AC272&lt;&gt;"",AC272,"")))</f>
        <v/>
      </c>
      <c r="AP272" s="24" t="str">
        <f aca="false">IF(AO272="","",IF(AD272&lt;&gt;"","Reported reach","Impressions (proxy)"))</f>
        <v/>
      </c>
      <c r="AQ272" s="34" t="str">
        <f aca="false">IF(OR(AO272="",N(S272)=0),"",AO272/S272)</f>
        <v/>
      </c>
      <c r="AR272" s="33" t="str">
        <f aca="false">IF(A272="","",IF(COUNT(AF272:AJ272)=0,"",SUM(AF272:AJ272)))</f>
        <v/>
      </c>
      <c r="AS272" s="34" t="str">
        <f aca="false">IF(OR(AR272="",N(AO272)=0),"",AR272/AO272)</f>
        <v/>
      </c>
      <c r="AT272" s="34" t="str">
        <f aca="false">IF(OR(AR272="",N(AC272)=0),"",AR272/AC272)</f>
        <v/>
      </c>
      <c r="AU272" s="34" t="str">
        <f aca="false">IF(OR(AR272="",N(S272)=0),"",AR272/S272)</f>
        <v/>
      </c>
      <c r="AV272" s="34" t="str">
        <f aca="false">IF(OR(AJ272="",N(AC272)=0),"",AJ272/AC272)</f>
        <v/>
      </c>
      <c r="AW272" s="34" t="str">
        <f aca="false">IF(OR(AH272="",N(AO272)=0),"",AH272/AO272)</f>
        <v/>
      </c>
      <c r="AX272" s="35" t="str">
        <f aca="false">IF(OR(AR272="",N(AO272)=0),"",(N(AF272)*Settings!$B$6+N(AG272)*Settings!$B$7+N(AH272)*Settings!$B$8+N(AI272)*Settings!$B$9+N(AJ272)*Settings!$B$10)/AO272*1000)</f>
        <v/>
      </c>
      <c r="AY272" s="36" t="str">
        <f aca="false">IF(AS272="","",IFERROR(AS272/AVERAGEIFS('Post Tracker'!$AS$5:$AS$1004,'Post Tracker'!$G$5:$G$1004,G272),""))</f>
        <v/>
      </c>
      <c r="AZ272" s="32"/>
      <c r="BA272" s="32"/>
      <c r="BB272" s="32"/>
      <c r="BC272" s="32"/>
      <c r="BD272" s="33" t="str">
        <f aca="false">IF(A272="","",COUNTIFS('Demo Pipeline'!$Q$5:$Q$504,A272))</f>
        <v/>
      </c>
      <c r="BE272" s="33" t="str">
        <f aca="false">IF(A272="","",COUNTIFS('Demo Pipeline'!$Q$5:$Q$504,A272,'Demo Pipeline'!$W$5:$W$504,"Attended"))</f>
        <v/>
      </c>
      <c r="BF272" s="33" t="str">
        <f aca="false">IF(A272="","",COUNTIFS('Demo Pipeline'!$Q$5:$Q$504,A272,'Demo Pipeline'!$X$5:$X$504,"Yes"))</f>
        <v/>
      </c>
      <c r="BG272" s="33" t="str">
        <f aca="false">IF(A272="","",COUNTIFS('Demo Pipeline'!$Q$5:$Q$504,A272,'Demo Pipeline'!$Y$5:$Y$504,"Closed Won"))</f>
        <v/>
      </c>
      <c r="BH272" s="37" t="str">
        <f aca="false">IF(A272="","",SUMIFS('Demo Pipeline'!$Z$5:$Z$504,'Demo Pipeline'!$Q$5:$Q$504,A272))</f>
        <v/>
      </c>
      <c r="BI272" s="34" t="str">
        <f aca="false">IF(OR(AZ272="",N(AJ272)=0),"",AZ272/AJ272)</f>
        <v/>
      </c>
      <c r="BJ272" s="34" t="str">
        <f aca="false">IF(OR(BB272="",N(AZ272)=0),"",BB272/AZ272)</f>
        <v/>
      </c>
      <c r="BK272" s="34" t="str">
        <f aca="false">IF(OR(A272="",N(BB272)=0),"",BD272/BB272)</f>
        <v/>
      </c>
      <c r="BL272" s="34" t="str">
        <f aca="false">IF(OR(A272="",N(AZ272)=0),"",BD272/AZ272)</f>
        <v/>
      </c>
      <c r="BM272" s="37" t="str">
        <f aca="false">IF(OR(N(Q272)=0,N(BD272)=0),"",Q272/BD272)</f>
        <v/>
      </c>
      <c r="BN272" s="29"/>
      <c r="BO272" s="29"/>
      <c r="BP272" s="33" t="str">
        <f aca="false">IF(OR(AR272="",N(AO272)=0),"",AR272)</f>
        <v/>
      </c>
      <c r="BQ272" s="33" t="str">
        <f aca="false">IF(OR(AR272="",N(S272)=0),"",S272)</f>
        <v/>
      </c>
      <c r="BR272" s="38" t="str">
        <f aca="false">IF(AND(ISNUMBER(B272),B272&gt;=Dashboard!$C$4,B272&lt;=Dashboard!$F$4,ISNUMBER(AU272)),AU272+ROW()/10^9,"")</f>
        <v/>
      </c>
      <c r="BS272" s="38" t="str">
        <f aca="false">IF(AND(ISNUMBER(B272),B272&gt;=Dashboard!$C$4,B272&lt;=Dashboard!$F$4,A272&lt;&gt;""),N(BD272)+N(AU272)/100+ROW()/10^9,"")</f>
        <v/>
      </c>
    </row>
    <row r="273" customFormat="false" ht="15" hidden="false" customHeight="false" outlineLevel="0" collapsed="false">
      <c r="A273" s="24" t="str">
        <f aca="false">IF(OR(B273="",G273="",H273=""),"",IFERROR(INDEX(Settings!$E$5:$E$49,MATCH(G273,Settings!$D$5:$D$49,0))&amp;INDEX(Settings!$H$5:$H$47,MATCH(H273,Settings!$G$5:$G$47,0))&amp;"-"&amp;TEXT(B273,"yymmdd")&amp;"-"&amp;IF(C273="","0000",TEXT(C273,"hhmm")),"CHECK LISTS"))</f>
        <v/>
      </c>
      <c r="B273" s="39"/>
      <c r="C273" s="40"/>
      <c r="D273" s="24" t="str">
        <f aca="false">IF(B273="","",TEXT(B273,"ddd"))</f>
        <v/>
      </c>
      <c r="E273" s="27" t="str">
        <f aca="false">IF(B273="","",B273-WEEKDAY(B273,3))</f>
        <v/>
      </c>
      <c r="F273" s="24" t="str">
        <f aca="false">IF(B273="","",TEXT(B273,"yyyy-mm"))</f>
        <v/>
      </c>
      <c r="G273" s="29"/>
      <c r="H273" s="29"/>
      <c r="I273" s="29"/>
      <c r="J273" s="29"/>
      <c r="K273" s="29"/>
      <c r="L273" s="29"/>
      <c r="M273" s="29"/>
      <c r="N273" s="29"/>
      <c r="O273" s="29"/>
      <c r="P273" s="29"/>
      <c r="Q273" s="30"/>
      <c r="R273" s="29"/>
      <c r="S273" s="32"/>
      <c r="T273" s="29"/>
      <c r="U273" s="29"/>
      <c r="V273" s="24" t="str">
        <f aca="false">IF(A273="","",IFERROR(INDEX(Settings!$F$5:$F$49,MATCH(G273,Settings!$D$5:$D$49,0)),""))</f>
        <v/>
      </c>
      <c r="W273" s="24" t="str">
        <f aca="false">IF(A273="","",IF(OR(P273="",P273="Organic"),"social","paid_social"))</f>
        <v/>
      </c>
      <c r="X273" s="24" t="str">
        <f aca="false">IF(A273="","",IF(K273&lt;&gt;"",IFERROR(INDEX('Case Studies'!$C$5:$C$54,MATCH(K273,'Case Studies'!$B$5:$B$54,0))&amp;"","case-study"),IF(J273&lt;&gt;"",IFERROR(INDEX(Settings!$J$5:$J$55,MATCH(J273,Settings!$I$5:$I$55,0)),"general"),"general")))</f>
        <v/>
      </c>
      <c r="Y273" s="24" t="str">
        <f aca="false">IF(A273="","",LOWER(A273))</f>
        <v/>
      </c>
      <c r="Z273" s="24" t="str">
        <f aca="false">IF(A273="","",IF(T273="",Settings!$B$5,T273)&amp;IF(ISNUMBER(FIND("?",IF(T273="",Settings!$B$5,T273))),"&amp;","?")&amp;"utm_source="&amp;V273&amp;"&amp;utm_medium="&amp;W273&amp;"&amp;utm_campaign="&amp;X273&amp;"&amp;utm_content="&amp;Y273)</f>
        <v/>
      </c>
      <c r="AA273" s="29"/>
      <c r="AB273" s="39"/>
      <c r="AC273" s="32"/>
      <c r="AD273" s="32"/>
      <c r="AE273" s="32"/>
      <c r="AF273" s="32"/>
      <c r="AG273" s="32"/>
      <c r="AH273" s="32"/>
      <c r="AI273" s="32"/>
      <c r="AJ273" s="32"/>
      <c r="AK273" s="32"/>
      <c r="AL273" s="32"/>
      <c r="AM273" s="32"/>
      <c r="AN273" s="32"/>
      <c r="AO273" s="33" t="str">
        <f aca="false">IF(A273="","",IF(AD273&lt;&gt;"",AD273,IF(AC273&lt;&gt;"",AC273,"")))</f>
        <v/>
      </c>
      <c r="AP273" s="24" t="str">
        <f aca="false">IF(AO273="","",IF(AD273&lt;&gt;"","Reported reach","Impressions (proxy)"))</f>
        <v/>
      </c>
      <c r="AQ273" s="34" t="str">
        <f aca="false">IF(OR(AO273="",N(S273)=0),"",AO273/S273)</f>
        <v/>
      </c>
      <c r="AR273" s="33" t="str">
        <f aca="false">IF(A273="","",IF(COUNT(AF273:AJ273)=0,"",SUM(AF273:AJ273)))</f>
        <v/>
      </c>
      <c r="AS273" s="34" t="str">
        <f aca="false">IF(OR(AR273="",N(AO273)=0),"",AR273/AO273)</f>
        <v/>
      </c>
      <c r="AT273" s="34" t="str">
        <f aca="false">IF(OR(AR273="",N(AC273)=0),"",AR273/AC273)</f>
        <v/>
      </c>
      <c r="AU273" s="34" t="str">
        <f aca="false">IF(OR(AR273="",N(S273)=0),"",AR273/S273)</f>
        <v/>
      </c>
      <c r="AV273" s="34" t="str">
        <f aca="false">IF(OR(AJ273="",N(AC273)=0),"",AJ273/AC273)</f>
        <v/>
      </c>
      <c r="AW273" s="34" t="str">
        <f aca="false">IF(OR(AH273="",N(AO273)=0),"",AH273/AO273)</f>
        <v/>
      </c>
      <c r="AX273" s="35" t="str">
        <f aca="false">IF(OR(AR273="",N(AO273)=0),"",(N(AF273)*Settings!$B$6+N(AG273)*Settings!$B$7+N(AH273)*Settings!$B$8+N(AI273)*Settings!$B$9+N(AJ273)*Settings!$B$10)/AO273*1000)</f>
        <v/>
      </c>
      <c r="AY273" s="36" t="str">
        <f aca="false">IF(AS273="","",IFERROR(AS273/AVERAGEIFS('Post Tracker'!$AS$5:$AS$1004,'Post Tracker'!$G$5:$G$1004,G273),""))</f>
        <v/>
      </c>
      <c r="AZ273" s="32"/>
      <c r="BA273" s="32"/>
      <c r="BB273" s="32"/>
      <c r="BC273" s="32"/>
      <c r="BD273" s="33" t="str">
        <f aca="false">IF(A273="","",COUNTIFS('Demo Pipeline'!$Q$5:$Q$504,A273))</f>
        <v/>
      </c>
      <c r="BE273" s="33" t="str">
        <f aca="false">IF(A273="","",COUNTIFS('Demo Pipeline'!$Q$5:$Q$504,A273,'Demo Pipeline'!$W$5:$W$504,"Attended"))</f>
        <v/>
      </c>
      <c r="BF273" s="33" t="str">
        <f aca="false">IF(A273="","",COUNTIFS('Demo Pipeline'!$Q$5:$Q$504,A273,'Demo Pipeline'!$X$5:$X$504,"Yes"))</f>
        <v/>
      </c>
      <c r="BG273" s="33" t="str">
        <f aca="false">IF(A273="","",COUNTIFS('Demo Pipeline'!$Q$5:$Q$504,A273,'Demo Pipeline'!$Y$5:$Y$504,"Closed Won"))</f>
        <v/>
      </c>
      <c r="BH273" s="37" t="str">
        <f aca="false">IF(A273="","",SUMIFS('Demo Pipeline'!$Z$5:$Z$504,'Demo Pipeline'!$Q$5:$Q$504,A273))</f>
        <v/>
      </c>
      <c r="BI273" s="34" t="str">
        <f aca="false">IF(OR(AZ273="",N(AJ273)=0),"",AZ273/AJ273)</f>
        <v/>
      </c>
      <c r="BJ273" s="34" t="str">
        <f aca="false">IF(OR(BB273="",N(AZ273)=0),"",BB273/AZ273)</f>
        <v/>
      </c>
      <c r="BK273" s="34" t="str">
        <f aca="false">IF(OR(A273="",N(BB273)=0),"",BD273/BB273)</f>
        <v/>
      </c>
      <c r="BL273" s="34" t="str">
        <f aca="false">IF(OR(A273="",N(AZ273)=0),"",BD273/AZ273)</f>
        <v/>
      </c>
      <c r="BM273" s="37" t="str">
        <f aca="false">IF(OR(N(Q273)=0,N(BD273)=0),"",Q273/BD273)</f>
        <v/>
      </c>
      <c r="BN273" s="29"/>
      <c r="BO273" s="29"/>
      <c r="BP273" s="33" t="str">
        <f aca="false">IF(OR(AR273="",N(AO273)=0),"",AR273)</f>
        <v/>
      </c>
      <c r="BQ273" s="33" t="str">
        <f aca="false">IF(OR(AR273="",N(S273)=0),"",S273)</f>
        <v/>
      </c>
      <c r="BR273" s="38" t="str">
        <f aca="false">IF(AND(ISNUMBER(B273),B273&gt;=Dashboard!$C$4,B273&lt;=Dashboard!$F$4,ISNUMBER(AU273)),AU273+ROW()/10^9,"")</f>
        <v/>
      </c>
      <c r="BS273" s="38" t="str">
        <f aca="false">IF(AND(ISNUMBER(B273),B273&gt;=Dashboard!$C$4,B273&lt;=Dashboard!$F$4,A273&lt;&gt;""),N(BD273)+N(AU273)/100+ROW()/10^9,"")</f>
        <v/>
      </c>
    </row>
    <row r="274" customFormat="false" ht="15" hidden="false" customHeight="false" outlineLevel="0" collapsed="false">
      <c r="A274" s="24" t="str">
        <f aca="false">IF(OR(B274="",G274="",H274=""),"",IFERROR(INDEX(Settings!$E$5:$E$49,MATCH(G274,Settings!$D$5:$D$49,0))&amp;INDEX(Settings!$H$5:$H$47,MATCH(H274,Settings!$G$5:$G$47,0))&amp;"-"&amp;TEXT(B274,"yymmdd")&amp;"-"&amp;IF(C274="","0000",TEXT(C274,"hhmm")),"CHECK LISTS"))</f>
        <v/>
      </c>
      <c r="B274" s="39"/>
      <c r="C274" s="40"/>
      <c r="D274" s="24" t="str">
        <f aca="false">IF(B274="","",TEXT(B274,"ddd"))</f>
        <v/>
      </c>
      <c r="E274" s="27" t="str">
        <f aca="false">IF(B274="","",B274-WEEKDAY(B274,3))</f>
        <v/>
      </c>
      <c r="F274" s="24" t="str">
        <f aca="false">IF(B274="","",TEXT(B274,"yyyy-mm"))</f>
        <v/>
      </c>
      <c r="G274" s="29"/>
      <c r="H274" s="29"/>
      <c r="I274" s="29"/>
      <c r="J274" s="29"/>
      <c r="K274" s="29"/>
      <c r="L274" s="29"/>
      <c r="M274" s="29"/>
      <c r="N274" s="29"/>
      <c r="O274" s="29"/>
      <c r="P274" s="29"/>
      <c r="Q274" s="30"/>
      <c r="R274" s="29"/>
      <c r="S274" s="32"/>
      <c r="T274" s="29"/>
      <c r="U274" s="29"/>
      <c r="V274" s="24" t="str">
        <f aca="false">IF(A274="","",IFERROR(INDEX(Settings!$F$5:$F$49,MATCH(G274,Settings!$D$5:$D$49,0)),""))</f>
        <v/>
      </c>
      <c r="W274" s="24" t="str">
        <f aca="false">IF(A274="","",IF(OR(P274="",P274="Organic"),"social","paid_social"))</f>
        <v/>
      </c>
      <c r="X274" s="24" t="str">
        <f aca="false">IF(A274="","",IF(K274&lt;&gt;"",IFERROR(INDEX('Case Studies'!$C$5:$C$54,MATCH(K274,'Case Studies'!$B$5:$B$54,0))&amp;"","case-study"),IF(J274&lt;&gt;"",IFERROR(INDEX(Settings!$J$5:$J$55,MATCH(J274,Settings!$I$5:$I$55,0)),"general"),"general")))</f>
        <v/>
      </c>
      <c r="Y274" s="24" t="str">
        <f aca="false">IF(A274="","",LOWER(A274))</f>
        <v/>
      </c>
      <c r="Z274" s="24" t="str">
        <f aca="false">IF(A274="","",IF(T274="",Settings!$B$5,T274)&amp;IF(ISNUMBER(FIND("?",IF(T274="",Settings!$B$5,T274))),"&amp;","?")&amp;"utm_source="&amp;V274&amp;"&amp;utm_medium="&amp;W274&amp;"&amp;utm_campaign="&amp;X274&amp;"&amp;utm_content="&amp;Y274)</f>
        <v/>
      </c>
      <c r="AA274" s="29"/>
      <c r="AB274" s="39"/>
      <c r="AC274" s="32"/>
      <c r="AD274" s="32"/>
      <c r="AE274" s="32"/>
      <c r="AF274" s="32"/>
      <c r="AG274" s="32"/>
      <c r="AH274" s="32"/>
      <c r="AI274" s="32"/>
      <c r="AJ274" s="32"/>
      <c r="AK274" s="32"/>
      <c r="AL274" s="32"/>
      <c r="AM274" s="32"/>
      <c r="AN274" s="32"/>
      <c r="AO274" s="33" t="str">
        <f aca="false">IF(A274="","",IF(AD274&lt;&gt;"",AD274,IF(AC274&lt;&gt;"",AC274,"")))</f>
        <v/>
      </c>
      <c r="AP274" s="24" t="str">
        <f aca="false">IF(AO274="","",IF(AD274&lt;&gt;"","Reported reach","Impressions (proxy)"))</f>
        <v/>
      </c>
      <c r="AQ274" s="34" t="str">
        <f aca="false">IF(OR(AO274="",N(S274)=0),"",AO274/S274)</f>
        <v/>
      </c>
      <c r="AR274" s="33" t="str">
        <f aca="false">IF(A274="","",IF(COUNT(AF274:AJ274)=0,"",SUM(AF274:AJ274)))</f>
        <v/>
      </c>
      <c r="AS274" s="34" t="str">
        <f aca="false">IF(OR(AR274="",N(AO274)=0),"",AR274/AO274)</f>
        <v/>
      </c>
      <c r="AT274" s="34" t="str">
        <f aca="false">IF(OR(AR274="",N(AC274)=0),"",AR274/AC274)</f>
        <v/>
      </c>
      <c r="AU274" s="34" t="str">
        <f aca="false">IF(OR(AR274="",N(S274)=0),"",AR274/S274)</f>
        <v/>
      </c>
      <c r="AV274" s="34" t="str">
        <f aca="false">IF(OR(AJ274="",N(AC274)=0),"",AJ274/AC274)</f>
        <v/>
      </c>
      <c r="AW274" s="34" t="str">
        <f aca="false">IF(OR(AH274="",N(AO274)=0),"",AH274/AO274)</f>
        <v/>
      </c>
      <c r="AX274" s="35" t="str">
        <f aca="false">IF(OR(AR274="",N(AO274)=0),"",(N(AF274)*Settings!$B$6+N(AG274)*Settings!$B$7+N(AH274)*Settings!$B$8+N(AI274)*Settings!$B$9+N(AJ274)*Settings!$B$10)/AO274*1000)</f>
        <v/>
      </c>
      <c r="AY274" s="36" t="str">
        <f aca="false">IF(AS274="","",IFERROR(AS274/AVERAGEIFS('Post Tracker'!$AS$5:$AS$1004,'Post Tracker'!$G$5:$G$1004,G274),""))</f>
        <v/>
      </c>
      <c r="AZ274" s="32"/>
      <c r="BA274" s="32"/>
      <c r="BB274" s="32"/>
      <c r="BC274" s="32"/>
      <c r="BD274" s="33" t="str">
        <f aca="false">IF(A274="","",COUNTIFS('Demo Pipeline'!$Q$5:$Q$504,A274))</f>
        <v/>
      </c>
      <c r="BE274" s="33" t="str">
        <f aca="false">IF(A274="","",COUNTIFS('Demo Pipeline'!$Q$5:$Q$504,A274,'Demo Pipeline'!$W$5:$W$504,"Attended"))</f>
        <v/>
      </c>
      <c r="BF274" s="33" t="str">
        <f aca="false">IF(A274="","",COUNTIFS('Demo Pipeline'!$Q$5:$Q$504,A274,'Demo Pipeline'!$X$5:$X$504,"Yes"))</f>
        <v/>
      </c>
      <c r="BG274" s="33" t="str">
        <f aca="false">IF(A274="","",COUNTIFS('Demo Pipeline'!$Q$5:$Q$504,A274,'Demo Pipeline'!$Y$5:$Y$504,"Closed Won"))</f>
        <v/>
      </c>
      <c r="BH274" s="37" t="str">
        <f aca="false">IF(A274="","",SUMIFS('Demo Pipeline'!$Z$5:$Z$504,'Demo Pipeline'!$Q$5:$Q$504,A274))</f>
        <v/>
      </c>
      <c r="BI274" s="34" t="str">
        <f aca="false">IF(OR(AZ274="",N(AJ274)=0),"",AZ274/AJ274)</f>
        <v/>
      </c>
      <c r="BJ274" s="34" t="str">
        <f aca="false">IF(OR(BB274="",N(AZ274)=0),"",BB274/AZ274)</f>
        <v/>
      </c>
      <c r="BK274" s="34" t="str">
        <f aca="false">IF(OR(A274="",N(BB274)=0),"",BD274/BB274)</f>
        <v/>
      </c>
      <c r="BL274" s="34" t="str">
        <f aca="false">IF(OR(A274="",N(AZ274)=0),"",BD274/AZ274)</f>
        <v/>
      </c>
      <c r="BM274" s="37" t="str">
        <f aca="false">IF(OR(N(Q274)=0,N(BD274)=0),"",Q274/BD274)</f>
        <v/>
      </c>
      <c r="BN274" s="29"/>
      <c r="BO274" s="29"/>
      <c r="BP274" s="33" t="str">
        <f aca="false">IF(OR(AR274="",N(AO274)=0),"",AR274)</f>
        <v/>
      </c>
      <c r="BQ274" s="33" t="str">
        <f aca="false">IF(OR(AR274="",N(S274)=0),"",S274)</f>
        <v/>
      </c>
      <c r="BR274" s="38" t="str">
        <f aca="false">IF(AND(ISNUMBER(B274),B274&gt;=Dashboard!$C$4,B274&lt;=Dashboard!$F$4,ISNUMBER(AU274)),AU274+ROW()/10^9,"")</f>
        <v/>
      </c>
      <c r="BS274" s="38" t="str">
        <f aca="false">IF(AND(ISNUMBER(B274),B274&gt;=Dashboard!$C$4,B274&lt;=Dashboard!$F$4,A274&lt;&gt;""),N(BD274)+N(AU274)/100+ROW()/10^9,"")</f>
        <v/>
      </c>
    </row>
    <row r="275" customFormat="false" ht="15" hidden="false" customHeight="false" outlineLevel="0" collapsed="false">
      <c r="A275" s="24" t="str">
        <f aca="false">IF(OR(B275="",G275="",H275=""),"",IFERROR(INDEX(Settings!$E$5:$E$49,MATCH(G275,Settings!$D$5:$D$49,0))&amp;INDEX(Settings!$H$5:$H$47,MATCH(H275,Settings!$G$5:$G$47,0))&amp;"-"&amp;TEXT(B275,"yymmdd")&amp;"-"&amp;IF(C275="","0000",TEXT(C275,"hhmm")),"CHECK LISTS"))</f>
        <v/>
      </c>
      <c r="B275" s="39"/>
      <c r="C275" s="40"/>
      <c r="D275" s="24" t="str">
        <f aca="false">IF(B275="","",TEXT(B275,"ddd"))</f>
        <v/>
      </c>
      <c r="E275" s="27" t="str">
        <f aca="false">IF(B275="","",B275-WEEKDAY(B275,3))</f>
        <v/>
      </c>
      <c r="F275" s="24" t="str">
        <f aca="false">IF(B275="","",TEXT(B275,"yyyy-mm"))</f>
        <v/>
      </c>
      <c r="G275" s="29"/>
      <c r="H275" s="29"/>
      <c r="I275" s="29"/>
      <c r="J275" s="29"/>
      <c r="K275" s="29"/>
      <c r="L275" s="29"/>
      <c r="M275" s="29"/>
      <c r="N275" s="29"/>
      <c r="O275" s="29"/>
      <c r="P275" s="29"/>
      <c r="Q275" s="30"/>
      <c r="R275" s="29"/>
      <c r="S275" s="32"/>
      <c r="T275" s="29"/>
      <c r="U275" s="29"/>
      <c r="V275" s="24" t="str">
        <f aca="false">IF(A275="","",IFERROR(INDEX(Settings!$F$5:$F$49,MATCH(G275,Settings!$D$5:$D$49,0)),""))</f>
        <v/>
      </c>
      <c r="W275" s="24" t="str">
        <f aca="false">IF(A275="","",IF(OR(P275="",P275="Organic"),"social","paid_social"))</f>
        <v/>
      </c>
      <c r="X275" s="24" t="str">
        <f aca="false">IF(A275="","",IF(K275&lt;&gt;"",IFERROR(INDEX('Case Studies'!$C$5:$C$54,MATCH(K275,'Case Studies'!$B$5:$B$54,0))&amp;"","case-study"),IF(J275&lt;&gt;"",IFERROR(INDEX(Settings!$J$5:$J$55,MATCH(J275,Settings!$I$5:$I$55,0)),"general"),"general")))</f>
        <v/>
      </c>
      <c r="Y275" s="24" t="str">
        <f aca="false">IF(A275="","",LOWER(A275))</f>
        <v/>
      </c>
      <c r="Z275" s="24" t="str">
        <f aca="false">IF(A275="","",IF(T275="",Settings!$B$5,T275)&amp;IF(ISNUMBER(FIND("?",IF(T275="",Settings!$B$5,T275))),"&amp;","?")&amp;"utm_source="&amp;V275&amp;"&amp;utm_medium="&amp;W275&amp;"&amp;utm_campaign="&amp;X275&amp;"&amp;utm_content="&amp;Y275)</f>
        <v/>
      </c>
      <c r="AA275" s="29"/>
      <c r="AB275" s="39"/>
      <c r="AC275" s="32"/>
      <c r="AD275" s="32"/>
      <c r="AE275" s="32"/>
      <c r="AF275" s="32"/>
      <c r="AG275" s="32"/>
      <c r="AH275" s="32"/>
      <c r="AI275" s="32"/>
      <c r="AJ275" s="32"/>
      <c r="AK275" s="32"/>
      <c r="AL275" s="32"/>
      <c r="AM275" s="32"/>
      <c r="AN275" s="32"/>
      <c r="AO275" s="33" t="str">
        <f aca="false">IF(A275="","",IF(AD275&lt;&gt;"",AD275,IF(AC275&lt;&gt;"",AC275,"")))</f>
        <v/>
      </c>
      <c r="AP275" s="24" t="str">
        <f aca="false">IF(AO275="","",IF(AD275&lt;&gt;"","Reported reach","Impressions (proxy)"))</f>
        <v/>
      </c>
      <c r="AQ275" s="34" t="str">
        <f aca="false">IF(OR(AO275="",N(S275)=0),"",AO275/S275)</f>
        <v/>
      </c>
      <c r="AR275" s="33" t="str">
        <f aca="false">IF(A275="","",IF(COUNT(AF275:AJ275)=0,"",SUM(AF275:AJ275)))</f>
        <v/>
      </c>
      <c r="AS275" s="34" t="str">
        <f aca="false">IF(OR(AR275="",N(AO275)=0),"",AR275/AO275)</f>
        <v/>
      </c>
      <c r="AT275" s="34" t="str">
        <f aca="false">IF(OR(AR275="",N(AC275)=0),"",AR275/AC275)</f>
        <v/>
      </c>
      <c r="AU275" s="34" t="str">
        <f aca="false">IF(OR(AR275="",N(S275)=0),"",AR275/S275)</f>
        <v/>
      </c>
      <c r="AV275" s="34" t="str">
        <f aca="false">IF(OR(AJ275="",N(AC275)=0),"",AJ275/AC275)</f>
        <v/>
      </c>
      <c r="AW275" s="34" t="str">
        <f aca="false">IF(OR(AH275="",N(AO275)=0),"",AH275/AO275)</f>
        <v/>
      </c>
      <c r="AX275" s="35" t="str">
        <f aca="false">IF(OR(AR275="",N(AO275)=0),"",(N(AF275)*Settings!$B$6+N(AG275)*Settings!$B$7+N(AH275)*Settings!$B$8+N(AI275)*Settings!$B$9+N(AJ275)*Settings!$B$10)/AO275*1000)</f>
        <v/>
      </c>
      <c r="AY275" s="36" t="str">
        <f aca="false">IF(AS275="","",IFERROR(AS275/AVERAGEIFS('Post Tracker'!$AS$5:$AS$1004,'Post Tracker'!$G$5:$G$1004,G275),""))</f>
        <v/>
      </c>
      <c r="AZ275" s="32"/>
      <c r="BA275" s="32"/>
      <c r="BB275" s="32"/>
      <c r="BC275" s="32"/>
      <c r="BD275" s="33" t="str">
        <f aca="false">IF(A275="","",COUNTIFS('Demo Pipeline'!$Q$5:$Q$504,A275))</f>
        <v/>
      </c>
      <c r="BE275" s="33" t="str">
        <f aca="false">IF(A275="","",COUNTIFS('Demo Pipeline'!$Q$5:$Q$504,A275,'Demo Pipeline'!$W$5:$W$504,"Attended"))</f>
        <v/>
      </c>
      <c r="BF275" s="33" t="str">
        <f aca="false">IF(A275="","",COUNTIFS('Demo Pipeline'!$Q$5:$Q$504,A275,'Demo Pipeline'!$X$5:$X$504,"Yes"))</f>
        <v/>
      </c>
      <c r="BG275" s="33" t="str">
        <f aca="false">IF(A275="","",COUNTIFS('Demo Pipeline'!$Q$5:$Q$504,A275,'Demo Pipeline'!$Y$5:$Y$504,"Closed Won"))</f>
        <v/>
      </c>
      <c r="BH275" s="37" t="str">
        <f aca="false">IF(A275="","",SUMIFS('Demo Pipeline'!$Z$5:$Z$504,'Demo Pipeline'!$Q$5:$Q$504,A275))</f>
        <v/>
      </c>
      <c r="BI275" s="34" t="str">
        <f aca="false">IF(OR(AZ275="",N(AJ275)=0),"",AZ275/AJ275)</f>
        <v/>
      </c>
      <c r="BJ275" s="34" t="str">
        <f aca="false">IF(OR(BB275="",N(AZ275)=0),"",BB275/AZ275)</f>
        <v/>
      </c>
      <c r="BK275" s="34" t="str">
        <f aca="false">IF(OR(A275="",N(BB275)=0),"",BD275/BB275)</f>
        <v/>
      </c>
      <c r="BL275" s="34" t="str">
        <f aca="false">IF(OR(A275="",N(AZ275)=0),"",BD275/AZ275)</f>
        <v/>
      </c>
      <c r="BM275" s="37" t="str">
        <f aca="false">IF(OR(N(Q275)=0,N(BD275)=0),"",Q275/BD275)</f>
        <v/>
      </c>
      <c r="BN275" s="29"/>
      <c r="BO275" s="29"/>
      <c r="BP275" s="33" t="str">
        <f aca="false">IF(OR(AR275="",N(AO275)=0),"",AR275)</f>
        <v/>
      </c>
      <c r="BQ275" s="33" t="str">
        <f aca="false">IF(OR(AR275="",N(S275)=0),"",S275)</f>
        <v/>
      </c>
      <c r="BR275" s="38" t="str">
        <f aca="false">IF(AND(ISNUMBER(B275),B275&gt;=Dashboard!$C$4,B275&lt;=Dashboard!$F$4,ISNUMBER(AU275)),AU275+ROW()/10^9,"")</f>
        <v/>
      </c>
      <c r="BS275" s="38" t="str">
        <f aca="false">IF(AND(ISNUMBER(B275),B275&gt;=Dashboard!$C$4,B275&lt;=Dashboard!$F$4,A275&lt;&gt;""),N(BD275)+N(AU275)/100+ROW()/10^9,"")</f>
        <v/>
      </c>
    </row>
    <row r="276" customFormat="false" ht="15" hidden="false" customHeight="false" outlineLevel="0" collapsed="false">
      <c r="A276" s="24" t="str">
        <f aca="false">IF(OR(B276="",G276="",H276=""),"",IFERROR(INDEX(Settings!$E$5:$E$49,MATCH(G276,Settings!$D$5:$D$49,0))&amp;INDEX(Settings!$H$5:$H$47,MATCH(H276,Settings!$G$5:$G$47,0))&amp;"-"&amp;TEXT(B276,"yymmdd")&amp;"-"&amp;IF(C276="","0000",TEXT(C276,"hhmm")),"CHECK LISTS"))</f>
        <v/>
      </c>
      <c r="B276" s="39"/>
      <c r="C276" s="40"/>
      <c r="D276" s="24" t="str">
        <f aca="false">IF(B276="","",TEXT(B276,"ddd"))</f>
        <v/>
      </c>
      <c r="E276" s="27" t="str">
        <f aca="false">IF(B276="","",B276-WEEKDAY(B276,3))</f>
        <v/>
      </c>
      <c r="F276" s="24" t="str">
        <f aca="false">IF(B276="","",TEXT(B276,"yyyy-mm"))</f>
        <v/>
      </c>
      <c r="G276" s="29"/>
      <c r="H276" s="29"/>
      <c r="I276" s="29"/>
      <c r="J276" s="29"/>
      <c r="K276" s="29"/>
      <c r="L276" s="29"/>
      <c r="M276" s="29"/>
      <c r="N276" s="29"/>
      <c r="O276" s="29"/>
      <c r="P276" s="29"/>
      <c r="Q276" s="30"/>
      <c r="R276" s="29"/>
      <c r="S276" s="32"/>
      <c r="T276" s="29"/>
      <c r="U276" s="29"/>
      <c r="V276" s="24" t="str">
        <f aca="false">IF(A276="","",IFERROR(INDEX(Settings!$F$5:$F$49,MATCH(G276,Settings!$D$5:$D$49,0)),""))</f>
        <v/>
      </c>
      <c r="W276" s="24" t="str">
        <f aca="false">IF(A276="","",IF(OR(P276="",P276="Organic"),"social","paid_social"))</f>
        <v/>
      </c>
      <c r="X276" s="24" t="str">
        <f aca="false">IF(A276="","",IF(K276&lt;&gt;"",IFERROR(INDEX('Case Studies'!$C$5:$C$54,MATCH(K276,'Case Studies'!$B$5:$B$54,0))&amp;"","case-study"),IF(J276&lt;&gt;"",IFERROR(INDEX(Settings!$J$5:$J$55,MATCH(J276,Settings!$I$5:$I$55,0)),"general"),"general")))</f>
        <v/>
      </c>
      <c r="Y276" s="24" t="str">
        <f aca="false">IF(A276="","",LOWER(A276))</f>
        <v/>
      </c>
      <c r="Z276" s="24" t="str">
        <f aca="false">IF(A276="","",IF(T276="",Settings!$B$5,T276)&amp;IF(ISNUMBER(FIND("?",IF(T276="",Settings!$B$5,T276))),"&amp;","?")&amp;"utm_source="&amp;V276&amp;"&amp;utm_medium="&amp;W276&amp;"&amp;utm_campaign="&amp;X276&amp;"&amp;utm_content="&amp;Y276)</f>
        <v/>
      </c>
      <c r="AA276" s="29"/>
      <c r="AB276" s="39"/>
      <c r="AC276" s="32"/>
      <c r="AD276" s="32"/>
      <c r="AE276" s="32"/>
      <c r="AF276" s="32"/>
      <c r="AG276" s="32"/>
      <c r="AH276" s="32"/>
      <c r="AI276" s="32"/>
      <c r="AJ276" s="32"/>
      <c r="AK276" s="32"/>
      <c r="AL276" s="32"/>
      <c r="AM276" s="32"/>
      <c r="AN276" s="32"/>
      <c r="AO276" s="33" t="str">
        <f aca="false">IF(A276="","",IF(AD276&lt;&gt;"",AD276,IF(AC276&lt;&gt;"",AC276,"")))</f>
        <v/>
      </c>
      <c r="AP276" s="24" t="str">
        <f aca="false">IF(AO276="","",IF(AD276&lt;&gt;"","Reported reach","Impressions (proxy)"))</f>
        <v/>
      </c>
      <c r="AQ276" s="34" t="str">
        <f aca="false">IF(OR(AO276="",N(S276)=0),"",AO276/S276)</f>
        <v/>
      </c>
      <c r="AR276" s="33" t="str">
        <f aca="false">IF(A276="","",IF(COUNT(AF276:AJ276)=0,"",SUM(AF276:AJ276)))</f>
        <v/>
      </c>
      <c r="AS276" s="34" t="str">
        <f aca="false">IF(OR(AR276="",N(AO276)=0),"",AR276/AO276)</f>
        <v/>
      </c>
      <c r="AT276" s="34" t="str">
        <f aca="false">IF(OR(AR276="",N(AC276)=0),"",AR276/AC276)</f>
        <v/>
      </c>
      <c r="AU276" s="34" t="str">
        <f aca="false">IF(OR(AR276="",N(S276)=0),"",AR276/S276)</f>
        <v/>
      </c>
      <c r="AV276" s="34" t="str">
        <f aca="false">IF(OR(AJ276="",N(AC276)=0),"",AJ276/AC276)</f>
        <v/>
      </c>
      <c r="AW276" s="34" t="str">
        <f aca="false">IF(OR(AH276="",N(AO276)=0),"",AH276/AO276)</f>
        <v/>
      </c>
      <c r="AX276" s="35" t="str">
        <f aca="false">IF(OR(AR276="",N(AO276)=0),"",(N(AF276)*Settings!$B$6+N(AG276)*Settings!$B$7+N(AH276)*Settings!$B$8+N(AI276)*Settings!$B$9+N(AJ276)*Settings!$B$10)/AO276*1000)</f>
        <v/>
      </c>
      <c r="AY276" s="36" t="str">
        <f aca="false">IF(AS276="","",IFERROR(AS276/AVERAGEIFS('Post Tracker'!$AS$5:$AS$1004,'Post Tracker'!$G$5:$G$1004,G276),""))</f>
        <v/>
      </c>
      <c r="AZ276" s="32"/>
      <c r="BA276" s="32"/>
      <c r="BB276" s="32"/>
      <c r="BC276" s="32"/>
      <c r="BD276" s="33" t="str">
        <f aca="false">IF(A276="","",COUNTIFS('Demo Pipeline'!$Q$5:$Q$504,A276))</f>
        <v/>
      </c>
      <c r="BE276" s="33" t="str">
        <f aca="false">IF(A276="","",COUNTIFS('Demo Pipeline'!$Q$5:$Q$504,A276,'Demo Pipeline'!$W$5:$W$504,"Attended"))</f>
        <v/>
      </c>
      <c r="BF276" s="33" t="str">
        <f aca="false">IF(A276="","",COUNTIFS('Demo Pipeline'!$Q$5:$Q$504,A276,'Demo Pipeline'!$X$5:$X$504,"Yes"))</f>
        <v/>
      </c>
      <c r="BG276" s="33" t="str">
        <f aca="false">IF(A276="","",COUNTIFS('Demo Pipeline'!$Q$5:$Q$504,A276,'Demo Pipeline'!$Y$5:$Y$504,"Closed Won"))</f>
        <v/>
      </c>
      <c r="BH276" s="37" t="str">
        <f aca="false">IF(A276="","",SUMIFS('Demo Pipeline'!$Z$5:$Z$504,'Demo Pipeline'!$Q$5:$Q$504,A276))</f>
        <v/>
      </c>
      <c r="BI276" s="34" t="str">
        <f aca="false">IF(OR(AZ276="",N(AJ276)=0),"",AZ276/AJ276)</f>
        <v/>
      </c>
      <c r="BJ276" s="34" t="str">
        <f aca="false">IF(OR(BB276="",N(AZ276)=0),"",BB276/AZ276)</f>
        <v/>
      </c>
      <c r="BK276" s="34" t="str">
        <f aca="false">IF(OR(A276="",N(BB276)=0),"",BD276/BB276)</f>
        <v/>
      </c>
      <c r="BL276" s="34" t="str">
        <f aca="false">IF(OR(A276="",N(AZ276)=0),"",BD276/AZ276)</f>
        <v/>
      </c>
      <c r="BM276" s="37" t="str">
        <f aca="false">IF(OR(N(Q276)=0,N(BD276)=0),"",Q276/BD276)</f>
        <v/>
      </c>
      <c r="BN276" s="29"/>
      <c r="BO276" s="29"/>
      <c r="BP276" s="33" t="str">
        <f aca="false">IF(OR(AR276="",N(AO276)=0),"",AR276)</f>
        <v/>
      </c>
      <c r="BQ276" s="33" t="str">
        <f aca="false">IF(OR(AR276="",N(S276)=0),"",S276)</f>
        <v/>
      </c>
      <c r="BR276" s="38" t="str">
        <f aca="false">IF(AND(ISNUMBER(B276),B276&gt;=Dashboard!$C$4,B276&lt;=Dashboard!$F$4,ISNUMBER(AU276)),AU276+ROW()/10^9,"")</f>
        <v/>
      </c>
      <c r="BS276" s="38" t="str">
        <f aca="false">IF(AND(ISNUMBER(B276),B276&gt;=Dashboard!$C$4,B276&lt;=Dashboard!$F$4,A276&lt;&gt;""),N(BD276)+N(AU276)/100+ROW()/10^9,"")</f>
        <v/>
      </c>
    </row>
    <row r="277" customFormat="false" ht="15" hidden="false" customHeight="false" outlineLevel="0" collapsed="false">
      <c r="A277" s="24" t="str">
        <f aca="false">IF(OR(B277="",G277="",H277=""),"",IFERROR(INDEX(Settings!$E$5:$E$49,MATCH(G277,Settings!$D$5:$D$49,0))&amp;INDEX(Settings!$H$5:$H$47,MATCH(H277,Settings!$G$5:$G$47,0))&amp;"-"&amp;TEXT(B277,"yymmdd")&amp;"-"&amp;IF(C277="","0000",TEXT(C277,"hhmm")),"CHECK LISTS"))</f>
        <v/>
      </c>
      <c r="B277" s="39"/>
      <c r="C277" s="40"/>
      <c r="D277" s="24" t="str">
        <f aca="false">IF(B277="","",TEXT(B277,"ddd"))</f>
        <v/>
      </c>
      <c r="E277" s="27" t="str">
        <f aca="false">IF(B277="","",B277-WEEKDAY(B277,3))</f>
        <v/>
      </c>
      <c r="F277" s="24" t="str">
        <f aca="false">IF(B277="","",TEXT(B277,"yyyy-mm"))</f>
        <v/>
      </c>
      <c r="G277" s="29"/>
      <c r="H277" s="29"/>
      <c r="I277" s="29"/>
      <c r="J277" s="29"/>
      <c r="K277" s="29"/>
      <c r="L277" s="29"/>
      <c r="M277" s="29"/>
      <c r="N277" s="29"/>
      <c r="O277" s="29"/>
      <c r="P277" s="29"/>
      <c r="Q277" s="30"/>
      <c r="R277" s="29"/>
      <c r="S277" s="32"/>
      <c r="T277" s="29"/>
      <c r="U277" s="29"/>
      <c r="V277" s="24" t="str">
        <f aca="false">IF(A277="","",IFERROR(INDEX(Settings!$F$5:$F$49,MATCH(G277,Settings!$D$5:$D$49,0)),""))</f>
        <v/>
      </c>
      <c r="W277" s="24" t="str">
        <f aca="false">IF(A277="","",IF(OR(P277="",P277="Organic"),"social","paid_social"))</f>
        <v/>
      </c>
      <c r="X277" s="24" t="str">
        <f aca="false">IF(A277="","",IF(K277&lt;&gt;"",IFERROR(INDEX('Case Studies'!$C$5:$C$54,MATCH(K277,'Case Studies'!$B$5:$B$54,0))&amp;"","case-study"),IF(J277&lt;&gt;"",IFERROR(INDEX(Settings!$J$5:$J$55,MATCH(J277,Settings!$I$5:$I$55,0)),"general"),"general")))</f>
        <v/>
      </c>
      <c r="Y277" s="24" t="str">
        <f aca="false">IF(A277="","",LOWER(A277))</f>
        <v/>
      </c>
      <c r="Z277" s="24" t="str">
        <f aca="false">IF(A277="","",IF(T277="",Settings!$B$5,T277)&amp;IF(ISNUMBER(FIND("?",IF(T277="",Settings!$B$5,T277))),"&amp;","?")&amp;"utm_source="&amp;V277&amp;"&amp;utm_medium="&amp;W277&amp;"&amp;utm_campaign="&amp;X277&amp;"&amp;utm_content="&amp;Y277)</f>
        <v/>
      </c>
      <c r="AA277" s="29"/>
      <c r="AB277" s="39"/>
      <c r="AC277" s="32"/>
      <c r="AD277" s="32"/>
      <c r="AE277" s="32"/>
      <c r="AF277" s="32"/>
      <c r="AG277" s="32"/>
      <c r="AH277" s="32"/>
      <c r="AI277" s="32"/>
      <c r="AJ277" s="32"/>
      <c r="AK277" s="32"/>
      <c r="AL277" s="32"/>
      <c r="AM277" s="32"/>
      <c r="AN277" s="32"/>
      <c r="AO277" s="33" t="str">
        <f aca="false">IF(A277="","",IF(AD277&lt;&gt;"",AD277,IF(AC277&lt;&gt;"",AC277,"")))</f>
        <v/>
      </c>
      <c r="AP277" s="24" t="str">
        <f aca="false">IF(AO277="","",IF(AD277&lt;&gt;"","Reported reach","Impressions (proxy)"))</f>
        <v/>
      </c>
      <c r="AQ277" s="34" t="str">
        <f aca="false">IF(OR(AO277="",N(S277)=0),"",AO277/S277)</f>
        <v/>
      </c>
      <c r="AR277" s="33" t="str">
        <f aca="false">IF(A277="","",IF(COUNT(AF277:AJ277)=0,"",SUM(AF277:AJ277)))</f>
        <v/>
      </c>
      <c r="AS277" s="34" t="str">
        <f aca="false">IF(OR(AR277="",N(AO277)=0),"",AR277/AO277)</f>
        <v/>
      </c>
      <c r="AT277" s="34" t="str">
        <f aca="false">IF(OR(AR277="",N(AC277)=0),"",AR277/AC277)</f>
        <v/>
      </c>
      <c r="AU277" s="34" t="str">
        <f aca="false">IF(OR(AR277="",N(S277)=0),"",AR277/S277)</f>
        <v/>
      </c>
      <c r="AV277" s="34" t="str">
        <f aca="false">IF(OR(AJ277="",N(AC277)=0),"",AJ277/AC277)</f>
        <v/>
      </c>
      <c r="AW277" s="34" t="str">
        <f aca="false">IF(OR(AH277="",N(AO277)=0),"",AH277/AO277)</f>
        <v/>
      </c>
      <c r="AX277" s="35" t="str">
        <f aca="false">IF(OR(AR277="",N(AO277)=0),"",(N(AF277)*Settings!$B$6+N(AG277)*Settings!$B$7+N(AH277)*Settings!$B$8+N(AI277)*Settings!$B$9+N(AJ277)*Settings!$B$10)/AO277*1000)</f>
        <v/>
      </c>
      <c r="AY277" s="36" t="str">
        <f aca="false">IF(AS277="","",IFERROR(AS277/AVERAGEIFS('Post Tracker'!$AS$5:$AS$1004,'Post Tracker'!$G$5:$G$1004,G277),""))</f>
        <v/>
      </c>
      <c r="AZ277" s="32"/>
      <c r="BA277" s="32"/>
      <c r="BB277" s="32"/>
      <c r="BC277" s="32"/>
      <c r="BD277" s="33" t="str">
        <f aca="false">IF(A277="","",COUNTIFS('Demo Pipeline'!$Q$5:$Q$504,A277))</f>
        <v/>
      </c>
      <c r="BE277" s="33" t="str">
        <f aca="false">IF(A277="","",COUNTIFS('Demo Pipeline'!$Q$5:$Q$504,A277,'Demo Pipeline'!$W$5:$W$504,"Attended"))</f>
        <v/>
      </c>
      <c r="BF277" s="33" t="str">
        <f aca="false">IF(A277="","",COUNTIFS('Demo Pipeline'!$Q$5:$Q$504,A277,'Demo Pipeline'!$X$5:$X$504,"Yes"))</f>
        <v/>
      </c>
      <c r="BG277" s="33" t="str">
        <f aca="false">IF(A277="","",COUNTIFS('Demo Pipeline'!$Q$5:$Q$504,A277,'Demo Pipeline'!$Y$5:$Y$504,"Closed Won"))</f>
        <v/>
      </c>
      <c r="BH277" s="37" t="str">
        <f aca="false">IF(A277="","",SUMIFS('Demo Pipeline'!$Z$5:$Z$504,'Demo Pipeline'!$Q$5:$Q$504,A277))</f>
        <v/>
      </c>
      <c r="BI277" s="34" t="str">
        <f aca="false">IF(OR(AZ277="",N(AJ277)=0),"",AZ277/AJ277)</f>
        <v/>
      </c>
      <c r="BJ277" s="34" t="str">
        <f aca="false">IF(OR(BB277="",N(AZ277)=0),"",BB277/AZ277)</f>
        <v/>
      </c>
      <c r="BK277" s="34" t="str">
        <f aca="false">IF(OR(A277="",N(BB277)=0),"",BD277/BB277)</f>
        <v/>
      </c>
      <c r="BL277" s="34" t="str">
        <f aca="false">IF(OR(A277="",N(AZ277)=0),"",BD277/AZ277)</f>
        <v/>
      </c>
      <c r="BM277" s="37" t="str">
        <f aca="false">IF(OR(N(Q277)=0,N(BD277)=0),"",Q277/BD277)</f>
        <v/>
      </c>
      <c r="BN277" s="29"/>
      <c r="BO277" s="29"/>
      <c r="BP277" s="33" t="str">
        <f aca="false">IF(OR(AR277="",N(AO277)=0),"",AR277)</f>
        <v/>
      </c>
      <c r="BQ277" s="33" t="str">
        <f aca="false">IF(OR(AR277="",N(S277)=0),"",S277)</f>
        <v/>
      </c>
      <c r="BR277" s="38" t="str">
        <f aca="false">IF(AND(ISNUMBER(B277),B277&gt;=Dashboard!$C$4,B277&lt;=Dashboard!$F$4,ISNUMBER(AU277)),AU277+ROW()/10^9,"")</f>
        <v/>
      </c>
      <c r="BS277" s="38" t="str">
        <f aca="false">IF(AND(ISNUMBER(B277),B277&gt;=Dashboard!$C$4,B277&lt;=Dashboard!$F$4,A277&lt;&gt;""),N(BD277)+N(AU277)/100+ROW()/10^9,"")</f>
        <v/>
      </c>
    </row>
    <row r="278" customFormat="false" ht="15" hidden="false" customHeight="false" outlineLevel="0" collapsed="false">
      <c r="A278" s="24" t="str">
        <f aca="false">IF(OR(B278="",G278="",H278=""),"",IFERROR(INDEX(Settings!$E$5:$E$49,MATCH(G278,Settings!$D$5:$D$49,0))&amp;INDEX(Settings!$H$5:$H$47,MATCH(H278,Settings!$G$5:$G$47,0))&amp;"-"&amp;TEXT(B278,"yymmdd")&amp;"-"&amp;IF(C278="","0000",TEXT(C278,"hhmm")),"CHECK LISTS"))</f>
        <v/>
      </c>
      <c r="B278" s="39"/>
      <c r="C278" s="40"/>
      <c r="D278" s="24" t="str">
        <f aca="false">IF(B278="","",TEXT(B278,"ddd"))</f>
        <v/>
      </c>
      <c r="E278" s="27" t="str">
        <f aca="false">IF(B278="","",B278-WEEKDAY(B278,3))</f>
        <v/>
      </c>
      <c r="F278" s="24" t="str">
        <f aca="false">IF(B278="","",TEXT(B278,"yyyy-mm"))</f>
        <v/>
      </c>
      <c r="G278" s="29"/>
      <c r="H278" s="29"/>
      <c r="I278" s="29"/>
      <c r="J278" s="29"/>
      <c r="K278" s="29"/>
      <c r="L278" s="29"/>
      <c r="M278" s="29"/>
      <c r="N278" s="29"/>
      <c r="O278" s="29"/>
      <c r="P278" s="29"/>
      <c r="Q278" s="30"/>
      <c r="R278" s="29"/>
      <c r="S278" s="32"/>
      <c r="T278" s="29"/>
      <c r="U278" s="29"/>
      <c r="V278" s="24" t="str">
        <f aca="false">IF(A278="","",IFERROR(INDEX(Settings!$F$5:$F$49,MATCH(G278,Settings!$D$5:$D$49,0)),""))</f>
        <v/>
      </c>
      <c r="W278" s="24" t="str">
        <f aca="false">IF(A278="","",IF(OR(P278="",P278="Organic"),"social","paid_social"))</f>
        <v/>
      </c>
      <c r="X278" s="24" t="str">
        <f aca="false">IF(A278="","",IF(K278&lt;&gt;"",IFERROR(INDEX('Case Studies'!$C$5:$C$54,MATCH(K278,'Case Studies'!$B$5:$B$54,0))&amp;"","case-study"),IF(J278&lt;&gt;"",IFERROR(INDEX(Settings!$J$5:$J$55,MATCH(J278,Settings!$I$5:$I$55,0)),"general"),"general")))</f>
        <v/>
      </c>
      <c r="Y278" s="24" t="str">
        <f aca="false">IF(A278="","",LOWER(A278))</f>
        <v/>
      </c>
      <c r="Z278" s="24" t="str">
        <f aca="false">IF(A278="","",IF(T278="",Settings!$B$5,T278)&amp;IF(ISNUMBER(FIND("?",IF(T278="",Settings!$B$5,T278))),"&amp;","?")&amp;"utm_source="&amp;V278&amp;"&amp;utm_medium="&amp;W278&amp;"&amp;utm_campaign="&amp;X278&amp;"&amp;utm_content="&amp;Y278)</f>
        <v/>
      </c>
      <c r="AA278" s="29"/>
      <c r="AB278" s="39"/>
      <c r="AC278" s="32"/>
      <c r="AD278" s="32"/>
      <c r="AE278" s="32"/>
      <c r="AF278" s="32"/>
      <c r="AG278" s="32"/>
      <c r="AH278" s="32"/>
      <c r="AI278" s="32"/>
      <c r="AJ278" s="32"/>
      <c r="AK278" s="32"/>
      <c r="AL278" s="32"/>
      <c r="AM278" s="32"/>
      <c r="AN278" s="32"/>
      <c r="AO278" s="33" t="str">
        <f aca="false">IF(A278="","",IF(AD278&lt;&gt;"",AD278,IF(AC278&lt;&gt;"",AC278,"")))</f>
        <v/>
      </c>
      <c r="AP278" s="24" t="str">
        <f aca="false">IF(AO278="","",IF(AD278&lt;&gt;"","Reported reach","Impressions (proxy)"))</f>
        <v/>
      </c>
      <c r="AQ278" s="34" t="str">
        <f aca="false">IF(OR(AO278="",N(S278)=0),"",AO278/S278)</f>
        <v/>
      </c>
      <c r="AR278" s="33" t="str">
        <f aca="false">IF(A278="","",IF(COUNT(AF278:AJ278)=0,"",SUM(AF278:AJ278)))</f>
        <v/>
      </c>
      <c r="AS278" s="34" t="str">
        <f aca="false">IF(OR(AR278="",N(AO278)=0),"",AR278/AO278)</f>
        <v/>
      </c>
      <c r="AT278" s="34" t="str">
        <f aca="false">IF(OR(AR278="",N(AC278)=0),"",AR278/AC278)</f>
        <v/>
      </c>
      <c r="AU278" s="34" t="str">
        <f aca="false">IF(OR(AR278="",N(S278)=0),"",AR278/S278)</f>
        <v/>
      </c>
      <c r="AV278" s="34" t="str">
        <f aca="false">IF(OR(AJ278="",N(AC278)=0),"",AJ278/AC278)</f>
        <v/>
      </c>
      <c r="AW278" s="34" t="str">
        <f aca="false">IF(OR(AH278="",N(AO278)=0),"",AH278/AO278)</f>
        <v/>
      </c>
      <c r="AX278" s="35" t="str">
        <f aca="false">IF(OR(AR278="",N(AO278)=0),"",(N(AF278)*Settings!$B$6+N(AG278)*Settings!$B$7+N(AH278)*Settings!$B$8+N(AI278)*Settings!$B$9+N(AJ278)*Settings!$B$10)/AO278*1000)</f>
        <v/>
      </c>
      <c r="AY278" s="36" t="str">
        <f aca="false">IF(AS278="","",IFERROR(AS278/AVERAGEIFS('Post Tracker'!$AS$5:$AS$1004,'Post Tracker'!$G$5:$G$1004,G278),""))</f>
        <v/>
      </c>
      <c r="AZ278" s="32"/>
      <c r="BA278" s="32"/>
      <c r="BB278" s="32"/>
      <c r="BC278" s="32"/>
      <c r="BD278" s="33" t="str">
        <f aca="false">IF(A278="","",COUNTIFS('Demo Pipeline'!$Q$5:$Q$504,A278))</f>
        <v/>
      </c>
      <c r="BE278" s="33" t="str">
        <f aca="false">IF(A278="","",COUNTIFS('Demo Pipeline'!$Q$5:$Q$504,A278,'Demo Pipeline'!$W$5:$W$504,"Attended"))</f>
        <v/>
      </c>
      <c r="BF278" s="33" t="str">
        <f aca="false">IF(A278="","",COUNTIFS('Demo Pipeline'!$Q$5:$Q$504,A278,'Demo Pipeline'!$X$5:$X$504,"Yes"))</f>
        <v/>
      </c>
      <c r="BG278" s="33" t="str">
        <f aca="false">IF(A278="","",COUNTIFS('Demo Pipeline'!$Q$5:$Q$504,A278,'Demo Pipeline'!$Y$5:$Y$504,"Closed Won"))</f>
        <v/>
      </c>
      <c r="BH278" s="37" t="str">
        <f aca="false">IF(A278="","",SUMIFS('Demo Pipeline'!$Z$5:$Z$504,'Demo Pipeline'!$Q$5:$Q$504,A278))</f>
        <v/>
      </c>
      <c r="BI278" s="34" t="str">
        <f aca="false">IF(OR(AZ278="",N(AJ278)=0),"",AZ278/AJ278)</f>
        <v/>
      </c>
      <c r="BJ278" s="34" t="str">
        <f aca="false">IF(OR(BB278="",N(AZ278)=0),"",BB278/AZ278)</f>
        <v/>
      </c>
      <c r="BK278" s="34" t="str">
        <f aca="false">IF(OR(A278="",N(BB278)=0),"",BD278/BB278)</f>
        <v/>
      </c>
      <c r="BL278" s="34" t="str">
        <f aca="false">IF(OR(A278="",N(AZ278)=0),"",BD278/AZ278)</f>
        <v/>
      </c>
      <c r="BM278" s="37" t="str">
        <f aca="false">IF(OR(N(Q278)=0,N(BD278)=0),"",Q278/BD278)</f>
        <v/>
      </c>
      <c r="BN278" s="29"/>
      <c r="BO278" s="29"/>
      <c r="BP278" s="33" t="str">
        <f aca="false">IF(OR(AR278="",N(AO278)=0),"",AR278)</f>
        <v/>
      </c>
      <c r="BQ278" s="33" t="str">
        <f aca="false">IF(OR(AR278="",N(S278)=0),"",S278)</f>
        <v/>
      </c>
      <c r="BR278" s="38" t="str">
        <f aca="false">IF(AND(ISNUMBER(B278),B278&gt;=Dashboard!$C$4,B278&lt;=Dashboard!$F$4,ISNUMBER(AU278)),AU278+ROW()/10^9,"")</f>
        <v/>
      </c>
      <c r="BS278" s="38" t="str">
        <f aca="false">IF(AND(ISNUMBER(B278),B278&gt;=Dashboard!$C$4,B278&lt;=Dashboard!$F$4,A278&lt;&gt;""),N(BD278)+N(AU278)/100+ROW()/10^9,"")</f>
        <v/>
      </c>
    </row>
    <row r="279" customFormat="false" ht="15" hidden="false" customHeight="false" outlineLevel="0" collapsed="false">
      <c r="A279" s="24" t="str">
        <f aca="false">IF(OR(B279="",G279="",H279=""),"",IFERROR(INDEX(Settings!$E$5:$E$49,MATCH(G279,Settings!$D$5:$D$49,0))&amp;INDEX(Settings!$H$5:$H$47,MATCH(H279,Settings!$G$5:$G$47,0))&amp;"-"&amp;TEXT(B279,"yymmdd")&amp;"-"&amp;IF(C279="","0000",TEXT(C279,"hhmm")),"CHECK LISTS"))</f>
        <v/>
      </c>
      <c r="B279" s="39"/>
      <c r="C279" s="40"/>
      <c r="D279" s="24" t="str">
        <f aca="false">IF(B279="","",TEXT(B279,"ddd"))</f>
        <v/>
      </c>
      <c r="E279" s="27" t="str">
        <f aca="false">IF(B279="","",B279-WEEKDAY(B279,3))</f>
        <v/>
      </c>
      <c r="F279" s="24" t="str">
        <f aca="false">IF(B279="","",TEXT(B279,"yyyy-mm"))</f>
        <v/>
      </c>
      <c r="G279" s="29"/>
      <c r="H279" s="29"/>
      <c r="I279" s="29"/>
      <c r="J279" s="29"/>
      <c r="K279" s="29"/>
      <c r="L279" s="29"/>
      <c r="M279" s="29"/>
      <c r="N279" s="29"/>
      <c r="O279" s="29"/>
      <c r="P279" s="29"/>
      <c r="Q279" s="30"/>
      <c r="R279" s="29"/>
      <c r="S279" s="32"/>
      <c r="T279" s="29"/>
      <c r="U279" s="29"/>
      <c r="V279" s="24" t="str">
        <f aca="false">IF(A279="","",IFERROR(INDEX(Settings!$F$5:$F$49,MATCH(G279,Settings!$D$5:$D$49,0)),""))</f>
        <v/>
      </c>
      <c r="W279" s="24" t="str">
        <f aca="false">IF(A279="","",IF(OR(P279="",P279="Organic"),"social","paid_social"))</f>
        <v/>
      </c>
      <c r="X279" s="24" t="str">
        <f aca="false">IF(A279="","",IF(K279&lt;&gt;"",IFERROR(INDEX('Case Studies'!$C$5:$C$54,MATCH(K279,'Case Studies'!$B$5:$B$54,0))&amp;"","case-study"),IF(J279&lt;&gt;"",IFERROR(INDEX(Settings!$J$5:$J$55,MATCH(J279,Settings!$I$5:$I$55,0)),"general"),"general")))</f>
        <v/>
      </c>
      <c r="Y279" s="24" t="str">
        <f aca="false">IF(A279="","",LOWER(A279))</f>
        <v/>
      </c>
      <c r="Z279" s="24" t="str">
        <f aca="false">IF(A279="","",IF(T279="",Settings!$B$5,T279)&amp;IF(ISNUMBER(FIND("?",IF(T279="",Settings!$B$5,T279))),"&amp;","?")&amp;"utm_source="&amp;V279&amp;"&amp;utm_medium="&amp;W279&amp;"&amp;utm_campaign="&amp;X279&amp;"&amp;utm_content="&amp;Y279)</f>
        <v/>
      </c>
      <c r="AA279" s="29"/>
      <c r="AB279" s="39"/>
      <c r="AC279" s="32"/>
      <c r="AD279" s="32"/>
      <c r="AE279" s="32"/>
      <c r="AF279" s="32"/>
      <c r="AG279" s="32"/>
      <c r="AH279" s="32"/>
      <c r="AI279" s="32"/>
      <c r="AJ279" s="32"/>
      <c r="AK279" s="32"/>
      <c r="AL279" s="32"/>
      <c r="AM279" s="32"/>
      <c r="AN279" s="32"/>
      <c r="AO279" s="33" t="str">
        <f aca="false">IF(A279="","",IF(AD279&lt;&gt;"",AD279,IF(AC279&lt;&gt;"",AC279,"")))</f>
        <v/>
      </c>
      <c r="AP279" s="24" t="str">
        <f aca="false">IF(AO279="","",IF(AD279&lt;&gt;"","Reported reach","Impressions (proxy)"))</f>
        <v/>
      </c>
      <c r="AQ279" s="34" t="str">
        <f aca="false">IF(OR(AO279="",N(S279)=0),"",AO279/S279)</f>
        <v/>
      </c>
      <c r="AR279" s="33" t="str">
        <f aca="false">IF(A279="","",IF(COUNT(AF279:AJ279)=0,"",SUM(AF279:AJ279)))</f>
        <v/>
      </c>
      <c r="AS279" s="34" t="str">
        <f aca="false">IF(OR(AR279="",N(AO279)=0),"",AR279/AO279)</f>
        <v/>
      </c>
      <c r="AT279" s="34" t="str">
        <f aca="false">IF(OR(AR279="",N(AC279)=0),"",AR279/AC279)</f>
        <v/>
      </c>
      <c r="AU279" s="34" t="str">
        <f aca="false">IF(OR(AR279="",N(S279)=0),"",AR279/S279)</f>
        <v/>
      </c>
      <c r="AV279" s="34" t="str">
        <f aca="false">IF(OR(AJ279="",N(AC279)=0),"",AJ279/AC279)</f>
        <v/>
      </c>
      <c r="AW279" s="34" t="str">
        <f aca="false">IF(OR(AH279="",N(AO279)=0),"",AH279/AO279)</f>
        <v/>
      </c>
      <c r="AX279" s="35" t="str">
        <f aca="false">IF(OR(AR279="",N(AO279)=0),"",(N(AF279)*Settings!$B$6+N(AG279)*Settings!$B$7+N(AH279)*Settings!$B$8+N(AI279)*Settings!$B$9+N(AJ279)*Settings!$B$10)/AO279*1000)</f>
        <v/>
      </c>
      <c r="AY279" s="36" t="str">
        <f aca="false">IF(AS279="","",IFERROR(AS279/AVERAGEIFS('Post Tracker'!$AS$5:$AS$1004,'Post Tracker'!$G$5:$G$1004,G279),""))</f>
        <v/>
      </c>
      <c r="AZ279" s="32"/>
      <c r="BA279" s="32"/>
      <c r="BB279" s="32"/>
      <c r="BC279" s="32"/>
      <c r="BD279" s="33" t="str">
        <f aca="false">IF(A279="","",COUNTIFS('Demo Pipeline'!$Q$5:$Q$504,A279))</f>
        <v/>
      </c>
      <c r="BE279" s="33" t="str">
        <f aca="false">IF(A279="","",COUNTIFS('Demo Pipeline'!$Q$5:$Q$504,A279,'Demo Pipeline'!$W$5:$W$504,"Attended"))</f>
        <v/>
      </c>
      <c r="BF279" s="33" t="str">
        <f aca="false">IF(A279="","",COUNTIFS('Demo Pipeline'!$Q$5:$Q$504,A279,'Demo Pipeline'!$X$5:$X$504,"Yes"))</f>
        <v/>
      </c>
      <c r="BG279" s="33" t="str">
        <f aca="false">IF(A279="","",COUNTIFS('Demo Pipeline'!$Q$5:$Q$504,A279,'Demo Pipeline'!$Y$5:$Y$504,"Closed Won"))</f>
        <v/>
      </c>
      <c r="BH279" s="37" t="str">
        <f aca="false">IF(A279="","",SUMIFS('Demo Pipeline'!$Z$5:$Z$504,'Demo Pipeline'!$Q$5:$Q$504,A279))</f>
        <v/>
      </c>
      <c r="BI279" s="34" t="str">
        <f aca="false">IF(OR(AZ279="",N(AJ279)=0),"",AZ279/AJ279)</f>
        <v/>
      </c>
      <c r="BJ279" s="34" t="str">
        <f aca="false">IF(OR(BB279="",N(AZ279)=0),"",BB279/AZ279)</f>
        <v/>
      </c>
      <c r="BK279" s="34" t="str">
        <f aca="false">IF(OR(A279="",N(BB279)=0),"",BD279/BB279)</f>
        <v/>
      </c>
      <c r="BL279" s="34" t="str">
        <f aca="false">IF(OR(A279="",N(AZ279)=0),"",BD279/AZ279)</f>
        <v/>
      </c>
      <c r="BM279" s="37" t="str">
        <f aca="false">IF(OR(N(Q279)=0,N(BD279)=0),"",Q279/BD279)</f>
        <v/>
      </c>
      <c r="BN279" s="29"/>
      <c r="BO279" s="29"/>
      <c r="BP279" s="33" t="str">
        <f aca="false">IF(OR(AR279="",N(AO279)=0),"",AR279)</f>
        <v/>
      </c>
      <c r="BQ279" s="33" t="str">
        <f aca="false">IF(OR(AR279="",N(S279)=0),"",S279)</f>
        <v/>
      </c>
      <c r="BR279" s="38" t="str">
        <f aca="false">IF(AND(ISNUMBER(B279),B279&gt;=Dashboard!$C$4,B279&lt;=Dashboard!$F$4,ISNUMBER(AU279)),AU279+ROW()/10^9,"")</f>
        <v/>
      </c>
      <c r="BS279" s="38" t="str">
        <f aca="false">IF(AND(ISNUMBER(B279),B279&gt;=Dashboard!$C$4,B279&lt;=Dashboard!$F$4,A279&lt;&gt;""),N(BD279)+N(AU279)/100+ROW()/10^9,"")</f>
        <v/>
      </c>
    </row>
    <row r="280" customFormat="false" ht="15" hidden="false" customHeight="false" outlineLevel="0" collapsed="false">
      <c r="A280" s="24" t="str">
        <f aca="false">IF(OR(B280="",G280="",H280=""),"",IFERROR(INDEX(Settings!$E$5:$E$49,MATCH(G280,Settings!$D$5:$D$49,0))&amp;INDEX(Settings!$H$5:$H$47,MATCH(H280,Settings!$G$5:$G$47,0))&amp;"-"&amp;TEXT(B280,"yymmdd")&amp;"-"&amp;IF(C280="","0000",TEXT(C280,"hhmm")),"CHECK LISTS"))</f>
        <v/>
      </c>
      <c r="B280" s="39"/>
      <c r="C280" s="40"/>
      <c r="D280" s="24" t="str">
        <f aca="false">IF(B280="","",TEXT(B280,"ddd"))</f>
        <v/>
      </c>
      <c r="E280" s="27" t="str">
        <f aca="false">IF(B280="","",B280-WEEKDAY(B280,3))</f>
        <v/>
      </c>
      <c r="F280" s="24" t="str">
        <f aca="false">IF(B280="","",TEXT(B280,"yyyy-mm"))</f>
        <v/>
      </c>
      <c r="G280" s="29"/>
      <c r="H280" s="29"/>
      <c r="I280" s="29"/>
      <c r="J280" s="29"/>
      <c r="K280" s="29"/>
      <c r="L280" s="29"/>
      <c r="M280" s="29"/>
      <c r="N280" s="29"/>
      <c r="O280" s="29"/>
      <c r="P280" s="29"/>
      <c r="Q280" s="30"/>
      <c r="R280" s="29"/>
      <c r="S280" s="32"/>
      <c r="T280" s="29"/>
      <c r="U280" s="29"/>
      <c r="V280" s="24" t="str">
        <f aca="false">IF(A280="","",IFERROR(INDEX(Settings!$F$5:$F$49,MATCH(G280,Settings!$D$5:$D$49,0)),""))</f>
        <v/>
      </c>
      <c r="W280" s="24" t="str">
        <f aca="false">IF(A280="","",IF(OR(P280="",P280="Organic"),"social","paid_social"))</f>
        <v/>
      </c>
      <c r="X280" s="24" t="str">
        <f aca="false">IF(A280="","",IF(K280&lt;&gt;"",IFERROR(INDEX('Case Studies'!$C$5:$C$54,MATCH(K280,'Case Studies'!$B$5:$B$54,0))&amp;"","case-study"),IF(J280&lt;&gt;"",IFERROR(INDEX(Settings!$J$5:$J$55,MATCH(J280,Settings!$I$5:$I$55,0)),"general"),"general")))</f>
        <v/>
      </c>
      <c r="Y280" s="24" t="str">
        <f aca="false">IF(A280="","",LOWER(A280))</f>
        <v/>
      </c>
      <c r="Z280" s="24" t="str">
        <f aca="false">IF(A280="","",IF(T280="",Settings!$B$5,T280)&amp;IF(ISNUMBER(FIND("?",IF(T280="",Settings!$B$5,T280))),"&amp;","?")&amp;"utm_source="&amp;V280&amp;"&amp;utm_medium="&amp;W280&amp;"&amp;utm_campaign="&amp;X280&amp;"&amp;utm_content="&amp;Y280)</f>
        <v/>
      </c>
      <c r="AA280" s="29"/>
      <c r="AB280" s="39"/>
      <c r="AC280" s="32"/>
      <c r="AD280" s="32"/>
      <c r="AE280" s="32"/>
      <c r="AF280" s="32"/>
      <c r="AG280" s="32"/>
      <c r="AH280" s="32"/>
      <c r="AI280" s="32"/>
      <c r="AJ280" s="32"/>
      <c r="AK280" s="32"/>
      <c r="AL280" s="32"/>
      <c r="AM280" s="32"/>
      <c r="AN280" s="32"/>
      <c r="AO280" s="33" t="str">
        <f aca="false">IF(A280="","",IF(AD280&lt;&gt;"",AD280,IF(AC280&lt;&gt;"",AC280,"")))</f>
        <v/>
      </c>
      <c r="AP280" s="24" t="str">
        <f aca="false">IF(AO280="","",IF(AD280&lt;&gt;"","Reported reach","Impressions (proxy)"))</f>
        <v/>
      </c>
      <c r="AQ280" s="34" t="str">
        <f aca="false">IF(OR(AO280="",N(S280)=0),"",AO280/S280)</f>
        <v/>
      </c>
      <c r="AR280" s="33" t="str">
        <f aca="false">IF(A280="","",IF(COUNT(AF280:AJ280)=0,"",SUM(AF280:AJ280)))</f>
        <v/>
      </c>
      <c r="AS280" s="34" t="str">
        <f aca="false">IF(OR(AR280="",N(AO280)=0),"",AR280/AO280)</f>
        <v/>
      </c>
      <c r="AT280" s="34" t="str">
        <f aca="false">IF(OR(AR280="",N(AC280)=0),"",AR280/AC280)</f>
        <v/>
      </c>
      <c r="AU280" s="34" t="str">
        <f aca="false">IF(OR(AR280="",N(S280)=0),"",AR280/S280)</f>
        <v/>
      </c>
      <c r="AV280" s="34" t="str">
        <f aca="false">IF(OR(AJ280="",N(AC280)=0),"",AJ280/AC280)</f>
        <v/>
      </c>
      <c r="AW280" s="34" t="str">
        <f aca="false">IF(OR(AH280="",N(AO280)=0),"",AH280/AO280)</f>
        <v/>
      </c>
      <c r="AX280" s="35" t="str">
        <f aca="false">IF(OR(AR280="",N(AO280)=0),"",(N(AF280)*Settings!$B$6+N(AG280)*Settings!$B$7+N(AH280)*Settings!$B$8+N(AI280)*Settings!$B$9+N(AJ280)*Settings!$B$10)/AO280*1000)</f>
        <v/>
      </c>
      <c r="AY280" s="36" t="str">
        <f aca="false">IF(AS280="","",IFERROR(AS280/AVERAGEIFS('Post Tracker'!$AS$5:$AS$1004,'Post Tracker'!$G$5:$G$1004,G280),""))</f>
        <v/>
      </c>
      <c r="AZ280" s="32"/>
      <c r="BA280" s="32"/>
      <c r="BB280" s="32"/>
      <c r="BC280" s="32"/>
      <c r="BD280" s="33" t="str">
        <f aca="false">IF(A280="","",COUNTIFS('Demo Pipeline'!$Q$5:$Q$504,A280))</f>
        <v/>
      </c>
      <c r="BE280" s="33" t="str">
        <f aca="false">IF(A280="","",COUNTIFS('Demo Pipeline'!$Q$5:$Q$504,A280,'Demo Pipeline'!$W$5:$W$504,"Attended"))</f>
        <v/>
      </c>
      <c r="BF280" s="33" t="str">
        <f aca="false">IF(A280="","",COUNTIFS('Demo Pipeline'!$Q$5:$Q$504,A280,'Demo Pipeline'!$X$5:$X$504,"Yes"))</f>
        <v/>
      </c>
      <c r="BG280" s="33" t="str">
        <f aca="false">IF(A280="","",COUNTIFS('Demo Pipeline'!$Q$5:$Q$504,A280,'Demo Pipeline'!$Y$5:$Y$504,"Closed Won"))</f>
        <v/>
      </c>
      <c r="BH280" s="37" t="str">
        <f aca="false">IF(A280="","",SUMIFS('Demo Pipeline'!$Z$5:$Z$504,'Demo Pipeline'!$Q$5:$Q$504,A280))</f>
        <v/>
      </c>
      <c r="BI280" s="34" t="str">
        <f aca="false">IF(OR(AZ280="",N(AJ280)=0),"",AZ280/AJ280)</f>
        <v/>
      </c>
      <c r="BJ280" s="34" t="str">
        <f aca="false">IF(OR(BB280="",N(AZ280)=0),"",BB280/AZ280)</f>
        <v/>
      </c>
      <c r="BK280" s="34" t="str">
        <f aca="false">IF(OR(A280="",N(BB280)=0),"",BD280/BB280)</f>
        <v/>
      </c>
      <c r="BL280" s="34" t="str">
        <f aca="false">IF(OR(A280="",N(AZ280)=0),"",BD280/AZ280)</f>
        <v/>
      </c>
      <c r="BM280" s="37" t="str">
        <f aca="false">IF(OR(N(Q280)=0,N(BD280)=0),"",Q280/BD280)</f>
        <v/>
      </c>
      <c r="BN280" s="29"/>
      <c r="BO280" s="29"/>
      <c r="BP280" s="33" t="str">
        <f aca="false">IF(OR(AR280="",N(AO280)=0),"",AR280)</f>
        <v/>
      </c>
      <c r="BQ280" s="33" t="str">
        <f aca="false">IF(OR(AR280="",N(S280)=0),"",S280)</f>
        <v/>
      </c>
      <c r="BR280" s="38" t="str">
        <f aca="false">IF(AND(ISNUMBER(B280),B280&gt;=Dashboard!$C$4,B280&lt;=Dashboard!$F$4,ISNUMBER(AU280)),AU280+ROW()/10^9,"")</f>
        <v/>
      </c>
      <c r="BS280" s="38" t="str">
        <f aca="false">IF(AND(ISNUMBER(B280),B280&gt;=Dashboard!$C$4,B280&lt;=Dashboard!$F$4,A280&lt;&gt;""),N(BD280)+N(AU280)/100+ROW()/10^9,"")</f>
        <v/>
      </c>
    </row>
    <row r="281" customFormat="false" ht="15" hidden="false" customHeight="false" outlineLevel="0" collapsed="false">
      <c r="A281" s="24" t="str">
        <f aca="false">IF(OR(B281="",G281="",H281=""),"",IFERROR(INDEX(Settings!$E$5:$E$49,MATCH(G281,Settings!$D$5:$D$49,0))&amp;INDEX(Settings!$H$5:$H$47,MATCH(H281,Settings!$G$5:$G$47,0))&amp;"-"&amp;TEXT(B281,"yymmdd")&amp;"-"&amp;IF(C281="","0000",TEXT(C281,"hhmm")),"CHECK LISTS"))</f>
        <v/>
      </c>
      <c r="B281" s="39"/>
      <c r="C281" s="40"/>
      <c r="D281" s="24" t="str">
        <f aca="false">IF(B281="","",TEXT(B281,"ddd"))</f>
        <v/>
      </c>
      <c r="E281" s="27" t="str">
        <f aca="false">IF(B281="","",B281-WEEKDAY(B281,3))</f>
        <v/>
      </c>
      <c r="F281" s="24" t="str">
        <f aca="false">IF(B281="","",TEXT(B281,"yyyy-mm"))</f>
        <v/>
      </c>
      <c r="G281" s="29"/>
      <c r="H281" s="29"/>
      <c r="I281" s="29"/>
      <c r="J281" s="29"/>
      <c r="K281" s="29"/>
      <c r="L281" s="29"/>
      <c r="M281" s="29"/>
      <c r="N281" s="29"/>
      <c r="O281" s="29"/>
      <c r="P281" s="29"/>
      <c r="Q281" s="30"/>
      <c r="R281" s="29"/>
      <c r="S281" s="32"/>
      <c r="T281" s="29"/>
      <c r="U281" s="29"/>
      <c r="V281" s="24" t="str">
        <f aca="false">IF(A281="","",IFERROR(INDEX(Settings!$F$5:$F$49,MATCH(G281,Settings!$D$5:$D$49,0)),""))</f>
        <v/>
      </c>
      <c r="W281" s="24" t="str">
        <f aca="false">IF(A281="","",IF(OR(P281="",P281="Organic"),"social","paid_social"))</f>
        <v/>
      </c>
      <c r="X281" s="24" t="str">
        <f aca="false">IF(A281="","",IF(K281&lt;&gt;"",IFERROR(INDEX('Case Studies'!$C$5:$C$54,MATCH(K281,'Case Studies'!$B$5:$B$54,0))&amp;"","case-study"),IF(J281&lt;&gt;"",IFERROR(INDEX(Settings!$J$5:$J$55,MATCH(J281,Settings!$I$5:$I$55,0)),"general"),"general")))</f>
        <v/>
      </c>
      <c r="Y281" s="24" t="str">
        <f aca="false">IF(A281="","",LOWER(A281))</f>
        <v/>
      </c>
      <c r="Z281" s="24" t="str">
        <f aca="false">IF(A281="","",IF(T281="",Settings!$B$5,T281)&amp;IF(ISNUMBER(FIND("?",IF(T281="",Settings!$B$5,T281))),"&amp;","?")&amp;"utm_source="&amp;V281&amp;"&amp;utm_medium="&amp;W281&amp;"&amp;utm_campaign="&amp;X281&amp;"&amp;utm_content="&amp;Y281)</f>
        <v/>
      </c>
      <c r="AA281" s="29"/>
      <c r="AB281" s="39"/>
      <c r="AC281" s="32"/>
      <c r="AD281" s="32"/>
      <c r="AE281" s="32"/>
      <c r="AF281" s="32"/>
      <c r="AG281" s="32"/>
      <c r="AH281" s="32"/>
      <c r="AI281" s="32"/>
      <c r="AJ281" s="32"/>
      <c r="AK281" s="32"/>
      <c r="AL281" s="32"/>
      <c r="AM281" s="32"/>
      <c r="AN281" s="32"/>
      <c r="AO281" s="33" t="str">
        <f aca="false">IF(A281="","",IF(AD281&lt;&gt;"",AD281,IF(AC281&lt;&gt;"",AC281,"")))</f>
        <v/>
      </c>
      <c r="AP281" s="24" t="str">
        <f aca="false">IF(AO281="","",IF(AD281&lt;&gt;"","Reported reach","Impressions (proxy)"))</f>
        <v/>
      </c>
      <c r="AQ281" s="34" t="str">
        <f aca="false">IF(OR(AO281="",N(S281)=0),"",AO281/S281)</f>
        <v/>
      </c>
      <c r="AR281" s="33" t="str">
        <f aca="false">IF(A281="","",IF(COUNT(AF281:AJ281)=0,"",SUM(AF281:AJ281)))</f>
        <v/>
      </c>
      <c r="AS281" s="34" t="str">
        <f aca="false">IF(OR(AR281="",N(AO281)=0),"",AR281/AO281)</f>
        <v/>
      </c>
      <c r="AT281" s="34" t="str">
        <f aca="false">IF(OR(AR281="",N(AC281)=0),"",AR281/AC281)</f>
        <v/>
      </c>
      <c r="AU281" s="34" t="str">
        <f aca="false">IF(OR(AR281="",N(S281)=0),"",AR281/S281)</f>
        <v/>
      </c>
      <c r="AV281" s="34" t="str">
        <f aca="false">IF(OR(AJ281="",N(AC281)=0),"",AJ281/AC281)</f>
        <v/>
      </c>
      <c r="AW281" s="34" t="str">
        <f aca="false">IF(OR(AH281="",N(AO281)=0),"",AH281/AO281)</f>
        <v/>
      </c>
      <c r="AX281" s="35" t="str">
        <f aca="false">IF(OR(AR281="",N(AO281)=0),"",(N(AF281)*Settings!$B$6+N(AG281)*Settings!$B$7+N(AH281)*Settings!$B$8+N(AI281)*Settings!$B$9+N(AJ281)*Settings!$B$10)/AO281*1000)</f>
        <v/>
      </c>
      <c r="AY281" s="36" t="str">
        <f aca="false">IF(AS281="","",IFERROR(AS281/AVERAGEIFS('Post Tracker'!$AS$5:$AS$1004,'Post Tracker'!$G$5:$G$1004,G281),""))</f>
        <v/>
      </c>
      <c r="AZ281" s="32"/>
      <c r="BA281" s="32"/>
      <c r="BB281" s="32"/>
      <c r="BC281" s="32"/>
      <c r="BD281" s="33" t="str">
        <f aca="false">IF(A281="","",COUNTIFS('Demo Pipeline'!$Q$5:$Q$504,A281))</f>
        <v/>
      </c>
      <c r="BE281" s="33" t="str">
        <f aca="false">IF(A281="","",COUNTIFS('Demo Pipeline'!$Q$5:$Q$504,A281,'Demo Pipeline'!$W$5:$W$504,"Attended"))</f>
        <v/>
      </c>
      <c r="BF281" s="33" t="str">
        <f aca="false">IF(A281="","",COUNTIFS('Demo Pipeline'!$Q$5:$Q$504,A281,'Demo Pipeline'!$X$5:$X$504,"Yes"))</f>
        <v/>
      </c>
      <c r="BG281" s="33" t="str">
        <f aca="false">IF(A281="","",COUNTIFS('Demo Pipeline'!$Q$5:$Q$504,A281,'Demo Pipeline'!$Y$5:$Y$504,"Closed Won"))</f>
        <v/>
      </c>
      <c r="BH281" s="37" t="str">
        <f aca="false">IF(A281="","",SUMIFS('Demo Pipeline'!$Z$5:$Z$504,'Demo Pipeline'!$Q$5:$Q$504,A281))</f>
        <v/>
      </c>
      <c r="BI281" s="34" t="str">
        <f aca="false">IF(OR(AZ281="",N(AJ281)=0),"",AZ281/AJ281)</f>
        <v/>
      </c>
      <c r="BJ281" s="34" t="str">
        <f aca="false">IF(OR(BB281="",N(AZ281)=0),"",BB281/AZ281)</f>
        <v/>
      </c>
      <c r="BK281" s="34" t="str">
        <f aca="false">IF(OR(A281="",N(BB281)=0),"",BD281/BB281)</f>
        <v/>
      </c>
      <c r="BL281" s="34" t="str">
        <f aca="false">IF(OR(A281="",N(AZ281)=0),"",BD281/AZ281)</f>
        <v/>
      </c>
      <c r="BM281" s="37" t="str">
        <f aca="false">IF(OR(N(Q281)=0,N(BD281)=0),"",Q281/BD281)</f>
        <v/>
      </c>
      <c r="BN281" s="29"/>
      <c r="BO281" s="29"/>
      <c r="BP281" s="33" t="str">
        <f aca="false">IF(OR(AR281="",N(AO281)=0),"",AR281)</f>
        <v/>
      </c>
      <c r="BQ281" s="33" t="str">
        <f aca="false">IF(OR(AR281="",N(S281)=0),"",S281)</f>
        <v/>
      </c>
      <c r="BR281" s="38" t="str">
        <f aca="false">IF(AND(ISNUMBER(B281),B281&gt;=Dashboard!$C$4,B281&lt;=Dashboard!$F$4,ISNUMBER(AU281)),AU281+ROW()/10^9,"")</f>
        <v/>
      </c>
      <c r="BS281" s="38" t="str">
        <f aca="false">IF(AND(ISNUMBER(B281),B281&gt;=Dashboard!$C$4,B281&lt;=Dashboard!$F$4,A281&lt;&gt;""),N(BD281)+N(AU281)/100+ROW()/10^9,"")</f>
        <v/>
      </c>
    </row>
    <row r="282" customFormat="false" ht="15" hidden="false" customHeight="false" outlineLevel="0" collapsed="false">
      <c r="A282" s="24" t="str">
        <f aca="false">IF(OR(B282="",G282="",H282=""),"",IFERROR(INDEX(Settings!$E$5:$E$49,MATCH(G282,Settings!$D$5:$D$49,0))&amp;INDEX(Settings!$H$5:$H$47,MATCH(H282,Settings!$G$5:$G$47,0))&amp;"-"&amp;TEXT(B282,"yymmdd")&amp;"-"&amp;IF(C282="","0000",TEXT(C282,"hhmm")),"CHECK LISTS"))</f>
        <v/>
      </c>
      <c r="B282" s="39"/>
      <c r="C282" s="40"/>
      <c r="D282" s="24" t="str">
        <f aca="false">IF(B282="","",TEXT(B282,"ddd"))</f>
        <v/>
      </c>
      <c r="E282" s="27" t="str">
        <f aca="false">IF(B282="","",B282-WEEKDAY(B282,3))</f>
        <v/>
      </c>
      <c r="F282" s="24" t="str">
        <f aca="false">IF(B282="","",TEXT(B282,"yyyy-mm"))</f>
        <v/>
      </c>
      <c r="G282" s="29"/>
      <c r="H282" s="29"/>
      <c r="I282" s="29"/>
      <c r="J282" s="29"/>
      <c r="K282" s="29"/>
      <c r="L282" s="29"/>
      <c r="M282" s="29"/>
      <c r="N282" s="29"/>
      <c r="O282" s="29"/>
      <c r="P282" s="29"/>
      <c r="Q282" s="30"/>
      <c r="R282" s="29"/>
      <c r="S282" s="32"/>
      <c r="T282" s="29"/>
      <c r="U282" s="29"/>
      <c r="V282" s="24" t="str">
        <f aca="false">IF(A282="","",IFERROR(INDEX(Settings!$F$5:$F$49,MATCH(G282,Settings!$D$5:$D$49,0)),""))</f>
        <v/>
      </c>
      <c r="W282" s="24" t="str">
        <f aca="false">IF(A282="","",IF(OR(P282="",P282="Organic"),"social","paid_social"))</f>
        <v/>
      </c>
      <c r="X282" s="24" t="str">
        <f aca="false">IF(A282="","",IF(K282&lt;&gt;"",IFERROR(INDEX('Case Studies'!$C$5:$C$54,MATCH(K282,'Case Studies'!$B$5:$B$54,0))&amp;"","case-study"),IF(J282&lt;&gt;"",IFERROR(INDEX(Settings!$J$5:$J$55,MATCH(J282,Settings!$I$5:$I$55,0)),"general"),"general")))</f>
        <v/>
      </c>
      <c r="Y282" s="24" t="str">
        <f aca="false">IF(A282="","",LOWER(A282))</f>
        <v/>
      </c>
      <c r="Z282" s="24" t="str">
        <f aca="false">IF(A282="","",IF(T282="",Settings!$B$5,T282)&amp;IF(ISNUMBER(FIND("?",IF(T282="",Settings!$B$5,T282))),"&amp;","?")&amp;"utm_source="&amp;V282&amp;"&amp;utm_medium="&amp;W282&amp;"&amp;utm_campaign="&amp;X282&amp;"&amp;utm_content="&amp;Y282)</f>
        <v/>
      </c>
      <c r="AA282" s="29"/>
      <c r="AB282" s="39"/>
      <c r="AC282" s="32"/>
      <c r="AD282" s="32"/>
      <c r="AE282" s="32"/>
      <c r="AF282" s="32"/>
      <c r="AG282" s="32"/>
      <c r="AH282" s="32"/>
      <c r="AI282" s="32"/>
      <c r="AJ282" s="32"/>
      <c r="AK282" s="32"/>
      <c r="AL282" s="32"/>
      <c r="AM282" s="32"/>
      <c r="AN282" s="32"/>
      <c r="AO282" s="33" t="str">
        <f aca="false">IF(A282="","",IF(AD282&lt;&gt;"",AD282,IF(AC282&lt;&gt;"",AC282,"")))</f>
        <v/>
      </c>
      <c r="AP282" s="24" t="str">
        <f aca="false">IF(AO282="","",IF(AD282&lt;&gt;"","Reported reach","Impressions (proxy)"))</f>
        <v/>
      </c>
      <c r="AQ282" s="34" t="str">
        <f aca="false">IF(OR(AO282="",N(S282)=0),"",AO282/S282)</f>
        <v/>
      </c>
      <c r="AR282" s="33" t="str">
        <f aca="false">IF(A282="","",IF(COUNT(AF282:AJ282)=0,"",SUM(AF282:AJ282)))</f>
        <v/>
      </c>
      <c r="AS282" s="34" t="str">
        <f aca="false">IF(OR(AR282="",N(AO282)=0),"",AR282/AO282)</f>
        <v/>
      </c>
      <c r="AT282" s="34" t="str">
        <f aca="false">IF(OR(AR282="",N(AC282)=0),"",AR282/AC282)</f>
        <v/>
      </c>
      <c r="AU282" s="34" t="str">
        <f aca="false">IF(OR(AR282="",N(S282)=0),"",AR282/S282)</f>
        <v/>
      </c>
      <c r="AV282" s="34" t="str">
        <f aca="false">IF(OR(AJ282="",N(AC282)=0),"",AJ282/AC282)</f>
        <v/>
      </c>
      <c r="AW282" s="34" t="str">
        <f aca="false">IF(OR(AH282="",N(AO282)=0),"",AH282/AO282)</f>
        <v/>
      </c>
      <c r="AX282" s="35" t="str">
        <f aca="false">IF(OR(AR282="",N(AO282)=0),"",(N(AF282)*Settings!$B$6+N(AG282)*Settings!$B$7+N(AH282)*Settings!$B$8+N(AI282)*Settings!$B$9+N(AJ282)*Settings!$B$10)/AO282*1000)</f>
        <v/>
      </c>
      <c r="AY282" s="36" t="str">
        <f aca="false">IF(AS282="","",IFERROR(AS282/AVERAGEIFS('Post Tracker'!$AS$5:$AS$1004,'Post Tracker'!$G$5:$G$1004,G282),""))</f>
        <v/>
      </c>
      <c r="AZ282" s="32"/>
      <c r="BA282" s="32"/>
      <c r="BB282" s="32"/>
      <c r="BC282" s="32"/>
      <c r="BD282" s="33" t="str">
        <f aca="false">IF(A282="","",COUNTIFS('Demo Pipeline'!$Q$5:$Q$504,A282))</f>
        <v/>
      </c>
      <c r="BE282" s="33" t="str">
        <f aca="false">IF(A282="","",COUNTIFS('Demo Pipeline'!$Q$5:$Q$504,A282,'Demo Pipeline'!$W$5:$W$504,"Attended"))</f>
        <v/>
      </c>
      <c r="BF282" s="33" t="str">
        <f aca="false">IF(A282="","",COUNTIFS('Demo Pipeline'!$Q$5:$Q$504,A282,'Demo Pipeline'!$X$5:$X$504,"Yes"))</f>
        <v/>
      </c>
      <c r="BG282" s="33" t="str">
        <f aca="false">IF(A282="","",COUNTIFS('Demo Pipeline'!$Q$5:$Q$504,A282,'Demo Pipeline'!$Y$5:$Y$504,"Closed Won"))</f>
        <v/>
      </c>
      <c r="BH282" s="37" t="str">
        <f aca="false">IF(A282="","",SUMIFS('Demo Pipeline'!$Z$5:$Z$504,'Demo Pipeline'!$Q$5:$Q$504,A282))</f>
        <v/>
      </c>
      <c r="BI282" s="34" t="str">
        <f aca="false">IF(OR(AZ282="",N(AJ282)=0),"",AZ282/AJ282)</f>
        <v/>
      </c>
      <c r="BJ282" s="34" t="str">
        <f aca="false">IF(OR(BB282="",N(AZ282)=0),"",BB282/AZ282)</f>
        <v/>
      </c>
      <c r="BK282" s="34" t="str">
        <f aca="false">IF(OR(A282="",N(BB282)=0),"",BD282/BB282)</f>
        <v/>
      </c>
      <c r="BL282" s="34" t="str">
        <f aca="false">IF(OR(A282="",N(AZ282)=0),"",BD282/AZ282)</f>
        <v/>
      </c>
      <c r="BM282" s="37" t="str">
        <f aca="false">IF(OR(N(Q282)=0,N(BD282)=0),"",Q282/BD282)</f>
        <v/>
      </c>
      <c r="BN282" s="29"/>
      <c r="BO282" s="29"/>
      <c r="BP282" s="33" t="str">
        <f aca="false">IF(OR(AR282="",N(AO282)=0),"",AR282)</f>
        <v/>
      </c>
      <c r="BQ282" s="33" t="str">
        <f aca="false">IF(OR(AR282="",N(S282)=0),"",S282)</f>
        <v/>
      </c>
      <c r="BR282" s="38" t="str">
        <f aca="false">IF(AND(ISNUMBER(B282),B282&gt;=Dashboard!$C$4,B282&lt;=Dashboard!$F$4,ISNUMBER(AU282)),AU282+ROW()/10^9,"")</f>
        <v/>
      </c>
      <c r="BS282" s="38" t="str">
        <f aca="false">IF(AND(ISNUMBER(B282),B282&gt;=Dashboard!$C$4,B282&lt;=Dashboard!$F$4,A282&lt;&gt;""),N(BD282)+N(AU282)/100+ROW()/10^9,"")</f>
        <v/>
      </c>
    </row>
    <row r="283" customFormat="false" ht="15" hidden="false" customHeight="false" outlineLevel="0" collapsed="false">
      <c r="A283" s="24" t="str">
        <f aca="false">IF(OR(B283="",G283="",H283=""),"",IFERROR(INDEX(Settings!$E$5:$E$49,MATCH(G283,Settings!$D$5:$D$49,0))&amp;INDEX(Settings!$H$5:$H$47,MATCH(H283,Settings!$G$5:$G$47,0))&amp;"-"&amp;TEXT(B283,"yymmdd")&amp;"-"&amp;IF(C283="","0000",TEXT(C283,"hhmm")),"CHECK LISTS"))</f>
        <v/>
      </c>
      <c r="B283" s="39"/>
      <c r="C283" s="40"/>
      <c r="D283" s="24" t="str">
        <f aca="false">IF(B283="","",TEXT(B283,"ddd"))</f>
        <v/>
      </c>
      <c r="E283" s="27" t="str">
        <f aca="false">IF(B283="","",B283-WEEKDAY(B283,3))</f>
        <v/>
      </c>
      <c r="F283" s="24" t="str">
        <f aca="false">IF(B283="","",TEXT(B283,"yyyy-mm"))</f>
        <v/>
      </c>
      <c r="G283" s="29"/>
      <c r="H283" s="29"/>
      <c r="I283" s="29"/>
      <c r="J283" s="29"/>
      <c r="K283" s="29"/>
      <c r="L283" s="29"/>
      <c r="M283" s="29"/>
      <c r="N283" s="29"/>
      <c r="O283" s="29"/>
      <c r="P283" s="29"/>
      <c r="Q283" s="30"/>
      <c r="R283" s="29"/>
      <c r="S283" s="32"/>
      <c r="T283" s="29"/>
      <c r="U283" s="29"/>
      <c r="V283" s="24" t="str">
        <f aca="false">IF(A283="","",IFERROR(INDEX(Settings!$F$5:$F$49,MATCH(G283,Settings!$D$5:$D$49,0)),""))</f>
        <v/>
      </c>
      <c r="W283" s="24" t="str">
        <f aca="false">IF(A283="","",IF(OR(P283="",P283="Organic"),"social","paid_social"))</f>
        <v/>
      </c>
      <c r="X283" s="24" t="str">
        <f aca="false">IF(A283="","",IF(K283&lt;&gt;"",IFERROR(INDEX('Case Studies'!$C$5:$C$54,MATCH(K283,'Case Studies'!$B$5:$B$54,0))&amp;"","case-study"),IF(J283&lt;&gt;"",IFERROR(INDEX(Settings!$J$5:$J$55,MATCH(J283,Settings!$I$5:$I$55,0)),"general"),"general")))</f>
        <v/>
      </c>
      <c r="Y283" s="24" t="str">
        <f aca="false">IF(A283="","",LOWER(A283))</f>
        <v/>
      </c>
      <c r="Z283" s="24" t="str">
        <f aca="false">IF(A283="","",IF(T283="",Settings!$B$5,T283)&amp;IF(ISNUMBER(FIND("?",IF(T283="",Settings!$B$5,T283))),"&amp;","?")&amp;"utm_source="&amp;V283&amp;"&amp;utm_medium="&amp;W283&amp;"&amp;utm_campaign="&amp;X283&amp;"&amp;utm_content="&amp;Y283)</f>
        <v/>
      </c>
      <c r="AA283" s="29"/>
      <c r="AB283" s="39"/>
      <c r="AC283" s="32"/>
      <c r="AD283" s="32"/>
      <c r="AE283" s="32"/>
      <c r="AF283" s="32"/>
      <c r="AG283" s="32"/>
      <c r="AH283" s="32"/>
      <c r="AI283" s="32"/>
      <c r="AJ283" s="32"/>
      <c r="AK283" s="32"/>
      <c r="AL283" s="32"/>
      <c r="AM283" s="32"/>
      <c r="AN283" s="32"/>
      <c r="AO283" s="33" t="str">
        <f aca="false">IF(A283="","",IF(AD283&lt;&gt;"",AD283,IF(AC283&lt;&gt;"",AC283,"")))</f>
        <v/>
      </c>
      <c r="AP283" s="24" t="str">
        <f aca="false">IF(AO283="","",IF(AD283&lt;&gt;"","Reported reach","Impressions (proxy)"))</f>
        <v/>
      </c>
      <c r="AQ283" s="34" t="str">
        <f aca="false">IF(OR(AO283="",N(S283)=0),"",AO283/S283)</f>
        <v/>
      </c>
      <c r="AR283" s="33" t="str">
        <f aca="false">IF(A283="","",IF(COUNT(AF283:AJ283)=0,"",SUM(AF283:AJ283)))</f>
        <v/>
      </c>
      <c r="AS283" s="34" t="str">
        <f aca="false">IF(OR(AR283="",N(AO283)=0),"",AR283/AO283)</f>
        <v/>
      </c>
      <c r="AT283" s="34" t="str">
        <f aca="false">IF(OR(AR283="",N(AC283)=0),"",AR283/AC283)</f>
        <v/>
      </c>
      <c r="AU283" s="34" t="str">
        <f aca="false">IF(OR(AR283="",N(S283)=0),"",AR283/S283)</f>
        <v/>
      </c>
      <c r="AV283" s="34" t="str">
        <f aca="false">IF(OR(AJ283="",N(AC283)=0),"",AJ283/AC283)</f>
        <v/>
      </c>
      <c r="AW283" s="34" t="str">
        <f aca="false">IF(OR(AH283="",N(AO283)=0),"",AH283/AO283)</f>
        <v/>
      </c>
      <c r="AX283" s="35" t="str">
        <f aca="false">IF(OR(AR283="",N(AO283)=0),"",(N(AF283)*Settings!$B$6+N(AG283)*Settings!$B$7+N(AH283)*Settings!$B$8+N(AI283)*Settings!$B$9+N(AJ283)*Settings!$B$10)/AO283*1000)</f>
        <v/>
      </c>
      <c r="AY283" s="36" t="str">
        <f aca="false">IF(AS283="","",IFERROR(AS283/AVERAGEIFS('Post Tracker'!$AS$5:$AS$1004,'Post Tracker'!$G$5:$G$1004,G283),""))</f>
        <v/>
      </c>
      <c r="AZ283" s="32"/>
      <c r="BA283" s="32"/>
      <c r="BB283" s="32"/>
      <c r="BC283" s="32"/>
      <c r="BD283" s="33" t="str">
        <f aca="false">IF(A283="","",COUNTIFS('Demo Pipeline'!$Q$5:$Q$504,A283))</f>
        <v/>
      </c>
      <c r="BE283" s="33" t="str">
        <f aca="false">IF(A283="","",COUNTIFS('Demo Pipeline'!$Q$5:$Q$504,A283,'Demo Pipeline'!$W$5:$W$504,"Attended"))</f>
        <v/>
      </c>
      <c r="BF283" s="33" t="str">
        <f aca="false">IF(A283="","",COUNTIFS('Demo Pipeline'!$Q$5:$Q$504,A283,'Demo Pipeline'!$X$5:$X$504,"Yes"))</f>
        <v/>
      </c>
      <c r="BG283" s="33" t="str">
        <f aca="false">IF(A283="","",COUNTIFS('Demo Pipeline'!$Q$5:$Q$504,A283,'Demo Pipeline'!$Y$5:$Y$504,"Closed Won"))</f>
        <v/>
      </c>
      <c r="BH283" s="37" t="str">
        <f aca="false">IF(A283="","",SUMIFS('Demo Pipeline'!$Z$5:$Z$504,'Demo Pipeline'!$Q$5:$Q$504,A283))</f>
        <v/>
      </c>
      <c r="BI283" s="34" t="str">
        <f aca="false">IF(OR(AZ283="",N(AJ283)=0),"",AZ283/AJ283)</f>
        <v/>
      </c>
      <c r="BJ283" s="34" t="str">
        <f aca="false">IF(OR(BB283="",N(AZ283)=0),"",BB283/AZ283)</f>
        <v/>
      </c>
      <c r="BK283" s="34" t="str">
        <f aca="false">IF(OR(A283="",N(BB283)=0),"",BD283/BB283)</f>
        <v/>
      </c>
      <c r="BL283" s="34" t="str">
        <f aca="false">IF(OR(A283="",N(AZ283)=0),"",BD283/AZ283)</f>
        <v/>
      </c>
      <c r="BM283" s="37" t="str">
        <f aca="false">IF(OR(N(Q283)=0,N(BD283)=0),"",Q283/BD283)</f>
        <v/>
      </c>
      <c r="BN283" s="29"/>
      <c r="BO283" s="29"/>
      <c r="BP283" s="33" t="str">
        <f aca="false">IF(OR(AR283="",N(AO283)=0),"",AR283)</f>
        <v/>
      </c>
      <c r="BQ283" s="33" t="str">
        <f aca="false">IF(OR(AR283="",N(S283)=0),"",S283)</f>
        <v/>
      </c>
      <c r="BR283" s="38" t="str">
        <f aca="false">IF(AND(ISNUMBER(B283),B283&gt;=Dashboard!$C$4,B283&lt;=Dashboard!$F$4,ISNUMBER(AU283)),AU283+ROW()/10^9,"")</f>
        <v/>
      </c>
      <c r="BS283" s="38" t="str">
        <f aca="false">IF(AND(ISNUMBER(B283),B283&gt;=Dashboard!$C$4,B283&lt;=Dashboard!$F$4,A283&lt;&gt;""),N(BD283)+N(AU283)/100+ROW()/10^9,"")</f>
        <v/>
      </c>
    </row>
    <row r="284" customFormat="false" ht="15" hidden="false" customHeight="false" outlineLevel="0" collapsed="false">
      <c r="A284" s="24" t="str">
        <f aca="false">IF(OR(B284="",G284="",H284=""),"",IFERROR(INDEX(Settings!$E$5:$E$49,MATCH(G284,Settings!$D$5:$D$49,0))&amp;INDEX(Settings!$H$5:$H$47,MATCH(H284,Settings!$G$5:$G$47,0))&amp;"-"&amp;TEXT(B284,"yymmdd")&amp;"-"&amp;IF(C284="","0000",TEXT(C284,"hhmm")),"CHECK LISTS"))</f>
        <v/>
      </c>
      <c r="B284" s="39"/>
      <c r="C284" s="40"/>
      <c r="D284" s="24" t="str">
        <f aca="false">IF(B284="","",TEXT(B284,"ddd"))</f>
        <v/>
      </c>
      <c r="E284" s="27" t="str">
        <f aca="false">IF(B284="","",B284-WEEKDAY(B284,3))</f>
        <v/>
      </c>
      <c r="F284" s="24" t="str">
        <f aca="false">IF(B284="","",TEXT(B284,"yyyy-mm"))</f>
        <v/>
      </c>
      <c r="G284" s="29"/>
      <c r="H284" s="29"/>
      <c r="I284" s="29"/>
      <c r="J284" s="29"/>
      <c r="K284" s="29"/>
      <c r="L284" s="29"/>
      <c r="M284" s="29"/>
      <c r="N284" s="29"/>
      <c r="O284" s="29"/>
      <c r="P284" s="29"/>
      <c r="Q284" s="30"/>
      <c r="R284" s="29"/>
      <c r="S284" s="32"/>
      <c r="T284" s="29"/>
      <c r="U284" s="29"/>
      <c r="V284" s="24" t="str">
        <f aca="false">IF(A284="","",IFERROR(INDEX(Settings!$F$5:$F$49,MATCH(G284,Settings!$D$5:$D$49,0)),""))</f>
        <v/>
      </c>
      <c r="W284" s="24" t="str">
        <f aca="false">IF(A284="","",IF(OR(P284="",P284="Organic"),"social","paid_social"))</f>
        <v/>
      </c>
      <c r="X284" s="24" t="str">
        <f aca="false">IF(A284="","",IF(K284&lt;&gt;"",IFERROR(INDEX('Case Studies'!$C$5:$C$54,MATCH(K284,'Case Studies'!$B$5:$B$54,0))&amp;"","case-study"),IF(J284&lt;&gt;"",IFERROR(INDEX(Settings!$J$5:$J$55,MATCH(J284,Settings!$I$5:$I$55,0)),"general"),"general")))</f>
        <v/>
      </c>
      <c r="Y284" s="24" t="str">
        <f aca="false">IF(A284="","",LOWER(A284))</f>
        <v/>
      </c>
      <c r="Z284" s="24" t="str">
        <f aca="false">IF(A284="","",IF(T284="",Settings!$B$5,T284)&amp;IF(ISNUMBER(FIND("?",IF(T284="",Settings!$B$5,T284))),"&amp;","?")&amp;"utm_source="&amp;V284&amp;"&amp;utm_medium="&amp;W284&amp;"&amp;utm_campaign="&amp;X284&amp;"&amp;utm_content="&amp;Y284)</f>
        <v/>
      </c>
      <c r="AA284" s="29"/>
      <c r="AB284" s="39"/>
      <c r="AC284" s="32"/>
      <c r="AD284" s="32"/>
      <c r="AE284" s="32"/>
      <c r="AF284" s="32"/>
      <c r="AG284" s="32"/>
      <c r="AH284" s="32"/>
      <c r="AI284" s="32"/>
      <c r="AJ284" s="32"/>
      <c r="AK284" s="32"/>
      <c r="AL284" s="32"/>
      <c r="AM284" s="32"/>
      <c r="AN284" s="32"/>
      <c r="AO284" s="33" t="str">
        <f aca="false">IF(A284="","",IF(AD284&lt;&gt;"",AD284,IF(AC284&lt;&gt;"",AC284,"")))</f>
        <v/>
      </c>
      <c r="AP284" s="24" t="str">
        <f aca="false">IF(AO284="","",IF(AD284&lt;&gt;"","Reported reach","Impressions (proxy)"))</f>
        <v/>
      </c>
      <c r="AQ284" s="34" t="str">
        <f aca="false">IF(OR(AO284="",N(S284)=0),"",AO284/S284)</f>
        <v/>
      </c>
      <c r="AR284" s="33" t="str">
        <f aca="false">IF(A284="","",IF(COUNT(AF284:AJ284)=0,"",SUM(AF284:AJ284)))</f>
        <v/>
      </c>
      <c r="AS284" s="34" t="str">
        <f aca="false">IF(OR(AR284="",N(AO284)=0),"",AR284/AO284)</f>
        <v/>
      </c>
      <c r="AT284" s="34" t="str">
        <f aca="false">IF(OR(AR284="",N(AC284)=0),"",AR284/AC284)</f>
        <v/>
      </c>
      <c r="AU284" s="34" t="str">
        <f aca="false">IF(OR(AR284="",N(S284)=0),"",AR284/S284)</f>
        <v/>
      </c>
      <c r="AV284" s="34" t="str">
        <f aca="false">IF(OR(AJ284="",N(AC284)=0),"",AJ284/AC284)</f>
        <v/>
      </c>
      <c r="AW284" s="34" t="str">
        <f aca="false">IF(OR(AH284="",N(AO284)=0),"",AH284/AO284)</f>
        <v/>
      </c>
      <c r="AX284" s="35" t="str">
        <f aca="false">IF(OR(AR284="",N(AO284)=0),"",(N(AF284)*Settings!$B$6+N(AG284)*Settings!$B$7+N(AH284)*Settings!$B$8+N(AI284)*Settings!$B$9+N(AJ284)*Settings!$B$10)/AO284*1000)</f>
        <v/>
      </c>
      <c r="AY284" s="36" t="str">
        <f aca="false">IF(AS284="","",IFERROR(AS284/AVERAGEIFS('Post Tracker'!$AS$5:$AS$1004,'Post Tracker'!$G$5:$G$1004,G284),""))</f>
        <v/>
      </c>
      <c r="AZ284" s="32"/>
      <c r="BA284" s="32"/>
      <c r="BB284" s="32"/>
      <c r="BC284" s="32"/>
      <c r="BD284" s="33" t="str">
        <f aca="false">IF(A284="","",COUNTIFS('Demo Pipeline'!$Q$5:$Q$504,A284))</f>
        <v/>
      </c>
      <c r="BE284" s="33" t="str">
        <f aca="false">IF(A284="","",COUNTIFS('Demo Pipeline'!$Q$5:$Q$504,A284,'Demo Pipeline'!$W$5:$W$504,"Attended"))</f>
        <v/>
      </c>
      <c r="BF284" s="33" t="str">
        <f aca="false">IF(A284="","",COUNTIFS('Demo Pipeline'!$Q$5:$Q$504,A284,'Demo Pipeline'!$X$5:$X$504,"Yes"))</f>
        <v/>
      </c>
      <c r="BG284" s="33" t="str">
        <f aca="false">IF(A284="","",COUNTIFS('Demo Pipeline'!$Q$5:$Q$504,A284,'Demo Pipeline'!$Y$5:$Y$504,"Closed Won"))</f>
        <v/>
      </c>
      <c r="BH284" s="37" t="str">
        <f aca="false">IF(A284="","",SUMIFS('Demo Pipeline'!$Z$5:$Z$504,'Demo Pipeline'!$Q$5:$Q$504,A284))</f>
        <v/>
      </c>
      <c r="BI284" s="34" t="str">
        <f aca="false">IF(OR(AZ284="",N(AJ284)=0),"",AZ284/AJ284)</f>
        <v/>
      </c>
      <c r="BJ284" s="34" t="str">
        <f aca="false">IF(OR(BB284="",N(AZ284)=0),"",BB284/AZ284)</f>
        <v/>
      </c>
      <c r="BK284" s="34" t="str">
        <f aca="false">IF(OR(A284="",N(BB284)=0),"",BD284/BB284)</f>
        <v/>
      </c>
      <c r="BL284" s="34" t="str">
        <f aca="false">IF(OR(A284="",N(AZ284)=0),"",BD284/AZ284)</f>
        <v/>
      </c>
      <c r="BM284" s="37" t="str">
        <f aca="false">IF(OR(N(Q284)=0,N(BD284)=0),"",Q284/BD284)</f>
        <v/>
      </c>
      <c r="BN284" s="29"/>
      <c r="BO284" s="29"/>
      <c r="BP284" s="33" t="str">
        <f aca="false">IF(OR(AR284="",N(AO284)=0),"",AR284)</f>
        <v/>
      </c>
      <c r="BQ284" s="33" t="str">
        <f aca="false">IF(OR(AR284="",N(S284)=0),"",S284)</f>
        <v/>
      </c>
      <c r="BR284" s="38" t="str">
        <f aca="false">IF(AND(ISNUMBER(B284),B284&gt;=Dashboard!$C$4,B284&lt;=Dashboard!$F$4,ISNUMBER(AU284)),AU284+ROW()/10^9,"")</f>
        <v/>
      </c>
      <c r="BS284" s="38" t="str">
        <f aca="false">IF(AND(ISNUMBER(B284),B284&gt;=Dashboard!$C$4,B284&lt;=Dashboard!$F$4,A284&lt;&gt;""),N(BD284)+N(AU284)/100+ROW()/10^9,"")</f>
        <v/>
      </c>
    </row>
    <row r="285" customFormat="false" ht="15" hidden="false" customHeight="false" outlineLevel="0" collapsed="false">
      <c r="A285" s="24" t="str">
        <f aca="false">IF(OR(B285="",G285="",H285=""),"",IFERROR(INDEX(Settings!$E$5:$E$49,MATCH(G285,Settings!$D$5:$D$49,0))&amp;INDEX(Settings!$H$5:$H$47,MATCH(H285,Settings!$G$5:$G$47,0))&amp;"-"&amp;TEXT(B285,"yymmdd")&amp;"-"&amp;IF(C285="","0000",TEXT(C285,"hhmm")),"CHECK LISTS"))</f>
        <v/>
      </c>
      <c r="B285" s="39"/>
      <c r="C285" s="40"/>
      <c r="D285" s="24" t="str">
        <f aca="false">IF(B285="","",TEXT(B285,"ddd"))</f>
        <v/>
      </c>
      <c r="E285" s="27" t="str">
        <f aca="false">IF(B285="","",B285-WEEKDAY(B285,3))</f>
        <v/>
      </c>
      <c r="F285" s="24" t="str">
        <f aca="false">IF(B285="","",TEXT(B285,"yyyy-mm"))</f>
        <v/>
      </c>
      <c r="G285" s="29"/>
      <c r="H285" s="29"/>
      <c r="I285" s="29"/>
      <c r="J285" s="29"/>
      <c r="K285" s="29"/>
      <c r="L285" s="29"/>
      <c r="M285" s="29"/>
      <c r="N285" s="29"/>
      <c r="O285" s="29"/>
      <c r="P285" s="29"/>
      <c r="Q285" s="30"/>
      <c r="R285" s="29"/>
      <c r="S285" s="32"/>
      <c r="T285" s="29"/>
      <c r="U285" s="29"/>
      <c r="V285" s="24" t="str">
        <f aca="false">IF(A285="","",IFERROR(INDEX(Settings!$F$5:$F$49,MATCH(G285,Settings!$D$5:$D$49,0)),""))</f>
        <v/>
      </c>
      <c r="W285" s="24" t="str">
        <f aca="false">IF(A285="","",IF(OR(P285="",P285="Organic"),"social","paid_social"))</f>
        <v/>
      </c>
      <c r="X285" s="24" t="str">
        <f aca="false">IF(A285="","",IF(K285&lt;&gt;"",IFERROR(INDEX('Case Studies'!$C$5:$C$54,MATCH(K285,'Case Studies'!$B$5:$B$54,0))&amp;"","case-study"),IF(J285&lt;&gt;"",IFERROR(INDEX(Settings!$J$5:$J$55,MATCH(J285,Settings!$I$5:$I$55,0)),"general"),"general")))</f>
        <v/>
      </c>
      <c r="Y285" s="24" t="str">
        <f aca="false">IF(A285="","",LOWER(A285))</f>
        <v/>
      </c>
      <c r="Z285" s="24" t="str">
        <f aca="false">IF(A285="","",IF(T285="",Settings!$B$5,T285)&amp;IF(ISNUMBER(FIND("?",IF(T285="",Settings!$B$5,T285))),"&amp;","?")&amp;"utm_source="&amp;V285&amp;"&amp;utm_medium="&amp;W285&amp;"&amp;utm_campaign="&amp;X285&amp;"&amp;utm_content="&amp;Y285)</f>
        <v/>
      </c>
      <c r="AA285" s="29"/>
      <c r="AB285" s="39"/>
      <c r="AC285" s="32"/>
      <c r="AD285" s="32"/>
      <c r="AE285" s="32"/>
      <c r="AF285" s="32"/>
      <c r="AG285" s="32"/>
      <c r="AH285" s="32"/>
      <c r="AI285" s="32"/>
      <c r="AJ285" s="32"/>
      <c r="AK285" s="32"/>
      <c r="AL285" s="32"/>
      <c r="AM285" s="32"/>
      <c r="AN285" s="32"/>
      <c r="AO285" s="33" t="str">
        <f aca="false">IF(A285="","",IF(AD285&lt;&gt;"",AD285,IF(AC285&lt;&gt;"",AC285,"")))</f>
        <v/>
      </c>
      <c r="AP285" s="24" t="str">
        <f aca="false">IF(AO285="","",IF(AD285&lt;&gt;"","Reported reach","Impressions (proxy)"))</f>
        <v/>
      </c>
      <c r="AQ285" s="34" t="str">
        <f aca="false">IF(OR(AO285="",N(S285)=0),"",AO285/S285)</f>
        <v/>
      </c>
      <c r="AR285" s="33" t="str">
        <f aca="false">IF(A285="","",IF(COUNT(AF285:AJ285)=0,"",SUM(AF285:AJ285)))</f>
        <v/>
      </c>
      <c r="AS285" s="34" t="str">
        <f aca="false">IF(OR(AR285="",N(AO285)=0),"",AR285/AO285)</f>
        <v/>
      </c>
      <c r="AT285" s="34" t="str">
        <f aca="false">IF(OR(AR285="",N(AC285)=0),"",AR285/AC285)</f>
        <v/>
      </c>
      <c r="AU285" s="34" t="str">
        <f aca="false">IF(OR(AR285="",N(S285)=0),"",AR285/S285)</f>
        <v/>
      </c>
      <c r="AV285" s="34" t="str">
        <f aca="false">IF(OR(AJ285="",N(AC285)=0),"",AJ285/AC285)</f>
        <v/>
      </c>
      <c r="AW285" s="34" t="str">
        <f aca="false">IF(OR(AH285="",N(AO285)=0),"",AH285/AO285)</f>
        <v/>
      </c>
      <c r="AX285" s="35" t="str">
        <f aca="false">IF(OR(AR285="",N(AO285)=0),"",(N(AF285)*Settings!$B$6+N(AG285)*Settings!$B$7+N(AH285)*Settings!$B$8+N(AI285)*Settings!$B$9+N(AJ285)*Settings!$B$10)/AO285*1000)</f>
        <v/>
      </c>
      <c r="AY285" s="36" t="str">
        <f aca="false">IF(AS285="","",IFERROR(AS285/AVERAGEIFS('Post Tracker'!$AS$5:$AS$1004,'Post Tracker'!$G$5:$G$1004,G285),""))</f>
        <v/>
      </c>
      <c r="AZ285" s="32"/>
      <c r="BA285" s="32"/>
      <c r="BB285" s="32"/>
      <c r="BC285" s="32"/>
      <c r="BD285" s="33" t="str">
        <f aca="false">IF(A285="","",COUNTIFS('Demo Pipeline'!$Q$5:$Q$504,A285))</f>
        <v/>
      </c>
      <c r="BE285" s="33" t="str">
        <f aca="false">IF(A285="","",COUNTIFS('Demo Pipeline'!$Q$5:$Q$504,A285,'Demo Pipeline'!$W$5:$W$504,"Attended"))</f>
        <v/>
      </c>
      <c r="BF285" s="33" t="str">
        <f aca="false">IF(A285="","",COUNTIFS('Demo Pipeline'!$Q$5:$Q$504,A285,'Demo Pipeline'!$X$5:$X$504,"Yes"))</f>
        <v/>
      </c>
      <c r="BG285" s="33" t="str">
        <f aca="false">IF(A285="","",COUNTIFS('Demo Pipeline'!$Q$5:$Q$504,A285,'Demo Pipeline'!$Y$5:$Y$504,"Closed Won"))</f>
        <v/>
      </c>
      <c r="BH285" s="37" t="str">
        <f aca="false">IF(A285="","",SUMIFS('Demo Pipeline'!$Z$5:$Z$504,'Demo Pipeline'!$Q$5:$Q$504,A285))</f>
        <v/>
      </c>
      <c r="BI285" s="34" t="str">
        <f aca="false">IF(OR(AZ285="",N(AJ285)=0),"",AZ285/AJ285)</f>
        <v/>
      </c>
      <c r="BJ285" s="34" t="str">
        <f aca="false">IF(OR(BB285="",N(AZ285)=0),"",BB285/AZ285)</f>
        <v/>
      </c>
      <c r="BK285" s="34" t="str">
        <f aca="false">IF(OR(A285="",N(BB285)=0),"",BD285/BB285)</f>
        <v/>
      </c>
      <c r="BL285" s="34" t="str">
        <f aca="false">IF(OR(A285="",N(AZ285)=0),"",BD285/AZ285)</f>
        <v/>
      </c>
      <c r="BM285" s="37" t="str">
        <f aca="false">IF(OR(N(Q285)=0,N(BD285)=0),"",Q285/BD285)</f>
        <v/>
      </c>
      <c r="BN285" s="29"/>
      <c r="BO285" s="29"/>
      <c r="BP285" s="33" t="str">
        <f aca="false">IF(OR(AR285="",N(AO285)=0),"",AR285)</f>
        <v/>
      </c>
      <c r="BQ285" s="33" t="str">
        <f aca="false">IF(OR(AR285="",N(S285)=0),"",S285)</f>
        <v/>
      </c>
      <c r="BR285" s="38" t="str">
        <f aca="false">IF(AND(ISNUMBER(B285),B285&gt;=Dashboard!$C$4,B285&lt;=Dashboard!$F$4,ISNUMBER(AU285)),AU285+ROW()/10^9,"")</f>
        <v/>
      </c>
      <c r="BS285" s="38" t="str">
        <f aca="false">IF(AND(ISNUMBER(B285),B285&gt;=Dashboard!$C$4,B285&lt;=Dashboard!$F$4,A285&lt;&gt;""),N(BD285)+N(AU285)/100+ROW()/10^9,"")</f>
        <v/>
      </c>
    </row>
    <row r="286" customFormat="false" ht="15" hidden="false" customHeight="false" outlineLevel="0" collapsed="false">
      <c r="A286" s="24" t="str">
        <f aca="false">IF(OR(B286="",G286="",H286=""),"",IFERROR(INDEX(Settings!$E$5:$E$49,MATCH(G286,Settings!$D$5:$D$49,0))&amp;INDEX(Settings!$H$5:$H$47,MATCH(H286,Settings!$G$5:$G$47,0))&amp;"-"&amp;TEXT(B286,"yymmdd")&amp;"-"&amp;IF(C286="","0000",TEXT(C286,"hhmm")),"CHECK LISTS"))</f>
        <v/>
      </c>
      <c r="B286" s="39"/>
      <c r="C286" s="40"/>
      <c r="D286" s="24" t="str">
        <f aca="false">IF(B286="","",TEXT(B286,"ddd"))</f>
        <v/>
      </c>
      <c r="E286" s="27" t="str">
        <f aca="false">IF(B286="","",B286-WEEKDAY(B286,3))</f>
        <v/>
      </c>
      <c r="F286" s="24" t="str">
        <f aca="false">IF(B286="","",TEXT(B286,"yyyy-mm"))</f>
        <v/>
      </c>
      <c r="G286" s="29"/>
      <c r="H286" s="29"/>
      <c r="I286" s="29"/>
      <c r="J286" s="29"/>
      <c r="K286" s="29"/>
      <c r="L286" s="29"/>
      <c r="M286" s="29"/>
      <c r="N286" s="29"/>
      <c r="O286" s="29"/>
      <c r="P286" s="29"/>
      <c r="Q286" s="30"/>
      <c r="R286" s="29"/>
      <c r="S286" s="32"/>
      <c r="T286" s="29"/>
      <c r="U286" s="29"/>
      <c r="V286" s="24" t="str">
        <f aca="false">IF(A286="","",IFERROR(INDEX(Settings!$F$5:$F$49,MATCH(G286,Settings!$D$5:$D$49,0)),""))</f>
        <v/>
      </c>
      <c r="W286" s="24" t="str">
        <f aca="false">IF(A286="","",IF(OR(P286="",P286="Organic"),"social","paid_social"))</f>
        <v/>
      </c>
      <c r="X286" s="24" t="str">
        <f aca="false">IF(A286="","",IF(K286&lt;&gt;"",IFERROR(INDEX('Case Studies'!$C$5:$C$54,MATCH(K286,'Case Studies'!$B$5:$B$54,0))&amp;"","case-study"),IF(J286&lt;&gt;"",IFERROR(INDEX(Settings!$J$5:$J$55,MATCH(J286,Settings!$I$5:$I$55,0)),"general"),"general")))</f>
        <v/>
      </c>
      <c r="Y286" s="24" t="str">
        <f aca="false">IF(A286="","",LOWER(A286))</f>
        <v/>
      </c>
      <c r="Z286" s="24" t="str">
        <f aca="false">IF(A286="","",IF(T286="",Settings!$B$5,T286)&amp;IF(ISNUMBER(FIND("?",IF(T286="",Settings!$B$5,T286))),"&amp;","?")&amp;"utm_source="&amp;V286&amp;"&amp;utm_medium="&amp;W286&amp;"&amp;utm_campaign="&amp;X286&amp;"&amp;utm_content="&amp;Y286)</f>
        <v/>
      </c>
      <c r="AA286" s="29"/>
      <c r="AB286" s="39"/>
      <c r="AC286" s="32"/>
      <c r="AD286" s="32"/>
      <c r="AE286" s="32"/>
      <c r="AF286" s="32"/>
      <c r="AG286" s="32"/>
      <c r="AH286" s="32"/>
      <c r="AI286" s="32"/>
      <c r="AJ286" s="32"/>
      <c r="AK286" s="32"/>
      <c r="AL286" s="32"/>
      <c r="AM286" s="32"/>
      <c r="AN286" s="32"/>
      <c r="AO286" s="33" t="str">
        <f aca="false">IF(A286="","",IF(AD286&lt;&gt;"",AD286,IF(AC286&lt;&gt;"",AC286,"")))</f>
        <v/>
      </c>
      <c r="AP286" s="24" t="str">
        <f aca="false">IF(AO286="","",IF(AD286&lt;&gt;"","Reported reach","Impressions (proxy)"))</f>
        <v/>
      </c>
      <c r="AQ286" s="34" t="str">
        <f aca="false">IF(OR(AO286="",N(S286)=0),"",AO286/S286)</f>
        <v/>
      </c>
      <c r="AR286" s="33" t="str">
        <f aca="false">IF(A286="","",IF(COUNT(AF286:AJ286)=0,"",SUM(AF286:AJ286)))</f>
        <v/>
      </c>
      <c r="AS286" s="34" t="str">
        <f aca="false">IF(OR(AR286="",N(AO286)=0),"",AR286/AO286)</f>
        <v/>
      </c>
      <c r="AT286" s="34" t="str">
        <f aca="false">IF(OR(AR286="",N(AC286)=0),"",AR286/AC286)</f>
        <v/>
      </c>
      <c r="AU286" s="34" t="str">
        <f aca="false">IF(OR(AR286="",N(S286)=0),"",AR286/S286)</f>
        <v/>
      </c>
      <c r="AV286" s="34" t="str">
        <f aca="false">IF(OR(AJ286="",N(AC286)=0),"",AJ286/AC286)</f>
        <v/>
      </c>
      <c r="AW286" s="34" t="str">
        <f aca="false">IF(OR(AH286="",N(AO286)=0),"",AH286/AO286)</f>
        <v/>
      </c>
      <c r="AX286" s="35" t="str">
        <f aca="false">IF(OR(AR286="",N(AO286)=0),"",(N(AF286)*Settings!$B$6+N(AG286)*Settings!$B$7+N(AH286)*Settings!$B$8+N(AI286)*Settings!$B$9+N(AJ286)*Settings!$B$10)/AO286*1000)</f>
        <v/>
      </c>
      <c r="AY286" s="36" t="str">
        <f aca="false">IF(AS286="","",IFERROR(AS286/AVERAGEIFS('Post Tracker'!$AS$5:$AS$1004,'Post Tracker'!$G$5:$G$1004,G286),""))</f>
        <v/>
      </c>
      <c r="AZ286" s="32"/>
      <c r="BA286" s="32"/>
      <c r="BB286" s="32"/>
      <c r="BC286" s="32"/>
      <c r="BD286" s="33" t="str">
        <f aca="false">IF(A286="","",COUNTIFS('Demo Pipeline'!$Q$5:$Q$504,A286))</f>
        <v/>
      </c>
      <c r="BE286" s="33" t="str">
        <f aca="false">IF(A286="","",COUNTIFS('Demo Pipeline'!$Q$5:$Q$504,A286,'Demo Pipeline'!$W$5:$W$504,"Attended"))</f>
        <v/>
      </c>
      <c r="BF286" s="33" t="str">
        <f aca="false">IF(A286="","",COUNTIFS('Demo Pipeline'!$Q$5:$Q$504,A286,'Demo Pipeline'!$X$5:$X$504,"Yes"))</f>
        <v/>
      </c>
      <c r="BG286" s="33" t="str">
        <f aca="false">IF(A286="","",COUNTIFS('Demo Pipeline'!$Q$5:$Q$504,A286,'Demo Pipeline'!$Y$5:$Y$504,"Closed Won"))</f>
        <v/>
      </c>
      <c r="BH286" s="37" t="str">
        <f aca="false">IF(A286="","",SUMIFS('Demo Pipeline'!$Z$5:$Z$504,'Demo Pipeline'!$Q$5:$Q$504,A286))</f>
        <v/>
      </c>
      <c r="BI286" s="34" t="str">
        <f aca="false">IF(OR(AZ286="",N(AJ286)=0),"",AZ286/AJ286)</f>
        <v/>
      </c>
      <c r="BJ286" s="34" t="str">
        <f aca="false">IF(OR(BB286="",N(AZ286)=0),"",BB286/AZ286)</f>
        <v/>
      </c>
      <c r="BK286" s="34" t="str">
        <f aca="false">IF(OR(A286="",N(BB286)=0),"",BD286/BB286)</f>
        <v/>
      </c>
      <c r="BL286" s="34" t="str">
        <f aca="false">IF(OR(A286="",N(AZ286)=0),"",BD286/AZ286)</f>
        <v/>
      </c>
      <c r="BM286" s="37" t="str">
        <f aca="false">IF(OR(N(Q286)=0,N(BD286)=0),"",Q286/BD286)</f>
        <v/>
      </c>
      <c r="BN286" s="29"/>
      <c r="BO286" s="29"/>
      <c r="BP286" s="33" t="str">
        <f aca="false">IF(OR(AR286="",N(AO286)=0),"",AR286)</f>
        <v/>
      </c>
      <c r="BQ286" s="33" t="str">
        <f aca="false">IF(OR(AR286="",N(S286)=0),"",S286)</f>
        <v/>
      </c>
      <c r="BR286" s="38" t="str">
        <f aca="false">IF(AND(ISNUMBER(B286),B286&gt;=Dashboard!$C$4,B286&lt;=Dashboard!$F$4,ISNUMBER(AU286)),AU286+ROW()/10^9,"")</f>
        <v/>
      </c>
      <c r="BS286" s="38" t="str">
        <f aca="false">IF(AND(ISNUMBER(B286),B286&gt;=Dashboard!$C$4,B286&lt;=Dashboard!$F$4,A286&lt;&gt;""),N(BD286)+N(AU286)/100+ROW()/10^9,"")</f>
        <v/>
      </c>
    </row>
    <row r="287" customFormat="false" ht="15" hidden="false" customHeight="false" outlineLevel="0" collapsed="false">
      <c r="A287" s="24" t="str">
        <f aca="false">IF(OR(B287="",G287="",H287=""),"",IFERROR(INDEX(Settings!$E$5:$E$49,MATCH(G287,Settings!$D$5:$D$49,0))&amp;INDEX(Settings!$H$5:$H$47,MATCH(H287,Settings!$G$5:$G$47,0))&amp;"-"&amp;TEXT(B287,"yymmdd")&amp;"-"&amp;IF(C287="","0000",TEXT(C287,"hhmm")),"CHECK LISTS"))</f>
        <v/>
      </c>
      <c r="B287" s="39"/>
      <c r="C287" s="40"/>
      <c r="D287" s="24" t="str">
        <f aca="false">IF(B287="","",TEXT(B287,"ddd"))</f>
        <v/>
      </c>
      <c r="E287" s="27" t="str">
        <f aca="false">IF(B287="","",B287-WEEKDAY(B287,3))</f>
        <v/>
      </c>
      <c r="F287" s="24" t="str">
        <f aca="false">IF(B287="","",TEXT(B287,"yyyy-mm"))</f>
        <v/>
      </c>
      <c r="G287" s="29"/>
      <c r="H287" s="29"/>
      <c r="I287" s="29"/>
      <c r="J287" s="29"/>
      <c r="K287" s="29"/>
      <c r="L287" s="29"/>
      <c r="M287" s="29"/>
      <c r="N287" s="29"/>
      <c r="O287" s="29"/>
      <c r="P287" s="29"/>
      <c r="Q287" s="30"/>
      <c r="R287" s="29"/>
      <c r="S287" s="32"/>
      <c r="T287" s="29"/>
      <c r="U287" s="29"/>
      <c r="V287" s="24" t="str">
        <f aca="false">IF(A287="","",IFERROR(INDEX(Settings!$F$5:$F$49,MATCH(G287,Settings!$D$5:$D$49,0)),""))</f>
        <v/>
      </c>
      <c r="W287" s="24" t="str">
        <f aca="false">IF(A287="","",IF(OR(P287="",P287="Organic"),"social","paid_social"))</f>
        <v/>
      </c>
      <c r="X287" s="24" t="str">
        <f aca="false">IF(A287="","",IF(K287&lt;&gt;"",IFERROR(INDEX('Case Studies'!$C$5:$C$54,MATCH(K287,'Case Studies'!$B$5:$B$54,0))&amp;"","case-study"),IF(J287&lt;&gt;"",IFERROR(INDEX(Settings!$J$5:$J$55,MATCH(J287,Settings!$I$5:$I$55,0)),"general"),"general")))</f>
        <v/>
      </c>
      <c r="Y287" s="24" t="str">
        <f aca="false">IF(A287="","",LOWER(A287))</f>
        <v/>
      </c>
      <c r="Z287" s="24" t="str">
        <f aca="false">IF(A287="","",IF(T287="",Settings!$B$5,T287)&amp;IF(ISNUMBER(FIND("?",IF(T287="",Settings!$B$5,T287))),"&amp;","?")&amp;"utm_source="&amp;V287&amp;"&amp;utm_medium="&amp;W287&amp;"&amp;utm_campaign="&amp;X287&amp;"&amp;utm_content="&amp;Y287)</f>
        <v/>
      </c>
      <c r="AA287" s="29"/>
      <c r="AB287" s="39"/>
      <c r="AC287" s="32"/>
      <c r="AD287" s="32"/>
      <c r="AE287" s="32"/>
      <c r="AF287" s="32"/>
      <c r="AG287" s="32"/>
      <c r="AH287" s="32"/>
      <c r="AI287" s="32"/>
      <c r="AJ287" s="32"/>
      <c r="AK287" s="32"/>
      <c r="AL287" s="32"/>
      <c r="AM287" s="32"/>
      <c r="AN287" s="32"/>
      <c r="AO287" s="33" t="str">
        <f aca="false">IF(A287="","",IF(AD287&lt;&gt;"",AD287,IF(AC287&lt;&gt;"",AC287,"")))</f>
        <v/>
      </c>
      <c r="AP287" s="24" t="str">
        <f aca="false">IF(AO287="","",IF(AD287&lt;&gt;"","Reported reach","Impressions (proxy)"))</f>
        <v/>
      </c>
      <c r="AQ287" s="34" t="str">
        <f aca="false">IF(OR(AO287="",N(S287)=0),"",AO287/S287)</f>
        <v/>
      </c>
      <c r="AR287" s="33" t="str">
        <f aca="false">IF(A287="","",IF(COUNT(AF287:AJ287)=0,"",SUM(AF287:AJ287)))</f>
        <v/>
      </c>
      <c r="AS287" s="34" t="str">
        <f aca="false">IF(OR(AR287="",N(AO287)=0),"",AR287/AO287)</f>
        <v/>
      </c>
      <c r="AT287" s="34" t="str">
        <f aca="false">IF(OR(AR287="",N(AC287)=0),"",AR287/AC287)</f>
        <v/>
      </c>
      <c r="AU287" s="34" t="str">
        <f aca="false">IF(OR(AR287="",N(S287)=0),"",AR287/S287)</f>
        <v/>
      </c>
      <c r="AV287" s="34" t="str">
        <f aca="false">IF(OR(AJ287="",N(AC287)=0),"",AJ287/AC287)</f>
        <v/>
      </c>
      <c r="AW287" s="34" t="str">
        <f aca="false">IF(OR(AH287="",N(AO287)=0),"",AH287/AO287)</f>
        <v/>
      </c>
      <c r="AX287" s="35" t="str">
        <f aca="false">IF(OR(AR287="",N(AO287)=0),"",(N(AF287)*Settings!$B$6+N(AG287)*Settings!$B$7+N(AH287)*Settings!$B$8+N(AI287)*Settings!$B$9+N(AJ287)*Settings!$B$10)/AO287*1000)</f>
        <v/>
      </c>
      <c r="AY287" s="36" t="str">
        <f aca="false">IF(AS287="","",IFERROR(AS287/AVERAGEIFS('Post Tracker'!$AS$5:$AS$1004,'Post Tracker'!$G$5:$G$1004,G287),""))</f>
        <v/>
      </c>
      <c r="AZ287" s="32"/>
      <c r="BA287" s="32"/>
      <c r="BB287" s="32"/>
      <c r="BC287" s="32"/>
      <c r="BD287" s="33" t="str">
        <f aca="false">IF(A287="","",COUNTIFS('Demo Pipeline'!$Q$5:$Q$504,A287))</f>
        <v/>
      </c>
      <c r="BE287" s="33" t="str">
        <f aca="false">IF(A287="","",COUNTIFS('Demo Pipeline'!$Q$5:$Q$504,A287,'Demo Pipeline'!$W$5:$W$504,"Attended"))</f>
        <v/>
      </c>
      <c r="BF287" s="33" t="str">
        <f aca="false">IF(A287="","",COUNTIFS('Demo Pipeline'!$Q$5:$Q$504,A287,'Demo Pipeline'!$X$5:$X$504,"Yes"))</f>
        <v/>
      </c>
      <c r="BG287" s="33" t="str">
        <f aca="false">IF(A287="","",COUNTIFS('Demo Pipeline'!$Q$5:$Q$504,A287,'Demo Pipeline'!$Y$5:$Y$504,"Closed Won"))</f>
        <v/>
      </c>
      <c r="BH287" s="37" t="str">
        <f aca="false">IF(A287="","",SUMIFS('Demo Pipeline'!$Z$5:$Z$504,'Demo Pipeline'!$Q$5:$Q$504,A287))</f>
        <v/>
      </c>
      <c r="BI287" s="34" t="str">
        <f aca="false">IF(OR(AZ287="",N(AJ287)=0),"",AZ287/AJ287)</f>
        <v/>
      </c>
      <c r="BJ287" s="34" t="str">
        <f aca="false">IF(OR(BB287="",N(AZ287)=0),"",BB287/AZ287)</f>
        <v/>
      </c>
      <c r="BK287" s="34" t="str">
        <f aca="false">IF(OR(A287="",N(BB287)=0),"",BD287/BB287)</f>
        <v/>
      </c>
      <c r="BL287" s="34" t="str">
        <f aca="false">IF(OR(A287="",N(AZ287)=0),"",BD287/AZ287)</f>
        <v/>
      </c>
      <c r="BM287" s="37" t="str">
        <f aca="false">IF(OR(N(Q287)=0,N(BD287)=0),"",Q287/BD287)</f>
        <v/>
      </c>
      <c r="BN287" s="29"/>
      <c r="BO287" s="29"/>
      <c r="BP287" s="33" t="str">
        <f aca="false">IF(OR(AR287="",N(AO287)=0),"",AR287)</f>
        <v/>
      </c>
      <c r="BQ287" s="33" t="str">
        <f aca="false">IF(OR(AR287="",N(S287)=0),"",S287)</f>
        <v/>
      </c>
      <c r="BR287" s="38" t="str">
        <f aca="false">IF(AND(ISNUMBER(B287),B287&gt;=Dashboard!$C$4,B287&lt;=Dashboard!$F$4,ISNUMBER(AU287)),AU287+ROW()/10^9,"")</f>
        <v/>
      </c>
      <c r="BS287" s="38" t="str">
        <f aca="false">IF(AND(ISNUMBER(B287),B287&gt;=Dashboard!$C$4,B287&lt;=Dashboard!$F$4,A287&lt;&gt;""),N(BD287)+N(AU287)/100+ROW()/10^9,"")</f>
        <v/>
      </c>
    </row>
    <row r="288" customFormat="false" ht="15" hidden="false" customHeight="false" outlineLevel="0" collapsed="false">
      <c r="A288" s="24" t="str">
        <f aca="false">IF(OR(B288="",G288="",H288=""),"",IFERROR(INDEX(Settings!$E$5:$E$49,MATCH(G288,Settings!$D$5:$D$49,0))&amp;INDEX(Settings!$H$5:$H$47,MATCH(H288,Settings!$G$5:$G$47,0))&amp;"-"&amp;TEXT(B288,"yymmdd")&amp;"-"&amp;IF(C288="","0000",TEXT(C288,"hhmm")),"CHECK LISTS"))</f>
        <v/>
      </c>
      <c r="B288" s="39"/>
      <c r="C288" s="40"/>
      <c r="D288" s="24" t="str">
        <f aca="false">IF(B288="","",TEXT(B288,"ddd"))</f>
        <v/>
      </c>
      <c r="E288" s="27" t="str">
        <f aca="false">IF(B288="","",B288-WEEKDAY(B288,3))</f>
        <v/>
      </c>
      <c r="F288" s="24" t="str">
        <f aca="false">IF(B288="","",TEXT(B288,"yyyy-mm"))</f>
        <v/>
      </c>
      <c r="G288" s="29"/>
      <c r="H288" s="29"/>
      <c r="I288" s="29"/>
      <c r="J288" s="29"/>
      <c r="K288" s="29"/>
      <c r="L288" s="29"/>
      <c r="M288" s="29"/>
      <c r="N288" s="29"/>
      <c r="O288" s="29"/>
      <c r="P288" s="29"/>
      <c r="Q288" s="30"/>
      <c r="R288" s="29"/>
      <c r="S288" s="32"/>
      <c r="T288" s="29"/>
      <c r="U288" s="29"/>
      <c r="V288" s="24" t="str">
        <f aca="false">IF(A288="","",IFERROR(INDEX(Settings!$F$5:$F$49,MATCH(G288,Settings!$D$5:$D$49,0)),""))</f>
        <v/>
      </c>
      <c r="W288" s="24" t="str">
        <f aca="false">IF(A288="","",IF(OR(P288="",P288="Organic"),"social","paid_social"))</f>
        <v/>
      </c>
      <c r="X288" s="24" t="str">
        <f aca="false">IF(A288="","",IF(K288&lt;&gt;"",IFERROR(INDEX('Case Studies'!$C$5:$C$54,MATCH(K288,'Case Studies'!$B$5:$B$54,0))&amp;"","case-study"),IF(J288&lt;&gt;"",IFERROR(INDEX(Settings!$J$5:$J$55,MATCH(J288,Settings!$I$5:$I$55,0)),"general"),"general")))</f>
        <v/>
      </c>
      <c r="Y288" s="24" t="str">
        <f aca="false">IF(A288="","",LOWER(A288))</f>
        <v/>
      </c>
      <c r="Z288" s="24" t="str">
        <f aca="false">IF(A288="","",IF(T288="",Settings!$B$5,T288)&amp;IF(ISNUMBER(FIND("?",IF(T288="",Settings!$B$5,T288))),"&amp;","?")&amp;"utm_source="&amp;V288&amp;"&amp;utm_medium="&amp;W288&amp;"&amp;utm_campaign="&amp;X288&amp;"&amp;utm_content="&amp;Y288)</f>
        <v/>
      </c>
      <c r="AA288" s="29"/>
      <c r="AB288" s="39"/>
      <c r="AC288" s="32"/>
      <c r="AD288" s="32"/>
      <c r="AE288" s="32"/>
      <c r="AF288" s="32"/>
      <c r="AG288" s="32"/>
      <c r="AH288" s="32"/>
      <c r="AI288" s="32"/>
      <c r="AJ288" s="32"/>
      <c r="AK288" s="32"/>
      <c r="AL288" s="32"/>
      <c r="AM288" s="32"/>
      <c r="AN288" s="32"/>
      <c r="AO288" s="33" t="str">
        <f aca="false">IF(A288="","",IF(AD288&lt;&gt;"",AD288,IF(AC288&lt;&gt;"",AC288,"")))</f>
        <v/>
      </c>
      <c r="AP288" s="24" t="str">
        <f aca="false">IF(AO288="","",IF(AD288&lt;&gt;"","Reported reach","Impressions (proxy)"))</f>
        <v/>
      </c>
      <c r="AQ288" s="34" t="str">
        <f aca="false">IF(OR(AO288="",N(S288)=0),"",AO288/S288)</f>
        <v/>
      </c>
      <c r="AR288" s="33" t="str">
        <f aca="false">IF(A288="","",IF(COUNT(AF288:AJ288)=0,"",SUM(AF288:AJ288)))</f>
        <v/>
      </c>
      <c r="AS288" s="34" t="str">
        <f aca="false">IF(OR(AR288="",N(AO288)=0),"",AR288/AO288)</f>
        <v/>
      </c>
      <c r="AT288" s="34" t="str">
        <f aca="false">IF(OR(AR288="",N(AC288)=0),"",AR288/AC288)</f>
        <v/>
      </c>
      <c r="AU288" s="34" t="str">
        <f aca="false">IF(OR(AR288="",N(S288)=0),"",AR288/S288)</f>
        <v/>
      </c>
      <c r="AV288" s="34" t="str">
        <f aca="false">IF(OR(AJ288="",N(AC288)=0),"",AJ288/AC288)</f>
        <v/>
      </c>
      <c r="AW288" s="34" t="str">
        <f aca="false">IF(OR(AH288="",N(AO288)=0),"",AH288/AO288)</f>
        <v/>
      </c>
      <c r="AX288" s="35" t="str">
        <f aca="false">IF(OR(AR288="",N(AO288)=0),"",(N(AF288)*Settings!$B$6+N(AG288)*Settings!$B$7+N(AH288)*Settings!$B$8+N(AI288)*Settings!$B$9+N(AJ288)*Settings!$B$10)/AO288*1000)</f>
        <v/>
      </c>
      <c r="AY288" s="36" t="str">
        <f aca="false">IF(AS288="","",IFERROR(AS288/AVERAGEIFS('Post Tracker'!$AS$5:$AS$1004,'Post Tracker'!$G$5:$G$1004,G288),""))</f>
        <v/>
      </c>
      <c r="AZ288" s="32"/>
      <c r="BA288" s="32"/>
      <c r="BB288" s="32"/>
      <c r="BC288" s="32"/>
      <c r="BD288" s="33" t="str">
        <f aca="false">IF(A288="","",COUNTIFS('Demo Pipeline'!$Q$5:$Q$504,A288))</f>
        <v/>
      </c>
      <c r="BE288" s="33" t="str">
        <f aca="false">IF(A288="","",COUNTIFS('Demo Pipeline'!$Q$5:$Q$504,A288,'Demo Pipeline'!$W$5:$W$504,"Attended"))</f>
        <v/>
      </c>
      <c r="BF288" s="33" t="str">
        <f aca="false">IF(A288="","",COUNTIFS('Demo Pipeline'!$Q$5:$Q$504,A288,'Demo Pipeline'!$X$5:$X$504,"Yes"))</f>
        <v/>
      </c>
      <c r="BG288" s="33" t="str">
        <f aca="false">IF(A288="","",COUNTIFS('Demo Pipeline'!$Q$5:$Q$504,A288,'Demo Pipeline'!$Y$5:$Y$504,"Closed Won"))</f>
        <v/>
      </c>
      <c r="BH288" s="37" t="str">
        <f aca="false">IF(A288="","",SUMIFS('Demo Pipeline'!$Z$5:$Z$504,'Demo Pipeline'!$Q$5:$Q$504,A288))</f>
        <v/>
      </c>
      <c r="BI288" s="34" t="str">
        <f aca="false">IF(OR(AZ288="",N(AJ288)=0),"",AZ288/AJ288)</f>
        <v/>
      </c>
      <c r="BJ288" s="34" t="str">
        <f aca="false">IF(OR(BB288="",N(AZ288)=0),"",BB288/AZ288)</f>
        <v/>
      </c>
      <c r="BK288" s="34" t="str">
        <f aca="false">IF(OR(A288="",N(BB288)=0),"",BD288/BB288)</f>
        <v/>
      </c>
      <c r="BL288" s="34" t="str">
        <f aca="false">IF(OR(A288="",N(AZ288)=0),"",BD288/AZ288)</f>
        <v/>
      </c>
      <c r="BM288" s="37" t="str">
        <f aca="false">IF(OR(N(Q288)=0,N(BD288)=0),"",Q288/BD288)</f>
        <v/>
      </c>
      <c r="BN288" s="29"/>
      <c r="BO288" s="29"/>
      <c r="BP288" s="33" t="str">
        <f aca="false">IF(OR(AR288="",N(AO288)=0),"",AR288)</f>
        <v/>
      </c>
      <c r="BQ288" s="33" t="str">
        <f aca="false">IF(OR(AR288="",N(S288)=0),"",S288)</f>
        <v/>
      </c>
      <c r="BR288" s="38" t="str">
        <f aca="false">IF(AND(ISNUMBER(B288),B288&gt;=Dashboard!$C$4,B288&lt;=Dashboard!$F$4,ISNUMBER(AU288)),AU288+ROW()/10^9,"")</f>
        <v/>
      </c>
      <c r="BS288" s="38" t="str">
        <f aca="false">IF(AND(ISNUMBER(B288),B288&gt;=Dashboard!$C$4,B288&lt;=Dashboard!$F$4,A288&lt;&gt;""),N(BD288)+N(AU288)/100+ROW()/10^9,"")</f>
        <v/>
      </c>
    </row>
    <row r="289" customFormat="false" ht="15" hidden="false" customHeight="false" outlineLevel="0" collapsed="false">
      <c r="A289" s="24" t="str">
        <f aca="false">IF(OR(B289="",G289="",H289=""),"",IFERROR(INDEX(Settings!$E$5:$E$49,MATCH(G289,Settings!$D$5:$D$49,0))&amp;INDEX(Settings!$H$5:$H$47,MATCH(H289,Settings!$G$5:$G$47,0))&amp;"-"&amp;TEXT(B289,"yymmdd")&amp;"-"&amp;IF(C289="","0000",TEXT(C289,"hhmm")),"CHECK LISTS"))</f>
        <v/>
      </c>
      <c r="B289" s="39"/>
      <c r="C289" s="40"/>
      <c r="D289" s="24" t="str">
        <f aca="false">IF(B289="","",TEXT(B289,"ddd"))</f>
        <v/>
      </c>
      <c r="E289" s="27" t="str">
        <f aca="false">IF(B289="","",B289-WEEKDAY(B289,3))</f>
        <v/>
      </c>
      <c r="F289" s="24" t="str">
        <f aca="false">IF(B289="","",TEXT(B289,"yyyy-mm"))</f>
        <v/>
      </c>
      <c r="G289" s="29"/>
      <c r="H289" s="29"/>
      <c r="I289" s="29"/>
      <c r="J289" s="29"/>
      <c r="K289" s="29"/>
      <c r="L289" s="29"/>
      <c r="M289" s="29"/>
      <c r="N289" s="29"/>
      <c r="O289" s="29"/>
      <c r="P289" s="29"/>
      <c r="Q289" s="30"/>
      <c r="R289" s="29"/>
      <c r="S289" s="32"/>
      <c r="T289" s="29"/>
      <c r="U289" s="29"/>
      <c r="V289" s="24" t="str">
        <f aca="false">IF(A289="","",IFERROR(INDEX(Settings!$F$5:$F$49,MATCH(G289,Settings!$D$5:$D$49,0)),""))</f>
        <v/>
      </c>
      <c r="W289" s="24" t="str">
        <f aca="false">IF(A289="","",IF(OR(P289="",P289="Organic"),"social","paid_social"))</f>
        <v/>
      </c>
      <c r="X289" s="24" t="str">
        <f aca="false">IF(A289="","",IF(K289&lt;&gt;"",IFERROR(INDEX('Case Studies'!$C$5:$C$54,MATCH(K289,'Case Studies'!$B$5:$B$54,0))&amp;"","case-study"),IF(J289&lt;&gt;"",IFERROR(INDEX(Settings!$J$5:$J$55,MATCH(J289,Settings!$I$5:$I$55,0)),"general"),"general")))</f>
        <v/>
      </c>
      <c r="Y289" s="24" t="str">
        <f aca="false">IF(A289="","",LOWER(A289))</f>
        <v/>
      </c>
      <c r="Z289" s="24" t="str">
        <f aca="false">IF(A289="","",IF(T289="",Settings!$B$5,T289)&amp;IF(ISNUMBER(FIND("?",IF(T289="",Settings!$B$5,T289))),"&amp;","?")&amp;"utm_source="&amp;V289&amp;"&amp;utm_medium="&amp;W289&amp;"&amp;utm_campaign="&amp;X289&amp;"&amp;utm_content="&amp;Y289)</f>
        <v/>
      </c>
      <c r="AA289" s="29"/>
      <c r="AB289" s="39"/>
      <c r="AC289" s="32"/>
      <c r="AD289" s="32"/>
      <c r="AE289" s="32"/>
      <c r="AF289" s="32"/>
      <c r="AG289" s="32"/>
      <c r="AH289" s="32"/>
      <c r="AI289" s="32"/>
      <c r="AJ289" s="32"/>
      <c r="AK289" s="32"/>
      <c r="AL289" s="32"/>
      <c r="AM289" s="32"/>
      <c r="AN289" s="32"/>
      <c r="AO289" s="33" t="str">
        <f aca="false">IF(A289="","",IF(AD289&lt;&gt;"",AD289,IF(AC289&lt;&gt;"",AC289,"")))</f>
        <v/>
      </c>
      <c r="AP289" s="24" t="str">
        <f aca="false">IF(AO289="","",IF(AD289&lt;&gt;"","Reported reach","Impressions (proxy)"))</f>
        <v/>
      </c>
      <c r="AQ289" s="34" t="str">
        <f aca="false">IF(OR(AO289="",N(S289)=0),"",AO289/S289)</f>
        <v/>
      </c>
      <c r="AR289" s="33" t="str">
        <f aca="false">IF(A289="","",IF(COUNT(AF289:AJ289)=0,"",SUM(AF289:AJ289)))</f>
        <v/>
      </c>
      <c r="AS289" s="34" t="str">
        <f aca="false">IF(OR(AR289="",N(AO289)=0),"",AR289/AO289)</f>
        <v/>
      </c>
      <c r="AT289" s="34" t="str">
        <f aca="false">IF(OR(AR289="",N(AC289)=0),"",AR289/AC289)</f>
        <v/>
      </c>
      <c r="AU289" s="34" t="str">
        <f aca="false">IF(OR(AR289="",N(S289)=0),"",AR289/S289)</f>
        <v/>
      </c>
      <c r="AV289" s="34" t="str">
        <f aca="false">IF(OR(AJ289="",N(AC289)=0),"",AJ289/AC289)</f>
        <v/>
      </c>
      <c r="AW289" s="34" t="str">
        <f aca="false">IF(OR(AH289="",N(AO289)=0),"",AH289/AO289)</f>
        <v/>
      </c>
      <c r="AX289" s="35" t="str">
        <f aca="false">IF(OR(AR289="",N(AO289)=0),"",(N(AF289)*Settings!$B$6+N(AG289)*Settings!$B$7+N(AH289)*Settings!$B$8+N(AI289)*Settings!$B$9+N(AJ289)*Settings!$B$10)/AO289*1000)</f>
        <v/>
      </c>
      <c r="AY289" s="36" t="str">
        <f aca="false">IF(AS289="","",IFERROR(AS289/AVERAGEIFS('Post Tracker'!$AS$5:$AS$1004,'Post Tracker'!$G$5:$G$1004,G289),""))</f>
        <v/>
      </c>
      <c r="AZ289" s="32"/>
      <c r="BA289" s="32"/>
      <c r="BB289" s="32"/>
      <c r="BC289" s="32"/>
      <c r="BD289" s="33" t="str">
        <f aca="false">IF(A289="","",COUNTIFS('Demo Pipeline'!$Q$5:$Q$504,A289))</f>
        <v/>
      </c>
      <c r="BE289" s="33" t="str">
        <f aca="false">IF(A289="","",COUNTIFS('Demo Pipeline'!$Q$5:$Q$504,A289,'Demo Pipeline'!$W$5:$W$504,"Attended"))</f>
        <v/>
      </c>
      <c r="BF289" s="33" t="str">
        <f aca="false">IF(A289="","",COUNTIFS('Demo Pipeline'!$Q$5:$Q$504,A289,'Demo Pipeline'!$X$5:$X$504,"Yes"))</f>
        <v/>
      </c>
      <c r="BG289" s="33" t="str">
        <f aca="false">IF(A289="","",COUNTIFS('Demo Pipeline'!$Q$5:$Q$504,A289,'Demo Pipeline'!$Y$5:$Y$504,"Closed Won"))</f>
        <v/>
      </c>
      <c r="BH289" s="37" t="str">
        <f aca="false">IF(A289="","",SUMIFS('Demo Pipeline'!$Z$5:$Z$504,'Demo Pipeline'!$Q$5:$Q$504,A289))</f>
        <v/>
      </c>
      <c r="BI289" s="34" t="str">
        <f aca="false">IF(OR(AZ289="",N(AJ289)=0),"",AZ289/AJ289)</f>
        <v/>
      </c>
      <c r="BJ289" s="34" t="str">
        <f aca="false">IF(OR(BB289="",N(AZ289)=0),"",BB289/AZ289)</f>
        <v/>
      </c>
      <c r="BK289" s="34" t="str">
        <f aca="false">IF(OR(A289="",N(BB289)=0),"",BD289/BB289)</f>
        <v/>
      </c>
      <c r="BL289" s="34" t="str">
        <f aca="false">IF(OR(A289="",N(AZ289)=0),"",BD289/AZ289)</f>
        <v/>
      </c>
      <c r="BM289" s="37" t="str">
        <f aca="false">IF(OR(N(Q289)=0,N(BD289)=0),"",Q289/BD289)</f>
        <v/>
      </c>
      <c r="BN289" s="29"/>
      <c r="BO289" s="29"/>
      <c r="BP289" s="33" t="str">
        <f aca="false">IF(OR(AR289="",N(AO289)=0),"",AR289)</f>
        <v/>
      </c>
      <c r="BQ289" s="33" t="str">
        <f aca="false">IF(OR(AR289="",N(S289)=0),"",S289)</f>
        <v/>
      </c>
      <c r="BR289" s="38" t="str">
        <f aca="false">IF(AND(ISNUMBER(B289),B289&gt;=Dashboard!$C$4,B289&lt;=Dashboard!$F$4,ISNUMBER(AU289)),AU289+ROW()/10^9,"")</f>
        <v/>
      </c>
      <c r="BS289" s="38" t="str">
        <f aca="false">IF(AND(ISNUMBER(B289),B289&gt;=Dashboard!$C$4,B289&lt;=Dashboard!$F$4,A289&lt;&gt;""),N(BD289)+N(AU289)/100+ROW()/10^9,"")</f>
        <v/>
      </c>
    </row>
    <row r="290" customFormat="false" ht="15" hidden="false" customHeight="false" outlineLevel="0" collapsed="false">
      <c r="A290" s="24" t="str">
        <f aca="false">IF(OR(B290="",G290="",H290=""),"",IFERROR(INDEX(Settings!$E$5:$E$49,MATCH(G290,Settings!$D$5:$D$49,0))&amp;INDEX(Settings!$H$5:$H$47,MATCH(H290,Settings!$G$5:$G$47,0))&amp;"-"&amp;TEXT(B290,"yymmdd")&amp;"-"&amp;IF(C290="","0000",TEXT(C290,"hhmm")),"CHECK LISTS"))</f>
        <v/>
      </c>
      <c r="B290" s="39"/>
      <c r="C290" s="40"/>
      <c r="D290" s="24" t="str">
        <f aca="false">IF(B290="","",TEXT(B290,"ddd"))</f>
        <v/>
      </c>
      <c r="E290" s="27" t="str">
        <f aca="false">IF(B290="","",B290-WEEKDAY(B290,3))</f>
        <v/>
      </c>
      <c r="F290" s="24" t="str">
        <f aca="false">IF(B290="","",TEXT(B290,"yyyy-mm"))</f>
        <v/>
      </c>
      <c r="G290" s="29"/>
      <c r="H290" s="29"/>
      <c r="I290" s="29"/>
      <c r="J290" s="29"/>
      <c r="K290" s="29"/>
      <c r="L290" s="29"/>
      <c r="M290" s="29"/>
      <c r="N290" s="29"/>
      <c r="O290" s="29"/>
      <c r="P290" s="29"/>
      <c r="Q290" s="30"/>
      <c r="R290" s="29"/>
      <c r="S290" s="32"/>
      <c r="T290" s="29"/>
      <c r="U290" s="29"/>
      <c r="V290" s="24" t="str">
        <f aca="false">IF(A290="","",IFERROR(INDEX(Settings!$F$5:$F$49,MATCH(G290,Settings!$D$5:$D$49,0)),""))</f>
        <v/>
      </c>
      <c r="W290" s="24" t="str">
        <f aca="false">IF(A290="","",IF(OR(P290="",P290="Organic"),"social","paid_social"))</f>
        <v/>
      </c>
      <c r="X290" s="24" t="str">
        <f aca="false">IF(A290="","",IF(K290&lt;&gt;"",IFERROR(INDEX('Case Studies'!$C$5:$C$54,MATCH(K290,'Case Studies'!$B$5:$B$54,0))&amp;"","case-study"),IF(J290&lt;&gt;"",IFERROR(INDEX(Settings!$J$5:$J$55,MATCH(J290,Settings!$I$5:$I$55,0)),"general"),"general")))</f>
        <v/>
      </c>
      <c r="Y290" s="24" t="str">
        <f aca="false">IF(A290="","",LOWER(A290))</f>
        <v/>
      </c>
      <c r="Z290" s="24" t="str">
        <f aca="false">IF(A290="","",IF(T290="",Settings!$B$5,T290)&amp;IF(ISNUMBER(FIND("?",IF(T290="",Settings!$B$5,T290))),"&amp;","?")&amp;"utm_source="&amp;V290&amp;"&amp;utm_medium="&amp;W290&amp;"&amp;utm_campaign="&amp;X290&amp;"&amp;utm_content="&amp;Y290)</f>
        <v/>
      </c>
      <c r="AA290" s="29"/>
      <c r="AB290" s="39"/>
      <c r="AC290" s="32"/>
      <c r="AD290" s="32"/>
      <c r="AE290" s="32"/>
      <c r="AF290" s="32"/>
      <c r="AG290" s="32"/>
      <c r="AH290" s="32"/>
      <c r="AI290" s="32"/>
      <c r="AJ290" s="32"/>
      <c r="AK290" s="32"/>
      <c r="AL290" s="32"/>
      <c r="AM290" s="32"/>
      <c r="AN290" s="32"/>
      <c r="AO290" s="33" t="str">
        <f aca="false">IF(A290="","",IF(AD290&lt;&gt;"",AD290,IF(AC290&lt;&gt;"",AC290,"")))</f>
        <v/>
      </c>
      <c r="AP290" s="24" t="str">
        <f aca="false">IF(AO290="","",IF(AD290&lt;&gt;"","Reported reach","Impressions (proxy)"))</f>
        <v/>
      </c>
      <c r="AQ290" s="34" t="str">
        <f aca="false">IF(OR(AO290="",N(S290)=0),"",AO290/S290)</f>
        <v/>
      </c>
      <c r="AR290" s="33" t="str">
        <f aca="false">IF(A290="","",IF(COUNT(AF290:AJ290)=0,"",SUM(AF290:AJ290)))</f>
        <v/>
      </c>
      <c r="AS290" s="34" t="str">
        <f aca="false">IF(OR(AR290="",N(AO290)=0),"",AR290/AO290)</f>
        <v/>
      </c>
      <c r="AT290" s="34" t="str">
        <f aca="false">IF(OR(AR290="",N(AC290)=0),"",AR290/AC290)</f>
        <v/>
      </c>
      <c r="AU290" s="34" t="str">
        <f aca="false">IF(OR(AR290="",N(S290)=0),"",AR290/S290)</f>
        <v/>
      </c>
      <c r="AV290" s="34" t="str">
        <f aca="false">IF(OR(AJ290="",N(AC290)=0),"",AJ290/AC290)</f>
        <v/>
      </c>
      <c r="AW290" s="34" t="str">
        <f aca="false">IF(OR(AH290="",N(AO290)=0),"",AH290/AO290)</f>
        <v/>
      </c>
      <c r="AX290" s="35" t="str">
        <f aca="false">IF(OR(AR290="",N(AO290)=0),"",(N(AF290)*Settings!$B$6+N(AG290)*Settings!$B$7+N(AH290)*Settings!$B$8+N(AI290)*Settings!$B$9+N(AJ290)*Settings!$B$10)/AO290*1000)</f>
        <v/>
      </c>
      <c r="AY290" s="36" t="str">
        <f aca="false">IF(AS290="","",IFERROR(AS290/AVERAGEIFS('Post Tracker'!$AS$5:$AS$1004,'Post Tracker'!$G$5:$G$1004,G290),""))</f>
        <v/>
      </c>
      <c r="AZ290" s="32"/>
      <c r="BA290" s="32"/>
      <c r="BB290" s="32"/>
      <c r="BC290" s="32"/>
      <c r="BD290" s="33" t="str">
        <f aca="false">IF(A290="","",COUNTIFS('Demo Pipeline'!$Q$5:$Q$504,A290))</f>
        <v/>
      </c>
      <c r="BE290" s="33" t="str">
        <f aca="false">IF(A290="","",COUNTIFS('Demo Pipeline'!$Q$5:$Q$504,A290,'Demo Pipeline'!$W$5:$W$504,"Attended"))</f>
        <v/>
      </c>
      <c r="BF290" s="33" t="str">
        <f aca="false">IF(A290="","",COUNTIFS('Demo Pipeline'!$Q$5:$Q$504,A290,'Demo Pipeline'!$X$5:$X$504,"Yes"))</f>
        <v/>
      </c>
      <c r="BG290" s="33" t="str">
        <f aca="false">IF(A290="","",COUNTIFS('Demo Pipeline'!$Q$5:$Q$504,A290,'Demo Pipeline'!$Y$5:$Y$504,"Closed Won"))</f>
        <v/>
      </c>
      <c r="BH290" s="37" t="str">
        <f aca="false">IF(A290="","",SUMIFS('Demo Pipeline'!$Z$5:$Z$504,'Demo Pipeline'!$Q$5:$Q$504,A290))</f>
        <v/>
      </c>
      <c r="BI290" s="34" t="str">
        <f aca="false">IF(OR(AZ290="",N(AJ290)=0),"",AZ290/AJ290)</f>
        <v/>
      </c>
      <c r="BJ290" s="34" t="str">
        <f aca="false">IF(OR(BB290="",N(AZ290)=0),"",BB290/AZ290)</f>
        <v/>
      </c>
      <c r="BK290" s="34" t="str">
        <f aca="false">IF(OR(A290="",N(BB290)=0),"",BD290/BB290)</f>
        <v/>
      </c>
      <c r="BL290" s="34" t="str">
        <f aca="false">IF(OR(A290="",N(AZ290)=0),"",BD290/AZ290)</f>
        <v/>
      </c>
      <c r="BM290" s="37" t="str">
        <f aca="false">IF(OR(N(Q290)=0,N(BD290)=0),"",Q290/BD290)</f>
        <v/>
      </c>
      <c r="BN290" s="29"/>
      <c r="BO290" s="29"/>
      <c r="BP290" s="33" t="str">
        <f aca="false">IF(OR(AR290="",N(AO290)=0),"",AR290)</f>
        <v/>
      </c>
      <c r="BQ290" s="33" t="str">
        <f aca="false">IF(OR(AR290="",N(S290)=0),"",S290)</f>
        <v/>
      </c>
      <c r="BR290" s="38" t="str">
        <f aca="false">IF(AND(ISNUMBER(B290),B290&gt;=Dashboard!$C$4,B290&lt;=Dashboard!$F$4,ISNUMBER(AU290)),AU290+ROW()/10^9,"")</f>
        <v/>
      </c>
      <c r="BS290" s="38" t="str">
        <f aca="false">IF(AND(ISNUMBER(B290),B290&gt;=Dashboard!$C$4,B290&lt;=Dashboard!$F$4,A290&lt;&gt;""),N(BD290)+N(AU290)/100+ROW()/10^9,"")</f>
        <v/>
      </c>
    </row>
    <row r="291" customFormat="false" ht="15" hidden="false" customHeight="false" outlineLevel="0" collapsed="false">
      <c r="A291" s="24" t="str">
        <f aca="false">IF(OR(B291="",G291="",H291=""),"",IFERROR(INDEX(Settings!$E$5:$E$49,MATCH(G291,Settings!$D$5:$D$49,0))&amp;INDEX(Settings!$H$5:$H$47,MATCH(H291,Settings!$G$5:$G$47,0))&amp;"-"&amp;TEXT(B291,"yymmdd")&amp;"-"&amp;IF(C291="","0000",TEXT(C291,"hhmm")),"CHECK LISTS"))</f>
        <v/>
      </c>
      <c r="B291" s="39"/>
      <c r="C291" s="40"/>
      <c r="D291" s="24" t="str">
        <f aca="false">IF(B291="","",TEXT(B291,"ddd"))</f>
        <v/>
      </c>
      <c r="E291" s="27" t="str">
        <f aca="false">IF(B291="","",B291-WEEKDAY(B291,3))</f>
        <v/>
      </c>
      <c r="F291" s="24" t="str">
        <f aca="false">IF(B291="","",TEXT(B291,"yyyy-mm"))</f>
        <v/>
      </c>
      <c r="G291" s="29"/>
      <c r="H291" s="29"/>
      <c r="I291" s="29"/>
      <c r="J291" s="29"/>
      <c r="K291" s="29"/>
      <c r="L291" s="29"/>
      <c r="M291" s="29"/>
      <c r="N291" s="29"/>
      <c r="O291" s="29"/>
      <c r="P291" s="29"/>
      <c r="Q291" s="30"/>
      <c r="R291" s="29"/>
      <c r="S291" s="32"/>
      <c r="T291" s="29"/>
      <c r="U291" s="29"/>
      <c r="V291" s="24" t="str">
        <f aca="false">IF(A291="","",IFERROR(INDEX(Settings!$F$5:$F$49,MATCH(G291,Settings!$D$5:$D$49,0)),""))</f>
        <v/>
      </c>
      <c r="W291" s="24" t="str">
        <f aca="false">IF(A291="","",IF(OR(P291="",P291="Organic"),"social","paid_social"))</f>
        <v/>
      </c>
      <c r="X291" s="24" t="str">
        <f aca="false">IF(A291="","",IF(K291&lt;&gt;"",IFERROR(INDEX('Case Studies'!$C$5:$C$54,MATCH(K291,'Case Studies'!$B$5:$B$54,0))&amp;"","case-study"),IF(J291&lt;&gt;"",IFERROR(INDEX(Settings!$J$5:$J$55,MATCH(J291,Settings!$I$5:$I$55,0)),"general"),"general")))</f>
        <v/>
      </c>
      <c r="Y291" s="24" t="str">
        <f aca="false">IF(A291="","",LOWER(A291))</f>
        <v/>
      </c>
      <c r="Z291" s="24" t="str">
        <f aca="false">IF(A291="","",IF(T291="",Settings!$B$5,T291)&amp;IF(ISNUMBER(FIND("?",IF(T291="",Settings!$B$5,T291))),"&amp;","?")&amp;"utm_source="&amp;V291&amp;"&amp;utm_medium="&amp;W291&amp;"&amp;utm_campaign="&amp;X291&amp;"&amp;utm_content="&amp;Y291)</f>
        <v/>
      </c>
      <c r="AA291" s="29"/>
      <c r="AB291" s="39"/>
      <c r="AC291" s="32"/>
      <c r="AD291" s="32"/>
      <c r="AE291" s="32"/>
      <c r="AF291" s="32"/>
      <c r="AG291" s="32"/>
      <c r="AH291" s="32"/>
      <c r="AI291" s="32"/>
      <c r="AJ291" s="32"/>
      <c r="AK291" s="32"/>
      <c r="AL291" s="32"/>
      <c r="AM291" s="32"/>
      <c r="AN291" s="32"/>
      <c r="AO291" s="33" t="str">
        <f aca="false">IF(A291="","",IF(AD291&lt;&gt;"",AD291,IF(AC291&lt;&gt;"",AC291,"")))</f>
        <v/>
      </c>
      <c r="AP291" s="24" t="str">
        <f aca="false">IF(AO291="","",IF(AD291&lt;&gt;"","Reported reach","Impressions (proxy)"))</f>
        <v/>
      </c>
      <c r="AQ291" s="34" t="str">
        <f aca="false">IF(OR(AO291="",N(S291)=0),"",AO291/S291)</f>
        <v/>
      </c>
      <c r="AR291" s="33" t="str">
        <f aca="false">IF(A291="","",IF(COUNT(AF291:AJ291)=0,"",SUM(AF291:AJ291)))</f>
        <v/>
      </c>
      <c r="AS291" s="34" t="str">
        <f aca="false">IF(OR(AR291="",N(AO291)=0),"",AR291/AO291)</f>
        <v/>
      </c>
      <c r="AT291" s="34" t="str">
        <f aca="false">IF(OR(AR291="",N(AC291)=0),"",AR291/AC291)</f>
        <v/>
      </c>
      <c r="AU291" s="34" t="str">
        <f aca="false">IF(OR(AR291="",N(S291)=0),"",AR291/S291)</f>
        <v/>
      </c>
      <c r="AV291" s="34" t="str">
        <f aca="false">IF(OR(AJ291="",N(AC291)=0),"",AJ291/AC291)</f>
        <v/>
      </c>
      <c r="AW291" s="34" t="str">
        <f aca="false">IF(OR(AH291="",N(AO291)=0),"",AH291/AO291)</f>
        <v/>
      </c>
      <c r="AX291" s="35" t="str">
        <f aca="false">IF(OR(AR291="",N(AO291)=0),"",(N(AF291)*Settings!$B$6+N(AG291)*Settings!$B$7+N(AH291)*Settings!$B$8+N(AI291)*Settings!$B$9+N(AJ291)*Settings!$B$10)/AO291*1000)</f>
        <v/>
      </c>
      <c r="AY291" s="36" t="str">
        <f aca="false">IF(AS291="","",IFERROR(AS291/AVERAGEIFS('Post Tracker'!$AS$5:$AS$1004,'Post Tracker'!$G$5:$G$1004,G291),""))</f>
        <v/>
      </c>
      <c r="AZ291" s="32"/>
      <c r="BA291" s="32"/>
      <c r="BB291" s="32"/>
      <c r="BC291" s="32"/>
      <c r="BD291" s="33" t="str">
        <f aca="false">IF(A291="","",COUNTIFS('Demo Pipeline'!$Q$5:$Q$504,A291))</f>
        <v/>
      </c>
      <c r="BE291" s="33" t="str">
        <f aca="false">IF(A291="","",COUNTIFS('Demo Pipeline'!$Q$5:$Q$504,A291,'Demo Pipeline'!$W$5:$W$504,"Attended"))</f>
        <v/>
      </c>
      <c r="BF291" s="33" t="str">
        <f aca="false">IF(A291="","",COUNTIFS('Demo Pipeline'!$Q$5:$Q$504,A291,'Demo Pipeline'!$X$5:$X$504,"Yes"))</f>
        <v/>
      </c>
      <c r="BG291" s="33" t="str">
        <f aca="false">IF(A291="","",COUNTIFS('Demo Pipeline'!$Q$5:$Q$504,A291,'Demo Pipeline'!$Y$5:$Y$504,"Closed Won"))</f>
        <v/>
      </c>
      <c r="BH291" s="37" t="str">
        <f aca="false">IF(A291="","",SUMIFS('Demo Pipeline'!$Z$5:$Z$504,'Demo Pipeline'!$Q$5:$Q$504,A291))</f>
        <v/>
      </c>
      <c r="BI291" s="34" t="str">
        <f aca="false">IF(OR(AZ291="",N(AJ291)=0),"",AZ291/AJ291)</f>
        <v/>
      </c>
      <c r="BJ291" s="34" t="str">
        <f aca="false">IF(OR(BB291="",N(AZ291)=0),"",BB291/AZ291)</f>
        <v/>
      </c>
      <c r="BK291" s="34" t="str">
        <f aca="false">IF(OR(A291="",N(BB291)=0),"",BD291/BB291)</f>
        <v/>
      </c>
      <c r="BL291" s="34" t="str">
        <f aca="false">IF(OR(A291="",N(AZ291)=0),"",BD291/AZ291)</f>
        <v/>
      </c>
      <c r="BM291" s="37" t="str">
        <f aca="false">IF(OR(N(Q291)=0,N(BD291)=0),"",Q291/BD291)</f>
        <v/>
      </c>
      <c r="BN291" s="29"/>
      <c r="BO291" s="29"/>
      <c r="BP291" s="33" t="str">
        <f aca="false">IF(OR(AR291="",N(AO291)=0),"",AR291)</f>
        <v/>
      </c>
      <c r="BQ291" s="33" t="str">
        <f aca="false">IF(OR(AR291="",N(S291)=0),"",S291)</f>
        <v/>
      </c>
      <c r="BR291" s="38" t="str">
        <f aca="false">IF(AND(ISNUMBER(B291),B291&gt;=Dashboard!$C$4,B291&lt;=Dashboard!$F$4,ISNUMBER(AU291)),AU291+ROW()/10^9,"")</f>
        <v/>
      </c>
      <c r="BS291" s="38" t="str">
        <f aca="false">IF(AND(ISNUMBER(B291),B291&gt;=Dashboard!$C$4,B291&lt;=Dashboard!$F$4,A291&lt;&gt;""),N(BD291)+N(AU291)/100+ROW()/10^9,"")</f>
        <v/>
      </c>
    </row>
    <row r="292" customFormat="false" ht="15" hidden="false" customHeight="false" outlineLevel="0" collapsed="false">
      <c r="A292" s="24" t="str">
        <f aca="false">IF(OR(B292="",G292="",H292=""),"",IFERROR(INDEX(Settings!$E$5:$E$49,MATCH(G292,Settings!$D$5:$D$49,0))&amp;INDEX(Settings!$H$5:$H$47,MATCH(H292,Settings!$G$5:$G$47,0))&amp;"-"&amp;TEXT(B292,"yymmdd")&amp;"-"&amp;IF(C292="","0000",TEXT(C292,"hhmm")),"CHECK LISTS"))</f>
        <v/>
      </c>
      <c r="B292" s="39"/>
      <c r="C292" s="40"/>
      <c r="D292" s="24" t="str">
        <f aca="false">IF(B292="","",TEXT(B292,"ddd"))</f>
        <v/>
      </c>
      <c r="E292" s="27" t="str">
        <f aca="false">IF(B292="","",B292-WEEKDAY(B292,3))</f>
        <v/>
      </c>
      <c r="F292" s="24" t="str">
        <f aca="false">IF(B292="","",TEXT(B292,"yyyy-mm"))</f>
        <v/>
      </c>
      <c r="G292" s="29"/>
      <c r="H292" s="29"/>
      <c r="I292" s="29"/>
      <c r="J292" s="29"/>
      <c r="K292" s="29"/>
      <c r="L292" s="29"/>
      <c r="M292" s="29"/>
      <c r="N292" s="29"/>
      <c r="O292" s="29"/>
      <c r="P292" s="29"/>
      <c r="Q292" s="30"/>
      <c r="R292" s="29"/>
      <c r="S292" s="32"/>
      <c r="T292" s="29"/>
      <c r="U292" s="29"/>
      <c r="V292" s="24" t="str">
        <f aca="false">IF(A292="","",IFERROR(INDEX(Settings!$F$5:$F$49,MATCH(G292,Settings!$D$5:$D$49,0)),""))</f>
        <v/>
      </c>
      <c r="W292" s="24" t="str">
        <f aca="false">IF(A292="","",IF(OR(P292="",P292="Organic"),"social","paid_social"))</f>
        <v/>
      </c>
      <c r="X292" s="24" t="str">
        <f aca="false">IF(A292="","",IF(K292&lt;&gt;"",IFERROR(INDEX('Case Studies'!$C$5:$C$54,MATCH(K292,'Case Studies'!$B$5:$B$54,0))&amp;"","case-study"),IF(J292&lt;&gt;"",IFERROR(INDEX(Settings!$J$5:$J$55,MATCH(J292,Settings!$I$5:$I$55,0)),"general"),"general")))</f>
        <v/>
      </c>
      <c r="Y292" s="24" t="str">
        <f aca="false">IF(A292="","",LOWER(A292))</f>
        <v/>
      </c>
      <c r="Z292" s="24" t="str">
        <f aca="false">IF(A292="","",IF(T292="",Settings!$B$5,T292)&amp;IF(ISNUMBER(FIND("?",IF(T292="",Settings!$B$5,T292))),"&amp;","?")&amp;"utm_source="&amp;V292&amp;"&amp;utm_medium="&amp;W292&amp;"&amp;utm_campaign="&amp;X292&amp;"&amp;utm_content="&amp;Y292)</f>
        <v/>
      </c>
      <c r="AA292" s="29"/>
      <c r="AB292" s="39"/>
      <c r="AC292" s="32"/>
      <c r="AD292" s="32"/>
      <c r="AE292" s="32"/>
      <c r="AF292" s="32"/>
      <c r="AG292" s="32"/>
      <c r="AH292" s="32"/>
      <c r="AI292" s="32"/>
      <c r="AJ292" s="32"/>
      <c r="AK292" s="32"/>
      <c r="AL292" s="32"/>
      <c r="AM292" s="32"/>
      <c r="AN292" s="32"/>
      <c r="AO292" s="33" t="str">
        <f aca="false">IF(A292="","",IF(AD292&lt;&gt;"",AD292,IF(AC292&lt;&gt;"",AC292,"")))</f>
        <v/>
      </c>
      <c r="AP292" s="24" t="str">
        <f aca="false">IF(AO292="","",IF(AD292&lt;&gt;"","Reported reach","Impressions (proxy)"))</f>
        <v/>
      </c>
      <c r="AQ292" s="34" t="str">
        <f aca="false">IF(OR(AO292="",N(S292)=0),"",AO292/S292)</f>
        <v/>
      </c>
      <c r="AR292" s="33" t="str">
        <f aca="false">IF(A292="","",IF(COUNT(AF292:AJ292)=0,"",SUM(AF292:AJ292)))</f>
        <v/>
      </c>
      <c r="AS292" s="34" t="str">
        <f aca="false">IF(OR(AR292="",N(AO292)=0),"",AR292/AO292)</f>
        <v/>
      </c>
      <c r="AT292" s="34" t="str">
        <f aca="false">IF(OR(AR292="",N(AC292)=0),"",AR292/AC292)</f>
        <v/>
      </c>
      <c r="AU292" s="34" t="str">
        <f aca="false">IF(OR(AR292="",N(S292)=0),"",AR292/S292)</f>
        <v/>
      </c>
      <c r="AV292" s="34" t="str">
        <f aca="false">IF(OR(AJ292="",N(AC292)=0),"",AJ292/AC292)</f>
        <v/>
      </c>
      <c r="AW292" s="34" t="str">
        <f aca="false">IF(OR(AH292="",N(AO292)=0),"",AH292/AO292)</f>
        <v/>
      </c>
      <c r="AX292" s="35" t="str">
        <f aca="false">IF(OR(AR292="",N(AO292)=0),"",(N(AF292)*Settings!$B$6+N(AG292)*Settings!$B$7+N(AH292)*Settings!$B$8+N(AI292)*Settings!$B$9+N(AJ292)*Settings!$B$10)/AO292*1000)</f>
        <v/>
      </c>
      <c r="AY292" s="36" t="str">
        <f aca="false">IF(AS292="","",IFERROR(AS292/AVERAGEIFS('Post Tracker'!$AS$5:$AS$1004,'Post Tracker'!$G$5:$G$1004,G292),""))</f>
        <v/>
      </c>
      <c r="AZ292" s="32"/>
      <c r="BA292" s="32"/>
      <c r="BB292" s="32"/>
      <c r="BC292" s="32"/>
      <c r="BD292" s="33" t="str">
        <f aca="false">IF(A292="","",COUNTIFS('Demo Pipeline'!$Q$5:$Q$504,A292))</f>
        <v/>
      </c>
      <c r="BE292" s="33" t="str">
        <f aca="false">IF(A292="","",COUNTIFS('Demo Pipeline'!$Q$5:$Q$504,A292,'Demo Pipeline'!$W$5:$W$504,"Attended"))</f>
        <v/>
      </c>
      <c r="BF292" s="33" t="str">
        <f aca="false">IF(A292="","",COUNTIFS('Demo Pipeline'!$Q$5:$Q$504,A292,'Demo Pipeline'!$X$5:$X$504,"Yes"))</f>
        <v/>
      </c>
      <c r="BG292" s="33" t="str">
        <f aca="false">IF(A292="","",COUNTIFS('Demo Pipeline'!$Q$5:$Q$504,A292,'Demo Pipeline'!$Y$5:$Y$504,"Closed Won"))</f>
        <v/>
      </c>
      <c r="BH292" s="37" t="str">
        <f aca="false">IF(A292="","",SUMIFS('Demo Pipeline'!$Z$5:$Z$504,'Demo Pipeline'!$Q$5:$Q$504,A292))</f>
        <v/>
      </c>
      <c r="BI292" s="34" t="str">
        <f aca="false">IF(OR(AZ292="",N(AJ292)=0),"",AZ292/AJ292)</f>
        <v/>
      </c>
      <c r="BJ292" s="34" t="str">
        <f aca="false">IF(OR(BB292="",N(AZ292)=0),"",BB292/AZ292)</f>
        <v/>
      </c>
      <c r="BK292" s="34" t="str">
        <f aca="false">IF(OR(A292="",N(BB292)=0),"",BD292/BB292)</f>
        <v/>
      </c>
      <c r="BL292" s="34" t="str">
        <f aca="false">IF(OR(A292="",N(AZ292)=0),"",BD292/AZ292)</f>
        <v/>
      </c>
      <c r="BM292" s="37" t="str">
        <f aca="false">IF(OR(N(Q292)=0,N(BD292)=0),"",Q292/BD292)</f>
        <v/>
      </c>
      <c r="BN292" s="29"/>
      <c r="BO292" s="29"/>
      <c r="BP292" s="33" t="str">
        <f aca="false">IF(OR(AR292="",N(AO292)=0),"",AR292)</f>
        <v/>
      </c>
      <c r="BQ292" s="33" t="str">
        <f aca="false">IF(OR(AR292="",N(S292)=0),"",S292)</f>
        <v/>
      </c>
      <c r="BR292" s="38" t="str">
        <f aca="false">IF(AND(ISNUMBER(B292),B292&gt;=Dashboard!$C$4,B292&lt;=Dashboard!$F$4,ISNUMBER(AU292)),AU292+ROW()/10^9,"")</f>
        <v/>
      </c>
      <c r="BS292" s="38" t="str">
        <f aca="false">IF(AND(ISNUMBER(B292),B292&gt;=Dashboard!$C$4,B292&lt;=Dashboard!$F$4,A292&lt;&gt;""),N(BD292)+N(AU292)/100+ROW()/10^9,"")</f>
        <v/>
      </c>
    </row>
    <row r="293" customFormat="false" ht="15" hidden="false" customHeight="false" outlineLevel="0" collapsed="false">
      <c r="A293" s="24" t="str">
        <f aca="false">IF(OR(B293="",G293="",H293=""),"",IFERROR(INDEX(Settings!$E$5:$E$49,MATCH(G293,Settings!$D$5:$D$49,0))&amp;INDEX(Settings!$H$5:$H$47,MATCH(H293,Settings!$G$5:$G$47,0))&amp;"-"&amp;TEXT(B293,"yymmdd")&amp;"-"&amp;IF(C293="","0000",TEXT(C293,"hhmm")),"CHECK LISTS"))</f>
        <v/>
      </c>
      <c r="B293" s="39"/>
      <c r="C293" s="40"/>
      <c r="D293" s="24" t="str">
        <f aca="false">IF(B293="","",TEXT(B293,"ddd"))</f>
        <v/>
      </c>
      <c r="E293" s="27" t="str">
        <f aca="false">IF(B293="","",B293-WEEKDAY(B293,3))</f>
        <v/>
      </c>
      <c r="F293" s="24" t="str">
        <f aca="false">IF(B293="","",TEXT(B293,"yyyy-mm"))</f>
        <v/>
      </c>
      <c r="G293" s="29"/>
      <c r="H293" s="29"/>
      <c r="I293" s="29"/>
      <c r="J293" s="29"/>
      <c r="K293" s="29"/>
      <c r="L293" s="29"/>
      <c r="M293" s="29"/>
      <c r="N293" s="29"/>
      <c r="O293" s="29"/>
      <c r="P293" s="29"/>
      <c r="Q293" s="30"/>
      <c r="R293" s="29"/>
      <c r="S293" s="32"/>
      <c r="T293" s="29"/>
      <c r="U293" s="29"/>
      <c r="V293" s="24" t="str">
        <f aca="false">IF(A293="","",IFERROR(INDEX(Settings!$F$5:$F$49,MATCH(G293,Settings!$D$5:$D$49,0)),""))</f>
        <v/>
      </c>
      <c r="W293" s="24" t="str">
        <f aca="false">IF(A293="","",IF(OR(P293="",P293="Organic"),"social","paid_social"))</f>
        <v/>
      </c>
      <c r="X293" s="24" t="str">
        <f aca="false">IF(A293="","",IF(K293&lt;&gt;"",IFERROR(INDEX('Case Studies'!$C$5:$C$54,MATCH(K293,'Case Studies'!$B$5:$B$54,0))&amp;"","case-study"),IF(J293&lt;&gt;"",IFERROR(INDEX(Settings!$J$5:$J$55,MATCH(J293,Settings!$I$5:$I$55,0)),"general"),"general")))</f>
        <v/>
      </c>
      <c r="Y293" s="24" t="str">
        <f aca="false">IF(A293="","",LOWER(A293))</f>
        <v/>
      </c>
      <c r="Z293" s="24" t="str">
        <f aca="false">IF(A293="","",IF(T293="",Settings!$B$5,T293)&amp;IF(ISNUMBER(FIND("?",IF(T293="",Settings!$B$5,T293))),"&amp;","?")&amp;"utm_source="&amp;V293&amp;"&amp;utm_medium="&amp;W293&amp;"&amp;utm_campaign="&amp;X293&amp;"&amp;utm_content="&amp;Y293)</f>
        <v/>
      </c>
      <c r="AA293" s="29"/>
      <c r="AB293" s="39"/>
      <c r="AC293" s="32"/>
      <c r="AD293" s="32"/>
      <c r="AE293" s="32"/>
      <c r="AF293" s="32"/>
      <c r="AG293" s="32"/>
      <c r="AH293" s="32"/>
      <c r="AI293" s="32"/>
      <c r="AJ293" s="32"/>
      <c r="AK293" s="32"/>
      <c r="AL293" s="32"/>
      <c r="AM293" s="32"/>
      <c r="AN293" s="32"/>
      <c r="AO293" s="33" t="str">
        <f aca="false">IF(A293="","",IF(AD293&lt;&gt;"",AD293,IF(AC293&lt;&gt;"",AC293,"")))</f>
        <v/>
      </c>
      <c r="AP293" s="24" t="str">
        <f aca="false">IF(AO293="","",IF(AD293&lt;&gt;"","Reported reach","Impressions (proxy)"))</f>
        <v/>
      </c>
      <c r="AQ293" s="34" t="str">
        <f aca="false">IF(OR(AO293="",N(S293)=0),"",AO293/S293)</f>
        <v/>
      </c>
      <c r="AR293" s="33" t="str">
        <f aca="false">IF(A293="","",IF(COUNT(AF293:AJ293)=0,"",SUM(AF293:AJ293)))</f>
        <v/>
      </c>
      <c r="AS293" s="34" t="str">
        <f aca="false">IF(OR(AR293="",N(AO293)=0),"",AR293/AO293)</f>
        <v/>
      </c>
      <c r="AT293" s="34" t="str">
        <f aca="false">IF(OR(AR293="",N(AC293)=0),"",AR293/AC293)</f>
        <v/>
      </c>
      <c r="AU293" s="34" t="str">
        <f aca="false">IF(OR(AR293="",N(S293)=0),"",AR293/S293)</f>
        <v/>
      </c>
      <c r="AV293" s="34" t="str">
        <f aca="false">IF(OR(AJ293="",N(AC293)=0),"",AJ293/AC293)</f>
        <v/>
      </c>
      <c r="AW293" s="34" t="str">
        <f aca="false">IF(OR(AH293="",N(AO293)=0),"",AH293/AO293)</f>
        <v/>
      </c>
      <c r="AX293" s="35" t="str">
        <f aca="false">IF(OR(AR293="",N(AO293)=0),"",(N(AF293)*Settings!$B$6+N(AG293)*Settings!$B$7+N(AH293)*Settings!$B$8+N(AI293)*Settings!$B$9+N(AJ293)*Settings!$B$10)/AO293*1000)</f>
        <v/>
      </c>
      <c r="AY293" s="36" t="str">
        <f aca="false">IF(AS293="","",IFERROR(AS293/AVERAGEIFS('Post Tracker'!$AS$5:$AS$1004,'Post Tracker'!$G$5:$G$1004,G293),""))</f>
        <v/>
      </c>
      <c r="AZ293" s="32"/>
      <c r="BA293" s="32"/>
      <c r="BB293" s="32"/>
      <c r="BC293" s="32"/>
      <c r="BD293" s="33" t="str">
        <f aca="false">IF(A293="","",COUNTIFS('Demo Pipeline'!$Q$5:$Q$504,A293))</f>
        <v/>
      </c>
      <c r="BE293" s="33" t="str">
        <f aca="false">IF(A293="","",COUNTIFS('Demo Pipeline'!$Q$5:$Q$504,A293,'Demo Pipeline'!$W$5:$W$504,"Attended"))</f>
        <v/>
      </c>
      <c r="BF293" s="33" t="str">
        <f aca="false">IF(A293="","",COUNTIFS('Demo Pipeline'!$Q$5:$Q$504,A293,'Demo Pipeline'!$X$5:$X$504,"Yes"))</f>
        <v/>
      </c>
      <c r="BG293" s="33" t="str">
        <f aca="false">IF(A293="","",COUNTIFS('Demo Pipeline'!$Q$5:$Q$504,A293,'Demo Pipeline'!$Y$5:$Y$504,"Closed Won"))</f>
        <v/>
      </c>
      <c r="BH293" s="37" t="str">
        <f aca="false">IF(A293="","",SUMIFS('Demo Pipeline'!$Z$5:$Z$504,'Demo Pipeline'!$Q$5:$Q$504,A293))</f>
        <v/>
      </c>
      <c r="BI293" s="34" t="str">
        <f aca="false">IF(OR(AZ293="",N(AJ293)=0),"",AZ293/AJ293)</f>
        <v/>
      </c>
      <c r="BJ293" s="34" t="str">
        <f aca="false">IF(OR(BB293="",N(AZ293)=0),"",BB293/AZ293)</f>
        <v/>
      </c>
      <c r="BK293" s="34" t="str">
        <f aca="false">IF(OR(A293="",N(BB293)=0),"",BD293/BB293)</f>
        <v/>
      </c>
      <c r="BL293" s="34" t="str">
        <f aca="false">IF(OR(A293="",N(AZ293)=0),"",BD293/AZ293)</f>
        <v/>
      </c>
      <c r="BM293" s="37" t="str">
        <f aca="false">IF(OR(N(Q293)=0,N(BD293)=0),"",Q293/BD293)</f>
        <v/>
      </c>
      <c r="BN293" s="29"/>
      <c r="BO293" s="29"/>
      <c r="BP293" s="33" t="str">
        <f aca="false">IF(OR(AR293="",N(AO293)=0),"",AR293)</f>
        <v/>
      </c>
      <c r="BQ293" s="33" t="str">
        <f aca="false">IF(OR(AR293="",N(S293)=0),"",S293)</f>
        <v/>
      </c>
      <c r="BR293" s="38" t="str">
        <f aca="false">IF(AND(ISNUMBER(B293),B293&gt;=Dashboard!$C$4,B293&lt;=Dashboard!$F$4,ISNUMBER(AU293)),AU293+ROW()/10^9,"")</f>
        <v/>
      </c>
      <c r="BS293" s="38" t="str">
        <f aca="false">IF(AND(ISNUMBER(B293),B293&gt;=Dashboard!$C$4,B293&lt;=Dashboard!$F$4,A293&lt;&gt;""),N(BD293)+N(AU293)/100+ROW()/10^9,"")</f>
        <v/>
      </c>
    </row>
    <row r="294" customFormat="false" ht="15" hidden="false" customHeight="false" outlineLevel="0" collapsed="false">
      <c r="A294" s="24" t="str">
        <f aca="false">IF(OR(B294="",G294="",H294=""),"",IFERROR(INDEX(Settings!$E$5:$E$49,MATCH(G294,Settings!$D$5:$D$49,0))&amp;INDEX(Settings!$H$5:$H$47,MATCH(H294,Settings!$G$5:$G$47,0))&amp;"-"&amp;TEXT(B294,"yymmdd")&amp;"-"&amp;IF(C294="","0000",TEXT(C294,"hhmm")),"CHECK LISTS"))</f>
        <v/>
      </c>
      <c r="B294" s="39"/>
      <c r="C294" s="40"/>
      <c r="D294" s="24" t="str">
        <f aca="false">IF(B294="","",TEXT(B294,"ddd"))</f>
        <v/>
      </c>
      <c r="E294" s="27" t="str">
        <f aca="false">IF(B294="","",B294-WEEKDAY(B294,3))</f>
        <v/>
      </c>
      <c r="F294" s="24" t="str">
        <f aca="false">IF(B294="","",TEXT(B294,"yyyy-mm"))</f>
        <v/>
      </c>
      <c r="G294" s="29"/>
      <c r="H294" s="29"/>
      <c r="I294" s="29"/>
      <c r="J294" s="29"/>
      <c r="K294" s="29"/>
      <c r="L294" s="29"/>
      <c r="M294" s="29"/>
      <c r="N294" s="29"/>
      <c r="O294" s="29"/>
      <c r="P294" s="29"/>
      <c r="Q294" s="30"/>
      <c r="R294" s="29"/>
      <c r="S294" s="32"/>
      <c r="T294" s="29"/>
      <c r="U294" s="29"/>
      <c r="V294" s="24" t="str">
        <f aca="false">IF(A294="","",IFERROR(INDEX(Settings!$F$5:$F$49,MATCH(G294,Settings!$D$5:$D$49,0)),""))</f>
        <v/>
      </c>
      <c r="W294" s="24" t="str">
        <f aca="false">IF(A294="","",IF(OR(P294="",P294="Organic"),"social","paid_social"))</f>
        <v/>
      </c>
      <c r="X294" s="24" t="str">
        <f aca="false">IF(A294="","",IF(K294&lt;&gt;"",IFERROR(INDEX('Case Studies'!$C$5:$C$54,MATCH(K294,'Case Studies'!$B$5:$B$54,0))&amp;"","case-study"),IF(J294&lt;&gt;"",IFERROR(INDEX(Settings!$J$5:$J$55,MATCH(J294,Settings!$I$5:$I$55,0)),"general"),"general")))</f>
        <v/>
      </c>
      <c r="Y294" s="24" t="str">
        <f aca="false">IF(A294="","",LOWER(A294))</f>
        <v/>
      </c>
      <c r="Z294" s="24" t="str">
        <f aca="false">IF(A294="","",IF(T294="",Settings!$B$5,T294)&amp;IF(ISNUMBER(FIND("?",IF(T294="",Settings!$B$5,T294))),"&amp;","?")&amp;"utm_source="&amp;V294&amp;"&amp;utm_medium="&amp;W294&amp;"&amp;utm_campaign="&amp;X294&amp;"&amp;utm_content="&amp;Y294)</f>
        <v/>
      </c>
      <c r="AA294" s="29"/>
      <c r="AB294" s="39"/>
      <c r="AC294" s="32"/>
      <c r="AD294" s="32"/>
      <c r="AE294" s="32"/>
      <c r="AF294" s="32"/>
      <c r="AG294" s="32"/>
      <c r="AH294" s="32"/>
      <c r="AI294" s="32"/>
      <c r="AJ294" s="32"/>
      <c r="AK294" s="32"/>
      <c r="AL294" s="32"/>
      <c r="AM294" s="32"/>
      <c r="AN294" s="32"/>
      <c r="AO294" s="33" t="str">
        <f aca="false">IF(A294="","",IF(AD294&lt;&gt;"",AD294,IF(AC294&lt;&gt;"",AC294,"")))</f>
        <v/>
      </c>
      <c r="AP294" s="24" t="str">
        <f aca="false">IF(AO294="","",IF(AD294&lt;&gt;"","Reported reach","Impressions (proxy)"))</f>
        <v/>
      </c>
      <c r="AQ294" s="34" t="str">
        <f aca="false">IF(OR(AO294="",N(S294)=0),"",AO294/S294)</f>
        <v/>
      </c>
      <c r="AR294" s="33" t="str">
        <f aca="false">IF(A294="","",IF(COUNT(AF294:AJ294)=0,"",SUM(AF294:AJ294)))</f>
        <v/>
      </c>
      <c r="AS294" s="34" t="str">
        <f aca="false">IF(OR(AR294="",N(AO294)=0),"",AR294/AO294)</f>
        <v/>
      </c>
      <c r="AT294" s="34" t="str">
        <f aca="false">IF(OR(AR294="",N(AC294)=0),"",AR294/AC294)</f>
        <v/>
      </c>
      <c r="AU294" s="34" t="str">
        <f aca="false">IF(OR(AR294="",N(S294)=0),"",AR294/S294)</f>
        <v/>
      </c>
      <c r="AV294" s="34" t="str">
        <f aca="false">IF(OR(AJ294="",N(AC294)=0),"",AJ294/AC294)</f>
        <v/>
      </c>
      <c r="AW294" s="34" t="str">
        <f aca="false">IF(OR(AH294="",N(AO294)=0),"",AH294/AO294)</f>
        <v/>
      </c>
      <c r="AX294" s="35" t="str">
        <f aca="false">IF(OR(AR294="",N(AO294)=0),"",(N(AF294)*Settings!$B$6+N(AG294)*Settings!$B$7+N(AH294)*Settings!$B$8+N(AI294)*Settings!$B$9+N(AJ294)*Settings!$B$10)/AO294*1000)</f>
        <v/>
      </c>
      <c r="AY294" s="36" t="str">
        <f aca="false">IF(AS294="","",IFERROR(AS294/AVERAGEIFS('Post Tracker'!$AS$5:$AS$1004,'Post Tracker'!$G$5:$G$1004,G294),""))</f>
        <v/>
      </c>
      <c r="AZ294" s="32"/>
      <c r="BA294" s="32"/>
      <c r="BB294" s="32"/>
      <c r="BC294" s="32"/>
      <c r="BD294" s="33" t="str">
        <f aca="false">IF(A294="","",COUNTIFS('Demo Pipeline'!$Q$5:$Q$504,A294))</f>
        <v/>
      </c>
      <c r="BE294" s="33" t="str">
        <f aca="false">IF(A294="","",COUNTIFS('Demo Pipeline'!$Q$5:$Q$504,A294,'Demo Pipeline'!$W$5:$W$504,"Attended"))</f>
        <v/>
      </c>
      <c r="BF294" s="33" t="str">
        <f aca="false">IF(A294="","",COUNTIFS('Demo Pipeline'!$Q$5:$Q$504,A294,'Demo Pipeline'!$X$5:$X$504,"Yes"))</f>
        <v/>
      </c>
      <c r="BG294" s="33" t="str">
        <f aca="false">IF(A294="","",COUNTIFS('Demo Pipeline'!$Q$5:$Q$504,A294,'Demo Pipeline'!$Y$5:$Y$504,"Closed Won"))</f>
        <v/>
      </c>
      <c r="BH294" s="37" t="str">
        <f aca="false">IF(A294="","",SUMIFS('Demo Pipeline'!$Z$5:$Z$504,'Demo Pipeline'!$Q$5:$Q$504,A294))</f>
        <v/>
      </c>
      <c r="BI294" s="34" t="str">
        <f aca="false">IF(OR(AZ294="",N(AJ294)=0),"",AZ294/AJ294)</f>
        <v/>
      </c>
      <c r="BJ294" s="34" t="str">
        <f aca="false">IF(OR(BB294="",N(AZ294)=0),"",BB294/AZ294)</f>
        <v/>
      </c>
      <c r="BK294" s="34" t="str">
        <f aca="false">IF(OR(A294="",N(BB294)=0),"",BD294/BB294)</f>
        <v/>
      </c>
      <c r="BL294" s="34" t="str">
        <f aca="false">IF(OR(A294="",N(AZ294)=0),"",BD294/AZ294)</f>
        <v/>
      </c>
      <c r="BM294" s="37" t="str">
        <f aca="false">IF(OR(N(Q294)=0,N(BD294)=0),"",Q294/BD294)</f>
        <v/>
      </c>
      <c r="BN294" s="29"/>
      <c r="BO294" s="29"/>
      <c r="BP294" s="33" t="str">
        <f aca="false">IF(OR(AR294="",N(AO294)=0),"",AR294)</f>
        <v/>
      </c>
      <c r="BQ294" s="33" t="str">
        <f aca="false">IF(OR(AR294="",N(S294)=0),"",S294)</f>
        <v/>
      </c>
      <c r="BR294" s="38" t="str">
        <f aca="false">IF(AND(ISNUMBER(B294),B294&gt;=Dashboard!$C$4,B294&lt;=Dashboard!$F$4,ISNUMBER(AU294)),AU294+ROW()/10^9,"")</f>
        <v/>
      </c>
      <c r="BS294" s="38" t="str">
        <f aca="false">IF(AND(ISNUMBER(B294),B294&gt;=Dashboard!$C$4,B294&lt;=Dashboard!$F$4,A294&lt;&gt;""),N(BD294)+N(AU294)/100+ROW()/10^9,"")</f>
        <v/>
      </c>
    </row>
    <row r="295" customFormat="false" ht="15" hidden="false" customHeight="false" outlineLevel="0" collapsed="false">
      <c r="A295" s="24" t="str">
        <f aca="false">IF(OR(B295="",G295="",H295=""),"",IFERROR(INDEX(Settings!$E$5:$E$49,MATCH(G295,Settings!$D$5:$D$49,0))&amp;INDEX(Settings!$H$5:$H$47,MATCH(H295,Settings!$G$5:$G$47,0))&amp;"-"&amp;TEXT(B295,"yymmdd")&amp;"-"&amp;IF(C295="","0000",TEXT(C295,"hhmm")),"CHECK LISTS"))</f>
        <v/>
      </c>
      <c r="B295" s="39"/>
      <c r="C295" s="40"/>
      <c r="D295" s="24" t="str">
        <f aca="false">IF(B295="","",TEXT(B295,"ddd"))</f>
        <v/>
      </c>
      <c r="E295" s="27" t="str">
        <f aca="false">IF(B295="","",B295-WEEKDAY(B295,3))</f>
        <v/>
      </c>
      <c r="F295" s="24" t="str">
        <f aca="false">IF(B295="","",TEXT(B295,"yyyy-mm"))</f>
        <v/>
      </c>
      <c r="G295" s="29"/>
      <c r="H295" s="29"/>
      <c r="I295" s="29"/>
      <c r="J295" s="29"/>
      <c r="K295" s="29"/>
      <c r="L295" s="29"/>
      <c r="M295" s="29"/>
      <c r="N295" s="29"/>
      <c r="O295" s="29"/>
      <c r="P295" s="29"/>
      <c r="Q295" s="30"/>
      <c r="R295" s="29"/>
      <c r="S295" s="32"/>
      <c r="T295" s="29"/>
      <c r="U295" s="29"/>
      <c r="V295" s="24" t="str">
        <f aca="false">IF(A295="","",IFERROR(INDEX(Settings!$F$5:$F$49,MATCH(G295,Settings!$D$5:$D$49,0)),""))</f>
        <v/>
      </c>
      <c r="W295" s="24" t="str">
        <f aca="false">IF(A295="","",IF(OR(P295="",P295="Organic"),"social","paid_social"))</f>
        <v/>
      </c>
      <c r="X295" s="24" t="str">
        <f aca="false">IF(A295="","",IF(K295&lt;&gt;"",IFERROR(INDEX('Case Studies'!$C$5:$C$54,MATCH(K295,'Case Studies'!$B$5:$B$54,0))&amp;"","case-study"),IF(J295&lt;&gt;"",IFERROR(INDEX(Settings!$J$5:$J$55,MATCH(J295,Settings!$I$5:$I$55,0)),"general"),"general")))</f>
        <v/>
      </c>
      <c r="Y295" s="24" t="str">
        <f aca="false">IF(A295="","",LOWER(A295))</f>
        <v/>
      </c>
      <c r="Z295" s="24" t="str">
        <f aca="false">IF(A295="","",IF(T295="",Settings!$B$5,T295)&amp;IF(ISNUMBER(FIND("?",IF(T295="",Settings!$B$5,T295))),"&amp;","?")&amp;"utm_source="&amp;V295&amp;"&amp;utm_medium="&amp;W295&amp;"&amp;utm_campaign="&amp;X295&amp;"&amp;utm_content="&amp;Y295)</f>
        <v/>
      </c>
      <c r="AA295" s="29"/>
      <c r="AB295" s="39"/>
      <c r="AC295" s="32"/>
      <c r="AD295" s="32"/>
      <c r="AE295" s="32"/>
      <c r="AF295" s="32"/>
      <c r="AG295" s="32"/>
      <c r="AH295" s="32"/>
      <c r="AI295" s="32"/>
      <c r="AJ295" s="32"/>
      <c r="AK295" s="32"/>
      <c r="AL295" s="32"/>
      <c r="AM295" s="32"/>
      <c r="AN295" s="32"/>
      <c r="AO295" s="33" t="str">
        <f aca="false">IF(A295="","",IF(AD295&lt;&gt;"",AD295,IF(AC295&lt;&gt;"",AC295,"")))</f>
        <v/>
      </c>
      <c r="AP295" s="24" t="str">
        <f aca="false">IF(AO295="","",IF(AD295&lt;&gt;"","Reported reach","Impressions (proxy)"))</f>
        <v/>
      </c>
      <c r="AQ295" s="34" t="str">
        <f aca="false">IF(OR(AO295="",N(S295)=0),"",AO295/S295)</f>
        <v/>
      </c>
      <c r="AR295" s="33" t="str">
        <f aca="false">IF(A295="","",IF(COUNT(AF295:AJ295)=0,"",SUM(AF295:AJ295)))</f>
        <v/>
      </c>
      <c r="AS295" s="34" t="str">
        <f aca="false">IF(OR(AR295="",N(AO295)=0),"",AR295/AO295)</f>
        <v/>
      </c>
      <c r="AT295" s="34" t="str">
        <f aca="false">IF(OR(AR295="",N(AC295)=0),"",AR295/AC295)</f>
        <v/>
      </c>
      <c r="AU295" s="34" t="str">
        <f aca="false">IF(OR(AR295="",N(S295)=0),"",AR295/S295)</f>
        <v/>
      </c>
      <c r="AV295" s="34" t="str">
        <f aca="false">IF(OR(AJ295="",N(AC295)=0),"",AJ295/AC295)</f>
        <v/>
      </c>
      <c r="AW295" s="34" t="str">
        <f aca="false">IF(OR(AH295="",N(AO295)=0),"",AH295/AO295)</f>
        <v/>
      </c>
      <c r="AX295" s="35" t="str">
        <f aca="false">IF(OR(AR295="",N(AO295)=0),"",(N(AF295)*Settings!$B$6+N(AG295)*Settings!$B$7+N(AH295)*Settings!$B$8+N(AI295)*Settings!$B$9+N(AJ295)*Settings!$B$10)/AO295*1000)</f>
        <v/>
      </c>
      <c r="AY295" s="36" t="str">
        <f aca="false">IF(AS295="","",IFERROR(AS295/AVERAGEIFS('Post Tracker'!$AS$5:$AS$1004,'Post Tracker'!$G$5:$G$1004,G295),""))</f>
        <v/>
      </c>
      <c r="AZ295" s="32"/>
      <c r="BA295" s="32"/>
      <c r="BB295" s="32"/>
      <c r="BC295" s="32"/>
      <c r="BD295" s="33" t="str">
        <f aca="false">IF(A295="","",COUNTIFS('Demo Pipeline'!$Q$5:$Q$504,A295))</f>
        <v/>
      </c>
      <c r="BE295" s="33" t="str">
        <f aca="false">IF(A295="","",COUNTIFS('Demo Pipeline'!$Q$5:$Q$504,A295,'Demo Pipeline'!$W$5:$W$504,"Attended"))</f>
        <v/>
      </c>
      <c r="BF295" s="33" t="str">
        <f aca="false">IF(A295="","",COUNTIFS('Demo Pipeline'!$Q$5:$Q$504,A295,'Demo Pipeline'!$X$5:$X$504,"Yes"))</f>
        <v/>
      </c>
      <c r="BG295" s="33" t="str">
        <f aca="false">IF(A295="","",COUNTIFS('Demo Pipeline'!$Q$5:$Q$504,A295,'Demo Pipeline'!$Y$5:$Y$504,"Closed Won"))</f>
        <v/>
      </c>
      <c r="BH295" s="37" t="str">
        <f aca="false">IF(A295="","",SUMIFS('Demo Pipeline'!$Z$5:$Z$504,'Demo Pipeline'!$Q$5:$Q$504,A295))</f>
        <v/>
      </c>
      <c r="BI295" s="34" t="str">
        <f aca="false">IF(OR(AZ295="",N(AJ295)=0),"",AZ295/AJ295)</f>
        <v/>
      </c>
      <c r="BJ295" s="34" t="str">
        <f aca="false">IF(OR(BB295="",N(AZ295)=0),"",BB295/AZ295)</f>
        <v/>
      </c>
      <c r="BK295" s="34" t="str">
        <f aca="false">IF(OR(A295="",N(BB295)=0),"",BD295/BB295)</f>
        <v/>
      </c>
      <c r="BL295" s="34" t="str">
        <f aca="false">IF(OR(A295="",N(AZ295)=0),"",BD295/AZ295)</f>
        <v/>
      </c>
      <c r="BM295" s="37" t="str">
        <f aca="false">IF(OR(N(Q295)=0,N(BD295)=0),"",Q295/BD295)</f>
        <v/>
      </c>
      <c r="BN295" s="29"/>
      <c r="BO295" s="29"/>
      <c r="BP295" s="33" t="str">
        <f aca="false">IF(OR(AR295="",N(AO295)=0),"",AR295)</f>
        <v/>
      </c>
      <c r="BQ295" s="33" t="str">
        <f aca="false">IF(OR(AR295="",N(S295)=0),"",S295)</f>
        <v/>
      </c>
      <c r="BR295" s="38" t="str">
        <f aca="false">IF(AND(ISNUMBER(B295),B295&gt;=Dashboard!$C$4,B295&lt;=Dashboard!$F$4,ISNUMBER(AU295)),AU295+ROW()/10^9,"")</f>
        <v/>
      </c>
      <c r="BS295" s="38" t="str">
        <f aca="false">IF(AND(ISNUMBER(B295),B295&gt;=Dashboard!$C$4,B295&lt;=Dashboard!$F$4,A295&lt;&gt;""),N(BD295)+N(AU295)/100+ROW()/10^9,"")</f>
        <v/>
      </c>
    </row>
    <row r="296" customFormat="false" ht="15" hidden="false" customHeight="false" outlineLevel="0" collapsed="false">
      <c r="A296" s="24" t="str">
        <f aca="false">IF(OR(B296="",G296="",H296=""),"",IFERROR(INDEX(Settings!$E$5:$E$49,MATCH(G296,Settings!$D$5:$D$49,0))&amp;INDEX(Settings!$H$5:$H$47,MATCH(H296,Settings!$G$5:$G$47,0))&amp;"-"&amp;TEXT(B296,"yymmdd")&amp;"-"&amp;IF(C296="","0000",TEXT(C296,"hhmm")),"CHECK LISTS"))</f>
        <v/>
      </c>
      <c r="B296" s="39"/>
      <c r="C296" s="40"/>
      <c r="D296" s="24" t="str">
        <f aca="false">IF(B296="","",TEXT(B296,"ddd"))</f>
        <v/>
      </c>
      <c r="E296" s="27" t="str">
        <f aca="false">IF(B296="","",B296-WEEKDAY(B296,3))</f>
        <v/>
      </c>
      <c r="F296" s="24" t="str">
        <f aca="false">IF(B296="","",TEXT(B296,"yyyy-mm"))</f>
        <v/>
      </c>
      <c r="G296" s="29"/>
      <c r="H296" s="29"/>
      <c r="I296" s="29"/>
      <c r="J296" s="29"/>
      <c r="K296" s="29"/>
      <c r="L296" s="29"/>
      <c r="M296" s="29"/>
      <c r="N296" s="29"/>
      <c r="O296" s="29"/>
      <c r="P296" s="29"/>
      <c r="Q296" s="30"/>
      <c r="R296" s="29"/>
      <c r="S296" s="32"/>
      <c r="T296" s="29"/>
      <c r="U296" s="29"/>
      <c r="V296" s="24" t="str">
        <f aca="false">IF(A296="","",IFERROR(INDEX(Settings!$F$5:$F$49,MATCH(G296,Settings!$D$5:$D$49,0)),""))</f>
        <v/>
      </c>
      <c r="W296" s="24" t="str">
        <f aca="false">IF(A296="","",IF(OR(P296="",P296="Organic"),"social","paid_social"))</f>
        <v/>
      </c>
      <c r="X296" s="24" t="str">
        <f aca="false">IF(A296="","",IF(K296&lt;&gt;"",IFERROR(INDEX('Case Studies'!$C$5:$C$54,MATCH(K296,'Case Studies'!$B$5:$B$54,0))&amp;"","case-study"),IF(J296&lt;&gt;"",IFERROR(INDEX(Settings!$J$5:$J$55,MATCH(J296,Settings!$I$5:$I$55,0)),"general"),"general")))</f>
        <v/>
      </c>
      <c r="Y296" s="24" t="str">
        <f aca="false">IF(A296="","",LOWER(A296))</f>
        <v/>
      </c>
      <c r="Z296" s="24" t="str">
        <f aca="false">IF(A296="","",IF(T296="",Settings!$B$5,T296)&amp;IF(ISNUMBER(FIND("?",IF(T296="",Settings!$B$5,T296))),"&amp;","?")&amp;"utm_source="&amp;V296&amp;"&amp;utm_medium="&amp;W296&amp;"&amp;utm_campaign="&amp;X296&amp;"&amp;utm_content="&amp;Y296)</f>
        <v/>
      </c>
      <c r="AA296" s="29"/>
      <c r="AB296" s="39"/>
      <c r="AC296" s="32"/>
      <c r="AD296" s="32"/>
      <c r="AE296" s="32"/>
      <c r="AF296" s="32"/>
      <c r="AG296" s="32"/>
      <c r="AH296" s="32"/>
      <c r="AI296" s="32"/>
      <c r="AJ296" s="32"/>
      <c r="AK296" s="32"/>
      <c r="AL296" s="32"/>
      <c r="AM296" s="32"/>
      <c r="AN296" s="32"/>
      <c r="AO296" s="33" t="str">
        <f aca="false">IF(A296="","",IF(AD296&lt;&gt;"",AD296,IF(AC296&lt;&gt;"",AC296,"")))</f>
        <v/>
      </c>
      <c r="AP296" s="24" t="str">
        <f aca="false">IF(AO296="","",IF(AD296&lt;&gt;"","Reported reach","Impressions (proxy)"))</f>
        <v/>
      </c>
      <c r="AQ296" s="34" t="str">
        <f aca="false">IF(OR(AO296="",N(S296)=0),"",AO296/S296)</f>
        <v/>
      </c>
      <c r="AR296" s="33" t="str">
        <f aca="false">IF(A296="","",IF(COUNT(AF296:AJ296)=0,"",SUM(AF296:AJ296)))</f>
        <v/>
      </c>
      <c r="AS296" s="34" t="str">
        <f aca="false">IF(OR(AR296="",N(AO296)=0),"",AR296/AO296)</f>
        <v/>
      </c>
      <c r="AT296" s="34" t="str">
        <f aca="false">IF(OR(AR296="",N(AC296)=0),"",AR296/AC296)</f>
        <v/>
      </c>
      <c r="AU296" s="34" t="str">
        <f aca="false">IF(OR(AR296="",N(S296)=0),"",AR296/S296)</f>
        <v/>
      </c>
      <c r="AV296" s="34" t="str">
        <f aca="false">IF(OR(AJ296="",N(AC296)=0),"",AJ296/AC296)</f>
        <v/>
      </c>
      <c r="AW296" s="34" t="str">
        <f aca="false">IF(OR(AH296="",N(AO296)=0),"",AH296/AO296)</f>
        <v/>
      </c>
      <c r="AX296" s="35" t="str">
        <f aca="false">IF(OR(AR296="",N(AO296)=0),"",(N(AF296)*Settings!$B$6+N(AG296)*Settings!$B$7+N(AH296)*Settings!$B$8+N(AI296)*Settings!$B$9+N(AJ296)*Settings!$B$10)/AO296*1000)</f>
        <v/>
      </c>
      <c r="AY296" s="36" t="str">
        <f aca="false">IF(AS296="","",IFERROR(AS296/AVERAGEIFS('Post Tracker'!$AS$5:$AS$1004,'Post Tracker'!$G$5:$G$1004,G296),""))</f>
        <v/>
      </c>
      <c r="AZ296" s="32"/>
      <c r="BA296" s="32"/>
      <c r="BB296" s="32"/>
      <c r="BC296" s="32"/>
      <c r="BD296" s="33" t="str">
        <f aca="false">IF(A296="","",COUNTIFS('Demo Pipeline'!$Q$5:$Q$504,A296))</f>
        <v/>
      </c>
      <c r="BE296" s="33" t="str">
        <f aca="false">IF(A296="","",COUNTIFS('Demo Pipeline'!$Q$5:$Q$504,A296,'Demo Pipeline'!$W$5:$W$504,"Attended"))</f>
        <v/>
      </c>
      <c r="BF296" s="33" t="str">
        <f aca="false">IF(A296="","",COUNTIFS('Demo Pipeline'!$Q$5:$Q$504,A296,'Demo Pipeline'!$X$5:$X$504,"Yes"))</f>
        <v/>
      </c>
      <c r="BG296" s="33" t="str">
        <f aca="false">IF(A296="","",COUNTIFS('Demo Pipeline'!$Q$5:$Q$504,A296,'Demo Pipeline'!$Y$5:$Y$504,"Closed Won"))</f>
        <v/>
      </c>
      <c r="BH296" s="37" t="str">
        <f aca="false">IF(A296="","",SUMIFS('Demo Pipeline'!$Z$5:$Z$504,'Demo Pipeline'!$Q$5:$Q$504,A296))</f>
        <v/>
      </c>
      <c r="BI296" s="34" t="str">
        <f aca="false">IF(OR(AZ296="",N(AJ296)=0),"",AZ296/AJ296)</f>
        <v/>
      </c>
      <c r="BJ296" s="34" t="str">
        <f aca="false">IF(OR(BB296="",N(AZ296)=0),"",BB296/AZ296)</f>
        <v/>
      </c>
      <c r="BK296" s="34" t="str">
        <f aca="false">IF(OR(A296="",N(BB296)=0),"",BD296/BB296)</f>
        <v/>
      </c>
      <c r="BL296" s="34" t="str">
        <f aca="false">IF(OR(A296="",N(AZ296)=0),"",BD296/AZ296)</f>
        <v/>
      </c>
      <c r="BM296" s="37" t="str">
        <f aca="false">IF(OR(N(Q296)=0,N(BD296)=0),"",Q296/BD296)</f>
        <v/>
      </c>
      <c r="BN296" s="29"/>
      <c r="BO296" s="29"/>
      <c r="BP296" s="33" t="str">
        <f aca="false">IF(OR(AR296="",N(AO296)=0),"",AR296)</f>
        <v/>
      </c>
      <c r="BQ296" s="33" t="str">
        <f aca="false">IF(OR(AR296="",N(S296)=0),"",S296)</f>
        <v/>
      </c>
      <c r="BR296" s="38" t="str">
        <f aca="false">IF(AND(ISNUMBER(B296),B296&gt;=Dashboard!$C$4,B296&lt;=Dashboard!$F$4,ISNUMBER(AU296)),AU296+ROW()/10^9,"")</f>
        <v/>
      </c>
      <c r="BS296" s="38" t="str">
        <f aca="false">IF(AND(ISNUMBER(B296),B296&gt;=Dashboard!$C$4,B296&lt;=Dashboard!$F$4,A296&lt;&gt;""),N(BD296)+N(AU296)/100+ROW()/10^9,"")</f>
        <v/>
      </c>
    </row>
    <row r="297" customFormat="false" ht="15" hidden="false" customHeight="false" outlineLevel="0" collapsed="false">
      <c r="A297" s="24" t="str">
        <f aca="false">IF(OR(B297="",G297="",H297=""),"",IFERROR(INDEX(Settings!$E$5:$E$49,MATCH(G297,Settings!$D$5:$D$49,0))&amp;INDEX(Settings!$H$5:$H$47,MATCH(H297,Settings!$G$5:$G$47,0))&amp;"-"&amp;TEXT(B297,"yymmdd")&amp;"-"&amp;IF(C297="","0000",TEXT(C297,"hhmm")),"CHECK LISTS"))</f>
        <v/>
      </c>
      <c r="B297" s="39"/>
      <c r="C297" s="40"/>
      <c r="D297" s="24" t="str">
        <f aca="false">IF(B297="","",TEXT(B297,"ddd"))</f>
        <v/>
      </c>
      <c r="E297" s="27" t="str">
        <f aca="false">IF(B297="","",B297-WEEKDAY(B297,3))</f>
        <v/>
      </c>
      <c r="F297" s="24" t="str">
        <f aca="false">IF(B297="","",TEXT(B297,"yyyy-mm"))</f>
        <v/>
      </c>
      <c r="G297" s="29"/>
      <c r="H297" s="29"/>
      <c r="I297" s="29"/>
      <c r="J297" s="29"/>
      <c r="K297" s="29"/>
      <c r="L297" s="29"/>
      <c r="M297" s="29"/>
      <c r="N297" s="29"/>
      <c r="O297" s="29"/>
      <c r="P297" s="29"/>
      <c r="Q297" s="30"/>
      <c r="R297" s="29"/>
      <c r="S297" s="32"/>
      <c r="T297" s="29"/>
      <c r="U297" s="29"/>
      <c r="V297" s="24" t="str">
        <f aca="false">IF(A297="","",IFERROR(INDEX(Settings!$F$5:$F$49,MATCH(G297,Settings!$D$5:$D$49,0)),""))</f>
        <v/>
      </c>
      <c r="W297" s="24" t="str">
        <f aca="false">IF(A297="","",IF(OR(P297="",P297="Organic"),"social","paid_social"))</f>
        <v/>
      </c>
      <c r="X297" s="24" t="str">
        <f aca="false">IF(A297="","",IF(K297&lt;&gt;"",IFERROR(INDEX('Case Studies'!$C$5:$C$54,MATCH(K297,'Case Studies'!$B$5:$B$54,0))&amp;"","case-study"),IF(J297&lt;&gt;"",IFERROR(INDEX(Settings!$J$5:$J$55,MATCH(J297,Settings!$I$5:$I$55,0)),"general"),"general")))</f>
        <v/>
      </c>
      <c r="Y297" s="24" t="str">
        <f aca="false">IF(A297="","",LOWER(A297))</f>
        <v/>
      </c>
      <c r="Z297" s="24" t="str">
        <f aca="false">IF(A297="","",IF(T297="",Settings!$B$5,T297)&amp;IF(ISNUMBER(FIND("?",IF(T297="",Settings!$B$5,T297))),"&amp;","?")&amp;"utm_source="&amp;V297&amp;"&amp;utm_medium="&amp;W297&amp;"&amp;utm_campaign="&amp;X297&amp;"&amp;utm_content="&amp;Y297)</f>
        <v/>
      </c>
      <c r="AA297" s="29"/>
      <c r="AB297" s="39"/>
      <c r="AC297" s="32"/>
      <c r="AD297" s="32"/>
      <c r="AE297" s="32"/>
      <c r="AF297" s="32"/>
      <c r="AG297" s="32"/>
      <c r="AH297" s="32"/>
      <c r="AI297" s="32"/>
      <c r="AJ297" s="32"/>
      <c r="AK297" s="32"/>
      <c r="AL297" s="32"/>
      <c r="AM297" s="32"/>
      <c r="AN297" s="32"/>
      <c r="AO297" s="33" t="str">
        <f aca="false">IF(A297="","",IF(AD297&lt;&gt;"",AD297,IF(AC297&lt;&gt;"",AC297,"")))</f>
        <v/>
      </c>
      <c r="AP297" s="24" t="str">
        <f aca="false">IF(AO297="","",IF(AD297&lt;&gt;"","Reported reach","Impressions (proxy)"))</f>
        <v/>
      </c>
      <c r="AQ297" s="34" t="str">
        <f aca="false">IF(OR(AO297="",N(S297)=0),"",AO297/S297)</f>
        <v/>
      </c>
      <c r="AR297" s="33" t="str">
        <f aca="false">IF(A297="","",IF(COUNT(AF297:AJ297)=0,"",SUM(AF297:AJ297)))</f>
        <v/>
      </c>
      <c r="AS297" s="34" t="str">
        <f aca="false">IF(OR(AR297="",N(AO297)=0),"",AR297/AO297)</f>
        <v/>
      </c>
      <c r="AT297" s="34" t="str">
        <f aca="false">IF(OR(AR297="",N(AC297)=0),"",AR297/AC297)</f>
        <v/>
      </c>
      <c r="AU297" s="34" t="str">
        <f aca="false">IF(OR(AR297="",N(S297)=0),"",AR297/S297)</f>
        <v/>
      </c>
      <c r="AV297" s="34" t="str">
        <f aca="false">IF(OR(AJ297="",N(AC297)=0),"",AJ297/AC297)</f>
        <v/>
      </c>
      <c r="AW297" s="34" t="str">
        <f aca="false">IF(OR(AH297="",N(AO297)=0),"",AH297/AO297)</f>
        <v/>
      </c>
      <c r="AX297" s="35" t="str">
        <f aca="false">IF(OR(AR297="",N(AO297)=0),"",(N(AF297)*Settings!$B$6+N(AG297)*Settings!$B$7+N(AH297)*Settings!$B$8+N(AI297)*Settings!$B$9+N(AJ297)*Settings!$B$10)/AO297*1000)</f>
        <v/>
      </c>
      <c r="AY297" s="36" t="str">
        <f aca="false">IF(AS297="","",IFERROR(AS297/AVERAGEIFS('Post Tracker'!$AS$5:$AS$1004,'Post Tracker'!$G$5:$G$1004,G297),""))</f>
        <v/>
      </c>
      <c r="AZ297" s="32"/>
      <c r="BA297" s="32"/>
      <c r="BB297" s="32"/>
      <c r="BC297" s="32"/>
      <c r="BD297" s="33" t="str">
        <f aca="false">IF(A297="","",COUNTIFS('Demo Pipeline'!$Q$5:$Q$504,A297))</f>
        <v/>
      </c>
      <c r="BE297" s="33" t="str">
        <f aca="false">IF(A297="","",COUNTIFS('Demo Pipeline'!$Q$5:$Q$504,A297,'Demo Pipeline'!$W$5:$W$504,"Attended"))</f>
        <v/>
      </c>
      <c r="BF297" s="33" t="str">
        <f aca="false">IF(A297="","",COUNTIFS('Demo Pipeline'!$Q$5:$Q$504,A297,'Demo Pipeline'!$X$5:$X$504,"Yes"))</f>
        <v/>
      </c>
      <c r="BG297" s="33" t="str">
        <f aca="false">IF(A297="","",COUNTIFS('Demo Pipeline'!$Q$5:$Q$504,A297,'Demo Pipeline'!$Y$5:$Y$504,"Closed Won"))</f>
        <v/>
      </c>
      <c r="BH297" s="37" t="str">
        <f aca="false">IF(A297="","",SUMIFS('Demo Pipeline'!$Z$5:$Z$504,'Demo Pipeline'!$Q$5:$Q$504,A297))</f>
        <v/>
      </c>
      <c r="BI297" s="34" t="str">
        <f aca="false">IF(OR(AZ297="",N(AJ297)=0),"",AZ297/AJ297)</f>
        <v/>
      </c>
      <c r="BJ297" s="34" t="str">
        <f aca="false">IF(OR(BB297="",N(AZ297)=0),"",BB297/AZ297)</f>
        <v/>
      </c>
      <c r="BK297" s="34" t="str">
        <f aca="false">IF(OR(A297="",N(BB297)=0),"",BD297/BB297)</f>
        <v/>
      </c>
      <c r="BL297" s="34" t="str">
        <f aca="false">IF(OR(A297="",N(AZ297)=0),"",BD297/AZ297)</f>
        <v/>
      </c>
      <c r="BM297" s="37" t="str">
        <f aca="false">IF(OR(N(Q297)=0,N(BD297)=0),"",Q297/BD297)</f>
        <v/>
      </c>
      <c r="BN297" s="29"/>
      <c r="BO297" s="29"/>
      <c r="BP297" s="33" t="str">
        <f aca="false">IF(OR(AR297="",N(AO297)=0),"",AR297)</f>
        <v/>
      </c>
      <c r="BQ297" s="33" t="str">
        <f aca="false">IF(OR(AR297="",N(S297)=0),"",S297)</f>
        <v/>
      </c>
      <c r="BR297" s="38" t="str">
        <f aca="false">IF(AND(ISNUMBER(B297),B297&gt;=Dashboard!$C$4,B297&lt;=Dashboard!$F$4,ISNUMBER(AU297)),AU297+ROW()/10^9,"")</f>
        <v/>
      </c>
      <c r="BS297" s="38" t="str">
        <f aca="false">IF(AND(ISNUMBER(B297),B297&gt;=Dashboard!$C$4,B297&lt;=Dashboard!$F$4,A297&lt;&gt;""),N(BD297)+N(AU297)/100+ROW()/10^9,"")</f>
        <v/>
      </c>
    </row>
    <row r="298" customFormat="false" ht="15" hidden="false" customHeight="false" outlineLevel="0" collapsed="false">
      <c r="A298" s="24" t="str">
        <f aca="false">IF(OR(B298="",G298="",H298=""),"",IFERROR(INDEX(Settings!$E$5:$E$49,MATCH(G298,Settings!$D$5:$D$49,0))&amp;INDEX(Settings!$H$5:$H$47,MATCH(H298,Settings!$G$5:$G$47,0))&amp;"-"&amp;TEXT(B298,"yymmdd")&amp;"-"&amp;IF(C298="","0000",TEXT(C298,"hhmm")),"CHECK LISTS"))</f>
        <v/>
      </c>
      <c r="B298" s="39"/>
      <c r="C298" s="40"/>
      <c r="D298" s="24" t="str">
        <f aca="false">IF(B298="","",TEXT(B298,"ddd"))</f>
        <v/>
      </c>
      <c r="E298" s="27" t="str">
        <f aca="false">IF(B298="","",B298-WEEKDAY(B298,3))</f>
        <v/>
      </c>
      <c r="F298" s="24" t="str">
        <f aca="false">IF(B298="","",TEXT(B298,"yyyy-mm"))</f>
        <v/>
      </c>
      <c r="G298" s="29"/>
      <c r="H298" s="29"/>
      <c r="I298" s="29"/>
      <c r="J298" s="29"/>
      <c r="K298" s="29"/>
      <c r="L298" s="29"/>
      <c r="M298" s="29"/>
      <c r="N298" s="29"/>
      <c r="O298" s="29"/>
      <c r="P298" s="29"/>
      <c r="Q298" s="30"/>
      <c r="R298" s="29"/>
      <c r="S298" s="32"/>
      <c r="T298" s="29"/>
      <c r="U298" s="29"/>
      <c r="V298" s="24" t="str">
        <f aca="false">IF(A298="","",IFERROR(INDEX(Settings!$F$5:$F$49,MATCH(G298,Settings!$D$5:$D$49,0)),""))</f>
        <v/>
      </c>
      <c r="W298" s="24" t="str">
        <f aca="false">IF(A298="","",IF(OR(P298="",P298="Organic"),"social","paid_social"))</f>
        <v/>
      </c>
      <c r="X298" s="24" t="str">
        <f aca="false">IF(A298="","",IF(K298&lt;&gt;"",IFERROR(INDEX('Case Studies'!$C$5:$C$54,MATCH(K298,'Case Studies'!$B$5:$B$54,0))&amp;"","case-study"),IF(J298&lt;&gt;"",IFERROR(INDEX(Settings!$J$5:$J$55,MATCH(J298,Settings!$I$5:$I$55,0)),"general"),"general")))</f>
        <v/>
      </c>
      <c r="Y298" s="24" t="str">
        <f aca="false">IF(A298="","",LOWER(A298))</f>
        <v/>
      </c>
      <c r="Z298" s="24" t="str">
        <f aca="false">IF(A298="","",IF(T298="",Settings!$B$5,T298)&amp;IF(ISNUMBER(FIND("?",IF(T298="",Settings!$B$5,T298))),"&amp;","?")&amp;"utm_source="&amp;V298&amp;"&amp;utm_medium="&amp;W298&amp;"&amp;utm_campaign="&amp;X298&amp;"&amp;utm_content="&amp;Y298)</f>
        <v/>
      </c>
      <c r="AA298" s="29"/>
      <c r="AB298" s="39"/>
      <c r="AC298" s="32"/>
      <c r="AD298" s="32"/>
      <c r="AE298" s="32"/>
      <c r="AF298" s="32"/>
      <c r="AG298" s="32"/>
      <c r="AH298" s="32"/>
      <c r="AI298" s="32"/>
      <c r="AJ298" s="32"/>
      <c r="AK298" s="32"/>
      <c r="AL298" s="32"/>
      <c r="AM298" s="32"/>
      <c r="AN298" s="32"/>
      <c r="AO298" s="33" t="str">
        <f aca="false">IF(A298="","",IF(AD298&lt;&gt;"",AD298,IF(AC298&lt;&gt;"",AC298,"")))</f>
        <v/>
      </c>
      <c r="AP298" s="24" t="str">
        <f aca="false">IF(AO298="","",IF(AD298&lt;&gt;"","Reported reach","Impressions (proxy)"))</f>
        <v/>
      </c>
      <c r="AQ298" s="34" t="str">
        <f aca="false">IF(OR(AO298="",N(S298)=0),"",AO298/S298)</f>
        <v/>
      </c>
      <c r="AR298" s="33" t="str">
        <f aca="false">IF(A298="","",IF(COUNT(AF298:AJ298)=0,"",SUM(AF298:AJ298)))</f>
        <v/>
      </c>
      <c r="AS298" s="34" t="str">
        <f aca="false">IF(OR(AR298="",N(AO298)=0),"",AR298/AO298)</f>
        <v/>
      </c>
      <c r="AT298" s="34" t="str">
        <f aca="false">IF(OR(AR298="",N(AC298)=0),"",AR298/AC298)</f>
        <v/>
      </c>
      <c r="AU298" s="34" t="str">
        <f aca="false">IF(OR(AR298="",N(S298)=0),"",AR298/S298)</f>
        <v/>
      </c>
      <c r="AV298" s="34" t="str">
        <f aca="false">IF(OR(AJ298="",N(AC298)=0),"",AJ298/AC298)</f>
        <v/>
      </c>
      <c r="AW298" s="34" t="str">
        <f aca="false">IF(OR(AH298="",N(AO298)=0),"",AH298/AO298)</f>
        <v/>
      </c>
      <c r="AX298" s="35" t="str">
        <f aca="false">IF(OR(AR298="",N(AO298)=0),"",(N(AF298)*Settings!$B$6+N(AG298)*Settings!$B$7+N(AH298)*Settings!$B$8+N(AI298)*Settings!$B$9+N(AJ298)*Settings!$B$10)/AO298*1000)</f>
        <v/>
      </c>
      <c r="AY298" s="36" t="str">
        <f aca="false">IF(AS298="","",IFERROR(AS298/AVERAGEIFS('Post Tracker'!$AS$5:$AS$1004,'Post Tracker'!$G$5:$G$1004,G298),""))</f>
        <v/>
      </c>
      <c r="AZ298" s="32"/>
      <c r="BA298" s="32"/>
      <c r="BB298" s="32"/>
      <c r="BC298" s="32"/>
      <c r="BD298" s="33" t="str">
        <f aca="false">IF(A298="","",COUNTIFS('Demo Pipeline'!$Q$5:$Q$504,A298))</f>
        <v/>
      </c>
      <c r="BE298" s="33" t="str">
        <f aca="false">IF(A298="","",COUNTIFS('Demo Pipeline'!$Q$5:$Q$504,A298,'Demo Pipeline'!$W$5:$W$504,"Attended"))</f>
        <v/>
      </c>
      <c r="BF298" s="33" t="str">
        <f aca="false">IF(A298="","",COUNTIFS('Demo Pipeline'!$Q$5:$Q$504,A298,'Demo Pipeline'!$X$5:$X$504,"Yes"))</f>
        <v/>
      </c>
      <c r="BG298" s="33" t="str">
        <f aca="false">IF(A298="","",COUNTIFS('Demo Pipeline'!$Q$5:$Q$504,A298,'Demo Pipeline'!$Y$5:$Y$504,"Closed Won"))</f>
        <v/>
      </c>
      <c r="BH298" s="37" t="str">
        <f aca="false">IF(A298="","",SUMIFS('Demo Pipeline'!$Z$5:$Z$504,'Demo Pipeline'!$Q$5:$Q$504,A298))</f>
        <v/>
      </c>
      <c r="BI298" s="34" t="str">
        <f aca="false">IF(OR(AZ298="",N(AJ298)=0),"",AZ298/AJ298)</f>
        <v/>
      </c>
      <c r="BJ298" s="34" t="str">
        <f aca="false">IF(OR(BB298="",N(AZ298)=0),"",BB298/AZ298)</f>
        <v/>
      </c>
      <c r="BK298" s="34" t="str">
        <f aca="false">IF(OR(A298="",N(BB298)=0),"",BD298/BB298)</f>
        <v/>
      </c>
      <c r="BL298" s="34" t="str">
        <f aca="false">IF(OR(A298="",N(AZ298)=0),"",BD298/AZ298)</f>
        <v/>
      </c>
      <c r="BM298" s="37" t="str">
        <f aca="false">IF(OR(N(Q298)=0,N(BD298)=0),"",Q298/BD298)</f>
        <v/>
      </c>
      <c r="BN298" s="29"/>
      <c r="BO298" s="29"/>
      <c r="BP298" s="33" t="str">
        <f aca="false">IF(OR(AR298="",N(AO298)=0),"",AR298)</f>
        <v/>
      </c>
      <c r="BQ298" s="33" t="str">
        <f aca="false">IF(OR(AR298="",N(S298)=0),"",S298)</f>
        <v/>
      </c>
      <c r="BR298" s="38" t="str">
        <f aca="false">IF(AND(ISNUMBER(B298),B298&gt;=Dashboard!$C$4,B298&lt;=Dashboard!$F$4,ISNUMBER(AU298)),AU298+ROW()/10^9,"")</f>
        <v/>
      </c>
      <c r="BS298" s="38" t="str">
        <f aca="false">IF(AND(ISNUMBER(B298),B298&gt;=Dashboard!$C$4,B298&lt;=Dashboard!$F$4,A298&lt;&gt;""),N(BD298)+N(AU298)/100+ROW()/10^9,"")</f>
        <v/>
      </c>
    </row>
    <row r="299" customFormat="false" ht="15" hidden="false" customHeight="false" outlineLevel="0" collapsed="false">
      <c r="A299" s="24" t="str">
        <f aca="false">IF(OR(B299="",G299="",H299=""),"",IFERROR(INDEX(Settings!$E$5:$E$49,MATCH(G299,Settings!$D$5:$D$49,0))&amp;INDEX(Settings!$H$5:$H$47,MATCH(H299,Settings!$G$5:$G$47,0))&amp;"-"&amp;TEXT(B299,"yymmdd")&amp;"-"&amp;IF(C299="","0000",TEXT(C299,"hhmm")),"CHECK LISTS"))</f>
        <v/>
      </c>
      <c r="B299" s="39"/>
      <c r="C299" s="40"/>
      <c r="D299" s="24" t="str">
        <f aca="false">IF(B299="","",TEXT(B299,"ddd"))</f>
        <v/>
      </c>
      <c r="E299" s="27" t="str">
        <f aca="false">IF(B299="","",B299-WEEKDAY(B299,3))</f>
        <v/>
      </c>
      <c r="F299" s="24" t="str">
        <f aca="false">IF(B299="","",TEXT(B299,"yyyy-mm"))</f>
        <v/>
      </c>
      <c r="G299" s="29"/>
      <c r="H299" s="29"/>
      <c r="I299" s="29"/>
      <c r="J299" s="29"/>
      <c r="K299" s="29"/>
      <c r="L299" s="29"/>
      <c r="M299" s="29"/>
      <c r="N299" s="29"/>
      <c r="O299" s="29"/>
      <c r="P299" s="29"/>
      <c r="Q299" s="30"/>
      <c r="R299" s="29"/>
      <c r="S299" s="32"/>
      <c r="T299" s="29"/>
      <c r="U299" s="29"/>
      <c r="V299" s="24" t="str">
        <f aca="false">IF(A299="","",IFERROR(INDEX(Settings!$F$5:$F$49,MATCH(G299,Settings!$D$5:$D$49,0)),""))</f>
        <v/>
      </c>
      <c r="W299" s="24" t="str">
        <f aca="false">IF(A299="","",IF(OR(P299="",P299="Organic"),"social","paid_social"))</f>
        <v/>
      </c>
      <c r="X299" s="24" t="str">
        <f aca="false">IF(A299="","",IF(K299&lt;&gt;"",IFERROR(INDEX('Case Studies'!$C$5:$C$54,MATCH(K299,'Case Studies'!$B$5:$B$54,0))&amp;"","case-study"),IF(J299&lt;&gt;"",IFERROR(INDEX(Settings!$J$5:$J$55,MATCH(J299,Settings!$I$5:$I$55,0)),"general"),"general")))</f>
        <v/>
      </c>
      <c r="Y299" s="24" t="str">
        <f aca="false">IF(A299="","",LOWER(A299))</f>
        <v/>
      </c>
      <c r="Z299" s="24" t="str">
        <f aca="false">IF(A299="","",IF(T299="",Settings!$B$5,T299)&amp;IF(ISNUMBER(FIND("?",IF(T299="",Settings!$B$5,T299))),"&amp;","?")&amp;"utm_source="&amp;V299&amp;"&amp;utm_medium="&amp;W299&amp;"&amp;utm_campaign="&amp;X299&amp;"&amp;utm_content="&amp;Y299)</f>
        <v/>
      </c>
      <c r="AA299" s="29"/>
      <c r="AB299" s="39"/>
      <c r="AC299" s="32"/>
      <c r="AD299" s="32"/>
      <c r="AE299" s="32"/>
      <c r="AF299" s="32"/>
      <c r="AG299" s="32"/>
      <c r="AH299" s="32"/>
      <c r="AI299" s="32"/>
      <c r="AJ299" s="32"/>
      <c r="AK299" s="32"/>
      <c r="AL299" s="32"/>
      <c r="AM299" s="32"/>
      <c r="AN299" s="32"/>
      <c r="AO299" s="33" t="str">
        <f aca="false">IF(A299="","",IF(AD299&lt;&gt;"",AD299,IF(AC299&lt;&gt;"",AC299,"")))</f>
        <v/>
      </c>
      <c r="AP299" s="24" t="str">
        <f aca="false">IF(AO299="","",IF(AD299&lt;&gt;"","Reported reach","Impressions (proxy)"))</f>
        <v/>
      </c>
      <c r="AQ299" s="34" t="str">
        <f aca="false">IF(OR(AO299="",N(S299)=0),"",AO299/S299)</f>
        <v/>
      </c>
      <c r="AR299" s="33" t="str">
        <f aca="false">IF(A299="","",IF(COUNT(AF299:AJ299)=0,"",SUM(AF299:AJ299)))</f>
        <v/>
      </c>
      <c r="AS299" s="34" t="str">
        <f aca="false">IF(OR(AR299="",N(AO299)=0),"",AR299/AO299)</f>
        <v/>
      </c>
      <c r="AT299" s="34" t="str">
        <f aca="false">IF(OR(AR299="",N(AC299)=0),"",AR299/AC299)</f>
        <v/>
      </c>
      <c r="AU299" s="34" t="str">
        <f aca="false">IF(OR(AR299="",N(S299)=0),"",AR299/S299)</f>
        <v/>
      </c>
      <c r="AV299" s="34" t="str">
        <f aca="false">IF(OR(AJ299="",N(AC299)=0),"",AJ299/AC299)</f>
        <v/>
      </c>
      <c r="AW299" s="34" t="str">
        <f aca="false">IF(OR(AH299="",N(AO299)=0),"",AH299/AO299)</f>
        <v/>
      </c>
      <c r="AX299" s="35" t="str">
        <f aca="false">IF(OR(AR299="",N(AO299)=0),"",(N(AF299)*Settings!$B$6+N(AG299)*Settings!$B$7+N(AH299)*Settings!$B$8+N(AI299)*Settings!$B$9+N(AJ299)*Settings!$B$10)/AO299*1000)</f>
        <v/>
      </c>
      <c r="AY299" s="36" t="str">
        <f aca="false">IF(AS299="","",IFERROR(AS299/AVERAGEIFS('Post Tracker'!$AS$5:$AS$1004,'Post Tracker'!$G$5:$G$1004,G299),""))</f>
        <v/>
      </c>
      <c r="AZ299" s="32"/>
      <c r="BA299" s="32"/>
      <c r="BB299" s="32"/>
      <c r="BC299" s="32"/>
      <c r="BD299" s="33" t="str">
        <f aca="false">IF(A299="","",COUNTIFS('Demo Pipeline'!$Q$5:$Q$504,A299))</f>
        <v/>
      </c>
      <c r="BE299" s="33" t="str">
        <f aca="false">IF(A299="","",COUNTIFS('Demo Pipeline'!$Q$5:$Q$504,A299,'Demo Pipeline'!$W$5:$W$504,"Attended"))</f>
        <v/>
      </c>
      <c r="BF299" s="33" t="str">
        <f aca="false">IF(A299="","",COUNTIFS('Demo Pipeline'!$Q$5:$Q$504,A299,'Demo Pipeline'!$X$5:$X$504,"Yes"))</f>
        <v/>
      </c>
      <c r="BG299" s="33" t="str">
        <f aca="false">IF(A299="","",COUNTIFS('Demo Pipeline'!$Q$5:$Q$504,A299,'Demo Pipeline'!$Y$5:$Y$504,"Closed Won"))</f>
        <v/>
      </c>
      <c r="BH299" s="37" t="str">
        <f aca="false">IF(A299="","",SUMIFS('Demo Pipeline'!$Z$5:$Z$504,'Demo Pipeline'!$Q$5:$Q$504,A299))</f>
        <v/>
      </c>
      <c r="BI299" s="34" t="str">
        <f aca="false">IF(OR(AZ299="",N(AJ299)=0),"",AZ299/AJ299)</f>
        <v/>
      </c>
      <c r="BJ299" s="34" t="str">
        <f aca="false">IF(OR(BB299="",N(AZ299)=0),"",BB299/AZ299)</f>
        <v/>
      </c>
      <c r="BK299" s="34" t="str">
        <f aca="false">IF(OR(A299="",N(BB299)=0),"",BD299/BB299)</f>
        <v/>
      </c>
      <c r="BL299" s="34" t="str">
        <f aca="false">IF(OR(A299="",N(AZ299)=0),"",BD299/AZ299)</f>
        <v/>
      </c>
      <c r="BM299" s="37" t="str">
        <f aca="false">IF(OR(N(Q299)=0,N(BD299)=0),"",Q299/BD299)</f>
        <v/>
      </c>
      <c r="BN299" s="29"/>
      <c r="BO299" s="29"/>
      <c r="BP299" s="33" t="str">
        <f aca="false">IF(OR(AR299="",N(AO299)=0),"",AR299)</f>
        <v/>
      </c>
      <c r="BQ299" s="33" t="str">
        <f aca="false">IF(OR(AR299="",N(S299)=0),"",S299)</f>
        <v/>
      </c>
      <c r="BR299" s="38" t="str">
        <f aca="false">IF(AND(ISNUMBER(B299),B299&gt;=Dashboard!$C$4,B299&lt;=Dashboard!$F$4,ISNUMBER(AU299)),AU299+ROW()/10^9,"")</f>
        <v/>
      </c>
      <c r="BS299" s="38" t="str">
        <f aca="false">IF(AND(ISNUMBER(B299),B299&gt;=Dashboard!$C$4,B299&lt;=Dashboard!$F$4,A299&lt;&gt;""),N(BD299)+N(AU299)/100+ROW()/10^9,"")</f>
        <v/>
      </c>
    </row>
    <row r="300" customFormat="false" ht="15" hidden="false" customHeight="false" outlineLevel="0" collapsed="false">
      <c r="A300" s="24" t="str">
        <f aca="false">IF(OR(B300="",G300="",H300=""),"",IFERROR(INDEX(Settings!$E$5:$E$49,MATCH(G300,Settings!$D$5:$D$49,0))&amp;INDEX(Settings!$H$5:$H$47,MATCH(H300,Settings!$G$5:$G$47,0))&amp;"-"&amp;TEXT(B300,"yymmdd")&amp;"-"&amp;IF(C300="","0000",TEXT(C300,"hhmm")),"CHECK LISTS"))</f>
        <v/>
      </c>
      <c r="B300" s="39"/>
      <c r="C300" s="40"/>
      <c r="D300" s="24" t="str">
        <f aca="false">IF(B300="","",TEXT(B300,"ddd"))</f>
        <v/>
      </c>
      <c r="E300" s="27" t="str">
        <f aca="false">IF(B300="","",B300-WEEKDAY(B300,3))</f>
        <v/>
      </c>
      <c r="F300" s="24" t="str">
        <f aca="false">IF(B300="","",TEXT(B300,"yyyy-mm"))</f>
        <v/>
      </c>
      <c r="G300" s="29"/>
      <c r="H300" s="29"/>
      <c r="I300" s="29"/>
      <c r="J300" s="29"/>
      <c r="K300" s="29"/>
      <c r="L300" s="29"/>
      <c r="M300" s="29"/>
      <c r="N300" s="29"/>
      <c r="O300" s="29"/>
      <c r="P300" s="29"/>
      <c r="Q300" s="30"/>
      <c r="R300" s="29"/>
      <c r="S300" s="32"/>
      <c r="T300" s="29"/>
      <c r="U300" s="29"/>
      <c r="V300" s="24" t="str">
        <f aca="false">IF(A300="","",IFERROR(INDEX(Settings!$F$5:$F$49,MATCH(G300,Settings!$D$5:$D$49,0)),""))</f>
        <v/>
      </c>
      <c r="W300" s="24" t="str">
        <f aca="false">IF(A300="","",IF(OR(P300="",P300="Organic"),"social","paid_social"))</f>
        <v/>
      </c>
      <c r="X300" s="24" t="str">
        <f aca="false">IF(A300="","",IF(K300&lt;&gt;"",IFERROR(INDEX('Case Studies'!$C$5:$C$54,MATCH(K300,'Case Studies'!$B$5:$B$54,0))&amp;"","case-study"),IF(J300&lt;&gt;"",IFERROR(INDEX(Settings!$J$5:$J$55,MATCH(J300,Settings!$I$5:$I$55,0)),"general"),"general")))</f>
        <v/>
      </c>
      <c r="Y300" s="24" t="str">
        <f aca="false">IF(A300="","",LOWER(A300))</f>
        <v/>
      </c>
      <c r="Z300" s="24" t="str">
        <f aca="false">IF(A300="","",IF(T300="",Settings!$B$5,T300)&amp;IF(ISNUMBER(FIND("?",IF(T300="",Settings!$B$5,T300))),"&amp;","?")&amp;"utm_source="&amp;V300&amp;"&amp;utm_medium="&amp;W300&amp;"&amp;utm_campaign="&amp;X300&amp;"&amp;utm_content="&amp;Y300)</f>
        <v/>
      </c>
      <c r="AA300" s="29"/>
      <c r="AB300" s="39"/>
      <c r="AC300" s="32"/>
      <c r="AD300" s="32"/>
      <c r="AE300" s="32"/>
      <c r="AF300" s="32"/>
      <c r="AG300" s="32"/>
      <c r="AH300" s="32"/>
      <c r="AI300" s="32"/>
      <c r="AJ300" s="32"/>
      <c r="AK300" s="32"/>
      <c r="AL300" s="32"/>
      <c r="AM300" s="32"/>
      <c r="AN300" s="32"/>
      <c r="AO300" s="33" t="str">
        <f aca="false">IF(A300="","",IF(AD300&lt;&gt;"",AD300,IF(AC300&lt;&gt;"",AC300,"")))</f>
        <v/>
      </c>
      <c r="AP300" s="24" t="str">
        <f aca="false">IF(AO300="","",IF(AD300&lt;&gt;"","Reported reach","Impressions (proxy)"))</f>
        <v/>
      </c>
      <c r="AQ300" s="34" t="str">
        <f aca="false">IF(OR(AO300="",N(S300)=0),"",AO300/S300)</f>
        <v/>
      </c>
      <c r="AR300" s="33" t="str">
        <f aca="false">IF(A300="","",IF(COUNT(AF300:AJ300)=0,"",SUM(AF300:AJ300)))</f>
        <v/>
      </c>
      <c r="AS300" s="34" t="str">
        <f aca="false">IF(OR(AR300="",N(AO300)=0),"",AR300/AO300)</f>
        <v/>
      </c>
      <c r="AT300" s="34" t="str">
        <f aca="false">IF(OR(AR300="",N(AC300)=0),"",AR300/AC300)</f>
        <v/>
      </c>
      <c r="AU300" s="34" t="str">
        <f aca="false">IF(OR(AR300="",N(S300)=0),"",AR300/S300)</f>
        <v/>
      </c>
      <c r="AV300" s="34" t="str">
        <f aca="false">IF(OR(AJ300="",N(AC300)=0),"",AJ300/AC300)</f>
        <v/>
      </c>
      <c r="AW300" s="34" t="str">
        <f aca="false">IF(OR(AH300="",N(AO300)=0),"",AH300/AO300)</f>
        <v/>
      </c>
      <c r="AX300" s="35" t="str">
        <f aca="false">IF(OR(AR300="",N(AO300)=0),"",(N(AF300)*Settings!$B$6+N(AG300)*Settings!$B$7+N(AH300)*Settings!$B$8+N(AI300)*Settings!$B$9+N(AJ300)*Settings!$B$10)/AO300*1000)</f>
        <v/>
      </c>
      <c r="AY300" s="36" t="str">
        <f aca="false">IF(AS300="","",IFERROR(AS300/AVERAGEIFS('Post Tracker'!$AS$5:$AS$1004,'Post Tracker'!$G$5:$G$1004,G300),""))</f>
        <v/>
      </c>
      <c r="AZ300" s="32"/>
      <c r="BA300" s="32"/>
      <c r="BB300" s="32"/>
      <c r="BC300" s="32"/>
      <c r="BD300" s="33" t="str">
        <f aca="false">IF(A300="","",COUNTIFS('Demo Pipeline'!$Q$5:$Q$504,A300))</f>
        <v/>
      </c>
      <c r="BE300" s="33" t="str">
        <f aca="false">IF(A300="","",COUNTIFS('Demo Pipeline'!$Q$5:$Q$504,A300,'Demo Pipeline'!$W$5:$W$504,"Attended"))</f>
        <v/>
      </c>
      <c r="BF300" s="33" t="str">
        <f aca="false">IF(A300="","",COUNTIFS('Demo Pipeline'!$Q$5:$Q$504,A300,'Demo Pipeline'!$X$5:$X$504,"Yes"))</f>
        <v/>
      </c>
      <c r="BG300" s="33" t="str">
        <f aca="false">IF(A300="","",COUNTIFS('Demo Pipeline'!$Q$5:$Q$504,A300,'Demo Pipeline'!$Y$5:$Y$504,"Closed Won"))</f>
        <v/>
      </c>
      <c r="BH300" s="37" t="str">
        <f aca="false">IF(A300="","",SUMIFS('Demo Pipeline'!$Z$5:$Z$504,'Demo Pipeline'!$Q$5:$Q$504,A300))</f>
        <v/>
      </c>
      <c r="BI300" s="34" t="str">
        <f aca="false">IF(OR(AZ300="",N(AJ300)=0),"",AZ300/AJ300)</f>
        <v/>
      </c>
      <c r="BJ300" s="34" t="str">
        <f aca="false">IF(OR(BB300="",N(AZ300)=0),"",BB300/AZ300)</f>
        <v/>
      </c>
      <c r="BK300" s="34" t="str">
        <f aca="false">IF(OR(A300="",N(BB300)=0),"",BD300/BB300)</f>
        <v/>
      </c>
      <c r="BL300" s="34" t="str">
        <f aca="false">IF(OR(A300="",N(AZ300)=0),"",BD300/AZ300)</f>
        <v/>
      </c>
      <c r="BM300" s="37" t="str">
        <f aca="false">IF(OR(N(Q300)=0,N(BD300)=0),"",Q300/BD300)</f>
        <v/>
      </c>
      <c r="BN300" s="29"/>
      <c r="BO300" s="29"/>
      <c r="BP300" s="33" t="str">
        <f aca="false">IF(OR(AR300="",N(AO300)=0),"",AR300)</f>
        <v/>
      </c>
      <c r="BQ300" s="33" t="str">
        <f aca="false">IF(OR(AR300="",N(S300)=0),"",S300)</f>
        <v/>
      </c>
      <c r="BR300" s="38" t="str">
        <f aca="false">IF(AND(ISNUMBER(B300),B300&gt;=Dashboard!$C$4,B300&lt;=Dashboard!$F$4,ISNUMBER(AU300)),AU300+ROW()/10^9,"")</f>
        <v/>
      </c>
      <c r="BS300" s="38" t="str">
        <f aca="false">IF(AND(ISNUMBER(B300),B300&gt;=Dashboard!$C$4,B300&lt;=Dashboard!$F$4,A300&lt;&gt;""),N(BD300)+N(AU300)/100+ROW()/10^9,"")</f>
        <v/>
      </c>
    </row>
    <row r="301" customFormat="false" ht="15" hidden="false" customHeight="false" outlineLevel="0" collapsed="false">
      <c r="A301" s="24" t="str">
        <f aca="false">IF(OR(B301="",G301="",H301=""),"",IFERROR(INDEX(Settings!$E$5:$E$49,MATCH(G301,Settings!$D$5:$D$49,0))&amp;INDEX(Settings!$H$5:$H$47,MATCH(H301,Settings!$G$5:$G$47,0))&amp;"-"&amp;TEXT(B301,"yymmdd")&amp;"-"&amp;IF(C301="","0000",TEXT(C301,"hhmm")),"CHECK LISTS"))</f>
        <v/>
      </c>
      <c r="B301" s="39"/>
      <c r="C301" s="40"/>
      <c r="D301" s="24" t="str">
        <f aca="false">IF(B301="","",TEXT(B301,"ddd"))</f>
        <v/>
      </c>
      <c r="E301" s="27" t="str">
        <f aca="false">IF(B301="","",B301-WEEKDAY(B301,3))</f>
        <v/>
      </c>
      <c r="F301" s="24" t="str">
        <f aca="false">IF(B301="","",TEXT(B301,"yyyy-mm"))</f>
        <v/>
      </c>
      <c r="G301" s="29"/>
      <c r="H301" s="29"/>
      <c r="I301" s="29"/>
      <c r="J301" s="29"/>
      <c r="K301" s="29"/>
      <c r="L301" s="29"/>
      <c r="M301" s="29"/>
      <c r="N301" s="29"/>
      <c r="O301" s="29"/>
      <c r="P301" s="29"/>
      <c r="Q301" s="30"/>
      <c r="R301" s="29"/>
      <c r="S301" s="32"/>
      <c r="T301" s="29"/>
      <c r="U301" s="29"/>
      <c r="V301" s="24" t="str">
        <f aca="false">IF(A301="","",IFERROR(INDEX(Settings!$F$5:$F$49,MATCH(G301,Settings!$D$5:$D$49,0)),""))</f>
        <v/>
      </c>
      <c r="W301" s="24" t="str">
        <f aca="false">IF(A301="","",IF(OR(P301="",P301="Organic"),"social","paid_social"))</f>
        <v/>
      </c>
      <c r="X301" s="24" t="str">
        <f aca="false">IF(A301="","",IF(K301&lt;&gt;"",IFERROR(INDEX('Case Studies'!$C$5:$C$54,MATCH(K301,'Case Studies'!$B$5:$B$54,0))&amp;"","case-study"),IF(J301&lt;&gt;"",IFERROR(INDEX(Settings!$J$5:$J$55,MATCH(J301,Settings!$I$5:$I$55,0)),"general"),"general")))</f>
        <v/>
      </c>
      <c r="Y301" s="24" t="str">
        <f aca="false">IF(A301="","",LOWER(A301))</f>
        <v/>
      </c>
      <c r="Z301" s="24" t="str">
        <f aca="false">IF(A301="","",IF(T301="",Settings!$B$5,T301)&amp;IF(ISNUMBER(FIND("?",IF(T301="",Settings!$B$5,T301))),"&amp;","?")&amp;"utm_source="&amp;V301&amp;"&amp;utm_medium="&amp;W301&amp;"&amp;utm_campaign="&amp;X301&amp;"&amp;utm_content="&amp;Y301)</f>
        <v/>
      </c>
      <c r="AA301" s="29"/>
      <c r="AB301" s="39"/>
      <c r="AC301" s="32"/>
      <c r="AD301" s="32"/>
      <c r="AE301" s="32"/>
      <c r="AF301" s="32"/>
      <c r="AG301" s="32"/>
      <c r="AH301" s="32"/>
      <c r="AI301" s="32"/>
      <c r="AJ301" s="32"/>
      <c r="AK301" s="32"/>
      <c r="AL301" s="32"/>
      <c r="AM301" s="32"/>
      <c r="AN301" s="32"/>
      <c r="AO301" s="33" t="str">
        <f aca="false">IF(A301="","",IF(AD301&lt;&gt;"",AD301,IF(AC301&lt;&gt;"",AC301,"")))</f>
        <v/>
      </c>
      <c r="AP301" s="24" t="str">
        <f aca="false">IF(AO301="","",IF(AD301&lt;&gt;"","Reported reach","Impressions (proxy)"))</f>
        <v/>
      </c>
      <c r="AQ301" s="34" t="str">
        <f aca="false">IF(OR(AO301="",N(S301)=0),"",AO301/S301)</f>
        <v/>
      </c>
      <c r="AR301" s="33" t="str">
        <f aca="false">IF(A301="","",IF(COUNT(AF301:AJ301)=0,"",SUM(AF301:AJ301)))</f>
        <v/>
      </c>
      <c r="AS301" s="34" t="str">
        <f aca="false">IF(OR(AR301="",N(AO301)=0),"",AR301/AO301)</f>
        <v/>
      </c>
      <c r="AT301" s="34" t="str">
        <f aca="false">IF(OR(AR301="",N(AC301)=0),"",AR301/AC301)</f>
        <v/>
      </c>
      <c r="AU301" s="34" t="str">
        <f aca="false">IF(OR(AR301="",N(S301)=0),"",AR301/S301)</f>
        <v/>
      </c>
      <c r="AV301" s="34" t="str">
        <f aca="false">IF(OR(AJ301="",N(AC301)=0),"",AJ301/AC301)</f>
        <v/>
      </c>
      <c r="AW301" s="34" t="str">
        <f aca="false">IF(OR(AH301="",N(AO301)=0),"",AH301/AO301)</f>
        <v/>
      </c>
      <c r="AX301" s="35" t="str">
        <f aca="false">IF(OR(AR301="",N(AO301)=0),"",(N(AF301)*Settings!$B$6+N(AG301)*Settings!$B$7+N(AH301)*Settings!$B$8+N(AI301)*Settings!$B$9+N(AJ301)*Settings!$B$10)/AO301*1000)</f>
        <v/>
      </c>
      <c r="AY301" s="36" t="str">
        <f aca="false">IF(AS301="","",IFERROR(AS301/AVERAGEIFS('Post Tracker'!$AS$5:$AS$1004,'Post Tracker'!$G$5:$G$1004,G301),""))</f>
        <v/>
      </c>
      <c r="AZ301" s="32"/>
      <c r="BA301" s="32"/>
      <c r="BB301" s="32"/>
      <c r="BC301" s="32"/>
      <c r="BD301" s="33" t="str">
        <f aca="false">IF(A301="","",COUNTIFS('Demo Pipeline'!$Q$5:$Q$504,A301))</f>
        <v/>
      </c>
      <c r="BE301" s="33" t="str">
        <f aca="false">IF(A301="","",COUNTIFS('Demo Pipeline'!$Q$5:$Q$504,A301,'Demo Pipeline'!$W$5:$W$504,"Attended"))</f>
        <v/>
      </c>
      <c r="BF301" s="33" t="str">
        <f aca="false">IF(A301="","",COUNTIFS('Demo Pipeline'!$Q$5:$Q$504,A301,'Demo Pipeline'!$X$5:$X$504,"Yes"))</f>
        <v/>
      </c>
      <c r="BG301" s="33" t="str">
        <f aca="false">IF(A301="","",COUNTIFS('Demo Pipeline'!$Q$5:$Q$504,A301,'Demo Pipeline'!$Y$5:$Y$504,"Closed Won"))</f>
        <v/>
      </c>
      <c r="BH301" s="37" t="str">
        <f aca="false">IF(A301="","",SUMIFS('Demo Pipeline'!$Z$5:$Z$504,'Demo Pipeline'!$Q$5:$Q$504,A301))</f>
        <v/>
      </c>
      <c r="BI301" s="34" t="str">
        <f aca="false">IF(OR(AZ301="",N(AJ301)=0),"",AZ301/AJ301)</f>
        <v/>
      </c>
      <c r="BJ301" s="34" t="str">
        <f aca="false">IF(OR(BB301="",N(AZ301)=0),"",BB301/AZ301)</f>
        <v/>
      </c>
      <c r="BK301" s="34" t="str">
        <f aca="false">IF(OR(A301="",N(BB301)=0),"",BD301/BB301)</f>
        <v/>
      </c>
      <c r="BL301" s="34" t="str">
        <f aca="false">IF(OR(A301="",N(AZ301)=0),"",BD301/AZ301)</f>
        <v/>
      </c>
      <c r="BM301" s="37" t="str">
        <f aca="false">IF(OR(N(Q301)=0,N(BD301)=0),"",Q301/BD301)</f>
        <v/>
      </c>
      <c r="BN301" s="29"/>
      <c r="BO301" s="29"/>
      <c r="BP301" s="33" t="str">
        <f aca="false">IF(OR(AR301="",N(AO301)=0),"",AR301)</f>
        <v/>
      </c>
      <c r="BQ301" s="33" t="str">
        <f aca="false">IF(OR(AR301="",N(S301)=0),"",S301)</f>
        <v/>
      </c>
      <c r="BR301" s="38" t="str">
        <f aca="false">IF(AND(ISNUMBER(B301),B301&gt;=Dashboard!$C$4,B301&lt;=Dashboard!$F$4,ISNUMBER(AU301)),AU301+ROW()/10^9,"")</f>
        <v/>
      </c>
      <c r="BS301" s="38" t="str">
        <f aca="false">IF(AND(ISNUMBER(B301),B301&gt;=Dashboard!$C$4,B301&lt;=Dashboard!$F$4,A301&lt;&gt;""),N(BD301)+N(AU301)/100+ROW()/10^9,"")</f>
        <v/>
      </c>
    </row>
    <row r="302" customFormat="false" ht="15" hidden="false" customHeight="false" outlineLevel="0" collapsed="false">
      <c r="A302" s="24" t="str">
        <f aca="false">IF(OR(B302="",G302="",H302=""),"",IFERROR(INDEX(Settings!$E$5:$E$49,MATCH(G302,Settings!$D$5:$D$49,0))&amp;INDEX(Settings!$H$5:$H$47,MATCH(H302,Settings!$G$5:$G$47,0))&amp;"-"&amp;TEXT(B302,"yymmdd")&amp;"-"&amp;IF(C302="","0000",TEXT(C302,"hhmm")),"CHECK LISTS"))</f>
        <v/>
      </c>
      <c r="B302" s="39"/>
      <c r="C302" s="40"/>
      <c r="D302" s="24" t="str">
        <f aca="false">IF(B302="","",TEXT(B302,"ddd"))</f>
        <v/>
      </c>
      <c r="E302" s="27" t="str">
        <f aca="false">IF(B302="","",B302-WEEKDAY(B302,3))</f>
        <v/>
      </c>
      <c r="F302" s="24" t="str">
        <f aca="false">IF(B302="","",TEXT(B302,"yyyy-mm"))</f>
        <v/>
      </c>
      <c r="G302" s="29"/>
      <c r="H302" s="29"/>
      <c r="I302" s="29"/>
      <c r="J302" s="29"/>
      <c r="K302" s="29"/>
      <c r="L302" s="29"/>
      <c r="M302" s="29"/>
      <c r="N302" s="29"/>
      <c r="O302" s="29"/>
      <c r="P302" s="29"/>
      <c r="Q302" s="30"/>
      <c r="R302" s="29"/>
      <c r="S302" s="32"/>
      <c r="T302" s="29"/>
      <c r="U302" s="29"/>
      <c r="V302" s="24" t="str">
        <f aca="false">IF(A302="","",IFERROR(INDEX(Settings!$F$5:$F$49,MATCH(G302,Settings!$D$5:$D$49,0)),""))</f>
        <v/>
      </c>
      <c r="W302" s="24" t="str">
        <f aca="false">IF(A302="","",IF(OR(P302="",P302="Organic"),"social","paid_social"))</f>
        <v/>
      </c>
      <c r="X302" s="24" t="str">
        <f aca="false">IF(A302="","",IF(K302&lt;&gt;"",IFERROR(INDEX('Case Studies'!$C$5:$C$54,MATCH(K302,'Case Studies'!$B$5:$B$54,0))&amp;"","case-study"),IF(J302&lt;&gt;"",IFERROR(INDEX(Settings!$J$5:$J$55,MATCH(J302,Settings!$I$5:$I$55,0)),"general"),"general")))</f>
        <v/>
      </c>
      <c r="Y302" s="24" t="str">
        <f aca="false">IF(A302="","",LOWER(A302))</f>
        <v/>
      </c>
      <c r="Z302" s="24" t="str">
        <f aca="false">IF(A302="","",IF(T302="",Settings!$B$5,T302)&amp;IF(ISNUMBER(FIND("?",IF(T302="",Settings!$B$5,T302))),"&amp;","?")&amp;"utm_source="&amp;V302&amp;"&amp;utm_medium="&amp;W302&amp;"&amp;utm_campaign="&amp;X302&amp;"&amp;utm_content="&amp;Y302)</f>
        <v/>
      </c>
      <c r="AA302" s="29"/>
      <c r="AB302" s="39"/>
      <c r="AC302" s="32"/>
      <c r="AD302" s="32"/>
      <c r="AE302" s="32"/>
      <c r="AF302" s="32"/>
      <c r="AG302" s="32"/>
      <c r="AH302" s="32"/>
      <c r="AI302" s="32"/>
      <c r="AJ302" s="32"/>
      <c r="AK302" s="32"/>
      <c r="AL302" s="32"/>
      <c r="AM302" s="32"/>
      <c r="AN302" s="32"/>
      <c r="AO302" s="33" t="str">
        <f aca="false">IF(A302="","",IF(AD302&lt;&gt;"",AD302,IF(AC302&lt;&gt;"",AC302,"")))</f>
        <v/>
      </c>
      <c r="AP302" s="24" t="str">
        <f aca="false">IF(AO302="","",IF(AD302&lt;&gt;"","Reported reach","Impressions (proxy)"))</f>
        <v/>
      </c>
      <c r="AQ302" s="34" t="str">
        <f aca="false">IF(OR(AO302="",N(S302)=0),"",AO302/S302)</f>
        <v/>
      </c>
      <c r="AR302" s="33" t="str">
        <f aca="false">IF(A302="","",IF(COUNT(AF302:AJ302)=0,"",SUM(AF302:AJ302)))</f>
        <v/>
      </c>
      <c r="AS302" s="34" t="str">
        <f aca="false">IF(OR(AR302="",N(AO302)=0),"",AR302/AO302)</f>
        <v/>
      </c>
      <c r="AT302" s="34" t="str">
        <f aca="false">IF(OR(AR302="",N(AC302)=0),"",AR302/AC302)</f>
        <v/>
      </c>
      <c r="AU302" s="34" t="str">
        <f aca="false">IF(OR(AR302="",N(S302)=0),"",AR302/S302)</f>
        <v/>
      </c>
      <c r="AV302" s="34" t="str">
        <f aca="false">IF(OR(AJ302="",N(AC302)=0),"",AJ302/AC302)</f>
        <v/>
      </c>
      <c r="AW302" s="34" t="str">
        <f aca="false">IF(OR(AH302="",N(AO302)=0),"",AH302/AO302)</f>
        <v/>
      </c>
      <c r="AX302" s="35" t="str">
        <f aca="false">IF(OR(AR302="",N(AO302)=0),"",(N(AF302)*Settings!$B$6+N(AG302)*Settings!$B$7+N(AH302)*Settings!$B$8+N(AI302)*Settings!$B$9+N(AJ302)*Settings!$B$10)/AO302*1000)</f>
        <v/>
      </c>
      <c r="AY302" s="36" t="str">
        <f aca="false">IF(AS302="","",IFERROR(AS302/AVERAGEIFS('Post Tracker'!$AS$5:$AS$1004,'Post Tracker'!$G$5:$G$1004,G302),""))</f>
        <v/>
      </c>
      <c r="AZ302" s="32"/>
      <c r="BA302" s="32"/>
      <c r="BB302" s="32"/>
      <c r="BC302" s="32"/>
      <c r="BD302" s="33" t="str">
        <f aca="false">IF(A302="","",COUNTIFS('Demo Pipeline'!$Q$5:$Q$504,A302))</f>
        <v/>
      </c>
      <c r="BE302" s="33" t="str">
        <f aca="false">IF(A302="","",COUNTIFS('Demo Pipeline'!$Q$5:$Q$504,A302,'Demo Pipeline'!$W$5:$W$504,"Attended"))</f>
        <v/>
      </c>
      <c r="BF302" s="33" t="str">
        <f aca="false">IF(A302="","",COUNTIFS('Demo Pipeline'!$Q$5:$Q$504,A302,'Demo Pipeline'!$X$5:$X$504,"Yes"))</f>
        <v/>
      </c>
      <c r="BG302" s="33" t="str">
        <f aca="false">IF(A302="","",COUNTIFS('Demo Pipeline'!$Q$5:$Q$504,A302,'Demo Pipeline'!$Y$5:$Y$504,"Closed Won"))</f>
        <v/>
      </c>
      <c r="BH302" s="37" t="str">
        <f aca="false">IF(A302="","",SUMIFS('Demo Pipeline'!$Z$5:$Z$504,'Demo Pipeline'!$Q$5:$Q$504,A302))</f>
        <v/>
      </c>
      <c r="BI302" s="34" t="str">
        <f aca="false">IF(OR(AZ302="",N(AJ302)=0),"",AZ302/AJ302)</f>
        <v/>
      </c>
      <c r="BJ302" s="34" t="str">
        <f aca="false">IF(OR(BB302="",N(AZ302)=0),"",BB302/AZ302)</f>
        <v/>
      </c>
      <c r="BK302" s="34" t="str">
        <f aca="false">IF(OR(A302="",N(BB302)=0),"",BD302/BB302)</f>
        <v/>
      </c>
      <c r="BL302" s="34" t="str">
        <f aca="false">IF(OR(A302="",N(AZ302)=0),"",BD302/AZ302)</f>
        <v/>
      </c>
      <c r="BM302" s="37" t="str">
        <f aca="false">IF(OR(N(Q302)=0,N(BD302)=0),"",Q302/BD302)</f>
        <v/>
      </c>
      <c r="BN302" s="29"/>
      <c r="BO302" s="29"/>
      <c r="BP302" s="33" t="str">
        <f aca="false">IF(OR(AR302="",N(AO302)=0),"",AR302)</f>
        <v/>
      </c>
      <c r="BQ302" s="33" t="str">
        <f aca="false">IF(OR(AR302="",N(S302)=0),"",S302)</f>
        <v/>
      </c>
      <c r="BR302" s="38" t="str">
        <f aca="false">IF(AND(ISNUMBER(B302),B302&gt;=Dashboard!$C$4,B302&lt;=Dashboard!$F$4,ISNUMBER(AU302)),AU302+ROW()/10^9,"")</f>
        <v/>
      </c>
      <c r="BS302" s="38" t="str">
        <f aca="false">IF(AND(ISNUMBER(B302),B302&gt;=Dashboard!$C$4,B302&lt;=Dashboard!$F$4,A302&lt;&gt;""),N(BD302)+N(AU302)/100+ROW()/10^9,"")</f>
        <v/>
      </c>
    </row>
    <row r="303" customFormat="false" ht="15" hidden="false" customHeight="false" outlineLevel="0" collapsed="false">
      <c r="A303" s="24" t="str">
        <f aca="false">IF(OR(B303="",G303="",H303=""),"",IFERROR(INDEX(Settings!$E$5:$E$49,MATCH(G303,Settings!$D$5:$D$49,0))&amp;INDEX(Settings!$H$5:$H$47,MATCH(H303,Settings!$G$5:$G$47,0))&amp;"-"&amp;TEXT(B303,"yymmdd")&amp;"-"&amp;IF(C303="","0000",TEXT(C303,"hhmm")),"CHECK LISTS"))</f>
        <v/>
      </c>
      <c r="B303" s="39"/>
      <c r="C303" s="40"/>
      <c r="D303" s="24" t="str">
        <f aca="false">IF(B303="","",TEXT(B303,"ddd"))</f>
        <v/>
      </c>
      <c r="E303" s="27" t="str">
        <f aca="false">IF(B303="","",B303-WEEKDAY(B303,3))</f>
        <v/>
      </c>
      <c r="F303" s="24" t="str">
        <f aca="false">IF(B303="","",TEXT(B303,"yyyy-mm"))</f>
        <v/>
      </c>
      <c r="G303" s="29"/>
      <c r="H303" s="29"/>
      <c r="I303" s="29"/>
      <c r="J303" s="29"/>
      <c r="K303" s="29"/>
      <c r="L303" s="29"/>
      <c r="M303" s="29"/>
      <c r="N303" s="29"/>
      <c r="O303" s="29"/>
      <c r="P303" s="29"/>
      <c r="Q303" s="30"/>
      <c r="R303" s="29"/>
      <c r="S303" s="32"/>
      <c r="T303" s="29"/>
      <c r="U303" s="29"/>
      <c r="V303" s="24" t="str">
        <f aca="false">IF(A303="","",IFERROR(INDEX(Settings!$F$5:$F$49,MATCH(G303,Settings!$D$5:$D$49,0)),""))</f>
        <v/>
      </c>
      <c r="W303" s="24" t="str">
        <f aca="false">IF(A303="","",IF(OR(P303="",P303="Organic"),"social","paid_social"))</f>
        <v/>
      </c>
      <c r="X303" s="24" t="str">
        <f aca="false">IF(A303="","",IF(K303&lt;&gt;"",IFERROR(INDEX('Case Studies'!$C$5:$C$54,MATCH(K303,'Case Studies'!$B$5:$B$54,0))&amp;"","case-study"),IF(J303&lt;&gt;"",IFERROR(INDEX(Settings!$J$5:$J$55,MATCH(J303,Settings!$I$5:$I$55,0)),"general"),"general")))</f>
        <v/>
      </c>
      <c r="Y303" s="24" t="str">
        <f aca="false">IF(A303="","",LOWER(A303))</f>
        <v/>
      </c>
      <c r="Z303" s="24" t="str">
        <f aca="false">IF(A303="","",IF(T303="",Settings!$B$5,T303)&amp;IF(ISNUMBER(FIND("?",IF(T303="",Settings!$B$5,T303))),"&amp;","?")&amp;"utm_source="&amp;V303&amp;"&amp;utm_medium="&amp;W303&amp;"&amp;utm_campaign="&amp;X303&amp;"&amp;utm_content="&amp;Y303)</f>
        <v/>
      </c>
      <c r="AA303" s="29"/>
      <c r="AB303" s="39"/>
      <c r="AC303" s="32"/>
      <c r="AD303" s="32"/>
      <c r="AE303" s="32"/>
      <c r="AF303" s="32"/>
      <c r="AG303" s="32"/>
      <c r="AH303" s="32"/>
      <c r="AI303" s="32"/>
      <c r="AJ303" s="32"/>
      <c r="AK303" s="32"/>
      <c r="AL303" s="32"/>
      <c r="AM303" s="32"/>
      <c r="AN303" s="32"/>
      <c r="AO303" s="33" t="str">
        <f aca="false">IF(A303="","",IF(AD303&lt;&gt;"",AD303,IF(AC303&lt;&gt;"",AC303,"")))</f>
        <v/>
      </c>
      <c r="AP303" s="24" t="str">
        <f aca="false">IF(AO303="","",IF(AD303&lt;&gt;"","Reported reach","Impressions (proxy)"))</f>
        <v/>
      </c>
      <c r="AQ303" s="34" t="str">
        <f aca="false">IF(OR(AO303="",N(S303)=0),"",AO303/S303)</f>
        <v/>
      </c>
      <c r="AR303" s="33" t="str">
        <f aca="false">IF(A303="","",IF(COUNT(AF303:AJ303)=0,"",SUM(AF303:AJ303)))</f>
        <v/>
      </c>
      <c r="AS303" s="34" t="str">
        <f aca="false">IF(OR(AR303="",N(AO303)=0),"",AR303/AO303)</f>
        <v/>
      </c>
      <c r="AT303" s="34" t="str">
        <f aca="false">IF(OR(AR303="",N(AC303)=0),"",AR303/AC303)</f>
        <v/>
      </c>
      <c r="AU303" s="34" t="str">
        <f aca="false">IF(OR(AR303="",N(S303)=0),"",AR303/S303)</f>
        <v/>
      </c>
      <c r="AV303" s="34" t="str">
        <f aca="false">IF(OR(AJ303="",N(AC303)=0),"",AJ303/AC303)</f>
        <v/>
      </c>
      <c r="AW303" s="34" t="str">
        <f aca="false">IF(OR(AH303="",N(AO303)=0),"",AH303/AO303)</f>
        <v/>
      </c>
      <c r="AX303" s="35" t="str">
        <f aca="false">IF(OR(AR303="",N(AO303)=0),"",(N(AF303)*Settings!$B$6+N(AG303)*Settings!$B$7+N(AH303)*Settings!$B$8+N(AI303)*Settings!$B$9+N(AJ303)*Settings!$B$10)/AO303*1000)</f>
        <v/>
      </c>
      <c r="AY303" s="36" t="str">
        <f aca="false">IF(AS303="","",IFERROR(AS303/AVERAGEIFS('Post Tracker'!$AS$5:$AS$1004,'Post Tracker'!$G$5:$G$1004,G303),""))</f>
        <v/>
      </c>
      <c r="AZ303" s="32"/>
      <c r="BA303" s="32"/>
      <c r="BB303" s="32"/>
      <c r="BC303" s="32"/>
      <c r="BD303" s="33" t="str">
        <f aca="false">IF(A303="","",COUNTIFS('Demo Pipeline'!$Q$5:$Q$504,A303))</f>
        <v/>
      </c>
      <c r="BE303" s="33" t="str">
        <f aca="false">IF(A303="","",COUNTIFS('Demo Pipeline'!$Q$5:$Q$504,A303,'Demo Pipeline'!$W$5:$W$504,"Attended"))</f>
        <v/>
      </c>
      <c r="BF303" s="33" t="str">
        <f aca="false">IF(A303="","",COUNTIFS('Demo Pipeline'!$Q$5:$Q$504,A303,'Demo Pipeline'!$X$5:$X$504,"Yes"))</f>
        <v/>
      </c>
      <c r="BG303" s="33" t="str">
        <f aca="false">IF(A303="","",COUNTIFS('Demo Pipeline'!$Q$5:$Q$504,A303,'Demo Pipeline'!$Y$5:$Y$504,"Closed Won"))</f>
        <v/>
      </c>
      <c r="BH303" s="37" t="str">
        <f aca="false">IF(A303="","",SUMIFS('Demo Pipeline'!$Z$5:$Z$504,'Demo Pipeline'!$Q$5:$Q$504,A303))</f>
        <v/>
      </c>
      <c r="BI303" s="34" t="str">
        <f aca="false">IF(OR(AZ303="",N(AJ303)=0),"",AZ303/AJ303)</f>
        <v/>
      </c>
      <c r="BJ303" s="34" t="str">
        <f aca="false">IF(OR(BB303="",N(AZ303)=0),"",BB303/AZ303)</f>
        <v/>
      </c>
      <c r="BK303" s="34" t="str">
        <f aca="false">IF(OR(A303="",N(BB303)=0),"",BD303/BB303)</f>
        <v/>
      </c>
      <c r="BL303" s="34" t="str">
        <f aca="false">IF(OR(A303="",N(AZ303)=0),"",BD303/AZ303)</f>
        <v/>
      </c>
      <c r="BM303" s="37" t="str">
        <f aca="false">IF(OR(N(Q303)=0,N(BD303)=0),"",Q303/BD303)</f>
        <v/>
      </c>
      <c r="BN303" s="29"/>
      <c r="BO303" s="29"/>
      <c r="BP303" s="33" t="str">
        <f aca="false">IF(OR(AR303="",N(AO303)=0),"",AR303)</f>
        <v/>
      </c>
      <c r="BQ303" s="33" t="str">
        <f aca="false">IF(OR(AR303="",N(S303)=0),"",S303)</f>
        <v/>
      </c>
      <c r="BR303" s="38" t="str">
        <f aca="false">IF(AND(ISNUMBER(B303),B303&gt;=Dashboard!$C$4,B303&lt;=Dashboard!$F$4,ISNUMBER(AU303)),AU303+ROW()/10^9,"")</f>
        <v/>
      </c>
      <c r="BS303" s="38" t="str">
        <f aca="false">IF(AND(ISNUMBER(B303),B303&gt;=Dashboard!$C$4,B303&lt;=Dashboard!$F$4,A303&lt;&gt;""),N(BD303)+N(AU303)/100+ROW()/10^9,"")</f>
        <v/>
      </c>
    </row>
    <row r="304" customFormat="false" ht="15" hidden="false" customHeight="false" outlineLevel="0" collapsed="false">
      <c r="A304" s="24" t="str">
        <f aca="false">IF(OR(B304="",G304="",H304=""),"",IFERROR(INDEX(Settings!$E$5:$E$49,MATCH(G304,Settings!$D$5:$D$49,0))&amp;INDEX(Settings!$H$5:$H$47,MATCH(H304,Settings!$G$5:$G$47,0))&amp;"-"&amp;TEXT(B304,"yymmdd")&amp;"-"&amp;IF(C304="","0000",TEXT(C304,"hhmm")),"CHECK LISTS"))</f>
        <v/>
      </c>
      <c r="B304" s="39"/>
      <c r="C304" s="40"/>
      <c r="D304" s="24" t="str">
        <f aca="false">IF(B304="","",TEXT(B304,"ddd"))</f>
        <v/>
      </c>
      <c r="E304" s="27" t="str">
        <f aca="false">IF(B304="","",B304-WEEKDAY(B304,3))</f>
        <v/>
      </c>
      <c r="F304" s="24" t="str">
        <f aca="false">IF(B304="","",TEXT(B304,"yyyy-mm"))</f>
        <v/>
      </c>
      <c r="G304" s="29"/>
      <c r="H304" s="29"/>
      <c r="I304" s="29"/>
      <c r="J304" s="29"/>
      <c r="K304" s="29"/>
      <c r="L304" s="29"/>
      <c r="M304" s="29"/>
      <c r="N304" s="29"/>
      <c r="O304" s="29"/>
      <c r="P304" s="29"/>
      <c r="Q304" s="30"/>
      <c r="R304" s="29"/>
      <c r="S304" s="32"/>
      <c r="T304" s="29"/>
      <c r="U304" s="29"/>
      <c r="V304" s="24" t="str">
        <f aca="false">IF(A304="","",IFERROR(INDEX(Settings!$F$5:$F$49,MATCH(G304,Settings!$D$5:$D$49,0)),""))</f>
        <v/>
      </c>
      <c r="W304" s="24" t="str">
        <f aca="false">IF(A304="","",IF(OR(P304="",P304="Organic"),"social","paid_social"))</f>
        <v/>
      </c>
      <c r="X304" s="24" t="str">
        <f aca="false">IF(A304="","",IF(K304&lt;&gt;"",IFERROR(INDEX('Case Studies'!$C$5:$C$54,MATCH(K304,'Case Studies'!$B$5:$B$54,0))&amp;"","case-study"),IF(J304&lt;&gt;"",IFERROR(INDEX(Settings!$J$5:$J$55,MATCH(J304,Settings!$I$5:$I$55,0)),"general"),"general")))</f>
        <v/>
      </c>
      <c r="Y304" s="24" t="str">
        <f aca="false">IF(A304="","",LOWER(A304))</f>
        <v/>
      </c>
      <c r="Z304" s="24" t="str">
        <f aca="false">IF(A304="","",IF(T304="",Settings!$B$5,T304)&amp;IF(ISNUMBER(FIND("?",IF(T304="",Settings!$B$5,T304))),"&amp;","?")&amp;"utm_source="&amp;V304&amp;"&amp;utm_medium="&amp;W304&amp;"&amp;utm_campaign="&amp;X304&amp;"&amp;utm_content="&amp;Y304)</f>
        <v/>
      </c>
      <c r="AA304" s="29"/>
      <c r="AB304" s="39"/>
      <c r="AC304" s="32"/>
      <c r="AD304" s="32"/>
      <c r="AE304" s="32"/>
      <c r="AF304" s="32"/>
      <c r="AG304" s="32"/>
      <c r="AH304" s="32"/>
      <c r="AI304" s="32"/>
      <c r="AJ304" s="32"/>
      <c r="AK304" s="32"/>
      <c r="AL304" s="32"/>
      <c r="AM304" s="32"/>
      <c r="AN304" s="32"/>
      <c r="AO304" s="33" t="str">
        <f aca="false">IF(A304="","",IF(AD304&lt;&gt;"",AD304,IF(AC304&lt;&gt;"",AC304,"")))</f>
        <v/>
      </c>
      <c r="AP304" s="24" t="str">
        <f aca="false">IF(AO304="","",IF(AD304&lt;&gt;"","Reported reach","Impressions (proxy)"))</f>
        <v/>
      </c>
      <c r="AQ304" s="34" t="str">
        <f aca="false">IF(OR(AO304="",N(S304)=0),"",AO304/S304)</f>
        <v/>
      </c>
      <c r="AR304" s="33" t="str">
        <f aca="false">IF(A304="","",IF(COUNT(AF304:AJ304)=0,"",SUM(AF304:AJ304)))</f>
        <v/>
      </c>
      <c r="AS304" s="34" t="str">
        <f aca="false">IF(OR(AR304="",N(AO304)=0),"",AR304/AO304)</f>
        <v/>
      </c>
      <c r="AT304" s="34" t="str">
        <f aca="false">IF(OR(AR304="",N(AC304)=0),"",AR304/AC304)</f>
        <v/>
      </c>
      <c r="AU304" s="34" t="str">
        <f aca="false">IF(OR(AR304="",N(S304)=0),"",AR304/S304)</f>
        <v/>
      </c>
      <c r="AV304" s="34" t="str">
        <f aca="false">IF(OR(AJ304="",N(AC304)=0),"",AJ304/AC304)</f>
        <v/>
      </c>
      <c r="AW304" s="34" t="str">
        <f aca="false">IF(OR(AH304="",N(AO304)=0),"",AH304/AO304)</f>
        <v/>
      </c>
      <c r="AX304" s="35" t="str">
        <f aca="false">IF(OR(AR304="",N(AO304)=0),"",(N(AF304)*Settings!$B$6+N(AG304)*Settings!$B$7+N(AH304)*Settings!$B$8+N(AI304)*Settings!$B$9+N(AJ304)*Settings!$B$10)/AO304*1000)</f>
        <v/>
      </c>
      <c r="AY304" s="36" t="str">
        <f aca="false">IF(AS304="","",IFERROR(AS304/AVERAGEIFS('Post Tracker'!$AS$5:$AS$1004,'Post Tracker'!$G$5:$G$1004,G304),""))</f>
        <v/>
      </c>
      <c r="AZ304" s="32"/>
      <c r="BA304" s="32"/>
      <c r="BB304" s="32"/>
      <c r="BC304" s="32"/>
      <c r="BD304" s="33" t="str">
        <f aca="false">IF(A304="","",COUNTIFS('Demo Pipeline'!$Q$5:$Q$504,A304))</f>
        <v/>
      </c>
      <c r="BE304" s="33" t="str">
        <f aca="false">IF(A304="","",COUNTIFS('Demo Pipeline'!$Q$5:$Q$504,A304,'Demo Pipeline'!$W$5:$W$504,"Attended"))</f>
        <v/>
      </c>
      <c r="BF304" s="33" t="str">
        <f aca="false">IF(A304="","",COUNTIFS('Demo Pipeline'!$Q$5:$Q$504,A304,'Demo Pipeline'!$X$5:$X$504,"Yes"))</f>
        <v/>
      </c>
      <c r="BG304" s="33" t="str">
        <f aca="false">IF(A304="","",COUNTIFS('Demo Pipeline'!$Q$5:$Q$504,A304,'Demo Pipeline'!$Y$5:$Y$504,"Closed Won"))</f>
        <v/>
      </c>
      <c r="BH304" s="37" t="str">
        <f aca="false">IF(A304="","",SUMIFS('Demo Pipeline'!$Z$5:$Z$504,'Demo Pipeline'!$Q$5:$Q$504,A304))</f>
        <v/>
      </c>
      <c r="BI304" s="34" t="str">
        <f aca="false">IF(OR(AZ304="",N(AJ304)=0),"",AZ304/AJ304)</f>
        <v/>
      </c>
      <c r="BJ304" s="34" t="str">
        <f aca="false">IF(OR(BB304="",N(AZ304)=0),"",BB304/AZ304)</f>
        <v/>
      </c>
      <c r="BK304" s="34" t="str">
        <f aca="false">IF(OR(A304="",N(BB304)=0),"",BD304/BB304)</f>
        <v/>
      </c>
      <c r="BL304" s="34" t="str">
        <f aca="false">IF(OR(A304="",N(AZ304)=0),"",BD304/AZ304)</f>
        <v/>
      </c>
      <c r="BM304" s="37" t="str">
        <f aca="false">IF(OR(N(Q304)=0,N(BD304)=0),"",Q304/BD304)</f>
        <v/>
      </c>
      <c r="BN304" s="29"/>
      <c r="BO304" s="29"/>
      <c r="BP304" s="33" t="str">
        <f aca="false">IF(OR(AR304="",N(AO304)=0),"",AR304)</f>
        <v/>
      </c>
      <c r="BQ304" s="33" t="str">
        <f aca="false">IF(OR(AR304="",N(S304)=0),"",S304)</f>
        <v/>
      </c>
      <c r="BR304" s="38" t="str">
        <f aca="false">IF(AND(ISNUMBER(B304),B304&gt;=Dashboard!$C$4,B304&lt;=Dashboard!$F$4,ISNUMBER(AU304)),AU304+ROW()/10^9,"")</f>
        <v/>
      </c>
      <c r="BS304" s="38" t="str">
        <f aca="false">IF(AND(ISNUMBER(B304),B304&gt;=Dashboard!$C$4,B304&lt;=Dashboard!$F$4,A304&lt;&gt;""),N(BD304)+N(AU304)/100+ROW()/10^9,"")</f>
        <v/>
      </c>
    </row>
    <row r="305" customFormat="false" ht="15" hidden="false" customHeight="false" outlineLevel="0" collapsed="false">
      <c r="A305" s="24" t="str">
        <f aca="false">IF(OR(B305="",G305="",H305=""),"",IFERROR(INDEX(Settings!$E$5:$E$49,MATCH(G305,Settings!$D$5:$D$49,0))&amp;INDEX(Settings!$H$5:$H$47,MATCH(H305,Settings!$G$5:$G$47,0))&amp;"-"&amp;TEXT(B305,"yymmdd")&amp;"-"&amp;IF(C305="","0000",TEXT(C305,"hhmm")),"CHECK LISTS"))</f>
        <v/>
      </c>
      <c r="B305" s="39"/>
      <c r="C305" s="40"/>
      <c r="D305" s="24" t="str">
        <f aca="false">IF(B305="","",TEXT(B305,"ddd"))</f>
        <v/>
      </c>
      <c r="E305" s="27" t="str">
        <f aca="false">IF(B305="","",B305-WEEKDAY(B305,3))</f>
        <v/>
      </c>
      <c r="F305" s="24" t="str">
        <f aca="false">IF(B305="","",TEXT(B305,"yyyy-mm"))</f>
        <v/>
      </c>
      <c r="G305" s="29"/>
      <c r="H305" s="29"/>
      <c r="I305" s="29"/>
      <c r="J305" s="29"/>
      <c r="K305" s="29"/>
      <c r="L305" s="29"/>
      <c r="M305" s="29"/>
      <c r="N305" s="29"/>
      <c r="O305" s="29"/>
      <c r="P305" s="29"/>
      <c r="Q305" s="30"/>
      <c r="R305" s="29"/>
      <c r="S305" s="32"/>
      <c r="T305" s="29"/>
      <c r="U305" s="29"/>
      <c r="V305" s="24" t="str">
        <f aca="false">IF(A305="","",IFERROR(INDEX(Settings!$F$5:$F$49,MATCH(G305,Settings!$D$5:$D$49,0)),""))</f>
        <v/>
      </c>
      <c r="W305" s="24" t="str">
        <f aca="false">IF(A305="","",IF(OR(P305="",P305="Organic"),"social","paid_social"))</f>
        <v/>
      </c>
      <c r="X305" s="24" t="str">
        <f aca="false">IF(A305="","",IF(K305&lt;&gt;"",IFERROR(INDEX('Case Studies'!$C$5:$C$54,MATCH(K305,'Case Studies'!$B$5:$B$54,0))&amp;"","case-study"),IF(J305&lt;&gt;"",IFERROR(INDEX(Settings!$J$5:$J$55,MATCH(J305,Settings!$I$5:$I$55,0)),"general"),"general")))</f>
        <v/>
      </c>
      <c r="Y305" s="24" t="str">
        <f aca="false">IF(A305="","",LOWER(A305))</f>
        <v/>
      </c>
      <c r="Z305" s="24" t="str">
        <f aca="false">IF(A305="","",IF(T305="",Settings!$B$5,T305)&amp;IF(ISNUMBER(FIND("?",IF(T305="",Settings!$B$5,T305))),"&amp;","?")&amp;"utm_source="&amp;V305&amp;"&amp;utm_medium="&amp;W305&amp;"&amp;utm_campaign="&amp;X305&amp;"&amp;utm_content="&amp;Y305)</f>
        <v/>
      </c>
      <c r="AA305" s="29"/>
      <c r="AB305" s="39"/>
      <c r="AC305" s="32"/>
      <c r="AD305" s="32"/>
      <c r="AE305" s="32"/>
      <c r="AF305" s="32"/>
      <c r="AG305" s="32"/>
      <c r="AH305" s="32"/>
      <c r="AI305" s="32"/>
      <c r="AJ305" s="32"/>
      <c r="AK305" s="32"/>
      <c r="AL305" s="32"/>
      <c r="AM305" s="32"/>
      <c r="AN305" s="32"/>
      <c r="AO305" s="33" t="str">
        <f aca="false">IF(A305="","",IF(AD305&lt;&gt;"",AD305,IF(AC305&lt;&gt;"",AC305,"")))</f>
        <v/>
      </c>
      <c r="AP305" s="24" t="str">
        <f aca="false">IF(AO305="","",IF(AD305&lt;&gt;"","Reported reach","Impressions (proxy)"))</f>
        <v/>
      </c>
      <c r="AQ305" s="34" t="str">
        <f aca="false">IF(OR(AO305="",N(S305)=0),"",AO305/S305)</f>
        <v/>
      </c>
      <c r="AR305" s="33" t="str">
        <f aca="false">IF(A305="","",IF(COUNT(AF305:AJ305)=0,"",SUM(AF305:AJ305)))</f>
        <v/>
      </c>
      <c r="AS305" s="34" t="str">
        <f aca="false">IF(OR(AR305="",N(AO305)=0),"",AR305/AO305)</f>
        <v/>
      </c>
      <c r="AT305" s="34" t="str">
        <f aca="false">IF(OR(AR305="",N(AC305)=0),"",AR305/AC305)</f>
        <v/>
      </c>
      <c r="AU305" s="34" t="str">
        <f aca="false">IF(OR(AR305="",N(S305)=0),"",AR305/S305)</f>
        <v/>
      </c>
      <c r="AV305" s="34" t="str">
        <f aca="false">IF(OR(AJ305="",N(AC305)=0),"",AJ305/AC305)</f>
        <v/>
      </c>
      <c r="AW305" s="34" t="str">
        <f aca="false">IF(OR(AH305="",N(AO305)=0),"",AH305/AO305)</f>
        <v/>
      </c>
      <c r="AX305" s="35" t="str">
        <f aca="false">IF(OR(AR305="",N(AO305)=0),"",(N(AF305)*Settings!$B$6+N(AG305)*Settings!$B$7+N(AH305)*Settings!$B$8+N(AI305)*Settings!$B$9+N(AJ305)*Settings!$B$10)/AO305*1000)</f>
        <v/>
      </c>
      <c r="AY305" s="36" t="str">
        <f aca="false">IF(AS305="","",IFERROR(AS305/AVERAGEIFS('Post Tracker'!$AS$5:$AS$1004,'Post Tracker'!$G$5:$G$1004,G305),""))</f>
        <v/>
      </c>
      <c r="AZ305" s="32"/>
      <c r="BA305" s="32"/>
      <c r="BB305" s="32"/>
      <c r="BC305" s="32"/>
      <c r="BD305" s="33" t="str">
        <f aca="false">IF(A305="","",COUNTIFS('Demo Pipeline'!$Q$5:$Q$504,A305))</f>
        <v/>
      </c>
      <c r="BE305" s="33" t="str">
        <f aca="false">IF(A305="","",COUNTIFS('Demo Pipeline'!$Q$5:$Q$504,A305,'Demo Pipeline'!$W$5:$W$504,"Attended"))</f>
        <v/>
      </c>
      <c r="BF305" s="33" t="str">
        <f aca="false">IF(A305="","",COUNTIFS('Demo Pipeline'!$Q$5:$Q$504,A305,'Demo Pipeline'!$X$5:$X$504,"Yes"))</f>
        <v/>
      </c>
      <c r="BG305" s="33" t="str">
        <f aca="false">IF(A305="","",COUNTIFS('Demo Pipeline'!$Q$5:$Q$504,A305,'Demo Pipeline'!$Y$5:$Y$504,"Closed Won"))</f>
        <v/>
      </c>
      <c r="BH305" s="37" t="str">
        <f aca="false">IF(A305="","",SUMIFS('Demo Pipeline'!$Z$5:$Z$504,'Demo Pipeline'!$Q$5:$Q$504,A305))</f>
        <v/>
      </c>
      <c r="BI305" s="34" t="str">
        <f aca="false">IF(OR(AZ305="",N(AJ305)=0),"",AZ305/AJ305)</f>
        <v/>
      </c>
      <c r="BJ305" s="34" t="str">
        <f aca="false">IF(OR(BB305="",N(AZ305)=0),"",BB305/AZ305)</f>
        <v/>
      </c>
      <c r="BK305" s="34" t="str">
        <f aca="false">IF(OR(A305="",N(BB305)=0),"",BD305/BB305)</f>
        <v/>
      </c>
      <c r="BL305" s="34" t="str">
        <f aca="false">IF(OR(A305="",N(AZ305)=0),"",BD305/AZ305)</f>
        <v/>
      </c>
      <c r="BM305" s="37" t="str">
        <f aca="false">IF(OR(N(Q305)=0,N(BD305)=0),"",Q305/BD305)</f>
        <v/>
      </c>
      <c r="BN305" s="29"/>
      <c r="BO305" s="29"/>
      <c r="BP305" s="33" t="str">
        <f aca="false">IF(OR(AR305="",N(AO305)=0),"",AR305)</f>
        <v/>
      </c>
      <c r="BQ305" s="33" t="str">
        <f aca="false">IF(OR(AR305="",N(S305)=0),"",S305)</f>
        <v/>
      </c>
      <c r="BR305" s="38" t="str">
        <f aca="false">IF(AND(ISNUMBER(B305),B305&gt;=Dashboard!$C$4,B305&lt;=Dashboard!$F$4,ISNUMBER(AU305)),AU305+ROW()/10^9,"")</f>
        <v/>
      </c>
      <c r="BS305" s="38" t="str">
        <f aca="false">IF(AND(ISNUMBER(B305),B305&gt;=Dashboard!$C$4,B305&lt;=Dashboard!$F$4,A305&lt;&gt;""),N(BD305)+N(AU305)/100+ROW()/10^9,"")</f>
        <v/>
      </c>
    </row>
    <row r="306" customFormat="false" ht="15" hidden="false" customHeight="false" outlineLevel="0" collapsed="false">
      <c r="A306" s="24" t="str">
        <f aca="false">IF(OR(B306="",G306="",H306=""),"",IFERROR(INDEX(Settings!$E$5:$E$49,MATCH(G306,Settings!$D$5:$D$49,0))&amp;INDEX(Settings!$H$5:$H$47,MATCH(H306,Settings!$G$5:$G$47,0))&amp;"-"&amp;TEXT(B306,"yymmdd")&amp;"-"&amp;IF(C306="","0000",TEXT(C306,"hhmm")),"CHECK LISTS"))</f>
        <v/>
      </c>
      <c r="B306" s="39"/>
      <c r="C306" s="40"/>
      <c r="D306" s="24" t="str">
        <f aca="false">IF(B306="","",TEXT(B306,"ddd"))</f>
        <v/>
      </c>
      <c r="E306" s="27" t="str">
        <f aca="false">IF(B306="","",B306-WEEKDAY(B306,3))</f>
        <v/>
      </c>
      <c r="F306" s="24" t="str">
        <f aca="false">IF(B306="","",TEXT(B306,"yyyy-mm"))</f>
        <v/>
      </c>
      <c r="G306" s="29"/>
      <c r="H306" s="29"/>
      <c r="I306" s="29"/>
      <c r="J306" s="29"/>
      <c r="K306" s="29"/>
      <c r="L306" s="29"/>
      <c r="M306" s="29"/>
      <c r="N306" s="29"/>
      <c r="O306" s="29"/>
      <c r="P306" s="29"/>
      <c r="Q306" s="30"/>
      <c r="R306" s="29"/>
      <c r="S306" s="32"/>
      <c r="T306" s="29"/>
      <c r="U306" s="29"/>
      <c r="V306" s="24" t="str">
        <f aca="false">IF(A306="","",IFERROR(INDEX(Settings!$F$5:$F$49,MATCH(G306,Settings!$D$5:$D$49,0)),""))</f>
        <v/>
      </c>
      <c r="W306" s="24" t="str">
        <f aca="false">IF(A306="","",IF(OR(P306="",P306="Organic"),"social","paid_social"))</f>
        <v/>
      </c>
      <c r="X306" s="24" t="str">
        <f aca="false">IF(A306="","",IF(K306&lt;&gt;"",IFERROR(INDEX('Case Studies'!$C$5:$C$54,MATCH(K306,'Case Studies'!$B$5:$B$54,0))&amp;"","case-study"),IF(J306&lt;&gt;"",IFERROR(INDEX(Settings!$J$5:$J$55,MATCH(J306,Settings!$I$5:$I$55,0)),"general"),"general")))</f>
        <v/>
      </c>
      <c r="Y306" s="24" t="str">
        <f aca="false">IF(A306="","",LOWER(A306))</f>
        <v/>
      </c>
      <c r="Z306" s="24" t="str">
        <f aca="false">IF(A306="","",IF(T306="",Settings!$B$5,T306)&amp;IF(ISNUMBER(FIND("?",IF(T306="",Settings!$B$5,T306))),"&amp;","?")&amp;"utm_source="&amp;V306&amp;"&amp;utm_medium="&amp;W306&amp;"&amp;utm_campaign="&amp;X306&amp;"&amp;utm_content="&amp;Y306)</f>
        <v/>
      </c>
      <c r="AA306" s="29"/>
      <c r="AB306" s="39"/>
      <c r="AC306" s="32"/>
      <c r="AD306" s="32"/>
      <c r="AE306" s="32"/>
      <c r="AF306" s="32"/>
      <c r="AG306" s="32"/>
      <c r="AH306" s="32"/>
      <c r="AI306" s="32"/>
      <c r="AJ306" s="32"/>
      <c r="AK306" s="32"/>
      <c r="AL306" s="32"/>
      <c r="AM306" s="32"/>
      <c r="AN306" s="32"/>
      <c r="AO306" s="33" t="str">
        <f aca="false">IF(A306="","",IF(AD306&lt;&gt;"",AD306,IF(AC306&lt;&gt;"",AC306,"")))</f>
        <v/>
      </c>
      <c r="AP306" s="24" t="str">
        <f aca="false">IF(AO306="","",IF(AD306&lt;&gt;"","Reported reach","Impressions (proxy)"))</f>
        <v/>
      </c>
      <c r="AQ306" s="34" t="str">
        <f aca="false">IF(OR(AO306="",N(S306)=0),"",AO306/S306)</f>
        <v/>
      </c>
      <c r="AR306" s="33" t="str">
        <f aca="false">IF(A306="","",IF(COUNT(AF306:AJ306)=0,"",SUM(AF306:AJ306)))</f>
        <v/>
      </c>
      <c r="AS306" s="34" t="str">
        <f aca="false">IF(OR(AR306="",N(AO306)=0),"",AR306/AO306)</f>
        <v/>
      </c>
      <c r="AT306" s="34" t="str">
        <f aca="false">IF(OR(AR306="",N(AC306)=0),"",AR306/AC306)</f>
        <v/>
      </c>
      <c r="AU306" s="34" t="str">
        <f aca="false">IF(OR(AR306="",N(S306)=0),"",AR306/S306)</f>
        <v/>
      </c>
      <c r="AV306" s="34" t="str">
        <f aca="false">IF(OR(AJ306="",N(AC306)=0),"",AJ306/AC306)</f>
        <v/>
      </c>
      <c r="AW306" s="34" t="str">
        <f aca="false">IF(OR(AH306="",N(AO306)=0),"",AH306/AO306)</f>
        <v/>
      </c>
      <c r="AX306" s="35" t="str">
        <f aca="false">IF(OR(AR306="",N(AO306)=0),"",(N(AF306)*Settings!$B$6+N(AG306)*Settings!$B$7+N(AH306)*Settings!$B$8+N(AI306)*Settings!$B$9+N(AJ306)*Settings!$B$10)/AO306*1000)</f>
        <v/>
      </c>
      <c r="AY306" s="36" t="str">
        <f aca="false">IF(AS306="","",IFERROR(AS306/AVERAGEIFS('Post Tracker'!$AS$5:$AS$1004,'Post Tracker'!$G$5:$G$1004,G306),""))</f>
        <v/>
      </c>
      <c r="AZ306" s="32"/>
      <c r="BA306" s="32"/>
      <c r="BB306" s="32"/>
      <c r="BC306" s="32"/>
      <c r="BD306" s="33" t="str">
        <f aca="false">IF(A306="","",COUNTIFS('Demo Pipeline'!$Q$5:$Q$504,A306))</f>
        <v/>
      </c>
      <c r="BE306" s="33" t="str">
        <f aca="false">IF(A306="","",COUNTIFS('Demo Pipeline'!$Q$5:$Q$504,A306,'Demo Pipeline'!$W$5:$W$504,"Attended"))</f>
        <v/>
      </c>
      <c r="BF306" s="33" t="str">
        <f aca="false">IF(A306="","",COUNTIFS('Demo Pipeline'!$Q$5:$Q$504,A306,'Demo Pipeline'!$X$5:$X$504,"Yes"))</f>
        <v/>
      </c>
      <c r="BG306" s="33" t="str">
        <f aca="false">IF(A306="","",COUNTIFS('Demo Pipeline'!$Q$5:$Q$504,A306,'Demo Pipeline'!$Y$5:$Y$504,"Closed Won"))</f>
        <v/>
      </c>
      <c r="BH306" s="37" t="str">
        <f aca="false">IF(A306="","",SUMIFS('Demo Pipeline'!$Z$5:$Z$504,'Demo Pipeline'!$Q$5:$Q$504,A306))</f>
        <v/>
      </c>
      <c r="BI306" s="34" t="str">
        <f aca="false">IF(OR(AZ306="",N(AJ306)=0),"",AZ306/AJ306)</f>
        <v/>
      </c>
      <c r="BJ306" s="34" t="str">
        <f aca="false">IF(OR(BB306="",N(AZ306)=0),"",BB306/AZ306)</f>
        <v/>
      </c>
      <c r="BK306" s="34" t="str">
        <f aca="false">IF(OR(A306="",N(BB306)=0),"",BD306/BB306)</f>
        <v/>
      </c>
      <c r="BL306" s="34" t="str">
        <f aca="false">IF(OR(A306="",N(AZ306)=0),"",BD306/AZ306)</f>
        <v/>
      </c>
      <c r="BM306" s="37" t="str">
        <f aca="false">IF(OR(N(Q306)=0,N(BD306)=0),"",Q306/BD306)</f>
        <v/>
      </c>
      <c r="BN306" s="29"/>
      <c r="BO306" s="29"/>
      <c r="BP306" s="33" t="str">
        <f aca="false">IF(OR(AR306="",N(AO306)=0),"",AR306)</f>
        <v/>
      </c>
      <c r="BQ306" s="33" t="str">
        <f aca="false">IF(OR(AR306="",N(S306)=0),"",S306)</f>
        <v/>
      </c>
      <c r="BR306" s="38" t="str">
        <f aca="false">IF(AND(ISNUMBER(B306),B306&gt;=Dashboard!$C$4,B306&lt;=Dashboard!$F$4,ISNUMBER(AU306)),AU306+ROW()/10^9,"")</f>
        <v/>
      </c>
      <c r="BS306" s="38" t="str">
        <f aca="false">IF(AND(ISNUMBER(B306),B306&gt;=Dashboard!$C$4,B306&lt;=Dashboard!$F$4,A306&lt;&gt;""),N(BD306)+N(AU306)/100+ROW()/10^9,"")</f>
        <v/>
      </c>
    </row>
    <row r="307" customFormat="false" ht="15" hidden="false" customHeight="false" outlineLevel="0" collapsed="false">
      <c r="A307" s="24" t="str">
        <f aca="false">IF(OR(B307="",G307="",H307=""),"",IFERROR(INDEX(Settings!$E$5:$E$49,MATCH(G307,Settings!$D$5:$D$49,0))&amp;INDEX(Settings!$H$5:$H$47,MATCH(H307,Settings!$G$5:$G$47,0))&amp;"-"&amp;TEXT(B307,"yymmdd")&amp;"-"&amp;IF(C307="","0000",TEXT(C307,"hhmm")),"CHECK LISTS"))</f>
        <v/>
      </c>
      <c r="B307" s="39"/>
      <c r="C307" s="40"/>
      <c r="D307" s="24" t="str">
        <f aca="false">IF(B307="","",TEXT(B307,"ddd"))</f>
        <v/>
      </c>
      <c r="E307" s="27" t="str">
        <f aca="false">IF(B307="","",B307-WEEKDAY(B307,3))</f>
        <v/>
      </c>
      <c r="F307" s="24" t="str">
        <f aca="false">IF(B307="","",TEXT(B307,"yyyy-mm"))</f>
        <v/>
      </c>
      <c r="G307" s="29"/>
      <c r="H307" s="29"/>
      <c r="I307" s="29"/>
      <c r="J307" s="29"/>
      <c r="K307" s="29"/>
      <c r="L307" s="29"/>
      <c r="M307" s="29"/>
      <c r="N307" s="29"/>
      <c r="O307" s="29"/>
      <c r="P307" s="29"/>
      <c r="Q307" s="30"/>
      <c r="R307" s="29"/>
      <c r="S307" s="32"/>
      <c r="T307" s="29"/>
      <c r="U307" s="29"/>
      <c r="V307" s="24" t="str">
        <f aca="false">IF(A307="","",IFERROR(INDEX(Settings!$F$5:$F$49,MATCH(G307,Settings!$D$5:$D$49,0)),""))</f>
        <v/>
      </c>
      <c r="W307" s="24" t="str">
        <f aca="false">IF(A307="","",IF(OR(P307="",P307="Organic"),"social","paid_social"))</f>
        <v/>
      </c>
      <c r="X307" s="24" t="str">
        <f aca="false">IF(A307="","",IF(K307&lt;&gt;"",IFERROR(INDEX('Case Studies'!$C$5:$C$54,MATCH(K307,'Case Studies'!$B$5:$B$54,0))&amp;"","case-study"),IF(J307&lt;&gt;"",IFERROR(INDEX(Settings!$J$5:$J$55,MATCH(J307,Settings!$I$5:$I$55,0)),"general"),"general")))</f>
        <v/>
      </c>
      <c r="Y307" s="24" t="str">
        <f aca="false">IF(A307="","",LOWER(A307))</f>
        <v/>
      </c>
      <c r="Z307" s="24" t="str">
        <f aca="false">IF(A307="","",IF(T307="",Settings!$B$5,T307)&amp;IF(ISNUMBER(FIND("?",IF(T307="",Settings!$B$5,T307))),"&amp;","?")&amp;"utm_source="&amp;V307&amp;"&amp;utm_medium="&amp;W307&amp;"&amp;utm_campaign="&amp;X307&amp;"&amp;utm_content="&amp;Y307)</f>
        <v/>
      </c>
      <c r="AA307" s="29"/>
      <c r="AB307" s="39"/>
      <c r="AC307" s="32"/>
      <c r="AD307" s="32"/>
      <c r="AE307" s="32"/>
      <c r="AF307" s="32"/>
      <c r="AG307" s="32"/>
      <c r="AH307" s="32"/>
      <c r="AI307" s="32"/>
      <c r="AJ307" s="32"/>
      <c r="AK307" s="32"/>
      <c r="AL307" s="32"/>
      <c r="AM307" s="32"/>
      <c r="AN307" s="32"/>
      <c r="AO307" s="33" t="str">
        <f aca="false">IF(A307="","",IF(AD307&lt;&gt;"",AD307,IF(AC307&lt;&gt;"",AC307,"")))</f>
        <v/>
      </c>
      <c r="AP307" s="24" t="str">
        <f aca="false">IF(AO307="","",IF(AD307&lt;&gt;"","Reported reach","Impressions (proxy)"))</f>
        <v/>
      </c>
      <c r="AQ307" s="34" t="str">
        <f aca="false">IF(OR(AO307="",N(S307)=0),"",AO307/S307)</f>
        <v/>
      </c>
      <c r="AR307" s="33" t="str">
        <f aca="false">IF(A307="","",IF(COUNT(AF307:AJ307)=0,"",SUM(AF307:AJ307)))</f>
        <v/>
      </c>
      <c r="AS307" s="34" t="str">
        <f aca="false">IF(OR(AR307="",N(AO307)=0),"",AR307/AO307)</f>
        <v/>
      </c>
      <c r="AT307" s="34" t="str">
        <f aca="false">IF(OR(AR307="",N(AC307)=0),"",AR307/AC307)</f>
        <v/>
      </c>
      <c r="AU307" s="34" t="str">
        <f aca="false">IF(OR(AR307="",N(S307)=0),"",AR307/S307)</f>
        <v/>
      </c>
      <c r="AV307" s="34" t="str">
        <f aca="false">IF(OR(AJ307="",N(AC307)=0),"",AJ307/AC307)</f>
        <v/>
      </c>
      <c r="AW307" s="34" t="str">
        <f aca="false">IF(OR(AH307="",N(AO307)=0),"",AH307/AO307)</f>
        <v/>
      </c>
      <c r="AX307" s="35" t="str">
        <f aca="false">IF(OR(AR307="",N(AO307)=0),"",(N(AF307)*Settings!$B$6+N(AG307)*Settings!$B$7+N(AH307)*Settings!$B$8+N(AI307)*Settings!$B$9+N(AJ307)*Settings!$B$10)/AO307*1000)</f>
        <v/>
      </c>
      <c r="AY307" s="36" t="str">
        <f aca="false">IF(AS307="","",IFERROR(AS307/AVERAGEIFS('Post Tracker'!$AS$5:$AS$1004,'Post Tracker'!$G$5:$G$1004,G307),""))</f>
        <v/>
      </c>
      <c r="AZ307" s="32"/>
      <c r="BA307" s="32"/>
      <c r="BB307" s="32"/>
      <c r="BC307" s="32"/>
      <c r="BD307" s="33" t="str">
        <f aca="false">IF(A307="","",COUNTIFS('Demo Pipeline'!$Q$5:$Q$504,A307))</f>
        <v/>
      </c>
      <c r="BE307" s="33" t="str">
        <f aca="false">IF(A307="","",COUNTIFS('Demo Pipeline'!$Q$5:$Q$504,A307,'Demo Pipeline'!$W$5:$W$504,"Attended"))</f>
        <v/>
      </c>
      <c r="BF307" s="33" t="str">
        <f aca="false">IF(A307="","",COUNTIFS('Demo Pipeline'!$Q$5:$Q$504,A307,'Demo Pipeline'!$X$5:$X$504,"Yes"))</f>
        <v/>
      </c>
      <c r="BG307" s="33" t="str">
        <f aca="false">IF(A307="","",COUNTIFS('Demo Pipeline'!$Q$5:$Q$504,A307,'Demo Pipeline'!$Y$5:$Y$504,"Closed Won"))</f>
        <v/>
      </c>
      <c r="BH307" s="37" t="str">
        <f aca="false">IF(A307="","",SUMIFS('Demo Pipeline'!$Z$5:$Z$504,'Demo Pipeline'!$Q$5:$Q$504,A307))</f>
        <v/>
      </c>
      <c r="BI307" s="34" t="str">
        <f aca="false">IF(OR(AZ307="",N(AJ307)=0),"",AZ307/AJ307)</f>
        <v/>
      </c>
      <c r="BJ307" s="34" t="str">
        <f aca="false">IF(OR(BB307="",N(AZ307)=0),"",BB307/AZ307)</f>
        <v/>
      </c>
      <c r="BK307" s="34" t="str">
        <f aca="false">IF(OR(A307="",N(BB307)=0),"",BD307/BB307)</f>
        <v/>
      </c>
      <c r="BL307" s="34" t="str">
        <f aca="false">IF(OR(A307="",N(AZ307)=0),"",BD307/AZ307)</f>
        <v/>
      </c>
      <c r="BM307" s="37" t="str">
        <f aca="false">IF(OR(N(Q307)=0,N(BD307)=0),"",Q307/BD307)</f>
        <v/>
      </c>
      <c r="BN307" s="29"/>
      <c r="BO307" s="29"/>
      <c r="BP307" s="33" t="str">
        <f aca="false">IF(OR(AR307="",N(AO307)=0),"",AR307)</f>
        <v/>
      </c>
      <c r="BQ307" s="33" t="str">
        <f aca="false">IF(OR(AR307="",N(S307)=0),"",S307)</f>
        <v/>
      </c>
      <c r="BR307" s="38" t="str">
        <f aca="false">IF(AND(ISNUMBER(B307),B307&gt;=Dashboard!$C$4,B307&lt;=Dashboard!$F$4,ISNUMBER(AU307)),AU307+ROW()/10^9,"")</f>
        <v/>
      </c>
      <c r="BS307" s="38" t="str">
        <f aca="false">IF(AND(ISNUMBER(B307),B307&gt;=Dashboard!$C$4,B307&lt;=Dashboard!$F$4,A307&lt;&gt;""),N(BD307)+N(AU307)/100+ROW()/10^9,"")</f>
        <v/>
      </c>
    </row>
    <row r="308" customFormat="false" ht="15" hidden="false" customHeight="false" outlineLevel="0" collapsed="false">
      <c r="A308" s="24" t="str">
        <f aca="false">IF(OR(B308="",G308="",H308=""),"",IFERROR(INDEX(Settings!$E$5:$E$49,MATCH(G308,Settings!$D$5:$D$49,0))&amp;INDEX(Settings!$H$5:$H$47,MATCH(H308,Settings!$G$5:$G$47,0))&amp;"-"&amp;TEXT(B308,"yymmdd")&amp;"-"&amp;IF(C308="","0000",TEXT(C308,"hhmm")),"CHECK LISTS"))</f>
        <v/>
      </c>
      <c r="B308" s="39"/>
      <c r="C308" s="40"/>
      <c r="D308" s="24" t="str">
        <f aca="false">IF(B308="","",TEXT(B308,"ddd"))</f>
        <v/>
      </c>
      <c r="E308" s="27" t="str">
        <f aca="false">IF(B308="","",B308-WEEKDAY(B308,3))</f>
        <v/>
      </c>
      <c r="F308" s="24" t="str">
        <f aca="false">IF(B308="","",TEXT(B308,"yyyy-mm"))</f>
        <v/>
      </c>
      <c r="G308" s="29"/>
      <c r="H308" s="29"/>
      <c r="I308" s="29"/>
      <c r="J308" s="29"/>
      <c r="K308" s="29"/>
      <c r="L308" s="29"/>
      <c r="M308" s="29"/>
      <c r="N308" s="29"/>
      <c r="O308" s="29"/>
      <c r="P308" s="29"/>
      <c r="Q308" s="30"/>
      <c r="R308" s="29"/>
      <c r="S308" s="32"/>
      <c r="T308" s="29"/>
      <c r="U308" s="29"/>
      <c r="V308" s="24" t="str">
        <f aca="false">IF(A308="","",IFERROR(INDEX(Settings!$F$5:$F$49,MATCH(G308,Settings!$D$5:$D$49,0)),""))</f>
        <v/>
      </c>
      <c r="W308" s="24" t="str">
        <f aca="false">IF(A308="","",IF(OR(P308="",P308="Organic"),"social","paid_social"))</f>
        <v/>
      </c>
      <c r="X308" s="24" t="str">
        <f aca="false">IF(A308="","",IF(K308&lt;&gt;"",IFERROR(INDEX('Case Studies'!$C$5:$C$54,MATCH(K308,'Case Studies'!$B$5:$B$54,0))&amp;"","case-study"),IF(J308&lt;&gt;"",IFERROR(INDEX(Settings!$J$5:$J$55,MATCH(J308,Settings!$I$5:$I$55,0)),"general"),"general")))</f>
        <v/>
      </c>
      <c r="Y308" s="24" t="str">
        <f aca="false">IF(A308="","",LOWER(A308))</f>
        <v/>
      </c>
      <c r="Z308" s="24" t="str">
        <f aca="false">IF(A308="","",IF(T308="",Settings!$B$5,T308)&amp;IF(ISNUMBER(FIND("?",IF(T308="",Settings!$B$5,T308))),"&amp;","?")&amp;"utm_source="&amp;V308&amp;"&amp;utm_medium="&amp;W308&amp;"&amp;utm_campaign="&amp;X308&amp;"&amp;utm_content="&amp;Y308)</f>
        <v/>
      </c>
      <c r="AA308" s="29"/>
      <c r="AB308" s="39"/>
      <c r="AC308" s="32"/>
      <c r="AD308" s="32"/>
      <c r="AE308" s="32"/>
      <c r="AF308" s="32"/>
      <c r="AG308" s="32"/>
      <c r="AH308" s="32"/>
      <c r="AI308" s="32"/>
      <c r="AJ308" s="32"/>
      <c r="AK308" s="32"/>
      <c r="AL308" s="32"/>
      <c r="AM308" s="32"/>
      <c r="AN308" s="32"/>
      <c r="AO308" s="33" t="str">
        <f aca="false">IF(A308="","",IF(AD308&lt;&gt;"",AD308,IF(AC308&lt;&gt;"",AC308,"")))</f>
        <v/>
      </c>
      <c r="AP308" s="24" t="str">
        <f aca="false">IF(AO308="","",IF(AD308&lt;&gt;"","Reported reach","Impressions (proxy)"))</f>
        <v/>
      </c>
      <c r="AQ308" s="34" t="str">
        <f aca="false">IF(OR(AO308="",N(S308)=0),"",AO308/S308)</f>
        <v/>
      </c>
      <c r="AR308" s="33" t="str">
        <f aca="false">IF(A308="","",IF(COUNT(AF308:AJ308)=0,"",SUM(AF308:AJ308)))</f>
        <v/>
      </c>
      <c r="AS308" s="34" t="str">
        <f aca="false">IF(OR(AR308="",N(AO308)=0),"",AR308/AO308)</f>
        <v/>
      </c>
      <c r="AT308" s="34" t="str">
        <f aca="false">IF(OR(AR308="",N(AC308)=0),"",AR308/AC308)</f>
        <v/>
      </c>
      <c r="AU308" s="34" t="str">
        <f aca="false">IF(OR(AR308="",N(S308)=0),"",AR308/S308)</f>
        <v/>
      </c>
      <c r="AV308" s="34" t="str">
        <f aca="false">IF(OR(AJ308="",N(AC308)=0),"",AJ308/AC308)</f>
        <v/>
      </c>
      <c r="AW308" s="34" t="str">
        <f aca="false">IF(OR(AH308="",N(AO308)=0),"",AH308/AO308)</f>
        <v/>
      </c>
      <c r="AX308" s="35" t="str">
        <f aca="false">IF(OR(AR308="",N(AO308)=0),"",(N(AF308)*Settings!$B$6+N(AG308)*Settings!$B$7+N(AH308)*Settings!$B$8+N(AI308)*Settings!$B$9+N(AJ308)*Settings!$B$10)/AO308*1000)</f>
        <v/>
      </c>
      <c r="AY308" s="36" t="str">
        <f aca="false">IF(AS308="","",IFERROR(AS308/AVERAGEIFS('Post Tracker'!$AS$5:$AS$1004,'Post Tracker'!$G$5:$G$1004,G308),""))</f>
        <v/>
      </c>
      <c r="AZ308" s="32"/>
      <c r="BA308" s="32"/>
      <c r="BB308" s="32"/>
      <c r="BC308" s="32"/>
      <c r="BD308" s="33" t="str">
        <f aca="false">IF(A308="","",COUNTIFS('Demo Pipeline'!$Q$5:$Q$504,A308))</f>
        <v/>
      </c>
      <c r="BE308" s="33" t="str">
        <f aca="false">IF(A308="","",COUNTIFS('Demo Pipeline'!$Q$5:$Q$504,A308,'Demo Pipeline'!$W$5:$W$504,"Attended"))</f>
        <v/>
      </c>
      <c r="BF308" s="33" t="str">
        <f aca="false">IF(A308="","",COUNTIFS('Demo Pipeline'!$Q$5:$Q$504,A308,'Demo Pipeline'!$X$5:$X$504,"Yes"))</f>
        <v/>
      </c>
      <c r="BG308" s="33" t="str">
        <f aca="false">IF(A308="","",COUNTIFS('Demo Pipeline'!$Q$5:$Q$504,A308,'Demo Pipeline'!$Y$5:$Y$504,"Closed Won"))</f>
        <v/>
      </c>
      <c r="BH308" s="37" t="str">
        <f aca="false">IF(A308="","",SUMIFS('Demo Pipeline'!$Z$5:$Z$504,'Demo Pipeline'!$Q$5:$Q$504,A308))</f>
        <v/>
      </c>
      <c r="BI308" s="34" t="str">
        <f aca="false">IF(OR(AZ308="",N(AJ308)=0),"",AZ308/AJ308)</f>
        <v/>
      </c>
      <c r="BJ308" s="34" t="str">
        <f aca="false">IF(OR(BB308="",N(AZ308)=0),"",BB308/AZ308)</f>
        <v/>
      </c>
      <c r="BK308" s="34" t="str">
        <f aca="false">IF(OR(A308="",N(BB308)=0),"",BD308/BB308)</f>
        <v/>
      </c>
      <c r="BL308" s="34" t="str">
        <f aca="false">IF(OR(A308="",N(AZ308)=0),"",BD308/AZ308)</f>
        <v/>
      </c>
      <c r="BM308" s="37" t="str">
        <f aca="false">IF(OR(N(Q308)=0,N(BD308)=0),"",Q308/BD308)</f>
        <v/>
      </c>
      <c r="BN308" s="29"/>
      <c r="BO308" s="29"/>
      <c r="BP308" s="33" t="str">
        <f aca="false">IF(OR(AR308="",N(AO308)=0),"",AR308)</f>
        <v/>
      </c>
      <c r="BQ308" s="33" t="str">
        <f aca="false">IF(OR(AR308="",N(S308)=0),"",S308)</f>
        <v/>
      </c>
      <c r="BR308" s="38" t="str">
        <f aca="false">IF(AND(ISNUMBER(B308),B308&gt;=Dashboard!$C$4,B308&lt;=Dashboard!$F$4,ISNUMBER(AU308)),AU308+ROW()/10^9,"")</f>
        <v/>
      </c>
      <c r="BS308" s="38" t="str">
        <f aca="false">IF(AND(ISNUMBER(B308),B308&gt;=Dashboard!$C$4,B308&lt;=Dashboard!$F$4,A308&lt;&gt;""),N(BD308)+N(AU308)/100+ROW()/10^9,"")</f>
        <v/>
      </c>
    </row>
    <row r="309" customFormat="false" ht="15" hidden="false" customHeight="false" outlineLevel="0" collapsed="false">
      <c r="A309" s="24" t="str">
        <f aca="false">IF(OR(B309="",G309="",H309=""),"",IFERROR(INDEX(Settings!$E$5:$E$49,MATCH(G309,Settings!$D$5:$D$49,0))&amp;INDEX(Settings!$H$5:$H$47,MATCH(H309,Settings!$G$5:$G$47,0))&amp;"-"&amp;TEXT(B309,"yymmdd")&amp;"-"&amp;IF(C309="","0000",TEXT(C309,"hhmm")),"CHECK LISTS"))</f>
        <v/>
      </c>
      <c r="B309" s="39"/>
      <c r="C309" s="40"/>
      <c r="D309" s="24" t="str">
        <f aca="false">IF(B309="","",TEXT(B309,"ddd"))</f>
        <v/>
      </c>
      <c r="E309" s="27" t="str">
        <f aca="false">IF(B309="","",B309-WEEKDAY(B309,3))</f>
        <v/>
      </c>
      <c r="F309" s="24" t="str">
        <f aca="false">IF(B309="","",TEXT(B309,"yyyy-mm"))</f>
        <v/>
      </c>
      <c r="G309" s="29"/>
      <c r="H309" s="29"/>
      <c r="I309" s="29"/>
      <c r="J309" s="29"/>
      <c r="K309" s="29"/>
      <c r="L309" s="29"/>
      <c r="M309" s="29"/>
      <c r="N309" s="29"/>
      <c r="O309" s="29"/>
      <c r="P309" s="29"/>
      <c r="Q309" s="30"/>
      <c r="R309" s="29"/>
      <c r="S309" s="32"/>
      <c r="T309" s="29"/>
      <c r="U309" s="29"/>
      <c r="V309" s="24" t="str">
        <f aca="false">IF(A309="","",IFERROR(INDEX(Settings!$F$5:$F$49,MATCH(G309,Settings!$D$5:$D$49,0)),""))</f>
        <v/>
      </c>
      <c r="W309" s="24" t="str">
        <f aca="false">IF(A309="","",IF(OR(P309="",P309="Organic"),"social","paid_social"))</f>
        <v/>
      </c>
      <c r="X309" s="24" t="str">
        <f aca="false">IF(A309="","",IF(K309&lt;&gt;"",IFERROR(INDEX('Case Studies'!$C$5:$C$54,MATCH(K309,'Case Studies'!$B$5:$B$54,0))&amp;"","case-study"),IF(J309&lt;&gt;"",IFERROR(INDEX(Settings!$J$5:$J$55,MATCH(J309,Settings!$I$5:$I$55,0)),"general"),"general")))</f>
        <v/>
      </c>
      <c r="Y309" s="24" t="str">
        <f aca="false">IF(A309="","",LOWER(A309))</f>
        <v/>
      </c>
      <c r="Z309" s="24" t="str">
        <f aca="false">IF(A309="","",IF(T309="",Settings!$B$5,T309)&amp;IF(ISNUMBER(FIND("?",IF(T309="",Settings!$B$5,T309))),"&amp;","?")&amp;"utm_source="&amp;V309&amp;"&amp;utm_medium="&amp;W309&amp;"&amp;utm_campaign="&amp;X309&amp;"&amp;utm_content="&amp;Y309)</f>
        <v/>
      </c>
      <c r="AA309" s="29"/>
      <c r="AB309" s="39"/>
      <c r="AC309" s="32"/>
      <c r="AD309" s="32"/>
      <c r="AE309" s="32"/>
      <c r="AF309" s="32"/>
      <c r="AG309" s="32"/>
      <c r="AH309" s="32"/>
      <c r="AI309" s="32"/>
      <c r="AJ309" s="32"/>
      <c r="AK309" s="32"/>
      <c r="AL309" s="32"/>
      <c r="AM309" s="32"/>
      <c r="AN309" s="32"/>
      <c r="AO309" s="33" t="str">
        <f aca="false">IF(A309="","",IF(AD309&lt;&gt;"",AD309,IF(AC309&lt;&gt;"",AC309,"")))</f>
        <v/>
      </c>
      <c r="AP309" s="24" t="str">
        <f aca="false">IF(AO309="","",IF(AD309&lt;&gt;"","Reported reach","Impressions (proxy)"))</f>
        <v/>
      </c>
      <c r="AQ309" s="34" t="str">
        <f aca="false">IF(OR(AO309="",N(S309)=0),"",AO309/S309)</f>
        <v/>
      </c>
      <c r="AR309" s="33" t="str">
        <f aca="false">IF(A309="","",IF(COUNT(AF309:AJ309)=0,"",SUM(AF309:AJ309)))</f>
        <v/>
      </c>
      <c r="AS309" s="34" t="str">
        <f aca="false">IF(OR(AR309="",N(AO309)=0),"",AR309/AO309)</f>
        <v/>
      </c>
      <c r="AT309" s="34" t="str">
        <f aca="false">IF(OR(AR309="",N(AC309)=0),"",AR309/AC309)</f>
        <v/>
      </c>
      <c r="AU309" s="34" t="str">
        <f aca="false">IF(OR(AR309="",N(S309)=0),"",AR309/S309)</f>
        <v/>
      </c>
      <c r="AV309" s="34" t="str">
        <f aca="false">IF(OR(AJ309="",N(AC309)=0),"",AJ309/AC309)</f>
        <v/>
      </c>
      <c r="AW309" s="34" t="str">
        <f aca="false">IF(OR(AH309="",N(AO309)=0),"",AH309/AO309)</f>
        <v/>
      </c>
      <c r="AX309" s="35" t="str">
        <f aca="false">IF(OR(AR309="",N(AO309)=0),"",(N(AF309)*Settings!$B$6+N(AG309)*Settings!$B$7+N(AH309)*Settings!$B$8+N(AI309)*Settings!$B$9+N(AJ309)*Settings!$B$10)/AO309*1000)</f>
        <v/>
      </c>
      <c r="AY309" s="36" t="str">
        <f aca="false">IF(AS309="","",IFERROR(AS309/AVERAGEIFS('Post Tracker'!$AS$5:$AS$1004,'Post Tracker'!$G$5:$G$1004,G309),""))</f>
        <v/>
      </c>
      <c r="AZ309" s="32"/>
      <c r="BA309" s="32"/>
      <c r="BB309" s="32"/>
      <c r="BC309" s="32"/>
      <c r="BD309" s="33" t="str">
        <f aca="false">IF(A309="","",COUNTIFS('Demo Pipeline'!$Q$5:$Q$504,A309))</f>
        <v/>
      </c>
      <c r="BE309" s="33" t="str">
        <f aca="false">IF(A309="","",COUNTIFS('Demo Pipeline'!$Q$5:$Q$504,A309,'Demo Pipeline'!$W$5:$W$504,"Attended"))</f>
        <v/>
      </c>
      <c r="BF309" s="33" t="str">
        <f aca="false">IF(A309="","",COUNTIFS('Demo Pipeline'!$Q$5:$Q$504,A309,'Demo Pipeline'!$X$5:$X$504,"Yes"))</f>
        <v/>
      </c>
      <c r="BG309" s="33" t="str">
        <f aca="false">IF(A309="","",COUNTIFS('Demo Pipeline'!$Q$5:$Q$504,A309,'Demo Pipeline'!$Y$5:$Y$504,"Closed Won"))</f>
        <v/>
      </c>
      <c r="BH309" s="37" t="str">
        <f aca="false">IF(A309="","",SUMIFS('Demo Pipeline'!$Z$5:$Z$504,'Demo Pipeline'!$Q$5:$Q$504,A309))</f>
        <v/>
      </c>
      <c r="BI309" s="34" t="str">
        <f aca="false">IF(OR(AZ309="",N(AJ309)=0),"",AZ309/AJ309)</f>
        <v/>
      </c>
      <c r="BJ309" s="34" t="str">
        <f aca="false">IF(OR(BB309="",N(AZ309)=0),"",BB309/AZ309)</f>
        <v/>
      </c>
      <c r="BK309" s="34" t="str">
        <f aca="false">IF(OR(A309="",N(BB309)=0),"",BD309/BB309)</f>
        <v/>
      </c>
      <c r="BL309" s="34" t="str">
        <f aca="false">IF(OR(A309="",N(AZ309)=0),"",BD309/AZ309)</f>
        <v/>
      </c>
      <c r="BM309" s="37" t="str">
        <f aca="false">IF(OR(N(Q309)=0,N(BD309)=0),"",Q309/BD309)</f>
        <v/>
      </c>
      <c r="BN309" s="29"/>
      <c r="BO309" s="29"/>
      <c r="BP309" s="33" t="str">
        <f aca="false">IF(OR(AR309="",N(AO309)=0),"",AR309)</f>
        <v/>
      </c>
      <c r="BQ309" s="33" t="str">
        <f aca="false">IF(OR(AR309="",N(S309)=0),"",S309)</f>
        <v/>
      </c>
      <c r="BR309" s="38" t="str">
        <f aca="false">IF(AND(ISNUMBER(B309),B309&gt;=Dashboard!$C$4,B309&lt;=Dashboard!$F$4,ISNUMBER(AU309)),AU309+ROW()/10^9,"")</f>
        <v/>
      </c>
      <c r="BS309" s="38" t="str">
        <f aca="false">IF(AND(ISNUMBER(B309),B309&gt;=Dashboard!$C$4,B309&lt;=Dashboard!$F$4,A309&lt;&gt;""),N(BD309)+N(AU309)/100+ROW()/10^9,"")</f>
        <v/>
      </c>
    </row>
    <row r="310" customFormat="false" ht="15" hidden="false" customHeight="false" outlineLevel="0" collapsed="false">
      <c r="A310" s="24" t="str">
        <f aca="false">IF(OR(B310="",G310="",H310=""),"",IFERROR(INDEX(Settings!$E$5:$E$49,MATCH(G310,Settings!$D$5:$D$49,0))&amp;INDEX(Settings!$H$5:$H$47,MATCH(H310,Settings!$G$5:$G$47,0))&amp;"-"&amp;TEXT(B310,"yymmdd")&amp;"-"&amp;IF(C310="","0000",TEXT(C310,"hhmm")),"CHECK LISTS"))</f>
        <v/>
      </c>
      <c r="B310" s="39"/>
      <c r="C310" s="40"/>
      <c r="D310" s="24" t="str">
        <f aca="false">IF(B310="","",TEXT(B310,"ddd"))</f>
        <v/>
      </c>
      <c r="E310" s="27" t="str">
        <f aca="false">IF(B310="","",B310-WEEKDAY(B310,3))</f>
        <v/>
      </c>
      <c r="F310" s="24" t="str">
        <f aca="false">IF(B310="","",TEXT(B310,"yyyy-mm"))</f>
        <v/>
      </c>
      <c r="G310" s="29"/>
      <c r="H310" s="29"/>
      <c r="I310" s="29"/>
      <c r="J310" s="29"/>
      <c r="K310" s="29"/>
      <c r="L310" s="29"/>
      <c r="M310" s="29"/>
      <c r="N310" s="29"/>
      <c r="O310" s="29"/>
      <c r="P310" s="29"/>
      <c r="Q310" s="30"/>
      <c r="R310" s="29"/>
      <c r="S310" s="32"/>
      <c r="T310" s="29"/>
      <c r="U310" s="29"/>
      <c r="V310" s="24" t="str">
        <f aca="false">IF(A310="","",IFERROR(INDEX(Settings!$F$5:$F$49,MATCH(G310,Settings!$D$5:$D$49,0)),""))</f>
        <v/>
      </c>
      <c r="W310" s="24" t="str">
        <f aca="false">IF(A310="","",IF(OR(P310="",P310="Organic"),"social","paid_social"))</f>
        <v/>
      </c>
      <c r="X310" s="24" t="str">
        <f aca="false">IF(A310="","",IF(K310&lt;&gt;"",IFERROR(INDEX('Case Studies'!$C$5:$C$54,MATCH(K310,'Case Studies'!$B$5:$B$54,0))&amp;"","case-study"),IF(J310&lt;&gt;"",IFERROR(INDEX(Settings!$J$5:$J$55,MATCH(J310,Settings!$I$5:$I$55,0)),"general"),"general")))</f>
        <v/>
      </c>
      <c r="Y310" s="24" t="str">
        <f aca="false">IF(A310="","",LOWER(A310))</f>
        <v/>
      </c>
      <c r="Z310" s="24" t="str">
        <f aca="false">IF(A310="","",IF(T310="",Settings!$B$5,T310)&amp;IF(ISNUMBER(FIND("?",IF(T310="",Settings!$B$5,T310))),"&amp;","?")&amp;"utm_source="&amp;V310&amp;"&amp;utm_medium="&amp;W310&amp;"&amp;utm_campaign="&amp;X310&amp;"&amp;utm_content="&amp;Y310)</f>
        <v/>
      </c>
      <c r="AA310" s="29"/>
      <c r="AB310" s="39"/>
      <c r="AC310" s="32"/>
      <c r="AD310" s="32"/>
      <c r="AE310" s="32"/>
      <c r="AF310" s="32"/>
      <c r="AG310" s="32"/>
      <c r="AH310" s="32"/>
      <c r="AI310" s="32"/>
      <c r="AJ310" s="32"/>
      <c r="AK310" s="32"/>
      <c r="AL310" s="32"/>
      <c r="AM310" s="32"/>
      <c r="AN310" s="32"/>
      <c r="AO310" s="33" t="str">
        <f aca="false">IF(A310="","",IF(AD310&lt;&gt;"",AD310,IF(AC310&lt;&gt;"",AC310,"")))</f>
        <v/>
      </c>
      <c r="AP310" s="24" t="str">
        <f aca="false">IF(AO310="","",IF(AD310&lt;&gt;"","Reported reach","Impressions (proxy)"))</f>
        <v/>
      </c>
      <c r="AQ310" s="34" t="str">
        <f aca="false">IF(OR(AO310="",N(S310)=0),"",AO310/S310)</f>
        <v/>
      </c>
      <c r="AR310" s="33" t="str">
        <f aca="false">IF(A310="","",IF(COUNT(AF310:AJ310)=0,"",SUM(AF310:AJ310)))</f>
        <v/>
      </c>
      <c r="AS310" s="34" t="str">
        <f aca="false">IF(OR(AR310="",N(AO310)=0),"",AR310/AO310)</f>
        <v/>
      </c>
      <c r="AT310" s="34" t="str">
        <f aca="false">IF(OR(AR310="",N(AC310)=0),"",AR310/AC310)</f>
        <v/>
      </c>
      <c r="AU310" s="34" t="str">
        <f aca="false">IF(OR(AR310="",N(S310)=0),"",AR310/S310)</f>
        <v/>
      </c>
      <c r="AV310" s="34" t="str">
        <f aca="false">IF(OR(AJ310="",N(AC310)=0),"",AJ310/AC310)</f>
        <v/>
      </c>
      <c r="AW310" s="34" t="str">
        <f aca="false">IF(OR(AH310="",N(AO310)=0),"",AH310/AO310)</f>
        <v/>
      </c>
      <c r="AX310" s="35" t="str">
        <f aca="false">IF(OR(AR310="",N(AO310)=0),"",(N(AF310)*Settings!$B$6+N(AG310)*Settings!$B$7+N(AH310)*Settings!$B$8+N(AI310)*Settings!$B$9+N(AJ310)*Settings!$B$10)/AO310*1000)</f>
        <v/>
      </c>
      <c r="AY310" s="36" t="str">
        <f aca="false">IF(AS310="","",IFERROR(AS310/AVERAGEIFS('Post Tracker'!$AS$5:$AS$1004,'Post Tracker'!$G$5:$G$1004,G310),""))</f>
        <v/>
      </c>
      <c r="AZ310" s="32"/>
      <c r="BA310" s="32"/>
      <c r="BB310" s="32"/>
      <c r="BC310" s="32"/>
      <c r="BD310" s="33" t="str">
        <f aca="false">IF(A310="","",COUNTIFS('Demo Pipeline'!$Q$5:$Q$504,A310))</f>
        <v/>
      </c>
      <c r="BE310" s="33" t="str">
        <f aca="false">IF(A310="","",COUNTIFS('Demo Pipeline'!$Q$5:$Q$504,A310,'Demo Pipeline'!$W$5:$W$504,"Attended"))</f>
        <v/>
      </c>
      <c r="BF310" s="33" t="str">
        <f aca="false">IF(A310="","",COUNTIFS('Demo Pipeline'!$Q$5:$Q$504,A310,'Demo Pipeline'!$X$5:$X$504,"Yes"))</f>
        <v/>
      </c>
      <c r="BG310" s="33" t="str">
        <f aca="false">IF(A310="","",COUNTIFS('Demo Pipeline'!$Q$5:$Q$504,A310,'Demo Pipeline'!$Y$5:$Y$504,"Closed Won"))</f>
        <v/>
      </c>
      <c r="BH310" s="37" t="str">
        <f aca="false">IF(A310="","",SUMIFS('Demo Pipeline'!$Z$5:$Z$504,'Demo Pipeline'!$Q$5:$Q$504,A310))</f>
        <v/>
      </c>
      <c r="BI310" s="34" t="str">
        <f aca="false">IF(OR(AZ310="",N(AJ310)=0),"",AZ310/AJ310)</f>
        <v/>
      </c>
      <c r="BJ310" s="34" t="str">
        <f aca="false">IF(OR(BB310="",N(AZ310)=0),"",BB310/AZ310)</f>
        <v/>
      </c>
      <c r="BK310" s="34" t="str">
        <f aca="false">IF(OR(A310="",N(BB310)=0),"",BD310/BB310)</f>
        <v/>
      </c>
      <c r="BL310" s="34" t="str">
        <f aca="false">IF(OR(A310="",N(AZ310)=0),"",BD310/AZ310)</f>
        <v/>
      </c>
      <c r="BM310" s="37" t="str">
        <f aca="false">IF(OR(N(Q310)=0,N(BD310)=0),"",Q310/BD310)</f>
        <v/>
      </c>
      <c r="BN310" s="29"/>
      <c r="BO310" s="29"/>
      <c r="BP310" s="33" t="str">
        <f aca="false">IF(OR(AR310="",N(AO310)=0),"",AR310)</f>
        <v/>
      </c>
      <c r="BQ310" s="33" t="str">
        <f aca="false">IF(OR(AR310="",N(S310)=0),"",S310)</f>
        <v/>
      </c>
      <c r="BR310" s="38" t="str">
        <f aca="false">IF(AND(ISNUMBER(B310),B310&gt;=Dashboard!$C$4,B310&lt;=Dashboard!$F$4,ISNUMBER(AU310)),AU310+ROW()/10^9,"")</f>
        <v/>
      </c>
      <c r="BS310" s="38" t="str">
        <f aca="false">IF(AND(ISNUMBER(B310),B310&gt;=Dashboard!$C$4,B310&lt;=Dashboard!$F$4,A310&lt;&gt;""),N(BD310)+N(AU310)/100+ROW()/10^9,"")</f>
        <v/>
      </c>
    </row>
    <row r="311" customFormat="false" ht="15" hidden="false" customHeight="false" outlineLevel="0" collapsed="false">
      <c r="A311" s="24" t="str">
        <f aca="false">IF(OR(B311="",G311="",H311=""),"",IFERROR(INDEX(Settings!$E$5:$E$49,MATCH(G311,Settings!$D$5:$D$49,0))&amp;INDEX(Settings!$H$5:$H$47,MATCH(H311,Settings!$G$5:$G$47,0))&amp;"-"&amp;TEXT(B311,"yymmdd")&amp;"-"&amp;IF(C311="","0000",TEXT(C311,"hhmm")),"CHECK LISTS"))</f>
        <v/>
      </c>
      <c r="B311" s="39"/>
      <c r="C311" s="40"/>
      <c r="D311" s="24" t="str">
        <f aca="false">IF(B311="","",TEXT(B311,"ddd"))</f>
        <v/>
      </c>
      <c r="E311" s="27" t="str">
        <f aca="false">IF(B311="","",B311-WEEKDAY(B311,3))</f>
        <v/>
      </c>
      <c r="F311" s="24" t="str">
        <f aca="false">IF(B311="","",TEXT(B311,"yyyy-mm"))</f>
        <v/>
      </c>
      <c r="G311" s="29"/>
      <c r="H311" s="29"/>
      <c r="I311" s="29"/>
      <c r="J311" s="29"/>
      <c r="K311" s="29"/>
      <c r="L311" s="29"/>
      <c r="M311" s="29"/>
      <c r="N311" s="29"/>
      <c r="O311" s="29"/>
      <c r="P311" s="29"/>
      <c r="Q311" s="30"/>
      <c r="R311" s="29"/>
      <c r="S311" s="32"/>
      <c r="T311" s="29"/>
      <c r="U311" s="29"/>
      <c r="V311" s="24" t="str">
        <f aca="false">IF(A311="","",IFERROR(INDEX(Settings!$F$5:$F$49,MATCH(G311,Settings!$D$5:$D$49,0)),""))</f>
        <v/>
      </c>
      <c r="W311" s="24" t="str">
        <f aca="false">IF(A311="","",IF(OR(P311="",P311="Organic"),"social","paid_social"))</f>
        <v/>
      </c>
      <c r="X311" s="24" t="str">
        <f aca="false">IF(A311="","",IF(K311&lt;&gt;"",IFERROR(INDEX('Case Studies'!$C$5:$C$54,MATCH(K311,'Case Studies'!$B$5:$B$54,0))&amp;"","case-study"),IF(J311&lt;&gt;"",IFERROR(INDEX(Settings!$J$5:$J$55,MATCH(J311,Settings!$I$5:$I$55,0)),"general"),"general")))</f>
        <v/>
      </c>
      <c r="Y311" s="24" t="str">
        <f aca="false">IF(A311="","",LOWER(A311))</f>
        <v/>
      </c>
      <c r="Z311" s="24" t="str">
        <f aca="false">IF(A311="","",IF(T311="",Settings!$B$5,T311)&amp;IF(ISNUMBER(FIND("?",IF(T311="",Settings!$B$5,T311))),"&amp;","?")&amp;"utm_source="&amp;V311&amp;"&amp;utm_medium="&amp;W311&amp;"&amp;utm_campaign="&amp;X311&amp;"&amp;utm_content="&amp;Y311)</f>
        <v/>
      </c>
      <c r="AA311" s="29"/>
      <c r="AB311" s="39"/>
      <c r="AC311" s="32"/>
      <c r="AD311" s="32"/>
      <c r="AE311" s="32"/>
      <c r="AF311" s="32"/>
      <c r="AG311" s="32"/>
      <c r="AH311" s="32"/>
      <c r="AI311" s="32"/>
      <c r="AJ311" s="32"/>
      <c r="AK311" s="32"/>
      <c r="AL311" s="32"/>
      <c r="AM311" s="32"/>
      <c r="AN311" s="32"/>
      <c r="AO311" s="33" t="str">
        <f aca="false">IF(A311="","",IF(AD311&lt;&gt;"",AD311,IF(AC311&lt;&gt;"",AC311,"")))</f>
        <v/>
      </c>
      <c r="AP311" s="24" t="str">
        <f aca="false">IF(AO311="","",IF(AD311&lt;&gt;"","Reported reach","Impressions (proxy)"))</f>
        <v/>
      </c>
      <c r="AQ311" s="34" t="str">
        <f aca="false">IF(OR(AO311="",N(S311)=0),"",AO311/S311)</f>
        <v/>
      </c>
      <c r="AR311" s="33" t="str">
        <f aca="false">IF(A311="","",IF(COUNT(AF311:AJ311)=0,"",SUM(AF311:AJ311)))</f>
        <v/>
      </c>
      <c r="AS311" s="34" t="str">
        <f aca="false">IF(OR(AR311="",N(AO311)=0),"",AR311/AO311)</f>
        <v/>
      </c>
      <c r="AT311" s="34" t="str">
        <f aca="false">IF(OR(AR311="",N(AC311)=0),"",AR311/AC311)</f>
        <v/>
      </c>
      <c r="AU311" s="34" t="str">
        <f aca="false">IF(OR(AR311="",N(S311)=0),"",AR311/S311)</f>
        <v/>
      </c>
      <c r="AV311" s="34" t="str">
        <f aca="false">IF(OR(AJ311="",N(AC311)=0),"",AJ311/AC311)</f>
        <v/>
      </c>
      <c r="AW311" s="34" t="str">
        <f aca="false">IF(OR(AH311="",N(AO311)=0),"",AH311/AO311)</f>
        <v/>
      </c>
      <c r="AX311" s="35" t="str">
        <f aca="false">IF(OR(AR311="",N(AO311)=0),"",(N(AF311)*Settings!$B$6+N(AG311)*Settings!$B$7+N(AH311)*Settings!$B$8+N(AI311)*Settings!$B$9+N(AJ311)*Settings!$B$10)/AO311*1000)</f>
        <v/>
      </c>
      <c r="AY311" s="36" t="str">
        <f aca="false">IF(AS311="","",IFERROR(AS311/AVERAGEIFS('Post Tracker'!$AS$5:$AS$1004,'Post Tracker'!$G$5:$G$1004,G311),""))</f>
        <v/>
      </c>
      <c r="AZ311" s="32"/>
      <c r="BA311" s="32"/>
      <c r="BB311" s="32"/>
      <c r="BC311" s="32"/>
      <c r="BD311" s="33" t="str">
        <f aca="false">IF(A311="","",COUNTIFS('Demo Pipeline'!$Q$5:$Q$504,A311))</f>
        <v/>
      </c>
      <c r="BE311" s="33" t="str">
        <f aca="false">IF(A311="","",COUNTIFS('Demo Pipeline'!$Q$5:$Q$504,A311,'Demo Pipeline'!$W$5:$W$504,"Attended"))</f>
        <v/>
      </c>
      <c r="BF311" s="33" t="str">
        <f aca="false">IF(A311="","",COUNTIFS('Demo Pipeline'!$Q$5:$Q$504,A311,'Demo Pipeline'!$X$5:$X$504,"Yes"))</f>
        <v/>
      </c>
      <c r="BG311" s="33" t="str">
        <f aca="false">IF(A311="","",COUNTIFS('Demo Pipeline'!$Q$5:$Q$504,A311,'Demo Pipeline'!$Y$5:$Y$504,"Closed Won"))</f>
        <v/>
      </c>
      <c r="BH311" s="37" t="str">
        <f aca="false">IF(A311="","",SUMIFS('Demo Pipeline'!$Z$5:$Z$504,'Demo Pipeline'!$Q$5:$Q$504,A311))</f>
        <v/>
      </c>
      <c r="BI311" s="34" t="str">
        <f aca="false">IF(OR(AZ311="",N(AJ311)=0),"",AZ311/AJ311)</f>
        <v/>
      </c>
      <c r="BJ311" s="34" t="str">
        <f aca="false">IF(OR(BB311="",N(AZ311)=0),"",BB311/AZ311)</f>
        <v/>
      </c>
      <c r="BK311" s="34" t="str">
        <f aca="false">IF(OR(A311="",N(BB311)=0),"",BD311/BB311)</f>
        <v/>
      </c>
      <c r="BL311" s="34" t="str">
        <f aca="false">IF(OR(A311="",N(AZ311)=0),"",BD311/AZ311)</f>
        <v/>
      </c>
      <c r="BM311" s="37" t="str">
        <f aca="false">IF(OR(N(Q311)=0,N(BD311)=0),"",Q311/BD311)</f>
        <v/>
      </c>
      <c r="BN311" s="29"/>
      <c r="BO311" s="29"/>
      <c r="BP311" s="33" t="str">
        <f aca="false">IF(OR(AR311="",N(AO311)=0),"",AR311)</f>
        <v/>
      </c>
      <c r="BQ311" s="33" t="str">
        <f aca="false">IF(OR(AR311="",N(S311)=0),"",S311)</f>
        <v/>
      </c>
      <c r="BR311" s="38" t="str">
        <f aca="false">IF(AND(ISNUMBER(B311),B311&gt;=Dashboard!$C$4,B311&lt;=Dashboard!$F$4,ISNUMBER(AU311)),AU311+ROW()/10^9,"")</f>
        <v/>
      </c>
      <c r="BS311" s="38" t="str">
        <f aca="false">IF(AND(ISNUMBER(B311),B311&gt;=Dashboard!$C$4,B311&lt;=Dashboard!$F$4,A311&lt;&gt;""),N(BD311)+N(AU311)/100+ROW()/10^9,"")</f>
        <v/>
      </c>
    </row>
    <row r="312" customFormat="false" ht="15" hidden="false" customHeight="false" outlineLevel="0" collapsed="false">
      <c r="A312" s="24" t="str">
        <f aca="false">IF(OR(B312="",G312="",H312=""),"",IFERROR(INDEX(Settings!$E$5:$E$49,MATCH(G312,Settings!$D$5:$D$49,0))&amp;INDEX(Settings!$H$5:$H$47,MATCH(H312,Settings!$G$5:$G$47,0))&amp;"-"&amp;TEXT(B312,"yymmdd")&amp;"-"&amp;IF(C312="","0000",TEXT(C312,"hhmm")),"CHECK LISTS"))</f>
        <v/>
      </c>
      <c r="B312" s="39"/>
      <c r="C312" s="40"/>
      <c r="D312" s="24" t="str">
        <f aca="false">IF(B312="","",TEXT(B312,"ddd"))</f>
        <v/>
      </c>
      <c r="E312" s="27" t="str">
        <f aca="false">IF(B312="","",B312-WEEKDAY(B312,3))</f>
        <v/>
      </c>
      <c r="F312" s="24" t="str">
        <f aca="false">IF(B312="","",TEXT(B312,"yyyy-mm"))</f>
        <v/>
      </c>
      <c r="G312" s="29"/>
      <c r="H312" s="29"/>
      <c r="I312" s="29"/>
      <c r="J312" s="29"/>
      <c r="K312" s="29"/>
      <c r="L312" s="29"/>
      <c r="M312" s="29"/>
      <c r="N312" s="29"/>
      <c r="O312" s="29"/>
      <c r="P312" s="29"/>
      <c r="Q312" s="30"/>
      <c r="R312" s="29"/>
      <c r="S312" s="32"/>
      <c r="T312" s="29"/>
      <c r="U312" s="29"/>
      <c r="V312" s="24" t="str">
        <f aca="false">IF(A312="","",IFERROR(INDEX(Settings!$F$5:$F$49,MATCH(G312,Settings!$D$5:$D$49,0)),""))</f>
        <v/>
      </c>
      <c r="W312" s="24" t="str">
        <f aca="false">IF(A312="","",IF(OR(P312="",P312="Organic"),"social","paid_social"))</f>
        <v/>
      </c>
      <c r="X312" s="24" t="str">
        <f aca="false">IF(A312="","",IF(K312&lt;&gt;"",IFERROR(INDEX('Case Studies'!$C$5:$C$54,MATCH(K312,'Case Studies'!$B$5:$B$54,0))&amp;"","case-study"),IF(J312&lt;&gt;"",IFERROR(INDEX(Settings!$J$5:$J$55,MATCH(J312,Settings!$I$5:$I$55,0)),"general"),"general")))</f>
        <v/>
      </c>
      <c r="Y312" s="24" t="str">
        <f aca="false">IF(A312="","",LOWER(A312))</f>
        <v/>
      </c>
      <c r="Z312" s="24" t="str">
        <f aca="false">IF(A312="","",IF(T312="",Settings!$B$5,T312)&amp;IF(ISNUMBER(FIND("?",IF(T312="",Settings!$B$5,T312))),"&amp;","?")&amp;"utm_source="&amp;V312&amp;"&amp;utm_medium="&amp;W312&amp;"&amp;utm_campaign="&amp;X312&amp;"&amp;utm_content="&amp;Y312)</f>
        <v/>
      </c>
      <c r="AA312" s="29"/>
      <c r="AB312" s="39"/>
      <c r="AC312" s="32"/>
      <c r="AD312" s="32"/>
      <c r="AE312" s="32"/>
      <c r="AF312" s="32"/>
      <c r="AG312" s="32"/>
      <c r="AH312" s="32"/>
      <c r="AI312" s="32"/>
      <c r="AJ312" s="32"/>
      <c r="AK312" s="32"/>
      <c r="AL312" s="32"/>
      <c r="AM312" s="32"/>
      <c r="AN312" s="32"/>
      <c r="AO312" s="33" t="str">
        <f aca="false">IF(A312="","",IF(AD312&lt;&gt;"",AD312,IF(AC312&lt;&gt;"",AC312,"")))</f>
        <v/>
      </c>
      <c r="AP312" s="24" t="str">
        <f aca="false">IF(AO312="","",IF(AD312&lt;&gt;"","Reported reach","Impressions (proxy)"))</f>
        <v/>
      </c>
      <c r="AQ312" s="34" t="str">
        <f aca="false">IF(OR(AO312="",N(S312)=0),"",AO312/S312)</f>
        <v/>
      </c>
      <c r="AR312" s="33" t="str">
        <f aca="false">IF(A312="","",IF(COUNT(AF312:AJ312)=0,"",SUM(AF312:AJ312)))</f>
        <v/>
      </c>
      <c r="AS312" s="34" t="str">
        <f aca="false">IF(OR(AR312="",N(AO312)=0),"",AR312/AO312)</f>
        <v/>
      </c>
      <c r="AT312" s="34" t="str">
        <f aca="false">IF(OR(AR312="",N(AC312)=0),"",AR312/AC312)</f>
        <v/>
      </c>
      <c r="AU312" s="34" t="str">
        <f aca="false">IF(OR(AR312="",N(S312)=0),"",AR312/S312)</f>
        <v/>
      </c>
      <c r="AV312" s="34" t="str">
        <f aca="false">IF(OR(AJ312="",N(AC312)=0),"",AJ312/AC312)</f>
        <v/>
      </c>
      <c r="AW312" s="34" t="str">
        <f aca="false">IF(OR(AH312="",N(AO312)=0),"",AH312/AO312)</f>
        <v/>
      </c>
      <c r="AX312" s="35" t="str">
        <f aca="false">IF(OR(AR312="",N(AO312)=0),"",(N(AF312)*Settings!$B$6+N(AG312)*Settings!$B$7+N(AH312)*Settings!$B$8+N(AI312)*Settings!$B$9+N(AJ312)*Settings!$B$10)/AO312*1000)</f>
        <v/>
      </c>
      <c r="AY312" s="36" t="str">
        <f aca="false">IF(AS312="","",IFERROR(AS312/AVERAGEIFS('Post Tracker'!$AS$5:$AS$1004,'Post Tracker'!$G$5:$G$1004,G312),""))</f>
        <v/>
      </c>
      <c r="AZ312" s="32"/>
      <c r="BA312" s="32"/>
      <c r="BB312" s="32"/>
      <c r="BC312" s="32"/>
      <c r="BD312" s="33" t="str">
        <f aca="false">IF(A312="","",COUNTIFS('Demo Pipeline'!$Q$5:$Q$504,A312))</f>
        <v/>
      </c>
      <c r="BE312" s="33" t="str">
        <f aca="false">IF(A312="","",COUNTIFS('Demo Pipeline'!$Q$5:$Q$504,A312,'Demo Pipeline'!$W$5:$W$504,"Attended"))</f>
        <v/>
      </c>
      <c r="BF312" s="33" t="str">
        <f aca="false">IF(A312="","",COUNTIFS('Demo Pipeline'!$Q$5:$Q$504,A312,'Demo Pipeline'!$X$5:$X$504,"Yes"))</f>
        <v/>
      </c>
      <c r="BG312" s="33" t="str">
        <f aca="false">IF(A312="","",COUNTIFS('Demo Pipeline'!$Q$5:$Q$504,A312,'Demo Pipeline'!$Y$5:$Y$504,"Closed Won"))</f>
        <v/>
      </c>
      <c r="BH312" s="37" t="str">
        <f aca="false">IF(A312="","",SUMIFS('Demo Pipeline'!$Z$5:$Z$504,'Demo Pipeline'!$Q$5:$Q$504,A312))</f>
        <v/>
      </c>
      <c r="BI312" s="34" t="str">
        <f aca="false">IF(OR(AZ312="",N(AJ312)=0),"",AZ312/AJ312)</f>
        <v/>
      </c>
      <c r="BJ312" s="34" t="str">
        <f aca="false">IF(OR(BB312="",N(AZ312)=0),"",BB312/AZ312)</f>
        <v/>
      </c>
      <c r="BK312" s="34" t="str">
        <f aca="false">IF(OR(A312="",N(BB312)=0),"",BD312/BB312)</f>
        <v/>
      </c>
      <c r="BL312" s="34" t="str">
        <f aca="false">IF(OR(A312="",N(AZ312)=0),"",BD312/AZ312)</f>
        <v/>
      </c>
      <c r="BM312" s="37" t="str">
        <f aca="false">IF(OR(N(Q312)=0,N(BD312)=0),"",Q312/BD312)</f>
        <v/>
      </c>
      <c r="BN312" s="29"/>
      <c r="BO312" s="29"/>
      <c r="BP312" s="33" t="str">
        <f aca="false">IF(OR(AR312="",N(AO312)=0),"",AR312)</f>
        <v/>
      </c>
      <c r="BQ312" s="33" t="str">
        <f aca="false">IF(OR(AR312="",N(S312)=0),"",S312)</f>
        <v/>
      </c>
      <c r="BR312" s="38" t="str">
        <f aca="false">IF(AND(ISNUMBER(B312),B312&gt;=Dashboard!$C$4,B312&lt;=Dashboard!$F$4,ISNUMBER(AU312)),AU312+ROW()/10^9,"")</f>
        <v/>
      </c>
      <c r="BS312" s="38" t="str">
        <f aca="false">IF(AND(ISNUMBER(B312),B312&gt;=Dashboard!$C$4,B312&lt;=Dashboard!$F$4,A312&lt;&gt;""),N(BD312)+N(AU312)/100+ROW()/10^9,"")</f>
        <v/>
      </c>
    </row>
    <row r="313" customFormat="false" ht="15" hidden="false" customHeight="false" outlineLevel="0" collapsed="false">
      <c r="A313" s="24" t="str">
        <f aca="false">IF(OR(B313="",G313="",H313=""),"",IFERROR(INDEX(Settings!$E$5:$E$49,MATCH(G313,Settings!$D$5:$D$49,0))&amp;INDEX(Settings!$H$5:$H$47,MATCH(H313,Settings!$G$5:$G$47,0))&amp;"-"&amp;TEXT(B313,"yymmdd")&amp;"-"&amp;IF(C313="","0000",TEXT(C313,"hhmm")),"CHECK LISTS"))</f>
        <v/>
      </c>
      <c r="B313" s="39"/>
      <c r="C313" s="40"/>
      <c r="D313" s="24" t="str">
        <f aca="false">IF(B313="","",TEXT(B313,"ddd"))</f>
        <v/>
      </c>
      <c r="E313" s="27" t="str">
        <f aca="false">IF(B313="","",B313-WEEKDAY(B313,3))</f>
        <v/>
      </c>
      <c r="F313" s="24" t="str">
        <f aca="false">IF(B313="","",TEXT(B313,"yyyy-mm"))</f>
        <v/>
      </c>
      <c r="G313" s="29"/>
      <c r="H313" s="29"/>
      <c r="I313" s="29"/>
      <c r="J313" s="29"/>
      <c r="K313" s="29"/>
      <c r="L313" s="29"/>
      <c r="M313" s="29"/>
      <c r="N313" s="29"/>
      <c r="O313" s="29"/>
      <c r="P313" s="29"/>
      <c r="Q313" s="30"/>
      <c r="R313" s="29"/>
      <c r="S313" s="32"/>
      <c r="T313" s="29"/>
      <c r="U313" s="29"/>
      <c r="V313" s="24" t="str">
        <f aca="false">IF(A313="","",IFERROR(INDEX(Settings!$F$5:$F$49,MATCH(G313,Settings!$D$5:$D$49,0)),""))</f>
        <v/>
      </c>
      <c r="W313" s="24" t="str">
        <f aca="false">IF(A313="","",IF(OR(P313="",P313="Organic"),"social","paid_social"))</f>
        <v/>
      </c>
      <c r="X313" s="24" t="str">
        <f aca="false">IF(A313="","",IF(K313&lt;&gt;"",IFERROR(INDEX('Case Studies'!$C$5:$C$54,MATCH(K313,'Case Studies'!$B$5:$B$54,0))&amp;"","case-study"),IF(J313&lt;&gt;"",IFERROR(INDEX(Settings!$J$5:$J$55,MATCH(J313,Settings!$I$5:$I$55,0)),"general"),"general")))</f>
        <v/>
      </c>
      <c r="Y313" s="24" t="str">
        <f aca="false">IF(A313="","",LOWER(A313))</f>
        <v/>
      </c>
      <c r="Z313" s="24" t="str">
        <f aca="false">IF(A313="","",IF(T313="",Settings!$B$5,T313)&amp;IF(ISNUMBER(FIND("?",IF(T313="",Settings!$B$5,T313))),"&amp;","?")&amp;"utm_source="&amp;V313&amp;"&amp;utm_medium="&amp;W313&amp;"&amp;utm_campaign="&amp;X313&amp;"&amp;utm_content="&amp;Y313)</f>
        <v/>
      </c>
      <c r="AA313" s="29"/>
      <c r="AB313" s="39"/>
      <c r="AC313" s="32"/>
      <c r="AD313" s="32"/>
      <c r="AE313" s="32"/>
      <c r="AF313" s="32"/>
      <c r="AG313" s="32"/>
      <c r="AH313" s="32"/>
      <c r="AI313" s="32"/>
      <c r="AJ313" s="32"/>
      <c r="AK313" s="32"/>
      <c r="AL313" s="32"/>
      <c r="AM313" s="32"/>
      <c r="AN313" s="32"/>
      <c r="AO313" s="33" t="str">
        <f aca="false">IF(A313="","",IF(AD313&lt;&gt;"",AD313,IF(AC313&lt;&gt;"",AC313,"")))</f>
        <v/>
      </c>
      <c r="AP313" s="24" t="str">
        <f aca="false">IF(AO313="","",IF(AD313&lt;&gt;"","Reported reach","Impressions (proxy)"))</f>
        <v/>
      </c>
      <c r="AQ313" s="34" t="str">
        <f aca="false">IF(OR(AO313="",N(S313)=0),"",AO313/S313)</f>
        <v/>
      </c>
      <c r="AR313" s="33" t="str">
        <f aca="false">IF(A313="","",IF(COUNT(AF313:AJ313)=0,"",SUM(AF313:AJ313)))</f>
        <v/>
      </c>
      <c r="AS313" s="34" t="str">
        <f aca="false">IF(OR(AR313="",N(AO313)=0),"",AR313/AO313)</f>
        <v/>
      </c>
      <c r="AT313" s="34" t="str">
        <f aca="false">IF(OR(AR313="",N(AC313)=0),"",AR313/AC313)</f>
        <v/>
      </c>
      <c r="AU313" s="34" t="str">
        <f aca="false">IF(OR(AR313="",N(S313)=0),"",AR313/S313)</f>
        <v/>
      </c>
      <c r="AV313" s="34" t="str">
        <f aca="false">IF(OR(AJ313="",N(AC313)=0),"",AJ313/AC313)</f>
        <v/>
      </c>
      <c r="AW313" s="34" t="str">
        <f aca="false">IF(OR(AH313="",N(AO313)=0),"",AH313/AO313)</f>
        <v/>
      </c>
      <c r="AX313" s="35" t="str">
        <f aca="false">IF(OR(AR313="",N(AO313)=0),"",(N(AF313)*Settings!$B$6+N(AG313)*Settings!$B$7+N(AH313)*Settings!$B$8+N(AI313)*Settings!$B$9+N(AJ313)*Settings!$B$10)/AO313*1000)</f>
        <v/>
      </c>
      <c r="AY313" s="36" t="str">
        <f aca="false">IF(AS313="","",IFERROR(AS313/AVERAGEIFS('Post Tracker'!$AS$5:$AS$1004,'Post Tracker'!$G$5:$G$1004,G313),""))</f>
        <v/>
      </c>
      <c r="AZ313" s="32"/>
      <c r="BA313" s="32"/>
      <c r="BB313" s="32"/>
      <c r="BC313" s="32"/>
      <c r="BD313" s="33" t="str">
        <f aca="false">IF(A313="","",COUNTIFS('Demo Pipeline'!$Q$5:$Q$504,A313))</f>
        <v/>
      </c>
      <c r="BE313" s="33" t="str">
        <f aca="false">IF(A313="","",COUNTIFS('Demo Pipeline'!$Q$5:$Q$504,A313,'Demo Pipeline'!$W$5:$W$504,"Attended"))</f>
        <v/>
      </c>
      <c r="BF313" s="33" t="str">
        <f aca="false">IF(A313="","",COUNTIFS('Demo Pipeline'!$Q$5:$Q$504,A313,'Demo Pipeline'!$X$5:$X$504,"Yes"))</f>
        <v/>
      </c>
      <c r="BG313" s="33" t="str">
        <f aca="false">IF(A313="","",COUNTIFS('Demo Pipeline'!$Q$5:$Q$504,A313,'Demo Pipeline'!$Y$5:$Y$504,"Closed Won"))</f>
        <v/>
      </c>
      <c r="BH313" s="37" t="str">
        <f aca="false">IF(A313="","",SUMIFS('Demo Pipeline'!$Z$5:$Z$504,'Demo Pipeline'!$Q$5:$Q$504,A313))</f>
        <v/>
      </c>
      <c r="BI313" s="34" t="str">
        <f aca="false">IF(OR(AZ313="",N(AJ313)=0),"",AZ313/AJ313)</f>
        <v/>
      </c>
      <c r="BJ313" s="34" t="str">
        <f aca="false">IF(OR(BB313="",N(AZ313)=0),"",BB313/AZ313)</f>
        <v/>
      </c>
      <c r="BK313" s="34" t="str">
        <f aca="false">IF(OR(A313="",N(BB313)=0),"",BD313/BB313)</f>
        <v/>
      </c>
      <c r="BL313" s="34" t="str">
        <f aca="false">IF(OR(A313="",N(AZ313)=0),"",BD313/AZ313)</f>
        <v/>
      </c>
      <c r="BM313" s="37" t="str">
        <f aca="false">IF(OR(N(Q313)=0,N(BD313)=0),"",Q313/BD313)</f>
        <v/>
      </c>
      <c r="BN313" s="29"/>
      <c r="BO313" s="29"/>
      <c r="BP313" s="33" t="str">
        <f aca="false">IF(OR(AR313="",N(AO313)=0),"",AR313)</f>
        <v/>
      </c>
      <c r="BQ313" s="33" t="str">
        <f aca="false">IF(OR(AR313="",N(S313)=0),"",S313)</f>
        <v/>
      </c>
      <c r="BR313" s="38" t="str">
        <f aca="false">IF(AND(ISNUMBER(B313),B313&gt;=Dashboard!$C$4,B313&lt;=Dashboard!$F$4,ISNUMBER(AU313)),AU313+ROW()/10^9,"")</f>
        <v/>
      </c>
      <c r="BS313" s="38" t="str">
        <f aca="false">IF(AND(ISNUMBER(B313),B313&gt;=Dashboard!$C$4,B313&lt;=Dashboard!$F$4,A313&lt;&gt;""),N(BD313)+N(AU313)/100+ROW()/10^9,"")</f>
        <v/>
      </c>
    </row>
    <row r="314" customFormat="false" ht="15" hidden="false" customHeight="false" outlineLevel="0" collapsed="false">
      <c r="A314" s="24" t="str">
        <f aca="false">IF(OR(B314="",G314="",H314=""),"",IFERROR(INDEX(Settings!$E$5:$E$49,MATCH(G314,Settings!$D$5:$D$49,0))&amp;INDEX(Settings!$H$5:$H$47,MATCH(H314,Settings!$G$5:$G$47,0))&amp;"-"&amp;TEXT(B314,"yymmdd")&amp;"-"&amp;IF(C314="","0000",TEXT(C314,"hhmm")),"CHECK LISTS"))</f>
        <v/>
      </c>
      <c r="B314" s="39"/>
      <c r="C314" s="40"/>
      <c r="D314" s="24" t="str">
        <f aca="false">IF(B314="","",TEXT(B314,"ddd"))</f>
        <v/>
      </c>
      <c r="E314" s="27" t="str">
        <f aca="false">IF(B314="","",B314-WEEKDAY(B314,3))</f>
        <v/>
      </c>
      <c r="F314" s="24" t="str">
        <f aca="false">IF(B314="","",TEXT(B314,"yyyy-mm"))</f>
        <v/>
      </c>
      <c r="G314" s="29"/>
      <c r="H314" s="29"/>
      <c r="I314" s="29"/>
      <c r="J314" s="29"/>
      <c r="K314" s="29"/>
      <c r="L314" s="29"/>
      <c r="M314" s="29"/>
      <c r="N314" s="29"/>
      <c r="O314" s="29"/>
      <c r="P314" s="29"/>
      <c r="Q314" s="30"/>
      <c r="R314" s="29"/>
      <c r="S314" s="32"/>
      <c r="T314" s="29"/>
      <c r="U314" s="29"/>
      <c r="V314" s="24" t="str">
        <f aca="false">IF(A314="","",IFERROR(INDEX(Settings!$F$5:$F$49,MATCH(G314,Settings!$D$5:$D$49,0)),""))</f>
        <v/>
      </c>
      <c r="W314" s="24" t="str">
        <f aca="false">IF(A314="","",IF(OR(P314="",P314="Organic"),"social","paid_social"))</f>
        <v/>
      </c>
      <c r="X314" s="24" t="str">
        <f aca="false">IF(A314="","",IF(K314&lt;&gt;"",IFERROR(INDEX('Case Studies'!$C$5:$C$54,MATCH(K314,'Case Studies'!$B$5:$B$54,0))&amp;"","case-study"),IF(J314&lt;&gt;"",IFERROR(INDEX(Settings!$J$5:$J$55,MATCH(J314,Settings!$I$5:$I$55,0)),"general"),"general")))</f>
        <v/>
      </c>
      <c r="Y314" s="24" t="str">
        <f aca="false">IF(A314="","",LOWER(A314))</f>
        <v/>
      </c>
      <c r="Z314" s="24" t="str">
        <f aca="false">IF(A314="","",IF(T314="",Settings!$B$5,T314)&amp;IF(ISNUMBER(FIND("?",IF(T314="",Settings!$B$5,T314))),"&amp;","?")&amp;"utm_source="&amp;V314&amp;"&amp;utm_medium="&amp;W314&amp;"&amp;utm_campaign="&amp;X314&amp;"&amp;utm_content="&amp;Y314)</f>
        <v/>
      </c>
      <c r="AA314" s="29"/>
      <c r="AB314" s="39"/>
      <c r="AC314" s="32"/>
      <c r="AD314" s="32"/>
      <c r="AE314" s="32"/>
      <c r="AF314" s="32"/>
      <c r="AG314" s="32"/>
      <c r="AH314" s="32"/>
      <c r="AI314" s="32"/>
      <c r="AJ314" s="32"/>
      <c r="AK314" s="32"/>
      <c r="AL314" s="32"/>
      <c r="AM314" s="32"/>
      <c r="AN314" s="32"/>
      <c r="AO314" s="33" t="str">
        <f aca="false">IF(A314="","",IF(AD314&lt;&gt;"",AD314,IF(AC314&lt;&gt;"",AC314,"")))</f>
        <v/>
      </c>
      <c r="AP314" s="24" t="str">
        <f aca="false">IF(AO314="","",IF(AD314&lt;&gt;"","Reported reach","Impressions (proxy)"))</f>
        <v/>
      </c>
      <c r="AQ314" s="34" t="str">
        <f aca="false">IF(OR(AO314="",N(S314)=0),"",AO314/S314)</f>
        <v/>
      </c>
      <c r="AR314" s="33" t="str">
        <f aca="false">IF(A314="","",IF(COUNT(AF314:AJ314)=0,"",SUM(AF314:AJ314)))</f>
        <v/>
      </c>
      <c r="AS314" s="34" t="str">
        <f aca="false">IF(OR(AR314="",N(AO314)=0),"",AR314/AO314)</f>
        <v/>
      </c>
      <c r="AT314" s="34" t="str">
        <f aca="false">IF(OR(AR314="",N(AC314)=0),"",AR314/AC314)</f>
        <v/>
      </c>
      <c r="AU314" s="34" t="str">
        <f aca="false">IF(OR(AR314="",N(S314)=0),"",AR314/S314)</f>
        <v/>
      </c>
      <c r="AV314" s="34" t="str">
        <f aca="false">IF(OR(AJ314="",N(AC314)=0),"",AJ314/AC314)</f>
        <v/>
      </c>
      <c r="AW314" s="34" t="str">
        <f aca="false">IF(OR(AH314="",N(AO314)=0),"",AH314/AO314)</f>
        <v/>
      </c>
      <c r="AX314" s="35" t="str">
        <f aca="false">IF(OR(AR314="",N(AO314)=0),"",(N(AF314)*Settings!$B$6+N(AG314)*Settings!$B$7+N(AH314)*Settings!$B$8+N(AI314)*Settings!$B$9+N(AJ314)*Settings!$B$10)/AO314*1000)</f>
        <v/>
      </c>
      <c r="AY314" s="36" t="str">
        <f aca="false">IF(AS314="","",IFERROR(AS314/AVERAGEIFS('Post Tracker'!$AS$5:$AS$1004,'Post Tracker'!$G$5:$G$1004,G314),""))</f>
        <v/>
      </c>
      <c r="AZ314" s="32"/>
      <c r="BA314" s="32"/>
      <c r="BB314" s="32"/>
      <c r="BC314" s="32"/>
      <c r="BD314" s="33" t="str">
        <f aca="false">IF(A314="","",COUNTIFS('Demo Pipeline'!$Q$5:$Q$504,A314))</f>
        <v/>
      </c>
      <c r="BE314" s="33" t="str">
        <f aca="false">IF(A314="","",COUNTIFS('Demo Pipeline'!$Q$5:$Q$504,A314,'Demo Pipeline'!$W$5:$W$504,"Attended"))</f>
        <v/>
      </c>
      <c r="BF314" s="33" t="str">
        <f aca="false">IF(A314="","",COUNTIFS('Demo Pipeline'!$Q$5:$Q$504,A314,'Demo Pipeline'!$X$5:$X$504,"Yes"))</f>
        <v/>
      </c>
      <c r="BG314" s="33" t="str">
        <f aca="false">IF(A314="","",COUNTIFS('Demo Pipeline'!$Q$5:$Q$504,A314,'Demo Pipeline'!$Y$5:$Y$504,"Closed Won"))</f>
        <v/>
      </c>
      <c r="BH314" s="37" t="str">
        <f aca="false">IF(A314="","",SUMIFS('Demo Pipeline'!$Z$5:$Z$504,'Demo Pipeline'!$Q$5:$Q$504,A314))</f>
        <v/>
      </c>
      <c r="BI314" s="34" t="str">
        <f aca="false">IF(OR(AZ314="",N(AJ314)=0),"",AZ314/AJ314)</f>
        <v/>
      </c>
      <c r="BJ314" s="34" t="str">
        <f aca="false">IF(OR(BB314="",N(AZ314)=0),"",BB314/AZ314)</f>
        <v/>
      </c>
      <c r="BK314" s="34" t="str">
        <f aca="false">IF(OR(A314="",N(BB314)=0),"",BD314/BB314)</f>
        <v/>
      </c>
      <c r="BL314" s="34" t="str">
        <f aca="false">IF(OR(A314="",N(AZ314)=0),"",BD314/AZ314)</f>
        <v/>
      </c>
      <c r="BM314" s="37" t="str">
        <f aca="false">IF(OR(N(Q314)=0,N(BD314)=0),"",Q314/BD314)</f>
        <v/>
      </c>
      <c r="BN314" s="29"/>
      <c r="BO314" s="29"/>
      <c r="BP314" s="33" t="str">
        <f aca="false">IF(OR(AR314="",N(AO314)=0),"",AR314)</f>
        <v/>
      </c>
      <c r="BQ314" s="33" t="str">
        <f aca="false">IF(OR(AR314="",N(S314)=0),"",S314)</f>
        <v/>
      </c>
      <c r="BR314" s="38" t="str">
        <f aca="false">IF(AND(ISNUMBER(B314),B314&gt;=Dashboard!$C$4,B314&lt;=Dashboard!$F$4,ISNUMBER(AU314)),AU314+ROW()/10^9,"")</f>
        <v/>
      </c>
      <c r="BS314" s="38" t="str">
        <f aca="false">IF(AND(ISNUMBER(B314),B314&gt;=Dashboard!$C$4,B314&lt;=Dashboard!$F$4,A314&lt;&gt;""),N(BD314)+N(AU314)/100+ROW()/10^9,"")</f>
        <v/>
      </c>
    </row>
    <row r="315" customFormat="false" ht="15" hidden="false" customHeight="false" outlineLevel="0" collapsed="false">
      <c r="A315" s="24" t="str">
        <f aca="false">IF(OR(B315="",G315="",H315=""),"",IFERROR(INDEX(Settings!$E$5:$E$49,MATCH(G315,Settings!$D$5:$D$49,0))&amp;INDEX(Settings!$H$5:$H$47,MATCH(H315,Settings!$G$5:$G$47,0))&amp;"-"&amp;TEXT(B315,"yymmdd")&amp;"-"&amp;IF(C315="","0000",TEXT(C315,"hhmm")),"CHECK LISTS"))</f>
        <v/>
      </c>
      <c r="B315" s="39"/>
      <c r="C315" s="40"/>
      <c r="D315" s="24" t="str">
        <f aca="false">IF(B315="","",TEXT(B315,"ddd"))</f>
        <v/>
      </c>
      <c r="E315" s="27" t="str">
        <f aca="false">IF(B315="","",B315-WEEKDAY(B315,3))</f>
        <v/>
      </c>
      <c r="F315" s="24" t="str">
        <f aca="false">IF(B315="","",TEXT(B315,"yyyy-mm"))</f>
        <v/>
      </c>
      <c r="G315" s="29"/>
      <c r="H315" s="29"/>
      <c r="I315" s="29"/>
      <c r="J315" s="29"/>
      <c r="K315" s="29"/>
      <c r="L315" s="29"/>
      <c r="M315" s="29"/>
      <c r="N315" s="29"/>
      <c r="O315" s="29"/>
      <c r="P315" s="29"/>
      <c r="Q315" s="30"/>
      <c r="R315" s="29"/>
      <c r="S315" s="32"/>
      <c r="T315" s="29"/>
      <c r="U315" s="29"/>
      <c r="V315" s="24" t="str">
        <f aca="false">IF(A315="","",IFERROR(INDEX(Settings!$F$5:$F$49,MATCH(G315,Settings!$D$5:$D$49,0)),""))</f>
        <v/>
      </c>
      <c r="W315" s="24" t="str">
        <f aca="false">IF(A315="","",IF(OR(P315="",P315="Organic"),"social","paid_social"))</f>
        <v/>
      </c>
      <c r="X315" s="24" t="str">
        <f aca="false">IF(A315="","",IF(K315&lt;&gt;"",IFERROR(INDEX('Case Studies'!$C$5:$C$54,MATCH(K315,'Case Studies'!$B$5:$B$54,0))&amp;"","case-study"),IF(J315&lt;&gt;"",IFERROR(INDEX(Settings!$J$5:$J$55,MATCH(J315,Settings!$I$5:$I$55,0)),"general"),"general")))</f>
        <v/>
      </c>
      <c r="Y315" s="24" t="str">
        <f aca="false">IF(A315="","",LOWER(A315))</f>
        <v/>
      </c>
      <c r="Z315" s="24" t="str">
        <f aca="false">IF(A315="","",IF(T315="",Settings!$B$5,T315)&amp;IF(ISNUMBER(FIND("?",IF(T315="",Settings!$B$5,T315))),"&amp;","?")&amp;"utm_source="&amp;V315&amp;"&amp;utm_medium="&amp;W315&amp;"&amp;utm_campaign="&amp;X315&amp;"&amp;utm_content="&amp;Y315)</f>
        <v/>
      </c>
      <c r="AA315" s="29"/>
      <c r="AB315" s="39"/>
      <c r="AC315" s="32"/>
      <c r="AD315" s="32"/>
      <c r="AE315" s="32"/>
      <c r="AF315" s="32"/>
      <c r="AG315" s="32"/>
      <c r="AH315" s="32"/>
      <c r="AI315" s="32"/>
      <c r="AJ315" s="32"/>
      <c r="AK315" s="32"/>
      <c r="AL315" s="32"/>
      <c r="AM315" s="32"/>
      <c r="AN315" s="32"/>
      <c r="AO315" s="33" t="str">
        <f aca="false">IF(A315="","",IF(AD315&lt;&gt;"",AD315,IF(AC315&lt;&gt;"",AC315,"")))</f>
        <v/>
      </c>
      <c r="AP315" s="24" t="str">
        <f aca="false">IF(AO315="","",IF(AD315&lt;&gt;"","Reported reach","Impressions (proxy)"))</f>
        <v/>
      </c>
      <c r="AQ315" s="34" t="str">
        <f aca="false">IF(OR(AO315="",N(S315)=0),"",AO315/S315)</f>
        <v/>
      </c>
      <c r="AR315" s="33" t="str">
        <f aca="false">IF(A315="","",IF(COUNT(AF315:AJ315)=0,"",SUM(AF315:AJ315)))</f>
        <v/>
      </c>
      <c r="AS315" s="34" t="str">
        <f aca="false">IF(OR(AR315="",N(AO315)=0),"",AR315/AO315)</f>
        <v/>
      </c>
      <c r="AT315" s="34" t="str">
        <f aca="false">IF(OR(AR315="",N(AC315)=0),"",AR315/AC315)</f>
        <v/>
      </c>
      <c r="AU315" s="34" t="str">
        <f aca="false">IF(OR(AR315="",N(S315)=0),"",AR315/S315)</f>
        <v/>
      </c>
      <c r="AV315" s="34" t="str">
        <f aca="false">IF(OR(AJ315="",N(AC315)=0),"",AJ315/AC315)</f>
        <v/>
      </c>
      <c r="AW315" s="34" t="str">
        <f aca="false">IF(OR(AH315="",N(AO315)=0),"",AH315/AO315)</f>
        <v/>
      </c>
      <c r="AX315" s="35" t="str">
        <f aca="false">IF(OR(AR315="",N(AO315)=0),"",(N(AF315)*Settings!$B$6+N(AG315)*Settings!$B$7+N(AH315)*Settings!$B$8+N(AI315)*Settings!$B$9+N(AJ315)*Settings!$B$10)/AO315*1000)</f>
        <v/>
      </c>
      <c r="AY315" s="36" t="str">
        <f aca="false">IF(AS315="","",IFERROR(AS315/AVERAGEIFS('Post Tracker'!$AS$5:$AS$1004,'Post Tracker'!$G$5:$G$1004,G315),""))</f>
        <v/>
      </c>
      <c r="AZ315" s="32"/>
      <c r="BA315" s="32"/>
      <c r="BB315" s="32"/>
      <c r="BC315" s="32"/>
      <c r="BD315" s="33" t="str">
        <f aca="false">IF(A315="","",COUNTIFS('Demo Pipeline'!$Q$5:$Q$504,A315))</f>
        <v/>
      </c>
      <c r="BE315" s="33" t="str">
        <f aca="false">IF(A315="","",COUNTIFS('Demo Pipeline'!$Q$5:$Q$504,A315,'Demo Pipeline'!$W$5:$W$504,"Attended"))</f>
        <v/>
      </c>
      <c r="BF315" s="33" t="str">
        <f aca="false">IF(A315="","",COUNTIFS('Demo Pipeline'!$Q$5:$Q$504,A315,'Demo Pipeline'!$X$5:$X$504,"Yes"))</f>
        <v/>
      </c>
      <c r="BG315" s="33" t="str">
        <f aca="false">IF(A315="","",COUNTIFS('Demo Pipeline'!$Q$5:$Q$504,A315,'Demo Pipeline'!$Y$5:$Y$504,"Closed Won"))</f>
        <v/>
      </c>
      <c r="BH315" s="37" t="str">
        <f aca="false">IF(A315="","",SUMIFS('Demo Pipeline'!$Z$5:$Z$504,'Demo Pipeline'!$Q$5:$Q$504,A315))</f>
        <v/>
      </c>
      <c r="BI315" s="34" t="str">
        <f aca="false">IF(OR(AZ315="",N(AJ315)=0),"",AZ315/AJ315)</f>
        <v/>
      </c>
      <c r="BJ315" s="34" t="str">
        <f aca="false">IF(OR(BB315="",N(AZ315)=0),"",BB315/AZ315)</f>
        <v/>
      </c>
      <c r="BK315" s="34" t="str">
        <f aca="false">IF(OR(A315="",N(BB315)=0),"",BD315/BB315)</f>
        <v/>
      </c>
      <c r="BL315" s="34" t="str">
        <f aca="false">IF(OR(A315="",N(AZ315)=0),"",BD315/AZ315)</f>
        <v/>
      </c>
      <c r="BM315" s="37" t="str">
        <f aca="false">IF(OR(N(Q315)=0,N(BD315)=0),"",Q315/BD315)</f>
        <v/>
      </c>
      <c r="BN315" s="29"/>
      <c r="BO315" s="29"/>
      <c r="BP315" s="33" t="str">
        <f aca="false">IF(OR(AR315="",N(AO315)=0),"",AR315)</f>
        <v/>
      </c>
      <c r="BQ315" s="33" t="str">
        <f aca="false">IF(OR(AR315="",N(S315)=0),"",S315)</f>
        <v/>
      </c>
      <c r="BR315" s="38" t="str">
        <f aca="false">IF(AND(ISNUMBER(B315),B315&gt;=Dashboard!$C$4,B315&lt;=Dashboard!$F$4,ISNUMBER(AU315)),AU315+ROW()/10^9,"")</f>
        <v/>
      </c>
      <c r="BS315" s="38" t="str">
        <f aca="false">IF(AND(ISNUMBER(B315),B315&gt;=Dashboard!$C$4,B315&lt;=Dashboard!$F$4,A315&lt;&gt;""),N(BD315)+N(AU315)/100+ROW()/10^9,"")</f>
        <v/>
      </c>
    </row>
    <row r="316" customFormat="false" ht="15" hidden="false" customHeight="false" outlineLevel="0" collapsed="false">
      <c r="A316" s="24" t="str">
        <f aca="false">IF(OR(B316="",G316="",H316=""),"",IFERROR(INDEX(Settings!$E$5:$E$49,MATCH(G316,Settings!$D$5:$D$49,0))&amp;INDEX(Settings!$H$5:$H$47,MATCH(H316,Settings!$G$5:$G$47,0))&amp;"-"&amp;TEXT(B316,"yymmdd")&amp;"-"&amp;IF(C316="","0000",TEXT(C316,"hhmm")),"CHECK LISTS"))</f>
        <v/>
      </c>
      <c r="B316" s="39"/>
      <c r="C316" s="40"/>
      <c r="D316" s="24" t="str">
        <f aca="false">IF(B316="","",TEXT(B316,"ddd"))</f>
        <v/>
      </c>
      <c r="E316" s="27" t="str">
        <f aca="false">IF(B316="","",B316-WEEKDAY(B316,3))</f>
        <v/>
      </c>
      <c r="F316" s="24" t="str">
        <f aca="false">IF(B316="","",TEXT(B316,"yyyy-mm"))</f>
        <v/>
      </c>
      <c r="G316" s="29"/>
      <c r="H316" s="29"/>
      <c r="I316" s="29"/>
      <c r="J316" s="29"/>
      <c r="K316" s="29"/>
      <c r="L316" s="29"/>
      <c r="M316" s="29"/>
      <c r="N316" s="29"/>
      <c r="O316" s="29"/>
      <c r="P316" s="29"/>
      <c r="Q316" s="30"/>
      <c r="R316" s="29"/>
      <c r="S316" s="32"/>
      <c r="T316" s="29"/>
      <c r="U316" s="29"/>
      <c r="V316" s="24" t="str">
        <f aca="false">IF(A316="","",IFERROR(INDEX(Settings!$F$5:$F$49,MATCH(G316,Settings!$D$5:$D$49,0)),""))</f>
        <v/>
      </c>
      <c r="W316" s="24" t="str">
        <f aca="false">IF(A316="","",IF(OR(P316="",P316="Organic"),"social","paid_social"))</f>
        <v/>
      </c>
      <c r="X316" s="24" t="str">
        <f aca="false">IF(A316="","",IF(K316&lt;&gt;"",IFERROR(INDEX('Case Studies'!$C$5:$C$54,MATCH(K316,'Case Studies'!$B$5:$B$54,0))&amp;"","case-study"),IF(J316&lt;&gt;"",IFERROR(INDEX(Settings!$J$5:$J$55,MATCH(J316,Settings!$I$5:$I$55,0)),"general"),"general")))</f>
        <v/>
      </c>
      <c r="Y316" s="24" t="str">
        <f aca="false">IF(A316="","",LOWER(A316))</f>
        <v/>
      </c>
      <c r="Z316" s="24" t="str">
        <f aca="false">IF(A316="","",IF(T316="",Settings!$B$5,T316)&amp;IF(ISNUMBER(FIND("?",IF(T316="",Settings!$B$5,T316))),"&amp;","?")&amp;"utm_source="&amp;V316&amp;"&amp;utm_medium="&amp;W316&amp;"&amp;utm_campaign="&amp;X316&amp;"&amp;utm_content="&amp;Y316)</f>
        <v/>
      </c>
      <c r="AA316" s="29"/>
      <c r="AB316" s="39"/>
      <c r="AC316" s="32"/>
      <c r="AD316" s="32"/>
      <c r="AE316" s="32"/>
      <c r="AF316" s="32"/>
      <c r="AG316" s="32"/>
      <c r="AH316" s="32"/>
      <c r="AI316" s="32"/>
      <c r="AJ316" s="32"/>
      <c r="AK316" s="32"/>
      <c r="AL316" s="32"/>
      <c r="AM316" s="32"/>
      <c r="AN316" s="32"/>
      <c r="AO316" s="33" t="str">
        <f aca="false">IF(A316="","",IF(AD316&lt;&gt;"",AD316,IF(AC316&lt;&gt;"",AC316,"")))</f>
        <v/>
      </c>
      <c r="AP316" s="24" t="str">
        <f aca="false">IF(AO316="","",IF(AD316&lt;&gt;"","Reported reach","Impressions (proxy)"))</f>
        <v/>
      </c>
      <c r="AQ316" s="34" t="str">
        <f aca="false">IF(OR(AO316="",N(S316)=0),"",AO316/S316)</f>
        <v/>
      </c>
      <c r="AR316" s="33" t="str">
        <f aca="false">IF(A316="","",IF(COUNT(AF316:AJ316)=0,"",SUM(AF316:AJ316)))</f>
        <v/>
      </c>
      <c r="AS316" s="34" t="str">
        <f aca="false">IF(OR(AR316="",N(AO316)=0),"",AR316/AO316)</f>
        <v/>
      </c>
      <c r="AT316" s="34" t="str">
        <f aca="false">IF(OR(AR316="",N(AC316)=0),"",AR316/AC316)</f>
        <v/>
      </c>
      <c r="AU316" s="34" t="str">
        <f aca="false">IF(OR(AR316="",N(S316)=0),"",AR316/S316)</f>
        <v/>
      </c>
      <c r="AV316" s="34" t="str">
        <f aca="false">IF(OR(AJ316="",N(AC316)=0),"",AJ316/AC316)</f>
        <v/>
      </c>
      <c r="AW316" s="34" t="str">
        <f aca="false">IF(OR(AH316="",N(AO316)=0),"",AH316/AO316)</f>
        <v/>
      </c>
      <c r="AX316" s="35" t="str">
        <f aca="false">IF(OR(AR316="",N(AO316)=0),"",(N(AF316)*Settings!$B$6+N(AG316)*Settings!$B$7+N(AH316)*Settings!$B$8+N(AI316)*Settings!$B$9+N(AJ316)*Settings!$B$10)/AO316*1000)</f>
        <v/>
      </c>
      <c r="AY316" s="36" t="str">
        <f aca="false">IF(AS316="","",IFERROR(AS316/AVERAGEIFS('Post Tracker'!$AS$5:$AS$1004,'Post Tracker'!$G$5:$G$1004,G316),""))</f>
        <v/>
      </c>
      <c r="AZ316" s="32"/>
      <c r="BA316" s="32"/>
      <c r="BB316" s="32"/>
      <c r="BC316" s="32"/>
      <c r="BD316" s="33" t="str">
        <f aca="false">IF(A316="","",COUNTIFS('Demo Pipeline'!$Q$5:$Q$504,A316))</f>
        <v/>
      </c>
      <c r="BE316" s="33" t="str">
        <f aca="false">IF(A316="","",COUNTIFS('Demo Pipeline'!$Q$5:$Q$504,A316,'Demo Pipeline'!$W$5:$W$504,"Attended"))</f>
        <v/>
      </c>
      <c r="BF316" s="33" t="str">
        <f aca="false">IF(A316="","",COUNTIFS('Demo Pipeline'!$Q$5:$Q$504,A316,'Demo Pipeline'!$X$5:$X$504,"Yes"))</f>
        <v/>
      </c>
      <c r="BG316" s="33" t="str">
        <f aca="false">IF(A316="","",COUNTIFS('Demo Pipeline'!$Q$5:$Q$504,A316,'Demo Pipeline'!$Y$5:$Y$504,"Closed Won"))</f>
        <v/>
      </c>
      <c r="BH316" s="37" t="str">
        <f aca="false">IF(A316="","",SUMIFS('Demo Pipeline'!$Z$5:$Z$504,'Demo Pipeline'!$Q$5:$Q$504,A316))</f>
        <v/>
      </c>
      <c r="BI316" s="34" t="str">
        <f aca="false">IF(OR(AZ316="",N(AJ316)=0),"",AZ316/AJ316)</f>
        <v/>
      </c>
      <c r="BJ316" s="34" t="str">
        <f aca="false">IF(OR(BB316="",N(AZ316)=0),"",BB316/AZ316)</f>
        <v/>
      </c>
      <c r="BK316" s="34" t="str">
        <f aca="false">IF(OR(A316="",N(BB316)=0),"",BD316/BB316)</f>
        <v/>
      </c>
      <c r="BL316" s="34" t="str">
        <f aca="false">IF(OR(A316="",N(AZ316)=0),"",BD316/AZ316)</f>
        <v/>
      </c>
      <c r="BM316" s="37" t="str">
        <f aca="false">IF(OR(N(Q316)=0,N(BD316)=0),"",Q316/BD316)</f>
        <v/>
      </c>
      <c r="BN316" s="29"/>
      <c r="BO316" s="29"/>
      <c r="BP316" s="33" t="str">
        <f aca="false">IF(OR(AR316="",N(AO316)=0),"",AR316)</f>
        <v/>
      </c>
      <c r="BQ316" s="33" t="str">
        <f aca="false">IF(OR(AR316="",N(S316)=0),"",S316)</f>
        <v/>
      </c>
      <c r="BR316" s="38" t="str">
        <f aca="false">IF(AND(ISNUMBER(B316),B316&gt;=Dashboard!$C$4,B316&lt;=Dashboard!$F$4,ISNUMBER(AU316)),AU316+ROW()/10^9,"")</f>
        <v/>
      </c>
      <c r="BS316" s="38" t="str">
        <f aca="false">IF(AND(ISNUMBER(B316),B316&gt;=Dashboard!$C$4,B316&lt;=Dashboard!$F$4,A316&lt;&gt;""),N(BD316)+N(AU316)/100+ROW()/10^9,"")</f>
        <v/>
      </c>
    </row>
    <row r="317" customFormat="false" ht="15" hidden="false" customHeight="false" outlineLevel="0" collapsed="false">
      <c r="A317" s="24" t="str">
        <f aca="false">IF(OR(B317="",G317="",H317=""),"",IFERROR(INDEX(Settings!$E$5:$E$49,MATCH(G317,Settings!$D$5:$D$49,0))&amp;INDEX(Settings!$H$5:$H$47,MATCH(H317,Settings!$G$5:$G$47,0))&amp;"-"&amp;TEXT(B317,"yymmdd")&amp;"-"&amp;IF(C317="","0000",TEXT(C317,"hhmm")),"CHECK LISTS"))</f>
        <v/>
      </c>
      <c r="B317" s="39"/>
      <c r="C317" s="40"/>
      <c r="D317" s="24" t="str">
        <f aca="false">IF(B317="","",TEXT(B317,"ddd"))</f>
        <v/>
      </c>
      <c r="E317" s="27" t="str">
        <f aca="false">IF(B317="","",B317-WEEKDAY(B317,3))</f>
        <v/>
      </c>
      <c r="F317" s="24" t="str">
        <f aca="false">IF(B317="","",TEXT(B317,"yyyy-mm"))</f>
        <v/>
      </c>
      <c r="G317" s="29"/>
      <c r="H317" s="29"/>
      <c r="I317" s="29"/>
      <c r="J317" s="29"/>
      <c r="K317" s="29"/>
      <c r="L317" s="29"/>
      <c r="M317" s="29"/>
      <c r="N317" s="29"/>
      <c r="O317" s="29"/>
      <c r="P317" s="29"/>
      <c r="Q317" s="30"/>
      <c r="R317" s="29"/>
      <c r="S317" s="32"/>
      <c r="T317" s="29"/>
      <c r="U317" s="29"/>
      <c r="V317" s="24" t="str">
        <f aca="false">IF(A317="","",IFERROR(INDEX(Settings!$F$5:$F$49,MATCH(G317,Settings!$D$5:$D$49,0)),""))</f>
        <v/>
      </c>
      <c r="W317" s="24" t="str">
        <f aca="false">IF(A317="","",IF(OR(P317="",P317="Organic"),"social","paid_social"))</f>
        <v/>
      </c>
      <c r="X317" s="24" t="str">
        <f aca="false">IF(A317="","",IF(K317&lt;&gt;"",IFERROR(INDEX('Case Studies'!$C$5:$C$54,MATCH(K317,'Case Studies'!$B$5:$B$54,0))&amp;"","case-study"),IF(J317&lt;&gt;"",IFERROR(INDEX(Settings!$J$5:$J$55,MATCH(J317,Settings!$I$5:$I$55,0)),"general"),"general")))</f>
        <v/>
      </c>
      <c r="Y317" s="24" t="str">
        <f aca="false">IF(A317="","",LOWER(A317))</f>
        <v/>
      </c>
      <c r="Z317" s="24" t="str">
        <f aca="false">IF(A317="","",IF(T317="",Settings!$B$5,T317)&amp;IF(ISNUMBER(FIND("?",IF(T317="",Settings!$B$5,T317))),"&amp;","?")&amp;"utm_source="&amp;V317&amp;"&amp;utm_medium="&amp;W317&amp;"&amp;utm_campaign="&amp;X317&amp;"&amp;utm_content="&amp;Y317)</f>
        <v/>
      </c>
      <c r="AA317" s="29"/>
      <c r="AB317" s="39"/>
      <c r="AC317" s="32"/>
      <c r="AD317" s="32"/>
      <c r="AE317" s="32"/>
      <c r="AF317" s="32"/>
      <c r="AG317" s="32"/>
      <c r="AH317" s="32"/>
      <c r="AI317" s="32"/>
      <c r="AJ317" s="32"/>
      <c r="AK317" s="32"/>
      <c r="AL317" s="32"/>
      <c r="AM317" s="32"/>
      <c r="AN317" s="32"/>
      <c r="AO317" s="33" t="str">
        <f aca="false">IF(A317="","",IF(AD317&lt;&gt;"",AD317,IF(AC317&lt;&gt;"",AC317,"")))</f>
        <v/>
      </c>
      <c r="AP317" s="24" t="str">
        <f aca="false">IF(AO317="","",IF(AD317&lt;&gt;"","Reported reach","Impressions (proxy)"))</f>
        <v/>
      </c>
      <c r="AQ317" s="34" t="str">
        <f aca="false">IF(OR(AO317="",N(S317)=0),"",AO317/S317)</f>
        <v/>
      </c>
      <c r="AR317" s="33" t="str">
        <f aca="false">IF(A317="","",IF(COUNT(AF317:AJ317)=0,"",SUM(AF317:AJ317)))</f>
        <v/>
      </c>
      <c r="AS317" s="34" t="str">
        <f aca="false">IF(OR(AR317="",N(AO317)=0),"",AR317/AO317)</f>
        <v/>
      </c>
      <c r="AT317" s="34" t="str">
        <f aca="false">IF(OR(AR317="",N(AC317)=0),"",AR317/AC317)</f>
        <v/>
      </c>
      <c r="AU317" s="34" t="str">
        <f aca="false">IF(OR(AR317="",N(S317)=0),"",AR317/S317)</f>
        <v/>
      </c>
      <c r="AV317" s="34" t="str">
        <f aca="false">IF(OR(AJ317="",N(AC317)=0),"",AJ317/AC317)</f>
        <v/>
      </c>
      <c r="AW317" s="34" t="str">
        <f aca="false">IF(OR(AH317="",N(AO317)=0),"",AH317/AO317)</f>
        <v/>
      </c>
      <c r="AX317" s="35" t="str">
        <f aca="false">IF(OR(AR317="",N(AO317)=0),"",(N(AF317)*Settings!$B$6+N(AG317)*Settings!$B$7+N(AH317)*Settings!$B$8+N(AI317)*Settings!$B$9+N(AJ317)*Settings!$B$10)/AO317*1000)</f>
        <v/>
      </c>
      <c r="AY317" s="36" t="str">
        <f aca="false">IF(AS317="","",IFERROR(AS317/AVERAGEIFS('Post Tracker'!$AS$5:$AS$1004,'Post Tracker'!$G$5:$G$1004,G317),""))</f>
        <v/>
      </c>
      <c r="AZ317" s="32"/>
      <c r="BA317" s="32"/>
      <c r="BB317" s="32"/>
      <c r="BC317" s="32"/>
      <c r="BD317" s="33" t="str">
        <f aca="false">IF(A317="","",COUNTIFS('Demo Pipeline'!$Q$5:$Q$504,A317))</f>
        <v/>
      </c>
      <c r="BE317" s="33" t="str">
        <f aca="false">IF(A317="","",COUNTIFS('Demo Pipeline'!$Q$5:$Q$504,A317,'Demo Pipeline'!$W$5:$W$504,"Attended"))</f>
        <v/>
      </c>
      <c r="BF317" s="33" t="str">
        <f aca="false">IF(A317="","",COUNTIFS('Demo Pipeline'!$Q$5:$Q$504,A317,'Demo Pipeline'!$X$5:$X$504,"Yes"))</f>
        <v/>
      </c>
      <c r="BG317" s="33" t="str">
        <f aca="false">IF(A317="","",COUNTIFS('Demo Pipeline'!$Q$5:$Q$504,A317,'Demo Pipeline'!$Y$5:$Y$504,"Closed Won"))</f>
        <v/>
      </c>
      <c r="BH317" s="37" t="str">
        <f aca="false">IF(A317="","",SUMIFS('Demo Pipeline'!$Z$5:$Z$504,'Demo Pipeline'!$Q$5:$Q$504,A317))</f>
        <v/>
      </c>
      <c r="BI317" s="34" t="str">
        <f aca="false">IF(OR(AZ317="",N(AJ317)=0),"",AZ317/AJ317)</f>
        <v/>
      </c>
      <c r="BJ317" s="34" t="str">
        <f aca="false">IF(OR(BB317="",N(AZ317)=0),"",BB317/AZ317)</f>
        <v/>
      </c>
      <c r="BK317" s="34" t="str">
        <f aca="false">IF(OR(A317="",N(BB317)=0),"",BD317/BB317)</f>
        <v/>
      </c>
      <c r="BL317" s="34" t="str">
        <f aca="false">IF(OR(A317="",N(AZ317)=0),"",BD317/AZ317)</f>
        <v/>
      </c>
      <c r="BM317" s="37" t="str">
        <f aca="false">IF(OR(N(Q317)=0,N(BD317)=0),"",Q317/BD317)</f>
        <v/>
      </c>
      <c r="BN317" s="29"/>
      <c r="BO317" s="29"/>
      <c r="BP317" s="33" t="str">
        <f aca="false">IF(OR(AR317="",N(AO317)=0),"",AR317)</f>
        <v/>
      </c>
      <c r="BQ317" s="33" t="str">
        <f aca="false">IF(OR(AR317="",N(S317)=0),"",S317)</f>
        <v/>
      </c>
      <c r="BR317" s="38" t="str">
        <f aca="false">IF(AND(ISNUMBER(B317),B317&gt;=Dashboard!$C$4,B317&lt;=Dashboard!$F$4,ISNUMBER(AU317)),AU317+ROW()/10^9,"")</f>
        <v/>
      </c>
      <c r="BS317" s="38" t="str">
        <f aca="false">IF(AND(ISNUMBER(B317),B317&gt;=Dashboard!$C$4,B317&lt;=Dashboard!$F$4,A317&lt;&gt;""),N(BD317)+N(AU317)/100+ROW()/10^9,"")</f>
        <v/>
      </c>
    </row>
    <row r="318" customFormat="false" ht="15" hidden="false" customHeight="false" outlineLevel="0" collapsed="false">
      <c r="A318" s="24" t="str">
        <f aca="false">IF(OR(B318="",G318="",H318=""),"",IFERROR(INDEX(Settings!$E$5:$E$49,MATCH(G318,Settings!$D$5:$D$49,0))&amp;INDEX(Settings!$H$5:$H$47,MATCH(H318,Settings!$G$5:$G$47,0))&amp;"-"&amp;TEXT(B318,"yymmdd")&amp;"-"&amp;IF(C318="","0000",TEXT(C318,"hhmm")),"CHECK LISTS"))</f>
        <v/>
      </c>
      <c r="B318" s="39"/>
      <c r="C318" s="40"/>
      <c r="D318" s="24" t="str">
        <f aca="false">IF(B318="","",TEXT(B318,"ddd"))</f>
        <v/>
      </c>
      <c r="E318" s="27" t="str">
        <f aca="false">IF(B318="","",B318-WEEKDAY(B318,3))</f>
        <v/>
      </c>
      <c r="F318" s="24" t="str">
        <f aca="false">IF(B318="","",TEXT(B318,"yyyy-mm"))</f>
        <v/>
      </c>
      <c r="G318" s="29"/>
      <c r="H318" s="29"/>
      <c r="I318" s="29"/>
      <c r="J318" s="29"/>
      <c r="K318" s="29"/>
      <c r="L318" s="29"/>
      <c r="M318" s="29"/>
      <c r="N318" s="29"/>
      <c r="O318" s="29"/>
      <c r="P318" s="29"/>
      <c r="Q318" s="30"/>
      <c r="R318" s="29"/>
      <c r="S318" s="32"/>
      <c r="T318" s="29"/>
      <c r="U318" s="29"/>
      <c r="V318" s="24" t="str">
        <f aca="false">IF(A318="","",IFERROR(INDEX(Settings!$F$5:$F$49,MATCH(G318,Settings!$D$5:$D$49,0)),""))</f>
        <v/>
      </c>
      <c r="W318" s="24" t="str">
        <f aca="false">IF(A318="","",IF(OR(P318="",P318="Organic"),"social","paid_social"))</f>
        <v/>
      </c>
      <c r="X318" s="24" t="str">
        <f aca="false">IF(A318="","",IF(K318&lt;&gt;"",IFERROR(INDEX('Case Studies'!$C$5:$C$54,MATCH(K318,'Case Studies'!$B$5:$B$54,0))&amp;"","case-study"),IF(J318&lt;&gt;"",IFERROR(INDEX(Settings!$J$5:$J$55,MATCH(J318,Settings!$I$5:$I$55,0)),"general"),"general")))</f>
        <v/>
      </c>
      <c r="Y318" s="24" t="str">
        <f aca="false">IF(A318="","",LOWER(A318))</f>
        <v/>
      </c>
      <c r="Z318" s="24" t="str">
        <f aca="false">IF(A318="","",IF(T318="",Settings!$B$5,T318)&amp;IF(ISNUMBER(FIND("?",IF(T318="",Settings!$B$5,T318))),"&amp;","?")&amp;"utm_source="&amp;V318&amp;"&amp;utm_medium="&amp;W318&amp;"&amp;utm_campaign="&amp;X318&amp;"&amp;utm_content="&amp;Y318)</f>
        <v/>
      </c>
      <c r="AA318" s="29"/>
      <c r="AB318" s="39"/>
      <c r="AC318" s="32"/>
      <c r="AD318" s="32"/>
      <c r="AE318" s="32"/>
      <c r="AF318" s="32"/>
      <c r="AG318" s="32"/>
      <c r="AH318" s="32"/>
      <c r="AI318" s="32"/>
      <c r="AJ318" s="32"/>
      <c r="AK318" s="32"/>
      <c r="AL318" s="32"/>
      <c r="AM318" s="32"/>
      <c r="AN318" s="32"/>
      <c r="AO318" s="33" t="str">
        <f aca="false">IF(A318="","",IF(AD318&lt;&gt;"",AD318,IF(AC318&lt;&gt;"",AC318,"")))</f>
        <v/>
      </c>
      <c r="AP318" s="24" t="str">
        <f aca="false">IF(AO318="","",IF(AD318&lt;&gt;"","Reported reach","Impressions (proxy)"))</f>
        <v/>
      </c>
      <c r="AQ318" s="34" t="str">
        <f aca="false">IF(OR(AO318="",N(S318)=0),"",AO318/S318)</f>
        <v/>
      </c>
      <c r="AR318" s="33" t="str">
        <f aca="false">IF(A318="","",IF(COUNT(AF318:AJ318)=0,"",SUM(AF318:AJ318)))</f>
        <v/>
      </c>
      <c r="AS318" s="34" t="str">
        <f aca="false">IF(OR(AR318="",N(AO318)=0),"",AR318/AO318)</f>
        <v/>
      </c>
      <c r="AT318" s="34" t="str">
        <f aca="false">IF(OR(AR318="",N(AC318)=0),"",AR318/AC318)</f>
        <v/>
      </c>
      <c r="AU318" s="34" t="str">
        <f aca="false">IF(OR(AR318="",N(S318)=0),"",AR318/S318)</f>
        <v/>
      </c>
      <c r="AV318" s="34" t="str">
        <f aca="false">IF(OR(AJ318="",N(AC318)=0),"",AJ318/AC318)</f>
        <v/>
      </c>
      <c r="AW318" s="34" t="str">
        <f aca="false">IF(OR(AH318="",N(AO318)=0),"",AH318/AO318)</f>
        <v/>
      </c>
      <c r="AX318" s="35" t="str">
        <f aca="false">IF(OR(AR318="",N(AO318)=0),"",(N(AF318)*Settings!$B$6+N(AG318)*Settings!$B$7+N(AH318)*Settings!$B$8+N(AI318)*Settings!$B$9+N(AJ318)*Settings!$B$10)/AO318*1000)</f>
        <v/>
      </c>
      <c r="AY318" s="36" t="str">
        <f aca="false">IF(AS318="","",IFERROR(AS318/AVERAGEIFS('Post Tracker'!$AS$5:$AS$1004,'Post Tracker'!$G$5:$G$1004,G318),""))</f>
        <v/>
      </c>
      <c r="AZ318" s="32"/>
      <c r="BA318" s="32"/>
      <c r="BB318" s="32"/>
      <c r="BC318" s="32"/>
      <c r="BD318" s="33" t="str">
        <f aca="false">IF(A318="","",COUNTIFS('Demo Pipeline'!$Q$5:$Q$504,A318))</f>
        <v/>
      </c>
      <c r="BE318" s="33" t="str">
        <f aca="false">IF(A318="","",COUNTIFS('Demo Pipeline'!$Q$5:$Q$504,A318,'Demo Pipeline'!$W$5:$W$504,"Attended"))</f>
        <v/>
      </c>
      <c r="BF318" s="33" t="str">
        <f aca="false">IF(A318="","",COUNTIFS('Demo Pipeline'!$Q$5:$Q$504,A318,'Demo Pipeline'!$X$5:$X$504,"Yes"))</f>
        <v/>
      </c>
      <c r="BG318" s="33" t="str">
        <f aca="false">IF(A318="","",COUNTIFS('Demo Pipeline'!$Q$5:$Q$504,A318,'Demo Pipeline'!$Y$5:$Y$504,"Closed Won"))</f>
        <v/>
      </c>
      <c r="BH318" s="37" t="str">
        <f aca="false">IF(A318="","",SUMIFS('Demo Pipeline'!$Z$5:$Z$504,'Demo Pipeline'!$Q$5:$Q$504,A318))</f>
        <v/>
      </c>
      <c r="BI318" s="34" t="str">
        <f aca="false">IF(OR(AZ318="",N(AJ318)=0),"",AZ318/AJ318)</f>
        <v/>
      </c>
      <c r="BJ318" s="34" t="str">
        <f aca="false">IF(OR(BB318="",N(AZ318)=0),"",BB318/AZ318)</f>
        <v/>
      </c>
      <c r="BK318" s="34" t="str">
        <f aca="false">IF(OR(A318="",N(BB318)=0),"",BD318/BB318)</f>
        <v/>
      </c>
      <c r="BL318" s="34" t="str">
        <f aca="false">IF(OR(A318="",N(AZ318)=0),"",BD318/AZ318)</f>
        <v/>
      </c>
      <c r="BM318" s="37" t="str">
        <f aca="false">IF(OR(N(Q318)=0,N(BD318)=0),"",Q318/BD318)</f>
        <v/>
      </c>
      <c r="BN318" s="29"/>
      <c r="BO318" s="29"/>
      <c r="BP318" s="33" t="str">
        <f aca="false">IF(OR(AR318="",N(AO318)=0),"",AR318)</f>
        <v/>
      </c>
      <c r="BQ318" s="33" t="str">
        <f aca="false">IF(OR(AR318="",N(S318)=0),"",S318)</f>
        <v/>
      </c>
      <c r="BR318" s="38" t="str">
        <f aca="false">IF(AND(ISNUMBER(B318),B318&gt;=Dashboard!$C$4,B318&lt;=Dashboard!$F$4,ISNUMBER(AU318)),AU318+ROW()/10^9,"")</f>
        <v/>
      </c>
      <c r="BS318" s="38" t="str">
        <f aca="false">IF(AND(ISNUMBER(B318),B318&gt;=Dashboard!$C$4,B318&lt;=Dashboard!$F$4,A318&lt;&gt;""),N(BD318)+N(AU318)/100+ROW()/10^9,"")</f>
        <v/>
      </c>
    </row>
    <row r="319" customFormat="false" ht="15" hidden="false" customHeight="false" outlineLevel="0" collapsed="false">
      <c r="A319" s="24" t="str">
        <f aca="false">IF(OR(B319="",G319="",H319=""),"",IFERROR(INDEX(Settings!$E$5:$E$49,MATCH(G319,Settings!$D$5:$D$49,0))&amp;INDEX(Settings!$H$5:$H$47,MATCH(H319,Settings!$G$5:$G$47,0))&amp;"-"&amp;TEXT(B319,"yymmdd")&amp;"-"&amp;IF(C319="","0000",TEXT(C319,"hhmm")),"CHECK LISTS"))</f>
        <v/>
      </c>
      <c r="B319" s="39"/>
      <c r="C319" s="40"/>
      <c r="D319" s="24" t="str">
        <f aca="false">IF(B319="","",TEXT(B319,"ddd"))</f>
        <v/>
      </c>
      <c r="E319" s="27" t="str">
        <f aca="false">IF(B319="","",B319-WEEKDAY(B319,3))</f>
        <v/>
      </c>
      <c r="F319" s="24" t="str">
        <f aca="false">IF(B319="","",TEXT(B319,"yyyy-mm"))</f>
        <v/>
      </c>
      <c r="G319" s="29"/>
      <c r="H319" s="29"/>
      <c r="I319" s="29"/>
      <c r="J319" s="29"/>
      <c r="K319" s="29"/>
      <c r="L319" s="29"/>
      <c r="M319" s="29"/>
      <c r="N319" s="29"/>
      <c r="O319" s="29"/>
      <c r="P319" s="29"/>
      <c r="Q319" s="30"/>
      <c r="R319" s="29"/>
      <c r="S319" s="32"/>
      <c r="T319" s="29"/>
      <c r="U319" s="29"/>
      <c r="V319" s="24" t="str">
        <f aca="false">IF(A319="","",IFERROR(INDEX(Settings!$F$5:$F$49,MATCH(G319,Settings!$D$5:$D$49,0)),""))</f>
        <v/>
      </c>
      <c r="W319" s="24" t="str">
        <f aca="false">IF(A319="","",IF(OR(P319="",P319="Organic"),"social","paid_social"))</f>
        <v/>
      </c>
      <c r="X319" s="24" t="str">
        <f aca="false">IF(A319="","",IF(K319&lt;&gt;"",IFERROR(INDEX('Case Studies'!$C$5:$C$54,MATCH(K319,'Case Studies'!$B$5:$B$54,0))&amp;"","case-study"),IF(J319&lt;&gt;"",IFERROR(INDEX(Settings!$J$5:$J$55,MATCH(J319,Settings!$I$5:$I$55,0)),"general"),"general")))</f>
        <v/>
      </c>
      <c r="Y319" s="24" t="str">
        <f aca="false">IF(A319="","",LOWER(A319))</f>
        <v/>
      </c>
      <c r="Z319" s="24" t="str">
        <f aca="false">IF(A319="","",IF(T319="",Settings!$B$5,T319)&amp;IF(ISNUMBER(FIND("?",IF(T319="",Settings!$B$5,T319))),"&amp;","?")&amp;"utm_source="&amp;V319&amp;"&amp;utm_medium="&amp;W319&amp;"&amp;utm_campaign="&amp;X319&amp;"&amp;utm_content="&amp;Y319)</f>
        <v/>
      </c>
      <c r="AA319" s="29"/>
      <c r="AB319" s="39"/>
      <c r="AC319" s="32"/>
      <c r="AD319" s="32"/>
      <c r="AE319" s="32"/>
      <c r="AF319" s="32"/>
      <c r="AG319" s="32"/>
      <c r="AH319" s="32"/>
      <c r="AI319" s="32"/>
      <c r="AJ319" s="32"/>
      <c r="AK319" s="32"/>
      <c r="AL319" s="32"/>
      <c r="AM319" s="32"/>
      <c r="AN319" s="32"/>
      <c r="AO319" s="33" t="str">
        <f aca="false">IF(A319="","",IF(AD319&lt;&gt;"",AD319,IF(AC319&lt;&gt;"",AC319,"")))</f>
        <v/>
      </c>
      <c r="AP319" s="24" t="str">
        <f aca="false">IF(AO319="","",IF(AD319&lt;&gt;"","Reported reach","Impressions (proxy)"))</f>
        <v/>
      </c>
      <c r="AQ319" s="34" t="str">
        <f aca="false">IF(OR(AO319="",N(S319)=0),"",AO319/S319)</f>
        <v/>
      </c>
      <c r="AR319" s="33" t="str">
        <f aca="false">IF(A319="","",IF(COUNT(AF319:AJ319)=0,"",SUM(AF319:AJ319)))</f>
        <v/>
      </c>
      <c r="AS319" s="34" t="str">
        <f aca="false">IF(OR(AR319="",N(AO319)=0),"",AR319/AO319)</f>
        <v/>
      </c>
      <c r="AT319" s="34" t="str">
        <f aca="false">IF(OR(AR319="",N(AC319)=0),"",AR319/AC319)</f>
        <v/>
      </c>
      <c r="AU319" s="34" t="str">
        <f aca="false">IF(OR(AR319="",N(S319)=0),"",AR319/S319)</f>
        <v/>
      </c>
      <c r="AV319" s="34" t="str">
        <f aca="false">IF(OR(AJ319="",N(AC319)=0),"",AJ319/AC319)</f>
        <v/>
      </c>
      <c r="AW319" s="34" t="str">
        <f aca="false">IF(OR(AH319="",N(AO319)=0),"",AH319/AO319)</f>
        <v/>
      </c>
      <c r="AX319" s="35" t="str">
        <f aca="false">IF(OR(AR319="",N(AO319)=0),"",(N(AF319)*Settings!$B$6+N(AG319)*Settings!$B$7+N(AH319)*Settings!$B$8+N(AI319)*Settings!$B$9+N(AJ319)*Settings!$B$10)/AO319*1000)</f>
        <v/>
      </c>
      <c r="AY319" s="36" t="str">
        <f aca="false">IF(AS319="","",IFERROR(AS319/AVERAGEIFS('Post Tracker'!$AS$5:$AS$1004,'Post Tracker'!$G$5:$G$1004,G319),""))</f>
        <v/>
      </c>
      <c r="AZ319" s="32"/>
      <c r="BA319" s="32"/>
      <c r="BB319" s="32"/>
      <c r="BC319" s="32"/>
      <c r="BD319" s="33" t="str">
        <f aca="false">IF(A319="","",COUNTIFS('Demo Pipeline'!$Q$5:$Q$504,A319))</f>
        <v/>
      </c>
      <c r="BE319" s="33" t="str">
        <f aca="false">IF(A319="","",COUNTIFS('Demo Pipeline'!$Q$5:$Q$504,A319,'Demo Pipeline'!$W$5:$W$504,"Attended"))</f>
        <v/>
      </c>
      <c r="BF319" s="33" t="str">
        <f aca="false">IF(A319="","",COUNTIFS('Demo Pipeline'!$Q$5:$Q$504,A319,'Demo Pipeline'!$X$5:$X$504,"Yes"))</f>
        <v/>
      </c>
      <c r="BG319" s="33" t="str">
        <f aca="false">IF(A319="","",COUNTIFS('Demo Pipeline'!$Q$5:$Q$504,A319,'Demo Pipeline'!$Y$5:$Y$504,"Closed Won"))</f>
        <v/>
      </c>
      <c r="BH319" s="37" t="str">
        <f aca="false">IF(A319="","",SUMIFS('Demo Pipeline'!$Z$5:$Z$504,'Demo Pipeline'!$Q$5:$Q$504,A319))</f>
        <v/>
      </c>
      <c r="BI319" s="34" t="str">
        <f aca="false">IF(OR(AZ319="",N(AJ319)=0),"",AZ319/AJ319)</f>
        <v/>
      </c>
      <c r="BJ319" s="34" t="str">
        <f aca="false">IF(OR(BB319="",N(AZ319)=0),"",BB319/AZ319)</f>
        <v/>
      </c>
      <c r="BK319" s="34" t="str">
        <f aca="false">IF(OR(A319="",N(BB319)=0),"",BD319/BB319)</f>
        <v/>
      </c>
      <c r="BL319" s="34" t="str">
        <f aca="false">IF(OR(A319="",N(AZ319)=0),"",BD319/AZ319)</f>
        <v/>
      </c>
      <c r="BM319" s="37" t="str">
        <f aca="false">IF(OR(N(Q319)=0,N(BD319)=0),"",Q319/BD319)</f>
        <v/>
      </c>
      <c r="BN319" s="29"/>
      <c r="BO319" s="29"/>
      <c r="BP319" s="33" t="str">
        <f aca="false">IF(OR(AR319="",N(AO319)=0),"",AR319)</f>
        <v/>
      </c>
      <c r="BQ319" s="33" t="str">
        <f aca="false">IF(OR(AR319="",N(S319)=0),"",S319)</f>
        <v/>
      </c>
      <c r="BR319" s="38" t="str">
        <f aca="false">IF(AND(ISNUMBER(B319),B319&gt;=Dashboard!$C$4,B319&lt;=Dashboard!$F$4,ISNUMBER(AU319)),AU319+ROW()/10^9,"")</f>
        <v/>
      </c>
      <c r="BS319" s="38" t="str">
        <f aca="false">IF(AND(ISNUMBER(B319),B319&gt;=Dashboard!$C$4,B319&lt;=Dashboard!$F$4,A319&lt;&gt;""),N(BD319)+N(AU319)/100+ROW()/10^9,"")</f>
        <v/>
      </c>
    </row>
    <row r="320" customFormat="false" ht="15" hidden="false" customHeight="false" outlineLevel="0" collapsed="false">
      <c r="A320" s="24" t="str">
        <f aca="false">IF(OR(B320="",G320="",H320=""),"",IFERROR(INDEX(Settings!$E$5:$E$49,MATCH(G320,Settings!$D$5:$D$49,0))&amp;INDEX(Settings!$H$5:$H$47,MATCH(H320,Settings!$G$5:$G$47,0))&amp;"-"&amp;TEXT(B320,"yymmdd")&amp;"-"&amp;IF(C320="","0000",TEXT(C320,"hhmm")),"CHECK LISTS"))</f>
        <v/>
      </c>
      <c r="B320" s="39"/>
      <c r="C320" s="40"/>
      <c r="D320" s="24" t="str">
        <f aca="false">IF(B320="","",TEXT(B320,"ddd"))</f>
        <v/>
      </c>
      <c r="E320" s="27" t="str">
        <f aca="false">IF(B320="","",B320-WEEKDAY(B320,3))</f>
        <v/>
      </c>
      <c r="F320" s="24" t="str">
        <f aca="false">IF(B320="","",TEXT(B320,"yyyy-mm"))</f>
        <v/>
      </c>
      <c r="G320" s="29"/>
      <c r="H320" s="29"/>
      <c r="I320" s="29"/>
      <c r="J320" s="29"/>
      <c r="K320" s="29"/>
      <c r="L320" s="29"/>
      <c r="M320" s="29"/>
      <c r="N320" s="29"/>
      <c r="O320" s="29"/>
      <c r="P320" s="29"/>
      <c r="Q320" s="30"/>
      <c r="R320" s="29"/>
      <c r="S320" s="32"/>
      <c r="T320" s="29"/>
      <c r="U320" s="29"/>
      <c r="V320" s="24" t="str">
        <f aca="false">IF(A320="","",IFERROR(INDEX(Settings!$F$5:$F$49,MATCH(G320,Settings!$D$5:$D$49,0)),""))</f>
        <v/>
      </c>
      <c r="W320" s="24" t="str">
        <f aca="false">IF(A320="","",IF(OR(P320="",P320="Organic"),"social","paid_social"))</f>
        <v/>
      </c>
      <c r="X320" s="24" t="str">
        <f aca="false">IF(A320="","",IF(K320&lt;&gt;"",IFERROR(INDEX('Case Studies'!$C$5:$C$54,MATCH(K320,'Case Studies'!$B$5:$B$54,0))&amp;"","case-study"),IF(J320&lt;&gt;"",IFERROR(INDEX(Settings!$J$5:$J$55,MATCH(J320,Settings!$I$5:$I$55,0)),"general"),"general")))</f>
        <v/>
      </c>
      <c r="Y320" s="24" t="str">
        <f aca="false">IF(A320="","",LOWER(A320))</f>
        <v/>
      </c>
      <c r="Z320" s="24" t="str">
        <f aca="false">IF(A320="","",IF(T320="",Settings!$B$5,T320)&amp;IF(ISNUMBER(FIND("?",IF(T320="",Settings!$B$5,T320))),"&amp;","?")&amp;"utm_source="&amp;V320&amp;"&amp;utm_medium="&amp;W320&amp;"&amp;utm_campaign="&amp;X320&amp;"&amp;utm_content="&amp;Y320)</f>
        <v/>
      </c>
      <c r="AA320" s="29"/>
      <c r="AB320" s="39"/>
      <c r="AC320" s="32"/>
      <c r="AD320" s="32"/>
      <c r="AE320" s="32"/>
      <c r="AF320" s="32"/>
      <c r="AG320" s="32"/>
      <c r="AH320" s="32"/>
      <c r="AI320" s="32"/>
      <c r="AJ320" s="32"/>
      <c r="AK320" s="32"/>
      <c r="AL320" s="32"/>
      <c r="AM320" s="32"/>
      <c r="AN320" s="32"/>
      <c r="AO320" s="33" t="str">
        <f aca="false">IF(A320="","",IF(AD320&lt;&gt;"",AD320,IF(AC320&lt;&gt;"",AC320,"")))</f>
        <v/>
      </c>
      <c r="AP320" s="24" t="str">
        <f aca="false">IF(AO320="","",IF(AD320&lt;&gt;"","Reported reach","Impressions (proxy)"))</f>
        <v/>
      </c>
      <c r="AQ320" s="34" t="str">
        <f aca="false">IF(OR(AO320="",N(S320)=0),"",AO320/S320)</f>
        <v/>
      </c>
      <c r="AR320" s="33" t="str">
        <f aca="false">IF(A320="","",IF(COUNT(AF320:AJ320)=0,"",SUM(AF320:AJ320)))</f>
        <v/>
      </c>
      <c r="AS320" s="34" t="str">
        <f aca="false">IF(OR(AR320="",N(AO320)=0),"",AR320/AO320)</f>
        <v/>
      </c>
      <c r="AT320" s="34" t="str">
        <f aca="false">IF(OR(AR320="",N(AC320)=0),"",AR320/AC320)</f>
        <v/>
      </c>
      <c r="AU320" s="34" t="str">
        <f aca="false">IF(OR(AR320="",N(S320)=0),"",AR320/S320)</f>
        <v/>
      </c>
      <c r="AV320" s="34" t="str">
        <f aca="false">IF(OR(AJ320="",N(AC320)=0),"",AJ320/AC320)</f>
        <v/>
      </c>
      <c r="AW320" s="34" t="str">
        <f aca="false">IF(OR(AH320="",N(AO320)=0),"",AH320/AO320)</f>
        <v/>
      </c>
      <c r="AX320" s="35" t="str">
        <f aca="false">IF(OR(AR320="",N(AO320)=0),"",(N(AF320)*Settings!$B$6+N(AG320)*Settings!$B$7+N(AH320)*Settings!$B$8+N(AI320)*Settings!$B$9+N(AJ320)*Settings!$B$10)/AO320*1000)</f>
        <v/>
      </c>
      <c r="AY320" s="36" t="str">
        <f aca="false">IF(AS320="","",IFERROR(AS320/AVERAGEIFS('Post Tracker'!$AS$5:$AS$1004,'Post Tracker'!$G$5:$G$1004,G320),""))</f>
        <v/>
      </c>
      <c r="AZ320" s="32"/>
      <c r="BA320" s="32"/>
      <c r="BB320" s="32"/>
      <c r="BC320" s="32"/>
      <c r="BD320" s="33" t="str">
        <f aca="false">IF(A320="","",COUNTIFS('Demo Pipeline'!$Q$5:$Q$504,A320))</f>
        <v/>
      </c>
      <c r="BE320" s="33" t="str">
        <f aca="false">IF(A320="","",COUNTIFS('Demo Pipeline'!$Q$5:$Q$504,A320,'Demo Pipeline'!$W$5:$W$504,"Attended"))</f>
        <v/>
      </c>
      <c r="BF320" s="33" t="str">
        <f aca="false">IF(A320="","",COUNTIFS('Demo Pipeline'!$Q$5:$Q$504,A320,'Demo Pipeline'!$X$5:$X$504,"Yes"))</f>
        <v/>
      </c>
      <c r="BG320" s="33" t="str">
        <f aca="false">IF(A320="","",COUNTIFS('Demo Pipeline'!$Q$5:$Q$504,A320,'Demo Pipeline'!$Y$5:$Y$504,"Closed Won"))</f>
        <v/>
      </c>
      <c r="BH320" s="37" t="str">
        <f aca="false">IF(A320="","",SUMIFS('Demo Pipeline'!$Z$5:$Z$504,'Demo Pipeline'!$Q$5:$Q$504,A320))</f>
        <v/>
      </c>
      <c r="BI320" s="34" t="str">
        <f aca="false">IF(OR(AZ320="",N(AJ320)=0),"",AZ320/AJ320)</f>
        <v/>
      </c>
      <c r="BJ320" s="34" t="str">
        <f aca="false">IF(OR(BB320="",N(AZ320)=0),"",BB320/AZ320)</f>
        <v/>
      </c>
      <c r="BK320" s="34" t="str">
        <f aca="false">IF(OR(A320="",N(BB320)=0),"",BD320/BB320)</f>
        <v/>
      </c>
      <c r="BL320" s="34" t="str">
        <f aca="false">IF(OR(A320="",N(AZ320)=0),"",BD320/AZ320)</f>
        <v/>
      </c>
      <c r="BM320" s="37" t="str">
        <f aca="false">IF(OR(N(Q320)=0,N(BD320)=0),"",Q320/BD320)</f>
        <v/>
      </c>
      <c r="BN320" s="29"/>
      <c r="BO320" s="29"/>
      <c r="BP320" s="33" t="str">
        <f aca="false">IF(OR(AR320="",N(AO320)=0),"",AR320)</f>
        <v/>
      </c>
      <c r="BQ320" s="33" t="str">
        <f aca="false">IF(OR(AR320="",N(S320)=0),"",S320)</f>
        <v/>
      </c>
      <c r="BR320" s="38" t="str">
        <f aca="false">IF(AND(ISNUMBER(B320),B320&gt;=Dashboard!$C$4,B320&lt;=Dashboard!$F$4,ISNUMBER(AU320)),AU320+ROW()/10^9,"")</f>
        <v/>
      </c>
      <c r="BS320" s="38" t="str">
        <f aca="false">IF(AND(ISNUMBER(B320),B320&gt;=Dashboard!$C$4,B320&lt;=Dashboard!$F$4,A320&lt;&gt;""),N(BD320)+N(AU320)/100+ROW()/10^9,"")</f>
        <v/>
      </c>
    </row>
    <row r="321" customFormat="false" ht="15" hidden="false" customHeight="false" outlineLevel="0" collapsed="false">
      <c r="A321" s="24" t="str">
        <f aca="false">IF(OR(B321="",G321="",H321=""),"",IFERROR(INDEX(Settings!$E$5:$E$49,MATCH(G321,Settings!$D$5:$D$49,0))&amp;INDEX(Settings!$H$5:$H$47,MATCH(H321,Settings!$G$5:$G$47,0))&amp;"-"&amp;TEXT(B321,"yymmdd")&amp;"-"&amp;IF(C321="","0000",TEXT(C321,"hhmm")),"CHECK LISTS"))</f>
        <v/>
      </c>
      <c r="B321" s="39"/>
      <c r="C321" s="40"/>
      <c r="D321" s="24" t="str">
        <f aca="false">IF(B321="","",TEXT(B321,"ddd"))</f>
        <v/>
      </c>
      <c r="E321" s="27" t="str">
        <f aca="false">IF(B321="","",B321-WEEKDAY(B321,3))</f>
        <v/>
      </c>
      <c r="F321" s="24" t="str">
        <f aca="false">IF(B321="","",TEXT(B321,"yyyy-mm"))</f>
        <v/>
      </c>
      <c r="G321" s="29"/>
      <c r="H321" s="29"/>
      <c r="I321" s="29"/>
      <c r="J321" s="29"/>
      <c r="K321" s="29"/>
      <c r="L321" s="29"/>
      <c r="M321" s="29"/>
      <c r="N321" s="29"/>
      <c r="O321" s="29"/>
      <c r="P321" s="29"/>
      <c r="Q321" s="30"/>
      <c r="R321" s="29"/>
      <c r="S321" s="32"/>
      <c r="T321" s="29"/>
      <c r="U321" s="29"/>
      <c r="V321" s="24" t="str">
        <f aca="false">IF(A321="","",IFERROR(INDEX(Settings!$F$5:$F$49,MATCH(G321,Settings!$D$5:$D$49,0)),""))</f>
        <v/>
      </c>
      <c r="W321" s="24" t="str">
        <f aca="false">IF(A321="","",IF(OR(P321="",P321="Organic"),"social","paid_social"))</f>
        <v/>
      </c>
      <c r="X321" s="24" t="str">
        <f aca="false">IF(A321="","",IF(K321&lt;&gt;"",IFERROR(INDEX('Case Studies'!$C$5:$C$54,MATCH(K321,'Case Studies'!$B$5:$B$54,0))&amp;"","case-study"),IF(J321&lt;&gt;"",IFERROR(INDEX(Settings!$J$5:$J$55,MATCH(J321,Settings!$I$5:$I$55,0)),"general"),"general")))</f>
        <v/>
      </c>
      <c r="Y321" s="24" t="str">
        <f aca="false">IF(A321="","",LOWER(A321))</f>
        <v/>
      </c>
      <c r="Z321" s="24" t="str">
        <f aca="false">IF(A321="","",IF(T321="",Settings!$B$5,T321)&amp;IF(ISNUMBER(FIND("?",IF(T321="",Settings!$B$5,T321))),"&amp;","?")&amp;"utm_source="&amp;V321&amp;"&amp;utm_medium="&amp;W321&amp;"&amp;utm_campaign="&amp;X321&amp;"&amp;utm_content="&amp;Y321)</f>
        <v/>
      </c>
      <c r="AA321" s="29"/>
      <c r="AB321" s="39"/>
      <c r="AC321" s="32"/>
      <c r="AD321" s="32"/>
      <c r="AE321" s="32"/>
      <c r="AF321" s="32"/>
      <c r="AG321" s="32"/>
      <c r="AH321" s="32"/>
      <c r="AI321" s="32"/>
      <c r="AJ321" s="32"/>
      <c r="AK321" s="32"/>
      <c r="AL321" s="32"/>
      <c r="AM321" s="32"/>
      <c r="AN321" s="32"/>
      <c r="AO321" s="33" t="str">
        <f aca="false">IF(A321="","",IF(AD321&lt;&gt;"",AD321,IF(AC321&lt;&gt;"",AC321,"")))</f>
        <v/>
      </c>
      <c r="AP321" s="24" t="str">
        <f aca="false">IF(AO321="","",IF(AD321&lt;&gt;"","Reported reach","Impressions (proxy)"))</f>
        <v/>
      </c>
      <c r="AQ321" s="34" t="str">
        <f aca="false">IF(OR(AO321="",N(S321)=0),"",AO321/S321)</f>
        <v/>
      </c>
      <c r="AR321" s="33" t="str">
        <f aca="false">IF(A321="","",IF(COUNT(AF321:AJ321)=0,"",SUM(AF321:AJ321)))</f>
        <v/>
      </c>
      <c r="AS321" s="34" t="str">
        <f aca="false">IF(OR(AR321="",N(AO321)=0),"",AR321/AO321)</f>
        <v/>
      </c>
      <c r="AT321" s="34" t="str">
        <f aca="false">IF(OR(AR321="",N(AC321)=0),"",AR321/AC321)</f>
        <v/>
      </c>
      <c r="AU321" s="34" t="str">
        <f aca="false">IF(OR(AR321="",N(S321)=0),"",AR321/S321)</f>
        <v/>
      </c>
      <c r="AV321" s="34" t="str">
        <f aca="false">IF(OR(AJ321="",N(AC321)=0),"",AJ321/AC321)</f>
        <v/>
      </c>
      <c r="AW321" s="34" t="str">
        <f aca="false">IF(OR(AH321="",N(AO321)=0),"",AH321/AO321)</f>
        <v/>
      </c>
      <c r="AX321" s="35" t="str">
        <f aca="false">IF(OR(AR321="",N(AO321)=0),"",(N(AF321)*Settings!$B$6+N(AG321)*Settings!$B$7+N(AH321)*Settings!$B$8+N(AI321)*Settings!$B$9+N(AJ321)*Settings!$B$10)/AO321*1000)</f>
        <v/>
      </c>
      <c r="AY321" s="36" t="str">
        <f aca="false">IF(AS321="","",IFERROR(AS321/AVERAGEIFS('Post Tracker'!$AS$5:$AS$1004,'Post Tracker'!$G$5:$G$1004,G321),""))</f>
        <v/>
      </c>
      <c r="AZ321" s="32"/>
      <c r="BA321" s="32"/>
      <c r="BB321" s="32"/>
      <c r="BC321" s="32"/>
      <c r="BD321" s="33" t="str">
        <f aca="false">IF(A321="","",COUNTIFS('Demo Pipeline'!$Q$5:$Q$504,A321))</f>
        <v/>
      </c>
      <c r="BE321" s="33" t="str">
        <f aca="false">IF(A321="","",COUNTIFS('Demo Pipeline'!$Q$5:$Q$504,A321,'Demo Pipeline'!$W$5:$W$504,"Attended"))</f>
        <v/>
      </c>
      <c r="BF321" s="33" t="str">
        <f aca="false">IF(A321="","",COUNTIFS('Demo Pipeline'!$Q$5:$Q$504,A321,'Demo Pipeline'!$X$5:$X$504,"Yes"))</f>
        <v/>
      </c>
      <c r="BG321" s="33" t="str">
        <f aca="false">IF(A321="","",COUNTIFS('Demo Pipeline'!$Q$5:$Q$504,A321,'Demo Pipeline'!$Y$5:$Y$504,"Closed Won"))</f>
        <v/>
      </c>
      <c r="BH321" s="37" t="str">
        <f aca="false">IF(A321="","",SUMIFS('Demo Pipeline'!$Z$5:$Z$504,'Demo Pipeline'!$Q$5:$Q$504,A321))</f>
        <v/>
      </c>
      <c r="BI321" s="34" t="str">
        <f aca="false">IF(OR(AZ321="",N(AJ321)=0),"",AZ321/AJ321)</f>
        <v/>
      </c>
      <c r="BJ321" s="34" t="str">
        <f aca="false">IF(OR(BB321="",N(AZ321)=0),"",BB321/AZ321)</f>
        <v/>
      </c>
      <c r="BK321" s="34" t="str">
        <f aca="false">IF(OR(A321="",N(BB321)=0),"",BD321/BB321)</f>
        <v/>
      </c>
      <c r="BL321" s="34" t="str">
        <f aca="false">IF(OR(A321="",N(AZ321)=0),"",BD321/AZ321)</f>
        <v/>
      </c>
      <c r="BM321" s="37" t="str">
        <f aca="false">IF(OR(N(Q321)=0,N(BD321)=0),"",Q321/BD321)</f>
        <v/>
      </c>
      <c r="BN321" s="29"/>
      <c r="BO321" s="29"/>
      <c r="BP321" s="33" t="str">
        <f aca="false">IF(OR(AR321="",N(AO321)=0),"",AR321)</f>
        <v/>
      </c>
      <c r="BQ321" s="33" t="str">
        <f aca="false">IF(OR(AR321="",N(S321)=0),"",S321)</f>
        <v/>
      </c>
      <c r="BR321" s="38" t="str">
        <f aca="false">IF(AND(ISNUMBER(B321),B321&gt;=Dashboard!$C$4,B321&lt;=Dashboard!$F$4,ISNUMBER(AU321)),AU321+ROW()/10^9,"")</f>
        <v/>
      </c>
      <c r="BS321" s="38" t="str">
        <f aca="false">IF(AND(ISNUMBER(B321),B321&gt;=Dashboard!$C$4,B321&lt;=Dashboard!$F$4,A321&lt;&gt;""),N(BD321)+N(AU321)/100+ROW()/10^9,"")</f>
        <v/>
      </c>
    </row>
    <row r="322" customFormat="false" ht="15" hidden="false" customHeight="false" outlineLevel="0" collapsed="false">
      <c r="A322" s="24" t="str">
        <f aca="false">IF(OR(B322="",G322="",H322=""),"",IFERROR(INDEX(Settings!$E$5:$E$49,MATCH(G322,Settings!$D$5:$D$49,0))&amp;INDEX(Settings!$H$5:$H$47,MATCH(H322,Settings!$G$5:$G$47,0))&amp;"-"&amp;TEXT(B322,"yymmdd")&amp;"-"&amp;IF(C322="","0000",TEXT(C322,"hhmm")),"CHECK LISTS"))</f>
        <v/>
      </c>
      <c r="B322" s="39"/>
      <c r="C322" s="40"/>
      <c r="D322" s="24" t="str">
        <f aca="false">IF(B322="","",TEXT(B322,"ddd"))</f>
        <v/>
      </c>
      <c r="E322" s="27" t="str">
        <f aca="false">IF(B322="","",B322-WEEKDAY(B322,3))</f>
        <v/>
      </c>
      <c r="F322" s="24" t="str">
        <f aca="false">IF(B322="","",TEXT(B322,"yyyy-mm"))</f>
        <v/>
      </c>
      <c r="G322" s="29"/>
      <c r="H322" s="29"/>
      <c r="I322" s="29"/>
      <c r="J322" s="29"/>
      <c r="K322" s="29"/>
      <c r="L322" s="29"/>
      <c r="M322" s="29"/>
      <c r="N322" s="29"/>
      <c r="O322" s="29"/>
      <c r="P322" s="29"/>
      <c r="Q322" s="30"/>
      <c r="R322" s="29"/>
      <c r="S322" s="32"/>
      <c r="T322" s="29"/>
      <c r="U322" s="29"/>
      <c r="V322" s="24" t="str">
        <f aca="false">IF(A322="","",IFERROR(INDEX(Settings!$F$5:$F$49,MATCH(G322,Settings!$D$5:$D$49,0)),""))</f>
        <v/>
      </c>
      <c r="W322" s="24" t="str">
        <f aca="false">IF(A322="","",IF(OR(P322="",P322="Organic"),"social","paid_social"))</f>
        <v/>
      </c>
      <c r="X322" s="24" t="str">
        <f aca="false">IF(A322="","",IF(K322&lt;&gt;"",IFERROR(INDEX('Case Studies'!$C$5:$C$54,MATCH(K322,'Case Studies'!$B$5:$B$54,0))&amp;"","case-study"),IF(J322&lt;&gt;"",IFERROR(INDEX(Settings!$J$5:$J$55,MATCH(J322,Settings!$I$5:$I$55,0)),"general"),"general")))</f>
        <v/>
      </c>
      <c r="Y322" s="24" t="str">
        <f aca="false">IF(A322="","",LOWER(A322))</f>
        <v/>
      </c>
      <c r="Z322" s="24" t="str">
        <f aca="false">IF(A322="","",IF(T322="",Settings!$B$5,T322)&amp;IF(ISNUMBER(FIND("?",IF(T322="",Settings!$B$5,T322))),"&amp;","?")&amp;"utm_source="&amp;V322&amp;"&amp;utm_medium="&amp;W322&amp;"&amp;utm_campaign="&amp;X322&amp;"&amp;utm_content="&amp;Y322)</f>
        <v/>
      </c>
      <c r="AA322" s="29"/>
      <c r="AB322" s="39"/>
      <c r="AC322" s="32"/>
      <c r="AD322" s="32"/>
      <c r="AE322" s="32"/>
      <c r="AF322" s="32"/>
      <c r="AG322" s="32"/>
      <c r="AH322" s="32"/>
      <c r="AI322" s="32"/>
      <c r="AJ322" s="32"/>
      <c r="AK322" s="32"/>
      <c r="AL322" s="32"/>
      <c r="AM322" s="32"/>
      <c r="AN322" s="32"/>
      <c r="AO322" s="33" t="str">
        <f aca="false">IF(A322="","",IF(AD322&lt;&gt;"",AD322,IF(AC322&lt;&gt;"",AC322,"")))</f>
        <v/>
      </c>
      <c r="AP322" s="24" t="str">
        <f aca="false">IF(AO322="","",IF(AD322&lt;&gt;"","Reported reach","Impressions (proxy)"))</f>
        <v/>
      </c>
      <c r="AQ322" s="34" t="str">
        <f aca="false">IF(OR(AO322="",N(S322)=0),"",AO322/S322)</f>
        <v/>
      </c>
      <c r="AR322" s="33" t="str">
        <f aca="false">IF(A322="","",IF(COUNT(AF322:AJ322)=0,"",SUM(AF322:AJ322)))</f>
        <v/>
      </c>
      <c r="AS322" s="34" t="str">
        <f aca="false">IF(OR(AR322="",N(AO322)=0),"",AR322/AO322)</f>
        <v/>
      </c>
      <c r="AT322" s="34" t="str">
        <f aca="false">IF(OR(AR322="",N(AC322)=0),"",AR322/AC322)</f>
        <v/>
      </c>
      <c r="AU322" s="34" t="str">
        <f aca="false">IF(OR(AR322="",N(S322)=0),"",AR322/S322)</f>
        <v/>
      </c>
      <c r="AV322" s="34" t="str">
        <f aca="false">IF(OR(AJ322="",N(AC322)=0),"",AJ322/AC322)</f>
        <v/>
      </c>
      <c r="AW322" s="34" t="str">
        <f aca="false">IF(OR(AH322="",N(AO322)=0),"",AH322/AO322)</f>
        <v/>
      </c>
      <c r="AX322" s="35" t="str">
        <f aca="false">IF(OR(AR322="",N(AO322)=0),"",(N(AF322)*Settings!$B$6+N(AG322)*Settings!$B$7+N(AH322)*Settings!$B$8+N(AI322)*Settings!$B$9+N(AJ322)*Settings!$B$10)/AO322*1000)</f>
        <v/>
      </c>
      <c r="AY322" s="36" t="str">
        <f aca="false">IF(AS322="","",IFERROR(AS322/AVERAGEIFS('Post Tracker'!$AS$5:$AS$1004,'Post Tracker'!$G$5:$G$1004,G322),""))</f>
        <v/>
      </c>
      <c r="AZ322" s="32"/>
      <c r="BA322" s="32"/>
      <c r="BB322" s="32"/>
      <c r="BC322" s="32"/>
      <c r="BD322" s="33" t="str">
        <f aca="false">IF(A322="","",COUNTIFS('Demo Pipeline'!$Q$5:$Q$504,A322))</f>
        <v/>
      </c>
      <c r="BE322" s="33" t="str">
        <f aca="false">IF(A322="","",COUNTIFS('Demo Pipeline'!$Q$5:$Q$504,A322,'Demo Pipeline'!$W$5:$W$504,"Attended"))</f>
        <v/>
      </c>
      <c r="BF322" s="33" t="str">
        <f aca="false">IF(A322="","",COUNTIFS('Demo Pipeline'!$Q$5:$Q$504,A322,'Demo Pipeline'!$X$5:$X$504,"Yes"))</f>
        <v/>
      </c>
      <c r="BG322" s="33" t="str">
        <f aca="false">IF(A322="","",COUNTIFS('Demo Pipeline'!$Q$5:$Q$504,A322,'Demo Pipeline'!$Y$5:$Y$504,"Closed Won"))</f>
        <v/>
      </c>
      <c r="BH322" s="37" t="str">
        <f aca="false">IF(A322="","",SUMIFS('Demo Pipeline'!$Z$5:$Z$504,'Demo Pipeline'!$Q$5:$Q$504,A322))</f>
        <v/>
      </c>
      <c r="BI322" s="34" t="str">
        <f aca="false">IF(OR(AZ322="",N(AJ322)=0),"",AZ322/AJ322)</f>
        <v/>
      </c>
      <c r="BJ322" s="34" t="str">
        <f aca="false">IF(OR(BB322="",N(AZ322)=0),"",BB322/AZ322)</f>
        <v/>
      </c>
      <c r="BK322" s="34" t="str">
        <f aca="false">IF(OR(A322="",N(BB322)=0),"",BD322/BB322)</f>
        <v/>
      </c>
      <c r="BL322" s="34" t="str">
        <f aca="false">IF(OR(A322="",N(AZ322)=0),"",BD322/AZ322)</f>
        <v/>
      </c>
      <c r="BM322" s="37" t="str">
        <f aca="false">IF(OR(N(Q322)=0,N(BD322)=0),"",Q322/BD322)</f>
        <v/>
      </c>
      <c r="BN322" s="29"/>
      <c r="BO322" s="29"/>
      <c r="BP322" s="33" t="str">
        <f aca="false">IF(OR(AR322="",N(AO322)=0),"",AR322)</f>
        <v/>
      </c>
      <c r="BQ322" s="33" t="str">
        <f aca="false">IF(OR(AR322="",N(S322)=0),"",S322)</f>
        <v/>
      </c>
      <c r="BR322" s="38" t="str">
        <f aca="false">IF(AND(ISNUMBER(B322),B322&gt;=Dashboard!$C$4,B322&lt;=Dashboard!$F$4,ISNUMBER(AU322)),AU322+ROW()/10^9,"")</f>
        <v/>
      </c>
      <c r="BS322" s="38" t="str">
        <f aca="false">IF(AND(ISNUMBER(B322),B322&gt;=Dashboard!$C$4,B322&lt;=Dashboard!$F$4,A322&lt;&gt;""),N(BD322)+N(AU322)/100+ROW()/10^9,"")</f>
        <v/>
      </c>
    </row>
    <row r="323" customFormat="false" ht="15" hidden="false" customHeight="false" outlineLevel="0" collapsed="false">
      <c r="A323" s="24" t="str">
        <f aca="false">IF(OR(B323="",G323="",H323=""),"",IFERROR(INDEX(Settings!$E$5:$E$49,MATCH(G323,Settings!$D$5:$D$49,0))&amp;INDEX(Settings!$H$5:$H$47,MATCH(H323,Settings!$G$5:$G$47,0))&amp;"-"&amp;TEXT(B323,"yymmdd")&amp;"-"&amp;IF(C323="","0000",TEXT(C323,"hhmm")),"CHECK LISTS"))</f>
        <v/>
      </c>
      <c r="B323" s="39"/>
      <c r="C323" s="40"/>
      <c r="D323" s="24" t="str">
        <f aca="false">IF(B323="","",TEXT(B323,"ddd"))</f>
        <v/>
      </c>
      <c r="E323" s="27" t="str">
        <f aca="false">IF(B323="","",B323-WEEKDAY(B323,3))</f>
        <v/>
      </c>
      <c r="F323" s="24" t="str">
        <f aca="false">IF(B323="","",TEXT(B323,"yyyy-mm"))</f>
        <v/>
      </c>
      <c r="G323" s="29"/>
      <c r="H323" s="29"/>
      <c r="I323" s="29"/>
      <c r="J323" s="29"/>
      <c r="K323" s="29"/>
      <c r="L323" s="29"/>
      <c r="M323" s="29"/>
      <c r="N323" s="29"/>
      <c r="O323" s="29"/>
      <c r="P323" s="29"/>
      <c r="Q323" s="30"/>
      <c r="R323" s="29"/>
      <c r="S323" s="32"/>
      <c r="T323" s="29"/>
      <c r="U323" s="29"/>
      <c r="V323" s="24" t="str">
        <f aca="false">IF(A323="","",IFERROR(INDEX(Settings!$F$5:$F$49,MATCH(G323,Settings!$D$5:$D$49,0)),""))</f>
        <v/>
      </c>
      <c r="W323" s="24" t="str">
        <f aca="false">IF(A323="","",IF(OR(P323="",P323="Organic"),"social","paid_social"))</f>
        <v/>
      </c>
      <c r="X323" s="24" t="str">
        <f aca="false">IF(A323="","",IF(K323&lt;&gt;"",IFERROR(INDEX('Case Studies'!$C$5:$C$54,MATCH(K323,'Case Studies'!$B$5:$B$54,0))&amp;"","case-study"),IF(J323&lt;&gt;"",IFERROR(INDEX(Settings!$J$5:$J$55,MATCH(J323,Settings!$I$5:$I$55,0)),"general"),"general")))</f>
        <v/>
      </c>
      <c r="Y323" s="24" t="str">
        <f aca="false">IF(A323="","",LOWER(A323))</f>
        <v/>
      </c>
      <c r="Z323" s="24" t="str">
        <f aca="false">IF(A323="","",IF(T323="",Settings!$B$5,T323)&amp;IF(ISNUMBER(FIND("?",IF(T323="",Settings!$B$5,T323))),"&amp;","?")&amp;"utm_source="&amp;V323&amp;"&amp;utm_medium="&amp;W323&amp;"&amp;utm_campaign="&amp;X323&amp;"&amp;utm_content="&amp;Y323)</f>
        <v/>
      </c>
      <c r="AA323" s="29"/>
      <c r="AB323" s="39"/>
      <c r="AC323" s="32"/>
      <c r="AD323" s="32"/>
      <c r="AE323" s="32"/>
      <c r="AF323" s="32"/>
      <c r="AG323" s="32"/>
      <c r="AH323" s="32"/>
      <c r="AI323" s="32"/>
      <c r="AJ323" s="32"/>
      <c r="AK323" s="32"/>
      <c r="AL323" s="32"/>
      <c r="AM323" s="32"/>
      <c r="AN323" s="32"/>
      <c r="AO323" s="33" t="str">
        <f aca="false">IF(A323="","",IF(AD323&lt;&gt;"",AD323,IF(AC323&lt;&gt;"",AC323,"")))</f>
        <v/>
      </c>
      <c r="AP323" s="24" t="str">
        <f aca="false">IF(AO323="","",IF(AD323&lt;&gt;"","Reported reach","Impressions (proxy)"))</f>
        <v/>
      </c>
      <c r="AQ323" s="34" t="str">
        <f aca="false">IF(OR(AO323="",N(S323)=0),"",AO323/S323)</f>
        <v/>
      </c>
      <c r="AR323" s="33" t="str">
        <f aca="false">IF(A323="","",IF(COUNT(AF323:AJ323)=0,"",SUM(AF323:AJ323)))</f>
        <v/>
      </c>
      <c r="AS323" s="34" t="str">
        <f aca="false">IF(OR(AR323="",N(AO323)=0),"",AR323/AO323)</f>
        <v/>
      </c>
      <c r="AT323" s="34" t="str">
        <f aca="false">IF(OR(AR323="",N(AC323)=0),"",AR323/AC323)</f>
        <v/>
      </c>
      <c r="AU323" s="34" t="str">
        <f aca="false">IF(OR(AR323="",N(S323)=0),"",AR323/S323)</f>
        <v/>
      </c>
      <c r="AV323" s="34" t="str">
        <f aca="false">IF(OR(AJ323="",N(AC323)=0),"",AJ323/AC323)</f>
        <v/>
      </c>
      <c r="AW323" s="34" t="str">
        <f aca="false">IF(OR(AH323="",N(AO323)=0),"",AH323/AO323)</f>
        <v/>
      </c>
      <c r="AX323" s="35" t="str">
        <f aca="false">IF(OR(AR323="",N(AO323)=0),"",(N(AF323)*Settings!$B$6+N(AG323)*Settings!$B$7+N(AH323)*Settings!$B$8+N(AI323)*Settings!$B$9+N(AJ323)*Settings!$B$10)/AO323*1000)</f>
        <v/>
      </c>
      <c r="AY323" s="36" t="str">
        <f aca="false">IF(AS323="","",IFERROR(AS323/AVERAGEIFS('Post Tracker'!$AS$5:$AS$1004,'Post Tracker'!$G$5:$G$1004,G323),""))</f>
        <v/>
      </c>
      <c r="AZ323" s="32"/>
      <c r="BA323" s="32"/>
      <c r="BB323" s="32"/>
      <c r="BC323" s="32"/>
      <c r="BD323" s="33" t="str">
        <f aca="false">IF(A323="","",COUNTIFS('Demo Pipeline'!$Q$5:$Q$504,A323))</f>
        <v/>
      </c>
      <c r="BE323" s="33" t="str">
        <f aca="false">IF(A323="","",COUNTIFS('Demo Pipeline'!$Q$5:$Q$504,A323,'Demo Pipeline'!$W$5:$W$504,"Attended"))</f>
        <v/>
      </c>
      <c r="BF323" s="33" t="str">
        <f aca="false">IF(A323="","",COUNTIFS('Demo Pipeline'!$Q$5:$Q$504,A323,'Demo Pipeline'!$X$5:$X$504,"Yes"))</f>
        <v/>
      </c>
      <c r="BG323" s="33" t="str">
        <f aca="false">IF(A323="","",COUNTIFS('Demo Pipeline'!$Q$5:$Q$504,A323,'Demo Pipeline'!$Y$5:$Y$504,"Closed Won"))</f>
        <v/>
      </c>
      <c r="BH323" s="37" t="str">
        <f aca="false">IF(A323="","",SUMIFS('Demo Pipeline'!$Z$5:$Z$504,'Demo Pipeline'!$Q$5:$Q$504,A323))</f>
        <v/>
      </c>
      <c r="BI323" s="34" t="str">
        <f aca="false">IF(OR(AZ323="",N(AJ323)=0),"",AZ323/AJ323)</f>
        <v/>
      </c>
      <c r="BJ323" s="34" t="str">
        <f aca="false">IF(OR(BB323="",N(AZ323)=0),"",BB323/AZ323)</f>
        <v/>
      </c>
      <c r="BK323" s="34" t="str">
        <f aca="false">IF(OR(A323="",N(BB323)=0),"",BD323/BB323)</f>
        <v/>
      </c>
      <c r="BL323" s="34" t="str">
        <f aca="false">IF(OR(A323="",N(AZ323)=0),"",BD323/AZ323)</f>
        <v/>
      </c>
      <c r="BM323" s="37" t="str">
        <f aca="false">IF(OR(N(Q323)=0,N(BD323)=0),"",Q323/BD323)</f>
        <v/>
      </c>
      <c r="BN323" s="29"/>
      <c r="BO323" s="29"/>
      <c r="BP323" s="33" t="str">
        <f aca="false">IF(OR(AR323="",N(AO323)=0),"",AR323)</f>
        <v/>
      </c>
      <c r="BQ323" s="33" t="str">
        <f aca="false">IF(OR(AR323="",N(S323)=0),"",S323)</f>
        <v/>
      </c>
      <c r="BR323" s="38" t="str">
        <f aca="false">IF(AND(ISNUMBER(B323),B323&gt;=Dashboard!$C$4,B323&lt;=Dashboard!$F$4,ISNUMBER(AU323)),AU323+ROW()/10^9,"")</f>
        <v/>
      </c>
      <c r="BS323" s="38" t="str">
        <f aca="false">IF(AND(ISNUMBER(B323),B323&gt;=Dashboard!$C$4,B323&lt;=Dashboard!$F$4,A323&lt;&gt;""),N(BD323)+N(AU323)/100+ROW()/10^9,"")</f>
        <v/>
      </c>
    </row>
    <row r="324" customFormat="false" ht="15" hidden="false" customHeight="false" outlineLevel="0" collapsed="false">
      <c r="A324" s="24" t="str">
        <f aca="false">IF(OR(B324="",G324="",H324=""),"",IFERROR(INDEX(Settings!$E$5:$E$49,MATCH(G324,Settings!$D$5:$D$49,0))&amp;INDEX(Settings!$H$5:$H$47,MATCH(H324,Settings!$G$5:$G$47,0))&amp;"-"&amp;TEXT(B324,"yymmdd")&amp;"-"&amp;IF(C324="","0000",TEXT(C324,"hhmm")),"CHECK LISTS"))</f>
        <v/>
      </c>
      <c r="B324" s="39"/>
      <c r="C324" s="40"/>
      <c r="D324" s="24" t="str">
        <f aca="false">IF(B324="","",TEXT(B324,"ddd"))</f>
        <v/>
      </c>
      <c r="E324" s="27" t="str">
        <f aca="false">IF(B324="","",B324-WEEKDAY(B324,3))</f>
        <v/>
      </c>
      <c r="F324" s="24" t="str">
        <f aca="false">IF(B324="","",TEXT(B324,"yyyy-mm"))</f>
        <v/>
      </c>
      <c r="G324" s="29"/>
      <c r="H324" s="29"/>
      <c r="I324" s="29"/>
      <c r="J324" s="29"/>
      <c r="K324" s="29"/>
      <c r="L324" s="29"/>
      <c r="M324" s="29"/>
      <c r="N324" s="29"/>
      <c r="O324" s="29"/>
      <c r="P324" s="29"/>
      <c r="Q324" s="30"/>
      <c r="R324" s="29"/>
      <c r="S324" s="32"/>
      <c r="T324" s="29"/>
      <c r="U324" s="29"/>
      <c r="V324" s="24" t="str">
        <f aca="false">IF(A324="","",IFERROR(INDEX(Settings!$F$5:$F$49,MATCH(G324,Settings!$D$5:$D$49,0)),""))</f>
        <v/>
      </c>
      <c r="W324" s="24" t="str">
        <f aca="false">IF(A324="","",IF(OR(P324="",P324="Organic"),"social","paid_social"))</f>
        <v/>
      </c>
      <c r="X324" s="24" t="str">
        <f aca="false">IF(A324="","",IF(K324&lt;&gt;"",IFERROR(INDEX('Case Studies'!$C$5:$C$54,MATCH(K324,'Case Studies'!$B$5:$B$54,0))&amp;"","case-study"),IF(J324&lt;&gt;"",IFERROR(INDEX(Settings!$J$5:$J$55,MATCH(J324,Settings!$I$5:$I$55,0)),"general"),"general")))</f>
        <v/>
      </c>
      <c r="Y324" s="24" t="str">
        <f aca="false">IF(A324="","",LOWER(A324))</f>
        <v/>
      </c>
      <c r="Z324" s="24" t="str">
        <f aca="false">IF(A324="","",IF(T324="",Settings!$B$5,T324)&amp;IF(ISNUMBER(FIND("?",IF(T324="",Settings!$B$5,T324))),"&amp;","?")&amp;"utm_source="&amp;V324&amp;"&amp;utm_medium="&amp;W324&amp;"&amp;utm_campaign="&amp;X324&amp;"&amp;utm_content="&amp;Y324)</f>
        <v/>
      </c>
      <c r="AA324" s="29"/>
      <c r="AB324" s="39"/>
      <c r="AC324" s="32"/>
      <c r="AD324" s="32"/>
      <c r="AE324" s="32"/>
      <c r="AF324" s="32"/>
      <c r="AG324" s="32"/>
      <c r="AH324" s="32"/>
      <c r="AI324" s="32"/>
      <c r="AJ324" s="32"/>
      <c r="AK324" s="32"/>
      <c r="AL324" s="32"/>
      <c r="AM324" s="32"/>
      <c r="AN324" s="32"/>
      <c r="AO324" s="33" t="str">
        <f aca="false">IF(A324="","",IF(AD324&lt;&gt;"",AD324,IF(AC324&lt;&gt;"",AC324,"")))</f>
        <v/>
      </c>
      <c r="AP324" s="24" t="str">
        <f aca="false">IF(AO324="","",IF(AD324&lt;&gt;"","Reported reach","Impressions (proxy)"))</f>
        <v/>
      </c>
      <c r="AQ324" s="34" t="str">
        <f aca="false">IF(OR(AO324="",N(S324)=0),"",AO324/S324)</f>
        <v/>
      </c>
      <c r="AR324" s="33" t="str">
        <f aca="false">IF(A324="","",IF(COUNT(AF324:AJ324)=0,"",SUM(AF324:AJ324)))</f>
        <v/>
      </c>
      <c r="AS324" s="34" t="str">
        <f aca="false">IF(OR(AR324="",N(AO324)=0),"",AR324/AO324)</f>
        <v/>
      </c>
      <c r="AT324" s="34" t="str">
        <f aca="false">IF(OR(AR324="",N(AC324)=0),"",AR324/AC324)</f>
        <v/>
      </c>
      <c r="AU324" s="34" t="str">
        <f aca="false">IF(OR(AR324="",N(S324)=0),"",AR324/S324)</f>
        <v/>
      </c>
      <c r="AV324" s="34" t="str">
        <f aca="false">IF(OR(AJ324="",N(AC324)=0),"",AJ324/AC324)</f>
        <v/>
      </c>
      <c r="AW324" s="34" t="str">
        <f aca="false">IF(OR(AH324="",N(AO324)=0),"",AH324/AO324)</f>
        <v/>
      </c>
      <c r="AX324" s="35" t="str">
        <f aca="false">IF(OR(AR324="",N(AO324)=0),"",(N(AF324)*Settings!$B$6+N(AG324)*Settings!$B$7+N(AH324)*Settings!$B$8+N(AI324)*Settings!$B$9+N(AJ324)*Settings!$B$10)/AO324*1000)</f>
        <v/>
      </c>
      <c r="AY324" s="36" t="str">
        <f aca="false">IF(AS324="","",IFERROR(AS324/AVERAGEIFS('Post Tracker'!$AS$5:$AS$1004,'Post Tracker'!$G$5:$G$1004,G324),""))</f>
        <v/>
      </c>
      <c r="AZ324" s="32"/>
      <c r="BA324" s="32"/>
      <c r="BB324" s="32"/>
      <c r="BC324" s="32"/>
      <c r="BD324" s="33" t="str">
        <f aca="false">IF(A324="","",COUNTIFS('Demo Pipeline'!$Q$5:$Q$504,A324))</f>
        <v/>
      </c>
      <c r="BE324" s="33" t="str">
        <f aca="false">IF(A324="","",COUNTIFS('Demo Pipeline'!$Q$5:$Q$504,A324,'Demo Pipeline'!$W$5:$W$504,"Attended"))</f>
        <v/>
      </c>
      <c r="BF324" s="33" t="str">
        <f aca="false">IF(A324="","",COUNTIFS('Demo Pipeline'!$Q$5:$Q$504,A324,'Demo Pipeline'!$X$5:$X$504,"Yes"))</f>
        <v/>
      </c>
      <c r="BG324" s="33" t="str">
        <f aca="false">IF(A324="","",COUNTIFS('Demo Pipeline'!$Q$5:$Q$504,A324,'Demo Pipeline'!$Y$5:$Y$504,"Closed Won"))</f>
        <v/>
      </c>
      <c r="BH324" s="37" t="str">
        <f aca="false">IF(A324="","",SUMIFS('Demo Pipeline'!$Z$5:$Z$504,'Demo Pipeline'!$Q$5:$Q$504,A324))</f>
        <v/>
      </c>
      <c r="BI324" s="34" t="str">
        <f aca="false">IF(OR(AZ324="",N(AJ324)=0),"",AZ324/AJ324)</f>
        <v/>
      </c>
      <c r="BJ324" s="34" t="str">
        <f aca="false">IF(OR(BB324="",N(AZ324)=0),"",BB324/AZ324)</f>
        <v/>
      </c>
      <c r="BK324" s="34" t="str">
        <f aca="false">IF(OR(A324="",N(BB324)=0),"",BD324/BB324)</f>
        <v/>
      </c>
      <c r="BL324" s="34" t="str">
        <f aca="false">IF(OR(A324="",N(AZ324)=0),"",BD324/AZ324)</f>
        <v/>
      </c>
      <c r="BM324" s="37" t="str">
        <f aca="false">IF(OR(N(Q324)=0,N(BD324)=0),"",Q324/BD324)</f>
        <v/>
      </c>
      <c r="BN324" s="29"/>
      <c r="BO324" s="29"/>
      <c r="BP324" s="33" t="str">
        <f aca="false">IF(OR(AR324="",N(AO324)=0),"",AR324)</f>
        <v/>
      </c>
      <c r="BQ324" s="33" t="str">
        <f aca="false">IF(OR(AR324="",N(S324)=0),"",S324)</f>
        <v/>
      </c>
      <c r="BR324" s="38" t="str">
        <f aca="false">IF(AND(ISNUMBER(B324),B324&gt;=Dashboard!$C$4,B324&lt;=Dashboard!$F$4,ISNUMBER(AU324)),AU324+ROW()/10^9,"")</f>
        <v/>
      </c>
      <c r="BS324" s="38" t="str">
        <f aca="false">IF(AND(ISNUMBER(B324),B324&gt;=Dashboard!$C$4,B324&lt;=Dashboard!$F$4,A324&lt;&gt;""),N(BD324)+N(AU324)/100+ROW()/10^9,"")</f>
        <v/>
      </c>
    </row>
    <row r="325" customFormat="false" ht="15" hidden="false" customHeight="false" outlineLevel="0" collapsed="false">
      <c r="A325" s="24" t="str">
        <f aca="false">IF(OR(B325="",G325="",H325=""),"",IFERROR(INDEX(Settings!$E$5:$E$49,MATCH(G325,Settings!$D$5:$D$49,0))&amp;INDEX(Settings!$H$5:$H$47,MATCH(H325,Settings!$G$5:$G$47,0))&amp;"-"&amp;TEXT(B325,"yymmdd")&amp;"-"&amp;IF(C325="","0000",TEXT(C325,"hhmm")),"CHECK LISTS"))</f>
        <v/>
      </c>
      <c r="B325" s="39"/>
      <c r="C325" s="40"/>
      <c r="D325" s="24" t="str">
        <f aca="false">IF(B325="","",TEXT(B325,"ddd"))</f>
        <v/>
      </c>
      <c r="E325" s="27" t="str">
        <f aca="false">IF(B325="","",B325-WEEKDAY(B325,3))</f>
        <v/>
      </c>
      <c r="F325" s="24" t="str">
        <f aca="false">IF(B325="","",TEXT(B325,"yyyy-mm"))</f>
        <v/>
      </c>
      <c r="G325" s="29"/>
      <c r="H325" s="29"/>
      <c r="I325" s="29"/>
      <c r="J325" s="29"/>
      <c r="K325" s="29"/>
      <c r="L325" s="29"/>
      <c r="M325" s="29"/>
      <c r="N325" s="29"/>
      <c r="O325" s="29"/>
      <c r="P325" s="29"/>
      <c r="Q325" s="30"/>
      <c r="R325" s="29"/>
      <c r="S325" s="32"/>
      <c r="T325" s="29"/>
      <c r="U325" s="29"/>
      <c r="V325" s="24" t="str">
        <f aca="false">IF(A325="","",IFERROR(INDEX(Settings!$F$5:$F$49,MATCH(G325,Settings!$D$5:$D$49,0)),""))</f>
        <v/>
      </c>
      <c r="W325" s="24" t="str">
        <f aca="false">IF(A325="","",IF(OR(P325="",P325="Organic"),"social","paid_social"))</f>
        <v/>
      </c>
      <c r="X325" s="24" t="str">
        <f aca="false">IF(A325="","",IF(K325&lt;&gt;"",IFERROR(INDEX('Case Studies'!$C$5:$C$54,MATCH(K325,'Case Studies'!$B$5:$B$54,0))&amp;"","case-study"),IF(J325&lt;&gt;"",IFERROR(INDEX(Settings!$J$5:$J$55,MATCH(J325,Settings!$I$5:$I$55,0)),"general"),"general")))</f>
        <v/>
      </c>
      <c r="Y325" s="24" t="str">
        <f aca="false">IF(A325="","",LOWER(A325))</f>
        <v/>
      </c>
      <c r="Z325" s="24" t="str">
        <f aca="false">IF(A325="","",IF(T325="",Settings!$B$5,T325)&amp;IF(ISNUMBER(FIND("?",IF(T325="",Settings!$B$5,T325))),"&amp;","?")&amp;"utm_source="&amp;V325&amp;"&amp;utm_medium="&amp;W325&amp;"&amp;utm_campaign="&amp;X325&amp;"&amp;utm_content="&amp;Y325)</f>
        <v/>
      </c>
      <c r="AA325" s="29"/>
      <c r="AB325" s="39"/>
      <c r="AC325" s="32"/>
      <c r="AD325" s="32"/>
      <c r="AE325" s="32"/>
      <c r="AF325" s="32"/>
      <c r="AG325" s="32"/>
      <c r="AH325" s="32"/>
      <c r="AI325" s="32"/>
      <c r="AJ325" s="32"/>
      <c r="AK325" s="32"/>
      <c r="AL325" s="32"/>
      <c r="AM325" s="32"/>
      <c r="AN325" s="32"/>
      <c r="AO325" s="33" t="str">
        <f aca="false">IF(A325="","",IF(AD325&lt;&gt;"",AD325,IF(AC325&lt;&gt;"",AC325,"")))</f>
        <v/>
      </c>
      <c r="AP325" s="24" t="str">
        <f aca="false">IF(AO325="","",IF(AD325&lt;&gt;"","Reported reach","Impressions (proxy)"))</f>
        <v/>
      </c>
      <c r="AQ325" s="34" t="str">
        <f aca="false">IF(OR(AO325="",N(S325)=0),"",AO325/S325)</f>
        <v/>
      </c>
      <c r="AR325" s="33" t="str">
        <f aca="false">IF(A325="","",IF(COUNT(AF325:AJ325)=0,"",SUM(AF325:AJ325)))</f>
        <v/>
      </c>
      <c r="AS325" s="34" t="str">
        <f aca="false">IF(OR(AR325="",N(AO325)=0),"",AR325/AO325)</f>
        <v/>
      </c>
      <c r="AT325" s="34" t="str">
        <f aca="false">IF(OR(AR325="",N(AC325)=0),"",AR325/AC325)</f>
        <v/>
      </c>
      <c r="AU325" s="34" t="str">
        <f aca="false">IF(OR(AR325="",N(S325)=0),"",AR325/S325)</f>
        <v/>
      </c>
      <c r="AV325" s="34" t="str">
        <f aca="false">IF(OR(AJ325="",N(AC325)=0),"",AJ325/AC325)</f>
        <v/>
      </c>
      <c r="AW325" s="34" t="str">
        <f aca="false">IF(OR(AH325="",N(AO325)=0),"",AH325/AO325)</f>
        <v/>
      </c>
      <c r="AX325" s="35" t="str">
        <f aca="false">IF(OR(AR325="",N(AO325)=0),"",(N(AF325)*Settings!$B$6+N(AG325)*Settings!$B$7+N(AH325)*Settings!$B$8+N(AI325)*Settings!$B$9+N(AJ325)*Settings!$B$10)/AO325*1000)</f>
        <v/>
      </c>
      <c r="AY325" s="36" t="str">
        <f aca="false">IF(AS325="","",IFERROR(AS325/AVERAGEIFS('Post Tracker'!$AS$5:$AS$1004,'Post Tracker'!$G$5:$G$1004,G325),""))</f>
        <v/>
      </c>
      <c r="AZ325" s="32"/>
      <c r="BA325" s="32"/>
      <c r="BB325" s="32"/>
      <c r="BC325" s="32"/>
      <c r="BD325" s="33" t="str">
        <f aca="false">IF(A325="","",COUNTIFS('Demo Pipeline'!$Q$5:$Q$504,A325))</f>
        <v/>
      </c>
      <c r="BE325" s="33" t="str">
        <f aca="false">IF(A325="","",COUNTIFS('Demo Pipeline'!$Q$5:$Q$504,A325,'Demo Pipeline'!$W$5:$W$504,"Attended"))</f>
        <v/>
      </c>
      <c r="BF325" s="33" t="str">
        <f aca="false">IF(A325="","",COUNTIFS('Demo Pipeline'!$Q$5:$Q$504,A325,'Demo Pipeline'!$X$5:$X$504,"Yes"))</f>
        <v/>
      </c>
      <c r="BG325" s="33" t="str">
        <f aca="false">IF(A325="","",COUNTIFS('Demo Pipeline'!$Q$5:$Q$504,A325,'Demo Pipeline'!$Y$5:$Y$504,"Closed Won"))</f>
        <v/>
      </c>
      <c r="BH325" s="37" t="str">
        <f aca="false">IF(A325="","",SUMIFS('Demo Pipeline'!$Z$5:$Z$504,'Demo Pipeline'!$Q$5:$Q$504,A325))</f>
        <v/>
      </c>
      <c r="BI325" s="34" t="str">
        <f aca="false">IF(OR(AZ325="",N(AJ325)=0),"",AZ325/AJ325)</f>
        <v/>
      </c>
      <c r="BJ325" s="34" t="str">
        <f aca="false">IF(OR(BB325="",N(AZ325)=0),"",BB325/AZ325)</f>
        <v/>
      </c>
      <c r="BK325" s="34" t="str">
        <f aca="false">IF(OR(A325="",N(BB325)=0),"",BD325/BB325)</f>
        <v/>
      </c>
      <c r="BL325" s="34" t="str">
        <f aca="false">IF(OR(A325="",N(AZ325)=0),"",BD325/AZ325)</f>
        <v/>
      </c>
      <c r="BM325" s="37" t="str">
        <f aca="false">IF(OR(N(Q325)=0,N(BD325)=0),"",Q325/BD325)</f>
        <v/>
      </c>
      <c r="BN325" s="29"/>
      <c r="BO325" s="29"/>
      <c r="BP325" s="33" t="str">
        <f aca="false">IF(OR(AR325="",N(AO325)=0),"",AR325)</f>
        <v/>
      </c>
      <c r="BQ325" s="33" t="str">
        <f aca="false">IF(OR(AR325="",N(S325)=0),"",S325)</f>
        <v/>
      </c>
      <c r="BR325" s="38" t="str">
        <f aca="false">IF(AND(ISNUMBER(B325),B325&gt;=Dashboard!$C$4,B325&lt;=Dashboard!$F$4,ISNUMBER(AU325)),AU325+ROW()/10^9,"")</f>
        <v/>
      </c>
      <c r="BS325" s="38" t="str">
        <f aca="false">IF(AND(ISNUMBER(B325),B325&gt;=Dashboard!$C$4,B325&lt;=Dashboard!$F$4,A325&lt;&gt;""),N(BD325)+N(AU325)/100+ROW()/10^9,"")</f>
        <v/>
      </c>
    </row>
    <row r="326" customFormat="false" ht="15" hidden="false" customHeight="false" outlineLevel="0" collapsed="false">
      <c r="A326" s="24" t="str">
        <f aca="false">IF(OR(B326="",G326="",H326=""),"",IFERROR(INDEX(Settings!$E$5:$E$49,MATCH(G326,Settings!$D$5:$D$49,0))&amp;INDEX(Settings!$H$5:$H$47,MATCH(H326,Settings!$G$5:$G$47,0))&amp;"-"&amp;TEXT(B326,"yymmdd")&amp;"-"&amp;IF(C326="","0000",TEXT(C326,"hhmm")),"CHECK LISTS"))</f>
        <v/>
      </c>
      <c r="B326" s="39"/>
      <c r="C326" s="40"/>
      <c r="D326" s="24" t="str">
        <f aca="false">IF(B326="","",TEXT(B326,"ddd"))</f>
        <v/>
      </c>
      <c r="E326" s="27" t="str">
        <f aca="false">IF(B326="","",B326-WEEKDAY(B326,3))</f>
        <v/>
      </c>
      <c r="F326" s="24" t="str">
        <f aca="false">IF(B326="","",TEXT(B326,"yyyy-mm"))</f>
        <v/>
      </c>
      <c r="G326" s="29"/>
      <c r="H326" s="29"/>
      <c r="I326" s="29"/>
      <c r="J326" s="29"/>
      <c r="K326" s="29"/>
      <c r="L326" s="29"/>
      <c r="M326" s="29"/>
      <c r="N326" s="29"/>
      <c r="O326" s="29"/>
      <c r="P326" s="29"/>
      <c r="Q326" s="30"/>
      <c r="R326" s="29"/>
      <c r="S326" s="32"/>
      <c r="T326" s="29"/>
      <c r="U326" s="29"/>
      <c r="V326" s="24" t="str">
        <f aca="false">IF(A326="","",IFERROR(INDEX(Settings!$F$5:$F$49,MATCH(G326,Settings!$D$5:$D$49,0)),""))</f>
        <v/>
      </c>
      <c r="W326" s="24" t="str">
        <f aca="false">IF(A326="","",IF(OR(P326="",P326="Organic"),"social","paid_social"))</f>
        <v/>
      </c>
      <c r="X326" s="24" t="str">
        <f aca="false">IF(A326="","",IF(K326&lt;&gt;"",IFERROR(INDEX('Case Studies'!$C$5:$C$54,MATCH(K326,'Case Studies'!$B$5:$B$54,0))&amp;"","case-study"),IF(J326&lt;&gt;"",IFERROR(INDEX(Settings!$J$5:$J$55,MATCH(J326,Settings!$I$5:$I$55,0)),"general"),"general")))</f>
        <v/>
      </c>
      <c r="Y326" s="24" t="str">
        <f aca="false">IF(A326="","",LOWER(A326))</f>
        <v/>
      </c>
      <c r="Z326" s="24" t="str">
        <f aca="false">IF(A326="","",IF(T326="",Settings!$B$5,T326)&amp;IF(ISNUMBER(FIND("?",IF(T326="",Settings!$B$5,T326))),"&amp;","?")&amp;"utm_source="&amp;V326&amp;"&amp;utm_medium="&amp;W326&amp;"&amp;utm_campaign="&amp;X326&amp;"&amp;utm_content="&amp;Y326)</f>
        <v/>
      </c>
      <c r="AA326" s="29"/>
      <c r="AB326" s="39"/>
      <c r="AC326" s="32"/>
      <c r="AD326" s="32"/>
      <c r="AE326" s="32"/>
      <c r="AF326" s="32"/>
      <c r="AG326" s="32"/>
      <c r="AH326" s="32"/>
      <c r="AI326" s="32"/>
      <c r="AJ326" s="32"/>
      <c r="AK326" s="32"/>
      <c r="AL326" s="32"/>
      <c r="AM326" s="32"/>
      <c r="AN326" s="32"/>
      <c r="AO326" s="33" t="str">
        <f aca="false">IF(A326="","",IF(AD326&lt;&gt;"",AD326,IF(AC326&lt;&gt;"",AC326,"")))</f>
        <v/>
      </c>
      <c r="AP326" s="24" t="str">
        <f aca="false">IF(AO326="","",IF(AD326&lt;&gt;"","Reported reach","Impressions (proxy)"))</f>
        <v/>
      </c>
      <c r="AQ326" s="34" t="str">
        <f aca="false">IF(OR(AO326="",N(S326)=0),"",AO326/S326)</f>
        <v/>
      </c>
      <c r="AR326" s="33" t="str">
        <f aca="false">IF(A326="","",IF(COUNT(AF326:AJ326)=0,"",SUM(AF326:AJ326)))</f>
        <v/>
      </c>
      <c r="AS326" s="34" t="str">
        <f aca="false">IF(OR(AR326="",N(AO326)=0),"",AR326/AO326)</f>
        <v/>
      </c>
      <c r="AT326" s="34" t="str">
        <f aca="false">IF(OR(AR326="",N(AC326)=0),"",AR326/AC326)</f>
        <v/>
      </c>
      <c r="AU326" s="34" t="str">
        <f aca="false">IF(OR(AR326="",N(S326)=0),"",AR326/S326)</f>
        <v/>
      </c>
      <c r="AV326" s="34" t="str">
        <f aca="false">IF(OR(AJ326="",N(AC326)=0),"",AJ326/AC326)</f>
        <v/>
      </c>
      <c r="AW326" s="34" t="str">
        <f aca="false">IF(OR(AH326="",N(AO326)=0),"",AH326/AO326)</f>
        <v/>
      </c>
      <c r="AX326" s="35" t="str">
        <f aca="false">IF(OR(AR326="",N(AO326)=0),"",(N(AF326)*Settings!$B$6+N(AG326)*Settings!$B$7+N(AH326)*Settings!$B$8+N(AI326)*Settings!$B$9+N(AJ326)*Settings!$B$10)/AO326*1000)</f>
        <v/>
      </c>
      <c r="AY326" s="36" t="str">
        <f aca="false">IF(AS326="","",IFERROR(AS326/AVERAGEIFS('Post Tracker'!$AS$5:$AS$1004,'Post Tracker'!$G$5:$G$1004,G326),""))</f>
        <v/>
      </c>
      <c r="AZ326" s="32"/>
      <c r="BA326" s="32"/>
      <c r="BB326" s="32"/>
      <c r="BC326" s="32"/>
      <c r="BD326" s="33" t="str">
        <f aca="false">IF(A326="","",COUNTIFS('Demo Pipeline'!$Q$5:$Q$504,A326))</f>
        <v/>
      </c>
      <c r="BE326" s="33" t="str">
        <f aca="false">IF(A326="","",COUNTIFS('Demo Pipeline'!$Q$5:$Q$504,A326,'Demo Pipeline'!$W$5:$W$504,"Attended"))</f>
        <v/>
      </c>
      <c r="BF326" s="33" t="str">
        <f aca="false">IF(A326="","",COUNTIFS('Demo Pipeline'!$Q$5:$Q$504,A326,'Demo Pipeline'!$X$5:$X$504,"Yes"))</f>
        <v/>
      </c>
      <c r="BG326" s="33" t="str">
        <f aca="false">IF(A326="","",COUNTIFS('Demo Pipeline'!$Q$5:$Q$504,A326,'Demo Pipeline'!$Y$5:$Y$504,"Closed Won"))</f>
        <v/>
      </c>
      <c r="BH326" s="37" t="str">
        <f aca="false">IF(A326="","",SUMIFS('Demo Pipeline'!$Z$5:$Z$504,'Demo Pipeline'!$Q$5:$Q$504,A326))</f>
        <v/>
      </c>
      <c r="BI326" s="34" t="str">
        <f aca="false">IF(OR(AZ326="",N(AJ326)=0),"",AZ326/AJ326)</f>
        <v/>
      </c>
      <c r="BJ326" s="34" t="str">
        <f aca="false">IF(OR(BB326="",N(AZ326)=0),"",BB326/AZ326)</f>
        <v/>
      </c>
      <c r="BK326" s="34" t="str">
        <f aca="false">IF(OR(A326="",N(BB326)=0),"",BD326/BB326)</f>
        <v/>
      </c>
      <c r="BL326" s="34" t="str">
        <f aca="false">IF(OR(A326="",N(AZ326)=0),"",BD326/AZ326)</f>
        <v/>
      </c>
      <c r="BM326" s="37" t="str">
        <f aca="false">IF(OR(N(Q326)=0,N(BD326)=0),"",Q326/BD326)</f>
        <v/>
      </c>
      <c r="BN326" s="29"/>
      <c r="BO326" s="29"/>
      <c r="BP326" s="33" t="str">
        <f aca="false">IF(OR(AR326="",N(AO326)=0),"",AR326)</f>
        <v/>
      </c>
      <c r="BQ326" s="33" t="str">
        <f aca="false">IF(OR(AR326="",N(S326)=0),"",S326)</f>
        <v/>
      </c>
      <c r="BR326" s="38" t="str">
        <f aca="false">IF(AND(ISNUMBER(B326),B326&gt;=Dashboard!$C$4,B326&lt;=Dashboard!$F$4,ISNUMBER(AU326)),AU326+ROW()/10^9,"")</f>
        <v/>
      </c>
      <c r="BS326" s="38" t="str">
        <f aca="false">IF(AND(ISNUMBER(B326),B326&gt;=Dashboard!$C$4,B326&lt;=Dashboard!$F$4,A326&lt;&gt;""),N(BD326)+N(AU326)/100+ROW()/10^9,"")</f>
        <v/>
      </c>
    </row>
    <row r="327" customFormat="false" ht="15" hidden="false" customHeight="false" outlineLevel="0" collapsed="false">
      <c r="A327" s="24" t="str">
        <f aca="false">IF(OR(B327="",G327="",H327=""),"",IFERROR(INDEX(Settings!$E$5:$E$49,MATCH(G327,Settings!$D$5:$D$49,0))&amp;INDEX(Settings!$H$5:$H$47,MATCH(H327,Settings!$G$5:$G$47,0))&amp;"-"&amp;TEXT(B327,"yymmdd")&amp;"-"&amp;IF(C327="","0000",TEXT(C327,"hhmm")),"CHECK LISTS"))</f>
        <v/>
      </c>
      <c r="B327" s="39"/>
      <c r="C327" s="40"/>
      <c r="D327" s="24" t="str">
        <f aca="false">IF(B327="","",TEXT(B327,"ddd"))</f>
        <v/>
      </c>
      <c r="E327" s="27" t="str">
        <f aca="false">IF(B327="","",B327-WEEKDAY(B327,3))</f>
        <v/>
      </c>
      <c r="F327" s="24" t="str">
        <f aca="false">IF(B327="","",TEXT(B327,"yyyy-mm"))</f>
        <v/>
      </c>
      <c r="G327" s="29"/>
      <c r="H327" s="29"/>
      <c r="I327" s="29"/>
      <c r="J327" s="29"/>
      <c r="K327" s="29"/>
      <c r="L327" s="29"/>
      <c r="M327" s="29"/>
      <c r="N327" s="29"/>
      <c r="O327" s="29"/>
      <c r="P327" s="29"/>
      <c r="Q327" s="30"/>
      <c r="R327" s="29"/>
      <c r="S327" s="32"/>
      <c r="T327" s="29"/>
      <c r="U327" s="29"/>
      <c r="V327" s="24" t="str">
        <f aca="false">IF(A327="","",IFERROR(INDEX(Settings!$F$5:$F$49,MATCH(G327,Settings!$D$5:$D$49,0)),""))</f>
        <v/>
      </c>
      <c r="W327" s="24" t="str">
        <f aca="false">IF(A327="","",IF(OR(P327="",P327="Organic"),"social","paid_social"))</f>
        <v/>
      </c>
      <c r="X327" s="24" t="str">
        <f aca="false">IF(A327="","",IF(K327&lt;&gt;"",IFERROR(INDEX('Case Studies'!$C$5:$C$54,MATCH(K327,'Case Studies'!$B$5:$B$54,0))&amp;"","case-study"),IF(J327&lt;&gt;"",IFERROR(INDEX(Settings!$J$5:$J$55,MATCH(J327,Settings!$I$5:$I$55,0)),"general"),"general")))</f>
        <v/>
      </c>
      <c r="Y327" s="24" t="str">
        <f aca="false">IF(A327="","",LOWER(A327))</f>
        <v/>
      </c>
      <c r="Z327" s="24" t="str">
        <f aca="false">IF(A327="","",IF(T327="",Settings!$B$5,T327)&amp;IF(ISNUMBER(FIND("?",IF(T327="",Settings!$B$5,T327))),"&amp;","?")&amp;"utm_source="&amp;V327&amp;"&amp;utm_medium="&amp;W327&amp;"&amp;utm_campaign="&amp;X327&amp;"&amp;utm_content="&amp;Y327)</f>
        <v/>
      </c>
      <c r="AA327" s="29"/>
      <c r="AB327" s="39"/>
      <c r="AC327" s="32"/>
      <c r="AD327" s="32"/>
      <c r="AE327" s="32"/>
      <c r="AF327" s="32"/>
      <c r="AG327" s="32"/>
      <c r="AH327" s="32"/>
      <c r="AI327" s="32"/>
      <c r="AJ327" s="32"/>
      <c r="AK327" s="32"/>
      <c r="AL327" s="32"/>
      <c r="AM327" s="32"/>
      <c r="AN327" s="32"/>
      <c r="AO327" s="33" t="str">
        <f aca="false">IF(A327="","",IF(AD327&lt;&gt;"",AD327,IF(AC327&lt;&gt;"",AC327,"")))</f>
        <v/>
      </c>
      <c r="AP327" s="24" t="str">
        <f aca="false">IF(AO327="","",IF(AD327&lt;&gt;"","Reported reach","Impressions (proxy)"))</f>
        <v/>
      </c>
      <c r="AQ327" s="34" t="str">
        <f aca="false">IF(OR(AO327="",N(S327)=0),"",AO327/S327)</f>
        <v/>
      </c>
      <c r="AR327" s="33" t="str">
        <f aca="false">IF(A327="","",IF(COUNT(AF327:AJ327)=0,"",SUM(AF327:AJ327)))</f>
        <v/>
      </c>
      <c r="AS327" s="34" t="str">
        <f aca="false">IF(OR(AR327="",N(AO327)=0),"",AR327/AO327)</f>
        <v/>
      </c>
      <c r="AT327" s="34" t="str">
        <f aca="false">IF(OR(AR327="",N(AC327)=0),"",AR327/AC327)</f>
        <v/>
      </c>
      <c r="AU327" s="34" t="str">
        <f aca="false">IF(OR(AR327="",N(S327)=0),"",AR327/S327)</f>
        <v/>
      </c>
      <c r="AV327" s="34" t="str">
        <f aca="false">IF(OR(AJ327="",N(AC327)=0),"",AJ327/AC327)</f>
        <v/>
      </c>
      <c r="AW327" s="34" t="str">
        <f aca="false">IF(OR(AH327="",N(AO327)=0),"",AH327/AO327)</f>
        <v/>
      </c>
      <c r="AX327" s="35" t="str">
        <f aca="false">IF(OR(AR327="",N(AO327)=0),"",(N(AF327)*Settings!$B$6+N(AG327)*Settings!$B$7+N(AH327)*Settings!$B$8+N(AI327)*Settings!$B$9+N(AJ327)*Settings!$B$10)/AO327*1000)</f>
        <v/>
      </c>
      <c r="AY327" s="36" t="str">
        <f aca="false">IF(AS327="","",IFERROR(AS327/AVERAGEIFS('Post Tracker'!$AS$5:$AS$1004,'Post Tracker'!$G$5:$G$1004,G327),""))</f>
        <v/>
      </c>
      <c r="AZ327" s="32"/>
      <c r="BA327" s="32"/>
      <c r="BB327" s="32"/>
      <c r="BC327" s="32"/>
      <c r="BD327" s="33" t="str">
        <f aca="false">IF(A327="","",COUNTIFS('Demo Pipeline'!$Q$5:$Q$504,A327))</f>
        <v/>
      </c>
      <c r="BE327" s="33" t="str">
        <f aca="false">IF(A327="","",COUNTIFS('Demo Pipeline'!$Q$5:$Q$504,A327,'Demo Pipeline'!$W$5:$W$504,"Attended"))</f>
        <v/>
      </c>
      <c r="BF327" s="33" t="str">
        <f aca="false">IF(A327="","",COUNTIFS('Demo Pipeline'!$Q$5:$Q$504,A327,'Demo Pipeline'!$X$5:$X$504,"Yes"))</f>
        <v/>
      </c>
      <c r="BG327" s="33" t="str">
        <f aca="false">IF(A327="","",COUNTIFS('Demo Pipeline'!$Q$5:$Q$504,A327,'Demo Pipeline'!$Y$5:$Y$504,"Closed Won"))</f>
        <v/>
      </c>
      <c r="BH327" s="37" t="str">
        <f aca="false">IF(A327="","",SUMIFS('Demo Pipeline'!$Z$5:$Z$504,'Demo Pipeline'!$Q$5:$Q$504,A327))</f>
        <v/>
      </c>
      <c r="BI327" s="34" t="str">
        <f aca="false">IF(OR(AZ327="",N(AJ327)=0),"",AZ327/AJ327)</f>
        <v/>
      </c>
      <c r="BJ327" s="34" t="str">
        <f aca="false">IF(OR(BB327="",N(AZ327)=0),"",BB327/AZ327)</f>
        <v/>
      </c>
      <c r="BK327" s="34" t="str">
        <f aca="false">IF(OR(A327="",N(BB327)=0),"",BD327/BB327)</f>
        <v/>
      </c>
      <c r="BL327" s="34" t="str">
        <f aca="false">IF(OR(A327="",N(AZ327)=0),"",BD327/AZ327)</f>
        <v/>
      </c>
      <c r="BM327" s="37" t="str">
        <f aca="false">IF(OR(N(Q327)=0,N(BD327)=0),"",Q327/BD327)</f>
        <v/>
      </c>
      <c r="BN327" s="29"/>
      <c r="BO327" s="29"/>
      <c r="BP327" s="33" t="str">
        <f aca="false">IF(OR(AR327="",N(AO327)=0),"",AR327)</f>
        <v/>
      </c>
      <c r="BQ327" s="33" t="str">
        <f aca="false">IF(OR(AR327="",N(S327)=0),"",S327)</f>
        <v/>
      </c>
      <c r="BR327" s="38" t="str">
        <f aca="false">IF(AND(ISNUMBER(B327),B327&gt;=Dashboard!$C$4,B327&lt;=Dashboard!$F$4,ISNUMBER(AU327)),AU327+ROW()/10^9,"")</f>
        <v/>
      </c>
      <c r="BS327" s="38" t="str">
        <f aca="false">IF(AND(ISNUMBER(B327),B327&gt;=Dashboard!$C$4,B327&lt;=Dashboard!$F$4,A327&lt;&gt;""),N(BD327)+N(AU327)/100+ROW()/10^9,"")</f>
        <v/>
      </c>
    </row>
    <row r="328" customFormat="false" ht="15" hidden="false" customHeight="false" outlineLevel="0" collapsed="false">
      <c r="A328" s="24" t="str">
        <f aca="false">IF(OR(B328="",G328="",H328=""),"",IFERROR(INDEX(Settings!$E$5:$E$49,MATCH(G328,Settings!$D$5:$D$49,0))&amp;INDEX(Settings!$H$5:$H$47,MATCH(H328,Settings!$G$5:$G$47,0))&amp;"-"&amp;TEXT(B328,"yymmdd")&amp;"-"&amp;IF(C328="","0000",TEXT(C328,"hhmm")),"CHECK LISTS"))</f>
        <v/>
      </c>
      <c r="B328" s="39"/>
      <c r="C328" s="40"/>
      <c r="D328" s="24" t="str">
        <f aca="false">IF(B328="","",TEXT(B328,"ddd"))</f>
        <v/>
      </c>
      <c r="E328" s="27" t="str">
        <f aca="false">IF(B328="","",B328-WEEKDAY(B328,3))</f>
        <v/>
      </c>
      <c r="F328" s="24" t="str">
        <f aca="false">IF(B328="","",TEXT(B328,"yyyy-mm"))</f>
        <v/>
      </c>
      <c r="G328" s="29"/>
      <c r="H328" s="29"/>
      <c r="I328" s="29"/>
      <c r="J328" s="29"/>
      <c r="K328" s="29"/>
      <c r="L328" s="29"/>
      <c r="M328" s="29"/>
      <c r="N328" s="29"/>
      <c r="O328" s="29"/>
      <c r="P328" s="29"/>
      <c r="Q328" s="30"/>
      <c r="R328" s="29"/>
      <c r="S328" s="32"/>
      <c r="T328" s="29"/>
      <c r="U328" s="29"/>
      <c r="V328" s="24" t="str">
        <f aca="false">IF(A328="","",IFERROR(INDEX(Settings!$F$5:$F$49,MATCH(G328,Settings!$D$5:$D$49,0)),""))</f>
        <v/>
      </c>
      <c r="W328" s="24" t="str">
        <f aca="false">IF(A328="","",IF(OR(P328="",P328="Organic"),"social","paid_social"))</f>
        <v/>
      </c>
      <c r="X328" s="24" t="str">
        <f aca="false">IF(A328="","",IF(K328&lt;&gt;"",IFERROR(INDEX('Case Studies'!$C$5:$C$54,MATCH(K328,'Case Studies'!$B$5:$B$54,0))&amp;"","case-study"),IF(J328&lt;&gt;"",IFERROR(INDEX(Settings!$J$5:$J$55,MATCH(J328,Settings!$I$5:$I$55,0)),"general"),"general")))</f>
        <v/>
      </c>
      <c r="Y328" s="24" t="str">
        <f aca="false">IF(A328="","",LOWER(A328))</f>
        <v/>
      </c>
      <c r="Z328" s="24" t="str">
        <f aca="false">IF(A328="","",IF(T328="",Settings!$B$5,T328)&amp;IF(ISNUMBER(FIND("?",IF(T328="",Settings!$B$5,T328))),"&amp;","?")&amp;"utm_source="&amp;V328&amp;"&amp;utm_medium="&amp;W328&amp;"&amp;utm_campaign="&amp;X328&amp;"&amp;utm_content="&amp;Y328)</f>
        <v/>
      </c>
      <c r="AA328" s="29"/>
      <c r="AB328" s="39"/>
      <c r="AC328" s="32"/>
      <c r="AD328" s="32"/>
      <c r="AE328" s="32"/>
      <c r="AF328" s="32"/>
      <c r="AG328" s="32"/>
      <c r="AH328" s="32"/>
      <c r="AI328" s="32"/>
      <c r="AJ328" s="32"/>
      <c r="AK328" s="32"/>
      <c r="AL328" s="32"/>
      <c r="AM328" s="32"/>
      <c r="AN328" s="32"/>
      <c r="AO328" s="33" t="str">
        <f aca="false">IF(A328="","",IF(AD328&lt;&gt;"",AD328,IF(AC328&lt;&gt;"",AC328,"")))</f>
        <v/>
      </c>
      <c r="AP328" s="24" t="str">
        <f aca="false">IF(AO328="","",IF(AD328&lt;&gt;"","Reported reach","Impressions (proxy)"))</f>
        <v/>
      </c>
      <c r="AQ328" s="34" t="str">
        <f aca="false">IF(OR(AO328="",N(S328)=0),"",AO328/S328)</f>
        <v/>
      </c>
      <c r="AR328" s="33" t="str">
        <f aca="false">IF(A328="","",IF(COUNT(AF328:AJ328)=0,"",SUM(AF328:AJ328)))</f>
        <v/>
      </c>
      <c r="AS328" s="34" t="str">
        <f aca="false">IF(OR(AR328="",N(AO328)=0),"",AR328/AO328)</f>
        <v/>
      </c>
      <c r="AT328" s="34" t="str">
        <f aca="false">IF(OR(AR328="",N(AC328)=0),"",AR328/AC328)</f>
        <v/>
      </c>
      <c r="AU328" s="34" t="str">
        <f aca="false">IF(OR(AR328="",N(S328)=0),"",AR328/S328)</f>
        <v/>
      </c>
      <c r="AV328" s="34" t="str">
        <f aca="false">IF(OR(AJ328="",N(AC328)=0),"",AJ328/AC328)</f>
        <v/>
      </c>
      <c r="AW328" s="34" t="str">
        <f aca="false">IF(OR(AH328="",N(AO328)=0),"",AH328/AO328)</f>
        <v/>
      </c>
      <c r="AX328" s="35" t="str">
        <f aca="false">IF(OR(AR328="",N(AO328)=0),"",(N(AF328)*Settings!$B$6+N(AG328)*Settings!$B$7+N(AH328)*Settings!$B$8+N(AI328)*Settings!$B$9+N(AJ328)*Settings!$B$10)/AO328*1000)</f>
        <v/>
      </c>
      <c r="AY328" s="36" t="str">
        <f aca="false">IF(AS328="","",IFERROR(AS328/AVERAGEIFS('Post Tracker'!$AS$5:$AS$1004,'Post Tracker'!$G$5:$G$1004,G328),""))</f>
        <v/>
      </c>
      <c r="AZ328" s="32"/>
      <c r="BA328" s="32"/>
      <c r="BB328" s="32"/>
      <c r="BC328" s="32"/>
      <c r="BD328" s="33" t="str">
        <f aca="false">IF(A328="","",COUNTIFS('Demo Pipeline'!$Q$5:$Q$504,A328))</f>
        <v/>
      </c>
      <c r="BE328" s="33" t="str">
        <f aca="false">IF(A328="","",COUNTIFS('Demo Pipeline'!$Q$5:$Q$504,A328,'Demo Pipeline'!$W$5:$W$504,"Attended"))</f>
        <v/>
      </c>
      <c r="BF328" s="33" t="str">
        <f aca="false">IF(A328="","",COUNTIFS('Demo Pipeline'!$Q$5:$Q$504,A328,'Demo Pipeline'!$X$5:$X$504,"Yes"))</f>
        <v/>
      </c>
      <c r="BG328" s="33" t="str">
        <f aca="false">IF(A328="","",COUNTIFS('Demo Pipeline'!$Q$5:$Q$504,A328,'Demo Pipeline'!$Y$5:$Y$504,"Closed Won"))</f>
        <v/>
      </c>
      <c r="BH328" s="37" t="str">
        <f aca="false">IF(A328="","",SUMIFS('Demo Pipeline'!$Z$5:$Z$504,'Demo Pipeline'!$Q$5:$Q$504,A328))</f>
        <v/>
      </c>
      <c r="BI328" s="34" t="str">
        <f aca="false">IF(OR(AZ328="",N(AJ328)=0),"",AZ328/AJ328)</f>
        <v/>
      </c>
      <c r="BJ328" s="34" t="str">
        <f aca="false">IF(OR(BB328="",N(AZ328)=0),"",BB328/AZ328)</f>
        <v/>
      </c>
      <c r="BK328" s="34" t="str">
        <f aca="false">IF(OR(A328="",N(BB328)=0),"",BD328/BB328)</f>
        <v/>
      </c>
      <c r="BL328" s="34" t="str">
        <f aca="false">IF(OR(A328="",N(AZ328)=0),"",BD328/AZ328)</f>
        <v/>
      </c>
      <c r="BM328" s="37" t="str">
        <f aca="false">IF(OR(N(Q328)=0,N(BD328)=0),"",Q328/BD328)</f>
        <v/>
      </c>
      <c r="BN328" s="29"/>
      <c r="BO328" s="29"/>
      <c r="BP328" s="33" t="str">
        <f aca="false">IF(OR(AR328="",N(AO328)=0),"",AR328)</f>
        <v/>
      </c>
      <c r="BQ328" s="33" t="str">
        <f aca="false">IF(OR(AR328="",N(S328)=0),"",S328)</f>
        <v/>
      </c>
      <c r="BR328" s="38" t="str">
        <f aca="false">IF(AND(ISNUMBER(B328),B328&gt;=Dashboard!$C$4,B328&lt;=Dashboard!$F$4,ISNUMBER(AU328)),AU328+ROW()/10^9,"")</f>
        <v/>
      </c>
      <c r="BS328" s="38" t="str">
        <f aca="false">IF(AND(ISNUMBER(B328),B328&gt;=Dashboard!$C$4,B328&lt;=Dashboard!$F$4,A328&lt;&gt;""),N(BD328)+N(AU328)/100+ROW()/10^9,"")</f>
        <v/>
      </c>
    </row>
    <row r="329" customFormat="false" ht="15" hidden="false" customHeight="false" outlineLevel="0" collapsed="false">
      <c r="A329" s="24" t="str">
        <f aca="false">IF(OR(B329="",G329="",H329=""),"",IFERROR(INDEX(Settings!$E$5:$E$49,MATCH(G329,Settings!$D$5:$D$49,0))&amp;INDEX(Settings!$H$5:$H$47,MATCH(H329,Settings!$G$5:$G$47,0))&amp;"-"&amp;TEXT(B329,"yymmdd")&amp;"-"&amp;IF(C329="","0000",TEXT(C329,"hhmm")),"CHECK LISTS"))</f>
        <v/>
      </c>
      <c r="B329" s="39"/>
      <c r="C329" s="40"/>
      <c r="D329" s="24" t="str">
        <f aca="false">IF(B329="","",TEXT(B329,"ddd"))</f>
        <v/>
      </c>
      <c r="E329" s="27" t="str">
        <f aca="false">IF(B329="","",B329-WEEKDAY(B329,3))</f>
        <v/>
      </c>
      <c r="F329" s="24" t="str">
        <f aca="false">IF(B329="","",TEXT(B329,"yyyy-mm"))</f>
        <v/>
      </c>
      <c r="G329" s="29"/>
      <c r="H329" s="29"/>
      <c r="I329" s="29"/>
      <c r="J329" s="29"/>
      <c r="K329" s="29"/>
      <c r="L329" s="29"/>
      <c r="M329" s="29"/>
      <c r="N329" s="29"/>
      <c r="O329" s="29"/>
      <c r="P329" s="29"/>
      <c r="Q329" s="30"/>
      <c r="R329" s="29"/>
      <c r="S329" s="32"/>
      <c r="T329" s="29"/>
      <c r="U329" s="29"/>
      <c r="V329" s="24" t="str">
        <f aca="false">IF(A329="","",IFERROR(INDEX(Settings!$F$5:$F$49,MATCH(G329,Settings!$D$5:$D$49,0)),""))</f>
        <v/>
      </c>
      <c r="W329" s="24" t="str">
        <f aca="false">IF(A329="","",IF(OR(P329="",P329="Organic"),"social","paid_social"))</f>
        <v/>
      </c>
      <c r="X329" s="24" t="str">
        <f aca="false">IF(A329="","",IF(K329&lt;&gt;"",IFERROR(INDEX('Case Studies'!$C$5:$C$54,MATCH(K329,'Case Studies'!$B$5:$B$54,0))&amp;"","case-study"),IF(J329&lt;&gt;"",IFERROR(INDEX(Settings!$J$5:$J$55,MATCH(J329,Settings!$I$5:$I$55,0)),"general"),"general")))</f>
        <v/>
      </c>
      <c r="Y329" s="24" t="str">
        <f aca="false">IF(A329="","",LOWER(A329))</f>
        <v/>
      </c>
      <c r="Z329" s="24" t="str">
        <f aca="false">IF(A329="","",IF(T329="",Settings!$B$5,T329)&amp;IF(ISNUMBER(FIND("?",IF(T329="",Settings!$B$5,T329))),"&amp;","?")&amp;"utm_source="&amp;V329&amp;"&amp;utm_medium="&amp;W329&amp;"&amp;utm_campaign="&amp;X329&amp;"&amp;utm_content="&amp;Y329)</f>
        <v/>
      </c>
      <c r="AA329" s="29"/>
      <c r="AB329" s="39"/>
      <c r="AC329" s="32"/>
      <c r="AD329" s="32"/>
      <c r="AE329" s="32"/>
      <c r="AF329" s="32"/>
      <c r="AG329" s="32"/>
      <c r="AH329" s="32"/>
      <c r="AI329" s="32"/>
      <c r="AJ329" s="32"/>
      <c r="AK329" s="32"/>
      <c r="AL329" s="32"/>
      <c r="AM329" s="32"/>
      <c r="AN329" s="32"/>
      <c r="AO329" s="33" t="str">
        <f aca="false">IF(A329="","",IF(AD329&lt;&gt;"",AD329,IF(AC329&lt;&gt;"",AC329,"")))</f>
        <v/>
      </c>
      <c r="AP329" s="24" t="str">
        <f aca="false">IF(AO329="","",IF(AD329&lt;&gt;"","Reported reach","Impressions (proxy)"))</f>
        <v/>
      </c>
      <c r="AQ329" s="34" t="str">
        <f aca="false">IF(OR(AO329="",N(S329)=0),"",AO329/S329)</f>
        <v/>
      </c>
      <c r="AR329" s="33" t="str">
        <f aca="false">IF(A329="","",IF(COUNT(AF329:AJ329)=0,"",SUM(AF329:AJ329)))</f>
        <v/>
      </c>
      <c r="AS329" s="34" t="str">
        <f aca="false">IF(OR(AR329="",N(AO329)=0),"",AR329/AO329)</f>
        <v/>
      </c>
      <c r="AT329" s="34" t="str">
        <f aca="false">IF(OR(AR329="",N(AC329)=0),"",AR329/AC329)</f>
        <v/>
      </c>
      <c r="AU329" s="34" t="str">
        <f aca="false">IF(OR(AR329="",N(S329)=0),"",AR329/S329)</f>
        <v/>
      </c>
      <c r="AV329" s="34" t="str">
        <f aca="false">IF(OR(AJ329="",N(AC329)=0),"",AJ329/AC329)</f>
        <v/>
      </c>
      <c r="AW329" s="34" t="str">
        <f aca="false">IF(OR(AH329="",N(AO329)=0),"",AH329/AO329)</f>
        <v/>
      </c>
      <c r="AX329" s="35" t="str">
        <f aca="false">IF(OR(AR329="",N(AO329)=0),"",(N(AF329)*Settings!$B$6+N(AG329)*Settings!$B$7+N(AH329)*Settings!$B$8+N(AI329)*Settings!$B$9+N(AJ329)*Settings!$B$10)/AO329*1000)</f>
        <v/>
      </c>
      <c r="AY329" s="36" t="str">
        <f aca="false">IF(AS329="","",IFERROR(AS329/AVERAGEIFS('Post Tracker'!$AS$5:$AS$1004,'Post Tracker'!$G$5:$G$1004,G329),""))</f>
        <v/>
      </c>
      <c r="AZ329" s="32"/>
      <c r="BA329" s="32"/>
      <c r="BB329" s="32"/>
      <c r="BC329" s="32"/>
      <c r="BD329" s="33" t="str">
        <f aca="false">IF(A329="","",COUNTIFS('Demo Pipeline'!$Q$5:$Q$504,A329))</f>
        <v/>
      </c>
      <c r="BE329" s="33" t="str">
        <f aca="false">IF(A329="","",COUNTIFS('Demo Pipeline'!$Q$5:$Q$504,A329,'Demo Pipeline'!$W$5:$W$504,"Attended"))</f>
        <v/>
      </c>
      <c r="BF329" s="33" t="str">
        <f aca="false">IF(A329="","",COUNTIFS('Demo Pipeline'!$Q$5:$Q$504,A329,'Demo Pipeline'!$X$5:$X$504,"Yes"))</f>
        <v/>
      </c>
      <c r="BG329" s="33" t="str">
        <f aca="false">IF(A329="","",COUNTIFS('Demo Pipeline'!$Q$5:$Q$504,A329,'Demo Pipeline'!$Y$5:$Y$504,"Closed Won"))</f>
        <v/>
      </c>
      <c r="BH329" s="37" t="str">
        <f aca="false">IF(A329="","",SUMIFS('Demo Pipeline'!$Z$5:$Z$504,'Demo Pipeline'!$Q$5:$Q$504,A329))</f>
        <v/>
      </c>
      <c r="BI329" s="34" t="str">
        <f aca="false">IF(OR(AZ329="",N(AJ329)=0),"",AZ329/AJ329)</f>
        <v/>
      </c>
      <c r="BJ329" s="34" t="str">
        <f aca="false">IF(OR(BB329="",N(AZ329)=0),"",BB329/AZ329)</f>
        <v/>
      </c>
      <c r="BK329" s="34" t="str">
        <f aca="false">IF(OR(A329="",N(BB329)=0),"",BD329/BB329)</f>
        <v/>
      </c>
      <c r="BL329" s="34" t="str">
        <f aca="false">IF(OR(A329="",N(AZ329)=0),"",BD329/AZ329)</f>
        <v/>
      </c>
      <c r="BM329" s="37" t="str">
        <f aca="false">IF(OR(N(Q329)=0,N(BD329)=0),"",Q329/BD329)</f>
        <v/>
      </c>
      <c r="BN329" s="29"/>
      <c r="BO329" s="29"/>
      <c r="BP329" s="33" t="str">
        <f aca="false">IF(OR(AR329="",N(AO329)=0),"",AR329)</f>
        <v/>
      </c>
      <c r="BQ329" s="33" t="str">
        <f aca="false">IF(OR(AR329="",N(S329)=0),"",S329)</f>
        <v/>
      </c>
      <c r="BR329" s="38" t="str">
        <f aca="false">IF(AND(ISNUMBER(B329),B329&gt;=Dashboard!$C$4,B329&lt;=Dashboard!$F$4,ISNUMBER(AU329)),AU329+ROW()/10^9,"")</f>
        <v/>
      </c>
      <c r="BS329" s="38" t="str">
        <f aca="false">IF(AND(ISNUMBER(B329),B329&gt;=Dashboard!$C$4,B329&lt;=Dashboard!$F$4,A329&lt;&gt;""),N(BD329)+N(AU329)/100+ROW()/10^9,"")</f>
        <v/>
      </c>
    </row>
    <row r="330" customFormat="false" ht="15" hidden="false" customHeight="false" outlineLevel="0" collapsed="false">
      <c r="A330" s="24" t="str">
        <f aca="false">IF(OR(B330="",G330="",H330=""),"",IFERROR(INDEX(Settings!$E$5:$E$49,MATCH(G330,Settings!$D$5:$D$49,0))&amp;INDEX(Settings!$H$5:$H$47,MATCH(H330,Settings!$G$5:$G$47,0))&amp;"-"&amp;TEXT(B330,"yymmdd")&amp;"-"&amp;IF(C330="","0000",TEXT(C330,"hhmm")),"CHECK LISTS"))</f>
        <v/>
      </c>
      <c r="B330" s="39"/>
      <c r="C330" s="40"/>
      <c r="D330" s="24" t="str">
        <f aca="false">IF(B330="","",TEXT(B330,"ddd"))</f>
        <v/>
      </c>
      <c r="E330" s="27" t="str">
        <f aca="false">IF(B330="","",B330-WEEKDAY(B330,3))</f>
        <v/>
      </c>
      <c r="F330" s="24" t="str">
        <f aca="false">IF(B330="","",TEXT(B330,"yyyy-mm"))</f>
        <v/>
      </c>
      <c r="G330" s="29"/>
      <c r="H330" s="29"/>
      <c r="I330" s="29"/>
      <c r="J330" s="29"/>
      <c r="K330" s="29"/>
      <c r="L330" s="29"/>
      <c r="M330" s="29"/>
      <c r="N330" s="29"/>
      <c r="O330" s="29"/>
      <c r="P330" s="29"/>
      <c r="Q330" s="30"/>
      <c r="R330" s="29"/>
      <c r="S330" s="32"/>
      <c r="T330" s="29"/>
      <c r="U330" s="29"/>
      <c r="V330" s="24" t="str">
        <f aca="false">IF(A330="","",IFERROR(INDEX(Settings!$F$5:$F$49,MATCH(G330,Settings!$D$5:$D$49,0)),""))</f>
        <v/>
      </c>
      <c r="W330" s="24" t="str">
        <f aca="false">IF(A330="","",IF(OR(P330="",P330="Organic"),"social","paid_social"))</f>
        <v/>
      </c>
      <c r="X330" s="24" t="str">
        <f aca="false">IF(A330="","",IF(K330&lt;&gt;"",IFERROR(INDEX('Case Studies'!$C$5:$C$54,MATCH(K330,'Case Studies'!$B$5:$B$54,0))&amp;"","case-study"),IF(J330&lt;&gt;"",IFERROR(INDEX(Settings!$J$5:$J$55,MATCH(J330,Settings!$I$5:$I$55,0)),"general"),"general")))</f>
        <v/>
      </c>
      <c r="Y330" s="24" t="str">
        <f aca="false">IF(A330="","",LOWER(A330))</f>
        <v/>
      </c>
      <c r="Z330" s="24" t="str">
        <f aca="false">IF(A330="","",IF(T330="",Settings!$B$5,T330)&amp;IF(ISNUMBER(FIND("?",IF(T330="",Settings!$B$5,T330))),"&amp;","?")&amp;"utm_source="&amp;V330&amp;"&amp;utm_medium="&amp;W330&amp;"&amp;utm_campaign="&amp;X330&amp;"&amp;utm_content="&amp;Y330)</f>
        <v/>
      </c>
      <c r="AA330" s="29"/>
      <c r="AB330" s="39"/>
      <c r="AC330" s="32"/>
      <c r="AD330" s="32"/>
      <c r="AE330" s="32"/>
      <c r="AF330" s="32"/>
      <c r="AG330" s="32"/>
      <c r="AH330" s="32"/>
      <c r="AI330" s="32"/>
      <c r="AJ330" s="32"/>
      <c r="AK330" s="32"/>
      <c r="AL330" s="32"/>
      <c r="AM330" s="32"/>
      <c r="AN330" s="32"/>
      <c r="AO330" s="33" t="str">
        <f aca="false">IF(A330="","",IF(AD330&lt;&gt;"",AD330,IF(AC330&lt;&gt;"",AC330,"")))</f>
        <v/>
      </c>
      <c r="AP330" s="24" t="str">
        <f aca="false">IF(AO330="","",IF(AD330&lt;&gt;"","Reported reach","Impressions (proxy)"))</f>
        <v/>
      </c>
      <c r="AQ330" s="34" t="str">
        <f aca="false">IF(OR(AO330="",N(S330)=0),"",AO330/S330)</f>
        <v/>
      </c>
      <c r="AR330" s="33" t="str">
        <f aca="false">IF(A330="","",IF(COUNT(AF330:AJ330)=0,"",SUM(AF330:AJ330)))</f>
        <v/>
      </c>
      <c r="AS330" s="34" t="str">
        <f aca="false">IF(OR(AR330="",N(AO330)=0),"",AR330/AO330)</f>
        <v/>
      </c>
      <c r="AT330" s="34" t="str">
        <f aca="false">IF(OR(AR330="",N(AC330)=0),"",AR330/AC330)</f>
        <v/>
      </c>
      <c r="AU330" s="34" t="str">
        <f aca="false">IF(OR(AR330="",N(S330)=0),"",AR330/S330)</f>
        <v/>
      </c>
      <c r="AV330" s="34" t="str">
        <f aca="false">IF(OR(AJ330="",N(AC330)=0),"",AJ330/AC330)</f>
        <v/>
      </c>
      <c r="AW330" s="34" t="str">
        <f aca="false">IF(OR(AH330="",N(AO330)=0),"",AH330/AO330)</f>
        <v/>
      </c>
      <c r="AX330" s="35" t="str">
        <f aca="false">IF(OR(AR330="",N(AO330)=0),"",(N(AF330)*Settings!$B$6+N(AG330)*Settings!$B$7+N(AH330)*Settings!$B$8+N(AI330)*Settings!$B$9+N(AJ330)*Settings!$B$10)/AO330*1000)</f>
        <v/>
      </c>
      <c r="AY330" s="36" t="str">
        <f aca="false">IF(AS330="","",IFERROR(AS330/AVERAGEIFS('Post Tracker'!$AS$5:$AS$1004,'Post Tracker'!$G$5:$G$1004,G330),""))</f>
        <v/>
      </c>
      <c r="AZ330" s="32"/>
      <c r="BA330" s="32"/>
      <c r="BB330" s="32"/>
      <c r="BC330" s="32"/>
      <c r="BD330" s="33" t="str">
        <f aca="false">IF(A330="","",COUNTIFS('Demo Pipeline'!$Q$5:$Q$504,A330))</f>
        <v/>
      </c>
      <c r="BE330" s="33" t="str">
        <f aca="false">IF(A330="","",COUNTIFS('Demo Pipeline'!$Q$5:$Q$504,A330,'Demo Pipeline'!$W$5:$W$504,"Attended"))</f>
        <v/>
      </c>
      <c r="BF330" s="33" t="str">
        <f aca="false">IF(A330="","",COUNTIFS('Demo Pipeline'!$Q$5:$Q$504,A330,'Demo Pipeline'!$X$5:$X$504,"Yes"))</f>
        <v/>
      </c>
      <c r="BG330" s="33" t="str">
        <f aca="false">IF(A330="","",COUNTIFS('Demo Pipeline'!$Q$5:$Q$504,A330,'Demo Pipeline'!$Y$5:$Y$504,"Closed Won"))</f>
        <v/>
      </c>
      <c r="BH330" s="37" t="str">
        <f aca="false">IF(A330="","",SUMIFS('Demo Pipeline'!$Z$5:$Z$504,'Demo Pipeline'!$Q$5:$Q$504,A330))</f>
        <v/>
      </c>
      <c r="BI330" s="34" t="str">
        <f aca="false">IF(OR(AZ330="",N(AJ330)=0),"",AZ330/AJ330)</f>
        <v/>
      </c>
      <c r="BJ330" s="34" t="str">
        <f aca="false">IF(OR(BB330="",N(AZ330)=0),"",BB330/AZ330)</f>
        <v/>
      </c>
      <c r="BK330" s="34" t="str">
        <f aca="false">IF(OR(A330="",N(BB330)=0),"",BD330/BB330)</f>
        <v/>
      </c>
      <c r="BL330" s="34" t="str">
        <f aca="false">IF(OR(A330="",N(AZ330)=0),"",BD330/AZ330)</f>
        <v/>
      </c>
      <c r="BM330" s="37" t="str">
        <f aca="false">IF(OR(N(Q330)=0,N(BD330)=0),"",Q330/BD330)</f>
        <v/>
      </c>
      <c r="BN330" s="29"/>
      <c r="BO330" s="29"/>
      <c r="BP330" s="33" t="str">
        <f aca="false">IF(OR(AR330="",N(AO330)=0),"",AR330)</f>
        <v/>
      </c>
      <c r="BQ330" s="33" t="str">
        <f aca="false">IF(OR(AR330="",N(S330)=0),"",S330)</f>
        <v/>
      </c>
      <c r="BR330" s="38" t="str">
        <f aca="false">IF(AND(ISNUMBER(B330),B330&gt;=Dashboard!$C$4,B330&lt;=Dashboard!$F$4,ISNUMBER(AU330)),AU330+ROW()/10^9,"")</f>
        <v/>
      </c>
      <c r="BS330" s="38" t="str">
        <f aca="false">IF(AND(ISNUMBER(B330),B330&gt;=Dashboard!$C$4,B330&lt;=Dashboard!$F$4,A330&lt;&gt;""),N(BD330)+N(AU330)/100+ROW()/10^9,"")</f>
        <v/>
      </c>
    </row>
    <row r="331" customFormat="false" ht="15" hidden="false" customHeight="false" outlineLevel="0" collapsed="false">
      <c r="A331" s="24" t="str">
        <f aca="false">IF(OR(B331="",G331="",H331=""),"",IFERROR(INDEX(Settings!$E$5:$E$49,MATCH(G331,Settings!$D$5:$D$49,0))&amp;INDEX(Settings!$H$5:$H$47,MATCH(H331,Settings!$G$5:$G$47,0))&amp;"-"&amp;TEXT(B331,"yymmdd")&amp;"-"&amp;IF(C331="","0000",TEXT(C331,"hhmm")),"CHECK LISTS"))</f>
        <v/>
      </c>
      <c r="B331" s="39"/>
      <c r="C331" s="40"/>
      <c r="D331" s="24" t="str">
        <f aca="false">IF(B331="","",TEXT(B331,"ddd"))</f>
        <v/>
      </c>
      <c r="E331" s="27" t="str">
        <f aca="false">IF(B331="","",B331-WEEKDAY(B331,3))</f>
        <v/>
      </c>
      <c r="F331" s="24" t="str">
        <f aca="false">IF(B331="","",TEXT(B331,"yyyy-mm"))</f>
        <v/>
      </c>
      <c r="G331" s="29"/>
      <c r="H331" s="29"/>
      <c r="I331" s="29"/>
      <c r="J331" s="29"/>
      <c r="K331" s="29"/>
      <c r="L331" s="29"/>
      <c r="M331" s="29"/>
      <c r="N331" s="29"/>
      <c r="O331" s="29"/>
      <c r="P331" s="29"/>
      <c r="Q331" s="30"/>
      <c r="R331" s="29"/>
      <c r="S331" s="32"/>
      <c r="T331" s="29"/>
      <c r="U331" s="29"/>
      <c r="V331" s="24" t="str">
        <f aca="false">IF(A331="","",IFERROR(INDEX(Settings!$F$5:$F$49,MATCH(G331,Settings!$D$5:$D$49,0)),""))</f>
        <v/>
      </c>
      <c r="W331" s="24" t="str">
        <f aca="false">IF(A331="","",IF(OR(P331="",P331="Organic"),"social","paid_social"))</f>
        <v/>
      </c>
      <c r="X331" s="24" t="str">
        <f aca="false">IF(A331="","",IF(K331&lt;&gt;"",IFERROR(INDEX('Case Studies'!$C$5:$C$54,MATCH(K331,'Case Studies'!$B$5:$B$54,0))&amp;"","case-study"),IF(J331&lt;&gt;"",IFERROR(INDEX(Settings!$J$5:$J$55,MATCH(J331,Settings!$I$5:$I$55,0)),"general"),"general")))</f>
        <v/>
      </c>
      <c r="Y331" s="24" t="str">
        <f aca="false">IF(A331="","",LOWER(A331))</f>
        <v/>
      </c>
      <c r="Z331" s="24" t="str">
        <f aca="false">IF(A331="","",IF(T331="",Settings!$B$5,T331)&amp;IF(ISNUMBER(FIND("?",IF(T331="",Settings!$B$5,T331))),"&amp;","?")&amp;"utm_source="&amp;V331&amp;"&amp;utm_medium="&amp;W331&amp;"&amp;utm_campaign="&amp;X331&amp;"&amp;utm_content="&amp;Y331)</f>
        <v/>
      </c>
      <c r="AA331" s="29"/>
      <c r="AB331" s="39"/>
      <c r="AC331" s="32"/>
      <c r="AD331" s="32"/>
      <c r="AE331" s="32"/>
      <c r="AF331" s="32"/>
      <c r="AG331" s="32"/>
      <c r="AH331" s="32"/>
      <c r="AI331" s="32"/>
      <c r="AJ331" s="32"/>
      <c r="AK331" s="32"/>
      <c r="AL331" s="32"/>
      <c r="AM331" s="32"/>
      <c r="AN331" s="32"/>
      <c r="AO331" s="33" t="str">
        <f aca="false">IF(A331="","",IF(AD331&lt;&gt;"",AD331,IF(AC331&lt;&gt;"",AC331,"")))</f>
        <v/>
      </c>
      <c r="AP331" s="24" t="str">
        <f aca="false">IF(AO331="","",IF(AD331&lt;&gt;"","Reported reach","Impressions (proxy)"))</f>
        <v/>
      </c>
      <c r="AQ331" s="34" t="str">
        <f aca="false">IF(OR(AO331="",N(S331)=0),"",AO331/S331)</f>
        <v/>
      </c>
      <c r="AR331" s="33" t="str">
        <f aca="false">IF(A331="","",IF(COUNT(AF331:AJ331)=0,"",SUM(AF331:AJ331)))</f>
        <v/>
      </c>
      <c r="AS331" s="34" t="str">
        <f aca="false">IF(OR(AR331="",N(AO331)=0),"",AR331/AO331)</f>
        <v/>
      </c>
      <c r="AT331" s="34" t="str">
        <f aca="false">IF(OR(AR331="",N(AC331)=0),"",AR331/AC331)</f>
        <v/>
      </c>
      <c r="AU331" s="34" t="str">
        <f aca="false">IF(OR(AR331="",N(S331)=0),"",AR331/S331)</f>
        <v/>
      </c>
      <c r="AV331" s="34" t="str">
        <f aca="false">IF(OR(AJ331="",N(AC331)=0),"",AJ331/AC331)</f>
        <v/>
      </c>
      <c r="AW331" s="34" t="str">
        <f aca="false">IF(OR(AH331="",N(AO331)=0),"",AH331/AO331)</f>
        <v/>
      </c>
      <c r="AX331" s="35" t="str">
        <f aca="false">IF(OR(AR331="",N(AO331)=0),"",(N(AF331)*Settings!$B$6+N(AG331)*Settings!$B$7+N(AH331)*Settings!$B$8+N(AI331)*Settings!$B$9+N(AJ331)*Settings!$B$10)/AO331*1000)</f>
        <v/>
      </c>
      <c r="AY331" s="36" t="str">
        <f aca="false">IF(AS331="","",IFERROR(AS331/AVERAGEIFS('Post Tracker'!$AS$5:$AS$1004,'Post Tracker'!$G$5:$G$1004,G331),""))</f>
        <v/>
      </c>
      <c r="AZ331" s="32"/>
      <c r="BA331" s="32"/>
      <c r="BB331" s="32"/>
      <c r="BC331" s="32"/>
      <c r="BD331" s="33" t="str">
        <f aca="false">IF(A331="","",COUNTIFS('Demo Pipeline'!$Q$5:$Q$504,A331))</f>
        <v/>
      </c>
      <c r="BE331" s="33" t="str">
        <f aca="false">IF(A331="","",COUNTIFS('Demo Pipeline'!$Q$5:$Q$504,A331,'Demo Pipeline'!$W$5:$W$504,"Attended"))</f>
        <v/>
      </c>
      <c r="BF331" s="33" t="str">
        <f aca="false">IF(A331="","",COUNTIFS('Demo Pipeline'!$Q$5:$Q$504,A331,'Demo Pipeline'!$X$5:$X$504,"Yes"))</f>
        <v/>
      </c>
      <c r="BG331" s="33" t="str">
        <f aca="false">IF(A331="","",COUNTIFS('Demo Pipeline'!$Q$5:$Q$504,A331,'Demo Pipeline'!$Y$5:$Y$504,"Closed Won"))</f>
        <v/>
      </c>
      <c r="BH331" s="37" t="str">
        <f aca="false">IF(A331="","",SUMIFS('Demo Pipeline'!$Z$5:$Z$504,'Demo Pipeline'!$Q$5:$Q$504,A331))</f>
        <v/>
      </c>
      <c r="BI331" s="34" t="str">
        <f aca="false">IF(OR(AZ331="",N(AJ331)=0),"",AZ331/AJ331)</f>
        <v/>
      </c>
      <c r="BJ331" s="34" t="str">
        <f aca="false">IF(OR(BB331="",N(AZ331)=0),"",BB331/AZ331)</f>
        <v/>
      </c>
      <c r="BK331" s="34" t="str">
        <f aca="false">IF(OR(A331="",N(BB331)=0),"",BD331/BB331)</f>
        <v/>
      </c>
      <c r="BL331" s="34" t="str">
        <f aca="false">IF(OR(A331="",N(AZ331)=0),"",BD331/AZ331)</f>
        <v/>
      </c>
      <c r="BM331" s="37" t="str">
        <f aca="false">IF(OR(N(Q331)=0,N(BD331)=0),"",Q331/BD331)</f>
        <v/>
      </c>
      <c r="BN331" s="29"/>
      <c r="BO331" s="29"/>
      <c r="BP331" s="33" t="str">
        <f aca="false">IF(OR(AR331="",N(AO331)=0),"",AR331)</f>
        <v/>
      </c>
      <c r="BQ331" s="33" t="str">
        <f aca="false">IF(OR(AR331="",N(S331)=0),"",S331)</f>
        <v/>
      </c>
      <c r="BR331" s="38" t="str">
        <f aca="false">IF(AND(ISNUMBER(B331),B331&gt;=Dashboard!$C$4,B331&lt;=Dashboard!$F$4,ISNUMBER(AU331)),AU331+ROW()/10^9,"")</f>
        <v/>
      </c>
      <c r="BS331" s="38" t="str">
        <f aca="false">IF(AND(ISNUMBER(B331),B331&gt;=Dashboard!$C$4,B331&lt;=Dashboard!$F$4,A331&lt;&gt;""),N(BD331)+N(AU331)/100+ROW()/10^9,"")</f>
        <v/>
      </c>
    </row>
    <row r="332" customFormat="false" ht="15" hidden="false" customHeight="false" outlineLevel="0" collapsed="false">
      <c r="A332" s="24" t="str">
        <f aca="false">IF(OR(B332="",G332="",H332=""),"",IFERROR(INDEX(Settings!$E$5:$E$49,MATCH(G332,Settings!$D$5:$D$49,0))&amp;INDEX(Settings!$H$5:$H$47,MATCH(H332,Settings!$G$5:$G$47,0))&amp;"-"&amp;TEXT(B332,"yymmdd")&amp;"-"&amp;IF(C332="","0000",TEXT(C332,"hhmm")),"CHECK LISTS"))</f>
        <v/>
      </c>
      <c r="B332" s="39"/>
      <c r="C332" s="40"/>
      <c r="D332" s="24" t="str">
        <f aca="false">IF(B332="","",TEXT(B332,"ddd"))</f>
        <v/>
      </c>
      <c r="E332" s="27" t="str">
        <f aca="false">IF(B332="","",B332-WEEKDAY(B332,3))</f>
        <v/>
      </c>
      <c r="F332" s="24" t="str">
        <f aca="false">IF(B332="","",TEXT(B332,"yyyy-mm"))</f>
        <v/>
      </c>
      <c r="G332" s="29"/>
      <c r="H332" s="29"/>
      <c r="I332" s="29"/>
      <c r="J332" s="29"/>
      <c r="K332" s="29"/>
      <c r="L332" s="29"/>
      <c r="M332" s="29"/>
      <c r="N332" s="29"/>
      <c r="O332" s="29"/>
      <c r="P332" s="29"/>
      <c r="Q332" s="30"/>
      <c r="R332" s="29"/>
      <c r="S332" s="32"/>
      <c r="T332" s="29"/>
      <c r="U332" s="29"/>
      <c r="V332" s="24" t="str">
        <f aca="false">IF(A332="","",IFERROR(INDEX(Settings!$F$5:$F$49,MATCH(G332,Settings!$D$5:$D$49,0)),""))</f>
        <v/>
      </c>
      <c r="W332" s="24" t="str">
        <f aca="false">IF(A332="","",IF(OR(P332="",P332="Organic"),"social","paid_social"))</f>
        <v/>
      </c>
      <c r="X332" s="24" t="str">
        <f aca="false">IF(A332="","",IF(K332&lt;&gt;"",IFERROR(INDEX('Case Studies'!$C$5:$C$54,MATCH(K332,'Case Studies'!$B$5:$B$54,0))&amp;"","case-study"),IF(J332&lt;&gt;"",IFERROR(INDEX(Settings!$J$5:$J$55,MATCH(J332,Settings!$I$5:$I$55,0)),"general"),"general")))</f>
        <v/>
      </c>
      <c r="Y332" s="24" t="str">
        <f aca="false">IF(A332="","",LOWER(A332))</f>
        <v/>
      </c>
      <c r="Z332" s="24" t="str">
        <f aca="false">IF(A332="","",IF(T332="",Settings!$B$5,T332)&amp;IF(ISNUMBER(FIND("?",IF(T332="",Settings!$B$5,T332))),"&amp;","?")&amp;"utm_source="&amp;V332&amp;"&amp;utm_medium="&amp;W332&amp;"&amp;utm_campaign="&amp;X332&amp;"&amp;utm_content="&amp;Y332)</f>
        <v/>
      </c>
      <c r="AA332" s="29"/>
      <c r="AB332" s="39"/>
      <c r="AC332" s="32"/>
      <c r="AD332" s="32"/>
      <c r="AE332" s="32"/>
      <c r="AF332" s="32"/>
      <c r="AG332" s="32"/>
      <c r="AH332" s="32"/>
      <c r="AI332" s="32"/>
      <c r="AJ332" s="32"/>
      <c r="AK332" s="32"/>
      <c r="AL332" s="32"/>
      <c r="AM332" s="32"/>
      <c r="AN332" s="32"/>
      <c r="AO332" s="33" t="str">
        <f aca="false">IF(A332="","",IF(AD332&lt;&gt;"",AD332,IF(AC332&lt;&gt;"",AC332,"")))</f>
        <v/>
      </c>
      <c r="AP332" s="24" t="str">
        <f aca="false">IF(AO332="","",IF(AD332&lt;&gt;"","Reported reach","Impressions (proxy)"))</f>
        <v/>
      </c>
      <c r="AQ332" s="34" t="str">
        <f aca="false">IF(OR(AO332="",N(S332)=0),"",AO332/S332)</f>
        <v/>
      </c>
      <c r="AR332" s="33" t="str">
        <f aca="false">IF(A332="","",IF(COUNT(AF332:AJ332)=0,"",SUM(AF332:AJ332)))</f>
        <v/>
      </c>
      <c r="AS332" s="34" t="str">
        <f aca="false">IF(OR(AR332="",N(AO332)=0),"",AR332/AO332)</f>
        <v/>
      </c>
      <c r="AT332" s="34" t="str">
        <f aca="false">IF(OR(AR332="",N(AC332)=0),"",AR332/AC332)</f>
        <v/>
      </c>
      <c r="AU332" s="34" t="str">
        <f aca="false">IF(OR(AR332="",N(S332)=0),"",AR332/S332)</f>
        <v/>
      </c>
      <c r="AV332" s="34" t="str">
        <f aca="false">IF(OR(AJ332="",N(AC332)=0),"",AJ332/AC332)</f>
        <v/>
      </c>
      <c r="AW332" s="34" t="str">
        <f aca="false">IF(OR(AH332="",N(AO332)=0),"",AH332/AO332)</f>
        <v/>
      </c>
      <c r="AX332" s="35" t="str">
        <f aca="false">IF(OR(AR332="",N(AO332)=0),"",(N(AF332)*Settings!$B$6+N(AG332)*Settings!$B$7+N(AH332)*Settings!$B$8+N(AI332)*Settings!$B$9+N(AJ332)*Settings!$B$10)/AO332*1000)</f>
        <v/>
      </c>
      <c r="AY332" s="36" t="str">
        <f aca="false">IF(AS332="","",IFERROR(AS332/AVERAGEIFS('Post Tracker'!$AS$5:$AS$1004,'Post Tracker'!$G$5:$G$1004,G332),""))</f>
        <v/>
      </c>
      <c r="AZ332" s="32"/>
      <c r="BA332" s="32"/>
      <c r="BB332" s="32"/>
      <c r="BC332" s="32"/>
      <c r="BD332" s="33" t="str">
        <f aca="false">IF(A332="","",COUNTIFS('Demo Pipeline'!$Q$5:$Q$504,A332))</f>
        <v/>
      </c>
      <c r="BE332" s="33" t="str">
        <f aca="false">IF(A332="","",COUNTIFS('Demo Pipeline'!$Q$5:$Q$504,A332,'Demo Pipeline'!$W$5:$W$504,"Attended"))</f>
        <v/>
      </c>
      <c r="BF332" s="33" t="str">
        <f aca="false">IF(A332="","",COUNTIFS('Demo Pipeline'!$Q$5:$Q$504,A332,'Demo Pipeline'!$X$5:$X$504,"Yes"))</f>
        <v/>
      </c>
      <c r="BG332" s="33" t="str">
        <f aca="false">IF(A332="","",COUNTIFS('Demo Pipeline'!$Q$5:$Q$504,A332,'Demo Pipeline'!$Y$5:$Y$504,"Closed Won"))</f>
        <v/>
      </c>
      <c r="BH332" s="37" t="str">
        <f aca="false">IF(A332="","",SUMIFS('Demo Pipeline'!$Z$5:$Z$504,'Demo Pipeline'!$Q$5:$Q$504,A332))</f>
        <v/>
      </c>
      <c r="BI332" s="34" t="str">
        <f aca="false">IF(OR(AZ332="",N(AJ332)=0),"",AZ332/AJ332)</f>
        <v/>
      </c>
      <c r="BJ332" s="34" t="str">
        <f aca="false">IF(OR(BB332="",N(AZ332)=0),"",BB332/AZ332)</f>
        <v/>
      </c>
      <c r="BK332" s="34" t="str">
        <f aca="false">IF(OR(A332="",N(BB332)=0),"",BD332/BB332)</f>
        <v/>
      </c>
      <c r="BL332" s="34" t="str">
        <f aca="false">IF(OR(A332="",N(AZ332)=0),"",BD332/AZ332)</f>
        <v/>
      </c>
      <c r="BM332" s="37" t="str">
        <f aca="false">IF(OR(N(Q332)=0,N(BD332)=0),"",Q332/BD332)</f>
        <v/>
      </c>
      <c r="BN332" s="29"/>
      <c r="BO332" s="29"/>
      <c r="BP332" s="33" t="str">
        <f aca="false">IF(OR(AR332="",N(AO332)=0),"",AR332)</f>
        <v/>
      </c>
      <c r="BQ332" s="33" t="str">
        <f aca="false">IF(OR(AR332="",N(S332)=0),"",S332)</f>
        <v/>
      </c>
      <c r="BR332" s="38" t="str">
        <f aca="false">IF(AND(ISNUMBER(B332),B332&gt;=Dashboard!$C$4,B332&lt;=Dashboard!$F$4,ISNUMBER(AU332)),AU332+ROW()/10^9,"")</f>
        <v/>
      </c>
      <c r="BS332" s="38" t="str">
        <f aca="false">IF(AND(ISNUMBER(B332),B332&gt;=Dashboard!$C$4,B332&lt;=Dashboard!$F$4,A332&lt;&gt;""),N(BD332)+N(AU332)/100+ROW()/10^9,"")</f>
        <v/>
      </c>
    </row>
    <row r="333" customFormat="false" ht="15" hidden="false" customHeight="false" outlineLevel="0" collapsed="false">
      <c r="A333" s="24" t="str">
        <f aca="false">IF(OR(B333="",G333="",H333=""),"",IFERROR(INDEX(Settings!$E$5:$E$49,MATCH(G333,Settings!$D$5:$D$49,0))&amp;INDEX(Settings!$H$5:$H$47,MATCH(H333,Settings!$G$5:$G$47,0))&amp;"-"&amp;TEXT(B333,"yymmdd")&amp;"-"&amp;IF(C333="","0000",TEXT(C333,"hhmm")),"CHECK LISTS"))</f>
        <v/>
      </c>
      <c r="B333" s="39"/>
      <c r="C333" s="40"/>
      <c r="D333" s="24" t="str">
        <f aca="false">IF(B333="","",TEXT(B333,"ddd"))</f>
        <v/>
      </c>
      <c r="E333" s="27" t="str">
        <f aca="false">IF(B333="","",B333-WEEKDAY(B333,3))</f>
        <v/>
      </c>
      <c r="F333" s="24" t="str">
        <f aca="false">IF(B333="","",TEXT(B333,"yyyy-mm"))</f>
        <v/>
      </c>
      <c r="G333" s="29"/>
      <c r="H333" s="29"/>
      <c r="I333" s="29"/>
      <c r="J333" s="29"/>
      <c r="K333" s="29"/>
      <c r="L333" s="29"/>
      <c r="M333" s="29"/>
      <c r="N333" s="29"/>
      <c r="O333" s="29"/>
      <c r="P333" s="29"/>
      <c r="Q333" s="30"/>
      <c r="R333" s="29"/>
      <c r="S333" s="32"/>
      <c r="T333" s="29"/>
      <c r="U333" s="29"/>
      <c r="V333" s="24" t="str">
        <f aca="false">IF(A333="","",IFERROR(INDEX(Settings!$F$5:$F$49,MATCH(G333,Settings!$D$5:$D$49,0)),""))</f>
        <v/>
      </c>
      <c r="W333" s="24" t="str">
        <f aca="false">IF(A333="","",IF(OR(P333="",P333="Organic"),"social","paid_social"))</f>
        <v/>
      </c>
      <c r="X333" s="24" t="str">
        <f aca="false">IF(A333="","",IF(K333&lt;&gt;"",IFERROR(INDEX('Case Studies'!$C$5:$C$54,MATCH(K333,'Case Studies'!$B$5:$B$54,0))&amp;"","case-study"),IF(J333&lt;&gt;"",IFERROR(INDEX(Settings!$J$5:$J$55,MATCH(J333,Settings!$I$5:$I$55,0)),"general"),"general")))</f>
        <v/>
      </c>
      <c r="Y333" s="24" t="str">
        <f aca="false">IF(A333="","",LOWER(A333))</f>
        <v/>
      </c>
      <c r="Z333" s="24" t="str">
        <f aca="false">IF(A333="","",IF(T333="",Settings!$B$5,T333)&amp;IF(ISNUMBER(FIND("?",IF(T333="",Settings!$B$5,T333))),"&amp;","?")&amp;"utm_source="&amp;V333&amp;"&amp;utm_medium="&amp;W333&amp;"&amp;utm_campaign="&amp;X333&amp;"&amp;utm_content="&amp;Y333)</f>
        <v/>
      </c>
      <c r="AA333" s="29"/>
      <c r="AB333" s="39"/>
      <c r="AC333" s="32"/>
      <c r="AD333" s="32"/>
      <c r="AE333" s="32"/>
      <c r="AF333" s="32"/>
      <c r="AG333" s="32"/>
      <c r="AH333" s="32"/>
      <c r="AI333" s="32"/>
      <c r="AJ333" s="32"/>
      <c r="AK333" s="32"/>
      <c r="AL333" s="32"/>
      <c r="AM333" s="32"/>
      <c r="AN333" s="32"/>
      <c r="AO333" s="33" t="str">
        <f aca="false">IF(A333="","",IF(AD333&lt;&gt;"",AD333,IF(AC333&lt;&gt;"",AC333,"")))</f>
        <v/>
      </c>
      <c r="AP333" s="24" t="str">
        <f aca="false">IF(AO333="","",IF(AD333&lt;&gt;"","Reported reach","Impressions (proxy)"))</f>
        <v/>
      </c>
      <c r="AQ333" s="34" t="str">
        <f aca="false">IF(OR(AO333="",N(S333)=0),"",AO333/S333)</f>
        <v/>
      </c>
      <c r="AR333" s="33" t="str">
        <f aca="false">IF(A333="","",IF(COUNT(AF333:AJ333)=0,"",SUM(AF333:AJ333)))</f>
        <v/>
      </c>
      <c r="AS333" s="34" t="str">
        <f aca="false">IF(OR(AR333="",N(AO333)=0),"",AR333/AO333)</f>
        <v/>
      </c>
      <c r="AT333" s="34" t="str">
        <f aca="false">IF(OR(AR333="",N(AC333)=0),"",AR333/AC333)</f>
        <v/>
      </c>
      <c r="AU333" s="34" t="str">
        <f aca="false">IF(OR(AR333="",N(S333)=0),"",AR333/S333)</f>
        <v/>
      </c>
      <c r="AV333" s="34" t="str">
        <f aca="false">IF(OR(AJ333="",N(AC333)=0),"",AJ333/AC333)</f>
        <v/>
      </c>
      <c r="AW333" s="34" t="str">
        <f aca="false">IF(OR(AH333="",N(AO333)=0),"",AH333/AO333)</f>
        <v/>
      </c>
      <c r="AX333" s="35" t="str">
        <f aca="false">IF(OR(AR333="",N(AO333)=0),"",(N(AF333)*Settings!$B$6+N(AG333)*Settings!$B$7+N(AH333)*Settings!$B$8+N(AI333)*Settings!$B$9+N(AJ333)*Settings!$B$10)/AO333*1000)</f>
        <v/>
      </c>
      <c r="AY333" s="36" t="str">
        <f aca="false">IF(AS333="","",IFERROR(AS333/AVERAGEIFS('Post Tracker'!$AS$5:$AS$1004,'Post Tracker'!$G$5:$G$1004,G333),""))</f>
        <v/>
      </c>
      <c r="AZ333" s="32"/>
      <c r="BA333" s="32"/>
      <c r="BB333" s="32"/>
      <c r="BC333" s="32"/>
      <c r="BD333" s="33" t="str">
        <f aca="false">IF(A333="","",COUNTIFS('Demo Pipeline'!$Q$5:$Q$504,A333))</f>
        <v/>
      </c>
      <c r="BE333" s="33" t="str">
        <f aca="false">IF(A333="","",COUNTIFS('Demo Pipeline'!$Q$5:$Q$504,A333,'Demo Pipeline'!$W$5:$W$504,"Attended"))</f>
        <v/>
      </c>
      <c r="BF333" s="33" t="str">
        <f aca="false">IF(A333="","",COUNTIFS('Demo Pipeline'!$Q$5:$Q$504,A333,'Demo Pipeline'!$X$5:$X$504,"Yes"))</f>
        <v/>
      </c>
      <c r="BG333" s="33" t="str">
        <f aca="false">IF(A333="","",COUNTIFS('Demo Pipeline'!$Q$5:$Q$504,A333,'Demo Pipeline'!$Y$5:$Y$504,"Closed Won"))</f>
        <v/>
      </c>
      <c r="BH333" s="37" t="str">
        <f aca="false">IF(A333="","",SUMIFS('Demo Pipeline'!$Z$5:$Z$504,'Demo Pipeline'!$Q$5:$Q$504,A333))</f>
        <v/>
      </c>
      <c r="BI333" s="34" t="str">
        <f aca="false">IF(OR(AZ333="",N(AJ333)=0),"",AZ333/AJ333)</f>
        <v/>
      </c>
      <c r="BJ333" s="34" t="str">
        <f aca="false">IF(OR(BB333="",N(AZ333)=0),"",BB333/AZ333)</f>
        <v/>
      </c>
      <c r="BK333" s="34" t="str">
        <f aca="false">IF(OR(A333="",N(BB333)=0),"",BD333/BB333)</f>
        <v/>
      </c>
      <c r="BL333" s="34" t="str">
        <f aca="false">IF(OR(A333="",N(AZ333)=0),"",BD333/AZ333)</f>
        <v/>
      </c>
      <c r="BM333" s="37" t="str">
        <f aca="false">IF(OR(N(Q333)=0,N(BD333)=0),"",Q333/BD333)</f>
        <v/>
      </c>
      <c r="BN333" s="29"/>
      <c r="BO333" s="29"/>
      <c r="BP333" s="33" t="str">
        <f aca="false">IF(OR(AR333="",N(AO333)=0),"",AR333)</f>
        <v/>
      </c>
      <c r="BQ333" s="33" t="str">
        <f aca="false">IF(OR(AR333="",N(S333)=0),"",S333)</f>
        <v/>
      </c>
      <c r="BR333" s="38" t="str">
        <f aca="false">IF(AND(ISNUMBER(B333),B333&gt;=Dashboard!$C$4,B333&lt;=Dashboard!$F$4,ISNUMBER(AU333)),AU333+ROW()/10^9,"")</f>
        <v/>
      </c>
      <c r="BS333" s="38" t="str">
        <f aca="false">IF(AND(ISNUMBER(B333),B333&gt;=Dashboard!$C$4,B333&lt;=Dashboard!$F$4,A333&lt;&gt;""),N(BD333)+N(AU333)/100+ROW()/10^9,"")</f>
        <v/>
      </c>
    </row>
    <row r="334" customFormat="false" ht="15" hidden="false" customHeight="false" outlineLevel="0" collapsed="false">
      <c r="A334" s="24" t="str">
        <f aca="false">IF(OR(B334="",G334="",H334=""),"",IFERROR(INDEX(Settings!$E$5:$E$49,MATCH(G334,Settings!$D$5:$D$49,0))&amp;INDEX(Settings!$H$5:$H$47,MATCH(H334,Settings!$G$5:$G$47,0))&amp;"-"&amp;TEXT(B334,"yymmdd")&amp;"-"&amp;IF(C334="","0000",TEXT(C334,"hhmm")),"CHECK LISTS"))</f>
        <v/>
      </c>
      <c r="B334" s="39"/>
      <c r="C334" s="40"/>
      <c r="D334" s="24" t="str">
        <f aca="false">IF(B334="","",TEXT(B334,"ddd"))</f>
        <v/>
      </c>
      <c r="E334" s="27" t="str">
        <f aca="false">IF(B334="","",B334-WEEKDAY(B334,3))</f>
        <v/>
      </c>
      <c r="F334" s="24" t="str">
        <f aca="false">IF(B334="","",TEXT(B334,"yyyy-mm"))</f>
        <v/>
      </c>
      <c r="G334" s="29"/>
      <c r="H334" s="29"/>
      <c r="I334" s="29"/>
      <c r="J334" s="29"/>
      <c r="K334" s="29"/>
      <c r="L334" s="29"/>
      <c r="M334" s="29"/>
      <c r="N334" s="29"/>
      <c r="O334" s="29"/>
      <c r="P334" s="29"/>
      <c r="Q334" s="30"/>
      <c r="R334" s="29"/>
      <c r="S334" s="32"/>
      <c r="T334" s="29"/>
      <c r="U334" s="29"/>
      <c r="V334" s="24" t="str">
        <f aca="false">IF(A334="","",IFERROR(INDEX(Settings!$F$5:$F$49,MATCH(G334,Settings!$D$5:$D$49,0)),""))</f>
        <v/>
      </c>
      <c r="W334" s="24" t="str">
        <f aca="false">IF(A334="","",IF(OR(P334="",P334="Organic"),"social","paid_social"))</f>
        <v/>
      </c>
      <c r="X334" s="24" t="str">
        <f aca="false">IF(A334="","",IF(K334&lt;&gt;"",IFERROR(INDEX('Case Studies'!$C$5:$C$54,MATCH(K334,'Case Studies'!$B$5:$B$54,0))&amp;"","case-study"),IF(J334&lt;&gt;"",IFERROR(INDEX(Settings!$J$5:$J$55,MATCH(J334,Settings!$I$5:$I$55,0)),"general"),"general")))</f>
        <v/>
      </c>
      <c r="Y334" s="24" t="str">
        <f aca="false">IF(A334="","",LOWER(A334))</f>
        <v/>
      </c>
      <c r="Z334" s="24" t="str">
        <f aca="false">IF(A334="","",IF(T334="",Settings!$B$5,T334)&amp;IF(ISNUMBER(FIND("?",IF(T334="",Settings!$B$5,T334))),"&amp;","?")&amp;"utm_source="&amp;V334&amp;"&amp;utm_medium="&amp;W334&amp;"&amp;utm_campaign="&amp;X334&amp;"&amp;utm_content="&amp;Y334)</f>
        <v/>
      </c>
      <c r="AA334" s="29"/>
      <c r="AB334" s="39"/>
      <c r="AC334" s="32"/>
      <c r="AD334" s="32"/>
      <c r="AE334" s="32"/>
      <c r="AF334" s="32"/>
      <c r="AG334" s="32"/>
      <c r="AH334" s="32"/>
      <c r="AI334" s="32"/>
      <c r="AJ334" s="32"/>
      <c r="AK334" s="32"/>
      <c r="AL334" s="32"/>
      <c r="AM334" s="32"/>
      <c r="AN334" s="32"/>
      <c r="AO334" s="33" t="str">
        <f aca="false">IF(A334="","",IF(AD334&lt;&gt;"",AD334,IF(AC334&lt;&gt;"",AC334,"")))</f>
        <v/>
      </c>
      <c r="AP334" s="24" t="str">
        <f aca="false">IF(AO334="","",IF(AD334&lt;&gt;"","Reported reach","Impressions (proxy)"))</f>
        <v/>
      </c>
      <c r="AQ334" s="34" t="str">
        <f aca="false">IF(OR(AO334="",N(S334)=0),"",AO334/S334)</f>
        <v/>
      </c>
      <c r="AR334" s="33" t="str">
        <f aca="false">IF(A334="","",IF(COUNT(AF334:AJ334)=0,"",SUM(AF334:AJ334)))</f>
        <v/>
      </c>
      <c r="AS334" s="34" t="str">
        <f aca="false">IF(OR(AR334="",N(AO334)=0),"",AR334/AO334)</f>
        <v/>
      </c>
      <c r="AT334" s="34" t="str">
        <f aca="false">IF(OR(AR334="",N(AC334)=0),"",AR334/AC334)</f>
        <v/>
      </c>
      <c r="AU334" s="34" t="str">
        <f aca="false">IF(OR(AR334="",N(S334)=0),"",AR334/S334)</f>
        <v/>
      </c>
      <c r="AV334" s="34" t="str">
        <f aca="false">IF(OR(AJ334="",N(AC334)=0),"",AJ334/AC334)</f>
        <v/>
      </c>
      <c r="AW334" s="34" t="str">
        <f aca="false">IF(OR(AH334="",N(AO334)=0),"",AH334/AO334)</f>
        <v/>
      </c>
      <c r="AX334" s="35" t="str">
        <f aca="false">IF(OR(AR334="",N(AO334)=0),"",(N(AF334)*Settings!$B$6+N(AG334)*Settings!$B$7+N(AH334)*Settings!$B$8+N(AI334)*Settings!$B$9+N(AJ334)*Settings!$B$10)/AO334*1000)</f>
        <v/>
      </c>
      <c r="AY334" s="36" t="str">
        <f aca="false">IF(AS334="","",IFERROR(AS334/AVERAGEIFS('Post Tracker'!$AS$5:$AS$1004,'Post Tracker'!$G$5:$G$1004,G334),""))</f>
        <v/>
      </c>
      <c r="AZ334" s="32"/>
      <c r="BA334" s="32"/>
      <c r="BB334" s="32"/>
      <c r="BC334" s="32"/>
      <c r="BD334" s="33" t="str">
        <f aca="false">IF(A334="","",COUNTIFS('Demo Pipeline'!$Q$5:$Q$504,A334))</f>
        <v/>
      </c>
      <c r="BE334" s="33" t="str">
        <f aca="false">IF(A334="","",COUNTIFS('Demo Pipeline'!$Q$5:$Q$504,A334,'Demo Pipeline'!$W$5:$W$504,"Attended"))</f>
        <v/>
      </c>
      <c r="BF334" s="33" t="str">
        <f aca="false">IF(A334="","",COUNTIFS('Demo Pipeline'!$Q$5:$Q$504,A334,'Demo Pipeline'!$X$5:$X$504,"Yes"))</f>
        <v/>
      </c>
      <c r="BG334" s="33" t="str">
        <f aca="false">IF(A334="","",COUNTIFS('Demo Pipeline'!$Q$5:$Q$504,A334,'Demo Pipeline'!$Y$5:$Y$504,"Closed Won"))</f>
        <v/>
      </c>
      <c r="BH334" s="37" t="str">
        <f aca="false">IF(A334="","",SUMIFS('Demo Pipeline'!$Z$5:$Z$504,'Demo Pipeline'!$Q$5:$Q$504,A334))</f>
        <v/>
      </c>
      <c r="BI334" s="34" t="str">
        <f aca="false">IF(OR(AZ334="",N(AJ334)=0),"",AZ334/AJ334)</f>
        <v/>
      </c>
      <c r="BJ334" s="34" t="str">
        <f aca="false">IF(OR(BB334="",N(AZ334)=0),"",BB334/AZ334)</f>
        <v/>
      </c>
      <c r="BK334" s="34" t="str">
        <f aca="false">IF(OR(A334="",N(BB334)=0),"",BD334/BB334)</f>
        <v/>
      </c>
      <c r="BL334" s="34" t="str">
        <f aca="false">IF(OR(A334="",N(AZ334)=0),"",BD334/AZ334)</f>
        <v/>
      </c>
      <c r="BM334" s="37" t="str">
        <f aca="false">IF(OR(N(Q334)=0,N(BD334)=0),"",Q334/BD334)</f>
        <v/>
      </c>
      <c r="BN334" s="29"/>
      <c r="BO334" s="29"/>
      <c r="BP334" s="33" t="str">
        <f aca="false">IF(OR(AR334="",N(AO334)=0),"",AR334)</f>
        <v/>
      </c>
      <c r="BQ334" s="33" t="str">
        <f aca="false">IF(OR(AR334="",N(S334)=0),"",S334)</f>
        <v/>
      </c>
      <c r="BR334" s="38" t="str">
        <f aca="false">IF(AND(ISNUMBER(B334),B334&gt;=Dashboard!$C$4,B334&lt;=Dashboard!$F$4,ISNUMBER(AU334)),AU334+ROW()/10^9,"")</f>
        <v/>
      </c>
      <c r="BS334" s="38" t="str">
        <f aca="false">IF(AND(ISNUMBER(B334),B334&gt;=Dashboard!$C$4,B334&lt;=Dashboard!$F$4,A334&lt;&gt;""),N(BD334)+N(AU334)/100+ROW()/10^9,"")</f>
        <v/>
      </c>
    </row>
    <row r="335" customFormat="false" ht="15" hidden="false" customHeight="false" outlineLevel="0" collapsed="false">
      <c r="A335" s="24" t="str">
        <f aca="false">IF(OR(B335="",G335="",H335=""),"",IFERROR(INDEX(Settings!$E$5:$E$49,MATCH(G335,Settings!$D$5:$D$49,0))&amp;INDEX(Settings!$H$5:$H$47,MATCH(H335,Settings!$G$5:$G$47,0))&amp;"-"&amp;TEXT(B335,"yymmdd")&amp;"-"&amp;IF(C335="","0000",TEXT(C335,"hhmm")),"CHECK LISTS"))</f>
        <v/>
      </c>
      <c r="B335" s="39"/>
      <c r="C335" s="40"/>
      <c r="D335" s="24" t="str">
        <f aca="false">IF(B335="","",TEXT(B335,"ddd"))</f>
        <v/>
      </c>
      <c r="E335" s="27" t="str">
        <f aca="false">IF(B335="","",B335-WEEKDAY(B335,3))</f>
        <v/>
      </c>
      <c r="F335" s="24" t="str">
        <f aca="false">IF(B335="","",TEXT(B335,"yyyy-mm"))</f>
        <v/>
      </c>
      <c r="G335" s="29"/>
      <c r="H335" s="29"/>
      <c r="I335" s="29"/>
      <c r="J335" s="29"/>
      <c r="K335" s="29"/>
      <c r="L335" s="29"/>
      <c r="M335" s="29"/>
      <c r="N335" s="29"/>
      <c r="O335" s="29"/>
      <c r="P335" s="29"/>
      <c r="Q335" s="30"/>
      <c r="R335" s="29"/>
      <c r="S335" s="32"/>
      <c r="T335" s="29"/>
      <c r="U335" s="29"/>
      <c r="V335" s="24" t="str">
        <f aca="false">IF(A335="","",IFERROR(INDEX(Settings!$F$5:$F$49,MATCH(G335,Settings!$D$5:$D$49,0)),""))</f>
        <v/>
      </c>
      <c r="W335" s="24" t="str">
        <f aca="false">IF(A335="","",IF(OR(P335="",P335="Organic"),"social","paid_social"))</f>
        <v/>
      </c>
      <c r="X335" s="24" t="str">
        <f aca="false">IF(A335="","",IF(K335&lt;&gt;"",IFERROR(INDEX('Case Studies'!$C$5:$C$54,MATCH(K335,'Case Studies'!$B$5:$B$54,0))&amp;"","case-study"),IF(J335&lt;&gt;"",IFERROR(INDEX(Settings!$J$5:$J$55,MATCH(J335,Settings!$I$5:$I$55,0)),"general"),"general")))</f>
        <v/>
      </c>
      <c r="Y335" s="24" t="str">
        <f aca="false">IF(A335="","",LOWER(A335))</f>
        <v/>
      </c>
      <c r="Z335" s="24" t="str">
        <f aca="false">IF(A335="","",IF(T335="",Settings!$B$5,T335)&amp;IF(ISNUMBER(FIND("?",IF(T335="",Settings!$B$5,T335))),"&amp;","?")&amp;"utm_source="&amp;V335&amp;"&amp;utm_medium="&amp;W335&amp;"&amp;utm_campaign="&amp;X335&amp;"&amp;utm_content="&amp;Y335)</f>
        <v/>
      </c>
      <c r="AA335" s="29"/>
      <c r="AB335" s="39"/>
      <c r="AC335" s="32"/>
      <c r="AD335" s="32"/>
      <c r="AE335" s="32"/>
      <c r="AF335" s="32"/>
      <c r="AG335" s="32"/>
      <c r="AH335" s="32"/>
      <c r="AI335" s="32"/>
      <c r="AJ335" s="32"/>
      <c r="AK335" s="32"/>
      <c r="AL335" s="32"/>
      <c r="AM335" s="32"/>
      <c r="AN335" s="32"/>
      <c r="AO335" s="33" t="str">
        <f aca="false">IF(A335="","",IF(AD335&lt;&gt;"",AD335,IF(AC335&lt;&gt;"",AC335,"")))</f>
        <v/>
      </c>
      <c r="AP335" s="24" t="str">
        <f aca="false">IF(AO335="","",IF(AD335&lt;&gt;"","Reported reach","Impressions (proxy)"))</f>
        <v/>
      </c>
      <c r="AQ335" s="34" t="str">
        <f aca="false">IF(OR(AO335="",N(S335)=0),"",AO335/S335)</f>
        <v/>
      </c>
      <c r="AR335" s="33" t="str">
        <f aca="false">IF(A335="","",IF(COUNT(AF335:AJ335)=0,"",SUM(AF335:AJ335)))</f>
        <v/>
      </c>
      <c r="AS335" s="34" t="str">
        <f aca="false">IF(OR(AR335="",N(AO335)=0),"",AR335/AO335)</f>
        <v/>
      </c>
      <c r="AT335" s="34" t="str">
        <f aca="false">IF(OR(AR335="",N(AC335)=0),"",AR335/AC335)</f>
        <v/>
      </c>
      <c r="AU335" s="34" t="str">
        <f aca="false">IF(OR(AR335="",N(S335)=0),"",AR335/S335)</f>
        <v/>
      </c>
      <c r="AV335" s="34" t="str">
        <f aca="false">IF(OR(AJ335="",N(AC335)=0),"",AJ335/AC335)</f>
        <v/>
      </c>
      <c r="AW335" s="34" t="str">
        <f aca="false">IF(OR(AH335="",N(AO335)=0),"",AH335/AO335)</f>
        <v/>
      </c>
      <c r="AX335" s="35" t="str">
        <f aca="false">IF(OR(AR335="",N(AO335)=0),"",(N(AF335)*Settings!$B$6+N(AG335)*Settings!$B$7+N(AH335)*Settings!$B$8+N(AI335)*Settings!$B$9+N(AJ335)*Settings!$B$10)/AO335*1000)</f>
        <v/>
      </c>
      <c r="AY335" s="36" t="str">
        <f aca="false">IF(AS335="","",IFERROR(AS335/AVERAGEIFS('Post Tracker'!$AS$5:$AS$1004,'Post Tracker'!$G$5:$G$1004,G335),""))</f>
        <v/>
      </c>
      <c r="AZ335" s="32"/>
      <c r="BA335" s="32"/>
      <c r="BB335" s="32"/>
      <c r="BC335" s="32"/>
      <c r="BD335" s="33" t="str">
        <f aca="false">IF(A335="","",COUNTIFS('Demo Pipeline'!$Q$5:$Q$504,A335))</f>
        <v/>
      </c>
      <c r="BE335" s="33" t="str">
        <f aca="false">IF(A335="","",COUNTIFS('Demo Pipeline'!$Q$5:$Q$504,A335,'Demo Pipeline'!$W$5:$W$504,"Attended"))</f>
        <v/>
      </c>
      <c r="BF335" s="33" t="str">
        <f aca="false">IF(A335="","",COUNTIFS('Demo Pipeline'!$Q$5:$Q$504,A335,'Demo Pipeline'!$X$5:$X$504,"Yes"))</f>
        <v/>
      </c>
      <c r="BG335" s="33" t="str">
        <f aca="false">IF(A335="","",COUNTIFS('Demo Pipeline'!$Q$5:$Q$504,A335,'Demo Pipeline'!$Y$5:$Y$504,"Closed Won"))</f>
        <v/>
      </c>
      <c r="BH335" s="37" t="str">
        <f aca="false">IF(A335="","",SUMIFS('Demo Pipeline'!$Z$5:$Z$504,'Demo Pipeline'!$Q$5:$Q$504,A335))</f>
        <v/>
      </c>
      <c r="BI335" s="34" t="str">
        <f aca="false">IF(OR(AZ335="",N(AJ335)=0),"",AZ335/AJ335)</f>
        <v/>
      </c>
      <c r="BJ335" s="34" t="str">
        <f aca="false">IF(OR(BB335="",N(AZ335)=0),"",BB335/AZ335)</f>
        <v/>
      </c>
      <c r="BK335" s="34" t="str">
        <f aca="false">IF(OR(A335="",N(BB335)=0),"",BD335/BB335)</f>
        <v/>
      </c>
      <c r="BL335" s="34" t="str">
        <f aca="false">IF(OR(A335="",N(AZ335)=0),"",BD335/AZ335)</f>
        <v/>
      </c>
      <c r="BM335" s="37" t="str">
        <f aca="false">IF(OR(N(Q335)=0,N(BD335)=0),"",Q335/BD335)</f>
        <v/>
      </c>
      <c r="BN335" s="29"/>
      <c r="BO335" s="29"/>
      <c r="BP335" s="33" t="str">
        <f aca="false">IF(OR(AR335="",N(AO335)=0),"",AR335)</f>
        <v/>
      </c>
      <c r="BQ335" s="33" t="str">
        <f aca="false">IF(OR(AR335="",N(S335)=0),"",S335)</f>
        <v/>
      </c>
      <c r="BR335" s="38" t="str">
        <f aca="false">IF(AND(ISNUMBER(B335),B335&gt;=Dashboard!$C$4,B335&lt;=Dashboard!$F$4,ISNUMBER(AU335)),AU335+ROW()/10^9,"")</f>
        <v/>
      </c>
      <c r="BS335" s="38" t="str">
        <f aca="false">IF(AND(ISNUMBER(B335),B335&gt;=Dashboard!$C$4,B335&lt;=Dashboard!$F$4,A335&lt;&gt;""),N(BD335)+N(AU335)/100+ROW()/10^9,"")</f>
        <v/>
      </c>
    </row>
    <row r="336" customFormat="false" ht="15" hidden="false" customHeight="false" outlineLevel="0" collapsed="false">
      <c r="A336" s="24" t="str">
        <f aca="false">IF(OR(B336="",G336="",H336=""),"",IFERROR(INDEX(Settings!$E$5:$E$49,MATCH(G336,Settings!$D$5:$D$49,0))&amp;INDEX(Settings!$H$5:$H$47,MATCH(H336,Settings!$G$5:$G$47,0))&amp;"-"&amp;TEXT(B336,"yymmdd")&amp;"-"&amp;IF(C336="","0000",TEXT(C336,"hhmm")),"CHECK LISTS"))</f>
        <v/>
      </c>
      <c r="B336" s="39"/>
      <c r="C336" s="40"/>
      <c r="D336" s="24" t="str">
        <f aca="false">IF(B336="","",TEXT(B336,"ddd"))</f>
        <v/>
      </c>
      <c r="E336" s="27" t="str">
        <f aca="false">IF(B336="","",B336-WEEKDAY(B336,3))</f>
        <v/>
      </c>
      <c r="F336" s="24" t="str">
        <f aca="false">IF(B336="","",TEXT(B336,"yyyy-mm"))</f>
        <v/>
      </c>
      <c r="G336" s="29"/>
      <c r="H336" s="29"/>
      <c r="I336" s="29"/>
      <c r="J336" s="29"/>
      <c r="K336" s="29"/>
      <c r="L336" s="29"/>
      <c r="M336" s="29"/>
      <c r="N336" s="29"/>
      <c r="O336" s="29"/>
      <c r="P336" s="29"/>
      <c r="Q336" s="30"/>
      <c r="R336" s="29"/>
      <c r="S336" s="32"/>
      <c r="T336" s="29"/>
      <c r="U336" s="29"/>
      <c r="V336" s="24" t="str">
        <f aca="false">IF(A336="","",IFERROR(INDEX(Settings!$F$5:$F$49,MATCH(G336,Settings!$D$5:$D$49,0)),""))</f>
        <v/>
      </c>
      <c r="W336" s="24" t="str">
        <f aca="false">IF(A336="","",IF(OR(P336="",P336="Organic"),"social","paid_social"))</f>
        <v/>
      </c>
      <c r="X336" s="24" t="str">
        <f aca="false">IF(A336="","",IF(K336&lt;&gt;"",IFERROR(INDEX('Case Studies'!$C$5:$C$54,MATCH(K336,'Case Studies'!$B$5:$B$54,0))&amp;"","case-study"),IF(J336&lt;&gt;"",IFERROR(INDEX(Settings!$J$5:$J$55,MATCH(J336,Settings!$I$5:$I$55,0)),"general"),"general")))</f>
        <v/>
      </c>
      <c r="Y336" s="24" t="str">
        <f aca="false">IF(A336="","",LOWER(A336))</f>
        <v/>
      </c>
      <c r="Z336" s="24" t="str">
        <f aca="false">IF(A336="","",IF(T336="",Settings!$B$5,T336)&amp;IF(ISNUMBER(FIND("?",IF(T336="",Settings!$B$5,T336))),"&amp;","?")&amp;"utm_source="&amp;V336&amp;"&amp;utm_medium="&amp;W336&amp;"&amp;utm_campaign="&amp;X336&amp;"&amp;utm_content="&amp;Y336)</f>
        <v/>
      </c>
      <c r="AA336" s="29"/>
      <c r="AB336" s="39"/>
      <c r="AC336" s="32"/>
      <c r="AD336" s="32"/>
      <c r="AE336" s="32"/>
      <c r="AF336" s="32"/>
      <c r="AG336" s="32"/>
      <c r="AH336" s="32"/>
      <c r="AI336" s="32"/>
      <c r="AJ336" s="32"/>
      <c r="AK336" s="32"/>
      <c r="AL336" s="32"/>
      <c r="AM336" s="32"/>
      <c r="AN336" s="32"/>
      <c r="AO336" s="33" t="str">
        <f aca="false">IF(A336="","",IF(AD336&lt;&gt;"",AD336,IF(AC336&lt;&gt;"",AC336,"")))</f>
        <v/>
      </c>
      <c r="AP336" s="24" t="str">
        <f aca="false">IF(AO336="","",IF(AD336&lt;&gt;"","Reported reach","Impressions (proxy)"))</f>
        <v/>
      </c>
      <c r="AQ336" s="34" t="str">
        <f aca="false">IF(OR(AO336="",N(S336)=0),"",AO336/S336)</f>
        <v/>
      </c>
      <c r="AR336" s="33" t="str">
        <f aca="false">IF(A336="","",IF(COUNT(AF336:AJ336)=0,"",SUM(AF336:AJ336)))</f>
        <v/>
      </c>
      <c r="AS336" s="34" t="str">
        <f aca="false">IF(OR(AR336="",N(AO336)=0),"",AR336/AO336)</f>
        <v/>
      </c>
      <c r="AT336" s="34" t="str">
        <f aca="false">IF(OR(AR336="",N(AC336)=0),"",AR336/AC336)</f>
        <v/>
      </c>
      <c r="AU336" s="34" t="str">
        <f aca="false">IF(OR(AR336="",N(S336)=0),"",AR336/S336)</f>
        <v/>
      </c>
      <c r="AV336" s="34" t="str">
        <f aca="false">IF(OR(AJ336="",N(AC336)=0),"",AJ336/AC336)</f>
        <v/>
      </c>
      <c r="AW336" s="34" t="str">
        <f aca="false">IF(OR(AH336="",N(AO336)=0),"",AH336/AO336)</f>
        <v/>
      </c>
      <c r="AX336" s="35" t="str">
        <f aca="false">IF(OR(AR336="",N(AO336)=0),"",(N(AF336)*Settings!$B$6+N(AG336)*Settings!$B$7+N(AH336)*Settings!$B$8+N(AI336)*Settings!$B$9+N(AJ336)*Settings!$B$10)/AO336*1000)</f>
        <v/>
      </c>
      <c r="AY336" s="36" t="str">
        <f aca="false">IF(AS336="","",IFERROR(AS336/AVERAGEIFS('Post Tracker'!$AS$5:$AS$1004,'Post Tracker'!$G$5:$G$1004,G336),""))</f>
        <v/>
      </c>
      <c r="AZ336" s="32"/>
      <c r="BA336" s="32"/>
      <c r="BB336" s="32"/>
      <c r="BC336" s="32"/>
      <c r="BD336" s="33" t="str">
        <f aca="false">IF(A336="","",COUNTIFS('Demo Pipeline'!$Q$5:$Q$504,A336))</f>
        <v/>
      </c>
      <c r="BE336" s="33" t="str">
        <f aca="false">IF(A336="","",COUNTIFS('Demo Pipeline'!$Q$5:$Q$504,A336,'Demo Pipeline'!$W$5:$W$504,"Attended"))</f>
        <v/>
      </c>
      <c r="BF336" s="33" t="str">
        <f aca="false">IF(A336="","",COUNTIFS('Demo Pipeline'!$Q$5:$Q$504,A336,'Demo Pipeline'!$X$5:$X$504,"Yes"))</f>
        <v/>
      </c>
      <c r="BG336" s="33" t="str">
        <f aca="false">IF(A336="","",COUNTIFS('Demo Pipeline'!$Q$5:$Q$504,A336,'Demo Pipeline'!$Y$5:$Y$504,"Closed Won"))</f>
        <v/>
      </c>
      <c r="BH336" s="37" t="str">
        <f aca="false">IF(A336="","",SUMIFS('Demo Pipeline'!$Z$5:$Z$504,'Demo Pipeline'!$Q$5:$Q$504,A336))</f>
        <v/>
      </c>
      <c r="BI336" s="34" t="str">
        <f aca="false">IF(OR(AZ336="",N(AJ336)=0),"",AZ336/AJ336)</f>
        <v/>
      </c>
      <c r="BJ336" s="34" t="str">
        <f aca="false">IF(OR(BB336="",N(AZ336)=0),"",BB336/AZ336)</f>
        <v/>
      </c>
      <c r="BK336" s="34" t="str">
        <f aca="false">IF(OR(A336="",N(BB336)=0),"",BD336/BB336)</f>
        <v/>
      </c>
      <c r="BL336" s="34" t="str">
        <f aca="false">IF(OR(A336="",N(AZ336)=0),"",BD336/AZ336)</f>
        <v/>
      </c>
      <c r="BM336" s="37" t="str">
        <f aca="false">IF(OR(N(Q336)=0,N(BD336)=0),"",Q336/BD336)</f>
        <v/>
      </c>
      <c r="BN336" s="29"/>
      <c r="BO336" s="29"/>
      <c r="BP336" s="33" t="str">
        <f aca="false">IF(OR(AR336="",N(AO336)=0),"",AR336)</f>
        <v/>
      </c>
      <c r="BQ336" s="33" t="str">
        <f aca="false">IF(OR(AR336="",N(S336)=0),"",S336)</f>
        <v/>
      </c>
      <c r="BR336" s="38" t="str">
        <f aca="false">IF(AND(ISNUMBER(B336),B336&gt;=Dashboard!$C$4,B336&lt;=Dashboard!$F$4,ISNUMBER(AU336)),AU336+ROW()/10^9,"")</f>
        <v/>
      </c>
      <c r="BS336" s="38" t="str">
        <f aca="false">IF(AND(ISNUMBER(B336),B336&gt;=Dashboard!$C$4,B336&lt;=Dashboard!$F$4,A336&lt;&gt;""),N(BD336)+N(AU336)/100+ROW()/10^9,"")</f>
        <v/>
      </c>
    </row>
    <row r="337" customFormat="false" ht="15" hidden="false" customHeight="false" outlineLevel="0" collapsed="false">
      <c r="A337" s="24" t="str">
        <f aca="false">IF(OR(B337="",G337="",H337=""),"",IFERROR(INDEX(Settings!$E$5:$E$49,MATCH(G337,Settings!$D$5:$D$49,0))&amp;INDEX(Settings!$H$5:$H$47,MATCH(H337,Settings!$G$5:$G$47,0))&amp;"-"&amp;TEXT(B337,"yymmdd")&amp;"-"&amp;IF(C337="","0000",TEXT(C337,"hhmm")),"CHECK LISTS"))</f>
        <v/>
      </c>
      <c r="B337" s="39"/>
      <c r="C337" s="40"/>
      <c r="D337" s="24" t="str">
        <f aca="false">IF(B337="","",TEXT(B337,"ddd"))</f>
        <v/>
      </c>
      <c r="E337" s="27" t="str">
        <f aca="false">IF(B337="","",B337-WEEKDAY(B337,3))</f>
        <v/>
      </c>
      <c r="F337" s="24" t="str">
        <f aca="false">IF(B337="","",TEXT(B337,"yyyy-mm"))</f>
        <v/>
      </c>
      <c r="G337" s="29"/>
      <c r="H337" s="29"/>
      <c r="I337" s="29"/>
      <c r="J337" s="29"/>
      <c r="K337" s="29"/>
      <c r="L337" s="29"/>
      <c r="M337" s="29"/>
      <c r="N337" s="29"/>
      <c r="O337" s="29"/>
      <c r="P337" s="29"/>
      <c r="Q337" s="30"/>
      <c r="R337" s="29"/>
      <c r="S337" s="32"/>
      <c r="T337" s="29"/>
      <c r="U337" s="29"/>
      <c r="V337" s="24" t="str">
        <f aca="false">IF(A337="","",IFERROR(INDEX(Settings!$F$5:$F$49,MATCH(G337,Settings!$D$5:$D$49,0)),""))</f>
        <v/>
      </c>
      <c r="W337" s="24" t="str">
        <f aca="false">IF(A337="","",IF(OR(P337="",P337="Organic"),"social","paid_social"))</f>
        <v/>
      </c>
      <c r="X337" s="24" t="str">
        <f aca="false">IF(A337="","",IF(K337&lt;&gt;"",IFERROR(INDEX('Case Studies'!$C$5:$C$54,MATCH(K337,'Case Studies'!$B$5:$B$54,0))&amp;"","case-study"),IF(J337&lt;&gt;"",IFERROR(INDEX(Settings!$J$5:$J$55,MATCH(J337,Settings!$I$5:$I$55,0)),"general"),"general")))</f>
        <v/>
      </c>
      <c r="Y337" s="24" t="str">
        <f aca="false">IF(A337="","",LOWER(A337))</f>
        <v/>
      </c>
      <c r="Z337" s="24" t="str">
        <f aca="false">IF(A337="","",IF(T337="",Settings!$B$5,T337)&amp;IF(ISNUMBER(FIND("?",IF(T337="",Settings!$B$5,T337))),"&amp;","?")&amp;"utm_source="&amp;V337&amp;"&amp;utm_medium="&amp;W337&amp;"&amp;utm_campaign="&amp;X337&amp;"&amp;utm_content="&amp;Y337)</f>
        <v/>
      </c>
      <c r="AA337" s="29"/>
      <c r="AB337" s="39"/>
      <c r="AC337" s="32"/>
      <c r="AD337" s="32"/>
      <c r="AE337" s="32"/>
      <c r="AF337" s="32"/>
      <c r="AG337" s="32"/>
      <c r="AH337" s="32"/>
      <c r="AI337" s="32"/>
      <c r="AJ337" s="32"/>
      <c r="AK337" s="32"/>
      <c r="AL337" s="32"/>
      <c r="AM337" s="32"/>
      <c r="AN337" s="32"/>
      <c r="AO337" s="33" t="str">
        <f aca="false">IF(A337="","",IF(AD337&lt;&gt;"",AD337,IF(AC337&lt;&gt;"",AC337,"")))</f>
        <v/>
      </c>
      <c r="AP337" s="24" t="str">
        <f aca="false">IF(AO337="","",IF(AD337&lt;&gt;"","Reported reach","Impressions (proxy)"))</f>
        <v/>
      </c>
      <c r="AQ337" s="34" t="str">
        <f aca="false">IF(OR(AO337="",N(S337)=0),"",AO337/S337)</f>
        <v/>
      </c>
      <c r="AR337" s="33" t="str">
        <f aca="false">IF(A337="","",IF(COUNT(AF337:AJ337)=0,"",SUM(AF337:AJ337)))</f>
        <v/>
      </c>
      <c r="AS337" s="34" t="str">
        <f aca="false">IF(OR(AR337="",N(AO337)=0),"",AR337/AO337)</f>
        <v/>
      </c>
      <c r="AT337" s="34" t="str">
        <f aca="false">IF(OR(AR337="",N(AC337)=0),"",AR337/AC337)</f>
        <v/>
      </c>
      <c r="AU337" s="34" t="str">
        <f aca="false">IF(OR(AR337="",N(S337)=0),"",AR337/S337)</f>
        <v/>
      </c>
      <c r="AV337" s="34" t="str">
        <f aca="false">IF(OR(AJ337="",N(AC337)=0),"",AJ337/AC337)</f>
        <v/>
      </c>
      <c r="AW337" s="34" t="str">
        <f aca="false">IF(OR(AH337="",N(AO337)=0),"",AH337/AO337)</f>
        <v/>
      </c>
      <c r="AX337" s="35" t="str">
        <f aca="false">IF(OR(AR337="",N(AO337)=0),"",(N(AF337)*Settings!$B$6+N(AG337)*Settings!$B$7+N(AH337)*Settings!$B$8+N(AI337)*Settings!$B$9+N(AJ337)*Settings!$B$10)/AO337*1000)</f>
        <v/>
      </c>
      <c r="AY337" s="36" t="str">
        <f aca="false">IF(AS337="","",IFERROR(AS337/AVERAGEIFS('Post Tracker'!$AS$5:$AS$1004,'Post Tracker'!$G$5:$G$1004,G337),""))</f>
        <v/>
      </c>
      <c r="AZ337" s="32"/>
      <c r="BA337" s="32"/>
      <c r="BB337" s="32"/>
      <c r="BC337" s="32"/>
      <c r="BD337" s="33" t="str">
        <f aca="false">IF(A337="","",COUNTIFS('Demo Pipeline'!$Q$5:$Q$504,A337))</f>
        <v/>
      </c>
      <c r="BE337" s="33" t="str">
        <f aca="false">IF(A337="","",COUNTIFS('Demo Pipeline'!$Q$5:$Q$504,A337,'Demo Pipeline'!$W$5:$W$504,"Attended"))</f>
        <v/>
      </c>
      <c r="BF337" s="33" t="str">
        <f aca="false">IF(A337="","",COUNTIFS('Demo Pipeline'!$Q$5:$Q$504,A337,'Demo Pipeline'!$X$5:$X$504,"Yes"))</f>
        <v/>
      </c>
      <c r="BG337" s="33" t="str">
        <f aca="false">IF(A337="","",COUNTIFS('Demo Pipeline'!$Q$5:$Q$504,A337,'Demo Pipeline'!$Y$5:$Y$504,"Closed Won"))</f>
        <v/>
      </c>
      <c r="BH337" s="37" t="str">
        <f aca="false">IF(A337="","",SUMIFS('Demo Pipeline'!$Z$5:$Z$504,'Demo Pipeline'!$Q$5:$Q$504,A337))</f>
        <v/>
      </c>
      <c r="BI337" s="34" t="str">
        <f aca="false">IF(OR(AZ337="",N(AJ337)=0),"",AZ337/AJ337)</f>
        <v/>
      </c>
      <c r="BJ337" s="34" t="str">
        <f aca="false">IF(OR(BB337="",N(AZ337)=0),"",BB337/AZ337)</f>
        <v/>
      </c>
      <c r="BK337" s="34" t="str">
        <f aca="false">IF(OR(A337="",N(BB337)=0),"",BD337/BB337)</f>
        <v/>
      </c>
      <c r="BL337" s="34" t="str">
        <f aca="false">IF(OR(A337="",N(AZ337)=0),"",BD337/AZ337)</f>
        <v/>
      </c>
      <c r="BM337" s="37" t="str">
        <f aca="false">IF(OR(N(Q337)=0,N(BD337)=0),"",Q337/BD337)</f>
        <v/>
      </c>
      <c r="BN337" s="29"/>
      <c r="BO337" s="29"/>
      <c r="BP337" s="33" t="str">
        <f aca="false">IF(OR(AR337="",N(AO337)=0),"",AR337)</f>
        <v/>
      </c>
      <c r="BQ337" s="33" t="str">
        <f aca="false">IF(OR(AR337="",N(S337)=0),"",S337)</f>
        <v/>
      </c>
      <c r="BR337" s="38" t="str">
        <f aca="false">IF(AND(ISNUMBER(B337),B337&gt;=Dashboard!$C$4,B337&lt;=Dashboard!$F$4,ISNUMBER(AU337)),AU337+ROW()/10^9,"")</f>
        <v/>
      </c>
      <c r="BS337" s="38" t="str">
        <f aca="false">IF(AND(ISNUMBER(B337),B337&gt;=Dashboard!$C$4,B337&lt;=Dashboard!$F$4,A337&lt;&gt;""),N(BD337)+N(AU337)/100+ROW()/10^9,"")</f>
        <v/>
      </c>
    </row>
    <row r="338" customFormat="false" ht="15" hidden="false" customHeight="false" outlineLevel="0" collapsed="false">
      <c r="A338" s="24" t="str">
        <f aca="false">IF(OR(B338="",G338="",H338=""),"",IFERROR(INDEX(Settings!$E$5:$E$49,MATCH(G338,Settings!$D$5:$D$49,0))&amp;INDEX(Settings!$H$5:$H$47,MATCH(H338,Settings!$G$5:$G$47,0))&amp;"-"&amp;TEXT(B338,"yymmdd")&amp;"-"&amp;IF(C338="","0000",TEXT(C338,"hhmm")),"CHECK LISTS"))</f>
        <v/>
      </c>
      <c r="B338" s="39"/>
      <c r="C338" s="40"/>
      <c r="D338" s="24" t="str">
        <f aca="false">IF(B338="","",TEXT(B338,"ddd"))</f>
        <v/>
      </c>
      <c r="E338" s="27" t="str">
        <f aca="false">IF(B338="","",B338-WEEKDAY(B338,3))</f>
        <v/>
      </c>
      <c r="F338" s="24" t="str">
        <f aca="false">IF(B338="","",TEXT(B338,"yyyy-mm"))</f>
        <v/>
      </c>
      <c r="G338" s="29"/>
      <c r="H338" s="29"/>
      <c r="I338" s="29"/>
      <c r="J338" s="29"/>
      <c r="K338" s="29"/>
      <c r="L338" s="29"/>
      <c r="M338" s="29"/>
      <c r="N338" s="29"/>
      <c r="O338" s="29"/>
      <c r="P338" s="29"/>
      <c r="Q338" s="30"/>
      <c r="R338" s="29"/>
      <c r="S338" s="32"/>
      <c r="T338" s="29"/>
      <c r="U338" s="29"/>
      <c r="V338" s="24" t="str">
        <f aca="false">IF(A338="","",IFERROR(INDEX(Settings!$F$5:$F$49,MATCH(G338,Settings!$D$5:$D$49,0)),""))</f>
        <v/>
      </c>
      <c r="W338" s="24" t="str">
        <f aca="false">IF(A338="","",IF(OR(P338="",P338="Organic"),"social","paid_social"))</f>
        <v/>
      </c>
      <c r="X338" s="24" t="str">
        <f aca="false">IF(A338="","",IF(K338&lt;&gt;"",IFERROR(INDEX('Case Studies'!$C$5:$C$54,MATCH(K338,'Case Studies'!$B$5:$B$54,0))&amp;"","case-study"),IF(J338&lt;&gt;"",IFERROR(INDEX(Settings!$J$5:$J$55,MATCH(J338,Settings!$I$5:$I$55,0)),"general"),"general")))</f>
        <v/>
      </c>
      <c r="Y338" s="24" t="str">
        <f aca="false">IF(A338="","",LOWER(A338))</f>
        <v/>
      </c>
      <c r="Z338" s="24" t="str">
        <f aca="false">IF(A338="","",IF(T338="",Settings!$B$5,T338)&amp;IF(ISNUMBER(FIND("?",IF(T338="",Settings!$B$5,T338))),"&amp;","?")&amp;"utm_source="&amp;V338&amp;"&amp;utm_medium="&amp;W338&amp;"&amp;utm_campaign="&amp;X338&amp;"&amp;utm_content="&amp;Y338)</f>
        <v/>
      </c>
      <c r="AA338" s="29"/>
      <c r="AB338" s="39"/>
      <c r="AC338" s="32"/>
      <c r="AD338" s="32"/>
      <c r="AE338" s="32"/>
      <c r="AF338" s="32"/>
      <c r="AG338" s="32"/>
      <c r="AH338" s="32"/>
      <c r="AI338" s="32"/>
      <c r="AJ338" s="32"/>
      <c r="AK338" s="32"/>
      <c r="AL338" s="32"/>
      <c r="AM338" s="32"/>
      <c r="AN338" s="32"/>
      <c r="AO338" s="33" t="str">
        <f aca="false">IF(A338="","",IF(AD338&lt;&gt;"",AD338,IF(AC338&lt;&gt;"",AC338,"")))</f>
        <v/>
      </c>
      <c r="AP338" s="24" t="str">
        <f aca="false">IF(AO338="","",IF(AD338&lt;&gt;"","Reported reach","Impressions (proxy)"))</f>
        <v/>
      </c>
      <c r="AQ338" s="34" t="str">
        <f aca="false">IF(OR(AO338="",N(S338)=0),"",AO338/S338)</f>
        <v/>
      </c>
      <c r="AR338" s="33" t="str">
        <f aca="false">IF(A338="","",IF(COUNT(AF338:AJ338)=0,"",SUM(AF338:AJ338)))</f>
        <v/>
      </c>
      <c r="AS338" s="34" t="str">
        <f aca="false">IF(OR(AR338="",N(AO338)=0),"",AR338/AO338)</f>
        <v/>
      </c>
      <c r="AT338" s="34" t="str">
        <f aca="false">IF(OR(AR338="",N(AC338)=0),"",AR338/AC338)</f>
        <v/>
      </c>
      <c r="AU338" s="34" t="str">
        <f aca="false">IF(OR(AR338="",N(S338)=0),"",AR338/S338)</f>
        <v/>
      </c>
      <c r="AV338" s="34" t="str">
        <f aca="false">IF(OR(AJ338="",N(AC338)=0),"",AJ338/AC338)</f>
        <v/>
      </c>
      <c r="AW338" s="34" t="str">
        <f aca="false">IF(OR(AH338="",N(AO338)=0),"",AH338/AO338)</f>
        <v/>
      </c>
      <c r="AX338" s="35" t="str">
        <f aca="false">IF(OR(AR338="",N(AO338)=0),"",(N(AF338)*Settings!$B$6+N(AG338)*Settings!$B$7+N(AH338)*Settings!$B$8+N(AI338)*Settings!$B$9+N(AJ338)*Settings!$B$10)/AO338*1000)</f>
        <v/>
      </c>
      <c r="AY338" s="36" t="str">
        <f aca="false">IF(AS338="","",IFERROR(AS338/AVERAGEIFS('Post Tracker'!$AS$5:$AS$1004,'Post Tracker'!$G$5:$G$1004,G338),""))</f>
        <v/>
      </c>
      <c r="AZ338" s="32"/>
      <c r="BA338" s="32"/>
      <c r="BB338" s="32"/>
      <c r="BC338" s="32"/>
      <c r="BD338" s="33" t="str">
        <f aca="false">IF(A338="","",COUNTIFS('Demo Pipeline'!$Q$5:$Q$504,A338))</f>
        <v/>
      </c>
      <c r="BE338" s="33" t="str">
        <f aca="false">IF(A338="","",COUNTIFS('Demo Pipeline'!$Q$5:$Q$504,A338,'Demo Pipeline'!$W$5:$W$504,"Attended"))</f>
        <v/>
      </c>
      <c r="BF338" s="33" t="str">
        <f aca="false">IF(A338="","",COUNTIFS('Demo Pipeline'!$Q$5:$Q$504,A338,'Demo Pipeline'!$X$5:$X$504,"Yes"))</f>
        <v/>
      </c>
      <c r="BG338" s="33" t="str">
        <f aca="false">IF(A338="","",COUNTIFS('Demo Pipeline'!$Q$5:$Q$504,A338,'Demo Pipeline'!$Y$5:$Y$504,"Closed Won"))</f>
        <v/>
      </c>
      <c r="BH338" s="37" t="str">
        <f aca="false">IF(A338="","",SUMIFS('Demo Pipeline'!$Z$5:$Z$504,'Demo Pipeline'!$Q$5:$Q$504,A338))</f>
        <v/>
      </c>
      <c r="BI338" s="34" t="str">
        <f aca="false">IF(OR(AZ338="",N(AJ338)=0),"",AZ338/AJ338)</f>
        <v/>
      </c>
      <c r="BJ338" s="34" t="str">
        <f aca="false">IF(OR(BB338="",N(AZ338)=0),"",BB338/AZ338)</f>
        <v/>
      </c>
      <c r="BK338" s="34" t="str">
        <f aca="false">IF(OR(A338="",N(BB338)=0),"",BD338/BB338)</f>
        <v/>
      </c>
      <c r="BL338" s="34" t="str">
        <f aca="false">IF(OR(A338="",N(AZ338)=0),"",BD338/AZ338)</f>
        <v/>
      </c>
      <c r="BM338" s="37" t="str">
        <f aca="false">IF(OR(N(Q338)=0,N(BD338)=0),"",Q338/BD338)</f>
        <v/>
      </c>
      <c r="BN338" s="29"/>
      <c r="BO338" s="29"/>
      <c r="BP338" s="33" t="str">
        <f aca="false">IF(OR(AR338="",N(AO338)=0),"",AR338)</f>
        <v/>
      </c>
      <c r="BQ338" s="33" t="str">
        <f aca="false">IF(OR(AR338="",N(S338)=0),"",S338)</f>
        <v/>
      </c>
      <c r="BR338" s="38" t="str">
        <f aca="false">IF(AND(ISNUMBER(B338),B338&gt;=Dashboard!$C$4,B338&lt;=Dashboard!$F$4,ISNUMBER(AU338)),AU338+ROW()/10^9,"")</f>
        <v/>
      </c>
      <c r="BS338" s="38" t="str">
        <f aca="false">IF(AND(ISNUMBER(B338),B338&gt;=Dashboard!$C$4,B338&lt;=Dashboard!$F$4,A338&lt;&gt;""),N(BD338)+N(AU338)/100+ROW()/10^9,"")</f>
        <v/>
      </c>
    </row>
    <row r="339" customFormat="false" ht="15" hidden="false" customHeight="false" outlineLevel="0" collapsed="false">
      <c r="A339" s="24" t="str">
        <f aca="false">IF(OR(B339="",G339="",H339=""),"",IFERROR(INDEX(Settings!$E$5:$E$49,MATCH(G339,Settings!$D$5:$D$49,0))&amp;INDEX(Settings!$H$5:$H$47,MATCH(H339,Settings!$G$5:$G$47,0))&amp;"-"&amp;TEXT(B339,"yymmdd")&amp;"-"&amp;IF(C339="","0000",TEXT(C339,"hhmm")),"CHECK LISTS"))</f>
        <v/>
      </c>
      <c r="B339" s="39"/>
      <c r="C339" s="40"/>
      <c r="D339" s="24" t="str">
        <f aca="false">IF(B339="","",TEXT(B339,"ddd"))</f>
        <v/>
      </c>
      <c r="E339" s="27" t="str">
        <f aca="false">IF(B339="","",B339-WEEKDAY(B339,3))</f>
        <v/>
      </c>
      <c r="F339" s="24" t="str">
        <f aca="false">IF(B339="","",TEXT(B339,"yyyy-mm"))</f>
        <v/>
      </c>
      <c r="G339" s="29"/>
      <c r="H339" s="29"/>
      <c r="I339" s="29"/>
      <c r="J339" s="29"/>
      <c r="K339" s="29"/>
      <c r="L339" s="29"/>
      <c r="M339" s="29"/>
      <c r="N339" s="29"/>
      <c r="O339" s="29"/>
      <c r="P339" s="29"/>
      <c r="Q339" s="30"/>
      <c r="R339" s="29"/>
      <c r="S339" s="32"/>
      <c r="T339" s="29"/>
      <c r="U339" s="29"/>
      <c r="V339" s="24" t="str">
        <f aca="false">IF(A339="","",IFERROR(INDEX(Settings!$F$5:$F$49,MATCH(G339,Settings!$D$5:$D$49,0)),""))</f>
        <v/>
      </c>
      <c r="W339" s="24" t="str">
        <f aca="false">IF(A339="","",IF(OR(P339="",P339="Organic"),"social","paid_social"))</f>
        <v/>
      </c>
      <c r="X339" s="24" t="str">
        <f aca="false">IF(A339="","",IF(K339&lt;&gt;"",IFERROR(INDEX('Case Studies'!$C$5:$C$54,MATCH(K339,'Case Studies'!$B$5:$B$54,0))&amp;"","case-study"),IF(J339&lt;&gt;"",IFERROR(INDEX(Settings!$J$5:$J$55,MATCH(J339,Settings!$I$5:$I$55,0)),"general"),"general")))</f>
        <v/>
      </c>
      <c r="Y339" s="24" t="str">
        <f aca="false">IF(A339="","",LOWER(A339))</f>
        <v/>
      </c>
      <c r="Z339" s="24" t="str">
        <f aca="false">IF(A339="","",IF(T339="",Settings!$B$5,T339)&amp;IF(ISNUMBER(FIND("?",IF(T339="",Settings!$B$5,T339))),"&amp;","?")&amp;"utm_source="&amp;V339&amp;"&amp;utm_medium="&amp;W339&amp;"&amp;utm_campaign="&amp;X339&amp;"&amp;utm_content="&amp;Y339)</f>
        <v/>
      </c>
      <c r="AA339" s="29"/>
      <c r="AB339" s="39"/>
      <c r="AC339" s="32"/>
      <c r="AD339" s="32"/>
      <c r="AE339" s="32"/>
      <c r="AF339" s="32"/>
      <c r="AG339" s="32"/>
      <c r="AH339" s="32"/>
      <c r="AI339" s="32"/>
      <c r="AJ339" s="32"/>
      <c r="AK339" s="32"/>
      <c r="AL339" s="32"/>
      <c r="AM339" s="32"/>
      <c r="AN339" s="32"/>
      <c r="AO339" s="33" t="str">
        <f aca="false">IF(A339="","",IF(AD339&lt;&gt;"",AD339,IF(AC339&lt;&gt;"",AC339,"")))</f>
        <v/>
      </c>
      <c r="AP339" s="24" t="str">
        <f aca="false">IF(AO339="","",IF(AD339&lt;&gt;"","Reported reach","Impressions (proxy)"))</f>
        <v/>
      </c>
      <c r="AQ339" s="34" t="str">
        <f aca="false">IF(OR(AO339="",N(S339)=0),"",AO339/S339)</f>
        <v/>
      </c>
      <c r="AR339" s="33" t="str">
        <f aca="false">IF(A339="","",IF(COUNT(AF339:AJ339)=0,"",SUM(AF339:AJ339)))</f>
        <v/>
      </c>
      <c r="AS339" s="34" t="str">
        <f aca="false">IF(OR(AR339="",N(AO339)=0),"",AR339/AO339)</f>
        <v/>
      </c>
      <c r="AT339" s="34" t="str">
        <f aca="false">IF(OR(AR339="",N(AC339)=0),"",AR339/AC339)</f>
        <v/>
      </c>
      <c r="AU339" s="34" t="str">
        <f aca="false">IF(OR(AR339="",N(S339)=0),"",AR339/S339)</f>
        <v/>
      </c>
      <c r="AV339" s="34" t="str">
        <f aca="false">IF(OR(AJ339="",N(AC339)=0),"",AJ339/AC339)</f>
        <v/>
      </c>
      <c r="AW339" s="34" t="str">
        <f aca="false">IF(OR(AH339="",N(AO339)=0),"",AH339/AO339)</f>
        <v/>
      </c>
      <c r="AX339" s="35" t="str">
        <f aca="false">IF(OR(AR339="",N(AO339)=0),"",(N(AF339)*Settings!$B$6+N(AG339)*Settings!$B$7+N(AH339)*Settings!$B$8+N(AI339)*Settings!$B$9+N(AJ339)*Settings!$B$10)/AO339*1000)</f>
        <v/>
      </c>
      <c r="AY339" s="36" t="str">
        <f aca="false">IF(AS339="","",IFERROR(AS339/AVERAGEIFS('Post Tracker'!$AS$5:$AS$1004,'Post Tracker'!$G$5:$G$1004,G339),""))</f>
        <v/>
      </c>
      <c r="AZ339" s="32"/>
      <c r="BA339" s="32"/>
      <c r="BB339" s="32"/>
      <c r="BC339" s="32"/>
      <c r="BD339" s="33" t="str">
        <f aca="false">IF(A339="","",COUNTIFS('Demo Pipeline'!$Q$5:$Q$504,A339))</f>
        <v/>
      </c>
      <c r="BE339" s="33" t="str">
        <f aca="false">IF(A339="","",COUNTIFS('Demo Pipeline'!$Q$5:$Q$504,A339,'Demo Pipeline'!$W$5:$W$504,"Attended"))</f>
        <v/>
      </c>
      <c r="BF339" s="33" t="str">
        <f aca="false">IF(A339="","",COUNTIFS('Demo Pipeline'!$Q$5:$Q$504,A339,'Demo Pipeline'!$X$5:$X$504,"Yes"))</f>
        <v/>
      </c>
      <c r="BG339" s="33" t="str">
        <f aca="false">IF(A339="","",COUNTIFS('Demo Pipeline'!$Q$5:$Q$504,A339,'Demo Pipeline'!$Y$5:$Y$504,"Closed Won"))</f>
        <v/>
      </c>
      <c r="BH339" s="37" t="str">
        <f aca="false">IF(A339="","",SUMIFS('Demo Pipeline'!$Z$5:$Z$504,'Demo Pipeline'!$Q$5:$Q$504,A339))</f>
        <v/>
      </c>
      <c r="BI339" s="34" t="str">
        <f aca="false">IF(OR(AZ339="",N(AJ339)=0),"",AZ339/AJ339)</f>
        <v/>
      </c>
      <c r="BJ339" s="34" t="str">
        <f aca="false">IF(OR(BB339="",N(AZ339)=0),"",BB339/AZ339)</f>
        <v/>
      </c>
      <c r="BK339" s="34" t="str">
        <f aca="false">IF(OR(A339="",N(BB339)=0),"",BD339/BB339)</f>
        <v/>
      </c>
      <c r="BL339" s="34" t="str">
        <f aca="false">IF(OR(A339="",N(AZ339)=0),"",BD339/AZ339)</f>
        <v/>
      </c>
      <c r="BM339" s="37" t="str">
        <f aca="false">IF(OR(N(Q339)=0,N(BD339)=0),"",Q339/BD339)</f>
        <v/>
      </c>
      <c r="BN339" s="29"/>
      <c r="BO339" s="29"/>
      <c r="BP339" s="33" t="str">
        <f aca="false">IF(OR(AR339="",N(AO339)=0),"",AR339)</f>
        <v/>
      </c>
      <c r="BQ339" s="33" t="str">
        <f aca="false">IF(OR(AR339="",N(S339)=0),"",S339)</f>
        <v/>
      </c>
      <c r="BR339" s="38" t="str">
        <f aca="false">IF(AND(ISNUMBER(B339),B339&gt;=Dashboard!$C$4,B339&lt;=Dashboard!$F$4,ISNUMBER(AU339)),AU339+ROW()/10^9,"")</f>
        <v/>
      </c>
      <c r="BS339" s="38" t="str">
        <f aca="false">IF(AND(ISNUMBER(B339),B339&gt;=Dashboard!$C$4,B339&lt;=Dashboard!$F$4,A339&lt;&gt;""),N(BD339)+N(AU339)/100+ROW()/10^9,"")</f>
        <v/>
      </c>
    </row>
    <row r="340" customFormat="false" ht="15" hidden="false" customHeight="false" outlineLevel="0" collapsed="false">
      <c r="A340" s="24" t="str">
        <f aca="false">IF(OR(B340="",G340="",H340=""),"",IFERROR(INDEX(Settings!$E$5:$E$49,MATCH(G340,Settings!$D$5:$D$49,0))&amp;INDEX(Settings!$H$5:$H$47,MATCH(H340,Settings!$G$5:$G$47,0))&amp;"-"&amp;TEXT(B340,"yymmdd")&amp;"-"&amp;IF(C340="","0000",TEXT(C340,"hhmm")),"CHECK LISTS"))</f>
        <v/>
      </c>
      <c r="B340" s="39"/>
      <c r="C340" s="40"/>
      <c r="D340" s="24" t="str">
        <f aca="false">IF(B340="","",TEXT(B340,"ddd"))</f>
        <v/>
      </c>
      <c r="E340" s="27" t="str">
        <f aca="false">IF(B340="","",B340-WEEKDAY(B340,3))</f>
        <v/>
      </c>
      <c r="F340" s="24" t="str">
        <f aca="false">IF(B340="","",TEXT(B340,"yyyy-mm"))</f>
        <v/>
      </c>
      <c r="G340" s="29"/>
      <c r="H340" s="29"/>
      <c r="I340" s="29"/>
      <c r="J340" s="29"/>
      <c r="K340" s="29"/>
      <c r="L340" s="29"/>
      <c r="M340" s="29"/>
      <c r="N340" s="29"/>
      <c r="O340" s="29"/>
      <c r="P340" s="29"/>
      <c r="Q340" s="30"/>
      <c r="R340" s="29"/>
      <c r="S340" s="32"/>
      <c r="T340" s="29"/>
      <c r="U340" s="29"/>
      <c r="V340" s="24" t="str">
        <f aca="false">IF(A340="","",IFERROR(INDEX(Settings!$F$5:$F$49,MATCH(G340,Settings!$D$5:$D$49,0)),""))</f>
        <v/>
      </c>
      <c r="W340" s="24" t="str">
        <f aca="false">IF(A340="","",IF(OR(P340="",P340="Organic"),"social","paid_social"))</f>
        <v/>
      </c>
      <c r="X340" s="24" t="str">
        <f aca="false">IF(A340="","",IF(K340&lt;&gt;"",IFERROR(INDEX('Case Studies'!$C$5:$C$54,MATCH(K340,'Case Studies'!$B$5:$B$54,0))&amp;"","case-study"),IF(J340&lt;&gt;"",IFERROR(INDEX(Settings!$J$5:$J$55,MATCH(J340,Settings!$I$5:$I$55,0)),"general"),"general")))</f>
        <v/>
      </c>
      <c r="Y340" s="24" t="str">
        <f aca="false">IF(A340="","",LOWER(A340))</f>
        <v/>
      </c>
      <c r="Z340" s="24" t="str">
        <f aca="false">IF(A340="","",IF(T340="",Settings!$B$5,T340)&amp;IF(ISNUMBER(FIND("?",IF(T340="",Settings!$B$5,T340))),"&amp;","?")&amp;"utm_source="&amp;V340&amp;"&amp;utm_medium="&amp;W340&amp;"&amp;utm_campaign="&amp;X340&amp;"&amp;utm_content="&amp;Y340)</f>
        <v/>
      </c>
      <c r="AA340" s="29"/>
      <c r="AB340" s="39"/>
      <c r="AC340" s="32"/>
      <c r="AD340" s="32"/>
      <c r="AE340" s="32"/>
      <c r="AF340" s="32"/>
      <c r="AG340" s="32"/>
      <c r="AH340" s="32"/>
      <c r="AI340" s="32"/>
      <c r="AJ340" s="32"/>
      <c r="AK340" s="32"/>
      <c r="AL340" s="32"/>
      <c r="AM340" s="32"/>
      <c r="AN340" s="32"/>
      <c r="AO340" s="33" t="str">
        <f aca="false">IF(A340="","",IF(AD340&lt;&gt;"",AD340,IF(AC340&lt;&gt;"",AC340,"")))</f>
        <v/>
      </c>
      <c r="AP340" s="24" t="str">
        <f aca="false">IF(AO340="","",IF(AD340&lt;&gt;"","Reported reach","Impressions (proxy)"))</f>
        <v/>
      </c>
      <c r="AQ340" s="34" t="str">
        <f aca="false">IF(OR(AO340="",N(S340)=0),"",AO340/S340)</f>
        <v/>
      </c>
      <c r="AR340" s="33" t="str">
        <f aca="false">IF(A340="","",IF(COUNT(AF340:AJ340)=0,"",SUM(AF340:AJ340)))</f>
        <v/>
      </c>
      <c r="AS340" s="34" t="str">
        <f aca="false">IF(OR(AR340="",N(AO340)=0),"",AR340/AO340)</f>
        <v/>
      </c>
      <c r="AT340" s="34" t="str">
        <f aca="false">IF(OR(AR340="",N(AC340)=0),"",AR340/AC340)</f>
        <v/>
      </c>
      <c r="AU340" s="34" t="str">
        <f aca="false">IF(OR(AR340="",N(S340)=0),"",AR340/S340)</f>
        <v/>
      </c>
      <c r="AV340" s="34" t="str">
        <f aca="false">IF(OR(AJ340="",N(AC340)=0),"",AJ340/AC340)</f>
        <v/>
      </c>
      <c r="AW340" s="34" t="str">
        <f aca="false">IF(OR(AH340="",N(AO340)=0),"",AH340/AO340)</f>
        <v/>
      </c>
      <c r="AX340" s="35" t="str">
        <f aca="false">IF(OR(AR340="",N(AO340)=0),"",(N(AF340)*Settings!$B$6+N(AG340)*Settings!$B$7+N(AH340)*Settings!$B$8+N(AI340)*Settings!$B$9+N(AJ340)*Settings!$B$10)/AO340*1000)</f>
        <v/>
      </c>
      <c r="AY340" s="36" t="str">
        <f aca="false">IF(AS340="","",IFERROR(AS340/AVERAGEIFS('Post Tracker'!$AS$5:$AS$1004,'Post Tracker'!$G$5:$G$1004,G340),""))</f>
        <v/>
      </c>
      <c r="AZ340" s="32"/>
      <c r="BA340" s="32"/>
      <c r="BB340" s="32"/>
      <c r="BC340" s="32"/>
      <c r="BD340" s="33" t="str">
        <f aca="false">IF(A340="","",COUNTIFS('Demo Pipeline'!$Q$5:$Q$504,A340))</f>
        <v/>
      </c>
      <c r="BE340" s="33" t="str">
        <f aca="false">IF(A340="","",COUNTIFS('Demo Pipeline'!$Q$5:$Q$504,A340,'Demo Pipeline'!$W$5:$W$504,"Attended"))</f>
        <v/>
      </c>
      <c r="BF340" s="33" t="str">
        <f aca="false">IF(A340="","",COUNTIFS('Demo Pipeline'!$Q$5:$Q$504,A340,'Demo Pipeline'!$X$5:$X$504,"Yes"))</f>
        <v/>
      </c>
      <c r="BG340" s="33" t="str">
        <f aca="false">IF(A340="","",COUNTIFS('Demo Pipeline'!$Q$5:$Q$504,A340,'Demo Pipeline'!$Y$5:$Y$504,"Closed Won"))</f>
        <v/>
      </c>
      <c r="BH340" s="37" t="str">
        <f aca="false">IF(A340="","",SUMIFS('Demo Pipeline'!$Z$5:$Z$504,'Demo Pipeline'!$Q$5:$Q$504,A340))</f>
        <v/>
      </c>
      <c r="BI340" s="34" t="str">
        <f aca="false">IF(OR(AZ340="",N(AJ340)=0),"",AZ340/AJ340)</f>
        <v/>
      </c>
      <c r="BJ340" s="34" t="str">
        <f aca="false">IF(OR(BB340="",N(AZ340)=0),"",BB340/AZ340)</f>
        <v/>
      </c>
      <c r="BK340" s="34" t="str">
        <f aca="false">IF(OR(A340="",N(BB340)=0),"",BD340/BB340)</f>
        <v/>
      </c>
      <c r="BL340" s="34" t="str">
        <f aca="false">IF(OR(A340="",N(AZ340)=0),"",BD340/AZ340)</f>
        <v/>
      </c>
      <c r="BM340" s="37" t="str">
        <f aca="false">IF(OR(N(Q340)=0,N(BD340)=0),"",Q340/BD340)</f>
        <v/>
      </c>
      <c r="BN340" s="29"/>
      <c r="BO340" s="29"/>
      <c r="BP340" s="33" t="str">
        <f aca="false">IF(OR(AR340="",N(AO340)=0),"",AR340)</f>
        <v/>
      </c>
      <c r="BQ340" s="33" t="str">
        <f aca="false">IF(OR(AR340="",N(S340)=0),"",S340)</f>
        <v/>
      </c>
      <c r="BR340" s="38" t="str">
        <f aca="false">IF(AND(ISNUMBER(B340),B340&gt;=Dashboard!$C$4,B340&lt;=Dashboard!$F$4,ISNUMBER(AU340)),AU340+ROW()/10^9,"")</f>
        <v/>
      </c>
      <c r="BS340" s="38" t="str">
        <f aca="false">IF(AND(ISNUMBER(B340),B340&gt;=Dashboard!$C$4,B340&lt;=Dashboard!$F$4,A340&lt;&gt;""),N(BD340)+N(AU340)/100+ROW()/10^9,"")</f>
        <v/>
      </c>
    </row>
    <row r="341" customFormat="false" ht="15" hidden="false" customHeight="false" outlineLevel="0" collapsed="false">
      <c r="A341" s="24" t="str">
        <f aca="false">IF(OR(B341="",G341="",H341=""),"",IFERROR(INDEX(Settings!$E$5:$E$49,MATCH(G341,Settings!$D$5:$D$49,0))&amp;INDEX(Settings!$H$5:$H$47,MATCH(H341,Settings!$G$5:$G$47,0))&amp;"-"&amp;TEXT(B341,"yymmdd")&amp;"-"&amp;IF(C341="","0000",TEXT(C341,"hhmm")),"CHECK LISTS"))</f>
        <v/>
      </c>
      <c r="B341" s="39"/>
      <c r="C341" s="40"/>
      <c r="D341" s="24" t="str">
        <f aca="false">IF(B341="","",TEXT(B341,"ddd"))</f>
        <v/>
      </c>
      <c r="E341" s="27" t="str">
        <f aca="false">IF(B341="","",B341-WEEKDAY(B341,3))</f>
        <v/>
      </c>
      <c r="F341" s="24" t="str">
        <f aca="false">IF(B341="","",TEXT(B341,"yyyy-mm"))</f>
        <v/>
      </c>
      <c r="G341" s="29"/>
      <c r="H341" s="29"/>
      <c r="I341" s="29"/>
      <c r="J341" s="29"/>
      <c r="K341" s="29"/>
      <c r="L341" s="29"/>
      <c r="M341" s="29"/>
      <c r="N341" s="29"/>
      <c r="O341" s="29"/>
      <c r="P341" s="29"/>
      <c r="Q341" s="30"/>
      <c r="R341" s="29"/>
      <c r="S341" s="32"/>
      <c r="T341" s="29"/>
      <c r="U341" s="29"/>
      <c r="V341" s="24" t="str">
        <f aca="false">IF(A341="","",IFERROR(INDEX(Settings!$F$5:$F$49,MATCH(G341,Settings!$D$5:$D$49,0)),""))</f>
        <v/>
      </c>
      <c r="W341" s="24" t="str">
        <f aca="false">IF(A341="","",IF(OR(P341="",P341="Organic"),"social","paid_social"))</f>
        <v/>
      </c>
      <c r="X341" s="24" t="str">
        <f aca="false">IF(A341="","",IF(K341&lt;&gt;"",IFERROR(INDEX('Case Studies'!$C$5:$C$54,MATCH(K341,'Case Studies'!$B$5:$B$54,0))&amp;"","case-study"),IF(J341&lt;&gt;"",IFERROR(INDEX(Settings!$J$5:$J$55,MATCH(J341,Settings!$I$5:$I$55,0)),"general"),"general")))</f>
        <v/>
      </c>
      <c r="Y341" s="24" t="str">
        <f aca="false">IF(A341="","",LOWER(A341))</f>
        <v/>
      </c>
      <c r="Z341" s="24" t="str">
        <f aca="false">IF(A341="","",IF(T341="",Settings!$B$5,T341)&amp;IF(ISNUMBER(FIND("?",IF(T341="",Settings!$B$5,T341))),"&amp;","?")&amp;"utm_source="&amp;V341&amp;"&amp;utm_medium="&amp;W341&amp;"&amp;utm_campaign="&amp;X341&amp;"&amp;utm_content="&amp;Y341)</f>
        <v/>
      </c>
      <c r="AA341" s="29"/>
      <c r="AB341" s="39"/>
      <c r="AC341" s="32"/>
      <c r="AD341" s="32"/>
      <c r="AE341" s="32"/>
      <c r="AF341" s="32"/>
      <c r="AG341" s="32"/>
      <c r="AH341" s="32"/>
      <c r="AI341" s="32"/>
      <c r="AJ341" s="32"/>
      <c r="AK341" s="32"/>
      <c r="AL341" s="32"/>
      <c r="AM341" s="32"/>
      <c r="AN341" s="32"/>
      <c r="AO341" s="33" t="str">
        <f aca="false">IF(A341="","",IF(AD341&lt;&gt;"",AD341,IF(AC341&lt;&gt;"",AC341,"")))</f>
        <v/>
      </c>
      <c r="AP341" s="24" t="str">
        <f aca="false">IF(AO341="","",IF(AD341&lt;&gt;"","Reported reach","Impressions (proxy)"))</f>
        <v/>
      </c>
      <c r="AQ341" s="34" t="str">
        <f aca="false">IF(OR(AO341="",N(S341)=0),"",AO341/S341)</f>
        <v/>
      </c>
      <c r="AR341" s="33" t="str">
        <f aca="false">IF(A341="","",IF(COUNT(AF341:AJ341)=0,"",SUM(AF341:AJ341)))</f>
        <v/>
      </c>
      <c r="AS341" s="34" t="str">
        <f aca="false">IF(OR(AR341="",N(AO341)=0),"",AR341/AO341)</f>
        <v/>
      </c>
      <c r="AT341" s="34" t="str">
        <f aca="false">IF(OR(AR341="",N(AC341)=0),"",AR341/AC341)</f>
        <v/>
      </c>
      <c r="AU341" s="34" t="str">
        <f aca="false">IF(OR(AR341="",N(S341)=0),"",AR341/S341)</f>
        <v/>
      </c>
      <c r="AV341" s="34" t="str">
        <f aca="false">IF(OR(AJ341="",N(AC341)=0),"",AJ341/AC341)</f>
        <v/>
      </c>
      <c r="AW341" s="34" t="str">
        <f aca="false">IF(OR(AH341="",N(AO341)=0),"",AH341/AO341)</f>
        <v/>
      </c>
      <c r="AX341" s="35" t="str">
        <f aca="false">IF(OR(AR341="",N(AO341)=0),"",(N(AF341)*Settings!$B$6+N(AG341)*Settings!$B$7+N(AH341)*Settings!$B$8+N(AI341)*Settings!$B$9+N(AJ341)*Settings!$B$10)/AO341*1000)</f>
        <v/>
      </c>
      <c r="AY341" s="36" t="str">
        <f aca="false">IF(AS341="","",IFERROR(AS341/AVERAGEIFS('Post Tracker'!$AS$5:$AS$1004,'Post Tracker'!$G$5:$G$1004,G341),""))</f>
        <v/>
      </c>
      <c r="AZ341" s="32"/>
      <c r="BA341" s="32"/>
      <c r="BB341" s="32"/>
      <c r="BC341" s="32"/>
      <c r="BD341" s="33" t="str">
        <f aca="false">IF(A341="","",COUNTIFS('Demo Pipeline'!$Q$5:$Q$504,A341))</f>
        <v/>
      </c>
      <c r="BE341" s="33" t="str">
        <f aca="false">IF(A341="","",COUNTIFS('Demo Pipeline'!$Q$5:$Q$504,A341,'Demo Pipeline'!$W$5:$W$504,"Attended"))</f>
        <v/>
      </c>
      <c r="BF341" s="33" t="str">
        <f aca="false">IF(A341="","",COUNTIFS('Demo Pipeline'!$Q$5:$Q$504,A341,'Demo Pipeline'!$X$5:$X$504,"Yes"))</f>
        <v/>
      </c>
      <c r="BG341" s="33" t="str">
        <f aca="false">IF(A341="","",COUNTIFS('Demo Pipeline'!$Q$5:$Q$504,A341,'Demo Pipeline'!$Y$5:$Y$504,"Closed Won"))</f>
        <v/>
      </c>
      <c r="BH341" s="37" t="str">
        <f aca="false">IF(A341="","",SUMIFS('Demo Pipeline'!$Z$5:$Z$504,'Demo Pipeline'!$Q$5:$Q$504,A341))</f>
        <v/>
      </c>
      <c r="BI341" s="34" t="str">
        <f aca="false">IF(OR(AZ341="",N(AJ341)=0),"",AZ341/AJ341)</f>
        <v/>
      </c>
      <c r="BJ341" s="34" t="str">
        <f aca="false">IF(OR(BB341="",N(AZ341)=0),"",BB341/AZ341)</f>
        <v/>
      </c>
      <c r="BK341" s="34" t="str">
        <f aca="false">IF(OR(A341="",N(BB341)=0),"",BD341/BB341)</f>
        <v/>
      </c>
      <c r="BL341" s="34" t="str">
        <f aca="false">IF(OR(A341="",N(AZ341)=0),"",BD341/AZ341)</f>
        <v/>
      </c>
      <c r="BM341" s="37" t="str">
        <f aca="false">IF(OR(N(Q341)=0,N(BD341)=0),"",Q341/BD341)</f>
        <v/>
      </c>
      <c r="BN341" s="29"/>
      <c r="BO341" s="29"/>
      <c r="BP341" s="33" t="str">
        <f aca="false">IF(OR(AR341="",N(AO341)=0),"",AR341)</f>
        <v/>
      </c>
      <c r="BQ341" s="33" t="str">
        <f aca="false">IF(OR(AR341="",N(S341)=0),"",S341)</f>
        <v/>
      </c>
      <c r="BR341" s="38" t="str">
        <f aca="false">IF(AND(ISNUMBER(B341),B341&gt;=Dashboard!$C$4,B341&lt;=Dashboard!$F$4,ISNUMBER(AU341)),AU341+ROW()/10^9,"")</f>
        <v/>
      </c>
      <c r="BS341" s="38" t="str">
        <f aca="false">IF(AND(ISNUMBER(B341),B341&gt;=Dashboard!$C$4,B341&lt;=Dashboard!$F$4,A341&lt;&gt;""),N(BD341)+N(AU341)/100+ROW()/10^9,"")</f>
        <v/>
      </c>
    </row>
    <row r="342" customFormat="false" ht="15" hidden="false" customHeight="false" outlineLevel="0" collapsed="false">
      <c r="A342" s="24" t="str">
        <f aca="false">IF(OR(B342="",G342="",H342=""),"",IFERROR(INDEX(Settings!$E$5:$E$49,MATCH(G342,Settings!$D$5:$D$49,0))&amp;INDEX(Settings!$H$5:$H$47,MATCH(H342,Settings!$G$5:$G$47,0))&amp;"-"&amp;TEXT(B342,"yymmdd")&amp;"-"&amp;IF(C342="","0000",TEXT(C342,"hhmm")),"CHECK LISTS"))</f>
        <v/>
      </c>
      <c r="B342" s="39"/>
      <c r="C342" s="40"/>
      <c r="D342" s="24" t="str">
        <f aca="false">IF(B342="","",TEXT(B342,"ddd"))</f>
        <v/>
      </c>
      <c r="E342" s="27" t="str">
        <f aca="false">IF(B342="","",B342-WEEKDAY(B342,3))</f>
        <v/>
      </c>
      <c r="F342" s="24" t="str">
        <f aca="false">IF(B342="","",TEXT(B342,"yyyy-mm"))</f>
        <v/>
      </c>
      <c r="G342" s="29"/>
      <c r="H342" s="29"/>
      <c r="I342" s="29"/>
      <c r="J342" s="29"/>
      <c r="K342" s="29"/>
      <c r="L342" s="29"/>
      <c r="M342" s="29"/>
      <c r="N342" s="29"/>
      <c r="O342" s="29"/>
      <c r="P342" s="29"/>
      <c r="Q342" s="30"/>
      <c r="R342" s="29"/>
      <c r="S342" s="32"/>
      <c r="T342" s="29"/>
      <c r="U342" s="29"/>
      <c r="V342" s="24" t="str">
        <f aca="false">IF(A342="","",IFERROR(INDEX(Settings!$F$5:$F$49,MATCH(G342,Settings!$D$5:$D$49,0)),""))</f>
        <v/>
      </c>
      <c r="W342" s="24" t="str">
        <f aca="false">IF(A342="","",IF(OR(P342="",P342="Organic"),"social","paid_social"))</f>
        <v/>
      </c>
      <c r="X342" s="24" t="str">
        <f aca="false">IF(A342="","",IF(K342&lt;&gt;"",IFERROR(INDEX('Case Studies'!$C$5:$C$54,MATCH(K342,'Case Studies'!$B$5:$B$54,0))&amp;"","case-study"),IF(J342&lt;&gt;"",IFERROR(INDEX(Settings!$J$5:$J$55,MATCH(J342,Settings!$I$5:$I$55,0)),"general"),"general")))</f>
        <v/>
      </c>
      <c r="Y342" s="24" t="str">
        <f aca="false">IF(A342="","",LOWER(A342))</f>
        <v/>
      </c>
      <c r="Z342" s="24" t="str">
        <f aca="false">IF(A342="","",IF(T342="",Settings!$B$5,T342)&amp;IF(ISNUMBER(FIND("?",IF(T342="",Settings!$B$5,T342))),"&amp;","?")&amp;"utm_source="&amp;V342&amp;"&amp;utm_medium="&amp;W342&amp;"&amp;utm_campaign="&amp;X342&amp;"&amp;utm_content="&amp;Y342)</f>
        <v/>
      </c>
      <c r="AA342" s="29"/>
      <c r="AB342" s="39"/>
      <c r="AC342" s="32"/>
      <c r="AD342" s="32"/>
      <c r="AE342" s="32"/>
      <c r="AF342" s="32"/>
      <c r="AG342" s="32"/>
      <c r="AH342" s="32"/>
      <c r="AI342" s="32"/>
      <c r="AJ342" s="32"/>
      <c r="AK342" s="32"/>
      <c r="AL342" s="32"/>
      <c r="AM342" s="32"/>
      <c r="AN342" s="32"/>
      <c r="AO342" s="33" t="str">
        <f aca="false">IF(A342="","",IF(AD342&lt;&gt;"",AD342,IF(AC342&lt;&gt;"",AC342,"")))</f>
        <v/>
      </c>
      <c r="AP342" s="24" t="str">
        <f aca="false">IF(AO342="","",IF(AD342&lt;&gt;"","Reported reach","Impressions (proxy)"))</f>
        <v/>
      </c>
      <c r="AQ342" s="34" t="str">
        <f aca="false">IF(OR(AO342="",N(S342)=0),"",AO342/S342)</f>
        <v/>
      </c>
      <c r="AR342" s="33" t="str">
        <f aca="false">IF(A342="","",IF(COUNT(AF342:AJ342)=0,"",SUM(AF342:AJ342)))</f>
        <v/>
      </c>
      <c r="AS342" s="34" t="str">
        <f aca="false">IF(OR(AR342="",N(AO342)=0),"",AR342/AO342)</f>
        <v/>
      </c>
      <c r="AT342" s="34" t="str">
        <f aca="false">IF(OR(AR342="",N(AC342)=0),"",AR342/AC342)</f>
        <v/>
      </c>
      <c r="AU342" s="34" t="str">
        <f aca="false">IF(OR(AR342="",N(S342)=0),"",AR342/S342)</f>
        <v/>
      </c>
      <c r="AV342" s="34" t="str">
        <f aca="false">IF(OR(AJ342="",N(AC342)=0),"",AJ342/AC342)</f>
        <v/>
      </c>
      <c r="AW342" s="34" t="str">
        <f aca="false">IF(OR(AH342="",N(AO342)=0),"",AH342/AO342)</f>
        <v/>
      </c>
      <c r="AX342" s="35" t="str">
        <f aca="false">IF(OR(AR342="",N(AO342)=0),"",(N(AF342)*Settings!$B$6+N(AG342)*Settings!$B$7+N(AH342)*Settings!$B$8+N(AI342)*Settings!$B$9+N(AJ342)*Settings!$B$10)/AO342*1000)</f>
        <v/>
      </c>
      <c r="AY342" s="36" t="str">
        <f aca="false">IF(AS342="","",IFERROR(AS342/AVERAGEIFS('Post Tracker'!$AS$5:$AS$1004,'Post Tracker'!$G$5:$G$1004,G342),""))</f>
        <v/>
      </c>
      <c r="AZ342" s="32"/>
      <c r="BA342" s="32"/>
      <c r="BB342" s="32"/>
      <c r="BC342" s="32"/>
      <c r="BD342" s="33" t="str">
        <f aca="false">IF(A342="","",COUNTIFS('Demo Pipeline'!$Q$5:$Q$504,A342))</f>
        <v/>
      </c>
      <c r="BE342" s="33" t="str">
        <f aca="false">IF(A342="","",COUNTIFS('Demo Pipeline'!$Q$5:$Q$504,A342,'Demo Pipeline'!$W$5:$W$504,"Attended"))</f>
        <v/>
      </c>
      <c r="BF342" s="33" t="str">
        <f aca="false">IF(A342="","",COUNTIFS('Demo Pipeline'!$Q$5:$Q$504,A342,'Demo Pipeline'!$X$5:$X$504,"Yes"))</f>
        <v/>
      </c>
      <c r="BG342" s="33" t="str">
        <f aca="false">IF(A342="","",COUNTIFS('Demo Pipeline'!$Q$5:$Q$504,A342,'Demo Pipeline'!$Y$5:$Y$504,"Closed Won"))</f>
        <v/>
      </c>
      <c r="BH342" s="37" t="str">
        <f aca="false">IF(A342="","",SUMIFS('Demo Pipeline'!$Z$5:$Z$504,'Demo Pipeline'!$Q$5:$Q$504,A342))</f>
        <v/>
      </c>
      <c r="BI342" s="34" t="str">
        <f aca="false">IF(OR(AZ342="",N(AJ342)=0),"",AZ342/AJ342)</f>
        <v/>
      </c>
      <c r="BJ342" s="34" t="str">
        <f aca="false">IF(OR(BB342="",N(AZ342)=0),"",BB342/AZ342)</f>
        <v/>
      </c>
      <c r="BK342" s="34" t="str">
        <f aca="false">IF(OR(A342="",N(BB342)=0),"",BD342/BB342)</f>
        <v/>
      </c>
      <c r="BL342" s="34" t="str">
        <f aca="false">IF(OR(A342="",N(AZ342)=0),"",BD342/AZ342)</f>
        <v/>
      </c>
      <c r="BM342" s="37" t="str">
        <f aca="false">IF(OR(N(Q342)=0,N(BD342)=0),"",Q342/BD342)</f>
        <v/>
      </c>
      <c r="BN342" s="29"/>
      <c r="BO342" s="29"/>
      <c r="BP342" s="33" t="str">
        <f aca="false">IF(OR(AR342="",N(AO342)=0),"",AR342)</f>
        <v/>
      </c>
      <c r="BQ342" s="33" t="str">
        <f aca="false">IF(OR(AR342="",N(S342)=0),"",S342)</f>
        <v/>
      </c>
      <c r="BR342" s="38" t="str">
        <f aca="false">IF(AND(ISNUMBER(B342),B342&gt;=Dashboard!$C$4,B342&lt;=Dashboard!$F$4,ISNUMBER(AU342)),AU342+ROW()/10^9,"")</f>
        <v/>
      </c>
      <c r="BS342" s="38" t="str">
        <f aca="false">IF(AND(ISNUMBER(B342),B342&gt;=Dashboard!$C$4,B342&lt;=Dashboard!$F$4,A342&lt;&gt;""),N(BD342)+N(AU342)/100+ROW()/10^9,"")</f>
        <v/>
      </c>
    </row>
    <row r="343" customFormat="false" ht="15" hidden="false" customHeight="false" outlineLevel="0" collapsed="false">
      <c r="A343" s="24" t="str">
        <f aca="false">IF(OR(B343="",G343="",H343=""),"",IFERROR(INDEX(Settings!$E$5:$E$49,MATCH(G343,Settings!$D$5:$D$49,0))&amp;INDEX(Settings!$H$5:$H$47,MATCH(H343,Settings!$G$5:$G$47,0))&amp;"-"&amp;TEXT(B343,"yymmdd")&amp;"-"&amp;IF(C343="","0000",TEXT(C343,"hhmm")),"CHECK LISTS"))</f>
        <v/>
      </c>
      <c r="B343" s="39"/>
      <c r="C343" s="40"/>
      <c r="D343" s="24" t="str">
        <f aca="false">IF(B343="","",TEXT(B343,"ddd"))</f>
        <v/>
      </c>
      <c r="E343" s="27" t="str">
        <f aca="false">IF(B343="","",B343-WEEKDAY(B343,3))</f>
        <v/>
      </c>
      <c r="F343" s="24" t="str">
        <f aca="false">IF(B343="","",TEXT(B343,"yyyy-mm"))</f>
        <v/>
      </c>
      <c r="G343" s="29"/>
      <c r="H343" s="29"/>
      <c r="I343" s="29"/>
      <c r="J343" s="29"/>
      <c r="K343" s="29"/>
      <c r="L343" s="29"/>
      <c r="M343" s="29"/>
      <c r="N343" s="29"/>
      <c r="O343" s="29"/>
      <c r="P343" s="29"/>
      <c r="Q343" s="30"/>
      <c r="R343" s="29"/>
      <c r="S343" s="32"/>
      <c r="T343" s="29"/>
      <c r="U343" s="29"/>
      <c r="V343" s="24" t="str">
        <f aca="false">IF(A343="","",IFERROR(INDEX(Settings!$F$5:$F$49,MATCH(G343,Settings!$D$5:$D$49,0)),""))</f>
        <v/>
      </c>
      <c r="W343" s="24" t="str">
        <f aca="false">IF(A343="","",IF(OR(P343="",P343="Organic"),"social","paid_social"))</f>
        <v/>
      </c>
      <c r="X343" s="24" t="str">
        <f aca="false">IF(A343="","",IF(K343&lt;&gt;"",IFERROR(INDEX('Case Studies'!$C$5:$C$54,MATCH(K343,'Case Studies'!$B$5:$B$54,0))&amp;"","case-study"),IF(J343&lt;&gt;"",IFERROR(INDEX(Settings!$J$5:$J$55,MATCH(J343,Settings!$I$5:$I$55,0)),"general"),"general")))</f>
        <v/>
      </c>
      <c r="Y343" s="24" t="str">
        <f aca="false">IF(A343="","",LOWER(A343))</f>
        <v/>
      </c>
      <c r="Z343" s="24" t="str">
        <f aca="false">IF(A343="","",IF(T343="",Settings!$B$5,T343)&amp;IF(ISNUMBER(FIND("?",IF(T343="",Settings!$B$5,T343))),"&amp;","?")&amp;"utm_source="&amp;V343&amp;"&amp;utm_medium="&amp;W343&amp;"&amp;utm_campaign="&amp;X343&amp;"&amp;utm_content="&amp;Y343)</f>
        <v/>
      </c>
      <c r="AA343" s="29"/>
      <c r="AB343" s="39"/>
      <c r="AC343" s="32"/>
      <c r="AD343" s="32"/>
      <c r="AE343" s="32"/>
      <c r="AF343" s="32"/>
      <c r="AG343" s="32"/>
      <c r="AH343" s="32"/>
      <c r="AI343" s="32"/>
      <c r="AJ343" s="32"/>
      <c r="AK343" s="32"/>
      <c r="AL343" s="32"/>
      <c r="AM343" s="32"/>
      <c r="AN343" s="32"/>
      <c r="AO343" s="33" t="str">
        <f aca="false">IF(A343="","",IF(AD343&lt;&gt;"",AD343,IF(AC343&lt;&gt;"",AC343,"")))</f>
        <v/>
      </c>
      <c r="AP343" s="24" t="str">
        <f aca="false">IF(AO343="","",IF(AD343&lt;&gt;"","Reported reach","Impressions (proxy)"))</f>
        <v/>
      </c>
      <c r="AQ343" s="34" t="str">
        <f aca="false">IF(OR(AO343="",N(S343)=0),"",AO343/S343)</f>
        <v/>
      </c>
      <c r="AR343" s="33" t="str">
        <f aca="false">IF(A343="","",IF(COUNT(AF343:AJ343)=0,"",SUM(AF343:AJ343)))</f>
        <v/>
      </c>
      <c r="AS343" s="34" t="str">
        <f aca="false">IF(OR(AR343="",N(AO343)=0),"",AR343/AO343)</f>
        <v/>
      </c>
      <c r="AT343" s="34" t="str">
        <f aca="false">IF(OR(AR343="",N(AC343)=0),"",AR343/AC343)</f>
        <v/>
      </c>
      <c r="AU343" s="34" t="str">
        <f aca="false">IF(OR(AR343="",N(S343)=0),"",AR343/S343)</f>
        <v/>
      </c>
      <c r="AV343" s="34" t="str">
        <f aca="false">IF(OR(AJ343="",N(AC343)=0),"",AJ343/AC343)</f>
        <v/>
      </c>
      <c r="AW343" s="34" t="str">
        <f aca="false">IF(OR(AH343="",N(AO343)=0),"",AH343/AO343)</f>
        <v/>
      </c>
      <c r="AX343" s="35" t="str">
        <f aca="false">IF(OR(AR343="",N(AO343)=0),"",(N(AF343)*Settings!$B$6+N(AG343)*Settings!$B$7+N(AH343)*Settings!$B$8+N(AI343)*Settings!$B$9+N(AJ343)*Settings!$B$10)/AO343*1000)</f>
        <v/>
      </c>
      <c r="AY343" s="36" t="str">
        <f aca="false">IF(AS343="","",IFERROR(AS343/AVERAGEIFS('Post Tracker'!$AS$5:$AS$1004,'Post Tracker'!$G$5:$G$1004,G343),""))</f>
        <v/>
      </c>
      <c r="AZ343" s="32"/>
      <c r="BA343" s="32"/>
      <c r="BB343" s="32"/>
      <c r="BC343" s="32"/>
      <c r="BD343" s="33" t="str">
        <f aca="false">IF(A343="","",COUNTIFS('Demo Pipeline'!$Q$5:$Q$504,A343))</f>
        <v/>
      </c>
      <c r="BE343" s="33" t="str">
        <f aca="false">IF(A343="","",COUNTIFS('Demo Pipeline'!$Q$5:$Q$504,A343,'Demo Pipeline'!$W$5:$W$504,"Attended"))</f>
        <v/>
      </c>
      <c r="BF343" s="33" t="str">
        <f aca="false">IF(A343="","",COUNTIFS('Demo Pipeline'!$Q$5:$Q$504,A343,'Demo Pipeline'!$X$5:$X$504,"Yes"))</f>
        <v/>
      </c>
      <c r="BG343" s="33" t="str">
        <f aca="false">IF(A343="","",COUNTIFS('Demo Pipeline'!$Q$5:$Q$504,A343,'Demo Pipeline'!$Y$5:$Y$504,"Closed Won"))</f>
        <v/>
      </c>
      <c r="BH343" s="37" t="str">
        <f aca="false">IF(A343="","",SUMIFS('Demo Pipeline'!$Z$5:$Z$504,'Demo Pipeline'!$Q$5:$Q$504,A343))</f>
        <v/>
      </c>
      <c r="BI343" s="34" t="str">
        <f aca="false">IF(OR(AZ343="",N(AJ343)=0),"",AZ343/AJ343)</f>
        <v/>
      </c>
      <c r="BJ343" s="34" t="str">
        <f aca="false">IF(OR(BB343="",N(AZ343)=0),"",BB343/AZ343)</f>
        <v/>
      </c>
      <c r="BK343" s="34" t="str">
        <f aca="false">IF(OR(A343="",N(BB343)=0),"",BD343/BB343)</f>
        <v/>
      </c>
      <c r="BL343" s="34" t="str">
        <f aca="false">IF(OR(A343="",N(AZ343)=0),"",BD343/AZ343)</f>
        <v/>
      </c>
      <c r="BM343" s="37" t="str">
        <f aca="false">IF(OR(N(Q343)=0,N(BD343)=0),"",Q343/BD343)</f>
        <v/>
      </c>
      <c r="BN343" s="29"/>
      <c r="BO343" s="29"/>
      <c r="BP343" s="33" t="str">
        <f aca="false">IF(OR(AR343="",N(AO343)=0),"",AR343)</f>
        <v/>
      </c>
      <c r="BQ343" s="33" t="str">
        <f aca="false">IF(OR(AR343="",N(S343)=0),"",S343)</f>
        <v/>
      </c>
      <c r="BR343" s="38" t="str">
        <f aca="false">IF(AND(ISNUMBER(B343),B343&gt;=Dashboard!$C$4,B343&lt;=Dashboard!$F$4,ISNUMBER(AU343)),AU343+ROW()/10^9,"")</f>
        <v/>
      </c>
      <c r="BS343" s="38" t="str">
        <f aca="false">IF(AND(ISNUMBER(B343),B343&gt;=Dashboard!$C$4,B343&lt;=Dashboard!$F$4,A343&lt;&gt;""),N(BD343)+N(AU343)/100+ROW()/10^9,"")</f>
        <v/>
      </c>
    </row>
    <row r="344" customFormat="false" ht="15" hidden="false" customHeight="false" outlineLevel="0" collapsed="false">
      <c r="A344" s="24" t="str">
        <f aca="false">IF(OR(B344="",G344="",H344=""),"",IFERROR(INDEX(Settings!$E$5:$E$49,MATCH(G344,Settings!$D$5:$D$49,0))&amp;INDEX(Settings!$H$5:$H$47,MATCH(H344,Settings!$G$5:$G$47,0))&amp;"-"&amp;TEXT(B344,"yymmdd")&amp;"-"&amp;IF(C344="","0000",TEXT(C344,"hhmm")),"CHECK LISTS"))</f>
        <v/>
      </c>
      <c r="B344" s="39"/>
      <c r="C344" s="40"/>
      <c r="D344" s="24" t="str">
        <f aca="false">IF(B344="","",TEXT(B344,"ddd"))</f>
        <v/>
      </c>
      <c r="E344" s="27" t="str">
        <f aca="false">IF(B344="","",B344-WEEKDAY(B344,3))</f>
        <v/>
      </c>
      <c r="F344" s="24" t="str">
        <f aca="false">IF(B344="","",TEXT(B344,"yyyy-mm"))</f>
        <v/>
      </c>
      <c r="G344" s="29"/>
      <c r="H344" s="29"/>
      <c r="I344" s="29"/>
      <c r="J344" s="29"/>
      <c r="K344" s="29"/>
      <c r="L344" s="29"/>
      <c r="M344" s="29"/>
      <c r="N344" s="29"/>
      <c r="O344" s="29"/>
      <c r="P344" s="29"/>
      <c r="Q344" s="30"/>
      <c r="R344" s="29"/>
      <c r="S344" s="32"/>
      <c r="T344" s="29"/>
      <c r="U344" s="29"/>
      <c r="V344" s="24" t="str">
        <f aca="false">IF(A344="","",IFERROR(INDEX(Settings!$F$5:$F$49,MATCH(G344,Settings!$D$5:$D$49,0)),""))</f>
        <v/>
      </c>
      <c r="W344" s="24" t="str">
        <f aca="false">IF(A344="","",IF(OR(P344="",P344="Organic"),"social","paid_social"))</f>
        <v/>
      </c>
      <c r="X344" s="24" t="str">
        <f aca="false">IF(A344="","",IF(K344&lt;&gt;"",IFERROR(INDEX('Case Studies'!$C$5:$C$54,MATCH(K344,'Case Studies'!$B$5:$B$54,0))&amp;"","case-study"),IF(J344&lt;&gt;"",IFERROR(INDEX(Settings!$J$5:$J$55,MATCH(J344,Settings!$I$5:$I$55,0)),"general"),"general")))</f>
        <v/>
      </c>
      <c r="Y344" s="24" t="str">
        <f aca="false">IF(A344="","",LOWER(A344))</f>
        <v/>
      </c>
      <c r="Z344" s="24" t="str">
        <f aca="false">IF(A344="","",IF(T344="",Settings!$B$5,T344)&amp;IF(ISNUMBER(FIND("?",IF(T344="",Settings!$B$5,T344))),"&amp;","?")&amp;"utm_source="&amp;V344&amp;"&amp;utm_medium="&amp;W344&amp;"&amp;utm_campaign="&amp;X344&amp;"&amp;utm_content="&amp;Y344)</f>
        <v/>
      </c>
      <c r="AA344" s="29"/>
      <c r="AB344" s="39"/>
      <c r="AC344" s="32"/>
      <c r="AD344" s="32"/>
      <c r="AE344" s="32"/>
      <c r="AF344" s="32"/>
      <c r="AG344" s="32"/>
      <c r="AH344" s="32"/>
      <c r="AI344" s="32"/>
      <c r="AJ344" s="32"/>
      <c r="AK344" s="32"/>
      <c r="AL344" s="32"/>
      <c r="AM344" s="32"/>
      <c r="AN344" s="32"/>
      <c r="AO344" s="33" t="str">
        <f aca="false">IF(A344="","",IF(AD344&lt;&gt;"",AD344,IF(AC344&lt;&gt;"",AC344,"")))</f>
        <v/>
      </c>
      <c r="AP344" s="24" t="str">
        <f aca="false">IF(AO344="","",IF(AD344&lt;&gt;"","Reported reach","Impressions (proxy)"))</f>
        <v/>
      </c>
      <c r="AQ344" s="34" t="str">
        <f aca="false">IF(OR(AO344="",N(S344)=0),"",AO344/S344)</f>
        <v/>
      </c>
      <c r="AR344" s="33" t="str">
        <f aca="false">IF(A344="","",IF(COUNT(AF344:AJ344)=0,"",SUM(AF344:AJ344)))</f>
        <v/>
      </c>
      <c r="AS344" s="34" t="str">
        <f aca="false">IF(OR(AR344="",N(AO344)=0),"",AR344/AO344)</f>
        <v/>
      </c>
      <c r="AT344" s="34" t="str">
        <f aca="false">IF(OR(AR344="",N(AC344)=0),"",AR344/AC344)</f>
        <v/>
      </c>
      <c r="AU344" s="34" t="str">
        <f aca="false">IF(OR(AR344="",N(S344)=0),"",AR344/S344)</f>
        <v/>
      </c>
      <c r="AV344" s="34" t="str">
        <f aca="false">IF(OR(AJ344="",N(AC344)=0),"",AJ344/AC344)</f>
        <v/>
      </c>
      <c r="AW344" s="34" t="str">
        <f aca="false">IF(OR(AH344="",N(AO344)=0),"",AH344/AO344)</f>
        <v/>
      </c>
      <c r="AX344" s="35" t="str">
        <f aca="false">IF(OR(AR344="",N(AO344)=0),"",(N(AF344)*Settings!$B$6+N(AG344)*Settings!$B$7+N(AH344)*Settings!$B$8+N(AI344)*Settings!$B$9+N(AJ344)*Settings!$B$10)/AO344*1000)</f>
        <v/>
      </c>
      <c r="AY344" s="36" t="str">
        <f aca="false">IF(AS344="","",IFERROR(AS344/AVERAGEIFS('Post Tracker'!$AS$5:$AS$1004,'Post Tracker'!$G$5:$G$1004,G344),""))</f>
        <v/>
      </c>
      <c r="AZ344" s="32"/>
      <c r="BA344" s="32"/>
      <c r="BB344" s="32"/>
      <c r="BC344" s="32"/>
      <c r="BD344" s="33" t="str">
        <f aca="false">IF(A344="","",COUNTIFS('Demo Pipeline'!$Q$5:$Q$504,A344))</f>
        <v/>
      </c>
      <c r="BE344" s="33" t="str">
        <f aca="false">IF(A344="","",COUNTIFS('Demo Pipeline'!$Q$5:$Q$504,A344,'Demo Pipeline'!$W$5:$W$504,"Attended"))</f>
        <v/>
      </c>
      <c r="BF344" s="33" t="str">
        <f aca="false">IF(A344="","",COUNTIFS('Demo Pipeline'!$Q$5:$Q$504,A344,'Demo Pipeline'!$X$5:$X$504,"Yes"))</f>
        <v/>
      </c>
      <c r="BG344" s="33" t="str">
        <f aca="false">IF(A344="","",COUNTIFS('Demo Pipeline'!$Q$5:$Q$504,A344,'Demo Pipeline'!$Y$5:$Y$504,"Closed Won"))</f>
        <v/>
      </c>
      <c r="BH344" s="37" t="str">
        <f aca="false">IF(A344="","",SUMIFS('Demo Pipeline'!$Z$5:$Z$504,'Demo Pipeline'!$Q$5:$Q$504,A344))</f>
        <v/>
      </c>
      <c r="BI344" s="34" t="str">
        <f aca="false">IF(OR(AZ344="",N(AJ344)=0),"",AZ344/AJ344)</f>
        <v/>
      </c>
      <c r="BJ344" s="34" t="str">
        <f aca="false">IF(OR(BB344="",N(AZ344)=0),"",BB344/AZ344)</f>
        <v/>
      </c>
      <c r="BK344" s="34" t="str">
        <f aca="false">IF(OR(A344="",N(BB344)=0),"",BD344/BB344)</f>
        <v/>
      </c>
      <c r="BL344" s="34" t="str">
        <f aca="false">IF(OR(A344="",N(AZ344)=0),"",BD344/AZ344)</f>
        <v/>
      </c>
      <c r="BM344" s="37" t="str">
        <f aca="false">IF(OR(N(Q344)=0,N(BD344)=0),"",Q344/BD344)</f>
        <v/>
      </c>
      <c r="BN344" s="29"/>
      <c r="BO344" s="29"/>
      <c r="BP344" s="33" t="str">
        <f aca="false">IF(OR(AR344="",N(AO344)=0),"",AR344)</f>
        <v/>
      </c>
      <c r="BQ344" s="33" t="str">
        <f aca="false">IF(OR(AR344="",N(S344)=0),"",S344)</f>
        <v/>
      </c>
      <c r="BR344" s="38" t="str">
        <f aca="false">IF(AND(ISNUMBER(B344),B344&gt;=Dashboard!$C$4,B344&lt;=Dashboard!$F$4,ISNUMBER(AU344)),AU344+ROW()/10^9,"")</f>
        <v/>
      </c>
      <c r="BS344" s="38" t="str">
        <f aca="false">IF(AND(ISNUMBER(B344),B344&gt;=Dashboard!$C$4,B344&lt;=Dashboard!$F$4,A344&lt;&gt;""),N(BD344)+N(AU344)/100+ROW()/10^9,"")</f>
        <v/>
      </c>
    </row>
    <row r="345" customFormat="false" ht="15" hidden="false" customHeight="false" outlineLevel="0" collapsed="false">
      <c r="A345" s="24" t="str">
        <f aca="false">IF(OR(B345="",G345="",H345=""),"",IFERROR(INDEX(Settings!$E$5:$E$49,MATCH(G345,Settings!$D$5:$D$49,0))&amp;INDEX(Settings!$H$5:$H$47,MATCH(H345,Settings!$G$5:$G$47,0))&amp;"-"&amp;TEXT(B345,"yymmdd")&amp;"-"&amp;IF(C345="","0000",TEXT(C345,"hhmm")),"CHECK LISTS"))</f>
        <v/>
      </c>
      <c r="B345" s="39"/>
      <c r="C345" s="40"/>
      <c r="D345" s="24" t="str">
        <f aca="false">IF(B345="","",TEXT(B345,"ddd"))</f>
        <v/>
      </c>
      <c r="E345" s="27" t="str">
        <f aca="false">IF(B345="","",B345-WEEKDAY(B345,3))</f>
        <v/>
      </c>
      <c r="F345" s="24" t="str">
        <f aca="false">IF(B345="","",TEXT(B345,"yyyy-mm"))</f>
        <v/>
      </c>
      <c r="G345" s="29"/>
      <c r="H345" s="29"/>
      <c r="I345" s="29"/>
      <c r="J345" s="29"/>
      <c r="K345" s="29"/>
      <c r="L345" s="29"/>
      <c r="M345" s="29"/>
      <c r="N345" s="29"/>
      <c r="O345" s="29"/>
      <c r="P345" s="29"/>
      <c r="Q345" s="30"/>
      <c r="R345" s="29"/>
      <c r="S345" s="32"/>
      <c r="T345" s="29"/>
      <c r="U345" s="29"/>
      <c r="V345" s="24" t="str">
        <f aca="false">IF(A345="","",IFERROR(INDEX(Settings!$F$5:$F$49,MATCH(G345,Settings!$D$5:$D$49,0)),""))</f>
        <v/>
      </c>
      <c r="W345" s="24" t="str">
        <f aca="false">IF(A345="","",IF(OR(P345="",P345="Organic"),"social","paid_social"))</f>
        <v/>
      </c>
      <c r="X345" s="24" t="str">
        <f aca="false">IF(A345="","",IF(K345&lt;&gt;"",IFERROR(INDEX('Case Studies'!$C$5:$C$54,MATCH(K345,'Case Studies'!$B$5:$B$54,0))&amp;"","case-study"),IF(J345&lt;&gt;"",IFERROR(INDEX(Settings!$J$5:$J$55,MATCH(J345,Settings!$I$5:$I$55,0)),"general"),"general")))</f>
        <v/>
      </c>
      <c r="Y345" s="24" t="str">
        <f aca="false">IF(A345="","",LOWER(A345))</f>
        <v/>
      </c>
      <c r="Z345" s="24" t="str">
        <f aca="false">IF(A345="","",IF(T345="",Settings!$B$5,T345)&amp;IF(ISNUMBER(FIND("?",IF(T345="",Settings!$B$5,T345))),"&amp;","?")&amp;"utm_source="&amp;V345&amp;"&amp;utm_medium="&amp;W345&amp;"&amp;utm_campaign="&amp;X345&amp;"&amp;utm_content="&amp;Y345)</f>
        <v/>
      </c>
      <c r="AA345" s="29"/>
      <c r="AB345" s="39"/>
      <c r="AC345" s="32"/>
      <c r="AD345" s="32"/>
      <c r="AE345" s="32"/>
      <c r="AF345" s="32"/>
      <c r="AG345" s="32"/>
      <c r="AH345" s="32"/>
      <c r="AI345" s="32"/>
      <c r="AJ345" s="32"/>
      <c r="AK345" s="32"/>
      <c r="AL345" s="32"/>
      <c r="AM345" s="32"/>
      <c r="AN345" s="32"/>
      <c r="AO345" s="33" t="str">
        <f aca="false">IF(A345="","",IF(AD345&lt;&gt;"",AD345,IF(AC345&lt;&gt;"",AC345,"")))</f>
        <v/>
      </c>
      <c r="AP345" s="24" t="str">
        <f aca="false">IF(AO345="","",IF(AD345&lt;&gt;"","Reported reach","Impressions (proxy)"))</f>
        <v/>
      </c>
      <c r="AQ345" s="34" t="str">
        <f aca="false">IF(OR(AO345="",N(S345)=0),"",AO345/S345)</f>
        <v/>
      </c>
      <c r="AR345" s="33" t="str">
        <f aca="false">IF(A345="","",IF(COUNT(AF345:AJ345)=0,"",SUM(AF345:AJ345)))</f>
        <v/>
      </c>
      <c r="AS345" s="34" t="str">
        <f aca="false">IF(OR(AR345="",N(AO345)=0),"",AR345/AO345)</f>
        <v/>
      </c>
      <c r="AT345" s="34" t="str">
        <f aca="false">IF(OR(AR345="",N(AC345)=0),"",AR345/AC345)</f>
        <v/>
      </c>
      <c r="AU345" s="34" t="str">
        <f aca="false">IF(OR(AR345="",N(S345)=0),"",AR345/S345)</f>
        <v/>
      </c>
      <c r="AV345" s="34" t="str">
        <f aca="false">IF(OR(AJ345="",N(AC345)=0),"",AJ345/AC345)</f>
        <v/>
      </c>
      <c r="AW345" s="34" t="str">
        <f aca="false">IF(OR(AH345="",N(AO345)=0),"",AH345/AO345)</f>
        <v/>
      </c>
      <c r="AX345" s="35" t="str">
        <f aca="false">IF(OR(AR345="",N(AO345)=0),"",(N(AF345)*Settings!$B$6+N(AG345)*Settings!$B$7+N(AH345)*Settings!$B$8+N(AI345)*Settings!$B$9+N(AJ345)*Settings!$B$10)/AO345*1000)</f>
        <v/>
      </c>
      <c r="AY345" s="36" t="str">
        <f aca="false">IF(AS345="","",IFERROR(AS345/AVERAGEIFS('Post Tracker'!$AS$5:$AS$1004,'Post Tracker'!$G$5:$G$1004,G345),""))</f>
        <v/>
      </c>
      <c r="AZ345" s="32"/>
      <c r="BA345" s="32"/>
      <c r="BB345" s="32"/>
      <c r="BC345" s="32"/>
      <c r="BD345" s="33" t="str">
        <f aca="false">IF(A345="","",COUNTIFS('Demo Pipeline'!$Q$5:$Q$504,A345))</f>
        <v/>
      </c>
      <c r="BE345" s="33" t="str">
        <f aca="false">IF(A345="","",COUNTIFS('Demo Pipeline'!$Q$5:$Q$504,A345,'Demo Pipeline'!$W$5:$W$504,"Attended"))</f>
        <v/>
      </c>
      <c r="BF345" s="33" t="str">
        <f aca="false">IF(A345="","",COUNTIFS('Demo Pipeline'!$Q$5:$Q$504,A345,'Demo Pipeline'!$X$5:$X$504,"Yes"))</f>
        <v/>
      </c>
      <c r="BG345" s="33" t="str">
        <f aca="false">IF(A345="","",COUNTIFS('Demo Pipeline'!$Q$5:$Q$504,A345,'Demo Pipeline'!$Y$5:$Y$504,"Closed Won"))</f>
        <v/>
      </c>
      <c r="BH345" s="37" t="str">
        <f aca="false">IF(A345="","",SUMIFS('Demo Pipeline'!$Z$5:$Z$504,'Demo Pipeline'!$Q$5:$Q$504,A345))</f>
        <v/>
      </c>
      <c r="BI345" s="34" t="str">
        <f aca="false">IF(OR(AZ345="",N(AJ345)=0),"",AZ345/AJ345)</f>
        <v/>
      </c>
      <c r="BJ345" s="34" t="str">
        <f aca="false">IF(OR(BB345="",N(AZ345)=0),"",BB345/AZ345)</f>
        <v/>
      </c>
      <c r="BK345" s="34" t="str">
        <f aca="false">IF(OR(A345="",N(BB345)=0),"",BD345/BB345)</f>
        <v/>
      </c>
      <c r="BL345" s="34" t="str">
        <f aca="false">IF(OR(A345="",N(AZ345)=0),"",BD345/AZ345)</f>
        <v/>
      </c>
      <c r="BM345" s="37" t="str">
        <f aca="false">IF(OR(N(Q345)=0,N(BD345)=0),"",Q345/BD345)</f>
        <v/>
      </c>
      <c r="BN345" s="29"/>
      <c r="BO345" s="29"/>
      <c r="BP345" s="33" t="str">
        <f aca="false">IF(OR(AR345="",N(AO345)=0),"",AR345)</f>
        <v/>
      </c>
      <c r="BQ345" s="33" t="str">
        <f aca="false">IF(OR(AR345="",N(S345)=0),"",S345)</f>
        <v/>
      </c>
      <c r="BR345" s="38" t="str">
        <f aca="false">IF(AND(ISNUMBER(B345),B345&gt;=Dashboard!$C$4,B345&lt;=Dashboard!$F$4,ISNUMBER(AU345)),AU345+ROW()/10^9,"")</f>
        <v/>
      </c>
      <c r="BS345" s="38" t="str">
        <f aca="false">IF(AND(ISNUMBER(B345),B345&gt;=Dashboard!$C$4,B345&lt;=Dashboard!$F$4,A345&lt;&gt;""),N(BD345)+N(AU345)/100+ROW()/10^9,"")</f>
        <v/>
      </c>
    </row>
    <row r="346" customFormat="false" ht="15" hidden="false" customHeight="false" outlineLevel="0" collapsed="false">
      <c r="A346" s="24" t="str">
        <f aca="false">IF(OR(B346="",G346="",H346=""),"",IFERROR(INDEX(Settings!$E$5:$E$49,MATCH(G346,Settings!$D$5:$D$49,0))&amp;INDEX(Settings!$H$5:$H$47,MATCH(H346,Settings!$G$5:$G$47,0))&amp;"-"&amp;TEXT(B346,"yymmdd")&amp;"-"&amp;IF(C346="","0000",TEXT(C346,"hhmm")),"CHECK LISTS"))</f>
        <v/>
      </c>
      <c r="B346" s="39"/>
      <c r="C346" s="40"/>
      <c r="D346" s="24" t="str">
        <f aca="false">IF(B346="","",TEXT(B346,"ddd"))</f>
        <v/>
      </c>
      <c r="E346" s="27" t="str">
        <f aca="false">IF(B346="","",B346-WEEKDAY(B346,3))</f>
        <v/>
      </c>
      <c r="F346" s="24" t="str">
        <f aca="false">IF(B346="","",TEXT(B346,"yyyy-mm"))</f>
        <v/>
      </c>
      <c r="G346" s="29"/>
      <c r="H346" s="29"/>
      <c r="I346" s="29"/>
      <c r="J346" s="29"/>
      <c r="K346" s="29"/>
      <c r="L346" s="29"/>
      <c r="M346" s="29"/>
      <c r="N346" s="29"/>
      <c r="O346" s="29"/>
      <c r="P346" s="29"/>
      <c r="Q346" s="30"/>
      <c r="R346" s="29"/>
      <c r="S346" s="32"/>
      <c r="T346" s="29"/>
      <c r="U346" s="29"/>
      <c r="V346" s="24" t="str">
        <f aca="false">IF(A346="","",IFERROR(INDEX(Settings!$F$5:$F$49,MATCH(G346,Settings!$D$5:$D$49,0)),""))</f>
        <v/>
      </c>
      <c r="W346" s="24" t="str">
        <f aca="false">IF(A346="","",IF(OR(P346="",P346="Organic"),"social","paid_social"))</f>
        <v/>
      </c>
      <c r="X346" s="24" t="str">
        <f aca="false">IF(A346="","",IF(K346&lt;&gt;"",IFERROR(INDEX('Case Studies'!$C$5:$C$54,MATCH(K346,'Case Studies'!$B$5:$B$54,0))&amp;"","case-study"),IF(J346&lt;&gt;"",IFERROR(INDEX(Settings!$J$5:$J$55,MATCH(J346,Settings!$I$5:$I$55,0)),"general"),"general")))</f>
        <v/>
      </c>
      <c r="Y346" s="24" t="str">
        <f aca="false">IF(A346="","",LOWER(A346))</f>
        <v/>
      </c>
      <c r="Z346" s="24" t="str">
        <f aca="false">IF(A346="","",IF(T346="",Settings!$B$5,T346)&amp;IF(ISNUMBER(FIND("?",IF(T346="",Settings!$B$5,T346))),"&amp;","?")&amp;"utm_source="&amp;V346&amp;"&amp;utm_medium="&amp;W346&amp;"&amp;utm_campaign="&amp;X346&amp;"&amp;utm_content="&amp;Y346)</f>
        <v/>
      </c>
      <c r="AA346" s="29"/>
      <c r="AB346" s="39"/>
      <c r="AC346" s="32"/>
      <c r="AD346" s="32"/>
      <c r="AE346" s="32"/>
      <c r="AF346" s="32"/>
      <c r="AG346" s="32"/>
      <c r="AH346" s="32"/>
      <c r="AI346" s="32"/>
      <c r="AJ346" s="32"/>
      <c r="AK346" s="32"/>
      <c r="AL346" s="32"/>
      <c r="AM346" s="32"/>
      <c r="AN346" s="32"/>
      <c r="AO346" s="33" t="str">
        <f aca="false">IF(A346="","",IF(AD346&lt;&gt;"",AD346,IF(AC346&lt;&gt;"",AC346,"")))</f>
        <v/>
      </c>
      <c r="AP346" s="24" t="str">
        <f aca="false">IF(AO346="","",IF(AD346&lt;&gt;"","Reported reach","Impressions (proxy)"))</f>
        <v/>
      </c>
      <c r="AQ346" s="34" t="str">
        <f aca="false">IF(OR(AO346="",N(S346)=0),"",AO346/S346)</f>
        <v/>
      </c>
      <c r="AR346" s="33" t="str">
        <f aca="false">IF(A346="","",IF(COUNT(AF346:AJ346)=0,"",SUM(AF346:AJ346)))</f>
        <v/>
      </c>
      <c r="AS346" s="34" t="str">
        <f aca="false">IF(OR(AR346="",N(AO346)=0),"",AR346/AO346)</f>
        <v/>
      </c>
      <c r="AT346" s="34" t="str">
        <f aca="false">IF(OR(AR346="",N(AC346)=0),"",AR346/AC346)</f>
        <v/>
      </c>
      <c r="AU346" s="34" t="str">
        <f aca="false">IF(OR(AR346="",N(S346)=0),"",AR346/S346)</f>
        <v/>
      </c>
      <c r="AV346" s="34" t="str">
        <f aca="false">IF(OR(AJ346="",N(AC346)=0),"",AJ346/AC346)</f>
        <v/>
      </c>
      <c r="AW346" s="34" t="str">
        <f aca="false">IF(OR(AH346="",N(AO346)=0),"",AH346/AO346)</f>
        <v/>
      </c>
      <c r="AX346" s="35" t="str">
        <f aca="false">IF(OR(AR346="",N(AO346)=0),"",(N(AF346)*Settings!$B$6+N(AG346)*Settings!$B$7+N(AH346)*Settings!$B$8+N(AI346)*Settings!$B$9+N(AJ346)*Settings!$B$10)/AO346*1000)</f>
        <v/>
      </c>
      <c r="AY346" s="36" t="str">
        <f aca="false">IF(AS346="","",IFERROR(AS346/AVERAGEIFS('Post Tracker'!$AS$5:$AS$1004,'Post Tracker'!$G$5:$G$1004,G346),""))</f>
        <v/>
      </c>
      <c r="AZ346" s="32"/>
      <c r="BA346" s="32"/>
      <c r="BB346" s="32"/>
      <c r="BC346" s="32"/>
      <c r="BD346" s="33" t="str">
        <f aca="false">IF(A346="","",COUNTIFS('Demo Pipeline'!$Q$5:$Q$504,A346))</f>
        <v/>
      </c>
      <c r="BE346" s="33" t="str">
        <f aca="false">IF(A346="","",COUNTIFS('Demo Pipeline'!$Q$5:$Q$504,A346,'Demo Pipeline'!$W$5:$W$504,"Attended"))</f>
        <v/>
      </c>
      <c r="BF346" s="33" t="str">
        <f aca="false">IF(A346="","",COUNTIFS('Demo Pipeline'!$Q$5:$Q$504,A346,'Demo Pipeline'!$X$5:$X$504,"Yes"))</f>
        <v/>
      </c>
      <c r="BG346" s="33" t="str">
        <f aca="false">IF(A346="","",COUNTIFS('Demo Pipeline'!$Q$5:$Q$504,A346,'Demo Pipeline'!$Y$5:$Y$504,"Closed Won"))</f>
        <v/>
      </c>
      <c r="BH346" s="37" t="str">
        <f aca="false">IF(A346="","",SUMIFS('Demo Pipeline'!$Z$5:$Z$504,'Demo Pipeline'!$Q$5:$Q$504,A346))</f>
        <v/>
      </c>
      <c r="BI346" s="34" t="str">
        <f aca="false">IF(OR(AZ346="",N(AJ346)=0),"",AZ346/AJ346)</f>
        <v/>
      </c>
      <c r="BJ346" s="34" t="str">
        <f aca="false">IF(OR(BB346="",N(AZ346)=0),"",BB346/AZ346)</f>
        <v/>
      </c>
      <c r="BK346" s="34" t="str">
        <f aca="false">IF(OR(A346="",N(BB346)=0),"",BD346/BB346)</f>
        <v/>
      </c>
      <c r="BL346" s="34" t="str">
        <f aca="false">IF(OR(A346="",N(AZ346)=0),"",BD346/AZ346)</f>
        <v/>
      </c>
      <c r="BM346" s="37" t="str">
        <f aca="false">IF(OR(N(Q346)=0,N(BD346)=0),"",Q346/BD346)</f>
        <v/>
      </c>
      <c r="BN346" s="29"/>
      <c r="BO346" s="29"/>
      <c r="BP346" s="33" t="str">
        <f aca="false">IF(OR(AR346="",N(AO346)=0),"",AR346)</f>
        <v/>
      </c>
      <c r="BQ346" s="33" t="str">
        <f aca="false">IF(OR(AR346="",N(S346)=0),"",S346)</f>
        <v/>
      </c>
      <c r="BR346" s="38" t="str">
        <f aca="false">IF(AND(ISNUMBER(B346),B346&gt;=Dashboard!$C$4,B346&lt;=Dashboard!$F$4,ISNUMBER(AU346)),AU346+ROW()/10^9,"")</f>
        <v/>
      </c>
      <c r="BS346" s="38" t="str">
        <f aca="false">IF(AND(ISNUMBER(B346),B346&gt;=Dashboard!$C$4,B346&lt;=Dashboard!$F$4,A346&lt;&gt;""),N(BD346)+N(AU346)/100+ROW()/10^9,"")</f>
        <v/>
      </c>
    </row>
    <row r="347" customFormat="false" ht="15" hidden="false" customHeight="false" outlineLevel="0" collapsed="false">
      <c r="A347" s="24" t="str">
        <f aca="false">IF(OR(B347="",G347="",H347=""),"",IFERROR(INDEX(Settings!$E$5:$E$49,MATCH(G347,Settings!$D$5:$D$49,0))&amp;INDEX(Settings!$H$5:$H$47,MATCH(H347,Settings!$G$5:$G$47,0))&amp;"-"&amp;TEXT(B347,"yymmdd")&amp;"-"&amp;IF(C347="","0000",TEXT(C347,"hhmm")),"CHECK LISTS"))</f>
        <v/>
      </c>
      <c r="B347" s="39"/>
      <c r="C347" s="40"/>
      <c r="D347" s="24" t="str">
        <f aca="false">IF(B347="","",TEXT(B347,"ddd"))</f>
        <v/>
      </c>
      <c r="E347" s="27" t="str">
        <f aca="false">IF(B347="","",B347-WEEKDAY(B347,3))</f>
        <v/>
      </c>
      <c r="F347" s="24" t="str">
        <f aca="false">IF(B347="","",TEXT(B347,"yyyy-mm"))</f>
        <v/>
      </c>
      <c r="G347" s="29"/>
      <c r="H347" s="29"/>
      <c r="I347" s="29"/>
      <c r="J347" s="29"/>
      <c r="K347" s="29"/>
      <c r="L347" s="29"/>
      <c r="M347" s="29"/>
      <c r="N347" s="29"/>
      <c r="O347" s="29"/>
      <c r="P347" s="29"/>
      <c r="Q347" s="30"/>
      <c r="R347" s="29"/>
      <c r="S347" s="32"/>
      <c r="T347" s="29"/>
      <c r="U347" s="29"/>
      <c r="V347" s="24" t="str">
        <f aca="false">IF(A347="","",IFERROR(INDEX(Settings!$F$5:$F$49,MATCH(G347,Settings!$D$5:$D$49,0)),""))</f>
        <v/>
      </c>
      <c r="W347" s="24" t="str">
        <f aca="false">IF(A347="","",IF(OR(P347="",P347="Organic"),"social","paid_social"))</f>
        <v/>
      </c>
      <c r="X347" s="24" t="str">
        <f aca="false">IF(A347="","",IF(K347&lt;&gt;"",IFERROR(INDEX('Case Studies'!$C$5:$C$54,MATCH(K347,'Case Studies'!$B$5:$B$54,0))&amp;"","case-study"),IF(J347&lt;&gt;"",IFERROR(INDEX(Settings!$J$5:$J$55,MATCH(J347,Settings!$I$5:$I$55,0)),"general"),"general")))</f>
        <v/>
      </c>
      <c r="Y347" s="24" t="str">
        <f aca="false">IF(A347="","",LOWER(A347))</f>
        <v/>
      </c>
      <c r="Z347" s="24" t="str">
        <f aca="false">IF(A347="","",IF(T347="",Settings!$B$5,T347)&amp;IF(ISNUMBER(FIND("?",IF(T347="",Settings!$B$5,T347))),"&amp;","?")&amp;"utm_source="&amp;V347&amp;"&amp;utm_medium="&amp;W347&amp;"&amp;utm_campaign="&amp;X347&amp;"&amp;utm_content="&amp;Y347)</f>
        <v/>
      </c>
      <c r="AA347" s="29"/>
      <c r="AB347" s="39"/>
      <c r="AC347" s="32"/>
      <c r="AD347" s="32"/>
      <c r="AE347" s="32"/>
      <c r="AF347" s="32"/>
      <c r="AG347" s="32"/>
      <c r="AH347" s="32"/>
      <c r="AI347" s="32"/>
      <c r="AJ347" s="32"/>
      <c r="AK347" s="32"/>
      <c r="AL347" s="32"/>
      <c r="AM347" s="32"/>
      <c r="AN347" s="32"/>
      <c r="AO347" s="33" t="str">
        <f aca="false">IF(A347="","",IF(AD347&lt;&gt;"",AD347,IF(AC347&lt;&gt;"",AC347,"")))</f>
        <v/>
      </c>
      <c r="AP347" s="24" t="str">
        <f aca="false">IF(AO347="","",IF(AD347&lt;&gt;"","Reported reach","Impressions (proxy)"))</f>
        <v/>
      </c>
      <c r="AQ347" s="34" t="str">
        <f aca="false">IF(OR(AO347="",N(S347)=0),"",AO347/S347)</f>
        <v/>
      </c>
      <c r="AR347" s="33" t="str">
        <f aca="false">IF(A347="","",IF(COUNT(AF347:AJ347)=0,"",SUM(AF347:AJ347)))</f>
        <v/>
      </c>
      <c r="AS347" s="34" t="str">
        <f aca="false">IF(OR(AR347="",N(AO347)=0),"",AR347/AO347)</f>
        <v/>
      </c>
      <c r="AT347" s="34" t="str">
        <f aca="false">IF(OR(AR347="",N(AC347)=0),"",AR347/AC347)</f>
        <v/>
      </c>
      <c r="AU347" s="34" t="str">
        <f aca="false">IF(OR(AR347="",N(S347)=0),"",AR347/S347)</f>
        <v/>
      </c>
      <c r="AV347" s="34" t="str">
        <f aca="false">IF(OR(AJ347="",N(AC347)=0),"",AJ347/AC347)</f>
        <v/>
      </c>
      <c r="AW347" s="34" t="str">
        <f aca="false">IF(OR(AH347="",N(AO347)=0),"",AH347/AO347)</f>
        <v/>
      </c>
      <c r="AX347" s="35" t="str">
        <f aca="false">IF(OR(AR347="",N(AO347)=0),"",(N(AF347)*Settings!$B$6+N(AG347)*Settings!$B$7+N(AH347)*Settings!$B$8+N(AI347)*Settings!$B$9+N(AJ347)*Settings!$B$10)/AO347*1000)</f>
        <v/>
      </c>
      <c r="AY347" s="36" t="str">
        <f aca="false">IF(AS347="","",IFERROR(AS347/AVERAGEIFS('Post Tracker'!$AS$5:$AS$1004,'Post Tracker'!$G$5:$G$1004,G347),""))</f>
        <v/>
      </c>
      <c r="AZ347" s="32"/>
      <c r="BA347" s="32"/>
      <c r="BB347" s="32"/>
      <c r="BC347" s="32"/>
      <c r="BD347" s="33" t="str">
        <f aca="false">IF(A347="","",COUNTIFS('Demo Pipeline'!$Q$5:$Q$504,A347))</f>
        <v/>
      </c>
      <c r="BE347" s="33" t="str">
        <f aca="false">IF(A347="","",COUNTIFS('Demo Pipeline'!$Q$5:$Q$504,A347,'Demo Pipeline'!$W$5:$W$504,"Attended"))</f>
        <v/>
      </c>
      <c r="BF347" s="33" t="str">
        <f aca="false">IF(A347="","",COUNTIFS('Demo Pipeline'!$Q$5:$Q$504,A347,'Demo Pipeline'!$X$5:$X$504,"Yes"))</f>
        <v/>
      </c>
      <c r="BG347" s="33" t="str">
        <f aca="false">IF(A347="","",COUNTIFS('Demo Pipeline'!$Q$5:$Q$504,A347,'Demo Pipeline'!$Y$5:$Y$504,"Closed Won"))</f>
        <v/>
      </c>
      <c r="BH347" s="37" t="str">
        <f aca="false">IF(A347="","",SUMIFS('Demo Pipeline'!$Z$5:$Z$504,'Demo Pipeline'!$Q$5:$Q$504,A347))</f>
        <v/>
      </c>
      <c r="BI347" s="34" t="str">
        <f aca="false">IF(OR(AZ347="",N(AJ347)=0),"",AZ347/AJ347)</f>
        <v/>
      </c>
      <c r="BJ347" s="34" t="str">
        <f aca="false">IF(OR(BB347="",N(AZ347)=0),"",BB347/AZ347)</f>
        <v/>
      </c>
      <c r="BK347" s="34" t="str">
        <f aca="false">IF(OR(A347="",N(BB347)=0),"",BD347/BB347)</f>
        <v/>
      </c>
      <c r="BL347" s="34" t="str">
        <f aca="false">IF(OR(A347="",N(AZ347)=0),"",BD347/AZ347)</f>
        <v/>
      </c>
      <c r="BM347" s="37" t="str">
        <f aca="false">IF(OR(N(Q347)=0,N(BD347)=0),"",Q347/BD347)</f>
        <v/>
      </c>
      <c r="BN347" s="29"/>
      <c r="BO347" s="29"/>
      <c r="BP347" s="33" t="str">
        <f aca="false">IF(OR(AR347="",N(AO347)=0),"",AR347)</f>
        <v/>
      </c>
      <c r="BQ347" s="33" t="str">
        <f aca="false">IF(OR(AR347="",N(S347)=0),"",S347)</f>
        <v/>
      </c>
      <c r="BR347" s="38" t="str">
        <f aca="false">IF(AND(ISNUMBER(B347),B347&gt;=Dashboard!$C$4,B347&lt;=Dashboard!$F$4,ISNUMBER(AU347)),AU347+ROW()/10^9,"")</f>
        <v/>
      </c>
      <c r="BS347" s="38" t="str">
        <f aca="false">IF(AND(ISNUMBER(B347),B347&gt;=Dashboard!$C$4,B347&lt;=Dashboard!$F$4,A347&lt;&gt;""),N(BD347)+N(AU347)/100+ROW()/10^9,"")</f>
        <v/>
      </c>
    </row>
    <row r="348" customFormat="false" ht="15" hidden="false" customHeight="false" outlineLevel="0" collapsed="false">
      <c r="A348" s="24" t="str">
        <f aca="false">IF(OR(B348="",G348="",H348=""),"",IFERROR(INDEX(Settings!$E$5:$E$49,MATCH(G348,Settings!$D$5:$D$49,0))&amp;INDEX(Settings!$H$5:$H$47,MATCH(H348,Settings!$G$5:$G$47,0))&amp;"-"&amp;TEXT(B348,"yymmdd")&amp;"-"&amp;IF(C348="","0000",TEXT(C348,"hhmm")),"CHECK LISTS"))</f>
        <v/>
      </c>
      <c r="B348" s="39"/>
      <c r="C348" s="40"/>
      <c r="D348" s="24" t="str">
        <f aca="false">IF(B348="","",TEXT(B348,"ddd"))</f>
        <v/>
      </c>
      <c r="E348" s="27" t="str">
        <f aca="false">IF(B348="","",B348-WEEKDAY(B348,3))</f>
        <v/>
      </c>
      <c r="F348" s="24" t="str">
        <f aca="false">IF(B348="","",TEXT(B348,"yyyy-mm"))</f>
        <v/>
      </c>
      <c r="G348" s="29"/>
      <c r="H348" s="29"/>
      <c r="I348" s="29"/>
      <c r="J348" s="29"/>
      <c r="K348" s="29"/>
      <c r="L348" s="29"/>
      <c r="M348" s="29"/>
      <c r="N348" s="29"/>
      <c r="O348" s="29"/>
      <c r="P348" s="29"/>
      <c r="Q348" s="30"/>
      <c r="R348" s="29"/>
      <c r="S348" s="32"/>
      <c r="T348" s="29"/>
      <c r="U348" s="29"/>
      <c r="V348" s="24" t="str">
        <f aca="false">IF(A348="","",IFERROR(INDEX(Settings!$F$5:$F$49,MATCH(G348,Settings!$D$5:$D$49,0)),""))</f>
        <v/>
      </c>
      <c r="W348" s="24" t="str">
        <f aca="false">IF(A348="","",IF(OR(P348="",P348="Organic"),"social","paid_social"))</f>
        <v/>
      </c>
      <c r="X348" s="24" t="str">
        <f aca="false">IF(A348="","",IF(K348&lt;&gt;"",IFERROR(INDEX('Case Studies'!$C$5:$C$54,MATCH(K348,'Case Studies'!$B$5:$B$54,0))&amp;"","case-study"),IF(J348&lt;&gt;"",IFERROR(INDEX(Settings!$J$5:$J$55,MATCH(J348,Settings!$I$5:$I$55,0)),"general"),"general")))</f>
        <v/>
      </c>
      <c r="Y348" s="24" t="str">
        <f aca="false">IF(A348="","",LOWER(A348))</f>
        <v/>
      </c>
      <c r="Z348" s="24" t="str">
        <f aca="false">IF(A348="","",IF(T348="",Settings!$B$5,T348)&amp;IF(ISNUMBER(FIND("?",IF(T348="",Settings!$B$5,T348))),"&amp;","?")&amp;"utm_source="&amp;V348&amp;"&amp;utm_medium="&amp;W348&amp;"&amp;utm_campaign="&amp;X348&amp;"&amp;utm_content="&amp;Y348)</f>
        <v/>
      </c>
      <c r="AA348" s="29"/>
      <c r="AB348" s="39"/>
      <c r="AC348" s="32"/>
      <c r="AD348" s="32"/>
      <c r="AE348" s="32"/>
      <c r="AF348" s="32"/>
      <c r="AG348" s="32"/>
      <c r="AH348" s="32"/>
      <c r="AI348" s="32"/>
      <c r="AJ348" s="32"/>
      <c r="AK348" s="32"/>
      <c r="AL348" s="32"/>
      <c r="AM348" s="32"/>
      <c r="AN348" s="32"/>
      <c r="AO348" s="33" t="str">
        <f aca="false">IF(A348="","",IF(AD348&lt;&gt;"",AD348,IF(AC348&lt;&gt;"",AC348,"")))</f>
        <v/>
      </c>
      <c r="AP348" s="24" t="str">
        <f aca="false">IF(AO348="","",IF(AD348&lt;&gt;"","Reported reach","Impressions (proxy)"))</f>
        <v/>
      </c>
      <c r="AQ348" s="34" t="str">
        <f aca="false">IF(OR(AO348="",N(S348)=0),"",AO348/S348)</f>
        <v/>
      </c>
      <c r="AR348" s="33" t="str">
        <f aca="false">IF(A348="","",IF(COUNT(AF348:AJ348)=0,"",SUM(AF348:AJ348)))</f>
        <v/>
      </c>
      <c r="AS348" s="34" t="str">
        <f aca="false">IF(OR(AR348="",N(AO348)=0),"",AR348/AO348)</f>
        <v/>
      </c>
      <c r="AT348" s="34" t="str">
        <f aca="false">IF(OR(AR348="",N(AC348)=0),"",AR348/AC348)</f>
        <v/>
      </c>
      <c r="AU348" s="34" t="str">
        <f aca="false">IF(OR(AR348="",N(S348)=0),"",AR348/S348)</f>
        <v/>
      </c>
      <c r="AV348" s="34" t="str">
        <f aca="false">IF(OR(AJ348="",N(AC348)=0),"",AJ348/AC348)</f>
        <v/>
      </c>
      <c r="AW348" s="34" t="str">
        <f aca="false">IF(OR(AH348="",N(AO348)=0),"",AH348/AO348)</f>
        <v/>
      </c>
      <c r="AX348" s="35" t="str">
        <f aca="false">IF(OR(AR348="",N(AO348)=0),"",(N(AF348)*Settings!$B$6+N(AG348)*Settings!$B$7+N(AH348)*Settings!$B$8+N(AI348)*Settings!$B$9+N(AJ348)*Settings!$B$10)/AO348*1000)</f>
        <v/>
      </c>
      <c r="AY348" s="36" t="str">
        <f aca="false">IF(AS348="","",IFERROR(AS348/AVERAGEIFS('Post Tracker'!$AS$5:$AS$1004,'Post Tracker'!$G$5:$G$1004,G348),""))</f>
        <v/>
      </c>
      <c r="AZ348" s="32"/>
      <c r="BA348" s="32"/>
      <c r="BB348" s="32"/>
      <c r="BC348" s="32"/>
      <c r="BD348" s="33" t="str">
        <f aca="false">IF(A348="","",COUNTIFS('Demo Pipeline'!$Q$5:$Q$504,A348))</f>
        <v/>
      </c>
      <c r="BE348" s="33" t="str">
        <f aca="false">IF(A348="","",COUNTIFS('Demo Pipeline'!$Q$5:$Q$504,A348,'Demo Pipeline'!$W$5:$W$504,"Attended"))</f>
        <v/>
      </c>
      <c r="BF348" s="33" t="str">
        <f aca="false">IF(A348="","",COUNTIFS('Demo Pipeline'!$Q$5:$Q$504,A348,'Demo Pipeline'!$X$5:$X$504,"Yes"))</f>
        <v/>
      </c>
      <c r="BG348" s="33" t="str">
        <f aca="false">IF(A348="","",COUNTIFS('Demo Pipeline'!$Q$5:$Q$504,A348,'Demo Pipeline'!$Y$5:$Y$504,"Closed Won"))</f>
        <v/>
      </c>
      <c r="BH348" s="37" t="str">
        <f aca="false">IF(A348="","",SUMIFS('Demo Pipeline'!$Z$5:$Z$504,'Demo Pipeline'!$Q$5:$Q$504,A348))</f>
        <v/>
      </c>
      <c r="BI348" s="34" t="str">
        <f aca="false">IF(OR(AZ348="",N(AJ348)=0),"",AZ348/AJ348)</f>
        <v/>
      </c>
      <c r="BJ348" s="34" t="str">
        <f aca="false">IF(OR(BB348="",N(AZ348)=0),"",BB348/AZ348)</f>
        <v/>
      </c>
      <c r="BK348" s="34" t="str">
        <f aca="false">IF(OR(A348="",N(BB348)=0),"",BD348/BB348)</f>
        <v/>
      </c>
      <c r="BL348" s="34" t="str">
        <f aca="false">IF(OR(A348="",N(AZ348)=0),"",BD348/AZ348)</f>
        <v/>
      </c>
      <c r="BM348" s="37" t="str">
        <f aca="false">IF(OR(N(Q348)=0,N(BD348)=0),"",Q348/BD348)</f>
        <v/>
      </c>
      <c r="BN348" s="29"/>
      <c r="BO348" s="29"/>
      <c r="BP348" s="33" t="str">
        <f aca="false">IF(OR(AR348="",N(AO348)=0),"",AR348)</f>
        <v/>
      </c>
      <c r="BQ348" s="33" t="str">
        <f aca="false">IF(OR(AR348="",N(S348)=0),"",S348)</f>
        <v/>
      </c>
      <c r="BR348" s="38" t="str">
        <f aca="false">IF(AND(ISNUMBER(B348),B348&gt;=Dashboard!$C$4,B348&lt;=Dashboard!$F$4,ISNUMBER(AU348)),AU348+ROW()/10^9,"")</f>
        <v/>
      </c>
      <c r="BS348" s="38" t="str">
        <f aca="false">IF(AND(ISNUMBER(B348),B348&gt;=Dashboard!$C$4,B348&lt;=Dashboard!$F$4,A348&lt;&gt;""),N(BD348)+N(AU348)/100+ROW()/10^9,"")</f>
        <v/>
      </c>
    </row>
    <row r="349" customFormat="false" ht="15" hidden="false" customHeight="false" outlineLevel="0" collapsed="false">
      <c r="A349" s="24" t="str">
        <f aca="false">IF(OR(B349="",G349="",H349=""),"",IFERROR(INDEX(Settings!$E$5:$E$49,MATCH(G349,Settings!$D$5:$D$49,0))&amp;INDEX(Settings!$H$5:$H$47,MATCH(H349,Settings!$G$5:$G$47,0))&amp;"-"&amp;TEXT(B349,"yymmdd")&amp;"-"&amp;IF(C349="","0000",TEXT(C349,"hhmm")),"CHECK LISTS"))</f>
        <v/>
      </c>
      <c r="B349" s="39"/>
      <c r="C349" s="40"/>
      <c r="D349" s="24" t="str">
        <f aca="false">IF(B349="","",TEXT(B349,"ddd"))</f>
        <v/>
      </c>
      <c r="E349" s="27" t="str">
        <f aca="false">IF(B349="","",B349-WEEKDAY(B349,3))</f>
        <v/>
      </c>
      <c r="F349" s="24" t="str">
        <f aca="false">IF(B349="","",TEXT(B349,"yyyy-mm"))</f>
        <v/>
      </c>
      <c r="G349" s="29"/>
      <c r="H349" s="29"/>
      <c r="I349" s="29"/>
      <c r="J349" s="29"/>
      <c r="K349" s="29"/>
      <c r="L349" s="29"/>
      <c r="M349" s="29"/>
      <c r="N349" s="29"/>
      <c r="O349" s="29"/>
      <c r="P349" s="29"/>
      <c r="Q349" s="30"/>
      <c r="R349" s="29"/>
      <c r="S349" s="32"/>
      <c r="T349" s="29"/>
      <c r="U349" s="29"/>
      <c r="V349" s="24" t="str">
        <f aca="false">IF(A349="","",IFERROR(INDEX(Settings!$F$5:$F$49,MATCH(G349,Settings!$D$5:$D$49,0)),""))</f>
        <v/>
      </c>
      <c r="W349" s="24" t="str">
        <f aca="false">IF(A349="","",IF(OR(P349="",P349="Organic"),"social","paid_social"))</f>
        <v/>
      </c>
      <c r="X349" s="24" t="str">
        <f aca="false">IF(A349="","",IF(K349&lt;&gt;"",IFERROR(INDEX('Case Studies'!$C$5:$C$54,MATCH(K349,'Case Studies'!$B$5:$B$54,0))&amp;"","case-study"),IF(J349&lt;&gt;"",IFERROR(INDEX(Settings!$J$5:$J$55,MATCH(J349,Settings!$I$5:$I$55,0)),"general"),"general")))</f>
        <v/>
      </c>
      <c r="Y349" s="24" t="str">
        <f aca="false">IF(A349="","",LOWER(A349))</f>
        <v/>
      </c>
      <c r="Z349" s="24" t="str">
        <f aca="false">IF(A349="","",IF(T349="",Settings!$B$5,T349)&amp;IF(ISNUMBER(FIND("?",IF(T349="",Settings!$B$5,T349))),"&amp;","?")&amp;"utm_source="&amp;V349&amp;"&amp;utm_medium="&amp;W349&amp;"&amp;utm_campaign="&amp;X349&amp;"&amp;utm_content="&amp;Y349)</f>
        <v/>
      </c>
      <c r="AA349" s="29"/>
      <c r="AB349" s="39"/>
      <c r="AC349" s="32"/>
      <c r="AD349" s="32"/>
      <c r="AE349" s="32"/>
      <c r="AF349" s="32"/>
      <c r="AG349" s="32"/>
      <c r="AH349" s="32"/>
      <c r="AI349" s="32"/>
      <c r="AJ349" s="32"/>
      <c r="AK349" s="32"/>
      <c r="AL349" s="32"/>
      <c r="AM349" s="32"/>
      <c r="AN349" s="32"/>
      <c r="AO349" s="33" t="str">
        <f aca="false">IF(A349="","",IF(AD349&lt;&gt;"",AD349,IF(AC349&lt;&gt;"",AC349,"")))</f>
        <v/>
      </c>
      <c r="AP349" s="24" t="str">
        <f aca="false">IF(AO349="","",IF(AD349&lt;&gt;"","Reported reach","Impressions (proxy)"))</f>
        <v/>
      </c>
      <c r="AQ349" s="34" t="str">
        <f aca="false">IF(OR(AO349="",N(S349)=0),"",AO349/S349)</f>
        <v/>
      </c>
      <c r="AR349" s="33" t="str">
        <f aca="false">IF(A349="","",IF(COUNT(AF349:AJ349)=0,"",SUM(AF349:AJ349)))</f>
        <v/>
      </c>
      <c r="AS349" s="34" t="str">
        <f aca="false">IF(OR(AR349="",N(AO349)=0),"",AR349/AO349)</f>
        <v/>
      </c>
      <c r="AT349" s="34" t="str">
        <f aca="false">IF(OR(AR349="",N(AC349)=0),"",AR349/AC349)</f>
        <v/>
      </c>
      <c r="AU349" s="34" t="str">
        <f aca="false">IF(OR(AR349="",N(S349)=0),"",AR349/S349)</f>
        <v/>
      </c>
      <c r="AV349" s="34" t="str">
        <f aca="false">IF(OR(AJ349="",N(AC349)=0),"",AJ349/AC349)</f>
        <v/>
      </c>
      <c r="AW349" s="34" t="str">
        <f aca="false">IF(OR(AH349="",N(AO349)=0),"",AH349/AO349)</f>
        <v/>
      </c>
      <c r="AX349" s="35" t="str">
        <f aca="false">IF(OR(AR349="",N(AO349)=0),"",(N(AF349)*Settings!$B$6+N(AG349)*Settings!$B$7+N(AH349)*Settings!$B$8+N(AI349)*Settings!$B$9+N(AJ349)*Settings!$B$10)/AO349*1000)</f>
        <v/>
      </c>
      <c r="AY349" s="36" t="str">
        <f aca="false">IF(AS349="","",IFERROR(AS349/AVERAGEIFS('Post Tracker'!$AS$5:$AS$1004,'Post Tracker'!$G$5:$G$1004,G349),""))</f>
        <v/>
      </c>
      <c r="AZ349" s="32"/>
      <c r="BA349" s="32"/>
      <c r="BB349" s="32"/>
      <c r="BC349" s="32"/>
      <c r="BD349" s="33" t="str">
        <f aca="false">IF(A349="","",COUNTIFS('Demo Pipeline'!$Q$5:$Q$504,A349))</f>
        <v/>
      </c>
      <c r="BE349" s="33" t="str">
        <f aca="false">IF(A349="","",COUNTIFS('Demo Pipeline'!$Q$5:$Q$504,A349,'Demo Pipeline'!$W$5:$W$504,"Attended"))</f>
        <v/>
      </c>
      <c r="BF349" s="33" t="str">
        <f aca="false">IF(A349="","",COUNTIFS('Demo Pipeline'!$Q$5:$Q$504,A349,'Demo Pipeline'!$X$5:$X$504,"Yes"))</f>
        <v/>
      </c>
      <c r="BG349" s="33" t="str">
        <f aca="false">IF(A349="","",COUNTIFS('Demo Pipeline'!$Q$5:$Q$504,A349,'Demo Pipeline'!$Y$5:$Y$504,"Closed Won"))</f>
        <v/>
      </c>
      <c r="BH349" s="37" t="str">
        <f aca="false">IF(A349="","",SUMIFS('Demo Pipeline'!$Z$5:$Z$504,'Demo Pipeline'!$Q$5:$Q$504,A349))</f>
        <v/>
      </c>
      <c r="BI349" s="34" t="str">
        <f aca="false">IF(OR(AZ349="",N(AJ349)=0),"",AZ349/AJ349)</f>
        <v/>
      </c>
      <c r="BJ349" s="34" t="str">
        <f aca="false">IF(OR(BB349="",N(AZ349)=0),"",BB349/AZ349)</f>
        <v/>
      </c>
      <c r="BK349" s="34" t="str">
        <f aca="false">IF(OR(A349="",N(BB349)=0),"",BD349/BB349)</f>
        <v/>
      </c>
      <c r="BL349" s="34" t="str">
        <f aca="false">IF(OR(A349="",N(AZ349)=0),"",BD349/AZ349)</f>
        <v/>
      </c>
      <c r="BM349" s="37" t="str">
        <f aca="false">IF(OR(N(Q349)=0,N(BD349)=0),"",Q349/BD349)</f>
        <v/>
      </c>
      <c r="BN349" s="29"/>
      <c r="BO349" s="29"/>
      <c r="BP349" s="33" t="str">
        <f aca="false">IF(OR(AR349="",N(AO349)=0),"",AR349)</f>
        <v/>
      </c>
      <c r="BQ349" s="33" t="str">
        <f aca="false">IF(OR(AR349="",N(S349)=0),"",S349)</f>
        <v/>
      </c>
      <c r="BR349" s="38" t="str">
        <f aca="false">IF(AND(ISNUMBER(B349),B349&gt;=Dashboard!$C$4,B349&lt;=Dashboard!$F$4,ISNUMBER(AU349)),AU349+ROW()/10^9,"")</f>
        <v/>
      </c>
      <c r="BS349" s="38" t="str">
        <f aca="false">IF(AND(ISNUMBER(B349),B349&gt;=Dashboard!$C$4,B349&lt;=Dashboard!$F$4,A349&lt;&gt;""),N(BD349)+N(AU349)/100+ROW()/10^9,"")</f>
        <v/>
      </c>
    </row>
    <row r="350" customFormat="false" ht="15" hidden="false" customHeight="false" outlineLevel="0" collapsed="false">
      <c r="A350" s="24" t="str">
        <f aca="false">IF(OR(B350="",G350="",H350=""),"",IFERROR(INDEX(Settings!$E$5:$E$49,MATCH(G350,Settings!$D$5:$D$49,0))&amp;INDEX(Settings!$H$5:$H$47,MATCH(H350,Settings!$G$5:$G$47,0))&amp;"-"&amp;TEXT(B350,"yymmdd")&amp;"-"&amp;IF(C350="","0000",TEXT(C350,"hhmm")),"CHECK LISTS"))</f>
        <v/>
      </c>
      <c r="B350" s="39"/>
      <c r="C350" s="40"/>
      <c r="D350" s="24" t="str">
        <f aca="false">IF(B350="","",TEXT(B350,"ddd"))</f>
        <v/>
      </c>
      <c r="E350" s="27" t="str">
        <f aca="false">IF(B350="","",B350-WEEKDAY(B350,3))</f>
        <v/>
      </c>
      <c r="F350" s="24" t="str">
        <f aca="false">IF(B350="","",TEXT(B350,"yyyy-mm"))</f>
        <v/>
      </c>
      <c r="G350" s="29"/>
      <c r="H350" s="29"/>
      <c r="I350" s="29"/>
      <c r="J350" s="29"/>
      <c r="K350" s="29"/>
      <c r="L350" s="29"/>
      <c r="M350" s="29"/>
      <c r="N350" s="29"/>
      <c r="O350" s="29"/>
      <c r="P350" s="29"/>
      <c r="Q350" s="30"/>
      <c r="R350" s="29"/>
      <c r="S350" s="32"/>
      <c r="T350" s="29"/>
      <c r="U350" s="29"/>
      <c r="V350" s="24" t="str">
        <f aca="false">IF(A350="","",IFERROR(INDEX(Settings!$F$5:$F$49,MATCH(G350,Settings!$D$5:$D$49,0)),""))</f>
        <v/>
      </c>
      <c r="W350" s="24" t="str">
        <f aca="false">IF(A350="","",IF(OR(P350="",P350="Organic"),"social","paid_social"))</f>
        <v/>
      </c>
      <c r="X350" s="24" t="str">
        <f aca="false">IF(A350="","",IF(K350&lt;&gt;"",IFERROR(INDEX('Case Studies'!$C$5:$C$54,MATCH(K350,'Case Studies'!$B$5:$B$54,0))&amp;"","case-study"),IF(J350&lt;&gt;"",IFERROR(INDEX(Settings!$J$5:$J$55,MATCH(J350,Settings!$I$5:$I$55,0)),"general"),"general")))</f>
        <v/>
      </c>
      <c r="Y350" s="24" t="str">
        <f aca="false">IF(A350="","",LOWER(A350))</f>
        <v/>
      </c>
      <c r="Z350" s="24" t="str">
        <f aca="false">IF(A350="","",IF(T350="",Settings!$B$5,T350)&amp;IF(ISNUMBER(FIND("?",IF(T350="",Settings!$B$5,T350))),"&amp;","?")&amp;"utm_source="&amp;V350&amp;"&amp;utm_medium="&amp;W350&amp;"&amp;utm_campaign="&amp;X350&amp;"&amp;utm_content="&amp;Y350)</f>
        <v/>
      </c>
      <c r="AA350" s="29"/>
      <c r="AB350" s="39"/>
      <c r="AC350" s="32"/>
      <c r="AD350" s="32"/>
      <c r="AE350" s="32"/>
      <c r="AF350" s="32"/>
      <c r="AG350" s="32"/>
      <c r="AH350" s="32"/>
      <c r="AI350" s="32"/>
      <c r="AJ350" s="32"/>
      <c r="AK350" s="32"/>
      <c r="AL350" s="32"/>
      <c r="AM350" s="32"/>
      <c r="AN350" s="32"/>
      <c r="AO350" s="33" t="str">
        <f aca="false">IF(A350="","",IF(AD350&lt;&gt;"",AD350,IF(AC350&lt;&gt;"",AC350,"")))</f>
        <v/>
      </c>
      <c r="AP350" s="24" t="str">
        <f aca="false">IF(AO350="","",IF(AD350&lt;&gt;"","Reported reach","Impressions (proxy)"))</f>
        <v/>
      </c>
      <c r="AQ350" s="34" t="str">
        <f aca="false">IF(OR(AO350="",N(S350)=0),"",AO350/S350)</f>
        <v/>
      </c>
      <c r="AR350" s="33" t="str">
        <f aca="false">IF(A350="","",IF(COUNT(AF350:AJ350)=0,"",SUM(AF350:AJ350)))</f>
        <v/>
      </c>
      <c r="AS350" s="34" t="str">
        <f aca="false">IF(OR(AR350="",N(AO350)=0),"",AR350/AO350)</f>
        <v/>
      </c>
      <c r="AT350" s="34" t="str">
        <f aca="false">IF(OR(AR350="",N(AC350)=0),"",AR350/AC350)</f>
        <v/>
      </c>
      <c r="AU350" s="34" t="str">
        <f aca="false">IF(OR(AR350="",N(S350)=0),"",AR350/S350)</f>
        <v/>
      </c>
      <c r="AV350" s="34" t="str">
        <f aca="false">IF(OR(AJ350="",N(AC350)=0),"",AJ350/AC350)</f>
        <v/>
      </c>
      <c r="AW350" s="34" t="str">
        <f aca="false">IF(OR(AH350="",N(AO350)=0),"",AH350/AO350)</f>
        <v/>
      </c>
      <c r="AX350" s="35" t="str">
        <f aca="false">IF(OR(AR350="",N(AO350)=0),"",(N(AF350)*Settings!$B$6+N(AG350)*Settings!$B$7+N(AH350)*Settings!$B$8+N(AI350)*Settings!$B$9+N(AJ350)*Settings!$B$10)/AO350*1000)</f>
        <v/>
      </c>
      <c r="AY350" s="36" t="str">
        <f aca="false">IF(AS350="","",IFERROR(AS350/AVERAGEIFS('Post Tracker'!$AS$5:$AS$1004,'Post Tracker'!$G$5:$G$1004,G350),""))</f>
        <v/>
      </c>
      <c r="AZ350" s="32"/>
      <c r="BA350" s="32"/>
      <c r="BB350" s="32"/>
      <c r="BC350" s="32"/>
      <c r="BD350" s="33" t="str">
        <f aca="false">IF(A350="","",COUNTIFS('Demo Pipeline'!$Q$5:$Q$504,A350))</f>
        <v/>
      </c>
      <c r="BE350" s="33" t="str">
        <f aca="false">IF(A350="","",COUNTIFS('Demo Pipeline'!$Q$5:$Q$504,A350,'Demo Pipeline'!$W$5:$W$504,"Attended"))</f>
        <v/>
      </c>
      <c r="BF350" s="33" t="str">
        <f aca="false">IF(A350="","",COUNTIFS('Demo Pipeline'!$Q$5:$Q$504,A350,'Demo Pipeline'!$X$5:$X$504,"Yes"))</f>
        <v/>
      </c>
      <c r="BG350" s="33" t="str">
        <f aca="false">IF(A350="","",COUNTIFS('Demo Pipeline'!$Q$5:$Q$504,A350,'Demo Pipeline'!$Y$5:$Y$504,"Closed Won"))</f>
        <v/>
      </c>
      <c r="BH350" s="37" t="str">
        <f aca="false">IF(A350="","",SUMIFS('Demo Pipeline'!$Z$5:$Z$504,'Demo Pipeline'!$Q$5:$Q$504,A350))</f>
        <v/>
      </c>
      <c r="BI350" s="34" t="str">
        <f aca="false">IF(OR(AZ350="",N(AJ350)=0),"",AZ350/AJ350)</f>
        <v/>
      </c>
      <c r="BJ350" s="34" t="str">
        <f aca="false">IF(OR(BB350="",N(AZ350)=0),"",BB350/AZ350)</f>
        <v/>
      </c>
      <c r="BK350" s="34" t="str">
        <f aca="false">IF(OR(A350="",N(BB350)=0),"",BD350/BB350)</f>
        <v/>
      </c>
      <c r="BL350" s="34" t="str">
        <f aca="false">IF(OR(A350="",N(AZ350)=0),"",BD350/AZ350)</f>
        <v/>
      </c>
      <c r="BM350" s="37" t="str">
        <f aca="false">IF(OR(N(Q350)=0,N(BD350)=0),"",Q350/BD350)</f>
        <v/>
      </c>
      <c r="BN350" s="29"/>
      <c r="BO350" s="29"/>
      <c r="BP350" s="33" t="str">
        <f aca="false">IF(OR(AR350="",N(AO350)=0),"",AR350)</f>
        <v/>
      </c>
      <c r="BQ350" s="33" t="str">
        <f aca="false">IF(OR(AR350="",N(S350)=0),"",S350)</f>
        <v/>
      </c>
      <c r="BR350" s="38" t="str">
        <f aca="false">IF(AND(ISNUMBER(B350),B350&gt;=Dashboard!$C$4,B350&lt;=Dashboard!$F$4,ISNUMBER(AU350)),AU350+ROW()/10^9,"")</f>
        <v/>
      </c>
      <c r="BS350" s="38" t="str">
        <f aca="false">IF(AND(ISNUMBER(B350),B350&gt;=Dashboard!$C$4,B350&lt;=Dashboard!$F$4,A350&lt;&gt;""),N(BD350)+N(AU350)/100+ROW()/10^9,"")</f>
        <v/>
      </c>
    </row>
    <row r="351" customFormat="false" ht="15" hidden="false" customHeight="false" outlineLevel="0" collapsed="false">
      <c r="A351" s="24" t="str">
        <f aca="false">IF(OR(B351="",G351="",H351=""),"",IFERROR(INDEX(Settings!$E$5:$E$49,MATCH(G351,Settings!$D$5:$D$49,0))&amp;INDEX(Settings!$H$5:$H$47,MATCH(H351,Settings!$G$5:$G$47,0))&amp;"-"&amp;TEXT(B351,"yymmdd")&amp;"-"&amp;IF(C351="","0000",TEXT(C351,"hhmm")),"CHECK LISTS"))</f>
        <v/>
      </c>
      <c r="B351" s="39"/>
      <c r="C351" s="40"/>
      <c r="D351" s="24" t="str">
        <f aca="false">IF(B351="","",TEXT(B351,"ddd"))</f>
        <v/>
      </c>
      <c r="E351" s="27" t="str">
        <f aca="false">IF(B351="","",B351-WEEKDAY(B351,3))</f>
        <v/>
      </c>
      <c r="F351" s="24" t="str">
        <f aca="false">IF(B351="","",TEXT(B351,"yyyy-mm"))</f>
        <v/>
      </c>
      <c r="G351" s="29"/>
      <c r="H351" s="29"/>
      <c r="I351" s="29"/>
      <c r="J351" s="29"/>
      <c r="K351" s="29"/>
      <c r="L351" s="29"/>
      <c r="M351" s="29"/>
      <c r="N351" s="29"/>
      <c r="O351" s="29"/>
      <c r="P351" s="29"/>
      <c r="Q351" s="30"/>
      <c r="R351" s="29"/>
      <c r="S351" s="32"/>
      <c r="T351" s="29"/>
      <c r="U351" s="29"/>
      <c r="V351" s="24" t="str">
        <f aca="false">IF(A351="","",IFERROR(INDEX(Settings!$F$5:$F$49,MATCH(G351,Settings!$D$5:$D$49,0)),""))</f>
        <v/>
      </c>
      <c r="W351" s="24" t="str">
        <f aca="false">IF(A351="","",IF(OR(P351="",P351="Organic"),"social","paid_social"))</f>
        <v/>
      </c>
      <c r="X351" s="24" t="str">
        <f aca="false">IF(A351="","",IF(K351&lt;&gt;"",IFERROR(INDEX('Case Studies'!$C$5:$C$54,MATCH(K351,'Case Studies'!$B$5:$B$54,0))&amp;"","case-study"),IF(J351&lt;&gt;"",IFERROR(INDEX(Settings!$J$5:$J$55,MATCH(J351,Settings!$I$5:$I$55,0)),"general"),"general")))</f>
        <v/>
      </c>
      <c r="Y351" s="24" t="str">
        <f aca="false">IF(A351="","",LOWER(A351))</f>
        <v/>
      </c>
      <c r="Z351" s="24" t="str">
        <f aca="false">IF(A351="","",IF(T351="",Settings!$B$5,T351)&amp;IF(ISNUMBER(FIND("?",IF(T351="",Settings!$B$5,T351))),"&amp;","?")&amp;"utm_source="&amp;V351&amp;"&amp;utm_medium="&amp;W351&amp;"&amp;utm_campaign="&amp;X351&amp;"&amp;utm_content="&amp;Y351)</f>
        <v/>
      </c>
      <c r="AA351" s="29"/>
      <c r="AB351" s="39"/>
      <c r="AC351" s="32"/>
      <c r="AD351" s="32"/>
      <c r="AE351" s="32"/>
      <c r="AF351" s="32"/>
      <c r="AG351" s="32"/>
      <c r="AH351" s="32"/>
      <c r="AI351" s="32"/>
      <c r="AJ351" s="32"/>
      <c r="AK351" s="32"/>
      <c r="AL351" s="32"/>
      <c r="AM351" s="32"/>
      <c r="AN351" s="32"/>
      <c r="AO351" s="33" t="str">
        <f aca="false">IF(A351="","",IF(AD351&lt;&gt;"",AD351,IF(AC351&lt;&gt;"",AC351,"")))</f>
        <v/>
      </c>
      <c r="AP351" s="24" t="str">
        <f aca="false">IF(AO351="","",IF(AD351&lt;&gt;"","Reported reach","Impressions (proxy)"))</f>
        <v/>
      </c>
      <c r="AQ351" s="34" t="str">
        <f aca="false">IF(OR(AO351="",N(S351)=0),"",AO351/S351)</f>
        <v/>
      </c>
      <c r="AR351" s="33" t="str">
        <f aca="false">IF(A351="","",IF(COUNT(AF351:AJ351)=0,"",SUM(AF351:AJ351)))</f>
        <v/>
      </c>
      <c r="AS351" s="34" t="str">
        <f aca="false">IF(OR(AR351="",N(AO351)=0),"",AR351/AO351)</f>
        <v/>
      </c>
      <c r="AT351" s="34" t="str">
        <f aca="false">IF(OR(AR351="",N(AC351)=0),"",AR351/AC351)</f>
        <v/>
      </c>
      <c r="AU351" s="34" t="str">
        <f aca="false">IF(OR(AR351="",N(S351)=0),"",AR351/S351)</f>
        <v/>
      </c>
      <c r="AV351" s="34" t="str">
        <f aca="false">IF(OR(AJ351="",N(AC351)=0),"",AJ351/AC351)</f>
        <v/>
      </c>
      <c r="AW351" s="34" t="str">
        <f aca="false">IF(OR(AH351="",N(AO351)=0),"",AH351/AO351)</f>
        <v/>
      </c>
      <c r="AX351" s="35" t="str">
        <f aca="false">IF(OR(AR351="",N(AO351)=0),"",(N(AF351)*Settings!$B$6+N(AG351)*Settings!$B$7+N(AH351)*Settings!$B$8+N(AI351)*Settings!$B$9+N(AJ351)*Settings!$B$10)/AO351*1000)</f>
        <v/>
      </c>
      <c r="AY351" s="36" t="str">
        <f aca="false">IF(AS351="","",IFERROR(AS351/AVERAGEIFS('Post Tracker'!$AS$5:$AS$1004,'Post Tracker'!$G$5:$G$1004,G351),""))</f>
        <v/>
      </c>
      <c r="AZ351" s="32"/>
      <c r="BA351" s="32"/>
      <c r="BB351" s="32"/>
      <c r="BC351" s="32"/>
      <c r="BD351" s="33" t="str">
        <f aca="false">IF(A351="","",COUNTIFS('Demo Pipeline'!$Q$5:$Q$504,A351))</f>
        <v/>
      </c>
      <c r="BE351" s="33" t="str">
        <f aca="false">IF(A351="","",COUNTIFS('Demo Pipeline'!$Q$5:$Q$504,A351,'Demo Pipeline'!$W$5:$W$504,"Attended"))</f>
        <v/>
      </c>
      <c r="BF351" s="33" t="str">
        <f aca="false">IF(A351="","",COUNTIFS('Demo Pipeline'!$Q$5:$Q$504,A351,'Demo Pipeline'!$X$5:$X$504,"Yes"))</f>
        <v/>
      </c>
      <c r="BG351" s="33" t="str">
        <f aca="false">IF(A351="","",COUNTIFS('Demo Pipeline'!$Q$5:$Q$504,A351,'Demo Pipeline'!$Y$5:$Y$504,"Closed Won"))</f>
        <v/>
      </c>
      <c r="BH351" s="37" t="str">
        <f aca="false">IF(A351="","",SUMIFS('Demo Pipeline'!$Z$5:$Z$504,'Demo Pipeline'!$Q$5:$Q$504,A351))</f>
        <v/>
      </c>
      <c r="BI351" s="34" t="str">
        <f aca="false">IF(OR(AZ351="",N(AJ351)=0),"",AZ351/AJ351)</f>
        <v/>
      </c>
      <c r="BJ351" s="34" t="str">
        <f aca="false">IF(OR(BB351="",N(AZ351)=0),"",BB351/AZ351)</f>
        <v/>
      </c>
      <c r="BK351" s="34" t="str">
        <f aca="false">IF(OR(A351="",N(BB351)=0),"",BD351/BB351)</f>
        <v/>
      </c>
      <c r="BL351" s="34" t="str">
        <f aca="false">IF(OR(A351="",N(AZ351)=0),"",BD351/AZ351)</f>
        <v/>
      </c>
      <c r="BM351" s="37" t="str">
        <f aca="false">IF(OR(N(Q351)=0,N(BD351)=0),"",Q351/BD351)</f>
        <v/>
      </c>
      <c r="BN351" s="29"/>
      <c r="BO351" s="29"/>
      <c r="BP351" s="33" t="str">
        <f aca="false">IF(OR(AR351="",N(AO351)=0),"",AR351)</f>
        <v/>
      </c>
      <c r="BQ351" s="33" t="str">
        <f aca="false">IF(OR(AR351="",N(S351)=0),"",S351)</f>
        <v/>
      </c>
      <c r="BR351" s="38" t="str">
        <f aca="false">IF(AND(ISNUMBER(B351),B351&gt;=Dashboard!$C$4,B351&lt;=Dashboard!$F$4,ISNUMBER(AU351)),AU351+ROW()/10^9,"")</f>
        <v/>
      </c>
      <c r="BS351" s="38" t="str">
        <f aca="false">IF(AND(ISNUMBER(B351),B351&gt;=Dashboard!$C$4,B351&lt;=Dashboard!$F$4,A351&lt;&gt;""),N(BD351)+N(AU351)/100+ROW()/10^9,"")</f>
        <v/>
      </c>
    </row>
    <row r="352" customFormat="false" ht="15" hidden="false" customHeight="false" outlineLevel="0" collapsed="false">
      <c r="A352" s="24" t="str">
        <f aca="false">IF(OR(B352="",G352="",H352=""),"",IFERROR(INDEX(Settings!$E$5:$E$49,MATCH(G352,Settings!$D$5:$D$49,0))&amp;INDEX(Settings!$H$5:$H$47,MATCH(H352,Settings!$G$5:$G$47,0))&amp;"-"&amp;TEXT(B352,"yymmdd")&amp;"-"&amp;IF(C352="","0000",TEXT(C352,"hhmm")),"CHECK LISTS"))</f>
        <v/>
      </c>
      <c r="B352" s="39"/>
      <c r="C352" s="40"/>
      <c r="D352" s="24" t="str">
        <f aca="false">IF(B352="","",TEXT(B352,"ddd"))</f>
        <v/>
      </c>
      <c r="E352" s="27" t="str">
        <f aca="false">IF(B352="","",B352-WEEKDAY(B352,3))</f>
        <v/>
      </c>
      <c r="F352" s="24" t="str">
        <f aca="false">IF(B352="","",TEXT(B352,"yyyy-mm"))</f>
        <v/>
      </c>
      <c r="G352" s="29"/>
      <c r="H352" s="29"/>
      <c r="I352" s="29"/>
      <c r="J352" s="29"/>
      <c r="K352" s="29"/>
      <c r="L352" s="29"/>
      <c r="M352" s="29"/>
      <c r="N352" s="29"/>
      <c r="O352" s="29"/>
      <c r="P352" s="29"/>
      <c r="Q352" s="30"/>
      <c r="R352" s="29"/>
      <c r="S352" s="32"/>
      <c r="T352" s="29"/>
      <c r="U352" s="29"/>
      <c r="V352" s="24" t="str">
        <f aca="false">IF(A352="","",IFERROR(INDEX(Settings!$F$5:$F$49,MATCH(G352,Settings!$D$5:$D$49,0)),""))</f>
        <v/>
      </c>
      <c r="W352" s="24" t="str">
        <f aca="false">IF(A352="","",IF(OR(P352="",P352="Organic"),"social","paid_social"))</f>
        <v/>
      </c>
      <c r="X352" s="24" t="str">
        <f aca="false">IF(A352="","",IF(K352&lt;&gt;"",IFERROR(INDEX('Case Studies'!$C$5:$C$54,MATCH(K352,'Case Studies'!$B$5:$B$54,0))&amp;"","case-study"),IF(J352&lt;&gt;"",IFERROR(INDEX(Settings!$J$5:$J$55,MATCH(J352,Settings!$I$5:$I$55,0)),"general"),"general")))</f>
        <v/>
      </c>
      <c r="Y352" s="24" t="str">
        <f aca="false">IF(A352="","",LOWER(A352))</f>
        <v/>
      </c>
      <c r="Z352" s="24" t="str">
        <f aca="false">IF(A352="","",IF(T352="",Settings!$B$5,T352)&amp;IF(ISNUMBER(FIND("?",IF(T352="",Settings!$B$5,T352))),"&amp;","?")&amp;"utm_source="&amp;V352&amp;"&amp;utm_medium="&amp;W352&amp;"&amp;utm_campaign="&amp;X352&amp;"&amp;utm_content="&amp;Y352)</f>
        <v/>
      </c>
      <c r="AA352" s="29"/>
      <c r="AB352" s="39"/>
      <c r="AC352" s="32"/>
      <c r="AD352" s="32"/>
      <c r="AE352" s="32"/>
      <c r="AF352" s="32"/>
      <c r="AG352" s="32"/>
      <c r="AH352" s="32"/>
      <c r="AI352" s="32"/>
      <c r="AJ352" s="32"/>
      <c r="AK352" s="32"/>
      <c r="AL352" s="32"/>
      <c r="AM352" s="32"/>
      <c r="AN352" s="32"/>
      <c r="AO352" s="33" t="str">
        <f aca="false">IF(A352="","",IF(AD352&lt;&gt;"",AD352,IF(AC352&lt;&gt;"",AC352,"")))</f>
        <v/>
      </c>
      <c r="AP352" s="24" t="str">
        <f aca="false">IF(AO352="","",IF(AD352&lt;&gt;"","Reported reach","Impressions (proxy)"))</f>
        <v/>
      </c>
      <c r="AQ352" s="34" t="str">
        <f aca="false">IF(OR(AO352="",N(S352)=0),"",AO352/S352)</f>
        <v/>
      </c>
      <c r="AR352" s="33" t="str">
        <f aca="false">IF(A352="","",IF(COUNT(AF352:AJ352)=0,"",SUM(AF352:AJ352)))</f>
        <v/>
      </c>
      <c r="AS352" s="34" t="str">
        <f aca="false">IF(OR(AR352="",N(AO352)=0),"",AR352/AO352)</f>
        <v/>
      </c>
      <c r="AT352" s="34" t="str">
        <f aca="false">IF(OR(AR352="",N(AC352)=0),"",AR352/AC352)</f>
        <v/>
      </c>
      <c r="AU352" s="34" t="str">
        <f aca="false">IF(OR(AR352="",N(S352)=0),"",AR352/S352)</f>
        <v/>
      </c>
      <c r="AV352" s="34" t="str">
        <f aca="false">IF(OR(AJ352="",N(AC352)=0),"",AJ352/AC352)</f>
        <v/>
      </c>
      <c r="AW352" s="34" t="str">
        <f aca="false">IF(OR(AH352="",N(AO352)=0),"",AH352/AO352)</f>
        <v/>
      </c>
      <c r="AX352" s="35" t="str">
        <f aca="false">IF(OR(AR352="",N(AO352)=0),"",(N(AF352)*Settings!$B$6+N(AG352)*Settings!$B$7+N(AH352)*Settings!$B$8+N(AI352)*Settings!$B$9+N(AJ352)*Settings!$B$10)/AO352*1000)</f>
        <v/>
      </c>
      <c r="AY352" s="36" t="str">
        <f aca="false">IF(AS352="","",IFERROR(AS352/AVERAGEIFS('Post Tracker'!$AS$5:$AS$1004,'Post Tracker'!$G$5:$G$1004,G352),""))</f>
        <v/>
      </c>
      <c r="AZ352" s="32"/>
      <c r="BA352" s="32"/>
      <c r="BB352" s="32"/>
      <c r="BC352" s="32"/>
      <c r="BD352" s="33" t="str">
        <f aca="false">IF(A352="","",COUNTIFS('Demo Pipeline'!$Q$5:$Q$504,A352))</f>
        <v/>
      </c>
      <c r="BE352" s="33" t="str">
        <f aca="false">IF(A352="","",COUNTIFS('Demo Pipeline'!$Q$5:$Q$504,A352,'Demo Pipeline'!$W$5:$W$504,"Attended"))</f>
        <v/>
      </c>
      <c r="BF352" s="33" t="str">
        <f aca="false">IF(A352="","",COUNTIFS('Demo Pipeline'!$Q$5:$Q$504,A352,'Demo Pipeline'!$X$5:$X$504,"Yes"))</f>
        <v/>
      </c>
      <c r="BG352" s="33" t="str">
        <f aca="false">IF(A352="","",COUNTIFS('Demo Pipeline'!$Q$5:$Q$504,A352,'Demo Pipeline'!$Y$5:$Y$504,"Closed Won"))</f>
        <v/>
      </c>
      <c r="BH352" s="37" t="str">
        <f aca="false">IF(A352="","",SUMIFS('Demo Pipeline'!$Z$5:$Z$504,'Demo Pipeline'!$Q$5:$Q$504,A352))</f>
        <v/>
      </c>
      <c r="BI352" s="34" t="str">
        <f aca="false">IF(OR(AZ352="",N(AJ352)=0),"",AZ352/AJ352)</f>
        <v/>
      </c>
      <c r="BJ352" s="34" t="str">
        <f aca="false">IF(OR(BB352="",N(AZ352)=0),"",BB352/AZ352)</f>
        <v/>
      </c>
      <c r="BK352" s="34" t="str">
        <f aca="false">IF(OR(A352="",N(BB352)=0),"",BD352/BB352)</f>
        <v/>
      </c>
      <c r="BL352" s="34" t="str">
        <f aca="false">IF(OR(A352="",N(AZ352)=0),"",BD352/AZ352)</f>
        <v/>
      </c>
      <c r="BM352" s="37" t="str">
        <f aca="false">IF(OR(N(Q352)=0,N(BD352)=0),"",Q352/BD352)</f>
        <v/>
      </c>
      <c r="BN352" s="29"/>
      <c r="BO352" s="29"/>
      <c r="BP352" s="33" t="str">
        <f aca="false">IF(OR(AR352="",N(AO352)=0),"",AR352)</f>
        <v/>
      </c>
      <c r="BQ352" s="33" t="str">
        <f aca="false">IF(OR(AR352="",N(S352)=0),"",S352)</f>
        <v/>
      </c>
      <c r="BR352" s="38" t="str">
        <f aca="false">IF(AND(ISNUMBER(B352),B352&gt;=Dashboard!$C$4,B352&lt;=Dashboard!$F$4,ISNUMBER(AU352)),AU352+ROW()/10^9,"")</f>
        <v/>
      </c>
      <c r="BS352" s="38" t="str">
        <f aca="false">IF(AND(ISNUMBER(B352),B352&gt;=Dashboard!$C$4,B352&lt;=Dashboard!$F$4,A352&lt;&gt;""),N(BD352)+N(AU352)/100+ROW()/10^9,"")</f>
        <v/>
      </c>
    </row>
    <row r="353" customFormat="false" ht="15" hidden="false" customHeight="false" outlineLevel="0" collapsed="false">
      <c r="A353" s="24" t="str">
        <f aca="false">IF(OR(B353="",G353="",H353=""),"",IFERROR(INDEX(Settings!$E$5:$E$49,MATCH(G353,Settings!$D$5:$D$49,0))&amp;INDEX(Settings!$H$5:$H$47,MATCH(H353,Settings!$G$5:$G$47,0))&amp;"-"&amp;TEXT(B353,"yymmdd")&amp;"-"&amp;IF(C353="","0000",TEXT(C353,"hhmm")),"CHECK LISTS"))</f>
        <v/>
      </c>
      <c r="B353" s="39"/>
      <c r="C353" s="40"/>
      <c r="D353" s="24" t="str">
        <f aca="false">IF(B353="","",TEXT(B353,"ddd"))</f>
        <v/>
      </c>
      <c r="E353" s="27" t="str">
        <f aca="false">IF(B353="","",B353-WEEKDAY(B353,3))</f>
        <v/>
      </c>
      <c r="F353" s="24" t="str">
        <f aca="false">IF(B353="","",TEXT(B353,"yyyy-mm"))</f>
        <v/>
      </c>
      <c r="G353" s="29"/>
      <c r="H353" s="29"/>
      <c r="I353" s="29"/>
      <c r="J353" s="29"/>
      <c r="K353" s="29"/>
      <c r="L353" s="29"/>
      <c r="M353" s="29"/>
      <c r="N353" s="29"/>
      <c r="O353" s="29"/>
      <c r="P353" s="29"/>
      <c r="Q353" s="30"/>
      <c r="R353" s="29"/>
      <c r="S353" s="32"/>
      <c r="T353" s="29"/>
      <c r="U353" s="29"/>
      <c r="V353" s="24" t="str">
        <f aca="false">IF(A353="","",IFERROR(INDEX(Settings!$F$5:$F$49,MATCH(G353,Settings!$D$5:$D$49,0)),""))</f>
        <v/>
      </c>
      <c r="W353" s="24" t="str">
        <f aca="false">IF(A353="","",IF(OR(P353="",P353="Organic"),"social","paid_social"))</f>
        <v/>
      </c>
      <c r="X353" s="24" t="str">
        <f aca="false">IF(A353="","",IF(K353&lt;&gt;"",IFERROR(INDEX('Case Studies'!$C$5:$C$54,MATCH(K353,'Case Studies'!$B$5:$B$54,0))&amp;"","case-study"),IF(J353&lt;&gt;"",IFERROR(INDEX(Settings!$J$5:$J$55,MATCH(J353,Settings!$I$5:$I$55,0)),"general"),"general")))</f>
        <v/>
      </c>
      <c r="Y353" s="24" t="str">
        <f aca="false">IF(A353="","",LOWER(A353))</f>
        <v/>
      </c>
      <c r="Z353" s="24" t="str">
        <f aca="false">IF(A353="","",IF(T353="",Settings!$B$5,T353)&amp;IF(ISNUMBER(FIND("?",IF(T353="",Settings!$B$5,T353))),"&amp;","?")&amp;"utm_source="&amp;V353&amp;"&amp;utm_medium="&amp;W353&amp;"&amp;utm_campaign="&amp;X353&amp;"&amp;utm_content="&amp;Y353)</f>
        <v/>
      </c>
      <c r="AA353" s="29"/>
      <c r="AB353" s="39"/>
      <c r="AC353" s="32"/>
      <c r="AD353" s="32"/>
      <c r="AE353" s="32"/>
      <c r="AF353" s="32"/>
      <c r="AG353" s="32"/>
      <c r="AH353" s="32"/>
      <c r="AI353" s="32"/>
      <c r="AJ353" s="32"/>
      <c r="AK353" s="32"/>
      <c r="AL353" s="32"/>
      <c r="AM353" s="32"/>
      <c r="AN353" s="32"/>
      <c r="AO353" s="33" t="str">
        <f aca="false">IF(A353="","",IF(AD353&lt;&gt;"",AD353,IF(AC353&lt;&gt;"",AC353,"")))</f>
        <v/>
      </c>
      <c r="AP353" s="24" t="str">
        <f aca="false">IF(AO353="","",IF(AD353&lt;&gt;"","Reported reach","Impressions (proxy)"))</f>
        <v/>
      </c>
      <c r="AQ353" s="34" t="str">
        <f aca="false">IF(OR(AO353="",N(S353)=0),"",AO353/S353)</f>
        <v/>
      </c>
      <c r="AR353" s="33" t="str">
        <f aca="false">IF(A353="","",IF(COUNT(AF353:AJ353)=0,"",SUM(AF353:AJ353)))</f>
        <v/>
      </c>
      <c r="AS353" s="34" t="str">
        <f aca="false">IF(OR(AR353="",N(AO353)=0),"",AR353/AO353)</f>
        <v/>
      </c>
      <c r="AT353" s="34" t="str">
        <f aca="false">IF(OR(AR353="",N(AC353)=0),"",AR353/AC353)</f>
        <v/>
      </c>
      <c r="AU353" s="34" t="str">
        <f aca="false">IF(OR(AR353="",N(S353)=0),"",AR353/S353)</f>
        <v/>
      </c>
      <c r="AV353" s="34" t="str">
        <f aca="false">IF(OR(AJ353="",N(AC353)=0),"",AJ353/AC353)</f>
        <v/>
      </c>
      <c r="AW353" s="34" t="str">
        <f aca="false">IF(OR(AH353="",N(AO353)=0),"",AH353/AO353)</f>
        <v/>
      </c>
      <c r="AX353" s="35" t="str">
        <f aca="false">IF(OR(AR353="",N(AO353)=0),"",(N(AF353)*Settings!$B$6+N(AG353)*Settings!$B$7+N(AH353)*Settings!$B$8+N(AI353)*Settings!$B$9+N(AJ353)*Settings!$B$10)/AO353*1000)</f>
        <v/>
      </c>
      <c r="AY353" s="36" t="str">
        <f aca="false">IF(AS353="","",IFERROR(AS353/AVERAGEIFS('Post Tracker'!$AS$5:$AS$1004,'Post Tracker'!$G$5:$G$1004,G353),""))</f>
        <v/>
      </c>
      <c r="AZ353" s="32"/>
      <c r="BA353" s="32"/>
      <c r="BB353" s="32"/>
      <c r="BC353" s="32"/>
      <c r="BD353" s="33" t="str">
        <f aca="false">IF(A353="","",COUNTIFS('Demo Pipeline'!$Q$5:$Q$504,A353))</f>
        <v/>
      </c>
      <c r="BE353" s="33" t="str">
        <f aca="false">IF(A353="","",COUNTIFS('Demo Pipeline'!$Q$5:$Q$504,A353,'Demo Pipeline'!$W$5:$W$504,"Attended"))</f>
        <v/>
      </c>
      <c r="BF353" s="33" t="str">
        <f aca="false">IF(A353="","",COUNTIFS('Demo Pipeline'!$Q$5:$Q$504,A353,'Demo Pipeline'!$X$5:$X$504,"Yes"))</f>
        <v/>
      </c>
      <c r="BG353" s="33" t="str">
        <f aca="false">IF(A353="","",COUNTIFS('Demo Pipeline'!$Q$5:$Q$504,A353,'Demo Pipeline'!$Y$5:$Y$504,"Closed Won"))</f>
        <v/>
      </c>
      <c r="BH353" s="37" t="str">
        <f aca="false">IF(A353="","",SUMIFS('Demo Pipeline'!$Z$5:$Z$504,'Demo Pipeline'!$Q$5:$Q$504,A353))</f>
        <v/>
      </c>
      <c r="BI353" s="34" t="str">
        <f aca="false">IF(OR(AZ353="",N(AJ353)=0),"",AZ353/AJ353)</f>
        <v/>
      </c>
      <c r="BJ353" s="34" t="str">
        <f aca="false">IF(OR(BB353="",N(AZ353)=0),"",BB353/AZ353)</f>
        <v/>
      </c>
      <c r="BK353" s="34" t="str">
        <f aca="false">IF(OR(A353="",N(BB353)=0),"",BD353/BB353)</f>
        <v/>
      </c>
      <c r="BL353" s="34" t="str">
        <f aca="false">IF(OR(A353="",N(AZ353)=0),"",BD353/AZ353)</f>
        <v/>
      </c>
      <c r="BM353" s="37" t="str">
        <f aca="false">IF(OR(N(Q353)=0,N(BD353)=0),"",Q353/BD353)</f>
        <v/>
      </c>
      <c r="BN353" s="29"/>
      <c r="BO353" s="29"/>
      <c r="BP353" s="33" t="str">
        <f aca="false">IF(OR(AR353="",N(AO353)=0),"",AR353)</f>
        <v/>
      </c>
      <c r="BQ353" s="33" t="str">
        <f aca="false">IF(OR(AR353="",N(S353)=0),"",S353)</f>
        <v/>
      </c>
      <c r="BR353" s="38" t="str">
        <f aca="false">IF(AND(ISNUMBER(B353),B353&gt;=Dashboard!$C$4,B353&lt;=Dashboard!$F$4,ISNUMBER(AU353)),AU353+ROW()/10^9,"")</f>
        <v/>
      </c>
      <c r="BS353" s="38" t="str">
        <f aca="false">IF(AND(ISNUMBER(B353),B353&gt;=Dashboard!$C$4,B353&lt;=Dashboard!$F$4,A353&lt;&gt;""),N(BD353)+N(AU353)/100+ROW()/10^9,"")</f>
        <v/>
      </c>
    </row>
    <row r="354" customFormat="false" ht="15" hidden="false" customHeight="false" outlineLevel="0" collapsed="false">
      <c r="A354" s="24" t="str">
        <f aca="false">IF(OR(B354="",G354="",H354=""),"",IFERROR(INDEX(Settings!$E$5:$E$49,MATCH(G354,Settings!$D$5:$D$49,0))&amp;INDEX(Settings!$H$5:$H$47,MATCH(H354,Settings!$G$5:$G$47,0))&amp;"-"&amp;TEXT(B354,"yymmdd")&amp;"-"&amp;IF(C354="","0000",TEXT(C354,"hhmm")),"CHECK LISTS"))</f>
        <v/>
      </c>
      <c r="B354" s="39"/>
      <c r="C354" s="40"/>
      <c r="D354" s="24" t="str">
        <f aca="false">IF(B354="","",TEXT(B354,"ddd"))</f>
        <v/>
      </c>
      <c r="E354" s="27" t="str">
        <f aca="false">IF(B354="","",B354-WEEKDAY(B354,3))</f>
        <v/>
      </c>
      <c r="F354" s="24" t="str">
        <f aca="false">IF(B354="","",TEXT(B354,"yyyy-mm"))</f>
        <v/>
      </c>
      <c r="G354" s="29"/>
      <c r="H354" s="29"/>
      <c r="I354" s="29"/>
      <c r="J354" s="29"/>
      <c r="K354" s="29"/>
      <c r="L354" s="29"/>
      <c r="M354" s="29"/>
      <c r="N354" s="29"/>
      <c r="O354" s="29"/>
      <c r="P354" s="29"/>
      <c r="Q354" s="30"/>
      <c r="R354" s="29"/>
      <c r="S354" s="32"/>
      <c r="T354" s="29"/>
      <c r="U354" s="29"/>
      <c r="V354" s="24" t="str">
        <f aca="false">IF(A354="","",IFERROR(INDEX(Settings!$F$5:$F$49,MATCH(G354,Settings!$D$5:$D$49,0)),""))</f>
        <v/>
      </c>
      <c r="W354" s="24" t="str">
        <f aca="false">IF(A354="","",IF(OR(P354="",P354="Organic"),"social","paid_social"))</f>
        <v/>
      </c>
      <c r="X354" s="24" t="str">
        <f aca="false">IF(A354="","",IF(K354&lt;&gt;"",IFERROR(INDEX('Case Studies'!$C$5:$C$54,MATCH(K354,'Case Studies'!$B$5:$B$54,0))&amp;"","case-study"),IF(J354&lt;&gt;"",IFERROR(INDEX(Settings!$J$5:$J$55,MATCH(J354,Settings!$I$5:$I$55,0)),"general"),"general")))</f>
        <v/>
      </c>
      <c r="Y354" s="24" t="str">
        <f aca="false">IF(A354="","",LOWER(A354))</f>
        <v/>
      </c>
      <c r="Z354" s="24" t="str">
        <f aca="false">IF(A354="","",IF(T354="",Settings!$B$5,T354)&amp;IF(ISNUMBER(FIND("?",IF(T354="",Settings!$B$5,T354))),"&amp;","?")&amp;"utm_source="&amp;V354&amp;"&amp;utm_medium="&amp;W354&amp;"&amp;utm_campaign="&amp;X354&amp;"&amp;utm_content="&amp;Y354)</f>
        <v/>
      </c>
      <c r="AA354" s="29"/>
      <c r="AB354" s="39"/>
      <c r="AC354" s="32"/>
      <c r="AD354" s="32"/>
      <c r="AE354" s="32"/>
      <c r="AF354" s="32"/>
      <c r="AG354" s="32"/>
      <c r="AH354" s="32"/>
      <c r="AI354" s="32"/>
      <c r="AJ354" s="32"/>
      <c r="AK354" s="32"/>
      <c r="AL354" s="32"/>
      <c r="AM354" s="32"/>
      <c r="AN354" s="32"/>
      <c r="AO354" s="33" t="str">
        <f aca="false">IF(A354="","",IF(AD354&lt;&gt;"",AD354,IF(AC354&lt;&gt;"",AC354,"")))</f>
        <v/>
      </c>
      <c r="AP354" s="24" t="str">
        <f aca="false">IF(AO354="","",IF(AD354&lt;&gt;"","Reported reach","Impressions (proxy)"))</f>
        <v/>
      </c>
      <c r="AQ354" s="34" t="str">
        <f aca="false">IF(OR(AO354="",N(S354)=0),"",AO354/S354)</f>
        <v/>
      </c>
      <c r="AR354" s="33" t="str">
        <f aca="false">IF(A354="","",IF(COUNT(AF354:AJ354)=0,"",SUM(AF354:AJ354)))</f>
        <v/>
      </c>
      <c r="AS354" s="34" t="str">
        <f aca="false">IF(OR(AR354="",N(AO354)=0),"",AR354/AO354)</f>
        <v/>
      </c>
      <c r="AT354" s="34" t="str">
        <f aca="false">IF(OR(AR354="",N(AC354)=0),"",AR354/AC354)</f>
        <v/>
      </c>
      <c r="AU354" s="34" t="str">
        <f aca="false">IF(OR(AR354="",N(S354)=0),"",AR354/S354)</f>
        <v/>
      </c>
      <c r="AV354" s="34" t="str">
        <f aca="false">IF(OR(AJ354="",N(AC354)=0),"",AJ354/AC354)</f>
        <v/>
      </c>
      <c r="AW354" s="34" t="str">
        <f aca="false">IF(OR(AH354="",N(AO354)=0),"",AH354/AO354)</f>
        <v/>
      </c>
      <c r="AX354" s="35" t="str">
        <f aca="false">IF(OR(AR354="",N(AO354)=0),"",(N(AF354)*Settings!$B$6+N(AG354)*Settings!$B$7+N(AH354)*Settings!$B$8+N(AI354)*Settings!$B$9+N(AJ354)*Settings!$B$10)/AO354*1000)</f>
        <v/>
      </c>
      <c r="AY354" s="36" t="str">
        <f aca="false">IF(AS354="","",IFERROR(AS354/AVERAGEIFS('Post Tracker'!$AS$5:$AS$1004,'Post Tracker'!$G$5:$G$1004,G354),""))</f>
        <v/>
      </c>
      <c r="AZ354" s="32"/>
      <c r="BA354" s="32"/>
      <c r="BB354" s="32"/>
      <c r="BC354" s="32"/>
      <c r="BD354" s="33" t="str">
        <f aca="false">IF(A354="","",COUNTIFS('Demo Pipeline'!$Q$5:$Q$504,A354))</f>
        <v/>
      </c>
      <c r="BE354" s="33" t="str">
        <f aca="false">IF(A354="","",COUNTIFS('Demo Pipeline'!$Q$5:$Q$504,A354,'Demo Pipeline'!$W$5:$W$504,"Attended"))</f>
        <v/>
      </c>
      <c r="BF354" s="33" t="str">
        <f aca="false">IF(A354="","",COUNTIFS('Demo Pipeline'!$Q$5:$Q$504,A354,'Demo Pipeline'!$X$5:$X$504,"Yes"))</f>
        <v/>
      </c>
      <c r="BG354" s="33" t="str">
        <f aca="false">IF(A354="","",COUNTIFS('Demo Pipeline'!$Q$5:$Q$504,A354,'Demo Pipeline'!$Y$5:$Y$504,"Closed Won"))</f>
        <v/>
      </c>
      <c r="BH354" s="37" t="str">
        <f aca="false">IF(A354="","",SUMIFS('Demo Pipeline'!$Z$5:$Z$504,'Demo Pipeline'!$Q$5:$Q$504,A354))</f>
        <v/>
      </c>
      <c r="BI354" s="34" t="str">
        <f aca="false">IF(OR(AZ354="",N(AJ354)=0),"",AZ354/AJ354)</f>
        <v/>
      </c>
      <c r="BJ354" s="34" t="str">
        <f aca="false">IF(OR(BB354="",N(AZ354)=0),"",BB354/AZ354)</f>
        <v/>
      </c>
      <c r="BK354" s="34" t="str">
        <f aca="false">IF(OR(A354="",N(BB354)=0),"",BD354/BB354)</f>
        <v/>
      </c>
      <c r="BL354" s="34" t="str">
        <f aca="false">IF(OR(A354="",N(AZ354)=0),"",BD354/AZ354)</f>
        <v/>
      </c>
      <c r="BM354" s="37" t="str">
        <f aca="false">IF(OR(N(Q354)=0,N(BD354)=0),"",Q354/BD354)</f>
        <v/>
      </c>
      <c r="BN354" s="29"/>
      <c r="BO354" s="29"/>
      <c r="BP354" s="33" t="str">
        <f aca="false">IF(OR(AR354="",N(AO354)=0),"",AR354)</f>
        <v/>
      </c>
      <c r="BQ354" s="33" t="str">
        <f aca="false">IF(OR(AR354="",N(S354)=0),"",S354)</f>
        <v/>
      </c>
      <c r="BR354" s="38" t="str">
        <f aca="false">IF(AND(ISNUMBER(B354),B354&gt;=Dashboard!$C$4,B354&lt;=Dashboard!$F$4,ISNUMBER(AU354)),AU354+ROW()/10^9,"")</f>
        <v/>
      </c>
      <c r="BS354" s="38" t="str">
        <f aca="false">IF(AND(ISNUMBER(B354),B354&gt;=Dashboard!$C$4,B354&lt;=Dashboard!$F$4,A354&lt;&gt;""),N(BD354)+N(AU354)/100+ROW()/10^9,"")</f>
        <v/>
      </c>
    </row>
    <row r="355" customFormat="false" ht="15" hidden="false" customHeight="false" outlineLevel="0" collapsed="false">
      <c r="A355" s="24" t="str">
        <f aca="false">IF(OR(B355="",G355="",H355=""),"",IFERROR(INDEX(Settings!$E$5:$E$49,MATCH(G355,Settings!$D$5:$D$49,0))&amp;INDEX(Settings!$H$5:$H$47,MATCH(H355,Settings!$G$5:$G$47,0))&amp;"-"&amp;TEXT(B355,"yymmdd")&amp;"-"&amp;IF(C355="","0000",TEXT(C355,"hhmm")),"CHECK LISTS"))</f>
        <v/>
      </c>
      <c r="B355" s="39"/>
      <c r="C355" s="40"/>
      <c r="D355" s="24" t="str">
        <f aca="false">IF(B355="","",TEXT(B355,"ddd"))</f>
        <v/>
      </c>
      <c r="E355" s="27" t="str">
        <f aca="false">IF(B355="","",B355-WEEKDAY(B355,3))</f>
        <v/>
      </c>
      <c r="F355" s="24" t="str">
        <f aca="false">IF(B355="","",TEXT(B355,"yyyy-mm"))</f>
        <v/>
      </c>
      <c r="G355" s="29"/>
      <c r="H355" s="29"/>
      <c r="I355" s="29"/>
      <c r="J355" s="29"/>
      <c r="K355" s="29"/>
      <c r="L355" s="29"/>
      <c r="M355" s="29"/>
      <c r="N355" s="29"/>
      <c r="O355" s="29"/>
      <c r="P355" s="29"/>
      <c r="Q355" s="30"/>
      <c r="R355" s="29"/>
      <c r="S355" s="32"/>
      <c r="T355" s="29"/>
      <c r="U355" s="29"/>
      <c r="V355" s="24" t="str">
        <f aca="false">IF(A355="","",IFERROR(INDEX(Settings!$F$5:$F$49,MATCH(G355,Settings!$D$5:$D$49,0)),""))</f>
        <v/>
      </c>
      <c r="W355" s="24" t="str">
        <f aca="false">IF(A355="","",IF(OR(P355="",P355="Organic"),"social","paid_social"))</f>
        <v/>
      </c>
      <c r="X355" s="24" t="str">
        <f aca="false">IF(A355="","",IF(K355&lt;&gt;"",IFERROR(INDEX('Case Studies'!$C$5:$C$54,MATCH(K355,'Case Studies'!$B$5:$B$54,0))&amp;"","case-study"),IF(J355&lt;&gt;"",IFERROR(INDEX(Settings!$J$5:$J$55,MATCH(J355,Settings!$I$5:$I$55,0)),"general"),"general")))</f>
        <v/>
      </c>
      <c r="Y355" s="24" t="str">
        <f aca="false">IF(A355="","",LOWER(A355))</f>
        <v/>
      </c>
      <c r="Z355" s="24" t="str">
        <f aca="false">IF(A355="","",IF(T355="",Settings!$B$5,T355)&amp;IF(ISNUMBER(FIND("?",IF(T355="",Settings!$B$5,T355))),"&amp;","?")&amp;"utm_source="&amp;V355&amp;"&amp;utm_medium="&amp;W355&amp;"&amp;utm_campaign="&amp;X355&amp;"&amp;utm_content="&amp;Y355)</f>
        <v/>
      </c>
      <c r="AA355" s="29"/>
      <c r="AB355" s="39"/>
      <c r="AC355" s="32"/>
      <c r="AD355" s="32"/>
      <c r="AE355" s="32"/>
      <c r="AF355" s="32"/>
      <c r="AG355" s="32"/>
      <c r="AH355" s="32"/>
      <c r="AI355" s="32"/>
      <c r="AJ355" s="32"/>
      <c r="AK355" s="32"/>
      <c r="AL355" s="32"/>
      <c r="AM355" s="32"/>
      <c r="AN355" s="32"/>
      <c r="AO355" s="33" t="str">
        <f aca="false">IF(A355="","",IF(AD355&lt;&gt;"",AD355,IF(AC355&lt;&gt;"",AC355,"")))</f>
        <v/>
      </c>
      <c r="AP355" s="24" t="str">
        <f aca="false">IF(AO355="","",IF(AD355&lt;&gt;"","Reported reach","Impressions (proxy)"))</f>
        <v/>
      </c>
      <c r="AQ355" s="34" t="str">
        <f aca="false">IF(OR(AO355="",N(S355)=0),"",AO355/S355)</f>
        <v/>
      </c>
      <c r="AR355" s="33" t="str">
        <f aca="false">IF(A355="","",IF(COUNT(AF355:AJ355)=0,"",SUM(AF355:AJ355)))</f>
        <v/>
      </c>
      <c r="AS355" s="34" t="str">
        <f aca="false">IF(OR(AR355="",N(AO355)=0),"",AR355/AO355)</f>
        <v/>
      </c>
      <c r="AT355" s="34" t="str">
        <f aca="false">IF(OR(AR355="",N(AC355)=0),"",AR355/AC355)</f>
        <v/>
      </c>
      <c r="AU355" s="34" t="str">
        <f aca="false">IF(OR(AR355="",N(S355)=0),"",AR355/S355)</f>
        <v/>
      </c>
      <c r="AV355" s="34" t="str">
        <f aca="false">IF(OR(AJ355="",N(AC355)=0),"",AJ355/AC355)</f>
        <v/>
      </c>
      <c r="AW355" s="34" t="str">
        <f aca="false">IF(OR(AH355="",N(AO355)=0),"",AH355/AO355)</f>
        <v/>
      </c>
      <c r="AX355" s="35" t="str">
        <f aca="false">IF(OR(AR355="",N(AO355)=0),"",(N(AF355)*Settings!$B$6+N(AG355)*Settings!$B$7+N(AH355)*Settings!$B$8+N(AI355)*Settings!$B$9+N(AJ355)*Settings!$B$10)/AO355*1000)</f>
        <v/>
      </c>
      <c r="AY355" s="36" t="str">
        <f aca="false">IF(AS355="","",IFERROR(AS355/AVERAGEIFS('Post Tracker'!$AS$5:$AS$1004,'Post Tracker'!$G$5:$G$1004,G355),""))</f>
        <v/>
      </c>
      <c r="AZ355" s="32"/>
      <c r="BA355" s="32"/>
      <c r="BB355" s="32"/>
      <c r="BC355" s="32"/>
      <c r="BD355" s="33" t="str">
        <f aca="false">IF(A355="","",COUNTIFS('Demo Pipeline'!$Q$5:$Q$504,A355))</f>
        <v/>
      </c>
      <c r="BE355" s="33" t="str">
        <f aca="false">IF(A355="","",COUNTIFS('Demo Pipeline'!$Q$5:$Q$504,A355,'Demo Pipeline'!$W$5:$W$504,"Attended"))</f>
        <v/>
      </c>
      <c r="BF355" s="33" t="str">
        <f aca="false">IF(A355="","",COUNTIFS('Demo Pipeline'!$Q$5:$Q$504,A355,'Demo Pipeline'!$X$5:$X$504,"Yes"))</f>
        <v/>
      </c>
      <c r="BG355" s="33" t="str">
        <f aca="false">IF(A355="","",COUNTIFS('Demo Pipeline'!$Q$5:$Q$504,A355,'Demo Pipeline'!$Y$5:$Y$504,"Closed Won"))</f>
        <v/>
      </c>
      <c r="BH355" s="37" t="str">
        <f aca="false">IF(A355="","",SUMIFS('Demo Pipeline'!$Z$5:$Z$504,'Demo Pipeline'!$Q$5:$Q$504,A355))</f>
        <v/>
      </c>
      <c r="BI355" s="34" t="str">
        <f aca="false">IF(OR(AZ355="",N(AJ355)=0),"",AZ355/AJ355)</f>
        <v/>
      </c>
      <c r="BJ355" s="34" t="str">
        <f aca="false">IF(OR(BB355="",N(AZ355)=0),"",BB355/AZ355)</f>
        <v/>
      </c>
      <c r="BK355" s="34" t="str">
        <f aca="false">IF(OR(A355="",N(BB355)=0),"",BD355/BB355)</f>
        <v/>
      </c>
      <c r="BL355" s="34" t="str">
        <f aca="false">IF(OR(A355="",N(AZ355)=0),"",BD355/AZ355)</f>
        <v/>
      </c>
      <c r="BM355" s="37" t="str">
        <f aca="false">IF(OR(N(Q355)=0,N(BD355)=0),"",Q355/BD355)</f>
        <v/>
      </c>
      <c r="BN355" s="29"/>
      <c r="BO355" s="29"/>
      <c r="BP355" s="33" t="str">
        <f aca="false">IF(OR(AR355="",N(AO355)=0),"",AR355)</f>
        <v/>
      </c>
      <c r="BQ355" s="33" t="str">
        <f aca="false">IF(OR(AR355="",N(S355)=0),"",S355)</f>
        <v/>
      </c>
      <c r="BR355" s="38" t="str">
        <f aca="false">IF(AND(ISNUMBER(B355),B355&gt;=Dashboard!$C$4,B355&lt;=Dashboard!$F$4,ISNUMBER(AU355)),AU355+ROW()/10^9,"")</f>
        <v/>
      </c>
      <c r="BS355" s="38" t="str">
        <f aca="false">IF(AND(ISNUMBER(B355),B355&gt;=Dashboard!$C$4,B355&lt;=Dashboard!$F$4,A355&lt;&gt;""),N(BD355)+N(AU355)/100+ROW()/10^9,"")</f>
        <v/>
      </c>
    </row>
    <row r="356" customFormat="false" ht="15" hidden="false" customHeight="false" outlineLevel="0" collapsed="false">
      <c r="A356" s="24" t="str">
        <f aca="false">IF(OR(B356="",G356="",H356=""),"",IFERROR(INDEX(Settings!$E$5:$E$49,MATCH(G356,Settings!$D$5:$D$49,0))&amp;INDEX(Settings!$H$5:$H$47,MATCH(H356,Settings!$G$5:$G$47,0))&amp;"-"&amp;TEXT(B356,"yymmdd")&amp;"-"&amp;IF(C356="","0000",TEXT(C356,"hhmm")),"CHECK LISTS"))</f>
        <v/>
      </c>
      <c r="B356" s="39"/>
      <c r="C356" s="40"/>
      <c r="D356" s="24" t="str">
        <f aca="false">IF(B356="","",TEXT(B356,"ddd"))</f>
        <v/>
      </c>
      <c r="E356" s="27" t="str">
        <f aca="false">IF(B356="","",B356-WEEKDAY(B356,3))</f>
        <v/>
      </c>
      <c r="F356" s="24" t="str">
        <f aca="false">IF(B356="","",TEXT(B356,"yyyy-mm"))</f>
        <v/>
      </c>
      <c r="G356" s="29"/>
      <c r="H356" s="29"/>
      <c r="I356" s="29"/>
      <c r="J356" s="29"/>
      <c r="K356" s="29"/>
      <c r="L356" s="29"/>
      <c r="M356" s="29"/>
      <c r="N356" s="29"/>
      <c r="O356" s="29"/>
      <c r="P356" s="29"/>
      <c r="Q356" s="30"/>
      <c r="R356" s="29"/>
      <c r="S356" s="32"/>
      <c r="T356" s="29"/>
      <c r="U356" s="29"/>
      <c r="V356" s="24" t="str">
        <f aca="false">IF(A356="","",IFERROR(INDEX(Settings!$F$5:$F$49,MATCH(G356,Settings!$D$5:$D$49,0)),""))</f>
        <v/>
      </c>
      <c r="W356" s="24" t="str">
        <f aca="false">IF(A356="","",IF(OR(P356="",P356="Organic"),"social","paid_social"))</f>
        <v/>
      </c>
      <c r="X356" s="24" t="str">
        <f aca="false">IF(A356="","",IF(K356&lt;&gt;"",IFERROR(INDEX('Case Studies'!$C$5:$C$54,MATCH(K356,'Case Studies'!$B$5:$B$54,0))&amp;"","case-study"),IF(J356&lt;&gt;"",IFERROR(INDEX(Settings!$J$5:$J$55,MATCH(J356,Settings!$I$5:$I$55,0)),"general"),"general")))</f>
        <v/>
      </c>
      <c r="Y356" s="24" t="str">
        <f aca="false">IF(A356="","",LOWER(A356))</f>
        <v/>
      </c>
      <c r="Z356" s="24" t="str">
        <f aca="false">IF(A356="","",IF(T356="",Settings!$B$5,T356)&amp;IF(ISNUMBER(FIND("?",IF(T356="",Settings!$B$5,T356))),"&amp;","?")&amp;"utm_source="&amp;V356&amp;"&amp;utm_medium="&amp;W356&amp;"&amp;utm_campaign="&amp;X356&amp;"&amp;utm_content="&amp;Y356)</f>
        <v/>
      </c>
      <c r="AA356" s="29"/>
      <c r="AB356" s="39"/>
      <c r="AC356" s="32"/>
      <c r="AD356" s="32"/>
      <c r="AE356" s="32"/>
      <c r="AF356" s="32"/>
      <c r="AG356" s="32"/>
      <c r="AH356" s="32"/>
      <c r="AI356" s="32"/>
      <c r="AJ356" s="32"/>
      <c r="AK356" s="32"/>
      <c r="AL356" s="32"/>
      <c r="AM356" s="32"/>
      <c r="AN356" s="32"/>
      <c r="AO356" s="33" t="str">
        <f aca="false">IF(A356="","",IF(AD356&lt;&gt;"",AD356,IF(AC356&lt;&gt;"",AC356,"")))</f>
        <v/>
      </c>
      <c r="AP356" s="24" t="str">
        <f aca="false">IF(AO356="","",IF(AD356&lt;&gt;"","Reported reach","Impressions (proxy)"))</f>
        <v/>
      </c>
      <c r="AQ356" s="34" t="str">
        <f aca="false">IF(OR(AO356="",N(S356)=0),"",AO356/S356)</f>
        <v/>
      </c>
      <c r="AR356" s="33" t="str">
        <f aca="false">IF(A356="","",IF(COUNT(AF356:AJ356)=0,"",SUM(AF356:AJ356)))</f>
        <v/>
      </c>
      <c r="AS356" s="34" t="str">
        <f aca="false">IF(OR(AR356="",N(AO356)=0),"",AR356/AO356)</f>
        <v/>
      </c>
      <c r="AT356" s="34" t="str">
        <f aca="false">IF(OR(AR356="",N(AC356)=0),"",AR356/AC356)</f>
        <v/>
      </c>
      <c r="AU356" s="34" t="str">
        <f aca="false">IF(OR(AR356="",N(S356)=0),"",AR356/S356)</f>
        <v/>
      </c>
      <c r="AV356" s="34" t="str">
        <f aca="false">IF(OR(AJ356="",N(AC356)=0),"",AJ356/AC356)</f>
        <v/>
      </c>
      <c r="AW356" s="34" t="str">
        <f aca="false">IF(OR(AH356="",N(AO356)=0),"",AH356/AO356)</f>
        <v/>
      </c>
      <c r="AX356" s="35" t="str">
        <f aca="false">IF(OR(AR356="",N(AO356)=0),"",(N(AF356)*Settings!$B$6+N(AG356)*Settings!$B$7+N(AH356)*Settings!$B$8+N(AI356)*Settings!$B$9+N(AJ356)*Settings!$B$10)/AO356*1000)</f>
        <v/>
      </c>
      <c r="AY356" s="36" t="str">
        <f aca="false">IF(AS356="","",IFERROR(AS356/AVERAGEIFS('Post Tracker'!$AS$5:$AS$1004,'Post Tracker'!$G$5:$G$1004,G356),""))</f>
        <v/>
      </c>
      <c r="AZ356" s="32"/>
      <c r="BA356" s="32"/>
      <c r="BB356" s="32"/>
      <c r="BC356" s="32"/>
      <c r="BD356" s="33" t="str">
        <f aca="false">IF(A356="","",COUNTIFS('Demo Pipeline'!$Q$5:$Q$504,A356))</f>
        <v/>
      </c>
      <c r="BE356" s="33" t="str">
        <f aca="false">IF(A356="","",COUNTIFS('Demo Pipeline'!$Q$5:$Q$504,A356,'Demo Pipeline'!$W$5:$W$504,"Attended"))</f>
        <v/>
      </c>
      <c r="BF356" s="33" t="str">
        <f aca="false">IF(A356="","",COUNTIFS('Demo Pipeline'!$Q$5:$Q$504,A356,'Demo Pipeline'!$X$5:$X$504,"Yes"))</f>
        <v/>
      </c>
      <c r="BG356" s="33" t="str">
        <f aca="false">IF(A356="","",COUNTIFS('Demo Pipeline'!$Q$5:$Q$504,A356,'Demo Pipeline'!$Y$5:$Y$504,"Closed Won"))</f>
        <v/>
      </c>
      <c r="BH356" s="37" t="str">
        <f aca="false">IF(A356="","",SUMIFS('Demo Pipeline'!$Z$5:$Z$504,'Demo Pipeline'!$Q$5:$Q$504,A356))</f>
        <v/>
      </c>
      <c r="BI356" s="34" t="str">
        <f aca="false">IF(OR(AZ356="",N(AJ356)=0),"",AZ356/AJ356)</f>
        <v/>
      </c>
      <c r="BJ356" s="34" t="str">
        <f aca="false">IF(OR(BB356="",N(AZ356)=0),"",BB356/AZ356)</f>
        <v/>
      </c>
      <c r="BK356" s="34" t="str">
        <f aca="false">IF(OR(A356="",N(BB356)=0),"",BD356/BB356)</f>
        <v/>
      </c>
      <c r="BL356" s="34" t="str">
        <f aca="false">IF(OR(A356="",N(AZ356)=0),"",BD356/AZ356)</f>
        <v/>
      </c>
      <c r="BM356" s="37" t="str">
        <f aca="false">IF(OR(N(Q356)=0,N(BD356)=0),"",Q356/BD356)</f>
        <v/>
      </c>
      <c r="BN356" s="29"/>
      <c r="BO356" s="29"/>
      <c r="BP356" s="33" t="str">
        <f aca="false">IF(OR(AR356="",N(AO356)=0),"",AR356)</f>
        <v/>
      </c>
      <c r="BQ356" s="33" t="str">
        <f aca="false">IF(OR(AR356="",N(S356)=0),"",S356)</f>
        <v/>
      </c>
      <c r="BR356" s="38" t="str">
        <f aca="false">IF(AND(ISNUMBER(B356),B356&gt;=Dashboard!$C$4,B356&lt;=Dashboard!$F$4,ISNUMBER(AU356)),AU356+ROW()/10^9,"")</f>
        <v/>
      </c>
      <c r="BS356" s="38" t="str">
        <f aca="false">IF(AND(ISNUMBER(B356),B356&gt;=Dashboard!$C$4,B356&lt;=Dashboard!$F$4,A356&lt;&gt;""),N(BD356)+N(AU356)/100+ROW()/10^9,"")</f>
        <v/>
      </c>
    </row>
    <row r="357" customFormat="false" ht="15" hidden="false" customHeight="false" outlineLevel="0" collapsed="false">
      <c r="A357" s="24" t="str">
        <f aca="false">IF(OR(B357="",G357="",H357=""),"",IFERROR(INDEX(Settings!$E$5:$E$49,MATCH(G357,Settings!$D$5:$D$49,0))&amp;INDEX(Settings!$H$5:$H$47,MATCH(H357,Settings!$G$5:$G$47,0))&amp;"-"&amp;TEXT(B357,"yymmdd")&amp;"-"&amp;IF(C357="","0000",TEXT(C357,"hhmm")),"CHECK LISTS"))</f>
        <v/>
      </c>
      <c r="B357" s="39"/>
      <c r="C357" s="40"/>
      <c r="D357" s="24" t="str">
        <f aca="false">IF(B357="","",TEXT(B357,"ddd"))</f>
        <v/>
      </c>
      <c r="E357" s="27" t="str">
        <f aca="false">IF(B357="","",B357-WEEKDAY(B357,3))</f>
        <v/>
      </c>
      <c r="F357" s="24" t="str">
        <f aca="false">IF(B357="","",TEXT(B357,"yyyy-mm"))</f>
        <v/>
      </c>
      <c r="G357" s="29"/>
      <c r="H357" s="29"/>
      <c r="I357" s="29"/>
      <c r="J357" s="29"/>
      <c r="K357" s="29"/>
      <c r="L357" s="29"/>
      <c r="M357" s="29"/>
      <c r="N357" s="29"/>
      <c r="O357" s="29"/>
      <c r="P357" s="29"/>
      <c r="Q357" s="30"/>
      <c r="R357" s="29"/>
      <c r="S357" s="32"/>
      <c r="T357" s="29"/>
      <c r="U357" s="29"/>
      <c r="V357" s="24" t="str">
        <f aca="false">IF(A357="","",IFERROR(INDEX(Settings!$F$5:$F$49,MATCH(G357,Settings!$D$5:$D$49,0)),""))</f>
        <v/>
      </c>
      <c r="W357" s="24" t="str">
        <f aca="false">IF(A357="","",IF(OR(P357="",P357="Organic"),"social","paid_social"))</f>
        <v/>
      </c>
      <c r="X357" s="24" t="str">
        <f aca="false">IF(A357="","",IF(K357&lt;&gt;"",IFERROR(INDEX('Case Studies'!$C$5:$C$54,MATCH(K357,'Case Studies'!$B$5:$B$54,0))&amp;"","case-study"),IF(J357&lt;&gt;"",IFERROR(INDEX(Settings!$J$5:$J$55,MATCH(J357,Settings!$I$5:$I$55,0)),"general"),"general")))</f>
        <v/>
      </c>
      <c r="Y357" s="24" t="str">
        <f aca="false">IF(A357="","",LOWER(A357))</f>
        <v/>
      </c>
      <c r="Z357" s="24" t="str">
        <f aca="false">IF(A357="","",IF(T357="",Settings!$B$5,T357)&amp;IF(ISNUMBER(FIND("?",IF(T357="",Settings!$B$5,T357))),"&amp;","?")&amp;"utm_source="&amp;V357&amp;"&amp;utm_medium="&amp;W357&amp;"&amp;utm_campaign="&amp;X357&amp;"&amp;utm_content="&amp;Y357)</f>
        <v/>
      </c>
      <c r="AA357" s="29"/>
      <c r="AB357" s="39"/>
      <c r="AC357" s="32"/>
      <c r="AD357" s="32"/>
      <c r="AE357" s="32"/>
      <c r="AF357" s="32"/>
      <c r="AG357" s="32"/>
      <c r="AH357" s="32"/>
      <c r="AI357" s="32"/>
      <c r="AJ357" s="32"/>
      <c r="AK357" s="32"/>
      <c r="AL357" s="32"/>
      <c r="AM357" s="32"/>
      <c r="AN357" s="32"/>
      <c r="AO357" s="33" t="str">
        <f aca="false">IF(A357="","",IF(AD357&lt;&gt;"",AD357,IF(AC357&lt;&gt;"",AC357,"")))</f>
        <v/>
      </c>
      <c r="AP357" s="24" t="str">
        <f aca="false">IF(AO357="","",IF(AD357&lt;&gt;"","Reported reach","Impressions (proxy)"))</f>
        <v/>
      </c>
      <c r="AQ357" s="34" t="str">
        <f aca="false">IF(OR(AO357="",N(S357)=0),"",AO357/S357)</f>
        <v/>
      </c>
      <c r="AR357" s="33" t="str">
        <f aca="false">IF(A357="","",IF(COUNT(AF357:AJ357)=0,"",SUM(AF357:AJ357)))</f>
        <v/>
      </c>
      <c r="AS357" s="34" t="str">
        <f aca="false">IF(OR(AR357="",N(AO357)=0),"",AR357/AO357)</f>
        <v/>
      </c>
      <c r="AT357" s="34" t="str">
        <f aca="false">IF(OR(AR357="",N(AC357)=0),"",AR357/AC357)</f>
        <v/>
      </c>
      <c r="AU357" s="34" t="str">
        <f aca="false">IF(OR(AR357="",N(S357)=0),"",AR357/S357)</f>
        <v/>
      </c>
      <c r="AV357" s="34" t="str">
        <f aca="false">IF(OR(AJ357="",N(AC357)=0),"",AJ357/AC357)</f>
        <v/>
      </c>
      <c r="AW357" s="34" t="str">
        <f aca="false">IF(OR(AH357="",N(AO357)=0),"",AH357/AO357)</f>
        <v/>
      </c>
      <c r="AX357" s="35" t="str">
        <f aca="false">IF(OR(AR357="",N(AO357)=0),"",(N(AF357)*Settings!$B$6+N(AG357)*Settings!$B$7+N(AH357)*Settings!$B$8+N(AI357)*Settings!$B$9+N(AJ357)*Settings!$B$10)/AO357*1000)</f>
        <v/>
      </c>
      <c r="AY357" s="36" t="str">
        <f aca="false">IF(AS357="","",IFERROR(AS357/AVERAGEIFS('Post Tracker'!$AS$5:$AS$1004,'Post Tracker'!$G$5:$G$1004,G357),""))</f>
        <v/>
      </c>
      <c r="AZ357" s="32"/>
      <c r="BA357" s="32"/>
      <c r="BB357" s="32"/>
      <c r="BC357" s="32"/>
      <c r="BD357" s="33" t="str">
        <f aca="false">IF(A357="","",COUNTIFS('Demo Pipeline'!$Q$5:$Q$504,A357))</f>
        <v/>
      </c>
      <c r="BE357" s="33" t="str">
        <f aca="false">IF(A357="","",COUNTIFS('Demo Pipeline'!$Q$5:$Q$504,A357,'Demo Pipeline'!$W$5:$W$504,"Attended"))</f>
        <v/>
      </c>
      <c r="BF357" s="33" t="str">
        <f aca="false">IF(A357="","",COUNTIFS('Demo Pipeline'!$Q$5:$Q$504,A357,'Demo Pipeline'!$X$5:$X$504,"Yes"))</f>
        <v/>
      </c>
      <c r="BG357" s="33" t="str">
        <f aca="false">IF(A357="","",COUNTIFS('Demo Pipeline'!$Q$5:$Q$504,A357,'Demo Pipeline'!$Y$5:$Y$504,"Closed Won"))</f>
        <v/>
      </c>
      <c r="BH357" s="37" t="str">
        <f aca="false">IF(A357="","",SUMIFS('Demo Pipeline'!$Z$5:$Z$504,'Demo Pipeline'!$Q$5:$Q$504,A357))</f>
        <v/>
      </c>
      <c r="BI357" s="34" t="str">
        <f aca="false">IF(OR(AZ357="",N(AJ357)=0),"",AZ357/AJ357)</f>
        <v/>
      </c>
      <c r="BJ357" s="34" t="str">
        <f aca="false">IF(OR(BB357="",N(AZ357)=0),"",BB357/AZ357)</f>
        <v/>
      </c>
      <c r="BK357" s="34" t="str">
        <f aca="false">IF(OR(A357="",N(BB357)=0),"",BD357/BB357)</f>
        <v/>
      </c>
      <c r="BL357" s="34" t="str">
        <f aca="false">IF(OR(A357="",N(AZ357)=0),"",BD357/AZ357)</f>
        <v/>
      </c>
      <c r="BM357" s="37" t="str">
        <f aca="false">IF(OR(N(Q357)=0,N(BD357)=0),"",Q357/BD357)</f>
        <v/>
      </c>
      <c r="BN357" s="29"/>
      <c r="BO357" s="29"/>
      <c r="BP357" s="33" t="str">
        <f aca="false">IF(OR(AR357="",N(AO357)=0),"",AR357)</f>
        <v/>
      </c>
      <c r="BQ357" s="33" t="str">
        <f aca="false">IF(OR(AR357="",N(S357)=0),"",S357)</f>
        <v/>
      </c>
      <c r="BR357" s="38" t="str">
        <f aca="false">IF(AND(ISNUMBER(B357),B357&gt;=Dashboard!$C$4,B357&lt;=Dashboard!$F$4,ISNUMBER(AU357)),AU357+ROW()/10^9,"")</f>
        <v/>
      </c>
      <c r="BS357" s="38" t="str">
        <f aca="false">IF(AND(ISNUMBER(B357),B357&gt;=Dashboard!$C$4,B357&lt;=Dashboard!$F$4,A357&lt;&gt;""),N(BD357)+N(AU357)/100+ROW()/10^9,"")</f>
        <v/>
      </c>
    </row>
    <row r="358" customFormat="false" ht="15" hidden="false" customHeight="false" outlineLevel="0" collapsed="false">
      <c r="A358" s="24" t="str">
        <f aca="false">IF(OR(B358="",G358="",H358=""),"",IFERROR(INDEX(Settings!$E$5:$E$49,MATCH(G358,Settings!$D$5:$D$49,0))&amp;INDEX(Settings!$H$5:$H$47,MATCH(H358,Settings!$G$5:$G$47,0))&amp;"-"&amp;TEXT(B358,"yymmdd")&amp;"-"&amp;IF(C358="","0000",TEXT(C358,"hhmm")),"CHECK LISTS"))</f>
        <v/>
      </c>
      <c r="B358" s="39"/>
      <c r="C358" s="40"/>
      <c r="D358" s="24" t="str">
        <f aca="false">IF(B358="","",TEXT(B358,"ddd"))</f>
        <v/>
      </c>
      <c r="E358" s="27" t="str">
        <f aca="false">IF(B358="","",B358-WEEKDAY(B358,3))</f>
        <v/>
      </c>
      <c r="F358" s="24" t="str">
        <f aca="false">IF(B358="","",TEXT(B358,"yyyy-mm"))</f>
        <v/>
      </c>
      <c r="G358" s="29"/>
      <c r="H358" s="29"/>
      <c r="I358" s="29"/>
      <c r="J358" s="29"/>
      <c r="K358" s="29"/>
      <c r="L358" s="29"/>
      <c r="M358" s="29"/>
      <c r="N358" s="29"/>
      <c r="O358" s="29"/>
      <c r="P358" s="29"/>
      <c r="Q358" s="30"/>
      <c r="R358" s="29"/>
      <c r="S358" s="32"/>
      <c r="T358" s="29"/>
      <c r="U358" s="29"/>
      <c r="V358" s="24" t="str">
        <f aca="false">IF(A358="","",IFERROR(INDEX(Settings!$F$5:$F$49,MATCH(G358,Settings!$D$5:$D$49,0)),""))</f>
        <v/>
      </c>
      <c r="W358" s="24" t="str">
        <f aca="false">IF(A358="","",IF(OR(P358="",P358="Organic"),"social","paid_social"))</f>
        <v/>
      </c>
      <c r="X358" s="24" t="str">
        <f aca="false">IF(A358="","",IF(K358&lt;&gt;"",IFERROR(INDEX('Case Studies'!$C$5:$C$54,MATCH(K358,'Case Studies'!$B$5:$B$54,0))&amp;"","case-study"),IF(J358&lt;&gt;"",IFERROR(INDEX(Settings!$J$5:$J$55,MATCH(J358,Settings!$I$5:$I$55,0)),"general"),"general")))</f>
        <v/>
      </c>
      <c r="Y358" s="24" t="str">
        <f aca="false">IF(A358="","",LOWER(A358))</f>
        <v/>
      </c>
      <c r="Z358" s="24" t="str">
        <f aca="false">IF(A358="","",IF(T358="",Settings!$B$5,T358)&amp;IF(ISNUMBER(FIND("?",IF(T358="",Settings!$B$5,T358))),"&amp;","?")&amp;"utm_source="&amp;V358&amp;"&amp;utm_medium="&amp;W358&amp;"&amp;utm_campaign="&amp;X358&amp;"&amp;utm_content="&amp;Y358)</f>
        <v/>
      </c>
      <c r="AA358" s="29"/>
      <c r="AB358" s="39"/>
      <c r="AC358" s="32"/>
      <c r="AD358" s="32"/>
      <c r="AE358" s="32"/>
      <c r="AF358" s="32"/>
      <c r="AG358" s="32"/>
      <c r="AH358" s="32"/>
      <c r="AI358" s="32"/>
      <c r="AJ358" s="32"/>
      <c r="AK358" s="32"/>
      <c r="AL358" s="32"/>
      <c r="AM358" s="32"/>
      <c r="AN358" s="32"/>
      <c r="AO358" s="33" t="str">
        <f aca="false">IF(A358="","",IF(AD358&lt;&gt;"",AD358,IF(AC358&lt;&gt;"",AC358,"")))</f>
        <v/>
      </c>
      <c r="AP358" s="24" t="str">
        <f aca="false">IF(AO358="","",IF(AD358&lt;&gt;"","Reported reach","Impressions (proxy)"))</f>
        <v/>
      </c>
      <c r="AQ358" s="34" t="str">
        <f aca="false">IF(OR(AO358="",N(S358)=0),"",AO358/S358)</f>
        <v/>
      </c>
      <c r="AR358" s="33" t="str">
        <f aca="false">IF(A358="","",IF(COUNT(AF358:AJ358)=0,"",SUM(AF358:AJ358)))</f>
        <v/>
      </c>
      <c r="AS358" s="34" t="str">
        <f aca="false">IF(OR(AR358="",N(AO358)=0),"",AR358/AO358)</f>
        <v/>
      </c>
      <c r="AT358" s="34" t="str">
        <f aca="false">IF(OR(AR358="",N(AC358)=0),"",AR358/AC358)</f>
        <v/>
      </c>
      <c r="AU358" s="34" t="str">
        <f aca="false">IF(OR(AR358="",N(S358)=0),"",AR358/S358)</f>
        <v/>
      </c>
      <c r="AV358" s="34" t="str">
        <f aca="false">IF(OR(AJ358="",N(AC358)=0),"",AJ358/AC358)</f>
        <v/>
      </c>
      <c r="AW358" s="34" t="str">
        <f aca="false">IF(OR(AH358="",N(AO358)=0),"",AH358/AO358)</f>
        <v/>
      </c>
      <c r="AX358" s="35" t="str">
        <f aca="false">IF(OR(AR358="",N(AO358)=0),"",(N(AF358)*Settings!$B$6+N(AG358)*Settings!$B$7+N(AH358)*Settings!$B$8+N(AI358)*Settings!$B$9+N(AJ358)*Settings!$B$10)/AO358*1000)</f>
        <v/>
      </c>
      <c r="AY358" s="36" t="str">
        <f aca="false">IF(AS358="","",IFERROR(AS358/AVERAGEIFS('Post Tracker'!$AS$5:$AS$1004,'Post Tracker'!$G$5:$G$1004,G358),""))</f>
        <v/>
      </c>
      <c r="AZ358" s="32"/>
      <c r="BA358" s="32"/>
      <c r="BB358" s="32"/>
      <c r="BC358" s="32"/>
      <c r="BD358" s="33" t="str">
        <f aca="false">IF(A358="","",COUNTIFS('Demo Pipeline'!$Q$5:$Q$504,A358))</f>
        <v/>
      </c>
      <c r="BE358" s="33" t="str">
        <f aca="false">IF(A358="","",COUNTIFS('Demo Pipeline'!$Q$5:$Q$504,A358,'Demo Pipeline'!$W$5:$W$504,"Attended"))</f>
        <v/>
      </c>
      <c r="BF358" s="33" t="str">
        <f aca="false">IF(A358="","",COUNTIFS('Demo Pipeline'!$Q$5:$Q$504,A358,'Demo Pipeline'!$X$5:$X$504,"Yes"))</f>
        <v/>
      </c>
      <c r="BG358" s="33" t="str">
        <f aca="false">IF(A358="","",COUNTIFS('Demo Pipeline'!$Q$5:$Q$504,A358,'Demo Pipeline'!$Y$5:$Y$504,"Closed Won"))</f>
        <v/>
      </c>
      <c r="BH358" s="37" t="str">
        <f aca="false">IF(A358="","",SUMIFS('Demo Pipeline'!$Z$5:$Z$504,'Demo Pipeline'!$Q$5:$Q$504,A358))</f>
        <v/>
      </c>
      <c r="BI358" s="34" t="str">
        <f aca="false">IF(OR(AZ358="",N(AJ358)=0),"",AZ358/AJ358)</f>
        <v/>
      </c>
      <c r="BJ358" s="34" t="str">
        <f aca="false">IF(OR(BB358="",N(AZ358)=0),"",BB358/AZ358)</f>
        <v/>
      </c>
      <c r="BK358" s="34" t="str">
        <f aca="false">IF(OR(A358="",N(BB358)=0),"",BD358/BB358)</f>
        <v/>
      </c>
      <c r="BL358" s="34" t="str">
        <f aca="false">IF(OR(A358="",N(AZ358)=0),"",BD358/AZ358)</f>
        <v/>
      </c>
      <c r="BM358" s="37" t="str">
        <f aca="false">IF(OR(N(Q358)=0,N(BD358)=0),"",Q358/BD358)</f>
        <v/>
      </c>
      <c r="BN358" s="29"/>
      <c r="BO358" s="29"/>
      <c r="BP358" s="33" t="str">
        <f aca="false">IF(OR(AR358="",N(AO358)=0),"",AR358)</f>
        <v/>
      </c>
      <c r="BQ358" s="33" t="str">
        <f aca="false">IF(OR(AR358="",N(S358)=0),"",S358)</f>
        <v/>
      </c>
      <c r="BR358" s="38" t="str">
        <f aca="false">IF(AND(ISNUMBER(B358),B358&gt;=Dashboard!$C$4,B358&lt;=Dashboard!$F$4,ISNUMBER(AU358)),AU358+ROW()/10^9,"")</f>
        <v/>
      </c>
      <c r="BS358" s="38" t="str">
        <f aca="false">IF(AND(ISNUMBER(B358),B358&gt;=Dashboard!$C$4,B358&lt;=Dashboard!$F$4,A358&lt;&gt;""),N(BD358)+N(AU358)/100+ROW()/10^9,"")</f>
        <v/>
      </c>
    </row>
    <row r="359" customFormat="false" ht="15" hidden="false" customHeight="false" outlineLevel="0" collapsed="false">
      <c r="A359" s="24" t="str">
        <f aca="false">IF(OR(B359="",G359="",H359=""),"",IFERROR(INDEX(Settings!$E$5:$E$49,MATCH(G359,Settings!$D$5:$D$49,0))&amp;INDEX(Settings!$H$5:$H$47,MATCH(H359,Settings!$G$5:$G$47,0))&amp;"-"&amp;TEXT(B359,"yymmdd")&amp;"-"&amp;IF(C359="","0000",TEXT(C359,"hhmm")),"CHECK LISTS"))</f>
        <v/>
      </c>
      <c r="B359" s="39"/>
      <c r="C359" s="40"/>
      <c r="D359" s="24" t="str">
        <f aca="false">IF(B359="","",TEXT(B359,"ddd"))</f>
        <v/>
      </c>
      <c r="E359" s="27" t="str">
        <f aca="false">IF(B359="","",B359-WEEKDAY(B359,3))</f>
        <v/>
      </c>
      <c r="F359" s="24" t="str">
        <f aca="false">IF(B359="","",TEXT(B359,"yyyy-mm"))</f>
        <v/>
      </c>
      <c r="G359" s="29"/>
      <c r="H359" s="29"/>
      <c r="I359" s="29"/>
      <c r="J359" s="29"/>
      <c r="K359" s="29"/>
      <c r="L359" s="29"/>
      <c r="M359" s="29"/>
      <c r="N359" s="29"/>
      <c r="O359" s="29"/>
      <c r="P359" s="29"/>
      <c r="Q359" s="30"/>
      <c r="R359" s="29"/>
      <c r="S359" s="32"/>
      <c r="T359" s="29"/>
      <c r="U359" s="29"/>
      <c r="V359" s="24" t="str">
        <f aca="false">IF(A359="","",IFERROR(INDEX(Settings!$F$5:$F$49,MATCH(G359,Settings!$D$5:$D$49,0)),""))</f>
        <v/>
      </c>
      <c r="W359" s="24" t="str">
        <f aca="false">IF(A359="","",IF(OR(P359="",P359="Organic"),"social","paid_social"))</f>
        <v/>
      </c>
      <c r="X359" s="24" t="str">
        <f aca="false">IF(A359="","",IF(K359&lt;&gt;"",IFERROR(INDEX('Case Studies'!$C$5:$C$54,MATCH(K359,'Case Studies'!$B$5:$B$54,0))&amp;"","case-study"),IF(J359&lt;&gt;"",IFERROR(INDEX(Settings!$J$5:$J$55,MATCH(J359,Settings!$I$5:$I$55,0)),"general"),"general")))</f>
        <v/>
      </c>
      <c r="Y359" s="24" t="str">
        <f aca="false">IF(A359="","",LOWER(A359))</f>
        <v/>
      </c>
      <c r="Z359" s="24" t="str">
        <f aca="false">IF(A359="","",IF(T359="",Settings!$B$5,T359)&amp;IF(ISNUMBER(FIND("?",IF(T359="",Settings!$B$5,T359))),"&amp;","?")&amp;"utm_source="&amp;V359&amp;"&amp;utm_medium="&amp;W359&amp;"&amp;utm_campaign="&amp;X359&amp;"&amp;utm_content="&amp;Y359)</f>
        <v/>
      </c>
      <c r="AA359" s="29"/>
      <c r="AB359" s="39"/>
      <c r="AC359" s="32"/>
      <c r="AD359" s="32"/>
      <c r="AE359" s="32"/>
      <c r="AF359" s="32"/>
      <c r="AG359" s="32"/>
      <c r="AH359" s="32"/>
      <c r="AI359" s="32"/>
      <c r="AJ359" s="32"/>
      <c r="AK359" s="32"/>
      <c r="AL359" s="32"/>
      <c r="AM359" s="32"/>
      <c r="AN359" s="32"/>
      <c r="AO359" s="33" t="str">
        <f aca="false">IF(A359="","",IF(AD359&lt;&gt;"",AD359,IF(AC359&lt;&gt;"",AC359,"")))</f>
        <v/>
      </c>
      <c r="AP359" s="24" t="str">
        <f aca="false">IF(AO359="","",IF(AD359&lt;&gt;"","Reported reach","Impressions (proxy)"))</f>
        <v/>
      </c>
      <c r="AQ359" s="34" t="str">
        <f aca="false">IF(OR(AO359="",N(S359)=0),"",AO359/S359)</f>
        <v/>
      </c>
      <c r="AR359" s="33" t="str">
        <f aca="false">IF(A359="","",IF(COUNT(AF359:AJ359)=0,"",SUM(AF359:AJ359)))</f>
        <v/>
      </c>
      <c r="AS359" s="34" t="str">
        <f aca="false">IF(OR(AR359="",N(AO359)=0),"",AR359/AO359)</f>
        <v/>
      </c>
      <c r="AT359" s="34" t="str">
        <f aca="false">IF(OR(AR359="",N(AC359)=0),"",AR359/AC359)</f>
        <v/>
      </c>
      <c r="AU359" s="34" t="str">
        <f aca="false">IF(OR(AR359="",N(S359)=0),"",AR359/S359)</f>
        <v/>
      </c>
      <c r="AV359" s="34" t="str">
        <f aca="false">IF(OR(AJ359="",N(AC359)=0),"",AJ359/AC359)</f>
        <v/>
      </c>
      <c r="AW359" s="34" t="str">
        <f aca="false">IF(OR(AH359="",N(AO359)=0),"",AH359/AO359)</f>
        <v/>
      </c>
      <c r="AX359" s="35" t="str">
        <f aca="false">IF(OR(AR359="",N(AO359)=0),"",(N(AF359)*Settings!$B$6+N(AG359)*Settings!$B$7+N(AH359)*Settings!$B$8+N(AI359)*Settings!$B$9+N(AJ359)*Settings!$B$10)/AO359*1000)</f>
        <v/>
      </c>
      <c r="AY359" s="36" t="str">
        <f aca="false">IF(AS359="","",IFERROR(AS359/AVERAGEIFS('Post Tracker'!$AS$5:$AS$1004,'Post Tracker'!$G$5:$G$1004,G359),""))</f>
        <v/>
      </c>
      <c r="AZ359" s="32"/>
      <c r="BA359" s="32"/>
      <c r="BB359" s="32"/>
      <c r="BC359" s="32"/>
      <c r="BD359" s="33" t="str">
        <f aca="false">IF(A359="","",COUNTIFS('Demo Pipeline'!$Q$5:$Q$504,A359))</f>
        <v/>
      </c>
      <c r="BE359" s="33" t="str">
        <f aca="false">IF(A359="","",COUNTIFS('Demo Pipeline'!$Q$5:$Q$504,A359,'Demo Pipeline'!$W$5:$W$504,"Attended"))</f>
        <v/>
      </c>
      <c r="BF359" s="33" t="str">
        <f aca="false">IF(A359="","",COUNTIFS('Demo Pipeline'!$Q$5:$Q$504,A359,'Demo Pipeline'!$X$5:$X$504,"Yes"))</f>
        <v/>
      </c>
      <c r="BG359" s="33" t="str">
        <f aca="false">IF(A359="","",COUNTIFS('Demo Pipeline'!$Q$5:$Q$504,A359,'Demo Pipeline'!$Y$5:$Y$504,"Closed Won"))</f>
        <v/>
      </c>
      <c r="BH359" s="37" t="str">
        <f aca="false">IF(A359="","",SUMIFS('Demo Pipeline'!$Z$5:$Z$504,'Demo Pipeline'!$Q$5:$Q$504,A359))</f>
        <v/>
      </c>
      <c r="BI359" s="34" t="str">
        <f aca="false">IF(OR(AZ359="",N(AJ359)=0),"",AZ359/AJ359)</f>
        <v/>
      </c>
      <c r="BJ359" s="34" t="str">
        <f aca="false">IF(OR(BB359="",N(AZ359)=0),"",BB359/AZ359)</f>
        <v/>
      </c>
      <c r="BK359" s="34" t="str">
        <f aca="false">IF(OR(A359="",N(BB359)=0),"",BD359/BB359)</f>
        <v/>
      </c>
      <c r="BL359" s="34" t="str">
        <f aca="false">IF(OR(A359="",N(AZ359)=0),"",BD359/AZ359)</f>
        <v/>
      </c>
      <c r="BM359" s="37" t="str">
        <f aca="false">IF(OR(N(Q359)=0,N(BD359)=0),"",Q359/BD359)</f>
        <v/>
      </c>
      <c r="BN359" s="29"/>
      <c r="BO359" s="29"/>
      <c r="BP359" s="33" t="str">
        <f aca="false">IF(OR(AR359="",N(AO359)=0),"",AR359)</f>
        <v/>
      </c>
      <c r="BQ359" s="33" t="str">
        <f aca="false">IF(OR(AR359="",N(S359)=0),"",S359)</f>
        <v/>
      </c>
      <c r="BR359" s="38" t="str">
        <f aca="false">IF(AND(ISNUMBER(B359),B359&gt;=Dashboard!$C$4,B359&lt;=Dashboard!$F$4,ISNUMBER(AU359)),AU359+ROW()/10^9,"")</f>
        <v/>
      </c>
      <c r="BS359" s="38" t="str">
        <f aca="false">IF(AND(ISNUMBER(B359),B359&gt;=Dashboard!$C$4,B359&lt;=Dashboard!$F$4,A359&lt;&gt;""),N(BD359)+N(AU359)/100+ROW()/10^9,"")</f>
        <v/>
      </c>
    </row>
    <row r="360" customFormat="false" ht="15" hidden="false" customHeight="false" outlineLevel="0" collapsed="false">
      <c r="A360" s="24" t="str">
        <f aca="false">IF(OR(B360="",G360="",H360=""),"",IFERROR(INDEX(Settings!$E$5:$E$49,MATCH(G360,Settings!$D$5:$D$49,0))&amp;INDEX(Settings!$H$5:$H$47,MATCH(H360,Settings!$G$5:$G$47,0))&amp;"-"&amp;TEXT(B360,"yymmdd")&amp;"-"&amp;IF(C360="","0000",TEXT(C360,"hhmm")),"CHECK LISTS"))</f>
        <v/>
      </c>
      <c r="B360" s="39"/>
      <c r="C360" s="40"/>
      <c r="D360" s="24" t="str">
        <f aca="false">IF(B360="","",TEXT(B360,"ddd"))</f>
        <v/>
      </c>
      <c r="E360" s="27" t="str">
        <f aca="false">IF(B360="","",B360-WEEKDAY(B360,3))</f>
        <v/>
      </c>
      <c r="F360" s="24" t="str">
        <f aca="false">IF(B360="","",TEXT(B360,"yyyy-mm"))</f>
        <v/>
      </c>
      <c r="G360" s="29"/>
      <c r="H360" s="29"/>
      <c r="I360" s="29"/>
      <c r="J360" s="29"/>
      <c r="K360" s="29"/>
      <c r="L360" s="29"/>
      <c r="M360" s="29"/>
      <c r="N360" s="29"/>
      <c r="O360" s="29"/>
      <c r="P360" s="29"/>
      <c r="Q360" s="30"/>
      <c r="R360" s="29"/>
      <c r="S360" s="32"/>
      <c r="T360" s="29"/>
      <c r="U360" s="29"/>
      <c r="V360" s="24" t="str">
        <f aca="false">IF(A360="","",IFERROR(INDEX(Settings!$F$5:$F$49,MATCH(G360,Settings!$D$5:$D$49,0)),""))</f>
        <v/>
      </c>
      <c r="W360" s="24" t="str">
        <f aca="false">IF(A360="","",IF(OR(P360="",P360="Organic"),"social","paid_social"))</f>
        <v/>
      </c>
      <c r="X360" s="24" t="str">
        <f aca="false">IF(A360="","",IF(K360&lt;&gt;"",IFERROR(INDEX('Case Studies'!$C$5:$C$54,MATCH(K360,'Case Studies'!$B$5:$B$54,0))&amp;"","case-study"),IF(J360&lt;&gt;"",IFERROR(INDEX(Settings!$J$5:$J$55,MATCH(J360,Settings!$I$5:$I$55,0)),"general"),"general")))</f>
        <v/>
      </c>
      <c r="Y360" s="24" t="str">
        <f aca="false">IF(A360="","",LOWER(A360))</f>
        <v/>
      </c>
      <c r="Z360" s="24" t="str">
        <f aca="false">IF(A360="","",IF(T360="",Settings!$B$5,T360)&amp;IF(ISNUMBER(FIND("?",IF(T360="",Settings!$B$5,T360))),"&amp;","?")&amp;"utm_source="&amp;V360&amp;"&amp;utm_medium="&amp;W360&amp;"&amp;utm_campaign="&amp;X360&amp;"&amp;utm_content="&amp;Y360)</f>
        <v/>
      </c>
      <c r="AA360" s="29"/>
      <c r="AB360" s="39"/>
      <c r="AC360" s="32"/>
      <c r="AD360" s="32"/>
      <c r="AE360" s="32"/>
      <c r="AF360" s="32"/>
      <c r="AG360" s="32"/>
      <c r="AH360" s="32"/>
      <c r="AI360" s="32"/>
      <c r="AJ360" s="32"/>
      <c r="AK360" s="32"/>
      <c r="AL360" s="32"/>
      <c r="AM360" s="32"/>
      <c r="AN360" s="32"/>
      <c r="AO360" s="33" t="str">
        <f aca="false">IF(A360="","",IF(AD360&lt;&gt;"",AD360,IF(AC360&lt;&gt;"",AC360,"")))</f>
        <v/>
      </c>
      <c r="AP360" s="24" t="str">
        <f aca="false">IF(AO360="","",IF(AD360&lt;&gt;"","Reported reach","Impressions (proxy)"))</f>
        <v/>
      </c>
      <c r="AQ360" s="34" t="str">
        <f aca="false">IF(OR(AO360="",N(S360)=0),"",AO360/S360)</f>
        <v/>
      </c>
      <c r="AR360" s="33" t="str">
        <f aca="false">IF(A360="","",IF(COUNT(AF360:AJ360)=0,"",SUM(AF360:AJ360)))</f>
        <v/>
      </c>
      <c r="AS360" s="34" t="str">
        <f aca="false">IF(OR(AR360="",N(AO360)=0),"",AR360/AO360)</f>
        <v/>
      </c>
      <c r="AT360" s="34" t="str">
        <f aca="false">IF(OR(AR360="",N(AC360)=0),"",AR360/AC360)</f>
        <v/>
      </c>
      <c r="AU360" s="34" t="str">
        <f aca="false">IF(OR(AR360="",N(S360)=0),"",AR360/S360)</f>
        <v/>
      </c>
      <c r="AV360" s="34" t="str">
        <f aca="false">IF(OR(AJ360="",N(AC360)=0),"",AJ360/AC360)</f>
        <v/>
      </c>
      <c r="AW360" s="34" t="str">
        <f aca="false">IF(OR(AH360="",N(AO360)=0),"",AH360/AO360)</f>
        <v/>
      </c>
      <c r="AX360" s="35" t="str">
        <f aca="false">IF(OR(AR360="",N(AO360)=0),"",(N(AF360)*Settings!$B$6+N(AG360)*Settings!$B$7+N(AH360)*Settings!$B$8+N(AI360)*Settings!$B$9+N(AJ360)*Settings!$B$10)/AO360*1000)</f>
        <v/>
      </c>
      <c r="AY360" s="36" t="str">
        <f aca="false">IF(AS360="","",IFERROR(AS360/AVERAGEIFS('Post Tracker'!$AS$5:$AS$1004,'Post Tracker'!$G$5:$G$1004,G360),""))</f>
        <v/>
      </c>
      <c r="AZ360" s="32"/>
      <c r="BA360" s="32"/>
      <c r="BB360" s="32"/>
      <c r="BC360" s="32"/>
      <c r="BD360" s="33" t="str">
        <f aca="false">IF(A360="","",COUNTIFS('Demo Pipeline'!$Q$5:$Q$504,A360))</f>
        <v/>
      </c>
      <c r="BE360" s="33" t="str">
        <f aca="false">IF(A360="","",COUNTIFS('Demo Pipeline'!$Q$5:$Q$504,A360,'Demo Pipeline'!$W$5:$W$504,"Attended"))</f>
        <v/>
      </c>
      <c r="BF360" s="33" t="str">
        <f aca="false">IF(A360="","",COUNTIFS('Demo Pipeline'!$Q$5:$Q$504,A360,'Demo Pipeline'!$X$5:$X$504,"Yes"))</f>
        <v/>
      </c>
      <c r="BG360" s="33" t="str">
        <f aca="false">IF(A360="","",COUNTIFS('Demo Pipeline'!$Q$5:$Q$504,A360,'Demo Pipeline'!$Y$5:$Y$504,"Closed Won"))</f>
        <v/>
      </c>
      <c r="BH360" s="37" t="str">
        <f aca="false">IF(A360="","",SUMIFS('Demo Pipeline'!$Z$5:$Z$504,'Demo Pipeline'!$Q$5:$Q$504,A360))</f>
        <v/>
      </c>
      <c r="BI360" s="34" t="str">
        <f aca="false">IF(OR(AZ360="",N(AJ360)=0),"",AZ360/AJ360)</f>
        <v/>
      </c>
      <c r="BJ360" s="34" t="str">
        <f aca="false">IF(OR(BB360="",N(AZ360)=0),"",BB360/AZ360)</f>
        <v/>
      </c>
      <c r="BK360" s="34" t="str">
        <f aca="false">IF(OR(A360="",N(BB360)=0),"",BD360/BB360)</f>
        <v/>
      </c>
      <c r="BL360" s="34" t="str">
        <f aca="false">IF(OR(A360="",N(AZ360)=0),"",BD360/AZ360)</f>
        <v/>
      </c>
      <c r="BM360" s="37" t="str">
        <f aca="false">IF(OR(N(Q360)=0,N(BD360)=0),"",Q360/BD360)</f>
        <v/>
      </c>
      <c r="BN360" s="29"/>
      <c r="BO360" s="29"/>
      <c r="BP360" s="33" t="str">
        <f aca="false">IF(OR(AR360="",N(AO360)=0),"",AR360)</f>
        <v/>
      </c>
      <c r="BQ360" s="33" t="str">
        <f aca="false">IF(OR(AR360="",N(S360)=0),"",S360)</f>
        <v/>
      </c>
      <c r="BR360" s="38" t="str">
        <f aca="false">IF(AND(ISNUMBER(B360),B360&gt;=Dashboard!$C$4,B360&lt;=Dashboard!$F$4,ISNUMBER(AU360)),AU360+ROW()/10^9,"")</f>
        <v/>
      </c>
      <c r="BS360" s="38" t="str">
        <f aca="false">IF(AND(ISNUMBER(B360),B360&gt;=Dashboard!$C$4,B360&lt;=Dashboard!$F$4,A360&lt;&gt;""),N(BD360)+N(AU360)/100+ROW()/10^9,"")</f>
        <v/>
      </c>
    </row>
    <row r="361" customFormat="false" ht="15" hidden="false" customHeight="false" outlineLevel="0" collapsed="false">
      <c r="A361" s="24" t="str">
        <f aca="false">IF(OR(B361="",G361="",H361=""),"",IFERROR(INDEX(Settings!$E$5:$E$49,MATCH(G361,Settings!$D$5:$D$49,0))&amp;INDEX(Settings!$H$5:$H$47,MATCH(H361,Settings!$G$5:$G$47,0))&amp;"-"&amp;TEXT(B361,"yymmdd")&amp;"-"&amp;IF(C361="","0000",TEXT(C361,"hhmm")),"CHECK LISTS"))</f>
        <v/>
      </c>
      <c r="B361" s="39"/>
      <c r="C361" s="40"/>
      <c r="D361" s="24" t="str">
        <f aca="false">IF(B361="","",TEXT(B361,"ddd"))</f>
        <v/>
      </c>
      <c r="E361" s="27" t="str">
        <f aca="false">IF(B361="","",B361-WEEKDAY(B361,3))</f>
        <v/>
      </c>
      <c r="F361" s="24" t="str">
        <f aca="false">IF(B361="","",TEXT(B361,"yyyy-mm"))</f>
        <v/>
      </c>
      <c r="G361" s="29"/>
      <c r="H361" s="29"/>
      <c r="I361" s="29"/>
      <c r="J361" s="29"/>
      <c r="K361" s="29"/>
      <c r="L361" s="29"/>
      <c r="M361" s="29"/>
      <c r="N361" s="29"/>
      <c r="O361" s="29"/>
      <c r="P361" s="29"/>
      <c r="Q361" s="30"/>
      <c r="R361" s="29"/>
      <c r="S361" s="32"/>
      <c r="T361" s="29"/>
      <c r="U361" s="29"/>
      <c r="V361" s="24" t="str">
        <f aca="false">IF(A361="","",IFERROR(INDEX(Settings!$F$5:$F$49,MATCH(G361,Settings!$D$5:$D$49,0)),""))</f>
        <v/>
      </c>
      <c r="W361" s="24" t="str">
        <f aca="false">IF(A361="","",IF(OR(P361="",P361="Organic"),"social","paid_social"))</f>
        <v/>
      </c>
      <c r="X361" s="24" t="str">
        <f aca="false">IF(A361="","",IF(K361&lt;&gt;"",IFERROR(INDEX('Case Studies'!$C$5:$C$54,MATCH(K361,'Case Studies'!$B$5:$B$54,0))&amp;"","case-study"),IF(J361&lt;&gt;"",IFERROR(INDEX(Settings!$J$5:$J$55,MATCH(J361,Settings!$I$5:$I$55,0)),"general"),"general")))</f>
        <v/>
      </c>
      <c r="Y361" s="24" t="str">
        <f aca="false">IF(A361="","",LOWER(A361))</f>
        <v/>
      </c>
      <c r="Z361" s="24" t="str">
        <f aca="false">IF(A361="","",IF(T361="",Settings!$B$5,T361)&amp;IF(ISNUMBER(FIND("?",IF(T361="",Settings!$B$5,T361))),"&amp;","?")&amp;"utm_source="&amp;V361&amp;"&amp;utm_medium="&amp;W361&amp;"&amp;utm_campaign="&amp;X361&amp;"&amp;utm_content="&amp;Y361)</f>
        <v/>
      </c>
      <c r="AA361" s="29"/>
      <c r="AB361" s="39"/>
      <c r="AC361" s="32"/>
      <c r="AD361" s="32"/>
      <c r="AE361" s="32"/>
      <c r="AF361" s="32"/>
      <c r="AG361" s="32"/>
      <c r="AH361" s="32"/>
      <c r="AI361" s="32"/>
      <c r="AJ361" s="32"/>
      <c r="AK361" s="32"/>
      <c r="AL361" s="32"/>
      <c r="AM361" s="32"/>
      <c r="AN361" s="32"/>
      <c r="AO361" s="33" t="str">
        <f aca="false">IF(A361="","",IF(AD361&lt;&gt;"",AD361,IF(AC361&lt;&gt;"",AC361,"")))</f>
        <v/>
      </c>
      <c r="AP361" s="24" t="str">
        <f aca="false">IF(AO361="","",IF(AD361&lt;&gt;"","Reported reach","Impressions (proxy)"))</f>
        <v/>
      </c>
      <c r="AQ361" s="34" t="str">
        <f aca="false">IF(OR(AO361="",N(S361)=0),"",AO361/S361)</f>
        <v/>
      </c>
      <c r="AR361" s="33" t="str">
        <f aca="false">IF(A361="","",IF(COUNT(AF361:AJ361)=0,"",SUM(AF361:AJ361)))</f>
        <v/>
      </c>
      <c r="AS361" s="34" t="str">
        <f aca="false">IF(OR(AR361="",N(AO361)=0),"",AR361/AO361)</f>
        <v/>
      </c>
      <c r="AT361" s="34" t="str">
        <f aca="false">IF(OR(AR361="",N(AC361)=0),"",AR361/AC361)</f>
        <v/>
      </c>
      <c r="AU361" s="34" t="str">
        <f aca="false">IF(OR(AR361="",N(S361)=0),"",AR361/S361)</f>
        <v/>
      </c>
      <c r="AV361" s="34" t="str">
        <f aca="false">IF(OR(AJ361="",N(AC361)=0),"",AJ361/AC361)</f>
        <v/>
      </c>
      <c r="AW361" s="34" t="str">
        <f aca="false">IF(OR(AH361="",N(AO361)=0),"",AH361/AO361)</f>
        <v/>
      </c>
      <c r="AX361" s="35" t="str">
        <f aca="false">IF(OR(AR361="",N(AO361)=0),"",(N(AF361)*Settings!$B$6+N(AG361)*Settings!$B$7+N(AH361)*Settings!$B$8+N(AI361)*Settings!$B$9+N(AJ361)*Settings!$B$10)/AO361*1000)</f>
        <v/>
      </c>
      <c r="AY361" s="36" t="str">
        <f aca="false">IF(AS361="","",IFERROR(AS361/AVERAGEIFS('Post Tracker'!$AS$5:$AS$1004,'Post Tracker'!$G$5:$G$1004,G361),""))</f>
        <v/>
      </c>
      <c r="AZ361" s="32"/>
      <c r="BA361" s="32"/>
      <c r="BB361" s="32"/>
      <c r="BC361" s="32"/>
      <c r="BD361" s="33" t="str">
        <f aca="false">IF(A361="","",COUNTIFS('Demo Pipeline'!$Q$5:$Q$504,A361))</f>
        <v/>
      </c>
      <c r="BE361" s="33" t="str">
        <f aca="false">IF(A361="","",COUNTIFS('Demo Pipeline'!$Q$5:$Q$504,A361,'Demo Pipeline'!$W$5:$W$504,"Attended"))</f>
        <v/>
      </c>
      <c r="BF361" s="33" t="str">
        <f aca="false">IF(A361="","",COUNTIFS('Demo Pipeline'!$Q$5:$Q$504,A361,'Demo Pipeline'!$X$5:$X$504,"Yes"))</f>
        <v/>
      </c>
      <c r="BG361" s="33" t="str">
        <f aca="false">IF(A361="","",COUNTIFS('Demo Pipeline'!$Q$5:$Q$504,A361,'Demo Pipeline'!$Y$5:$Y$504,"Closed Won"))</f>
        <v/>
      </c>
      <c r="BH361" s="37" t="str">
        <f aca="false">IF(A361="","",SUMIFS('Demo Pipeline'!$Z$5:$Z$504,'Demo Pipeline'!$Q$5:$Q$504,A361))</f>
        <v/>
      </c>
      <c r="BI361" s="34" t="str">
        <f aca="false">IF(OR(AZ361="",N(AJ361)=0),"",AZ361/AJ361)</f>
        <v/>
      </c>
      <c r="BJ361" s="34" t="str">
        <f aca="false">IF(OR(BB361="",N(AZ361)=0),"",BB361/AZ361)</f>
        <v/>
      </c>
      <c r="BK361" s="34" t="str">
        <f aca="false">IF(OR(A361="",N(BB361)=0),"",BD361/BB361)</f>
        <v/>
      </c>
      <c r="BL361" s="34" t="str">
        <f aca="false">IF(OR(A361="",N(AZ361)=0),"",BD361/AZ361)</f>
        <v/>
      </c>
      <c r="BM361" s="37" t="str">
        <f aca="false">IF(OR(N(Q361)=0,N(BD361)=0),"",Q361/BD361)</f>
        <v/>
      </c>
      <c r="BN361" s="29"/>
      <c r="BO361" s="29"/>
      <c r="BP361" s="33" t="str">
        <f aca="false">IF(OR(AR361="",N(AO361)=0),"",AR361)</f>
        <v/>
      </c>
      <c r="BQ361" s="33" t="str">
        <f aca="false">IF(OR(AR361="",N(S361)=0),"",S361)</f>
        <v/>
      </c>
      <c r="BR361" s="38" t="str">
        <f aca="false">IF(AND(ISNUMBER(B361),B361&gt;=Dashboard!$C$4,B361&lt;=Dashboard!$F$4,ISNUMBER(AU361)),AU361+ROW()/10^9,"")</f>
        <v/>
      </c>
      <c r="BS361" s="38" t="str">
        <f aca="false">IF(AND(ISNUMBER(B361),B361&gt;=Dashboard!$C$4,B361&lt;=Dashboard!$F$4,A361&lt;&gt;""),N(BD361)+N(AU361)/100+ROW()/10^9,"")</f>
        <v/>
      </c>
    </row>
    <row r="362" customFormat="false" ht="15" hidden="false" customHeight="false" outlineLevel="0" collapsed="false">
      <c r="A362" s="24" t="str">
        <f aca="false">IF(OR(B362="",G362="",H362=""),"",IFERROR(INDEX(Settings!$E$5:$E$49,MATCH(G362,Settings!$D$5:$D$49,0))&amp;INDEX(Settings!$H$5:$H$47,MATCH(H362,Settings!$G$5:$G$47,0))&amp;"-"&amp;TEXT(B362,"yymmdd")&amp;"-"&amp;IF(C362="","0000",TEXT(C362,"hhmm")),"CHECK LISTS"))</f>
        <v/>
      </c>
      <c r="B362" s="39"/>
      <c r="C362" s="40"/>
      <c r="D362" s="24" t="str">
        <f aca="false">IF(B362="","",TEXT(B362,"ddd"))</f>
        <v/>
      </c>
      <c r="E362" s="27" t="str">
        <f aca="false">IF(B362="","",B362-WEEKDAY(B362,3))</f>
        <v/>
      </c>
      <c r="F362" s="24" t="str">
        <f aca="false">IF(B362="","",TEXT(B362,"yyyy-mm"))</f>
        <v/>
      </c>
      <c r="G362" s="29"/>
      <c r="H362" s="29"/>
      <c r="I362" s="29"/>
      <c r="J362" s="29"/>
      <c r="K362" s="29"/>
      <c r="L362" s="29"/>
      <c r="M362" s="29"/>
      <c r="N362" s="29"/>
      <c r="O362" s="29"/>
      <c r="P362" s="29"/>
      <c r="Q362" s="30"/>
      <c r="R362" s="29"/>
      <c r="S362" s="32"/>
      <c r="T362" s="29"/>
      <c r="U362" s="29"/>
      <c r="V362" s="24" t="str">
        <f aca="false">IF(A362="","",IFERROR(INDEX(Settings!$F$5:$F$49,MATCH(G362,Settings!$D$5:$D$49,0)),""))</f>
        <v/>
      </c>
      <c r="W362" s="24" t="str">
        <f aca="false">IF(A362="","",IF(OR(P362="",P362="Organic"),"social","paid_social"))</f>
        <v/>
      </c>
      <c r="X362" s="24" t="str">
        <f aca="false">IF(A362="","",IF(K362&lt;&gt;"",IFERROR(INDEX('Case Studies'!$C$5:$C$54,MATCH(K362,'Case Studies'!$B$5:$B$54,0))&amp;"","case-study"),IF(J362&lt;&gt;"",IFERROR(INDEX(Settings!$J$5:$J$55,MATCH(J362,Settings!$I$5:$I$55,0)),"general"),"general")))</f>
        <v/>
      </c>
      <c r="Y362" s="24" t="str">
        <f aca="false">IF(A362="","",LOWER(A362))</f>
        <v/>
      </c>
      <c r="Z362" s="24" t="str">
        <f aca="false">IF(A362="","",IF(T362="",Settings!$B$5,T362)&amp;IF(ISNUMBER(FIND("?",IF(T362="",Settings!$B$5,T362))),"&amp;","?")&amp;"utm_source="&amp;V362&amp;"&amp;utm_medium="&amp;W362&amp;"&amp;utm_campaign="&amp;X362&amp;"&amp;utm_content="&amp;Y362)</f>
        <v/>
      </c>
      <c r="AA362" s="29"/>
      <c r="AB362" s="39"/>
      <c r="AC362" s="32"/>
      <c r="AD362" s="32"/>
      <c r="AE362" s="32"/>
      <c r="AF362" s="32"/>
      <c r="AG362" s="32"/>
      <c r="AH362" s="32"/>
      <c r="AI362" s="32"/>
      <c r="AJ362" s="32"/>
      <c r="AK362" s="32"/>
      <c r="AL362" s="32"/>
      <c r="AM362" s="32"/>
      <c r="AN362" s="32"/>
      <c r="AO362" s="33" t="str">
        <f aca="false">IF(A362="","",IF(AD362&lt;&gt;"",AD362,IF(AC362&lt;&gt;"",AC362,"")))</f>
        <v/>
      </c>
      <c r="AP362" s="24" t="str">
        <f aca="false">IF(AO362="","",IF(AD362&lt;&gt;"","Reported reach","Impressions (proxy)"))</f>
        <v/>
      </c>
      <c r="AQ362" s="34" t="str">
        <f aca="false">IF(OR(AO362="",N(S362)=0),"",AO362/S362)</f>
        <v/>
      </c>
      <c r="AR362" s="33" t="str">
        <f aca="false">IF(A362="","",IF(COUNT(AF362:AJ362)=0,"",SUM(AF362:AJ362)))</f>
        <v/>
      </c>
      <c r="AS362" s="34" t="str">
        <f aca="false">IF(OR(AR362="",N(AO362)=0),"",AR362/AO362)</f>
        <v/>
      </c>
      <c r="AT362" s="34" t="str">
        <f aca="false">IF(OR(AR362="",N(AC362)=0),"",AR362/AC362)</f>
        <v/>
      </c>
      <c r="AU362" s="34" t="str">
        <f aca="false">IF(OR(AR362="",N(S362)=0),"",AR362/S362)</f>
        <v/>
      </c>
      <c r="AV362" s="34" t="str">
        <f aca="false">IF(OR(AJ362="",N(AC362)=0),"",AJ362/AC362)</f>
        <v/>
      </c>
      <c r="AW362" s="34" t="str">
        <f aca="false">IF(OR(AH362="",N(AO362)=0),"",AH362/AO362)</f>
        <v/>
      </c>
      <c r="AX362" s="35" t="str">
        <f aca="false">IF(OR(AR362="",N(AO362)=0),"",(N(AF362)*Settings!$B$6+N(AG362)*Settings!$B$7+N(AH362)*Settings!$B$8+N(AI362)*Settings!$B$9+N(AJ362)*Settings!$B$10)/AO362*1000)</f>
        <v/>
      </c>
      <c r="AY362" s="36" t="str">
        <f aca="false">IF(AS362="","",IFERROR(AS362/AVERAGEIFS('Post Tracker'!$AS$5:$AS$1004,'Post Tracker'!$G$5:$G$1004,G362),""))</f>
        <v/>
      </c>
      <c r="AZ362" s="32"/>
      <c r="BA362" s="32"/>
      <c r="BB362" s="32"/>
      <c r="BC362" s="32"/>
      <c r="BD362" s="33" t="str">
        <f aca="false">IF(A362="","",COUNTIFS('Demo Pipeline'!$Q$5:$Q$504,A362))</f>
        <v/>
      </c>
      <c r="BE362" s="33" t="str">
        <f aca="false">IF(A362="","",COUNTIFS('Demo Pipeline'!$Q$5:$Q$504,A362,'Demo Pipeline'!$W$5:$W$504,"Attended"))</f>
        <v/>
      </c>
      <c r="BF362" s="33" t="str">
        <f aca="false">IF(A362="","",COUNTIFS('Demo Pipeline'!$Q$5:$Q$504,A362,'Demo Pipeline'!$X$5:$X$504,"Yes"))</f>
        <v/>
      </c>
      <c r="BG362" s="33" t="str">
        <f aca="false">IF(A362="","",COUNTIFS('Demo Pipeline'!$Q$5:$Q$504,A362,'Demo Pipeline'!$Y$5:$Y$504,"Closed Won"))</f>
        <v/>
      </c>
      <c r="BH362" s="37" t="str">
        <f aca="false">IF(A362="","",SUMIFS('Demo Pipeline'!$Z$5:$Z$504,'Demo Pipeline'!$Q$5:$Q$504,A362))</f>
        <v/>
      </c>
      <c r="BI362" s="34" t="str">
        <f aca="false">IF(OR(AZ362="",N(AJ362)=0),"",AZ362/AJ362)</f>
        <v/>
      </c>
      <c r="BJ362" s="34" t="str">
        <f aca="false">IF(OR(BB362="",N(AZ362)=0),"",BB362/AZ362)</f>
        <v/>
      </c>
      <c r="BK362" s="34" t="str">
        <f aca="false">IF(OR(A362="",N(BB362)=0),"",BD362/BB362)</f>
        <v/>
      </c>
      <c r="BL362" s="34" t="str">
        <f aca="false">IF(OR(A362="",N(AZ362)=0),"",BD362/AZ362)</f>
        <v/>
      </c>
      <c r="BM362" s="37" t="str">
        <f aca="false">IF(OR(N(Q362)=0,N(BD362)=0),"",Q362/BD362)</f>
        <v/>
      </c>
      <c r="BN362" s="29"/>
      <c r="BO362" s="29"/>
      <c r="BP362" s="33" t="str">
        <f aca="false">IF(OR(AR362="",N(AO362)=0),"",AR362)</f>
        <v/>
      </c>
      <c r="BQ362" s="33" t="str">
        <f aca="false">IF(OR(AR362="",N(S362)=0),"",S362)</f>
        <v/>
      </c>
      <c r="BR362" s="38" t="str">
        <f aca="false">IF(AND(ISNUMBER(B362),B362&gt;=Dashboard!$C$4,B362&lt;=Dashboard!$F$4,ISNUMBER(AU362)),AU362+ROW()/10^9,"")</f>
        <v/>
      </c>
      <c r="BS362" s="38" t="str">
        <f aca="false">IF(AND(ISNUMBER(B362),B362&gt;=Dashboard!$C$4,B362&lt;=Dashboard!$F$4,A362&lt;&gt;""),N(BD362)+N(AU362)/100+ROW()/10^9,"")</f>
        <v/>
      </c>
    </row>
    <row r="363" customFormat="false" ht="15" hidden="false" customHeight="false" outlineLevel="0" collapsed="false">
      <c r="A363" s="24" t="str">
        <f aca="false">IF(OR(B363="",G363="",H363=""),"",IFERROR(INDEX(Settings!$E$5:$E$49,MATCH(G363,Settings!$D$5:$D$49,0))&amp;INDEX(Settings!$H$5:$H$47,MATCH(H363,Settings!$G$5:$G$47,0))&amp;"-"&amp;TEXT(B363,"yymmdd")&amp;"-"&amp;IF(C363="","0000",TEXT(C363,"hhmm")),"CHECK LISTS"))</f>
        <v/>
      </c>
      <c r="B363" s="39"/>
      <c r="C363" s="40"/>
      <c r="D363" s="24" t="str">
        <f aca="false">IF(B363="","",TEXT(B363,"ddd"))</f>
        <v/>
      </c>
      <c r="E363" s="27" t="str">
        <f aca="false">IF(B363="","",B363-WEEKDAY(B363,3))</f>
        <v/>
      </c>
      <c r="F363" s="24" t="str">
        <f aca="false">IF(B363="","",TEXT(B363,"yyyy-mm"))</f>
        <v/>
      </c>
      <c r="G363" s="29"/>
      <c r="H363" s="29"/>
      <c r="I363" s="29"/>
      <c r="J363" s="29"/>
      <c r="K363" s="29"/>
      <c r="L363" s="29"/>
      <c r="M363" s="29"/>
      <c r="N363" s="29"/>
      <c r="O363" s="29"/>
      <c r="P363" s="29"/>
      <c r="Q363" s="30"/>
      <c r="R363" s="29"/>
      <c r="S363" s="32"/>
      <c r="T363" s="29"/>
      <c r="U363" s="29"/>
      <c r="V363" s="24" t="str">
        <f aca="false">IF(A363="","",IFERROR(INDEX(Settings!$F$5:$F$49,MATCH(G363,Settings!$D$5:$D$49,0)),""))</f>
        <v/>
      </c>
      <c r="W363" s="24" t="str">
        <f aca="false">IF(A363="","",IF(OR(P363="",P363="Organic"),"social","paid_social"))</f>
        <v/>
      </c>
      <c r="X363" s="24" t="str">
        <f aca="false">IF(A363="","",IF(K363&lt;&gt;"",IFERROR(INDEX('Case Studies'!$C$5:$C$54,MATCH(K363,'Case Studies'!$B$5:$B$54,0))&amp;"","case-study"),IF(J363&lt;&gt;"",IFERROR(INDEX(Settings!$J$5:$J$55,MATCH(J363,Settings!$I$5:$I$55,0)),"general"),"general")))</f>
        <v/>
      </c>
      <c r="Y363" s="24" t="str">
        <f aca="false">IF(A363="","",LOWER(A363))</f>
        <v/>
      </c>
      <c r="Z363" s="24" t="str">
        <f aca="false">IF(A363="","",IF(T363="",Settings!$B$5,T363)&amp;IF(ISNUMBER(FIND("?",IF(T363="",Settings!$B$5,T363))),"&amp;","?")&amp;"utm_source="&amp;V363&amp;"&amp;utm_medium="&amp;W363&amp;"&amp;utm_campaign="&amp;X363&amp;"&amp;utm_content="&amp;Y363)</f>
        <v/>
      </c>
      <c r="AA363" s="29"/>
      <c r="AB363" s="39"/>
      <c r="AC363" s="32"/>
      <c r="AD363" s="32"/>
      <c r="AE363" s="32"/>
      <c r="AF363" s="32"/>
      <c r="AG363" s="32"/>
      <c r="AH363" s="32"/>
      <c r="AI363" s="32"/>
      <c r="AJ363" s="32"/>
      <c r="AK363" s="32"/>
      <c r="AL363" s="32"/>
      <c r="AM363" s="32"/>
      <c r="AN363" s="32"/>
      <c r="AO363" s="33" t="str">
        <f aca="false">IF(A363="","",IF(AD363&lt;&gt;"",AD363,IF(AC363&lt;&gt;"",AC363,"")))</f>
        <v/>
      </c>
      <c r="AP363" s="24" t="str">
        <f aca="false">IF(AO363="","",IF(AD363&lt;&gt;"","Reported reach","Impressions (proxy)"))</f>
        <v/>
      </c>
      <c r="AQ363" s="34" t="str">
        <f aca="false">IF(OR(AO363="",N(S363)=0),"",AO363/S363)</f>
        <v/>
      </c>
      <c r="AR363" s="33" t="str">
        <f aca="false">IF(A363="","",IF(COUNT(AF363:AJ363)=0,"",SUM(AF363:AJ363)))</f>
        <v/>
      </c>
      <c r="AS363" s="34" t="str">
        <f aca="false">IF(OR(AR363="",N(AO363)=0),"",AR363/AO363)</f>
        <v/>
      </c>
      <c r="AT363" s="34" t="str">
        <f aca="false">IF(OR(AR363="",N(AC363)=0),"",AR363/AC363)</f>
        <v/>
      </c>
      <c r="AU363" s="34" t="str">
        <f aca="false">IF(OR(AR363="",N(S363)=0),"",AR363/S363)</f>
        <v/>
      </c>
      <c r="AV363" s="34" t="str">
        <f aca="false">IF(OR(AJ363="",N(AC363)=0),"",AJ363/AC363)</f>
        <v/>
      </c>
      <c r="AW363" s="34" t="str">
        <f aca="false">IF(OR(AH363="",N(AO363)=0),"",AH363/AO363)</f>
        <v/>
      </c>
      <c r="AX363" s="35" t="str">
        <f aca="false">IF(OR(AR363="",N(AO363)=0),"",(N(AF363)*Settings!$B$6+N(AG363)*Settings!$B$7+N(AH363)*Settings!$B$8+N(AI363)*Settings!$B$9+N(AJ363)*Settings!$B$10)/AO363*1000)</f>
        <v/>
      </c>
      <c r="AY363" s="36" t="str">
        <f aca="false">IF(AS363="","",IFERROR(AS363/AVERAGEIFS('Post Tracker'!$AS$5:$AS$1004,'Post Tracker'!$G$5:$G$1004,G363),""))</f>
        <v/>
      </c>
      <c r="AZ363" s="32"/>
      <c r="BA363" s="32"/>
      <c r="BB363" s="32"/>
      <c r="BC363" s="32"/>
      <c r="BD363" s="33" t="str">
        <f aca="false">IF(A363="","",COUNTIFS('Demo Pipeline'!$Q$5:$Q$504,A363))</f>
        <v/>
      </c>
      <c r="BE363" s="33" t="str">
        <f aca="false">IF(A363="","",COUNTIFS('Demo Pipeline'!$Q$5:$Q$504,A363,'Demo Pipeline'!$W$5:$W$504,"Attended"))</f>
        <v/>
      </c>
      <c r="BF363" s="33" t="str">
        <f aca="false">IF(A363="","",COUNTIFS('Demo Pipeline'!$Q$5:$Q$504,A363,'Demo Pipeline'!$X$5:$X$504,"Yes"))</f>
        <v/>
      </c>
      <c r="BG363" s="33" t="str">
        <f aca="false">IF(A363="","",COUNTIFS('Demo Pipeline'!$Q$5:$Q$504,A363,'Demo Pipeline'!$Y$5:$Y$504,"Closed Won"))</f>
        <v/>
      </c>
      <c r="BH363" s="37" t="str">
        <f aca="false">IF(A363="","",SUMIFS('Demo Pipeline'!$Z$5:$Z$504,'Demo Pipeline'!$Q$5:$Q$504,A363))</f>
        <v/>
      </c>
      <c r="BI363" s="34" t="str">
        <f aca="false">IF(OR(AZ363="",N(AJ363)=0),"",AZ363/AJ363)</f>
        <v/>
      </c>
      <c r="BJ363" s="34" t="str">
        <f aca="false">IF(OR(BB363="",N(AZ363)=0),"",BB363/AZ363)</f>
        <v/>
      </c>
      <c r="BK363" s="34" t="str">
        <f aca="false">IF(OR(A363="",N(BB363)=0),"",BD363/BB363)</f>
        <v/>
      </c>
      <c r="BL363" s="34" t="str">
        <f aca="false">IF(OR(A363="",N(AZ363)=0),"",BD363/AZ363)</f>
        <v/>
      </c>
      <c r="BM363" s="37" t="str">
        <f aca="false">IF(OR(N(Q363)=0,N(BD363)=0),"",Q363/BD363)</f>
        <v/>
      </c>
      <c r="BN363" s="29"/>
      <c r="BO363" s="29"/>
      <c r="BP363" s="33" t="str">
        <f aca="false">IF(OR(AR363="",N(AO363)=0),"",AR363)</f>
        <v/>
      </c>
      <c r="BQ363" s="33" t="str">
        <f aca="false">IF(OR(AR363="",N(S363)=0),"",S363)</f>
        <v/>
      </c>
      <c r="BR363" s="38" t="str">
        <f aca="false">IF(AND(ISNUMBER(B363),B363&gt;=Dashboard!$C$4,B363&lt;=Dashboard!$F$4,ISNUMBER(AU363)),AU363+ROW()/10^9,"")</f>
        <v/>
      </c>
      <c r="BS363" s="38" t="str">
        <f aca="false">IF(AND(ISNUMBER(B363),B363&gt;=Dashboard!$C$4,B363&lt;=Dashboard!$F$4,A363&lt;&gt;""),N(BD363)+N(AU363)/100+ROW()/10^9,"")</f>
        <v/>
      </c>
    </row>
    <row r="364" customFormat="false" ht="15" hidden="false" customHeight="false" outlineLevel="0" collapsed="false">
      <c r="A364" s="24" t="str">
        <f aca="false">IF(OR(B364="",G364="",H364=""),"",IFERROR(INDEX(Settings!$E$5:$E$49,MATCH(G364,Settings!$D$5:$D$49,0))&amp;INDEX(Settings!$H$5:$H$47,MATCH(H364,Settings!$G$5:$G$47,0))&amp;"-"&amp;TEXT(B364,"yymmdd")&amp;"-"&amp;IF(C364="","0000",TEXT(C364,"hhmm")),"CHECK LISTS"))</f>
        <v/>
      </c>
      <c r="B364" s="39"/>
      <c r="C364" s="40"/>
      <c r="D364" s="24" t="str">
        <f aca="false">IF(B364="","",TEXT(B364,"ddd"))</f>
        <v/>
      </c>
      <c r="E364" s="27" t="str">
        <f aca="false">IF(B364="","",B364-WEEKDAY(B364,3))</f>
        <v/>
      </c>
      <c r="F364" s="24" t="str">
        <f aca="false">IF(B364="","",TEXT(B364,"yyyy-mm"))</f>
        <v/>
      </c>
      <c r="G364" s="29"/>
      <c r="H364" s="29"/>
      <c r="I364" s="29"/>
      <c r="J364" s="29"/>
      <c r="K364" s="29"/>
      <c r="L364" s="29"/>
      <c r="M364" s="29"/>
      <c r="N364" s="29"/>
      <c r="O364" s="29"/>
      <c r="P364" s="29"/>
      <c r="Q364" s="30"/>
      <c r="R364" s="29"/>
      <c r="S364" s="32"/>
      <c r="T364" s="29"/>
      <c r="U364" s="29"/>
      <c r="V364" s="24" t="str">
        <f aca="false">IF(A364="","",IFERROR(INDEX(Settings!$F$5:$F$49,MATCH(G364,Settings!$D$5:$D$49,0)),""))</f>
        <v/>
      </c>
      <c r="W364" s="24" t="str">
        <f aca="false">IF(A364="","",IF(OR(P364="",P364="Organic"),"social","paid_social"))</f>
        <v/>
      </c>
      <c r="X364" s="24" t="str">
        <f aca="false">IF(A364="","",IF(K364&lt;&gt;"",IFERROR(INDEX('Case Studies'!$C$5:$C$54,MATCH(K364,'Case Studies'!$B$5:$B$54,0))&amp;"","case-study"),IF(J364&lt;&gt;"",IFERROR(INDEX(Settings!$J$5:$J$55,MATCH(J364,Settings!$I$5:$I$55,0)),"general"),"general")))</f>
        <v/>
      </c>
      <c r="Y364" s="24" t="str">
        <f aca="false">IF(A364="","",LOWER(A364))</f>
        <v/>
      </c>
      <c r="Z364" s="24" t="str">
        <f aca="false">IF(A364="","",IF(T364="",Settings!$B$5,T364)&amp;IF(ISNUMBER(FIND("?",IF(T364="",Settings!$B$5,T364))),"&amp;","?")&amp;"utm_source="&amp;V364&amp;"&amp;utm_medium="&amp;W364&amp;"&amp;utm_campaign="&amp;X364&amp;"&amp;utm_content="&amp;Y364)</f>
        <v/>
      </c>
      <c r="AA364" s="29"/>
      <c r="AB364" s="39"/>
      <c r="AC364" s="32"/>
      <c r="AD364" s="32"/>
      <c r="AE364" s="32"/>
      <c r="AF364" s="32"/>
      <c r="AG364" s="32"/>
      <c r="AH364" s="32"/>
      <c r="AI364" s="32"/>
      <c r="AJ364" s="32"/>
      <c r="AK364" s="32"/>
      <c r="AL364" s="32"/>
      <c r="AM364" s="32"/>
      <c r="AN364" s="32"/>
      <c r="AO364" s="33" t="str">
        <f aca="false">IF(A364="","",IF(AD364&lt;&gt;"",AD364,IF(AC364&lt;&gt;"",AC364,"")))</f>
        <v/>
      </c>
      <c r="AP364" s="24" t="str">
        <f aca="false">IF(AO364="","",IF(AD364&lt;&gt;"","Reported reach","Impressions (proxy)"))</f>
        <v/>
      </c>
      <c r="AQ364" s="34" t="str">
        <f aca="false">IF(OR(AO364="",N(S364)=0),"",AO364/S364)</f>
        <v/>
      </c>
      <c r="AR364" s="33" t="str">
        <f aca="false">IF(A364="","",IF(COUNT(AF364:AJ364)=0,"",SUM(AF364:AJ364)))</f>
        <v/>
      </c>
      <c r="AS364" s="34" t="str">
        <f aca="false">IF(OR(AR364="",N(AO364)=0),"",AR364/AO364)</f>
        <v/>
      </c>
      <c r="AT364" s="34" t="str">
        <f aca="false">IF(OR(AR364="",N(AC364)=0),"",AR364/AC364)</f>
        <v/>
      </c>
      <c r="AU364" s="34" t="str">
        <f aca="false">IF(OR(AR364="",N(S364)=0),"",AR364/S364)</f>
        <v/>
      </c>
      <c r="AV364" s="34" t="str">
        <f aca="false">IF(OR(AJ364="",N(AC364)=0),"",AJ364/AC364)</f>
        <v/>
      </c>
      <c r="AW364" s="34" t="str">
        <f aca="false">IF(OR(AH364="",N(AO364)=0),"",AH364/AO364)</f>
        <v/>
      </c>
      <c r="AX364" s="35" t="str">
        <f aca="false">IF(OR(AR364="",N(AO364)=0),"",(N(AF364)*Settings!$B$6+N(AG364)*Settings!$B$7+N(AH364)*Settings!$B$8+N(AI364)*Settings!$B$9+N(AJ364)*Settings!$B$10)/AO364*1000)</f>
        <v/>
      </c>
      <c r="AY364" s="36" t="str">
        <f aca="false">IF(AS364="","",IFERROR(AS364/AVERAGEIFS('Post Tracker'!$AS$5:$AS$1004,'Post Tracker'!$G$5:$G$1004,G364),""))</f>
        <v/>
      </c>
      <c r="AZ364" s="32"/>
      <c r="BA364" s="32"/>
      <c r="BB364" s="32"/>
      <c r="BC364" s="32"/>
      <c r="BD364" s="33" t="str">
        <f aca="false">IF(A364="","",COUNTIFS('Demo Pipeline'!$Q$5:$Q$504,A364))</f>
        <v/>
      </c>
      <c r="BE364" s="33" t="str">
        <f aca="false">IF(A364="","",COUNTIFS('Demo Pipeline'!$Q$5:$Q$504,A364,'Demo Pipeline'!$W$5:$W$504,"Attended"))</f>
        <v/>
      </c>
      <c r="BF364" s="33" t="str">
        <f aca="false">IF(A364="","",COUNTIFS('Demo Pipeline'!$Q$5:$Q$504,A364,'Demo Pipeline'!$X$5:$X$504,"Yes"))</f>
        <v/>
      </c>
      <c r="BG364" s="33" t="str">
        <f aca="false">IF(A364="","",COUNTIFS('Demo Pipeline'!$Q$5:$Q$504,A364,'Demo Pipeline'!$Y$5:$Y$504,"Closed Won"))</f>
        <v/>
      </c>
      <c r="BH364" s="37" t="str">
        <f aca="false">IF(A364="","",SUMIFS('Demo Pipeline'!$Z$5:$Z$504,'Demo Pipeline'!$Q$5:$Q$504,A364))</f>
        <v/>
      </c>
      <c r="BI364" s="34" t="str">
        <f aca="false">IF(OR(AZ364="",N(AJ364)=0),"",AZ364/AJ364)</f>
        <v/>
      </c>
      <c r="BJ364" s="34" t="str">
        <f aca="false">IF(OR(BB364="",N(AZ364)=0),"",BB364/AZ364)</f>
        <v/>
      </c>
      <c r="BK364" s="34" t="str">
        <f aca="false">IF(OR(A364="",N(BB364)=0),"",BD364/BB364)</f>
        <v/>
      </c>
      <c r="BL364" s="34" t="str">
        <f aca="false">IF(OR(A364="",N(AZ364)=0),"",BD364/AZ364)</f>
        <v/>
      </c>
      <c r="BM364" s="37" t="str">
        <f aca="false">IF(OR(N(Q364)=0,N(BD364)=0),"",Q364/BD364)</f>
        <v/>
      </c>
      <c r="BN364" s="29"/>
      <c r="BO364" s="29"/>
      <c r="BP364" s="33" t="str">
        <f aca="false">IF(OR(AR364="",N(AO364)=0),"",AR364)</f>
        <v/>
      </c>
      <c r="BQ364" s="33" t="str">
        <f aca="false">IF(OR(AR364="",N(S364)=0),"",S364)</f>
        <v/>
      </c>
      <c r="BR364" s="38" t="str">
        <f aca="false">IF(AND(ISNUMBER(B364),B364&gt;=Dashboard!$C$4,B364&lt;=Dashboard!$F$4,ISNUMBER(AU364)),AU364+ROW()/10^9,"")</f>
        <v/>
      </c>
      <c r="BS364" s="38" t="str">
        <f aca="false">IF(AND(ISNUMBER(B364),B364&gt;=Dashboard!$C$4,B364&lt;=Dashboard!$F$4,A364&lt;&gt;""),N(BD364)+N(AU364)/100+ROW()/10^9,"")</f>
        <v/>
      </c>
    </row>
    <row r="365" customFormat="false" ht="15" hidden="false" customHeight="false" outlineLevel="0" collapsed="false">
      <c r="A365" s="24" t="str">
        <f aca="false">IF(OR(B365="",G365="",H365=""),"",IFERROR(INDEX(Settings!$E$5:$E$49,MATCH(G365,Settings!$D$5:$D$49,0))&amp;INDEX(Settings!$H$5:$H$47,MATCH(H365,Settings!$G$5:$G$47,0))&amp;"-"&amp;TEXT(B365,"yymmdd")&amp;"-"&amp;IF(C365="","0000",TEXT(C365,"hhmm")),"CHECK LISTS"))</f>
        <v/>
      </c>
      <c r="B365" s="39"/>
      <c r="C365" s="40"/>
      <c r="D365" s="24" t="str">
        <f aca="false">IF(B365="","",TEXT(B365,"ddd"))</f>
        <v/>
      </c>
      <c r="E365" s="27" t="str">
        <f aca="false">IF(B365="","",B365-WEEKDAY(B365,3))</f>
        <v/>
      </c>
      <c r="F365" s="24" t="str">
        <f aca="false">IF(B365="","",TEXT(B365,"yyyy-mm"))</f>
        <v/>
      </c>
      <c r="G365" s="29"/>
      <c r="H365" s="29"/>
      <c r="I365" s="29"/>
      <c r="J365" s="29"/>
      <c r="K365" s="29"/>
      <c r="L365" s="29"/>
      <c r="M365" s="29"/>
      <c r="N365" s="29"/>
      <c r="O365" s="29"/>
      <c r="P365" s="29"/>
      <c r="Q365" s="30"/>
      <c r="R365" s="29"/>
      <c r="S365" s="32"/>
      <c r="T365" s="29"/>
      <c r="U365" s="29"/>
      <c r="V365" s="24" t="str">
        <f aca="false">IF(A365="","",IFERROR(INDEX(Settings!$F$5:$F$49,MATCH(G365,Settings!$D$5:$D$49,0)),""))</f>
        <v/>
      </c>
      <c r="W365" s="24" t="str">
        <f aca="false">IF(A365="","",IF(OR(P365="",P365="Organic"),"social","paid_social"))</f>
        <v/>
      </c>
      <c r="X365" s="24" t="str">
        <f aca="false">IF(A365="","",IF(K365&lt;&gt;"",IFERROR(INDEX('Case Studies'!$C$5:$C$54,MATCH(K365,'Case Studies'!$B$5:$B$54,0))&amp;"","case-study"),IF(J365&lt;&gt;"",IFERROR(INDEX(Settings!$J$5:$J$55,MATCH(J365,Settings!$I$5:$I$55,0)),"general"),"general")))</f>
        <v/>
      </c>
      <c r="Y365" s="24" t="str">
        <f aca="false">IF(A365="","",LOWER(A365))</f>
        <v/>
      </c>
      <c r="Z365" s="24" t="str">
        <f aca="false">IF(A365="","",IF(T365="",Settings!$B$5,T365)&amp;IF(ISNUMBER(FIND("?",IF(T365="",Settings!$B$5,T365))),"&amp;","?")&amp;"utm_source="&amp;V365&amp;"&amp;utm_medium="&amp;W365&amp;"&amp;utm_campaign="&amp;X365&amp;"&amp;utm_content="&amp;Y365)</f>
        <v/>
      </c>
      <c r="AA365" s="29"/>
      <c r="AB365" s="39"/>
      <c r="AC365" s="32"/>
      <c r="AD365" s="32"/>
      <c r="AE365" s="32"/>
      <c r="AF365" s="32"/>
      <c r="AG365" s="32"/>
      <c r="AH365" s="32"/>
      <c r="AI365" s="32"/>
      <c r="AJ365" s="32"/>
      <c r="AK365" s="32"/>
      <c r="AL365" s="32"/>
      <c r="AM365" s="32"/>
      <c r="AN365" s="32"/>
      <c r="AO365" s="33" t="str">
        <f aca="false">IF(A365="","",IF(AD365&lt;&gt;"",AD365,IF(AC365&lt;&gt;"",AC365,"")))</f>
        <v/>
      </c>
      <c r="AP365" s="24" t="str">
        <f aca="false">IF(AO365="","",IF(AD365&lt;&gt;"","Reported reach","Impressions (proxy)"))</f>
        <v/>
      </c>
      <c r="AQ365" s="34" t="str">
        <f aca="false">IF(OR(AO365="",N(S365)=0),"",AO365/S365)</f>
        <v/>
      </c>
      <c r="AR365" s="33" t="str">
        <f aca="false">IF(A365="","",IF(COUNT(AF365:AJ365)=0,"",SUM(AF365:AJ365)))</f>
        <v/>
      </c>
      <c r="AS365" s="34" t="str">
        <f aca="false">IF(OR(AR365="",N(AO365)=0),"",AR365/AO365)</f>
        <v/>
      </c>
      <c r="AT365" s="34" t="str">
        <f aca="false">IF(OR(AR365="",N(AC365)=0),"",AR365/AC365)</f>
        <v/>
      </c>
      <c r="AU365" s="34" t="str">
        <f aca="false">IF(OR(AR365="",N(S365)=0),"",AR365/S365)</f>
        <v/>
      </c>
      <c r="AV365" s="34" t="str">
        <f aca="false">IF(OR(AJ365="",N(AC365)=0),"",AJ365/AC365)</f>
        <v/>
      </c>
      <c r="AW365" s="34" t="str">
        <f aca="false">IF(OR(AH365="",N(AO365)=0),"",AH365/AO365)</f>
        <v/>
      </c>
      <c r="AX365" s="35" t="str">
        <f aca="false">IF(OR(AR365="",N(AO365)=0),"",(N(AF365)*Settings!$B$6+N(AG365)*Settings!$B$7+N(AH365)*Settings!$B$8+N(AI365)*Settings!$B$9+N(AJ365)*Settings!$B$10)/AO365*1000)</f>
        <v/>
      </c>
      <c r="AY365" s="36" t="str">
        <f aca="false">IF(AS365="","",IFERROR(AS365/AVERAGEIFS('Post Tracker'!$AS$5:$AS$1004,'Post Tracker'!$G$5:$G$1004,G365),""))</f>
        <v/>
      </c>
      <c r="AZ365" s="32"/>
      <c r="BA365" s="32"/>
      <c r="BB365" s="32"/>
      <c r="BC365" s="32"/>
      <c r="BD365" s="33" t="str">
        <f aca="false">IF(A365="","",COUNTIFS('Demo Pipeline'!$Q$5:$Q$504,A365))</f>
        <v/>
      </c>
      <c r="BE365" s="33" t="str">
        <f aca="false">IF(A365="","",COUNTIFS('Demo Pipeline'!$Q$5:$Q$504,A365,'Demo Pipeline'!$W$5:$W$504,"Attended"))</f>
        <v/>
      </c>
      <c r="BF365" s="33" t="str">
        <f aca="false">IF(A365="","",COUNTIFS('Demo Pipeline'!$Q$5:$Q$504,A365,'Demo Pipeline'!$X$5:$X$504,"Yes"))</f>
        <v/>
      </c>
      <c r="BG365" s="33" t="str">
        <f aca="false">IF(A365="","",COUNTIFS('Demo Pipeline'!$Q$5:$Q$504,A365,'Demo Pipeline'!$Y$5:$Y$504,"Closed Won"))</f>
        <v/>
      </c>
      <c r="BH365" s="37" t="str">
        <f aca="false">IF(A365="","",SUMIFS('Demo Pipeline'!$Z$5:$Z$504,'Demo Pipeline'!$Q$5:$Q$504,A365))</f>
        <v/>
      </c>
      <c r="BI365" s="34" t="str">
        <f aca="false">IF(OR(AZ365="",N(AJ365)=0),"",AZ365/AJ365)</f>
        <v/>
      </c>
      <c r="BJ365" s="34" t="str">
        <f aca="false">IF(OR(BB365="",N(AZ365)=0),"",BB365/AZ365)</f>
        <v/>
      </c>
      <c r="BK365" s="34" t="str">
        <f aca="false">IF(OR(A365="",N(BB365)=0),"",BD365/BB365)</f>
        <v/>
      </c>
      <c r="BL365" s="34" t="str">
        <f aca="false">IF(OR(A365="",N(AZ365)=0),"",BD365/AZ365)</f>
        <v/>
      </c>
      <c r="BM365" s="37" t="str">
        <f aca="false">IF(OR(N(Q365)=0,N(BD365)=0),"",Q365/BD365)</f>
        <v/>
      </c>
      <c r="BN365" s="29"/>
      <c r="BO365" s="29"/>
      <c r="BP365" s="33" t="str">
        <f aca="false">IF(OR(AR365="",N(AO365)=0),"",AR365)</f>
        <v/>
      </c>
      <c r="BQ365" s="33" t="str">
        <f aca="false">IF(OR(AR365="",N(S365)=0),"",S365)</f>
        <v/>
      </c>
      <c r="BR365" s="38" t="str">
        <f aca="false">IF(AND(ISNUMBER(B365),B365&gt;=Dashboard!$C$4,B365&lt;=Dashboard!$F$4,ISNUMBER(AU365)),AU365+ROW()/10^9,"")</f>
        <v/>
      </c>
      <c r="BS365" s="38" t="str">
        <f aca="false">IF(AND(ISNUMBER(B365),B365&gt;=Dashboard!$C$4,B365&lt;=Dashboard!$F$4,A365&lt;&gt;""),N(BD365)+N(AU365)/100+ROW()/10^9,"")</f>
        <v/>
      </c>
    </row>
    <row r="366" customFormat="false" ht="15" hidden="false" customHeight="false" outlineLevel="0" collapsed="false">
      <c r="A366" s="24" t="str">
        <f aca="false">IF(OR(B366="",G366="",H366=""),"",IFERROR(INDEX(Settings!$E$5:$E$49,MATCH(G366,Settings!$D$5:$D$49,0))&amp;INDEX(Settings!$H$5:$H$47,MATCH(H366,Settings!$G$5:$G$47,0))&amp;"-"&amp;TEXT(B366,"yymmdd")&amp;"-"&amp;IF(C366="","0000",TEXT(C366,"hhmm")),"CHECK LISTS"))</f>
        <v/>
      </c>
      <c r="B366" s="39"/>
      <c r="C366" s="40"/>
      <c r="D366" s="24" t="str">
        <f aca="false">IF(B366="","",TEXT(B366,"ddd"))</f>
        <v/>
      </c>
      <c r="E366" s="27" t="str">
        <f aca="false">IF(B366="","",B366-WEEKDAY(B366,3))</f>
        <v/>
      </c>
      <c r="F366" s="24" t="str">
        <f aca="false">IF(B366="","",TEXT(B366,"yyyy-mm"))</f>
        <v/>
      </c>
      <c r="G366" s="29"/>
      <c r="H366" s="29"/>
      <c r="I366" s="29"/>
      <c r="J366" s="29"/>
      <c r="K366" s="29"/>
      <c r="L366" s="29"/>
      <c r="M366" s="29"/>
      <c r="N366" s="29"/>
      <c r="O366" s="29"/>
      <c r="P366" s="29"/>
      <c r="Q366" s="30"/>
      <c r="R366" s="29"/>
      <c r="S366" s="32"/>
      <c r="T366" s="29"/>
      <c r="U366" s="29"/>
      <c r="V366" s="24" t="str">
        <f aca="false">IF(A366="","",IFERROR(INDEX(Settings!$F$5:$F$49,MATCH(G366,Settings!$D$5:$D$49,0)),""))</f>
        <v/>
      </c>
      <c r="W366" s="24" t="str">
        <f aca="false">IF(A366="","",IF(OR(P366="",P366="Organic"),"social","paid_social"))</f>
        <v/>
      </c>
      <c r="X366" s="24" t="str">
        <f aca="false">IF(A366="","",IF(K366&lt;&gt;"",IFERROR(INDEX('Case Studies'!$C$5:$C$54,MATCH(K366,'Case Studies'!$B$5:$B$54,0))&amp;"","case-study"),IF(J366&lt;&gt;"",IFERROR(INDEX(Settings!$J$5:$J$55,MATCH(J366,Settings!$I$5:$I$55,0)),"general"),"general")))</f>
        <v/>
      </c>
      <c r="Y366" s="24" t="str">
        <f aca="false">IF(A366="","",LOWER(A366))</f>
        <v/>
      </c>
      <c r="Z366" s="24" t="str">
        <f aca="false">IF(A366="","",IF(T366="",Settings!$B$5,T366)&amp;IF(ISNUMBER(FIND("?",IF(T366="",Settings!$B$5,T366))),"&amp;","?")&amp;"utm_source="&amp;V366&amp;"&amp;utm_medium="&amp;W366&amp;"&amp;utm_campaign="&amp;X366&amp;"&amp;utm_content="&amp;Y366)</f>
        <v/>
      </c>
      <c r="AA366" s="29"/>
      <c r="AB366" s="39"/>
      <c r="AC366" s="32"/>
      <c r="AD366" s="32"/>
      <c r="AE366" s="32"/>
      <c r="AF366" s="32"/>
      <c r="AG366" s="32"/>
      <c r="AH366" s="32"/>
      <c r="AI366" s="32"/>
      <c r="AJ366" s="32"/>
      <c r="AK366" s="32"/>
      <c r="AL366" s="32"/>
      <c r="AM366" s="32"/>
      <c r="AN366" s="32"/>
      <c r="AO366" s="33" t="str">
        <f aca="false">IF(A366="","",IF(AD366&lt;&gt;"",AD366,IF(AC366&lt;&gt;"",AC366,"")))</f>
        <v/>
      </c>
      <c r="AP366" s="24" t="str">
        <f aca="false">IF(AO366="","",IF(AD366&lt;&gt;"","Reported reach","Impressions (proxy)"))</f>
        <v/>
      </c>
      <c r="AQ366" s="34" t="str">
        <f aca="false">IF(OR(AO366="",N(S366)=0),"",AO366/S366)</f>
        <v/>
      </c>
      <c r="AR366" s="33" t="str">
        <f aca="false">IF(A366="","",IF(COUNT(AF366:AJ366)=0,"",SUM(AF366:AJ366)))</f>
        <v/>
      </c>
      <c r="AS366" s="34" t="str">
        <f aca="false">IF(OR(AR366="",N(AO366)=0),"",AR366/AO366)</f>
        <v/>
      </c>
      <c r="AT366" s="34" t="str">
        <f aca="false">IF(OR(AR366="",N(AC366)=0),"",AR366/AC366)</f>
        <v/>
      </c>
      <c r="AU366" s="34" t="str">
        <f aca="false">IF(OR(AR366="",N(S366)=0),"",AR366/S366)</f>
        <v/>
      </c>
      <c r="AV366" s="34" t="str">
        <f aca="false">IF(OR(AJ366="",N(AC366)=0),"",AJ366/AC366)</f>
        <v/>
      </c>
      <c r="AW366" s="34" t="str">
        <f aca="false">IF(OR(AH366="",N(AO366)=0),"",AH366/AO366)</f>
        <v/>
      </c>
      <c r="AX366" s="35" t="str">
        <f aca="false">IF(OR(AR366="",N(AO366)=0),"",(N(AF366)*Settings!$B$6+N(AG366)*Settings!$B$7+N(AH366)*Settings!$B$8+N(AI366)*Settings!$B$9+N(AJ366)*Settings!$B$10)/AO366*1000)</f>
        <v/>
      </c>
      <c r="AY366" s="36" t="str">
        <f aca="false">IF(AS366="","",IFERROR(AS366/AVERAGEIFS('Post Tracker'!$AS$5:$AS$1004,'Post Tracker'!$G$5:$G$1004,G366),""))</f>
        <v/>
      </c>
      <c r="AZ366" s="32"/>
      <c r="BA366" s="32"/>
      <c r="BB366" s="32"/>
      <c r="BC366" s="32"/>
      <c r="BD366" s="33" t="str">
        <f aca="false">IF(A366="","",COUNTIFS('Demo Pipeline'!$Q$5:$Q$504,A366))</f>
        <v/>
      </c>
      <c r="BE366" s="33" t="str">
        <f aca="false">IF(A366="","",COUNTIFS('Demo Pipeline'!$Q$5:$Q$504,A366,'Demo Pipeline'!$W$5:$W$504,"Attended"))</f>
        <v/>
      </c>
      <c r="BF366" s="33" t="str">
        <f aca="false">IF(A366="","",COUNTIFS('Demo Pipeline'!$Q$5:$Q$504,A366,'Demo Pipeline'!$X$5:$X$504,"Yes"))</f>
        <v/>
      </c>
      <c r="BG366" s="33" t="str">
        <f aca="false">IF(A366="","",COUNTIFS('Demo Pipeline'!$Q$5:$Q$504,A366,'Demo Pipeline'!$Y$5:$Y$504,"Closed Won"))</f>
        <v/>
      </c>
      <c r="BH366" s="37" t="str">
        <f aca="false">IF(A366="","",SUMIFS('Demo Pipeline'!$Z$5:$Z$504,'Demo Pipeline'!$Q$5:$Q$504,A366))</f>
        <v/>
      </c>
      <c r="BI366" s="34" t="str">
        <f aca="false">IF(OR(AZ366="",N(AJ366)=0),"",AZ366/AJ366)</f>
        <v/>
      </c>
      <c r="BJ366" s="34" t="str">
        <f aca="false">IF(OR(BB366="",N(AZ366)=0),"",BB366/AZ366)</f>
        <v/>
      </c>
      <c r="BK366" s="34" t="str">
        <f aca="false">IF(OR(A366="",N(BB366)=0),"",BD366/BB366)</f>
        <v/>
      </c>
      <c r="BL366" s="34" t="str">
        <f aca="false">IF(OR(A366="",N(AZ366)=0),"",BD366/AZ366)</f>
        <v/>
      </c>
      <c r="BM366" s="37" t="str">
        <f aca="false">IF(OR(N(Q366)=0,N(BD366)=0),"",Q366/BD366)</f>
        <v/>
      </c>
      <c r="BN366" s="29"/>
      <c r="BO366" s="29"/>
      <c r="BP366" s="33" t="str">
        <f aca="false">IF(OR(AR366="",N(AO366)=0),"",AR366)</f>
        <v/>
      </c>
      <c r="BQ366" s="33" t="str">
        <f aca="false">IF(OR(AR366="",N(S366)=0),"",S366)</f>
        <v/>
      </c>
      <c r="BR366" s="38" t="str">
        <f aca="false">IF(AND(ISNUMBER(B366),B366&gt;=Dashboard!$C$4,B366&lt;=Dashboard!$F$4,ISNUMBER(AU366)),AU366+ROW()/10^9,"")</f>
        <v/>
      </c>
      <c r="BS366" s="38" t="str">
        <f aca="false">IF(AND(ISNUMBER(B366),B366&gt;=Dashboard!$C$4,B366&lt;=Dashboard!$F$4,A366&lt;&gt;""),N(BD366)+N(AU366)/100+ROW()/10^9,"")</f>
        <v/>
      </c>
    </row>
    <row r="367" customFormat="false" ht="15" hidden="false" customHeight="false" outlineLevel="0" collapsed="false">
      <c r="A367" s="24" t="str">
        <f aca="false">IF(OR(B367="",G367="",H367=""),"",IFERROR(INDEX(Settings!$E$5:$E$49,MATCH(G367,Settings!$D$5:$D$49,0))&amp;INDEX(Settings!$H$5:$H$47,MATCH(H367,Settings!$G$5:$G$47,0))&amp;"-"&amp;TEXT(B367,"yymmdd")&amp;"-"&amp;IF(C367="","0000",TEXT(C367,"hhmm")),"CHECK LISTS"))</f>
        <v/>
      </c>
      <c r="B367" s="39"/>
      <c r="C367" s="40"/>
      <c r="D367" s="24" t="str">
        <f aca="false">IF(B367="","",TEXT(B367,"ddd"))</f>
        <v/>
      </c>
      <c r="E367" s="27" t="str">
        <f aca="false">IF(B367="","",B367-WEEKDAY(B367,3))</f>
        <v/>
      </c>
      <c r="F367" s="24" t="str">
        <f aca="false">IF(B367="","",TEXT(B367,"yyyy-mm"))</f>
        <v/>
      </c>
      <c r="G367" s="29"/>
      <c r="H367" s="29"/>
      <c r="I367" s="29"/>
      <c r="J367" s="29"/>
      <c r="K367" s="29"/>
      <c r="L367" s="29"/>
      <c r="M367" s="29"/>
      <c r="N367" s="29"/>
      <c r="O367" s="29"/>
      <c r="P367" s="29"/>
      <c r="Q367" s="30"/>
      <c r="R367" s="29"/>
      <c r="S367" s="32"/>
      <c r="T367" s="29"/>
      <c r="U367" s="29"/>
      <c r="V367" s="24" t="str">
        <f aca="false">IF(A367="","",IFERROR(INDEX(Settings!$F$5:$F$49,MATCH(G367,Settings!$D$5:$D$49,0)),""))</f>
        <v/>
      </c>
      <c r="W367" s="24" t="str">
        <f aca="false">IF(A367="","",IF(OR(P367="",P367="Organic"),"social","paid_social"))</f>
        <v/>
      </c>
      <c r="X367" s="24" t="str">
        <f aca="false">IF(A367="","",IF(K367&lt;&gt;"",IFERROR(INDEX('Case Studies'!$C$5:$C$54,MATCH(K367,'Case Studies'!$B$5:$B$54,0))&amp;"","case-study"),IF(J367&lt;&gt;"",IFERROR(INDEX(Settings!$J$5:$J$55,MATCH(J367,Settings!$I$5:$I$55,0)),"general"),"general")))</f>
        <v/>
      </c>
      <c r="Y367" s="24" t="str">
        <f aca="false">IF(A367="","",LOWER(A367))</f>
        <v/>
      </c>
      <c r="Z367" s="24" t="str">
        <f aca="false">IF(A367="","",IF(T367="",Settings!$B$5,T367)&amp;IF(ISNUMBER(FIND("?",IF(T367="",Settings!$B$5,T367))),"&amp;","?")&amp;"utm_source="&amp;V367&amp;"&amp;utm_medium="&amp;W367&amp;"&amp;utm_campaign="&amp;X367&amp;"&amp;utm_content="&amp;Y367)</f>
        <v/>
      </c>
      <c r="AA367" s="29"/>
      <c r="AB367" s="39"/>
      <c r="AC367" s="32"/>
      <c r="AD367" s="32"/>
      <c r="AE367" s="32"/>
      <c r="AF367" s="32"/>
      <c r="AG367" s="32"/>
      <c r="AH367" s="32"/>
      <c r="AI367" s="32"/>
      <c r="AJ367" s="32"/>
      <c r="AK367" s="32"/>
      <c r="AL367" s="32"/>
      <c r="AM367" s="32"/>
      <c r="AN367" s="32"/>
      <c r="AO367" s="33" t="str">
        <f aca="false">IF(A367="","",IF(AD367&lt;&gt;"",AD367,IF(AC367&lt;&gt;"",AC367,"")))</f>
        <v/>
      </c>
      <c r="AP367" s="24" t="str">
        <f aca="false">IF(AO367="","",IF(AD367&lt;&gt;"","Reported reach","Impressions (proxy)"))</f>
        <v/>
      </c>
      <c r="AQ367" s="34" t="str">
        <f aca="false">IF(OR(AO367="",N(S367)=0),"",AO367/S367)</f>
        <v/>
      </c>
      <c r="AR367" s="33" t="str">
        <f aca="false">IF(A367="","",IF(COUNT(AF367:AJ367)=0,"",SUM(AF367:AJ367)))</f>
        <v/>
      </c>
      <c r="AS367" s="34" t="str">
        <f aca="false">IF(OR(AR367="",N(AO367)=0),"",AR367/AO367)</f>
        <v/>
      </c>
      <c r="AT367" s="34" t="str">
        <f aca="false">IF(OR(AR367="",N(AC367)=0),"",AR367/AC367)</f>
        <v/>
      </c>
      <c r="AU367" s="34" t="str">
        <f aca="false">IF(OR(AR367="",N(S367)=0),"",AR367/S367)</f>
        <v/>
      </c>
      <c r="AV367" s="34" t="str">
        <f aca="false">IF(OR(AJ367="",N(AC367)=0),"",AJ367/AC367)</f>
        <v/>
      </c>
      <c r="AW367" s="34" t="str">
        <f aca="false">IF(OR(AH367="",N(AO367)=0),"",AH367/AO367)</f>
        <v/>
      </c>
      <c r="AX367" s="35" t="str">
        <f aca="false">IF(OR(AR367="",N(AO367)=0),"",(N(AF367)*Settings!$B$6+N(AG367)*Settings!$B$7+N(AH367)*Settings!$B$8+N(AI367)*Settings!$B$9+N(AJ367)*Settings!$B$10)/AO367*1000)</f>
        <v/>
      </c>
      <c r="AY367" s="36" t="str">
        <f aca="false">IF(AS367="","",IFERROR(AS367/AVERAGEIFS('Post Tracker'!$AS$5:$AS$1004,'Post Tracker'!$G$5:$G$1004,G367),""))</f>
        <v/>
      </c>
      <c r="AZ367" s="32"/>
      <c r="BA367" s="32"/>
      <c r="BB367" s="32"/>
      <c r="BC367" s="32"/>
      <c r="BD367" s="33" t="str">
        <f aca="false">IF(A367="","",COUNTIFS('Demo Pipeline'!$Q$5:$Q$504,A367))</f>
        <v/>
      </c>
      <c r="BE367" s="33" t="str">
        <f aca="false">IF(A367="","",COUNTIFS('Demo Pipeline'!$Q$5:$Q$504,A367,'Demo Pipeline'!$W$5:$W$504,"Attended"))</f>
        <v/>
      </c>
      <c r="BF367" s="33" t="str">
        <f aca="false">IF(A367="","",COUNTIFS('Demo Pipeline'!$Q$5:$Q$504,A367,'Demo Pipeline'!$X$5:$X$504,"Yes"))</f>
        <v/>
      </c>
      <c r="BG367" s="33" t="str">
        <f aca="false">IF(A367="","",COUNTIFS('Demo Pipeline'!$Q$5:$Q$504,A367,'Demo Pipeline'!$Y$5:$Y$504,"Closed Won"))</f>
        <v/>
      </c>
      <c r="BH367" s="37" t="str">
        <f aca="false">IF(A367="","",SUMIFS('Demo Pipeline'!$Z$5:$Z$504,'Demo Pipeline'!$Q$5:$Q$504,A367))</f>
        <v/>
      </c>
      <c r="BI367" s="34" t="str">
        <f aca="false">IF(OR(AZ367="",N(AJ367)=0),"",AZ367/AJ367)</f>
        <v/>
      </c>
      <c r="BJ367" s="34" t="str">
        <f aca="false">IF(OR(BB367="",N(AZ367)=0),"",BB367/AZ367)</f>
        <v/>
      </c>
      <c r="BK367" s="34" t="str">
        <f aca="false">IF(OR(A367="",N(BB367)=0),"",BD367/BB367)</f>
        <v/>
      </c>
      <c r="BL367" s="34" t="str">
        <f aca="false">IF(OR(A367="",N(AZ367)=0),"",BD367/AZ367)</f>
        <v/>
      </c>
      <c r="BM367" s="37" t="str">
        <f aca="false">IF(OR(N(Q367)=0,N(BD367)=0),"",Q367/BD367)</f>
        <v/>
      </c>
      <c r="BN367" s="29"/>
      <c r="BO367" s="29"/>
      <c r="BP367" s="33" t="str">
        <f aca="false">IF(OR(AR367="",N(AO367)=0),"",AR367)</f>
        <v/>
      </c>
      <c r="BQ367" s="33" t="str">
        <f aca="false">IF(OR(AR367="",N(S367)=0),"",S367)</f>
        <v/>
      </c>
      <c r="BR367" s="38" t="str">
        <f aca="false">IF(AND(ISNUMBER(B367),B367&gt;=Dashboard!$C$4,B367&lt;=Dashboard!$F$4,ISNUMBER(AU367)),AU367+ROW()/10^9,"")</f>
        <v/>
      </c>
      <c r="BS367" s="38" t="str">
        <f aca="false">IF(AND(ISNUMBER(B367),B367&gt;=Dashboard!$C$4,B367&lt;=Dashboard!$F$4,A367&lt;&gt;""),N(BD367)+N(AU367)/100+ROW()/10^9,"")</f>
        <v/>
      </c>
    </row>
    <row r="368" customFormat="false" ht="15" hidden="false" customHeight="false" outlineLevel="0" collapsed="false">
      <c r="A368" s="24" t="str">
        <f aca="false">IF(OR(B368="",G368="",H368=""),"",IFERROR(INDEX(Settings!$E$5:$E$49,MATCH(G368,Settings!$D$5:$D$49,0))&amp;INDEX(Settings!$H$5:$H$47,MATCH(H368,Settings!$G$5:$G$47,0))&amp;"-"&amp;TEXT(B368,"yymmdd")&amp;"-"&amp;IF(C368="","0000",TEXT(C368,"hhmm")),"CHECK LISTS"))</f>
        <v/>
      </c>
      <c r="B368" s="39"/>
      <c r="C368" s="40"/>
      <c r="D368" s="24" t="str">
        <f aca="false">IF(B368="","",TEXT(B368,"ddd"))</f>
        <v/>
      </c>
      <c r="E368" s="27" t="str">
        <f aca="false">IF(B368="","",B368-WEEKDAY(B368,3))</f>
        <v/>
      </c>
      <c r="F368" s="24" t="str">
        <f aca="false">IF(B368="","",TEXT(B368,"yyyy-mm"))</f>
        <v/>
      </c>
      <c r="G368" s="29"/>
      <c r="H368" s="29"/>
      <c r="I368" s="29"/>
      <c r="J368" s="29"/>
      <c r="K368" s="29"/>
      <c r="L368" s="29"/>
      <c r="M368" s="29"/>
      <c r="N368" s="29"/>
      <c r="O368" s="29"/>
      <c r="P368" s="29"/>
      <c r="Q368" s="30"/>
      <c r="R368" s="29"/>
      <c r="S368" s="32"/>
      <c r="T368" s="29"/>
      <c r="U368" s="29"/>
      <c r="V368" s="24" t="str">
        <f aca="false">IF(A368="","",IFERROR(INDEX(Settings!$F$5:$F$49,MATCH(G368,Settings!$D$5:$D$49,0)),""))</f>
        <v/>
      </c>
      <c r="W368" s="24" t="str">
        <f aca="false">IF(A368="","",IF(OR(P368="",P368="Organic"),"social","paid_social"))</f>
        <v/>
      </c>
      <c r="X368" s="24" t="str">
        <f aca="false">IF(A368="","",IF(K368&lt;&gt;"",IFERROR(INDEX('Case Studies'!$C$5:$C$54,MATCH(K368,'Case Studies'!$B$5:$B$54,0))&amp;"","case-study"),IF(J368&lt;&gt;"",IFERROR(INDEX(Settings!$J$5:$J$55,MATCH(J368,Settings!$I$5:$I$55,0)),"general"),"general")))</f>
        <v/>
      </c>
      <c r="Y368" s="24" t="str">
        <f aca="false">IF(A368="","",LOWER(A368))</f>
        <v/>
      </c>
      <c r="Z368" s="24" t="str">
        <f aca="false">IF(A368="","",IF(T368="",Settings!$B$5,T368)&amp;IF(ISNUMBER(FIND("?",IF(T368="",Settings!$B$5,T368))),"&amp;","?")&amp;"utm_source="&amp;V368&amp;"&amp;utm_medium="&amp;W368&amp;"&amp;utm_campaign="&amp;X368&amp;"&amp;utm_content="&amp;Y368)</f>
        <v/>
      </c>
      <c r="AA368" s="29"/>
      <c r="AB368" s="39"/>
      <c r="AC368" s="32"/>
      <c r="AD368" s="32"/>
      <c r="AE368" s="32"/>
      <c r="AF368" s="32"/>
      <c r="AG368" s="32"/>
      <c r="AH368" s="32"/>
      <c r="AI368" s="32"/>
      <c r="AJ368" s="32"/>
      <c r="AK368" s="32"/>
      <c r="AL368" s="32"/>
      <c r="AM368" s="32"/>
      <c r="AN368" s="32"/>
      <c r="AO368" s="33" t="str">
        <f aca="false">IF(A368="","",IF(AD368&lt;&gt;"",AD368,IF(AC368&lt;&gt;"",AC368,"")))</f>
        <v/>
      </c>
      <c r="AP368" s="24" t="str">
        <f aca="false">IF(AO368="","",IF(AD368&lt;&gt;"","Reported reach","Impressions (proxy)"))</f>
        <v/>
      </c>
      <c r="AQ368" s="34" t="str">
        <f aca="false">IF(OR(AO368="",N(S368)=0),"",AO368/S368)</f>
        <v/>
      </c>
      <c r="AR368" s="33" t="str">
        <f aca="false">IF(A368="","",IF(COUNT(AF368:AJ368)=0,"",SUM(AF368:AJ368)))</f>
        <v/>
      </c>
      <c r="AS368" s="34" t="str">
        <f aca="false">IF(OR(AR368="",N(AO368)=0),"",AR368/AO368)</f>
        <v/>
      </c>
      <c r="AT368" s="34" t="str">
        <f aca="false">IF(OR(AR368="",N(AC368)=0),"",AR368/AC368)</f>
        <v/>
      </c>
      <c r="AU368" s="34" t="str">
        <f aca="false">IF(OR(AR368="",N(S368)=0),"",AR368/S368)</f>
        <v/>
      </c>
      <c r="AV368" s="34" t="str">
        <f aca="false">IF(OR(AJ368="",N(AC368)=0),"",AJ368/AC368)</f>
        <v/>
      </c>
      <c r="AW368" s="34" t="str">
        <f aca="false">IF(OR(AH368="",N(AO368)=0),"",AH368/AO368)</f>
        <v/>
      </c>
      <c r="AX368" s="35" t="str">
        <f aca="false">IF(OR(AR368="",N(AO368)=0),"",(N(AF368)*Settings!$B$6+N(AG368)*Settings!$B$7+N(AH368)*Settings!$B$8+N(AI368)*Settings!$B$9+N(AJ368)*Settings!$B$10)/AO368*1000)</f>
        <v/>
      </c>
      <c r="AY368" s="36" t="str">
        <f aca="false">IF(AS368="","",IFERROR(AS368/AVERAGEIFS('Post Tracker'!$AS$5:$AS$1004,'Post Tracker'!$G$5:$G$1004,G368),""))</f>
        <v/>
      </c>
      <c r="AZ368" s="32"/>
      <c r="BA368" s="32"/>
      <c r="BB368" s="32"/>
      <c r="BC368" s="32"/>
      <c r="BD368" s="33" t="str">
        <f aca="false">IF(A368="","",COUNTIFS('Demo Pipeline'!$Q$5:$Q$504,A368))</f>
        <v/>
      </c>
      <c r="BE368" s="33" t="str">
        <f aca="false">IF(A368="","",COUNTIFS('Demo Pipeline'!$Q$5:$Q$504,A368,'Demo Pipeline'!$W$5:$W$504,"Attended"))</f>
        <v/>
      </c>
      <c r="BF368" s="33" t="str">
        <f aca="false">IF(A368="","",COUNTIFS('Demo Pipeline'!$Q$5:$Q$504,A368,'Demo Pipeline'!$X$5:$X$504,"Yes"))</f>
        <v/>
      </c>
      <c r="BG368" s="33" t="str">
        <f aca="false">IF(A368="","",COUNTIFS('Demo Pipeline'!$Q$5:$Q$504,A368,'Demo Pipeline'!$Y$5:$Y$504,"Closed Won"))</f>
        <v/>
      </c>
      <c r="BH368" s="37" t="str">
        <f aca="false">IF(A368="","",SUMIFS('Demo Pipeline'!$Z$5:$Z$504,'Demo Pipeline'!$Q$5:$Q$504,A368))</f>
        <v/>
      </c>
      <c r="BI368" s="34" t="str">
        <f aca="false">IF(OR(AZ368="",N(AJ368)=0),"",AZ368/AJ368)</f>
        <v/>
      </c>
      <c r="BJ368" s="34" t="str">
        <f aca="false">IF(OR(BB368="",N(AZ368)=0),"",BB368/AZ368)</f>
        <v/>
      </c>
      <c r="BK368" s="34" t="str">
        <f aca="false">IF(OR(A368="",N(BB368)=0),"",BD368/BB368)</f>
        <v/>
      </c>
      <c r="BL368" s="34" t="str">
        <f aca="false">IF(OR(A368="",N(AZ368)=0),"",BD368/AZ368)</f>
        <v/>
      </c>
      <c r="BM368" s="37" t="str">
        <f aca="false">IF(OR(N(Q368)=0,N(BD368)=0),"",Q368/BD368)</f>
        <v/>
      </c>
      <c r="BN368" s="29"/>
      <c r="BO368" s="29"/>
      <c r="BP368" s="33" t="str">
        <f aca="false">IF(OR(AR368="",N(AO368)=0),"",AR368)</f>
        <v/>
      </c>
      <c r="BQ368" s="33" t="str">
        <f aca="false">IF(OR(AR368="",N(S368)=0),"",S368)</f>
        <v/>
      </c>
      <c r="BR368" s="38" t="str">
        <f aca="false">IF(AND(ISNUMBER(B368),B368&gt;=Dashboard!$C$4,B368&lt;=Dashboard!$F$4,ISNUMBER(AU368)),AU368+ROW()/10^9,"")</f>
        <v/>
      </c>
      <c r="BS368" s="38" t="str">
        <f aca="false">IF(AND(ISNUMBER(B368),B368&gt;=Dashboard!$C$4,B368&lt;=Dashboard!$F$4,A368&lt;&gt;""),N(BD368)+N(AU368)/100+ROW()/10^9,"")</f>
        <v/>
      </c>
    </row>
    <row r="369" customFormat="false" ht="15" hidden="false" customHeight="false" outlineLevel="0" collapsed="false">
      <c r="A369" s="24" t="str">
        <f aca="false">IF(OR(B369="",G369="",H369=""),"",IFERROR(INDEX(Settings!$E$5:$E$49,MATCH(G369,Settings!$D$5:$D$49,0))&amp;INDEX(Settings!$H$5:$H$47,MATCH(H369,Settings!$G$5:$G$47,0))&amp;"-"&amp;TEXT(B369,"yymmdd")&amp;"-"&amp;IF(C369="","0000",TEXT(C369,"hhmm")),"CHECK LISTS"))</f>
        <v/>
      </c>
      <c r="B369" s="39"/>
      <c r="C369" s="40"/>
      <c r="D369" s="24" t="str">
        <f aca="false">IF(B369="","",TEXT(B369,"ddd"))</f>
        <v/>
      </c>
      <c r="E369" s="27" t="str">
        <f aca="false">IF(B369="","",B369-WEEKDAY(B369,3))</f>
        <v/>
      </c>
      <c r="F369" s="24" t="str">
        <f aca="false">IF(B369="","",TEXT(B369,"yyyy-mm"))</f>
        <v/>
      </c>
      <c r="G369" s="29"/>
      <c r="H369" s="29"/>
      <c r="I369" s="29"/>
      <c r="J369" s="29"/>
      <c r="K369" s="29"/>
      <c r="L369" s="29"/>
      <c r="M369" s="29"/>
      <c r="N369" s="29"/>
      <c r="O369" s="29"/>
      <c r="P369" s="29"/>
      <c r="Q369" s="30"/>
      <c r="R369" s="29"/>
      <c r="S369" s="32"/>
      <c r="T369" s="29"/>
      <c r="U369" s="29"/>
      <c r="V369" s="24" t="str">
        <f aca="false">IF(A369="","",IFERROR(INDEX(Settings!$F$5:$F$49,MATCH(G369,Settings!$D$5:$D$49,0)),""))</f>
        <v/>
      </c>
      <c r="W369" s="24" t="str">
        <f aca="false">IF(A369="","",IF(OR(P369="",P369="Organic"),"social","paid_social"))</f>
        <v/>
      </c>
      <c r="X369" s="24" t="str">
        <f aca="false">IF(A369="","",IF(K369&lt;&gt;"",IFERROR(INDEX('Case Studies'!$C$5:$C$54,MATCH(K369,'Case Studies'!$B$5:$B$54,0))&amp;"","case-study"),IF(J369&lt;&gt;"",IFERROR(INDEX(Settings!$J$5:$J$55,MATCH(J369,Settings!$I$5:$I$55,0)),"general"),"general")))</f>
        <v/>
      </c>
      <c r="Y369" s="24" t="str">
        <f aca="false">IF(A369="","",LOWER(A369))</f>
        <v/>
      </c>
      <c r="Z369" s="24" t="str">
        <f aca="false">IF(A369="","",IF(T369="",Settings!$B$5,T369)&amp;IF(ISNUMBER(FIND("?",IF(T369="",Settings!$B$5,T369))),"&amp;","?")&amp;"utm_source="&amp;V369&amp;"&amp;utm_medium="&amp;W369&amp;"&amp;utm_campaign="&amp;X369&amp;"&amp;utm_content="&amp;Y369)</f>
        <v/>
      </c>
      <c r="AA369" s="29"/>
      <c r="AB369" s="39"/>
      <c r="AC369" s="32"/>
      <c r="AD369" s="32"/>
      <c r="AE369" s="32"/>
      <c r="AF369" s="32"/>
      <c r="AG369" s="32"/>
      <c r="AH369" s="32"/>
      <c r="AI369" s="32"/>
      <c r="AJ369" s="32"/>
      <c r="AK369" s="32"/>
      <c r="AL369" s="32"/>
      <c r="AM369" s="32"/>
      <c r="AN369" s="32"/>
      <c r="AO369" s="33" t="str">
        <f aca="false">IF(A369="","",IF(AD369&lt;&gt;"",AD369,IF(AC369&lt;&gt;"",AC369,"")))</f>
        <v/>
      </c>
      <c r="AP369" s="24" t="str">
        <f aca="false">IF(AO369="","",IF(AD369&lt;&gt;"","Reported reach","Impressions (proxy)"))</f>
        <v/>
      </c>
      <c r="AQ369" s="34" t="str">
        <f aca="false">IF(OR(AO369="",N(S369)=0),"",AO369/S369)</f>
        <v/>
      </c>
      <c r="AR369" s="33" t="str">
        <f aca="false">IF(A369="","",IF(COUNT(AF369:AJ369)=0,"",SUM(AF369:AJ369)))</f>
        <v/>
      </c>
      <c r="AS369" s="34" t="str">
        <f aca="false">IF(OR(AR369="",N(AO369)=0),"",AR369/AO369)</f>
        <v/>
      </c>
      <c r="AT369" s="34" t="str">
        <f aca="false">IF(OR(AR369="",N(AC369)=0),"",AR369/AC369)</f>
        <v/>
      </c>
      <c r="AU369" s="34" t="str">
        <f aca="false">IF(OR(AR369="",N(S369)=0),"",AR369/S369)</f>
        <v/>
      </c>
      <c r="AV369" s="34" t="str">
        <f aca="false">IF(OR(AJ369="",N(AC369)=0),"",AJ369/AC369)</f>
        <v/>
      </c>
      <c r="AW369" s="34" t="str">
        <f aca="false">IF(OR(AH369="",N(AO369)=0),"",AH369/AO369)</f>
        <v/>
      </c>
      <c r="AX369" s="35" t="str">
        <f aca="false">IF(OR(AR369="",N(AO369)=0),"",(N(AF369)*Settings!$B$6+N(AG369)*Settings!$B$7+N(AH369)*Settings!$B$8+N(AI369)*Settings!$B$9+N(AJ369)*Settings!$B$10)/AO369*1000)</f>
        <v/>
      </c>
      <c r="AY369" s="36" t="str">
        <f aca="false">IF(AS369="","",IFERROR(AS369/AVERAGEIFS('Post Tracker'!$AS$5:$AS$1004,'Post Tracker'!$G$5:$G$1004,G369),""))</f>
        <v/>
      </c>
      <c r="AZ369" s="32"/>
      <c r="BA369" s="32"/>
      <c r="BB369" s="32"/>
      <c r="BC369" s="32"/>
      <c r="BD369" s="33" t="str">
        <f aca="false">IF(A369="","",COUNTIFS('Demo Pipeline'!$Q$5:$Q$504,A369))</f>
        <v/>
      </c>
      <c r="BE369" s="33" t="str">
        <f aca="false">IF(A369="","",COUNTIFS('Demo Pipeline'!$Q$5:$Q$504,A369,'Demo Pipeline'!$W$5:$W$504,"Attended"))</f>
        <v/>
      </c>
      <c r="BF369" s="33" t="str">
        <f aca="false">IF(A369="","",COUNTIFS('Demo Pipeline'!$Q$5:$Q$504,A369,'Demo Pipeline'!$X$5:$X$504,"Yes"))</f>
        <v/>
      </c>
      <c r="BG369" s="33" t="str">
        <f aca="false">IF(A369="","",COUNTIFS('Demo Pipeline'!$Q$5:$Q$504,A369,'Demo Pipeline'!$Y$5:$Y$504,"Closed Won"))</f>
        <v/>
      </c>
      <c r="BH369" s="37" t="str">
        <f aca="false">IF(A369="","",SUMIFS('Demo Pipeline'!$Z$5:$Z$504,'Demo Pipeline'!$Q$5:$Q$504,A369))</f>
        <v/>
      </c>
      <c r="BI369" s="34" t="str">
        <f aca="false">IF(OR(AZ369="",N(AJ369)=0),"",AZ369/AJ369)</f>
        <v/>
      </c>
      <c r="BJ369" s="34" t="str">
        <f aca="false">IF(OR(BB369="",N(AZ369)=0),"",BB369/AZ369)</f>
        <v/>
      </c>
      <c r="BK369" s="34" t="str">
        <f aca="false">IF(OR(A369="",N(BB369)=0),"",BD369/BB369)</f>
        <v/>
      </c>
      <c r="BL369" s="34" t="str">
        <f aca="false">IF(OR(A369="",N(AZ369)=0),"",BD369/AZ369)</f>
        <v/>
      </c>
      <c r="BM369" s="37" t="str">
        <f aca="false">IF(OR(N(Q369)=0,N(BD369)=0),"",Q369/BD369)</f>
        <v/>
      </c>
      <c r="BN369" s="29"/>
      <c r="BO369" s="29"/>
      <c r="BP369" s="33" t="str">
        <f aca="false">IF(OR(AR369="",N(AO369)=0),"",AR369)</f>
        <v/>
      </c>
      <c r="BQ369" s="33" t="str">
        <f aca="false">IF(OR(AR369="",N(S369)=0),"",S369)</f>
        <v/>
      </c>
      <c r="BR369" s="38" t="str">
        <f aca="false">IF(AND(ISNUMBER(B369),B369&gt;=Dashboard!$C$4,B369&lt;=Dashboard!$F$4,ISNUMBER(AU369)),AU369+ROW()/10^9,"")</f>
        <v/>
      </c>
      <c r="BS369" s="38" t="str">
        <f aca="false">IF(AND(ISNUMBER(B369),B369&gt;=Dashboard!$C$4,B369&lt;=Dashboard!$F$4,A369&lt;&gt;""),N(BD369)+N(AU369)/100+ROW()/10^9,"")</f>
        <v/>
      </c>
    </row>
    <row r="370" customFormat="false" ht="15" hidden="false" customHeight="false" outlineLevel="0" collapsed="false">
      <c r="A370" s="24" t="str">
        <f aca="false">IF(OR(B370="",G370="",H370=""),"",IFERROR(INDEX(Settings!$E$5:$E$49,MATCH(G370,Settings!$D$5:$D$49,0))&amp;INDEX(Settings!$H$5:$H$47,MATCH(H370,Settings!$G$5:$G$47,0))&amp;"-"&amp;TEXT(B370,"yymmdd")&amp;"-"&amp;IF(C370="","0000",TEXT(C370,"hhmm")),"CHECK LISTS"))</f>
        <v/>
      </c>
      <c r="B370" s="39"/>
      <c r="C370" s="40"/>
      <c r="D370" s="24" t="str">
        <f aca="false">IF(B370="","",TEXT(B370,"ddd"))</f>
        <v/>
      </c>
      <c r="E370" s="27" t="str">
        <f aca="false">IF(B370="","",B370-WEEKDAY(B370,3))</f>
        <v/>
      </c>
      <c r="F370" s="24" t="str">
        <f aca="false">IF(B370="","",TEXT(B370,"yyyy-mm"))</f>
        <v/>
      </c>
      <c r="G370" s="29"/>
      <c r="H370" s="29"/>
      <c r="I370" s="29"/>
      <c r="J370" s="29"/>
      <c r="K370" s="29"/>
      <c r="L370" s="29"/>
      <c r="M370" s="29"/>
      <c r="N370" s="29"/>
      <c r="O370" s="29"/>
      <c r="P370" s="29"/>
      <c r="Q370" s="30"/>
      <c r="R370" s="29"/>
      <c r="S370" s="32"/>
      <c r="T370" s="29"/>
      <c r="U370" s="29"/>
      <c r="V370" s="24" t="str">
        <f aca="false">IF(A370="","",IFERROR(INDEX(Settings!$F$5:$F$49,MATCH(G370,Settings!$D$5:$D$49,0)),""))</f>
        <v/>
      </c>
      <c r="W370" s="24" t="str">
        <f aca="false">IF(A370="","",IF(OR(P370="",P370="Organic"),"social","paid_social"))</f>
        <v/>
      </c>
      <c r="X370" s="24" t="str">
        <f aca="false">IF(A370="","",IF(K370&lt;&gt;"",IFERROR(INDEX('Case Studies'!$C$5:$C$54,MATCH(K370,'Case Studies'!$B$5:$B$54,0))&amp;"","case-study"),IF(J370&lt;&gt;"",IFERROR(INDEX(Settings!$J$5:$J$55,MATCH(J370,Settings!$I$5:$I$55,0)),"general"),"general")))</f>
        <v/>
      </c>
      <c r="Y370" s="24" t="str">
        <f aca="false">IF(A370="","",LOWER(A370))</f>
        <v/>
      </c>
      <c r="Z370" s="24" t="str">
        <f aca="false">IF(A370="","",IF(T370="",Settings!$B$5,T370)&amp;IF(ISNUMBER(FIND("?",IF(T370="",Settings!$B$5,T370))),"&amp;","?")&amp;"utm_source="&amp;V370&amp;"&amp;utm_medium="&amp;W370&amp;"&amp;utm_campaign="&amp;X370&amp;"&amp;utm_content="&amp;Y370)</f>
        <v/>
      </c>
      <c r="AA370" s="29"/>
      <c r="AB370" s="39"/>
      <c r="AC370" s="32"/>
      <c r="AD370" s="32"/>
      <c r="AE370" s="32"/>
      <c r="AF370" s="32"/>
      <c r="AG370" s="32"/>
      <c r="AH370" s="32"/>
      <c r="AI370" s="32"/>
      <c r="AJ370" s="32"/>
      <c r="AK370" s="32"/>
      <c r="AL370" s="32"/>
      <c r="AM370" s="32"/>
      <c r="AN370" s="32"/>
      <c r="AO370" s="33" t="str">
        <f aca="false">IF(A370="","",IF(AD370&lt;&gt;"",AD370,IF(AC370&lt;&gt;"",AC370,"")))</f>
        <v/>
      </c>
      <c r="AP370" s="24" t="str">
        <f aca="false">IF(AO370="","",IF(AD370&lt;&gt;"","Reported reach","Impressions (proxy)"))</f>
        <v/>
      </c>
      <c r="AQ370" s="34" t="str">
        <f aca="false">IF(OR(AO370="",N(S370)=0),"",AO370/S370)</f>
        <v/>
      </c>
      <c r="AR370" s="33" t="str">
        <f aca="false">IF(A370="","",IF(COUNT(AF370:AJ370)=0,"",SUM(AF370:AJ370)))</f>
        <v/>
      </c>
      <c r="AS370" s="34" t="str">
        <f aca="false">IF(OR(AR370="",N(AO370)=0),"",AR370/AO370)</f>
        <v/>
      </c>
      <c r="AT370" s="34" t="str">
        <f aca="false">IF(OR(AR370="",N(AC370)=0),"",AR370/AC370)</f>
        <v/>
      </c>
      <c r="AU370" s="34" t="str">
        <f aca="false">IF(OR(AR370="",N(S370)=0),"",AR370/S370)</f>
        <v/>
      </c>
      <c r="AV370" s="34" t="str">
        <f aca="false">IF(OR(AJ370="",N(AC370)=0),"",AJ370/AC370)</f>
        <v/>
      </c>
      <c r="AW370" s="34" t="str">
        <f aca="false">IF(OR(AH370="",N(AO370)=0),"",AH370/AO370)</f>
        <v/>
      </c>
      <c r="AX370" s="35" t="str">
        <f aca="false">IF(OR(AR370="",N(AO370)=0),"",(N(AF370)*Settings!$B$6+N(AG370)*Settings!$B$7+N(AH370)*Settings!$B$8+N(AI370)*Settings!$B$9+N(AJ370)*Settings!$B$10)/AO370*1000)</f>
        <v/>
      </c>
      <c r="AY370" s="36" t="str">
        <f aca="false">IF(AS370="","",IFERROR(AS370/AVERAGEIFS('Post Tracker'!$AS$5:$AS$1004,'Post Tracker'!$G$5:$G$1004,G370),""))</f>
        <v/>
      </c>
      <c r="AZ370" s="32"/>
      <c r="BA370" s="32"/>
      <c r="BB370" s="32"/>
      <c r="BC370" s="32"/>
      <c r="BD370" s="33" t="str">
        <f aca="false">IF(A370="","",COUNTIFS('Demo Pipeline'!$Q$5:$Q$504,A370))</f>
        <v/>
      </c>
      <c r="BE370" s="33" t="str">
        <f aca="false">IF(A370="","",COUNTIFS('Demo Pipeline'!$Q$5:$Q$504,A370,'Demo Pipeline'!$W$5:$W$504,"Attended"))</f>
        <v/>
      </c>
      <c r="BF370" s="33" t="str">
        <f aca="false">IF(A370="","",COUNTIFS('Demo Pipeline'!$Q$5:$Q$504,A370,'Demo Pipeline'!$X$5:$X$504,"Yes"))</f>
        <v/>
      </c>
      <c r="BG370" s="33" t="str">
        <f aca="false">IF(A370="","",COUNTIFS('Demo Pipeline'!$Q$5:$Q$504,A370,'Demo Pipeline'!$Y$5:$Y$504,"Closed Won"))</f>
        <v/>
      </c>
      <c r="BH370" s="37" t="str">
        <f aca="false">IF(A370="","",SUMIFS('Demo Pipeline'!$Z$5:$Z$504,'Demo Pipeline'!$Q$5:$Q$504,A370))</f>
        <v/>
      </c>
      <c r="BI370" s="34" t="str">
        <f aca="false">IF(OR(AZ370="",N(AJ370)=0),"",AZ370/AJ370)</f>
        <v/>
      </c>
      <c r="BJ370" s="34" t="str">
        <f aca="false">IF(OR(BB370="",N(AZ370)=0),"",BB370/AZ370)</f>
        <v/>
      </c>
      <c r="BK370" s="34" t="str">
        <f aca="false">IF(OR(A370="",N(BB370)=0),"",BD370/BB370)</f>
        <v/>
      </c>
      <c r="BL370" s="34" t="str">
        <f aca="false">IF(OR(A370="",N(AZ370)=0),"",BD370/AZ370)</f>
        <v/>
      </c>
      <c r="BM370" s="37" t="str">
        <f aca="false">IF(OR(N(Q370)=0,N(BD370)=0),"",Q370/BD370)</f>
        <v/>
      </c>
      <c r="BN370" s="29"/>
      <c r="BO370" s="29"/>
      <c r="BP370" s="33" t="str">
        <f aca="false">IF(OR(AR370="",N(AO370)=0),"",AR370)</f>
        <v/>
      </c>
      <c r="BQ370" s="33" t="str">
        <f aca="false">IF(OR(AR370="",N(S370)=0),"",S370)</f>
        <v/>
      </c>
      <c r="BR370" s="38" t="str">
        <f aca="false">IF(AND(ISNUMBER(B370),B370&gt;=Dashboard!$C$4,B370&lt;=Dashboard!$F$4,ISNUMBER(AU370)),AU370+ROW()/10^9,"")</f>
        <v/>
      </c>
      <c r="BS370" s="38" t="str">
        <f aca="false">IF(AND(ISNUMBER(B370),B370&gt;=Dashboard!$C$4,B370&lt;=Dashboard!$F$4,A370&lt;&gt;""),N(BD370)+N(AU370)/100+ROW()/10^9,"")</f>
        <v/>
      </c>
    </row>
    <row r="371" customFormat="false" ht="15" hidden="false" customHeight="false" outlineLevel="0" collapsed="false">
      <c r="A371" s="24" t="str">
        <f aca="false">IF(OR(B371="",G371="",H371=""),"",IFERROR(INDEX(Settings!$E$5:$E$49,MATCH(G371,Settings!$D$5:$D$49,0))&amp;INDEX(Settings!$H$5:$H$47,MATCH(H371,Settings!$G$5:$G$47,0))&amp;"-"&amp;TEXT(B371,"yymmdd")&amp;"-"&amp;IF(C371="","0000",TEXT(C371,"hhmm")),"CHECK LISTS"))</f>
        <v/>
      </c>
      <c r="B371" s="39"/>
      <c r="C371" s="40"/>
      <c r="D371" s="24" t="str">
        <f aca="false">IF(B371="","",TEXT(B371,"ddd"))</f>
        <v/>
      </c>
      <c r="E371" s="27" t="str">
        <f aca="false">IF(B371="","",B371-WEEKDAY(B371,3))</f>
        <v/>
      </c>
      <c r="F371" s="24" t="str">
        <f aca="false">IF(B371="","",TEXT(B371,"yyyy-mm"))</f>
        <v/>
      </c>
      <c r="G371" s="29"/>
      <c r="H371" s="29"/>
      <c r="I371" s="29"/>
      <c r="J371" s="29"/>
      <c r="K371" s="29"/>
      <c r="L371" s="29"/>
      <c r="M371" s="29"/>
      <c r="N371" s="29"/>
      <c r="O371" s="29"/>
      <c r="P371" s="29"/>
      <c r="Q371" s="30"/>
      <c r="R371" s="29"/>
      <c r="S371" s="32"/>
      <c r="T371" s="29"/>
      <c r="U371" s="29"/>
      <c r="V371" s="24" t="str">
        <f aca="false">IF(A371="","",IFERROR(INDEX(Settings!$F$5:$F$49,MATCH(G371,Settings!$D$5:$D$49,0)),""))</f>
        <v/>
      </c>
      <c r="W371" s="24" t="str">
        <f aca="false">IF(A371="","",IF(OR(P371="",P371="Organic"),"social","paid_social"))</f>
        <v/>
      </c>
      <c r="X371" s="24" t="str">
        <f aca="false">IF(A371="","",IF(K371&lt;&gt;"",IFERROR(INDEX('Case Studies'!$C$5:$C$54,MATCH(K371,'Case Studies'!$B$5:$B$54,0))&amp;"","case-study"),IF(J371&lt;&gt;"",IFERROR(INDEX(Settings!$J$5:$J$55,MATCH(J371,Settings!$I$5:$I$55,0)),"general"),"general")))</f>
        <v/>
      </c>
      <c r="Y371" s="24" t="str">
        <f aca="false">IF(A371="","",LOWER(A371))</f>
        <v/>
      </c>
      <c r="Z371" s="24" t="str">
        <f aca="false">IF(A371="","",IF(T371="",Settings!$B$5,T371)&amp;IF(ISNUMBER(FIND("?",IF(T371="",Settings!$B$5,T371))),"&amp;","?")&amp;"utm_source="&amp;V371&amp;"&amp;utm_medium="&amp;W371&amp;"&amp;utm_campaign="&amp;X371&amp;"&amp;utm_content="&amp;Y371)</f>
        <v/>
      </c>
      <c r="AA371" s="29"/>
      <c r="AB371" s="39"/>
      <c r="AC371" s="32"/>
      <c r="AD371" s="32"/>
      <c r="AE371" s="32"/>
      <c r="AF371" s="32"/>
      <c r="AG371" s="32"/>
      <c r="AH371" s="32"/>
      <c r="AI371" s="32"/>
      <c r="AJ371" s="32"/>
      <c r="AK371" s="32"/>
      <c r="AL371" s="32"/>
      <c r="AM371" s="32"/>
      <c r="AN371" s="32"/>
      <c r="AO371" s="33" t="str">
        <f aca="false">IF(A371="","",IF(AD371&lt;&gt;"",AD371,IF(AC371&lt;&gt;"",AC371,"")))</f>
        <v/>
      </c>
      <c r="AP371" s="24" t="str">
        <f aca="false">IF(AO371="","",IF(AD371&lt;&gt;"","Reported reach","Impressions (proxy)"))</f>
        <v/>
      </c>
      <c r="AQ371" s="34" t="str">
        <f aca="false">IF(OR(AO371="",N(S371)=0),"",AO371/S371)</f>
        <v/>
      </c>
      <c r="AR371" s="33" t="str">
        <f aca="false">IF(A371="","",IF(COUNT(AF371:AJ371)=0,"",SUM(AF371:AJ371)))</f>
        <v/>
      </c>
      <c r="AS371" s="34" t="str">
        <f aca="false">IF(OR(AR371="",N(AO371)=0),"",AR371/AO371)</f>
        <v/>
      </c>
      <c r="AT371" s="34" t="str">
        <f aca="false">IF(OR(AR371="",N(AC371)=0),"",AR371/AC371)</f>
        <v/>
      </c>
      <c r="AU371" s="34" t="str">
        <f aca="false">IF(OR(AR371="",N(S371)=0),"",AR371/S371)</f>
        <v/>
      </c>
      <c r="AV371" s="34" t="str">
        <f aca="false">IF(OR(AJ371="",N(AC371)=0),"",AJ371/AC371)</f>
        <v/>
      </c>
      <c r="AW371" s="34" t="str">
        <f aca="false">IF(OR(AH371="",N(AO371)=0),"",AH371/AO371)</f>
        <v/>
      </c>
      <c r="AX371" s="35" t="str">
        <f aca="false">IF(OR(AR371="",N(AO371)=0),"",(N(AF371)*Settings!$B$6+N(AG371)*Settings!$B$7+N(AH371)*Settings!$B$8+N(AI371)*Settings!$B$9+N(AJ371)*Settings!$B$10)/AO371*1000)</f>
        <v/>
      </c>
      <c r="AY371" s="36" t="str">
        <f aca="false">IF(AS371="","",IFERROR(AS371/AVERAGEIFS('Post Tracker'!$AS$5:$AS$1004,'Post Tracker'!$G$5:$G$1004,G371),""))</f>
        <v/>
      </c>
      <c r="AZ371" s="32"/>
      <c r="BA371" s="32"/>
      <c r="BB371" s="32"/>
      <c r="BC371" s="32"/>
      <c r="BD371" s="33" t="str">
        <f aca="false">IF(A371="","",COUNTIFS('Demo Pipeline'!$Q$5:$Q$504,A371))</f>
        <v/>
      </c>
      <c r="BE371" s="33" t="str">
        <f aca="false">IF(A371="","",COUNTIFS('Demo Pipeline'!$Q$5:$Q$504,A371,'Demo Pipeline'!$W$5:$W$504,"Attended"))</f>
        <v/>
      </c>
      <c r="BF371" s="33" t="str">
        <f aca="false">IF(A371="","",COUNTIFS('Demo Pipeline'!$Q$5:$Q$504,A371,'Demo Pipeline'!$X$5:$X$504,"Yes"))</f>
        <v/>
      </c>
      <c r="BG371" s="33" t="str">
        <f aca="false">IF(A371="","",COUNTIFS('Demo Pipeline'!$Q$5:$Q$504,A371,'Demo Pipeline'!$Y$5:$Y$504,"Closed Won"))</f>
        <v/>
      </c>
      <c r="BH371" s="37" t="str">
        <f aca="false">IF(A371="","",SUMIFS('Demo Pipeline'!$Z$5:$Z$504,'Demo Pipeline'!$Q$5:$Q$504,A371))</f>
        <v/>
      </c>
      <c r="BI371" s="34" t="str">
        <f aca="false">IF(OR(AZ371="",N(AJ371)=0),"",AZ371/AJ371)</f>
        <v/>
      </c>
      <c r="BJ371" s="34" t="str">
        <f aca="false">IF(OR(BB371="",N(AZ371)=0),"",BB371/AZ371)</f>
        <v/>
      </c>
      <c r="BK371" s="34" t="str">
        <f aca="false">IF(OR(A371="",N(BB371)=0),"",BD371/BB371)</f>
        <v/>
      </c>
      <c r="BL371" s="34" t="str">
        <f aca="false">IF(OR(A371="",N(AZ371)=0),"",BD371/AZ371)</f>
        <v/>
      </c>
      <c r="BM371" s="37" t="str">
        <f aca="false">IF(OR(N(Q371)=0,N(BD371)=0),"",Q371/BD371)</f>
        <v/>
      </c>
      <c r="BN371" s="29"/>
      <c r="BO371" s="29"/>
      <c r="BP371" s="33" t="str">
        <f aca="false">IF(OR(AR371="",N(AO371)=0),"",AR371)</f>
        <v/>
      </c>
      <c r="BQ371" s="33" t="str">
        <f aca="false">IF(OR(AR371="",N(S371)=0),"",S371)</f>
        <v/>
      </c>
      <c r="BR371" s="38" t="str">
        <f aca="false">IF(AND(ISNUMBER(B371),B371&gt;=Dashboard!$C$4,B371&lt;=Dashboard!$F$4,ISNUMBER(AU371)),AU371+ROW()/10^9,"")</f>
        <v/>
      </c>
      <c r="BS371" s="38" t="str">
        <f aca="false">IF(AND(ISNUMBER(B371),B371&gt;=Dashboard!$C$4,B371&lt;=Dashboard!$F$4,A371&lt;&gt;""),N(BD371)+N(AU371)/100+ROW()/10^9,"")</f>
        <v/>
      </c>
    </row>
    <row r="372" customFormat="false" ht="15" hidden="false" customHeight="false" outlineLevel="0" collapsed="false">
      <c r="A372" s="24" t="str">
        <f aca="false">IF(OR(B372="",G372="",H372=""),"",IFERROR(INDEX(Settings!$E$5:$E$49,MATCH(G372,Settings!$D$5:$D$49,0))&amp;INDEX(Settings!$H$5:$H$47,MATCH(H372,Settings!$G$5:$G$47,0))&amp;"-"&amp;TEXT(B372,"yymmdd")&amp;"-"&amp;IF(C372="","0000",TEXT(C372,"hhmm")),"CHECK LISTS"))</f>
        <v/>
      </c>
      <c r="B372" s="39"/>
      <c r="C372" s="40"/>
      <c r="D372" s="24" t="str">
        <f aca="false">IF(B372="","",TEXT(B372,"ddd"))</f>
        <v/>
      </c>
      <c r="E372" s="27" t="str">
        <f aca="false">IF(B372="","",B372-WEEKDAY(B372,3))</f>
        <v/>
      </c>
      <c r="F372" s="24" t="str">
        <f aca="false">IF(B372="","",TEXT(B372,"yyyy-mm"))</f>
        <v/>
      </c>
      <c r="G372" s="29"/>
      <c r="H372" s="29"/>
      <c r="I372" s="29"/>
      <c r="J372" s="29"/>
      <c r="K372" s="29"/>
      <c r="L372" s="29"/>
      <c r="M372" s="29"/>
      <c r="N372" s="29"/>
      <c r="O372" s="29"/>
      <c r="P372" s="29"/>
      <c r="Q372" s="30"/>
      <c r="R372" s="29"/>
      <c r="S372" s="32"/>
      <c r="T372" s="29"/>
      <c r="U372" s="29"/>
      <c r="V372" s="24" t="str">
        <f aca="false">IF(A372="","",IFERROR(INDEX(Settings!$F$5:$F$49,MATCH(G372,Settings!$D$5:$D$49,0)),""))</f>
        <v/>
      </c>
      <c r="W372" s="24" t="str">
        <f aca="false">IF(A372="","",IF(OR(P372="",P372="Organic"),"social","paid_social"))</f>
        <v/>
      </c>
      <c r="X372" s="24" t="str">
        <f aca="false">IF(A372="","",IF(K372&lt;&gt;"",IFERROR(INDEX('Case Studies'!$C$5:$C$54,MATCH(K372,'Case Studies'!$B$5:$B$54,0))&amp;"","case-study"),IF(J372&lt;&gt;"",IFERROR(INDEX(Settings!$J$5:$J$55,MATCH(J372,Settings!$I$5:$I$55,0)),"general"),"general")))</f>
        <v/>
      </c>
      <c r="Y372" s="24" t="str">
        <f aca="false">IF(A372="","",LOWER(A372))</f>
        <v/>
      </c>
      <c r="Z372" s="24" t="str">
        <f aca="false">IF(A372="","",IF(T372="",Settings!$B$5,T372)&amp;IF(ISNUMBER(FIND("?",IF(T372="",Settings!$B$5,T372))),"&amp;","?")&amp;"utm_source="&amp;V372&amp;"&amp;utm_medium="&amp;W372&amp;"&amp;utm_campaign="&amp;X372&amp;"&amp;utm_content="&amp;Y372)</f>
        <v/>
      </c>
      <c r="AA372" s="29"/>
      <c r="AB372" s="39"/>
      <c r="AC372" s="32"/>
      <c r="AD372" s="32"/>
      <c r="AE372" s="32"/>
      <c r="AF372" s="32"/>
      <c r="AG372" s="32"/>
      <c r="AH372" s="32"/>
      <c r="AI372" s="32"/>
      <c r="AJ372" s="32"/>
      <c r="AK372" s="32"/>
      <c r="AL372" s="32"/>
      <c r="AM372" s="32"/>
      <c r="AN372" s="32"/>
      <c r="AO372" s="33" t="str">
        <f aca="false">IF(A372="","",IF(AD372&lt;&gt;"",AD372,IF(AC372&lt;&gt;"",AC372,"")))</f>
        <v/>
      </c>
      <c r="AP372" s="24" t="str">
        <f aca="false">IF(AO372="","",IF(AD372&lt;&gt;"","Reported reach","Impressions (proxy)"))</f>
        <v/>
      </c>
      <c r="AQ372" s="34" t="str">
        <f aca="false">IF(OR(AO372="",N(S372)=0),"",AO372/S372)</f>
        <v/>
      </c>
      <c r="AR372" s="33" t="str">
        <f aca="false">IF(A372="","",IF(COUNT(AF372:AJ372)=0,"",SUM(AF372:AJ372)))</f>
        <v/>
      </c>
      <c r="AS372" s="34" t="str">
        <f aca="false">IF(OR(AR372="",N(AO372)=0),"",AR372/AO372)</f>
        <v/>
      </c>
      <c r="AT372" s="34" t="str">
        <f aca="false">IF(OR(AR372="",N(AC372)=0),"",AR372/AC372)</f>
        <v/>
      </c>
      <c r="AU372" s="34" t="str">
        <f aca="false">IF(OR(AR372="",N(S372)=0),"",AR372/S372)</f>
        <v/>
      </c>
      <c r="AV372" s="34" t="str">
        <f aca="false">IF(OR(AJ372="",N(AC372)=0),"",AJ372/AC372)</f>
        <v/>
      </c>
      <c r="AW372" s="34" t="str">
        <f aca="false">IF(OR(AH372="",N(AO372)=0),"",AH372/AO372)</f>
        <v/>
      </c>
      <c r="AX372" s="35" t="str">
        <f aca="false">IF(OR(AR372="",N(AO372)=0),"",(N(AF372)*Settings!$B$6+N(AG372)*Settings!$B$7+N(AH372)*Settings!$B$8+N(AI372)*Settings!$B$9+N(AJ372)*Settings!$B$10)/AO372*1000)</f>
        <v/>
      </c>
      <c r="AY372" s="36" t="str">
        <f aca="false">IF(AS372="","",IFERROR(AS372/AVERAGEIFS('Post Tracker'!$AS$5:$AS$1004,'Post Tracker'!$G$5:$G$1004,G372),""))</f>
        <v/>
      </c>
      <c r="AZ372" s="32"/>
      <c r="BA372" s="32"/>
      <c r="BB372" s="32"/>
      <c r="BC372" s="32"/>
      <c r="BD372" s="33" t="str">
        <f aca="false">IF(A372="","",COUNTIFS('Demo Pipeline'!$Q$5:$Q$504,A372))</f>
        <v/>
      </c>
      <c r="BE372" s="33" t="str">
        <f aca="false">IF(A372="","",COUNTIFS('Demo Pipeline'!$Q$5:$Q$504,A372,'Demo Pipeline'!$W$5:$W$504,"Attended"))</f>
        <v/>
      </c>
      <c r="BF372" s="33" t="str">
        <f aca="false">IF(A372="","",COUNTIFS('Demo Pipeline'!$Q$5:$Q$504,A372,'Demo Pipeline'!$X$5:$X$504,"Yes"))</f>
        <v/>
      </c>
      <c r="BG372" s="33" t="str">
        <f aca="false">IF(A372="","",COUNTIFS('Demo Pipeline'!$Q$5:$Q$504,A372,'Demo Pipeline'!$Y$5:$Y$504,"Closed Won"))</f>
        <v/>
      </c>
      <c r="BH372" s="37" t="str">
        <f aca="false">IF(A372="","",SUMIFS('Demo Pipeline'!$Z$5:$Z$504,'Demo Pipeline'!$Q$5:$Q$504,A372))</f>
        <v/>
      </c>
      <c r="BI372" s="34" t="str">
        <f aca="false">IF(OR(AZ372="",N(AJ372)=0),"",AZ372/AJ372)</f>
        <v/>
      </c>
      <c r="BJ372" s="34" t="str">
        <f aca="false">IF(OR(BB372="",N(AZ372)=0),"",BB372/AZ372)</f>
        <v/>
      </c>
      <c r="BK372" s="34" t="str">
        <f aca="false">IF(OR(A372="",N(BB372)=0),"",BD372/BB372)</f>
        <v/>
      </c>
      <c r="BL372" s="34" t="str">
        <f aca="false">IF(OR(A372="",N(AZ372)=0),"",BD372/AZ372)</f>
        <v/>
      </c>
      <c r="BM372" s="37" t="str">
        <f aca="false">IF(OR(N(Q372)=0,N(BD372)=0),"",Q372/BD372)</f>
        <v/>
      </c>
      <c r="BN372" s="29"/>
      <c r="BO372" s="29"/>
      <c r="BP372" s="33" t="str">
        <f aca="false">IF(OR(AR372="",N(AO372)=0),"",AR372)</f>
        <v/>
      </c>
      <c r="BQ372" s="33" t="str">
        <f aca="false">IF(OR(AR372="",N(S372)=0),"",S372)</f>
        <v/>
      </c>
      <c r="BR372" s="38" t="str">
        <f aca="false">IF(AND(ISNUMBER(B372),B372&gt;=Dashboard!$C$4,B372&lt;=Dashboard!$F$4,ISNUMBER(AU372)),AU372+ROW()/10^9,"")</f>
        <v/>
      </c>
      <c r="BS372" s="38" t="str">
        <f aca="false">IF(AND(ISNUMBER(B372),B372&gt;=Dashboard!$C$4,B372&lt;=Dashboard!$F$4,A372&lt;&gt;""),N(BD372)+N(AU372)/100+ROW()/10^9,"")</f>
        <v/>
      </c>
    </row>
    <row r="373" customFormat="false" ht="15" hidden="false" customHeight="false" outlineLevel="0" collapsed="false">
      <c r="A373" s="24" t="str">
        <f aca="false">IF(OR(B373="",G373="",H373=""),"",IFERROR(INDEX(Settings!$E$5:$E$49,MATCH(G373,Settings!$D$5:$D$49,0))&amp;INDEX(Settings!$H$5:$H$47,MATCH(H373,Settings!$G$5:$G$47,0))&amp;"-"&amp;TEXT(B373,"yymmdd")&amp;"-"&amp;IF(C373="","0000",TEXT(C373,"hhmm")),"CHECK LISTS"))</f>
        <v/>
      </c>
      <c r="B373" s="39"/>
      <c r="C373" s="40"/>
      <c r="D373" s="24" t="str">
        <f aca="false">IF(B373="","",TEXT(B373,"ddd"))</f>
        <v/>
      </c>
      <c r="E373" s="27" t="str">
        <f aca="false">IF(B373="","",B373-WEEKDAY(B373,3))</f>
        <v/>
      </c>
      <c r="F373" s="24" t="str">
        <f aca="false">IF(B373="","",TEXT(B373,"yyyy-mm"))</f>
        <v/>
      </c>
      <c r="G373" s="29"/>
      <c r="H373" s="29"/>
      <c r="I373" s="29"/>
      <c r="J373" s="29"/>
      <c r="K373" s="29"/>
      <c r="L373" s="29"/>
      <c r="M373" s="29"/>
      <c r="N373" s="29"/>
      <c r="O373" s="29"/>
      <c r="P373" s="29"/>
      <c r="Q373" s="30"/>
      <c r="R373" s="29"/>
      <c r="S373" s="32"/>
      <c r="T373" s="29"/>
      <c r="U373" s="29"/>
      <c r="V373" s="24" t="str">
        <f aca="false">IF(A373="","",IFERROR(INDEX(Settings!$F$5:$F$49,MATCH(G373,Settings!$D$5:$D$49,0)),""))</f>
        <v/>
      </c>
      <c r="W373" s="24" t="str">
        <f aca="false">IF(A373="","",IF(OR(P373="",P373="Organic"),"social","paid_social"))</f>
        <v/>
      </c>
      <c r="X373" s="24" t="str">
        <f aca="false">IF(A373="","",IF(K373&lt;&gt;"",IFERROR(INDEX('Case Studies'!$C$5:$C$54,MATCH(K373,'Case Studies'!$B$5:$B$54,0))&amp;"","case-study"),IF(J373&lt;&gt;"",IFERROR(INDEX(Settings!$J$5:$J$55,MATCH(J373,Settings!$I$5:$I$55,0)),"general"),"general")))</f>
        <v/>
      </c>
      <c r="Y373" s="24" t="str">
        <f aca="false">IF(A373="","",LOWER(A373))</f>
        <v/>
      </c>
      <c r="Z373" s="24" t="str">
        <f aca="false">IF(A373="","",IF(T373="",Settings!$B$5,T373)&amp;IF(ISNUMBER(FIND("?",IF(T373="",Settings!$B$5,T373))),"&amp;","?")&amp;"utm_source="&amp;V373&amp;"&amp;utm_medium="&amp;W373&amp;"&amp;utm_campaign="&amp;X373&amp;"&amp;utm_content="&amp;Y373)</f>
        <v/>
      </c>
      <c r="AA373" s="29"/>
      <c r="AB373" s="39"/>
      <c r="AC373" s="32"/>
      <c r="AD373" s="32"/>
      <c r="AE373" s="32"/>
      <c r="AF373" s="32"/>
      <c r="AG373" s="32"/>
      <c r="AH373" s="32"/>
      <c r="AI373" s="32"/>
      <c r="AJ373" s="32"/>
      <c r="AK373" s="32"/>
      <c r="AL373" s="32"/>
      <c r="AM373" s="32"/>
      <c r="AN373" s="32"/>
      <c r="AO373" s="33" t="str">
        <f aca="false">IF(A373="","",IF(AD373&lt;&gt;"",AD373,IF(AC373&lt;&gt;"",AC373,"")))</f>
        <v/>
      </c>
      <c r="AP373" s="24" t="str">
        <f aca="false">IF(AO373="","",IF(AD373&lt;&gt;"","Reported reach","Impressions (proxy)"))</f>
        <v/>
      </c>
      <c r="AQ373" s="34" t="str">
        <f aca="false">IF(OR(AO373="",N(S373)=0),"",AO373/S373)</f>
        <v/>
      </c>
      <c r="AR373" s="33" t="str">
        <f aca="false">IF(A373="","",IF(COUNT(AF373:AJ373)=0,"",SUM(AF373:AJ373)))</f>
        <v/>
      </c>
      <c r="AS373" s="34" t="str">
        <f aca="false">IF(OR(AR373="",N(AO373)=0),"",AR373/AO373)</f>
        <v/>
      </c>
      <c r="AT373" s="34" t="str">
        <f aca="false">IF(OR(AR373="",N(AC373)=0),"",AR373/AC373)</f>
        <v/>
      </c>
      <c r="AU373" s="34" t="str">
        <f aca="false">IF(OR(AR373="",N(S373)=0),"",AR373/S373)</f>
        <v/>
      </c>
      <c r="AV373" s="34" t="str">
        <f aca="false">IF(OR(AJ373="",N(AC373)=0),"",AJ373/AC373)</f>
        <v/>
      </c>
      <c r="AW373" s="34" t="str">
        <f aca="false">IF(OR(AH373="",N(AO373)=0),"",AH373/AO373)</f>
        <v/>
      </c>
      <c r="AX373" s="35" t="str">
        <f aca="false">IF(OR(AR373="",N(AO373)=0),"",(N(AF373)*Settings!$B$6+N(AG373)*Settings!$B$7+N(AH373)*Settings!$B$8+N(AI373)*Settings!$B$9+N(AJ373)*Settings!$B$10)/AO373*1000)</f>
        <v/>
      </c>
      <c r="AY373" s="36" t="str">
        <f aca="false">IF(AS373="","",IFERROR(AS373/AVERAGEIFS('Post Tracker'!$AS$5:$AS$1004,'Post Tracker'!$G$5:$G$1004,G373),""))</f>
        <v/>
      </c>
      <c r="AZ373" s="32"/>
      <c r="BA373" s="32"/>
      <c r="BB373" s="32"/>
      <c r="BC373" s="32"/>
      <c r="BD373" s="33" t="str">
        <f aca="false">IF(A373="","",COUNTIFS('Demo Pipeline'!$Q$5:$Q$504,A373))</f>
        <v/>
      </c>
      <c r="BE373" s="33" t="str">
        <f aca="false">IF(A373="","",COUNTIFS('Demo Pipeline'!$Q$5:$Q$504,A373,'Demo Pipeline'!$W$5:$W$504,"Attended"))</f>
        <v/>
      </c>
      <c r="BF373" s="33" t="str">
        <f aca="false">IF(A373="","",COUNTIFS('Demo Pipeline'!$Q$5:$Q$504,A373,'Demo Pipeline'!$X$5:$X$504,"Yes"))</f>
        <v/>
      </c>
      <c r="BG373" s="33" t="str">
        <f aca="false">IF(A373="","",COUNTIFS('Demo Pipeline'!$Q$5:$Q$504,A373,'Demo Pipeline'!$Y$5:$Y$504,"Closed Won"))</f>
        <v/>
      </c>
      <c r="BH373" s="37" t="str">
        <f aca="false">IF(A373="","",SUMIFS('Demo Pipeline'!$Z$5:$Z$504,'Demo Pipeline'!$Q$5:$Q$504,A373))</f>
        <v/>
      </c>
      <c r="BI373" s="34" t="str">
        <f aca="false">IF(OR(AZ373="",N(AJ373)=0),"",AZ373/AJ373)</f>
        <v/>
      </c>
      <c r="BJ373" s="34" t="str">
        <f aca="false">IF(OR(BB373="",N(AZ373)=0),"",BB373/AZ373)</f>
        <v/>
      </c>
      <c r="BK373" s="34" t="str">
        <f aca="false">IF(OR(A373="",N(BB373)=0),"",BD373/BB373)</f>
        <v/>
      </c>
      <c r="BL373" s="34" t="str">
        <f aca="false">IF(OR(A373="",N(AZ373)=0),"",BD373/AZ373)</f>
        <v/>
      </c>
      <c r="BM373" s="37" t="str">
        <f aca="false">IF(OR(N(Q373)=0,N(BD373)=0),"",Q373/BD373)</f>
        <v/>
      </c>
      <c r="BN373" s="29"/>
      <c r="BO373" s="29"/>
      <c r="BP373" s="33" t="str">
        <f aca="false">IF(OR(AR373="",N(AO373)=0),"",AR373)</f>
        <v/>
      </c>
      <c r="BQ373" s="33" t="str">
        <f aca="false">IF(OR(AR373="",N(S373)=0),"",S373)</f>
        <v/>
      </c>
      <c r="BR373" s="38" t="str">
        <f aca="false">IF(AND(ISNUMBER(B373),B373&gt;=Dashboard!$C$4,B373&lt;=Dashboard!$F$4,ISNUMBER(AU373)),AU373+ROW()/10^9,"")</f>
        <v/>
      </c>
      <c r="BS373" s="38" t="str">
        <f aca="false">IF(AND(ISNUMBER(B373),B373&gt;=Dashboard!$C$4,B373&lt;=Dashboard!$F$4,A373&lt;&gt;""),N(BD373)+N(AU373)/100+ROW()/10^9,"")</f>
        <v/>
      </c>
    </row>
    <row r="374" customFormat="false" ht="15" hidden="false" customHeight="false" outlineLevel="0" collapsed="false">
      <c r="A374" s="24" t="str">
        <f aca="false">IF(OR(B374="",G374="",H374=""),"",IFERROR(INDEX(Settings!$E$5:$E$49,MATCH(G374,Settings!$D$5:$D$49,0))&amp;INDEX(Settings!$H$5:$H$47,MATCH(H374,Settings!$G$5:$G$47,0))&amp;"-"&amp;TEXT(B374,"yymmdd")&amp;"-"&amp;IF(C374="","0000",TEXT(C374,"hhmm")),"CHECK LISTS"))</f>
        <v/>
      </c>
      <c r="B374" s="39"/>
      <c r="C374" s="40"/>
      <c r="D374" s="24" t="str">
        <f aca="false">IF(B374="","",TEXT(B374,"ddd"))</f>
        <v/>
      </c>
      <c r="E374" s="27" t="str">
        <f aca="false">IF(B374="","",B374-WEEKDAY(B374,3))</f>
        <v/>
      </c>
      <c r="F374" s="24" t="str">
        <f aca="false">IF(B374="","",TEXT(B374,"yyyy-mm"))</f>
        <v/>
      </c>
      <c r="G374" s="29"/>
      <c r="H374" s="29"/>
      <c r="I374" s="29"/>
      <c r="J374" s="29"/>
      <c r="K374" s="29"/>
      <c r="L374" s="29"/>
      <c r="M374" s="29"/>
      <c r="N374" s="29"/>
      <c r="O374" s="29"/>
      <c r="P374" s="29"/>
      <c r="Q374" s="30"/>
      <c r="R374" s="29"/>
      <c r="S374" s="32"/>
      <c r="T374" s="29"/>
      <c r="U374" s="29"/>
      <c r="V374" s="24" t="str">
        <f aca="false">IF(A374="","",IFERROR(INDEX(Settings!$F$5:$F$49,MATCH(G374,Settings!$D$5:$D$49,0)),""))</f>
        <v/>
      </c>
      <c r="W374" s="24" t="str">
        <f aca="false">IF(A374="","",IF(OR(P374="",P374="Organic"),"social","paid_social"))</f>
        <v/>
      </c>
      <c r="X374" s="24" t="str">
        <f aca="false">IF(A374="","",IF(K374&lt;&gt;"",IFERROR(INDEX('Case Studies'!$C$5:$C$54,MATCH(K374,'Case Studies'!$B$5:$B$54,0))&amp;"","case-study"),IF(J374&lt;&gt;"",IFERROR(INDEX(Settings!$J$5:$J$55,MATCH(J374,Settings!$I$5:$I$55,0)),"general"),"general")))</f>
        <v/>
      </c>
      <c r="Y374" s="24" t="str">
        <f aca="false">IF(A374="","",LOWER(A374))</f>
        <v/>
      </c>
      <c r="Z374" s="24" t="str">
        <f aca="false">IF(A374="","",IF(T374="",Settings!$B$5,T374)&amp;IF(ISNUMBER(FIND("?",IF(T374="",Settings!$B$5,T374))),"&amp;","?")&amp;"utm_source="&amp;V374&amp;"&amp;utm_medium="&amp;W374&amp;"&amp;utm_campaign="&amp;X374&amp;"&amp;utm_content="&amp;Y374)</f>
        <v/>
      </c>
      <c r="AA374" s="29"/>
      <c r="AB374" s="39"/>
      <c r="AC374" s="32"/>
      <c r="AD374" s="32"/>
      <c r="AE374" s="32"/>
      <c r="AF374" s="32"/>
      <c r="AG374" s="32"/>
      <c r="AH374" s="32"/>
      <c r="AI374" s="32"/>
      <c r="AJ374" s="32"/>
      <c r="AK374" s="32"/>
      <c r="AL374" s="32"/>
      <c r="AM374" s="32"/>
      <c r="AN374" s="32"/>
      <c r="AO374" s="33" t="str">
        <f aca="false">IF(A374="","",IF(AD374&lt;&gt;"",AD374,IF(AC374&lt;&gt;"",AC374,"")))</f>
        <v/>
      </c>
      <c r="AP374" s="24" t="str">
        <f aca="false">IF(AO374="","",IF(AD374&lt;&gt;"","Reported reach","Impressions (proxy)"))</f>
        <v/>
      </c>
      <c r="AQ374" s="34" t="str">
        <f aca="false">IF(OR(AO374="",N(S374)=0),"",AO374/S374)</f>
        <v/>
      </c>
      <c r="AR374" s="33" t="str">
        <f aca="false">IF(A374="","",IF(COUNT(AF374:AJ374)=0,"",SUM(AF374:AJ374)))</f>
        <v/>
      </c>
      <c r="AS374" s="34" t="str">
        <f aca="false">IF(OR(AR374="",N(AO374)=0),"",AR374/AO374)</f>
        <v/>
      </c>
      <c r="AT374" s="34" t="str">
        <f aca="false">IF(OR(AR374="",N(AC374)=0),"",AR374/AC374)</f>
        <v/>
      </c>
      <c r="AU374" s="34" t="str">
        <f aca="false">IF(OR(AR374="",N(S374)=0),"",AR374/S374)</f>
        <v/>
      </c>
      <c r="AV374" s="34" t="str">
        <f aca="false">IF(OR(AJ374="",N(AC374)=0),"",AJ374/AC374)</f>
        <v/>
      </c>
      <c r="AW374" s="34" t="str">
        <f aca="false">IF(OR(AH374="",N(AO374)=0),"",AH374/AO374)</f>
        <v/>
      </c>
      <c r="AX374" s="35" t="str">
        <f aca="false">IF(OR(AR374="",N(AO374)=0),"",(N(AF374)*Settings!$B$6+N(AG374)*Settings!$B$7+N(AH374)*Settings!$B$8+N(AI374)*Settings!$B$9+N(AJ374)*Settings!$B$10)/AO374*1000)</f>
        <v/>
      </c>
      <c r="AY374" s="36" t="str">
        <f aca="false">IF(AS374="","",IFERROR(AS374/AVERAGEIFS('Post Tracker'!$AS$5:$AS$1004,'Post Tracker'!$G$5:$G$1004,G374),""))</f>
        <v/>
      </c>
      <c r="AZ374" s="32"/>
      <c r="BA374" s="32"/>
      <c r="BB374" s="32"/>
      <c r="BC374" s="32"/>
      <c r="BD374" s="33" t="str">
        <f aca="false">IF(A374="","",COUNTIFS('Demo Pipeline'!$Q$5:$Q$504,A374))</f>
        <v/>
      </c>
      <c r="BE374" s="33" t="str">
        <f aca="false">IF(A374="","",COUNTIFS('Demo Pipeline'!$Q$5:$Q$504,A374,'Demo Pipeline'!$W$5:$W$504,"Attended"))</f>
        <v/>
      </c>
      <c r="BF374" s="33" t="str">
        <f aca="false">IF(A374="","",COUNTIFS('Demo Pipeline'!$Q$5:$Q$504,A374,'Demo Pipeline'!$X$5:$X$504,"Yes"))</f>
        <v/>
      </c>
      <c r="BG374" s="33" t="str">
        <f aca="false">IF(A374="","",COUNTIFS('Demo Pipeline'!$Q$5:$Q$504,A374,'Demo Pipeline'!$Y$5:$Y$504,"Closed Won"))</f>
        <v/>
      </c>
      <c r="BH374" s="37" t="str">
        <f aca="false">IF(A374="","",SUMIFS('Demo Pipeline'!$Z$5:$Z$504,'Demo Pipeline'!$Q$5:$Q$504,A374))</f>
        <v/>
      </c>
      <c r="BI374" s="34" t="str">
        <f aca="false">IF(OR(AZ374="",N(AJ374)=0),"",AZ374/AJ374)</f>
        <v/>
      </c>
      <c r="BJ374" s="34" t="str">
        <f aca="false">IF(OR(BB374="",N(AZ374)=0),"",BB374/AZ374)</f>
        <v/>
      </c>
      <c r="BK374" s="34" t="str">
        <f aca="false">IF(OR(A374="",N(BB374)=0),"",BD374/BB374)</f>
        <v/>
      </c>
      <c r="BL374" s="34" t="str">
        <f aca="false">IF(OR(A374="",N(AZ374)=0),"",BD374/AZ374)</f>
        <v/>
      </c>
      <c r="BM374" s="37" t="str">
        <f aca="false">IF(OR(N(Q374)=0,N(BD374)=0),"",Q374/BD374)</f>
        <v/>
      </c>
      <c r="BN374" s="29"/>
      <c r="BO374" s="29"/>
      <c r="BP374" s="33" t="str">
        <f aca="false">IF(OR(AR374="",N(AO374)=0),"",AR374)</f>
        <v/>
      </c>
      <c r="BQ374" s="33" t="str">
        <f aca="false">IF(OR(AR374="",N(S374)=0),"",S374)</f>
        <v/>
      </c>
      <c r="BR374" s="38" t="str">
        <f aca="false">IF(AND(ISNUMBER(B374),B374&gt;=Dashboard!$C$4,B374&lt;=Dashboard!$F$4,ISNUMBER(AU374)),AU374+ROW()/10^9,"")</f>
        <v/>
      </c>
      <c r="BS374" s="38" t="str">
        <f aca="false">IF(AND(ISNUMBER(B374),B374&gt;=Dashboard!$C$4,B374&lt;=Dashboard!$F$4,A374&lt;&gt;""),N(BD374)+N(AU374)/100+ROW()/10^9,"")</f>
        <v/>
      </c>
    </row>
    <row r="375" customFormat="false" ht="15" hidden="false" customHeight="false" outlineLevel="0" collapsed="false">
      <c r="A375" s="24" t="str">
        <f aca="false">IF(OR(B375="",G375="",H375=""),"",IFERROR(INDEX(Settings!$E$5:$E$49,MATCH(G375,Settings!$D$5:$D$49,0))&amp;INDEX(Settings!$H$5:$H$47,MATCH(H375,Settings!$G$5:$G$47,0))&amp;"-"&amp;TEXT(B375,"yymmdd")&amp;"-"&amp;IF(C375="","0000",TEXT(C375,"hhmm")),"CHECK LISTS"))</f>
        <v/>
      </c>
      <c r="B375" s="39"/>
      <c r="C375" s="40"/>
      <c r="D375" s="24" t="str">
        <f aca="false">IF(B375="","",TEXT(B375,"ddd"))</f>
        <v/>
      </c>
      <c r="E375" s="27" t="str">
        <f aca="false">IF(B375="","",B375-WEEKDAY(B375,3))</f>
        <v/>
      </c>
      <c r="F375" s="24" t="str">
        <f aca="false">IF(B375="","",TEXT(B375,"yyyy-mm"))</f>
        <v/>
      </c>
      <c r="G375" s="29"/>
      <c r="H375" s="29"/>
      <c r="I375" s="29"/>
      <c r="J375" s="29"/>
      <c r="K375" s="29"/>
      <c r="L375" s="29"/>
      <c r="M375" s="29"/>
      <c r="N375" s="29"/>
      <c r="O375" s="29"/>
      <c r="P375" s="29"/>
      <c r="Q375" s="30"/>
      <c r="R375" s="29"/>
      <c r="S375" s="32"/>
      <c r="T375" s="29"/>
      <c r="U375" s="29"/>
      <c r="V375" s="24" t="str">
        <f aca="false">IF(A375="","",IFERROR(INDEX(Settings!$F$5:$F$49,MATCH(G375,Settings!$D$5:$D$49,0)),""))</f>
        <v/>
      </c>
      <c r="W375" s="24" t="str">
        <f aca="false">IF(A375="","",IF(OR(P375="",P375="Organic"),"social","paid_social"))</f>
        <v/>
      </c>
      <c r="X375" s="24" t="str">
        <f aca="false">IF(A375="","",IF(K375&lt;&gt;"",IFERROR(INDEX('Case Studies'!$C$5:$C$54,MATCH(K375,'Case Studies'!$B$5:$B$54,0))&amp;"","case-study"),IF(J375&lt;&gt;"",IFERROR(INDEX(Settings!$J$5:$J$55,MATCH(J375,Settings!$I$5:$I$55,0)),"general"),"general")))</f>
        <v/>
      </c>
      <c r="Y375" s="24" t="str">
        <f aca="false">IF(A375="","",LOWER(A375))</f>
        <v/>
      </c>
      <c r="Z375" s="24" t="str">
        <f aca="false">IF(A375="","",IF(T375="",Settings!$B$5,T375)&amp;IF(ISNUMBER(FIND("?",IF(T375="",Settings!$B$5,T375))),"&amp;","?")&amp;"utm_source="&amp;V375&amp;"&amp;utm_medium="&amp;W375&amp;"&amp;utm_campaign="&amp;X375&amp;"&amp;utm_content="&amp;Y375)</f>
        <v/>
      </c>
      <c r="AA375" s="29"/>
      <c r="AB375" s="39"/>
      <c r="AC375" s="32"/>
      <c r="AD375" s="32"/>
      <c r="AE375" s="32"/>
      <c r="AF375" s="32"/>
      <c r="AG375" s="32"/>
      <c r="AH375" s="32"/>
      <c r="AI375" s="32"/>
      <c r="AJ375" s="32"/>
      <c r="AK375" s="32"/>
      <c r="AL375" s="32"/>
      <c r="AM375" s="32"/>
      <c r="AN375" s="32"/>
      <c r="AO375" s="33" t="str">
        <f aca="false">IF(A375="","",IF(AD375&lt;&gt;"",AD375,IF(AC375&lt;&gt;"",AC375,"")))</f>
        <v/>
      </c>
      <c r="AP375" s="24" t="str">
        <f aca="false">IF(AO375="","",IF(AD375&lt;&gt;"","Reported reach","Impressions (proxy)"))</f>
        <v/>
      </c>
      <c r="AQ375" s="34" t="str">
        <f aca="false">IF(OR(AO375="",N(S375)=0),"",AO375/S375)</f>
        <v/>
      </c>
      <c r="AR375" s="33" t="str">
        <f aca="false">IF(A375="","",IF(COUNT(AF375:AJ375)=0,"",SUM(AF375:AJ375)))</f>
        <v/>
      </c>
      <c r="AS375" s="34" t="str">
        <f aca="false">IF(OR(AR375="",N(AO375)=0),"",AR375/AO375)</f>
        <v/>
      </c>
      <c r="AT375" s="34" t="str">
        <f aca="false">IF(OR(AR375="",N(AC375)=0),"",AR375/AC375)</f>
        <v/>
      </c>
      <c r="AU375" s="34" t="str">
        <f aca="false">IF(OR(AR375="",N(S375)=0),"",AR375/S375)</f>
        <v/>
      </c>
      <c r="AV375" s="34" t="str">
        <f aca="false">IF(OR(AJ375="",N(AC375)=0),"",AJ375/AC375)</f>
        <v/>
      </c>
      <c r="AW375" s="34" t="str">
        <f aca="false">IF(OR(AH375="",N(AO375)=0),"",AH375/AO375)</f>
        <v/>
      </c>
      <c r="AX375" s="35" t="str">
        <f aca="false">IF(OR(AR375="",N(AO375)=0),"",(N(AF375)*Settings!$B$6+N(AG375)*Settings!$B$7+N(AH375)*Settings!$B$8+N(AI375)*Settings!$B$9+N(AJ375)*Settings!$B$10)/AO375*1000)</f>
        <v/>
      </c>
      <c r="AY375" s="36" t="str">
        <f aca="false">IF(AS375="","",IFERROR(AS375/AVERAGEIFS('Post Tracker'!$AS$5:$AS$1004,'Post Tracker'!$G$5:$G$1004,G375),""))</f>
        <v/>
      </c>
      <c r="AZ375" s="32"/>
      <c r="BA375" s="32"/>
      <c r="BB375" s="32"/>
      <c r="BC375" s="32"/>
      <c r="BD375" s="33" t="str">
        <f aca="false">IF(A375="","",COUNTIFS('Demo Pipeline'!$Q$5:$Q$504,A375))</f>
        <v/>
      </c>
      <c r="BE375" s="33" t="str">
        <f aca="false">IF(A375="","",COUNTIFS('Demo Pipeline'!$Q$5:$Q$504,A375,'Demo Pipeline'!$W$5:$W$504,"Attended"))</f>
        <v/>
      </c>
      <c r="BF375" s="33" t="str">
        <f aca="false">IF(A375="","",COUNTIFS('Demo Pipeline'!$Q$5:$Q$504,A375,'Demo Pipeline'!$X$5:$X$504,"Yes"))</f>
        <v/>
      </c>
      <c r="BG375" s="33" t="str">
        <f aca="false">IF(A375="","",COUNTIFS('Demo Pipeline'!$Q$5:$Q$504,A375,'Demo Pipeline'!$Y$5:$Y$504,"Closed Won"))</f>
        <v/>
      </c>
      <c r="BH375" s="37" t="str">
        <f aca="false">IF(A375="","",SUMIFS('Demo Pipeline'!$Z$5:$Z$504,'Demo Pipeline'!$Q$5:$Q$504,A375))</f>
        <v/>
      </c>
      <c r="BI375" s="34" t="str">
        <f aca="false">IF(OR(AZ375="",N(AJ375)=0),"",AZ375/AJ375)</f>
        <v/>
      </c>
      <c r="BJ375" s="34" t="str">
        <f aca="false">IF(OR(BB375="",N(AZ375)=0),"",BB375/AZ375)</f>
        <v/>
      </c>
      <c r="BK375" s="34" t="str">
        <f aca="false">IF(OR(A375="",N(BB375)=0),"",BD375/BB375)</f>
        <v/>
      </c>
      <c r="BL375" s="34" t="str">
        <f aca="false">IF(OR(A375="",N(AZ375)=0),"",BD375/AZ375)</f>
        <v/>
      </c>
      <c r="BM375" s="37" t="str">
        <f aca="false">IF(OR(N(Q375)=0,N(BD375)=0),"",Q375/BD375)</f>
        <v/>
      </c>
      <c r="BN375" s="29"/>
      <c r="BO375" s="29"/>
      <c r="BP375" s="33" t="str">
        <f aca="false">IF(OR(AR375="",N(AO375)=0),"",AR375)</f>
        <v/>
      </c>
      <c r="BQ375" s="33" t="str">
        <f aca="false">IF(OR(AR375="",N(S375)=0),"",S375)</f>
        <v/>
      </c>
      <c r="BR375" s="38" t="str">
        <f aca="false">IF(AND(ISNUMBER(B375),B375&gt;=Dashboard!$C$4,B375&lt;=Dashboard!$F$4,ISNUMBER(AU375)),AU375+ROW()/10^9,"")</f>
        <v/>
      </c>
      <c r="BS375" s="38" t="str">
        <f aca="false">IF(AND(ISNUMBER(B375),B375&gt;=Dashboard!$C$4,B375&lt;=Dashboard!$F$4,A375&lt;&gt;""),N(BD375)+N(AU375)/100+ROW()/10^9,"")</f>
        <v/>
      </c>
    </row>
    <row r="376" customFormat="false" ht="15" hidden="false" customHeight="false" outlineLevel="0" collapsed="false">
      <c r="A376" s="24" t="str">
        <f aca="false">IF(OR(B376="",G376="",H376=""),"",IFERROR(INDEX(Settings!$E$5:$E$49,MATCH(G376,Settings!$D$5:$D$49,0))&amp;INDEX(Settings!$H$5:$H$47,MATCH(H376,Settings!$G$5:$G$47,0))&amp;"-"&amp;TEXT(B376,"yymmdd")&amp;"-"&amp;IF(C376="","0000",TEXT(C376,"hhmm")),"CHECK LISTS"))</f>
        <v/>
      </c>
      <c r="B376" s="39"/>
      <c r="C376" s="40"/>
      <c r="D376" s="24" t="str">
        <f aca="false">IF(B376="","",TEXT(B376,"ddd"))</f>
        <v/>
      </c>
      <c r="E376" s="27" t="str">
        <f aca="false">IF(B376="","",B376-WEEKDAY(B376,3))</f>
        <v/>
      </c>
      <c r="F376" s="24" t="str">
        <f aca="false">IF(B376="","",TEXT(B376,"yyyy-mm"))</f>
        <v/>
      </c>
      <c r="G376" s="29"/>
      <c r="H376" s="29"/>
      <c r="I376" s="29"/>
      <c r="J376" s="29"/>
      <c r="K376" s="29"/>
      <c r="L376" s="29"/>
      <c r="M376" s="29"/>
      <c r="N376" s="29"/>
      <c r="O376" s="29"/>
      <c r="P376" s="29"/>
      <c r="Q376" s="30"/>
      <c r="R376" s="29"/>
      <c r="S376" s="32"/>
      <c r="T376" s="29"/>
      <c r="U376" s="29"/>
      <c r="V376" s="24" t="str">
        <f aca="false">IF(A376="","",IFERROR(INDEX(Settings!$F$5:$F$49,MATCH(G376,Settings!$D$5:$D$49,0)),""))</f>
        <v/>
      </c>
      <c r="W376" s="24" t="str">
        <f aca="false">IF(A376="","",IF(OR(P376="",P376="Organic"),"social","paid_social"))</f>
        <v/>
      </c>
      <c r="X376" s="24" t="str">
        <f aca="false">IF(A376="","",IF(K376&lt;&gt;"",IFERROR(INDEX('Case Studies'!$C$5:$C$54,MATCH(K376,'Case Studies'!$B$5:$B$54,0))&amp;"","case-study"),IF(J376&lt;&gt;"",IFERROR(INDEX(Settings!$J$5:$J$55,MATCH(J376,Settings!$I$5:$I$55,0)),"general"),"general")))</f>
        <v/>
      </c>
      <c r="Y376" s="24" t="str">
        <f aca="false">IF(A376="","",LOWER(A376))</f>
        <v/>
      </c>
      <c r="Z376" s="24" t="str">
        <f aca="false">IF(A376="","",IF(T376="",Settings!$B$5,T376)&amp;IF(ISNUMBER(FIND("?",IF(T376="",Settings!$B$5,T376))),"&amp;","?")&amp;"utm_source="&amp;V376&amp;"&amp;utm_medium="&amp;W376&amp;"&amp;utm_campaign="&amp;X376&amp;"&amp;utm_content="&amp;Y376)</f>
        <v/>
      </c>
      <c r="AA376" s="29"/>
      <c r="AB376" s="39"/>
      <c r="AC376" s="32"/>
      <c r="AD376" s="32"/>
      <c r="AE376" s="32"/>
      <c r="AF376" s="32"/>
      <c r="AG376" s="32"/>
      <c r="AH376" s="32"/>
      <c r="AI376" s="32"/>
      <c r="AJ376" s="32"/>
      <c r="AK376" s="32"/>
      <c r="AL376" s="32"/>
      <c r="AM376" s="32"/>
      <c r="AN376" s="32"/>
      <c r="AO376" s="33" t="str">
        <f aca="false">IF(A376="","",IF(AD376&lt;&gt;"",AD376,IF(AC376&lt;&gt;"",AC376,"")))</f>
        <v/>
      </c>
      <c r="AP376" s="24" t="str">
        <f aca="false">IF(AO376="","",IF(AD376&lt;&gt;"","Reported reach","Impressions (proxy)"))</f>
        <v/>
      </c>
      <c r="AQ376" s="34" t="str">
        <f aca="false">IF(OR(AO376="",N(S376)=0),"",AO376/S376)</f>
        <v/>
      </c>
      <c r="AR376" s="33" t="str">
        <f aca="false">IF(A376="","",IF(COUNT(AF376:AJ376)=0,"",SUM(AF376:AJ376)))</f>
        <v/>
      </c>
      <c r="AS376" s="34" t="str">
        <f aca="false">IF(OR(AR376="",N(AO376)=0),"",AR376/AO376)</f>
        <v/>
      </c>
      <c r="AT376" s="34" t="str">
        <f aca="false">IF(OR(AR376="",N(AC376)=0),"",AR376/AC376)</f>
        <v/>
      </c>
      <c r="AU376" s="34" t="str">
        <f aca="false">IF(OR(AR376="",N(S376)=0),"",AR376/S376)</f>
        <v/>
      </c>
      <c r="AV376" s="34" t="str">
        <f aca="false">IF(OR(AJ376="",N(AC376)=0),"",AJ376/AC376)</f>
        <v/>
      </c>
      <c r="AW376" s="34" t="str">
        <f aca="false">IF(OR(AH376="",N(AO376)=0),"",AH376/AO376)</f>
        <v/>
      </c>
      <c r="AX376" s="35" t="str">
        <f aca="false">IF(OR(AR376="",N(AO376)=0),"",(N(AF376)*Settings!$B$6+N(AG376)*Settings!$B$7+N(AH376)*Settings!$B$8+N(AI376)*Settings!$B$9+N(AJ376)*Settings!$B$10)/AO376*1000)</f>
        <v/>
      </c>
      <c r="AY376" s="36" t="str">
        <f aca="false">IF(AS376="","",IFERROR(AS376/AVERAGEIFS('Post Tracker'!$AS$5:$AS$1004,'Post Tracker'!$G$5:$G$1004,G376),""))</f>
        <v/>
      </c>
      <c r="AZ376" s="32"/>
      <c r="BA376" s="32"/>
      <c r="BB376" s="32"/>
      <c r="BC376" s="32"/>
      <c r="BD376" s="33" t="str">
        <f aca="false">IF(A376="","",COUNTIFS('Demo Pipeline'!$Q$5:$Q$504,A376))</f>
        <v/>
      </c>
      <c r="BE376" s="33" t="str">
        <f aca="false">IF(A376="","",COUNTIFS('Demo Pipeline'!$Q$5:$Q$504,A376,'Demo Pipeline'!$W$5:$W$504,"Attended"))</f>
        <v/>
      </c>
      <c r="BF376" s="33" t="str">
        <f aca="false">IF(A376="","",COUNTIFS('Demo Pipeline'!$Q$5:$Q$504,A376,'Demo Pipeline'!$X$5:$X$504,"Yes"))</f>
        <v/>
      </c>
      <c r="BG376" s="33" t="str">
        <f aca="false">IF(A376="","",COUNTIFS('Demo Pipeline'!$Q$5:$Q$504,A376,'Demo Pipeline'!$Y$5:$Y$504,"Closed Won"))</f>
        <v/>
      </c>
      <c r="BH376" s="37" t="str">
        <f aca="false">IF(A376="","",SUMIFS('Demo Pipeline'!$Z$5:$Z$504,'Demo Pipeline'!$Q$5:$Q$504,A376))</f>
        <v/>
      </c>
      <c r="BI376" s="34" t="str">
        <f aca="false">IF(OR(AZ376="",N(AJ376)=0),"",AZ376/AJ376)</f>
        <v/>
      </c>
      <c r="BJ376" s="34" t="str">
        <f aca="false">IF(OR(BB376="",N(AZ376)=0),"",BB376/AZ376)</f>
        <v/>
      </c>
      <c r="BK376" s="34" t="str">
        <f aca="false">IF(OR(A376="",N(BB376)=0),"",BD376/BB376)</f>
        <v/>
      </c>
      <c r="BL376" s="34" t="str">
        <f aca="false">IF(OR(A376="",N(AZ376)=0),"",BD376/AZ376)</f>
        <v/>
      </c>
      <c r="BM376" s="37" t="str">
        <f aca="false">IF(OR(N(Q376)=0,N(BD376)=0),"",Q376/BD376)</f>
        <v/>
      </c>
      <c r="BN376" s="29"/>
      <c r="BO376" s="29"/>
      <c r="BP376" s="33" t="str">
        <f aca="false">IF(OR(AR376="",N(AO376)=0),"",AR376)</f>
        <v/>
      </c>
      <c r="BQ376" s="33" t="str">
        <f aca="false">IF(OR(AR376="",N(S376)=0),"",S376)</f>
        <v/>
      </c>
      <c r="BR376" s="38" t="str">
        <f aca="false">IF(AND(ISNUMBER(B376),B376&gt;=Dashboard!$C$4,B376&lt;=Dashboard!$F$4,ISNUMBER(AU376)),AU376+ROW()/10^9,"")</f>
        <v/>
      </c>
      <c r="BS376" s="38" t="str">
        <f aca="false">IF(AND(ISNUMBER(B376),B376&gt;=Dashboard!$C$4,B376&lt;=Dashboard!$F$4,A376&lt;&gt;""),N(BD376)+N(AU376)/100+ROW()/10^9,"")</f>
        <v/>
      </c>
    </row>
    <row r="377" customFormat="false" ht="15" hidden="false" customHeight="false" outlineLevel="0" collapsed="false">
      <c r="A377" s="24" t="str">
        <f aca="false">IF(OR(B377="",G377="",H377=""),"",IFERROR(INDEX(Settings!$E$5:$E$49,MATCH(G377,Settings!$D$5:$D$49,0))&amp;INDEX(Settings!$H$5:$H$47,MATCH(H377,Settings!$G$5:$G$47,0))&amp;"-"&amp;TEXT(B377,"yymmdd")&amp;"-"&amp;IF(C377="","0000",TEXT(C377,"hhmm")),"CHECK LISTS"))</f>
        <v/>
      </c>
      <c r="B377" s="39"/>
      <c r="C377" s="40"/>
      <c r="D377" s="24" t="str">
        <f aca="false">IF(B377="","",TEXT(B377,"ddd"))</f>
        <v/>
      </c>
      <c r="E377" s="27" t="str">
        <f aca="false">IF(B377="","",B377-WEEKDAY(B377,3))</f>
        <v/>
      </c>
      <c r="F377" s="24" t="str">
        <f aca="false">IF(B377="","",TEXT(B377,"yyyy-mm"))</f>
        <v/>
      </c>
      <c r="G377" s="29"/>
      <c r="H377" s="29"/>
      <c r="I377" s="29"/>
      <c r="J377" s="29"/>
      <c r="K377" s="29"/>
      <c r="L377" s="29"/>
      <c r="M377" s="29"/>
      <c r="N377" s="29"/>
      <c r="O377" s="29"/>
      <c r="P377" s="29"/>
      <c r="Q377" s="30"/>
      <c r="R377" s="29"/>
      <c r="S377" s="32"/>
      <c r="T377" s="29"/>
      <c r="U377" s="29"/>
      <c r="V377" s="24" t="str">
        <f aca="false">IF(A377="","",IFERROR(INDEX(Settings!$F$5:$F$49,MATCH(G377,Settings!$D$5:$D$49,0)),""))</f>
        <v/>
      </c>
      <c r="W377" s="24" t="str">
        <f aca="false">IF(A377="","",IF(OR(P377="",P377="Organic"),"social","paid_social"))</f>
        <v/>
      </c>
      <c r="X377" s="24" t="str">
        <f aca="false">IF(A377="","",IF(K377&lt;&gt;"",IFERROR(INDEX('Case Studies'!$C$5:$C$54,MATCH(K377,'Case Studies'!$B$5:$B$54,0))&amp;"","case-study"),IF(J377&lt;&gt;"",IFERROR(INDEX(Settings!$J$5:$J$55,MATCH(J377,Settings!$I$5:$I$55,0)),"general"),"general")))</f>
        <v/>
      </c>
      <c r="Y377" s="24" t="str">
        <f aca="false">IF(A377="","",LOWER(A377))</f>
        <v/>
      </c>
      <c r="Z377" s="24" t="str">
        <f aca="false">IF(A377="","",IF(T377="",Settings!$B$5,T377)&amp;IF(ISNUMBER(FIND("?",IF(T377="",Settings!$B$5,T377))),"&amp;","?")&amp;"utm_source="&amp;V377&amp;"&amp;utm_medium="&amp;W377&amp;"&amp;utm_campaign="&amp;X377&amp;"&amp;utm_content="&amp;Y377)</f>
        <v/>
      </c>
      <c r="AA377" s="29"/>
      <c r="AB377" s="39"/>
      <c r="AC377" s="32"/>
      <c r="AD377" s="32"/>
      <c r="AE377" s="32"/>
      <c r="AF377" s="32"/>
      <c r="AG377" s="32"/>
      <c r="AH377" s="32"/>
      <c r="AI377" s="32"/>
      <c r="AJ377" s="32"/>
      <c r="AK377" s="32"/>
      <c r="AL377" s="32"/>
      <c r="AM377" s="32"/>
      <c r="AN377" s="32"/>
      <c r="AO377" s="33" t="str">
        <f aca="false">IF(A377="","",IF(AD377&lt;&gt;"",AD377,IF(AC377&lt;&gt;"",AC377,"")))</f>
        <v/>
      </c>
      <c r="AP377" s="24" t="str">
        <f aca="false">IF(AO377="","",IF(AD377&lt;&gt;"","Reported reach","Impressions (proxy)"))</f>
        <v/>
      </c>
      <c r="AQ377" s="34" t="str">
        <f aca="false">IF(OR(AO377="",N(S377)=0),"",AO377/S377)</f>
        <v/>
      </c>
      <c r="AR377" s="33" t="str">
        <f aca="false">IF(A377="","",IF(COUNT(AF377:AJ377)=0,"",SUM(AF377:AJ377)))</f>
        <v/>
      </c>
      <c r="AS377" s="34" t="str">
        <f aca="false">IF(OR(AR377="",N(AO377)=0),"",AR377/AO377)</f>
        <v/>
      </c>
      <c r="AT377" s="34" t="str">
        <f aca="false">IF(OR(AR377="",N(AC377)=0),"",AR377/AC377)</f>
        <v/>
      </c>
      <c r="AU377" s="34" t="str">
        <f aca="false">IF(OR(AR377="",N(S377)=0),"",AR377/S377)</f>
        <v/>
      </c>
      <c r="AV377" s="34" t="str">
        <f aca="false">IF(OR(AJ377="",N(AC377)=0),"",AJ377/AC377)</f>
        <v/>
      </c>
      <c r="AW377" s="34" t="str">
        <f aca="false">IF(OR(AH377="",N(AO377)=0),"",AH377/AO377)</f>
        <v/>
      </c>
      <c r="AX377" s="35" t="str">
        <f aca="false">IF(OR(AR377="",N(AO377)=0),"",(N(AF377)*Settings!$B$6+N(AG377)*Settings!$B$7+N(AH377)*Settings!$B$8+N(AI377)*Settings!$B$9+N(AJ377)*Settings!$B$10)/AO377*1000)</f>
        <v/>
      </c>
      <c r="AY377" s="36" t="str">
        <f aca="false">IF(AS377="","",IFERROR(AS377/AVERAGEIFS('Post Tracker'!$AS$5:$AS$1004,'Post Tracker'!$G$5:$G$1004,G377),""))</f>
        <v/>
      </c>
      <c r="AZ377" s="32"/>
      <c r="BA377" s="32"/>
      <c r="BB377" s="32"/>
      <c r="BC377" s="32"/>
      <c r="BD377" s="33" t="str">
        <f aca="false">IF(A377="","",COUNTIFS('Demo Pipeline'!$Q$5:$Q$504,A377))</f>
        <v/>
      </c>
      <c r="BE377" s="33" t="str">
        <f aca="false">IF(A377="","",COUNTIFS('Demo Pipeline'!$Q$5:$Q$504,A377,'Demo Pipeline'!$W$5:$W$504,"Attended"))</f>
        <v/>
      </c>
      <c r="BF377" s="33" t="str">
        <f aca="false">IF(A377="","",COUNTIFS('Demo Pipeline'!$Q$5:$Q$504,A377,'Demo Pipeline'!$X$5:$X$504,"Yes"))</f>
        <v/>
      </c>
      <c r="BG377" s="33" t="str">
        <f aca="false">IF(A377="","",COUNTIFS('Demo Pipeline'!$Q$5:$Q$504,A377,'Demo Pipeline'!$Y$5:$Y$504,"Closed Won"))</f>
        <v/>
      </c>
      <c r="BH377" s="37" t="str">
        <f aca="false">IF(A377="","",SUMIFS('Demo Pipeline'!$Z$5:$Z$504,'Demo Pipeline'!$Q$5:$Q$504,A377))</f>
        <v/>
      </c>
      <c r="BI377" s="34" t="str">
        <f aca="false">IF(OR(AZ377="",N(AJ377)=0),"",AZ377/AJ377)</f>
        <v/>
      </c>
      <c r="BJ377" s="34" t="str">
        <f aca="false">IF(OR(BB377="",N(AZ377)=0),"",BB377/AZ377)</f>
        <v/>
      </c>
      <c r="BK377" s="34" t="str">
        <f aca="false">IF(OR(A377="",N(BB377)=0),"",BD377/BB377)</f>
        <v/>
      </c>
      <c r="BL377" s="34" t="str">
        <f aca="false">IF(OR(A377="",N(AZ377)=0),"",BD377/AZ377)</f>
        <v/>
      </c>
      <c r="BM377" s="37" t="str">
        <f aca="false">IF(OR(N(Q377)=0,N(BD377)=0),"",Q377/BD377)</f>
        <v/>
      </c>
      <c r="BN377" s="29"/>
      <c r="BO377" s="29"/>
      <c r="BP377" s="33" t="str">
        <f aca="false">IF(OR(AR377="",N(AO377)=0),"",AR377)</f>
        <v/>
      </c>
      <c r="BQ377" s="33" t="str">
        <f aca="false">IF(OR(AR377="",N(S377)=0),"",S377)</f>
        <v/>
      </c>
      <c r="BR377" s="38" t="str">
        <f aca="false">IF(AND(ISNUMBER(B377),B377&gt;=Dashboard!$C$4,B377&lt;=Dashboard!$F$4,ISNUMBER(AU377)),AU377+ROW()/10^9,"")</f>
        <v/>
      </c>
      <c r="BS377" s="38" t="str">
        <f aca="false">IF(AND(ISNUMBER(B377),B377&gt;=Dashboard!$C$4,B377&lt;=Dashboard!$F$4,A377&lt;&gt;""),N(BD377)+N(AU377)/100+ROW()/10^9,"")</f>
        <v/>
      </c>
    </row>
    <row r="378" customFormat="false" ht="15" hidden="false" customHeight="false" outlineLevel="0" collapsed="false">
      <c r="A378" s="24" t="str">
        <f aca="false">IF(OR(B378="",G378="",H378=""),"",IFERROR(INDEX(Settings!$E$5:$E$49,MATCH(G378,Settings!$D$5:$D$49,0))&amp;INDEX(Settings!$H$5:$H$47,MATCH(H378,Settings!$G$5:$G$47,0))&amp;"-"&amp;TEXT(B378,"yymmdd")&amp;"-"&amp;IF(C378="","0000",TEXT(C378,"hhmm")),"CHECK LISTS"))</f>
        <v/>
      </c>
      <c r="B378" s="39"/>
      <c r="C378" s="40"/>
      <c r="D378" s="24" t="str">
        <f aca="false">IF(B378="","",TEXT(B378,"ddd"))</f>
        <v/>
      </c>
      <c r="E378" s="27" t="str">
        <f aca="false">IF(B378="","",B378-WEEKDAY(B378,3))</f>
        <v/>
      </c>
      <c r="F378" s="24" t="str">
        <f aca="false">IF(B378="","",TEXT(B378,"yyyy-mm"))</f>
        <v/>
      </c>
      <c r="G378" s="29"/>
      <c r="H378" s="29"/>
      <c r="I378" s="29"/>
      <c r="J378" s="29"/>
      <c r="K378" s="29"/>
      <c r="L378" s="29"/>
      <c r="M378" s="29"/>
      <c r="N378" s="29"/>
      <c r="O378" s="29"/>
      <c r="P378" s="29"/>
      <c r="Q378" s="30"/>
      <c r="R378" s="29"/>
      <c r="S378" s="32"/>
      <c r="T378" s="29"/>
      <c r="U378" s="29"/>
      <c r="V378" s="24" t="str">
        <f aca="false">IF(A378="","",IFERROR(INDEX(Settings!$F$5:$F$49,MATCH(G378,Settings!$D$5:$D$49,0)),""))</f>
        <v/>
      </c>
      <c r="W378" s="24" t="str">
        <f aca="false">IF(A378="","",IF(OR(P378="",P378="Organic"),"social","paid_social"))</f>
        <v/>
      </c>
      <c r="X378" s="24" t="str">
        <f aca="false">IF(A378="","",IF(K378&lt;&gt;"",IFERROR(INDEX('Case Studies'!$C$5:$C$54,MATCH(K378,'Case Studies'!$B$5:$B$54,0))&amp;"","case-study"),IF(J378&lt;&gt;"",IFERROR(INDEX(Settings!$J$5:$J$55,MATCH(J378,Settings!$I$5:$I$55,0)),"general"),"general")))</f>
        <v/>
      </c>
      <c r="Y378" s="24" t="str">
        <f aca="false">IF(A378="","",LOWER(A378))</f>
        <v/>
      </c>
      <c r="Z378" s="24" t="str">
        <f aca="false">IF(A378="","",IF(T378="",Settings!$B$5,T378)&amp;IF(ISNUMBER(FIND("?",IF(T378="",Settings!$B$5,T378))),"&amp;","?")&amp;"utm_source="&amp;V378&amp;"&amp;utm_medium="&amp;W378&amp;"&amp;utm_campaign="&amp;X378&amp;"&amp;utm_content="&amp;Y378)</f>
        <v/>
      </c>
      <c r="AA378" s="29"/>
      <c r="AB378" s="39"/>
      <c r="AC378" s="32"/>
      <c r="AD378" s="32"/>
      <c r="AE378" s="32"/>
      <c r="AF378" s="32"/>
      <c r="AG378" s="32"/>
      <c r="AH378" s="32"/>
      <c r="AI378" s="32"/>
      <c r="AJ378" s="32"/>
      <c r="AK378" s="32"/>
      <c r="AL378" s="32"/>
      <c r="AM378" s="32"/>
      <c r="AN378" s="32"/>
      <c r="AO378" s="33" t="str">
        <f aca="false">IF(A378="","",IF(AD378&lt;&gt;"",AD378,IF(AC378&lt;&gt;"",AC378,"")))</f>
        <v/>
      </c>
      <c r="AP378" s="24" t="str">
        <f aca="false">IF(AO378="","",IF(AD378&lt;&gt;"","Reported reach","Impressions (proxy)"))</f>
        <v/>
      </c>
      <c r="AQ378" s="34" t="str">
        <f aca="false">IF(OR(AO378="",N(S378)=0),"",AO378/S378)</f>
        <v/>
      </c>
      <c r="AR378" s="33" t="str">
        <f aca="false">IF(A378="","",IF(COUNT(AF378:AJ378)=0,"",SUM(AF378:AJ378)))</f>
        <v/>
      </c>
      <c r="AS378" s="34" t="str">
        <f aca="false">IF(OR(AR378="",N(AO378)=0),"",AR378/AO378)</f>
        <v/>
      </c>
      <c r="AT378" s="34" t="str">
        <f aca="false">IF(OR(AR378="",N(AC378)=0),"",AR378/AC378)</f>
        <v/>
      </c>
      <c r="AU378" s="34" t="str">
        <f aca="false">IF(OR(AR378="",N(S378)=0),"",AR378/S378)</f>
        <v/>
      </c>
      <c r="AV378" s="34" t="str">
        <f aca="false">IF(OR(AJ378="",N(AC378)=0),"",AJ378/AC378)</f>
        <v/>
      </c>
      <c r="AW378" s="34" t="str">
        <f aca="false">IF(OR(AH378="",N(AO378)=0),"",AH378/AO378)</f>
        <v/>
      </c>
      <c r="AX378" s="35" t="str">
        <f aca="false">IF(OR(AR378="",N(AO378)=0),"",(N(AF378)*Settings!$B$6+N(AG378)*Settings!$B$7+N(AH378)*Settings!$B$8+N(AI378)*Settings!$B$9+N(AJ378)*Settings!$B$10)/AO378*1000)</f>
        <v/>
      </c>
      <c r="AY378" s="36" t="str">
        <f aca="false">IF(AS378="","",IFERROR(AS378/AVERAGEIFS('Post Tracker'!$AS$5:$AS$1004,'Post Tracker'!$G$5:$G$1004,G378),""))</f>
        <v/>
      </c>
      <c r="AZ378" s="32"/>
      <c r="BA378" s="32"/>
      <c r="BB378" s="32"/>
      <c r="BC378" s="32"/>
      <c r="BD378" s="33" t="str">
        <f aca="false">IF(A378="","",COUNTIFS('Demo Pipeline'!$Q$5:$Q$504,A378))</f>
        <v/>
      </c>
      <c r="BE378" s="33" t="str">
        <f aca="false">IF(A378="","",COUNTIFS('Demo Pipeline'!$Q$5:$Q$504,A378,'Demo Pipeline'!$W$5:$W$504,"Attended"))</f>
        <v/>
      </c>
      <c r="BF378" s="33" t="str">
        <f aca="false">IF(A378="","",COUNTIFS('Demo Pipeline'!$Q$5:$Q$504,A378,'Demo Pipeline'!$X$5:$X$504,"Yes"))</f>
        <v/>
      </c>
      <c r="BG378" s="33" t="str">
        <f aca="false">IF(A378="","",COUNTIFS('Demo Pipeline'!$Q$5:$Q$504,A378,'Demo Pipeline'!$Y$5:$Y$504,"Closed Won"))</f>
        <v/>
      </c>
      <c r="BH378" s="37" t="str">
        <f aca="false">IF(A378="","",SUMIFS('Demo Pipeline'!$Z$5:$Z$504,'Demo Pipeline'!$Q$5:$Q$504,A378))</f>
        <v/>
      </c>
      <c r="BI378" s="34" t="str">
        <f aca="false">IF(OR(AZ378="",N(AJ378)=0),"",AZ378/AJ378)</f>
        <v/>
      </c>
      <c r="BJ378" s="34" t="str">
        <f aca="false">IF(OR(BB378="",N(AZ378)=0),"",BB378/AZ378)</f>
        <v/>
      </c>
      <c r="BK378" s="34" t="str">
        <f aca="false">IF(OR(A378="",N(BB378)=0),"",BD378/BB378)</f>
        <v/>
      </c>
      <c r="BL378" s="34" t="str">
        <f aca="false">IF(OR(A378="",N(AZ378)=0),"",BD378/AZ378)</f>
        <v/>
      </c>
      <c r="BM378" s="37" t="str">
        <f aca="false">IF(OR(N(Q378)=0,N(BD378)=0),"",Q378/BD378)</f>
        <v/>
      </c>
      <c r="BN378" s="29"/>
      <c r="BO378" s="29"/>
      <c r="BP378" s="33" t="str">
        <f aca="false">IF(OR(AR378="",N(AO378)=0),"",AR378)</f>
        <v/>
      </c>
      <c r="BQ378" s="33" t="str">
        <f aca="false">IF(OR(AR378="",N(S378)=0),"",S378)</f>
        <v/>
      </c>
      <c r="BR378" s="38" t="str">
        <f aca="false">IF(AND(ISNUMBER(B378),B378&gt;=Dashboard!$C$4,B378&lt;=Dashboard!$F$4,ISNUMBER(AU378)),AU378+ROW()/10^9,"")</f>
        <v/>
      </c>
      <c r="BS378" s="38" t="str">
        <f aca="false">IF(AND(ISNUMBER(B378),B378&gt;=Dashboard!$C$4,B378&lt;=Dashboard!$F$4,A378&lt;&gt;""),N(BD378)+N(AU378)/100+ROW()/10^9,"")</f>
        <v/>
      </c>
    </row>
    <row r="379" customFormat="false" ht="15" hidden="false" customHeight="false" outlineLevel="0" collapsed="false">
      <c r="A379" s="24" t="str">
        <f aca="false">IF(OR(B379="",G379="",H379=""),"",IFERROR(INDEX(Settings!$E$5:$E$49,MATCH(G379,Settings!$D$5:$D$49,0))&amp;INDEX(Settings!$H$5:$H$47,MATCH(H379,Settings!$G$5:$G$47,0))&amp;"-"&amp;TEXT(B379,"yymmdd")&amp;"-"&amp;IF(C379="","0000",TEXT(C379,"hhmm")),"CHECK LISTS"))</f>
        <v/>
      </c>
      <c r="B379" s="39"/>
      <c r="C379" s="40"/>
      <c r="D379" s="24" t="str">
        <f aca="false">IF(B379="","",TEXT(B379,"ddd"))</f>
        <v/>
      </c>
      <c r="E379" s="27" t="str">
        <f aca="false">IF(B379="","",B379-WEEKDAY(B379,3))</f>
        <v/>
      </c>
      <c r="F379" s="24" t="str">
        <f aca="false">IF(B379="","",TEXT(B379,"yyyy-mm"))</f>
        <v/>
      </c>
      <c r="G379" s="29"/>
      <c r="H379" s="29"/>
      <c r="I379" s="29"/>
      <c r="J379" s="29"/>
      <c r="K379" s="29"/>
      <c r="L379" s="29"/>
      <c r="M379" s="29"/>
      <c r="N379" s="29"/>
      <c r="O379" s="29"/>
      <c r="P379" s="29"/>
      <c r="Q379" s="30"/>
      <c r="R379" s="29"/>
      <c r="S379" s="32"/>
      <c r="T379" s="29"/>
      <c r="U379" s="29"/>
      <c r="V379" s="24" t="str">
        <f aca="false">IF(A379="","",IFERROR(INDEX(Settings!$F$5:$F$49,MATCH(G379,Settings!$D$5:$D$49,0)),""))</f>
        <v/>
      </c>
      <c r="W379" s="24" t="str">
        <f aca="false">IF(A379="","",IF(OR(P379="",P379="Organic"),"social","paid_social"))</f>
        <v/>
      </c>
      <c r="X379" s="24" t="str">
        <f aca="false">IF(A379="","",IF(K379&lt;&gt;"",IFERROR(INDEX('Case Studies'!$C$5:$C$54,MATCH(K379,'Case Studies'!$B$5:$B$54,0))&amp;"","case-study"),IF(J379&lt;&gt;"",IFERROR(INDEX(Settings!$J$5:$J$55,MATCH(J379,Settings!$I$5:$I$55,0)),"general"),"general")))</f>
        <v/>
      </c>
      <c r="Y379" s="24" t="str">
        <f aca="false">IF(A379="","",LOWER(A379))</f>
        <v/>
      </c>
      <c r="Z379" s="24" t="str">
        <f aca="false">IF(A379="","",IF(T379="",Settings!$B$5,T379)&amp;IF(ISNUMBER(FIND("?",IF(T379="",Settings!$B$5,T379))),"&amp;","?")&amp;"utm_source="&amp;V379&amp;"&amp;utm_medium="&amp;W379&amp;"&amp;utm_campaign="&amp;X379&amp;"&amp;utm_content="&amp;Y379)</f>
        <v/>
      </c>
      <c r="AA379" s="29"/>
      <c r="AB379" s="39"/>
      <c r="AC379" s="32"/>
      <c r="AD379" s="32"/>
      <c r="AE379" s="32"/>
      <c r="AF379" s="32"/>
      <c r="AG379" s="32"/>
      <c r="AH379" s="32"/>
      <c r="AI379" s="32"/>
      <c r="AJ379" s="32"/>
      <c r="AK379" s="32"/>
      <c r="AL379" s="32"/>
      <c r="AM379" s="32"/>
      <c r="AN379" s="32"/>
      <c r="AO379" s="33" t="str">
        <f aca="false">IF(A379="","",IF(AD379&lt;&gt;"",AD379,IF(AC379&lt;&gt;"",AC379,"")))</f>
        <v/>
      </c>
      <c r="AP379" s="24" t="str">
        <f aca="false">IF(AO379="","",IF(AD379&lt;&gt;"","Reported reach","Impressions (proxy)"))</f>
        <v/>
      </c>
      <c r="AQ379" s="34" t="str">
        <f aca="false">IF(OR(AO379="",N(S379)=0),"",AO379/S379)</f>
        <v/>
      </c>
      <c r="AR379" s="33" t="str">
        <f aca="false">IF(A379="","",IF(COUNT(AF379:AJ379)=0,"",SUM(AF379:AJ379)))</f>
        <v/>
      </c>
      <c r="AS379" s="34" t="str">
        <f aca="false">IF(OR(AR379="",N(AO379)=0),"",AR379/AO379)</f>
        <v/>
      </c>
      <c r="AT379" s="34" t="str">
        <f aca="false">IF(OR(AR379="",N(AC379)=0),"",AR379/AC379)</f>
        <v/>
      </c>
      <c r="AU379" s="34" t="str">
        <f aca="false">IF(OR(AR379="",N(S379)=0),"",AR379/S379)</f>
        <v/>
      </c>
      <c r="AV379" s="34" t="str">
        <f aca="false">IF(OR(AJ379="",N(AC379)=0),"",AJ379/AC379)</f>
        <v/>
      </c>
      <c r="AW379" s="34" t="str">
        <f aca="false">IF(OR(AH379="",N(AO379)=0),"",AH379/AO379)</f>
        <v/>
      </c>
      <c r="AX379" s="35" t="str">
        <f aca="false">IF(OR(AR379="",N(AO379)=0),"",(N(AF379)*Settings!$B$6+N(AG379)*Settings!$B$7+N(AH379)*Settings!$B$8+N(AI379)*Settings!$B$9+N(AJ379)*Settings!$B$10)/AO379*1000)</f>
        <v/>
      </c>
      <c r="AY379" s="36" t="str">
        <f aca="false">IF(AS379="","",IFERROR(AS379/AVERAGEIFS('Post Tracker'!$AS$5:$AS$1004,'Post Tracker'!$G$5:$G$1004,G379),""))</f>
        <v/>
      </c>
      <c r="AZ379" s="32"/>
      <c r="BA379" s="32"/>
      <c r="BB379" s="32"/>
      <c r="BC379" s="32"/>
      <c r="BD379" s="33" t="str">
        <f aca="false">IF(A379="","",COUNTIFS('Demo Pipeline'!$Q$5:$Q$504,A379))</f>
        <v/>
      </c>
      <c r="BE379" s="33" t="str">
        <f aca="false">IF(A379="","",COUNTIFS('Demo Pipeline'!$Q$5:$Q$504,A379,'Demo Pipeline'!$W$5:$W$504,"Attended"))</f>
        <v/>
      </c>
      <c r="BF379" s="33" t="str">
        <f aca="false">IF(A379="","",COUNTIFS('Demo Pipeline'!$Q$5:$Q$504,A379,'Demo Pipeline'!$X$5:$X$504,"Yes"))</f>
        <v/>
      </c>
      <c r="BG379" s="33" t="str">
        <f aca="false">IF(A379="","",COUNTIFS('Demo Pipeline'!$Q$5:$Q$504,A379,'Demo Pipeline'!$Y$5:$Y$504,"Closed Won"))</f>
        <v/>
      </c>
      <c r="BH379" s="37" t="str">
        <f aca="false">IF(A379="","",SUMIFS('Demo Pipeline'!$Z$5:$Z$504,'Demo Pipeline'!$Q$5:$Q$504,A379))</f>
        <v/>
      </c>
      <c r="BI379" s="34" t="str">
        <f aca="false">IF(OR(AZ379="",N(AJ379)=0),"",AZ379/AJ379)</f>
        <v/>
      </c>
      <c r="BJ379" s="34" t="str">
        <f aca="false">IF(OR(BB379="",N(AZ379)=0),"",BB379/AZ379)</f>
        <v/>
      </c>
      <c r="BK379" s="34" t="str">
        <f aca="false">IF(OR(A379="",N(BB379)=0),"",BD379/BB379)</f>
        <v/>
      </c>
      <c r="BL379" s="34" t="str">
        <f aca="false">IF(OR(A379="",N(AZ379)=0),"",BD379/AZ379)</f>
        <v/>
      </c>
      <c r="BM379" s="37" t="str">
        <f aca="false">IF(OR(N(Q379)=0,N(BD379)=0),"",Q379/BD379)</f>
        <v/>
      </c>
      <c r="BN379" s="29"/>
      <c r="BO379" s="29"/>
      <c r="BP379" s="33" t="str">
        <f aca="false">IF(OR(AR379="",N(AO379)=0),"",AR379)</f>
        <v/>
      </c>
      <c r="BQ379" s="33" t="str">
        <f aca="false">IF(OR(AR379="",N(S379)=0),"",S379)</f>
        <v/>
      </c>
      <c r="BR379" s="38" t="str">
        <f aca="false">IF(AND(ISNUMBER(B379),B379&gt;=Dashboard!$C$4,B379&lt;=Dashboard!$F$4,ISNUMBER(AU379)),AU379+ROW()/10^9,"")</f>
        <v/>
      </c>
      <c r="BS379" s="38" t="str">
        <f aca="false">IF(AND(ISNUMBER(B379),B379&gt;=Dashboard!$C$4,B379&lt;=Dashboard!$F$4,A379&lt;&gt;""),N(BD379)+N(AU379)/100+ROW()/10^9,"")</f>
        <v/>
      </c>
    </row>
    <row r="380" customFormat="false" ht="15" hidden="false" customHeight="false" outlineLevel="0" collapsed="false">
      <c r="A380" s="24" t="str">
        <f aca="false">IF(OR(B380="",G380="",H380=""),"",IFERROR(INDEX(Settings!$E$5:$E$49,MATCH(G380,Settings!$D$5:$D$49,0))&amp;INDEX(Settings!$H$5:$H$47,MATCH(H380,Settings!$G$5:$G$47,0))&amp;"-"&amp;TEXT(B380,"yymmdd")&amp;"-"&amp;IF(C380="","0000",TEXT(C380,"hhmm")),"CHECK LISTS"))</f>
        <v/>
      </c>
      <c r="B380" s="39"/>
      <c r="C380" s="40"/>
      <c r="D380" s="24" t="str">
        <f aca="false">IF(B380="","",TEXT(B380,"ddd"))</f>
        <v/>
      </c>
      <c r="E380" s="27" t="str">
        <f aca="false">IF(B380="","",B380-WEEKDAY(B380,3))</f>
        <v/>
      </c>
      <c r="F380" s="24" t="str">
        <f aca="false">IF(B380="","",TEXT(B380,"yyyy-mm"))</f>
        <v/>
      </c>
      <c r="G380" s="29"/>
      <c r="H380" s="29"/>
      <c r="I380" s="29"/>
      <c r="J380" s="29"/>
      <c r="K380" s="29"/>
      <c r="L380" s="29"/>
      <c r="M380" s="29"/>
      <c r="N380" s="29"/>
      <c r="O380" s="29"/>
      <c r="P380" s="29"/>
      <c r="Q380" s="30"/>
      <c r="R380" s="29"/>
      <c r="S380" s="32"/>
      <c r="T380" s="29"/>
      <c r="U380" s="29"/>
      <c r="V380" s="24" t="str">
        <f aca="false">IF(A380="","",IFERROR(INDEX(Settings!$F$5:$F$49,MATCH(G380,Settings!$D$5:$D$49,0)),""))</f>
        <v/>
      </c>
      <c r="W380" s="24" t="str">
        <f aca="false">IF(A380="","",IF(OR(P380="",P380="Organic"),"social","paid_social"))</f>
        <v/>
      </c>
      <c r="X380" s="24" t="str">
        <f aca="false">IF(A380="","",IF(K380&lt;&gt;"",IFERROR(INDEX('Case Studies'!$C$5:$C$54,MATCH(K380,'Case Studies'!$B$5:$B$54,0))&amp;"","case-study"),IF(J380&lt;&gt;"",IFERROR(INDEX(Settings!$J$5:$J$55,MATCH(J380,Settings!$I$5:$I$55,0)),"general"),"general")))</f>
        <v/>
      </c>
      <c r="Y380" s="24" t="str">
        <f aca="false">IF(A380="","",LOWER(A380))</f>
        <v/>
      </c>
      <c r="Z380" s="24" t="str">
        <f aca="false">IF(A380="","",IF(T380="",Settings!$B$5,T380)&amp;IF(ISNUMBER(FIND("?",IF(T380="",Settings!$B$5,T380))),"&amp;","?")&amp;"utm_source="&amp;V380&amp;"&amp;utm_medium="&amp;W380&amp;"&amp;utm_campaign="&amp;X380&amp;"&amp;utm_content="&amp;Y380)</f>
        <v/>
      </c>
      <c r="AA380" s="29"/>
      <c r="AB380" s="39"/>
      <c r="AC380" s="32"/>
      <c r="AD380" s="32"/>
      <c r="AE380" s="32"/>
      <c r="AF380" s="32"/>
      <c r="AG380" s="32"/>
      <c r="AH380" s="32"/>
      <c r="AI380" s="32"/>
      <c r="AJ380" s="32"/>
      <c r="AK380" s="32"/>
      <c r="AL380" s="32"/>
      <c r="AM380" s="32"/>
      <c r="AN380" s="32"/>
      <c r="AO380" s="33" t="str">
        <f aca="false">IF(A380="","",IF(AD380&lt;&gt;"",AD380,IF(AC380&lt;&gt;"",AC380,"")))</f>
        <v/>
      </c>
      <c r="AP380" s="24" t="str">
        <f aca="false">IF(AO380="","",IF(AD380&lt;&gt;"","Reported reach","Impressions (proxy)"))</f>
        <v/>
      </c>
      <c r="AQ380" s="34" t="str">
        <f aca="false">IF(OR(AO380="",N(S380)=0),"",AO380/S380)</f>
        <v/>
      </c>
      <c r="AR380" s="33" t="str">
        <f aca="false">IF(A380="","",IF(COUNT(AF380:AJ380)=0,"",SUM(AF380:AJ380)))</f>
        <v/>
      </c>
      <c r="AS380" s="34" t="str">
        <f aca="false">IF(OR(AR380="",N(AO380)=0),"",AR380/AO380)</f>
        <v/>
      </c>
      <c r="AT380" s="34" t="str">
        <f aca="false">IF(OR(AR380="",N(AC380)=0),"",AR380/AC380)</f>
        <v/>
      </c>
      <c r="AU380" s="34" t="str">
        <f aca="false">IF(OR(AR380="",N(S380)=0),"",AR380/S380)</f>
        <v/>
      </c>
      <c r="AV380" s="34" t="str">
        <f aca="false">IF(OR(AJ380="",N(AC380)=0),"",AJ380/AC380)</f>
        <v/>
      </c>
      <c r="AW380" s="34" t="str">
        <f aca="false">IF(OR(AH380="",N(AO380)=0),"",AH380/AO380)</f>
        <v/>
      </c>
      <c r="AX380" s="35" t="str">
        <f aca="false">IF(OR(AR380="",N(AO380)=0),"",(N(AF380)*Settings!$B$6+N(AG380)*Settings!$B$7+N(AH380)*Settings!$B$8+N(AI380)*Settings!$B$9+N(AJ380)*Settings!$B$10)/AO380*1000)</f>
        <v/>
      </c>
      <c r="AY380" s="36" t="str">
        <f aca="false">IF(AS380="","",IFERROR(AS380/AVERAGEIFS('Post Tracker'!$AS$5:$AS$1004,'Post Tracker'!$G$5:$G$1004,G380),""))</f>
        <v/>
      </c>
      <c r="AZ380" s="32"/>
      <c r="BA380" s="32"/>
      <c r="BB380" s="32"/>
      <c r="BC380" s="32"/>
      <c r="BD380" s="33" t="str">
        <f aca="false">IF(A380="","",COUNTIFS('Demo Pipeline'!$Q$5:$Q$504,A380))</f>
        <v/>
      </c>
      <c r="BE380" s="33" t="str">
        <f aca="false">IF(A380="","",COUNTIFS('Demo Pipeline'!$Q$5:$Q$504,A380,'Demo Pipeline'!$W$5:$W$504,"Attended"))</f>
        <v/>
      </c>
      <c r="BF380" s="33" t="str">
        <f aca="false">IF(A380="","",COUNTIFS('Demo Pipeline'!$Q$5:$Q$504,A380,'Demo Pipeline'!$X$5:$X$504,"Yes"))</f>
        <v/>
      </c>
      <c r="BG380" s="33" t="str">
        <f aca="false">IF(A380="","",COUNTIFS('Demo Pipeline'!$Q$5:$Q$504,A380,'Demo Pipeline'!$Y$5:$Y$504,"Closed Won"))</f>
        <v/>
      </c>
      <c r="BH380" s="37" t="str">
        <f aca="false">IF(A380="","",SUMIFS('Demo Pipeline'!$Z$5:$Z$504,'Demo Pipeline'!$Q$5:$Q$504,A380))</f>
        <v/>
      </c>
      <c r="BI380" s="34" t="str">
        <f aca="false">IF(OR(AZ380="",N(AJ380)=0),"",AZ380/AJ380)</f>
        <v/>
      </c>
      <c r="BJ380" s="34" t="str">
        <f aca="false">IF(OR(BB380="",N(AZ380)=0),"",BB380/AZ380)</f>
        <v/>
      </c>
      <c r="BK380" s="34" t="str">
        <f aca="false">IF(OR(A380="",N(BB380)=0),"",BD380/BB380)</f>
        <v/>
      </c>
      <c r="BL380" s="34" t="str">
        <f aca="false">IF(OR(A380="",N(AZ380)=0),"",BD380/AZ380)</f>
        <v/>
      </c>
      <c r="BM380" s="37" t="str">
        <f aca="false">IF(OR(N(Q380)=0,N(BD380)=0),"",Q380/BD380)</f>
        <v/>
      </c>
      <c r="BN380" s="29"/>
      <c r="BO380" s="29"/>
      <c r="BP380" s="33" t="str">
        <f aca="false">IF(OR(AR380="",N(AO380)=0),"",AR380)</f>
        <v/>
      </c>
      <c r="BQ380" s="33" t="str">
        <f aca="false">IF(OR(AR380="",N(S380)=0),"",S380)</f>
        <v/>
      </c>
      <c r="BR380" s="38" t="str">
        <f aca="false">IF(AND(ISNUMBER(B380),B380&gt;=Dashboard!$C$4,B380&lt;=Dashboard!$F$4,ISNUMBER(AU380)),AU380+ROW()/10^9,"")</f>
        <v/>
      </c>
      <c r="BS380" s="38" t="str">
        <f aca="false">IF(AND(ISNUMBER(B380),B380&gt;=Dashboard!$C$4,B380&lt;=Dashboard!$F$4,A380&lt;&gt;""),N(BD380)+N(AU380)/100+ROW()/10^9,"")</f>
        <v/>
      </c>
    </row>
    <row r="381" customFormat="false" ht="15" hidden="false" customHeight="false" outlineLevel="0" collapsed="false">
      <c r="A381" s="24" t="str">
        <f aca="false">IF(OR(B381="",G381="",H381=""),"",IFERROR(INDEX(Settings!$E$5:$E$49,MATCH(G381,Settings!$D$5:$D$49,0))&amp;INDEX(Settings!$H$5:$H$47,MATCH(H381,Settings!$G$5:$G$47,0))&amp;"-"&amp;TEXT(B381,"yymmdd")&amp;"-"&amp;IF(C381="","0000",TEXT(C381,"hhmm")),"CHECK LISTS"))</f>
        <v/>
      </c>
      <c r="B381" s="39"/>
      <c r="C381" s="40"/>
      <c r="D381" s="24" t="str">
        <f aca="false">IF(B381="","",TEXT(B381,"ddd"))</f>
        <v/>
      </c>
      <c r="E381" s="27" t="str">
        <f aca="false">IF(B381="","",B381-WEEKDAY(B381,3))</f>
        <v/>
      </c>
      <c r="F381" s="24" t="str">
        <f aca="false">IF(B381="","",TEXT(B381,"yyyy-mm"))</f>
        <v/>
      </c>
      <c r="G381" s="29"/>
      <c r="H381" s="29"/>
      <c r="I381" s="29"/>
      <c r="J381" s="29"/>
      <c r="K381" s="29"/>
      <c r="L381" s="29"/>
      <c r="M381" s="29"/>
      <c r="N381" s="29"/>
      <c r="O381" s="29"/>
      <c r="P381" s="29"/>
      <c r="Q381" s="30"/>
      <c r="R381" s="29"/>
      <c r="S381" s="32"/>
      <c r="T381" s="29"/>
      <c r="U381" s="29"/>
      <c r="V381" s="24" t="str">
        <f aca="false">IF(A381="","",IFERROR(INDEX(Settings!$F$5:$F$49,MATCH(G381,Settings!$D$5:$D$49,0)),""))</f>
        <v/>
      </c>
      <c r="W381" s="24" t="str">
        <f aca="false">IF(A381="","",IF(OR(P381="",P381="Organic"),"social","paid_social"))</f>
        <v/>
      </c>
      <c r="X381" s="24" t="str">
        <f aca="false">IF(A381="","",IF(K381&lt;&gt;"",IFERROR(INDEX('Case Studies'!$C$5:$C$54,MATCH(K381,'Case Studies'!$B$5:$B$54,0))&amp;"","case-study"),IF(J381&lt;&gt;"",IFERROR(INDEX(Settings!$J$5:$J$55,MATCH(J381,Settings!$I$5:$I$55,0)),"general"),"general")))</f>
        <v/>
      </c>
      <c r="Y381" s="24" t="str">
        <f aca="false">IF(A381="","",LOWER(A381))</f>
        <v/>
      </c>
      <c r="Z381" s="24" t="str">
        <f aca="false">IF(A381="","",IF(T381="",Settings!$B$5,T381)&amp;IF(ISNUMBER(FIND("?",IF(T381="",Settings!$B$5,T381))),"&amp;","?")&amp;"utm_source="&amp;V381&amp;"&amp;utm_medium="&amp;W381&amp;"&amp;utm_campaign="&amp;X381&amp;"&amp;utm_content="&amp;Y381)</f>
        <v/>
      </c>
      <c r="AA381" s="29"/>
      <c r="AB381" s="39"/>
      <c r="AC381" s="32"/>
      <c r="AD381" s="32"/>
      <c r="AE381" s="32"/>
      <c r="AF381" s="32"/>
      <c r="AG381" s="32"/>
      <c r="AH381" s="32"/>
      <c r="AI381" s="32"/>
      <c r="AJ381" s="32"/>
      <c r="AK381" s="32"/>
      <c r="AL381" s="32"/>
      <c r="AM381" s="32"/>
      <c r="AN381" s="32"/>
      <c r="AO381" s="33" t="str">
        <f aca="false">IF(A381="","",IF(AD381&lt;&gt;"",AD381,IF(AC381&lt;&gt;"",AC381,"")))</f>
        <v/>
      </c>
      <c r="AP381" s="24" t="str">
        <f aca="false">IF(AO381="","",IF(AD381&lt;&gt;"","Reported reach","Impressions (proxy)"))</f>
        <v/>
      </c>
      <c r="AQ381" s="34" t="str">
        <f aca="false">IF(OR(AO381="",N(S381)=0),"",AO381/S381)</f>
        <v/>
      </c>
      <c r="AR381" s="33" t="str">
        <f aca="false">IF(A381="","",IF(COUNT(AF381:AJ381)=0,"",SUM(AF381:AJ381)))</f>
        <v/>
      </c>
      <c r="AS381" s="34" t="str">
        <f aca="false">IF(OR(AR381="",N(AO381)=0),"",AR381/AO381)</f>
        <v/>
      </c>
      <c r="AT381" s="34" t="str">
        <f aca="false">IF(OR(AR381="",N(AC381)=0),"",AR381/AC381)</f>
        <v/>
      </c>
      <c r="AU381" s="34" t="str">
        <f aca="false">IF(OR(AR381="",N(S381)=0),"",AR381/S381)</f>
        <v/>
      </c>
      <c r="AV381" s="34" t="str">
        <f aca="false">IF(OR(AJ381="",N(AC381)=0),"",AJ381/AC381)</f>
        <v/>
      </c>
      <c r="AW381" s="34" t="str">
        <f aca="false">IF(OR(AH381="",N(AO381)=0),"",AH381/AO381)</f>
        <v/>
      </c>
      <c r="AX381" s="35" t="str">
        <f aca="false">IF(OR(AR381="",N(AO381)=0),"",(N(AF381)*Settings!$B$6+N(AG381)*Settings!$B$7+N(AH381)*Settings!$B$8+N(AI381)*Settings!$B$9+N(AJ381)*Settings!$B$10)/AO381*1000)</f>
        <v/>
      </c>
      <c r="AY381" s="36" t="str">
        <f aca="false">IF(AS381="","",IFERROR(AS381/AVERAGEIFS('Post Tracker'!$AS$5:$AS$1004,'Post Tracker'!$G$5:$G$1004,G381),""))</f>
        <v/>
      </c>
      <c r="AZ381" s="32"/>
      <c r="BA381" s="32"/>
      <c r="BB381" s="32"/>
      <c r="BC381" s="32"/>
      <c r="BD381" s="33" t="str">
        <f aca="false">IF(A381="","",COUNTIFS('Demo Pipeline'!$Q$5:$Q$504,A381))</f>
        <v/>
      </c>
      <c r="BE381" s="33" t="str">
        <f aca="false">IF(A381="","",COUNTIFS('Demo Pipeline'!$Q$5:$Q$504,A381,'Demo Pipeline'!$W$5:$W$504,"Attended"))</f>
        <v/>
      </c>
      <c r="BF381" s="33" t="str">
        <f aca="false">IF(A381="","",COUNTIFS('Demo Pipeline'!$Q$5:$Q$504,A381,'Demo Pipeline'!$X$5:$X$504,"Yes"))</f>
        <v/>
      </c>
      <c r="BG381" s="33" t="str">
        <f aca="false">IF(A381="","",COUNTIFS('Demo Pipeline'!$Q$5:$Q$504,A381,'Demo Pipeline'!$Y$5:$Y$504,"Closed Won"))</f>
        <v/>
      </c>
      <c r="BH381" s="37" t="str">
        <f aca="false">IF(A381="","",SUMIFS('Demo Pipeline'!$Z$5:$Z$504,'Demo Pipeline'!$Q$5:$Q$504,A381))</f>
        <v/>
      </c>
      <c r="BI381" s="34" t="str">
        <f aca="false">IF(OR(AZ381="",N(AJ381)=0),"",AZ381/AJ381)</f>
        <v/>
      </c>
      <c r="BJ381" s="34" t="str">
        <f aca="false">IF(OR(BB381="",N(AZ381)=0),"",BB381/AZ381)</f>
        <v/>
      </c>
      <c r="BK381" s="34" t="str">
        <f aca="false">IF(OR(A381="",N(BB381)=0),"",BD381/BB381)</f>
        <v/>
      </c>
      <c r="BL381" s="34" t="str">
        <f aca="false">IF(OR(A381="",N(AZ381)=0),"",BD381/AZ381)</f>
        <v/>
      </c>
      <c r="BM381" s="37" t="str">
        <f aca="false">IF(OR(N(Q381)=0,N(BD381)=0),"",Q381/BD381)</f>
        <v/>
      </c>
      <c r="BN381" s="29"/>
      <c r="BO381" s="29"/>
      <c r="BP381" s="33" t="str">
        <f aca="false">IF(OR(AR381="",N(AO381)=0),"",AR381)</f>
        <v/>
      </c>
      <c r="BQ381" s="33" t="str">
        <f aca="false">IF(OR(AR381="",N(S381)=0),"",S381)</f>
        <v/>
      </c>
      <c r="BR381" s="38" t="str">
        <f aca="false">IF(AND(ISNUMBER(B381),B381&gt;=Dashboard!$C$4,B381&lt;=Dashboard!$F$4,ISNUMBER(AU381)),AU381+ROW()/10^9,"")</f>
        <v/>
      </c>
      <c r="BS381" s="38" t="str">
        <f aca="false">IF(AND(ISNUMBER(B381),B381&gt;=Dashboard!$C$4,B381&lt;=Dashboard!$F$4,A381&lt;&gt;""),N(BD381)+N(AU381)/100+ROW()/10^9,"")</f>
        <v/>
      </c>
    </row>
    <row r="382" customFormat="false" ht="15" hidden="false" customHeight="false" outlineLevel="0" collapsed="false">
      <c r="A382" s="24" t="str">
        <f aca="false">IF(OR(B382="",G382="",H382=""),"",IFERROR(INDEX(Settings!$E$5:$E$49,MATCH(G382,Settings!$D$5:$D$49,0))&amp;INDEX(Settings!$H$5:$H$47,MATCH(H382,Settings!$G$5:$G$47,0))&amp;"-"&amp;TEXT(B382,"yymmdd")&amp;"-"&amp;IF(C382="","0000",TEXT(C382,"hhmm")),"CHECK LISTS"))</f>
        <v/>
      </c>
      <c r="B382" s="39"/>
      <c r="C382" s="40"/>
      <c r="D382" s="24" t="str">
        <f aca="false">IF(B382="","",TEXT(B382,"ddd"))</f>
        <v/>
      </c>
      <c r="E382" s="27" t="str">
        <f aca="false">IF(B382="","",B382-WEEKDAY(B382,3))</f>
        <v/>
      </c>
      <c r="F382" s="24" t="str">
        <f aca="false">IF(B382="","",TEXT(B382,"yyyy-mm"))</f>
        <v/>
      </c>
      <c r="G382" s="29"/>
      <c r="H382" s="29"/>
      <c r="I382" s="29"/>
      <c r="J382" s="29"/>
      <c r="K382" s="29"/>
      <c r="L382" s="29"/>
      <c r="M382" s="29"/>
      <c r="N382" s="29"/>
      <c r="O382" s="29"/>
      <c r="P382" s="29"/>
      <c r="Q382" s="30"/>
      <c r="R382" s="29"/>
      <c r="S382" s="32"/>
      <c r="T382" s="29"/>
      <c r="U382" s="29"/>
      <c r="V382" s="24" t="str">
        <f aca="false">IF(A382="","",IFERROR(INDEX(Settings!$F$5:$F$49,MATCH(G382,Settings!$D$5:$D$49,0)),""))</f>
        <v/>
      </c>
      <c r="W382" s="24" t="str">
        <f aca="false">IF(A382="","",IF(OR(P382="",P382="Organic"),"social","paid_social"))</f>
        <v/>
      </c>
      <c r="X382" s="24" t="str">
        <f aca="false">IF(A382="","",IF(K382&lt;&gt;"",IFERROR(INDEX('Case Studies'!$C$5:$C$54,MATCH(K382,'Case Studies'!$B$5:$B$54,0))&amp;"","case-study"),IF(J382&lt;&gt;"",IFERROR(INDEX(Settings!$J$5:$J$55,MATCH(J382,Settings!$I$5:$I$55,0)),"general"),"general")))</f>
        <v/>
      </c>
      <c r="Y382" s="24" t="str">
        <f aca="false">IF(A382="","",LOWER(A382))</f>
        <v/>
      </c>
      <c r="Z382" s="24" t="str">
        <f aca="false">IF(A382="","",IF(T382="",Settings!$B$5,T382)&amp;IF(ISNUMBER(FIND("?",IF(T382="",Settings!$B$5,T382))),"&amp;","?")&amp;"utm_source="&amp;V382&amp;"&amp;utm_medium="&amp;W382&amp;"&amp;utm_campaign="&amp;X382&amp;"&amp;utm_content="&amp;Y382)</f>
        <v/>
      </c>
      <c r="AA382" s="29"/>
      <c r="AB382" s="39"/>
      <c r="AC382" s="32"/>
      <c r="AD382" s="32"/>
      <c r="AE382" s="32"/>
      <c r="AF382" s="32"/>
      <c r="AG382" s="32"/>
      <c r="AH382" s="32"/>
      <c r="AI382" s="32"/>
      <c r="AJ382" s="32"/>
      <c r="AK382" s="32"/>
      <c r="AL382" s="32"/>
      <c r="AM382" s="32"/>
      <c r="AN382" s="32"/>
      <c r="AO382" s="33" t="str">
        <f aca="false">IF(A382="","",IF(AD382&lt;&gt;"",AD382,IF(AC382&lt;&gt;"",AC382,"")))</f>
        <v/>
      </c>
      <c r="AP382" s="24" t="str">
        <f aca="false">IF(AO382="","",IF(AD382&lt;&gt;"","Reported reach","Impressions (proxy)"))</f>
        <v/>
      </c>
      <c r="AQ382" s="34" t="str">
        <f aca="false">IF(OR(AO382="",N(S382)=0),"",AO382/S382)</f>
        <v/>
      </c>
      <c r="AR382" s="33" t="str">
        <f aca="false">IF(A382="","",IF(COUNT(AF382:AJ382)=0,"",SUM(AF382:AJ382)))</f>
        <v/>
      </c>
      <c r="AS382" s="34" t="str">
        <f aca="false">IF(OR(AR382="",N(AO382)=0),"",AR382/AO382)</f>
        <v/>
      </c>
      <c r="AT382" s="34" t="str">
        <f aca="false">IF(OR(AR382="",N(AC382)=0),"",AR382/AC382)</f>
        <v/>
      </c>
      <c r="AU382" s="34" t="str">
        <f aca="false">IF(OR(AR382="",N(S382)=0),"",AR382/S382)</f>
        <v/>
      </c>
      <c r="AV382" s="34" t="str">
        <f aca="false">IF(OR(AJ382="",N(AC382)=0),"",AJ382/AC382)</f>
        <v/>
      </c>
      <c r="AW382" s="34" t="str">
        <f aca="false">IF(OR(AH382="",N(AO382)=0),"",AH382/AO382)</f>
        <v/>
      </c>
      <c r="AX382" s="35" t="str">
        <f aca="false">IF(OR(AR382="",N(AO382)=0),"",(N(AF382)*Settings!$B$6+N(AG382)*Settings!$B$7+N(AH382)*Settings!$B$8+N(AI382)*Settings!$B$9+N(AJ382)*Settings!$B$10)/AO382*1000)</f>
        <v/>
      </c>
      <c r="AY382" s="36" t="str">
        <f aca="false">IF(AS382="","",IFERROR(AS382/AVERAGEIFS('Post Tracker'!$AS$5:$AS$1004,'Post Tracker'!$G$5:$G$1004,G382),""))</f>
        <v/>
      </c>
      <c r="AZ382" s="32"/>
      <c r="BA382" s="32"/>
      <c r="BB382" s="32"/>
      <c r="BC382" s="32"/>
      <c r="BD382" s="33" t="str">
        <f aca="false">IF(A382="","",COUNTIFS('Demo Pipeline'!$Q$5:$Q$504,A382))</f>
        <v/>
      </c>
      <c r="BE382" s="33" t="str">
        <f aca="false">IF(A382="","",COUNTIFS('Demo Pipeline'!$Q$5:$Q$504,A382,'Demo Pipeline'!$W$5:$W$504,"Attended"))</f>
        <v/>
      </c>
      <c r="BF382" s="33" t="str">
        <f aca="false">IF(A382="","",COUNTIFS('Demo Pipeline'!$Q$5:$Q$504,A382,'Demo Pipeline'!$X$5:$X$504,"Yes"))</f>
        <v/>
      </c>
      <c r="BG382" s="33" t="str">
        <f aca="false">IF(A382="","",COUNTIFS('Demo Pipeline'!$Q$5:$Q$504,A382,'Demo Pipeline'!$Y$5:$Y$504,"Closed Won"))</f>
        <v/>
      </c>
      <c r="BH382" s="37" t="str">
        <f aca="false">IF(A382="","",SUMIFS('Demo Pipeline'!$Z$5:$Z$504,'Demo Pipeline'!$Q$5:$Q$504,A382))</f>
        <v/>
      </c>
      <c r="BI382" s="34" t="str">
        <f aca="false">IF(OR(AZ382="",N(AJ382)=0),"",AZ382/AJ382)</f>
        <v/>
      </c>
      <c r="BJ382" s="34" t="str">
        <f aca="false">IF(OR(BB382="",N(AZ382)=0),"",BB382/AZ382)</f>
        <v/>
      </c>
      <c r="BK382" s="34" t="str">
        <f aca="false">IF(OR(A382="",N(BB382)=0),"",BD382/BB382)</f>
        <v/>
      </c>
      <c r="BL382" s="34" t="str">
        <f aca="false">IF(OR(A382="",N(AZ382)=0),"",BD382/AZ382)</f>
        <v/>
      </c>
      <c r="BM382" s="37" t="str">
        <f aca="false">IF(OR(N(Q382)=0,N(BD382)=0),"",Q382/BD382)</f>
        <v/>
      </c>
      <c r="BN382" s="29"/>
      <c r="BO382" s="29"/>
      <c r="BP382" s="33" t="str">
        <f aca="false">IF(OR(AR382="",N(AO382)=0),"",AR382)</f>
        <v/>
      </c>
      <c r="BQ382" s="33" t="str">
        <f aca="false">IF(OR(AR382="",N(S382)=0),"",S382)</f>
        <v/>
      </c>
      <c r="BR382" s="38" t="str">
        <f aca="false">IF(AND(ISNUMBER(B382),B382&gt;=Dashboard!$C$4,B382&lt;=Dashboard!$F$4,ISNUMBER(AU382)),AU382+ROW()/10^9,"")</f>
        <v/>
      </c>
      <c r="BS382" s="38" t="str">
        <f aca="false">IF(AND(ISNUMBER(B382),B382&gt;=Dashboard!$C$4,B382&lt;=Dashboard!$F$4,A382&lt;&gt;""),N(BD382)+N(AU382)/100+ROW()/10^9,"")</f>
        <v/>
      </c>
    </row>
    <row r="383" customFormat="false" ht="15" hidden="false" customHeight="false" outlineLevel="0" collapsed="false">
      <c r="A383" s="24" t="str">
        <f aca="false">IF(OR(B383="",G383="",H383=""),"",IFERROR(INDEX(Settings!$E$5:$E$49,MATCH(G383,Settings!$D$5:$D$49,0))&amp;INDEX(Settings!$H$5:$H$47,MATCH(H383,Settings!$G$5:$G$47,0))&amp;"-"&amp;TEXT(B383,"yymmdd")&amp;"-"&amp;IF(C383="","0000",TEXT(C383,"hhmm")),"CHECK LISTS"))</f>
        <v/>
      </c>
      <c r="B383" s="39"/>
      <c r="C383" s="40"/>
      <c r="D383" s="24" t="str">
        <f aca="false">IF(B383="","",TEXT(B383,"ddd"))</f>
        <v/>
      </c>
      <c r="E383" s="27" t="str">
        <f aca="false">IF(B383="","",B383-WEEKDAY(B383,3))</f>
        <v/>
      </c>
      <c r="F383" s="24" t="str">
        <f aca="false">IF(B383="","",TEXT(B383,"yyyy-mm"))</f>
        <v/>
      </c>
      <c r="G383" s="29"/>
      <c r="H383" s="29"/>
      <c r="I383" s="29"/>
      <c r="J383" s="29"/>
      <c r="K383" s="29"/>
      <c r="L383" s="29"/>
      <c r="M383" s="29"/>
      <c r="N383" s="29"/>
      <c r="O383" s="29"/>
      <c r="P383" s="29"/>
      <c r="Q383" s="30"/>
      <c r="R383" s="29"/>
      <c r="S383" s="32"/>
      <c r="T383" s="29"/>
      <c r="U383" s="29"/>
      <c r="V383" s="24" t="str">
        <f aca="false">IF(A383="","",IFERROR(INDEX(Settings!$F$5:$F$49,MATCH(G383,Settings!$D$5:$D$49,0)),""))</f>
        <v/>
      </c>
      <c r="W383" s="24" t="str">
        <f aca="false">IF(A383="","",IF(OR(P383="",P383="Organic"),"social","paid_social"))</f>
        <v/>
      </c>
      <c r="X383" s="24" t="str">
        <f aca="false">IF(A383="","",IF(K383&lt;&gt;"",IFERROR(INDEX('Case Studies'!$C$5:$C$54,MATCH(K383,'Case Studies'!$B$5:$B$54,0))&amp;"","case-study"),IF(J383&lt;&gt;"",IFERROR(INDEX(Settings!$J$5:$J$55,MATCH(J383,Settings!$I$5:$I$55,0)),"general"),"general")))</f>
        <v/>
      </c>
      <c r="Y383" s="24" t="str">
        <f aca="false">IF(A383="","",LOWER(A383))</f>
        <v/>
      </c>
      <c r="Z383" s="24" t="str">
        <f aca="false">IF(A383="","",IF(T383="",Settings!$B$5,T383)&amp;IF(ISNUMBER(FIND("?",IF(T383="",Settings!$B$5,T383))),"&amp;","?")&amp;"utm_source="&amp;V383&amp;"&amp;utm_medium="&amp;W383&amp;"&amp;utm_campaign="&amp;X383&amp;"&amp;utm_content="&amp;Y383)</f>
        <v/>
      </c>
      <c r="AA383" s="29"/>
      <c r="AB383" s="39"/>
      <c r="AC383" s="32"/>
      <c r="AD383" s="32"/>
      <c r="AE383" s="32"/>
      <c r="AF383" s="32"/>
      <c r="AG383" s="32"/>
      <c r="AH383" s="32"/>
      <c r="AI383" s="32"/>
      <c r="AJ383" s="32"/>
      <c r="AK383" s="32"/>
      <c r="AL383" s="32"/>
      <c r="AM383" s="32"/>
      <c r="AN383" s="32"/>
      <c r="AO383" s="33" t="str">
        <f aca="false">IF(A383="","",IF(AD383&lt;&gt;"",AD383,IF(AC383&lt;&gt;"",AC383,"")))</f>
        <v/>
      </c>
      <c r="AP383" s="24" t="str">
        <f aca="false">IF(AO383="","",IF(AD383&lt;&gt;"","Reported reach","Impressions (proxy)"))</f>
        <v/>
      </c>
      <c r="AQ383" s="34" t="str">
        <f aca="false">IF(OR(AO383="",N(S383)=0),"",AO383/S383)</f>
        <v/>
      </c>
      <c r="AR383" s="33" t="str">
        <f aca="false">IF(A383="","",IF(COUNT(AF383:AJ383)=0,"",SUM(AF383:AJ383)))</f>
        <v/>
      </c>
      <c r="AS383" s="34" t="str">
        <f aca="false">IF(OR(AR383="",N(AO383)=0),"",AR383/AO383)</f>
        <v/>
      </c>
      <c r="AT383" s="34" t="str">
        <f aca="false">IF(OR(AR383="",N(AC383)=0),"",AR383/AC383)</f>
        <v/>
      </c>
      <c r="AU383" s="34" t="str">
        <f aca="false">IF(OR(AR383="",N(S383)=0),"",AR383/S383)</f>
        <v/>
      </c>
      <c r="AV383" s="34" t="str">
        <f aca="false">IF(OR(AJ383="",N(AC383)=0),"",AJ383/AC383)</f>
        <v/>
      </c>
      <c r="AW383" s="34" t="str">
        <f aca="false">IF(OR(AH383="",N(AO383)=0),"",AH383/AO383)</f>
        <v/>
      </c>
      <c r="AX383" s="35" t="str">
        <f aca="false">IF(OR(AR383="",N(AO383)=0),"",(N(AF383)*Settings!$B$6+N(AG383)*Settings!$B$7+N(AH383)*Settings!$B$8+N(AI383)*Settings!$B$9+N(AJ383)*Settings!$B$10)/AO383*1000)</f>
        <v/>
      </c>
      <c r="AY383" s="36" t="str">
        <f aca="false">IF(AS383="","",IFERROR(AS383/AVERAGEIFS('Post Tracker'!$AS$5:$AS$1004,'Post Tracker'!$G$5:$G$1004,G383),""))</f>
        <v/>
      </c>
      <c r="AZ383" s="32"/>
      <c r="BA383" s="32"/>
      <c r="BB383" s="32"/>
      <c r="BC383" s="32"/>
      <c r="BD383" s="33" t="str">
        <f aca="false">IF(A383="","",COUNTIFS('Demo Pipeline'!$Q$5:$Q$504,A383))</f>
        <v/>
      </c>
      <c r="BE383" s="33" t="str">
        <f aca="false">IF(A383="","",COUNTIFS('Demo Pipeline'!$Q$5:$Q$504,A383,'Demo Pipeline'!$W$5:$W$504,"Attended"))</f>
        <v/>
      </c>
      <c r="BF383" s="33" t="str">
        <f aca="false">IF(A383="","",COUNTIFS('Demo Pipeline'!$Q$5:$Q$504,A383,'Demo Pipeline'!$X$5:$X$504,"Yes"))</f>
        <v/>
      </c>
      <c r="BG383" s="33" t="str">
        <f aca="false">IF(A383="","",COUNTIFS('Demo Pipeline'!$Q$5:$Q$504,A383,'Demo Pipeline'!$Y$5:$Y$504,"Closed Won"))</f>
        <v/>
      </c>
      <c r="BH383" s="37" t="str">
        <f aca="false">IF(A383="","",SUMIFS('Demo Pipeline'!$Z$5:$Z$504,'Demo Pipeline'!$Q$5:$Q$504,A383))</f>
        <v/>
      </c>
      <c r="BI383" s="34" t="str">
        <f aca="false">IF(OR(AZ383="",N(AJ383)=0),"",AZ383/AJ383)</f>
        <v/>
      </c>
      <c r="BJ383" s="34" t="str">
        <f aca="false">IF(OR(BB383="",N(AZ383)=0),"",BB383/AZ383)</f>
        <v/>
      </c>
      <c r="BK383" s="34" t="str">
        <f aca="false">IF(OR(A383="",N(BB383)=0),"",BD383/BB383)</f>
        <v/>
      </c>
      <c r="BL383" s="34" t="str">
        <f aca="false">IF(OR(A383="",N(AZ383)=0),"",BD383/AZ383)</f>
        <v/>
      </c>
      <c r="BM383" s="37" t="str">
        <f aca="false">IF(OR(N(Q383)=0,N(BD383)=0),"",Q383/BD383)</f>
        <v/>
      </c>
      <c r="BN383" s="29"/>
      <c r="BO383" s="29"/>
      <c r="BP383" s="33" t="str">
        <f aca="false">IF(OR(AR383="",N(AO383)=0),"",AR383)</f>
        <v/>
      </c>
      <c r="BQ383" s="33" t="str">
        <f aca="false">IF(OR(AR383="",N(S383)=0),"",S383)</f>
        <v/>
      </c>
      <c r="BR383" s="38" t="str">
        <f aca="false">IF(AND(ISNUMBER(B383),B383&gt;=Dashboard!$C$4,B383&lt;=Dashboard!$F$4,ISNUMBER(AU383)),AU383+ROW()/10^9,"")</f>
        <v/>
      </c>
      <c r="BS383" s="38" t="str">
        <f aca="false">IF(AND(ISNUMBER(B383),B383&gt;=Dashboard!$C$4,B383&lt;=Dashboard!$F$4,A383&lt;&gt;""),N(BD383)+N(AU383)/100+ROW()/10^9,"")</f>
        <v/>
      </c>
    </row>
    <row r="384" customFormat="false" ht="15" hidden="false" customHeight="false" outlineLevel="0" collapsed="false">
      <c r="A384" s="24" t="str">
        <f aca="false">IF(OR(B384="",G384="",H384=""),"",IFERROR(INDEX(Settings!$E$5:$E$49,MATCH(G384,Settings!$D$5:$D$49,0))&amp;INDEX(Settings!$H$5:$H$47,MATCH(H384,Settings!$G$5:$G$47,0))&amp;"-"&amp;TEXT(B384,"yymmdd")&amp;"-"&amp;IF(C384="","0000",TEXT(C384,"hhmm")),"CHECK LISTS"))</f>
        <v/>
      </c>
      <c r="B384" s="39"/>
      <c r="C384" s="40"/>
      <c r="D384" s="24" t="str">
        <f aca="false">IF(B384="","",TEXT(B384,"ddd"))</f>
        <v/>
      </c>
      <c r="E384" s="27" t="str">
        <f aca="false">IF(B384="","",B384-WEEKDAY(B384,3))</f>
        <v/>
      </c>
      <c r="F384" s="24" t="str">
        <f aca="false">IF(B384="","",TEXT(B384,"yyyy-mm"))</f>
        <v/>
      </c>
      <c r="G384" s="29"/>
      <c r="H384" s="29"/>
      <c r="I384" s="29"/>
      <c r="J384" s="29"/>
      <c r="K384" s="29"/>
      <c r="L384" s="29"/>
      <c r="M384" s="29"/>
      <c r="N384" s="29"/>
      <c r="O384" s="29"/>
      <c r="P384" s="29"/>
      <c r="Q384" s="30"/>
      <c r="R384" s="29"/>
      <c r="S384" s="32"/>
      <c r="T384" s="29"/>
      <c r="U384" s="29"/>
      <c r="V384" s="24" t="str">
        <f aca="false">IF(A384="","",IFERROR(INDEX(Settings!$F$5:$F$49,MATCH(G384,Settings!$D$5:$D$49,0)),""))</f>
        <v/>
      </c>
      <c r="W384" s="24" t="str">
        <f aca="false">IF(A384="","",IF(OR(P384="",P384="Organic"),"social","paid_social"))</f>
        <v/>
      </c>
      <c r="X384" s="24" t="str">
        <f aca="false">IF(A384="","",IF(K384&lt;&gt;"",IFERROR(INDEX('Case Studies'!$C$5:$C$54,MATCH(K384,'Case Studies'!$B$5:$B$54,0))&amp;"","case-study"),IF(J384&lt;&gt;"",IFERROR(INDEX(Settings!$J$5:$J$55,MATCH(J384,Settings!$I$5:$I$55,0)),"general"),"general")))</f>
        <v/>
      </c>
      <c r="Y384" s="24" t="str">
        <f aca="false">IF(A384="","",LOWER(A384))</f>
        <v/>
      </c>
      <c r="Z384" s="24" t="str">
        <f aca="false">IF(A384="","",IF(T384="",Settings!$B$5,T384)&amp;IF(ISNUMBER(FIND("?",IF(T384="",Settings!$B$5,T384))),"&amp;","?")&amp;"utm_source="&amp;V384&amp;"&amp;utm_medium="&amp;W384&amp;"&amp;utm_campaign="&amp;X384&amp;"&amp;utm_content="&amp;Y384)</f>
        <v/>
      </c>
      <c r="AA384" s="29"/>
      <c r="AB384" s="39"/>
      <c r="AC384" s="32"/>
      <c r="AD384" s="32"/>
      <c r="AE384" s="32"/>
      <c r="AF384" s="32"/>
      <c r="AG384" s="32"/>
      <c r="AH384" s="32"/>
      <c r="AI384" s="32"/>
      <c r="AJ384" s="32"/>
      <c r="AK384" s="32"/>
      <c r="AL384" s="32"/>
      <c r="AM384" s="32"/>
      <c r="AN384" s="32"/>
      <c r="AO384" s="33" t="str">
        <f aca="false">IF(A384="","",IF(AD384&lt;&gt;"",AD384,IF(AC384&lt;&gt;"",AC384,"")))</f>
        <v/>
      </c>
      <c r="AP384" s="24" t="str">
        <f aca="false">IF(AO384="","",IF(AD384&lt;&gt;"","Reported reach","Impressions (proxy)"))</f>
        <v/>
      </c>
      <c r="AQ384" s="34" t="str">
        <f aca="false">IF(OR(AO384="",N(S384)=0),"",AO384/S384)</f>
        <v/>
      </c>
      <c r="AR384" s="33" t="str">
        <f aca="false">IF(A384="","",IF(COUNT(AF384:AJ384)=0,"",SUM(AF384:AJ384)))</f>
        <v/>
      </c>
      <c r="AS384" s="34" t="str">
        <f aca="false">IF(OR(AR384="",N(AO384)=0),"",AR384/AO384)</f>
        <v/>
      </c>
      <c r="AT384" s="34" t="str">
        <f aca="false">IF(OR(AR384="",N(AC384)=0),"",AR384/AC384)</f>
        <v/>
      </c>
      <c r="AU384" s="34" t="str">
        <f aca="false">IF(OR(AR384="",N(S384)=0),"",AR384/S384)</f>
        <v/>
      </c>
      <c r="AV384" s="34" t="str">
        <f aca="false">IF(OR(AJ384="",N(AC384)=0),"",AJ384/AC384)</f>
        <v/>
      </c>
      <c r="AW384" s="34" t="str">
        <f aca="false">IF(OR(AH384="",N(AO384)=0),"",AH384/AO384)</f>
        <v/>
      </c>
      <c r="AX384" s="35" t="str">
        <f aca="false">IF(OR(AR384="",N(AO384)=0),"",(N(AF384)*Settings!$B$6+N(AG384)*Settings!$B$7+N(AH384)*Settings!$B$8+N(AI384)*Settings!$B$9+N(AJ384)*Settings!$B$10)/AO384*1000)</f>
        <v/>
      </c>
      <c r="AY384" s="36" t="str">
        <f aca="false">IF(AS384="","",IFERROR(AS384/AVERAGEIFS('Post Tracker'!$AS$5:$AS$1004,'Post Tracker'!$G$5:$G$1004,G384),""))</f>
        <v/>
      </c>
      <c r="AZ384" s="32"/>
      <c r="BA384" s="32"/>
      <c r="BB384" s="32"/>
      <c r="BC384" s="32"/>
      <c r="BD384" s="33" t="str">
        <f aca="false">IF(A384="","",COUNTIFS('Demo Pipeline'!$Q$5:$Q$504,A384))</f>
        <v/>
      </c>
      <c r="BE384" s="33" t="str">
        <f aca="false">IF(A384="","",COUNTIFS('Demo Pipeline'!$Q$5:$Q$504,A384,'Demo Pipeline'!$W$5:$W$504,"Attended"))</f>
        <v/>
      </c>
      <c r="BF384" s="33" t="str">
        <f aca="false">IF(A384="","",COUNTIFS('Demo Pipeline'!$Q$5:$Q$504,A384,'Demo Pipeline'!$X$5:$X$504,"Yes"))</f>
        <v/>
      </c>
      <c r="BG384" s="33" t="str">
        <f aca="false">IF(A384="","",COUNTIFS('Demo Pipeline'!$Q$5:$Q$504,A384,'Demo Pipeline'!$Y$5:$Y$504,"Closed Won"))</f>
        <v/>
      </c>
      <c r="BH384" s="37" t="str">
        <f aca="false">IF(A384="","",SUMIFS('Demo Pipeline'!$Z$5:$Z$504,'Demo Pipeline'!$Q$5:$Q$504,A384))</f>
        <v/>
      </c>
      <c r="BI384" s="34" t="str">
        <f aca="false">IF(OR(AZ384="",N(AJ384)=0),"",AZ384/AJ384)</f>
        <v/>
      </c>
      <c r="BJ384" s="34" t="str">
        <f aca="false">IF(OR(BB384="",N(AZ384)=0),"",BB384/AZ384)</f>
        <v/>
      </c>
      <c r="BK384" s="34" t="str">
        <f aca="false">IF(OR(A384="",N(BB384)=0),"",BD384/BB384)</f>
        <v/>
      </c>
      <c r="BL384" s="34" t="str">
        <f aca="false">IF(OR(A384="",N(AZ384)=0),"",BD384/AZ384)</f>
        <v/>
      </c>
      <c r="BM384" s="37" t="str">
        <f aca="false">IF(OR(N(Q384)=0,N(BD384)=0),"",Q384/BD384)</f>
        <v/>
      </c>
      <c r="BN384" s="29"/>
      <c r="BO384" s="29"/>
      <c r="BP384" s="33" t="str">
        <f aca="false">IF(OR(AR384="",N(AO384)=0),"",AR384)</f>
        <v/>
      </c>
      <c r="BQ384" s="33" t="str">
        <f aca="false">IF(OR(AR384="",N(S384)=0),"",S384)</f>
        <v/>
      </c>
      <c r="BR384" s="38" t="str">
        <f aca="false">IF(AND(ISNUMBER(B384),B384&gt;=Dashboard!$C$4,B384&lt;=Dashboard!$F$4,ISNUMBER(AU384)),AU384+ROW()/10^9,"")</f>
        <v/>
      </c>
      <c r="BS384" s="38" t="str">
        <f aca="false">IF(AND(ISNUMBER(B384),B384&gt;=Dashboard!$C$4,B384&lt;=Dashboard!$F$4,A384&lt;&gt;""),N(BD384)+N(AU384)/100+ROW()/10^9,"")</f>
        <v/>
      </c>
    </row>
    <row r="385" customFormat="false" ht="15" hidden="false" customHeight="false" outlineLevel="0" collapsed="false">
      <c r="A385" s="24" t="str">
        <f aca="false">IF(OR(B385="",G385="",H385=""),"",IFERROR(INDEX(Settings!$E$5:$E$49,MATCH(G385,Settings!$D$5:$D$49,0))&amp;INDEX(Settings!$H$5:$H$47,MATCH(H385,Settings!$G$5:$G$47,0))&amp;"-"&amp;TEXT(B385,"yymmdd")&amp;"-"&amp;IF(C385="","0000",TEXT(C385,"hhmm")),"CHECK LISTS"))</f>
        <v/>
      </c>
      <c r="B385" s="39"/>
      <c r="C385" s="40"/>
      <c r="D385" s="24" t="str">
        <f aca="false">IF(B385="","",TEXT(B385,"ddd"))</f>
        <v/>
      </c>
      <c r="E385" s="27" t="str">
        <f aca="false">IF(B385="","",B385-WEEKDAY(B385,3))</f>
        <v/>
      </c>
      <c r="F385" s="24" t="str">
        <f aca="false">IF(B385="","",TEXT(B385,"yyyy-mm"))</f>
        <v/>
      </c>
      <c r="G385" s="29"/>
      <c r="H385" s="29"/>
      <c r="I385" s="29"/>
      <c r="J385" s="29"/>
      <c r="K385" s="29"/>
      <c r="L385" s="29"/>
      <c r="M385" s="29"/>
      <c r="N385" s="29"/>
      <c r="O385" s="29"/>
      <c r="P385" s="29"/>
      <c r="Q385" s="30"/>
      <c r="R385" s="29"/>
      <c r="S385" s="32"/>
      <c r="T385" s="29"/>
      <c r="U385" s="29"/>
      <c r="V385" s="24" t="str">
        <f aca="false">IF(A385="","",IFERROR(INDEX(Settings!$F$5:$F$49,MATCH(G385,Settings!$D$5:$D$49,0)),""))</f>
        <v/>
      </c>
      <c r="W385" s="24" t="str">
        <f aca="false">IF(A385="","",IF(OR(P385="",P385="Organic"),"social","paid_social"))</f>
        <v/>
      </c>
      <c r="X385" s="24" t="str">
        <f aca="false">IF(A385="","",IF(K385&lt;&gt;"",IFERROR(INDEX('Case Studies'!$C$5:$C$54,MATCH(K385,'Case Studies'!$B$5:$B$54,0))&amp;"","case-study"),IF(J385&lt;&gt;"",IFERROR(INDEX(Settings!$J$5:$J$55,MATCH(J385,Settings!$I$5:$I$55,0)),"general"),"general")))</f>
        <v/>
      </c>
      <c r="Y385" s="24" t="str">
        <f aca="false">IF(A385="","",LOWER(A385))</f>
        <v/>
      </c>
      <c r="Z385" s="24" t="str">
        <f aca="false">IF(A385="","",IF(T385="",Settings!$B$5,T385)&amp;IF(ISNUMBER(FIND("?",IF(T385="",Settings!$B$5,T385))),"&amp;","?")&amp;"utm_source="&amp;V385&amp;"&amp;utm_medium="&amp;W385&amp;"&amp;utm_campaign="&amp;X385&amp;"&amp;utm_content="&amp;Y385)</f>
        <v/>
      </c>
      <c r="AA385" s="29"/>
      <c r="AB385" s="39"/>
      <c r="AC385" s="32"/>
      <c r="AD385" s="32"/>
      <c r="AE385" s="32"/>
      <c r="AF385" s="32"/>
      <c r="AG385" s="32"/>
      <c r="AH385" s="32"/>
      <c r="AI385" s="32"/>
      <c r="AJ385" s="32"/>
      <c r="AK385" s="32"/>
      <c r="AL385" s="32"/>
      <c r="AM385" s="32"/>
      <c r="AN385" s="32"/>
      <c r="AO385" s="33" t="str">
        <f aca="false">IF(A385="","",IF(AD385&lt;&gt;"",AD385,IF(AC385&lt;&gt;"",AC385,"")))</f>
        <v/>
      </c>
      <c r="AP385" s="24" t="str">
        <f aca="false">IF(AO385="","",IF(AD385&lt;&gt;"","Reported reach","Impressions (proxy)"))</f>
        <v/>
      </c>
      <c r="AQ385" s="34" t="str">
        <f aca="false">IF(OR(AO385="",N(S385)=0),"",AO385/S385)</f>
        <v/>
      </c>
      <c r="AR385" s="33" t="str">
        <f aca="false">IF(A385="","",IF(COUNT(AF385:AJ385)=0,"",SUM(AF385:AJ385)))</f>
        <v/>
      </c>
      <c r="AS385" s="34" t="str">
        <f aca="false">IF(OR(AR385="",N(AO385)=0),"",AR385/AO385)</f>
        <v/>
      </c>
      <c r="AT385" s="34" t="str">
        <f aca="false">IF(OR(AR385="",N(AC385)=0),"",AR385/AC385)</f>
        <v/>
      </c>
      <c r="AU385" s="34" t="str">
        <f aca="false">IF(OR(AR385="",N(S385)=0),"",AR385/S385)</f>
        <v/>
      </c>
      <c r="AV385" s="34" t="str">
        <f aca="false">IF(OR(AJ385="",N(AC385)=0),"",AJ385/AC385)</f>
        <v/>
      </c>
      <c r="AW385" s="34" t="str">
        <f aca="false">IF(OR(AH385="",N(AO385)=0),"",AH385/AO385)</f>
        <v/>
      </c>
      <c r="AX385" s="35" t="str">
        <f aca="false">IF(OR(AR385="",N(AO385)=0),"",(N(AF385)*Settings!$B$6+N(AG385)*Settings!$B$7+N(AH385)*Settings!$B$8+N(AI385)*Settings!$B$9+N(AJ385)*Settings!$B$10)/AO385*1000)</f>
        <v/>
      </c>
      <c r="AY385" s="36" t="str">
        <f aca="false">IF(AS385="","",IFERROR(AS385/AVERAGEIFS('Post Tracker'!$AS$5:$AS$1004,'Post Tracker'!$G$5:$G$1004,G385),""))</f>
        <v/>
      </c>
      <c r="AZ385" s="32"/>
      <c r="BA385" s="32"/>
      <c r="BB385" s="32"/>
      <c r="BC385" s="32"/>
      <c r="BD385" s="33" t="str">
        <f aca="false">IF(A385="","",COUNTIFS('Demo Pipeline'!$Q$5:$Q$504,A385))</f>
        <v/>
      </c>
      <c r="BE385" s="33" t="str">
        <f aca="false">IF(A385="","",COUNTIFS('Demo Pipeline'!$Q$5:$Q$504,A385,'Demo Pipeline'!$W$5:$W$504,"Attended"))</f>
        <v/>
      </c>
      <c r="BF385" s="33" t="str">
        <f aca="false">IF(A385="","",COUNTIFS('Demo Pipeline'!$Q$5:$Q$504,A385,'Demo Pipeline'!$X$5:$X$504,"Yes"))</f>
        <v/>
      </c>
      <c r="BG385" s="33" t="str">
        <f aca="false">IF(A385="","",COUNTIFS('Demo Pipeline'!$Q$5:$Q$504,A385,'Demo Pipeline'!$Y$5:$Y$504,"Closed Won"))</f>
        <v/>
      </c>
      <c r="BH385" s="37" t="str">
        <f aca="false">IF(A385="","",SUMIFS('Demo Pipeline'!$Z$5:$Z$504,'Demo Pipeline'!$Q$5:$Q$504,A385))</f>
        <v/>
      </c>
      <c r="BI385" s="34" t="str">
        <f aca="false">IF(OR(AZ385="",N(AJ385)=0),"",AZ385/AJ385)</f>
        <v/>
      </c>
      <c r="BJ385" s="34" t="str">
        <f aca="false">IF(OR(BB385="",N(AZ385)=0),"",BB385/AZ385)</f>
        <v/>
      </c>
      <c r="BK385" s="34" t="str">
        <f aca="false">IF(OR(A385="",N(BB385)=0),"",BD385/BB385)</f>
        <v/>
      </c>
      <c r="BL385" s="34" t="str">
        <f aca="false">IF(OR(A385="",N(AZ385)=0),"",BD385/AZ385)</f>
        <v/>
      </c>
      <c r="BM385" s="37" t="str">
        <f aca="false">IF(OR(N(Q385)=0,N(BD385)=0),"",Q385/BD385)</f>
        <v/>
      </c>
      <c r="BN385" s="29"/>
      <c r="BO385" s="29"/>
      <c r="BP385" s="33" t="str">
        <f aca="false">IF(OR(AR385="",N(AO385)=0),"",AR385)</f>
        <v/>
      </c>
      <c r="BQ385" s="33" t="str">
        <f aca="false">IF(OR(AR385="",N(S385)=0),"",S385)</f>
        <v/>
      </c>
      <c r="BR385" s="38" t="str">
        <f aca="false">IF(AND(ISNUMBER(B385),B385&gt;=Dashboard!$C$4,B385&lt;=Dashboard!$F$4,ISNUMBER(AU385)),AU385+ROW()/10^9,"")</f>
        <v/>
      </c>
      <c r="BS385" s="38" t="str">
        <f aca="false">IF(AND(ISNUMBER(B385),B385&gt;=Dashboard!$C$4,B385&lt;=Dashboard!$F$4,A385&lt;&gt;""),N(BD385)+N(AU385)/100+ROW()/10^9,"")</f>
        <v/>
      </c>
    </row>
    <row r="386" customFormat="false" ht="15" hidden="false" customHeight="false" outlineLevel="0" collapsed="false">
      <c r="A386" s="24" t="str">
        <f aca="false">IF(OR(B386="",G386="",H386=""),"",IFERROR(INDEX(Settings!$E$5:$E$49,MATCH(G386,Settings!$D$5:$D$49,0))&amp;INDEX(Settings!$H$5:$H$47,MATCH(H386,Settings!$G$5:$G$47,0))&amp;"-"&amp;TEXT(B386,"yymmdd")&amp;"-"&amp;IF(C386="","0000",TEXT(C386,"hhmm")),"CHECK LISTS"))</f>
        <v/>
      </c>
      <c r="B386" s="39"/>
      <c r="C386" s="40"/>
      <c r="D386" s="24" t="str">
        <f aca="false">IF(B386="","",TEXT(B386,"ddd"))</f>
        <v/>
      </c>
      <c r="E386" s="27" t="str">
        <f aca="false">IF(B386="","",B386-WEEKDAY(B386,3))</f>
        <v/>
      </c>
      <c r="F386" s="24" t="str">
        <f aca="false">IF(B386="","",TEXT(B386,"yyyy-mm"))</f>
        <v/>
      </c>
      <c r="G386" s="29"/>
      <c r="H386" s="29"/>
      <c r="I386" s="29"/>
      <c r="J386" s="29"/>
      <c r="K386" s="29"/>
      <c r="L386" s="29"/>
      <c r="M386" s="29"/>
      <c r="N386" s="29"/>
      <c r="O386" s="29"/>
      <c r="P386" s="29"/>
      <c r="Q386" s="30"/>
      <c r="R386" s="29"/>
      <c r="S386" s="32"/>
      <c r="T386" s="29"/>
      <c r="U386" s="29"/>
      <c r="V386" s="24" t="str">
        <f aca="false">IF(A386="","",IFERROR(INDEX(Settings!$F$5:$F$49,MATCH(G386,Settings!$D$5:$D$49,0)),""))</f>
        <v/>
      </c>
      <c r="W386" s="24" t="str">
        <f aca="false">IF(A386="","",IF(OR(P386="",P386="Organic"),"social","paid_social"))</f>
        <v/>
      </c>
      <c r="X386" s="24" t="str">
        <f aca="false">IF(A386="","",IF(K386&lt;&gt;"",IFERROR(INDEX('Case Studies'!$C$5:$C$54,MATCH(K386,'Case Studies'!$B$5:$B$54,0))&amp;"","case-study"),IF(J386&lt;&gt;"",IFERROR(INDEX(Settings!$J$5:$J$55,MATCH(J386,Settings!$I$5:$I$55,0)),"general"),"general")))</f>
        <v/>
      </c>
      <c r="Y386" s="24" t="str">
        <f aca="false">IF(A386="","",LOWER(A386))</f>
        <v/>
      </c>
      <c r="Z386" s="24" t="str">
        <f aca="false">IF(A386="","",IF(T386="",Settings!$B$5,T386)&amp;IF(ISNUMBER(FIND("?",IF(T386="",Settings!$B$5,T386))),"&amp;","?")&amp;"utm_source="&amp;V386&amp;"&amp;utm_medium="&amp;W386&amp;"&amp;utm_campaign="&amp;X386&amp;"&amp;utm_content="&amp;Y386)</f>
        <v/>
      </c>
      <c r="AA386" s="29"/>
      <c r="AB386" s="39"/>
      <c r="AC386" s="32"/>
      <c r="AD386" s="32"/>
      <c r="AE386" s="32"/>
      <c r="AF386" s="32"/>
      <c r="AG386" s="32"/>
      <c r="AH386" s="32"/>
      <c r="AI386" s="32"/>
      <c r="AJ386" s="32"/>
      <c r="AK386" s="32"/>
      <c r="AL386" s="32"/>
      <c r="AM386" s="32"/>
      <c r="AN386" s="32"/>
      <c r="AO386" s="33" t="str">
        <f aca="false">IF(A386="","",IF(AD386&lt;&gt;"",AD386,IF(AC386&lt;&gt;"",AC386,"")))</f>
        <v/>
      </c>
      <c r="AP386" s="24" t="str">
        <f aca="false">IF(AO386="","",IF(AD386&lt;&gt;"","Reported reach","Impressions (proxy)"))</f>
        <v/>
      </c>
      <c r="AQ386" s="34" t="str">
        <f aca="false">IF(OR(AO386="",N(S386)=0),"",AO386/S386)</f>
        <v/>
      </c>
      <c r="AR386" s="33" t="str">
        <f aca="false">IF(A386="","",IF(COUNT(AF386:AJ386)=0,"",SUM(AF386:AJ386)))</f>
        <v/>
      </c>
      <c r="AS386" s="34" t="str">
        <f aca="false">IF(OR(AR386="",N(AO386)=0),"",AR386/AO386)</f>
        <v/>
      </c>
      <c r="AT386" s="34" t="str">
        <f aca="false">IF(OR(AR386="",N(AC386)=0),"",AR386/AC386)</f>
        <v/>
      </c>
      <c r="AU386" s="34" t="str">
        <f aca="false">IF(OR(AR386="",N(S386)=0),"",AR386/S386)</f>
        <v/>
      </c>
      <c r="AV386" s="34" t="str">
        <f aca="false">IF(OR(AJ386="",N(AC386)=0),"",AJ386/AC386)</f>
        <v/>
      </c>
      <c r="AW386" s="34" t="str">
        <f aca="false">IF(OR(AH386="",N(AO386)=0),"",AH386/AO386)</f>
        <v/>
      </c>
      <c r="AX386" s="35" t="str">
        <f aca="false">IF(OR(AR386="",N(AO386)=0),"",(N(AF386)*Settings!$B$6+N(AG386)*Settings!$B$7+N(AH386)*Settings!$B$8+N(AI386)*Settings!$B$9+N(AJ386)*Settings!$B$10)/AO386*1000)</f>
        <v/>
      </c>
      <c r="AY386" s="36" t="str">
        <f aca="false">IF(AS386="","",IFERROR(AS386/AVERAGEIFS('Post Tracker'!$AS$5:$AS$1004,'Post Tracker'!$G$5:$G$1004,G386),""))</f>
        <v/>
      </c>
      <c r="AZ386" s="32"/>
      <c r="BA386" s="32"/>
      <c r="BB386" s="32"/>
      <c r="BC386" s="32"/>
      <c r="BD386" s="33" t="str">
        <f aca="false">IF(A386="","",COUNTIFS('Demo Pipeline'!$Q$5:$Q$504,A386))</f>
        <v/>
      </c>
      <c r="BE386" s="33" t="str">
        <f aca="false">IF(A386="","",COUNTIFS('Demo Pipeline'!$Q$5:$Q$504,A386,'Demo Pipeline'!$W$5:$W$504,"Attended"))</f>
        <v/>
      </c>
      <c r="BF386" s="33" t="str">
        <f aca="false">IF(A386="","",COUNTIFS('Demo Pipeline'!$Q$5:$Q$504,A386,'Demo Pipeline'!$X$5:$X$504,"Yes"))</f>
        <v/>
      </c>
      <c r="BG386" s="33" t="str">
        <f aca="false">IF(A386="","",COUNTIFS('Demo Pipeline'!$Q$5:$Q$504,A386,'Demo Pipeline'!$Y$5:$Y$504,"Closed Won"))</f>
        <v/>
      </c>
      <c r="BH386" s="37" t="str">
        <f aca="false">IF(A386="","",SUMIFS('Demo Pipeline'!$Z$5:$Z$504,'Demo Pipeline'!$Q$5:$Q$504,A386))</f>
        <v/>
      </c>
      <c r="BI386" s="34" t="str">
        <f aca="false">IF(OR(AZ386="",N(AJ386)=0),"",AZ386/AJ386)</f>
        <v/>
      </c>
      <c r="BJ386" s="34" t="str">
        <f aca="false">IF(OR(BB386="",N(AZ386)=0),"",BB386/AZ386)</f>
        <v/>
      </c>
      <c r="BK386" s="34" t="str">
        <f aca="false">IF(OR(A386="",N(BB386)=0),"",BD386/BB386)</f>
        <v/>
      </c>
      <c r="BL386" s="34" t="str">
        <f aca="false">IF(OR(A386="",N(AZ386)=0),"",BD386/AZ386)</f>
        <v/>
      </c>
      <c r="BM386" s="37" t="str">
        <f aca="false">IF(OR(N(Q386)=0,N(BD386)=0),"",Q386/BD386)</f>
        <v/>
      </c>
      <c r="BN386" s="29"/>
      <c r="BO386" s="29"/>
      <c r="BP386" s="33" t="str">
        <f aca="false">IF(OR(AR386="",N(AO386)=0),"",AR386)</f>
        <v/>
      </c>
      <c r="BQ386" s="33" t="str">
        <f aca="false">IF(OR(AR386="",N(S386)=0),"",S386)</f>
        <v/>
      </c>
      <c r="BR386" s="38" t="str">
        <f aca="false">IF(AND(ISNUMBER(B386),B386&gt;=Dashboard!$C$4,B386&lt;=Dashboard!$F$4,ISNUMBER(AU386)),AU386+ROW()/10^9,"")</f>
        <v/>
      </c>
      <c r="BS386" s="38" t="str">
        <f aca="false">IF(AND(ISNUMBER(B386),B386&gt;=Dashboard!$C$4,B386&lt;=Dashboard!$F$4,A386&lt;&gt;""),N(BD386)+N(AU386)/100+ROW()/10^9,"")</f>
        <v/>
      </c>
    </row>
    <row r="387" customFormat="false" ht="15" hidden="false" customHeight="false" outlineLevel="0" collapsed="false">
      <c r="A387" s="24" t="str">
        <f aca="false">IF(OR(B387="",G387="",H387=""),"",IFERROR(INDEX(Settings!$E$5:$E$49,MATCH(G387,Settings!$D$5:$D$49,0))&amp;INDEX(Settings!$H$5:$H$47,MATCH(H387,Settings!$G$5:$G$47,0))&amp;"-"&amp;TEXT(B387,"yymmdd")&amp;"-"&amp;IF(C387="","0000",TEXT(C387,"hhmm")),"CHECK LISTS"))</f>
        <v/>
      </c>
      <c r="B387" s="39"/>
      <c r="C387" s="40"/>
      <c r="D387" s="24" t="str">
        <f aca="false">IF(B387="","",TEXT(B387,"ddd"))</f>
        <v/>
      </c>
      <c r="E387" s="27" t="str">
        <f aca="false">IF(B387="","",B387-WEEKDAY(B387,3))</f>
        <v/>
      </c>
      <c r="F387" s="24" t="str">
        <f aca="false">IF(B387="","",TEXT(B387,"yyyy-mm"))</f>
        <v/>
      </c>
      <c r="G387" s="29"/>
      <c r="H387" s="29"/>
      <c r="I387" s="29"/>
      <c r="J387" s="29"/>
      <c r="K387" s="29"/>
      <c r="L387" s="29"/>
      <c r="M387" s="29"/>
      <c r="N387" s="29"/>
      <c r="O387" s="29"/>
      <c r="P387" s="29"/>
      <c r="Q387" s="30"/>
      <c r="R387" s="29"/>
      <c r="S387" s="32"/>
      <c r="T387" s="29"/>
      <c r="U387" s="29"/>
      <c r="V387" s="24" t="str">
        <f aca="false">IF(A387="","",IFERROR(INDEX(Settings!$F$5:$F$49,MATCH(G387,Settings!$D$5:$D$49,0)),""))</f>
        <v/>
      </c>
      <c r="W387" s="24" t="str">
        <f aca="false">IF(A387="","",IF(OR(P387="",P387="Organic"),"social","paid_social"))</f>
        <v/>
      </c>
      <c r="X387" s="24" t="str">
        <f aca="false">IF(A387="","",IF(K387&lt;&gt;"",IFERROR(INDEX('Case Studies'!$C$5:$C$54,MATCH(K387,'Case Studies'!$B$5:$B$54,0))&amp;"","case-study"),IF(J387&lt;&gt;"",IFERROR(INDEX(Settings!$J$5:$J$55,MATCH(J387,Settings!$I$5:$I$55,0)),"general"),"general")))</f>
        <v/>
      </c>
      <c r="Y387" s="24" t="str">
        <f aca="false">IF(A387="","",LOWER(A387))</f>
        <v/>
      </c>
      <c r="Z387" s="24" t="str">
        <f aca="false">IF(A387="","",IF(T387="",Settings!$B$5,T387)&amp;IF(ISNUMBER(FIND("?",IF(T387="",Settings!$B$5,T387))),"&amp;","?")&amp;"utm_source="&amp;V387&amp;"&amp;utm_medium="&amp;W387&amp;"&amp;utm_campaign="&amp;X387&amp;"&amp;utm_content="&amp;Y387)</f>
        <v/>
      </c>
      <c r="AA387" s="29"/>
      <c r="AB387" s="39"/>
      <c r="AC387" s="32"/>
      <c r="AD387" s="32"/>
      <c r="AE387" s="32"/>
      <c r="AF387" s="32"/>
      <c r="AG387" s="32"/>
      <c r="AH387" s="32"/>
      <c r="AI387" s="32"/>
      <c r="AJ387" s="32"/>
      <c r="AK387" s="32"/>
      <c r="AL387" s="32"/>
      <c r="AM387" s="32"/>
      <c r="AN387" s="32"/>
      <c r="AO387" s="33" t="str">
        <f aca="false">IF(A387="","",IF(AD387&lt;&gt;"",AD387,IF(AC387&lt;&gt;"",AC387,"")))</f>
        <v/>
      </c>
      <c r="AP387" s="24" t="str">
        <f aca="false">IF(AO387="","",IF(AD387&lt;&gt;"","Reported reach","Impressions (proxy)"))</f>
        <v/>
      </c>
      <c r="AQ387" s="34" t="str">
        <f aca="false">IF(OR(AO387="",N(S387)=0),"",AO387/S387)</f>
        <v/>
      </c>
      <c r="AR387" s="33" t="str">
        <f aca="false">IF(A387="","",IF(COUNT(AF387:AJ387)=0,"",SUM(AF387:AJ387)))</f>
        <v/>
      </c>
      <c r="AS387" s="34" t="str">
        <f aca="false">IF(OR(AR387="",N(AO387)=0),"",AR387/AO387)</f>
        <v/>
      </c>
      <c r="AT387" s="34" t="str">
        <f aca="false">IF(OR(AR387="",N(AC387)=0),"",AR387/AC387)</f>
        <v/>
      </c>
      <c r="AU387" s="34" t="str">
        <f aca="false">IF(OR(AR387="",N(S387)=0),"",AR387/S387)</f>
        <v/>
      </c>
      <c r="AV387" s="34" t="str">
        <f aca="false">IF(OR(AJ387="",N(AC387)=0),"",AJ387/AC387)</f>
        <v/>
      </c>
      <c r="AW387" s="34" t="str">
        <f aca="false">IF(OR(AH387="",N(AO387)=0),"",AH387/AO387)</f>
        <v/>
      </c>
      <c r="AX387" s="35" t="str">
        <f aca="false">IF(OR(AR387="",N(AO387)=0),"",(N(AF387)*Settings!$B$6+N(AG387)*Settings!$B$7+N(AH387)*Settings!$B$8+N(AI387)*Settings!$B$9+N(AJ387)*Settings!$B$10)/AO387*1000)</f>
        <v/>
      </c>
      <c r="AY387" s="36" t="str">
        <f aca="false">IF(AS387="","",IFERROR(AS387/AVERAGEIFS('Post Tracker'!$AS$5:$AS$1004,'Post Tracker'!$G$5:$G$1004,G387),""))</f>
        <v/>
      </c>
      <c r="AZ387" s="32"/>
      <c r="BA387" s="32"/>
      <c r="BB387" s="32"/>
      <c r="BC387" s="32"/>
      <c r="BD387" s="33" t="str">
        <f aca="false">IF(A387="","",COUNTIFS('Demo Pipeline'!$Q$5:$Q$504,A387))</f>
        <v/>
      </c>
      <c r="BE387" s="33" t="str">
        <f aca="false">IF(A387="","",COUNTIFS('Demo Pipeline'!$Q$5:$Q$504,A387,'Demo Pipeline'!$W$5:$W$504,"Attended"))</f>
        <v/>
      </c>
      <c r="BF387" s="33" t="str">
        <f aca="false">IF(A387="","",COUNTIFS('Demo Pipeline'!$Q$5:$Q$504,A387,'Demo Pipeline'!$X$5:$X$504,"Yes"))</f>
        <v/>
      </c>
      <c r="BG387" s="33" t="str">
        <f aca="false">IF(A387="","",COUNTIFS('Demo Pipeline'!$Q$5:$Q$504,A387,'Demo Pipeline'!$Y$5:$Y$504,"Closed Won"))</f>
        <v/>
      </c>
      <c r="BH387" s="37" t="str">
        <f aca="false">IF(A387="","",SUMIFS('Demo Pipeline'!$Z$5:$Z$504,'Demo Pipeline'!$Q$5:$Q$504,A387))</f>
        <v/>
      </c>
      <c r="BI387" s="34" t="str">
        <f aca="false">IF(OR(AZ387="",N(AJ387)=0),"",AZ387/AJ387)</f>
        <v/>
      </c>
      <c r="BJ387" s="34" t="str">
        <f aca="false">IF(OR(BB387="",N(AZ387)=0),"",BB387/AZ387)</f>
        <v/>
      </c>
      <c r="BK387" s="34" t="str">
        <f aca="false">IF(OR(A387="",N(BB387)=0),"",BD387/BB387)</f>
        <v/>
      </c>
      <c r="BL387" s="34" t="str">
        <f aca="false">IF(OR(A387="",N(AZ387)=0),"",BD387/AZ387)</f>
        <v/>
      </c>
      <c r="BM387" s="37" t="str">
        <f aca="false">IF(OR(N(Q387)=0,N(BD387)=0),"",Q387/BD387)</f>
        <v/>
      </c>
      <c r="BN387" s="29"/>
      <c r="BO387" s="29"/>
      <c r="BP387" s="33" t="str">
        <f aca="false">IF(OR(AR387="",N(AO387)=0),"",AR387)</f>
        <v/>
      </c>
      <c r="BQ387" s="33" t="str">
        <f aca="false">IF(OR(AR387="",N(S387)=0),"",S387)</f>
        <v/>
      </c>
      <c r="BR387" s="38" t="str">
        <f aca="false">IF(AND(ISNUMBER(B387),B387&gt;=Dashboard!$C$4,B387&lt;=Dashboard!$F$4,ISNUMBER(AU387)),AU387+ROW()/10^9,"")</f>
        <v/>
      </c>
      <c r="BS387" s="38" t="str">
        <f aca="false">IF(AND(ISNUMBER(B387),B387&gt;=Dashboard!$C$4,B387&lt;=Dashboard!$F$4,A387&lt;&gt;""),N(BD387)+N(AU387)/100+ROW()/10^9,"")</f>
        <v/>
      </c>
    </row>
    <row r="388" customFormat="false" ht="15" hidden="false" customHeight="false" outlineLevel="0" collapsed="false">
      <c r="A388" s="24" t="str">
        <f aca="false">IF(OR(B388="",G388="",H388=""),"",IFERROR(INDEX(Settings!$E$5:$E$49,MATCH(G388,Settings!$D$5:$D$49,0))&amp;INDEX(Settings!$H$5:$H$47,MATCH(H388,Settings!$G$5:$G$47,0))&amp;"-"&amp;TEXT(B388,"yymmdd")&amp;"-"&amp;IF(C388="","0000",TEXT(C388,"hhmm")),"CHECK LISTS"))</f>
        <v/>
      </c>
      <c r="B388" s="39"/>
      <c r="C388" s="40"/>
      <c r="D388" s="24" t="str">
        <f aca="false">IF(B388="","",TEXT(B388,"ddd"))</f>
        <v/>
      </c>
      <c r="E388" s="27" t="str">
        <f aca="false">IF(B388="","",B388-WEEKDAY(B388,3))</f>
        <v/>
      </c>
      <c r="F388" s="24" t="str">
        <f aca="false">IF(B388="","",TEXT(B388,"yyyy-mm"))</f>
        <v/>
      </c>
      <c r="G388" s="29"/>
      <c r="H388" s="29"/>
      <c r="I388" s="29"/>
      <c r="J388" s="29"/>
      <c r="K388" s="29"/>
      <c r="L388" s="29"/>
      <c r="M388" s="29"/>
      <c r="N388" s="29"/>
      <c r="O388" s="29"/>
      <c r="P388" s="29"/>
      <c r="Q388" s="30"/>
      <c r="R388" s="29"/>
      <c r="S388" s="32"/>
      <c r="T388" s="29"/>
      <c r="U388" s="29"/>
      <c r="V388" s="24" t="str">
        <f aca="false">IF(A388="","",IFERROR(INDEX(Settings!$F$5:$F$49,MATCH(G388,Settings!$D$5:$D$49,0)),""))</f>
        <v/>
      </c>
      <c r="W388" s="24" t="str">
        <f aca="false">IF(A388="","",IF(OR(P388="",P388="Organic"),"social","paid_social"))</f>
        <v/>
      </c>
      <c r="X388" s="24" t="str">
        <f aca="false">IF(A388="","",IF(K388&lt;&gt;"",IFERROR(INDEX('Case Studies'!$C$5:$C$54,MATCH(K388,'Case Studies'!$B$5:$B$54,0))&amp;"","case-study"),IF(J388&lt;&gt;"",IFERROR(INDEX(Settings!$J$5:$J$55,MATCH(J388,Settings!$I$5:$I$55,0)),"general"),"general")))</f>
        <v/>
      </c>
      <c r="Y388" s="24" t="str">
        <f aca="false">IF(A388="","",LOWER(A388))</f>
        <v/>
      </c>
      <c r="Z388" s="24" t="str">
        <f aca="false">IF(A388="","",IF(T388="",Settings!$B$5,T388)&amp;IF(ISNUMBER(FIND("?",IF(T388="",Settings!$B$5,T388))),"&amp;","?")&amp;"utm_source="&amp;V388&amp;"&amp;utm_medium="&amp;W388&amp;"&amp;utm_campaign="&amp;X388&amp;"&amp;utm_content="&amp;Y388)</f>
        <v/>
      </c>
      <c r="AA388" s="29"/>
      <c r="AB388" s="39"/>
      <c r="AC388" s="32"/>
      <c r="AD388" s="32"/>
      <c r="AE388" s="32"/>
      <c r="AF388" s="32"/>
      <c r="AG388" s="32"/>
      <c r="AH388" s="32"/>
      <c r="AI388" s="32"/>
      <c r="AJ388" s="32"/>
      <c r="AK388" s="32"/>
      <c r="AL388" s="32"/>
      <c r="AM388" s="32"/>
      <c r="AN388" s="32"/>
      <c r="AO388" s="33" t="str">
        <f aca="false">IF(A388="","",IF(AD388&lt;&gt;"",AD388,IF(AC388&lt;&gt;"",AC388,"")))</f>
        <v/>
      </c>
      <c r="AP388" s="24" t="str">
        <f aca="false">IF(AO388="","",IF(AD388&lt;&gt;"","Reported reach","Impressions (proxy)"))</f>
        <v/>
      </c>
      <c r="AQ388" s="34" t="str">
        <f aca="false">IF(OR(AO388="",N(S388)=0),"",AO388/S388)</f>
        <v/>
      </c>
      <c r="AR388" s="33" t="str">
        <f aca="false">IF(A388="","",IF(COUNT(AF388:AJ388)=0,"",SUM(AF388:AJ388)))</f>
        <v/>
      </c>
      <c r="AS388" s="34" t="str">
        <f aca="false">IF(OR(AR388="",N(AO388)=0),"",AR388/AO388)</f>
        <v/>
      </c>
      <c r="AT388" s="34" t="str">
        <f aca="false">IF(OR(AR388="",N(AC388)=0),"",AR388/AC388)</f>
        <v/>
      </c>
      <c r="AU388" s="34" t="str">
        <f aca="false">IF(OR(AR388="",N(S388)=0),"",AR388/S388)</f>
        <v/>
      </c>
      <c r="AV388" s="34" t="str">
        <f aca="false">IF(OR(AJ388="",N(AC388)=0),"",AJ388/AC388)</f>
        <v/>
      </c>
      <c r="AW388" s="34" t="str">
        <f aca="false">IF(OR(AH388="",N(AO388)=0),"",AH388/AO388)</f>
        <v/>
      </c>
      <c r="AX388" s="35" t="str">
        <f aca="false">IF(OR(AR388="",N(AO388)=0),"",(N(AF388)*Settings!$B$6+N(AG388)*Settings!$B$7+N(AH388)*Settings!$B$8+N(AI388)*Settings!$B$9+N(AJ388)*Settings!$B$10)/AO388*1000)</f>
        <v/>
      </c>
      <c r="AY388" s="36" t="str">
        <f aca="false">IF(AS388="","",IFERROR(AS388/AVERAGEIFS('Post Tracker'!$AS$5:$AS$1004,'Post Tracker'!$G$5:$G$1004,G388),""))</f>
        <v/>
      </c>
      <c r="AZ388" s="32"/>
      <c r="BA388" s="32"/>
      <c r="BB388" s="32"/>
      <c r="BC388" s="32"/>
      <c r="BD388" s="33" t="str">
        <f aca="false">IF(A388="","",COUNTIFS('Demo Pipeline'!$Q$5:$Q$504,A388))</f>
        <v/>
      </c>
      <c r="BE388" s="33" t="str">
        <f aca="false">IF(A388="","",COUNTIFS('Demo Pipeline'!$Q$5:$Q$504,A388,'Demo Pipeline'!$W$5:$W$504,"Attended"))</f>
        <v/>
      </c>
      <c r="BF388" s="33" t="str">
        <f aca="false">IF(A388="","",COUNTIFS('Demo Pipeline'!$Q$5:$Q$504,A388,'Demo Pipeline'!$X$5:$X$504,"Yes"))</f>
        <v/>
      </c>
      <c r="BG388" s="33" t="str">
        <f aca="false">IF(A388="","",COUNTIFS('Demo Pipeline'!$Q$5:$Q$504,A388,'Demo Pipeline'!$Y$5:$Y$504,"Closed Won"))</f>
        <v/>
      </c>
      <c r="BH388" s="37" t="str">
        <f aca="false">IF(A388="","",SUMIFS('Demo Pipeline'!$Z$5:$Z$504,'Demo Pipeline'!$Q$5:$Q$504,A388))</f>
        <v/>
      </c>
      <c r="BI388" s="34" t="str">
        <f aca="false">IF(OR(AZ388="",N(AJ388)=0),"",AZ388/AJ388)</f>
        <v/>
      </c>
      <c r="BJ388" s="34" t="str">
        <f aca="false">IF(OR(BB388="",N(AZ388)=0),"",BB388/AZ388)</f>
        <v/>
      </c>
      <c r="BK388" s="34" t="str">
        <f aca="false">IF(OR(A388="",N(BB388)=0),"",BD388/BB388)</f>
        <v/>
      </c>
      <c r="BL388" s="34" t="str">
        <f aca="false">IF(OR(A388="",N(AZ388)=0),"",BD388/AZ388)</f>
        <v/>
      </c>
      <c r="BM388" s="37" t="str">
        <f aca="false">IF(OR(N(Q388)=0,N(BD388)=0),"",Q388/BD388)</f>
        <v/>
      </c>
      <c r="BN388" s="29"/>
      <c r="BO388" s="29"/>
      <c r="BP388" s="33" t="str">
        <f aca="false">IF(OR(AR388="",N(AO388)=0),"",AR388)</f>
        <v/>
      </c>
      <c r="BQ388" s="33" t="str">
        <f aca="false">IF(OR(AR388="",N(S388)=0),"",S388)</f>
        <v/>
      </c>
      <c r="BR388" s="38" t="str">
        <f aca="false">IF(AND(ISNUMBER(B388),B388&gt;=Dashboard!$C$4,B388&lt;=Dashboard!$F$4,ISNUMBER(AU388)),AU388+ROW()/10^9,"")</f>
        <v/>
      </c>
      <c r="BS388" s="38" t="str">
        <f aca="false">IF(AND(ISNUMBER(B388),B388&gt;=Dashboard!$C$4,B388&lt;=Dashboard!$F$4,A388&lt;&gt;""),N(BD388)+N(AU388)/100+ROW()/10^9,"")</f>
        <v/>
      </c>
    </row>
    <row r="389" customFormat="false" ht="15" hidden="false" customHeight="false" outlineLevel="0" collapsed="false">
      <c r="A389" s="24" t="str">
        <f aca="false">IF(OR(B389="",G389="",H389=""),"",IFERROR(INDEX(Settings!$E$5:$E$49,MATCH(G389,Settings!$D$5:$D$49,0))&amp;INDEX(Settings!$H$5:$H$47,MATCH(H389,Settings!$G$5:$G$47,0))&amp;"-"&amp;TEXT(B389,"yymmdd")&amp;"-"&amp;IF(C389="","0000",TEXT(C389,"hhmm")),"CHECK LISTS"))</f>
        <v/>
      </c>
      <c r="B389" s="39"/>
      <c r="C389" s="40"/>
      <c r="D389" s="24" t="str">
        <f aca="false">IF(B389="","",TEXT(B389,"ddd"))</f>
        <v/>
      </c>
      <c r="E389" s="27" t="str">
        <f aca="false">IF(B389="","",B389-WEEKDAY(B389,3))</f>
        <v/>
      </c>
      <c r="F389" s="24" t="str">
        <f aca="false">IF(B389="","",TEXT(B389,"yyyy-mm"))</f>
        <v/>
      </c>
      <c r="G389" s="29"/>
      <c r="H389" s="29"/>
      <c r="I389" s="29"/>
      <c r="J389" s="29"/>
      <c r="K389" s="29"/>
      <c r="L389" s="29"/>
      <c r="M389" s="29"/>
      <c r="N389" s="29"/>
      <c r="O389" s="29"/>
      <c r="P389" s="29"/>
      <c r="Q389" s="30"/>
      <c r="R389" s="29"/>
      <c r="S389" s="32"/>
      <c r="T389" s="29"/>
      <c r="U389" s="29"/>
      <c r="V389" s="24" t="str">
        <f aca="false">IF(A389="","",IFERROR(INDEX(Settings!$F$5:$F$49,MATCH(G389,Settings!$D$5:$D$49,0)),""))</f>
        <v/>
      </c>
      <c r="W389" s="24" t="str">
        <f aca="false">IF(A389="","",IF(OR(P389="",P389="Organic"),"social","paid_social"))</f>
        <v/>
      </c>
      <c r="X389" s="24" t="str">
        <f aca="false">IF(A389="","",IF(K389&lt;&gt;"",IFERROR(INDEX('Case Studies'!$C$5:$C$54,MATCH(K389,'Case Studies'!$B$5:$B$54,0))&amp;"","case-study"),IF(J389&lt;&gt;"",IFERROR(INDEX(Settings!$J$5:$J$55,MATCH(J389,Settings!$I$5:$I$55,0)),"general"),"general")))</f>
        <v/>
      </c>
      <c r="Y389" s="24" t="str">
        <f aca="false">IF(A389="","",LOWER(A389))</f>
        <v/>
      </c>
      <c r="Z389" s="24" t="str">
        <f aca="false">IF(A389="","",IF(T389="",Settings!$B$5,T389)&amp;IF(ISNUMBER(FIND("?",IF(T389="",Settings!$B$5,T389))),"&amp;","?")&amp;"utm_source="&amp;V389&amp;"&amp;utm_medium="&amp;W389&amp;"&amp;utm_campaign="&amp;X389&amp;"&amp;utm_content="&amp;Y389)</f>
        <v/>
      </c>
      <c r="AA389" s="29"/>
      <c r="AB389" s="39"/>
      <c r="AC389" s="32"/>
      <c r="AD389" s="32"/>
      <c r="AE389" s="32"/>
      <c r="AF389" s="32"/>
      <c r="AG389" s="32"/>
      <c r="AH389" s="32"/>
      <c r="AI389" s="32"/>
      <c r="AJ389" s="32"/>
      <c r="AK389" s="32"/>
      <c r="AL389" s="32"/>
      <c r="AM389" s="32"/>
      <c r="AN389" s="32"/>
      <c r="AO389" s="33" t="str">
        <f aca="false">IF(A389="","",IF(AD389&lt;&gt;"",AD389,IF(AC389&lt;&gt;"",AC389,"")))</f>
        <v/>
      </c>
      <c r="AP389" s="24" t="str">
        <f aca="false">IF(AO389="","",IF(AD389&lt;&gt;"","Reported reach","Impressions (proxy)"))</f>
        <v/>
      </c>
      <c r="AQ389" s="34" t="str">
        <f aca="false">IF(OR(AO389="",N(S389)=0),"",AO389/S389)</f>
        <v/>
      </c>
      <c r="AR389" s="33" t="str">
        <f aca="false">IF(A389="","",IF(COUNT(AF389:AJ389)=0,"",SUM(AF389:AJ389)))</f>
        <v/>
      </c>
      <c r="AS389" s="34" t="str">
        <f aca="false">IF(OR(AR389="",N(AO389)=0),"",AR389/AO389)</f>
        <v/>
      </c>
      <c r="AT389" s="34" t="str">
        <f aca="false">IF(OR(AR389="",N(AC389)=0),"",AR389/AC389)</f>
        <v/>
      </c>
      <c r="AU389" s="34" t="str">
        <f aca="false">IF(OR(AR389="",N(S389)=0),"",AR389/S389)</f>
        <v/>
      </c>
      <c r="AV389" s="34" t="str">
        <f aca="false">IF(OR(AJ389="",N(AC389)=0),"",AJ389/AC389)</f>
        <v/>
      </c>
      <c r="AW389" s="34" t="str">
        <f aca="false">IF(OR(AH389="",N(AO389)=0),"",AH389/AO389)</f>
        <v/>
      </c>
      <c r="AX389" s="35" t="str">
        <f aca="false">IF(OR(AR389="",N(AO389)=0),"",(N(AF389)*Settings!$B$6+N(AG389)*Settings!$B$7+N(AH389)*Settings!$B$8+N(AI389)*Settings!$B$9+N(AJ389)*Settings!$B$10)/AO389*1000)</f>
        <v/>
      </c>
      <c r="AY389" s="36" t="str">
        <f aca="false">IF(AS389="","",IFERROR(AS389/AVERAGEIFS('Post Tracker'!$AS$5:$AS$1004,'Post Tracker'!$G$5:$G$1004,G389),""))</f>
        <v/>
      </c>
      <c r="AZ389" s="32"/>
      <c r="BA389" s="32"/>
      <c r="BB389" s="32"/>
      <c r="BC389" s="32"/>
      <c r="BD389" s="33" t="str">
        <f aca="false">IF(A389="","",COUNTIFS('Demo Pipeline'!$Q$5:$Q$504,A389))</f>
        <v/>
      </c>
      <c r="BE389" s="33" t="str">
        <f aca="false">IF(A389="","",COUNTIFS('Demo Pipeline'!$Q$5:$Q$504,A389,'Demo Pipeline'!$W$5:$W$504,"Attended"))</f>
        <v/>
      </c>
      <c r="BF389" s="33" t="str">
        <f aca="false">IF(A389="","",COUNTIFS('Demo Pipeline'!$Q$5:$Q$504,A389,'Demo Pipeline'!$X$5:$X$504,"Yes"))</f>
        <v/>
      </c>
      <c r="BG389" s="33" t="str">
        <f aca="false">IF(A389="","",COUNTIFS('Demo Pipeline'!$Q$5:$Q$504,A389,'Demo Pipeline'!$Y$5:$Y$504,"Closed Won"))</f>
        <v/>
      </c>
      <c r="BH389" s="37" t="str">
        <f aca="false">IF(A389="","",SUMIFS('Demo Pipeline'!$Z$5:$Z$504,'Demo Pipeline'!$Q$5:$Q$504,A389))</f>
        <v/>
      </c>
      <c r="BI389" s="34" t="str">
        <f aca="false">IF(OR(AZ389="",N(AJ389)=0),"",AZ389/AJ389)</f>
        <v/>
      </c>
      <c r="BJ389" s="34" t="str">
        <f aca="false">IF(OR(BB389="",N(AZ389)=0),"",BB389/AZ389)</f>
        <v/>
      </c>
      <c r="BK389" s="34" t="str">
        <f aca="false">IF(OR(A389="",N(BB389)=0),"",BD389/BB389)</f>
        <v/>
      </c>
      <c r="BL389" s="34" t="str">
        <f aca="false">IF(OR(A389="",N(AZ389)=0),"",BD389/AZ389)</f>
        <v/>
      </c>
      <c r="BM389" s="37" t="str">
        <f aca="false">IF(OR(N(Q389)=0,N(BD389)=0),"",Q389/BD389)</f>
        <v/>
      </c>
      <c r="BN389" s="29"/>
      <c r="BO389" s="29"/>
      <c r="BP389" s="33" t="str">
        <f aca="false">IF(OR(AR389="",N(AO389)=0),"",AR389)</f>
        <v/>
      </c>
      <c r="BQ389" s="33" t="str">
        <f aca="false">IF(OR(AR389="",N(S389)=0),"",S389)</f>
        <v/>
      </c>
      <c r="BR389" s="38" t="str">
        <f aca="false">IF(AND(ISNUMBER(B389),B389&gt;=Dashboard!$C$4,B389&lt;=Dashboard!$F$4,ISNUMBER(AU389)),AU389+ROW()/10^9,"")</f>
        <v/>
      </c>
      <c r="BS389" s="38" t="str">
        <f aca="false">IF(AND(ISNUMBER(B389),B389&gt;=Dashboard!$C$4,B389&lt;=Dashboard!$F$4,A389&lt;&gt;""),N(BD389)+N(AU389)/100+ROW()/10^9,"")</f>
        <v/>
      </c>
    </row>
    <row r="390" customFormat="false" ht="15" hidden="false" customHeight="false" outlineLevel="0" collapsed="false">
      <c r="A390" s="24" t="str">
        <f aca="false">IF(OR(B390="",G390="",H390=""),"",IFERROR(INDEX(Settings!$E$5:$E$49,MATCH(G390,Settings!$D$5:$D$49,0))&amp;INDEX(Settings!$H$5:$H$47,MATCH(H390,Settings!$G$5:$G$47,0))&amp;"-"&amp;TEXT(B390,"yymmdd")&amp;"-"&amp;IF(C390="","0000",TEXT(C390,"hhmm")),"CHECK LISTS"))</f>
        <v/>
      </c>
      <c r="B390" s="39"/>
      <c r="C390" s="40"/>
      <c r="D390" s="24" t="str">
        <f aca="false">IF(B390="","",TEXT(B390,"ddd"))</f>
        <v/>
      </c>
      <c r="E390" s="27" t="str">
        <f aca="false">IF(B390="","",B390-WEEKDAY(B390,3))</f>
        <v/>
      </c>
      <c r="F390" s="24" t="str">
        <f aca="false">IF(B390="","",TEXT(B390,"yyyy-mm"))</f>
        <v/>
      </c>
      <c r="G390" s="29"/>
      <c r="H390" s="29"/>
      <c r="I390" s="29"/>
      <c r="J390" s="29"/>
      <c r="K390" s="29"/>
      <c r="L390" s="29"/>
      <c r="M390" s="29"/>
      <c r="N390" s="29"/>
      <c r="O390" s="29"/>
      <c r="P390" s="29"/>
      <c r="Q390" s="30"/>
      <c r="R390" s="29"/>
      <c r="S390" s="32"/>
      <c r="T390" s="29"/>
      <c r="U390" s="29"/>
      <c r="V390" s="24" t="str">
        <f aca="false">IF(A390="","",IFERROR(INDEX(Settings!$F$5:$F$49,MATCH(G390,Settings!$D$5:$D$49,0)),""))</f>
        <v/>
      </c>
      <c r="W390" s="24" t="str">
        <f aca="false">IF(A390="","",IF(OR(P390="",P390="Organic"),"social","paid_social"))</f>
        <v/>
      </c>
      <c r="X390" s="24" t="str">
        <f aca="false">IF(A390="","",IF(K390&lt;&gt;"",IFERROR(INDEX('Case Studies'!$C$5:$C$54,MATCH(K390,'Case Studies'!$B$5:$B$54,0))&amp;"","case-study"),IF(J390&lt;&gt;"",IFERROR(INDEX(Settings!$J$5:$J$55,MATCH(J390,Settings!$I$5:$I$55,0)),"general"),"general")))</f>
        <v/>
      </c>
      <c r="Y390" s="24" t="str">
        <f aca="false">IF(A390="","",LOWER(A390))</f>
        <v/>
      </c>
      <c r="Z390" s="24" t="str">
        <f aca="false">IF(A390="","",IF(T390="",Settings!$B$5,T390)&amp;IF(ISNUMBER(FIND("?",IF(T390="",Settings!$B$5,T390))),"&amp;","?")&amp;"utm_source="&amp;V390&amp;"&amp;utm_medium="&amp;W390&amp;"&amp;utm_campaign="&amp;X390&amp;"&amp;utm_content="&amp;Y390)</f>
        <v/>
      </c>
      <c r="AA390" s="29"/>
      <c r="AB390" s="39"/>
      <c r="AC390" s="32"/>
      <c r="AD390" s="32"/>
      <c r="AE390" s="32"/>
      <c r="AF390" s="32"/>
      <c r="AG390" s="32"/>
      <c r="AH390" s="32"/>
      <c r="AI390" s="32"/>
      <c r="AJ390" s="32"/>
      <c r="AK390" s="32"/>
      <c r="AL390" s="32"/>
      <c r="AM390" s="32"/>
      <c r="AN390" s="32"/>
      <c r="AO390" s="33" t="str">
        <f aca="false">IF(A390="","",IF(AD390&lt;&gt;"",AD390,IF(AC390&lt;&gt;"",AC390,"")))</f>
        <v/>
      </c>
      <c r="AP390" s="24" t="str">
        <f aca="false">IF(AO390="","",IF(AD390&lt;&gt;"","Reported reach","Impressions (proxy)"))</f>
        <v/>
      </c>
      <c r="AQ390" s="34" t="str">
        <f aca="false">IF(OR(AO390="",N(S390)=0),"",AO390/S390)</f>
        <v/>
      </c>
      <c r="AR390" s="33" t="str">
        <f aca="false">IF(A390="","",IF(COUNT(AF390:AJ390)=0,"",SUM(AF390:AJ390)))</f>
        <v/>
      </c>
      <c r="AS390" s="34" t="str">
        <f aca="false">IF(OR(AR390="",N(AO390)=0),"",AR390/AO390)</f>
        <v/>
      </c>
      <c r="AT390" s="34" t="str">
        <f aca="false">IF(OR(AR390="",N(AC390)=0),"",AR390/AC390)</f>
        <v/>
      </c>
      <c r="AU390" s="34" t="str">
        <f aca="false">IF(OR(AR390="",N(S390)=0),"",AR390/S390)</f>
        <v/>
      </c>
      <c r="AV390" s="34" t="str">
        <f aca="false">IF(OR(AJ390="",N(AC390)=0),"",AJ390/AC390)</f>
        <v/>
      </c>
      <c r="AW390" s="34" t="str">
        <f aca="false">IF(OR(AH390="",N(AO390)=0),"",AH390/AO390)</f>
        <v/>
      </c>
      <c r="AX390" s="35" t="str">
        <f aca="false">IF(OR(AR390="",N(AO390)=0),"",(N(AF390)*Settings!$B$6+N(AG390)*Settings!$B$7+N(AH390)*Settings!$B$8+N(AI390)*Settings!$B$9+N(AJ390)*Settings!$B$10)/AO390*1000)</f>
        <v/>
      </c>
      <c r="AY390" s="36" t="str">
        <f aca="false">IF(AS390="","",IFERROR(AS390/AVERAGEIFS('Post Tracker'!$AS$5:$AS$1004,'Post Tracker'!$G$5:$G$1004,G390),""))</f>
        <v/>
      </c>
      <c r="AZ390" s="32"/>
      <c r="BA390" s="32"/>
      <c r="BB390" s="32"/>
      <c r="BC390" s="32"/>
      <c r="BD390" s="33" t="str">
        <f aca="false">IF(A390="","",COUNTIFS('Demo Pipeline'!$Q$5:$Q$504,A390))</f>
        <v/>
      </c>
      <c r="BE390" s="33" t="str">
        <f aca="false">IF(A390="","",COUNTIFS('Demo Pipeline'!$Q$5:$Q$504,A390,'Demo Pipeline'!$W$5:$W$504,"Attended"))</f>
        <v/>
      </c>
      <c r="BF390" s="33" t="str">
        <f aca="false">IF(A390="","",COUNTIFS('Demo Pipeline'!$Q$5:$Q$504,A390,'Demo Pipeline'!$X$5:$X$504,"Yes"))</f>
        <v/>
      </c>
      <c r="BG390" s="33" t="str">
        <f aca="false">IF(A390="","",COUNTIFS('Demo Pipeline'!$Q$5:$Q$504,A390,'Demo Pipeline'!$Y$5:$Y$504,"Closed Won"))</f>
        <v/>
      </c>
      <c r="BH390" s="37" t="str">
        <f aca="false">IF(A390="","",SUMIFS('Demo Pipeline'!$Z$5:$Z$504,'Demo Pipeline'!$Q$5:$Q$504,A390))</f>
        <v/>
      </c>
      <c r="BI390" s="34" t="str">
        <f aca="false">IF(OR(AZ390="",N(AJ390)=0),"",AZ390/AJ390)</f>
        <v/>
      </c>
      <c r="BJ390" s="34" t="str">
        <f aca="false">IF(OR(BB390="",N(AZ390)=0),"",BB390/AZ390)</f>
        <v/>
      </c>
      <c r="BK390" s="34" t="str">
        <f aca="false">IF(OR(A390="",N(BB390)=0),"",BD390/BB390)</f>
        <v/>
      </c>
      <c r="BL390" s="34" t="str">
        <f aca="false">IF(OR(A390="",N(AZ390)=0),"",BD390/AZ390)</f>
        <v/>
      </c>
      <c r="BM390" s="37" t="str">
        <f aca="false">IF(OR(N(Q390)=0,N(BD390)=0),"",Q390/BD390)</f>
        <v/>
      </c>
      <c r="BN390" s="29"/>
      <c r="BO390" s="29"/>
      <c r="BP390" s="33" t="str">
        <f aca="false">IF(OR(AR390="",N(AO390)=0),"",AR390)</f>
        <v/>
      </c>
      <c r="BQ390" s="33" t="str">
        <f aca="false">IF(OR(AR390="",N(S390)=0),"",S390)</f>
        <v/>
      </c>
      <c r="BR390" s="38" t="str">
        <f aca="false">IF(AND(ISNUMBER(B390),B390&gt;=Dashboard!$C$4,B390&lt;=Dashboard!$F$4,ISNUMBER(AU390)),AU390+ROW()/10^9,"")</f>
        <v/>
      </c>
      <c r="BS390" s="38" t="str">
        <f aca="false">IF(AND(ISNUMBER(B390),B390&gt;=Dashboard!$C$4,B390&lt;=Dashboard!$F$4,A390&lt;&gt;""),N(BD390)+N(AU390)/100+ROW()/10^9,"")</f>
        <v/>
      </c>
    </row>
    <row r="391" customFormat="false" ht="15" hidden="false" customHeight="false" outlineLevel="0" collapsed="false">
      <c r="A391" s="24" t="str">
        <f aca="false">IF(OR(B391="",G391="",H391=""),"",IFERROR(INDEX(Settings!$E$5:$E$49,MATCH(G391,Settings!$D$5:$D$49,0))&amp;INDEX(Settings!$H$5:$H$47,MATCH(H391,Settings!$G$5:$G$47,0))&amp;"-"&amp;TEXT(B391,"yymmdd")&amp;"-"&amp;IF(C391="","0000",TEXT(C391,"hhmm")),"CHECK LISTS"))</f>
        <v/>
      </c>
      <c r="B391" s="39"/>
      <c r="C391" s="40"/>
      <c r="D391" s="24" t="str">
        <f aca="false">IF(B391="","",TEXT(B391,"ddd"))</f>
        <v/>
      </c>
      <c r="E391" s="27" t="str">
        <f aca="false">IF(B391="","",B391-WEEKDAY(B391,3))</f>
        <v/>
      </c>
      <c r="F391" s="24" t="str">
        <f aca="false">IF(B391="","",TEXT(B391,"yyyy-mm"))</f>
        <v/>
      </c>
      <c r="G391" s="29"/>
      <c r="H391" s="29"/>
      <c r="I391" s="29"/>
      <c r="J391" s="29"/>
      <c r="K391" s="29"/>
      <c r="L391" s="29"/>
      <c r="M391" s="29"/>
      <c r="N391" s="29"/>
      <c r="O391" s="29"/>
      <c r="P391" s="29"/>
      <c r="Q391" s="30"/>
      <c r="R391" s="29"/>
      <c r="S391" s="32"/>
      <c r="T391" s="29"/>
      <c r="U391" s="29"/>
      <c r="V391" s="24" t="str">
        <f aca="false">IF(A391="","",IFERROR(INDEX(Settings!$F$5:$F$49,MATCH(G391,Settings!$D$5:$D$49,0)),""))</f>
        <v/>
      </c>
      <c r="W391" s="24" t="str">
        <f aca="false">IF(A391="","",IF(OR(P391="",P391="Organic"),"social","paid_social"))</f>
        <v/>
      </c>
      <c r="X391" s="24" t="str">
        <f aca="false">IF(A391="","",IF(K391&lt;&gt;"",IFERROR(INDEX('Case Studies'!$C$5:$C$54,MATCH(K391,'Case Studies'!$B$5:$B$54,0))&amp;"","case-study"),IF(J391&lt;&gt;"",IFERROR(INDEX(Settings!$J$5:$J$55,MATCH(J391,Settings!$I$5:$I$55,0)),"general"),"general")))</f>
        <v/>
      </c>
      <c r="Y391" s="24" t="str">
        <f aca="false">IF(A391="","",LOWER(A391))</f>
        <v/>
      </c>
      <c r="Z391" s="24" t="str">
        <f aca="false">IF(A391="","",IF(T391="",Settings!$B$5,T391)&amp;IF(ISNUMBER(FIND("?",IF(T391="",Settings!$B$5,T391))),"&amp;","?")&amp;"utm_source="&amp;V391&amp;"&amp;utm_medium="&amp;W391&amp;"&amp;utm_campaign="&amp;X391&amp;"&amp;utm_content="&amp;Y391)</f>
        <v/>
      </c>
      <c r="AA391" s="29"/>
      <c r="AB391" s="39"/>
      <c r="AC391" s="32"/>
      <c r="AD391" s="32"/>
      <c r="AE391" s="32"/>
      <c r="AF391" s="32"/>
      <c r="AG391" s="32"/>
      <c r="AH391" s="32"/>
      <c r="AI391" s="32"/>
      <c r="AJ391" s="32"/>
      <c r="AK391" s="32"/>
      <c r="AL391" s="32"/>
      <c r="AM391" s="32"/>
      <c r="AN391" s="32"/>
      <c r="AO391" s="33" t="str">
        <f aca="false">IF(A391="","",IF(AD391&lt;&gt;"",AD391,IF(AC391&lt;&gt;"",AC391,"")))</f>
        <v/>
      </c>
      <c r="AP391" s="24" t="str">
        <f aca="false">IF(AO391="","",IF(AD391&lt;&gt;"","Reported reach","Impressions (proxy)"))</f>
        <v/>
      </c>
      <c r="AQ391" s="34" t="str">
        <f aca="false">IF(OR(AO391="",N(S391)=0),"",AO391/S391)</f>
        <v/>
      </c>
      <c r="AR391" s="33" t="str">
        <f aca="false">IF(A391="","",IF(COUNT(AF391:AJ391)=0,"",SUM(AF391:AJ391)))</f>
        <v/>
      </c>
      <c r="AS391" s="34" t="str">
        <f aca="false">IF(OR(AR391="",N(AO391)=0),"",AR391/AO391)</f>
        <v/>
      </c>
      <c r="AT391" s="34" t="str">
        <f aca="false">IF(OR(AR391="",N(AC391)=0),"",AR391/AC391)</f>
        <v/>
      </c>
      <c r="AU391" s="34" t="str">
        <f aca="false">IF(OR(AR391="",N(S391)=0),"",AR391/S391)</f>
        <v/>
      </c>
      <c r="AV391" s="34" t="str">
        <f aca="false">IF(OR(AJ391="",N(AC391)=0),"",AJ391/AC391)</f>
        <v/>
      </c>
      <c r="AW391" s="34" t="str">
        <f aca="false">IF(OR(AH391="",N(AO391)=0),"",AH391/AO391)</f>
        <v/>
      </c>
      <c r="AX391" s="35" t="str">
        <f aca="false">IF(OR(AR391="",N(AO391)=0),"",(N(AF391)*Settings!$B$6+N(AG391)*Settings!$B$7+N(AH391)*Settings!$B$8+N(AI391)*Settings!$B$9+N(AJ391)*Settings!$B$10)/AO391*1000)</f>
        <v/>
      </c>
      <c r="AY391" s="36" t="str">
        <f aca="false">IF(AS391="","",IFERROR(AS391/AVERAGEIFS('Post Tracker'!$AS$5:$AS$1004,'Post Tracker'!$G$5:$G$1004,G391),""))</f>
        <v/>
      </c>
      <c r="AZ391" s="32"/>
      <c r="BA391" s="32"/>
      <c r="BB391" s="32"/>
      <c r="BC391" s="32"/>
      <c r="BD391" s="33" t="str">
        <f aca="false">IF(A391="","",COUNTIFS('Demo Pipeline'!$Q$5:$Q$504,A391))</f>
        <v/>
      </c>
      <c r="BE391" s="33" t="str">
        <f aca="false">IF(A391="","",COUNTIFS('Demo Pipeline'!$Q$5:$Q$504,A391,'Demo Pipeline'!$W$5:$W$504,"Attended"))</f>
        <v/>
      </c>
      <c r="BF391" s="33" t="str">
        <f aca="false">IF(A391="","",COUNTIFS('Demo Pipeline'!$Q$5:$Q$504,A391,'Demo Pipeline'!$X$5:$X$504,"Yes"))</f>
        <v/>
      </c>
      <c r="BG391" s="33" t="str">
        <f aca="false">IF(A391="","",COUNTIFS('Demo Pipeline'!$Q$5:$Q$504,A391,'Demo Pipeline'!$Y$5:$Y$504,"Closed Won"))</f>
        <v/>
      </c>
      <c r="BH391" s="37" t="str">
        <f aca="false">IF(A391="","",SUMIFS('Demo Pipeline'!$Z$5:$Z$504,'Demo Pipeline'!$Q$5:$Q$504,A391))</f>
        <v/>
      </c>
      <c r="BI391" s="34" t="str">
        <f aca="false">IF(OR(AZ391="",N(AJ391)=0),"",AZ391/AJ391)</f>
        <v/>
      </c>
      <c r="BJ391" s="34" t="str">
        <f aca="false">IF(OR(BB391="",N(AZ391)=0),"",BB391/AZ391)</f>
        <v/>
      </c>
      <c r="BK391" s="34" t="str">
        <f aca="false">IF(OR(A391="",N(BB391)=0),"",BD391/BB391)</f>
        <v/>
      </c>
      <c r="BL391" s="34" t="str">
        <f aca="false">IF(OR(A391="",N(AZ391)=0),"",BD391/AZ391)</f>
        <v/>
      </c>
      <c r="BM391" s="37" t="str">
        <f aca="false">IF(OR(N(Q391)=0,N(BD391)=0),"",Q391/BD391)</f>
        <v/>
      </c>
      <c r="BN391" s="29"/>
      <c r="BO391" s="29"/>
      <c r="BP391" s="33" t="str">
        <f aca="false">IF(OR(AR391="",N(AO391)=0),"",AR391)</f>
        <v/>
      </c>
      <c r="BQ391" s="33" t="str">
        <f aca="false">IF(OR(AR391="",N(S391)=0),"",S391)</f>
        <v/>
      </c>
      <c r="BR391" s="38" t="str">
        <f aca="false">IF(AND(ISNUMBER(B391),B391&gt;=Dashboard!$C$4,B391&lt;=Dashboard!$F$4,ISNUMBER(AU391)),AU391+ROW()/10^9,"")</f>
        <v/>
      </c>
      <c r="BS391" s="38" t="str">
        <f aca="false">IF(AND(ISNUMBER(B391),B391&gt;=Dashboard!$C$4,B391&lt;=Dashboard!$F$4,A391&lt;&gt;""),N(BD391)+N(AU391)/100+ROW()/10^9,"")</f>
        <v/>
      </c>
    </row>
    <row r="392" customFormat="false" ht="15" hidden="false" customHeight="false" outlineLevel="0" collapsed="false">
      <c r="A392" s="24" t="str">
        <f aca="false">IF(OR(B392="",G392="",H392=""),"",IFERROR(INDEX(Settings!$E$5:$E$49,MATCH(G392,Settings!$D$5:$D$49,0))&amp;INDEX(Settings!$H$5:$H$47,MATCH(H392,Settings!$G$5:$G$47,0))&amp;"-"&amp;TEXT(B392,"yymmdd")&amp;"-"&amp;IF(C392="","0000",TEXT(C392,"hhmm")),"CHECK LISTS"))</f>
        <v/>
      </c>
      <c r="B392" s="39"/>
      <c r="C392" s="40"/>
      <c r="D392" s="24" t="str">
        <f aca="false">IF(B392="","",TEXT(B392,"ddd"))</f>
        <v/>
      </c>
      <c r="E392" s="27" t="str">
        <f aca="false">IF(B392="","",B392-WEEKDAY(B392,3))</f>
        <v/>
      </c>
      <c r="F392" s="24" t="str">
        <f aca="false">IF(B392="","",TEXT(B392,"yyyy-mm"))</f>
        <v/>
      </c>
      <c r="G392" s="29"/>
      <c r="H392" s="29"/>
      <c r="I392" s="29"/>
      <c r="J392" s="29"/>
      <c r="K392" s="29"/>
      <c r="L392" s="29"/>
      <c r="M392" s="29"/>
      <c r="N392" s="29"/>
      <c r="O392" s="29"/>
      <c r="P392" s="29"/>
      <c r="Q392" s="30"/>
      <c r="R392" s="29"/>
      <c r="S392" s="32"/>
      <c r="T392" s="29"/>
      <c r="U392" s="29"/>
      <c r="V392" s="24" t="str">
        <f aca="false">IF(A392="","",IFERROR(INDEX(Settings!$F$5:$F$49,MATCH(G392,Settings!$D$5:$D$49,0)),""))</f>
        <v/>
      </c>
      <c r="W392" s="24" t="str">
        <f aca="false">IF(A392="","",IF(OR(P392="",P392="Organic"),"social","paid_social"))</f>
        <v/>
      </c>
      <c r="X392" s="24" t="str">
        <f aca="false">IF(A392="","",IF(K392&lt;&gt;"",IFERROR(INDEX('Case Studies'!$C$5:$C$54,MATCH(K392,'Case Studies'!$B$5:$B$54,0))&amp;"","case-study"),IF(J392&lt;&gt;"",IFERROR(INDEX(Settings!$J$5:$J$55,MATCH(J392,Settings!$I$5:$I$55,0)),"general"),"general")))</f>
        <v/>
      </c>
      <c r="Y392" s="24" t="str">
        <f aca="false">IF(A392="","",LOWER(A392))</f>
        <v/>
      </c>
      <c r="Z392" s="24" t="str">
        <f aca="false">IF(A392="","",IF(T392="",Settings!$B$5,T392)&amp;IF(ISNUMBER(FIND("?",IF(T392="",Settings!$B$5,T392))),"&amp;","?")&amp;"utm_source="&amp;V392&amp;"&amp;utm_medium="&amp;W392&amp;"&amp;utm_campaign="&amp;X392&amp;"&amp;utm_content="&amp;Y392)</f>
        <v/>
      </c>
      <c r="AA392" s="29"/>
      <c r="AB392" s="39"/>
      <c r="AC392" s="32"/>
      <c r="AD392" s="32"/>
      <c r="AE392" s="32"/>
      <c r="AF392" s="32"/>
      <c r="AG392" s="32"/>
      <c r="AH392" s="32"/>
      <c r="AI392" s="32"/>
      <c r="AJ392" s="32"/>
      <c r="AK392" s="32"/>
      <c r="AL392" s="32"/>
      <c r="AM392" s="32"/>
      <c r="AN392" s="32"/>
      <c r="AO392" s="33" t="str">
        <f aca="false">IF(A392="","",IF(AD392&lt;&gt;"",AD392,IF(AC392&lt;&gt;"",AC392,"")))</f>
        <v/>
      </c>
      <c r="AP392" s="24" t="str">
        <f aca="false">IF(AO392="","",IF(AD392&lt;&gt;"","Reported reach","Impressions (proxy)"))</f>
        <v/>
      </c>
      <c r="AQ392" s="34" t="str">
        <f aca="false">IF(OR(AO392="",N(S392)=0),"",AO392/S392)</f>
        <v/>
      </c>
      <c r="AR392" s="33" t="str">
        <f aca="false">IF(A392="","",IF(COUNT(AF392:AJ392)=0,"",SUM(AF392:AJ392)))</f>
        <v/>
      </c>
      <c r="AS392" s="34" t="str">
        <f aca="false">IF(OR(AR392="",N(AO392)=0),"",AR392/AO392)</f>
        <v/>
      </c>
      <c r="AT392" s="34" t="str">
        <f aca="false">IF(OR(AR392="",N(AC392)=0),"",AR392/AC392)</f>
        <v/>
      </c>
      <c r="AU392" s="34" t="str">
        <f aca="false">IF(OR(AR392="",N(S392)=0),"",AR392/S392)</f>
        <v/>
      </c>
      <c r="AV392" s="34" t="str">
        <f aca="false">IF(OR(AJ392="",N(AC392)=0),"",AJ392/AC392)</f>
        <v/>
      </c>
      <c r="AW392" s="34" t="str">
        <f aca="false">IF(OR(AH392="",N(AO392)=0),"",AH392/AO392)</f>
        <v/>
      </c>
      <c r="AX392" s="35" t="str">
        <f aca="false">IF(OR(AR392="",N(AO392)=0),"",(N(AF392)*Settings!$B$6+N(AG392)*Settings!$B$7+N(AH392)*Settings!$B$8+N(AI392)*Settings!$B$9+N(AJ392)*Settings!$B$10)/AO392*1000)</f>
        <v/>
      </c>
      <c r="AY392" s="36" t="str">
        <f aca="false">IF(AS392="","",IFERROR(AS392/AVERAGEIFS('Post Tracker'!$AS$5:$AS$1004,'Post Tracker'!$G$5:$G$1004,G392),""))</f>
        <v/>
      </c>
      <c r="AZ392" s="32"/>
      <c r="BA392" s="32"/>
      <c r="BB392" s="32"/>
      <c r="BC392" s="32"/>
      <c r="BD392" s="33" t="str">
        <f aca="false">IF(A392="","",COUNTIFS('Demo Pipeline'!$Q$5:$Q$504,A392))</f>
        <v/>
      </c>
      <c r="BE392" s="33" t="str">
        <f aca="false">IF(A392="","",COUNTIFS('Demo Pipeline'!$Q$5:$Q$504,A392,'Demo Pipeline'!$W$5:$W$504,"Attended"))</f>
        <v/>
      </c>
      <c r="BF392" s="33" t="str">
        <f aca="false">IF(A392="","",COUNTIFS('Demo Pipeline'!$Q$5:$Q$504,A392,'Demo Pipeline'!$X$5:$X$504,"Yes"))</f>
        <v/>
      </c>
      <c r="BG392" s="33" t="str">
        <f aca="false">IF(A392="","",COUNTIFS('Demo Pipeline'!$Q$5:$Q$504,A392,'Demo Pipeline'!$Y$5:$Y$504,"Closed Won"))</f>
        <v/>
      </c>
      <c r="BH392" s="37" t="str">
        <f aca="false">IF(A392="","",SUMIFS('Demo Pipeline'!$Z$5:$Z$504,'Demo Pipeline'!$Q$5:$Q$504,A392))</f>
        <v/>
      </c>
      <c r="BI392" s="34" t="str">
        <f aca="false">IF(OR(AZ392="",N(AJ392)=0),"",AZ392/AJ392)</f>
        <v/>
      </c>
      <c r="BJ392" s="34" t="str">
        <f aca="false">IF(OR(BB392="",N(AZ392)=0),"",BB392/AZ392)</f>
        <v/>
      </c>
      <c r="BK392" s="34" t="str">
        <f aca="false">IF(OR(A392="",N(BB392)=0),"",BD392/BB392)</f>
        <v/>
      </c>
      <c r="BL392" s="34" t="str">
        <f aca="false">IF(OR(A392="",N(AZ392)=0),"",BD392/AZ392)</f>
        <v/>
      </c>
      <c r="BM392" s="37" t="str">
        <f aca="false">IF(OR(N(Q392)=0,N(BD392)=0),"",Q392/BD392)</f>
        <v/>
      </c>
      <c r="BN392" s="29"/>
      <c r="BO392" s="29"/>
      <c r="BP392" s="33" t="str">
        <f aca="false">IF(OR(AR392="",N(AO392)=0),"",AR392)</f>
        <v/>
      </c>
      <c r="BQ392" s="33" t="str">
        <f aca="false">IF(OR(AR392="",N(S392)=0),"",S392)</f>
        <v/>
      </c>
      <c r="BR392" s="38" t="str">
        <f aca="false">IF(AND(ISNUMBER(B392),B392&gt;=Dashboard!$C$4,B392&lt;=Dashboard!$F$4,ISNUMBER(AU392)),AU392+ROW()/10^9,"")</f>
        <v/>
      </c>
      <c r="BS392" s="38" t="str">
        <f aca="false">IF(AND(ISNUMBER(B392),B392&gt;=Dashboard!$C$4,B392&lt;=Dashboard!$F$4,A392&lt;&gt;""),N(BD392)+N(AU392)/100+ROW()/10^9,"")</f>
        <v/>
      </c>
    </row>
    <row r="393" customFormat="false" ht="15" hidden="false" customHeight="false" outlineLevel="0" collapsed="false">
      <c r="A393" s="24" t="str">
        <f aca="false">IF(OR(B393="",G393="",H393=""),"",IFERROR(INDEX(Settings!$E$5:$E$49,MATCH(G393,Settings!$D$5:$D$49,0))&amp;INDEX(Settings!$H$5:$H$47,MATCH(H393,Settings!$G$5:$G$47,0))&amp;"-"&amp;TEXT(B393,"yymmdd")&amp;"-"&amp;IF(C393="","0000",TEXT(C393,"hhmm")),"CHECK LISTS"))</f>
        <v/>
      </c>
      <c r="B393" s="39"/>
      <c r="C393" s="40"/>
      <c r="D393" s="24" t="str">
        <f aca="false">IF(B393="","",TEXT(B393,"ddd"))</f>
        <v/>
      </c>
      <c r="E393" s="27" t="str">
        <f aca="false">IF(B393="","",B393-WEEKDAY(B393,3))</f>
        <v/>
      </c>
      <c r="F393" s="24" t="str">
        <f aca="false">IF(B393="","",TEXT(B393,"yyyy-mm"))</f>
        <v/>
      </c>
      <c r="G393" s="29"/>
      <c r="H393" s="29"/>
      <c r="I393" s="29"/>
      <c r="J393" s="29"/>
      <c r="K393" s="29"/>
      <c r="L393" s="29"/>
      <c r="M393" s="29"/>
      <c r="N393" s="29"/>
      <c r="O393" s="29"/>
      <c r="P393" s="29"/>
      <c r="Q393" s="30"/>
      <c r="R393" s="29"/>
      <c r="S393" s="32"/>
      <c r="T393" s="29"/>
      <c r="U393" s="29"/>
      <c r="V393" s="24" t="str">
        <f aca="false">IF(A393="","",IFERROR(INDEX(Settings!$F$5:$F$49,MATCH(G393,Settings!$D$5:$D$49,0)),""))</f>
        <v/>
      </c>
      <c r="W393" s="24" t="str">
        <f aca="false">IF(A393="","",IF(OR(P393="",P393="Organic"),"social","paid_social"))</f>
        <v/>
      </c>
      <c r="X393" s="24" t="str">
        <f aca="false">IF(A393="","",IF(K393&lt;&gt;"",IFERROR(INDEX('Case Studies'!$C$5:$C$54,MATCH(K393,'Case Studies'!$B$5:$B$54,0))&amp;"","case-study"),IF(J393&lt;&gt;"",IFERROR(INDEX(Settings!$J$5:$J$55,MATCH(J393,Settings!$I$5:$I$55,0)),"general"),"general")))</f>
        <v/>
      </c>
      <c r="Y393" s="24" t="str">
        <f aca="false">IF(A393="","",LOWER(A393))</f>
        <v/>
      </c>
      <c r="Z393" s="24" t="str">
        <f aca="false">IF(A393="","",IF(T393="",Settings!$B$5,T393)&amp;IF(ISNUMBER(FIND("?",IF(T393="",Settings!$B$5,T393))),"&amp;","?")&amp;"utm_source="&amp;V393&amp;"&amp;utm_medium="&amp;W393&amp;"&amp;utm_campaign="&amp;X393&amp;"&amp;utm_content="&amp;Y393)</f>
        <v/>
      </c>
      <c r="AA393" s="29"/>
      <c r="AB393" s="39"/>
      <c r="AC393" s="32"/>
      <c r="AD393" s="32"/>
      <c r="AE393" s="32"/>
      <c r="AF393" s="32"/>
      <c r="AG393" s="32"/>
      <c r="AH393" s="32"/>
      <c r="AI393" s="32"/>
      <c r="AJ393" s="32"/>
      <c r="AK393" s="32"/>
      <c r="AL393" s="32"/>
      <c r="AM393" s="32"/>
      <c r="AN393" s="32"/>
      <c r="AO393" s="33" t="str">
        <f aca="false">IF(A393="","",IF(AD393&lt;&gt;"",AD393,IF(AC393&lt;&gt;"",AC393,"")))</f>
        <v/>
      </c>
      <c r="AP393" s="24" t="str">
        <f aca="false">IF(AO393="","",IF(AD393&lt;&gt;"","Reported reach","Impressions (proxy)"))</f>
        <v/>
      </c>
      <c r="AQ393" s="34" t="str">
        <f aca="false">IF(OR(AO393="",N(S393)=0),"",AO393/S393)</f>
        <v/>
      </c>
      <c r="AR393" s="33" t="str">
        <f aca="false">IF(A393="","",IF(COUNT(AF393:AJ393)=0,"",SUM(AF393:AJ393)))</f>
        <v/>
      </c>
      <c r="AS393" s="34" t="str">
        <f aca="false">IF(OR(AR393="",N(AO393)=0),"",AR393/AO393)</f>
        <v/>
      </c>
      <c r="AT393" s="34" t="str">
        <f aca="false">IF(OR(AR393="",N(AC393)=0),"",AR393/AC393)</f>
        <v/>
      </c>
      <c r="AU393" s="34" t="str">
        <f aca="false">IF(OR(AR393="",N(S393)=0),"",AR393/S393)</f>
        <v/>
      </c>
      <c r="AV393" s="34" t="str">
        <f aca="false">IF(OR(AJ393="",N(AC393)=0),"",AJ393/AC393)</f>
        <v/>
      </c>
      <c r="AW393" s="34" t="str">
        <f aca="false">IF(OR(AH393="",N(AO393)=0),"",AH393/AO393)</f>
        <v/>
      </c>
      <c r="AX393" s="35" t="str">
        <f aca="false">IF(OR(AR393="",N(AO393)=0),"",(N(AF393)*Settings!$B$6+N(AG393)*Settings!$B$7+N(AH393)*Settings!$B$8+N(AI393)*Settings!$B$9+N(AJ393)*Settings!$B$10)/AO393*1000)</f>
        <v/>
      </c>
      <c r="AY393" s="36" t="str">
        <f aca="false">IF(AS393="","",IFERROR(AS393/AVERAGEIFS('Post Tracker'!$AS$5:$AS$1004,'Post Tracker'!$G$5:$G$1004,G393),""))</f>
        <v/>
      </c>
      <c r="AZ393" s="32"/>
      <c r="BA393" s="32"/>
      <c r="BB393" s="32"/>
      <c r="BC393" s="32"/>
      <c r="BD393" s="33" t="str">
        <f aca="false">IF(A393="","",COUNTIFS('Demo Pipeline'!$Q$5:$Q$504,A393))</f>
        <v/>
      </c>
      <c r="BE393" s="33" t="str">
        <f aca="false">IF(A393="","",COUNTIFS('Demo Pipeline'!$Q$5:$Q$504,A393,'Demo Pipeline'!$W$5:$W$504,"Attended"))</f>
        <v/>
      </c>
      <c r="BF393" s="33" t="str">
        <f aca="false">IF(A393="","",COUNTIFS('Demo Pipeline'!$Q$5:$Q$504,A393,'Demo Pipeline'!$X$5:$X$504,"Yes"))</f>
        <v/>
      </c>
      <c r="BG393" s="33" t="str">
        <f aca="false">IF(A393="","",COUNTIFS('Demo Pipeline'!$Q$5:$Q$504,A393,'Demo Pipeline'!$Y$5:$Y$504,"Closed Won"))</f>
        <v/>
      </c>
      <c r="BH393" s="37" t="str">
        <f aca="false">IF(A393="","",SUMIFS('Demo Pipeline'!$Z$5:$Z$504,'Demo Pipeline'!$Q$5:$Q$504,A393))</f>
        <v/>
      </c>
      <c r="BI393" s="34" t="str">
        <f aca="false">IF(OR(AZ393="",N(AJ393)=0),"",AZ393/AJ393)</f>
        <v/>
      </c>
      <c r="BJ393" s="34" t="str">
        <f aca="false">IF(OR(BB393="",N(AZ393)=0),"",BB393/AZ393)</f>
        <v/>
      </c>
      <c r="BK393" s="34" t="str">
        <f aca="false">IF(OR(A393="",N(BB393)=0),"",BD393/BB393)</f>
        <v/>
      </c>
      <c r="BL393" s="34" t="str">
        <f aca="false">IF(OR(A393="",N(AZ393)=0),"",BD393/AZ393)</f>
        <v/>
      </c>
      <c r="BM393" s="37" t="str">
        <f aca="false">IF(OR(N(Q393)=0,N(BD393)=0),"",Q393/BD393)</f>
        <v/>
      </c>
      <c r="BN393" s="29"/>
      <c r="BO393" s="29"/>
      <c r="BP393" s="33" t="str">
        <f aca="false">IF(OR(AR393="",N(AO393)=0),"",AR393)</f>
        <v/>
      </c>
      <c r="BQ393" s="33" t="str">
        <f aca="false">IF(OR(AR393="",N(S393)=0),"",S393)</f>
        <v/>
      </c>
      <c r="BR393" s="38" t="str">
        <f aca="false">IF(AND(ISNUMBER(B393),B393&gt;=Dashboard!$C$4,B393&lt;=Dashboard!$F$4,ISNUMBER(AU393)),AU393+ROW()/10^9,"")</f>
        <v/>
      </c>
      <c r="BS393" s="38" t="str">
        <f aca="false">IF(AND(ISNUMBER(B393),B393&gt;=Dashboard!$C$4,B393&lt;=Dashboard!$F$4,A393&lt;&gt;""),N(BD393)+N(AU393)/100+ROW()/10^9,"")</f>
        <v/>
      </c>
    </row>
    <row r="394" customFormat="false" ht="15" hidden="false" customHeight="false" outlineLevel="0" collapsed="false">
      <c r="A394" s="24" t="str">
        <f aca="false">IF(OR(B394="",G394="",H394=""),"",IFERROR(INDEX(Settings!$E$5:$E$49,MATCH(G394,Settings!$D$5:$D$49,0))&amp;INDEX(Settings!$H$5:$H$47,MATCH(H394,Settings!$G$5:$G$47,0))&amp;"-"&amp;TEXT(B394,"yymmdd")&amp;"-"&amp;IF(C394="","0000",TEXT(C394,"hhmm")),"CHECK LISTS"))</f>
        <v/>
      </c>
      <c r="B394" s="39"/>
      <c r="C394" s="40"/>
      <c r="D394" s="24" t="str">
        <f aca="false">IF(B394="","",TEXT(B394,"ddd"))</f>
        <v/>
      </c>
      <c r="E394" s="27" t="str">
        <f aca="false">IF(B394="","",B394-WEEKDAY(B394,3))</f>
        <v/>
      </c>
      <c r="F394" s="24" t="str">
        <f aca="false">IF(B394="","",TEXT(B394,"yyyy-mm"))</f>
        <v/>
      </c>
      <c r="G394" s="29"/>
      <c r="H394" s="29"/>
      <c r="I394" s="29"/>
      <c r="J394" s="29"/>
      <c r="K394" s="29"/>
      <c r="L394" s="29"/>
      <c r="M394" s="29"/>
      <c r="N394" s="29"/>
      <c r="O394" s="29"/>
      <c r="P394" s="29"/>
      <c r="Q394" s="30"/>
      <c r="R394" s="29"/>
      <c r="S394" s="32"/>
      <c r="T394" s="29"/>
      <c r="U394" s="29"/>
      <c r="V394" s="24" t="str">
        <f aca="false">IF(A394="","",IFERROR(INDEX(Settings!$F$5:$F$49,MATCH(G394,Settings!$D$5:$D$49,0)),""))</f>
        <v/>
      </c>
      <c r="W394" s="24" t="str">
        <f aca="false">IF(A394="","",IF(OR(P394="",P394="Organic"),"social","paid_social"))</f>
        <v/>
      </c>
      <c r="X394" s="24" t="str">
        <f aca="false">IF(A394="","",IF(K394&lt;&gt;"",IFERROR(INDEX('Case Studies'!$C$5:$C$54,MATCH(K394,'Case Studies'!$B$5:$B$54,0))&amp;"","case-study"),IF(J394&lt;&gt;"",IFERROR(INDEX(Settings!$J$5:$J$55,MATCH(J394,Settings!$I$5:$I$55,0)),"general"),"general")))</f>
        <v/>
      </c>
      <c r="Y394" s="24" t="str">
        <f aca="false">IF(A394="","",LOWER(A394))</f>
        <v/>
      </c>
      <c r="Z394" s="24" t="str">
        <f aca="false">IF(A394="","",IF(T394="",Settings!$B$5,T394)&amp;IF(ISNUMBER(FIND("?",IF(T394="",Settings!$B$5,T394))),"&amp;","?")&amp;"utm_source="&amp;V394&amp;"&amp;utm_medium="&amp;W394&amp;"&amp;utm_campaign="&amp;X394&amp;"&amp;utm_content="&amp;Y394)</f>
        <v/>
      </c>
      <c r="AA394" s="29"/>
      <c r="AB394" s="39"/>
      <c r="AC394" s="32"/>
      <c r="AD394" s="32"/>
      <c r="AE394" s="32"/>
      <c r="AF394" s="32"/>
      <c r="AG394" s="32"/>
      <c r="AH394" s="32"/>
      <c r="AI394" s="32"/>
      <c r="AJ394" s="32"/>
      <c r="AK394" s="32"/>
      <c r="AL394" s="32"/>
      <c r="AM394" s="32"/>
      <c r="AN394" s="32"/>
      <c r="AO394" s="33" t="str">
        <f aca="false">IF(A394="","",IF(AD394&lt;&gt;"",AD394,IF(AC394&lt;&gt;"",AC394,"")))</f>
        <v/>
      </c>
      <c r="AP394" s="24" t="str">
        <f aca="false">IF(AO394="","",IF(AD394&lt;&gt;"","Reported reach","Impressions (proxy)"))</f>
        <v/>
      </c>
      <c r="AQ394" s="34" t="str">
        <f aca="false">IF(OR(AO394="",N(S394)=0),"",AO394/S394)</f>
        <v/>
      </c>
      <c r="AR394" s="33" t="str">
        <f aca="false">IF(A394="","",IF(COUNT(AF394:AJ394)=0,"",SUM(AF394:AJ394)))</f>
        <v/>
      </c>
      <c r="AS394" s="34" t="str">
        <f aca="false">IF(OR(AR394="",N(AO394)=0),"",AR394/AO394)</f>
        <v/>
      </c>
      <c r="AT394" s="34" t="str">
        <f aca="false">IF(OR(AR394="",N(AC394)=0),"",AR394/AC394)</f>
        <v/>
      </c>
      <c r="AU394" s="34" t="str">
        <f aca="false">IF(OR(AR394="",N(S394)=0),"",AR394/S394)</f>
        <v/>
      </c>
      <c r="AV394" s="34" t="str">
        <f aca="false">IF(OR(AJ394="",N(AC394)=0),"",AJ394/AC394)</f>
        <v/>
      </c>
      <c r="AW394" s="34" t="str">
        <f aca="false">IF(OR(AH394="",N(AO394)=0),"",AH394/AO394)</f>
        <v/>
      </c>
      <c r="AX394" s="35" t="str">
        <f aca="false">IF(OR(AR394="",N(AO394)=0),"",(N(AF394)*Settings!$B$6+N(AG394)*Settings!$B$7+N(AH394)*Settings!$B$8+N(AI394)*Settings!$B$9+N(AJ394)*Settings!$B$10)/AO394*1000)</f>
        <v/>
      </c>
      <c r="AY394" s="36" t="str">
        <f aca="false">IF(AS394="","",IFERROR(AS394/AVERAGEIFS('Post Tracker'!$AS$5:$AS$1004,'Post Tracker'!$G$5:$G$1004,G394),""))</f>
        <v/>
      </c>
      <c r="AZ394" s="32"/>
      <c r="BA394" s="32"/>
      <c r="BB394" s="32"/>
      <c r="BC394" s="32"/>
      <c r="BD394" s="33" t="str">
        <f aca="false">IF(A394="","",COUNTIFS('Demo Pipeline'!$Q$5:$Q$504,A394))</f>
        <v/>
      </c>
      <c r="BE394" s="33" t="str">
        <f aca="false">IF(A394="","",COUNTIFS('Demo Pipeline'!$Q$5:$Q$504,A394,'Demo Pipeline'!$W$5:$W$504,"Attended"))</f>
        <v/>
      </c>
      <c r="BF394" s="33" t="str">
        <f aca="false">IF(A394="","",COUNTIFS('Demo Pipeline'!$Q$5:$Q$504,A394,'Demo Pipeline'!$X$5:$X$504,"Yes"))</f>
        <v/>
      </c>
      <c r="BG394" s="33" t="str">
        <f aca="false">IF(A394="","",COUNTIFS('Demo Pipeline'!$Q$5:$Q$504,A394,'Demo Pipeline'!$Y$5:$Y$504,"Closed Won"))</f>
        <v/>
      </c>
      <c r="BH394" s="37" t="str">
        <f aca="false">IF(A394="","",SUMIFS('Demo Pipeline'!$Z$5:$Z$504,'Demo Pipeline'!$Q$5:$Q$504,A394))</f>
        <v/>
      </c>
      <c r="BI394" s="34" t="str">
        <f aca="false">IF(OR(AZ394="",N(AJ394)=0),"",AZ394/AJ394)</f>
        <v/>
      </c>
      <c r="BJ394" s="34" t="str">
        <f aca="false">IF(OR(BB394="",N(AZ394)=0),"",BB394/AZ394)</f>
        <v/>
      </c>
      <c r="BK394" s="34" t="str">
        <f aca="false">IF(OR(A394="",N(BB394)=0),"",BD394/BB394)</f>
        <v/>
      </c>
      <c r="BL394" s="34" t="str">
        <f aca="false">IF(OR(A394="",N(AZ394)=0),"",BD394/AZ394)</f>
        <v/>
      </c>
      <c r="BM394" s="37" t="str">
        <f aca="false">IF(OR(N(Q394)=0,N(BD394)=0),"",Q394/BD394)</f>
        <v/>
      </c>
      <c r="BN394" s="29"/>
      <c r="BO394" s="29"/>
      <c r="BP394" s="33" t="str">
        <f aca="false">IF(OR(AR394="",N(AO394)=0),"",AR394)</f>
        <v/>
      </c>
      <c r="BQ394" s="33" t="str">
        <f aca="false">IF(OR(AR394="",N(S394)=0),"",S394)</f>
        <v/>
      </c>
      <c r="BR394" s="38" t="str">
        <f aca="false">IF(AND(ISNUMBER(B394),B394&gt;=Dashboard!$C$4,B394&lt;=Dashboard!$F$4,ISNUMBER(AU394)),AU394+ROW()/10^9,"")</f>
        <v/>
      </c>
      <c r="BS394" s="38" t="str">
        <f aca="false">IF(AND(ISNUMBER(B394),B394&gt;=Dashboard!$C$4,B394&lt;=Dashboard!$F$4,A394&lt;&gt;""),N(BD394)+N(AU394)/100+ROW()/10^9,"")</f>
        <v/>
      </c>
    </row>
    <row r="395" customFormat="false" ht="15" hidden="false" customHeight="false" outlineLevel="0" collapsed="false">
      <c r="A395" s="24" t="str">
        <f aca="false">IF(OR(B395="",G395="",H395=""),"",IFERROR(INDEX(Settings!$E$5:$E$49,MATCH(G395,Settings!$D$5:$D$49,0))&amp;INDEX(Settings!$H$5:$H$47,MATCH(H395,Settings!$G$5:$G$47,0))&amp;"-"&amp;TEXT(B395,"yymmdd")&amp;"-"&amp;IF(C395="","0000",TEXT(C395,"hhmm")),"CHECK LISTS"))</f>
        <v/>
      </c>
      <c r="B395" s="39"/>
      <c r="C395" s="40"/>
      <c r="D395" s="24" t="str">
        <f aca="false">IF(B395="","",TEXT(B395,"ddd"))</f>
        <v/>
      </c>
      <c r="E395" s="27" t="str">
        <f aca="false">IF(B395="","",B395-WEEKDAY(B395,3))</f>
        <v/>
      </c>
      <c r="F395" s="24" t="str">
        <f aca="false">IF(B395="","",TEXT(B395,"yyyy-mm"))</f>
        <v/>
      </c>
      <c r="G395" s="29"/>
      <c r="H395" s="29"/>
      <c r="I395" s="29"/>
      <c r="J395" s="29"/>
      <c r="K395" s="29"/>
      <c r="L395" s="29"/>
      <c r="M395" s="29"/>
      <c r="N395" s="29"/>
      <c r="O395" s="29"/>
      <c r="P395" s="29"/>
      <c r="Q395" s="30"/>
      <c r="R395" s="29"/>
      <c r="S395" s="32"/>
      <c r="T395" s="29"/>
      <c r="U395" s="29"/>
      <c r="V395" s="24" t="str">
        <f aca="false">IF(A395="","",IFERROR(INDEX(Settings!$F$5:$F$49,MATCH(G395,Settings!$D$5:$D$49,0)),""))</f>
        <v/>
      </c>
      <c r="W395" s="24" t="str">
        <f aca="false">IF(A395="","",IF(OR(P395="",P395="Organic"),"social","paid_social"))</f>
        <v/>
      </c>
      <c r="X395" s="24" t="str">
        <f aca="false">IF(A395="","",IF(K395&lt;&gt;"",IFERROR(INDEX('Case Studies'!$C$5:$C$54,MATCH(K395,'Case Studies'!$B$5:$B$54,0))&amp;"","case-study"),IF(J395&lt;&gt;"",IFERROR(INDEX(Settings!$J$5:$J$55,MATCH(J395,Settings!$I$5:$I$55,0)),"general"),"general")))</f>
        <v/>
      </c>
      <c r="Y395" s="24" t="str">
        <f aca="false">IF(A395="","",LOWER(A395))</f>
        <v/>
      </c>
      <c r="Z395" s="24" t="str">
        <f aca="false">IF(A395="","",IF(T395="",Settings!$B$5,T395)&amp;IF(ISNUMBER(FIND("?",IF(T395="",Settings!$B$5,T395))),"&amp;","?")&amp;"utm_source="&amp;V395&amp;"&amp;utm_medium="&amp;W395&amp;"&amp;utm_campaign="&amp;X395&amp;"&amp;utm_content="&amp;Y395)</f>
        <v/>
      </c>
      <c r="AA395" s="29"/>
      <c r="AB395" s="39"/>
      <c r="AC395" s="32"/>
      <c r="AD395" s="32"/>
      <c r="AE395" s="32"/>
      <c r="AF395" s="32"/>
      <c r="AG395" s="32"/>
      <c r="AH395" s="32"/>
      <c r="AI395" s="32"/>
      <c r="AJ395" s="32"/>
      <c r="AK395" s="32"/>
      <c r="AL395" s="32"/>
      <c r="AM395" s="32"/>
      <c r="AN395" s="32"/>
      <c r="AO395" s="33" t="str">
        <f aca="false">IF(A395="","",IF(AD395&lt;&gt;"",AD395,IF(AC395&lt;&gt;"",AC395,"")))</f>
        <v/>
      </c>
      <c r="AP395" s="24" t="str">
        <f aca="false">IF(AO395="","",IF(AD395&lt;&gt;"","Reported reach","Impressions (proxy)"))</f>
        <v/>
      </c>
      <c r="AQ395" s="34" t="str">
        <f aca="false">IF(OR(AO395="",N(S395)=0),"",AO395/S395)</f>
        <v/>
      </c>
      <c r="AR395" s="33" t="str">
        <f aca="false">IF(A395="","",IF(COUNT(AF395:AJ395)=0,"",SUM(AF395:AJ395)))</f>
        <v/>
      </c>
      <c r="AS395" s="34" t="str">
        <f aca="false">IF(OR(AR395="",N(AO395)=0),"",AR395/AO395)</f>
        <v/>
      </c>
      <c r="AT395" s="34" t="str">
        <f aca="false">IF(OR(AR395="",N(AC395)=0),"",AR395/AC395)</f>
        <v/>
      </c>
      <c r="AU395" s="34" t="str">
        <f aca="false">IF(OR(AR395="",N(S395)=0),"",AR395/S395)</f>
        <v/>
      </c>
      <c r="AV395" s="34" t="str">
        <f aca="false">IF(OR(AJ395="",N(AC395)=0),"",AJ395/AC395)</f>
        <v/>
      </c>
      <c r="AW395" s="34" t="str">
        <f aca="false">IF(OR(AH395="",N(AO395)=0),"",AH395/AO395)</f>
        <v/>
      </c>
      <c r="AX395" s="35" t="str">
        <f aca="false">IF(OR(AR395="",N(AO395)=0),"",(N(AF395)*Settings!$B$6+N(AG395)*Settings!$B$7+N(AH395)*Settings!$B$8+N(AI395)*Settings!$B$9+N(AJ395)*Settings!$B$10)/AO395*1000)</f>
        <v/>
      </c>
      <c r="AY395" s="36" t="str">
        <f aca="false">IF(AS395="","",IFERROR(AS395/AVERAGEIFS('Post Tracker'!$AS$5:$AS$1004,'Post Tracker'!$G$5:$G$1004,G395),""))</f>
        <v/>
      </c>
      <c r="AZ395" s="32"/>
      <c r="BA395" s="32"/>
      <c r="BB395" s="32"/>
      <c r="BC395" s="32"/>
      <c r="BD395" s="33" t="str">
        <f aca="false">IF(A395="","",COUNTIFS('Demo Pipeline'!$Q$5:$Q$504,A395))</f>
        <v/>
      </c>
      <c r="BE395" s="33" t="str">
        <f aca="false">IF(A395="","",COUNTIFS('Demo Pipeline'!$Q$5:$Q$504,A395,'Demo Pipeline'!$W$5:$W$504,"Attended"))</f>
        <v/>
      </c>
      <c r="BF395" s="33" t="str">
        <f aca="false">IF(A395="","",COUNTIFS('Demo Pipeline'!$Q$5:$Q$504,A395,'Demo Pipeline'!$X$5:$X$504,"Yes"))</f>
        <v/>
      </c>
      <c r="BG395" s="33" t="str">
        <f aca="false">IF(A395="","",COUNTIFS('Demo Pipeline'!$Q$5:$Q$504,A395,'Demo Pipeline'!$Y$5:$Y$504,"Closed Won"))</f>
        <v/>
      </c>
      <c r="BH395" s="37" t="str">
        <f aca="false">IF(A395="","",SUMIFS('Demo Pipeline'!$Z$5:$Z$504,'Demo Pipeline'!$Q$5:$Q$504,A395))</f>
        <v/>
      </c>
      <c r="BI395" s="34" t="str">
        <f aca="false">IF(OR(AZ395="",N(AJ395)=0),"",AZ395/AJ395)</f>
        <v/>
      </c>
      <c r="BJ395" s="34" t="str">
        <f aca="false">IF(OR(BB395="",N(AZ395)=0),"",BB395/AZ395)</f>
        <v/>
      </c>
      <c r="BK395" s="34" t="str">
        <f aca="false">IF(OR(A395="",N(BB395)=0),"",BD395/BB395)</f>
        <v/>
      </c>
      <c r="BL395" s="34" t="str">
        <f aca="false">IF(OR(A395="",N(AZ395)=0),"",BD395/AZ395)</f>
        <v/>
      </c>
      <c r="BM395" s="37" t="str">
        <f aca="false">IF(OR(N(Q395)=0,N(BD395)=0),"",Q395/BD395)</f>
        <v/>
      </c>
      <c r="BN395" s="29"/>
      <c r="BO395" s="29"/>
      <c r="BP395" s="33" t="str">
        <f aca="false">IF(OR(AR395="",N(AO395)=0),"",AR395)</f>
        <v/>
      </c>
      <c r="BQ395" s="33" t="str">
        <f aca="false">IF(OR(AR395="",N(S395)=0),"",S395)</f>
        <v/>
      </c>
      <c r="BR395" s="38" t="str">
        <f aca="false">IF(AND(ISNUMBER(B395),B395&gt;=Dashboard!$C$4,B395&lt;=Dashboard!$F$4,ISNUMBER(AU395)),AU395+ROW()/10^9,"")</f>
        <v/>
      </c>
      <c r="BS395" s="38" t="str">
        <f aca="false">IF(AND(ISNUMBER(B395),B395&gt;=Dashboard!$C$4,B395&lt;=Dashboard!$F$4,A395&lt;&gt;""),N(BD395)+N(AU395)/100+ROW()/10^9,"")</f>
        <v/>
      </c>
    </row>
    <row r="396" customFormat="false" ht="15" hidden="false" customHeight="false" outlineLevel="0" collapsed="false">
      <c r="A396" s="24" t="str">
        <f aca="false">IF(OR(B396="",G396="",H396=""),"",IFERROR(INDEX(Settings!$E$5:$E$49,MATCH(G396,Settings!$D$5:$D$49,0))&amp;INDEX(Settings!$H$5:$H$47,MATCH(H396,Settings!$G$5:$G$47,0))&amp;"-"&amp;TEXT(B396,"yymmdd")&amp;"-"&amp;IF(C396="","0000",TEXT(C396,"hhmm")),"CHECK LISTS"))</f>
        <v/>
      </c>
      <c r="B396" s="39"/>
      <c r="C396" s="40"/>
      <c r="D396" s="24" t="str">
        <f aca="false">IF(B396="","",TEXT(B396,"ddd"))</f>
        <v/>
      </c>
      <c r="E396" s="27" t="str">
        <f aca="false">IF(B396="","",B396-WEEKDAY(B396,3))</f>
        <v/>
      </c>
      <c r="F396" s="24" t="str">
        <f aca="false">IF(B396="","",TEXT(B396,"yyyy-mm"))</f>
        <v/>
      </c>
      <c r="G396" s="29"/>
      <c r="H396" s="29"/>
      <c r="I396" s="29"/>
      <c r="J396" s="29"/>
      <c r="K396" s="29"/>
      <c r="L396" s="29"/>
      <c r="M396" s="29"/>
      <c r="N396" s="29"/>
      <c r="O396" s="29"/>
      <c r="P396" s="29"/>
      <c r="Q396" s="30"/>
      <c r="R396" s="29"/>
      <c r="S396" s="32"/>
      <c r="T396" s="29"/>
      <c r="U396" s="29"/>
      <c r="V396" s="24" t="str">
        <f aca="false">IF(A396="","",IFERROR(INDEX(Settings!$F$5:$F$49,MATCH(G396,Settings!$D$5:$D$49,0)),""))</f>
        <v/>
      </c>
      <c r="W396" s="24" t="str">
        <f aca="false">IF(A396="","",IF(OR(P396="",P396="Organic"),"social","paid_social"))</f>
        <v/>
      </c>
      <c r="X396" s="24" t="str">
        <f aca="false">IF(A396="","",IF(K396&lt;&gt;"",IFERROR(INDEX('Case Studies'!$C$5:$C$54,MATCH(K396,'Case Studies'!$B$5:$B$54,0))&amp;"","case-study"),IF(J396&lt;&gt;"",IFERROR(INDEX(Settings!$J$5:$J$55,MATCH(J396,Settings!$I$5:$I$55,0)),"general"),"general")))</f>
        <v/>
      </c>
      <c r="Y396" s="24" t="str">
        <f aca="false">IF(A396="","",LOWER(A396))</f>
        <v/>
      </c>
      <c r="Z396" s="24" t="str">
        <f aca="false">IF(A396="","",IF(T396="",Settings!$B$5,T396)&amp;IF(ISNUMBER(FIND("?",IF(T396="",Settings!$B$5,T396))),"&amp;","?")&amp;"utm_source="&amp;V396&amp;"&amp;utm_medium="&amp;W396&amp;"&amp;utm_campaign="&amp;X396&amp;"&amp;utm_content="&amp;Y396)</f>
        <v/>
      </c>
      <c r="AA396" s="29"/>
      <c r="AB396" s="39"/>
      <c r="AC396" s="32"/>
      <c r="AD396" s="32"/>
      <c r="AE396" s="32"/>
      <c r="AF396" s="32"/>
      <c r="AG396" s="32"/>
      <c r="AH396" s="32"/>
      <c r="AI396" s="32"/>
      <c r="AJ396" s="32"/>
      <c r="AK396" s="32"/>
      <c r="AL396" s="32"/>
      <c r="AM396" s="32"/>
      <c r="AN396" s="32"/>
      <c r="AO396" s="33" t="str">
        <f aca="false">IF(A396="","",IF(AD396&lt;&gt;"",AD396,IF(AC396&lt;&gt;"",AC396,"")))</f>
        <v/>
      </c>
      <c r="AP396" s="24" t="str">
        <f aca="false">IF(AO396="","",IF(AD396&lt;&gt;"","Reported reach","Impressions (proxy)"))</f>
        <v/>
      </c>
      <c r="AQ396" s="34" t="str">
        <f aca="false">IF(OR(AO396="",N(S396)=0),"",AO396/S396)</f>
        <v/>
      </c>
      <c r="AR396" s="33" t="str">
        <f aca="false">IF(A396="","",IF(COUNT(AF396:AJ396)=0,"",SUM(AF396:AJ396)))</f>
        <v/>
      </c>
      <c r="AS396" s="34" t="str">
        <f aca="false">IF(OR(AR396="",N(AO396)=0),"",AR396/AO396)</f>
        <v/>
      </c>
      <c r="AT396" s="34" t="str">
        <f aca="false">IF(OR(AR396="",N(AC396)=0),"",AR396/AC396)</f>
        <v/>
      </c>
      <c r="AU396" s="34" t="str">
        <f aca="false">IF(OR(AR396="",N(S396)=0),"",AR396/S396)</f>
        <v/>
      </c>
      <c r="AV396" s="34" t="str">
        <f aca="false">IF(OR(AJ396="",N(AC396)=0),"",AJ396/AC396)</f>
        <v/>
      </c>
      <c r="AW396" s="34" t="str">
        <f aca="false">IF(OR(AH396="",N(AO396)=0),"",AH396/AO396)</f>
        <v/>
      </c>
      <c r="AX396" s="35" t="str">
        <f aca="false">IF(OR(AR396="",N(AO396)=0),"",(N(AF396)*Settings!$B$6+N(AG396)*Settings!$B$7+N(AH396)*Settings!$B$8+N(AI396)*Settings!$B$9+N(AJ396)*Settings!$B$10)/AO396*1000)</f>
        <v/>
      </c>
      <c r="AY396" s="36" t="str">
        <f aca="false">IF(AS396="","",IFERROR(AS396/AVERAGEIFS('Post Tracker'!$AS$5:$AS$1004,'Post Tracker'!$G$5:$G$1004,G396),""))</f>
        <v/>
      </c>
      <c r="AZ396" s="32"/>
      <c r="BA396" s="32"/>
      <c r="BB396" s="32"/>
      <c r="BC396" s="32"/>
      <c r="BD396" s="33" t="str">
        <f aca="false">IF(A396="","",COUNTIFS('Demo Pipeline'!$Q$5:$Q$504,A396))</f>
        <v/>
      </c>
      <c r="BE396" s="33" t="str">
        <f aca="false">IF(A396="","",COUNTIFS('Demo Pipeline'!$Q$5:$Q$504,A396,'Demo Pipeline'!$W$5:$W$504,"Attended"))</f>
        <v/>
      </c>
      <c r="BF396" s="33" t="str">
        <f aca="false">IF(A396="","",COUNTIFS('Demo Pipeline'!$Q$5:$Q$504,A396,'Demo Pipeline'!$X$5:$X$504,"Yes"))</f>
        <v/>
      </c>
      <c r="BG396" s="33" t="str">
        <f aca="false">IF(A396="","",COUNTIFS('Demo Pipeline'!$Q$5:$Q$504,A396,'Demo Pipeline'!$Y$5:$Y$504,"Closed Won"))</f>
        <v/>
      </c>
      <c r="BH396" s="37" t="str">
        <f aca="false">IF(A396="","",SUMIFS('Demo Pipeline'!$Z$5:$Z$504,'Demo Pipeline'!$Q$5:$Q$504,A396))</f>
        <v/>
      </c>
      <c r="BI396" s="34" t="str">
        <f aca="false">IF(OR(AZ396="",N(AJ396)=0),"",AZ396/AJ396)</f>
        <v/>
      </c>
      <c r="BJ396" s="34" t="str">
        <f aca="false">IF(OR(BB396="",N(AZ396)=0),"",BB396/AZ396)</f>
        <v/>
      </c>
      <c r="BK396" s="34" t="str">
        <f aca="false">IF(OR(A396="",N(BB396)=0),"",BD396/BB396)</f>
        <v/>
      </c>
      <c r="BL396" s="34" t="str">
        <f aca="false">IF(OR(A396="",N(AZ396)=0),"",BD396/AZ396)</f>
        <v/>
      </c>
      <c r="BM396" s="37" t="str">
        <f aca="false">IF(OR(N(Q396)=0,N(BD396)=0),"",Q396/BD396)</f>
        <v/>
      </c>
      <c r="BN396" s="29"/>
      <c r="BO396" s="29"/>
      <c r="BP396" s="33" t="str">
        <f aca="false">IF(OR(AR396="",N(AO396)=0),"",AR396)</f>
        <v/>
      </c>
      <c r="BQ396" s="33" t="str">
        <f aca="false">IF(OR(AR396="",N(S396)=0),"",S396)</f>
        <v/>
      </c>
      <c r="BR396" s="38" t="str">
        <f aca="false">IF(AND(ISNUMBER(B396),B396&gt;=Dashboard!$C$4,B396&lt;=Dashboard!$F$4,ISNUMBER(AU396)),AU396+ROW()/10^9,"")</f>
        <v/>
      </c>
      <c r="BS396" s="38" t="str">
        <f aca="false">IF(AND(ISNUMBER(B396),B396&gt;=Dashboard!$C$4,B396&lt;=Dashboard!$F$4,A396&lt;&gt;""),N(BD396)+N(AU396)/100+ROW()/10^9,"")</f>
        <v/>
      </c>
    </row>
    <row r="397" customFormat="false" ht="15" hidden="false" customHeight="false" outlineLevel="0" collapsed="false">
      <c r="A397" s="24" t="str">
        <f aca="false">IF(OR(B397="",G397="",H397=""),"",IFERROR(INDEX(Settings!$E$5:$E$49,MATCH(G397,Settings!$D$5:$D$49,0))&amp;INDEX(Settings!$H$5:$H$47,MATCH(H397,Settings!$G$5:$G$47,0))&amp;"-"&amp;TEXT(B397,"yymmdd")&amp;"-"&amp;IF(C397="","0000",TEXT(C397,"hhmm")),"CHECK LISTS"))</f>
        <v/>
      </c>
      <c r="B397" s="39"/>
      <c r="C397" s="40"/>
      <c r="D397" s="24" t="str">
        <f aca="false">IF(B397="","",TEXT(B397,"ddd"))</f>
        <v/>
      </c>
      <c r="E397" s="27" t="str">
        <f aca="false">IF(B397="","",B397-WEEKDAY(B397,3))</f>
        <v/>
      </c>
      <c r="F397" s="24" t="str">
        <f aca="false">IF(B397="","",TEXT(B397,"yyyy-mm"))</f>
        <v/>
      </c>
      <c r="G397" s="29"/>
      <c r="H397" s="29"/>
      <c r="I397" s="29"/>
      <c r="J397" s="29"/>
      <c r="K397" s="29"/>
      <c r="L397" s="29"/>
      <c r="M397" s="29"/>
      <c r="N397" s="29"/>
      <c r="O397" s="29"/>
      <c r="P397" s="29"/>
      <c r="Q397" s="30"/>
      <c r="R397" s="29"/>
      <c r="S397" s="32"/>
      <c r="T397" s="29"/>
      <c r="U397" s="29"/>
      <c r="V397" s="24" t="str">
        <f aca="false">IF(A397="","",IFERROR(INDEX(Settings!$F$5:$F$49,MATCH(G397,Settings!$D$5:$D$49,0)),""))</f>
        <v/>
      </c>
      <c r="W397" s="24" t="str">
        <f aca="false">IF(A397="","",IF(OR(P397="",P397="Organic"),"social","paid_social"))</f>
        <v/>
      </c>
      <c r="X397" s="24" t="str">
        <f aca="false">IF(A397="","",IF(K397&lt;&gt;"",IFERROR(INDEX('Case Studies'!$C$5:$C$54,MATCH(K397,'Case Studies'!$B$5:$B$54,0))&amp;"","case-study"),IF(J397&lt;&gt;"",IFERROR(INDEX(Settings!$J$5:$J$55,MATCH(J397,Settings!$I$5:$I$55,0)),"general"),"general")))</f>
        <v/>
      </c>
      <c r="Y397" s="24" t="str">
        <f aca="false">IF(A397="","",LOWER(A397))</f>
        <v/>
      </c>
      <c r="Z397" s="24" t="str">
        <f aca="false">IF(A397="","",IF(T397="",Settings!$B$5,T397)&amp;IF(ISNUMBER(FIND("?",IF(T397="",Settings!$B$5,T397))),"&amp;","?")&amp;"utm_source="&amp;V397&amp;"&amp;utm_medium="&amp;W397&amp;"&amp;utm_campaign="&amp;X397&amp;"&amp;utm_content="&amp;Y397)</f>
        <v/>
      </c>
      <c r="AA397" s="29"/>
      <c r="AB397" s="39"/>
      <c r="AC397" s="32"/>
      <c r="AD397" s="32"/>
      <c r="AE397" s="32"/>
      <c r="AF397" s="32"/>
      <c r="AG397" s="32"/>
      <c r="AH397" s="32"/>
      <c r="AI397" s="32"/>
      <c r="AJ397" s="32"/>
      <c r="AK397" s="32"/>
      <c r="AL397" s="32"/>
      <c r="AM397" s="32"/>
      <c r="AN397" s="32"/>
      <c r="AO397" s="33" t="str">
        <f aca="false">IF(A397="","",IF(AD397&lt;&gt;"",AD397,IF(AC397&lt;&gt;"",AC397,"")))</f>
        <v/>
      </c>
      <c r="AP397" s="24" t="str">
        <f aca="false">IF(AO397="","",IF(AD397&lt;&gt;"","Reported reach","Impressions (proxy)"))</f>
        <v/>
      </c>
      <c r="AQ397" s="34" t="str">
        <f aca="false">IF(OR(AO397="",N(S397)=0),"",AO397/S397)</f>
        <v/>
      </c>
      <c r="AR397" s="33" t="str">
        <f aca="false">IF(A397="","",IF(COUNT(AF397:AJ397)=0,"",SUM(AF397:AJ397)))</f>
        <v/>
      </c>
      <c r="AS397" s="34" t="str">
        <f aca="false">IF(OR(AR397="",N(AO397)=0),"",AR397/AO397)</f>
        <v/>
      </c>
      <c r="AT397" s="34" t="str">
        <f aca="false">IF(OR(AR397="",N(AC397)=0),"",AR397/AC397)</f>
        <v/>
      </c>
      <c r="AU397" s="34" t="str">
        <f aca="false">IF(OR(AR397="",N(S397)=0),"",AR397/S397)</f>
        <v/>
      </c>
      <c r="AV397" s="34" t="str">
        <f aca="false">IF(OR(AJ397="",N(AC397)=0),"",AJ397/AC397)</f>
        <v/>
      </c>
      <c r="AW397" s="34" t="str">
        <f aca="false">IF(OR(AH397="",N(AO397)=0),"",AH397/AO397)</f>
        <v/>
      </c>
      <c r="AX397" s="35" t="str">
        <f aca="false">IF(OR(AR397="",N(AO397)=0),"",(N(AF397)*Settings!$B$6+N(AG397)*Settings!$B$7+N(AH397)*Settings!$B$8+N(AI397)*Settings!$B$9+N(AJ397)*Settings!$B$10)/AO397*1000)</f>
        <v/>
      </c>
      <c r="AY397" s="36" t="str">
        <f aca="false">IF(AS397="","",IFERROR(AS397/AVERAGEIFS('Post Tracker'!$AS$5:$AS$1004,'Post Tracker'!$G$5:$G$1004,G397),""))</f>
        <v/>
      </c>
      <c r="AZ397" s="32"/>
      <c r="BA397" s="32"/>
      <c r="BB397" s="32"/>
      <c r="BC397" s="32"/>
      <c r="BD397" s="33" t="str">
        <f aca="false">IF(A397="","",COUNTIFS('Demo Pipeline'!$Q$5:$Q$504,A397))</f>
        <v/>
      </c>
      <c r="BE397" s="33" t="str">
        <f aca="false">IF(A397="","",COUNTIFS('Demo Pipeline'!$Q$5:$Q$504,A397,'Demo Pipeline'!$W$5:$W$504,"Attended"))</f>
        <v/>
      </c>
      <c r="BF397" s="33" t="str">
        <f aca="false">IF(A397="","",COUNTIFS('Demo Pipeline'!$Q$5:$Q$504,A397,'Demo Pipeline'!$X$5:$X$504,"Yes"))</f>
        <v/>
      </c>
      <c r="BG397" s="33" t="str">
        <f aca="false">IF(A397="","",COUNTIFS('Demo Pipeline'!$Q$5:$Q$504,A397,'Demo Pipeline'!$Y$5:$Y$504,"Closed Won"))</f>
        <v/>
      </c>
      <c r="BH397" s="37" t="str">
        <f aca="false">IF(A397="","",SUMIFS('Demo Pipeline'!$Z$5:$Z$504,'Demo Pipeline'!$Q$5:$Q$504,A397))</f>
        <v/>
      </c>
      <c r="BI397" s="34" t="str">
        <f aca="false">IF(OR(AZ397="",N(AJ397)=0),"",AZ397/AJ397)</f>
        <v/>
      </c>
      <c r="BJ397" s="34" t="str">
        <f aca="false">IF(OR(BB397="",N(AZ397)=0),"",BB397/AZ397)</f>
        <v/>
      </c>
      <c r="BK397" s="34" t="str">
        <f aca="false">IF(OR(A397="",N(BB397)=0),"",BD397/BB397)</f>
        <v/>
      </c>
      <c r="BL397" s="34" t="str">
        <f aca="false">IF(OR(A397="",N(AZ397)=0),"",BD397/AZ397)</f>
        <v/>
      </c>
      <c r="BM397" s="37" t="str">
        <f aca="false">IF(OR(N(Q397)=0,N(BD397)=0),"",Q397/BD397)</f>
        <v/>
      </c>
      <c r="BN397" s="29"/>
      <c r="BO397" s="29"/>
      <c r="BP397" s="33" t="str">
        <f aca="false">IF(OR(AR397="",N(AO397)=0),"",AR397)</f>
        <v/>
      </c>
      <c r="BQ397" s="33" t="str">
        <f aca="false">IF(OR(AR397="",N(S397)=0),"",S397)</f>
        <v/>
      </c>
      <c r="BR397" s="38" t="str">
        <f aca="false">IF(AND(ISNUMBER(B397),B397&gt;=Dashboard!$C$4,B397&lt;=Dashboard!$F$4,ISNUMBER(AU397)),AU397+ROW()/10^9,"")</f>
        <v/>
      </c>
      <c r="BS397" s="38" t="str">
        <f aca="false">IF(AND(ISNUMBER(B397),B397&gt;=Dashboard!$C$4,B397&lt;=Dashboard!$F$4,A397&lt;&gt;""),N(BD397)+N(AU397)/100+ROW()/10^9,"")</f>
        <v/>
      </c>
    </row>
    <row r="398" customFormat="false" ht="15" hidden="false" customHeight="false" outlineLevel="0" collapsed="false">
      <c r="A398" s="24" t="str">
        <f aca="false">IF(OR(B398="",G398="",H398=""),"",IFERROR(INDEX(Settings!$E$5:$E$49,MATCH(G398,Settings!$D$5:$D$49,0))&amp;INDEX(Settings!$H$5:$H$47,MATCH(H398,Settings!$G$5:$G$47,0))&amp;"-"&amp;TEXT(B398,"yymmdd")&amp;"-"&amp;IF(C398="","0000",TEXT(C398,"hhmm")),"CHECK LISTS"))</f>
        <v/>
      </c>
      <c r="B398" s="39"/>
      <c r="C398" s="40"/>
      <c r="D398" s="24" t="str">
        <f aca="false">IF(B398="","",TEXT(B398,"ddd"))</f>
        <v/>
      </c>
      <c r="E398" s="27" t="str">
        <f aca="false">IF(B398="","",B398-WEEKDAY(B398,3))</f>
        <v/>
      </c>
      <c r="F398" s="24" t="str">
        <f aca="false">IF(B398="","",TEXT(B398,"yyyy-mm"))</f>
        <v/>
      </c>
      <c r="G398" s="29"/>
      <c r="H398" s="29"/>
      <c r="I398" s="29"/>
      <c r="J398" s="29"/>
      <c r="K398" s="29"/>
      <c r="L398" s="29"/>
      <c r="M398" s="29"/>
      <c r="N398" s="29"/>
      <c r="O398" s="29"/>
      <c r="P398" s="29"/>
      <c r="Q398" s="30"/>
      <c r="R398" s="29"/>
      <c r="S398" s="32"/>
      <c r="T398" s="29"/>
      <c r="U398" s="29"/>
      <c r="V398" s="24" t="str">
        <f aca="false">IF(A398="","",IFERROR(INDEX(Settings!$F$5:$F$49,MATCH(G398,Settings!$D$5:$D$49,0)),""))</f>
        <v/>
      </c>
      <c r="W398" s="24" t="str">
        <f aca="false">IF(A398="","",IF(OR(P398="",P398="Organic"),"social","paid_social"))</f>
        <v/>
      </c>
      <c r="X398" s="24" t="str">
        <f aca="false">IF(A398="","",IF(K398&lt;&gt;"",IFERROR(INDEX('Case Studies'!$C$5:$C$54,MATCH(K398,'Case Studies'!$B$5:$B$54,0))&amp;"","case-study"),IF(J398&lt;&gt;"",IFERROR(INDEX(Settings!$J$5:$J$55,MATCH(J398,Settings!$I$5:$I$55,0)),"general"),"general")))</f>
        <v/>
      </c>
      <c r="Y398" s="24" t="str">
        <f aca="false">IF(A398="","",LOWER(A398))</f>
        <v/>
      </c>
      <c r="Z398" s="24" t="str">
        <f aca="false">IF(A398="","",IF(T398="",Settings!$B$5,T398)&amp;IF(ISNUMBER(FIND("?",IF(T398="",Settings!$B$5,T398))),"&amp;","?")&amp;"utm_source="&amp;V398&amp;"&amp;utm_medium="&amp;W398&amp;"&amp;utm_campaign="&amp;X398&amp;"&amp;utm_content="&amp;Y398)</f>
        <v/>
      </c>
      <c r="AA398" s="29"/>
      <c r="AB398" s="39"/>
      <c r="AC398" s="32"/>
      <c r="AD398" s="32"/>
      <c r="AE398" s="32"/>
      <c r="AF398" s="32"/>
      <c r="AG398" s="32"/>
      <c r="AH398" s="32"/>
      <c r="AI398" s="32"/>
      <c r="AJ398" s="32"/>
      <c r="AK398" s="32"/>
      <c r="AL398" s="32"/>
      <c r="AM398" s="32"/>
      <c r="AN398" s="32"/>
      <c r="AO398" s="33" t="str">
        <f aca="false">IF(A398="","",IF(AD398&lt;&gt;"",AD398,IF(AC398&lt;&gt;"",AC398,"")))</f>
        <v/>
      </c>
      <c r="AP398" s="24" t="str">
        <f aca="false">IF(AO398="","",IF(AD398&lt;&gt;"","Reported reach","Impressions (proxy)"))</f>
        <v/>
      </c>
      <c r="AQ398" s="34" t="str">
        <f aca="false">IF(OR(AO398="",N(S398)=0),"",AO398/S398)</f>
        <v/>
      </c>
      <c r="AR398" s="33" t="str">
        <f aca="false">IF(A398="","",IF(COUNT(AF398:AJ398)=0,"",SUM(AF398:AJ398)))</f>
        <v/>
      </c>
      <c r="AS398" s="34" t="str">
        <f aca="false">IF(OR(AR398="",N(AO398)=0),"",AR398/AO398)</f>
        <v/>
      </c>
      <c r="AT398" s="34" t="str">
        <f aca="false">IF(OR(AR398="",N(AC398)=0),"",AR398/AC398)</f>
        <v/>
      </c>
      <c r="AU398" s="34" t="str">
        <f aca="false">IF(OR(AR398="",N(S398)=0),"",AR398/S398)</f>
        <v/>
      </c>
      <c r="AV398" s="34" t="str">
        <f aca="false">IF(OR(AJ398="",N(AC398)=0),"",AJ398/AC398)</f>
        <v/>
      </c>
      <c r="AW398" s="34" t="str">
        <f aca="false">IF(OR(AH398="",N(AO398)=0),"",AH398/AO398)</f>
        <v/>
      </c>
      <c r="AX398" s="35" t="str">
        <f aca="false">IF(OR(AR398="",N(AO398)=0),"",(N(AF398)*Settings!$B$6+N(AG398)*Settings!$B$7+N(AH398)*Settings!$B$8+N(AI398)*Settings!$B$9+N(AJ398)*Settings!$B$10)/AO398*1000)</f>
        <v/>
      </c>
      <c r="AY398" s="36" t="str">
        <f aca="false">IF(AS398="","",IFERROR(AS398/AVERAGEIFS('Post Tracker'!$AS$5:$AS$1004,'Post Tracker'!$G$5:$G$1004,G398),""))</f>
        <v/>
      </c>
      <c r="AZ398" s="32"/>
      <c r="BA398" s="32"/>
      <c r="BB398" s="32"/>
      <c r="BC398" s="32"/>
      <c r="BD398" s="33" t="str">
        <f aca="false">IF(A398="","",COUNTIFS('Demo Pipeline'!$Q$5:$Q$504,A398))</f>
        <v/>
      </c>
      <c r="BE398" s="33" t="str">
        <f aca="false">IF(A398="","",COUNTIFS('Demo Pipeline'!$Q$5:$Q$504,A398,'Demo Pipeline'!$W$5:$W$504,"Attended"))</f>
        <v/>
      </c>
      <c r="BF398" s="33" t="str">
        <f aca="false">IF(A398="","",COUNTIFS('Demo Pipeline'!$Q$5:$Q$504,A398,'Demo Pipeline'!$X$5:$X$504,"Yes"))</f>
        <v/>
      </c>
      <c r="BG398" s="33" t="str">
        <f aca="false">IF(A398="","",COUNTIFS('Demo Pipeline'!$Q$5:$Q$504,A398,'Demo Pipeline'!$Y$5:$Y$504,"Closed Won"))</f>
        <v/>
      </c>
      <c r="BH398" s="37" t="str">
        <f aca="false">IF(A398="","",SUMIFS('Demo Pipeline'!$Z$5:$Z$504,'Demo Pipeline'!$Q$5:$Q$504,A398))</f>
        <v/>
      </c>
      <c r="BI398" s="34" t="str">
        <f aca="false">IF(OR(AZ398="",N(AJ398)=0),"",AZ398/AJ398)</f>
        <v/>
      </c>
      <c r="BJ398" s="34" t="str">
        <f aca="false">IF(OR(BB398="",N(AZ398)=0),"",BB398/AZ398)</f>
        <v/>
      </c>
      <c r="BK398" s="34" t="str">
        <f aca="false">IF(OR(A398="",N(BB398)=0),"",BD398/BB398)</f>
        <v/>
      </c>
      <c r="BL398" s="34" t="str">
        <f aca="false">IF(OR(A398="",N(AZ398)=0),"",BD398/AZ398)</f>
        <v/>
      </c>
      <c r="BM398" s="37" t="str">
        <f aca="false">IF(OR(N(Q398)=0,N(BD398)=0),"",Q398/BD398)</f>
        <v/>
      </c>
      <c r="BN398" s="29"/>
      <c r="BO398" s="29"/>
      <c r="BP398" s="33" t="str">
        <f aca="false">IF(OR(AR398="",N(AO398)=0),"",AR398)</f>
        <v/>
      </c>
      <c r="BQ398" s="33" t="str">
        <f aca="false">IF(OR(AR398="",N(S398)=0),"",S398)</f>
        <v/>
      </c>
      <c r="BR398" s="38" t="str">
        <f aca="false">IF(AND(ISNUMBER(B398),B398&gt;=Dashboard!$C$4,B398&lt;=Dashboard!$F$4,ISNUMBER(AU398)),AU398+ROW()/10^9,"")</f>
        <v/>
      </c>
      <c r="BS398" s="38" t="str">
        <f aca="false">IF(AND(ISNUMBER(B398),B398&gt;=Dashboard!$C$4,B398&lt;=Dashboard!$F$4,A398&lt;&gt;""),N(BD398)+N(AU398)/100+ROW()/10^9,"")</f>
        <v/>
      </c>
    </row>
    <row r="399" customFormat="false" ht="15" hidden="false" customHeight="false" outlineLevel="0" collapsed="false">
      <c r="A399" s="24" t="str">
        <f aca="false">IF(OR(B399="",G399="",H399=""),"",IFERROR(INDEX(Settings!$E$5:$E$49,MATCH(G399,Settings!$D$5:$D$49,0))&amp;INDEX(Settings!$H$5:$H$47,MATCH(H399,Settings!$G$5:$G$47,0))&amp;"-"&amp;TEXT(B399,"yymmdd")&amp;"-"&amp;IF(C399="","0000",TEXT(C399,"hhmm")),"CHECK LISTS"))</f>
        <v/>
      </c>
      <c r="B399" s="39"/>
      <c r="C399" s="40"/>
      <c r="D399" s="24" t="str">
        <f aca="false">IF(B399="","",TEXT(B399,"ddd"))</f>
        <v/>
      </c>
      <c r="E399" s="27" t="str">
        <f aca="false">IF(B399="","",B399-WEEKDAY(B399,3))</f>
        <v/>
      </c>
      <c r="F399" s="24" t="str">
        <f aca="false">IF(B399="","",TEXT(B399,"yyyy-mm"))</f>
        <v/>
      </c>
      <c r="G399" s="29"/>
      <c r="H399" s="29"/>
      <c r="I399" s="29"/>
      <c r="J399" s="29"/>
      <c r="K399" s="29"/>
      <c r="L399" s="29"/>
      <c r="M399" s="29"/>
      <c r="N399" s="29"/>
      <c r="O399" s="29"/>
      <c r="P399" s="29"/>
      <c r="Q399" s="30"/>
      <c r="R399" s="29"/>
      <c r="S399" s="32"/>
      <c r="T399" s="29"/>
      <c r="U399" s="29"/>
      <c r="V399" s="24" t="str">
        <f aca="false">IF(A399="","",IFERROR(INDEX(Settings!$F$5:$F$49,MATCH(G399,Settings!$D$5:$D$49,0)),""))</f>
        <v/>
      </c>
      <c r="W399" s="24" t="str">
        <f aca="false">IF(A399="","",IF(OR(P399="",P399="Organic"),"social","paid_social"))</f>
        <v/>
      </c>
      <c r="X399" s="24" t="str">
        <f aca="false">IF(A399="","",IF(K399&lt;&gt;"",IFERROR(INDEX('Case Studies'!$C$5:$C$54,MATCH(K399,'Case Studies'!$B$5:$B$54,0))&amp;"","case-study"),IF(J399&lt;&gt;"",IFERROR(INDEX(Settings!$J$5:$J$55,MATCH(J399,Settings!$I$5:$I$55,0)),"general"),"general")))</f>
        <v/>
      </c>
      <c r="Y399" s="24" t="str">
        <f aca="false">IF(A399="","",LOWER(A399))</f>
        <v/>
      </c>
      <c r="Z399" s="24" t="str">
        <f aca="false">IF(A399="","",IF(T399="",Settings!$B$5,T399)&amp;IF(ISNUMBER(FIND("?",IF(T399="",Settings!$B$5,T399))),"&amp;","?")&amp;"utm_source="&amp;V399&amp;"&amp;utm_medium="&amp;W399&amp;"&amp;utm_campaign="&amp;X399&amp;"&amp;utm_content="&amp;Y399)</f>
        <v/>
      </c>
      <c r="AA399" s="29"/>
      <c r="AB399" s="39"/>
      <c r="AC399" s="32"/>
      <c r="AD399" s="32"/>
      <c r="AE399" s="32"/>
      <c r="AF399" s="32"/>
      <c r="AG399" s="32"/>
      <c r="AH399" s="32"/>
      <c r="AI399" s="32"/>
      <c r="AJ399" s="32"/>
      <c r="AK399" s="32"/>
      <c r="AL399" s="32"/>
      <c r="AM399" s="32"/>
      <c r="AN399" s="32"/>
      <c r="AO399" s="33" t="str">
        <f aca="false">IF(A399="","",IF(AD399&lt;&gt;"",AD399,IF(AC399&lt;&gt;"",AC399,"")))</f>
        <v/>
      </c>
      <c r="AP399" s="24" t="str">
        <f aca="false">IF(AO399="","",IF(AD399&lt;&gt;"","Reported reach","Impressions (proxy)"))</f>
        <v/>
      </c>
      <c r="AQ399" s="34" t="str">
        <f aca="false">IF(OR(AO399="",N(S399)=0),"",AO399/S399)</f>
        <v/>
      </c>
      <c r="AR399" s="33" t="str">
        <f aca="false">IF(A399="","",IF(COUNT(AF399:AJ399)=0,"",SUM(AF399:AJ399)))</f>
        <v/>
      </c>
      <c r="AS399" s="34" t="str">
        <f aca="false">IF(OR(AR399="",N(AO399)=0),"",AR399/AO399)</f>
        <v/>
      </c>
      <c r="AT399" s="34" t="str">
        <f aca="false">IF(OR(AR399="",N(AC399)=0),"",AR399/AC399)</f>
        <v/>
      </c>
      <c r="AU399" s="34" t="str">
        <f aca="false">IF(OR(AR399="",N(S399)=0),"",AR399/S399)</f>
        <v/>
      </c>
      <c r="AV399" s="34" t="str">
        <f aca="false">IF(OR(AJ399="",N(AC399)=0),"",AJ399/AC399)</f>
        <v/>
      </c>
      <c r="AW399" s="34" t="str">
        <f aca="false">IF(OR(AH399="",N(AO399)=0),"",AH399/AO399)</f>
        <v/>
      </c>
      <c r="AX399" s="35" t="str">
        <f aca="false">IF(OR(AR399="",N(AO399)=0),"",(N(AF399)*Settings!$B$6+N(AG399)*Settings!$B$7+N(AH399)*Settings!$B$8+N(AI399)*Settings!$B$9+N(AJ399)*Settings!$B$10)/AO399*1000)</f>
        <v/>
      </c>
      <c r="AY399" s="36" t="str">
        <f aca="false">IF(AS399="","",IFERROR(AS399/AVERAGEIFS('Post Tracker'!$AS$5:$AS$1004,'Post Tracker'!$G$5:$G$1004,G399),""))</f>
        <v/>
      </c>
      <c r="AZ399" s="32"/>
      <c r="BA399" s="32"/>
      <c r="BB399" s="32"/>
      <c r="BC399" s="32"/>
      <c r="BD399" s="33" t="str">
        <f aca="false">IF(A399="","",COUNTIFS('Demo Pipeline'!$Q$5:$Q$504,A399))</f>
        <v/>
      </c>
      <c r="BE399" s="33" t="str">
        <f aca="false">IF(A399="","",COUNTIFS('Demo Pipeline'!$Q$5:$Q$504,A399,'Demo Pipeline'!$W$5:$W$504,"Attended"))</f>
        <v/>
      </c>
      <c r="BF399" s="33" t="str">
        <f aca="false">IF(A399="","",COUNTIFS('Demo Pipeline'!$Q$5:$Q$504,A399,'Demo Pipeline'!$X$5:$X$504,"Yes"))</f>
        <v/>
      </c>
      <c r="BG399" s="33" t="str">
        <f aca="false">IF(A399="","",COUNTIFS('Demo Pipeline'!$Q$5:$Q$504,A399,'Demo Pipeline'!$Y$5:$Y$504,"Closed Won"))</f>
        <v/>
      </c>
      <c r="BH399" s="37" t="str">
        <f aca="false">IF(A399="","",SUMIFS('Demo Pipeline'!$Z$5:$Z$504,'Demo Pipeline'!$Q$5:$Q$504,A399))</f>
        <v/>
      </c>
      <c r="BI399" s="34" t="str">
        <f aca="false">IF(OR(AZ399="",N(AJ399)=0),"",AZ399/AJ399)</f>
        <v/>
      </c>
      <c r="BJ399" s="34" t="str">
        <f aca="false">IF(OR(BB399="",N(AZ399)=0),"",BB399/AZ399)</f>
        <v/>
      </c>
      <c r="BK399" s="34" t="str">
        <f aca="false">IF(OR(A399="",N(BB399)=0),"",BD399/BB399)</f>
        <v/>
      </c>
      <c r="BL399" s="34" t="str">
        <f aca="false">IF(OR(A399="",N(AZ399)=0),"",BD399/AZ399)</f>
        <v/>
      </c>
      <c r="BM399" s="37" t="str">
        <f aca="false">IF(OR(N(Q399)=0,N(BD399)=0),"",Q399/BD399)</f>
        <v/>
      </c>
      <c r="BN399" s="29"/>
      <c r="BO399" s="29"/>
      <c r="BP399" s="33" t="str">
        <f aca="false">IF(OR(AR399="",N(AO399)=0),"",AR399)</f>
        <v/>
      </c>
      <c r="BQ399" s="33" t="str">
        <f aca="false">IF(OR(AR399="",N(S399)=0),"",S399)</f>
        <v/>
      </c>
      <c r="BR399" s="38" t="str">
        <f aca="false">IF(AND(ISNUMBER(B399),B399&gt;=Dashboard!$C$4,B399&lt;=Dashboard!$F$4,ISNUMBER(AU399)),AU399+ROW()/10^9,"")</f>
        <v/>
      </c>
      <c r="BS399" s="38" t="str">
        <f aca="false">IF(AND(ISNUMBER(B399),B399&gt;=Dashboard!$C$4,B399&lt;=Dashboard!$F$4,A399&lt;&gt;""),N(BD399)+N(AU399)/100+ROW()/10^9,"")</f>
        <v/>
      </c>
    </row>
    <row r="400" customFormat="false" ht="15" hidden="false" customHeight="false" outlineLevel="0" collapsed="false">
      <c r="A400" s="24" t="str">
        <f aca="false">IF(OR(B400="",G400="",H400=""),"",IFERROR(INDEX(Settings!$E$5:$E$49,MATCH(G400,Settings!$D$5:$D$49,0))&amp;INDEX(Settings!$H$5:$H$47,MATCH(H400,Settings!$G$5:$G$47,0))&amp;"-"&amp;TEXT(B400,"yymmdd")&amp;"-"&amp;IF(C400="","0000",TEXT(C400,"hhmm")),"CHECK LISTS"))</f>
        <v/>
      </c>
      <c r="B400" s="39"/>
      <c r="C400" s="40"/>
      <c r="D400" s="24" t="str">
        <f aca="false">IF(B400="","",TEXT(B400,"ddd"))</f>
        <v/>
      </c>
      <c r="E400" s="27" t="str">
        <f aca="false">IF(B400="","",B400-WEEKDAY(B400,3))</f>
        <v/>
      </c>
      <c r="F400" s="24" t="str">
        <f aca="false">IF(B400="","",TEXT(B400,"yyyy-mm"))</f>
        <v/>
      </c>
      <c r="G400" s="29"/>
      <c r="H400" s="29"/>
      <c r="I400" s="29"/>
      <c r="J400" s="29"/>
      <c r="K400" s="29"/>
      <c r="L400" s="29"/>
      <c r="M400" s="29"/>
      <c r="N400" s="29"/>
      <c r="O400" s="29"/>
      <c r="P400" s="29"/>
      <c r="Q400" s="30"/>
      <c r="R400" s="29"/>
      <c r="S400" s="32"/>
      <c r="T400" s="29"/>
      <c r="U400" s="29"/>
      <c r="V400" s="24" t="str">
        <f aca="false">IF(A400="","",IFERROR(INDEX(Settings!$F$5:$F$49,MATCH(G400,Settings!$D$5:$D$49,0)),""))</f>
        <v/>
      </c>
      <c r="W400" s="24" t="str">
        <f aca="false">IF(A400="","",IF(OR(P400="",P400="Organic"),"social","paid_social"))</f>
        <v/>
      </c>
      <c r="X400" s="24" t="str">
        <f aca="false">IF(A400="","",IF(K400&lt;&gt;"",IFERROR(INDEX('Case Studies'!$C$5:$C$54,MATCH(K400,'Case Studies'!$B$5:$B$54,0))&amp;"","case-study"),IF(J400&lt;&gt;"",IFERROR(INDEX(Settings!$J$5:$J$55,MATCH(J400,Settings!$I$5:$I$55,0)),"general"),"general")))</f>
        <v/>
      </c>
      <c r="Y400" s="24" t="str">
        <f aca="false">IF(A400="","",LOWER(A400))</f>
        <v/>
      </c>
      <c r="Z400" s="24" t="str">
        <f aca="false">IF(A400="","",IF(T400="",Settings!$B$5,T400)&amp;IF(ISNUMBER(FIND("?",IF(T400="",Settings!$B$5,T400))),"&amp;","?")&amp;"utm_source="&amp;V400&amp;"&amp;utm_medium="&amp;W400&amp;"&amp;utm_campaign="&amp;X400&amp;"&amp;utm_content="&amp;Y400)</f>
        <v/>
      </c>
      <c r="AA400" s="29"/>
      <c r="AB400" s="39"/>
      <c r="AC400" s="32"/>
      <c r="AD400" s="32"/>
      <c r="AE400" s="32"/>
      <c r="AF400" s="32"/>
      <c r="AG400" s="32"/>
      <c r="AH400" s="32"/>
      <c r="AI400" s="32"/>
      <c r="AJ400" s="32"/>
      <c r="AK400" s="32"/>
      <c r="AL400" s="32"/>
      <c r="AM400" s="32"/>
      <c r="AN400" s="32"/>
      <c r="AO400" s="33" t="str">
        <f aca="false">IF(A400="","",IF(AD400&lt;&gt;"",AD400,IF(AC400&lt;&gt;"",AC400,"")))</f>
        <v/>
      </c>
      <c r="AP400" s="24" t="str">
        <f aca="false">IF(AO400="","",IF(AD400&lt;&gt;"","Reported reach","Impressions (proxy)"))</f>
        <v/>
      </c>
      <c r="AQ400" s="34" t="str">
        <f aca="false">IF(OR(AO400="",N(S400)=0),"",AO400/S400)</f>
        <v/>
      </c>
      <c r="AR400" s="33" t="str">
        <f aca="false">IF(A400="","",IF(COUNT(AF400:AJ400)=0,"",SUM(AF400:AJ400)))</f>
        <v/>
      </c>
      <c r="AS400" s="34" t="str">
        <f aca="false">IF(OR(AR400="",N(AO400)=0),"",AR400/AO400)</f>
        <v/>
      </c>
      <c r="AT400" s="34" t="str">
        <f aca="false">IF(OR(AR400="",N(AC400)=0),"",AR400/AC400)</f>
        <v/>
      </c>
      <c r="AU400" s="34" t="str">
        <f aca="false">IF(OR(AR400="",N(S400)=0),"",AR400/S400)</f>
        <v/>
      </c>
      <c r="AV400" s="34" t="str">
        <f aca="false">IF(OR(AJ400="",N(AC400)=0),"",AJ400/AC400)</f>
        <v/>
      </c>
      <c r="AW400" s="34" t="str">
        <f aca="false">IF(OR(AH400="",N(AO400)=0),"",AH400/AO400)</f>
        <v/>
      </c>
      <c r="AX400" s="35" t="str">
        <f aca="false">IF(OR(AR400="",N(AO400)=0),"",(N(AF400)*Settings!$B$6+N(AG400)*Settings!$B$7+N(AH400)*Settings!$B$8+N(AI400)*Settings!$B$9+N(AJ400)*Settings!$B$10)/AO400*1000)</f>
        <v/>
      </c>
      <c r="AY400" s="36" t="str">
        <f aca="false">IF(AS400="","",IFERROR(AS400/AVERAGEIFS('Post Tracker'!$AS$5:$AS$1004,'Post Tracker'!$G$5:$G$1004,G400),""))</f>
        <v/>
      </c>
      <c r="AZ400" s="32"/>
      <c r="BA400" s="32"/>
      <c r="BB400" s="32"/>
      <c r="BC400" s="32"/>
      <c r="BD400" s="33" t="str">
        <f aca="false">IF(A400="","",COUNTIFS('Demo Pipeline'!$Q$5:$Q$504,A400))</f>
        <v/>
      </c>
      <c r="BE400" s="33" t="str">
        <f aca="false">IF(A400="","",COUNTIFS('Demo Pipeline'!$Q$5:$Q$504,A400,'Demo Pipeline'!$W$5:$W$504,"Attended"))</f>
        <v/>
      </c>
      <c r="BF400" s="33" t="str">
        <f aca="false">IF(A400="","",COUNTIFS('Demo Pipeline'!$Q$5:$Q$504,A400,'Demo Pipeline'!$X$5:$X$504,"Yes"))</f>
        <v/>
      </c>
      <c r="BG400" s="33" t="str">
        <f aca="false">IF(A400="","",COUNTIFS('Demo Pipeline'!$Q$5:$Q$504,A400,'Demo Pipeline'!$Y$5:$Y$504,"Closed Won"))</f>
        <v/>
      </c>
      <c r="BH400" s="37" t="str">
        <f aca="false">IF(A400="","",SUMIFS('Demo Pipeline'!$Z$5:$Z$504,'Demo Pipeline'!$Q$5:$Q$504,A400))</f>
        <v/>
      </c>
      <c r="BI400" s="34" t="str">
        <f aca="false">IF(OR(AZ400="",N(AJ400)=0),"",AZ400/AJ400)</f>
        <v/>
      </c>
      <c r="BJ400" s="34" t="str">
        <f aca="false">IF(OR(BB400="",N(AZ400)=0),"",BB400/AZ400)</f>
        <v/>
      </c>
      <c r="BK400" s="34" t="str">
        <f aca="false">IF(OR(A400="",N(BB400)=0),"",BD400/BB400)</f>
        <v/>
      </c>
      <c r="BL400" s="34" t="str">
        <f aca="false">IF(OR(A400="",N(AZ400)=0),"",BD400/AZ400)</f>
        <v/>
      </c>
      <c r="BM400" s="37" t="str">
        <f aca="false">IF(OR(N(Q400)=0,N(BD400)=0),"",Q400/BD400)</f>
        <v/>
      </c>
      <c r="BN400" s="29"/>
      <c r="BO400" s="29"/>
      <c r="BP400" s="33" t="str">
        <f aca="false">IF(OR(AR400="",N(AO400)=0),"",AR400)</f>
        <v/>
      </c>
      <c r="BQ400" s="33" t="str">
        <f aca="false">IF(OR(AR400="",N(S400)=0),"",S400)</f>
        <v/>
      </c>
      <c r="BR400" s="38" t="str">
        <f aca="false">IF(AND(ISNUMBER(B400),B400&gt;=Dashboard!$C$4,B400&lt;=Dashboard!$F$4,ISNUMBER(AU400)),AU400+ROW()/10^9,"")</f>
        <v/>
      </c>
      <c r="BS400" s="38" t="str">
        <f aca="false">IF(AND(ISNUMBER(B400),B400&gt;=Dashboard!$C$4,B400&lt;=Dashboard!$F$4,A400&lt;&gt;""),N(BD400)+N(AU400)/100+ROW()/10^9,"")</f>
        <v/>
      </c>
    </row>
    <row r="401" customFormat="false" ht="15" hidden="false" customHeight="false" outlineLevel="0" collapsed="false">
      <c r="A401" s="24" t="str">
        <f aca="false">IF(OR(B401="",G401="",H401=""),"",IFERROR(INDEX(Settings!$E$5:$E$49,MATCH(G401,Settings!$D$5:$D$49,0))&amp;INDEX(Settings!$H$5:$H$47,MATCH(H401,Settings!$G$5:$G$47,0))&amp;"-"&amp;TEXT(B401,"yymmdd")&amp;"-"&amp;IF(C401="","0000",TEXT(C401,"hhmm")),"CHECK LISTS"))</f>
        <v/>
      </c>
      <c r="B401" s="39"/>
      <c r="C401" s="40"/>
      <c r="D401" s="24" t="str">
        <f aca="false">IF(B401="","",TEXT(B401,"ddd"))</f>
        <v/>
      </c>
      <c r="E401" s="27" t="str">
        <f aca="false">IF(B401="","",B401-WEEKDAY(B401,3))</f>
        <v/>
      </c>
      <c r="F401" s="24" t="str">
        <f aca="false">IF(B401="","",TEXT(B401,"yyyy-mm"))</f>
        <v/>
      </c>
      <c r="G401" s="29"/>
      <c r="H401" s="29"/>
      <c r="I401" s="29"/>
      <c r="J401" s="29"/>
      <c r="K401" s="29"/>
      <c r="L401" s="29"/>
      <c r="M401" s="29"/>
      <c r="N401" s="29"/>
      <c r="O401" s="29"/>
      <c r="P401" s="29"/>
      <c r="Q401" s="30"/>
      <c r="R401" s="29"/>
      <c r="S401" s="32"/>
      <c r="T401" s="29"/>
      <c r="U401" s="29"/>
      <c r="V401" s="24" t="str">
        <f aca="false">IF(A401="","",IFERROR(INDEX(Settings!$F$5:$F$49,MATCH(G401,Settings!$D$5:$D$49,0)),""))</f>
        <v/>
      </c>
      <c r="W401" s="24" t="str">
        <f aca="false">IF(A401="","",IF(OR(P401="",P401="Organic"),"social","paid_social"))</f>
        <v/>
      </c>
      <c r="X401" s="24" t="str">
        <f aca="false">IF(A401="","",IF(K401&lt;&gt;"",IFERROR(INDEX('Case Studies'!$C$5:$C$54,MATCH(K401,'Case Studies'!$B$5:$B$54,0))&amp;"","case-study"),IF(J401&lt;&gt;"",IFERROR(INDEX(Settings!$J$5:$J$55,MATCH(J401,Settings!$I$5:$I$55,0)),"general"),"general")))</f>
        <v/>
      </c>
      <c r="Y401" s="24" t="str">
        <f aca="false">IF(A401="","",LOWER(A401))</f>
        <v/>
      </c>
      <c r="Z401" s="24" t="str">
        <f aca="false">IF(A401="","",IF(T401="",Settings!$B$5,T401)&amp;IF(ISNUMBER(FIND("?",IF(T401="",Settings!$B$5,T401))),"&amp;","?")&amp;"utm_source="&amp;V401&amp;"&amp;utm_medium="&amp;W401&amp;"&amp;utm_campaign="&amp;X401&amp;"&amp;utm_content="&amp;Y401)</f>
        <v/>
      </c>
      <c r="AA401" s="29"/>
      <c r="AB401" s="39"/>
      <c r="AC401" s="32"/>
      <c r="AD401" s="32"/>
      <c r="AE401" s="32"/>
      <c r="AF401" s="32"/>
      <c r="AG401" s="32"/>
      <c r="AH401" s="32"/>
      <c r="AI401" s="32"/>
      <c r="AJ401" s="32"/>
      <c r="AK401" s="32"/>
      <c r="AL401" s="32"/>
      <c r="AM401" s="32"/>
      <c r="AN401" s="32"/>
      <c r="AO401" s="33" t="str">
        <f aca="false">IF(A401="","",IF(AD401&lt;&gt;"",AD401,IF(AC401&lt;&gt;"",AC401,"")))</f>
        <v/>
      </c>
      <c r="AP401" s="24" t="str">
        <f aca="false">IF(AO401="","",IF(AD401&lt;&gt;"","Reported reach","Impressions (proxy)"))</f>
        <v/>
      </c>
      <c r="AQ401" s="34" t="str">
        <f aca="false">IF(OR(AO401="",N(S401)=0),"",AO401/S401)</f>
        <v/>
      </c>
      <c r="AR401" s="33" t="str">
        <f aca="false">IF(A401="","",IF(COUNT(AF401:AJ401)=0,"",SUM(AF401:AJ401)))</f>
        <v/>
      </c>
      <c r="AS401" s="34" t="str">
        <f aca="false">IF(OR(AR401="",N(AO401)=0),"",AR401/AO401)</f>
        <v/>
      </c>
      <c r="AT401" s="34" t="str">
        <f aca="false">IF(OR(AR401="",N(AC401)=0),"",AR401/AC401)</f>
        <v/>
      </c>
      <c r="AU401" s="34" t="str">
        <f aca="false">IF(OR(AR401="",N(S401)=0),"",AR401/S401)</f>
        <v/>
      </c>
      <c r="AV401" s="34" t="str">
        <f aca="false">IF(OR(AJ401="",N(AC401)=0),"",AJ401/AC401)</f>
        <v/>
      </c>
      <c r="AW401" s="34" t="str">
        <f aca="false">IF(OR(AH401="",N(AO401)=0),"",AH401/AO401)</f>
        <v/>
      </c>
      <c r="AX401" s="35" t="str">
        <f aca="false">IF(OR(AR401="",N(AO401)=0),"",(N(AF401)*Settings!$B$6+N(AG401)*Settings!$B$7+N(AH401)*Settings!$B$8+N(AI401)*Settings!$B$9+N(AJ401)*Settings!$B$10)/AO401*1000)</f>
        <v/>
      </c>
      <c r="AY401" s="36" t="str">
        <f aca="false">IF(AS401="","",IFERROR(AS401/AVERAGEIFS('Post Tracker'!$AS$5:$AS$1004,'Post Tracker'!$G$5:$G$1004,G401),""))</f>
        <v/>
      </c>
      <c r="AZ401" s="32"/>
      <c r="BA401" s="32"/>
      <c r="BB401" s="32"/>
      <c r="BC401" s="32"/>
      <c r="BD401" s="33" t="str">
        <f aca="false">IF(A401="","",COUNTIFS('Demo Pipeline'!$Q$5:$Q$504,A401))</f>
        <v/>
      </c>
      <c r="BE401" s="33" t="str">
        <f aca="false">IF(A401="","",COUNTIFS('Demo Pipeline'!$Q$5:$Q$504,A401,'Demo Pipeline'!$W$5:$W$504,"Attended"))</f>
        <v/>
      </c>
      <c r="BF401" s="33" t="str">
        <f aca="false">IF(A401="","",COUNTIFS('Demo Pipeline'!$Q$5:$Q$504,A401,'Demo Pipeline'!$X$5:$X$504,"Yes"))</f>
        <v/>
      </c>
      <c r="BG401" s="33" t="str">
        <f aca="false">IF(A401="","",COUNTIFS('Demo Pipeline'!$Q$5:$Q$504,A401,'Demo Pipeline'!$Y$5:$Y$504,"Closed Won"))</f>
        <v/>
      </c>
      <c r="BH401" s="37" t="str">
        <f aca="false">IF(A401="","",SUMIFS('Demo Pipeline'!$Z$5:$Z$504,'Demo Pipeline'!$Q$5:$Q$504,A401))</f>
        <v/>
      </c>
      <c r="BI401" s="34" t="str">
        <f aca="false">IF(OR(AZ401="",N(AJ401)=0),"",AZ401/AJ401)</f>
        <v/>
      </c>
      <c r="BJ401" s="34" t="str">
        <f aca="false">IF(OR(BB401="",N(AZ401)=0),"",BB401/AZ401)</f>
        <v/>
      </c>
      <c r="BK401" s="34" t="str">
        <f aca="false">IF(OR(A401="",N(BB401)=0),"",BD401/BB401)</f>
        <v/>
      </c>
      <c r="BL401" s="34" t="str">
        <f aca="false">IF(OR(A401="",N(AZ401)=0),"",BD401/AZ401)</f>
        <v/>
      </c>
      <c r="BM401" s="37" t="str">
        <f aca="false">IF(OR(N(Q401)=0,N(BD401)=0),"",Q401/BD401)</f>
        <v/>
      </c>
      <c r="BN401" s="29"/>
      <c r="BO401" s="29"/>
      <c r="BP401" s="33" t="str">
        <f aca="false">IF(OR(AR401="",N(AO401)=0),"",AR401)</f>
        <v/>
      </c>
      <c r="BQ401" s="33" t="str">
        <f aca="false">IF(OR(AR401="",N(S401)=0),"",S401)</f>
        <v/>
      </c>
      <c r="BR401" s="38" t="str">
        <f aca="false">IF(AND(ISNUMBER(B401),B401&gt;=Dashboard!$C$4,B401&lt;=Dashboard!$F$4,ISNUMBER(AU401)),AU401+ROW()/10^9,"")</f>
        <v/>
      </c>
      <c r="BS401" s="38" t="str">
        <f aca="false">IF(AND(ISNUMBER(B401),B401&gt;=Dashboard!$C$4,B401&lt;=Dashboard!$F$4,A401&lt;&gt;""),N(BD401)+N(AU401)/100+ROW()/10^9,"")</f>
        <v/>
      </c>
    </row>
    <row r="402" customFormat="false" ht="15" hidden="false" customHeight="false" outlineLevel="0" collapsed="false">
      <c r="A402" s="24" t="str">
        <f aca="false">IF(OR(B402="",G402="",H402=""),"",IFERROR(INDEX(Settings!$E$5:$E$49,MATCH(G402,Settings!$D$5:$D$49,0))&amp;INDEX(Settings!$H$5:$H$47,MATCH(H402,Settings!$G$5:$G$47,0))&amp;"-"&amp;TEXT(B402,"yymmdd")&amp;"-"&amp;IF(C402="","0000",TEXT(C402,"hhmm")),"CHECK LISTS"))</f>
        <v/>
      </c>
      <c r="B402" s="39"/>
      <c r="C402" s="40"/>
      <c r="D402" s="24" t="str">
        <f aca="false">IF(B402="","",TEXT(B402,"ddd"))</f>
        <v/>
      </c>
      <c r="E402" s="27" t="str">
        <f aca="false">IF(B402="","",B402-WEEKDAY(B402,3))</f>
        <v/>
      </c>
      <c r="F402" s="24" t="str">
        <f aca="false">IF(B402="","",TEXT(B402,"yyyy-mm"))</f>
        <v/>
      </c>
      <c r="G402" s="29"/>
      <c r="H402" s="29"/>
      <c r="I402" s="29"/>
      <c r="J402" s="29"/>
      <c r="K402" s="29"/>
      <c r="L402" s="29"/>
      <c r="M402" s="29"/>
      <c r="N402" s="29"/>
      <c r="O402" s="29"/>
      <c r="P402" s="29"/>
      <c r="Q402" s="30"/>
      <c r="R402" s="29"/>
      <c r="S402" s="32"/>
      <c r="T402" s="29"/>
      <c r="U402" s="29"/>
      <c r="V402" s="24" t="str">
        <f aca="false">IF(A402="","",IFERROR(INDEX(Settings!$F$5:$F$49,MATCH(G402,Settings!$D$5:$D$49,0)),""))</f>
        <v/>
      </c>
      <c r="W402" s="24" t="str">
        <f aca="false">IF(A402="","",IF(OR(P402="",P402="Organic"),"social","paid_social"))</f>
        <v/>
      </c>
      <c r="X402" s="24" t="str">
        <f aca="false">IF(A402="","",IF(K402&lt;&gt;"",IFERROR(INDEX('Case Studies'!$C$5:$C$54,MATCH(K402,'Case Studies'!$B$5:$B$54,0))&amp;"","case-study"),IF(J402&lt;&gt;"",IFERROR(INDEX(Settings!$J$5:$J$55,MATCH(J402,Settings!$I$5:$I$55,0)),"general"),"general")))</f>
        <v/>
      </c>
      <c r="Y402" s="24" t="str">
        <f aca="false">IF(A402="","",LOWER(A402))</f>
        <v/>
      </c>
      <c r="Z402" s="24" t="str">
        <f aca="false">IF(A402="","",IF(T402="",Settings!$B$5,T402)&amp;IF(ISNUMBER(FIND("?",IF(T402="",Settings!$B$5,T402))),"&amp;","?")&amp;"utm_source="&amp;V402&amp;"&amp;utm_medium="&amp;W402&amp;"&amp;utm_campaign="&amp;X402&amp;"&amp;utm_content="&amp;Y402)</f>
        <v/>
      </c>
      <c r="AA402" s="29"/>
      <c r="AB402" s="39"/>
      <c r="AC402" s="32"/>
      <c r="AD402" s="32"/>
      <c r="AE402" s="32"/>
      <c r="AF402" s="32"/>
      <c r="AG402" s="32"/>
      <c r="AH402" s="32"/>
      <c r="AI402" s="32"/>
      <c r="AJ402" s="32"/>
      <c r="AK402" s="32"/>
      <c r="AL402" s="32"/>
      <c r="AM402" s="32"/>
      <c r="AN402" s="32"/>
      <c r="AO402" s="33" t="str">
        <f aca="false">IF(A402="","",IF(AD402&lt;&gt;"",AD402,IF(AC402&lt;&gt;"",AC402,"")))</f>
        <v/>
      </c>
      <c r="AP402" s="24" t="str">
        <f aca="false">IF(AO402="","",IF(AD402&lt;&gt;"","Reported reach","Impressions (proxy)"))</f>
        <v/>
      </c>
      <c r="AQ402" s="34" t="str">
        <f aca="false">IF(OR(AO402="",N(S402)=0),"",AO402/S402)</f>
        <v/>
      </c>
      <c r="AR402" s="33" t="str">
        <f aca="false">IF(A402="","",IF(COUNT(AF402:AJ402)=0,"",SUM(AF402:AJ402)))</f>
        <v/>
      </c>
      <c r="AS402" s="34" t="str">
        <f aca="false">IF(OR(AR402="",N(AO402)=0),"",AR402/AO402)</f>
        <v/>
      </c>
      <c r="AT402" s="34" t="str">
        <f aca="false">IF(OR(AR402="",N(AC402)=0),"",AR402/AC402)</f>
        <v/>
      </c>
      <c r="AU402" s="34" t="str">
        <f aca="false">IF(OR(AR402="",N(S402)=0),"",AR402/S402)</f>
        <v/>
      </c>
      <c r="AV402" s="34" t="str">
        <f aca="false">IF(OR(AJ402="",N(AC402)=0),"",AJ402/AC402)</f>
        <v/>
      </c>
      <c r="AW402" s="34" t="str">
        <f aca="false">IF(OR(AH402="",N(AO402)=0),"",AH402/AO402)</f>
        <v/>
      </c>
      <c r="AX402" s="35" t="str">
        <f aca="false">IF(OR(AR402="",N(AO402)=0),"",(N(AF402)*Settings!$B$6+N(AG402)*Settings!$B$7+N(AH402)*Settings!$B$8+N(AI402)*Settings!$B$9+N(AJ402)*Settings!$B$10)/AO402*1000)</f>
        <v/>
      </c>
      <c r="AY402" s="36" t="str">
        <f aca="false">IF(AS402="","",IFERROR(AS402/AVERAGEIFS('Post Tracker'!$AS$5:$AS$1004,'Post Tracker'!$G$5:$G$1004,G402),""))</f>
        <v/>
      </c>
      <c r="AZ402" s="32"/>
      <c r="BA402" s="32"/>
      <c r="BB402" s="32"/>
      <c r="BC402" s="32"/>
      <c r="BD402" s="33" t="str">
        <f aca="false">IF(A402="","",COUNTIFS('Demo Pipeline'!$Q$5:$Q$504,A402))</f>
        <v/>
      </c>
      <c r="BE402" s="33" t="str">
        <f aca="false">IF(A402="","",COUNTIFS('Demo Pipeline'!$Q$5:$Q$504,A402,'Demo Pipeline'!$W$5:$W$504,"Attended"))</f>
        <v/>
      </c>
      <c r="BF402" s="33" t="str">
        <f aca="false">IF(A402="","",COUNTIFS('Demo Pipeline'!$Q$5:$Q$504,A402,'Demo Pipeline'!$X$5:$X$504,"Yes"))</f>
        <v/>
      </c>
      <c r="BG402" s="33" t="str">
        <f aca="false">IF(A402="","",COUNTIFS('Demo Pipeline'!$Q$5:$Q$504,A402,'Demo Pipeline'!$Y$5:$Y$504,"Closed Won"))</f>
        <v/>
      </c>
      <c r="BH402" s="37" t="str">
        <f aca="false">IF(A402="","",SUMIFS('Demo Pipeline'!$Z$5:$Z$504,'Demo Pipeline'!$Q$5:$Q$504,A402))</f>
        <v/>
      </c>
      <c r="BI402" s="34" t="str">
        <f aca="false">IF(OR(AZ402="",N(AJ402)=0),"",AZ402/AJ402)</f>
        <v/>
      </c>
      <c r="BJ402" s="34" t="str">
        <f aca="false">IF(OR(BB402="",N(AZ402)=0),"",BB402/AZ402)</f>
        <v/>
      </c>
      <c r="BK402" s="34" t="str">
        <f aca="false">IF(OR(A402="",N(BB402)=0),"",BD402/BB402)</f>
        <v/>
      </c>
      <c r="BL402" s="34" t="str">
        <f aca="false">IF(OR(A402="",N(AZ402)=0),"",BD402/AZ402)</f>
        <v/>
      </c>
      <c r="BM402" s="37" t="str">
        <f aca="false">IF(OR(N(Q402)=0,N(BD402)=0),"",Q402/BD402)</f>
        <v/>
      </c>
      <c r="BN402" s="29"/>
      <c r="BO402" s="29"/>
      <c r="BP402" s="33" t="str">
        <f aca="false">IF(OR(AR402="",N(AO402)=0),"",AR402)</f>
        <v/>
      </c>
      <c r="BQ402" s="33" t="str">
        <f aca="false">IF(OR(AR402="",N(S402)=0),"",S402)</f>
        <v/>
      </c>
      <c r="BR402" s="38" t="str">
        <f aca="false">IF(AND(ISNUMBER(B402),B402&gt;=Dashboard!$C$4,B402&lt;=Dashboard!$F$4,ISNUMBER(AU402)),AU402+ROW()/10^9,"")</f>
        <v/>
      </c>
      <c r="BS402" s="38" t="str">
        <f aca="false">IF(AND(ISNUMBER(B402),B402&gt;=Dashboard!$C$4,B402&lt;=Dashboard!$F$4,A402&lt;&gt;""),N(BD402)+N(AU402)/100+ROW()/10^9,"")</f>
        <v/>
      </c>
    </row>
    <row r="403" customFormat="false" ht="15" hidden="false" customHeight="false" outlineLevel="0" collapsed="false">
      <c r="A403" s="24" t="str">
        <f aca="false">IF(OR(B403="",G403="",H403=""),"",IFERROR(INDEX(Settings!$E$5:$E$49,MATCH(G403,Settings!$D$5:$D$49,0))&amp;INDEX(Settings!$H$5:$H$47,MATCH(H403,Settings!$G$5:$G$47,0))&amp;"-"&amp;TEXT(B403,"yymmdd")&amp;"-"&amp;IF(C403="","0000",TEXT(C403,"hhmm")),"CHECK LISTS"))</f>
        <v/>
      </c>
      <c r="B403" s="39"/>
      <c r="C403" s="40"/>
      <c r="D403" s="24" t="str">
        <f aca="false">IF(B403="","",TEXT(B403,"ddd"))</f>
        <v/>
      </c>
      <c r="E403" s="27" t="str">
        <f aca="false">IF(B403="","",B403-WEEKDAY(B403,3))</f>
        <v/>
      </c>
      <c r="F403" s="24" t="str">
        <f aca="false">IF(B403="","",TEXT(B403,"yyyy-mm"))</f>
        <v/>
      </c>
      <c r="G403" s="29"/>
      <c r="H403" s="29"/>
      <c r="I403" s="29"/>
      <c r="J403" s="29"/>
      <c r="K403" s="29"/>
      <c r="L403" s="29"/>
      <c r="M403" s="29"/>
      <c r="N403" s="29"/>
      <c r="O403" s="29"/>
      <c r="P403" s="29"/>
      <c r="Q403" s="30"/>
      <c r="R403" s="29"/>
      <c r="S403" s="32"/>
      <c r="T403" s="29"/>
      <c r="U403" s="29"/>
      <c r="V403" s="24" t="str">
        <f aca="false">IF(A403="","",IFERROR(INDEX(Settings!$F$5:$F$49,MATCH(G403,Settings!$D$5:$D$49,0)),""))</f>
        <v/>
      </c>
      <c r="W403" s="24" t="str">
        <f aca="false">IF(A403="","",IF(OR(P403="",P403="Organic"),"social","paid_social"))</f>
        <v/>
      </c>
      <c r="X403" s="24" t="str">
        <f aca="false">IF(A403="","",IF(K403&lt;&gt;"",IFERROR(INDEX('Case Studies'!$C$5:$C$54,MATCH(K403,'Case Studies'!$B$5:$B$54,0))&amp;"","case-study"),IF(J403&lt;&gt;"",IFERROR(INDEX(Settings!$J$5:$J$55,MATCH(J403,Settings!$I$5:$I$55,0)),"general"),"general")))</f>
        <v/>
      </c>
      <c r="Y403" s="24" t="str">
        <f aca="false">IF(A403="","",LOWER(A403))</f>
        <v/>
      </c>
      <c r="Z403" s="24" t="str">
        <f aca="false">IF(A403="","",IF(T403="",Settings!$B$5,T403)&amp;IF(ISNUMBER(FIND("?",IF(T403="",Settings!$B$5,T403))),"&amp;","?")&amp;"utm_source="&amp;V403&amp;"&amp;utm_medium="&amp;W403&amp;"&amp;utm_campaign="&amp;X403&amp;"&amp;utm_content="&amp;Y403)</f>
        <v/>
      </c>
      <c r="AA403" s="29"/>
      <c r="AB403" s="39"/>
      <c r="AC403" s="32"/>
      <c r="AD403" s="32"/>
      <c r="AE403" s="32"/>
      <c r="AF403" s="32"/>
      <c r="AG403" s="32"/>
      <c r="AH403" s="32"/>
      <c r="AI403" s="32"/>
      <c r="AJ403" s="32"/>
      <c r="AK403" s="32"/>
      <c r="AL403" s="32"/>
      <c r="AM403" s="32"/>
      <c r="AN403" s="32"/>
      <c r="AO403" s="33" t="str">
        <f aca="false">IF(A403="","",IF(AD403&lt;&gt;"",AD403,IF(AC403&lt;&gt;"",AC403,"")))</f>
        <v/>
      </c>
      <c r="AP403" s="24" t="str">
        <f aca="false">IF(AO403="","",IF(AD403&lt;&gt;"","Reported reach","Impressions (proxy)"))</f>
        <v/>
      </c>
      <c r="AQ403" s="34" t="str">
        <f aca="false">IF(OR(AO403="",N(S403)=0),"",AO403/S403)</f>
        <v/>
      </c>
      <c r="AR403" s="33" t="str">
        <f aca="false">IF(A403="","",IF(COUNT(AF403:AJ403)=0,"",SUM(AF403:AJ403)))</f>
        <v/>
      </c>
      <c r="AS403" s="34" t="str">
        <f aca="false">IF(OR(AR403="",N(AO403)=0),"",AR403/AO403)</f>
        <v/>
      </c>
      <c r="AT403" s="34" t="str">
        <f aca="false">IF(OR(AR403="",N(AC403)=0),"",AR403/AC403)</f>
        <v/>
      </c>
      <c r="AU403" s="34" t="str">
        <f aca="false">IF(OR(AR403="",N(S403)=0),"",AR403/S403)</f>
        <v/>
      </c>
      <c r="AV403" s="34" t="str">
        <f aca="false">IF(OR(AJ403="",N(AC403)=0),"",AJ403/AC403)</f>
        <v/>
      </c>
      <c r="AW403" s="34" t="str">
        <f aca="false">IF(OR(AH403="",N(AO403)=0),"",AH403/AO403)</f>
        <v/>
      </c>
      <c r="AX403" s="35" t="str">
        <f aca="false">IF(OR(AR403="",N(AO403)=0),"",(N(AF403)*Settings!$B$6+N(AG403)*Settings!$B$7+N(AH403)*Settings!$B$8+N(AI403)*Settings!$B$9+N(AJ403)*Settings!$B$10)/AO403*1000)</f>
        <v/>
      </c>
      <c r="AY403" s="36" t="str">
        <f aca="false">IF(AS403="","",IFERROR(AS403/AVERAGEIFS('Post Tracker'!$AS$5:$AS$1004,'Post Tracker'!$G$5:$G$1004,G403),""))</f>
        <v/>
      </c>
      <c r="AZ403" s="32"/>
      <c r="BA403" s="32"/>
      <c r="BB403" s="32"/>
      <c r="BC403" s="32"/>
      <c r="BD403" s="33" t="str">
        <f aca="false">IF(A403="","",COUNTIFS('Demo Pipeline'!$Q$5:$Q$504,A403))</f>
        <v/>
      </c>
      <c r="BE403" s="33" t="str">
        <f aca="false">IF(A403="","",COUNTIFS('Demo Pipeline'!$Q$5:$Q$504,A403,'Demo Pipeline'!$W$5:$W$504,"Attended"))</f>
        <v/>
      </c>
      <c r="BF403" s="33" t="str">
        <f aca="false">IF(A403="","",COUNTIFS('Demo Pipeline'!$Q$5:$Q$504,A403,'Demo Pipeline'!$X$5:$X$504,"Yes"))</f>
        <v/>
      </c>
      <c r="BG403" s="33" t="str">
        <f aca="false">IF(A403="","",COUNTIFS('Demo Pipeline'!$Q$5:$Q$504,A403,'Demo Pipeline'!$Y$5:$Y$504,"Closed Won"))</f>
        <v/>
      </c>
      <c r="BH403" s="37" t="str">
        <f aca="false">IF(A403="","",SUMIFS('Demo Pipeline'!$Z$5:$Z$504,'Demo Pipeline'!$Q$5:$Q$504,A403))</f>
        <v/>
      </c>
      <c r="BI403" s="34" t="str">
        <f aca="false">IF(OR(AZ403="",N(AJ403)=0),"",AZ403/AJ403)</f>
        <v/>
      </c>
      <c r="BJ403" s="34" t="str">
        <f aca="false">IF(OR(BB403="",N(AZ403)=0),"",BB403/AZ403)</f>
        <v/>
      </c>
      <c r="BK403" s="34" t="str">
        <f aca="false">IF(OR(A403="",N(BB403)=0),"",BD403/BB403)</f>
        <v/>
      </c>
      <c r="BL403" s="34" t="str">
        <f aca="false">IF(OR(A403="",N(AZ403)=0),"",BD403/AZ403)</f>
        <v/>
      </c>
      <c r="BM403" s="37" t="str">
        <f aca="false">IF(OR(N(Q403)=0,N(BD403)=0),"",Q403/BD403)</f>
        <v/>
      </c>
      <c r="BN403" s="29"/>
      <c r="BO403" s="29"/>
      <c r="BP403" s="33" t="str">
        <f aca="false">IF(OR(AR403="",N(AO403)=0),"",AR403)</f>
        <v/>
      </c>
      <c r="BQ403" s="33" t="str">
        <f aca="false">IF(OR(AR403="",N(S403)=0),"",S403)</f>
        <v/>
      </c>
      <c r="BR403" s="38" t="str">
        <f aca="false">IF(AND(ISNUMBER(B403),B403&gt;=Dashboard!$C$4,B403&lt;=Dashboard!$F$4,ISNUMBER(AU403)),AU403+ROW()/10^9,"")</f>
        <v/>
      </c>
      <c r="BS403" s="38" t="str">
        <f aca="false">IF(AND(ISNUMBER(B403),B403&gt;=Dashboard!$C$4,B403&lt;=Dashboard!$F$4,A403&lt;&gt;""),N(BD403)+N(AU403)/100+ROW()/10^9,"")</f>
        <v/>
      </c>
    </row>
    <row r="404" customFormat="false" ht="15" hidden="false" customHeight="false" outlineLevel="0" collapsed="false">
      <c r="A404" s="24" t="str">
        <f aca="false">IF(OR(B404="",G404="",H404=""),"",IFERROR(INDEX(Settings!$E$5:$E$49,MATCH(G404,Settings!$D$5:$D$49,0))&amp;INDEX(Settings!$H$5:$H$47,MATCH(H404,Settings!$G$5:$G$47,0))&amp;"-"&amp;TEXT(B404,"yymmdd")&amp;"-"&amp;IF(C404="","0000",TEXT(C404,"hhmm")),"CHECK LISTS"))</f>
        <v/>
      </c>
      <c r="B404" s="39"/>
      <c r="C404" s="40"/>
      <c r="D404" s="24" t="str">
        <f aca="false">IF(B404="","",TEXT(B404,"ddd"))</f>
        <v/>
      </c>
      <c r="E404" s="27" t="str">
        <f aca="false">IF(B404="","",B404-WEEKDAY(B404,3))</f>
        <v/>
      </c>
      <c r="F404" s="24" t="str">
        <f aca="false">IF(B404="","",TEXT(B404,"yyyy-mm"))</f>
        <v/>
      </c>
      <c r="G404" s="29"/>
      <c r="H404" s="29"/>
      <c r="I404" s="29"/>
      <c r="J404" s="29"/>
      <c r="K404" s="29"/>
      <c r="L404" s="29"/>
      <c r="M404" s="29"/>
      <c r="N404" s="29"/>
      <c r="O404" s="29"/>
      <c r="P404" s="29"/>
      <c r="Q404" s="30"/>
      <c r="R404" s="29"/>
      <c r="S404" s="32"/>
      <c r="T404" s="29"/>
      <c r="U404" s="29"/>
      <c r="V404" s="24" t="str">
        <f aca="false">IF(A404="","",IFERROR(INDEX(Settings!$F$5:$F$49,MATCH(G404,Settings!$D$5:$D$49,0)),""))</f>
        <v/>
      </c>
      <c r="W404" s="24" t="str">
        <f aca="false">IF(A404="","",IF(OR(P404="",P404="Organic"),"social","paid_social"))</f>
        <v/>
      </c>
      <c r="X404" s="24" t="str">
        <f aca="false">IF(A404="","",IF(K404&lt;&gt;"",IFERROR(INDEX('Case Studies'!$C$5:$C$54,MATCH(K404,'Case Studies'!$B$5:$B$54,0))&amp;"","case-study"),IF(J404&lt;&gt;"",IFERROR(INDEX(Settings!$J$5:$J$55,MATCH(J404,Settings!$I$5:$I$55,0)),"general"),"general")))</f>
        <v/>
      </c>
      <c r="Y404" s="24" t="str">
        <f aca="false">IF(A404="","",LOWER(A404))</f>
        <v/>
      </c>
      <c r="Z404" s="24" t="str">
        <f aca="false">IF(A404="","",IF(T404="",Settings!$B$5,T404)&amp;IF(ISNUMBER(FIND("?",IF(T404="",Settings!$B$5,T404))),"&amp;","?")&amp;"utm_source="&amp;V404&amp;"&amp;utm_medium="&amp;W404&amp;"&amp;utm_campaign="&amp;X404&amp;"&amp;utm_content="&amp;Y404)</f>
        <v/>
      </c>
      <c r="AA404" s="29"/>
      <c r="AB404" s="39"/>
      <c r="AC404" s="32"/>
      <c r="AD404" s="32"/>
      <c r="AE404" s="32"/>
      <c r="AF404" s="32"/>
      <c r="AG404" s="32"/>
      <c r="AH404" s="32"/>
      <c r="AI404" s="32"/>
      <c r="AJ404" s="32"/>
      <c r="AK404" s="32"/>
      <c r="AL404" s="32"/>
      <c r="AM404" s="32"/>
      <c r="AN404" s="32"/>
      <c r="AO404" s="33" t="str">
        <f aca="false">IF(A404="","",IF(AD404&lt;&gt;"",AD404,IF(AC404&lt;&gt;"",AC404,"")))</f>
        <v/>
      </c>
      <c r="AP404" s="24" t="str">
        <f aca="false">IF(AO404="","",IF(AD404&lt;&gt;"","Reported reach","Impressions (proxy)"))</f>
        <v/>
      </c>
      <c r="AQ404" s="34" t="str">
        <f aca="false">IF(OR(AO404="",N(S404)=0),"",AO404/S404)</f>
        <v/>
      </c>
      <c r="AR404" s="33" t="str">
        <f aca="false">IF(A404="","",IF(COUNT(AF404:AJ404)=0,"",SUM(AF404:AJ404)))</f>
        <v/>
      </c>
      <c r="AS404" s="34" t="str">
        <f aca="false">IF(OR(AR404="",N(AO404)=0),"",AR404/AO404)</f>
        <v/>
      </c>
      <c r="AT404" s="34" t="str">
        <f aca="false">IF(OR(AR404="",N(AC404)=0),"",AR404/AC404)</f>
        <v/>
      </c>
      <c r="AU404" s="34" t="str">
        <f aca="false">IF(OR(AR404="",N(S404)=0),"",AR404/S404)</f>
        <v/>
      </c>
      <c r="AV404" s="34" t="str">
        <f aca="false">IF(OR(AJ404="",N(AC404)=0),"",AJ404/AC404)</f>
        <v/>
      </c>
      <c r="AW404" s="34" t="str">
        <f aca="false">IF(OR(AH404="",N(AO404)=0),"",AH404/AO404)</f>
        <v/>
      </c>
      <c r="AX404" s="35" t="str">
        <f aca="false">IF(OR(AR404="",N(AO404)=0),"",(N(AF404)*Settings!$B$6+N(AG404)*Settings!$B$7+N(AH404)*Settings!$B$8+N(AI404)*Settings!$B$9+N(AJ404)*Settings!$B$10)/AO404*1000)</f>
        <v/>
      </c>
      <c r="AY404" s="36" t="str">
        <f aca="false">IF(AS404="","",IFERROR(AS404/AVERAGEIFS('Post Tracker'!$AS$5:$AS$1004,'Post Tracker'!$G$5:$G$1004,G404),""))</f>
        <v/>
      </c>
      <c r="AZ404" s="32"/>
      <c r="BA404" s="32"/>
      <c r="BB404" s="32"/>
      <c r="BC404" s="32"/>
      <c r="BD404" s="33" t="str">
        <f aca="false">IF(A404="","",COUNTIFS('Demo Pipeline'!$Q$5:$Q$504,A404))</f>
        <v/>
      </c>
      <c r="BE404" s="33" t="str">
        <f aca="false">IF(A404="","",COUNTIFS('Demo Pipeline'!$Q$5:$Q$504,A404,'Demo Pipeline'!$W$5:$W$504,"Attended"))</f>
        <v/>
      </c>
      <c r="BF404" s="33" t="str">
        <f aca="false">IF(A404="","",COUNTIFS('Demo Pipeline'!$Q$5:$Q$504,A404,'Demo Pipeline'!$X$5:$X$504,"Yes"))</f>
        <v/>
      </c>
      <c r="BG404" s="33" t="str">
        <f aca="false">IF(A404="","",COUNTIFS('Demo Pipeline'!$Q$5:$Q$504,A404,'Demo Pipeline'!$Y$5:$Y$504,"Closed Won"))</f>
        <v/>
      </c>
      <c r="BH404" s="37" t="str">
        <f aca="false">IF(A404="","",SUMIFS('Demo Pipeline'!$Z$5:$Z$504,'Demo Pipeline'!$Q$5:$Q$504,A404))</f>
        <v/>
      </c>
      <c r="BI404" s="34" t="str">
        <f aca="false">IF(OR(AZ404="",N(AJ404)=0),"",AZ404/AJ404)</f>
        <v/>
      </c>
      <c r="BJ404" s="34" t="str">
        <f aca="false">IF(OR(BB404="",N(AZ404)=0),"",BB404/AZ404)</f>
        <v/>
      </c>
      <c r="BK404" s="34" t="str">
        <f aca="false">IF(OR(A404="",N(BB404)=0),"",BD404/BB404)</f>
        <v/>
      </c>
      <c r="BL404" s="34" t="str">
        <f aca="false">IF(OR(A404="",N(AZ404)=0),"",BD404/AZ404)</f>
        <v/>
      </c>
      <c r="BM404" s="37" t="str">
        <f aca="false">IF(OR(N(Q404)=0,N(BD404)=0),"",Q404/BD404)</f>
        <v/>
      </c>
      <c r="BN404" s="29"/>
      <c r="BO404" s="29"/>
      <c r="BP404" s="33" t="str">
        <f aca="false">IF(OR(AR404="",N(AO404)=0),"",AR404)</f>
        <v/>
      </c>
      <c r="BQ404" s="33" t="str">
        <f aca="false">IF(OR(AR404="",N(S404)=0),"",S404)</f>
        <v/>
      </c>
      <c r="BR404" s="38" t="str">
        <f aca="false">IF(AND(ISNUMBER(B404),B404&gt;=Dashboard!$C$4,B404&lt;=Dashboard!$F$4,ISNUMBER(AU404)),AU404+ROW()/10^9,"")</f>
        <v/>
      </c>
      <c r="BS404" s="38" t="str">
        <f aca="false">IF(AND(ISNUMBER(B404),B404&gt;=Dashboard!$C$4,B404&lt;=Dashboard!$F$4,A404&lt;&gt;""),N(BD404)+N(AU404)/100+ROW()/10^9,"")</f>
        <v/>
      </c>
    </row>
    <row r="405" customFormat="false" ht="15" hidden="false" customHeight="false" outlineLevel="0" collapsed="false">
      <c r="A405" s="24" t="str">
        <f aca="false">IF(OR(B405="",G405="",H405=""),"",IFERROR(INDEX(Settings!$E$5:$E$49,MATCH(G405,Settings!$D$5:$D$49,0))&amp;INDEX(Settings!$H$5:$H$47,MATCH(H405,Settings!$G$5:$G$47,0))&amp;"-"&amp;TEXT(B405,"yymmdd")&amp;"-"&amp;IF(C405="","0000",TEXT(C405,"hhmm")),"CHECK LISTS"))</f>
        <v/>
      </c>
      <c r="B405" s="39"/>
      <c r="C405" s="40"/>
      <c r="D405" s="24" t="str">
        <f aca="false">IF(B405="","",TEXT(B405,"ddd"))</f>
        <v/>
      </c>
      <c r="E405" s="27" t="str">
        <f aca="false">IF(B405="","",B405-WEEKDAY(B405,3))</f>
        <v/>
      </c>
      <c r="F405" s="24" t="str">
        <f aca="false">IF(B405="","",TEXT(B405,"yyyy-mm"))</f>
        <v/>
      </c>
      <c r="G405" s="29"/>
      <c r="H405" s="29"/>
      <c r="I405" s="29"/>
      <c r="J405" s="29"/>
      <c r="K405" s="29"/>
      <c r="L405" s="29"/>
      <c r="M405" s="29"/>
      <c r="N405" s="29"/>
      <c r="O405" s="29"/>
      <c r="P405" s="29"/>
      <c r="Q405" s="30"/>
      <c r="R405" s="29"/>
      <c r="S405" s="32"/>
      <c r="T405" s="29"/>
      <c r="U405" s="29"/>
      <c r="V405" s="24" t="str">
        <f aca="false">IF(A405="","",IFERROR(INDEX(Settings!$F$5:$F$49,MATCH(G405,Settings!$D$5:$D$49,0)),""))</f>
        <v/>
      </c>
      <c r="W405" s="24" t="str">
        <f aca="false">IF(A405="","",IF(OR(P405="",P405="Organic"),"social","paid_social"))</f>
        <v/>
      </c>
      <c r="X405" s="24" t="str">
        <f aca="false">IF(A405="","",IF(K405&lt;&gt;"",IFERROR(INDEX('Case Studies'!$C$5:$C$54,MATCH(K405,'Case Studies'!$B$5:$B$54,0))&amp;"","case-study"),IF(J405&lt;&gt;"",IFERROR(INDEX(Settings!$J$5:$J$55,MATCH(J405,Settings!$I$5:$I$55,0)),"general"),"general")))</f>
        <v/>
      </c>
      <c r="Y405" s="24" t="str">
        <f aca="false">IF(A405="","",LOWER(A405))</f>
        <v/>
      </c>
      <c r="Z405" s="24" t="str">
        <f aca="false">IF(A405="","",IF(T405="",Settings!$B$5,T405)&amp;IF(ISNUMBER(FIND("?",IF(T405="",Settings!$B$5,T405))),"&amp;","?")&amp;"utm_source="&amp;V405&amp;"&amp;utm_medium="&amp;W405&amp;"&amp;utm_campaign="&amp;X405&amp;"&amp;utm_content="&amp;Y405)</f>
        <v/>
      </c>
      <c r="AA405" s="29"/>
      <c r="AB405" s="39"/>
      <c r="AC405" s="32"/>
      <c r="AD405" s="32"/>
      <c r="AE405" s="32"/>
      <c r="AF405" s="32"/>
      <c r="AG405" s="32"/>
      <c r="AH405" s="32"/>
      <c r="AI405" s="32"/>
      <c r="AJ405" s="32"/>
      <c r="AK405" s="32"/>
      <c r="AL405" s="32"/>
      <c r="AM405" s="32"/>
      <c r="AN405" s="32"/>
      <c r="AO405" s="33" t="str">
        <f aca="false">IF(A405="","",IF(AD405&lt;&gt;"",AD405,IF(AC405&lt;&gt;"",AC405,"")))</f>
        <v/>
      </c>
      <c r="AP405" s="24" t="str">
        <f aca="false">IF(AO405="","",IF(AD405&lt;&gt;"","Reported reach","Impressions (proxy)"))</f>
        <v/>
      </c>
      <c r="AQ405" s="34" t="str">
        <f aca="false">IF(OR(AO405="",N(S405)=0),"",AO405/S405)</f>
        <v/>
      </c>
      <c r="AR405" s="33" t="str">
        <f aca="false">IF(A405="","",IF(COUNT(AF405:AJ405)=0,"",SUM(AF405:AJ405)))</f>
        <v/>
      </c>
      <c r="AS405" s="34" t="str">
        <f aca="false">IF(OR(AR405="",N(AO405)=0),"",AR405/AO405)</f>
        <v/>
      </c>
      <c r="AT405" s="34" t="str">
        <f aca="false">IF(OR(AR405="",N(AC405)=0),"",AR405/AC405)</f>
        <v/>
      </c>
      <c r="AU405" s="34" t="str">
        <f aca="false">IF(OR(AR405="",N(S405)=0),"",AR405/S405)</f>
        <v/>
      </c>
      <c r="AV405" s="34" t="str">
        <f aca="false">IF(OR(AJ405="",N(AC405)=0),"",AJ405/AC405)</f>
        <v/>
      </c>
      <c r="AW405" s="34" t="str">
        <f aca="false">IF(OR(AH405="",N(AO405)=0),"",AH405/AO405)</f>
        <v/>
      </c>
      <c r="AX405" s="35" t="str">
        <f aca="false">IF(OR(AR405="",N(AO405)=0),"",(N(AF405)*Settings!$B$6+N(AG405)*Settings!$B$7+N(AH405)*Settings!$B$8+N(AI405)*Settings!$B$9+N(AJ405)*Settings!$B$10)/AO405*1000)</f>
        <v/>
      </c>
      <c r="AY405" s="36" t="str">
        <f aca="false">IF(AS405="","",IFERROR(AS405/AVERAGEIFS('Post Tracker'!$AS$5:$AS$1004,'Post Tracker'!$G$5:$G$1004,G405),""))</f>
        <v/>
      </c>
      <c r="AZ405" s="32"/>
      <c r="BA405" s="32"/>
      <c r="BB405" s="32"/>
      <c r="BC405" s="32"/>
      <c r="BD405" s="33" t="str">
        <f aca="false">IF(A405="","",COUNTIFS('Demo Pipeline'!$Q$5:$Q$504,A405))</f>
        <v/>
      </c>
      <c r="BE405" s="33" t="str">
        <f aca="false">IF(A405="","",COUNTIFS('Demo Pipeline'!$Q$5:$Q$504,A405,'Demo Pipeline'!$W$5:$W$504,"Attended"))</f>
        <v/>
      </c>
      <c r="BF405" s="33" t="str">
        <f aca="false">IF(A405="","",COUNTIFS('Demo Pipeline'!$Q$5:$Q$504,A405,'Demo Pipeline'!$X$5:$X$504,"Yes"))</f>
        <v/>
      </c>
      <c r="BG405" s="33" t="str">
        <f aca="false">IF(A405="","",COUNTIFS('Demo Pipeline'!$Q$5:$Q$504,A405,'Demo Pipeline'!$Y$5:$Y$504,"Closed Won"))</f>
        <v/>
      </c>
      <c r="BH405" s="37" t="str">
        <f aca="false">IF(A405="","",SUMIFS('Demo Pipeline'!$Z$5:$Z$504,'Demo Pipeline'!$Q$5:$Q$504,A405))</f>
        <v/>
      </c>
      <c r="BI405" s="34" t="str">
        <f aca="false">IF(OR(AZ405="",N(AJ405)=0),"",AZ405/AJ405)</f>
        <v/>
      </c>
      <c r="BJ405" s="34" t="str">
        <f aca="false">IF(OR(BB405="",N(AZ405)=0),"",BB405/AZ405)</f>
        <v/>
      </c>
      <c r="BK405" s="34" t="str">
        <f aca="false">IF(OR(A405="",N(BB405)=0),"",BD405/BB405)</f>
        <v/>
      </c>
      <c r="BL405" s="34" t="str">
        <f aca="false">IF(OR(A405="",N(AZ405)=0),"",BD405/AZ405)</f>
        <v/>
      </c>
      <c r="BM405" s="37" t="str">
        <f aca="false">IF(OR(N(Q405)=0,N(BD405)=0),"",Q405/BD405)</f>
        <v/>
      </c>
      <c r="BN405" s="29"/>
      <c r="BO405" s="29"/>
      <c r="BP405" s="33" t="str">
        <f aca="false">IF(OR(AR405="",N(AO405)=0),"",AR405)</f>
        <v/>
      </c>
      <c r="BQ405" s="33" t="str">
        <f aca="false">IF(OR(AR405="",N(S405)=0),"",S405)</f>
        <v/>
      </c>
      <c r="BR405" s="38" t="str">
        <f aca="false">IF(AND(ISNUMBER(B405),B405&gt;=Dashboard!$C$4,B405&lt;=Dashboard!$F$4,ISNUMBER(AU405)),AU405+ROW()/10^9,"")</f>
        <v/>
      </c>
      <c r="BS405" s="38" t="str">
        <f aca="false">IF(AND(ISNUMBER(B405),B405&gt;=Dashboard!$C$4,B405&lt;=Dashboard!$F$4,A405&lt;&gt;""),N(BD405)+N(AU405)/100+ROW()/10^9,"")</f>
        <v/>
      </c>
    </row>
    <row r="406" customFormat="false" ht="15" hidden="false" customHeight="false" outlineLevel="0" collapsed="false">
      <c r="A406" s="24" t="str">
        <f aca="false">IF(OR(B406="",G406="",H406=""),"",IFERROR(INDEX(Settings!$E$5:$E$49,MATCH(G406,Settings!$D$5:$D$49,0))&amp;INDEX(Settings!$H$5:$H$47,MATCH(H406,Settings!$G$5:$G$47,0))&amp;"-"&amp;TEXT(B406,"yymmdd")&amp;"-"&amp;IF(C406="","0000",TEXT(C406,"hhmm")),"CHECK LISTS"))</f>
        <v/>
      </c>
      <c r="B406" s="39"/>
      <c r="C406" s="40"/>
      <c r="D406" s="24" t="str">
        <f aca="false">IF(B406="","",TEXT(B406,"ddd"))</f>
        <v/>
      </c>
      <c r="E406" s="27" t="str">
        <f aca="false">IF(B406="","",B406-WEEKDAY(B406,3))</f>
        <v/>
      </c>
      <c r="F406" s="24" t="str">
        <f aca="false">IF(B406="","",TEXT(B406,"yyyy-mm"))</f>
        <v/>
      </c>
      <c r="G406" s="29"/>
      <c r="H406" s="29"/>
      <c r="I406" s="29"/>
      <c r="J406" s="29"/>
      <c r="K406" s="29"/>
      <c r="L406" s="29"/>
      <c r="M406" s="29"/>
      <c r="N406" s="29"/>
      <c r="O406" s="29"/>
      <c r="P406" s="29"/>
      <c r="Q406" s="30"/>
      <c r="R406" s="29"/>
      <c r="S406" s="32"/>
      <c r="T406" s="29"/>
      <c r="U406" s="29"/>
      <c r="V406" s="24" t="str">
        <f aca="false">IF(A406="","",IFERROR(INDEX(Settings!$F$5:$F$49,MATCH(G406,Settings!$D$5:$D$49,0)),""))</f>
        <v/>
      </c>
      <c r="W406" s="24" t="str">
        <f aca="false">IF(A406="","",IF(OR(P406="",P406="Organic"),"social","paid_social"))</f>
        <v/>
      </c>
      <c r="X406" s="24" t="str">
        <f aca="false">IF(A406="","",IF(K406&lt;&gt;"",IFERROR(INDEX('Case Studies'!$C$5:$C$54,MATCH(K406,'Case Studies'!$B$5:$B$54,0))&amp;"","case-study"),IF(J406&lt;&gt;"",IFERROR(INDEX(Settings!$J$5:$J$55,MATCH(J406,Settings!$I$5:$I$55,0)),"general"),"general")))</f>
        <v/>
      </c>
      <c r="Y406" s="24" t="str">
        <f aca="false">IF(A406="","",LOWER(A406))</f>
        <v/>
      </c>
      <c r="Z406" s="24" t="str">
        <f aca="false">IF(A406="","",IF(T406="",Settings!$B$5,T406)&amp;IF(ISNUMBER(FIND("?",IF(T406="",Settings!$B$5,T406))),"&amp;","?")&amp;"utm_source="&amp;V406&amp;"&amp;utm_medium="&amp;W406&amp;"&amp;utm_campaign="&amp;X406&amp;"&amp;utm_content="&amp;Y406)</f>
        <v/>
      </c>
      <c r="AA406" s="29"/>
      <c r="AB406" s="39"/>
      <c r="AC406" s="32"/>
      <c r="AD406" s="32"/>
      <c r="AE406" s="32"/>
      <c r="AF406" s="32"/>
      <c r="AG406" s="32"/>
      <c r="AH406" s="32"/>
      <c r="AI406" s="32"/>
      <c r="AJ406" s="32"/>
      <c r="AK406" s="32"/>
      <c r="AL406" s="32"/>
      <c r="AM406" s="32"/>
      <c r="AN406" s="32"/>
      <c r="AO406" s="33" t="str">
        <f aca="false">IF(A406="","",IF(AD406&lt;&gt;"",AD406,IF(AC406&lt;&gt;"",AC406,"")))</f>
        <v/>
      </c>
      <c r="AP406" s="24" t="str">
        <f aca="false">IF(AO406="","",IF(AD406&lt;&gt;"","Reported reach","Impressions (proxy)"))</f>
        <v/>
      </c>
      <c r="AQ406" s="34" t="str">
        <f aca="false">IF(OR(AO406="",N(S406)=0),"",AO406/S406)</f>
        <v/>
      </c>
      <c r="AR406" s="33" t="str">
        <f aca="false">IF(A406="","",IF(COUNT(AF406:AJ406)=0,"",SUM(AF406:AJ406)))</f>
        <v/>
      </c>
      <c r="AS406" s="34" t="str">
        <f aca="false">IF(OR(AR406="",N(AO406)=0),"",AR406/AO406)</f>
        <v/>
      </c>
      <c r="AT406" s="34" t="str">
        <f aca="false">IF(OR(AR406="",N(AC406)=0),"",AR406/AC406)</f>
        <v/>
      </c>
      <c r="AU406" s="34" t="str">
        <f aca="false">IF(OR(AR406="",N(S406)=0),"",AR406/S406)</f>
        <v/>
      </c>
      <c r="AV406" s="34" t="str">
        <f aca="false">IF(OR(AJ406="",N(AC406)=0),"",AJ406/AC406)</f>
        <v/>
      </c>
      <c r="AW406" s="34" t="str">
        <f aca="false">IF(OR(AH406="",N(AO406)=0),"",AH406/AO406)</f>
        <v/>
      </c>
      <c r="AX406" s="35" t="str">
        <f aca="false">IF(OR(AR406="",N(AO406)=0),"",(N(AF406)*Settings!$B$6+N(AG406)*Settings!$B$7+N(AH406)*Settings!$B$8+N(AI406)*Settings!$B$9+N(AJ406)*Settings!$B$10)/AO406*1000)</f>
        <v/>
      </c>
      <c r="AY406" s="36" t="str">
        <f aca="false">IF(AS406="","",IFERROR(AS406/AVERAGEIFS('Post Tracker'!$AS$5:$AS$1004,'Post Tracker'!$G$5:$G$1004,G406),""))</f>
        <v/>
      </c>
      <c r="AZ406" s="32"/>
      <c r="BA406" s="32"/>
      <c r="BB406" s="32"/>
      <c r="BC406" s="32"/>
      <c r="BD406" s="33" t="str">
        <f aca="false">IF(A406="","",COUNTIFS('Demo Pipeline'!$Q$5:$Q$504,A406))</f>
        <v/>
      </c>
      <c r="BE406" s="33" t="str">
        <f aca="false">IF(A406="","",COUNTIFS('Demo Pipeline'!$Q$5:$Q$504,A406,'Demo Pipeline'!$W$5:$W$504,"Attended"))</f>
        <v/>
      </c>
      <c r="BF406" s="33" t="str">
        <f aca="false">IF(A406="","",COUNTIFS('Demo Pipeline'!$Q$5:$Q$504,A406,'Demo Pipeline'!$X$5:$X$504,"Yes"))</f>
        <v/>
      </c>
      <c r="BG406" s="33" t="str">
        <f aca="false">IF(A406="","",COUNTIFS('Demo Pipeline'!$Q$5:$Q$504,A406,'Demo Pipeline'!$Y$5:$Y$504,"Closed Won"))</f>
        <v/>
      </c>
      <c r="BH406" s="37" t="str">
        <f aca="false">IF(A406="","",SUMIFS('Demo Pipeline'!$Z$5:$Z$504,'Demo Pipeline'!$Q$5:$Q$504,A406))</f>
        <v/>
      </c>
      <c r="BI406" s="34" t="str">
        <f aca="false">IF(OR(AZ406="",N(AJ406)=0),"",AZ406/AJ406)</f>
        <v/>
      </c>
      <c r="BJ406" s="34" t="str">
        <f aca="false">IF(OR(BB406="",N(AZ406)=0),"",BB406/AZ406)</f>
        <v/>
      </c>
      <c r="BK406" s="34" t="str">
        <f aca="false">IF(OR(A406="",N(BB406)=0),"",BD406/BB406)</f>
        <v/>
      </c>
      <c r="BL406" s="34" t="str">
        <f aca="false">IF(OR(A406="",N(AZ406)=0),"",BD406/AZ406)</f>
        <v/>
      </c>
      <c r="BM406" s="37" t="str">
        <f aca="false">IF(OR(N(Q406)=0,N(BD406)=0),"",Q406/BD406)</f>
        <v/>
      </c>
      <c r="BN406" s="29"/>
      <c r="BO406" s="29"/>
      <c r="BP406" s="33" t="str">
        <f aca="false">IF(OR(AR406="",N(AO406)=0),"",AR406)</f>
        <v/>
      </c>
      <c r="BQ406" s="33" t="str">
        <f aca="false">IF(OR(AR406="",N(S406)=0),"",S406)</f>
        <v/>
      </c>
      <c r="BR406" s="38" t="str">
        <f aca="false">IF(AND(ISNUMBER(B406),B406&gt;=Dashboard!$C$4,B406&lt;=Dashboard!$F$4,ISNUMBER(AU406)),AU406+ROW()/10^9,"")</f>
        <v/>
      </c>
      <c r="BS406" s="38" t="str">
        <f aca="false">IF(AND(ISNUMBER(B406),B406&gt;=Dashboard!$C$4,B406&lt;=Dashboard!$F$4,A406&lt;&gt;""),N(BD406)+N(AU406)/100+ROW()/10^9,"")</f>
        <v/>
      </c>
    </row>
    <row r="407" customFormat="false" ht="15" hidden="false" customHeight="false" outlineLevel="0" collapsed="false">
      <c r="A407" s="24" t="str">
        <f aca="false">IF(OR(B407="",G407="",H407=""),"",IFERROR(INDEX(Settings!$E$5:$E$49,MATCH(G407,Settings!$D$5:$D$49,0))&amp;INDEX(Settings!$H$5:$H$47,MATCH(H407,Settings!$G$5:$G$47,0))&amp;"-"&amp;TEXT(B407,"yymmdd")&amp;"-"&amp;IF(C407="","0000",TEXT(C407,"hhmm")),"CHECK LISTS"))</f>
        <v/>
      </c>
      <c r="B407" s="39"/>
      <c r="C407" s="40"/>
      <c r="D407" s="24" t="str">
        <f aca="false">IF(B407="","",TEXT(B407,"ddd"))</f>
        <v/>
      </c>
      <c r="E407" s="27" t="str">
        <f aca="false">IF(B407="","",B407-WEEKDAY(B407,3))</f>
        <v/>
      </c>
      <c r="F407" s="24" t="str">
        <f aca="false">IF(B407="","",TEXT(B407,"yyyy-mm"))</f>
        <v/>
      </c>
      <c r="G407" s="29"/>
      <c r="H407" s="29"/>
      <c r="I407" s="29"/>
      <c r="J407" s="29"/>
      <c r="K407" s="29"/>
      <c r="L407" s="29"/>
      <c r="M407" s="29"/>
      <c r="N407" s="29"/>
      <c r="O407" s="29"/>
      <c r="P407" s="29"/>
      <c r="Q407" s="30"/>
      <c r="R407" s="29"/>
      <c r="S407" s="32"/>
      <c r="T407" s="29"/>
      <c r="U407" s="29"/>
      <c r="V407" s="24" t="str">
        <f aca="false">IF(A407="","",IFERROR(INDEX(Settings!$F$5:$F$49,MATCH(G407,Settings!$D$5:$D$49,0)),""))</f>
        <v/>
      </c>
      <c r="W407" s="24" t="str">
        <f aca="false">IF(A407="","",IF(OR(P407="",P407="Organic"),"social","paid_social"))</f>
        <v/>
      </c>
      <c r="X407" s="24" t="str">
        <f aca="false">IF(A407="","",IF(K407&lt;&gt;"",IFERROR(INDEX('Case Studies'!$C$5:$C$54,MATCH(K407,'Case Studies'!$B$5:$B$54,0))&amp;"","case-study"),IF(J407&lt;&gt;"",IFERROR(INDEX(Settings!$J$5:$J$55,MATCH(J407,Settings!$I$5:$I$55,0)),"general"),"general")))</f>
        <v/>
      </c>
      <c r="Y407" s="24" t="str">
        <f aca="false">IF(A407="","",LOWER(A407))</f>
        <v/>
      </c>
      <c r="Z407" s="24" t="str">
        <f aca="false">IF(A407="","",IF(T407="",Settings!$B$5,T407)&amp;IF(ISNUMBER(FIND("?",IF(T407="",Settings!$B$5,T407))),"&amp;","?")&amp;"utm_source="&amp;V407&amp;"&amp;utm_medium="&amp;W407&amp;"&amp;utm_campaign="&amp;X407&amp;"&amp;utm_content="&amp;Y407)</f>
        <v/>
      </c>
      <c r="AA407" s="29"/>
      <c r="AB407" s="39"/>
      <c r="AC407" s="32"/>
      <c r="AD407" s="32"/>
      <c r="AE407" s="32"/>
      <c r="AF407" s="32"/>
      <c r="AG407" s="32"/>
      <c r="AH407" s="32"/>
      <c r="AI407" s="32"/>
      <c r="AJ407" s="32"/>
      <c r="AK407" s="32"/>
      <c r="AL407" s="32"/>
      <c r="AM407" s="32"/>
      <c r="AN407" s="32"/>
      <c r="AO407" s="33" t="str">
        <f aca="false">IF(A407="","",IF(AD407&lt;&gt;"",AD407,IF(AC407&lt;&gt;"",AC407,"")))</f>
        <v/>
      </c>
      <c r="AP407" s="24" t="str">
        <f aca="false">IF(AO407="","",IF(AD407&lt;&gt;"","Reported reach","Impressions (proxy)"))</f>
        <v/>
      </c>
      <c r="AQ407" s="34" t="str">
        <f aca="false">IF(OR(AO407="",N(S407)=0),"",AO407/S407)</f>
        <v/>
      </c>
      <c r="AR407" s="33" t="str">
        <f aca="false">IF(A407="","",IF(COUNT(AF407:AJ407)=0,"",SUM(AF407:AJ407)))</f>
        <v/>
      </c>
      <c r="AS407" s="34" t="str">
        <f aca="false">IF(OR(AR407="",N(AO407)=0),"",AR407/AO407)</f>
        <v/>
      </c>
      <c r="AT407" s="34" t="str">
        <f aca="false">IF(OR(AR407="",N(AC407)=0),"",AR407/AC407)</f>
        <v/>
      </c>
      <c r="AU407" s="34" t="str">
        <f aca="false">IF(OR(AR407="",N(S407)=0),"",AR407/S407)</f>
        <v/>
      </c>
      <c r="AV407" s="34" t="str">
        <f aca="false">IF(OR(AJ407="",N(AC407)=0),"",AJ407/AC407)</f>
        <v/>
      </c>
      <c r="AW407" s="34" t="str">
        <f aca="false">IF(OR(AH407="",N(AO407)=0),"",AH407/AO407)</f>
        <v/>
      </c>
      <c r="AX407" s="35" t="str">
        <f aca="false">IF(OR(AR407="",N(AO407)=0),"",(N(AF407)*Settings!$B$6+N(AG407)*Settings!$B$7+N(AH407)*Settings!$B$8+N(AI407)*Settings!$B$9+N(AJ407)*Settings!$B$10)/AO407*1000)</f>
        <v/>
      </c>
      <c r="AY407" s="36" t="str">
        <f aca="false">IF(AS407="","",IFERROR(AS407/AVERAGEIFS('Post Tracker'!$AS$5:$AS$1004,'Post Tracker'!$G$5:$G$1004,G407),""))</f>
        <v/>
      </c>
      <c r="AZ407" s="32"/>
      <c r="BA407" s="32"/>
      <c r="BB407" s="32"/>
      <c r="BC407" s="32"/>
      <c r="BD407" s="33" t="str">
        <f aca="false">IF(A407="","",COUNTIFS('Demo Pipeline'!$Q$5:$Q$504,A407))</f>
        <v/>
      </c>
      <c r="BE407" s="33" t="str">
        <f aca="false">IF(A407="","",COUNTIFS('Demo Pipeline'!$Q$5:$Q$504,A407,'Demo Pipeline'!$W$5:$W$504,"Attended"))</f>
        <v/>
      </c>
      <c r="BF407" s="33" t="str">
        <f aca="false">IF(A407="","",COUNTIFS('Demo Pipeline'!$Q$5:$Q$504,A407,'Demo Pipeline'!$X$5:$X$504,"Yes"))</f>
        <v/>
      </c>
      <c r="BG407" s="33" t="str">
        <f aca="false">IF(A407="","",COUNTIFS('Demo Pipeline'!$Q$5:$Q$504,A407,'Demo Pipeline'!$Y$5:$Y$504,"Closed Won"))</f>
        <v/>
      </c>
      <c r="BH407" s="37" t="str">
        <f aca="false">IF(A407="","",SUMIFS('Demo Pipeline'!$Z$5:$Z$504,'Demo Pipeline'!$Q$5:$Q$504,A407))</f>
        <v/>
      </c>
      <c r="BI407" s="34" t="str">
        <f aca="false">IF(OR(AZ407="",N(AJ407)=0),"",AZ407/AJ407)</f>
        <v/>
      </c>
      <c r="BJ407" s="34" t="str">
        <f aca="false">IF(OR(BB407="",N(AZ407)=0),"",BB407/AZ407)</f>
        <v/>
      </c>
      <c r="BK407" s="34" t="str">
        <f aca="false">IF(OR(A407="",N(BB407)=0),"",BD407/BB407)</f>
        <v/>
      </c>
      <c r="BL407" s="34" t="str">
        <f aca="false">IF(OR(A407="",N(AZ407)=0),"",BD407/AZ407)</f>
        <v/>
      </c>
      <c r="BM407" s="37" t="str">
        <f aca="false">IF(OR(N(Q407)=0,N(BD407)=0),"",Q407/BD407)</f>
        <v/>
      </c>
      <c r="BN407" s="29"/>
      <c r="BO407" s="29"/>
      <c r="BP407" s="33" t="str">
        <f aca="false">IF(OR(AR407="",N(AO407)=0),"",AR407)</f>
        <v/>
      </c>
      <c r="BQ407" s="33" t="str">
        <f aca="false">IF(OR(AR407="",N(S407)=0),"",S407)</f>
        <v/>
      </c>
      <c r="BR407" s="38" t="str">
        <f aca="false">IF(AND(ISNUMBER(B407),B407&gt;=Dashboard!$C$4,B407&lt;=Dashboard!$F$4,ISNUMBER(AU407)),AU407+ROW()/10^9,"")</f>
        <v/>
      </c>
      <c r="BS407" s="38" t="str">
        <f aca="false">IF(AND(ISNUMBER(B407),B407&gt;=Dashboard!$C$4,B407&lt;=Dashboard!$F$4,A407&lt;&gt;""),N(BD407)+N(AU407)/100+ROW()/10^9,"")</f>
        <v/>
      </c>
    </row>
    <row r="408" customFormat="false" ht="15" hidden="false" customHeight="false" outlineLevel="0" collapsed="false">
      <c r="A408" s="24" t="str">
        <f aca="false">IF(OR(B408="",G408="",H408=""),"",IFERROR(INDEX(Settings!$E$5:$E$49,MATCH(G408,Settings!$D$5:$D$49,0))&amp;INDEX(Settings!$H$5:$H$47,MATCH(H408,Settings!$G$5:$G$47,0))&amp;"-"&amp;TEXT(B408,"yymmdd")&amp;"-"&amp;IF(C408="","0000",TEXT(C408,"hhmm")),"CHECK LISTS"))</f>
        <v/>
      </c>
      <c r="B408" s="39"/>
      <c r="C408" s="40"/>
      <c r="D408" s="24" t="str">
        <f aca="false">IF(B408="","",TEXT(B408,"ddd"))</f>
        <v/>
      </c>
      <c r="E408" s="27" t="str">
        <f aca="false">IF(B408="","",B408-WEEKDAY(B408,3))</f>
        <v/>
      </c>
      <c r="F408" s="24" t="str">
        <f aca="false">IF(B408="","",TEXT(B408,"yyyy-mm"))</f>
        <v/>
      </c>
      <c r="G408" s="29"/>
      <c r="H408" s="29"/>
      <c r="I408" s="29"/>
      <c r="J408" s="29"/>
      <c r="K408" s="29"/>
      <c r="L408" s="29"/>
      <c r="M408" s="29"/>
      <c r="N408" s="29"/>
      <c r="O408" s="29"/>
      <c r="P408" s="29"/>
      <c r="Q408" s="30"/>
      <c r="R408" s="29"/>
      <c r="S408" s="32"/>
      <c r="T408" s="29"/>
      <c r="U408" s="29"/>
      <c r="V408" s="24" t="str">
        <f aca="false">IF(A408="","",IFERROR(INDEX(Settings!$F$5:$F$49,MATCH(G408,Settings!$D$5:$D$49,0)),""))</f>
        <v/>
      </c>
      <c r="W408" s="24" t="str">
        <f aca="false">IF(A408="","",IF(OR(P408="",P408="Organic"),"social","paid_social"))</f>
        <v/>
      </c>
      <c r="X408" s="24" t="str">
        <f aca="false">IF(A408="","",IF(K408&lt;&gt;"",IFERROR(INDEX('Case Studies'!$C$5:$C$54,MATCH(K408,'Case Studies'!$B$5:$B$54,0))&amp;"","case-study"),IF(J408&lt;&gt;"",IFERROR(INDEX(Settings!$J$5:$J$55,MATCH(J408,Settings!$I$5:$I$55,0)),"general"),"general")))</f>
        <v/>
      </c>
      <c r="Y408" s="24" t="str">
        <f aca="false">IF(A408="","",LOWER(A408))</f>
        <v/>
      </c>
      <c r="Z408" s="24" t="str">
        <f aca="false">IF(A408="","",IF(T408="",Settings!$B$5,T408)&amp;IF(ISNUMBER(FIND("?",IF(T408="",Settings!$B$5,T408))),"&amp;","?")&amp;"utm_source="&amp;V408&amp;"&amp;utm_medium="&amp;W408&amp;"&amp;utm_campaign="&amp;X408&amp;"&amp;utm_content="&amp;Y408)</f>
        <v/>
      </c>
      <c r="AA408" s="29"/>
      <c r="AB408" s="39"/>
      <c r="AC408" s="32"/>
      <c r="AD408" s="32"/>
      <c r="AE408" s="32"/>
      <c r="AF408" s="32"/>
      <c r="AG408" s="32"/>
      <c r="AH408" s="32"/>
      <c r="AI408" s="32"/>
      <c r="AJ408" s="32"/>
      <c r="AK408" s="32"/>
      <c r="AL408" s="32"/>
      <c r="AM408" s="32"/>
      <c r="AN408" s="32"/>
      <c r="AO408" s="33" t="str">
        <f aca="false">IF(A408="","",IF(AD408&lt;&gt;"",AD408,IF(AC408&lt;&gt;"",AC408,"")))</f>
        <v/>
      </c>
      <c r="AP408" s="24" t="str">
        <f aca="false">IF(AO408="","",IF(AD408&lt;&gt;"","Reported reach","Impressions (proxy)"))</f>
        <v/>
      </c>
      <c r="AQ408" s="34" t="str">
        <f aca="false">IF(OR(AO408="",N(S408)=0),"",AO408/S408)</f>
        <v/>
      </c>
      <c r="AR408" s="33" t="str">
        <f aca="false">IF(A408="","",IF(COUNT(AF408:AJ408)=0,"",SUM(AF408:AJ408)))</f>
        <v/>
      </c>
      <c r="AS408" s="34" t="str">
        <f aca="false">IF(OR(AR408="",N(AO408)=0),"",AR408/AO408)</f>
        <v/>
      </c>
      <c r="AT408" s="34" t="str">
        <f aca="false">IF(OR(AR408="",N(AC408)=0),"",AR408/AC408)</f>
        <v/>
      </c>
      <c r="AU408" s="34" t="str">
        <f aca="false">IF(OR(AR408="",N(S408)=0),"",AR408/S408)</f>
        <v/>
      </c>
      <c r="AV408" s="34" t="str">
        <f aca="false">IF(OR(AJ408="",N(AC408)=0),"",AJ408/AC408)</f>
        <v/>
      </c>
      <c r="AW408" s="34" t="str">
        <f aca="false">IF(OR(AH408="",N(AO408)=0),"",AH408/AO408)</f>
        <v/>
      </c>
      <c r="AX408" s="35" t="str">
        <f aca="false">IF(OR(AR408="",N(AO408)=0),"",(N(AF408)*Settings!$B$6+N(AG408)*Settings!$B$7+N(AH408)*Settings!$B$8+N(AI408)*Settings!$B$9+N(AJ408)*Settings!$B$10)/AO408*1000)</f>
        <v/>
      </c>
      <c r="AY408" s="36" t="str">
        <f aca="false">IF(AS408="","",IFERROR(AS408/AVERAGEIFS('Post Tracker'!$AS$5:$AS$1004,'Post Tracker'!$G$5:$G$1004,G408),""))</f>
        <v/>
      </c>
      <c r="AZ408" s="32"/>
      <c r="BA408" s="32"/>
      <c r="BB408" s="32"/>
      <c r="BC408" s="32"/>
      <c r="BD408" s="33" t="str">
        <f aca="false">IF(A408="","",COUNTIFS('Demo Pipeline'!$Q$5:$Q$504,A408))</f>
        <v/>
      </c>
      <c r="BE408" s="33" t="str">
        <f aca="false">IF(A408="","",COUNTIFS('Demo Pipeline'!$Q$5:$Q$504,A408,'Demo Pipeline'!$W$5:$W$504,"Attended"))</f>
        <v/>
      </c>
      <c r="BF408" s="33" t="str">
        <f aca="false">IF(A408="","",COUNTIFS('Demo Pipeline'!$Q$5:$Q$504,A408,'Demo Pipeline'!$X$5:$X$504,"Yes"))</f>
        <v/>
      </c>
      <c r="BG408" s="33" t="str">
        <f aca="false">IF(A408="","",COUNTIFS('Demo Pipeline'!$Q$5:$Q$504,A408,'Demo Pipeline'!$Y$5:$Y$504,"Closed Won"))</f>
        <v/>
      </c>
      <c r="BH408" s="37" t="str">
        <f aca="false">IF(A408="","",SUMIFS('Demo Pipeline'!$Z$5:$Z$504,'Demo Pipeline'!$Q$5:$Q$504,A408))</f>
        <v/>
      </c>
      <c r="BI408" s="34" t="str">
        <f aca="false">IF(OR(AZ408="",N(AJ408)=0),"",AZ408/AJ408)</f>
        <v/>
      </c>
      <c r="BJ408" s="34" t="str">
        <f aca="false">IF(OR(BB408="",N(AZ408)=0),"",BB408/AZ408)</f>
        <v/>
      </c>
      <c r="BK408" s="34" t="str">
        <f aca="false">IF(OR(A408="",N(BB408)=0),"",BD408/BB408)</f>
        <v/>
      </c>
      <c r="BL408" s="34" t="str">
        <f aca="false">IF(OR(A408="",N(AZ408)=0),"",BD408/AZ408)</f>
        <v/>
      </c>
      <c r="BM408" s="37" t="str">
        <f aca="false">IF(OR(N(Q408)=0,N(BD408)=0),"",Q408/BD408)</f>
        <v/>
      </c>
      <c r="BN408" s="29"/>
      <c r="BO408" s="29"/>
      <c r="BP408" s="33" t="str">
        <f aca="false">IF(OR(AR408="",N(AO408)=0),"",AR408)</f>
        <v/>
      </c>
      <c r="BQ408" s="33" t="str">
        <f aca="false">IF(OR(AR408="",N(S408)=0),"",S408)</f>
        <v/>
      </c>
      <c r="BR408" s="38" t="str">
        <f aca="false">IF(AND(ISNUMBER(B408),B408&gt;=Dashboard!$C$4,B408&lt;=Dashboard!$F$4,ISNUMBER(AU408)),AU408+ROW()/10^9,"")</f>
        <v/>
      </c>
      <c r="BS408" s="38" t="str">
        <f aca="false">IF(AND(ISNUMBER(B408),B408&gt;=Dashboard!$C$4,B408&lt;=Dashboard!$F$4,A408&lt;&gt;""),N(BD408)+N(AU408)/100+ROW()/10^9,"")</f>
        <v/>
      </c>
    </row>
    <row r="409" customFormat="false" ht="15" hidden="false" customHeight="false" outlineLevel="0" collapsed="false">
      <c r="A409" s="24" t="str">
        <f aca="false">IF(OR(B409="",G409="",H409=""),"",IFERROR(INDEX(Settings!$E$5:$E$49,MATCH(G409,Settings!$D$5:$D$49,0))&amp;INDEX(Settings!$H$5:$H$47,MATCH(H409,Settings!$G$5:$G$47,0))&amp;"-"&amp;TEXT(B409,"yymmdd")&amp;"-"&amp;IF(C409="","0000",TEXT(C409,"hhmm")),"CHECK LISTS"))</f>
        <v/>
      </c>
      <c r="B409" s="39"/>
      <c r="C409" s="40"/>
      <c r="D409" s="24" t="str">
        <f aca="false">IF(B409="","",TEXT(B409,"ddd"))</f>
        <v/>
      </c>
      <c r="E409" s="27" t="str">
        <f aca="false">IF(B409="","",B409-WEEKDAY(B409,3))</f>
        <v/>
      </c>
      <c r="F409" s="24" t="str">
        <f aca="false">IF(B409="","",TEXT(B409,"yyyy-mm"))</f>
        <v/>
      </c>
      <c r="G409" s="29"/>
      <c r="H409" s="29"/>
      <c r="I409" s="29"/>
      <c r="J409" s="29"/>
      <c r="K409" s="29"/>
      <c r="L409" s="29"/>
      <c r="M409" s="29"/>
      <c r="N409" s="29"/>
      <c r="O409" s="29"/>
      <c r="P409" s="29"/>
      <c r="Q409" s="30"/>
      <c r="R409" s="29"/>
      <c r="S409" s="32"/>
      <c r="T409" s="29"/>
      <c r="U409" s="29"/>
      <c r="V409" s="24" t="str">
        <f aca="false">IF(A409="","",IFERROR(INDEX(Settings!$F$5:$F$49,MATCH(G409,Settings!$D$5:$D$49,0)),""))</f>
        <v/>
      </c>
      <c r="W409" s="24" t="str">
        <f aca="false">IF(A409="","",IF(OR(P409="",P409="Organic"),"social","paid_social"))</f>
        <v/>
      </c>
      <c r="X409" s="24" t="str">
        <f aca="false">IF(A409="","",IF(K409&lt;&gt;"",IFERROR(INDEX('Case Studies'!$C$5:$C$54,MATCH(K409,'Case Studies'!$B$5:$B$54,0))&amp;"","case-study"),IF(J409&lt;&gt;"",IFERROR(INDEX(Settings!$J$5:$J$55,MATCH(J409,Settings!$I$5:$I$55,0)),"general"),"general")))</f>
        <v/>
      </c>
      <c r="Y409" s="24" t="str">
        <f aca="false">IF(A409="","",LOWER(A409))</f>
        <v/>
      </c>
      <c r="Z409" s="24" t="str">
        <f aca="false">IF(A409="","",IF(T409="",Settings!$B$5,T409)&amp;IF(ISNUMBER(FIND("?",IF(T409="",Settings!$B$5,T409))),"&amp;","?")&amp;"utm_source="&amp;V409&amp;"&amp;utm_medium="&amp;W409&amp;"&amp;utm_campaign="&amp;X409&amp;"&amp;utm_content="&amp;Y409)</f>
        <v/>
      </c>
      <c r="AA409" s="29"/>
      <c r="AB409" s="39"/>
      <c r="AC409" s="32"/>
      <c r="AD409" s="32"/>
      <c r="AE409" s="32"/>
      <c r="AF409" s="32"/>
      <c r="AG409" s="32"/>
      <c r="AH409" s="32"/>
      <c r="AI409" s="32"/>
      <c r="AJ409" s="32"/>
      <c r="AK409" s="32"/>
      <c r="AL409" s="32"/>
      <c r="AM409" s="32"/>
      <c r="AN409" s="32"/>
      <c r="AO409" s="33" t="str">
        <f aca="false">IF(A409="","",IF(AD409&lt;&gt;"",AD409,IF(AC409&lt;&gt;"",AC409,"")))</f>
        <v/>
      </c>
      <c r="AP409" s="24" t="str">
        <f aca="false">IF(AO409="","",IF(AD409&lt;&gt;"","Reported reach","Impressions (proxy)"))</f>
        <v/>
      </c>
      <c r="AQ409" s="34" t="str">
        <f aca="false">IF(OR(AO409="",N(S409)=0),"",AO409/S409)</f>
        <v/>
      </c>
      <c r="AR409" s="33" t="str">
        <f aca="false">IF(A409="","",IF(COUNT(AF409:AJ409)=0,"",SUM(AF409:AJ409)))</f>
        <v/>
      </c>
      <c r="AS409" s="34" t="str">
        <f aca="false">IF(OR(AR409="",N(AO409)=0),"",AR409/AO409)</f>
        <v/>
      </c>
      <c r="AT409" s="34" t="str">
        <f aca="false">IF(OR(AR409="",N(AC409)=0),"",AR409/AC409)</f>
        <v/>
      </c>
      <c r="AU409" s="34" t="str">
        <f aca="false">IF(OR(AR409="",N(S409)=0),"",AR409/S409)</f>
        <v/>
      </c>
      <c r="AV409" s="34" t="str">
        <f aca="false">IF(OR(AJ409="",N(AC409)=0),"",AJ409/AC409)</f>
        <v/>
      </c>
      <c r="AW409" s="34" t="str">
        <f aca="false">IF(OR(AH409="",N(AO409)=0),"",AH409/AO409)</f>
        <v/>
      </c>
      <c r="AX409" s="35" t="str">
        <f aca="false">IF(OR(AR409="",N(AO409)=0),"",(N(AF409)*Settings!$B$6+N(AG409)*Settings!$B$7+N(AH409)*Settings!$B$8+N(AI409)*Settings!$B$9+N(AJ409)*Settings!$B$10)/AO409*1000)</f>
        <v/>
      </c>
      <c r="AY409" s="36" t="str">
        <f aca="false">IF(AS409="","",IFERROR(AS409/AVERAGEIFS('Post Tracker'!$AS$5:$AS$1004,'Post Tracker'!$G$5:$G$1004,G409),""))</f>
        <v/>
      </c>
      <c r="AZ409" s="32"/>
      <c r="BA409" s="32"/>
      <c r="BB409" s="32"/>
      <c r="BC409" s="32"/>
      <c r="BD409" s="33" t="str">
        <f aca="false">IF(A409="","",COUNTIFS('Demo Pipeline'!$Q$5:$Q$504,A409))</f>
        <v/>
      </c>
      <c r="BE409" s="33" t="str">
        <f aca="false">IF(A409="","",COUNTIFS('Demo Pipeline'!$Q$5:$Q$504,A409,'Demo Pipeline'!$W$5:$W$504,"Attended"))</f>
        <v/>
      </c>
      <c r="BF409" s="33" t="str">
        <f aca="false">IF(A409="","",COUNTIFS('Demo Pipeline'!$Q$5:$Q$504,A409,'Demo Pipeline'!$X$5:$X$504,"Yes"))</f>
        <v/>
      </c>
      <c r="BG409" s="33" t="str">
        <f aca="false">IF(A409="","",COUNTIFS('Demo Pipeline'!$Q$5:$Q$504,A409,'Demo Pipeline'!$Y$5:$Y$504,"Closed Won"))</f>
        <v/>
      </c>
      <c r="BH409" s="37" t="str">
        <f aca="false">IF(A409="","",SUMIFS('Demo Pipeline'!$Z$5:$Z$504,'Demo Pipeline'!$Q$5:$Q$504,A409))</f>
        <v/>
      </c>
      <c r="BI409" s="34" t="str">
        <f aca="false">IF(OR(AZ409="",N(AJ409)=0),"",AZ409/AJ409)</f>
        <v/>
      </c>
      <c r="BJ409" s="34" t="str">
        <f aca="false">IF(OR(BB409="",N(AZ409)=0),"",BB409/AZ409)</f>
        <v/>
      </c>
      <c r="BK409" s="34" t="str">
        <f aca="false">IF(OR(A409="",N(BB409)=0),"",BD409/BB409)</f>
        <v/>
      </c>
      <c r="BL409" s="34" t="str">
        <f aca="false">IF(OR(A409="",N(AZ409)=0),"",BD409/AZ409)</f>
        <v/>
      </c>
      <c r="BM409" s="37" t="str">
        <f aca="false">IF(OR(N(Q409)=0,N(BD409)=0),"",Q409/BD409)</f>
        <v/>
      </c>
      <c r="BN409" s="29"/>
      <c r="BO409" s="29"/>
      <c r="BP409" s="33" t="str">
        <f aca="false">IF(OR(AR409="",N(AO409)=0),"",AR409)</f>
        <v/>
      </c>
      <c r="BQ409" s="33" t="str">
        <f aca="false">IF(OR(AR409="",N(S409)=0),"",S409)</f>
        <v/>
      </c>
      <c r="BR409" s="38" t="str">
        <f aca="false">IF(AND(ISNUMBER(B409),B409&gt;=Dashboard!$C$4,B409&lt;=Dashboard!$F$4,ISNUMBER(AU409)),AU409+ROW()/10^9,"")</f>
        <v/>
      </c>
      <c r="BS409" s="38" t="str">
        <f aca="false">IF(AND(ISNUMBER(B409),B409&gt;=Dashboard!$C$4,B409&lt;=Dashboard!$F$4,A409&lt;&gt;""),N(BD409)+N(AU409)/100+ROW()/10^9,"")</f>
        <v/>
      </c>
    </row>
    <row r="410" customFormat="false" ht="15" hidden="false" customHeight="false" outlineLevel="0" collapsed="false">
      <c r="A410" s="24" t="str">
        <f aca="false">IF(OR(B410="",G410="",H410=""),"",IFERROR(INDEX(Settings!$E$5:$E$49,MATCH(G410,Settings!$D$5:$D$49,0))&amp;INDEX(Settings!$H$5:$H$47,MATCH(H410,Settings!$G$5:$G$47,0))&amp;"-"&amp;TEXT(B410,"yymmdd")&amp;"-"&amp;IF(C410="","0000",TEXT(C410,"hhmm")),"CHECK LISTS"))</f>
        <v/>
      </c>
      <c r="B410" s="39"/>
      <c r="C410" s="40"/>
      <c r="D410" s="24" t="str">
        <f aca="false">IF(B410="","",TEXT(B410,"ddd"))</f>
        <v/>
      </c>
      <c r="E410" s="27" t="str">
        <f aca="false">IF(B410="","",B410-WEEKDAY(B410,3))</f>
        <v/>
      </c>
      <c r="F410" s="24" t="str">
        <f aca="false">IF(B410="","",TEXT(B410,"yyyy-mm"))</f>
        <v/>
      </c>
      <c r="G410" s="29"/>
      <c r="H410" s="29"/>
      <c r="I410" s="29"/>
      <c r="J410" s="29"/>
      <c r="K410" s="29"/>
      <c r="L410" s="29"/>
      <c r="M410" s="29"/>
      <c r="N410" s="29"/>
      <c r="O410" s="29"/>
      <c r="P410" s="29"/>
      <c r="Q410" s="30"/>
      <c r="R410" s="29"/>
      <c r="S410" s="32"/>
      <c r="T410" s="29"/>
      <c r="U410" s="29"/>
      <c r="V410" s="24" t="str">
        <f aca="false">IF(A410="","",IFERROR(INDEX(Settings!$F$5:$F$49,MATCH(G410,Settings!$D$5:$D$49,0)),""))</f>
        <v/>
      </c>
      <c r="W410" s="24" t="str">
        <f aca="false">IF(A410="","",IF(OR(P410="",P410="Organic"),"social","paid_social"))</f>
        <v/>
      </c>
      <c r="X410" s="24" t="str">
        <f aca="false">IF(A410="","",IF(K410&lt;&gt;"",IFERROR(INDEX('Case Studies'!$C$5:$C$54,MATCH(K410,'Case Studies'!$B$5:$B$54,0))&amp;"","case-study"),IF(J410&lt;&gt;"",IFERROR(INDEX(Settings!$J$5:$J$55,MATCH(J410,Settings!$I$5:$I$55,0)),"general"),"general")))</f>
        <v/>
      </c>
      <c r="Y410" s="24" t="str">
        <f aca="false">IF(A410="","",LOWER(A410))</f>
        <v/>
      </c>
      <c r="Z410" s="24" t="str">
        <f aca="false">IF(A410="","",IF(T410="",Settings!$B$5,T410)&amp;IF(ISNUMBER(FIND("?",IF(T410="",Settings!$B$5,T410))),"&amp;","?")&amp;"utm_source="&amp;V410&amp;"&amp;utm_medium="&amp;W410&amp;"&amp;utm_campaign="&amp;X410&amp;"&amp;utm_content="&amp;Y410)</f>
        <v/>
      </c>
      <c r="AA410" s="29"/>
      <c r="AB410" s="39"/>
      <c r="AC410" s="32"/>
      <c r="AD410" s="32"/>
      <c r="AE410" s="32"/>
      <c r="AF410" s="32"/>
      <c r="AG410" s="32"/>
      <c r="AH410" s="32"/>
      <c r="AI410" s="32"/>
      <c r="AJ410" s="32"/>
      <c r="AK410" s="32"/>
      <c r="AL410" s="32"/>
      <c r="AM410" s="32"/>
      <c r="AN410" s="32"/>
      <c r="AO410" s="33" t="str">
        <f aca="false">IF(A410="","",IF(AD410&lt;&gt;"",AD410,IF(AC410&lt;&gt;"",AC410,"")))</f>
        <v/>
      </c>
      <c r="AP410" s="24" t="str">
        <f aca="false">IF(AO410="","",IF(AD410&lt;&gt;"","Reported reach","Impressions (proxy)"))</f>
        <v/>
      </c>
      <c r="AQ410" s="34" t="str">
        <f aca="false">IF(OR(AO410="",N(S410)=0),"",AO410/S410)</f>
        <v/>
      </c>
      <c r="AR410" s="33" t="str">
        <f aca="false">IF(A410="","",IF(COUNT(AF410:AJ410)=0,"",SUM(AF410:AJ410)))</f>
        <v/>
      </c>
      <c r="AS410" s="34" t="str">
        <f aca="false">IF(OR(AR410="",N(AO410)=0),"",AR410/AO410)</f>
        <v/>
      </c>
      <c r="AT410" s="34" t="str">
        <f aca="false">IF(OR(AR410="",N(AC410)=0),"",AR410/AC410)</f>
        <v/>
      </c>
      <c r="AU410" s="34" t="str">
        <f aca="false">IF(OR(AR410="",N(S410)=0),"",AR410/S410)</f>
        <v/>
      </c>
      <c r="AV410" s="34" t="str">
        <f aca="false">IF(OR(AJ410="",N(AC410)=0),"",AJ410/AC410)</f>
        <v/>
      </c>
      <c r="AW410" s="34" t="str">
        <f aca="false">IF(OR(AH410="",N(AO410)=0),"",AH410/AO410)</f>
        <v/>
      </c>
      <c r="AX410" s="35" t="str">
        <f aca="false">IF(OR(AR410="",N(AO410)=0),"",(N(AF410)*Settings!$B$6+N(AG410)*Settings!$B$7+N(AH410)*Settings!$B$8+N(AI410)*Settings!$B$9+N(AJ410)*Settings!$B$10)/AO410*1000)</f>
        <v/>
      </c>
      <c r="AY410" s="36" t="str">
        <f aca="false">IF(AS410="","",IFERROR(AS410/AVERAGEIFS('Post Tracker'!$AS$5:$AS$1004,'Post Tracker'!$G$5:$G$1004,G410),""))</f>
        <v/>
      </c>
      <c r="AZ410" s="32"/>
      <c r="BA410" s="32"/>
      <c r="BB410" s="32"/>
      <c r="BC410" s="32"/>
      <c r="BD410" s="33" t="str">
        <f aca="false">IF(A410="","",COUNTIFS('Demo Pipeline'!$Q$5:$Q$504,A410))</f>
        <v/>
      </c>
      <c r="BE410" s="33" t="str">
        <f aca="false">IF(A410="","",COUNTIFS('Demo Pipeline'!$Q$5:$Q$504,A410,'Demo Pipeline'!$W$5:$W$504,"Attended"))</f>
        <v/>
      </c>
      <c r="BF410" s="33" t="str">
        <f aca="false">IF(A410="","",COUNTIFS('Demo Pipeline'!$Q$5:$Q$504,A410,'Demo Pipeline'!$X$5:$X$504,"Yes"))</f>
        <v/>
      </c>
      <c r="BG410" s="33" t="str">
        <f aca="false">IF(A410="","",COUNTIFS('Demo Pipeline'!$Q$5:$Q$504,A410,'Demo Pipeline'!$Y$5:$Y$504,"Closed Won"))</f>
        <v/>
      </c>
      <c r="BH410" s="37" t="str">
        <f aca="false">IF(A410="","",SUMIFS('Demo Pipeline'!$Z$5:$Z$504,'Demo Pipeline'!$Q$5:$Q$504,A410))</f>
        <v/>
      </c>
      <c r="BI410" s="34" t="str">
        <f aca="false">IF(OR(AZ410="",N(AJ410)=0),"",AZ410/AJ410)</f>
        <v/>
      </c>
      <c r="BJ410" s="34" t="str">
        <f aca="false">IF(OR(BB410="",N(AZ410)=0),"",BB410/AZ410)</f>
        <v/>
      </c>
      <c r="BK410" s="34" t="str">
        <f aca="false">IF(OR(A410="",N(BB410)=0),"",BD410/BB410)</f>
        <v/>
      </c>
      <c r="BL410" s="34" t="str">
        <f aca="false">IF(OR(A410="",N(AZ410)=0),"",BD410/AZ410)</f>
        <v/>
      </c>
      <c r="BM410" s="37" t="str">
        <f aca="false">IF(OR(N(Q410)=0,N(BD410)=0),"",Q410/BD410)</f>
        <v/>
      </c>
      <c r="BN410" s="29"/>
      <c r="BO410" s="29"/>
      <c r="BP410" s="33" t="str">
        <f aca="false">IF(OR(AR410="",N(AO410)=0),"",AR410)</f>
        <v/>
      </c>
      <c r="BQ410" s="33" t="str">
        <f aca="false">IF(OR(AR410="",N(S410)=0),"",S410)</f>
        <v/>
      </c>
      <c r="BR410" s="38" t="str">
        <f aca="false">IF(AND(ISNUMBER(B410),B410&gt;=Dashboard!$C$4,B410&lt;=Dashboard!$F$4,ISNUMBER(AU410)),AU410+ROW()/10^9,"")</f>
        <v/>
      </c>
      <c r="BS410" s="38" t="str">
        <f aca="false">IF(AND(ISNUMBER(B410),B410&gt;=Dashboard!$C$4,B410&lt;=Dashboard!$F$4,A410&lt;&gt;""),N(BD410)+N(AU410)/100+ROW()/10^9,"")</f>
        <v/>
      </c>
    </row>
    <row r="411" customFormat="false" ht="15" hidden="false" customHeight="false" outlineLevel="0" collapsed="false">
      <c r="A411" s="24" t="str">
        <f aca="false">IF(OR(B411="",G411="",H411=""),"",IFERROR(INDEX(Settings!$E$5:$E$49,MATCH(G411,Settings!$D$5:$D$49,0))&amp;INDEX(Settings!$H$5:$H$47,MATCH(H411,Settings!$G$5:$G$47,0))&amp;"-"&amp;TEXT(B411,"yymmdd")&amp;"-"&amp;IF(C411="","0000",TEXT(C411,"hhmm")),"CHECK LISTS"))</f>
        <v/>
      </c>
      <c r="B411" s="39"/>
      <c r="C411" s="40"/>
      <c r="D411" s="24" t="str">
        <f aca="false">IF(B411="","",TEXT(B411,"ddd"))</f>
        <v/>
      </c>
      <c r="E411" s="27" t="str">
        <f aca="false">IF(B411="","",B411-WEEKDAY(B411,3))</f>
        <v/>
      </c>
      <c r="F411" s="24" t="str">
        <f aca="false">IF(B411="","",TEXT(B411,"yyyy-mm"))</f>
        <v/>
      </c>
      <c r="G411" s="29"/>
      <c r="H411" s="29"/>
      <c r="I411" s="29"/>
      <c r="J411" s="29"/>
      <c r="K411" s="29"/>
      <c r="L411" s="29"/>
      <c r="M411" s="29"/>
      <c r="N411" s="29"/>
      <c r="O411" s="29"/>
      <c r="P411" s="29"/>
      <c r="Q411" s="30"/>
      <c r="R411" s="29"/>
      <c r="S411" s="32"/>
      <c r="T411" s="29"/>
      <c r="U411" s="29"/>
      <c r="V411" s="24" t="str">
        <f aca="false">IF(A411="","",IFERROR(INDEX(Settings!$F$5:$F$49,MATCH(G411,Settings!$D$5:$D$49,0)),""))</f>
        <v/>
      </c>
      <c r="W411" s="24" t="str">
        <f aca="false">IF(A411="","",IF(OR(P411="",P411="Organic"),"social","paid_social"))</f>
        <v/>
      </c>
      <c r="X411" s="24" t="str">
        <f aca="false">IF(A411="","",IF(K411&lt;&gt;"",IFERROR(INDEX('Case Studies'!$C$5:$C$54,MATCH(K411,'Case Studies'!$B$5:$B$54,0))&amp;"","case-study"),IF(J411&lt;&gt;"",IFERROR(INDEX(Settings!$J$5:$J$55,MATCH(J411,Settings!$I$5:$I$55,0)),"general"),"general")))</f>
        <v/>
      </c>
      <c r="Y411" s="24" t="str">
        <f aca="false">IF(A411="","",LOWER(A411))</f>
        <v/>
      </c>
      <c r="Z411" s="24" t="str">
        <f aca="false">IF(A411="","",IF(T411="",Settings!$B$5,T411)&amp;IF(ISNUMBER(FIND("?",IF(T411="",Settings!$B$5,T411))),"&amp;","?")&amp;"utm_source="&amp;V411&amp;"&amp;utm_medium="&amp;W411&amp;"&amp;utm_campaign="&amp;X411&amp;"&amp;utm_content="&amp;Y411)</f>
        <v/>
      </c>
      <c r="AA411" s="29"/>
      <c r="AB411" s="39"/>
      <c r="AC411" s="32"/>
      <c r="AD411" s="32"/>
      <c r="AE411" s="32"/>
      <c r="AF411" s="32"/>
      <c r="AG411" s="32"/>
      <c r="AH411" s="32"/>
      <c r="AI411" s="32"/>
      <c r="AJ411" s="32"/>
      <c r="AK411" s="32"/>
      <c r="AL411" s="32"/>
      <c r="AM411" s="32"/>
      <c r="AN411" s="32"/>
      <c r="AO411" s="33" t="str">
        <f aca="false">IF(A411="","",IF(AD411&lt;&gt;"",AD411,IF(AC411&lt;&gt;"",AC411,"")))</f>
        <v/>
      </c>
      <c r="AP411" s="24" t="str">
        <f aca="false">IF(AO411="","",IF(AD411&lt;&gt;"","Reported reach","Impressions (proxy)"))</f>
        <v/>
      </c>
      <c r="AQ411" s="34" t="str">
        <f aca="false">IF(OR(AO411="",N(S411)=0),"",AO411/S411)</f>
        <v/>
      </c>
      <c r="AR411" s="33" t="str">
        <f aca="false">IF(A411="","",IF(COUNT(AF411:AJ411)=0,"",SUM(AF411:AJ411)))</f>
        <v/>
      </c>
      <c r="AS411" s="34" t="str">
        <f aca="false">IF(OR(AR411="",N(AO411)=0),"",AR411/AO411)</f>
        <v/>
      </c>
      <c r="AT411" s="34" t="str">
        <f aca="false">IF(OR(AR411="",N(AC411)=0),"",AR411/AC411)</f>
        <v/>
      </c>
      <c r="AU411" s="34" t="str">
        <f aca="false">IF(OR(AR411="",N(S411)=0),"",AR411/S411)</f>
        <v/>
      </c>
      <c r="AV411" s="34" t="str">
        <f aca="false">IF(OR(AJ411="",N(AC411)=0),"",AJ411/AC411)</f>
        <v/>
      </c>
      <c r="AW411" s="34" t="str">
        <f aca="false">IF(OR(AH411="",N(AO411)=0),"",AH411/AO411)</f>
        <v/>
      </c>
      <c r="AX411" s="35" t="str">
        <f aca="false">IF(OR(AR411="",N(AO411)=0),"",(N(AF411)*Settings!$B$6+N(AG411)*Settings!$B$7+N(AH411)*Settings!$B$8+N(AI411)*Settings!$B$9+N(AJ411)*Settings!$B$10)/AO411*1000)</f>
        <v/>
      </c>
      <c r="AY411" s="36" t="str">
        <f aca="false">IF(AS411="","",IFERROR(AS411/AVERAGEIFS('Post Tracker'!$AS$5:$AS$1004,'Post Tracker'!$G$5:$G$1004,G411),""))</f>
        <v/>
      </c>
      <c r="AZ411" s="32"/>
      <c r="BA411" s="32"/>
      <c r="BB411" s="32"/>
      <c r="BC411" s="32"/>
      <c r="BD411" s="33" t="str">
        <f aca="false">IF(A411="","",COUNTIFS('Demo Pipeline'!$Q$5:$Q$504,A411))</f>
        <v/>
      </c>
      <c r="BE411" s="33" t="str">
        <f aca="false">IF(A411="","",COUNTIFS('Demo Pipeline'!$Q$5:$Q$504,A411,'Demo Pipeline'!$W$5:$W$504,"Attended"))</f>
        <v/>
      </c>
      <c r="BF411" s="33" t="str">
        <f aca="false">IF(A411="","",COUNTIFS('Demo Pipeline'!$Q$5:$Q$504,A411,'Demo Pipeline'!$X$5:$X$504,"Yes"))</f>
        <v/>
      </c>
      <c r="BG411" s="33" t="str">
        <f aca="false">IF(A411="","",COUNTIFS('Demo Pipeline'!$Q$5:$Q$504,A411,'Demo Pipeline'!$Y$5:$Y$504,"Closed Won"))</f>
        <v/>
      </c>
      <c r="BH411" s="37" t="str">
        <f aca="false">IF(A411="","",SUMIFS('Demo Pipeline'!$Z$5:$Z$504,'Demo Pipeline'!$Q$5:$Q$504,A411))</f>
        <v/>
      </c>
      <c r="BI411" s="34" t="str">
        <f aca="false">IF(OR(AZ411="",N(AJ411)=0),"",AZ411/AJ411)</f>
        <v/>
      </c>
      <c r="BJ411" s="34" t="str">
        <f aca="false">IF(OR(BB411="",N(AZ411)=0),"",BB411/AZ411)</f>
        <v/>
      </c>
      <c r="BK411" s="34" t="str">
        <f aca="false">IF(OR(A411="",N(BB411)=0),"",BD411/BB411)</f>
        <v/>
      </c>
      <c r="BL411" s="34" t="str">
        <f aca="false">IF(OR(A411="",N(AZ411)=0),"",BD411/AZ411)</f>
        <v/>
      </c>
      <c r="BM411" s="37" t="str">
        <f aca="false">IF(OR(N(Q411)=0,N(BD411)=0),"",Q411/BD411)</f>
        <v/>
      </c>
      <c r="BN411" s="29"/>
      <c r="BO411" s="29"/>
      <c r="BP411" s="33" t="str">
        <f aca="false">IF(OR(AR411="",N(AO411)=0),"",AR411)</f>
        <v/>
      </c>
      <c r="BQ411" s="33" t="str">
        <f aca="false">IF(OR(AR411="",N(S411)=0),"",S411)</f>
        <v/>
      </c>
      <c r="BR411" s="38" t="str">
        <f aca="false">IF(AND(ISNUMBER(B411),B411&gt;=Dashboard!$C$4,B411&lt;=Dashboard!$F$4,ISNUMBER(AU411)),AU411+ROW()/10^9,"")</f>
        <v/>
      </c>
      <c r="BS411" s="38" t="str">
        <f aca="false">IF(AND(ISNUMBER(B411),B411&gt;=Dashboard!$C$4,B411&lt;=Dashboard!$F$4,A411&lt;&gt;""),N(BD411)+N(AU411)/100+ROW()/10^9,"")</f>
        <v/>
      </c>
    </row>
    <row r="412" customFormat="false" ht="15" hidden="false" customHeight="false" outlineLevel="0" collapsed="false">
      <c r="A412" s="24" t="str">
        <f aca="false">IF(OR(B412="",G412="",H412=""),"",IFERROR(INDEX(Settings!$E$5:$E$49,MATCH(G412,Settings!$D$5:$D$49,0))&amp;INDEX(Settings!$H$5:$H$47,MATCH(H412,Settings!$G$5:$G$47,0))&amp;"-"&amp;TEXT(B412,"yymmdd")&amp;"-"&amp;IF(C412="","0000",TEXT(C412,"hhmm")),"CHECK LISTS"))</f>
        <v/>
      </c>
      <c r="B412" s="39"/>
      <c r="C412" s="40"/>
      <c r="D412" s="24" t="str">
        <f aca="false">IF(B412="","",TEXT(B412,"ddd"))</f>
        <v/>
      </c>
      <c r="E412" s="27" t="str">
        <f aca="false">IF(B412="","",B412-WEEKDAY(B412,3))</f>
        <v/>
      </c>
      <c r="F412" s="24" t="str">
        <f aca="false">IF(B412="","",TEXT(B412,"yyyy-mm"))</f>
        <v/>
      </c>
      <c r="G412" s="29"/>
      <c r="H412" s="29"/>
      <c r="I412" s="29"/>
      <c r="J412" s="29"/>
      <c r="K412" s="29"/>
      <c r="L412" s="29"/>
      <c r="M412" s="29"/>
      <c r="N412" s="29"/>
      <c r="O412" s="29"/>
      <c r="P412" s="29"/>
      <c r="Q412" s="30"/>
      <c r="R412" s="29"/>
      <c r="S412" s="32"/>
      <c r="T412" s="29"/>
      <c r="U412" s="29"/>
      <c r="V412" s="24" t="str">
        <f aca="false">IF(A412="","",IFERROR(INDEX(Settings!$F$5:$F$49,MATCH(G412,Settings!$D$5:$D$49,0)),""))</f>
        <v/>
      </c>
      <c r="W412" s="24" t="str">
        <f aca="false">IF(A412="","",IF(OR(P412="",P412="Organic"),"social","paid_social"))</f>
        <v/>
      </c>
      <c r="X412" s="24" t="str">
        <f aca="false">IF(A412="","",IF(K412&lt;&gt;"",IFERROR(INDEX('Case Studies'!$C$5:$C$54,MATCH(K412,'Case Studies'!$B$5:$B$54,0))&amp;"","case-study"),IF(J412&lt;&gt;"",IFERROR(INDEX(Settings!$J$5:$J$55,MATCH(J412,Settings!$I$5:$I$55,0)),"general"),"general")))</f>
        <v/>
      </c>
      <c r="Y412" s="24" t="str">
        <f aca="false">IF(A412="","",LOWER(A412))</f>
        <v/>
      </c>
      <c r="Z412" s="24" t="str">
        <f aca="false">IF(A412="","",IF(T412="",Settings!$B$5,T412)&amp;IF(ISNUMBER(FIND("?",IF(T412="",Settings!$B$5,T412))),"&amp;","?")&amp;"utm_source="&amp;V412&amp;"&amp;utm_medium="&amp;W412&amp;"&amp;utm_campaign="&amp;X412&amp;"&amp;utm_content="&amp;Y412)</f>
        <v/>
      </c>
      <c r="AA412" s="29"/>
      <c r="AB412" s="39"/>
      <c r="AC412" s="32"/>
      <c r="AD412" s="32"/>
      <c r="AE412" s="32"/>
      <c r="AF412" s="32"/>
      <c r="AG412" s="32"/>
      <c r="AH412" s="32"/>
      <c r="AI412" s="32"/>
      <c r="AJ412" s="32"/>
      <c r="AK412" s="32"/>
      <c r="AL412" s="32"/>
      <c r="AM412" s="32"/>
      <c r="AN412" s="32"/>
      <c r="AO412" s="33" t="str">
        <f aca="false">IF(A412="","",IF(AD412&lt;&gt;"",AD412,IF(AC412&lt;&gt;"",AC412,"")))</f>
        <v/>
      </c>
      <c r="AP412" s="24" t="str">
        <f aca="false">IF(AO412="","",IF(AD412&lt;&gt;"","Reported reach","Impressions (proxy)"))</f>
        <v/>
      </c>
      <c r="AQ412" s="34" t="str">
        <f aca="false">IF(OR(AO412="",N(S412)=0),"",AO412/S412)</f>
        <v/>
      </c>
      <c r="AR412" s="33" t="str">
        <f aca="false">IF(A412="","",IF(COUNT(AF412:AJ412)=0,"",SUM(AF412:AJ412)))</f>
        <v/>
      </c>
      <c r="AS412" s="34" t="str">
        <f aca="false">IF(OR(AR412="",N(AO412)=0),"",AR412/AO412)</f>
        <v/>
      </c>
      <c r="AT412" s="34" t="str">
        <f aca="false">IF(OR(AR412="",N(AC412)=0),"",AR412/AC412)</f>
        <v/>
      </c>
      <c r="AU412" s="34" t="str">
        <f aca="false">IF(OR(AR412="",N(S412)=0),"",AR412/S412)</f>
        <v/>
      </c>
      <c r="AV412" s="34" t="str">
        <f aca="false">IF(OR(AJ412="",N(AC412)=0),"",AJ412/AC412)</f>
        <v/>
      </c>
      <c r="AW412" s="34" t="str">
        <f aca="false">IF(OR(AH412="",N(AO412)=0),"",AH412/AO412)</f>
        <v/>
      </c>
      <c r="AX412" s="35" t="str">
        <f aca="false">IF(OR(AR412="",N(AO412)=0),"",(N(AF412)*Settings!$B$6+N(AG412)*Settings!$B$7+N(AH412)*Settings!$B$8+N(AI412)*Settings!$B$9+N(AJ412)*Settings!$B$10)/AO412*1000)</f>
        <v/>
      </c>
      <c r="AY412" s="36" t="str">
        <f aca="false">IF(AS412="","",IFERROR(AS412/AVERAGEIFS('Post Tracker'!$AS$5:$AS$1004,'Post Tracker'!$G$5:$G$1004,G412),""))</f>
        <v/>
      </c>
      <c r="AZ412" s="32"/>
      <c r="BA412" s="32"/>
      <c r="BB412" s="32"/>
      <c r="BC412" s="32"/>
      <c r="BD412" s="33" t="str">
        <f aca="false">IF(A412="","",COUNTIFS('Demo Pipeline'!$Q$5:$Q$504,A412))</f>
        <v/>
      </c>
      <c r="BE412" s="33" t="str">
        <f aca="false">IF(A412="","",COUNTIFS('Demo Pipeline'!$Q$5:$Q$504,A412,'Demo Pipeline'!$W$5:$W$504,"Attended"))</f>
        <v/>
      </c>
      <c r="BF412" s="33" t="str">
        <f aca="false">IF(A412="","",COUNTIFS('Demo Pipeline'!$Q$5:$Q$504,A412,'Demo Pipeline'!$X$5:$X$504,"Yes"))</f>
        <v/>
      </c>
      <c r="BG412" s="33" t="str">
        <f aca="false">IF(A412="","",COUNTIFS('Demo Pipeline'!$Q$5:$Q$504,A412,'Demo Pipeline'!$Y$5:$Y$504,"Closed Won"))</f>
        <v/>
      </c>
      <c r="BH412" s="37" t="str">
        <f aca="false">IF(A412="","",SUMIFS('Demo Pipeline'!$Z$5:$Z$504,'Demo Pipeline'!$Q$5:$Q$504,A412))</f>
        <v/>
      </c>
      <c r="BI412" s="34" t="str">
        <f aca="false">IF(OR(AZ412="",N(AJ412)=0),"",AZ412/AJ412)</f>
        <v/>
      </c>
      <c r="BJ412" s="34" t="str">
        <f aca="false">IF(OR(BB412="",N(AZ412)=0),"",BB412/AZ412)</f>
        <v/>
      </c>
      <c r="BK412" s="34" t="str">
        <f aca="false">IF(OR(A412="",N(BB412)=0),"",BD412/BB412)</f>
        <v/>
      </c>
      <c r="BL412" s="34" t="str">
        <f aca="false">IF(OR(A412="",N(AZ412)=0),"",BD412/AZ412)</f>
        <v/>
      </c>
      <c r="BM412" s="37" t="str">
        <f aca="false">IF(OR(N(Q412)=0,N(BD412)=0),"",Q412/BD412)</f>
        <v/>
      </c>
      <c r="BN412" s="29"/>
      <c r="BO412" s="29"/>
      <c r="BP412" s="33" t="str">
        <f aca="false">IF(OR(AR412="",N(AO412)=0),"",AR412)</f>
        <v/>
      </c>
      <c r="BQ412" s="33" t="str">
        <f aca="false">IF(OR(AR412="",N(S412)=0),"",S412)</f>
        <v/>
      </c>
      <c r="BR412" s="38" t="str">
        <f aca="false">IF(AND(ISNUMBER(B412),B412&gt;=Dashboard!$C$4,B412&lt;=Dashboard!$F$4,ISNUMBER(AU412)),AU412+ROW()/10^9,"")</f>
        <v/>
      </c>
      <c r="BS412" s="38" t="str">
        <f aca="false">IF(AND(ISNUMBER(B412),B412&gt;=Dashboard!$C$4,B412&lt;=Dashboard!$F$4,A412&lt;&gt;""),N(BD412)+N(AU412)/100+ROW()/10^9,"")</f>
        <v/>
      </c>
    </row>
    <row r="413" customFormat="false" ht="15" hidden="false" customHeight="false" outlineLevel="0" collapsed="false">
      <c r="A413" s="24" t="str">
        <f aca="false">IF(OR(B413="",G413="",H413=""),"",IFERROR(INDEX(Settings!$E$5:$E$49,MATCH(G413,Settings!$D$5:$D$49,0))&amp;INDEX(Settings!$H$5:$H$47,MATCH(H413,Settings!$G$5:$G$47,0))&amp;"-"&amp;TEXT(B413,"yymmdd")&amp;"-"&amp;IF(C413="","0000",TEXT(C413,"hhmm")),"CHECK LISTS"))</f>
        <v/>
      </c>
      <c r="B413" s="39"/>
      <c r="C413" s="40"/>
      <c r="D413" s="24" t="str">
        <f aca="false">IF(B413="","",TEXT(B413,"ddd"))</f>
        <v/>
      </c>
      <c r="E413" s="27" t="str">
        <f aca="false">IF(B413="","",B413-WEEKDAY(B413,3))</f>
        <v/>
      </c>
      <c r="F413" s="24" t="str">
        <f aca="false">IF(B413="","",TEXT(B413,"yyyy-mm"))</f>
        <v/>
      </c>
      <c r="G413" s="29"/>
      <c r="H413" s="29"/>
      <c r="I413" s="29"/>
      <c r="J413" s="29"/>
      <c r="K413" s="29"/>
      <c r="L413" s="29"/>
      <c r="M413" s="29"/>
      <c r="N413" s="29"/>
      <c r="O413" s="29"/>
      <c r="P413" s="29"/>
      <c r="Q413" s="30"/>
      <c r="R413" s="29"/>
      <c r="S413" s="32"/>
      <c r="T413" s="29"/>
      <c r="U413" s="29"/>
      <c r="V413" s="24" t="str">
        <f aca="false">IF(A413="","",IFERROR(INDEX(Settings!$F$5:$F$49,MATCH(G413,Settings!$D$5:$D$49,0)),""))</f>
        <v/>
      </c>
      <c r="W413" s="24" t="str">
        <f aca="false">IF(A413="","",IF(OR(P413="",P413="Organic"),"social","paid_social"))</f>
        <v/>
      </c>
      <c r="X413" s="24" t="str">
        <f aca="false">IF(A413="","",IF(K413&lt;&gt;"",IFERROR(INDEX('Case Studies'!$C$5:$C$54,MATCH(K413,'Case Studies'!$B$5:$B$54,0))&amp;"","case-study"),IF(J413&lt;&gt;"",IFERROR(INDEX(Settings!$J$5:$J$55,MATCH(J413,Settings!$I$5:$I$55,0)),"general"),"general")))</f>
        <v/>
      </c>
      <c r="Y413" s="24" t="str">
        <f aca="false">IF(A413="","",LOWER(A413))</f>
        <v/>
      </c>
      <c r="Z413" s="24" t="str">
        <f aca="false">IF(A413="","",IF(T413="",Settings!$B$5,T413)&amp;IF(ISNUMBER(FIND("?",IF(T413="",Settings!$B$5,T413))),"&amp;","?")&amp;"utm_source="&amp;V413&amp;"&amp;utm_medium="&amp;W413&amp;"&amp;utm_campaign="&amp;X413&amp;"&amp;utm_content="&amp;Y413)</f>
        <v/>
      </c>
      <c r="AA413" s="29"/>
      <c r="AB413" s="39"/>
      <c r="AC413" s="32"/>
      <c r="AD413" s="32"/>
      <c r="AE413" s="32"/>
      <c r="AF413" s="32"/>
      <c r="AG413" s="32"/>
      <c r="AH413" s="32"/>
      <c r="AI413" s="32"/>
      <c r="AJ413" s="32"/>
      <c r="AK413" s="32"/>
      <c r="AL413" s="32"/>
      <c r="AM413" s="32"/>
      <c r="AN413" s="32"/>
      <c r="AO413" s="33" t="str">
        <f aca="false">IF(A413="","",IF(AD413&lt;&gt;"",AD413,IF(AC413&lt;&gt;"",AC413,"")))</f>
        <v/>
      </c>
      <c r="AP413" s="24" t="str">
        <f aca="false">IF(AO413="","",IF(AD413&lt;&gt;"","Reported reach","Impressions (proxy)"))</f>
        <v/>
      </c>
      <c r="AQ413" s="34" t="str">
        <f aca="false">IF(OR(AO413="",N(S413)=0),"",AO413/S413)</f>
        <v/>
      </c>
      <c r="AR413" s="33" t="str">
        <f aca="false">IF(A413="","",IF(COUNT(AF413:AJ413)=0,"",SUM(AF413:AJ413)))</f>
        <v/>
      </c>
      <c r="AS413" s="34" t="str">
        <f aca="false">IF(OR(AR413="",N(AO413)=0),"",AR413/AO413)</f>
        <v/>
      </c>
      <c r="AT413" s="34" t="str">
        <f aca="false">IF(OR(AR413="",N(AC413)=0),"",AR413/AC413)</f>
        <v/>
      </c>
      <c r="AU413" s="34" t="str">
        <f aca="false">IF(OR(AR413="",N(S413)=0),"",AR413/S413)</f>
        <v/>
      </c>
      <c r="AV413" s="34" t="str">
        <f aca="false">IF(OR(AJ413="",N(AC413)=0),"",AJ413/AC413)</f>
        <v/>
      </c>
      <c r="AW413" s="34" t="str">
        <f aca="false">IF(OR(AH413="",N(AO413)=0),"",AH413/AO413)</f>
        <v/>
      </c>
      <c r="AX413" s="35" t="str">
        <f aca="false">IF(OR(AR413="",N(AO413)=0),"",(N(AF413)*Settings!$B$6+N(AG413)*Settings!$B$7+N(AH413)*Settings!$B$8+N(AI413)*Settings!$B$9+N(AJ413)*Settings!$B$10)/AO413*1000)</f>
        <v/>
      </c>
      <c r="AY413" s="36" t="str">
        <f aca="false">IF(AS413="","",IFERROR(AS413/AVERAGEIFS('Post Tracker'!$AS$5:$AS$1004,'Post Tracker'!$G$5:$G$1004,G413),""))</f>
        <v/>
      </c>
      <c r="AZ413" s="32"/>
      <c r="BA413" s="32"/>
      <c r="BB413" s="32"/>
      <c r="BC413" s="32"/>
      <c r="BD413" s="33" t="str">
        <f aca="false">IF(A413="","",COUNTIFS('Demo Pipeline'!$Q$5:$Q$504,A413))</f>
        <v/>
      </c>
      <c r="BE413" s="33" t="str">
        <f aca="false">IF(A413="","",COUNTIFS('Demo Pipeline'!$Q$5:$Q$504,A413,'Demo Pipeline'!$W$5:$W$504,"Attended"))</f>
        <v/>
      </c>
      <c r="BF413" s="33" t="str">
        <f aca="false">IF(A413="","",COUNTIFS('Demo Pipeline'!$Q$5:$Q$504,A413,'Demo Pipeline'!$X$5:$X$504,"Yes"))</f>
        <v/>
      </c>
      <c r="BG413" s="33" t="str">
        <f aca="false">IF(A413="","",COUNTIFS('Demo Pipeline'!$Q$5:$Q$504,A413,'Demo Pipeline'!$Y$5:$Y$504,"Closed Won"))</f>
        <v/>
      </c>
      <c r="BH413" s="37" t="str">
        <f aca="false">IF(A413="","",SUMIFS('Demo Pipeline'!$Z$5:$Z$504,'Demo Pipeline'!$Q$5:$Q$504,A413))</f>
        <v/>
      </c>
      <c r="BI413" s="34" t="str">
        <f aca="false">IF(OR(AZ413="",N(AJ413)=0),"",AZ413/AJ413)</f>
        <v/>
      </c>
      <c r="BJ413" s="34" t="str">
        <f aca="false">IF(OR(BB413="",N(AZ413)=0),"",BB413/AZ413)</f>
        <v/>
      </c>
      <c r="BK413" s="34" t="str">
        <f aca="false">IF(OR(A413="",N(BB413)=0),"",BD413/BB413)</f>
        <v/>
      </c>
      <c r="BL413" s="34" t="str">
        <f aca="false">IF(OR(A413="",N(AZ413)=0),"",BD413/AZ413)</f>
        <v/>
      </c>
      <c r="BM413" s="37" t="str">
        <f aca="false">IF(OR(N(Q413)=0,N(BD413)=0),"",Q413/BD413)</f>
        <v/>
      </c>
      <c r="BN413" s="29"/>
      <c r="BO413" s="29"/>
      <c r="BP413" s="33" t="str">
        <f aca="false">IF(OR(AR413="",N(AO413)=0),"",AR413)</f>
        <v/>
      </c>
      <c r="BQ413" s="33" t="str">
        <f aca="false">IF(OR(AR413="",N(S413)=0),"",S413)</f>
        <v/>
      </c>
      <c r="BR413" s="38" t="str">
        <f aca="false">IF(AND(ISNUMBER(B413),B413&gt;=Dashboard!$C$4,B413&lt;=Dashboard!$F$4,ISNUMBER(AU413)),AU413+ROW()/10^9,"")</f>
        <v/>
      </c>
      <c r="BS413" s="38" t="str">
        <f aca="false">IF(AND(ISNUMBER(B413),B413&gt;=Dashboard!$C$4,B413&lt;=Dashboard!$F$4,A413&lt;&gt;""),N(BD413)+N(AU413)/100+ROW()/10^9,"")</f>
        <v/>
      </c>
    </row>
    <row r="414" customFormat="false" ht="15" hidden="false" customHeight="false" outlineLevel="0" collapsed="false">
      <c r="A414" s="24" t="str">
        <f aca="false">IF(OR(B414="",G414="",H414=""),"",IFERROR(INDEX(Settings!$E$5:$E$49,MATCH(G414,Settings!$D$5:$D$49,0))&amp;INDEX(Settings!$H$5:$H$47,MATCH(H414,Settings!$G$5:$G$47,0))&amp;"-"&amp;TEXT(B414,"yymmdd")&amp;"-"&amp;IF(C414="","0000",TEXT(C414,"hhmm")),"CHECK LISTS"))</f>
        <v/>
      </c>
      <c r="B414" s="39"/>
      <c r="C414" s="40"/>
      <c r="D414" s="24" t="str">
        <f aca="false">IF(B414="","",TEXT(B414,"ddd"))</f>
        <v/>
      </c>
      <c r="E414" s="27" t="str">
        <f aca="false">IF(B414="","",B414-WEEKDAY(B414,3))</f>
        <v/>
      </c>
      <c r="F414" s="24" t="str">
        <f aca="false">IF(B414="","",TEXT(B414,"yyyy-mm"))</f>
        <v/>
      </c>
      <c r="G414" s="29"/>
      <c r="H414" s="29"/>
      <c r="I414" s="29"/>
      <c r="J414" s="29"/>
      <c r="K414" s="29"/>
      <c r="L414" s="29"/>
      <c r="M414" s="29"/>
      <c r="N414" s="29"/>
      <c r="O414" s="29"/>
      <c r="P414" s="29"/>
      <c r="Q414" s="30"/>
      <c r="R414" s="29"/>
      <c r="S414" s="32"/>
      <c r="T414" s="29"/>
      <c r="U414" s="29"/>
      <c r="V414" s="24" t="str">
        <f aca="false">IF(A414="","",IFERROR(INDEX(Settings!$F$5:$F$49,MATCH(G414,Settings!$D$5:$D$49,0)),""))</f>
        <v/>
      </c>
      <c r="W414" s="24" t="str">
        <f aca="false">IF(A414="","",IF(OR(P414="",P414="Organic"),"social","paid_social"))</f>
        <v/>
      </c>
      <c r="X414" s="24" t="str">
        <f aca="false">IF(A414="","",IF(K414&lt;&gt;"",IFERROR(INDEX('Case Studies'!$C$5:$C$54,MATCH(K414,'Case Studies'!$B$5:$B$54,0))&amp;"","case-study"),IF(J414&lt;&gt;"",IFERROR(INDEX(Settings!$J$5:$J$55,MATCH(J414,Settings!$I$5:$I$55,0)),"general"),"general")))</f>
        <v/>
      </c>
      <c r="Y414" s="24" t="str">
        <f aca="false">IF(A414="","",LOWER(A414))</f>
        <v/>
      </c>
      <c r="Z414" s="24" t="str">
        <f aca="false">IF(A414="","",IF(T414="",Settings!$B$5,T414)&amp;IF(ISNUMBER(FIND("?",IF(T414="",Settings!$B$5,T414))),"&amp;","?")&amp;"utm_source="&amp;V414&amp;"&amp;utm_medium="&amp;W414&amp;"&amp;utm_campaign="&amp;X414&amp;"&amp;utm_content="&amp;Y414)</f>
        <v/>
      </c>
      <c r="AA414" s="29"/>
      <c r="AB414" s="39"/>
      <c r="AC414" s="32"/>
      <c r="AD414" s="32"/>
      <c r="AE414" s="32"/>
      <c r="AF414" s="32"/>
      <c r="AG414" s="32"/>
      <c r="AH414" s="32"/>
      <c r="AI414" s="32"/>
      <c r="AJ414" s="32"/>
      <c r="AK414" s="32"/>
      <c r="AL414" s="32"/>
      <c r="AM414" s="32"/>
      <c r="AN414" s="32"/>
      <c r="AO414" s="33" t="str">
        <f aca="false">IF(A414="","",IF(AD414&lt;&gt;"",AD414,IF(AC414&lt;&gt;"",AC414,"")))</f>
        <v/>
      </c>
      <c r="AP414" s="24" t="str">
        <f aca="false">IF(AO414="","",IF(AD414&lt;&gt;"","Reported reach","Impressions (proxy)"))</f>
        <v/>
      </c>
      <c r="AQ414" s="34" t="str">
        <f aca="false">IF(OR(AO414="",N(S414)=0),"",AO414/S414)</f>
        <v/>
      </c>
      <c r="AR414" s="33" t="str">
        <f aca="false">IF(A414="","",IF(COUNT(AF414:AJ414)=0,"",SUM(AF414:AJ414)))</f>
        <v/>
      </c>
      <c r="AS414" s="34" t="str">
        <f aca="false">IF(OR(AR414="",N(AO414)=0),"",AR414/AO414)</f>
        <v/>
      </c>
      <c r="AT414" s="34" t="str">
        <f aca="false">IF(OR(AR414="",N(AC414)=0),"",AR414/AC414)</f>
        <v/>
      </c>
      <c r="AU414" s="34" t="str">
        <f aca="false">IF(OR(AR414="",N(S414)=0),"",AR414/S414)</f>
        <v/>
      </c>
      <c r="AV414" s="34" t="str">
        <f aca="false">IF(OR(AJ414="",N(AC414)=0),"",AJ414/AC414)</f>
        <v/>
      </c>
      <c r="AW414" s="34" t="str">
        <f aca="false">IF(OR(AH414="",N(AO414)=0),"",AH414/AO414)</f>
        <v/>
      </c>
      <c r="AX414" s="35" t="str">
        <f aca="false">IF(OR(AR414="",N(AO414)=0),"",(N(AF414)*Settings!$B$6+N(AG414)*Settings!$B$7+N(AH414)*Settings!$B$8+N(AI414)*Settings!$B$9+N(AJ414)*Settings!$B$10)/AO414*1000)</f>
        <v/>
      </c>
      <c r="AY414" s="36" t="str">
        <f aca="false">IF(AS414="","",IFERROR(AS414/AVERAGEIFS('Post Tracker'!$AS$5:$AS$1004,'Post Tracker'!$G$5:$G$1004,G414),""))</f>
        <v/>
      </c>
      <c r="AZ414" s="32"/>
      <c r="BA414" s="32"/>
      <c r="BB414" s="32"/>
      <c r="BC414" s="32"/>
      <c r="BD414" s="33" t="str">
        <f aca="false">IF(A414="","",COUNTIFS('Demo Pipeline'!$Q$5:$Q$504,A414))</f>
        <v/>
      </c>
      <c r="BE414" s="33" t="str">
        <f aca="false">IF(A414="","",COUNTIFS('Demo Pipeline'!$Q$5:$Q$504,A414,'Demo Pipeline'!$W$5:$W$504,"Attended"))</f>
        <v/>
      </c>
      <c r="BF414" s="33" t="str">
        <f aca="false">IF(A414="","",COUNTIFS('Demo Pipeline'!$Q$5:$Q$504,A414,'Demo Pipeline'!$X$5:$X$504,"Yes"))</f>
        <v/>
      </c>
      <c r="BG414" s="33" t="str">
        <f aca="false">IF(A414="","",COUNTIFS('Demo Pipeline'!$Q$5:$Q$504,A414,'Demo Pipeline'!$Y$5:$Y$504,"Closed Won"))</f>
        <v/>
      </c>
      <c r="BH414" s="37" t="str">
        <f aca="false">IF(A414="","",SUMIFS('Demo Pipeline'!$Z$5:$Z$504,'Demo Pipeline'!$Q$5:$Q$504,A414))</f>
        <v/>
      </c>
      <c r="BI414" s="34" t="str">
        <f aca="false">IF(OR(AZ414="",N(AJ414)=0),"",AZ414/AJ414)</f>
        <v/>
      </c>
      <c r="BJ414" s="34" t="str">
        <f aca="false">IF(OR(BB414="",N(AZ414)=0),"",BB414/AZ414)</f>
        <v/>
      </c>
      <c r="BK414" s="34" t="str">
        <f aca="false">IF(OR(A414="",N(BB414)=0),"",BD414/BB414)</f>
        <v/>
      </c>
      <c r="BL414" s="34" t="str">
        <f aca="false">IF(OR(A414="",N(AZ414)=0),"",BD414/AZ414)</f>
        <v/>
      </c>
      <c r="BM414" s="37" t="str">
        <f aca="false">IF(OR(N(Q414)=0,N(BD414)=0),"",Q414/BD414)</f>
        <v/>
      </c>
      <c r="BN414" s="29"/>
      <c r="BO414" s="29"/>
      <c r="BP414" s="33" t="str">
        <f aca="false">IF(OR(AR414="",N(AO414)=0),"",AR414)</f>
        <v/>
      </c>
      <c r="BQ414" s="33" t="str">
        <f aca="false">IF(OR(AR414="",N(S414)=0),"",S414)</f>
        <v/>
      </c>
      <c r="BR414" s="38" t="str">
        <f aca="false">IF(AND(ISNUMBER(B414),B414&gt;=Dashboard!$C$4,B414&lt;=Dashboard!$F$4,ISNUMBER(AU414)),AU414+ROW()/10^9,"")</f>
        <v/>
      </c>
      <c r="BS414" s="38" t="str">
        <f aca="false">IF(AND(ISNUMBER(B414),B414&gt;=Dashboard!$C$4,B414&lt;=Dashboard!$F$4,A414&lt;&gt;""),N(BD414)+N(AU414)/100+ROW()/10^9,"")</f>
        <v/>
      </c>
    </row>
    <row r="415" customFormat="false" ht="15" hidden="false" customHeight="false" outlineLevel="0" collapsed="false">
      <c r="A415" s="24" t="str">
        <f aca="false">IF(OR(B415="",G415="",H415=""),"",IFERROR(INDEX(Settings!$E$5:$E$49,MATCH(G415,Settings!$D$5:$D$49,0))&amp;INDEX(Settings!$H$5:$H$47,MATCH(H415,Settings!$G$5:$G$47,0))&amp;"-"&amp;TEXT(B415,"yymmdd")&amp;"-"&amp;IF(C415="","0000",TEXT(C415,"hhmm")),"CHECK LISTS"))</f>
        <v/>
      </c>
      <c r="B415" s="39"/>
      <c r="C415" s="40"/>
      <c r="D415" s="24" t="str">
        <f aca="false">IF(B415="","",TEXT(B415,"ddd"))</f>
        <v/>
      </c>
      <c r="E415" s="27" t="str">
        <f aca="false">IF(B415="","",B415-WEEKDAY(B415,3))</f>
        <v/>
      </c>
      <c r="F415" s="24" t="str">
        <f aca="false">IF(B415="","",TEXT(B415,"yyyy-mm"))</f>
        <v/>
      </c>
      <c r="G415" s="29"/>
      <c r="H415" s="29"/>
      <c r="I415" s="29"/>
      <c r="J415" s="29"/>
      <c r="K415" s="29"/>
      <c r="L415" s="29"/>
      <c r="M415" s="29"/>
      <c r="N415" s="29"/>
      <c r="O415" s="29"/>
      <c r="P415" s="29"/>
      <c r="Q415" s="30"/>
      <c r="R415" s="29"/>
      <c r="S415" s="32"/>
      <c r="T415" s="29"/>
      <c r="U415" s="29"/>
      <c r="V415" s="24" t="str">
        <f aca="false">IF(A415="","",IFERROR(INDEX(Settings!$F$5:$F$49,MATCH(G415,Settings!$D$5:$D$49,0)),""))</f>
        <v/>
      </c>
      <c r="W415" s="24" t="str">
        <f aca="false">IF(A415="","",IF(OR(P415="",P415="Organic"),"social","paid_social"))</f>
        <v/>
      </c>
      <c r="X415" s="24" t="str">
        <f aca="false">IF(A415="","",IF(K415&lt;&gt;"",IFERROR(INDEX('Case Studies'!$C$5:$C$54,MATCH(K415,'Case Studies'!$B$5:$B$54,0))&amp;"","case-study"),IF(J415&lt;&gt;"",IFERROR(INDEX(Settings!$J$5:$J$55,MATCH(J415,Settings!$I$5:$I$55,0)),"general"),"general")))</f>
        <v/>
      </c>
      <c r="Y415" s="24" t="str">
        <f aca="false">IF(A415="","",LOWER(A415))</f>
        <v/>
      </c>
      <c r="Z415" s="24" t="str">
        <f aca="false">IF(A415="","",IF(T415="",Settings!$B$5,T415)&amp;IF(ISNUMBER(FIND("?",IF(T415="",Settings!$B$5,T415))),"&amp;","?")&amp;"utm_source="&amp;V415&amp;"&amp;utm_medium="&amp;W415&amp;"&amp;utm_campaign="&amp;X415&amp;"&amp;utm_content="&amp;Y415)</f>
        <v/>
      </c>
      <c r="AA415" s="29"/>
      <c r="AB415" s="39"/>
      <c r="AC415" s="32"/>
      <c r="AD415" s="32"/>
      <c r="AE415" s="32"/>
      <c r="AF415" s="32"/>
      <c r="AG415" s="32"/>
      <c r="AH415" s="32"/>
      <c r="AI415" s="32"/>
      <c r="AJ415" s="32"/>
      <c r="AK415" s="32"/>
      <c r="AL415" s="32"/>
      <c r="AM415" s="32"/>
      <c r="AN415" s="32"/>
      <c r="AO415" s="33" t="str">
        <f aca="false">IF(A415="","",IF(AD415&lt;&gt;"",AD415,IF(AC415&lt;&gt;"",AC415,"")))</f>
        <v/>
      </c>
      <c r="AP415" s="24" t="str">
        <f aca="false">IF(AO415="","",IF(AD415&lt;&gt;"","Reported reach","Impressions (proxy)"))</f>
        <v/>
      </c>
      <c r="AQ415" s="34" t="str">
        <f aca="false">IF(OR(AO415="",N(S415)=0),"",AO415/S415)</f>
        <v/>
      </c>
      <c r="AR415" s="33" t="str">
        <f aca="false">IF(A415="","",IF(COUNT(AF415:AJ415)=0,"",SUM(AF415:AJ415)))</f>
        <v/>
      </c>
      <c r="AS415" s="34" t="str">
        <f aca="false">IF(OR(AR415="",N(AO415)=0),"",AR415/AO415)</f>
        <v/>
      </c>
      <c r="AT415" s="34" t="str">
        <f aca="false">IF(OR(AR415="",N(AC415)=0),"",AR415/AC415)</f>
        <v/>
      </c>
      <c r="AU415" s="34" t="str">
        <f aca="false">IF(OR(AR415="",N(S415)=0),"",AR415/S415)</f>
        <v/>
      </c>
      <c r="AV415" s="34" t="str">
        <f aca="false">IF(OR(AJ415="",N(AC415)=0),"",AJ415/AC415)</f>
        <v/>
      </c>
      <c r="AW415" s="34" t="str">
        <f aca="false">IF(OR(AH415="",N(AO415)=0),"",AH415/AO415)</f>
        <v/>
      </c>
      <c r="AX415" s="35" t="str">
        <f aca="false">IF(OR(AR415="",N(AO415)=0),"",(N(AF415)*Settings!$B$6+N(AG415)*Settings!$B$7+N(AH415)*Settings!$B$8+N(AI415)*Settings!$B$9+N(AJ415)*Settings!$B$10)/AO415*1000)</f>
        <v/>
      </c>
      <c r="AY415" s="36" t="str">
        <f aca="false">IF(AS415="","",IFERROR(AS415/AVERAGEIFS('Post Tracker'!$AS$5:$AS$1004,'Post Tracker'!$G$5:$G$1004,G415),""))</f>
        <v/>
      </c>
      <c r="AZ415" s="32"/>
      <c r="BA415" s="32"/>
      <c r="BB415" s="32"/>
      <c r="BC415" s="32"/>
      <c r="BD415" s="33" t="str">
        <f aca="false">IF(A415="","",COUNTIFS('Demo Pipeline'!$Q$5:$Q$504,A415))</f>
        <v/>
      </c>
      <c r="BE415" s="33" t="str">
        <f aca="false">IF(A415="","",COUNTIFS('Demo Pipeline'!$Q$5:$Q$504,A415,'Demo Pipeline'!$W$5:$W$504,"Attended"))</f>
        <v/>
      </c>
      <c r="BF415" s="33" t="str">
        <f aca="false">IF(A415="","",COUNTIFS('Demo Pipeline'!$Q$5:$Q$504,A415,'Demo Pipeline'!$X$5:$X$504,"Yes"))</f>
        <v/>
      </c>
      <c r="BG415" s="33" t="str">
        <f aca="false">IF(A415="","",COUNTIFS('Demo Pipeline'!$Q$5:$Q$504,A415,'Demo Pipeline'!$Y$5:$Y$504,"Closed Won"))</f>
        <v/>
      </c>
      <c r="BH415" s="37" t="str">
        <f aca="false">IF(A415="","",SUMIFS('Demo Pipeline'!$Z$5:$Z$504,'Demo Pipeline'!$Q$5:$Q$504,A415))</f>
        <v/>
      </c>
      <c r="BI415" s="34" t="str">
        <f aca="false">IF(OR(AZ415="",N(AJ415)=0),"",AZ415/AJ415)</f>
        <v/>
      </c>
      <c r="BJ415" s="34" t="str">
        <f aca="false">IF(OR(BB415="",N(AZ415)=0),"",BB415/AZ415)</f>
        <v/>
      </c>
      <c r="BK415" s="34" t="str">
        <f aca="false">IF(OR(A415="",N(BB415)=0),"",BD415/BB415)</f>
        <v/>
      </c>
      <c r="BL415" s="34" t="str">
        <f aca="false">IF(OR(A415="",N(AZ415)=0),"",BD415/AZ415)</f>
        <v/>
      </c>
      <c r="BM415" s="37" t="str">
        <f aca="false">IF(OR(N(Q415)=0,N(BD415)=0),"",Q415/BD415)</f>
        <v/>
      </c>
      <c r="BN415" s="29"/>
      <c r="BO415" s="29"/>
      <c r="BP415" s="33" t="str">
        <f aca="false">IF(OR(AR415="",N(AO415)=0),"",AR415)</f>
        <v/>
      </c>
      <c r="BQ415" s="33" t="str">
        <f aca="false">IF(OR(AR415="",N(S415)=0),"",S415)</f>
        <v/>
      </c>
      <c r="BR415" s="38" t="str">
        <f aca="false">IF(AND(ISNUMBER(B415),B415&gt;=Dashboard!$C$4,B415&lt;=Dashboard!$F$4,ISNUMBER(AU415)),AU415+ROW()/10^9,"")</f>
        <v/>
      </c>
      <c r="BS415" s="38" t="str">
        <f aca="false">IF(AND(ISNUMBER(B415),B415&gt;=Dashboard!$C$4,B415&lt;=Dashboard!$F$4,A415&lt;&gt;""),N(BD415)+N(AU415)/100+ROW()/10^9,"")</f>
        <v/>
      </c>
    </row>
    <row r="416" customFormat="false" ht="15" hidden="false" customHeight="false" outlineLevel="0" collapsed="false">
      <c r="A416" s="24" t="str">
        <f aca="false">IF(OR(B416="",G416="",H416=""),"",IFERROR(INDEX(Settings!$E$5:$E$49,MATCH(G416,Settings!$D$5:$D$49,0))&amp;INDEX(Settings!$H$5:$H$47,MATCH(H416,Settings!$G$5:$G$47,0))&amp;"-"&amp;TEXT(B416,"yymmdd")&amp;"-"&amp;IF(C416="","0000",TEXT(C416,"hhmm")),"CHECK LISTS"))</f>
        <v/>
      </c>
      <c r="B416" s="39"/>
      <c r="C416" s="40"/>
      <c r="D416" s="24" t="str">
        <f aca="false">IF(B416="","",TEXT(B416,"ddd"))</f>
        <v/>
      </c>
      <c r="E416" s="27" t="str">
        <f aca="false">IF(B416="","",B416-WEEKDAY(B416,3))</f>
        <v/>
      </c>
      <c r="F416" s="24" t="str">
        <f aca="false">IF(B416="","",TEXT(B416,"yyyy-mm"))</f>
        <v/>
      </c>
      <c r="G416" s="29"/>
      <c r="H416" s="29"/>
      <c r="I416" s="29"/>
      <c r="J416" s="29"/>
      <c r="K416" s="29"/>
      <c r="L416" s="29"/>
      <c r="M416" s="29"/>
      <c r="N416" s="29"/>
      <c r="O416" s="29"/>
      <c r="P416" s="29"/>
      <c r="Q416" s="30"/>
      <c r="R416" s="29"/>
      <c r="S416" s="32"/>
      <c r="T416" s="29"/>
      <c r="U416" s="29"/>
      <c r="V416" s="24" t="str">
        <f aca="false">IF(A416="","",IFERROR(INDEX(Settings!$F$5:$F$49,MATCH(G416,Settings!$D$5:$D$49,0)),""))</f>
        <v/>
      </c>
      <c r="W416" s="24" t="str">
        <f aca="false">IF(A416="","",IF(OR(P416="",P416="Organic"),"social","paid_social"))</f>
        <v/>
      </c>
      <c r="X416" s="24" t="str">
        <f aca="false">IF(A416="","",IF(K416&lt;&gt;"",IFERROR(INDEX('Case Studies'!$C$5:$C$54,MATCH(K416,'Case Studies'!$B$5:$B$54,0))&amp;"","case-study"),IF(J416&lt;&gt;"",IFERROR(INDEX(Settings!$J$5:$J$55,MATCH(J416,Settings!$I$5:$I$55,0)),"general"),"general")))</f>
        <v/>
      </c>
      <c r="Y416" s="24" t="str">
        <f aca="false">IF(A416="","",LOWER(A416))</f>
        <v/>
      </c>
      <c r="Z416" s="24" t="str">
        <f aca="false">IF(A416="","",IF(T416="",Settings!$B$5,T416)&amp;IF(ISNUMBER(FIND("?",IF(T416="",Settings!$B$5,T416))),"&amp;","?")&amp;"utm_source="&amp;V416&amp;"&amp;utm_medium="&amp;W416&amp;"&amp;utm_campaign="&amp;X416&amp;"&amp;utm_content="&amp;Y416)</f>
        <v/>
      </c>
      <c r="AA416" s="29"/>
      <c r="AB416" s="39"/>
      <c r="AC416" s="32"/>
      <c r="AD416" s="32"/>
      <c r="AE416" s="32"/>
      <c r="AF416" s="32"/>
      <c r="AG416" s="32"/>
      <c r="AH416" s="32"/>
      <c r="AI416" s="32"/>
      <c r="AJ416" s="32"/>
      <c r="AK416" s="32"/>
      <c r="AL416" s="32"/>
      <c r="AM416" s="32"/>
      <c r="AN416" s="32"/>
      <c r="AO416" s="33" t="str">
        <f aca="false">IF(A416="","",IF(AD416&lt;&gt;"",AD416,IF(AC416&lt;&gt;"",AC416,"")))</f>
        <v/>
      </c>
      <c r="AP416" s="24" t="str">
        <f aca="false">IF(AO416="","",IF(AD416&lt;&gt;"","Reported reach","Impressions (proxy)"))</f>
        <v/>
      </c>
      <c r="AQ416" s="34" t="str">
        <f aca="false">IF(OR(AO416="",N(S416)=0),"",AO416/S416)</f>
        <v/>
      </c>
      <c r="AR416" s="33" t="str">
        <f aca="false">IF(A416="","",IF(COUNT(AF416:AJ416)=0,"",SUM(AF416:AJ416)))</f>
        <v/>
      </c>
      <c r="AS416" s="34" t="str">
        <f aca="false">IF(OR(AR416="",N(AO416)=0),"",AR416/AO416)</f>
        <v/>
      </c>
      <c r="AT416" s="34" t="str">
        <f aca="false">IF(OR(AR416="",N(AC416)=0),"",AR416/AC416)</f>
        <v/>
      </c>
      <c r="AU416" s="34" t="str">
        <f aca="false">IF(OR(AR416="",N(S416)=0),"",AR416/S416)</f>
        <v/>
      </c>
      <c r="AV416" s="34" t="str">
        <f aca="false">IF(OR(AJ416="",N(AC416)=0),"",AJ416/AC416)</f>
        <v/>
      </c>
      <c r="AW416" s="34" t="str">
        <f aca="false">IF(OR(AH416="",N(AO416)=0),"",AH416/AO416)</f>
        <v/>
      </c>
      <c r="AX416" s="35" t="str">
        <f aca="false">IF(OR(AR416="",N(AO416)=0),"",(N(AF416)*Settings!$B$6+N(AG416)*Settings!$B$7+N(AH416)*Settings!$B$8+N(AI416)*Settings!$B$9+N(AJ416)*Settings!$B$10)/AO416*1000)</f>
        <v/>
      </c>
      <c r="AY416" s="36" t="str">
        <f aca="false">IF(AS416="","",IFERROR(AS416/AVERAGEIFS('Post Tracker'!$AS$5:$AS$1004,'Post Tracker'!$G$5:$G$1004,G416),""))</f>
        <v/>
      </c>
      <c r="AZ416" s="32"/>
      <c r="BA416" s="32"/>
      <c r="BB416" s="32"/>
      <c r="BC416" s="32"/>
      <c r="BD416" s="33" t="str">
        <f aca="false">IF(A416="","",COUNTIFS('Demo Pipeline'!$Q$5:$Q$504,A416))</f>
        <v/>
      </c>
      <c r="BE416" s="33" t="str">
        <f aca="false">IF(A416="","",COUNTIFS('Demo Pipeline'!$Q$5:$Q$504,A416,'Demo Pipeline'!$W$5:$W$504,"Attended"))</f>
        <v/>
      </c>
      <c r="BF416" s="33" t="str">
        <f aca="false">IF(A416="","",COUNTIFS('Demo Pipeline'!$Q$5:$Q$504,A416,'Demo Pipeline'!$X$5:$X$504,"Yes"))</f>
        <v/>
      </c>
      <c r="BG416" s="33" t="str">
        <f aca="false">IF(A416="","",COUNTIFS('Demo Pipeline'!$Q$5:$Q$504,A416,'Demo Pipeline'!$Y$5:$Y$504,"Closed Won"))</f>
        <v/>
      </c>
      <c r="BH416" s="37" t="str">
        <f aca="false">IF(A416="","",SUMIFS('Demo Pipeline'!$Z$5:$Z$504,'Demo Pipeline'!$Q$5:$Q$504,A416))</f>
        <v/>
      </c>
      <c r="BI416" s="34" t="str">
        <f aca="false">IF(OR(AZ416="",N(AJ416)=0),"",AZ416/AJ416)</f>
        <v/>
      </c>
      <c r="BJ416" s="34" t="str">
        <f aca="false">IF(OR(BB416="",N(AZ416)=0),"",BB416/AZ416)</f>
        <v/>
      </c>
      <c r="BK416" s="34" t="str">
        <f aca="false">IF(OR(A416="",N(BB416)=0),"",BD416/BB416)</f>
        <v/>
      </c>
      <c r="BL416" s="34" t="str">
        <f aca="false">IF(OR(A416="",N(AZ416)=0),"",BD416/AZ416)</f>
        <v/>
      </c>
      <c r="BM416" s="37" t="str">
        <f aca="false">IF(OR(N(Q416)=0,N(BD416)=0),"",Q416/BD416)</f>
        <v/>
      </c>
      <c r="BN416" s="29"/>
      <c r="BO416" s="29"/>
      <c r="BP416" s="33" t="str">
        <f aca="false">IF(OR(AR416="",N(AO416)=0),"",AR416)</f>
        <v/>
      </c>
      <c r="BQ416" s="33" t="str">
        <f aca="false">IF(OR(AR416="",N(S416)=0),"",S416)</f>
        <v/>
      </c>
      <c r="BR416" s="38" t="str">
        <f aca="false">IF(AND(ISNUMBER(B416),B416&gt;=Dashboard!$C$4,B416&lt;=Dashboard!$F$4,ISNUMBER(AU416)),AU416+ROW()/10^9,"")</f>
        <v/>
      </c>
      <c r="BS416" s="38" t="str">
        <f aca="false">IF(AND(ISNUMBER(B416),B416&gt;=Dashboard!$C$4,B416&lt;=Dashboard!$F$4,A416&lt;&gt;""),N(BD416)+N(AU416)/100+ROW()/10^9,"")</f>
        <v/>
      </c>
    </row>
    <row r="417" customFormat="false" ht="15" hidden="false" customHeight="false" outlineLevel="0" collapsed="false">
      <c r="A417" s="24" t="str">
        <f aca="false">IF(OR(B417="",G417="",H417=""),"",IFERROR(INDEX(Settings!$E$5:$E$49,MATCH(G417,Settings!$D$5:$D$49,0))&amp;INDEX(Settings!$H$5:$H$47,MATCH(H417,Settings!$G$5:$G$47,0))&amp;"-"&amp;TEXT(B417,"yymmdd")&amp;"-"&amp;IF(C417="","0000",TEXT(C417,"hhmm")),"CHECK LISTS"))</f>
        <v/>
      </c>
      <c r="B417" s="39"/>
      <c r="C417" s="40"/>
      <c r="D417" s="24" t="str">
        <f aca="false">IF(B417="","",TEXT(B417,"ddd"))</f>
        <v/>
      </c>
      <c r="E417" s="27" t="str">
        <f aca="false">IF(B417="","",B417-WEEKDAY(B417,3))</f>
        <v/>
      </c>
      <c r="F417" s="24" t="str">
        <f aca="false">IF(B417="","",TEXT(B417,"yyyy-mm"))</f>
        <v/>
      </c>
      <c r="G417" s="29"/>
      <c r="H417" s="29"/>
      <c r="I417" s="29"/>
      <c r="J417" s="29"/>
      <c r="K417" s="29"/>
      <c r="L417" s="29"/>
      <c r="M417" s="29"/>
      <c r="N417" s="29"/>
      <c r="O417" s="29"/>
      <c r="P417" s="29"/>
      <c r="Q417" s="30"/>
      <c r="R417" s="29"/>
      <c r="S417" s="32"/>
      <c r="T417" s="29"/>
      <c r="U417" s="29"/>
      <c r="V417" s="24" t="str">
        <f aca="false">IF(A417="","",IFERROR(INDEX(Settings!$F$5:$F$49,MATCH(G417,Settings!$D$5:$D$49,0)),""))</f>
        <v/>
      </c>
      <c r="W417" s="24" t="str">
        <f aca="false">IF(A417="","",IF(OR(P417="",P417="Organic"),"social","paid_social"))</f>
        <v/>
      </c>
      <c r="X417" s="24" t="str">
        <f aca="false">IF(A417="","",IF(K417&lt;&gt;"",IFERROR(INDEX('Case Studies'!$C$5:$C$54,MATCH(K417,'Case Studies'!$B$5:$B$54,0))&amp;"","case-study"),IF(J417&lt;&gt;"",IFERROR(INDEX(Settings!$J$5:$J$55,MATCH(J417,Settings!$I$5:$I$55,0)),"general"),"general")))</f>
        <v/>
      </c>
      <c r="Y417" s="24" t="str">
        <f aca="false">IF(A417="","",LOWER(A417))</f>
        <v/>
      </c>
      <c r="Z417" s="24" t="str">
        <f aca="false">IF(A417="","",IF(T417="",Settings!$B$5,T417)&amp;IF(ISNUMBER(FIND("?",IF(T417="",Settings!$B$5,T417))),"&amp;","?")&amp;"utm_source="&amp;V417&amp;"&amp;utm_medium="&amp;W417&amp;"&amp;utm_campaign="&amp;X417&amp;"&amp;utm_content="&amp;Y417)</f>
        <v/>
      </c>
      <c r="AA417" s="29"/>
      <c r="AB417" s="39"/>
      <c r="AC417" s="32"/>
      <c r="AD417" s="32"/>
      <c r="AE417" s="32"/>
      <c r="AF417" s="32"/>
      <c r="AG417" s="32"/>
      <c r="AH417" s="32"/>
      <c r="AI417" s="32"/>
      <c r="AJ417" s="32"/>
      <c r="AK417" s="32"/>
      <c r="AL417" s="32"/>
      <c r="AM417" s="32"/>
      <c r="AN417" s="32"/>
      <c r="AO417" s="33" t="str">
        <f aca="false">IF(A417="","",IF(AD417&lt;&gt;"",AD417,IF(AC417&lt;&gt;"",AC417,"")))</f>
        <v/>
      </c>
      <c r="AP417" s="24" t="str">
        <f aca="false">IF(AO417="","",IF(AD417&lt;&gt;"","Reported reach","Impressions (proxy)"))</f>
        <v/>
      </c>
      <c r="AQ417" s="34" t="str">
        <f aca="false">IF(OR(AO417="",N(S417)=0),"",AO417/S417)</f>
        <v/>
      </c>
      <c r="AR417" s="33" t="str">
        <f aca="false">IF(A417="","",IF(COUNT(AF417:AJ417)=0,"",SUM(AF417:AJ417)))</f>
        <v/>
      </c>
      <c r="AS417" s="34" t="str">
        <f aca="false">IF(OR(AR417="",N(AO417)=0),"",AR417/AO417)</f>
        <v/>
      </c>
      <c r="AT417" s="34" t="str">
        <f aca="false">IF(OR(AR417="",N(AC417)=0),"",AR417/AC417)</f>
        <v/>
      </c>
      <c r="AU417" s="34" t="str">
        <f aca="false">IF(OR(AR417="",N(S417)=0),"",AR417/S417)</f>
        <v/>
      </c>
      <c r="AV417" s="34" t="str">
        <f aca="false">IF(OR(AJ417="",N(AC417)=0),"",AJ417/AC417)</f>
        <v/>
      </c>
      <c r="AW417" s="34" t="str">
        <f aca="false">IF(OR(AH417="",N(AO417)=0),"",AH417/AO417)</f>
        <v/>
      </c>
      <c r="AX417" s="35" t="str">
        <f aca="false">IF(OR(AR417="",N(AO417)=0),"",(N(AF417)*Settings!$B$6+N(AG417)*Settings!$B$7+N(AH417)*Settings!$B$8+N(AI417)*Settings!$B$9+N(AJ417)*Settings!$B$10)/AO417*1000)</f>
        <v/>
      </c>
      <c r="AY417" s="36" t="str">
        <f aca="false">IF(AS417="","",IFERROR(AS417/AVERAGEIFS('Post Tracker'!$AS$5:$AS$1004,'Post Tracker'!$G$5:$G$1004,G417),""))</f>
        <v/>
      </c>
      <c r="AZ417" s="32"/>
      <c r="BA417" s="32"/>
      <c r="BB417" s="32"/>
      <c r="BC417" s="32"/>
      <c r="BD417" s="33" t="str">
        <f aca="false">IF(A417="","",COUNTIFS('Demo Pipeline'!$Q$5:$Q$504,A417))</f>
        <v/>
      </c>
      <c r="BE417" s="33" t="str">
        <f aca="false">IF(A417="","",COUNTIFS('Demo Pipeline'!$Q$5:$Q$504,A417,'Demo Pipeline'!$W$5:$W$504,"Attended"))</f>
        <v/>
      </c>
      <c r="BF417" s="33" t="str">
        <f aca="false">IF(A417="","",COUNTIFS('Demo Pipeline'!$Q$5:$Q$504,A417,'Demo Pipeline'!$X$5:$X$504,"Yes"))</f>
        <v/>
      </c>
      <c r="BG417" s="33" t="str">
        <f aca="false">IF(A417="","",COUNTIFS('Demo Pipeline'!$Q$5:$Q$504,A417,'Demo Pipeline'!$Y$5:$Y$504,"Closed Won"))</f>
        <v/>
      </c>
      <c r="BH417" s="37" t="str">
        <f aca="false">IF(A417="","",SUMIFS('Demo Pipeline'!$Z$5:$Z$504,'Demo Pipeline'!$Q$5:$Q$504,A417))</f>
        <v/>
      </c>
      <c r="BI417" s="34" t="str">
        <f aca="false">IF(OR(AZ417="",N(AJ417)=0),"",AZ417/AJ417)</f>
        <v/>
      </c>
      <c r="BJ417" s="34" t="str">
        <f aca="false">IF(OR(BB417="",N(AZ417)=0),"",BB417/AZ417)</f>
        <v/>
      </c>
      <c r="BK417" s="34" t="str">
        <f aca="false">IF(OR(A417="",N(BB417)=0),"",BD417/BB417)</f>
        <v/>
      </c>
      <c r="BL417" s="34" t="str">
        <f aca="false">IF(OR(A417="",N(AZ417)=0),"",BD417/AZ417)</f>
        <v/>
      </c>
      <c r="BM417" s="37" t="str">
        <f aca="false">IF(OR(N(Q417)=0,N(BD417)=0),"",Q417/BD417)</f>
        <v/>
      </c>
      <c r="BN417" s="29"/>
      <c r="BO417" s="29"/>
      <c r="BP417" s="33" t="str">
        <f aca="false">IF(OR(AR417="",N(AO417)=0),"",AR417)</f>
        <v/>
      </c>
      <c r="BQ417" s="33" t="str">
        <f aca="false">IF(OR(AR417="",N(S417)=0),"",S417)</f>
        <v/>
      </c>
      <c r="BR417" s="38" t="str">
        <f aca="false">IF(AND(ISNUMBER(B417),B417&gt;=Dashboard!$C$4,B417&lt;=Dashboard!$F$4,ISNUMBER(AU417)),AU417+ROW()/10^9,"")</f>
        <v/>
      </c>
      <c r="BS417" s="38" t="str">
        <f aca="false">IF(AND(ISNUMBER(B417),B417&gt;=Dashboard!$C$4,B417&lt;=Dashboard!$F$4,A417&lt;&gt;""),N(BD417)+N(AU417)/100+ROW()/10^9,"")</f>
        <v/>
      </c>
    </row>
    <row r="418" customFormat="false" ht="15" hidden="false" customHeight="false" outlineLevel="0" collapsed="false">
      <c r="A418" s="24" t="str">
        <f aca="false">IF(OR(B418="",G418="",H418=""),"",IFERROR(INDEX(Settings!$E$5:$E$49,MATCH(G418,Settings!$D$5:$D$49,0))&amp;INDEX(Settings!$H$5:$H$47,MATCH(H418,Settings!$G$5:$G$47,0))&amp;"-"&amp;TEXT(B418,"yymmdd")&amp;"-"&amp;IF(C418="","0000",TEXT(C418,"hhmm")),"CHECK LISTS"))</f>
        <v/>
      </c>
      <c r="B418" s="39"/>
      <c r="C418" s="40"/>
      <c r="D418" s="24" t="str">
        <f aca="false">IF(B418="","",TEXT(B418,"ddd"))</f>
        <v/>
      </c>
      <c r="E418" s="27" t="str">
        <f aca="false">IF(B418="","",B418-WEEKDAY(B418,3))</f>
        <v/>
      </c>
      <c r="F418" s="24" t="str">
        <f aca="false">IF(B418="","",TEXT(B418,"yyyy-mm"))</f>
        <v/>
      </c>
      <c r="G418" s="29"/>
      <c r="H418" s="29"/>
      <c r="I418" s="29"/>
      <c r="J418" s="29"/>
      <c r="K418" s="29"/>
      <c r="L418" s="29"/>
      <c r="M418" s="29"/>
      <c r="N418" s="29"/>
      <c r="O418" s="29"/>
      <c r="P418" s="29"/>
      <c r="Q418" s="30"/>
      <c r="R418" s="29"/>
      <c r="S418" s="32"/>
      <c r="T418" s="29"/>
      <c r="U418" s="29"/>
      <c r="V418" s="24" t="str">
        <f aca="false">IF(A418="","",IFERROR(INDEX(Settings!$F$5:$F$49,MATCH(G418,Settings!$D$5:$D$49,0)),""))</f>
        <v/>
      </c>
      <c r="W418" s="24" t="str">
        <f aca="false">IF(A418="","",IF(OR(P418="",P418="Organic"),"social","paid_social"))</f>
        <v/>
      </c>
      <c r="X418" s="24" t="str">
        <f aca="false">IF(A418="","",IF(K418&lt;&gt;"",IFERROR(INDEX('Case Studies'!$C$5:$C$54,MATCH(K418,'Case Studies'!$B$5:$B$54,0))&amp;"","case-study"),IF(J418&lt;&gt;"",IFERROR(INDEX(Settings!$J$5:$J$55,MATCH(J418,Settings!$I$5:$I$55,0)),"general"),"general")))</f>
        <v/>
      </c>
      <c r="Y418" s="24" t="str">
        <f aca="false">IF(A418="","",LOWER(A418))</f>
        <v/>
      </c>
      <c r="Z418" s="24" t="str">
        <f aca="false">IF(A418="","",IF(T418="",Settings!$B$5,T418)&amp;IF(ISNUMBER(FIND("?",IF(T418="",Settings!$B$5,T418))),"&amp;","?")&amp;"utm_source="&amp;V418&amp;"&amp;utm_medium="&amp;W418&amp;"&amp;utm_campaign="&amp;X418&amp;"&amp;utm_content="&amp;Y418)</f>
        <v/>
      </c>
      <c r="AA418" s="29"/>
      <c r="AB418" s="39"/>
      <c r="AC418" s="32"/>
      <c r="AD418" s="32"/>
      <c r="AE418" s="32"/>
      <c r="AF418" s="32"/>
      <c r="AG418" s="32"/>
      <c r="AH418" s="32"/>
      <c r="AI418" s="32"/>
      <c r="AJ418" s="32"/>
      <c r="AK418" s="32"/>
      <c r="AL418" s="32"/>
      <c r="AM418" s="32"/>
      <c r="AN418" s="32"/>
      <c r="AO418" s="33" t="str">
        <f aca="false">IF(A418="","",IF(AD418&lt;&gt;"",AD418,IF(AC418&lt;&gt;"",AC418,"")))</f>
        <v/>
      </c>
      <c r="AP418" s="24" t="str">
        <f aca="false">IF(AO418="","",IF(AD418&lt;&gt;"","Reported reach","Impressions (proxy)"))</f>
        <v/>
      </c>
      <c r="AQ418" s="34" t="str">
        <f aca="false">IF(OR(AO418="",N(S418)=0),"",AO418/S418)</f>
        <v/>
      </c>
      <c r="AR418" s="33" t="str">
        <f aca="false">IF(A418="","",IF(COUNT(AF418:AJ418)=0,"",SUM(AF418:AJ418)))</f>
        <v/>
      </c>
      <c r="AS418" s="34" t="str">
        <f aca="false">IF(OR(AR418="",N(AO418)=0),"",AR418/AO418)</f>
        <v/>
      </c>
      <c r="AT418" s="34" t="str">
        <f aca="false">IF(OR(AR418="",N(AC418)=0),"",AR418/AC418)</f>
        <v/>
      </c>
      <c r="AU418" s="34" t="str">
        <f aca="false">IF(OR(AR418="",N(S418)=0),"",AR418/S418)</f>
        <v/>
      </c>
      <c r="AV418" s="34" t="str">
        <f aca="false">IF(OR(AJ418="",N(AC418)=0),"",AJ418/AC418)</f>
        <v/>
      </c>
      <c r="AW418" s="34" t="str">
        <f aca="false">IF(OR(AH418="",N(AO418)=0),"",AH418/AO418)</f>
        <v/>
      </c>
      <c r="AX418" s="35" t="str">
        <f aca="false">IF(OR(AR418="",N(AO418)=0),"",(N(AF418)*Settings!$B$6+N(AG418)*Settings!$B$7+N(AH418)*Settings!$B$8+N(AI418)*Settings!$B$9+N(AJ418)*Settings!$B$10)/AO418*1000)</f>
        <v/>
      </c>
      <c r="AY418" s="36" t="str">
        <f aca="false">IF(AS418="","",IFERROR(AS418/AVERAGEIFS('Post Tracker'!$AS$5:$AS$1004,'Post Tracker'!$G$5:$G$1004,G418),""))</f>
        <v/>
      </c>
      <c r="AZ418" s="32"/>
      <c r="BA418" s="32"/>
      <c r="BB418" s="32"/>
      <c r="BC418" s="32"/>
      <c r="BD418" s="33" t="str">
        <f aca="false">IF(A418="","",COUNTIFS('Demo Pipeline'!$Q$5:$Q$504,A418))</f>
        <v/>
      </c>
      <c r="BE418" s="33" t="str">
        <f aca="false">IF(A418="","",COUNTIFS('Demo Pipeline'!$Q$5:$Q$504,A418,'Demo Pipeline'!$W$5:$W$504,"Attended"))</f>
        <v/>
      </c>
      <c r="BF418" s="33" t="str">
        <f aca="false">IF(A418="","",COUNTIFS('Demo Pipeline'!$Q$5:$Q$504,A418,'Demo Pipeline'!$X$5:$X$504,"Yes"))</f>
        <v/>
      </c>
      <c r="BG418" s="33" t="str">
        <f aca="false">IF(A418="","",COUNTIFS('Demo Pipeline'!$Q$5:$Q$504,A418,'Demo Pipeline'!$Y$5:$Y$504,"Closed Won"))</f>
        <v/>
      </c>
      <c r="BH418" s="37" t="str">
        <f aca="false">IF(A418="","",SUMIFS('Demo Pipeline'!$Z$5:$Z$504,'Demo Pipeline'!$Q$5:$Q$504,A418))</f>
        <v/>
      </c>
      <c r="BI418" s="34" t="str">
        <f aca="false">IF(OR(AZ418="",N(AJ418)=0),"",AZ418/AJ418)</f>
        <v/>
      </c>
      <c r="BJ418" s="34" t="str">
        <f aca="false">IF(OR(BB418="",N(AZ418)=0),"",BB418/AZ418)</f>
        <v/>
      </c>
      <c r="BK418" s="34" t="str">
        <f aca="false">IF(OR(A418="",N(BB418)=0),"",BD418/BB418)</f>
        <v/>
      </c>
      <c r="BL418" s="34" t="str">
        <f aca="false">IF(OR(A418="",N(AZ418)=0),"",BD418/AZ418)</f>
        <v/>
      </c>
      <c r="BM418" s="37" t="str">
        <f aca="false">IF(OR(N(Q418)=0,N(BD418)=0),"",Q418/BD418)</f>
        <v/>
      </c>
      <c r="BN418" s="29"/>
      <c r="BO418" s="29"/>
      <c r="BP418" s="33" t="str">
        <f aca="false">IF(OR(AR418="",N(AO418)=0),"",AR418)</f>
        <v/>
      </c>
      <c r="BQ418" s="33" t="str">
        <f aca="false">IF(OR(AR418="",N(S418)=0),"",S418)</f>
        <v/>
      </c>
      <c r="BR418" s="38" t="str">
        <f aca="false">IF(AND(ISNUMBER(B418),B418&gt;=Dashboard!$C$4,B418&lt;=Dashboard!$F$4,ISNUMBER(AU418)),AU418+ROW()/10^9,"")</f>
        <v/>
      </c>
      <c r="BS418" s="38" t="str">
        <f aca="false">IF(AND(ISNUMBER(B418),B418&gt;=Dashboard!$C$4,B418&lt;=Dashboard!$F$4,A418&lt;&gt;""),N(BD418)+N(AU418)/100+ROW()/10^9,"")</f>
        <v/>
      </c>
    </row>
    <row r="419" customFormat="false" ht="15" hidden="false" customHeight="false" outlineLevel="0" collapsed="false">
      <c r="A419" s="24" t="str">
        <f aca="false">IF(OR(B419="",G419="",H419=""),"",IFERROR(INDEX(Settings!$E$5:$E$49,MATCH(G419,Settings!$D$5:$D$49,0))&amp;INDEX(Settings!$H$5:$H$47,MATCH(H419,Settings!$G$5:$G$47,0))&amp;"-"&amp;TEXT(B419,"yymmdd")&amp;"-"&amp;IF(C419="","0000",TEXT(C419,"hhmm")),"CHECK LISTS"))</f>
        <v/>
      </c>
      <c r="B419" s="39"/>
      <c r="C419" s="40"/>
      <c r="D419" s="24" t="str">
        <f aca="false">IF(B419="","",TEXT(B419,"ddd"))</f>
        <v/>
      </c>
      <c r="E419" s="27" t="str">
        <f aca="false">IF(B419="","",B419-WEEKDAY(B419,3))</f>
        <v/>
      </c>
      <c r="F419" s="24" t="str">
        <f aca="false">IF(B419="","",TEXT(B419,"yyyy-mm"))</f>
        <v/>
      </c>
      <c r="G419" s="29"/>
      <c r="H419" s="29"/>
      <c r="I419" s="29"/>
      <c r="J419" s="29"/>
      <c r="K419" s="29"/>
      <c r="L419" s="29"/>
      <c r="M419" s="29"/>
      <c r="N419" s="29"/>
      <c r="O419" s="29"/>
      <c r="P419" s="29"/>
      <c r="Q419" s="30"/>
      <c r="R419" s="29"/>
      <c r="S419" s="32"/>
      <c r="T419" s="29"/>
      <c r="U419" s="29"/>
      <c r="V419" s="24" t="str">
        <f aca="false">IF(A419="","",IFERROR(INDEX(Settings!$F$5:$F$49,MATCH(G419,Settings!$D$5:$D$49,0)),""))</f>
        <v/>
      </c>
      <c r="W419" s="24" t="str">
        <f aca="false">IF(A419="","",IF(OR(P419="",P419="Organic"),"social","paid_social"))</f>
        <v/>
      </c>
      <c r="X419" s="24" t="str">
        <f aca="false">IF(A419="","",IF(K419&lt;&gt;"",IFERROR(INDEX('Case Studies'!$C$5:$C$54,MATCH(K419,'Case Studies'!$B$5:$B$54,0))&amp;"","case-study"),IF(J419&lt;&gt;"",IFERROR(INDEX(Settings!$J$5:$J$55,MATCH(J419,Settings!$I$5:$I$55,0)),"general"),"general")))</f>
        <v/>
      </c>
      <c r="Y419" s="24" t="str">
        <f aca="false">IF(A419="","",LOWER(A419))</f>
        <v/>
      </c>
      <c r="Z419" s="24" t="str">
        <f aca="false">IF(A419="","",IF(T419="",Settings!$B$5,T419)&amp;IF(ISNUMBER(FIND("?",IF(T419="",Settings!$B$5,T419))),"&amp;","?")&amp;"utm_source="&amp;V419&amp;"&amp;utm_medium="&amp;W419&amp;"&amp;utm_campaign="&amp;X419&amp;"&amp;utm_content="&amp;Y419)</f>
        <v/>
      </c>
      <c r="AA419" s="29"/>
      <c r="AB419" s="39"/>
      <c r="AC419" s="32"/>
      <c r="AD419" s="32"/>
      <c r="AE419" s="32"/>
      <c r="AF419" s="32"/>
      <c r="AG419" s="32"/>
      <c r="AH419" s="32"/>
      <c r="AI419" s="32"/>
      <c r="AJ419" s="32"/>
      <c r="AK419" s="32"/>
      <c r="AL419" s="32"/>
      <c r="AM419" s="32"/>
      <c r="AN419" s="32"/>
      <c r="AO419" s="33" t="str">
        <f aca="false">IF(A419="","",IF(AD419&lt;&gt;"",AD419,IF(AC419&lt;&gt;"",AC419,"")))</f>
        <v/>
      </c>
      <c r="AP419" s="24" t="str">
        <f aca="false">IF(AO419="","",IF(AD419&lt;&gt;"","Reported reach","Impressions (proxy)"))</f>
        <v/>
      </c>
      <c r="AQ419" s="34" t="str">
        <f aca="false">IF(OR(AO419="",N(S419)=0),"",AO419/S419)</f>
        <v/>
      </c>
      <c r="AR419" s="33" t="str">
        <f aca="false">IF(A419="","",IF(COUNT(AF419:AJ419)=0,"",SUM(AF419:AJ419)))</f>
        <v/>
      </c>
      <c r="AS419" s="34" t="str">
        <f aca="false">IF(OR(AR419="",N(AO419)=0),"",AR419/AO419)</f>
        <v/>
      </c>
      <c r="AT419" s="34" t="str">
        <f aca="false">IF(OR(AR419="",N(AC419)=0),"",AR419/AC419)</f>
        <v/>
      </c>
      <c r="AU419" s="34" t="str">
        <f aca="false">IF(OR(AR419="",N(S419)=0),"",AR419/S419)</f>
        <v/>
      </c>
      <c r="AV419" s="34" t="str">
        <f aca="false">IF(OR(AJ419="",N(AC419)=0),"",AJ419/AC419)</f>
        <v/>
      </c>
      <c r="AW419" s="34" t="str">
        <f aca="false">IF(OR(AH419="",N(AO419)=0),"",AH419/AO419)</f>
        <v/>
      </c>
      <c r="AX419" s="35" t="str">
        <f aca="false">IF(OR(AR419="",N(AO419)=0),"",(N(AF419)*Settings!$B$6+N(AG419)*Settings!$B$7+N(AH419)*Settings!$B$8+N(AI419)*Settings!$B$9+N(AJ419)*Settings!$B$10)/AO419*1000)</f>
        <v/>
      </c>
      <c r="AY419" s="36" t="str">
        <f aca="false">IF(AS419="","",IFERROR(AS419/AVERAGEIFS('Post Tracker'!$AS$5:$AS$1004,'Post Tracker'!$G$5:$G$1004,G419),""))</f>
        <v/>
      </c>
      <c r="AZ419" s="32"/>
      <c r="BA419" s="32"/>
      <c r="BB419" s="32"/>
      <c r="BC419" s="32"/>
      <c r="BD419" s="33" t="str">
        <f aca="false">IF(A419="","",COUNTIFS('Demo Pipeline'!$Q$5:$Q$504,A419))</f>
        <v/>
      </c>
      <c r="BE419" s="33" t="str">
        <f aca="false">IF(A419="","",COUNTIFS('Demo Pipeline'!$Q$5:$Q$504,A419,'Demo Pipeline'!$W$5:$W$504,"Attended"))</f>
        <v/>
      </c>
      <c r="BF419" s="33" t="str">
        <f aca="false">IF(A419="","",COUNTIFS('Demo Pipeline'!$Q$5:$Q$504,A419,'Demo Pipeline'!$X$5:$X$504,"Yes"))</f>
        <v/>
      </c>
      <c r="BG419" s="33" t="str">
        <f aca="false">IF(A419="","",COUNTIFS('Demo Pipeline'!$Q$5:$Q$504,A419,'Demo Pipeline'!$Y$5:$Y$504,"Closed Won"))</f>
        <v/>
      </c>
      <c r="BH419" s="37" t="str">
        <f aca="false">IF(A419="","",SUMIFS('Demo Pipeline'!$Z$5:$Z$504,'Demo Pipeline'!$Q$5:$Q$504,A419))</f>
        <v/>
      </c>
      <c r="BI419" s="34" t="str">
        <f aca="false">IF(OR(AZ419="",N(AJ419)=0),"",AZ419/AJ419)</f>
        <v/>
      </c>
      <c r="BJ419" s="34" t="str">
        <f aca="false">IF(OR(BB419="",N(AZ419)=0),"",BB419/AZ419)</f>
        <v/>
      </c>
      <c r="BK419" s="34" t="str">
        <f aca="false">IF(OR(A419="",N(BB419)=0),"",BD419/BB419)</f>
        <v/>
      </c>
      <c r="BL419" s="34" t="str">
        <f aca="false">IF(OR(A419="",N(AZ419)=0),"",BD419/AZ419)</f>
        <v/>
      </c>
      <c r="BM419" s="37" t="str">
        <f aca="false">IF(OR(N(Q419)=0,N(BD419)=0),"",Q419/BD419)</f>
        <v/>
      </c>
      <c r="BN419" s="29"/>
      <c r="BO419" s="29"/>
      <c r="BP419" s="33" t="str">
        <f aca="false">IF(OR(AR419="",N(AO419)=0),"",AR419)</f>
        <v/>
      </c>
      <c r="BQ419" s="33" t="str">
        <f aca="false">IF(OR(AR419="",N(S419)=0),"",S419)</f>
        <v/>
      </c>
      <c r="BR419" s="38" t="str">
        <f aca="false">IF(AND(ISNUMBER(B419),B419&gt;=Dashboard!$C$4,B419&lt;=Dashboard!$F$4,ISNUMBER(AU419)),AU419+ROW()/10^9,"")</f>
        <v/>
      </c>
      <c r="BS419" s="38" t="str">
        <f aca="false">IF(AND(ISNUMBER(B419),B419&gt;=Dashboard!$C$4,B419&lt;=Dashboard!$F$4,A419&lt;&gt;""),N(BD419)+N(AU419)/100+ROW()/10^9,"")</f>
        <v/>
      </c>
    </row>
    <row r="420" customFormat="false" ht="15" hidden="false" customHeight="false" outlineLevel="0" collapsed="false">
      <c r="A420" s="24" t="str">
        <f aca="false">IF(OR(B420="",G420="",H420=""),"",IFERROR(INDEX(Settings!$E$5:$E$49,MATCH(G420,Settings!$D$5:$D$49,0))&amp;INDEX(Settings!$H$5:$H$47,MATCH(H420,Settings!$G$5:$G$47,0))&amp;"-"&amp;TEXT(B420,"yymmdd")&amp;"-"&amp;IF(C420="","0000",TEXT(C420,"hhmm")),"CHECK LISTS"))</f>
        <v/>
      </c>
      <c r="B420" s="39"/>
      <c r="C420" s="40"/>
      <c r="D420" s="24" t="str">
        <f aca="false">IF(B420="","",TEXT(B420,"ddd"))</f>
        <v/>
      </c>
      <c r="E420" s="27" t="str">
        <f aca="false">IF(B420="","",B420-WEEKDAY(B420,3))</f>
        <v/>
      </c>
      <c r="F420" s="24" t="str">
        <f aca="false">IF(B420="","",TEXT(B420,"yyyy-mm"))</f>
        <v/>
      </c>
      <c r="G420" s="29"/>
      <c r="H420" s="29"/>
      <c r="I420" s="29"/>
      <c r="J420" s="29"/>
      <c r="K420" s="29"/>
      <c r="L420" s="29"/>
      <c r="M420" s="29"/>
      <c r="N420" s="29"/>
      <c r="O420" s="29"/>
      <c r="P420" s="29"/>
      <c r="Q420" s="30"/>
      <c r="R420" s="29"/>
      <c r="S420" s="32"/>
      <c r="T420" s="29"/>
      <c r="U420" s="29"/>
      <c r="V420" s="24" t="str">
        <f aca="false">IF(A420="","",IFERROR(INDEX(Settings!$F$5:$F$49,MATCH(G420,Settings!$D$5:$D$49,0)),""))</f>
        <v/>
      </c>
      <c r="W420" s="24" t="str">
        <f aca="false">IF(A420="","",IF(OR(P420="",P420="Organic"),"social","paid_social"))</f>
        <v/>
      </c>
      <c r="X420" s="24" t="str">
        <f aca="false">IF(A420="","",IF(K420&lt;&gt;"",IFERROR(INDEX('Case Studies'!$C$5:$C$54,MATCH(K420,'Case Studies'!$B$5:$B$54,0))&amp;"","case-study"),IF(J420&lt;&gt;"",IFERROR(INDEX(Settings!$J$5:$J$55,MATCH(J420,Settings!$I$5:$I$55,0)),"general"),"general")))</f>
        <v/>
      </c>
      <c r="Y420" s="24" t="str">
        <f aca="false">IF(A420="","",LOWER(A420))</f>
        <v/>
      </c>
      <c r="Z420" s="24" t="str">
        <f aca="false">IF(A420="","",IF(T420="",Settings!$B$5,T420)&amp;IF(ISNUMBER(FIND("?",IF(T420="",Settings!$B$5,T420))),"&amp;","?")&amp;"utm_source="&amp;V420&amp;"&amp;utm_medium="&amp;W420&amp;"&amp;utm_campaign="&amp;X420&amp;"&amp;utm_content="&amp;Y420)</f>
        <v/>
      </c>
      <c r="AA420" s="29"/>
      <c r="AB420" s="39"/>
      <c r="AC420" s="32"/>
      <c r="AD420" s="32"/>
      <c r="AE420" s="32"/>
      <c r="AF420" s="32"/>
      <c r="AG420" s="32"/>
      <c r="AH420" s="32"/>
      <c r="AI420" s="32"/>
      <c r="AJ420" s="32"/>
      <c r="AK420" s="32"/>
      <c r="AL420" s="32"/>
      <c r="AM420" s="32"/>
      <c r="AN420" s="32"/>
      <c r="AO420" s="33" t="str">
        <f aca="false">IF(A420="","",IF(AD420&lt;&gt;"",AD420,IF(AC420&lt;&gt;"",AC420,"")))</f>
        <v/>
      </c>
      <c r="AP420" s="24" t="str">
        <f aca="false">IF(AO420="","",IF(AD420&lt;&gt;"","Reported reach","Impressions (proxy)"))</f>
        <v/>
      </c>
      <c r="AQ420" s="34" t="str">
        <f aca="false">IF(OR(AO420="",N(S420)=0),"",AO420/S420)</f>
        <v/>
      </c>
      <c r="AR420" s="33" t="str">
        <f aca="false">IF(A420="","",IF(COUNT(AF420:AJ420)=0,"",SUM(AF420:AJ420)))</f>
        <v/>
      </c>
      <c r="AS420" s="34" t="str">
        <f aca="false">IF(OR(AR420="",N(AO420)=0),"",AR420/AO420)</f>
        <v/>
      </c>
      <c r="AT420" s="34" t="str">
        <f aca="false">IF(OR(AR420="",N(AC420)=0),"",AR420/AC420)</f>
        <v/>
      </c>
      <c r="AU420" s="34" t="str">
        <f aca="false">IF(OR(AR420="",N(S420)=0),"",AR420/S420)</f>
        <v/>
      </c>
      <c r="AV420" s="34" t="str">
        <f aca="false">IF(OR(AJ420="",N(AC420)=0),"",AJ420/AC420)</f>
        <v/>
      </c>
      <c r="AW420" s="34" t="str">
        <f aca="false">IF(OR(AH420="",N(AO420)=0),"",AH420/AO420)</f>
        <v/>
      </c>
      <c r="AX420" s="35" t="str">
        <f aca="false">IF(OR(AR420="",N(AO420)=0),"",(N(AF420)*Settings!$B$6+N(AG420)*Settings!$B$7+N(AH420)*Settings!$B$8+N(AI420)*Settings!$B$9+N(AJ420)*Settings!$B$10)/AO420*1000)</f>
        <v/>
      </c>
      <c r="AY420" s="36" t="str">
        <f aca="false">IF(AS420="","",IFERROR(AS420/AVERAGEIFS('Post Tracker'!$AS$5:$AS$1004,'Post Tracker'!$G$5:$G$1004,G420),""))</f>
        <v/>
      </c>
      <c r="AZ420" s="32"/>
      <c r="BA420" s="32"/>
      <c r="BB420" s="32"/>
      <c r="BC420" s="32"/>
      <c r="BD420" s="33" t="str">
        <f aca="false">IF(A420="","",COUNTIFS('Demo Pipeline'!$Q$5:$Q$504,A420))</f>
        <v/>
      </c>
      <c r="BE420" s="33" t="str">
        <f aca="false">IF(A420="","",COUNTIFS('Demo Pipeline'!$Q$5:$Q$504,A420,'Demo Pipeline'!$W$5:$W$504,"Attended"))</f>
        <v/>
      </c>
      <c r="BF420" s="33" t="str">
        <f aca="false">IF(A420="","",COUNTIFS('Demo Pipeline'!$Q$5:$Q$504,A420,'Demo Pipeline'!$X$5:$X$504,"Yes"))</f>
        <v/>
      </c>
      <c r="BG420" s="33" t="str">
        <f aca="false">IF(A420="","",COUNTIFS('Demo Pipeline'!$Q$5:$Q$504,A420,'Demo Pipeline'!$Y$5:$Y$504,"Closed Won"))</f>
        <v/>
      </c>
      <c r="BH420" s="37" t="str">
        <f aca="false">IF(A420="","",SUMIFS('Demo Pipeline'!$Z$5:$Z$504,'Demo Pipeline'!$Q$5:$Q$504,A420))</f>
        <v/>
      </c>
      <c r="BI420" s="34" t="str">
        <f aca="false">IF(OR(AZ420="",N(AJ420)=0),"",AZ420/AJ420)</f>
        <v/>
      </c>
      <c r="BJ420" s="34" t="str">
        <f aca="false">IF(OR(BB420="",N(AZ420)=0),"",BB420/AZ420)</f>
        <v/>
      </c>
      <c r="BK420" s="34" t="str">
        <f aca="false">IF(OR(A420="",N(BB420)=0),"",BD420/BB420)</f>
        <v/>
      </c>
      <c r="BL420" s="34" t="str">
        <f aca="false">IF(OR(A420="",N(AZ420)=0),"",BD420/AZ420)</f>
        <v/>
      </c>
      <c r="BM420" s="37" t="str">
        <f aca="false">IF(OR(N(Q420)=0,N(BD420)=0),"",Q420/BD420)</f>
        <v/>
      </c>
      <c r="BN420" s="29"/>
      <c r="BO420" s="29"/>
      <c r="BP420" s="33" t="str">
        <f aca="false">IF(OR(AR420="",N(AO420)=0),"",AR420)</f>
        <v/>
      </c>
      <c r="BQ420" s="33" t="str">
        <f aca="false">IF(OR(AR420="",N(S420)=0),"",S420)</f>
        <v/>
      </c>
      <c r="BR420" s="38" t="str">
        <f aca="false">IF(AND(ISNUMBER(B420),B420&gt;=Dashboard!$C$4,B420&lt;=Dashboard!$F$4,ISNUMBER(AU420)),AU420+ROW()/10^9,"")</f>
        <v/>
      </c>
      <c r="BS420" s="38" t="str">
        <f aca="false">IF(AND(ISNUMBER(B420),B420&gt;=Dashboard!$C$4,B420&lt;=Dashboard!$F$4,A420&lt;&gt;""),N(BD420)+N(AU420)/100+ROW()/10^9,"")</f>
        <v/>
      </c>
    </row>
    <row r="421" customFormat="false" ht="15" hidden="false" customHeight="false" outlineLevel="0" collapsed="false">
      <c r="A421" s="24" t="str">
        <f aca="false">IF(OR(B421="",G421="",H421=""),"",IFERROR(INDEX(Settings!$E$5:$E$49,MATCH(G421,Settings!$D$5:$D$49,0))&amp;INDEX(Settings!$H$5:$H$47,MATCH(H421,Settings!$G$5:$G$47,0))&amp;"-"&amp;TEXT(B421,"yymmdd")&amp;"-"&amp;IF(C421="","0000",TEXT(C421,"hhmm")),"CHECK LISTS"))</f>
        <v/>
      </c>
      <c r="B421" s="39"/>
      <c r="C421" s="40"/>
      <c r="D421" s="24" t="str">
        <f aca="false">IF(B421="","",TEXT(B421,"ddd"))</f>
        <v/>
      </c>
      <c r="E421" s="27" t="str">
        <f aca="false">IF(B421="","",B421-WEEKDAY(B421,3))</f>
        <v/>
      </c>
      <c r="F421" s="24" t="str">
        <f aca="false">IF(B421="","",TEXT(B421,"yyyy-mm"))</f>
        <v/>
      </c>
      <c r="G421" s="29"/>
      <c r="H421" s="29"/>
      <c r="I421" s="29"/>
      <c r="J421" s="29"/>
      <c r="K421" s="29"/>
      <c r="L421" s="29"/>
      <c r="M421" s="29"/>
      <c r="N421" s="29"/>
      <c r="O421" s="29"/>
      <c r="P421" s="29"/>
      <c r="Q421" s="30"/>
      <c r="R421" s="29"/>
      <c r="S421" s="32"/>
      <c r="T421" s="29"/>
      <c r="U421" s="29"/>
      <c r="V421" s="24" t="str">
        <f aca="false">IF(A421="","",IFERROR(INDEX(Settings!$F$5:$F$49,MATCH(G421,Settings!$D$5:$D$49,0)),""))</f>
        <v/>
      </c>
      <c r="W421" s="24" t="str">
        <f aca="false">IF(A421="","",IF(OR(P421="",P421="Organic"),"social","paid_social"))</f>
        <v/>
      </c>
      <c r="X421" s="24" t="str">
        <f aca="false">IF(A421="","",IF(K421&lt;&gt;"",IFERROR(INDEX('Case Studies'!$C$5:$C$54,MATCH(K421,'Case Studies'!$B$5:$B$54,0))&amp;"","case-study"),IF(J421&lt;&gt;"",IFERROR(INDEX(Settings!$J$5:$J$55,MATCH(J421,Settings!$I$5:$I$55,0)),"general"),"general")))</f>
        <v/>
      </c>
      <c r="Y421" s="24" t="str">
        <f aca="false">IF(A421="","",LOWER(A421))</f>
        <v/>
      </c>
      <c r="Z421" s="24" t="str">
        <f aca="false">IF(A421="","",IF(T421="",Settings!$B$5,T421)&amp;IF(ISNUMBER(FIND("?",IF(T421="",Settings!$B$5,T421))),"&amp;","?")&amp;"utm_source="&amp;V421&amp;"&amp;utm_medium="&amp;W421&amp;"&amp;utm_campaign="&amp;X421&amp;"&amp;utm_content="&amp;Y421)</f>
        <v/>
      </c>
      <c r="AA421" s="29"/>
      <c r="AB421" s="39"/>
      <c r="AC421" s="32"/>
      <c r="AD421" s="32"/>
      <c r="AE421" s="32"/>
      <c r="AF421" s="32"/>
      <c r="AG421" s="32"/>
      <c r="AH421" s="32"/>
      <c r="AI421" s="32"/>
      <c r="AJ421" s="32"/>
      <c r="AK421" s="32"/>
      <c r="AL421" s="32"/>
      <c r="AM421" s="32"/>
      <c r="AN421" s="32"/>
      <c r="AO421" s="33" t="str">
        <f aca="false">IF(A421="","",IF(AD421&lt;&gt;"",AD421,IF(AC421&lt;&gt;"",AC421,"")))</f>
        <v/>
      </c>
      <c r="AP421" s="24" t="str">
        <f aca="false">IF(AO421="","",IF(AD421&lt;&gt;"","Reported reach","Impressions (proxy)"))</f>
        <v/>
      </c>
      <c r="AQ421" s="34" t="str">
        <f aca="false">IF(OR(AO421="",N(S421)=0),"",AO421/S421)</f>
        <v/>
      </c>
      <c r="AR421" s="33" t="str">
        <f aca="false">IF(A421="","",IF(COUNT(AF421:AJ421)=0,"",SUM(AF421:AJ421)))</f>
        <v/>
      </c>
      <c r="AS421" s="34" t="str">
        <f aca="false">IF(OR(AR421="",N(AO421)=0),"",AR421/AO421)</f>
        <v/>
      </c>
      <c r="AT421" s="34" t="str">
        <f aca="false">IF(OR(AR421="",N(AC421)=0),"",AR421/AC421)</f>
        <v/>
      </c>
      <c r="AU421" s="34" t="str">
        <f aca="false">IF(OR(AR421="",N(S421)=0),"",AR421/S421)</f>
        <v/>
      </c>
      <c r="AV421" s="34" t="str">
        <f aca="false">IF(OR(AJ421="",N(AC421)=0),"",AJ421/AC421)</f>
        <v/>
      </c>
      <c r="AW421" s="34" t="str">
        <f aca="false">IF(OR(AH421="",N(AO421)=0),"",AH421/AO421)</f>
        <v/>
      </c>
      <c r="AX421" s="35" t="str">
        <f aca="false">IF(OR(AR421="",N(AO421)=0),"",(N(AF421)*Settings!$B$6+N(AG421)*Settings!$B$7+N(AH421)*Settings!$B$8+N(AI421)*Settings!$B$9+N(AJ421)*Settings!$B$10)/AO421*1000)</f>
        <v/>
      </c>
      <c r="AY421" s="36" t="str">
        <f aca="false">IF(AS421="","",IFERROR(AS421/AVERAGEIFS('Post Tracker'!$AS$5:$AS$1004,'Post Tracker'!$G$5:$G$1004,G421),""))</f>
        <v/>
      </c>
      <c r="AZ421" s="32"/>
      <c r="BA421" s="32"/>
      <c r="BB421" s="32"/>
      <c r="BC421" s="32"/>
      <c r="BD421" s="33" t="str">
        <f aca="false">IF(A421="","",COUNTIFS('Demo Pipeline'!$Q$5:$Q$504,A421))</f>
        <v/>
      </c>
      <c r="BE421" s="33" t="str">
        <f aca="false">IF(A421="","",COUNTIFS('Demo Pipeline'!$Q$5:$Q$504,A421,'Demo Pipeline'!$W$5:$W$504,"Attended"))</f>
        <v/>
      </c>
      <c r="BF421" s="33" t="str">
        <f aca="false">IF(A421="","",COUNTIFS('Demo Pipeline'!$Q$5:$Q$504,A421,'Demo Pipeline'!$X$5:$X$504,"Yes"))</f>
        <v/>
      </c>
      <c r="BG421" s="33" t="str">
        <f aca="false">IF(A421="","",COUNTIFS('Demo Pipeline'!$Q$5:$Q$504,A421,'Demo Pipeline'!$Y$5:$Y$504,"Closed Won"))</f>
        <v/>
      </c>
      <c r="BH421" s="37" t="str">
        <f aca="false">IF(A421="","",SUMIFS('Demo Pipeline'!$Z$5:$Z$504,'Demo Pipeline'!$Q$5:$Q$504,A421))</f>
        <v/>
      </c>
      <c r="BI421" s="34" t="str">
        <f aca="false">IF(OR(AZ421="",N(AJ421)=0),"",AZ421/AJ421)</f>
        <v/>
      </c>
      <c r="BJ421" s="34" t="str">
        <f aca="false">IF(OR(BB421="",N(AZ421)=0),"",BB421/AZ421)</f>
        <v/>
      </c>
      <c r="BK421" s="34" t="str">
        <f aca="false">IF(OR(A421="",N(BB421)=0),"",BD421/BB421)</f>
        <v/>
      </c>
      <c r="BL421" s="34" t="str">
        <f aca="false">IF(OR(A421="",N(AZ421)=0),"",BD421/AZ421)</f>
        <v/>
      </c>
      <c r="BM421" s="37" t="str">
        <f aca="false">IF(OR(N(Q421)=0,N(BD421)=0),"",Q421/BD421)</f>
        <v/>
      </c>
      <c r="BN421" s="29"/>
      <c r="BO421" s="29"/>
      <c r="BP421" s="33" t="str">
        <f aca="false">IF(OR(AR421="",N(AO421)=0),"",AR421)</f>
        <v/>
      </c>
      <c r="BQ421" s="33" t="str">
        <f aca="false">IF(OR(AR421="",N(S421)=0),"",S421)</f>
        <v/>
      </c>
      <c r="BR421" s="38" t="str">
        <f aca="false">IF(AND(ISNUMBER(B421),B421&gt;=Dashboard!$C$4,B421&lt;=Dashboard!$F$4,ISNUMBER(AU421)),AU421+ROW()/10^9,"")</f>
        <v/>
      </c>
      <c r="BS421" s="38" t="str">
        <f aca="false">IF(AND(ISNUMBER(B421),B421&gt;=Dashboard!$C$4,B421&lt;=Dashboard!$F$4,A421&lt;&gt;""),N(BD421)+N(AU421)/100+ROW()/10^9,"")</f>
        <v/>
      </c>
    </row>
    <row r="422" customFormat="false" ht="15" hidden="false" customHeight="false" outlineLevel="0" collapsed="false">
      <c r="A422" s="24" t="str">
        <f aca="false">IF(OR(B422="",G422="",H422=""),"",IFERROR(INDEX(Settings!$E$5:$E$49,MATCH(G422,Settings!$D$5:$D$49,0))&amp;INDEX(Settings!$H$5:$H$47,MATCH(H422,Settings!$G$5:$G$47,0))&amp;"-"&amp;TEXT(B422,"yymmdd")&amp;"-"&amp;IF(C422="","0000",TEXT(C422,"hhmm")),"CHECK LISTS"))</f>
        <v/>
      </c>
      <c r="B422" s="39"/>
      <c r="C422" s="40"/>
      <c r="D422" s="24" t="str">
        <f aca="false">IF(B422="","",TEXT(B422,"ddd"))</f>
        <v/>
      </c>
      <c r="E422" s="27" t="str">
        <f aca="false">IF(B422="","",B422-WEEKDAY(B422,3))</f>
        <v/>
      </c>
      <c r="F422" s="24" t="str">
        <f aca="false">IF(B422="","",TEXT(B422,"yyyy-mm"))</f>
        <v/>
      </c>
      <c r="G422" s="29"/>
      <c r="H422" s="29"/>
      <c r="I422" s="29"/>
      <c r="J422" s="29"/>
      <c r="K422" s="29"/>
      <c r="L422" s="29"/>
      <c r="M422" s="29"/>
      <c r="N422" s="29"/>
      <c r="O422" s="29"/>
      <c r="P422" s="29"/>
      <c r="Q422" s="30"/>
      <c r="R422" s="29"/>
      <c r="S422" s="32"/>
      <c r="T422" s="29"/>
      <c r="U422" s="29"/>
      <c r="V422" s="24" t="str">
        <f aca="false">IF(A422="","",IFERROR(INDEX(Settings!$F$5:$F$49,MATCH(G422,Settings!$D$5:$D$49,0)),""))</f>
        <v/>
      </c>
      <c r="W422" s="24" t="str">
        <f aca="false">IF(A422="","",IF(OR(P422="",P422="Organic"),"social","paid_social"))</f>
        <v/>
      </c>
      <c r="X422" s="24" t="str">
        <f aca="false">IF(A422="","",IF(K422&lt;&gt;"",IFERROR(INDEX('Case Studies'!$C$5:$C$54,MATCH(K422,'Case Studies'!$B$5:$B$54,0))&amp;"","case-study"),IF(J422&lt;&gt;"",IFERROR(INDEX(Settings!$J$5:$J$55,MATCH(J422,Settings!$I$5:$I$55,0)),"general"),"general")))</f>
        <v/>
      </c>
      <c r="Y422" s="24" t="str">
        <f aca="false">IF(A422="","",LOWER(A422))</f>
        <v/>
      </c>
      <c r="Z422" s="24" t="str">
        <f aca="false">IF(A422="","",IF(T422="",Settings!$B$5,T422)&amp;IF(ISNUMBER(FIND("?",IF(T422="",Settings!$B$5,T422))),"&amp;","?")&amp;"utm_source="&amp;V422&amp;"&amp;utm_medium="&amp;W422&amp;"&amp;utm_campaign="&amp;X422&amp;"&amp;utm_content="&amp;Y422)</f>
        <v/>
      </c>
      <c r="AA422" s="29"/>
      <c r="AB422" s="39"/>
      <c r="AC422" s="32"/>
      <c r="AD422" s="32"/>
      <c r="AE422" s="32"/>
      <c r="AF422" s="32"/>
      <c r="AG422" s="32"/>
      <c r="AH422" s="32"/>
      <c r="AI422" s="32"/>
      <c r="AJ422" s="32"/>
      <c r="AK422" s="32"/>
      <c r="AL422" s="32"/>
      <c r="AM422" s="32"/>
      <c r="AN422" s="32"/>
      <c r="AO422" s="33" t="str">
        <f aca="false">IF(A422="","",IF(AD422&lt;&gt;"",AD422,IF(AC422&lt;&gt;"",AC422,"")))</f>
        <v/>
      </c>
      <c r="AP422" s="24" t="str">
        <f aca="false">IF(AO422="","",IF(AD422&lt;&gt;"","Reported reach","Impressions (proxy)"))</f>
        <v/>
      </c>
      <c r="AQ422" s="34" t="str">
        <f aca="false">IF(OR(AO422="",N(S422)=0),"",AO422/S422)</f>
        <v/>
      </c>
      <c r="AR422" s="33" t="str">
        <f aca="false">IF(A422="","",IF(COUNT(AF422:AJ422)=0,"",SUM(AF422:AJ422)))</f>
        <v/>
      </c>
      <c r="AS422" s="34" t="str">
        <f aca="false">IF(OR(AR422="",N(AO422)=0),"",AR422/AO422)</f>
        <v/>
      </c>
      <c r="AT422" s="34" t="str">
        <f aca="false">IF(OR(AR422="",N(AC422)=0),"",AR422/AC422)</f>
        <v/>
      </c>
      <c r="AU422" s="34" t="str">
        <f aca="false">IF(OR(AR422="",N(S422)=0),"",AR422/S422)</f>
        <v/>
      </c>
      <c r="AV422" s="34" t="str">
        <f aca="false">IF(OR(AJ422="",N(AC422)=0),"",AJ422/AC422)</f>
        <v/>
      </c>
      <c r="AW422" s="34" t="str">
        <f aca="false">IF(OR(AH422="",N(AO422)=0),"",AH422/AO422)</f>
        <v/>
      </c>
      <c r="AX422" s="35" t="str">
        <f aca="false">IF(OR(AR422="",N(AO422)=0),"",(N(AF422)*Settings!$B$6+N(AG422)*Settings!$B$7+N(AH422)*Settings!$B$8+N(AI422)*Settings!$B$9+N(AJ422)*Settings!$B$10)/AO422*1000)</f>
        <v/>
      </c>
      <c r="AY422" s="36" t="str">
        <f aca="false">IF(AS422="","",IFERROR(AS422/AVERAGEIFS('Post Tracker'!$AS$5:$AS$1004,'Post Tracker'!$G$5:$G$1004,G422),""))</f>
        <v/>
      </c>
      <c r="AZ422" s="32"/>
      <c r="BA422" s="32"/>
      <c r="BB422" s="32"/>
      <c r="BC422" s="32"/>
      <c r="BD422" s="33" t="str">
        <f aca="false">IF(A422="","",COUNTIFS('Demo Pipeline'!$Q$5:$Q$504,A422))</f>
        <v/>
      </c>
      <c r="BE422" s="33" t="str">
        <f aca="false">IF(A422="","",COUNTIFS('Demo Pipeline'!$Q$5:$Q$504,A422,'Demo Pipeline'!$W$5:$W$504,"Attended"))</f>
        <v/>
      </c>
      <c r="BF422" s="33" t="str">
        <f aca="false">IF(A422="","",COUNTIFS('Demo Pipeline'!$Q$5:$Q$504,A422,'Demo Pipeline'!$X$5:$X$504,"Yes"))</f>
        <v/>
      </c>
      <c r="BG422" s="33" t="str">
        <f aca="false">IF(A422="","",COUNTIFS('Demo Pipeline'!$Q$5:$Q$504,A422,'Demo Pipeline'!$Y$5:$Y$504,"Closed Won"))</f>
        <v/>
      </c>
      <c r="BH422" s="37" t="str">
        <f aca="false">IF(A422="","",SUMIFS('Demo Pipeline'!$Z$5:$Z$504,'Demo Pipeline'!$Q$5:$Q$504,A422))</f>
        <v/>
      </c>
      <c r="BI422" s="34" t="str">
        <f aca="false">IF(OR(AZ422="",N(AJ422)=0),"",AZ422/AJ422)</f>
        <v/>
      </c>
      <c r="BJ422" s="34" t="str">
        <f aca="false">IF(OR(BB422="",N(AZ422)=0),"",BB422/AZ422)</f>
        <v/>
      </c>
      <c r="BK422" s="34" t="str">
        <f aca="false">IF(OR(A422="",N(BB422)=0),"",BD422/BB422)</f>
        <v/>
      </c>
      <c r="BL422" s="34" t="str">
        <f aca="false">IF(OR(A422="",N(AZ422)=0),"",BD422/AZ422)</f>
        <v/>
      </c>
      <c r="BM422" s="37" t="str">
        <f aca="false">IF(OR(N(Q422)=0,N(BD422)=0),"",Q422/BD422)</f>
        <v/>
      </c>
      <c r="BN422" s="29"/>
      <c r="BO422" s="29"/>
      <c r="BP422" s="33" t="str">
        <f aca="false">IF(OR(AR422="",N(AO422)=0),"",AR422)</f>
        <v/>
      </c>
      <c r="BQ422" s="33" t="str">
        <f aca="false">IF(OR(AR422="",N(S422)=0),"",S422)</f>
        <v/>
      </c>
      <c r="BR422" s="38" t="str">
        <f aca="false">IF(AND(ISNUMBER(B422),B422&gt;=Dashboard!$C$4,B422&lt;=Dashboard!$F$4,ISNUMBER(AU422)),AU422+ROW()/10^9,"")</f>
        <v/>
      </c>
      <c r="BS422" s="38" t="str">
        <f aca="false">IF(AND(ISNUMBER(B422),B422&gt;=Dashboard!$C$4,B422&lt;=Dashboard!$F$4,A422&lt;&gt;""),N(BD422)+N(AU422)/100+ROW()/10^9,"")</f>
        <v/>
      </c>
    </row>
    <row r="423" customFormat="false" ht="15" hidden="false" customHeight="false" outlineLevel="0" collapsed="false">
      <c r="A423" s="24" t="str">
        <f aca="false">IF(OR(B423="",G423="",H423=""),"",IFERROR(INDEX(Settings!$E$5:$E$49,MATCH(G423,Settings!$D$5:$D$49,0))&amp;INDEX(Settings!$H$5:$H$47,MATCH(H423,Settings!$G$5:$G$47,0))&amp;"-"&amp;TEXT(B423,"yymmdd")&amp;"-"&amp;IF(C423="","0000",TEXT(C423,"hhmm")),"CHECK LISTS"))</f>
        <v/>
      </c>
      <c r="B423" s="39"/>
      <c r="C423" s="40"/>
      <c r="D423" s="24" t="str">
        <f aca="false">IF(B423="","",TEXT(B423,"ddd"))</f>
        <v/>
      </c>
      <c r="E423" s="27" t="str">
        <f aca="false">IF(B423="","",B423-WEEKDAY(B423,3))</f>
        <v/>
      </c>
      <c r="F423" s="24" t="str">
        <f aca="false">IF(B423="","",TEXT(B423,"yyyy-mm"))</f>
        <v/>
      </c>
      <c r="G423" s="29"/>
      <c r="H423" s="29"/>
      <c r="I423" s="29"/>
      <c r="J423" s="29"/>
      <c r="K423" s="29"/>
      <c r="L423" s="29"/>
      <c r="M423" s="29"/>
      <c r="N423" s="29"/>
      <c r="O423" s="29"/>
      <c r="P423" s="29"/>
      <c r="Q423" s="30"/>
      <c r="R423" s="29"/>
      <c r="S423" s="32"/>
      <c r="T423" s="29"/>
      <c r="U423" s="29"/>
      <c r="V423" s="24" t="str">
        <f aca="false">IF(A423="","",IFERROR(INDEX(Settings!$F$5:$F$49,MATCH(G423,Settings!$D$5:$D$49,0)),""))</f>
        <v/>
      </c>
      <c r="W423" s="24" t="str">
        <f aca="false">IF(A423="","",IF(OR(P423="",P423="Organic"),"social","paid_social"))</f>
        <v/>
      </c>
      <c r="X423" s="24" t="str">
        <f aca="false">IF(A423="","",IF(K423&lt;&gt;"",IFERROR(INDEX('Case Studies'!$C$5:$C$54,MATCH(K423,'Case Studies'!$B$5:$B$54,0))&amp;"","case-study"),IF(J423&lt;&gt;"",IFERROR(INDEX(Settings!$J$5:$J$55,MATCH(J423,Settings!$I$5:$I$55,0)),"general"),"general")))</f>
        <v/>
      </c>
      <c r="Y423" s="24" t="str">
        <f aca="false">IF(A423="","",LOWER(A423))</f>
        <v/>
      </c>
      <c r="Z423" s="24" t="str">
        <f aca="false">IF(A423="","",IF(T423="",Settings!$B$5,T423)&amp;IF(ISNUMBER(FIND("?",IF(T423="",Settings!$B$5,T423))),"&amp;","?")&amp;"utm_source="&amp;V423&amp;"&amp;utm_medium="&amp;W423&amp;"&amp;utm_campaign="&amp;X423&amp;"&amp;utm_content="&amp;Y423)</f>
        <v/>
      </c>
      <c r="AA423" s="29"/>
      <c r="AB423" s="39"/>
      <c r="AC423" s="32"/>
      <c r="AD423" s="32"/>
      <c r="AE423" s="32"/>
      <c r="AF423" s="32"/>
      <c r="AG423" s="32"/>
      <c r="AH423" s="32"/>
      <c r="AI423" s="32"/>
      <c r="AJ423" s="32"/>
      <c r="AK423" s="32"/>
      <c r="AL423" s="32"/>
      <c r="AM423" s="32"/>
      <c r="AN423" s="32"/>
      <c r="AO423" s="33" t="str">
        <f aca="false">IF(A423="","",IF(AD423&lt;&gt;"",AD423,IF(AC423&lt;&gt;"",AC423,"")))</f>
        <v/>
      </c>
      <c r="AP423" s="24" t="str">
        <f aca="false">IF(AO423="","",IF(AD423&lt;&gt;"","Reported reach","Impressions (proxy)"))</f>
        <v/>
      </c>
      <c r="AQ423" s="34" t="str">
        <f aca="false">IF(OR(AO423="",N(S423)=0),"",AO423/S423)</f>
        <v/>
      </c>
      <c r="AR423" s="33" t="str">
        <f aca="false">IF(A423="","",IF(COUNT(AF423:AJ423)=0,"",SUM(AF423:AJ423)))</f>
        <v/>
      </c>
      <c r="AS423" s="34" t="str">
        <f aca="false">IF(OR(AR423="",N(AO423)=0),"",AR423/AO423)</f>
        <v/>
      </c>
      <c r="AT423" s="34" t="str">
        <f aca="false">IF(OR(AR423="",N(AC423)=0),"",AR423/AC423)</f>
        <v/>
      </c>
      <c r="AU423" s="34" t="str">
        <f aca="false">IF(OR(AR423="",N(S423)=0),"",AR423/S423)</f>
        <v/>
      </c>
      <c r="AV423" s="34" t="str">
        <f aca="false">IF(OR(AJ423="",N(AC423)=0),"",AJ423/AC423)</f>
        <v/>
      </c>
      <c r="AW423" s="34" t="str">
        <f aca="false">IF(OR(AH423="",N(AO423)=0),"",AH423/AO423)</f>
        <v/>
      </c>
      <c r="AX423" s="35" t="str">
        <f aca="false">IF(OR(AR423="",N(AO423)=0),"",(N(AF423)*Settings!$B$6+N(AG423)*Settings!$B$7+N(AH423)*Settings!$B$8+N(AI423)*Settings!$B$9+N(AJ423)*Settings!$B$10)/AO423*1000)</f>
        <v/>
      </c>
      <c r="AY423" s="36" t="str">
        <f aca="false">IF(AS423="","",IFERROR(AS423/AVERAGEIFS('Post Tracker'!$AS$5:$AS$1004,'Post Tracker'!$G$5:$G$1004,G423),""))</f>
        <v/>
      </c>
      <c r="AZ423" s="32"/>
      <c r="BA423" s="32"/>
      <c r="BB423" s="32"/>
      <c r="BC423" s="32"/>
      <c r="BD423" s="33" t="str">
        <f aca="false">IF(A423="","",COUNTIFS('Demo Pipeline'!$Q$5:$Q$504,A423))</f>
        <v/>
      </c>
      <c r="BE423" s="33" t="str">
        <f aca="false">IF(A423="","",COUNTIFS('Demo Pipeline'!$Q$5:$Q$504,A423,'Demo Pipeline'!$W$5:$W$504,"Attended"))</f>
        <v/>
      </c>
      <c r="BF423" s="33" t="str">
        <f aca="false">IF(A423="","",COUNTIFS('Demo Pipeline'!$Q$5:$Q$504,A423,'Demo Pipeline'!$X$5:$X$504,"Yes"))</f>
        <v/>
      </c>
      <c r="BG423" s="33" t="str">
        <f aca="false">IF(A423="","",COUNTIFS('Demo Pipeline'!$Q$5:$Q$504,A423,'Demo Pipeline'!$Y$5:$Y$504,"Closed Won"))</f>
        <v/>
      </c>
      <c r="BH423" s="37" t="str">
        <f aca="false">IF(A423="","",SUMIFS('Demo Pipeline'!$Z$5:$Z$504,'Demo Pipeline'!$Q$5:$Q$504,A423))</f>
        <v/>
      </c>
      <c r="BI423" s="34" t="str">
        <f aca="false">IF(OR(AZ423="",N(AJ423)=0),"",AZ423/AJ423)</f>
        <v/>
      </c>
      <c r="BJ423" s="34" t="str">
        <f aca="false">IF(OR(BB423="",N(AZ423)=0),"",BB423/AZ423)</f>
        <v/>
      </c>
      <c r="BK423" s="34" t="str">
        <f aca="false">IF(OR(A423="",N(BB423)=0),"",BD423/BB423)</f>
        <v/>
      </c>
      <c r="BL423" s="34" t="str">
        <f aca="false">IF(OR(A423="",N(AZ423)=0),"",BD423/AZ423)</f>
        <v/>
      </c>
      <c r="BM423" s="37" t="str">
        <f aca="false">IF(OR(N(Q423)=0,N(BD423)=0),"",Q423/BD423)</f>
        <v/>
      </c>
      <c r="BN423" s="29"/>
      <c r="BO423" s="29"/>
      <c r="BP423" s="33" t="str">
        <f aca="false">IF(OR(AR423="",N(AO423)=0),"",AR423)</f>
        <v/>
      </c>
      <c r="BQ423" s="33" t="str">
        <f aca="false">IF(OR(AR423="",N(S423)=0),"",S423)</f>
        <v/>
      </c>
      <c r="BR423" s="38" t="str">
        <f aca="false">IF(AND(ISNUMBER(B423),B423&gt;=Dashboard!$C$4,B423&lt;=Dashboard!$F$4,ISNUMBER(AU423)),AU423+ROW()/10^9,"")</f>
        <v/>
      </c>
      <c r="BS423" s="38" t="str">
        <f aca="false">IF(AND(ISNUMBER(B423),B423&gt;=Dashboard!$C$4,B423&lt;=Dashboard!$F$4,A423&lt;&gt;""),N(BD423)+N(AU423)/100+ROW()/10^9,"")</f>
        <v/>
      </c>
    </row>
    <row r="424" customFormat="false" ht="15" hidden="false" customHeight="false" outlineLevel="0" collapsed="false">
      <c r="A424" s="24" t="str">
        <f aca="false">IF(OR(B424="",G424="",H424=""),"",IFERROR(INDEX(Settings!$E$5:$E$49,MATCH(G424,Settings!$D$5:$D$49,0))&amp;INDEX(Settings!$H$5:$H$47,MATCH(H424,Settings!$G$5:$G$47,0))&amp;"-"&amp;TEXT(B424,"yymmdd")&amp;"-"&amp;IF(C424="","0000",TEXT(C424,"hhmm")),"CHECK LISTS"))</f>
        <v/>
      </c>
      <c r="B424" s="39"/>
      <c r="C424" s="40"/>
      <c r="D424" s="24" t="str">
        <f aca="false">IF(B424="","",TEXT(B424,"ddd"))</f>
        <v/>
      </c>
      <c r="E424" s="27" t="str">
        <f aca="false">IF(B424="","",B424-WEEKDAY(B424,3))</f>
        <v/>
      </c>
      <c r="F424" s="24" t="str">
        <f aca="false">IF(B424="","",TEXT(B424,"yyyy-mm"))</f>
        <v/>
      </c>
      <c r="G424" s="29"/>
      <c r="H424" s="29"/>
      <c r="I424" s="29"/>
      <c r="J424" s="29"/>
      <c r="K424" s="29"/>
      <c r="L424" s="29"/>
      <c r="M424" s="29"/>
      <c r="N424" s="29"/>
      <c r="O424" s="29"/>
      <c r="P424" s="29"/>
      <c r="Q424" s="30"/>
      <c r="R424" s="29"/>
      <c r="S424" s="32"/>
      <c r="T424" s="29"/>
      <c r="U424" s="29"/>
      <c r="V424" s="24" t="str">
        <f aca="false">IF(A424="","",IFERROR(INDEX(Settings!$F$5:$F$49,MATCH(G424,Settings!$D$5:$D$49,0)),""))</f>
        <v/>
      </c>
      <c r="W424" s="24" t="str">
        <f aca="false">IF(A424="","",IF(OR(P424="",P424="Organic"),"social","paid_social"))</f>
        <v/>
      </c>
      <c r="X424" s="24" t="str">
        <f aca="false">IF(A424="","",IF(K424&lt;&gt;"",IFERROR(INDEX('Case Studies'!$C$5:$C$54,MATCH(K424,'Case Studies'!$B$5:$B$54,0))&amp;"","case-study"),IF(J424&lt;&gt;"",IFERROR(INDEX(Settings!$J$5:$J$55,MATCH(J424,Settings!$I$5:$I$55,0)),"general"),"general")))</f>
        <v/>
      </c>
      <c r="Y424" s="24" t="str">
        <f aca="false">IF(A424="","",LOWER(A424))</f>
        <v/>
      </c>
      <c r="Z424" s="24" t="str">
        <f aca="false">IF(A424="","",IF(T424="",Settings!$B$5,T424)&amp;IF(ISNUMBER(FIND("?",IF(T424="",Settings!$B$5,T424))),"&amp;","?")&amp;"utm_source="&amp;V424&amp;"&amp;utm_medium="&amp;W424&amp;"&amp;utm_campaign="&amp;X424&amp;"&amp;utm_content="&amp;Y424)</f>
        <v/>
      </c>
      <c r="AA424" s="29"/>
      <c r="AB424" s="39"/>
      <c r="AC424" s="32"/>
      <c r="AD424" s="32"/>
      <c r="AE424" s="32"/>
      <c r="AF424" s="32"/>
      <c r="AG424" s="32"/>
      <c r="AH424" s="32"/>
      <c r="AI424" s="32"/>
      <c r="AJ424" s="32"/>
      <c r="AK424" s="32"/>
      <c r="AL424" s="32"/>
      <c r="AM424" s="32"/>
      <c r="AN424" s="32"/>
      <c r="AO424" s="33" t="str">
        <f aca="false">IF(A424="","",IF(AD424&lt;&gt;"",AD424,IF(AC424&lt;&gt;"",AC424,"")))</f>
        <v/>
      </c>
      <c r="AP424" s="24" t="str">
        <f aca="false">IF(AO424="","",IF(AD424&lt;&gt;"","Reported reach","Impressions (proxy)"))</f>
        <v/>
      </c>
      <c r="AQ424" s="34" t="str">
        <f aca="false">IF(OR(AO424="",N(S424)=0),"",AO424/S424)</f>
        <v/>
      </c>
      <c r="AR424" s="33" t="str">
        <f aca="false">IF(A424="","",IF(COUNT(AF424:AJ424)=0,"",SUM(AF424:AJ424)))</f>
        <v/>
      </c>
      <c r="AS424" s="34" t="str">
        <f aca="false">IF(OR(AR424="",N(AO424)=0),"",AR424/AO424)</f>
        <v/>
      </c>
      <c r="AT424" s="34" t="str">
        <f aca="false">IF(OR(AR424="",N(AC424)=0),"",AR424/AC424)</f>
        <v/>
      </c>
      <c r="AU424" s="34" t="str">
        <f aca="false">IF(OR(AR424="",N(S424)=0),"",AR424/S424)</f>
        <v/>
      </c>
      <c r="AV424" s="34" t="str">
        <f aca="false">IF(OR(AJ424="",N(AC424)=0),"",AJ424/AC424)</f>
        <v/>
      </c>
      <c r="AW424" s="34" t="str">
        <f aca="false">IF(OR(AH424="",N(AO424)=0),"",AH424/AO424)</f>
        <v/>
      </c>
      <c r="AX424" s="35" t="str">
        <f aca="false">IF(OR(AR424="",N(AO424)=0),"",(N(AF424)*Settings!$B$6+N(AG424)*Settings!$B$7+N(AH424)*Settings!$B$8+N(AI424)*Settings!$B$9+N(AJ424)*Settings!$B$10)/AO424*1000)</f>
        <v/>
      </c>
      <c r="AY424" s="36" t="str">
        <f aca="false">IF(AS424="","",IFERROR(AS424/AVERAGEIFS('Post Tracker'!$AS$5:$AS$1004,'Post Tracker'!$G$5:$G$1004,G424),""))</f>
        <v/>
      </c>
      <c r="AZ424" s="32"/>
      <c r="BA424" s="32"/>
      <c r="BB424" s="32"/>
      <c r="BC424" s="32"/>
      <c r="BD424" s="33" t="str">
        <f aca="false">IF(A424="","",COUNTIFS('Demo Pipeline'!$Q$5:$Q$504,A424))</f>
        <v/>
      </c>
      <c r="BE424" s="33" t="str">
        <f aca="false">IF(A424="","",COUNTIFS('Demo Pipeline'!$Q$5:$Q$504,A424,'Demo Pipeline'!$W$5:$W$504,"Attended"))</f>
        <v/>
      </c>
      <c r="BF424" s="33" t="str">
        <f aca="false">IF(A424="","",COUNTIFS('Demo Pipeline'!$Q$5:$Q$504,A424,'Demo Pipeline'!$X$5:$X$504,"Yes"))</f>
        <v/>
      </c>
      <c r="BG424" s="33" t="str">
        <f aca="false">IF(A424="","",COUNTIFS('Demo Pipeline'!$Q$5:$Q$504,A424,'Demo Pipeline'!$Y$5:$Y$504,"Closed Won"))</f>
        <v/>
      </c>
      <c r="BH424" s="37" t="str">
        <f aca="false">IF(A424="","",SUMIFS('Demo Pipeline'!$Z$5:$Z$504,'Demo Pipeline'!$Q$5:$Q$504,A424))</f>
        <v/>
      </c>
      <c r="BI424" s="34" t="str">
        <f aca="false">IF(OR(AZ424="",N(AJ424)=0),"",AZ424/AJ424)</f>
        <v/>
      </c>
      <c r="BJ424" s="34" t="str">
        <f aca="false">IF(OR(BB424="",N(AZ424)=0),"",BB424/AZ424)</f>
        <v/>
      </c>
      <c r="BK424" s="34" t="str">
        <f aca="false">IF(OR(A424="",N(BB424)=0),"",BD424/BB424)</f>
        <v/>
      </c>
      <c r="BL424" s="34" t="str">
        <f aca="false">IF(OR(A424="",N(AZ424)=0),"",BD424/AZ424)</f>
        <v/>
      </c>
      <c r="BM424" s="37" t="str">
        <f aca="false">IF(OR(N(Q424)=0,N(BD424)=0),"",Q424/BD424)</f>
        <v/>
      </c>
      <c r="BN424" s="29"/>
      <c r="BO424" s="29"/>
      <c r="BP424" s="33" t="str">
        <f aca="false">IF(OR(AR424="",N(AO424)=0),"",AR424)</f>
        <v/>
      </c>
      <c r="BQ424" s="33" t="str">
        <f aca="false">IF(OR(AR424="",N(S424)=0),"",S424)</f>
        <v/>
      </c>
      <c r="BR424" s="38" t="str">
        <f aca="false">IF(AND(ISNUMBER(B424),B424&gt;=Dashboard!$C$4,B424&lt;=Dashboard!$F$4,ISNUMBER(AU424)),AU424+ROW()/10^9,"")</f>
        <v/>
      </c>
      <c r="BS424" s="38" t="str">
        <f aca="false">IF(AND(ISNUMBER(B424),B424&gt;=Dashboard!$C$4,B424&lt;=Dashboard!$F$4,A424&lt;&gt;""),N(BD424)+N(AU424)/100+ROW()/10^9,"")</f>
        <v/>
      </c>
    </row>
    <row r="425" customFormat="false" ht="15" hidden="false" customHeight="false" outlineLevel="0" collapsed="false">
      <c r="A425" s="24" t="str">
        <f aca="false">IF(OR(B425="",G425="",H425=""),"",IFERROR(INDEX(Settings!$E$5:$E$49,MATCH(G425,Settings!$D$5:$D$49,0))&amp;INDEX(Settings!$H$5:$H$47,MATCH(H425,Settings!$G$5:$G$47,0))&amp;"-"&amp;TEXT(B425,"yymmdd")&amp;"-"&amp;IF(C425="","0000",TEXT(C425,"hhmm")),"CHECK LISTS"))</f>
        <v/>
      </c>
      <c r="B425" s="39"/>
      <c r="C425" s="40"/>
      <c r="D425" s="24" t="str">
        <f aca="false">IF(B425="","",TEXT(B425,"ddd"))</f>
        <v/>
      </c>
      <c r="E425" s="27" t="str">
        <f aca="false">IF(B425="","",B425-WEEKDAY(B425,3))</f>
        <v/>
      </c>
      <c r="F425" s="24" t="str">
        <f aca="false">IF(B425="","",TEXT(B425,"yyyy-mm"))</f>
        <v/>
      </c>
      <c r="G425" s="29"/>
      <c r="H425" s="29"/>
      <c r="I425" s="29"/>
      <c r="J425" s="29"/>
      <c r="K425" s="29"/>
      <c r="L425" s="29"/>
      <c r="M425" s="29"/>
      <c r="N425" s="29"/>
      <c r="O425" s="29"/>
      <c r="P425" s="29"/>
      <c r="Q425" s="30"/>
      <c r="R425" s="29"/>
      <c r="S425" s="32"/>
      <c r="T425" s="29"/>
      <c r="U425" s="29"/>
      <c r="V425" s="24" t="str">
        <f aca="false">IF(A425="","",IFERROR(INDEX(Settings!$F$5:$F$49,MATCH(G425,Settings!$D$5:$D$49,0)),""))</f>
        <v/>
      </c>
      <c r="W425" s="24" t="str">
        <f aca="false">IF(A425="","",IF(OR(P425="",P425="Organic"),"social","paid_social"))</f>
        <v/>
      </c>
      <c r="X425" s="24" t="str">
        <f aca="false">IF(A425="","",IF(K425&lt;&gt;"",IFERROR(INDEX('Case Studies'!$C$5:$C$54,MATCH(K425,'Case Studies'!$B$5:$B$54,0))&amp;"","case-study"),IF(J425&lt;&gt;"",IFERROR(INDEX(Settings!$J$5:$J$55,MATCH(J425,Settings!$I$5:$I$55,0)),"general"),"general")))</f>
        <v/>
      </c>
      <c r="Y425" s="24" t="str">
        <f aca="false">IF(A425="","",LOWER(A425))</f>
        <v/>
      </c>
      <c r="Z425" s="24" t="str">
        <f aca="false">IF(A425="","",IF(T425="",Settings!$B$5,T425)&amp;IF(ISNUMBER(FIND("?",IF(T425="",Settings!$B$5,T425))),"&amp;","?")&amp;"utm_source="&amp;V425&amp;"&amp;utm_medium="&amp;W425&amp;"&amp;utm_campaign="&amp;X425&amp;"&amp;utm_content="&amp;Y425)</f>
        <v/>
      </c>
      <c r="AA425" s="29"/>
      <c r="AB425" s="39"/>
      <c r="AC425" s="32"/>
      <c r="AD425" s="32"/>
      <c r="AE425" s="32"/>
      <c r="AF425" s="32"/>
      <c r="AG425" s="32"/>
      <c r="AH425" s="32"/>
      <c r="AI425" s="32"/>
      <c r="AJ425" s="32"/>
      <c r="AK425" s="32"/>
      <c r="AL425" s="32"/>
      <c r="AM425" s="32"/>
      <c r="AN425" s="32"/>
      <c r="AO425" s="33" t="str">
        <f aca="false">IF(A425="","",IF(AD425&lt;&gt;"",AD425,IF(AC425&lt;&gt;"",AC425,"")))</f>
        <v/>
      </c>
      <c r="AP425" s="24" t="str">
        <f aca="false">IF(AO425="","",IF(AD425&lt;&gt;"","Reported reach","Impressions (proxy)"))</f>
        <v/>
      </c>
      <c r="AQ425" s="34" t="str">
        <f aca="false">IF(OR(AO425="",N(S425)=0),"",AO425/S425)</f>
        <v/>
      </c>
      <c r="AR425" s="33" t="str">
        <f aca="false">IF(A425="","",IF(COUNT(AF425:AJ425)=0,"",SUM(AF425:AJ425)))</f>
        <v/>
      </c>
      <c r="AS425" s="34" t="str">
        <f aca="false">IF(OR(AR425="",N(AO425)=0),"",AR425/AO425)</f>
        <v/>
      </c>
      <c r="AT425" s="34" t="str">
        <f aca="false">IF(OR(AR425="",N(AC425)=0),"",AR425/AC425)</f>
        <v/>
      </c>
      <c r="AU425" s="34" t="str">
        <f aca="false">IF(OR(AR425="",N(S425)=0),"",AR425/S425)</f>
        <v/>
      </c>
      <c r="AV425" s="34" t="str">
        <f aca="false">IF(OR(AJ425="",N(AC425)=0),"",AJ425/AC425)</f>
        <v/>
      </c>
      <c r="AW425" s="34" t="str">
        <f aca="false">IF(OR(AH425="",N(AO425)=0),"",AH425/AO425)</f>
        <v/>
      </c>
      <c r="AX425" s="35" t="str">
        <f aca="false">IF(OR(AR425="",N(AO425)=0),"",(N(AF425)*Settings!$B$6+N(AG425)*Settings!$B$7+N(AH425)*Settings!$B$8+N(AI425)*Settings!$B$9+N(AJ425)*Settings!$B$10)/AO425*1000)</f>
        <v/>
      </c>
      <c r="AY425" s="36" t="str">
        <f aca="false">IF(AS425="","",IFERROR(AS425/AVERAGEIFS('Post Tracker'!$AS$5:$AS$1004,'Post Tracker'!$G$5:$G$1004,G425),""))</f>
        <v/>
      </c>
      <c r="AZ425" s="32"/>
      <c r="BA425" s="32"/>
      <c r="BB425" s="32"/>
      <c r="BC425" s="32"/>
      <c r="BD425" s="33" t="str">
        <f aca="false">IF(A425="","",COUNTIFS('Demo Pipeline'!$Q$5:$Q$504,A425))</f>
        <v/>
      </c>
      <c r="BE425" s="33" t="str">
        <f aca="false">IF(A425="","",COUNTIFS('Demo Pipeline'!$Q$5:$Q$504,A425,'Demo Pipeline'!$W$5:$W$504,"Attended"))</f>
        <v/>
      </c>
      <c r="BF425" s="33" t="str">
        <f aca="false">IF(A425="","",COUNTIFS('Demo Pipeline'!$Q$5:$Q$504,A425,'Demo Pipeline'!$X$5:$X$504,"Yes"))</f>
        <v/>
      </c>
      <c r="BG425" s="33" t="str">
        <f aca="false">IF(A425="","",COUNTIFS('Demo Pipeline'!$Q$5:$Q$504,A425,'Demo Pipeline'!$Y$5:$Y$504,"Closed Won"))</f>
        <v/>
      </c>
      <c r="BH425" s="37" t="str">
        <f aca="false">IF(A425="","",SUMIFS('Demo Pipeline'!$Z$5:$Z$504,'Demo Pipeline'!$Q$5:$Q$504,A425))</f>
        <v/>
      </c>
      <c r="BI425" s="34" t="str">
        <f aca="false">IF(OR(AZ425="",N(AJ425)=0),"",AZ425/AJ425)</f>
        <v/>
      </c>
      <c r="BJ425" s="34" t="str">
        <f aca="false">IF(OR(BB425="",N(AZ425)=0),"",BB425/AZ425)</f>
        <v/>
      </c>
      <c r="BK425" s="34" t="str">
        <f aca="false">IF(OR(A425="",N(BB425)=0),"",BD425/BB425)</f>
        <v/>
      </c>
      <c r="BL425" s="34" t="str">
        <f aca="false">IF(OR(A425="",N(AZ425)=0),"",BD425/AZ425)</f>
        <v/>
      </c>
      <c r="BM425" s="37" t="str">
        <f aca="false">IF(OR(N(Q425)=0,N(BD425)=0),"",Q425/BD425)</f>
        <v/>
      </c>
      <c r="BN425" s="29"/>
      <c r="BO425" s="29"/>
      <c r="BP425" s="33" t="str">
        <f aca="false">IF(OR(AR425="",N(AO425)=0),"",AR425)</f>
        <v/>
      </c>
      <c r="BQ425" s="33" t="str">
        <f aca="false">IF(OR(AR425="",N(S425)=0),"",S425)</f>
        <v/>
      </c>
      <c r="BR425" s="38" t="str">
        <f aca="false">IF(AND(ISNUMBER(B425),B425&gt;=Dashboard!$C$4,B425&lt;=Dashboard!$F$4,ISNUMBER(AU425)),AU425+ROW()/10^9,"")</f>
        <v/>
      </c>
      <c r="BS425" s="38" t="str">
        <f aca="false">IF(AND(ISNUMBER(B425),B425&gt;=Dashboard!$C$4,B425&lt;=Dashboard!$F$4,A425&lt;&gt;""),N(BD425)+N(AU425)/100+ROW()/10^9,"")</f>
        <v/>
      </c>
    </row>
    <row r="426" customFormat="false" ht="15" hidden="false" customHeight="false" outlineLevel="0" collapsed="false">
      <c r="A426" s="24" t="str">
        <f aca="false">IF(OR(B426="",G426="",H426=""),"",IFERROR(INDEX(Settings!$E$5:$E$49,MATCH(G426,Settings!$D$5:$D$49,0))&amp;INDEX(Settings!$H$5:$H$47,MATCH(H426,Settings!$G$5:$G$47,0))&amp;"-"&amp;TEXT(B426,"yymmdd")&amp;"-"&amp;IF(C426="","0000",TEXT(C426,"hhmm")),"CHECK LISTS"))</f>
        <v/>
      </c>
      <c r="B426" s="39"/>
      <c r="C426" s="40"/>
      <c r="D426" s="24" t="str">
        <f aca="false">IF(B426="","",TEXT(B426,"ddd"))</f>
        <v/>
      </c>
      <c r="E426" s="27" t="str">
        <f aca="false">IF(B426="","",B426-WEEKDAY(B426,3))</f>
        <v/>
      </c>
      <c r="F426" s="24" t="str">
        <f aca="false">IF(B426="","",TEXT(B426,"yyyy-mm"))</f>
        <v/>
      </c>
      <c r="G426" s="29"/>
      <c r="H426" s="29"/>
      <c r="I426" s="29"/>
      <c r="J426" s="29"/>
      <c r="K426" s="29"/>
      <c r="L426" s="29"/>
      <c r="M426" s="29"/>
      <c r="N426" s="29"/>
      <c r="O426" s="29"/>
      <c r="P426" s="29"/>
      <c r="Q426" s="30"/>
      <c r="R426" s="29"/>
      <c r="S426" s="32"/>
      <c r="T426" s="29"/>
      <c r="U426" s="29"/>
      <c r="V426" s="24" t="str">
        <f aca="false">IF(A426="","",IFERROR(INDEX(Settings!$F$5:$F$49,MATCH(G426,Settings!$D$5:$D$49,0)),""))</f>
        <v/>
      </c>
      <c r="W426" s="24" t="str">
        <f aca="false">IF(A426="","",IF(OR(P426="",P426="Organic"),"social","paid_social"))</f>
        <v/>
      </c>
      <c r="X426" s="24" t="str">
        <f aca="false">IF(A426="","",IF(K426&lt;&gt;"",IFERROR(INDEX('Case Studies'!$C$5:$C$54,MATCH(K426,'Case Studies'!$B$5:$B$54,0))&amp;"","case-study"),IF(J426&lt;&gt;"",IFERROR(INDEX(Settings!$J$5:$J$55,MATCH(J426,Settings!$I$5:$I$55,0)),"general"),"general")))</f>
        <v/>
      </c>
      <c r="Y426" s="24" t="str">
        <f aca="false">IF(A426="","",LOWER(A426))</f>
        <v/>
      </c>
      <c r="Z426" s="24" t="str">
        <f aca="false">IF(A426="","",IF(T426="",Settings!$B$5,T426)&amp;IF(ISNUMBER(FIND("?",IF(T426="",Settings!$B$5,T426))),"&amp;","?")&amp;"utm_source="&amp;V426&amp;"&amp;utm_medium="&amp;W426&amp;"&amp;utm_campaign="&amp;X426&amp;"&amp;utm_content="&amp;Y426)</f>
        <v/>
      </c>
      <c r="AA426" s="29"/>
      <c r="AB426" s="39"/>
      <c r="AC426" s="32"/>
      <c r="AD426" s="32"/>
      <c r="AE426" s="32"/>
      <c r="AF426" s="32"/>
      <c r="AG426" s="32"/>
      <c r="AH426" s="32"/>
      <c r="AI426" s="32"/>
      <c r="AJ426" s="32"/>
      <c r="AK426" s="32"/>
      <c r="AL426" s="32"/>
      <c r="AM426" s="32"/>
      <c r="AN426" s="32"/>
      <c r="AO426" s="33" t="str">
        <f aca="false">IF(A426="","",IF(AD426&lt;&gt;"",AD426,IF(AC426&lt;&gt;"",AC426,"")))</f>
        <v/>
      </c>
      <c r="AP426" s="24" t="str">
        <f aca="false">IF(AO426="","",IF(AD426&lt;&gt;"","Reported reach","Impressions (proxy)"))</f>
        <v/>
      </c>
      <c r="AQ426" s="34" t="str">
        <f aca="false">IF(OR(AO426="",N(S426)=0),"",AO426/S426)</f>
        <v/>
      </c>
      <c r="AR426" s="33" t="str">
        <f aca="false">IF(A426="","",IF(COUNT(AF426:AJ426)=0,"",SUM(AF426:AJ426)))</f>
        <v/>
      </c>
      <c r="AS426" s="34" t="str">
        <f aca="false">IF(OR(AR426="",N(AO426)=0),"",AR426/AO426)</f>
        <v/>
      </c>
      <c r="AT426" s="34" t="str">
        <f aca="false">IF(OR(AR426="",N(AC426)=0),"",AR426/AC426)</f>
        <v/>
      </c>
      <c r="AU426" s="34" t="str">
        <f aca="false">IF(OR(AR426="",N(S426)=0),"",AR426/S426)</f>
        <v/>
      </c>
      <c r="AV426" s="34" t="str">
        <f aca="false">IF(OR(AJ426="",N(AC426)=0),"",AJ426/AC426)</f>
        <v/>
      </c>
      <c r="AW426" s="34" t="str">
        <f aca="false">IF(OR(AH426="",N(AO426)=0),"",AH426/AO426)</f>
        <v/>
      </c>
      <c r="AX426" s="35" t="str">
        <f aca="false">IF(OR(AR426="",N(AO426)=0),"",(N(AF426)*Settings!$B$6+N(AG426)*Settings!$B$7+N(AH426)*Settings!$B$8+N(AI426)*Settings!$B$9+N(AJ426)*Settings!$B$10)/AO426*1000)</f>
        <v/>
      </c>
      <c r="AY426" s="36" t="str">
        <f aca="false">IF(AS426="","",IFERROR(AS426/AVERAGEIFS('Post Tracker'!$AS$5:$AS$1004,'Post Tracker'!$G$5:$G$1004,G426),""))</f>
        <v/>
      </c>
      <c r="AZ426" s="32"/>
      <c r="BA426" s="32"/>
      <c r="BB426" s="32"/>
      <c r="BC426" s="32"/>
      <c r="BD426" s="33" t="str">
        <f aca="false">IF(A426="","",COUNTIFS('Demo Pipeline'!$Q$5:$Q$504,A426))</f>
        <v/>
      </c>
      <c r="BE426" s="33" t="str">
        <f aca="false">IF(A426="","",COUNTIFS('Demo Pipeline'!$Q$5:$Q$504,A426,'Demo Pipeline'!$W$5:$W$504,"Attended"))</f>
        <v/>
      </c>
      <c r="BF426" s="33" t="str">
        <f aca="false">IF(A426="","",COUNTIFS('Demo Pipeline'!$Q$5:$Q$504,A426,'Demo Pipeline'!$X$5:$X$504,"Yes"))</f>
        <v/>
      </c>
      <c r="BG426" s="33" t="str">
        <f aca="false">IF(A426="","",COUNTIFS('Demo Pipeline'!$Q$5:$Q$504,A426,'Demo Pipeline'!$Y$5:$Y$504,"Closed Won"))</f>
        <v/>
      </c>
      <c r="BH426" s="37" t="str">
        <f aca="false">IF(A426="","",SUMIFS('Demo Pipeline'!$Z$5:$Z$504,'Demo Pipeline'!$Q$5:$Q$504,A426))</f>
        <v/>
      </c>
      <c r="BI426" s="34" t="str">
        <f aca="false">IF(OR(AZ426="",N(AJ426)=0),"",AZ426/AJ426)</f>
        <v/>
      </c>
      <c r="BJ426" s="34" t="str">
        <f aca="false">IF(OR(BB426="",N(AZ426)=0),"",BB426/AZ426)</f>
        <v/>
      </c>
      <c r="BK426" s="34" t="str">
        <f aca="false">IF(OR(A426="",N(BB426)=0),"",BD426/BB426)</f>
        <v/>
      </c>
      <c r="BL426" s="34" t="str">
        <f aca="false">IF(OR(A426="",N(AZ426)=0),"",BD426/AZ426)</f>
        <v/>
      </c>
      <c r="BM426" s="37" t="str">
        <f aca="false">IF(OR(N(Q426)=0,N(BD426)=0),"",Q426/BD426)</f>
        <v/>
      </c>
      <c r="BN426" s="29"/>
      <c r="BO426" s="29"/>
      <c r="BP426" s="33" t="str">
        <f aca="false">IF(OR(AR426="",N(AO426)=0),"",AR426)</f>
        <v/>
      </c>
      <c r="BQ426" s="33" t="str">
        <f aca="false">IF(OR(AR426="",N(S426)=0),"",S426)</f>
        <v/>
      </c>
      <c r="BR426" s="38" t="str">
        <f aca="false">IF(AND(ISNUMBER(B426),B426&gt;=Dashboard!$C$4,B426&lt;=Dashboard!$F$4,ISNUMBER(AU426)),AU426+ROW()/10^9,"")</f>
        <v/>
      </c>
      <c r="BS426" s="38" t="str">
        <f aca="false">IF(AND(ISNUMBER(B426),B426&gt;=Dashboard!$C$4,B426&lt;=Dashboard!$F$4,A426&lt;&gt;""),N(BD426)+N(AU426)/100+ROW()/10^9,"")</f>
        <v/>
      </c>
    </row>
    <row r="427" customFormat="false" ht="15" hidden="false" customHeight="false" outlineLevel="0" collapsed="false">
      <c r="A427" s="24" t="str">
        <f aca="false">IF(OR(B427="",G427="",H427=""),"",IFERROR(INDEX(Settings!$E$5:$E$49,MATCH(G427,Settings!$D$5:$D$49,0))&amp;INDEX(Settings!$H$5:$H$47,MATCH(H427,Settings!$G$5:$G$47,0))&amp;"-"&amp;TEXT(B427,"yymmdd")&amp;"-"&amp;IF(C427="","0000",TEXT(C427,"hhmm")),"CHECK LISTS"))</f>
        <v/>
      </c>
      <c r="B427" s="39"/>
      <c r="C427" s="40"/>
      <c r="D427" s="24" t="str">
        <f aca="false">IF(B427="","",TEXT(B427,"ddd"))</f>
        <v/>
      </c>
      <c r="E427" s="27" t="str">
        <f aca="false">IF(B427="","",B427-WEEKDAY(B427,3))</f>
        <v/>
      </c>
      <c r="F427" s="24" t="str">
        <f aca="false">IF(B427="","",TEXT(B427,"yyyy-mm"))</f>
        <v/>
      </c>
      <c r="G427" s="29"/>
      <c r="H427" s="29"/>
      <c r="I427" s="29"/>
      <c r="J427" s="29"/>
      <c r="K427" s="29"/>
      <c r="L427" s="29"/>
      <c r="M427" s="29"/>
      <c r="N427" s="29"/>
      <c r="O427" s="29"/>
      <c r="P427" s="29"/>
      <c r="Q427" s="30"/>
      <c r="R427" s="29"/>
      <c r="S427" s="32"/>
      <c r="T427" s="29"/>
      <c r="U427" s="29"/>
      <c r="V427" s="24" t="str">
        <f aca="false">IF(A427="","",IFERROR(INDEX(Settings!$F$5:$F$49,MATCH(G427,Settings!$D$5:$D$49,0)),""))</f>
        <v/>
      </c>
      <c r="W427" s="24" t="str">
        <f aca="false">IF(A427="","",IF(OR(P427="",P427="Organic"),"social","paid_social"))</f>
        <v/>
      </c>
      <c r="X427" s="24" t="str">
        <f aca="false">IF(A427="","",IF(K427&lt;&gt;"",IFERROR(INDEX('Case Studies'!$C$5:$C$54,MATCH(K427,'Case Studies'!$B$5:$B$54,0))&amp;"","case-study"),IF(J427&lt;&gt;"",IFERROR(INDEX(Settings!$J$5:$J$55,MATCH(J427,Settings!$I$5:$I$55,0)),"general"),"general")))</f>
        <v/>
      </c>
      <c r="Y427" s="24" t="str">
        <f aca="false">IF(A427="","",LOWER(A427))</f>
        <v/>
      </c>
      <c r="Z427" s="24" t="str">
        <f aca="false">IF(A427="","",IF(T427="",Settings!$B$5,T427)&amp;IF(ISNUMBER(FIND("?",IF(T427="",Settings!$B$5,T427))),"&amp;","?")&amp;"utm_source="&amp;V427&amp;"&amp;utm_medium="&amp;W427&amp;"&amp;utm_campaign="&amp;X427&amp;"&amp;utm_content="&amp;Y427)</f>
        <v/>
      </c>
      <c r="AA427" s="29"/>
      <c r="AB427" s="39"/>
      <c r="AC427" s="32"/>
      <c r="AD427" s="32"/>
      <c r="AE427" s="32"/>
      <c r="AF427" s="32"/>
      <c r="AG427" s="32"/>
      <c r="AH427" s="32"/>
      <c r="AI427" s="32"/>
      <c r="AJ427" s="32"/>
      <c r="AK427" s="32"/>
      <c r="AL427" s="32"/>
      <c r="AM427" s="32"/>
      <c r="AN427" s="32"/>
      <c r="AO427" s="33" t="str">
        <f aca="false">IF(A427="","",IF(AD427&lt;&gt;"",AD427,IF(AC427&lt;&gt;"",AC427,"")))</f>
        <v/>
      </c>
      <c r="AP427" s="24" t="str">
        <f aca="false">IF(AO427="","",IF(AD427&lt;&gt;"","Reported reach","Impressions (proxy)"))</f>
        <v/>
      </c>
      <c r="AQ427" s="34" t="str">
        <f aca="false">IF(OR(AO427="",N(S427)=0),"",AO427/S427)</f>
        <v/>
      </c>
      <c r="AR427" s="33" t="str">
        <f aca="false">IF(A427="","",IF(COUNT(AF427:AJ427)=0,"",SUM(AF427:AJ427)))</f>
        <v/>
      </c>
      <c r="AS427" s="34" t="str">
        <f aca="false">IF(OR(AR427="",N(AO427)=0),"",AR427/AO427)</f>
        <v/>
      </c>
      <c r="AT427" s="34" t="str">
        <f aca="false">IF(OR(AR427="",N(AC427)=0),"",AR427/AC427)</f>
        <v/>
      </c>
      <c r="AU427" s="34" t="str">
        <f aca="false">IF(OR(AR427="",N(S427)=0),"",AR427/S427)</f>
        <v/>
      </c>
      <c r="AV427" s="34" t="str">
        <f aca="false">IF(OR(AJ427="",N(AC427)=0),"",AJ427/AC427)</f>
        <v/>
      </c>
      <c r="AW427" s="34" t="str">
        <f aca="false">IF(OR(AH427="",N(AO427)=0),"",AH427/AO427)</f>
        <v/>
      </c>
      <c r="AX427" s="35" t="str">
        <f aca="false">IF(OR(AR427="",N(AO427)=0),"",(N(AF427)*Settings!$B$6+N(AG427)*Settings!$B$7+N(AH427)*Settings!$B$8+N(AI427)*Settings!$B$9+N(AJ427)*Settings!$B$10)/AO427*1000)</f>
        <v/>
      </c>
      <c r="AY427" s="36" t="str">
        <f aca="false">IF(AS427="","",IFERROR(AS427/AVERAGEIFS('Post Tracker'!$AS$5:$AS$1004,'Post Tracker'!$G$5:$G$1004,G427),""))</f>
        <v/>
      </c>
      <c r="AZ427" s="32"/>
      <c r="BA427" s="32"/>
      <c r="BB427" s="32"/>
      <c r="BC427" s="32"/>
      <c r="BD427" s="33" t="str">
        <f aca="false">IF(A427="","",COUNTIFS('Demo Pipeline'!$Q$5:$Q$504,A427))</f>
        <v/>
      </c>
      <c r="BE427" s="33" t="str">
        <f aca="false">IF(A427="","",COUNTIFS('Demo Pipeline'!$Q$5:$Q$504,A427,'Demo Pipeline'!$W$5:$W$504,"Attended"))</f>
        <v/>
      </c>
      <c r="BF427" s="33" t="str">
        <f aca="false">IF(A427="","",COUNTIFS('Demo Pipeline'!$Q$5:$Q$504,A427,'Demo Pipeline'!$X$5:$X$504,"Yes"))</f>
        <v/>
      </c>
      <c r="BG427" s="33" t="str">
        <f aca="false">IF(A427="","",COUNTIFS('Demo Pipeline'!$Q$5:$Q$504,A427,'Demo Pipeline'!$Y$5:$Y$504,"Closed Won"))</f>
        <v/>
      </c>
      <c r="BH427" s="37" t="str">
        <f aca="false">IF(A427="","",SUMIFS('Demo Pipeline'!$Z$5:$Z$504,'Demo Pipeline'!$Q$5:$Q$504,A427))</f>
        <v/>
      </c>
      <c r="BI427" s="34" t="str">
        <f aca="false">IF(OR(AZ427="",N(AJ427)=0),"",AZ427/AJ427)</f>
        <v/>
      </c>
      <c r="BJ427" s="34" t="str">
        <f aca="false">IF(OR(BB427="",N(AZ427)=0),"",BB427/AZ427)</f>
        <v/>
      </c>
      <c r="BK427" s="34" t="str">
        <f aca="false">IF(OR(A427="",N(BB427)=0),"",BD427/BB427)</f>
        <v/>
      </c>
      <c r="BL427" s="34" t="str">
        <f aca="false">IF(OR(A427="",N(AZ427)=0),"",BD427/AZ427)</f>
        <v/>
      </c>
      <c r="BM427" s="37" t="str">
        <f aca="false">IF(OR(N(Q427)=0,N(BD427)=0),"",Q427/BD427)</f>
        <v/>
      </c>
      <c r="BN427" s="29"/>
      <c r="BO427" s="29"/>
      <c r="BP427" s="33" t="str">
        <f aca="false">IF(OR(AR427="",N(AO427)=0),"",AR427)</f>
        <v/>
      </c>
      <c r="BQ427" s="33" t="str">
        <f aca="false">IF(OR(AR427="",N(S427)=0),"",S427)</f>
        <v/>
      </c>
      <c r="BR427" s="38" t="str">
        <f aca="false">IF(AND(ISNUMBER(B427),B427&gt;=Dashboard!$C$4,B427&lt;=Dashboard!$F$4,ISNUMBER(AU427)),AU427+ROW()/10^9,"")</f>
        <v/>
      </c>
      <c r="BS427" s="38" t="str">
        <f aca="false">IF(AND(ISNUMBER(B427),B427&gt;=Dashboard!$C$4,B427&lt;=Dashboard!$F$4,A427&lt;&gt;""),N(BD427)+N(AU427)/100+ROW()/10^9,"")</f>
        <v/>
      </c>
    </row>
    <row r="428" customFormat="false" ht="15" hidden="false" customHeight="false" outlineLevel="0" collapsed="false">
      <c r="A428" s="24" t="str">
        <f aca="false">IF(OR(B428="",G428="",H428=""),"",IFERROR(INDEX(Settings!$E$5:$E$49,MATCH(G428,Settings!$D$5:$D$49,0))&amp;INDEX(Settings!$H$5:$H$47,MATCH(H428,Settings!$G$5:$G$47,0))&amp;"-"&amp;TEXT(B428,"yymmdd")&amp;"-"&amp;IF(C428="","0000",TEXT(C428,"hhmm")),"CHECK LISTS"))</f>
        <v/>
      </c>
      <c r="B428" s="39"/>
      <c r="C428" s="40"/>
      <c r="D428" s="24" t="str">
        <f aca="false">IF(B428="","",TEXT(B428,"ddd"))</f>
        <v/>
      </c>
      <c r="E428" s="27" t="str">
        <f aca="false">IF(B428="","",B428-WEEKDAY(B428,3))</f>
        <v/>
      </c>
      <c r="F428" s="24" t="str">
        <f aca="false">IF(B428="","",TEXT(B428,"yyyy-mm"))</f>
        <v/>
      </c>
      <c r="G428" s="29"/>
      <c r="H428" s="29"/>
      <c r="I428" s="29"/>
      <c r="J428" s="29"/>
      <c r="K428" s="29"/>
      <c r="L428" s="29"/>
      <c r="M428" s="29"/>
      <c r="N428" s="29"/>
      <c r="O428" s="29"/>
      <c r="P428" s="29"/>
      <c r="Q428" s="30"/>
      <c r="R428" s="29"/>
      <c r="S428" s="32"/>
      <c r="T428" s="29"/>
      <c r="U428" s="29"/>
      <c r="V428" s="24" t="str">
        <f aca="false">IF(A428="","",IFERROR(INDEX(Settings!$F$5:$F$49,MATCH(G428,Settings!$D$5:$D$49,0)),""))</f>
        <v/>
      </c>
      <c r="W428" s="24" t="str">
        <f aca="false">IF(A428="","",IF(OR(P428="",P428="Organic"),"social","paid_social"))</f>
        <v/>
      </c>
      <c r="X428" s="24" t="str">
        <f aca="false">IF(A428="","",IF(K428&lt;&gt;"",IFERROR(INDEX('Case Studies'!$C$5:$C$54,MATCH(K428,'Case Studies'!$B$5:$B$54,0))&amp;"","case-study"),IF(J428&lt;&gt;"",IFERROR(INDEX(Settings!$J$5:$J$55,MATCH(J428,Settings!$I$5:$I$55,0)),"general"),"general")))</f>
        <v/>
      </c>
      <c r="Y428" s="24" t="str">
        <f aca="false">IF(A428="","",LOWER(A428))</f>
        <v/>
      </c>
      <c r="Z428" s="24" t="str">
        <f aca="false">IF(A428="","",IF(T428="",Settings!$B$5,T428)&amp;IF(ISNUMBER(FIND("?",IF(T428="",Settings!$B$5,T428))),"&amp;","?")&amp;"utm_source="&amp;V428&amp;"&amp;utm_medium="&amp;W428&amp;"&amp;utm_campaign="&amp;X428&amp;"&amp;utm_content="&amp;Y428)</f>
        <v/>
      </c>
      <c r="AA428" s="29"/>
      <c r="AB428" s="39"/>
      <c r="AC428" s="32"/>
      <c r="AD428" s="32"/>
      <c r="AE428" s="32"/>
      <c r="AF428" s="32"/>
      <c r="AG428" s="32"/>
      <c r="AH428" s="32"/>
      <c r="AI428" s="32"/>
      <c r="AJ428" s="32"/>
      <c r="AK428" s="32"/>
      <c r="AL428" s="32"/>
      <c r="AM428" s="32"/>
      <c r="AN428" s="32"/>
      <c r="AO428" s="33" t="str">
        <f aca="false">IF(A428="","",IF(AD428&lt;&gt;"",AD428,IF(AC428&lt;&gt;"",AC428,"")))</f>
        <v/>
      </c>
      <c r="AP428" s="24" t="str">
        <f aca="false">IF(AO428="","",IF(AD428&lt;&gt;"","Reported reach","Impressions (proxy)"))</f>
        <v/>
      </c>
      <c r="AQ428" s="34" t="str">
        <f aca="false">IF(OR(AO428="",N(S428)=0),"",AO428/S428)</f>
        <v/>
      </c>
      <c r="AR428" s="33" t="str">
        <f aca="false">IF(A428="","",IF(COUNT(AF428:AJ428)=0,"",SUM(AF428:AJ428)))</f>
        <v/>
      </c>
      <c r="AS428" s="34" t="str">
        <f aca="false">IF(OR(AR428="",N(AO428)=0),"",AR428/AO428)</f>
        <v/>
      </c>
      <c r="AT428" s="34" t="str">
        <f aca="false">IF(OR(AR428="",N(AC428)=0),"",AR428/AC428)</f>
        <v/>
      </c>
      <c r="AU428" s="34" t="str">
        <f aca="false">IF(OR(AR428="",N(S428)=0),"",AR428/S428)</f>
        <v/>
      </c>
      <c r="AV428" s="34" t="str">
        <f aca="false">IF(OR(AJ428="",N(AC428)=0),"",AJ428/AC428)</f>
        <v/>
      </c>
      <c r="AW428" s="34" t="str">
        <f aca="false">IF(OR(AH428="",N(AO428)=0),"",AH428/AO428)</f>
        <v/>
      </c>
      <c r="AX428" s="35" t="str">
        <f aca="false">IF(OR(AR428="",N(AO428)=0),"",(N(AF428)*Settings!$B$6+N(AG428)*Settings!$B$7+N(AH428)*Settings!$B$8+N(AI428)*Settings!$B$9+N(AJ428)*Settings!$B$10)/AO428*1000)</f>
        <v/>
      </c>
      <c r="AY428" s="36" t="str">
        <f aca="false">IF(AS428="","",IFERROR(AS428/AVERAGEIFS('Post Tracker'!$AS$5:$AS$1004,'Post Tracker'!$G$5:$G$1004,G428),""))</f>
        <v/>
      </c>
      <c r="AZ428" s="32"/>
      <c r="BA428" s="32"/>
      <c r="BB428" s="32"/>
      <c r="BC428" s="32"/>
      <c r="BD428" s="33" t="str">
        <f aca="false">IF(A428="","",COUNTIFS('Demo Pipeline'!$Q$5:$Q$504,A428))</f>
        <v/>
      </c>
      <c r="BE428" s="33" t="str">
        <f aca="false">IF(A428="","",COUNTIFS('Demo Pipeline'!$Q$5:$Q$504,A428,'Demo Pipeline'!$W$5:$W$504,"Attended"))</f>
        <v/>
      </c>
      <c r="BF428" s="33" t="str">
        <f aca="false">IF(A428="","",COUNTIFS('Demo Pipeline'!$Q$5:$Q$504,A428,'Demo Pipeline'!$X$5:$X$504,"Yes"))</f>
        <v/>
      </c>
      <c r="BG428" s="33" t="str">
        <f aca="false">IF(A428="","",COUNTIFS('Demo Pipeline'!$Q$5:$Q$504,A428,'Demo Pipeline'!$Y$5:$Y$504,"Closed Won"))</f>
        <v/>
      </c>
      <c r="BH428" s="37" t="str">
        <f aca="false">IF(A428="","",SUMIFS('Demo Pipeline'!$Z$5:$Z$504,'Demo Pipeline'!$Q$5:$Q$504,A428))</f>
        <v/>
      </c>
      <c r="BI428" s="34" t="str">
        <f aca="false">IF(OR(AZ428="",N(AJ428)=0),"",AZ428/AJ428)</f>
        <v/>
      </c>
      <c r="BJ428" s="34" t="str">
        <f aca="false">IF(OR(BB428="",N(AZ428)=0),"",BB428/AZ428)</f>
        <v/>
      </c>
      <c r="BK428" s="34" t="str">
        <f aca="false">IF(OR(A428="",N(BB428)=0),"",BD428/BB428)</f>
        <v/>
      </c>
      <c r="BL428" s="34" t="str">
        <f aca="false">IF(OR(A428="",N(AZ428)=0),"",BD428/AZ428)</f>
        <v/>
      </c>
      <c r="BM428" s="37" t="str">
        <f aca="false">IF(OR(N(Q428)=0,N(BD428)=0),"",Q428/BD428)</f>
        <v/>
      </c>
      <c r="BN428" s="29"/>
      <c r="BO428" s="29"/>
      <c r="BP428" s="33" t="str">
        <f aca="false">IF(OR(AR428="",N(AO428)=0),"",AR428)</f>
        <v/>
      </c>
      <c r="BQ428" s="33" t="str">
        <f aca="false">IF(OR(AR428="",N(S428)=0),"",S428)</f>
        <v/>
      </c>
      <c r="BR428" s="38" t="str">
        <f aca="false">IF(AND(ISNUMBER(B428),B428&gt;=Dashboard!$C$4,B428&lt;=Dashboard!$F$4,ISNUMBER(AU428)),AU428+ROW()/10^9,"")</f>
        <v/>
      </c>
      <c r="BS428" s="38" t="str">
        <f aca="false">IF(AND(ISNUMBER(B428),B428&gt;=Dashboard!$C$4,B428&lt;=Dashboard!$F$4,A428&lt;&gt;""),N(BD428)+N(AU428)/100+ROW()/10^9,"")</f>
        <v/>
      </c>
    </row>
    <row r="429" customFormat="false" ht="15" hidden="false" customHeight="false" outlineLevel="0" collapsed="false">
      <c r="A429" s="24" t="str">
        <f aca="false">IF(OR(B429="",G429="",H429=""),"",IFERROR(INDEX(Settings!$E$5:$E$49,MATCH(G429,Settings!$D$5:$D$49,0))&amp;INDEX(Settings!$H$5:$H$47,MATCH(H429,Settings!$G$5:$G$47,0))&amp;"-"&amp;TEXT(B429,"yymmdd")&amp;"-"&amp;IF(C429="","0000",TEXT(C429,"hhmm")),"CHECK LISTS"))</f>
        <v/>
      </c>
      <c r="B429" s="39"/>
      <c r="C429" s="40"/>
      <c r="D429" s="24" t="str">
        <f aca="false">IF(B429="","",TEXT(B429,"ddd"))</f>
        <v/>
      </c>
      <c r="E429" s="27" t="str">
        <f aca="false">IF(B429="","",B429-WEEKDAY(B429,3))</f>
        <v/>
      </c>
      <c r="F429" s="24" t="str">
        <f aca="false">IF(B429="","",TEXT(B429,"yyyy-mm"))</f>
        <v/>
      </c>
      <c r="G429" s="29"/>
      <c r="H429" s="29"/>
      <c r="I429" s="29"/>
      <c r="J429" s="29"/>
      <c r="K429" s="29"/>
      <c r="L429" s="29"/>
      <c r="M429" s="29"/>
      <c r="N429" s="29"/>
      <c r="O429" s="29"/>
      <c r="P429" s="29"/>
      <c r="Q429" s="30"/>
      <c r="R429" s="29"/>
      <c r="S429" s="32"/>
      <c r="T429" s="29"/>
      <c r="U429" s="29"/>
      <c r="V429" s="24" t="str">
        <f aca="false">IF(A429="","",IFERROR(INDEX(Settings!$F$5:$F$49,MATCH(G429,Settings!$D$5:$D$49,0)),""))</f>
        <v/>
      </c>
      <c r="W429" s="24" t="str">
        <f aca="false">IF(A429="","",IF(OR(P429="",P429="Organic"),"social","paid_social"))</f>
        <v/>
      </c>
      <c r="X429" s="24" t="str">
        <f aca="false">IF(A429="","",IF(K429&lt;&gt;"",IFERROR(INDEX('Case Studies'!$C$5:$C$54,MATCH(K429,'Case Studies'!$B$5:$B$54,0))&amp;"","case-study"),IF(J429&lt;&gt;"",IFERROR(INDEX(Settings!$J$5:$J$55,MATCH(J429,Settings!$I$5:$I$55,0)),"general"),"general")))</f>
        <v/>
      </c>
      <c r="Y429" s="24" t="str">
        <f aca="false">IF(A429="","",LOWER(A429))</f>
        <v/>
      </c>
      <c r="Z429" s="24" t="str">
        <f aca="false">IF(A429="","",IF(T429="",Settings!$B$5,T429)&amp;IF(ISNUMBER(FIND("?",IF(T429="",Settings!$B$5,T429))),"&amp;","?")&amp;"utm_source="&amp;V429&amp;"&amp;utm_medium="&amp;W429&amp;"&amp;utm_campaign="&amp;X429&amp;"&amp;utm_content="&amp;Y429)</f>
        <v/>
      </c>
      <c r="AA429" s="29"/>
      <c r="AB429" s="39"/>
      <c r="AC429" s="32"/>
      <c r="AD429" s="32"/>
      <c r="AE429" s="32"/>
      <c r="AF429" s="32"/>
      <c r="AG429" s="32"/>
      <c r="AH429" s="32"/>
      <c r="AI429" s="32"/>
      <c r="AJ429" s="32"/>
      <c r="AK429" s="32"/>
      <c r="AL429" s="32"/>
      <c r="AM429" s="32"/>
      <c r="AN429" s="32"/>
      <c r="AO429" s="33" t="str">
        <f aca="false">IF(A429="","",IF(AD429&lt;&gt;"",AD429,IF(AC429&lt;&gt;"",AC429,"")))</f>
        <v/>
      </c>
      <c r="AP429" s="24" t="str">
        <f aca="false">IF(AO429="","",IF(AD429&lt;&gt;"","Reported reach","Impressions (proxy)"))</f>
        <v/>
      </c>
      <c r="AQ429" s="34" t="str">
        <f aca="false">IF(OR(AO429="",N(S429)=0),"",AO429/S429)</f>
        <v/>
      </c>
      <c r="AR429" s="33" t="str">
        <f aca="false">IF(A429="","",IF(COUNT(AF429:AJ429)=0,"",SUM(AF429:AJ429)))</f>
        <v/>
      </c>
      <c r="AS429" s="34" t="str">
        <f aca="false">IF(OR(AR429="",N(AO429)=0),"",AR429/AO429)</f>
        <v/>
      </c>
      <c r="AT429" s="34" t="str">
        <f aca="false">IF(OR(AR429="",N(AC429)=0),"",AR429/AC429)</f>
        <v/>
      </c>
      <c r="AU429" s="34" t="str">
        <f aca="false">IF(OR(AR429="",N(S429)=0),"",AR429/S429)</f>
        <v/>
      </c>
      <c r="AV429" s="34" t="str">
        <f aca="false">IF(OR(AJ429="",N(AC429)=0),"",AJ429/AC429)</f>
        <v/>
      </c>
      <c r="AW429" s="34" t="str">
        <f aca="false">IF(OR(AH429="",N(AO429)=0),"",AH429/AO429)</f>
        <v/>
      </c>
      <c r="AX429" s="35" t="str">
        <f aca="false">IF(OR(AR429="",N(AO429)=0),"",(N(AF429)*Settings!$B$6+N(AG429)*Settings!$B$7+N(AH429)*Settings!$B$8+N(AI429)*Settings!$B$9+N(AJ429)*Settings!$B$10)/AO429*1000)</f>
        <v/>
      </c>
      <c r="AY429" s="36" t="str">
        <f aca="false">IF(AS429="","",IFERROR(AS429/AVERAGEIFS('Post Tracker'!$AS$5:$AS$1004,'Post Tracker'!$G$5:$G$1004,G429),""))</f>
        <v/>
      </c>
      <c r="AZ429" s="32"/>
      <c r="BA429" s="32"/>
      <c r="BB429" s="32"/>
      <c r="BC429" s="32"/>
      <c r="BD429" s="33" t="str">
        <f aca="false">IF(A429="","",COUNTIFS('Demo Pipeline'!$Q$5:$Q$504,A429))</f>
        <v/>
      </c>
      <c r="BE429" s="33" t="str">
        <f aca="false">IF(A429="","",COUNTIFS('Demo Pipeline'!$Q$5:$Q$504,A429,'Demo Pipeline'!$W$5:$W$504,"Attended"))</f>
        <v/>
      </c>
      <c r="BF429" s="33" t="str">
        <f aca="false">IF(A429="","",COUNTIFS('Demo Pipeline'!$Q$5:$Q$504,A429,'Demo Pipeline'!$X$5:$X$504,"Yes"))</f>
        <v/>
      </c>
      <c r="BG429" s="33" t="str">
        <f aca="false">IF(A429="","",COUNTIFS('Demo Pipeline'!$Q$5:$Q$504,A429,'Demo Pipeline'!$Y$5:$Y$504,"Closed Won"))</f>
        <v/>
      </c>
      <c r="BH429" s="37" t="str">
        <f aca="false">IF(A429="","",SUMIFS('Demo Pipeline'!$Z$5:$Z$504,'Demo Pipeline'!$Q$5:$Q$504,A429))</f>
        <v/>
      </c>
      <c r="BI429" s="34" t="str">
        <f aca="false">IF(OR(AZ429="",N(AJ429)=0),"",AZ429/AJ429)</f>
        <v/>
      </c>
      <c r="BJ429" s="34" t="str">
        <f aca="false">IF(OR(BB429="",N(AZ429)=0),"",BB429/AZ429)</f>
        <v/>
      </c>
      <c r="BK429" s="34" t="str">
        <f aca="false">IF(OR(A429="",N(BB429)=0),"",BD429/BB429)</f>
        <v/>
      </c>
      <c r="BL429" s="34" t="str">
        <f aca="false">IF(OR(A429="",N(AZ429)=0),"",BD429/AZ429)</f>
        <v/>
      </c>
      <c r="BM429" s="37" t="str">
        <f aca="false">IF(OR(N(Q429)=0,N(BD429)=0),"",Q429/BD429)</f>
        <v/>
      </c>
      <c r="BN429" s="29"/>
      <c r="BO429" s="29"/>
      <c r="BP429" s="33" t="str">
        <f aca="false">IF(OR(AR429="",N(AO429)=0),"",AR429)</f>
        <v/>
      </c>
      <c r="BQ429" s="33" t="str">
        <f aca="false">IF(OR(AR429="",N(S429)=0),"",S429)</f>
        <v/>
      </c>
      <c r="BR429" s="38" t="str">
        <f aca="false">IF(AND(ISNUMBER(B429),B429&gt;=Dashboard!$C$4,B429&lt;=Dashboard!$F$4,ISNUMBER(AU429)),AU429+ROW()/10^9,"")</f>
        <v/>
      </c>
      <c r="BS429" s="38" t="str">
        <f aca="false">IF(AND(ISNUMBER(B429),B429&gt;=Dashboard!$C$4,B429&lt;=Dashboard!$F$4,A429&lt;&gt;""),N(BD429)+N(AU429)/100+ROW()/10^9,"")</f>
        <v/>
      </c>
    </row>
    <row r="430" customFormat="false" ht="15" hidden="false" customHeight="false" outlineLevel="0" collapsed="false">
      <c r="A430" s="24" t="str">
        <f aca="false">IF(OR(B430="",G430="",H430=""),"",IFERROR(INDEX(Settings!$E$5:$E$49,MATCH(G430,Settings!$D$5:$D$49,0))&amp;INDEX(Settings!$H$5:$H$47,MATCH(H430,Settings!$G$5:$G$47,0))&amp;"-"&amp;TEXT(B430,"yymmdd")&amp;"-"&amp;IF(C430="","0000",TEXT(C430,"hhmm")),"CHECK LISTS"))</f>
        <v/>
      </c>
      <c r="B430" s="39"/>
      <c r="C430" s="40"/>
      <c r="D430" s="24" t="str">
        <f aca="false">IF(B430="","",TEXT(B430,"ddd"))</f>
        <v/>
      </c>
      <c r="E430" s="27" t="str">
        <f aca="false">IF(B430="","",B430-WEEKDAY(B430,3))</f>
        <v/>
      </c>
      <c r="F430" s="24" t="str">
        <f aca="false">IF(B430="","",TEXT(B430,"yyyy-mm"))</f>
        <v/>
      </c>
      <c r="G430" s="29"/>
      <c r="H430" s="29"/>
      <c r="I430" s="29"/>
      <c r="J430" s="29"/>
      <c r="K430" s="29"/>
      <c r="L430" s="29"/>
      <c r="M430" s="29"/>
      <c r="N430" s="29"/>
      <c r="O430" s="29"/>
      <c r="P430" s="29"/>
      <c r="Q430" s="30"/>
      <c r="R430" s="29"/>
      <c r="S430" s="32"/>
      <c r="T430" s="29"/>
      <c r="U430" s="29"/>
      <c r="V430" s="24" t="str">
        <f aca="false">IF(A430="","",IFERROR(INDEX(Settings!$F$5:$F$49,MATCH(G430,Settings!$D$5:$D$49,0)),""))</f>
        <v/>
      </c>
      <c r="W430" s="24" t="str">
        <f aca="false">IF(A430="","",IF(OR(P430="",P430="Organic"),"social","paid_social"))</f>
        <v/>
      </c>
      <c r="X430" s="24" t="str">
        <f aca="false">IF(A430="","",IF(K430&lt;&gt;"",IFERROR(INDEX('Case Studies'!$C$5:$C$54,MATCH(K430,'Case Studies'!$B$5:$B$54,0))&amp;"","case-study"),IF(J430&lt;&gt;"",IFERROR(INDEX(Settings!$J$5:$J$55,MATCH(J430,Settings!$I$5:$I$55,0)),"general"),"general")))</f>
        <v/>
      </c>
      <c r="Y430" s="24" t="str">
        <f aca="false">IF(A430="","",LOWER(A430))</f>
        <v/>
      </c>
      <c r="Z430" s="24" t="str">
        <f aca="false">IF(A430="","",IF(T430="",Settings!$B$5,T430)&amp;IF(ISNUMBER(FIND("?",IF(T430="",Settings!$B$5,T430))),"&amp;","?")&amp;"utm_source="&amp;V430&amp;"&amp;utm_medium="&amp;W430&amp;"&amp;utm_campaign="&amp;X430&amp;"&amp;utm_content="&amp;Y430)</f>
        <v/>
      </c>
      <c r="AA430" s="29"/>
      <c r="AB430" s="39"/>
      <c r="AC430" s="32"/>
      <c r="AD430" s="32"/>
      <c r="AE430" s="32"/>
      <c r="AF430" s="32"/>
      <c r="AG430" s="32"/>
      <c r="AH430" s="32"/>
      <c r="AI430" s="32"/>
      <c r="AJ430" s="32"/>
      <c r="AK430" s="32"/>
      <c r="AL430" s="32"/>
      <c r="AM430" s="32"/>
      <c r="AN430" s="32"/>
      <c r="AO430" s="33" t="str">
        <f aca="false">IF(A430="","",IF(AD430&lt;&gt;"",AD430,IF(AC430&lt;&gt;"",AC430,"")))</f>
        <v/>
      </c>
      <c r="AP430" s="24" t="str">
        <f aca="false">IF(AO430="","",IF(AD430&lt;&gt;"","Reported reach","Impressions (proxy)"))</f>
        <v/>
      </c>
      <c r="AQ430" s="34" t="str">
        <f aca="false">IF(OR(AO430="",N(S430)=0),"",AO430/S430)</f>
        <v/>
      </c>
      <c r="AR430" s="33" t="str">
        <f aca="false">IF(A430="","",IF(COUNT(AF430:AJ430)=0,"",SUM(AF430:AJ430)))</f>
        <v/>
      </c>
      <c r="AS430" s="34" t="str">
        <f aca="false">IF(OR(AR430="",N(AO430)=0),"",AR430/AO430)</f>
        <v/>
      </c>
      <c r="AT430" s="34" t="str">
        <f aca="false">IF(OR(AR430="",N(AC430)=0),"",AR430/AC430)</f>
        <v/>
      </c>
      <c r="AU430" s="34" t="str">
        <f aca="false">IF(OR(AR430="",N(S430)=0),"",AR430/S430)</f>
        <v/>
      </c>
      <c r="AV430" s="34" t="str">
        <f aca="false">IF(OR(AJ430="",N(AC430)=0),"",AJ430/AC430)</f>
        <v/>
      </c>
      <c r="AW430" s="34" t="str">
        <f aca="false">IF(OR(AH430="",N(AO430)=0),"",AH430/AO430)</f>
        <v/>
      </c>
      <c r="AX430" s="35" t="str">
        <f aca="false">IF(OR(AR430="",N(AO430)=0),"",(N(AF430)*Settings!$B$6+N(AG430)*Settings!$B$7+N(AH430)*Settings!$B$8+N(AI430)*Settings!$B$9+N(AJ430)*Settings!$B$10)/AO430*1000)</f>
        <v/>
      </c>
      <c r="AY430" s="36" t="str">
        <f aca="false">IF(AS430="","",IFERROR(AS430/AVERAGEIFS('Post Tracker'!$AS$5:$AS$1004,'Post Tracker'!$G$5:$G$1004,G430),""))</f>
        <v/>
      </c>
      <c r="AZ430" s="32"/>
      <c r="BA430" s="32"/>
      <c r="BB430" s="32"/>
      <c r="BC430" s="32"/>
      <c r="BD430" s="33" t="str">
        <f aca="false">IF(A430="","",COUNTIFS('Demo Pipeline'!$Q$5:$Q$504,A430))</f>
        <v/>
      </c>
      <c r="BE430" s="33" t="str">
        <f aca="false">IF(A430="","",COUNTIFS('Demo Pipeline'!$Q$5:$Q$504,A430,'Demo Pipeline'!$W$5:$W$504,"Attended"))</f>
        <v/>
      </c>
      <c r="BF430" s="33" t="str">
        <f aca="false">IF(A430="","",COUNTIFS('Demo Pipeline'!$Q$5:$Q$504,A430,'Demo Pipeline'!$X$5:$X$504,"Yes"))</f>
        <v/>
      </c>
      <c r="BG430" s="33" t="str">
        <f aca="false">IF(A430="","",COUNTIFS('Demo Pipeline'!$Q$5:$Q$504,A430,'Demo Pipeline'!$Y$5:$Y$504,"Closed Won"))</f>
        <v/>
      </c>
      <c r="BH430" s="37" t="str">
        <f aca="false">IF(A430="","",SUMIFS('Demo Pipeline'!$Z$5:$Z$504,'Demo Pipeline'!$Q$5:$Q$504,A430))</f>
        <v/>
      </c>
      <c r="BI430" s="34" t="str">
        <f aca="false">IF(OR(AZ430="",N(AJ430)=0),"",AZ430/AJ430)</f>
        <v/>
      </c>
      <c r="BJ430" s="34" t="str">
        <f aca="false">IF(OR(BB430="",N(AZ430)=0),"",BB430/AZ430)</f>
        <v/>
      </c>
      <c r="BK430" s="34" t="str">
        <f aca="false">IF(OR(A430="",N(BB430)=0),"",BD430/BB430)</f>
        <v/>
      </c>
      <c r="BL430" s="34" t="str">
        <f aca="false">IF(OR(A430="",N(AZ430)=0),"",BD430/AZ430)</f>
        <v/>
      </c>
      <c r="BM430" s="37" t="str">
        <f aca="false">IF(OR(N(Q430)=0,N(BD430)=0),"",Q430/BD430)</f>
        <v/>
      </c>
      <c r="BN430" s="29"/>
      <c r="BO430" s="29"/>
      <c r="BP430" s="33" t="str">
        <f aca="false">IF(OR(AR430="",N(AO430)=0),"",AR430)</f>
        <v/>
      </c>
      <c r="BQ430" s="33" t="str">
        <f aca="false">IF(OR(AR430="",N(S430)=0),"",S430)</f>
        <v/>
      </c>
      <c r="BR430" s="38" t="str">
        <f aca="false">IF(AND(ISNUMBER(B430),B430&gt;=Dashboard!$C$4,B430&lt;=Dashboard!$F$4,ISNUMBER(AU430)),AU430+ROW()/10^9,"")</f>
        <v/>
      </c>
      <c r="BS430" s="38" t="str">
        <f aca="false">IF(AND(ISNUMBER(B430),B430&gt;=Dashboard!$C$4,B430&lt;=Dashboard!$F$4,A430&lt;&gt;""),N(BD430)+N(AU430)/100+ROW()/10^9,"")</f>
        <v/>
      </c>
    </row>
    <row r="431" customFormat="false" ht="15" hidden="false" customHeight="false" outlineLevel="0" collapsed="false">
      <c r="A431" s="24" t="str">
        <f aca="false">IF(OR(B431="",G431="",H431=""),"",IFERROR(INDEX(Settings!$E$5:$E$49,MATCH(G431,Settings!$D$5:$D$49,0))&amp;INDEX(Settings!$H$5:$H$47,MATCH(H431,Settings!$G$5:$G$47,0))&amp;"-"&amp;TEXT(B431,"yymmdd")&amp;"-"&amp;IF(C431="","0000",TEXT(C431,"hhmm")),"CHECK LISTS"))</f>
        <v/>
      </c>
      <c r="B431" s="39"/>
      <c r="C431" s="40"/>
      <c r="D431" s="24" t="str">
        <f aca="false">IF(B431="","",TEXT(B431,"ddd"))</f>
        <v/>
      </c>
      <c r="E431" s="27" t="str">
        <f aca="false">IF(B431="","",B431-WEEKDAY(B431,3))</f>
        <v/>
      </c>
      <c r="F431" s="24" t="str">
        <f aca="false">IF(B431="","",TEXT(B431,"yyyy-mm"))</f>
        <v/>
      </c>
      <c r="G431" s="29"/>
      <c r="H431" s="29"/>
      <c r="I431" s="29"/>
      <c r="J431" s="29"/>
      <c r="K431" s="29"/>
      <c r="L431" s="29"/>
      <c r="M431" s="29"/>
      <c r="N431" s="29"/>
      <c r="O431" s="29"/>
      <c r="P431" s="29"/>
      <c r="Q431" s="30"/>
      <c r="R431" s="29"/>
      <c r="S431" s="32"/>
      <c r="T431" s="29"/>
      <c r="U431" s="29"/>
      <c r="V431" s="24" t="str">
        <f aca="false">IF(A431="","",IFERROR(INDEX(Settings!$F$5:$F$49,MATCH(G431,Settings!$D$5:$D$49,0)),""))</f>
        <v/>
      </c>
      <c r="W431" s="24" t="str">
        <f aca="false">IF(A431="","",IF(OR(P431="",P431="Organic"),"social","paid_social"))</f>
        <v/>
      </c>
      <c r="X431" s="24" t="str">
        <f aca="false">IF(A431="","",IF(K431&lt;&gt;"",IFERROR(INDEX('Case Studies'!$C$5:$C$54,MATCH(K431,'Case Studies'!$B$5:$B$54,0))&amp;"","case-study"),IF(J431&lt;&gt;"",IFERROR(INDEX(Settings!$J$5:$J$55,MATCH(J431,Settings!$I$5:$I$55,0)),"general"),"general")))</f>
        <v/>
      </c>
      <c r="Y431" s="24" t="str">
        <f aca="false">IF(A431="","",LOWER(A431))</f>
        <v/>
      </c>
      <c r="Z431" s="24" t="str">
        <f aca="false">IF(A431="","",IF(T431="",Settings!$B$5,T431)&amp;IF(ISNUMBER(FIND("?",IF(T431="",Settings!$B$5,T431))),"&amp;","?")&amp;"utm_source="&amp;V431&amp;"&amp;utm_medium="&amp;W431&amp;"&amp;utm_campaign="&amp;X431&amp;"&amp;utm_content="&amp;Y431)</f>
        <v/>
      </c>
      <c r="AA431" s="29"/>
      <c r="AB431" s="39"/>
      <c r="AC431" s="32"/>
      <c r="AD431" s="32"/>
      <c r="AE431" s="32"/>
      <c r="AF431" s="32"/>
      <c r="AG431" s="32"/>
      <c r="AH431" s="32"/>
      <c r="AI431" s="32"/>
      <c r="AJ431" s="32"/>
      <c r="AK431" s="32"/>
      <c r="AL431" s="32"/>
      <c r="AM431" s="32"/>
      <c r="AN431" s="32"/>
      <c r="AO431" s="33" t="str">
        <f aca="false">IF(A431="","",IF(AD431&lt;&gt;"",AD431,IF(AC431&lt;&gt;"",AC431,"")))</f>
        <v/>
      </c>
      <c r="AP431" s="24" t="str">
        <f aca="false">IF(AO431="","",IF(AD431&lt;&gt;"","Reported reach","Impressions (proxy)"))</f>
        <v/>
      </c>
      <c r="AQ431" s="34" t="str">
        <f aca="false">IF(OR(AO431="",N(S431)=0),"",AO431/S431)</f>
        <v/>
      </c>
      <c r="AR431" s="33" t="str">
        <f aca="false">IF(A431="","",IF(COUNT(AF431:AJ431)=0,"",SUM(AF431:AJ431)))</f>
        <v/>
      </c>
      <c r="AS431" s="34" t="str">
        <f aca="false">IF(OR(AR431="",N(AO431)=0),"",AR431/AO431)</f>
        <v/>
      </c>
      <c r="AT431" s="34" t="str">
        <f aca="false">IF(OR(AR431="",N(AC431)=0),"",AR431/AC431)</f>
        <v/>
      </c>
      <c r="AU431" s="34" t="str">
        <f aca="false">IF(OR(AR431="",N(S431)=0),"",AR431/S431)</f>
        <v/>
      </c>
      <c r="AV431" s="34" t="str">
        <f aca="false">IF(OR(AJ431="",N(AC431)=0),"",AJ431/AC431)</f>
        <v/>
      </c>
      <c r="AW431" s="34" t="str">
        <f aca="false">IF(OR(AH431="",N(AO431)=0),"",AH431/AO431)</f>
        <v/>
      </c>
      <c r="AX431" s="35" t="str">
        <f aca="false">IF(OR(AR431="",N(AO431)=0),"",(N(AF431)*Settings!$B$6+N(AG431)*Settings!$B$7+N(AH431)*Settings!$B$8+N(AI431)*Settings!$B$9+N(AJ431)*Settings!$B$10)/AO431*1000)</f>
        <v/>
      </c>
      <c r="AY431" s="36" t="str">
        <f aca="false">IF(AS431="","",IFERROR(AS431/AVERAGEIFS('Post Tracker'!$AS$5:$AS$1004,'Post Tracker'!$G$5:$G$1004,G431),""))</f>
        <v/>
      </c>
      <c r="AZ431" s="32"/>
      <c r="BA431" s="32"/>
      <c r="BB431" s="32"/>
      <c r="BC431" s="32"/>
      <c r="BD431" s="33" t="str">
        <f aca="false">IF(A431="","",COUNTIFS('Demo Pipeline'!$Q$5:$Q$504,A431))</f>
        <v/>
      </c>
      <c r="BE431" s="33" t="str">
        <f aca="false">IF(A431="","",COUNTIFS('Demo Pipeline'!$Q$5:$Q$504,A431,'Demo Pipeline'!$W$5:$W$504,"Attended"))</f>
        <v/>
      </c>
      <c r="BF431" s="33" t="str">
        <f aca="false">IF(A431="","",COUNTIFS('Demo Pipeline'!$Q$5:$Q$504,A431,'Demo Pipeline'!$X$5:$X$504,"Yes"))</f>
        <v/>
      </c>
      <c r="BG431" s="33" t="str">
        <f aca="false">IF(A431="","",COUNTIFS('Demo Pipeline'!$Q$5:$Q$504,A431,'Demo Pipeline'!$Y$5:$Y$504,"Closed Won"))</f>
        <v/>
      </c>
      <c r="BH431" s="37" t="str">
        <f aca="false">IF(A431="","",SUMIFS('Demo Pipeline'!$Z$5:$Z$504,'Demo Pipeline'!$Q$5:$Q$504,A431))</f>
        <v/>
      </c>
      <c r="BI431" s="34" t="str">
        <f aca="false">IF(OR(AZ431="",N(AJ431)=0),"",AZ431/AJ431)</f>
        <v/>
      </c>
      <c r="BJ431" s="34" t="str">
        <f aca="false">IF(OR(BB431="",N(AZ431)=0),"",BB431/AZ431)</f>
        <v/>
      </c>
      <c r="BK431" s="34" t="str">
        <f aca="false">IF(OR(A431="",N(BB431)=0),"",BD431/BB431)</f>
        <v/>
      </c>
      <c r="BL431" s="34" t="str">
        <f aca="false">IF(OR(A431="",N(AZ431)=0),"",BD431/AZ431)</f>
        <v/>
      </c>
      <c r="BM431" s="37" t="str">
        <f aca="false">IF(OR(N(Q431)=0,N(BD431)=0),"",Q431/BD431)</f>
        <v/>
      </c>
      <c r="BN431" s="29"/>
      <c r="BO431" s="29"/>
      <c r="BP431" s="33" t="str">
        <f aca="false">IF(OR(AR431="",N(AO431)=0),"",AR431)</f>
        <v/>
      </c>
      <c r="BQ431" s="33" t="str">
        <f aca="false">IF(OR(AR431="",N(S431)=0),"",S431)</f>
        <v/>
      </c>
      <c r="BR431" s="38" t="str">
        <f aca="false">IF(AND(ISNUMBER(B431),B431&gt;=Dashboard!$C$4,B431&lt;=Dashboard!$F$4,ISNUMBER(AU431)),AU431+ROW()/10^9,"")</f>
        <v/>
      </c>
      <c r="BS431" s="38" t="str">
        <f aca="false">IF(AND(ISNUMBER(B431),B431&gt;=Dashboard!$C$4,B431&lt;=Dashboard!$F$4,A431&lt;&gt;""),N(BD431)+N(AU431)/100+ROW()/10^9,"")</f>
        <v/>
      </c>
    </row>
    <row r="432" customFormat="false" ht="15" hidden="false" customHeight="false" outlineLevel="0" collapsed="false">
      <c r="A432" s="24" t="str">
        <f aca="false">IF(OR(B432="",G432="",H432=""),"",IFERROR(INDEX(Settings!$E$5:$E$49,MATCH(G432,Settings!$D$5:$D$49,0))&amp;INDEX(Settings!$H$5:$H$47,MATCH(H432,Settings!$G$5:$G$47,0))&amp;"-"&amp;TEXT(B432,"yymmdd")&amp;"-"&amp;IF(C432="","0000",TEXT(C432,"hhmm")),"CHECK LISTS"))</f>
        <v/>
      </c>
      <c r="B432" s="39"/>
      <c r="C432" s="40"/>
      <c r="D432" s="24" t="str">
        <f aca="false">IF(B432="","",TEXT(B432,"ddd"))</f>
        <v/>
      </c>
      <c r="E432" s="27" t="str">
        <f aca="false">IF(B432="","",B432-WEEKDAY(B432,3))</f>
        <v/>
      </c>
      <c r="F432" s="24" t="str">
        <f aca="false">IF(B432="","",TEXT(B432,"yyyy-mm"))</f>
        <v/>
      </c>
      <c r="G432" s="29"/>
      <c r="H432" s="29"/>
      <c r="I432" s="29"/>
      <c r="J432" s="29"/>
      <c r="K432" s="29"/>
      <c r="L432" s="29"/>
      <c r="M432" s="29"/>
      <c r="N432" s="29"/>
      <c r="O432" s="29"/>
      <c r="P432" s="29"/>
      <c r="Q432" s="30"/>
      <c r="R432" s="29"/>
      <c r="S432" s="32"/>
      <c r="T432" s="29"/>
      <c r="U432" s="29"/>
      <c r="V432" s="24" t="str">
        <f aca="false">IF(A432="","",IFERROR(INDEX(Settings!$F$5:$F$49,MATCH(G432,Settings!$D$5:$D$49,0)),""))</f>
        <v/>
      </c>
      <c r="W432" s="24" t="str">
        <f aca="false">IF(A432="","",IF(OR(P432="",P432="Organic"),"social","paid_social"))</f>
        <v/>
      </c>
      <c r="X432" s="24" t="str">
        <f aca="false">IF(A432="","",IF(K432&lt;&gt;"",IFERROR(INDEX('Case Studies'!$C$5:$C$54,MATCH(K432,'Case Studies'!$B$5:$B$54,0))&amp;"","case-study"),IF(J432&lt;&gt;"",IFERROR(INDEX(Settings!$J$5:$J$55,MATCH(J432,Settings!$I$5:$I$55,0)),"general"),"general")))</f>
        <v/>
      </c>
      <c r="Y432" s="24" t="str">
        <f aca="false">IF(A432="","",LOWER(A432))</f>
        <v/>
      </c>
      <c r="Z432" s="24" t="str">
        <f aca="false">IF(A432="","",IF(T432="",Settings!$B$5,T432)&amp;IF(ISNUMBER(FIND("?",IF(T432="",Settings!$B$5,T432))),"&amp;","?")&amp;"utm_source="&amp;V432&amp;"&amp;utm_medium="&amp;W432&amp;"&amp;utm_campaign="&amp;X432&amp;"&amp;utm_content="&amp;Y432)</f>
        <v/>
      </c>
      <c r="AA432" s="29"/>
      <c r="AB432" s="39"/>
      <c r="AC432" s="32"/>
      <c r="AD432" s="32"/>
      <c r="AE432" s="32"/>
      <c r="AF432" s="32"/>
      <c r="AG432" s="32"/>
      <c r="AH432" s="32"/>
      <c r="AI432" s="32"/>
      <c r="AJ432" s="32"/>
      <c r="AK432" s="32"/>
      <c r="AL432" s="32"/>
      <c r="AM432" s="32"/>
      <c r="AN432" s="32"/>
      <c r="AO432" s="33" t="str">
        <f aca="false">IF(A432="","",IF(AD432&lt;&gt;"",AD432,IF(AC432&lt;&gt;"",AC432,"")))</f>
        <v/>
      </c>
      <c r="AP432" s="24" t="str">
        <f aca="false">IF(AO432="","",IF(AD432&lt;&gt;"","Reported reach","Impressions (proxy)"))</f>
        <v/>
      </c>
      <c r="AQ432" s="34" t="str">
        <f aca="false">IF(OR(AO432="",N(S432)=0),"",AO432/S432)</f>
        <v/>
      </c>
      <c r="AR432" s="33" t="str">
        <f aca="false">IF(A432="","",IF(COUNT(AF432:AJ432)=0,"",SUM(AF432:AJ432)))</f>
        <v/>
      </c>
      <c r="AS432" s="34" t="str">
        <f aca="false">IF(OR(AR432="",N(AO432)=0),"",AR432/AO432)</f>
        <v/>
      </c>
      <c r="AT432" s="34" t="str">
        <f aca="false">IF(OR(AR432="",N(AC432)=0),"",AR432/AC432)</f>
        <v/>
      </c>
      <c r="AU432" s="34" t="str">
        <f aca="false">IF(OR(AR432="",N(S432)=0),"",AR432/S432)</f>
        <v/>
      </c>
      <c r="AV432" s="34" t="str">
        <f aca="false">IF(OR(AJ432="",N(AC432)=0),"",AJ432/AC432)</f>
        <v/>
      </c>
      <c r="AW432" s="34" t="str">
        <f aca="false">IF(OR(AH432="",N(AO432)=0),"",AH432/AO432)</f>
        <v/>
      </c>
      <c r="AX432" s="35" t="str">
        <f aca="false">IF(OR(AR432="",N(AO432)=0),"",(N(AF432)*Settings!$B$6+N(AG432)*Settings!$B$7+N(AH432)*Settings!$B$8+N(AI432)*Settings!$B$9+N(AJ432)*Settings!$B$10)/AO432*1000)</f>
        <v/>
      </c>
      <c r="AY432" s="36" t="str">
        <f aca="false">IF(AS432="","",IFERROR(AS432/AVERAGEIFS('Post Tracker'!$AS$5:$AS$1004,'Post Tracker'!$G$5:$G$1004,G432),""))</f>
        <v/>
      </c>
      <c r="AZ432" s="32"/>
      <c r="BA432" s="32"/>
      <c r="BB432" s="32"/>
      <c r="BC432" s="32"/>
      <c r="BD432" s="33" t="str">
        <f aca="false">IF(A432="","",COUNTIFS('Demo Pipeline'!$Q$5:$Q$504,A432))</f>
        <v/>
      </c>
      <c r="BE432" s="33" t="str">
        <f aca="false">IF(A432="","",COUNTIFS('Demo Pipeline'!$Q$5:$Q$504,A432,'Demo Pipeline'!$W$5:$W$504,"Attended"))</f>
        <v/>
      </c>
      <c r="BF432" s="33" t="str">
        <f aca="false">IF(A432="","",COUNTIFS('Demo Pipeline'!$Q$5:$Q$504,A432,'Demo Pipeline'!$X$5:$X$504,"Yes"))</f>
        <v/>
      </c>
      <c r="BG432" s="33" t="str">
        <f aca="false">IF(A432="","",COUNTIFS('Demo Pipeline'!$Q$5:$Q$504,A432,'Demo Pipeline'!$Y$5:$Y$504,"Closed Won"))</f>
        <v/>
      </c>
      <c r="BH432" s="37" t="str">
        <f aca="false">IF(A432="","",SUMIFS('Demo Pipeline'!$Z$5:$Z$504,'Demo Pipeline'!$Q$5:$Q$504,A432))</f>
        <v/>
      </c>
      <c r="BI432" s="34" t="str">
        <f aca="false">IF(OR(AZ432="",N(AJ432)=0),"",AZ432/AJ432)</f>
        <v/>
      </c>
      <c r="BJ432" s="34" t="str">
        <f aca="false">IF(OR(BB432="",N(AZ432)=0),"",BB432/AZ432)</f>
        <v/>
      </c>
      <c r="BK432" s="34" t="str">
        <f aca="false">IF(OR(A432="",N(BB432)=0),"",BD432/BB432)</f>
        <v/>
      </c>
      <c r="BL432" s="34" t="str">
        <f aca="false">IF(OR(A432="",N(AZ432)=0),"",BD432/AZ432)</f>
        <v/>
      </c>
      <c r="BM432" s="37" t="str">
        <f aca="false">IF(OR(N(Q432)=0,N(BD432)=0),"",Q432/BD432)</f>
        <v/>
      </c>
      <c r="BN432" s="29"/>
      <c r="BO432" s="29"/>
      <c r="BP432" s="33" t="str">
        <f aca="false">IF(OR(AR432="",N(AO432)=0),"",AR432)</f>
        <v/>
      </c>
      <c r="BQ432" s="33" t="str">
        <f aca="false">IF(OR(AR432="",N(S432)=0),"",S432)</f>
        <v/>
      </c>
      <c r="BR432" s="38" t="str">
        <f aca="false">IF(AND(ISNUMBER(B432),B432&gt;=Dashboard!$C$4,B432&lt;=Dashboard!$F$4,ISNUMBER(AU432)),AU432+ROW()/10^9,"")</f>
        <v/>
      </c>
      <c r="BS432" s="38" t="str">
        <f aca="false">IF(AND(ISNUMBER(B432),B432&gt;=Dashboard!$C$4,B432&lt;=Dashboard!$F$4,A432&lt;&gt;""),N(BD432)+N(AU432)/100+ROW()/10^9,"")</f>
        <v/>
      </c>
    </row>
    <row r="433" customFormat="false" ht="15" hidden="false" customHeight="false" outlineLevel="0" collapsed="false">
      <c r="A433" s="24" t="str">
        <f aca="false">IF(OR(B433="",G433="",H433=""),"",IFERROR(INDEX(Settings!$E$5:$E$49,MATCH(G433,Settings!$D$5:$D$49,0))&amp;INDEX(Settings!$H$5:$H$47,MATCH(H433,Settings!$G$5:$G$47,0))&amp;"-"&amp;TEXT(B433,"yymmdd")&amp;"-"&amp;IF(C433="","0000",TEXT(C433,"hhmm")),"CHECK LISTS"))</f>
        <v/>
      </c>
      <c r="B433" s="39"/>
      <c r="C433" s="40"/>
      <c r="D433" s="24" t="str">
        <f aca="false">IF(B433="","",TEXT(B433,"ddd"))</f>
        <v/>
      </c>
      <c r="E433" s="27" t="str">
        <f aca="false">IF(B433="","",B433-WEEKDAY(B433,3))</f>
        <v/>
      </c>
      <c r="F433" s="24" t="str">
        <f aca="false">IF(B433="","",TEXT(B433,"yyyy-mm"))</f>
        <v/>
      </c>
      <c r="G433" s="29"/>
      <c r="H433" s="29"/>
      <c r="I433" s="29"/>
      <c r="J433" s="29"/>
      <c r="K433" s="29"/>
      <c r="L433" s="29"/>
      <c r="M433" s="29"/>
      <c r="N433" s="29"/>
      <c r="O433" s="29"/>
      <c r="P433" s="29"/>
      <c r="Q433" s="30"/>
      <c r="R433" s="29"/>
      <c r="S433" s="32"/>
      <c r="T433" s="29"/>
      <c r="U433" s="29"/>
      <c r="V433" s="24" t="str">
        <f aca="false">IF(A433="","",IFERROR(INDEX(Settings!$F$5:$F$49,MATCH(G433,Settings!$D$5:$D$49,0)),""))</f>
        <v/>
      </c>
      <c r="W433" s="24" t="str">
        <f aca="false">IF(A433="","",IF(OR(P433="",P433="Organic"),"social","paid_social"))</f>
        <v/>
      </c>
      <c r="X433" s="24" t="str">
        <f aca="false">IF(A433="","",IF(K433&lt;&gt;"",IFERROR(INDEX('Case Studies'!$C$5:$C$54,MATCH(K433,'Case Studies'!$B$5:$B$54,0))&amp;"","case-study"),IF(J433&lt;&gt;"",IFERROR(INDEX(Settings!$J$5:$J$55,MATCH(J433,Settings!$I$5:$I$55,0)),"general"),"general")))</f>
        <v/>
      </c>
      <c r="Y433" s="24" t="str">
        <f aca="false">IF(A433="","",LOWER(A433))</f>
        <v/>
      </c>
      <c r="Z433" s="24" t="str">
        <f aca="false">IF(A433="","",IF(T433="",Settings!$B$5,T433)&amp;IF(ISNUMBER(FIND("?",IF(T433="",Settings!$B$5,T433))),"&amp;","?")&amp;"utm_source="&amp;V433&amp;"&amp;utm_medium="&amp;W433&amp;"&amp;utm_campaign="&amp;X433&amp;"&amp;utm_content="&amp;Y433)</f>
        <v/>
      </c>
      <c r="AA433" s="29"/>
      <c r="AB433" s="39"/>
      <c r="AC433" s="32"/>
      <c r="AD433" s="32"/>
      <c r="AE433" s="32"/>
      <c r="AF433" s="32"/>
      <c r="AG433" s="32"/>
      <c r="AH433" s="32"/>
      <c r="AI433" s="32"/>
      <c r="AJ433" s="32"/>
      <c r="AK433" s="32"/>
      <c r="AL433" s="32"/>
      <c r="AM433" s="32"/>
      <c r="AN433" s="32"/>
      <c r="AO433" s="33" t="str">
        <f aca="false">IF(A433="","",IF(AD433&lt;&gt;"",AD433,IF(AC433&lt;&gt;"",AC433,"")))</f>
        <v/>
      </c>
      <c r="AP433" s="24" t="str">
        <f aca="false">IF(AO433="","",IF(AD433&lt;&gt;"","Reported reach","Impressions (proxy)"))</f>
        <v/>
      </c>
      <c r="AQ433" s="34" t="str">
        <f aca="false">IF(OR(AO433="",N(S433)=0),"",AO433/S433)</f>
        <v/>
      </c>
      <c r="AR433" s="33" t="str">
        <f aca="false">IF(A433="","",IF(COUNT(AF433:AJ433)=0,"",SUM(AF433:AJ433)))</f>
        <v/>
      </c>
      <c r="AS433" s="34" t="str">
        <f aca="false">IF(OR(AR433="",N(AO433)=0),"",AR433/AO433)</f>
        <v/>
      </c>
      <c r="AT433" s="34" t="str">
        <f aca="false">IF(OR(AR433="",N(AC433)=0),"",AR433/AC433)</f>
        <v/>
      </c>
      <c r="AU433" s="34" t="str">
        <f aca="false">IF(OR(AR433="",N(S433)=0),"",AR433/S433)</f>
        <v/>
      </c>
      <c r="AV433" s="34" t="str">
        <f aca="false">IF(OR(AJ433="",N(AC433)=0),"",AJ433/AC433)</f>
        <v/>
      </c>
      <c r="AW433" s="34" t="str">
        <f aca="false">IF(OR(AH433="",N(AO433)=0),"",AH433/AO433)</f>
        <v/>
      </c>
      <c r="AX433" s="35" t="str">
        <f aca="false">IF(OR(AR433="",N(AO433)=0),"",(N(AF433)*Settings!$B$6+N(AG433)*Settings!$B$7+N(AH433)*Settings!$B$8+N(AI433)*Settings!$B$9+N(AJ433)*Settings!$B$10)/AO433*1000)</f>
        <v/>
      </c>
      <c r="AY433" s="36" t="str">
        <f aca="false">IF(AS433="","",IFERROR(AS433/AVERAGEIFS('Post Tracker'!$AS$5:$AS$1004,'Post Tracker'!$G$5:$G$1004,G433),""))</f>
        <v/>
      </c>
      <c r="AZ433" s="32"/>
      <c r="BA433" s="32"/>
      <c r="BB433" s="32"/>
      <c r="BC433" s="32"/>
      <c r="BD433" s="33" t="str">
        <f aca="false">IF(A433="","",COUNTIFS('Demo Pipeline'!$Q$5:$Q$504,A433))</f>
        <v/>
      </c>
      <c r="BE433" s="33" t="str">
        <f aca="false">IF(A433="","",COUNTIFS('Demo Pipeline'!$Q$5:$Q$504,A433,'Demo Pipeline'!$W$5:$W$504,"Attended"))</f>
        <v/>
      </c>
      <c r="BF433" s="33" t="str">
        <f aca="false">IF(A433="","",COUNTIFS('Demo Pipeline'!$Q$5:$Q$504,A433,'Demo Pipeline'!$X$5:$X$504,"Yes"))</f>
        <v/>
      </c>
      <c r="BG433" s="33" t="str">
        <f aca="false">IF(A433="","",COUNTIFS('Demo Pipeline'!$Q$5:$Q$504,A433,'Demo Pipeline'!$Y$5:$Y$504,"Closed Won"))</f>
        <v/>
      </c>
      <c r="BH433" s="37" t="str">
        <f aca="false">IF(A433="","",SUMIFS('Demo Pipeline'!$Z$5:$Z$504,'Demo Pipeline'!$Q$5:$Q$504,A433))</f>
        <v/>
      </c>
      <c r="BI433" s="34" t="str">
        <f aca="false">IF(OR(AZ433="",N(AJ433)=0),"",AZ433/AJ433)</f>
        <v/>
      </c>
      <c r="BJ433" s="34" t="str">
        <f aca="false">IF(OR(BB433="",N(AZ433)=0),"",BB433/AZ433)</f>
        <v/>
      </c>
      <c r="BK433" s="34" t="str">
        <f aca="false">IF(OR(A433="",N(BB433)=0),"",BD433/BB433)</f>
        <v/>
      </c>
      <c r="BL433" s="34" t="str">
        <f aca="false">IF(OR(A433="",N(AZ433)=0),"",BD433/AZ433)</f>
        <v/>
      </c>
      <c r="BM433" s="37" t="str">
        <f aca="false">IF(OR(N(Q433)=0,N(BD433)=0),"",Q433/BD433)</f>
        <v/>
      </c>
      <c r="BN433" s="29"/>
      <c r="BO433" s="29"/>
      <c r="BP433" s="33" t="str">
        <f aca="false">IF(OR(AR433="",N(AO433)=0),"",AR433)</f>
        <v/>
      </c>
      <c r="BQ433" s="33" t="str">
        <f aca="false">IF(OR(AR433="",N(S433)=0),"",S433)</f>
        <v/>
      </c>
      <c r="BR433" s="38" t="str">
        <f aca="false">IF(AND(ISNUMBER(B433),B433&gt;=Dashboard!$C$4,B433&lt;=Dashboard!$F$4,ISNUMBER(AU433)),AU433+ROW()/10^9,"")</f>
        <v/>
      </c>
      <c r="BS433" s="38" t="str">
        <f aca="false">IF(AND(ISNUMBER(B433),B433&gt;=Dashboard!$C$4,B433&lt;=Dashboard!$F$4,A433&lt;&gt;""),N(BD433)+N(AU433)/100+ROW()/10^9,"")</f>
        <v/>
      </c>
    </row>
    <row r="434" customFormat="false" ht="15" hidden="false" customHeight="false" outlineLevel="0" collapsed="false">
      <c r="A434" s="24" t="str">
        <f aca="false">IF(OR(B434="",G434="",H434=""),"",IFERROR(INDEX(Settings!$E$5:$E$49,MATCH(G434,Settings!$D$5:$D$49,0))&amp;INDEX(Settings!$H$5:$H$47,MATCH(H434,Settings!$G$5:$G$47,0))&amp;"-"&amp;TEXT(B434,"yymmdd")&amp;"-"&amp;IF(C434="","0000",TEXT(C434,"hhmm")),"CHECK LISTS"))</f>
        <v/>
      </c>
      <c r="B434" s="39"/>
      <c r="C434" s="40"/>
      <c r="D434" s="24" t="str">
        <f aca="false">IF(B434="","",TEXT(B434,"ddd"))</f>
        <v/>
      </c>
      <c r="E434" s="27" t="str">
        <f aca="false">IF(B434="","",B434-WEEKDAY(B434,3))</f>
        <v/>
      </c>
      <c r="F434" s="24" t="str">
        <f aca="false">IF(B434="","",TEXT(B434,"yyyy-mm"))</f>
        <v/>
      </c>
      <c r="G434" s="29"/>
      <c r="H434" s="29"/>
      <c r="I434" s="29"/>
      <c r="J434" s="29"/>
      <c r="K434" s="29"/>
      <c r="L434" s="29"/>
      <c r="M434" s="29"/>
      <c r="N434" s="29"/>
      <c r="O434" s="29"/>
      <c r="P434" s="29"/>
      <c r="Q434" s="30"/>
      <c r="R434" s="29"/>
      <c r="S434" s="32"/>
      <c r="T434" s="29"/>
      <c r="U434" s="29"/>
      <c r="V434" s="24" t="str">
        <f aca="false">IF(A434="","",IFERROR(INDEX(Settings!$F$5:$F$49,MATCH(G434,Settings!$D$5:$D$49,0)),""))</f>
        <v/>
      </c>
      <c r="W434" s="24" t="str">
        <f aca="false">IF(A434="","",IF(OR(P434="",P434="Organic"),"social","paid_social"))</f>
        <v/>
      </c>
      <c r="X434" s="24" t="str">
        <f aca="false">IF(A434="","",IF(K434&lt;&gt;"",IFERROR(INDEX('Case Studies'!$C$5:$C$54,MATCH(K434,'Case Studies'!$B$5:$B$54,0))&amp;"","case-study"),IF(J434&lt;&gt;"",IFERROR(INDEX(Settings!$J$5:$J$55,MATCH(J434,Settings!$I$5:$I$55,0)),"general"),"general")))</f>
        <v/>
      </c>
      <c r="Y434" s="24" t="str">
        <f aca="false">IF(A434="","",LOWER(A434))</f>
        <v/>
      </c>
      <c r="Z434" s="24" t="str">
        <f aca="false">IF(A434="","",IF(T434="",Settings!$B$5,T434)&amp;IF(ISNUMBER(FIND("?",IF(T434="",Settings!$B$5,T434))),"&amp;","?")&amp;"utm_source="&amp;V434&amp;"&amp;utm_medium="&amp;W434&amp;"&amp;utm_campaign="&amp;X434&amp;"&amp;utm_content="&amp;Y434)</f>
        <v/>
      </c>
      <c r="AA434" s="29"/>
      <c r="AB434" s="39"/>
      <c r="AC434" s="32"/>
      <c r="AD434" s="32"/>
      <c r="AE434" s="32"/>
      <c r="AF434" s="32"/>
      <c r="AG434" s="32"/>
      <c r="AH434" s="32"/>
      <c r="AI434" s="32"/>
      <c r="AJ434" s="32"/>
      <c r="AK434" s="32"/>
      <c r="AL434" s="32"/>
      <c r="AM434" s="32"/>
      <c r="AN434" s="32"/>
      <c r="AO434" s="33" t="str">
        <f aca="false">IF(A434="","",IF(AD434&lt;&gt;"",AD434,IF(AC434&lt;&gt;"",AC434,"")))</f>
        <v/>
      </c>
      <c r="AP434" s="24" t="str">
        <f aca="false">IF(AO434="","",IF(AD434&lt;&gt;"","Reported reach","Impressions (proxy)"))</f>
        <v/>
      </c>
      <c r="AQ434" s="34" t="str">
        <f aca="false">IF(OR(AO434="",N(S434)=0),"",AO434/S434)</f>
        <v/>
      </c>
      <c r="AR434" s="33" t="str">
        <f aca="false">IF(A434="","",IF(COUNT(AF434:AJ434)=0,"",SUM(AF434:AJ434)))</f>
        <v/>
      </c>
      <c r="AS434" s="34" t="str">
        <f aca="false">IF(OR(AR434="",N(AO434)=0),"",AR434/AO434)</f>
        <v/>
      </c>
      <c r="AT434" s="34" t="str">
        <f aca="false">IF(OR(AR434="",N(AC434)=0),"",AR434/AC434)</f>
        <v/>
      </c>
      <c r="AU434" s="34" t="str">
        <f aca="false">IF(OR(AR434="",N(S434)=0),"",AR434/S434)</f>
        <v/>
      </c>
      <c r="AV434" s="34" t="str">
        <f aca="false">IF(OR(AJ434="",N(AC434)=0),"",AJ434/AC434)</f>
        <v/>
      </c>
      <c r="AW434" s="34" t="str">
        <f aca="false">IF(OR(AH434="",N(AO434)=0),"",AH434/AO434)</f>
        <v/>
      </c>
      <c r="AX434" s="35" t="str">
        <f aca="false">IF(OR(AR434="",N(AO434)=0),"",(N(AF434)*Settings!$B$6+N(AG434)*Settings!$B$7+N(AH434)*Settings!$B$8+N(AI434)*Settings!$B$9+N(AJ434)*Settings!$B$10)/AO434*1000)</f>
        <v/>
      </c>
      <c r="AY434" s="36" t="str">
        <f aca="false">IF(AS434="","",IFERROR(AS434/AVERAGEIFS('Post Tracker'!$AS$5:$AS$1004,'Post Tracker'!$G$5:$G$1004,G434),""))</f>
        <v/>
      </c>
      <c r="AZ434" s="32"/>
      <c r="BA434" s="32"/>
      <c r="BB434" s="32"/>
      <c r="BC434" s="32"/>
      <c r="BD434" s="33" t="str">
        <f aca="false">IF(A434="","",COUNTIFS('Demo Pipeline'!$Q$5:$Q$504,A434))</f>
        <v/>
      </c>
      <c r="BE434" s="33" t="str">
        <f aca="false">IF(A434="","",COUNTIFS('Demo Pipeline'!$Q$5:$Q$504,A434,'Demo Pipeline'!$W$5:$W$504,"Attended"))</f>
        <v/>
      </c>
      <c r="BF434" s="33" t="str">
        <f aca="false">IF(A434="","",COUNTIFS('Demo Pipeline'!$Q$5:$Q$504,A434,'Demo Pipeline'!$X$5:$X$504,"Yes"))</f>
        <v/>
      </c>
      <c r="BG434" s="33" t="str">
        <f aca="false">IF(A434="","",COUNTIFS('Demo Pipeline'!$Q$5:$Q$504,A434,'Demo Pipeline'!$Y$5:$Y$504,"Closed Won"))</f>
        <v/>
      </c>
      <c r="BH434" s="37" t="str">
        <f aca="false">IF(A434="","",SUMIFS('Demo Pipeline'!$Z$5:$Z$504,'Demo Pipeline'!$Q$5:$Q$504,A434))</f>
        <v/>
      </c>
      <c r="BI434" s="34" t="str">
        <f aca="false">IF(OR(AZ434="",N(AJ434)=0),"",AZ434/AJ434)</f>
        <v/>
      </c>
      <c r="BJ434" s="34" t="str">
        <f aca="false">IF(OR(BB434="",N(AZ434)=0),"",BB434/AZ434)</f>
        <v/>
      </c>
      <c r="BK434" s="34" t="str">
        <f aca="false">IF(OR(A434="",N(BB434)=0),"",BD434/BB434)</f>
        <v/>
      </c>
      <c r="BL434" s="34" t="str">
        <f aca="false">IF(OR(A434="",N(AZ434)=0),"",BD434/AZ434)</f>
        <v/>
      </c>
      <c r="BM434" s="37" t="str">
        <f aca="false">IF(OR(N(Q434)=0,N(BD434)=0),"",Q434/BD434)</f>
        <v/>
      </c>
      <c r="BN434" s="29"/>
      <c r="BO434" s="29"/>
      <c r="BP434" s="33" t="str">
        <f aca="false">IF(OR(AR434="",N(AO434)=0),"",AR434)</f>
        <v/>
      </c>
      <c r="BQ434" s="33" t="str">
        <f aca="false">IF(OR(AR434="",N(S434)=0),"",S434)</f>
        <v/>
      </c>
      <c r="BR434" s="38" t="str">
        <f aca="false">IF(AND(ISNUMBER(B434),B434&gt;=Dashboard!$C$4,B434&lt;=Dashboard!$F$4,ISNUMBER(AU434)),AU434+ROW()/10^9,"")</f>
        <v/>
      </c>
      <c r="BS434" s="38" t="str">
        <f aca="false">IF(AND(ISNUMBER(B434),B434&gt;=Dashboard!$C$4,B434&lt;=Dashboard!$F$4,A434&lt;&gt;""),N(BD434)+N(AU434)/100+ROW()/10^9,"")</f>
        <v/>
      </c>
    </row>
    <row r="435" customFormat="false" ht="15" hidden="false" customHeight="false" outlineLevel="0" collapsed="false">
      <c r="A435" s="24" t="str">
        <f aca="false">IF(OR(B435="",G435="",H435=""),"",IFERROR(INDEX(Settings!$E$5:$E$49,MATCH(G435,Settings!$D$5:$D$49,0))&amp;INDEX(Settings!$H$5:$H$47,MATCH(H435,Settings!$G$5:$G$47,0))&amp;"-"&amp;TEXT(B435,"yymmdd")&amp;"-"&amp;IF(C435="","0000",TEXT(C435,"hhmm")),"CHECK LISTS"))</f>
        <v/>
      </c>
      <c r="B435" s="39"/>
      <c r="C435" s="40"/>
      <c r="D435" s="24" t="str">
        <f aca="false">IF(B435="","",TEXT(B435,"ddd"))</f>
        <v/>
      </c>
      <c r="E435" s="27" t="str">
        <f aca="false">IF(B435="","",B435-WEEKDAY(B435,3))</f>
        <v/>
      </c>
      <c r="F435" s="24" t="str">
        <f aca="false">IF(B435="","",TEXT(B435,"yyyy-mm"))</f>
        <v/>
      </c>
      <c r="G435" s="29"/>
      <c r="H435" s="29"/>
      <c r="I435" s="29"/>
      <c r="J435" s="29"/>
      <c r="K435" s="29"/>
      <c r="L435" s="29"/>
      <c r="M435" s="29"/>
      <c r="N435" s="29"/>
      <c r="O435" s="29"/>
      <c r="P435" s="29"/>
      <c r="Q435" s="30"/>
      <c r="R435" s="29"/>
      <c r="S435" s="32"/>
      <c r="T435" s="29"/>
      <c r="U435" s="29"/>
      <c r="V435" s="24" t="str">
        <f aca="false">IF(A435="","",IFERROR(INDEX(Settings!$F$5:$F$49,MATCH(G435,Settings!$D$5:$D$49,0)),""))</f>
        <v/>
      </c>
      <c r="W435" s="24" t="str">
        <f aca="false">IF(A435="","",IF(OR(P435="",P435="Organic"),"social","paid_social"))</f>
        <v/>
      </c>
      <c r="X435" s="24" t="str">
        <f aca="false">IF(A435="","",IF(K435&lt;&gt;"",IFERROR(INDEX('Case Studies'!$C$5:$C$54,MATCH(K435,'Case Studies'!$B$5:$B$54,0))&amp;"","case-study"),IF(J435&lt;&gt;"",IFERROR(INDEX(Settings!$J$5:$J$55,MATCH(J435,Settings!$I$5:$I$55,0)),"general"),"general")))</f>
        <v/>
      </c>
      <c r="Y435" s="24" t="str">
        <f aca="false">IF(A435="","",LOWER(A435))</f>
        <v/>
      </c>
      <c r="Z435" s="24" t="str">
        <f aca="false">IF(A435="","",IF(T435="",Settings!$B$5,T435)&amp;IF(ISNUMBER(FIND("?",IF(T435="",Settings!$B$5,T435))),"&amp;","?")&amp;"utm_source="&amp;V435&amp;"&amp;utm_medium="&amp;W435&amp;"&amp;utm_campaign="&amp;X435&amp;"&amp;utm_content="&amp;Y435)</f>
        <v/>
      </c>
      <c r="AA435" s="29"/>
      <c r="AB435" s="39"/>
      <c r="AC435" s="32"/>
      <c r="AD435" s="32"/>
      <c r="AE435" s="32"/>
      <c r="AF435" s="32"/>
      <c r="AG435" s="32"/>
      <c r="AH435" s="32"/>
      <c r="AI435" s="32"/>
      <c r="AJ435" s="32"/>
      <c r="AK435" s="32"/>
      <c r="AL435" s="32"/>
      <c r="AM435" s="32"/>
      <c r="AN435" s="32"/>
      <c r="AO435" s="33" t="str">
        <f aca="false">IF(A435="","",IF(AD435&lt;&gt;"",AD435,IF(AC435&lt;&gt;"",AC435,"")))</f>
        <v/>
      </c>
      <c r="AP435" s="24" t="str">
        <f aca="false">IF(AO435="","",IF(AD435&lt;&gt;"","Reported reach","Impressions (proxy)"))</f>
        <v/>
      </c>
      <c r="AQ435" s="34" t="str">
        <f aca="false">IF(OR(AO435="",N(S435)=0),"",AO435/S435)</f>
        <v/>
      </c>
      <c r="AR435" s="33" t="str">
        <f aca="false">IF(A435="","",IF(COUNT(AF435:AJ435)=0,"",SUM(AF435:AJ435)))</f>
        <v/>
      </c>
      <c r="AS435" s="34" t="str">
        <f aca="false">IF(OR(AR435="",N(AO435)=0),"",AR435/AO435)</f>
        <v/>
      </c>
      <c r="AT435" s="34" t="str">
        <f aca="false">IF(OR(AR435="",N(AC435)=0),"",AR435/AC435)</f>
        <v/>
      </c>
      <c r="AU435" s="34" t="str">
        <f aca="false">IF(OR(AR435="",N(S435)=0),"",AR435/S435)</f>
        <v/>
      </c>
      <c r="AV435" s="34" t="str">
        <f aca="false">IF(OR(AJ435="",N(AC435)=0),"",AJ435/AC435)</f>
        <v/>
      </c>
      <c r="AW435" s="34" t="str">
        <f aca="false">IF(OR(AH435="",N(AO435)=0),"",AH435/AO435)</f>
        <v/>
      </c>
      <c r="AX435" s="35" t="str">
        <f aca="false">IF(OR(AR435="",N(AO435)=0),"",(N(AF435)*Settings!$B$6+N(AG435)*Settings!$B$7+N(AH435)*Settings!$B$8+N(AI435)*Settings!$B$9+N(AJ435)*Settings!$B$10)/AO435*1000)</f>
        <v/>
      </c>
      <c r="AY435" s="36" t="str">
        <f aca="false">IF(AS435="","",IFERROR(AS435/AVERAGEIFS('Post Tracker'!$AS$5:$AS$1004,'Post Tracker'!$G$5:$G$1004,G435),""))</f>
        <v/>
      </c>
      <c r="AZ435" s="32"/>
      <c r="BA435" s="32"/>
      <c r="BB435" s="32"/>
      <c r="BC435" s="32"/>
      <c r="BD435" s="33" t="str">
        <f aca="false">IF(A435="","",COUNTIFS('Demo Pipeline'!$Q$5:$Q$504,A435))</f>
        <v/>
      </c>
      <c r="BE435" s="33" t="str">
        <f aca="false">IF(A435="","",COUNTIFS('Demo Pipeline'!$Q$5:$Q$504,A435,'Demo Pipeline'!$W$5:$W$504,"Attended"))</f>
        <v/>
      </c>
      <c r="BF435" s="33" t="str">
        <f aca="false">IF(A435="","",COUNTIFS('Demo Pipeline'!$Q$5:$Q$504,A435,'Demo Pipeline'!$X$5:$X$504,"Yes"))</f>
        <v/>
      </c>
      <c r="BG435" s="33" t="str">
        <f aca="false">IF(A435="","",COUNTIFS('Demo Pipeline'!$Q$5:$Q$504,A435,'Demo Pipeline'!$Y$5:$Y$504,"Closed Won"))</f>
        <v/>
      </c>
      <c r="BH435" s="37" t="str">
        <f aca="false">IF(A435="","",SUMIFS('Demo Pipeline'!$Z$5:$Z$504,'Demo Pipeline'!$Q$5:$Q$504,A435))</f>
        <v/>
      </c>
      <c r="BI435" s="34" t="str">
        <f aca="false">IF(OR(AZ435="",N(AJ435)=0),"",AZ435/AJ435)</f>
        <v/>
      </c>
      <c r="BJ435" s="34" t="str">
        <f aca="false">IF(OR(BB435="",N(AZ435)=0),"",BB435/AZ435)</f>
        <v/>
      </c>
      <c r="BK435" s="34" t="str">
        <f aca="false">IF(OR(A435="",N(BB435)=0),"",BD435/BB435)</f>
        <v/>
      </c>
      <c r="BL435" s="34" t="str">
        <f aca="false">IF(OR(A435="",N(AZ435)=0),"",BD435/AZ435)</f>
        <v/>
      </c>
      <c r="BM435" s="37" t="str">
        <f aca="false">IF(OR(N(Q435)=0,N(BD435)=0),"",Q435/BD435)</f>
        <v/>
      </c>
      <c r="BN435" s="29"/>
      <c r="BO435" s="29"/>
      <c r="BP435" s="33" t="str">
        <f aca="false">IF(OR(AR435="",N(AO435)=0),"",AR435)</f>
        <v/>
      </c>
      <c r="BQ435" s="33" t="str">
        <f aca="false">IF(OR(AR435="",N(S435)=0),"",S435)</f>
        <v/>
      </c>
      <c r="BR435" s="38" t="str">
        <f aca="false">IF(AND(ISNUMBER(B435),B435&gt;=Dashboard!$C$4,B435&lt;=Dashboard!$F$4,ISNUMBER(AU435)),AU435+ROW()/10^9,"")</f>
        <v/>
      </c>
      <c r="BS435" s="38" t="str">
        <f aca="false">IF(AND(ISNUMBER(B435),B435&gt;=Dashboard!$C$4,B435&lt;=Dashboard!$F$4,A435&lt;&gt;""),N(BD435)+N(AU435)/100+ROW()/10^9,"")</f>
        <v/>
      </c>
    </row>
    <row r="436" customFormat="false" ht="15" hidden="false" customHeight="false" outlineLevel="0" collapsed="false">
      <c r="A436" s="24" t="str">
        <f aca="false">IF(OR(B436="",G436="",H436=""),"",IFERROR(INDEX(Settings!$E$5:$E$49,MATCH(G436,Settings!$D$5:$D$49,0))&amp;INDEX(Settings!$H$5:$H$47,MATCH(H436,Settings!$G$5:$G$47,0))&amp;"-"&amp;TEXT(B436,"yymmdd")&amp;"-"&amp;IF(C436="","0000",TEXT(C436,"hhmm")),"CHECK LISTS"))</f>
        <v/>
      </c>
      <c r="B436" s="39"/>
      <c r="C436" s="40"/>
      <c r="D436" s="24" t="str">
        <f aca="false">IF(B436="","",TEXT(B436,"ddd"))</f>
        <v/>
      </c>
      <c r="E436" s="27" t="str">
        <f aca="false">IF(B436="","",B436-WEEKDAY(B436,3))</f>
        <v/>
      </c>
      <c r="F436" s="24" t="str">
        <f aca="false">IF(B436="","",TEXT(B436,"yyyy-mm"))</f>
        <v/>
      </c>
      <c r="G436" s="29"/>
      <c r="H436" s="29"/>
      <c r="I436" s="29"/>
      <c r="J436" s="29"/>
      <c r="K436" s="29"/>
      <c r="L436" s="29"/>
      <c r="M436" s="29"/>
      <c r="N436" s="29"/>
      <c r="O436" s="29"/>
      <c r="P436" s="29"/>
      <c r="Q436" s="30"/>
      <c r="R436" s="29"/>
      <c r="S436" s="32"/>
      <c r="T436" s="29"/>
      <c r="U436" s="29"/>
      <c r="V436" s="24" t="str">
        <f aca="false">IF(A436="","",IFERROR(INDEX(Settings!$F$5:$F$49,MATCH(G436,Settings!$D$5:$D$49,0)),""))</f>
        <v/>
      </c>
      <c r="W436" s="24" t="str">
        <f aca="false">IF(A436="","",IF(OR(P436="",P436="Organic"),"social","paid_social"))</f>
        <v/>
      </c>
      <c r="X436" s="24" t="str">
        <f aca="false">IF(A436="","",IF(K436&lt;&gt;"",IFERROR(INDEX('Case Studies'!$C$5:$C$54,MATCH(K436,'Case Studies'!$B$5:$B$54,0))&amp;"","case-study"),IF(J436&lt;&gt;"",IFERROR(INDEX(Settings!$J$5:$J$55,MATCH(J436,Settings!$I$5:$I$55,0)),"general"),"general")))</f>
        <v/>
      </c>
      <c r="Y436" s="24" t="str">
        <f aca="false">IF(A436="","",LOWER(A436))</f>
        <v/>
      </c>
      <c r="Z436" s="24" t="str">
        <f aca="false">IF(A436="","",IF(T436="",Settings!$B$5,T436)&amp;IF(ISNUMBER(FIND("?",IF(T436="",Settings!$B$5,T436))),"&amp;","?")&amp;"utm_source="&amp;V436&amp;"&amp;utm_medium="&amp;W436&amp;"&amp;utm_campaign="&amp;X436&amp;"&amp;utm_content="&amp;Y436)</f>
        <v/>
      </c>
      <c r="AA436" s="29"/>
      <c r="AB436" s="39"/>
      <c r="AC436" s="32"/>
      <c r="AD436" s="32"/>
      <c r="AE436" s="32"/>
      <c r="AF436" s="32"/>
      <c r="AG436" s="32"/>
      <c r="AH436" s="32"/>
      <c r="AI436" s="32"/>
      <c r="AJ436" s="32"/>
      <c r="AK436" s="32"/>
      <c r="AL436" s="32"/>
      <c r="AM436" s="32"/>
      <c r="AN436" s="32"/>
      <c r="AO436" s="33" t="str">
        <f aca="false">IF(A436="","",IF(AD436&lt;&gt;"",AD436,IF(AC436&lt;&gt;"",AC436,"")))</f>
        <v/>
      </c>
      <c r="AP436" s="24" t="str">
        <f aca="false">IF(AO436="","",IF(AD436&lt;&gt;"","Reported reach","Impressions (proxy)"))</f>
        <v/>
      </c>
      <c r="AQ436" s="34" t="str">
        <f aca="false">IF(OR(AO436="",N(S436)=0),"",AO436/S436)</f>
        <v/>
      </c>
      <c r="AR436" s="33" t="str">
        <f aca="false">IF(A436="","",IF(COUNT(AF436:AJ436)=0,"",SUM(AF436:AJ436)))</f>
        <v/>
      </c>
      <c r="AS436" s="34" t="str">
        <f aca="false">IF(OR(AR436="",N(AO436)=0),"",AR436/AO436)</f>
        <v/>
      </c>
      <c r="AT436" s="34" t="str">
        <f aca="false">IF(OR(AR436="",N(AC436)=0),"",AR436/AC436)</f>
        <v/>
      </c>
      <c r="AU436" s="34" t="str">
        <f aca="false">IF(OR(AR436="",N(S436)=0),"",AR436/S436)</f>
        <v/>
      </c>
      <c r="AV436" s="34" t="str">
        <f aca="false">IF(OR(AJ436="",N(AC436)=0),"",AJ436/AC436)</f>
        <v/>
      </c>
      <c r="AW436" s="34" t="str">
        <f aca="false">IF(OR(AH436="",N(AO436)=0),"",AH436/AO436)</f>
        <v/>
      </c>
      <c r="AX436" s="35" t="str">
        <f aca="false">IF(OR(AR436="",N(AO436)=0),"",(N(AF436)*Settings!$B$6+N(AG436)*Settings!$B$7+N(AH436)*Settings!$B$8+N(AI436)*Settings!$B$9+N(AJ436)*Settings!$B$10)/AO436*1000)</f>
        <v/>
      </c>
      <c r="AY436" s="36" t="str">
        <f aca="false">IF(AS436="","",IFERROR(AS436/AVERAGEIFS('Post Tracker'!$AS$5:$AS$1004,'Post Tracker'!$G$5:$G$1004,G436),""))</f>
        <v/>
      </c>
      <c r="AZ436" s="32"/>
      <c r="BA436" s="32"/>
      <c r="BB436" s="32"/>
      <c r="BC436" s="32"/>
      <c r="BD436" s="33" t="str">
        <f aca="false">IF(A436="","",COUNTIFS('Demo Pipeline'!$Q$5:$Q$504,A436))</f>
        <v/>
      </c>
      <c r="BE436" s="33" t="str">
        <f aca="false">IF(A436="","",COUNTIFS('Demo Pipeline'!$Q$5:$Q$504,A436,'Demo Pipeline'!$W$5:$W$504,"Attended"))</f>
        <v/>
      </c>
      <c r="BF436" s="33" t="str">
        <f aca="false">IF(A436="","",COUNTIFS('Demo Pipeline'!$Q$5:$Q$504,A436,'Demo Pipeline'!$X$5:$X$504,"Yes"))</f>
        <v/>
      </c>
      <c r="BG436" s="33" t="str">
        <f aca="false">IF(A436="","",COUNTIFS('Demo Pipeline'!$Q$5:$Q$504,A436,'Demo Pipeline'!$Y$5:$Y$504,"Closed Won"))</f>
        <v/>
      </c>
      <c r="BH436" s="37" t="str">
        <f aca="false">IF(A436="","",SUMIFS('Demo Pipeline'!$Z$5:$Z$504,'Demo Pipeline'!$Q$5:$Q$504,A436))</f>
        <v/>
      </c>
      <c r="BI436" s="34" t="str">
        <f aca="false">IF(OR(AZ436="",N(AJ436)=0),"",AZ436/AJ436)</f>
        <v/>
      </c>
      <c r="BJ436" s="34" t="str">
        <f aca="false">IF(OR(BB436="",N(AZ436)=0),"",BB436/AZ436)</f>
        <v/>
      </c>
      <c r="BK436" s="34" t="str">
        <f aca="false">IF(OR(A436="",N(BB436)=0),"",BD436/BB436)</f>
        <v/>
      </c>
      <c r="BL436" s="34" t="str">
        <f aca="false">IF(OR(A436="",N(AZ436)=0),"",BD436/AZ436)</f>
        <v/>
      </c>
      <c r="BM436" s="37" t="str">
        <f aca="false">IF(OR(N(Q436)=0,N(BD436)=0),"",Q436/BD436)</f>
        <v/>
      </c>
      <c r="BN436" s="29"/>
      <c r="BO436" s="29"/>
      <c r="BP436" s="33" t="str">
        <f aca="false">IF(OR(AR436="",N(AO436)=0),"",AR436)</f>
        <v/>
      </c>
      <c r="BQ436" s="33" t="str">
        <f aca="false">IF(OR(AR436="",N(S436)=0),"",S436)</f>
        <v/>
      </c>
      <c r="BR436" s="38" t="str">
        <f aca="false">IF(AND(ISNUMBER(B436),B436&gt;=Dashboard!$C$4,B436&lt;=Dashboard!$F$4,ISNUMBER(AU436)),AU436+ROW()/10^9,"")</f>
        <v/>
      </c>
      <c r="BS436" s="38" t="str">
        <f aca="false">IF(AND(ISNUMBER(B436),B436&gt;=Dashboard!$C$4,B436&lt;=Dashboard!$F$4,A436&lt;&gt;""),N(BD436)+N(AU436)/100+ROW()/10^9,"")</f>
        <v/>
      </c>
    </row>
    <row r="437" customFormat="false" ht="15" hidden="false" customHeight="false" outlineLevel="0" collapsed="false">
      <c r="A437" s="24" t="str">
        <f aca="false">IF(OR(B437="",G437="",H437=""),"",IFERROR(INDEX(Settings!$E$5:$E$49,MATCH(G437,Settings!$D$5:$D$49,0))&amp;INDEX(Settings!$H$5:$H$47,MATCH(H437,Settings!$G$5:$G$47,0))&amp;"-"&amp;TEXT(B437,"yymmdd")&amp;"-"&amp;IF(C437="","0000",TEXT(C437,"hhmm")),"CHECK LISTS"))</f>
        <v/>
      </c>
      <c r="B437" s="39"/>
      <c r="C437" s="40"/>
      <c r="D437" s="24" t="str">
        <f aca="false">IF(B437="","",TEXT(B437,"ddd"))</f>
        <v/>
      </c>
      <c r="E437" s="27" t="str">
        <f aca="false">IF(B437="","",B437-WEEKDAY(B437,3))</f>
        <v/>
      </c>
      <c r="F437" s="24" t="str">
        <f aca="false">IF(B437="","",TEXT(B437,"yyyy-mm"))</f>
        <v/>
      </c>
      <c r="G437" s="29"/>
      <c r="H437" s="29"/>
      <c r="I437" s="29"/>
      <c r="J437" s="29"/>
      <c r="K437" s="29"/>
      <c r="L437" s="29"/>
      <c r="M437" s="29"/>
      <c r="N437" s="29"/>
      <c r="O437" s="29"/>
      <c r="P437" s="29"/>
      <c r="Q437" s="30"/>
      <c r="R437" s="29"/>
      <c r="S437" s="32"/>
      <c r="T437" s="29"/>
      <c r="U437" s="29"/>
      <c r="V437" s="24" t="str">
        <f aca="false">IF(A437="","",IFERROR(INDEX(Settings!$F$5:$F$49,MATCH(G437,Settings!$D$5:$D$49,0)),""))</f>
        <v/>
      </c>
      <c r="W437" s="24" t="str">
        <f aca="false">IF(A437="","",IF(OR(P437="",P437="Organic"),"social","paid_social"))</f>
        <v/>
      </c>
      <c r="X437" s="24" t="str">
        <f aca="false">IF(A437="","",IF(K437&lt;&gt;"",IFERROR(INDEX('Case Studies'!$C$5:$C$54,MATCH(K437,'Case Studies'!$B$5:$B$54,0))&amp;"","case-study"),IF(J437&lt;&gt;"",IFERROR(INDEX(Settings!$J$5:$J$55,MATCH(J437,Settings!$I$5:$I$55,0)),"general"),"general")))</f>
        <v/>
      </c>
      <c r="Y437" s="24" t="str">
        <f aca="false">IF(A437="","",LOWER(A437))</f>
        <v/>
      </c>
      <c r="Z437" s="24" t="str">
        <f aca="false">IF(A437="","",IF(T437="",Settings!$B$5,T437)&amp;IF(ISNUMBER(FIND("?",IF(T437="",Settings!$B$5,T437))),"&amp;","?")&amp;"utm_source="&amp;V437&amp;"&amp;utm_medium="&amp;W437&amp;"&amp;utm_campaign="&amp;X437&amp;"&amp;utm_content="&amp;Y437)</f>
        <v/>
      </c>
      <c r="AA437" s="29"/>
      <c r="AB437" s="39"/>
      <c r="AC437" s="32"/>
      <c r="AD437" s="32"/>
      <c r="AE437" s="32"/>
      <c r="AF437" s="32"/>
      <c r="AG437" s="32"/>
      <c r="AH437" s="32"/>
      <c r="AI437" s="32"/>
      <c r="AJ437" s="32"/>
      <c r="AK437" s="32"/>
      <c r="AL437" s="32"/>
      <c r="AM437" s="32"/>
      <c r="AN437" s="32"/>
      <c r="AO437" s="33" t="str">
        <f aca="false">IF(A437="","",IF(AD437&lt;&gt;"",AD437,IF(AC437&lt;&gt;"",AC437,"")))</f>
        <v/>
      </c>
      <c r="AP437" s="24" t="str">
        <f aca="false">IF(AO437="","",IF(AD437&lt;&gt;"","Reported reach","Impressions (proxy)"))</f>
        <v/>
      </c>
      <c r="AQ437" s="34" t="str">
        <f aca="false">IF(OR(AO437="",N(S437)=0),"",AO437/S437)</f>
        <v/>
      </c>
      <c r="AR437" s="33" t="str">
        <f aca="false">IF(A437="","",IF(COUNT(AF437:AJ437)=0,"",SUM(AF437:AJ437)))</f>
        <v/>
      </c>
      <c r="AS437" s="34" t="str">
        <f aca="false">IF(OR(AR437="",N(AO437)=0),"",AR437/AO437)</f>
        <v/>
      </c>
      <c r="AT437" s="34" t="str">
        <f aca="false">IF(OR(AR437="",N(AC437)=0),"",AR437/AC437)</f>
        <v/>
      </c>
      <c r="AU437" s="34" t="str">
        <f aca="false">IF(OR(AR437="",N(S437)=0),"",AR437/S437)</f>
        <v/>
      </c>
      <c r="AV437" s="34" t="str">
        <f aca="false">IF(OR(AJ437="",N(AC437)=0),"",AJ437/AC437)</f>
        <v/>
      </c>
      <c r="AW437" s="34" t="str">
        <f aca="false">IF(OR(AH437="",N(AO437)=0),"",AH437/AO437)</f>
        <v/>
      </c>
      <c r="AX437" s="35" t="str">
        <f aca="false">IF(OR(AR437="",N(AO437)=0),"",(N(AF437)*Settings!$B$6+N(AG437)*Settings!$B$7+N(AH437)*Settings!$B$8+N(AI437)*Settings!$B$9+N(AJ437)*Settings!$B$10)/AO437*1000)</f>
        <v/>
      </c>
      <c r="AY437" s="36" t="str">
        <f aca="false">IF(AS437="","",IFERROR(AS437/AVERAGEIFS('Post Tracker'!$AS$5:$AS$1004,'Post Tracker'!$G$5:$G$1004,G437),""))</f>
        <v/>
      </c>
      <c r="AZ437" s="32"/>
      <c r="BA437" s="32"/>
      <c r="BB437" s="32"/>
      <c r="BC437" s="32"/>
      <c r="BD437" s="33" t="str">
        <f aca="false">IF(A437="","",COUNTIFS('Demo Pipeline'!$Q$5:$Q$504,A437))</f>
        <v/>
      </c>
      <c r="BE437" s="33" t="str">
        <f aca="false">IF(A437="","",COUNTIFS('Demo Pipeline'!$Q$5:$Q$504,A437,'Demo Pipeline'!$W$5:$W$504,"Attended"))</f>
        <v/>
      </c>
      <c r="BF437" s="33" t="str">
        <f aca="false">IF(A437="","",COUNTIFS('Demo Pipeline'!$Q$5:$Q$504,A437,'Demo Pipeline'!$X$5:$X$504,"Yes"))</f>
        <v/>
      </c>
      <c r="BG437" s="33" t="str">
        <f aca="false">IF(A437="","",COUNTIFS('Demo Pipeline'!$Q$5:$Q$504,A437,'Demo Pipeline'!$Y$5:$Y$504,"Closed Won"))</f>
        <v/>
      </c>
      <c r="BH437" s="37" t="str">
        <f aca="false">IF(A437="","",SUMIFS('Demo Pipeline'!$Z$5:$Z$504,'Demo Pipeline'!$Q$5:$Q$504,A437))</f>
        <v/>
      </c>
      <c r="BI437" s="34" t="str">
        <f aca="false">IF(OR(AZ437="",N(AJ437)=0),"",AZ437/AJ437)</f>
        <v/>
      </c>
      <c r="BJ437" s="34" t="str">
        <f aca="false">IF(OR(BB437="",N(AZ437)=0),"",BB437/AZ437)</f>
        <v/>
      </c>
      <c r="BK437" s="34" t="str">
        <f aca="false">IF(OR(A437="",N(BB437)=0),"",BD437/BB437)</f>
        <v/>
      </c>
      <c r="BL437" s="34" t="str">
        <f aca="false">IF(OR(A437="",N(AZ437)=0),"",BD437/AZ437)</f>
        <v/>
      </c>
      <c r="BM437" s="37" t="str">
        <f aca="false">IF(OR(N(Q437)=0,N(BD437)=0),"",Q437/BD437)</f>
        <v/>
      </c>
      <c r="BN437" s="29"/>
      <c r="BO437" s="29"/>
      <c r="BP437" s="33" t="str">
        <f aca="false">IF(OR(AR437="",N(AO437)=0),"",AR437)</f>
        <v/>
      </c>
      <c r="BQ437" s="33" t="str">
        <f aca="false">IF(OR(AR437="",N(S437)=0),"",S437)</f>
        <v/>
      </c>
      <c r="BR437" s="38" t="str">
        <f aca="false">IF(AND(ISNUMBER(B437),B437&gt;=Dashboard!$C$4,B437&lt;=Dashboard!$F$4,ISNUMBER(AU437)),AU437+ROW()/10^9,"")</f>
        <v/>
      </c>
      <c r="BS437" s="38" t="str">
        <f aca="false">IF(AND(ISNUMBER(B437),B437&gt;=Dashboard!$C$4,B437&lt;=Dashboard!$F$4,A437&lt;&gt;""),N(BD437)+N(AU437)/100+ROW()/10^9,"")</f>
        <v/>
      </c>
    </row>
    <row r="438" customFormat="false" ht="15" hidden="false" customHeight="false" outlineLevel="0" collapsed="false">
      <c r="A438" s="24" t="str">
        <f aca="false">IF(OR(B438="",G438="",H438=""),"",IFERROR(INDEX(Settings!$E$5:$E$49,MATCH(G438,Settings!$D$5:$D$49,0))&amp;INDEX(Settings!$H$5:$H$47,MATCH(H438,Settings!$G$5:$G$47,0))&amp;"-"&amp;TEXT(B438,"yymmdd")&amp;"-"&amp;IF(C438="","0000",TEXT(C438,"hhmm")),"CHECK LISTS"))</f>
        <v/>
      </c>
      <c r="B438" s="39"/>
      <c r="C438" s="40"/>
      <c r="D438" s="24" t="str">
        <f aca="false">IF(B438="","",TEXT(B438,"ddd"))</f>
        <v/>
      </c>
      <c r="E438" s="27" t="str">
        <f aca="false">IF(B438="","",B438-WEEKDAY(B438,3))</f>
        <v/>
      </c>
      <c r="F438" s="24" t="str">
        <f aca="false">IF(B438="","",TEXT(B438,"yyyy-mm"))</f>
        <v/>
      </c>
      <c r="G438" s="29"/>
      <c r="H438" s="29"/>
      <c r="I438" s="29"/>
      <c r="J438" s="29"/>
      <c r="K438" s="29"/>
      <c r="L438" s="29"/>
      <c r="M438" s="29"/>
      <c r="N438" s="29"/>
      <c r="O438" s="29"/>
      <c r="P438" s="29"/>
      <c r="Q438" s="30"/>
      <c r="R438" s="29"/>
      <c r="S438" s="32"/>
      <c r="T438" s="29"/>
      <c r="U438" s="29"/>
      <c r="V438" s="24" t="str">
        <f aca="false">IF(A438="","",IFERROR(INDEX(Settings!$F$5:$F$49,MATCH(G438,Settings!$D$5:$D$49,0)),""))</f>
        <v/>
      </c>
      <c r="W438" s="24" t="str">
        <f aca="false">IF(A438="","",IF(OR(P438="",P438="Organic"),"social","paid_social"))</f>
        <v/>
      </c>
      <c r="X438" s="24" t="str">
        <f aca="false">IF(A438="","",IF(K438&lt;&gt;"",IFERROR(INDEX('Case Studies'!$C$5:$C$54,MATCH(K438,'Case Studies'!$B$5:$B$54,0))&amp;"","case-study"),IF(J438&lt;&gt;"",IFERROR(INDEX(Settings!$J$5:$J$55,MATCH(J438,Settings!$I$5:$I$55,0)),"general"),"general")))</f>
        <v/>
      </c>
      <c r="Y438" s="24" t="str">
        <f aca="false">IF(A438="","",LOWER(A438))</f>
        <v/>
      </c>
      <c r="Z438" s="24" t="str">
        <f aca="false">IF(A438="","",IF(T438="",Settings!$B$5,T438)&amp;IF(ISNUMBER(FIND("?",IF(T438="",Settings!$B$5,T438))),"&amp;","?")&amp;"utm_source="&amp;V438&amp;"&amp;utm_medium="&amp;W438&amp;"&amp;utm_campaign="&amp;X438&amp;"&amp;utm_content="&amp;Y438)</f>
        <v/>
      </c>
      <c r="AA438" s="29"/>
      <c r="AB438" s="39"/>
      <c r="AC438" s="32"/>
      <c r="AD438" s="32"/>
      <c r="AE438" s="32"/>
      <c r="AF438" s="32"/>
      <c r="AG438" s="32"/>
      <c r="AH438" s="32"/>
      <c r="AI438" s="32"/>
      <c r="AJ438" s="32"/>
      <c r="AK438" s="32"/>
      <c r="AL438" s="32"/>
      <c r="AM438" s="32"/>
      <c r="AN438" s="32"/>
      <c r="AO438" s="33" t="str">
        <f aca="false">IF(A438="","",IF(AD438&lt;&gt;"",AD438,IF(AC438&lt;&gt;"",AC438,"")))</f>
        <v/>
      </c>
      <c r="AP438" s="24" t="str">
        <f aca="false">IF(AO438="","",IF(AD438&lt;&gt;"","Reported reach","Impressions (proxy)"))</f>
        <v/>
      </c>
      <c r="AQ438" s="34" t="str">
        <f aca="false">IF(OR(AO438="",N(S438)=0),"",AO438/S438)</f>
        <v/>
      </c>
      <c r="AR438" s="33" t="str">
        <f aca="false">IF(A438="","",IF(COUNT(AF438:AJ438)=0,"",SUM(AF438:AJ438)))</f>
        <v/>
      </c>
      <c r="AS438" s="34" t="str">
        <f aca="false">IF(OR(AR438="",N(AO438)=0),"",AR438/AO438)</f>
        <v/>
      </c>
      <c r="AT438" s="34" t="str">
        <f aca="false">IF(OR(AR438="",N(AC438)=0),"",AR438/AC438)</f>
        <v/>
      </c>
      <c r="AU438" s="34" t="str">
        <f aca="false">IF(OR(AR438="",N(S438)=0),"",AR438/S438)</f>
        <v/>
      </c>
      <c r="AV438" s="34" t="str">
        <f aca="false">IF(OR(AJ438="",N(AC438)=0),"",AJ438/AC438)</f>
        <v/>
      </c>
      <c r="AW438" s="34" t="str">
        <f aca="false">IF(OR(AH438="",N(AO438)=0),"",AH438/AO438)</f>
        <v/>
      </c>
      <c r="AX438" s="35" t="str">
        <f aca="false">IF(OR(AR438="",N(AO438)=0),"",(N(AF438)*Settings!$B$6+N(AG438)*Settings!$B$7+N(AH438)*Settings!$B$8+N(AI438)*Settings!$B$9+N(AJ438)*Settings!$B$10)/AO438*1000)</f>
        <v/>
      </c>
      <c r="AY438" s="36" t="str">
        <f aca="false">IF(AS438="","",IFERROR(AS438/AVERAGEIFS('Post Tracker'!$AS$5:$AS$1004,'Post Tracker'!$G$5:$G$1004,G438),""))</f>
        <v/>
      </c>
      <c r="AZ438" s="32"/>
      <c r="BA438" s="32"/>
      <c r="BB438" s="32"/>
      <c r="BC438" s="32"/>
      <c r="BD438" s="33" t="str">
        <f aca="false">IF(A438="","",COUNTIFS('Demo Pipeline'!$Q$5:$Q$504,A438))</f>
        <v/>
      </c>
      <c r="BE438" s="33" t="str">
        <f aca="false">IF(A438="","",COUNTIFS('Demo Pipeline'!$Q$5:$Q$504,A438,'Demo Pipeline'!$W$5:$W$504,"Attended"))</f>
        <v/>
      </c>
      <c r="BF438" s="33" t="str">
        <f aca="false">IF(A438="","",COUNTIFS('Demo Pipeline'!$Q$5:$Q$504,A438,'Demo Pipeline'!$X$5:$X$504,"Yes"))</f>
        <v/>
      </c>
      <c r="BG438" s="33" t="str">
        <f aca="false">IF(A438="","",COUNTIFS('Demo Pipeline'!$Q$5:$Q$504,A438,'Demo Pipeline'!$Y$5:$Y$504,"Closed Won"))</f>
        <v/>
      </c>
      <c r="BH438" s="37" t="str">
        <f aca="false">IF(A438="","",SUMIFS('Demo Pipeline'!$Z$5:$Z$504,'Demo Pipeline'!$Q$5:$Q$504,A438))</f>
        <v/>
      </c>
      <c r="BI438" s="34" t="str">
        <f aca="false">IF(OR(AZ438="",N(AJ438)=0),"",AZ438/AJ438)</f>
        <v/>
      </c>
      <c r="BJ438" s="34" t="str">
        <f aca="false">IF(OR(BB438="",N(AZ438)=0),"",BB438/AZ438)</f>
        <v/>
      </c>
      <c r="BK438" s="34" t="str">
        <f aca="false">IF(OR(A438="",N(BB438)=0),"",BD438/BB438)</f>
        <v/>
      </c>
      <c r="BL438" s="34" t="str">
        <f aca="false">IF(OR(A438="",N(AZ438)=0),"",BD438/AZ438)</f>
        <v/>
      </c>
      <c r="BM438" s="37" t="str">
        <f aca="false">IF(OR(N(Q438)=0,N(BD438)=0),"",Q438/BD438)</f>
        <v/>
      </c>
      <c r="BN438" s="29"/>
      <c r="BO438" s="29"/>
      <c r="BP438" s="33" t="str">
        <f aca="false">IF(OR(AR438="",N(AO438)=0),"",AR438)</f>
        <v/>
      </c>
      <c r="BQ438" s="33" t="str">
        <f aca="false">IF(OR(AR438="",N(S438)=0),"",S438)</f>
        <v/>
      </c>
      <c r="BR438" s="38" t="str">
        <f aca="false">IF(AND(ISNUMBER(B438),B438&gt;=Dashboard!$C$4,B438&lt;=Dashboard!$F$4,ISNUMBER(AU438)),AU438+ROW()/10^9,"")</f>
        <v/>
      </c>
      <c r="BS438" s="38" t="str">
        <f aca="false">IF(AND(ISNUMBER(B438),B438&gt;=Dashboard!$C$4,B438&lt;=Dashboard!$F$4,A438&lt;&gt;""),N(BD438)+N(AU438)/100+ROW()/10^9,"")</f>
        <v/>
      </c>
    </row>
    <row r="439" customFormat="false" ht="15" hidden="false" customHeight="false" outlineLevel="0" collapsed="false">
      <c r="A439" s="24" t="str">
        <f aca="false">IF(OR(B439="",G439="",H439=""),"",IFERROR(INDEX(Settings!$E$5:$E$49,MATCH(G439,Settings!$D$5:$D$49,0))&amp;INDEX(Settings!$H$5:$H$47,MATCH(H439,Settings!$G$5:$G$47,0))&amp;"-"&amp;TEXT(B439,"yymmdd")&amp;"-"&amp;IF(C439="","0000",TEXT(C439,"hhmm")),"CHECK LISTS"))</f>
        <v/>
      </c>
      <c r="B439" s="39"/>
      <c r="C439" s="40"/>
      <c r="D439" s="24" t="str">
        <f aca="false">IF(B439="","",TEXT(B439,"ddd"))</f>
        <v/>
      </c>
      <c r="E439" s="27" t="str">
        <f aca="false">IF(B439="","",B439-WEEKDAY(B439,3))</f>
        <v/>
      </c>
      <c r="F439" s="24" t="str">
        <f aca="false">IF(B439="","",TEXT(B439,"yyyy-mm"))</f>
        <v/>
      </c>
      <c r="G439" s="29"/>
      <c r="H439" s="29"/>
      <c r="I439" s="29"/>
      <c r="J439" s="29"/>
      <c r="K439" s="29"/>
      <c r="L439" s="29"/>
      <c r="M439" s="29"/>
      <c r="N439" s="29"/>
      <c r="O439" s="29"/>
      <c r="P439" s="29"/>
      <c r="Q439" s="30"/>
      <c r="R439" s="29"/>
      <c r="S439" s="32"/>
      <c r="T439" s="29"/>
      <c r="U439" s="29"/>
      <c r="V439" s="24" t="str">
        <f aca="false">IF(A439="","",IFERROR(INDEX(Settings!$F$5:$F$49,MATCH(G439,Settings!$D$5:$D$49,0)),""))</f>
        <v/>
      </c>
      <c r="W439" s="24" t="str">
        <f aca="false">IF(A439="","",IF(OR(P439="",P439="Organic"),"social","paid_social"))</f>
        <v/>
      </c>
      <c r="X439" s="24" t="str">
        <f aca="false">IF(A439="","",IF(K439&lt;&gt;"",IFERROR(INDEX('Case Studies'!$C$5:$C$54,MATCH(K439,'Case Studies'!$B$5:$B$54,0))&amp;"","case-study"),IF(J439&lt;&gt;"",IFERROR(INDEX(Settings!$J$5:$J$55,MATCH(J439,Settings!$I$5:$I$55,0)),"general"),"general")))</f>
        <v/>
      </c>
      <c r="Y439" s="24" t="str">
        <f aca="false">IF(A439="","",LOWER(A439))</f>
        <v/>
      </c>
      <c r="Z439" s="24" t="str">
        <f aca="false">IF(A439="","",IF(T439="",Settings!$B$5,T439)&amp;IF(ISNUMBER(FIND("?",IF(T439="",Settings!$B$5,T439))),"&amp;","?")&amp;"utm_source="&amp;V439&amp;"&amp;utm_medium="&amp;W439&amp;"&amp;utm_campaign="&amp;X439&amp;"&amp;utm_content="&amp;Y439)</f>
        <v/>
      </c>
      <c r="AA439" s="29"/>
      <c r="AB439" s="39"/>
      <c r="AC439" s="32"/>
      <c r="AD439" s="32"/>
      <c r="AE439" s="32"/>
      <c r="AF439" s="32"/>
      <c r="AG439" s="32"/>
      <c r="AH439" s="32"/>
      <c r="AI439" s="32"/>
      <c r="AJ439" s="32"/>
      <c r="AK439" s="32"/>
      <c r="AL439" s="32"/>
      <c r="AM439" s="32"/>
      <c r="AN439" s="32"/>
      <c r="AO439" s="33" t="str">
        <f aca="false">IF(A439="","",IF(AD439&lt;&gt;"",AD439,IF(AC439&lt;&gt;"",AC439,"")))</f>
        <v/>
      </c>
      <c r="AP439" s="24" t="str">
        <f aca="false">IF(AO439="","",IF(AD439&lt;&gt;"","Reported reach","Impressions (proxy)"))</f>
        <v/>
      </c>
      <c r="AQ439" s="34" t="str">
        <f aca="false">IF(OR(AO439="",N(S439)=0),"",AO439/S439)</f>
        <v/>
      </c>
      <c r="AR439" s="33" t="str">
        <f aca="false">IF(A439="","",IF(COUNT(AF439:AJ439)=0,"",SUM(AF439:AJ439)))</f>
        <v/>
      </c>
      <c r="AS439" s="34" t="str">
        <f aca="false">IF(OR(AR439="",N(AO439)=0),"",AR439/AO439)</f>
        <v/>
      </c>
      <c r="AT439" s="34" t="str">
        <f aca="false">IF(OR(AR439="",N(AC439)=0),"",AR439/AC439)</f>
        <v/>
      </c>
      <c r="AU439" s="34" t="str">
        <f aca="false">IF(OR(AR439="",N(S439)=0),"",AR439/S439)</f>
        <v/>
      </c>
      <c r="AV439" s="34" t="str">
        <f aca="false">IF(OR(AJ439="",N(AC439)=0),"",AJ439/AC439)</f>
        <v/>
      </c>
      <c r="AW439" s="34" t="str">
        <f aca="false">IF(OR(AH439="",N(AO439)=0),"",AH439/AO439)</f>
        <v/>
      </c>
      <c r="AX439" s="35" t="str">
        <f aca="false">IF(OR(AR439="",N(AO439)=0),"",(N(AF439)*Settings!$B$6+N(AG439)*Settings!$B$7+N(AH439)*Settings!$B$8+N(AI439)*Settings!$B$9+N(AJ439)*Settings!$B$10)/AO439*1000)</f>
        <v/>
      </c>
      <c r="AY439" s="36" t="str">
        <f aca="false">IF(AS439="","",IFERROR(AS439/AVERAGEIFS('Post Tracker'!$AS$5:$AS$1004,'Post Tracker'!$G$5:$G$1004,G439),""))</f>
        <v/>
      </c>
      <c r="AZ439" s="32"/>
      <c r="BA439" s="32"/>
      <c r="BB439" s="32"/>
      <c r="BC439" s="32"/>
      <c r="BD439" s="33" t="str">
        <f aca="false">IF(A439="","",COUNTIFS('Demo Pipeline'!$Q$5:$Q$504,A439))</f>
        <v/>
      </c>
      <c r="BE439" s="33" t="str">
        <f aca="false">IF(A439="","",COUNTIFS('Demo Pipeline'!$Q$5:$Q$504,A439,'Demo Pipeline'!$W$5:$W$504,"Attended"))</f>
        <v/>
      </c>
      <c r="BF439" s="33" t="str">
        <f aca="false">IF(A439="","",COUNTIFS('Demo Pipeline'!$Q$5:$Q$504,A439,'Demo Pipeline'!$X$5:$X$504,"Yes"))</f>
        <v/>
      </c>
      <c r="BG439" s="33" t="str">
        <f aca="false">IF(A439="","",COUNTIFS('Demo Pipeline'!$Q$5:$Q$504,A439,'Demo Pipeline'!$Y$5:$Y$504,"Closed Won"))</f>
        <v/>
      </c>
      <c r="BH439" s="37" t="str">
        <f aca="false">IF(A439="","",SUMIFS('Demo Pipeline'!$Z$5:$Z$504,'Demo Pipeline'!$Q$5:$Q$504,A439))</f>
        <v/>
      </c>
      <c r="BI439" s="34" t="str">
        <f aca="false">IF(OR(AZ439="",N(AJ439)=0),"",AZ439/AJ439)</f>
        <v/>
      </c>
      <c r="BJ439" s="34" t="str">
        <f aca="false">IF(OR(BB439="",N(AZ439)=0),"",BB439/AZ439)</f>
        <v/>
      </c>
      <c r="BK439" s="34" t="str">
        <f aca="false">IF(OR(A439="",N(BB439)=0),"",BD439/BB439)</f>
        <v/>
      </c>
      <c r="BL439" s="34" t="str">
        <f aca="false">IF(OR(A439="",N(AZ439)=0),"",BD439/AZ439)</f>
        <v/>
      </c>
      <c r="BM439" s="37" t="str">
        <f aca="false">IF(OR(N(Q439)=0,N(BD439)=0),"",Q439/BD439)</f>
        <v/>
      </c>
      <c r="BN439" s="29"/>
      <c r="BO439" s="29"/>
      <c r="BP439" s="33" t="str">
        <f aca="false">IF(OR(AR439="",N(AO439)=0),"",AR439)</f>
        <v/>
      </c>
      <c r="BQ439" s="33" t="str">
        <f aca="false">IF(OR(AR439="",N(S439)=0),"",S439)</f>
        <v/>
      </c>
      <c r="BR439" s="38" t="str">
        <f aca="false">IF(AND(ISNUMBER(B439),B439&gt;=Dashboard!$C$4,B439&lt;=Dashboard!$F$4,ISNUMBER(AU439)),AU439+ROW()/10^9,"")</f>
        <v/>
      </c>
      <c r="BS439" s="38" t="str">
        <f aca="false">IF(AND(ISNUMBER(B439),B439&gt;=Dashboard!$C$4,B439&lt;=Dashboard!$F$4,A439&lt;&gt;""),N(BD439)+N(AU439)/100+ROW()/10^9,"")</f>
        <v/>
      </c>
    </row>
    <row r="440" customFormat="false" ht="15" hidden="false" customHeight="false" outlineLevel="0" collapsed="false">
      <c r="A440" s="24" t="str">
        <f aca="false">IF(OR(B440="",G440="",H440=""),"",IFERROR(INDEX(Settings!$E$5:$E$49,MATCH(G440,Settings!$D$5:$D$49,0))&amp;INDEX(Settings!$H$5:$H$47,MATCH(H440,Settings!$G$5:$G$47,0))&amp;"-"&amp;TEXT(B440,"yymmdd")&amp;"-"&amp;IF(C440="","0000",TEXT(C440,"hhmm")),"CHECK LISTS"))</f>
        <v/>
      </c>
      <c r="B440" s="39"/>
      <c r="C440" s="40"/>
      <c r="D440" s="24" t="str">
        <f aca="false">IF(B440="","",TEXT(B440,"ddd"))</f>
        <v/>
      </c>
      <c r="E440" s="27" t="str">
        <f aca="false">IF(B440="","",B440-WEEKDAY(B440,3))</f>
        <v/>
      </c>
      <c r="F440" s="24" t="str">
        <f aca="false">IF(B440="","",TEXT(B440,"yyyy-mm"))</f>
        <v/>
      </c>
      <c r="G440" s="29"/>
      <c r="H440" s="29"/>
      <c r="I440" s="29"/>
      <c r="J440" s="29"/>
      <c r="K440" s="29"/>
      <c r="L440" s="29"/>
      <c r="M440" s="29"/>
      <c r="N440" s="29"/>
      <c r="O440" s="29"/>
      <c r="P440" s="29"/>
      <c r="Q440" s="30"/>
      <c r="R440" s="29"/>
      <c r="S440" s="32"/>
      <c r="T440" s="29"/>
      <c r="U440" s="29"/>
      <c r="V440" s="24" t="str">
        <f aca="false">IF(A440="","",IFERROR(INDEX(Settings!$F$5:$F$49,MATCH(G440,Settings!$D$5:$D$49,0)),""))</f>
        <v/>
      </c>
      <c r="W440" s="24" t="str">
        <f aca="false">IF(A440="","",IF(OR(P440="",P440="Organic"),"social","paid_social"))</f>
        <v/>
      </c>
      <c r="X440" s="24" t="str">
        <f aca="false">IF(A440="","",IF(K440&lt;&gt;"",IFERROR(INDEX('Case Studies'!$C$5:$C$54,MATCH(K440,'Case Studies'!$B$5:$B$54,0))&amp;"","case-study"),IF(J440&lt;&gt;"",IFERROR(INDEX(Settings!$J$5:$J$55,MATCH(J440,Settings!$I$5:$I$55,0)),"general"),"general")))</f>
        <v/>
      </c>
      <c r="Y440" s="24" t="str">
        <f aca="false">IF(A440="","",LOWER(A440))</f>
        <v/>
      </c>
      <c r="Z440" s="24" t="str">
        <f aca="false">IF(A440="","",IF(T440="",Settings!$B$5,T440)&amp;IF(ISNUMBER(FIND("?",IF(T440="",Settings!$B$5,T440))),"&amp;","?")&amp;"utm_source="&amp;V440&amp;"&amp;utm_medium="&amp;W440&amp;"&amp;utm_campaign="&amp;X440&amp;"&amp;utm_content="&amp;Y440)</f>
        <v/>
      </c>
      <c r="AA440" s="29"/>
      <c r="AB440" s="39"/>
      <c r="AC440" s="32"/>
      <c r="AD440" s="32"/>
      <c r="AE440" s="32"/>
      <c r="AF440" s="32"/>
      <c r="AG440" s="32"/>
      <c r="AH440" s="32"/>
      <c r="AI440" s="32"/>
      <c r="AJ440" s="32"/>
      <c r="AK440" s="32"/>
      <c r="AL440" s="32"/>
      <c r="AM440" s="32"/>
      <c r="AN440" s="32"/>
      <c r="AO440" s="33" t="str">
        <f aca="false">IF(A440="","",IF(AD440&lt;&gt;"",AD440,IF(AC440&lt;&gt;"",AC440,"")))</f>
        <v/>
      </c>
      <c r="AP440" s="24" t="str">
        <f aca="false">IF(AO440="","",IF(AD440&lt;&gt;"","Reported reach","Impressions (proxy)"))</f>
        <v/>
      </c>
      <c r="AQ440" s="34" t="str">
        <f aca="false">IF(OR(AO440="",N(S440)=0),"",AO440/S440)</f>
        <v/>
      </c>
      <c r="AR440" s="33" t="str">
        <f aca="false">IF(A440="","",IF(COUNT(AF440:AJ440)=0,"",SUM(AF440:AJ440)))</f>
        <v/>
      </c>
      <c r="AS440" s="34" t="str">
        <f aca="false">IF(OR(AR440="",N(AO440)=0),"",AR440/AO440)</f>
        <v/>
      </c>
      <c r="AT440" s="34" t="str">
        <f aca="false">IF(OR(AR440="",N(AC440)=0),"",AR440/AC440)</f>
        <v/>
      </c>
      <c r="AU440" s="34" t="str">
        <f aca="false">IF(OR(AR440="",N(S440)=0),"",AR440/S440)</f>
        <v/>
      </c>
      <c r="AV440" s="34" t="str">
        <f aca="false">IF(OR(AJ440="",N(AC440)=0),"",AJ440/AC440)</f>
        <v/>
      </c>
      <c r="AW440" s="34" t="str">
        <f aca="false">IF(OR(AH440="",N(AO440)=0),"",AH440/AO440)</f>
        <v/>
      </c>
      <c r="AX440" s="35" t="str">
        <f aca="false">IF(OR(AR440="",N(AO440)=0),"",(N(AF440)*Settings!$B$6+N(AG440)*Settings!$B$7+N(AH440)*Settings!$B$8+N(AI440)*Settings!$B$9+N(AJ440)*Settings!$B$10)/AO440*1000)</f>
        <v/>
      </c>
      <c r="AY440" s="36" t="str">
        <f aca="false">IF(AS440="","",IFERROR(AS440/AVERAGEIFS('Post Tracker'!$AS$5:$AS$1004,'Post Tracker'!$G$5:$G$1004,G440),""))</f>
        <v/>
      </c>
      <c r="AZ440" s="32"/>
      <c r="BA440" s="32"/>
      <c r="BB440" s="32"/>
      <c r="BC440" s="32"/>
      <c r="BD440" s="33" t="str">
        <f aca="false">IF(A440="","",COUNTIFS('Demo Pipeline'!$Q$5:$Q$504,A440))</f>
        <v/>
      </c>
      <c r="BE440" s="33" t="str">
        <f aca="false">IF(A440="","",COUNTIFS('Demo Pipeline'!$Q$5:$Q$504,A440,'Demo Pipeline'!$W$5:$W$504,"Attended"))</f>
        <v/>
      </c>
      <c r="BF440" s="33" t="str">
        <f aca="false">IF(A440="","",COUNTIFS('Demo Pipeline'!$Q$5:$Q$504,A440,'Demo Pipeline'!$X$5:$X$504,"Yes"))</f>
        <v/>
      </c>
      <c r="BG440" s="33" t="str">
        <f aca="false">IF(A440="","",COUNTIFS('Demo Pipeline'!$Q$5:$Q$504,A440,'Demo Pipeline'!$Y$5:$Y$504,"Closed Won"))</f>
        <v/>
      </c>
      <c r="BH440" s="37" t="str">
        <f aca="false">IF(A440="","",SUMIFS('Demo Pipeline'!$Z$5:$Z$504,'Demo Pipeline'!$Q$5:$Q$504,A440))</f>
        <v/>
      </c>
      <c r="BI440" s="34" t="str">
        <f aca="false">IF(OR(AZ440="",N(AJ440)=0),"",AZ440/AJ440)</f>
        <v/>
      </c>
      <c r="BJ440" s="34" t="str">
        <f aca="false">IF(OR(BB440="",N(AZ440)=0),"",BB440/AZ440)</f>
        <v/>
      </c>
      <c r="BK440" s="34" t="str">
        <f aca="false">IF(OR(A440="",N(BB440)=0),"",BD440/BB440)</f>
        <v/>
      </c>
      <c r="BL440" s="34" t="str">
        <f aca="false">IF(OR(A440="",N(AZ440)=0),"",BD440/AZ440)</f>
        <v/>
      </c>
      <c r="BM440" s="37" t="str">
        <f aca="false">IF(OR(N(Q440)=0,N(BD440)=0),"",Q440/BD440)</f>
        <v/>
      </c>
      <c r="BN440" s="29"/>
      <c r="BO440" s="29"/>
      <c r="BP440" s="33" t="str">
        <f aca="false">IF(OR(AR440="",N(AO440)=0),"",AR440)</f>
        <v/>
      </c>
      <c r="BQ440" s="33" t="str">
        <f aca="false">IF(OR(AR440="",N(S440)=0),"",S440)</f>
        <v/>
      </c>
      <c r="BR440" s="38" t="str">
        <f aca="false">IF(AND(ISNUMBER(B440),B440&gt;=Dashboard!$C$4,B440&lt;=Dashboard!$F$4,ISNUMBER(AU440)),AU440+ROW()/10^9,"")</f>
        <v/>
      </c>
      <c r="BS440" s="38" t="str">
        <f aca="false">IF(AND(ISNUMBER(B440),B440&gt;=Dashboard!$C$4,B440&lt;=Dashboard!$F$4,A440&lt;&gt;""),N(BD440)+N(AU440)/100+ROW()/10^9,"")</f>
        <v/>
      </c>
    </row>
    <row r="441" customFormat="false" ht="15" hidden="false" customHeight="false" outlineLevel="0" collapsed="false">
      <c r="A441" s="24" t="str">
        <f aca="false">IF(OR(B441="",G441="",H441=""),"",IFERROR(INDEX(Settings!$E$5:$E$49,MATCH(G441,Settings!$D$5:$D$49,0))&amp;INDEX(Settings!$H$5:$H$47,MATCH(H441,Settings!$G$5:$G$47,0))&amp;"-"&amp;TEXT(B441,"yymmdd")&amp;"-"&amp;IF(C441="","0000",TEXT(C441,"hhmm")),"CHECK LISTS"))</f>
        <v/>
      </c>
      <c r="B441" s="39"/>
      <c r="C441" s="40"/>
      <c r="D441" s="24" t="str">
        <f aca="false">IF(B441="","",TEXT(B441,"ddd"))</f>
        <v/>
      </c>
      <c r="E441" s="27" t="str">
        <f aca="false">IF(B441="","",B441-WEEKDAY(B441,3))</f>
        <v/>
      </c>
      <c r="F441" s="24" t="str">
        <f aca="false">IF(B441="","",TEXT(B441,"yyyy-mm"))</f>
        <v/>
      </c>
      <c r="G441" s="29"/>
      <c r="H441" s="29"/>
      <c r="I441" s="29"/>
      <c r="J441" s="29"/>
      <c r="K441" s="29"/>
      <c r="L441" s="29"/>
      <c r="M441" s="29"/>
      <c r="N441" s="29"/>
      <c r="O441" s="29"/>
      <c r="P441" s="29"/>
      <c r="Q441" s="30"/>
      <c r="R441" s="29"/>
      <c r="S441" s="32"/>
      <c r="T441" s="29"/>
      <c r="U441" s="29"/>
      <c r="V441" s="24" t="str">
        <f aca="false">IF(A441="","",IFERROR(INDEX(Settings!$F$5:$F$49,MATCH(G441,Settings!$D$5:$D$49,0)),""))</f>
        <v/>
      </c>
      <c r="W441" s="24" t="str">
        <f aca="false">IF(A441="","",IF(OR(P441="",P441="Organic"),"social","paid_social"))</f>
        <v/>
      </c>
      <c r="X441" s="24" t="str">
        <f aca="false">IF(A441="","",IF(K441&lt;&gt;"",IFERROR(INDEX('Case Studies'!$C$5:$C$54,MATCH(K441,'Case Studies'!$B$5:$B$54,0))&amp;"","case-study"),IF(J441&lt;&gt;"",IFERROR(INDEX(Settings!$J$5:$J$55,MATCH(J441,Settings!$I$5:$I$55,0)),"general"),"general")))</f>
        <v/>
      </c>
      <c r="Y441" s="24" t="str">
        <f aca="false">IF(A441="","",LOWER(A441))</f>
        <v/>
      </c>
      <c r="Z441" s="24" t="str">
        <f aca="false">IF(A441="","",IF(T441="",Settings!$B$5,T441)&amp;IF(ISNUMBER(FIND("?",IF(T441="",Settings!$B$5,T441))),"&amp;","?")&amp;"utm_source="&amp;V441&amp;"&amp;utm_medium="&amp;W441&amp;"&amp;utm_campaign="&amp;X441&amp;"&amp;utm_content="&amp;Y441)</f>
        <v/>
      </c>
      <c r="AA441" s="29"/>
      <c r="AB441" s="39"/>
      <c r="AC441" s="32"/>
      <c r="AD441" s="32"/>
      <c r="AE441" s="32"/>
      <c r="AF441" s="32"/>
      <c r="AG441" s="32"/>
      <c r="AH441" s="32"/>
      <c r="AI441" s="32"/>
      <c r="AJ441" s="32"/>
      <c r="AK441" s="32"/>
      <c r="AL441" s="32"/>
      <c r="AM441" s="32"/>
      <c r="AN441" s="32"/>
      <c r="AO441" s="33" t="str">
        <f aca="false">IF(A441="","",IF(AD441&lt;&gt;"",AD441,IF(AC441&lt;&gt;"",AC441,"")))</f>
        <v/>
      </c>
      <c r="AP441" s="24" t="str">
        <f aca="false">IF(AO441="","",IF(AD441&lt;&gt;"","Reported reach","Impressions (proxy)"))</f>
        <v/>
      </c>
      <c r="AQ441" s="34" t="str">
        <f aca="false">IF(OR(AO441="",N(S441)=0),"",AO441/S441)</f>
        <v/>
      </c>
      <c r="AR441" s="33" t="str">
        <f aca="false">IF(A441="","",IF(COUNT(AF441:AJ441)=0,"",SUM(AF441:AJ441)))</f>
        <v/>
      </c>
      <c r="AS441" s="34" t="str">
        <f aca="false">IF(OR(AR441="",N(AO441)=0),"",AR441/AO441)</f>
        <v/>
      </c>
      <c r="AT441" s="34" t="str">
        <f aca="false">IF(OR(AR441="",N(AC441)=0),"",AR441/AC441)</f>
        <v/>
      </c>
      <c r="AU441" s="34" t="str">
        <f aca="false">IF(OR(AR441="",N(S441)=0),"",AR441/S441)</f>
        <v/>
      </c>
      <c r="AV441" s="34" t="str">
        <f aca="false">IF(OR(AJ441="",N(AC441)=0),"",AJ441/AC441)</f>
        <v/>
      </c>
      <c r="AW441" s="34" t="str">
        <f aca="false">IF(OR(AH441="",N(AO441)=0),"",AH441/AO441)</f>
        <v/>
      </c>
      <c r="AX441" s="35" t="str">
        <f aca="false">IF(OR(AR441="",N(AO441)=0),"",(N(AF441)*Settings!$B$6+N(AG441)*Settings!$B$7+N(AH441)*Settings!$B$8+N(AI441)*Settings!$B$9+N(AJ441)*Settings!$B$10)/AO441*1000)</f>
        <v/>
      </c>
      <c r="AY441" s="36" t="str">
        <f aca="false">IF(AS441="","",IFERROR(AS441/AVERAGEIFS('Post Tracker'!$AS$5:$AS$1004,'Post Tracker'!$G$5:$G$1004,G441),""))</f>
        <v/>
      </c>
      <c r="AZ441" s="32"/>
      <c r="BA441" s="32"/>
      <c r="BB441" s="32"/>
      <c r="BC441" s="32"/>
      <c r="BD441" s="33" t="str">
        <f aca="false">IF(A441="","",COUNTIFS('Demo Pipeline'!$Q$5:$Q$504,A441))</f>
        <v/>
      </c>
      <c r="BE441" s="33" t="str">
        <f aca="false">IF(A441="","",COUNTIFS('Demo Pipeline'!$Q$5:$Q$504,A441,'Demo Pipeline'!$W$5:$W$504,"Attended"))</f>
        <v/>
      </c>
      <c r="BF441" s="33" t="str">
        <f aca="false">IF(A441="","",COUNTIFS('Demo Pipeline'!$Q$5:$Q$504,A441,'Demo Pipeline'!$X$5:$X$504,"Yes"))</f>
        <v/>
      </c>
      <c r="BG441" s="33" t="str">
        <f aca="false">IF(A441="","",COUNTIFS('Demo Pipeline'!$Q$5:$Q$504,A441,'Demo Pipeline'!$Y$5:$Y$504,"Closed Won"))</f>
        <v/>
      </c>
      <c r="BH441" s="37" t="str">
        <f aca="false">IF(A441="","",SUMIFS('Demo Pipeline'!$Z$5:$Z$504,'Demo Pipeline'!$Q$5:$Q$504,A441))</f>
        <v/>
      </c>
      <c r="BI441" s="34" t="str">
        <f aca="false">IF(OR(AZ441="",N(AJ441)=0),"",AZ441/AJ441)</f>
        <v/>
      </c>
      <c r="BJ441" s="34" t="str">
        <f aca="false">IF(OR(BB441="",N(AZ441)=0),"",BB441/AZ441)</f>
        <v/>
      </c>
      <c r="BK441" s="34" t="str">
        <f aca="false">IF(OR(A441="",N(BB441)=0),"",BD441/BB441)</f>
        <v/>
      </c>
      <c r="BL441" s="34" t="str">
        <f aca="false">IF(OR(A441="",N(AZ441)=0),"",BD441/AZ441)</f>
        <v/>
      </c>
      <c r="BM441" s="37" t="str">
        <f aca="false">IF(OR(N(Q441)=0,N(BD441)=0),"",Q441/BD441)</f>
        <v/>
      </c>
      <c r="BN441" s="29"/>
      <c r="BO441" s="29"/>
      <c r="BP441" s="33" t="str">
        <f aca="false">IF(OR(AR441="",N(AO441)=0),"",AR441)</f>
        <v/>
      </c>
      <c r="BQ441" s="33" t="str">
        <f aca="false">IF(OR(AR441="",N(S441)=0),"",S441)</f>
        <v/>
      </c>
      <c r="BR441" s="38" t="str">
        <f aca="false">IF(AND(ISNUMBER(B441),B441&gt;=Dashboard!$C$4,B441&lt;=Dashboard!$F$4,ISNUMBER(AU441)),AU441+ROW()/10^9,"")</f>
        <v/>
      </c>
      <c r="BS441" s="38" t="str">
        <f aca="false">IF(AND(ISNUMBER(B441),B441&gt;=Dashboard!$C$4,B441&lt;=Dashboard!$F$4,A441&lt;&gt;""),N(BD441)+N(AU441)/100+ROW()/10^9,"")</f>
        <v/>
      </c>
    </row>
    <row r="442" customFormat="false" ht="15" hidden="false" customHeight="false" outlineLevel="0" collapsed="false">
      <c r="A442" s="24" t="str">
        <f aca="false">IF(OR(B442="",G442="",H442=""),"",IFERROR(INDEX(Settings!$E$5:$E$49,MATCH(G442,Settings!$D$5:$D$49,0))&amp;INDEX(Settings!$H$5:$H$47,MATCH(H442,Settings!$G$5:$G$47,0))&amp;"-"&amp;TEXT(B442,"yymmdd")&amp;"-"&amp;IF(C442="","0000",TEXT(C442,"hhmm")),"CHECK LISTS"))</f>
        <v/>
      </c>
      <c r="B442" s="39"/>
      <c r="C442" s="40"/>
      <c r="D442" s="24" t="str">
        <f aca="false">IF(B442="","",TEXT(B442,"ddd"))</f>
        <v/>
      </c>
      <c r="E442" s="27" t="str">
        <f aca="false">IF(B442="","",B442-WEEKDAY(B442,3))</f>
        <v/>
      </c>
      <c r="F442" s="24" t="str">
        <f aca="false">IF(B442="","",TEXT(B442,"yyyy-mm"))</f>
        <v/>
      </c>
      <c r="G442" s="29"/>
      <c r="H442" s="29"/>
      <c r="I442" s="29"/>
      <c r="J442" s="29"/>
      <c r="K442" s="29"/>
      <c r="L442" s="29"/>
      <c r="M442" s="29"/>
      <c r="N442" s="29"/>
      <c r="O442" s="29"/>
      <c r="P442" s="29"/>
      <c r="Q442" s="30"/>
      <c r="R442" s="29"/>
      <c r="S442" s="32"/>
      <c r="T442" s="29"/>
      <c r="U442" s="29"/>
      <c r="V442" s="24" t="str">
        <f aca="false">IF(A442="","",IFERROR(INDEX(Settings!$F$5:$F$49,MATCH(G442,Settings!$D$5:$D$49,0)),""))</f>
        <v/>
      </c>
      <c r="W442" s="24" t="str">
        <f aca="false">IF(A442="","",IF(OR(P442="",P442="Organic"),"social","paid_social"))</f>
        <v/>
      </c>
      <c r="X442" s="24" t="str">
        <f aca="false">IF(A442="","",IF(K442&lt;&gt;"",IFERROR(INDEX('Case Studies'!$C$5:$C$54,MATCH(K442,'Case Studies'!$B$5:$B$54,0))&amp;"","case-study"),IF(J442&lt;&gt;"",IFERROR(INDEX(Settings!$J$5:$J$55,MATCH(J442,Settings!$I$5:$I$55,0)),"general"),"general")))</f>
        <v/>
      </c>
      <c r="Y442" s="24" t="str">
        <f aca="false">IF(A442="","",LOWER(A442))</f>
        <v/>
      </c>
      <c r="Z442" s="24" t="str">
        <f aca="false">IF(A442="","",IF(T442="",Settings!$B$5,T442)&amp;IF(ISNUMBER(FIND("?",IF(T442="",Settings!$B$5,T442))),"&amp;","?")&amp;"utm_source="&amp;V442&amp;"&amp;utm_medium="&amp;W442&amp;"&amp;utm_campaign="&amp;X442&amp;"&amp;utm_content="&amp;Y442)</f>
        <v/>
      </c>
      <c r="AA442" s="29"/>
      <c r="AB442" s="39"/>
      <c r="AC442" s="32"/>
      <c r="AD442" s="32"/>
      <c r="AE442" s="32"/>
      <c r="AF442" s="32"/>
      <c r="AG442" s="32"/>
      <c r="AH442" s="32"/>
      <c r="AI442" s="32"/>
      <c r="AJ442" s="32"/>
      <c r="AK442" s="32"/>
      <c r="AL442" s="32"/>
      <c r="AM442" s="32"/>
      <c r="AN442" s="32"/>
      <c r="AO442" s="33" t="str">
        <f aca="false">IF(A442="","",IF(AD442&lt;&gt;"",AD442,IF(AC442&lt;&gt;"",AC442,"")))</f>
        <v/>
      </c>
      <c r="AP442" s="24" t="str">
        <f aca="false">IF(AO442="","",IF(AD442&lt;&gt;"","Reported reach","Impressions (proxy)"))</f>
        <v/>
      </c>
      <c r="AQ442" s="34" t="str">
        <f aca="false">IF(OR(AO442="",N(S442)=0),"",AO442/S442)</f>
        <v/>
      </c>
      <c r="AR442" s="33" t="str">
        <f aca="false">IF(A442="","",IF(COUNT(AF442:AJ442)=0,"",SUM(AF442:AJ442)))</f>
        <v/>
      </c>
      <c r="AS442" s="34" t="str">
        <f aca="false">IF(OR(AR442="",N(AO442)=0),"",AR442/AO442)</f>
        <v/>
      </c>
      <c r="AT442" s="34" t="str">
        <f aca="false">IF(OR(AR442="",N(AC442)=0),"",AR442/AC442)</f>
        <v/>
      </c>
      <c r="AU442" s="34" t="str">
        <f aca="false">IF(OR(AR442="",N(S442)=0),"",AR442/S442)</f>
        <v/>
      </c>
      <c r="AV442" s="34" t="str">
        <f aca="false">IF(OR(AJ442="",N(AC442)=0),"",AJ442/AC442)</f>
        <v/>
      </c>
      <c r="AW442" s="34" t="str">
        <f aca="false">IF(OR(AH442="",N(AO442)=0),"",AH442/AO442)</f>
        <v/>
      </c>
      <c r="AX442" s="35" t="str">
        <f aca="false">IF(OR(AR442="",N(AO442)=0),"",(N(AF442)*Settings!$B$6+N(AG442)*Settings!$B$7+N(AH442)*Settings!$B$8+N(AI442)*Settings!$B$9+N(AJ442)*Settings!$B$10)/AO442*1000)</f>
        <v/>
      </c>
      <c r="AY442" s="36" t="str">
        <f aca="false">IF(AS442="","",IFERROR(AS442/AVERAGEIFS('Post Tracker'!$AS$5:$AS$1004,'Post Tracker'!$G$5:$G$1004,G442),""))</f>
        <v/>
      </c>
      <c r="AZ442" s="32"/>
      <c r="BA442" s="32"/>
      <c r="BB442" s="32"/>
      <c r="BC442" s="32"/>
      <c r="BD442" s="33" t="str">
        <f aca="false">IF(A442="","",COUNTIFS('Demo Pipeline'!$Q$5:$Q$504,A442))</f>
        <v/>
      </c>
      <c r="BE442" s="33" t="str">
        <f aca="false">IF(A442="","",COUNTIFS('Demo Pipeline'!$Q$5:$Q$504,A442,'Demo Pipeline'!$W$5:$W$504,"Attended"))</f>
        <v/>
      </c>
      <c r="BF442" s="33" t="str">
        <f aca="false">IF(A442="","",COUNTIFS('Demo Pipeline'!$Q$5:$Q$504,A442,'Demo Pipeline'!$X$5:$X$504,"Yes"))</f>
        <v/>
      </c>
      <c r="BG442" s="33" t="str">
        <f aca="false">IF(A442="","",COUNTIFS('Demo Pipeline'!$Q$5:$Q$504,A442,'Demo Pipeline'!$Y$5:$Y$504,"Closed Won"))</f>
        <v/>
      </c>
      <c r="BH442" s="37" t="str">
        <f aca="false">IF(A442="","",SUMIFS('Demo Pipeline'!$Z$5:$Z$504,'Demo Pipeline'!$Q$5:$Q$504,A442))</f>
        <v/>
      </c>
      <c r="BI442" s="34" t="str">
        <f aca="false">IF(OR(AZ442="",N(AJ442)=0),"",AZ442/AJ442)</f>
        <v/>
      </c>
      <c r="BJ442" s="34" t="str">
        <f aca="false">IF(OR(BB442="",N(AZ442)=0),"",BB442/AZ442)</f>
        <v/>
      </c>
      <c r="BK442" s="34" t="str">
        <f aca="false">IF(OR(A442="",N(BB442)=0),"",BD442/BB442)</f>
        <v/>
      </c>
      <c r="BL442" s="34" t="str">
        <f aca="false">IF(OR(A442="",N(AZ442)=0),"",BD442/AZ442)</f>
        <v/>
      </c>
      <c r="BM442" s="37" t="str">
        <f aca="false">IF(OR(N(Q442)=0,N(BD442)=0),"",Q442/BD442)</f>
        <v/>
      </c>
      <c r="BN442" s="29"/>
      <c r="BO442" s="29"/>
      <c r="BP442" s="33" t="str">
        <f aca="false">IF(OR(AR442="",N(AO442)=0),"",AR442)</f>
        <v/>
      </c>
      <c r="BQ442" s="33" t="str">
        <f aca="false">IF(OR(AR442="",N(S442)=0),"",S442)</f>
        <v/>
      </c>
      <c r="BR442" s="38" t="str">
        <f aca="false">IF(AND(ISNUMBER(B442),B442&gt;=Dashboard!$C$4,B442&lt;=Dashboard!$F$4,ISNUMBER(AU442)),AU442+ROW()/10^9,"")</f>
        <v/>
      </c>
      <c r="BS442" s="38" t="str">
        <f aca="false">IF(AND(ISNUMBER(B442),B442&gt;=Dashboard!$C$4,B442&lt;=Dashboard!$F$4,A442&lt;&gt;""),N(BD442)+N(AU442)/100+ROW()/10^9,"")</f>
        <v/>
      </c>
    </row>
    <row r="443" customFormat="false" ht="15" hidden="false" customHeight="false" outlineLevel="0" collapsed="false">
      <c r="A443" s="24" t="str">
        <f aca="false">IF(OR(B443="",G443="",H443=""),"",IFERROR(INDEX(Settings!$E$5:$E$49,MATCH(G443,Settings!$D$5:$D$49,0))&amp;INDEX(Settings!$H$5:$H$47,MATCH(H443,Settings!$G$5:$G$47,0))&amp;"-"&amp;TEXT(B443,"yymmdd")&amp;"-"&amp;IF(C443="","0000",TEXT(C443,"hhmm")),"CHECK LISTS"))</f>
        <v/>
      </c>
      <c r="B443" s="39"/>
      <c r="C443" s="40"/>
      <c r="D443" s="24" t="str">
        <f aca="false">IF(B443="","",TEXT(B443,"ddd"))</f>
        <v/>
      </c>
      <c r="E443" s="27" t="str">
        <f aca="false">IF(B443="","",B443-WEEKDAY(B443,3))</f>
        <v/>
      </c>
      <c r="F443" s="24" t="str">
        <f aca="false">IF(B443="","",TEXT(B443,"yyyy-mm"))</f>
        <v/>
      </c>
      <c r="G443" s="29"/>
      <c r="H443" s="29"/>
      <c r="I443" s="29"/>
      <c r="J443" s="29"/>
      <c r="K443" s="29"/>
      <c r="L443" s="29"/>
      <c r="M443" s="29"/>
      <c r="N443" s="29"/>
      <c r="O443" s="29"/>
      <c r="P443" s="29"/>
      <c r="Q443" s="30"/>
      <c r="R443" s="29"/>
      <c r="S443" s="32"/>
      <c r="T443" s="29"/>
      <c r="U443" s="29"/>
      <c r="V443" s="24" t="str">
        <f aca="false">IF(A443="","",IFERROR(INDEX(Settings!$F$5:$F$49,MATCH(G443,Settings!$D$5:$D$49,0)),""))</f>
        <v/>
      </c>
      <c r="W443" s="24" t="str">
        <f aca="false">IF(A443="","",IF(OR(P443="",P443="Organic"),"social","paid_social"))</f>
        <v/>
      </c>
      <c r="X443" s="24" t="str">
        <f aca="false">IF(A443="","",IF(K443&lt;&gt;"",IFERROR(INDEX('Case Studies'!$C$5:$C$54,MATCH(K443,'Case Studies'!$B$5:$B$54,0))&amp;"","case-study"),IF(J443&lt;&gt;"",IFERROR(INDEX(Settings!$J$5:$J$55,MATCH(J443,Settings!$I$5:$I$55,0)),"general"),"general")))</f>
        <v/>
      </c>
      <c r="Y443" s="24" t="str">
        <f aca="false">IF(A443="","",LOWER(A443))</f>
        <v/>
      </c>
      <c r="Z443" s="24" t="str">
        <f aca="false">IF(A443="","",IF(T443="",Settings!$B$5,T443)&amp;IF(ISNUMBER(FIND("?",IF(T443="",Settings!$B$5,T443))),"&amp;","?")&amp;"utm_source="&amp;V443&amp;"&amp;utm_medium="&amp;W443&amp;"&amp;utm_campaign="&amp;X443&amp;"&amp;utm_content="&amp;Y443)</f>
        <v/>
      </c>
      <c r="AA443" s="29"/>
      <c r="AB443" s="39"/>
      <c r="AC443" s="32"/>
      <c r="AD443" s="32"/>
      <c r="AE443" s="32"/>
      <c r="AF443" s="32"/>
      <c r="AG443" s="32"/>
      <c r="AH443" s="32"/>
      <c r="AI443" s="32"/>
      <c r="AJ443" s="32"/>
      <c r="AK443" s="32"/>
      <c r="AL443" s="32"/>
      <c r="AM443" s="32"/>
      <c r="AN443" s="32"/>
      <c r="AO443" s="33" t="str">
        <f aca="false">IF(A443="","",IF(AD443&lt;&gt;"",AD443,IF(AC443&lt;&gt;"",AC443,"")))</f>
        <v/>
      </c>
      <c r="AP443" s="24" t="str">
        <f aca="false">IF(AO443="","",IF(AD443&lt;&gt;"","Reported reach","Impressions (proxy)"))</f>
        <v/>
      </c>
      <c r="AQ443" s="34" t="str">
        <f aca="false">IF(OR(AO443="",N(S443)=0),"",AO443/S443)</f>
        <v/>
      </c>
      <c r="AR443" s="33" t="str">
        <f aca="false">IF(A443="","",IF(COUNT(AF443:AJ443)=0,"",SUM(AF443:AJ443)))</f>
        <v/>
      </c>
      <c r="AS443" s="34" t="str">
        <f aca="false">IF(OR(AR443="",N(AO443)=0),"",AR443/AO443)</f>
        <v/>
      </c>
      <c r="AT443" s="34" t="str">
        <f aca="false">IF(OR(AR443="",N(AC443)=0),"",AR443/AC443)</f>
        <v/>
      </c>
      <c r="AU443" s="34" t="str">
        <f aca="false">IF(OR(AR443="",N(S443)=0),"",AR443/S443)</f>
        <v/>
      </c>
      <c r="AV443" s="34" t="str">
        <f aca="false">IF(OR(AJ443="",N(AC443)=0),"",AJ443/AC443)</f>
        <v/>
      </c>
      <c r="AW443" s="34" t="str">
        <f aca="false">IF(OR(AH443="",N(AO443)=0),"",AH443/AO443)</f>
        <v/>
      </c>
      <c r="AX443" s="35" t="str">
        <f aca="false">IF(OR(AR443="",N(AO443)=0),"",(N(AF443)*Settings!$B$6+N(AG443)*Settings!$B$7+N(AH443)*Settings!$B$8+N(AI443)*Settings!$B$9+N(AJ443)*Settings!$B$10)/AO443*1000)</f>
        <v/>
      </c>
      <c r="AY443" s="36" t="str">
        <f aca="false">IF(AS443="","",IFERROR(AS443/AVERAGEIFS('Post Tracker'!$AS$5:$AS$1004,'Post Tracker'!$G$5:$G$1004,G443),""))</f>
        <v/>
      </c>
      <c r="AZ443" s="32"/>
      <c r="BA443" s="32"/>
      <c r="BB443" s="32"/>
      <c r="BC443" s="32"/>
      <c r="BD443" s="33" t="str">
        <f aca="false">IF(A443="","",COUNTIFS('Demo Pipeline'!$Q$5:$Q$504,A443))</f>
        <v/>
      </c>
      <c r="BE443" s="33" t="str">
        <f aca="false">IF(A443="","",COUNTIFS('Demo Pipeline'!$Q$5:$Q$504,A443,'Demo Pipeline'!$W$5:$W$504,"Attended"))</f>
        <v/>
      </c>
      <c r="BF443" s="33" t="str">
        <f aca="false">IF(A443="","",COUNTIFS('Demo Pipeline'!$Q$5:$Q$504,A443,'Demo Pipeline'!$X$5:$X$504,"Yes"))</f>
        <v/>
      </c>
      <c r="BG443" s="33" t="str">
        <f aca="false">IF(A443="","",COUNTIFS('Demo Pipeline'!$Q$5:$Q$504,A443,'Demo Pipeline'!$Y$5:$Y$504,"Closed Won"))</f>
        <v/>
      </c>
      <c r="BH443" s="37" t="str">
        <f aca="false">IF(A443="","",SUMIFS('Demo Pipeline'!$Z$5:$Z$504,'Demo Pipeline'!$Q$5:$Q$504,A443))</f>
        <v/>
      </c>
      <c r="BI443" s="34" t="str">
        <f aca="false">IF(OR(AZ443="",N(AJ443)=0),"",AZ443/AJ443)</f>
        <v/>
      </c>
      <c r="BJ443" s="34" t="str">
        <f aca="false">IF(OR(BB443="",N(AZ443)=0),"",BB443/AZ443)</f>
        <v/>
      </c>
      <c r="BK443" s="34" t="str">
        <f aca="false">IF(OR(A443="",N(BB443)=0),"",BD443/BB443)</f>
        <v/>
      </c>
      <c r="BL443" s="34" t="str">
        <f aca="false">IF(OR(A443="",N(AZ443)=0),"",BD443/AZ443)</f>
        <v/>
      </c>
      <c r="BM443" s="37" t="str">
        <f aca="false">IF(OR(N(Q443)=0,N(BD443)=0),"",Q443/BD443)</f>
        <v/>
      </c>
      <c r="BN443" s="29"/>
      <c r="BO443" s="29"/>
      <c r="BP443" s="33" t="str">
        <f aca="false">IF(OR(AR443="",N(AO443)=0),"",AR443)</f>
        <v/>
      </c>
      <c r="BQ443" s="33" t="str">
        <f aca="false">IF(OR(AR443="",N(S443)=0),"",S443)</f>
        <v/>
      </c>
      <c r="BR443" s="38" t="str">
        <f aca="false">IF(AND(ISNUMBER(B443),B443&gt;=Dashboard!$C$4,B443&lt;=Dashboard!$F$4,ISNUMBER(AU443)),AU443+ROW()/10^9,"")</f>
        <v/>
      </c>
      <c r="BS443" s="38" t="str">
        <f aca="false">IF(AND(ISNUMBER(B443),B443&gt;=Dashboard!$C$4,B443&lt;=Dashboard!$F$4,A443&lt;&gt;""),N(BD443)+N(AU443)/100+ROW()/10^9,"")</f>
        <v/>
      </c>
    </row>
    <row r="444" customFormat="false" ht="15" hidden="false" customHeight="false" outlineLevel="0" collapsed="false">
      <c r="A444" s="24" t="str">
        <f aca="false">IF(OR(B444="",G444="",H444=""),"",IFERROR(INDEX(Settings!$E$5:$E$49,MATCH(G444,Settings!$D$5:$D$49,0))&amp;INDEX(Settings!$H$5:$H$47,MATCH(H444,Settings!$G$5:$G$47,0))&amp;"-"&amp;TEXT(B444,"yymmdd")&amp;"-"&amp;IF(C444="","0000",TEXT(C444,"hhmm")),"CHECK LISTS"))</f>
        <v/>
      </c>
      <c r="B444" s="39"/>
      <c r="C444" s="40"/>
      <c r="D444" s="24" t="str">
        <f aca="false">IF(B444="","",TEXT(B444,"ddd"))</f>
        <v/>
      </c>
      <c r="E444" s="27" t="str">
        <f aca="false">IF(B444="","",B444-WEEKDAY(B444,3))</f>
        <v/>
      </c>
      <c r="F444" s="24" t="str">
        <f aca="false">IF(B444="","",TEXT(B444,"yyyy-mm"))</f>
        <v/>
      </c>
      <c r="G444" s="29"/>
      <c r="H444" s="29"/>
      <c r="I444" s="29"/>
      <c r="J444" s="29"/>
      <c r="K444" s="29"/>
      <c r="L444" s="29"/>
      <c r="M444" s="29"/>
      <c r="N444" s="29"/>
      <c r="O444" s="29"/>
      <c r="P444" s="29"/>
      <c r="Q444" s="30"/>
      <c r="R444" s="29"/>
      <c r="S444" s="32"/>
      <c r="T444" s="29"/>
      <c r="U444" s="29"/>
      <c r="V444" s="24" t="str">
        <f aca="false">IF(A444="","",IFERROR(INDEX(Settings!$F$5:$F$49,MATCH(G444,Settings!$D$5:$D$49,0)),""))</f>
        <v/>
      </c>
      <c r="W444" s="24" t="str">
        <f aca="false">IF(A444="","",IF(OR(P444="",P444="Organic"),"social","paid_social"))</f>
        <v/>
      </c>
      <c r="X444" s="24" t="str">
        <f aca="false">IF(A444="","",IF(K444&lt;&gt;"",IFERROR(INDEX('Case Studies'!$C$5:$C$54,MATCH(K444,'Case Studies'!$B$5:$B$54,0))&amp;"","case-study"),IF(J444&lt;&gt;"",IFERROR(INDEX(Settings!$J$5:$J$55,MATCH(J444,Settings!$I$5:$I$55,0)),"general"),"general")))</f>
        <v/>
      </c>
      <c r="Y444" s="24" t="str">
        <f aca="false">IF(A444="","",LOWER(A444))</f>
        <v/>
      </c>
      <c r="Z444" s="24" t="str">
        <f aca="false">IF(A444="","",IF(T444="",Settings!$B$5,T444)&amp;IF(ISNUMBER(FIND("?",IF(T444="",Settings!$B$5,T444))),"&amp;","?")&amp;"utm_source="&amp;V444&amp;"&amp;utm_medium="&amp;W444&amp;"&amp;utm_campaign="&amp;X444&amp;"&amp;utm_content="&amp;Y444)</f>
        <v/>
      </c>
      <c r="AA444" s="29"/>
      <c r="AB444" s="39"/>
      <c r="AC444" s="32"/>
      <c r="AD444" s="32"/>
      <c r="AE444" s="32"/>
      <c r="AF444" s="32"/>
      <c r="AG444" s="32"/>
      <c r="AH444" s="32"/>
      <c r="AI444" s="32"/>
      <c r="AJ444" s="32"/>
      <c r="AK444" s="32"/>
      <c r="AL444" s="32"/>
      <c r="AM444" s="32"/>
      <c r="AN444" s="32"/>
      <c r="AO444" s="33" t="str">
        <f aca="false">IF(A444="","",IF(AD444&lt;&gt;"",AD444,IF(AC444&lt;&gt;"",AC444,"")))</f>
        <v/>
      </c>
      <c r="AP444" s="24" t="str">
        <f aca="false">IF(AO444="","",IF(AD444&lt;&gt;"","Reported reach","Impressions (proxy)"))</f>
        <v/>
      </c>
      <c r="AQ444" s="34" t="str">
        <f aca="false">IF(OR(AO444="",N(S444)=0),"",AO444/S444)</f>
        <v/>
      </c>
      <c r="AR444" s="33" t="str">
        <f aca="false">IF(A444="","",IF(COUNT(AF444:AJ444)=0,"",SUM(AF444:AJ444)))</f>
        <v/>
      </c>
      <c r="AS444" s="34" t="str">
        <f aca="false">IF(OR(AR444="",N(AO444)=0),"",AR444/AO444)</f>
        <v/>
      </c>
      <c r="AT444" s="34" t="str">
        <f aca="false">IF(OR(AR444="",N(AC444)=0),"",AR444/AC444)</f>
        <v/>
      </c>
      <c r="AU444" s="34" t="str">
        <f aca="false">IF(OR(AR444="",N(S444)=0),"",AR444/S444)</f>
        <v/>
      </c>
      <c r="AV444" s="34" t="str">
        <f aca="false">IF(OR(AJ444="",N(AC444)=0),"",AJ444/AC444)</f>
        <v/>
      </c>
      <c r="AW444" s="34" t="str">
        <f aca="false">IF(OR(AH444="",N(AO444)=0),"",AH444/AO444)</f>
        <v/>
      </c>
      <c r="AX444" s="35" t="str">
        <f aca="false">IF(OR(AR444="",N(AO444)=0),"",(N(AF444)*Settings!$B$6+N(AG444)*Settings!$B$7+N(AH444)*Settings!$B$8+N(AI444)*Settings!$B$9+N(AJ444)*Settings!$B$10)/AO444*1000)</f>
        <v/>
      </c>
      <c r="AY444" s="36" t="str">
        <f aca="false">IF(AS444="","",IFERROR(AS444/AVERAGEIFS('Post Tracker'!$AS$5:$AS$1004,'Post Tracker'!$G$5:$G$1004,G444),""))</f>
        <v/>
      </c>
      <c r="AZ444" s="32"/>
      <c r="BA444" s="32"/>
      <c r="BB444" s="32"/>
      <c r="BC444" s="32"/>
      <c r="BD444" s="33" t="str">
        <f aca="false">IF(A444="","",COUNTIFS('Demo Pipeline'!$Q$5:$Q$504,A444))</f>
        <v/>
      </c>
      <c r="BE444" s="33" t="str">
        <f aca="false">IF(A444="","",COUNTIFS('Demo Pipeline'!$Q$5:$Q$504,A444,'Demo Pipeline'!$W$5:$W$504,"Attended"))</f>
        <v/>
      </c>
      <c r="BF444" s="33" t="str">
        <f aca="false">IF(A444="","",COUNTIFS('Demo Pipeline'!$Q$5:$Q$504,A444,'Demo Pipeline'!$X$5:$X$504,"Yes"))</f>
        <v/>
      </c>
      <c r="BG444" s="33" t="str">
        <f aca="false">IF(A444="","",COUNTIFS('Demo Pipeline'!$Q$5:$Q$504,A444,'Demo Pipeline'!$Y$5:$Y$504,"Closed Won"))</f>
        <v/>
      </c>
      <c r="BH444" s="37" t="str">
        <f aca="false">IF(A444="","",SUMIFS('Demo Pipeline'!$Z$5:$Z$504,'Demo Pipeline'!$Q$5:$Q$504,A444))</f>
        <v/>
      </c>
      <c r="BI444" s="34" t="str">
        <f aca="false">IF(OR(AZ444="",N(AJ444)=0),"",AZ444/AJ444)</f>
        <v/>
      </c>
      <c r="BJ444" s="34" t="str">
        <f aca="false">IF(OR(BB444="",N(AZ444)=0),"",BB444/AZ444)</f>
        <v/>
      </c>
      <c r="BK444" s="34" t="str">
        <f aca="false">IF(OR(A444="",N(BB444)=0),"",BD444/BB444)</f>
        <v/>
      </c>
      <c r="BL444" s="34" t="str">
        <f aca="false">IF(OR(A444="",N(AZ444)=0),"",BD444/AZ444)</f>
        <v/>
      </c>
      <c r="BM444" s="37" t="str">
        <f aca="false">IF(OR(N(Q444)=0,N(BD444)=0),"",Q444/BD444)</f>
        <v/>
      </c>
      <c r="BN444" s="29"/>
      <c r="BO444" s="29"/>
      <c r="BP444" s="33" t="str">
        <f aca="false">IF(OR(AR444="",N(AO444)=0),"",AR444)</f>
        <v/>
      </c>
      <c r="BQ444" s="33" t="str">
        <f aca="false">IF(OR(AR444="",N(S444)=0),"",S444)</f>
        <v/>
      </c>
      <c r="BR444" s="38" t="str">
        <f aca="false">IF(AND(ISNUMBER(B444),B444&gt;=Dashboard!$C$4,B444&lt;=Dashboard!$F$4,ISNUMBER(AU444)),AU444+ROW()/10^9,"")</f>
        <v/>
      </c>
      <c r="BS444" s="38" t="str">
        <f aca="false">IF(AND(ISNUMBER(B444),B444&gt;=Dashboard!$C$4,B444&lt;=Dashboard!$F$4,A444&lt;&gt;""),N(BD444)+N(AU444)/100+ROW()/10^9,"")</f>
        <v/>
      </c>
    </row>
    <row r="445" customFormat="false" ht="15" hidden="false" customHeight="false" outlineLevel="0" collapsed="false">
      <c r="A445" s="24" t="str">
        <f aca="false">IF(OR(B445="",G445="",H445=""),"",IFERROR(INDEX(Settings!$E$5:$E$49,MATCH(G445,Settings!$D$5:$D$49,0))&amp;INDEX(Settings!$H$5:$H$47,MATCH(H445,Settings!$G$5:$G$47,0))&amp;"-"&amp;TEXT(B445,"yymmdd")&amp;"-"&amp;IF(C445="","0000",TEXT(C445,"hhmm")),"CHECK LISTS"))</f>
        <v/>
      </c>
      <c r="B445" s="39"/>
      <c r="C445" s="40"/>
      <c r="D445" s="24" t="str">
        <f aca="false">IF(B445="","",TEXT(B445,"ddd"))</f>
        <v/>
      </c>
      <c r="E445" s="27" t="str">
        <f aca="false">IF(B445="","",B445-WEEKDAY(B445,3))</f>
        <v/>
      </c>
      <c r="F445" s="24" t="str">
        <f aca="false">IF(B445="","",TEXT(B445,"yyyy-mm"))</f>
        <v/>
      </c>
      <c r="G445" s="29"/>
      <c r="H445" s="29"/>
      <c r="I445" s="29"/>
      <c r="J445" s="29"/>
      <c r="K445" s="29"/>
      <c r="L445" s="29"/>
      <c r="M445" s="29"/>
      <c r="N445" s="29"/>
      <c r="O445" s="29"/>
      <c r="P445" s="29"/>
      <c r="Q445" s="30"/>
      <c r="R445" s="29"/>
      <c r="S445" s="32"/>
      <c r="T445" s="29"/>
      <c r="U445" s="29"/>
      <c r="V445" s="24" t="str">
        <f aca="false">IF(A445="","",IFERROR(INDEX(Settings!$F$5:$F$49,MATCH(G445,Settings!$D$5:$D$49,0)),""))</f>
        <v/>
      </c>
      <c r="W445" s="24" t="str">
        <f aca="false">IF(A445="","",IF(OR(P445="",P445="Organic"),"social","paid_social"))</f>
        <v/>
      </c>
      <c r="X445" s="24" t="str">
        <f aca="false">IF(A445="","",IF(K445&lt;&gt;"",IFERROR(INDEX('Case Studies'!$C$5:$C$54,MATCH(K445,'Case Studies'!$B$5:$B$54,0))&amp;"","case-study"),IF(J445&lt;&gt;"",IFERROR(INDEX(Settings!$J$5:$J$55,MATCH(J445,Settings!$I$5:$I$55,0)),"general"),"general")))</f>
        <v/>
      </c>
      <c r="Y445" s="24" t="str">
        <f aca="false">IF(A445="","",LOWER(A445))</f>
        <v/>
      </c>
      <c r="Z445" s="24" t="str">
        <f aca="false">IF(A445="","",IF(T445="",Settings!$B$5,T445)&amp;IF(ISNUMBER(FIND("?",IF(T445="",Settings!$B$5,T445))),"&amp;","?")&amp;"utm_source="&amp;V445&amp;"&amp;utm_medium="&amp;W445&amp;"&amp;utm_campaign="&amp;X445&amp;"&amp;utm_content="&amp;Y445)</f>
        <v/>
      </c>
      <c r="AA445" s="29"/>
      <c r="AB445" s="39"/>
      <c r="AC445" s="32"/>
      <c r="AD445" s="32"/>
      <c r="AE445" s="32"/>
      <c r="AF445" s="32"/>
      <c r="AG445" s="32"/>
      <c r="AH445" s="32"/>
      <c r="AI445" s="32"/>
      <c r="AJ445" s="32"/>
      <c r="AK445" s="32"/>
      <c r="AL445" s="32"/>
      <c r="AM445" s="32"/>
      <c r="AN445" s="32"/>
      <c r="AO445" s="33" t="str">
        <f aca="false">IF(A445="","",IF(AD445&lt;&gt;"",AD445,IF(AC445&lt;&gt;"",AC445,"")))</f>
        <v/>
      </c>
      <c r="AP445" s="24" t="str">
        <f aca="false">IF(AO445="","",IF(AD445&lt;&gt;"","Reported reach","Impressions (proxy)"))</f>
        <v/>
      </c>
      <c r="AQ445" s="34" t="str">
        <f aca="false">IF(OR(AO445="",N(S445)=0),"",AO445/S445)</f>
        <v/>
      </c>
      <c r="AR445" s="33" t="str">
        <f aca="false">IF(A445="","",IF(COUNT(AF445:AJ445)=0,"",SUM(AF445:AJ445)))</f>
        <v/>
      </c>
      <c r="AS445" s="34" t="str">
        <f aca="false">IF(OR(AR445="",N(AO445)=0),"",AR445/AO445)</f>
        <v/>
      </c>
      <c r="AT445" s="34" t="str">
        <f aca="false">IF(OR(AR445="",N(AC445)=0),"",AR445/AC445)</f>
        <v/>
      </c>
      <c r="AU445" s="34" t="str">
        <f aca="false">IF(OR(AR445="",N(S445)=0),"",AR445/S445)</f>
        <v/>
      </c>
      <c r="AV445" s="34" t="str">
        <f aca="false">IF(OR(AJ445="",N(AC445)=0),"",AJ445/AC445)</f>
        <v/>
      </c>
      <c r="AW445" s="34" t="str">
        <f aca="false">IF(OR(AH445="",N(AO445)=0),"",AH445/AO445)</f>
        <v/>
      </c>
      <c r="AX445" s="35" t="str">
        <f aca="false">IF(OR(AR445="",N(AO445)=0),"",(N(AF445)*Settings!$B$6+N(AG445)*Settings!$B$7+N(AH445)*Settings!$B$8+N(AI445)*Settings!$B$9+N(AJ445)*Settings!$B$10)/AO445*1000)</f>
        <v/>
      </c>
      <c r="AY445" s="36" t="str">
        <f aca="false">IF(AS445="","",IFERROR(AS445/AVERAGEIFS('Post Tracker'!$AS$5:$AS$1004,'Post Tracker'!$G$5:$G$1004,G445),""))</f>
        <v/>
      </c>
      <c r="AZ445" s="32"/>
      <c r="BA445" s="32"/>
      <c r="BB445" s="32"/>
      <c r="BC445" s="32"/>
      <c r="BD445" s="33" t="str">
        <f aca="false">IF(A445="","",COUNTIFS('Demo Pipeline'!$Q$5:$Q$504,A445))</f>
        <v/>
      </c>
      <c r="BE445" s="33" t="str">
        <f aca="false">IF(A445="","",COUNTIFS('Demo Pipeline'!$Q$5:$Q$504,A445,'Demo Pipeline'!$W$5:$W$504,"Attended"))</f>
        <v/>
      </c>
      <c r="BF445" s="33" t="str">
        <f aca="false">IF(A445="","",COUNTIFS('Demo Pipeline'!$Q$5:$Q$504,A445,'Demo Pipeline'!$X$5:$X$504,"Yes"))</f>
        <v/>
      </c>
      <c r="BG445" s="33" t="str">
        <f aca="false">IF(A445="","",COUNTIFS('Demo Pipeline'!$Q$5:$Q$504,A445,'Demo Pipeline'!$Y$5:$Y$504,"Closed Won"))</f>
        <v/>
      </c>
      <c r="BH445" s="37" t="str">
        <f aca="false">IF(A445="","",SUMIFS('Demo Pipeline'!$Z$5:$Z$504,'Demo Pipeline'!$Q$5:$Q$504,A445))</f>
        <v/>
      </c>
      <c r="BI445" s="34" t="str">
        <f aca="false">IF(OR(AZ445="",N(AJ445)=0),"",AZ445/AJ445)</f>
        <v/>
      </c>
      <c r="BJ445" s="34" t="str">
        <f aca="false">IF(OR(BB445="",N(AZ445)=0),"",BB445/AZ445)</f>
        <v/>
      </c>
      <c r="BK445" s="34" t="str">
        <f aca="false">IF(OR(A445="",N(BB445)=0),"",BD445/BB445)</f>
        <v/>
      </c>
      <c r="BL445" s="34" t="str">
        <f aca="false">IF(OR(A445="",N(AZ445)=0),"",BD445/AZ445)</f>
        <v/>
      </c>
      <c r="BM445" s="37" t="str">
        <f aca="false">IF(OR(N(Q445)=0,N(BD445)=0),"",Q445/BD445)</f>
        <v/>
      </c>
      <c r="BN445" s="29"/>
      <c r="BO445" s="29"/>
      <c r="BP445" s="33" t="str">
        <f aca="false">IF(OR(AR445="",N(AO445)=0),"",AR445)</f>
        <v/>
      </c>
      <c r="BQ445" s="33" t="str">
        <f aca="false">IF(OR(AR445="",N(S445)=0),"",S445)</f>
        <v/>
      </c>
      <c r="BR445" s="38" t="str">
        <f aca="false">IF(AND(ISNUMBER(B445),B445&gt;=Dashboard!$C$4,B445&lt;=Dashboard!$F$4,ISNUMBER(AU445)),AU445+ROW()/10^9,"")</f>
        <v/>
      </c>
      <c r="BS445" s="38" t="str">
        <f aca="false">IF(AND(ISNUMBER(B445),B445&gt;=Dashboard!$C$4,B445&lt;=Dashboard!$F$4,A445&lt;&gt;""),N(BD445)+N(AU445)/100+ROW()/10^9,"")</f>
        <v/>
      </c>
    </row>
    <row r="446" customFormat="false" ht="15" hidden="false" customHeight="false" outlineLevel="0" collapsed="false">
      <c r="A446" s="24" t="str">
        <f aca="false">IF(OR(B446="",G446="",H446=""),"",IFERROR(INDEX(Settings!$E$5:$E$49,MATCH(G446,Settings!$D$5:$D$49,0))&amp;INDEX(Settings!$H$5:$H$47,MATCH(H446,Settings!$G$5:$G$47,0))&amp;"-"&amp;TEXT(B446,"yymmdd")&amp;"-"&amp;IF(C446="","0000",TEXT(C446,"hhmm")),"CHECK LISTS"))</f>
        <v/>
      </c>
      <c r="B446" s="39"/>
      <c r="C446" s="40"/>
      <c r="D446" s="24" t="str">
        <f aca="false">IF(B446="","",TEXT(B446,"ddd"))</f>
        <v/>
      </c>
      <c r="E446" s="27" t="str">
        <f aca="false">IF(B446="","",B446-WEEKDAY(B446,3))</f>
        <v/>
      </c>
      <c r="F446" s="24" t="str">
        <f aca="false">IF(B446="","",TEXT(B446,"yyyy-mm"))</f>
        <v/>
      </c>
      <c r="G446" s="29"/>
      <c r="H446" s="29"/>
      <c r="I446" s="29"/>
      <c r="J446" s="29"/>
      <c r="K446" s="29"/>
      <c r="L446" s="29"/>
      <c r="M446" s="29"/>
      <c r="N446" s="29"/>
      <c r="O446" s="29"/>
      <c r="P446" s="29"/>
      <c r="Q446" s="30"/>
      <c r="R446" s="29"/>
      <c r="S446" s="32"/>
      <c r="T446" s="29"/>
      <c r="U446" s="29"/>
      <c r="V446" s="24" t="str">
        <f aca="false">IF(A446="","",IFERROR(INDEX(Settings!$F$5:$F$49,MATCH(G446,Settings!$D$5:$D$49,0)),""))</f>
        <v/>
      </c>
      <c r="W446" s="24" t="str">
        <f aca="false">IF(A446="","",IF(OR(P446="",P446="Organic"),"social","paid_social"))</f>
        <v/>
      </c>
      <c r="X446" s="24" t="str">
        <f aca="false">IF(A446="","",IF(K446&lt;&gt;"",IFERROR(INDEX('Case Studies'!$C$5:$C$54,MATCH(K446,'Case Studies'!$B$5:$B$54,0))&amp;"","case-study"),IF(J446&lt;&gt;"",IFERROR(INDEX(Settings!$J$5:$J$55,MATCH(J446,Settings!$I$5:$I$55,0)),"general"),"general")))</f>
        <v/>
      </c>
      <c r="Y446" s="24" t="str">
        <f aca="false">IF(A446="","",LOWER(A446))</f>
        <v/>
      </c>
      <c r="Z446" s="24" t="str">
        <f aca="false">IF(A446="","",IF(T446="",Settings!$B$5,T446)&amp;IF(ISNUMBER(FIND("?",IF(T446="",Settings!$B$5,T446))),"&amp;","?")&amp;"utm_source="&amp;V446&amp;"&amp;utm_medium="&amp;W446&amp;"&amp;utm_campaign="&amp;X446&amp;"&amp;utm_content="&amp;Y446)</f>
        <v/>
      </c>
      <c r="AA446" s="29"/>
      <c r="AB446" s="39"/>
      <c r="AC446" s="32"/>
      <c r="AD446" s="32"/>
      <c r="AE446" s="32"/>
      <c r="AF446" s="32"/>
      <c r="AG446" s="32"/>
      <c r="AH446" s="32"/>
      <c r="AI446" s="32"/>
      <c r="AJ446" s="32"/>
      <c r="AK446" s="32"/>
      <c r="AL446" s="32"/>
      <c r="AM446" s="32"/>
      <c r="AN446" s="32"/>
      <c r="AO446" s="33" t="str">
        <f aca="false">IF(A446="","",IF(AD446&lt;&gt;"",AD446,IF(AC446&lt;&gt;"",AC446,"")))</f>
        <v/>
      </c>
      <c r="AP446" s="24" t="str">
        <f aca="false">IF(AO446="","",IF(AD446&lt;&gt;"","Reported reach","Impressions (proxy)"))</f>
        <v/>
      </c>
      <c r="AQ446" s="34" t="str">
        <f aca="false">IF(OR(AO446="",N(S446)=0),"",AO446/S446)</f>
        <v/>
      </c>
      <c r="AR446" s="33" t="str">
        <f aca="false">IF(A446="","",IF(COUNT(AF446:AJ446)=0,"",SUM(AF446:AJ446)))</f>
        <v/>
      </c>
      <c r="AS446" s="34" t="str">
        <f aca="false">IF(OR(AR446="",N(AO446)=0),"",AR446/AO446)</f>
        <v/>
      </c>
      <c r="AT446" s="34" t="str">
        <f aca="false">IF(OR(AR446="",N(AC446)=0),"",AR446/AC446)</f>
        <v/>
      </c>
      <c r="AU446" s="34" t="str">
        <f aca="false">IF(OR(AR446="",N(S446)=0),"",AR446/S446)</f>
        <v/>
      </c>
      <c r="AV446" s="34" t="str">
        <f aca="false">IF(OR(AJ446="",N(AC446)=0),"",AJ446/AC446)</f>
        <v/>
      </c>
      <c r="AW446" s="34" t="str">
        <f aca="false">IF(OR(AH446="",N(AO446)=0),"",AH446/AO446)</f>
        <v/>
      </c>
      <c r="AX446" s="35" t="str">
        <f aca="false">IF(OR(AR446="",N(AO446)=0),"",(N(AF446)*Settings!$B$6+N(AG446)*Settings!$B$7+N(AH446)*Settings!$B$8+N(AI446)*Settings!$B$9+N(AJ446)*Settings!$B$10)/AO446*1000)</f>
        <v/>
      </c>
      <c r="AY446" s="36" t="str">
        <f aca="false">IF(AS446="","",IFERROR(AS446/AVERAGEIFS('Post Tracker'!$AS$5:$AS$1004,'Post Tracker'!$G$5:$G$1004,G446),""))</f>
        <v/>
      </c>
      <c r="AZ446" s="32"/>
      <c r="BA446" s="32"/>
      <c r="BB446" s="32"/>
      <c r="BC446" s="32"/>
      <c r="BD446" s="33" t="str">
        <f aca="false">IF(A446="","",COUNTIFS('Demo Pipeline'!$Q$5:$Q$504,A446))</f>
        <v/>
      </c>
      <c r="BE446" s="33" t="str">
        <f aca="false">IF(A446="","",COUNTIFS('Demo Pipeline'!$Q$5:$Q$504,A446,'Demo Pipeline'!$W$5:$W$504,"Attended"))</f>
        <v/>
      </c>
      <c r="BF446" s="33" t="str">
        <f aca="false">IF(A446="","",COUNTIFS('Demo Pipeline'!$Q$5:$Q$504,A446,'Demo Pipeline'!$X$5:$X$504,"Yes"))</f>
        <v/>
      </c>
      <c r="BG446" s="33" t="str">
        <f aca="false">IF(A446="","",COUNTIFS('Demo Pipeline'!$Q$5:$Q$504,A446,'Demo Pipeline'!$Y$5:$Y$504,"Closed Won"))</f>
        <v/>
      </c>
      <c r="BH446" s="37" t="str">
        <f aca="false">IF(A446="","",SUMIFS('Demo Pipeline'!$Z$5:$Z$504,'Demo Pipeline'!$Q$5:$Q$504,A446))</f>
        <v/>
      </c>
      <c r="BI446" s="34" t="str">
        <f aca="false">IF(OR(AZ446="",N(AJ446)=0),"",AZ446/AJ446)</f>
        <v/>
      </c>
      <c r="BJ446" s="34" t="str">
        <f aca="false">IF(OR(BB446="",N(AZ446)=0),"",BB446/AZ446)</f>
        <v/>
      </c>
      <c r="BK446" s="34" t="str">
        <f aca="false">IF(OR(A446="",N(BB446)=0),"",BD446/BB446)</f>
        <v/>
      </c>
      <c r="BL446" s="34" t="str">
        <f aca="false">IF(OR(A446="",N(AZ446)=0),"",BD446/AZ446)</f>
        <v/>
      </c>
      <c r="BM446" s="37" t="str">
        <f aca="false">IF(OR(N(Q446)=0,N(BD446)=0),"",Q446/BD446)</f>
        <v/>
      </c>
      <c r="BN446" s="29"/>
      <c r="BO446" s="29"/>
      <c r="BP446" s="33" t="str">
        <f aca="false">IF(OR(AR446="",N(AO446)=0),"",AR446)</f>
        <v/>
      </c>
      <c r="BQ446" s="33" t="str">
        <f aca="false">IF(OR(AR446="",N(S446)=0),"",S446)</f>
        <v/>
      </c>
      <c r="BR446" s="38" t="str">
        <f aca="false">IF(AND(ISNUMBER(B446),B446&gt;=Dashboard!$C$4,B446&lt;=Dashboard!$F$4,ISNUMBER(AU446)),AU446+ROW()/10^9,"")</f>
        <v/>
      </c>
      <c r="BS446" s="38" t="str">
        <f aca="false">IF(AND(ISNUMBER(B446),B446&gt;=Dashboard!$C$4,B446&lt;=Dashboard!$F$4,A446&lt;&gt;""),N(BD446)+N(AU446)/100+ROW()/10^9,"")</f>
        <v/>
      </c>
    </row>
    <row r="447" customFormat="false" ht="15" hidden="false" customHeight="false" outlineLevel="0" collapsed="false">
      <c r="A447" s="24" t="str">
        <f aca="false">IF(OR(B447="",G447="",H447=""),"",IFERROR(INDEX(Settings!$E$5:$E$49,MATCH(G447,Settings!$D$5:$D$49,0))&amp;INDEX(Settings!$H$5:$H$47,MATCH(H447,Settings!$G$5:$G$47,0))&amp;"-"&amp;TEXT(B447,"yymmdd")&amp;"-"&amp;IF(C447="","0000",TEXT(C447,"hhmm")),"CHECK LISTS"))</f>
        <v/>
      </c>
      <c r="B447" s="39"/>
      <c r="C447" s="40"/>
      <c r="D447" s="24" t="str">
        <f aca="false">IF(B447="","",TEXT(B447,"ddd"))</f>
        <v/>
      </c>
      <c r="E447" s="27" t="str">
        <f aca="false">IF(B447="","",B447-WEEKDAY(B447,3))</f>
        <v/>
      </c>
      <c r="F447" s="24" t="str">
        <f aca="false">IF(B447="","",TEXT(B447,"yyyy-mm"))</f>
        <v/>
      </c>
      <c r="G447" s="29"/>
      <c r="H447" s="29"/>
      <c r="I447" s="29"/>
      <c r="J447" s="29"/>
      <c r="K447" s="29"/>
      <c r="L447" s="29"/>
      <c r="M447" s="29"/>
      <c r="N447" s="29"/>
      <c r="O447" s="29"/>
      <c r="P447" s="29"/>
      <c r="Q447" s="30"/>
      <c r="R447" s="29"/>
      <c r="S447" s="32"/>
      <c r="T447" s="29"/>
      <c r="U447" s="29"/>
      <c r="V447" s="24" t="str">
        <f aca="false">IF(A447="","",IFERROR(INDEX(Settings!$F$5:$F$49,MATCH(G447,Settings!$D$5:$D$49,0)),""))</f>
        <v/>
      </c>
      <c r="W447" s="24" t="str">
        <f aca="false">IF(A447="","",IF(OR(P447="",P447="Organic"),"social","paid_social"))</f>
        <v/>
      </c>
      <c r="X447" s="24" t="str">
        <f aca="false">IF(A447="","",IF(K447&lt;&gt;"",IFERROR(INDEX('Case Studies'!$C$5:$C$54,MATCH(K447,'Case Studies'!$B$5:$B$54,0))&amp;"","case-study"),IF(J447&lt;&gt;"",IFERROR(INDEX(Settings!$J$5:$J$55,MATCH(J447,Settings!$I$5:$I$55,0)),"general"),"general")))</f>
        <v/>
      </c>
      <c r="Y447" s="24" t="str">
        <f aca="false">IF(A447="","",LOWER(A447))</f>
        <v/>
      </c>
      <c r="Z447" s="24" t="str">
        <f aca="false">IF(A447="","",IF(T447="",Settings!$B$5,T447)&amp;IF(ISNUMBER(FIND("?",IF(T447="",Settings!$B$5,T447))),"&amp;","?")&amp;"utm_source="&amp;V447&amp;"&amp;utm_medium="&amp;W447&amp;"&amp;utm_campaign="&amp;X447&amp;"&amp;utm_content="&amp;Y447)</f>
        <v/>
      </c>
      <c r="AA447" s="29"/>
      <c r="AB447" s="39"/>
      <c r="AC447" s="32"/>
      <c r="AD447" s="32"/>
      <c r="AE447" s="32"/>
      <c r="AF447" s="32"/>
      <c r="AG447" s="32"/>
      <c r="AH447" s="32"/>
      <c r="AI447" s="32"/>
      <c r="AJ447" s="32"/>
      <c r="AK447" s="32"/>
      <c r="AL447" s="32"/>
      <c r="AM447" s="32"/>
      <c r="AN447" s="32"/>
      <c r="AO447" s="33" t="str">
        <f aca="false">IF(A447="","",IF(AD447&lt;&gt;"",AD447,IF(AC447&lt;&gt;"",AC447,"")))</f>
        <v/>
      </c>
      <c r="AP447" s="24" t="str">
        <f aca="false">IF(AO447="","",IF(AD447&lt;&gt;"","Reported reach","Impressions (proxy)"))</f>
        <v/>
      </c>
      <c r="AQ447" s="34" t="str">
        <f aca="false">IF(OR(AO447="",N(S447)=0),"",AO447/S447)</f>
        <v/>
      </c>
      <c r="AR447" s="33" t="str">
        <f aca="false">IF(A447="","",IF(COUNT(AF447:AJ447)=0,"",SUM(AF447:AJ447)))</f>
        <v/>
      </c>
      <c r="AS447" s="34" t="str">
        <f aca="false">IF(OR(AR447="",N(AO447)=0),"",AR447/AO447)</f>
        <v/>
      </c>
      <c r="AT447" s="34" t="str">
        <f aca="false">IF(OR(AR447="",N(AC447)=0),"",AR447/AC447)</f>
        <v/>
      </c>
      <c r="AU447" s="34" t="str">
        <f aca="false">IF(OR(AR447="",N(S447)=0),"",AR447/S447)</f>
        <v/>
      </c>
      <c r="AV447" s="34" t="str">
        <f aca="false">IF(OR(AJ447="",N(AC447)=0),"",AJ447/AC447)</f>
        <v/>
      </c>
      <c r="AW447" s="34" t="str">
        <f aca="false">IF(OR(AH447="",N(AO447)=0),"",AH447/AO447)</f>
        <v/>
      </c>
      <c r="AX447" s="35" t="str">
        <f aca="false">IF(OR(AR447="",N(AO447)=0),"",(N(AF447)*Settings!$B$6+N(AG447)*Settings!$B$7+N(AH447)*Settings!$B$8+N(AI447)*Settings!$B$9+N(AJ447)*Settings!$B$10)/AO447*1000)</f>
        <v/>
      </c>
      <c r="AY447" s="36" t="str">
        <f aca="false">IF(AS447="","",IFERROR(AS447/AVERAGEIFS('Post Tracker'!$AS$5:$AS$1004,'Post Tracker'!$G$5:$G$1004,G447),""))</f>
        <v/>
      </c>
      <c r="AZ447" s="32"/>
      <c r="BA447" s="32"/>
      <c r="BB447" s="32"/>
      <c r="BC447" s="32"/>
      <c r="BD447" s="33" t="str">
        <f aca="false">IF(A447="","",COUNTIFS('Demo Pipeline'!$Q$5:$Q$504,A447))</f>
        <v/>
      </c>
      <c r="BE447" s="33" t="str">
        <f aca="false">IF(A447="","",COUNTIFS('Demo Pipeline'!$Q$5:$Q$504,A447,'Demo Pipeline'!$W$5:$W$504,"Attended"))</f>
        <v/>
      </c>
      <c r="BF447" s="33" t="str">
        <f aca="false">IF(A447="","",COUNTIFS('Demo Pipeline'!$Q$5:$Q$504,A447,'Demo Pipeline'!$X$5:$X$504,"Yes"))</f>
        <v/>
      </c>
      <c r="BG447" s="33" t="str">
        <f aca="false">IF(A447="","",COUNTIFS('Demo Pipeline'!$Q$5:$Q$504,A447,'Demo Pipeline'!$Y$5:$Y$504,"Closed Won"))</f>
        <v/>
      </c>
      <c r="BH447" s="37" t="str">
        <f aca="false">IF(A447="","",SUMIFS('Demo Pipeline'!$Z$5:$Z$504,'Demo Pipeline'!$Q$5:$Q$504,A447))</f>
        <v/>
      </c>
      <c r="BI447" s="34" t="str">
        <f aca="false">IF(OR(AZ447="",N(AJ447)=0),"",AZ447/AJ447)</f>
        <v/>
      </c>
      <c r="BJ447" s="34" t="str">
        <f aca="false">IF(OR(BB447="",N(AZ447)=0),"",BB447/AZ447)</f>
        <v/>
      </c>
      <c r="BK447" s="34" t="str">
        <f aca="false">IF(OR(A447="",N(BB447)=0),"",BD447/BB447)</f>
        <v/>
      </c>
      <c r="BL447" s="34" t="str">
        <f aca="false">IF(OR(A447="",N(AZ447)=0),"",BD447/AZ447)</f>
        <v/>
      </c>
      <c r="BM447" s="37" t="str">
        <f aca="false">IF(OR(N(Q447)=0,N(BD447)=0),"",Q447/BD447)</f>
        <v/>
      </c>
      <c r="BN447" s="29"/>
      <c r="BO447" s="29"/>
      <c r="BP447" s="33" t="str">
        <f aca="false">IF(OR(AR447="",N(AO447)=0),"",AR447)</f>
        <v/>
      </c>
      <c r="BQ447" s="33" t="str">
        <f aca="false">IF(OR(AR447="",N(S447)=0),"",S447)</f>
        <v/>
      </c>
      <c r="BR447" s="38" t="str">
        <f aca="false">IF(AND(ISNUMBER(B447),B447&gt;=Dashboard!$C$4,B447&lt;=Dashboard!$F$4,ISNUMBER(AU447)),AU447+ROW()/10^9,"")</f>
        <v/>
      </c>
      <c r="BS447" s="38" t="str">
        <f aca="false">IF(AND(ISNUMBER(B447),B447&gt;=Dashboard!$C$4,B447&lt;=Dashboard!$F$4,A447&lt;&gt;""),N(BD447)+N(AU447)/100+ROW()/10^9,"")</f>
        <v/>
      </c>
    </row>
    <row r="448" customFormat="false" ht="15" hidden="false" customHeight="false" outlineLevel="0" collapsed="false">
      <c r="A448" s="24" t="str">
        <f aca="false">IF(OR(B448="",G448="",H448=""),"",IFERROR(INDEX(Settings!$E$5:$E$49,MATCH(G448,Settings!$D$5:$D$49,0))&amp;INDEX(Settings!$H$5:$H$47,MATCH(H448,Settings!$G$5:$G$47,0))&amp;"-"&amp;TEXT(B448,"yymmdd")&amp;"-"&amp;IF(C448="","0000",TEXT(C448,"hhmm")),"CHECK LISTS"))</f>
        <v/>
      </c>
      <c r="B448" s="39"/>
      <c r="C448" s="40"/>
      <c r="D448" s="24" t="str">
        <f aca="false">IF(B448="","",TEXT(B448,"ddd"))</f>
        <v/>
      </c>
      <c r="E448" s="27" t="str">
        <f aca="false">IF(B448="","",B448-WEEKDAY(B448,3))</f>
        <v/>
      </c>
      <c r="F448" s="24" t="str">
        <f aca="false">IF(B448="","",TEXT(B448,"yyyy-mm"))</f>
        <v/>
      </c>
      <c r="G448" s="29"/>
      <c r="H448" s="29"/>
      <c r="I448" s="29"/>
      <c r="J448" s="29"/>
      <c r="K448" s="29"/>
      <c r="L448" s="29"/>
      <c r="M448" s="29"/>
      <c r="N448" s="29"/>
      <c r="O448" s="29"/>
      <c r="P448" s="29"/>
      <c r="Q448" s="30"/>
      <c r="R448" s="29"/>
      <c r="S448" s="32"/>
      <c r="T448" s="29"/>
      <c r="U448" s="29"/>
      <c r="V448" s="24" t="str">
        <f aca="false">IF(A448="","",IFERROR(INDEX(Settings!$F$5:$F$49,MATCH(G448,Settings!$D$5:$D$49,0)),""))</f>
        <v/>
      </c>
      <c r="W448" s="24" t="str">
        <f aca="false">IF(A448="","",IF(OR(P448="",P448="Organic"),"social","paid_social"))</f>
        <v/>
      </c>
      <c r="X448" s="24" t="str">
        <f aca="false">IF(A448="","",IF(K448&lt;&gt;"",IFERROR(INDEX('Case Studies'!$C$5:$C$54,MATCH(K448,'Case Studies'!$B$5:$B$54,0))&amp;"","case-study"),IF(J448&lt;&gt;"",IFERROR(INDEX(Settings!$J$5:$J$55,MATCH(J448,Settings!$I$5:$I$55,0)),"general"),"general")))</f>
        <v/>
      </c>
      <c r="Y448" s="24" t="str">
        <f aca="false">IF(A448="","",LOWER(A448))</f>
        <v/>
      </c>
      <c r="Z448" s="24" t="str">
        <f aca="false">IF(A448="","",IF(T448="",Settings!$B$5,T448)&amp;IF(ISNUMBER(FIND("?",IF(T448="",Settings!$B$5,T448))),"&amp;","?")&amp;"utm_source="&amp;V448&amp;"&amp;utm_medium="&amp;W448&amp;"&amp;utm_campaign="&amp;X448&amp;"&amp;utm_content="&amp;Y448)</f>
        <v/>
      </c>
      <c r="AA448" s="29"/>
      <c r="AB448" s="39"/>
      <c r="AC448" s="32"/>
      <c r="AD448" s="32"/>
      <c r="AE448" s="32"/>
      <c r="AF448" s="32"/>
      <c r="AG448" s="32"/>
      <c r="AH448" s="32"/>
      <c r="AI448" s="32"/>
      <c r="AJ448" s="32"/>
      <c r="AK448" s="32"/>
      <c r="AL448" s="32"/>
      <c r="AM448" s="32"/>
      <c r="AN448" s="32"/>
      <c r="AO448" s="33" t="str">
        <f aca="false">IF(A448="","",IF(AD448&lt;&gt;"",AD448,IF(AC448&lt;&gt;"",AC448,"")))</f>
        <v/>
      </c>
      <c r="AP448" s="24" t="str">
        <f aca="false">IF(AO448="","",IF(AD448&lt;&gt;"","Reported reach","Impressions (proxy)"))</f>
        <v/>
      </c>
      <c r="AQ448" s="34" t="str">
        <f aca="false">IF(OR(AO448="",N(S448)=0),"",AO448/S448)</f>
        <v/>
      </c>
      <c r="AR448" s="33" t="str">
        <f aca="false">IF(A448="","",IF(COUNT(AF448:AJ448)=0,"",SUM(AF448:AJ448)))</f>
        <v/>
      </c>
      <c r="AS448" s="34" t="str">
        <f aca="false">IF(OR(AR448="",N(AO448)=0),"",AR448/AO448)</f>
        <v/>
      </c>
      <c r="AT448" s="34" t="str">
        <f aca="false">IF(OR(AR448="",N(AC448)=0),"",AR448/AC448)</f>
        <v/>
      </c>
      <c r="AU448" s="34" t="str">
        <f aca="false">IF(OR(AR448="",N(S448)=0),"",AR448/S448)</f>
        <v/>
      </c>
      <c r="AV448" s="34" t="str">
        <f aca="false">IF(OR(AJ448="",N(AC448)=0),"",AJ448/AC448)</f>
        <v/>
      </c>
      <c r="AW448" s="34" t="str">
        <f aca="false">IF(OR(AH448="",N(AO448)=0),"",AH448/AO448)</f>
        <v/>
      </c>
      <c r="AX448" s="35" t="str">
        <f aca="false">IF(OR(AR448="",N(AO448)=0),"",(N(AF448)*Settings!$B$6+N(AG448)*Settings!$B$7+N(AH448)*Settings!$B$8+N(AI448)*Settings!$B$9+N(AJ448)*Settings!$B$10)/AO448*1000)</f>
        <v/>
      </c>
      <c r="AY448" s="36" t="str">
        <f aca="false">IF(AS448="","",IFERROR(AS448/AVERAGEIFS('Post Tracker'!$AS$5:$AS$1004,'Post Tracker'!$G$5:$G$1004,G448),""))</f>
        <v/>
      </c>
      <c r="AZ448" s="32"/>
      <c r="BA448" s="32"/>
      <c r="BB448" s="32"/>
      <c r="BC448" s="32"/>
      <c r="BD448" s="33" t="str">
        <f aca="false">IF(A448="","",COUNTIFS('Demo Pipeline'!$Q$5:$Q$504,A448))</f>
        <v/>
      </c>
      <c r="BE448" s="33" t="str">
        <f aca="false">IF(A448="","",COUNTIFS('Demo Pipeline'!$Q$5:$Q$504,A448,'Demo Pipeline'!$W$5:$W$504,"Attended"))</f>
        <v/>
      </c>
      <c r="BF448" s="33" t="str">
        <f aca="false">IF(A448="","",COUNTIFS('Demo Pipeline'!$Q$5:$Q$504,A448,'Demo Pipeline'!$X$5:$X$504,"Yes"))</f>
        <v/>
      </c>
      <c r="BG448" s="33" t="str">
        <f aca="false">IF(A448="","",COUNTIFS('Demo Pipeline'!$Q$5:$Q$504,A448,'Demo Pipeline'!$Y$5:$Y$504,"Closed Won"))</f>
        <v/>
      </c>
      <c r="BH448" s="37" t="str">
        <f aca="false">IF(A448="","",SUMIFS('Demo Pipeline'!$Z$5:$Z$504,'Demo Pipeline'!$Q$5:$Q$504,A448))</f>
        <v/>
      </c>
      <c r="BI448" s="34" t="str">
        <f aca="false">IF(OR(AZ448="",N(AJ448)=0),"",AZ448/AJ448)</f>
        <v/>
      </c>
      <c r="BJ448" s="34" t="str">
        <f aca="false">IF(OR(BB448="",N(AZ448)=0),"",BB448/AZ448)</f>
        <v/>
      </c>
      <c r="BK448" s="34" t="str">
        <f aca="false">IF(OR(A448="",N(BB448)=0),"",BD448/BB448)</f>
        <v/>
      </c>
      <c r="BL448" s="34" t="str">
        <f aca="false">IF(OR(A448="",N(AZ448)=0),"",BD448/AZ448)</f>
        <v/>
      </c>
      <c r="BM448" s="37" t="str">
        <f aca="false">IF(OR(N(Q448)=0,N(BD448)=0),"",Q448/BD448)</f>
        <v/>
      </c>
      <c r="BN448" s="29"/>
      <c r="BO448" s="29"/>
      <c r="BP448" s="33" t="str">
        <f aca="false">IF(OR(AR448="",N(AO448)=0),"",AR448)</f>
        <v/>
      </c>
      <c r="BQ448" s="33" t="str">
        <f aca="false">IF(OR(AR448="",N(S448)=0),"",S448)</f>
        <v/>
      </c>
      <c r="BR448" s="38" t="str">
        <f aca="false">IF(AND(ISNUMBER(B448),B448&gt;=Dashboard!$C$4,B448&lt;=Dashboard!$F$4,ISNUMBER(AU448)),AU448+ROW()/10^9,"")</f>
        <v/>
      </c>
      <c r="BS448" s="38" t="str">
        <f aca="false">IF(AND(ISNUMBER(B448),B448&gt;=Dashboard!$C$4,B448&lt;=Dashboard!$F$4,A448&lt;&gt;""),N(BD448)+N(AU448)/100+ROW()/10^9,"")</f>
        <v/>
      </c>
    </row>
    <row r="449" customFormat="false" ht="15" hidden="false" customHeight="false" outlineLevel="0" collapsed="false">
      <c r="A449" s="24" t="str">
        <f aca="false">IF(OR(B449="",G449="",H449=""),"",IFERROR(INDEX(Settings!$E$5:$E$49,MATCH(G449,Settings!$D$5:$D$49,0))&amp;INDEX(Settings!$H$5:$H$47,MATCH(H449,Settings!$G$5:$G$47,0))&amp;"-"&amp;TEXT(B449,"yymmdd")&amp;"-"&amp;IF(C449="","0000",TEXT(C449,"hhmm")),"CHECK LISTS"))</f>
        <v/>
      </c>
      <c r="B449" s="39"/>
      <c r="C449" s="40"/>
      <c r="D449" s="24" t="str">
        <f aca="false">IF(B449="","",TEXT(B449,"ddd"))</f>
        <v/>
      </c>
      <c r="E449" s="27" t="str">
        <f aca="false">IF(B449="","",B449-WEEKDAY(B449,3))</f>
        <v/>
      </c>
      <c r="F449" s="24" t="str">
        <f aca="false">IF(B449="","",TEXT(B449,"yyyy-mm"))</f>
        <v/>
      </c>
      <c r="G449" s="29"/>
      <c r="H449" s="29"/>
      <c r="I449" s="29"/>
      <c r="J449" s="29"/>
      <c r="K449" s="29"/>
      <c r="L449" s="29"/>
      <c r="M449" s="29"/>
      <c r="N449" s="29"/>
      <c r="O449" s="29"/>
      <c r="P449" s="29"/>
      <c r="Q449" s="30"/>
      <c r="R449" s="29"/>
      <c r="S449" s="32"/>
      <c r="T449" s="29"/>
      <c r="U449" s="29"/>
      <c r="V449" s="24" t="str">
        <f aca="false">IF(A449="","",IFERROR(INDEX(Settings!$F$5:$F$49,MATCH(G449,Settings!$D$5:$D$49,0)),""))</f>
        <v/>
      </c>
      <c r="W449" s="24" t="str">
        <f aca="false">IF(A449="","",IF(OR(P449="",P449="Organic"),"social","paid_social"))</f>
        <v/>
      </c>
      <c r="X449" s="24" t="str">
        <f aca="false">IF(A449="","",IF(K449&lt;&gt;"",IFERROR(INDEX('Case Studies'!$C$5:$C$54,MATCH(K449,'Case Studies'!$B$5:$B$54,0))&amp;"","case-study"),IF(J449&lt;&gt;"",IFERROR(INDEX(Settings!$J$5:$J$55,MATCH(J449,Settings!$I$5:$I$55,0)),"general"),"general")))</f>
        <v/>
      </c>
      <c r="Y449" s="24" t="str">
        <f aca="false">IF(A449="","",LOWER(A449))</f>
        <v/>
      </c>
      <c r="Z449" s="24" t="str">
        <f aca="false">IF(A449="","",IF(T449="",Settings!$B$5,T449)&amp;IF(ISNUMBER(FIND("?",IF(T449="",Settings!$B$5,T449))),"&amp;","?")&amp;"utm_source="&amp;V449&amp;"&amp;utm_medium="&amp;W449&amp;"&amp;utm_campaign="&amp;X449&amp;"&amp;utm_content="&amp;Y449)</f>
        <v/>
      </c>
      <c r="AA449" s="29"/>
      <c r="AB449" s="39"/>
      <c r="AC449" s="32"/>
      <c r="AD449" s="32"/>
      <c r="AE449" s="32"/>
      <c r="AF449" s="32"/>
      <c r="AG449" s="32"/>
      <c r="AH449" s="32"/>
      <c r="AI449" s="32"/>
      <c r="AJ449" s="32"/>
      <c r="AK449" s="32"/>
      <c r="AL449" s="32"/>
      <c r="AM449" s="32"/>
      <c r="AN449" s="32"/>
      <c r="AO449" s="33" t="str">
        <f aca="false">IF(A449="","",IF(AD449&lt;&gt;"",AD449,IF(AC449&lt;&gt;"",AC449,"")))</f>
        <v/>
      </c>
      <c r="AP449" s="24" t="str">
        <f aca="false">IF(AO449="","",IF(AD449&lt;&gt;"","Reported reach","Impressions (proxy)"))</f>
        <v/>
      </c>
      <c r="AQ449" s="34" t="str">
        <f aca="false">IF(OR(AO449="",N(S449)=0),"",AO449/S449)</f>
        <v/>
      </c>
      <c r="AR449" s="33" t="str">
        <f aca="false">IF(A449="","",IF(COUNT(AF449:AJ449)=0,"",SUM(AF449:AJ449)))</f>
        <v/>
      </c>
      <c r="AS449" s="34" t="str">
        <f aca="false">IF(OR(AR449="",N(AO449)=0),"",AR449/AO449)</f>
        <v/>
      </c>
      <c r="AT449" s="34" t="str">
        <f aca="false">IF(OR(AR449="",N(AC449)=0),"",AR449/AC449)</f>
        <v/>
      </c>
      <c r="AU449" s="34" t="str">
        <f aca="false">IF(OR(AR449="",N(S449)=0),"",AR449/S449)</f>
        <v/>
      </c>
      <c r="AV449" s="34" t="str">
        <f aca="false">IF(OR(AJ449="",N(AC449)=0),"",AJ449/AC449)</f>
        <v/>
      </c>
      <c r="AW449" s="34" t="str">
        <f aca="false">IF(OR(AH449="",N(AO449)=0),"",AH449/AO449)</f>
        <v/>
      </c>
      <c r="AX449" s="35" t="str">
        <f aca="false">IF(OR(AR449="",N(AO449)=0),"",(N(AF449)*Settings!$B$6+N(AG449)*Settings!$B$7+N(AH449)*Settings!$B$8+N(AI449)*Settings!$B$9+N(AJ449)*Settings!$B$10)/AO449*1000)</f>
        <v/>
      </c>
      <c r="AY449" s="36" t="str">
        <f aca="false">IF(AS449="","",IFERROR(AS449/AVERAGEIFS('Post Tracker'!$AS$5:$AS$1004,'Post Tracker'!$G$5:$G$1004,G449),""))</f>
        <v/>
      </c>
      <c r="AZ449" s="32"/>
      <c r="BA449" s="32"/>
      <c r="BB449" s="32"/>
      <c r="BC449" s="32"/>
      <c r="BD449" s="33" t="str">
        <f aca="false">IF(A449="","",COUNTIFS('Demo Pipeline'!$Q$5:$Q$504,A449))</f>
        <v/>
      </c>
      <c r="BE449" s="33" t="str">
        <f aca="false">IF(A449="","",COUNTIFS('Demo Pipeline'!$Q$5:$Q$504,A449,'Demo Pipeline'!$W$5:$W$504,"Attended"))</f>
        <v/>
      </c>
      <c r="BF449" s="33" t="str">
        <f aca="false">IF(A449="","",COUNTIFS('Demo Pipeline'!$Q$5:$Q$504,A449,'Demo Pipeline'!$X$5:$X$504,"Yes"))</f>
        <v/>
      </c>
      <c r="BG449" s="33" t="str">
        <f aca="false">IF(A449="","",COUNTIFS('Demo Pipeline'!$Q$5:$Q$504,A449,'Demo Pipeline'!$Y$5:$Y$504,"Closed Won"))</f>
        <v/>
      </c>
      <c r="BH449" s="37" t="str">
        <f aca="false">IF(A449="","",SUMIFS('Demo Pipeline'!$Z$5:$Z$504,'Demo Pipeline'!$Q$5:$Q$504,A449))</f>
        <v/>
      </c>
      <c r="BI449" s="34" t="str">
        <f aca="false">IF(OR(AZ449="",N(AJ449)=0),"",AZ449/AJ449)</f>
        <v/>
      </c>
      <c r="BJ449" s="34" t="str">
        <f aca="false">IF(OR(BB449="",N(AZ449)=0),"",BB449/AZ449)</f>
        <v/>
      </c>
      <c r="BK449" s="34" t="str">
        <f aca="false">IF(OR(A449="",N(BB449)=0),"",BD449/BB449)</f>
        <v/>
      </c>
      <c r="BL449" s="34" t="str">
        <f aca="false">IF(OR(A449="",N(AZ449)=0),"",BD449/AZ449)</f>
        <v/>
      </c>
      <c r="BM449" s="37" t="str">
        <f aca="false">IF(OR(N(Q449)=0,N(BD449)=0),"",Q449/BD449)</f>
        <v/>
      </c>
      <c r="BN449" s="29"/>
      <c r="BO449" s="29"/>
      <c r="BP449" s="33" t="str">
        <f aca="false">IF(OR(AR449="",N(AO449)=0),"",AR449)</f>
        <v/>
      </c>
      <c r="BQ449" s="33" t="str">
        <f aca="false">IF(OR(AR449="",N(S449)=0),"",S449)</f>
        <v/>
      </c>
      <c r="BR449" s="38" t="str">
        <f aca="false">IF(AND(ISNUMBER(B449),B449&gt;=Dashboard!$C$4,B449&lt;=Dashboard!$F$4,ISNUMBER(AU449)),AU449+ROW()/10^9,"")</f>
        <v/>
      </c>
      <c r="BS449" s="38" t="str">
        <f aca="false">IF(AND(ISNUMBER(B449),B449&gt;=Dashboard!$C$4,B449&lt;=Dashboard!$F$4,A449&lt;&gt;""),N(BD449)+N(AU449)/100+ROW()/10^9,"")</f>
        <v/>
      </c>
    </row>
    <row r="450" customFormat="false" ht="15" hidden="false" customHeight="false" outlineLevel="0" collapsed="false">
      <c r="A450" s="24" t="str">
        <f aca="false">IF(OR(B450="",G450="",H450=""),"",IFERROR(INDEX(Settings!$E$5:$E$49,MATCH(G450,Settings!$D$5:$D$49,0))&amp;INDEX(Settings!$H$5:$H$47,MATCH(H450,Settings!$G$5:$G$47,0))&amp;"-"&amp;TEXT(B450,"yymmdd")&amp;"-"&amp;IF(C450="","0000",TEXT(C450,"hhmm")),"CHECK LISTS"))</f>
        <v/>
      </c>
      <c r="B450" s="39"/>
      <c r="C450" s="40"/>
      <c r="D450" s="24" t="str">
        <f aca="false">IF(B450="","",TEXT(B450,"ddd"))</f>
        <v/>
      </c>
      <c r="E450" s="27" t="str">
        <f aca="false">IF(B450="","",B450-WEEKDAY(B450,3))</f>
        <v/>
      </c>
      <c r="F450" s="24" t="str">
        <f aca="false">IF(B450="","",TEXT(B450,"yyyy-mm"))</f>
        <v/>
      </c>
      <c r="G450" s="29"/>
      <c r="H450" s="29"/>
      <c r="I450" s="29"/>
      <c r="J450" s="29"/>
      <c r="K450" s="29"/>
      <c r="L450" s="29"/>
      <c r="M450" s="29"/>
      <c r="N450" s="29"/>
      <c r="O450" s="29"/>
      <c r="P450" s="29"/>
      <c r="Q450" s="30"/>
      <c r="R450" s="29"/>
      <c r="S450" s="32"/>
      <c r="T450" s="29"/>
      <c r="U450" s="29"/>
      <c r="V450" s="24" t="str">
        <f aca="false">IF(A450="","",IFERROR(INDEX(Settings!$F$5:$F$49,MATCH(G450,Settings!$D$5:$D$49,0)),""))</f>
        <v/>
      </c>
      <c r="W450" s="24" t="str">
        <f aca="false">IF(A450="","",IF(OR(P450="",P450="Organic"),"social","paid_social"))</f>
        <v/>
      </c>
      <c r="X450" s="24" t="str">
        <f aca="false">IF(A450="","",IF(K450&lt;&gt;"",IFERROR(INDEX('Case Studies'!$C$5:$C$54,MATCH(K450,'Case Studies'!$B$5:$B$54,0))&amp;"","case-study"),IF(J450&lt;&gt;"",IFERROR(INDEX(Settings!$J$5:$J$55,MATCH(J450,Settings!$I$5:$I$55,0)),"general"),"general")))</f>
        <v/>
      </c>
      <c r="Y450" s="24" t="str">
        <f aca="false">IF(A450="","",LOWER(A450))</f>
        <v/>
      </c>
      <c r="Z450" s="24" t="str">
        <f aca="false">IF(A450="","",IF(T450="",Settings!$B$5,T450)&amp;IF(ISNUMBER(FIND("?",IF(T450="",Settings!$B$5,T450))),"&amp;","?")&amp;"utm_source="&amp;V450&amp;"&amp;utm_medium="&amp;W450&amp;"&amp;utm_campaign="&amp;X450&amp;"&amp;utm_content="&amp;Y450)</f>
        <v/>
      </c>
      <c r="AA450" s="29"/>
      <c r="AB450" s="39"/>
      <c r="AC450" s="32"/>
      <c r="AD450" s="32"/>
      <c r="AE450" s="32"/>
      <c r="AF450" s="32"/>
      <c r="AG450" s="32"/>
      <c r="AH450" s="32"/>
      <c r="AI450" s="32"/>
      <c r="AJ450" s="32"/>
      <c r="AK450" s="32"/>
      <c r="AL450" s="32"/>
      <c r="AM450" s="32"/>
      <c r="AN450" s="32"/>
      <c r="AO450" s="33" t="str">
        <f aca="false">IF(A450="","",IF(AD450&lt;&gt;"",AD450,IF(AC450&lt;&gt;"",AC450,"")))</f>
        <v/>
      </c>
      <c r="AP450" s="24" t="str">
        <f aca="false">IF(AO450="","",IF(AD450&lt;&gt;"","Reported reach","Impressions (proxy)"))</f>
        <v/>
      </c>
      <c r="AQ450" s="34" t="str">
        <f aca="false">IF(OR(AO450="",N(S450)=0),"",AO450/S450)</f>
        <v/>
      </c>
      <c r="AR450" s="33" t="str">
        <f aca="false">IF(A450="","",IF(COUNT(AF450:AJ450)=0,"",SUM(AF450:AJ450)))</f>
        <v/>
      </c>
      <c r="AS450" s="34" t="str">
        <f aca="false">IF(OR(AR450="",N(AO450)=0),"",AR450/AO450)</f>
        <v/>
      </c>
      <c r="AT450" s="34" t="str">
        <f aca="false">IF(OR(AR450="",N(AC450)=0),"",AR450/AC450)</f>
        <v/>
      </c>
      <c r="AU450" s="34" t="str">
        <f aca="false">IF(OR(AR450="",N(S450)=0),"",AR450/S450)</f>
        <v/>
      </c>
      <c r="AV450" s="34" t="str">
        <f aca="false">IF(OR(AJ450="",N(AC450)=0),"",AJ450/AC450)</f>
        <v/>
      </c>
      <c r="AW450" s="34" t="str">
        <f aca="false">IF(OR(AH450="",N(AO450)=0),"",AH450/AO450)</f>
        <v/>
      </c>
      <c r="AX450" s="35" t="str">
        <f aca="false">IF(OR(AR450="",N(AO450)=0),"",(N(AF450)*Settings!$B$6+N(AG450)*Settings!$B$7+N(AH450)*Settings!$B$8+N(AI450)*Settings!$B$9+N(AJ450)*Settings!$B$10)/AO450*1000)</f>
        <v/>
      </c>
      <c r="AY450" s="36" t="str">
        <f aca="false">IF(AS450="","",IFERROR(AS450/AVERAGEIFS('Post Tracker'!$AS$5:$AS$1004,'Post Tracker'!$G$5:$G$1004,G450),""))</f>
        <v/>
      </c>
      <c r="AZ450" s="32"/>
      <c r="BA450" s="32"/>
      <c r="BB450" s="32"/>
      <c r="BC450" s="32"/>
      <c r="BD450" s="33" t="str">
        <f aca="false">IF(A450="","",COUNTIFS('Demo Pipeline'!$Q$5:$Q$504,A450))</f>
        <v/>
      </c>
      <c r="BE450" s="33" t="str">
        <f aca="false">IF(A450="","",COUNTIFS('Demo Pipeline'!$Q$5:$Q$504,A450,'Demo Pipeline'!$W$5:$W$504,"Attended"))</f>
        <v/>
      </c>
      <c r="BF450" s="33" t="str">
        <f aca="false">IF(A450="","",COUNTIFS('Demo Pipeline'!$Q$5:$Q$504,A450,'Demo Pipeline'!$X$5:$X$504,"Yes"))</f>
        <v/>
      </c>
      <c r="BG450" s="33" t="str">
        <f aca="false">IF(A450="","",COUNTIFS('Demo Pipeline'!$Q$5:$Q$504,A450,'Demo Pipeline'!$Y$5:$Y$504,"Closed Won"))</f>
        <v/>
      </c>
      <c r="BH450" s="37" t="str">
        <f aca="false">IF(A450="","",SUMIFS('Demo Pipeline'!$Z$5:$Z$504,'Demo Pipeline'!$Q$5:$Q$504,A450))</f>
        <v/>
      </c>
      <c r="BI450" s="34" t="str">
        <f aca="false">IF(OR(AZ450="",N(AJ450)=0),"",AZ450/AJ450)</f>
        <v/>
      </c>
      <c r="BJ450" s="34" t="str">
        <f aca="false">IF(OR(BB450="",N(AZ450)=0),"",BB450/AZ450)</f>
        <v/>
      </c>
      <c r="BK450" s="34" t="str">
        <f aca="false">IF(OR(A450="",N(BB450)=0),"",BD450/BB450)</f>
        <v/>
      </c>
      <c r="BL450" s="34" t="str">
        <f aca="false">IF(OR(A450="",N(AZ450)=0),"",BD450/AZ450)</f>
        <v/>
      </c>
      <c r="BM450" s="37" t="str">
        <f aca="false">IF(OR(N(Q450)=0,N(BD450)=0),"",Q450/BD450)</f>
        <v/>
      </c>
      <c r="BN450" s="29"/>
      <c r="BO450" s="29"/>
      <c r="BP450" s="33" t="str">
        <f aca="false">IF(OR(AR450="",N(AO450)=0),"",AR450)</f>
        <v/>
      </c>
      <c r="BQ450" s="33" t="str">
        <f aca="false">IF(OR(AR450="",N(S450)=0),"",S450)</f>
        <v/>
      </c>
      <c r="BR450" s="38" t="str">
        <f aca="false">IF(AND(ISNUMBER(B450),B450&gt;=Dashboard!$C$4,B450&lt;=Dashboard!$F$4,ISNUMBER(AU450)),AU450+ROW()/10^9,"")</f>
        <v/>
      </c>
      <c r="BS450" s="38" t="str">
        <f aca="false">IF(AND(ISNUMBER(B450),B450&gt;=Dashboard!$C$4,B450&lt;=Dashboard!$F$4,A450&lt;&gt;""),N(BD450)+N(AU450)/100+ROW()/10^9,"")</f>
        <v/>
      </c>
    </row>
    <row r="451" customFormat="false" ht="15" hidden="false" customHeight="false" outlineLevel="0" collapsed="false">
      <c r="A451" s="24" t="str">
        <f aca="false">IF(OR(B451="",G451="",H451=""),"",IFERROR(INDEX(Settings!$E$5:$E$49,MATCH(G451,Settings!$D$5:$D$49,0))&amp;INDEX(Settings!$H$5:$H$47,MATCH(H451,Settings!$G$5:$G$47,0))&amp;"-"&amp;TEXT(B451,"yymmdd")&amp;"-"&amp;IF(C451="","0000",TEXT(C451,"hhmm")),"CHECK LISTS"))</f>
        <v/>
      </c>
      <c r="B451" s="39"/>
      <c r="C451" s="40"/>
      <c r="D451" s="24" t="str">
        <f aca="false">IF(B451="","",TEXT(B451,"ddd"))</f>
        <v/>
      </c>
      <c r="E451" s="27" t="str">
        <f aca="false">IF(B451="","",B451-WEEKDAY(B451,3))</f>
        <v/>
      </c>
      <c r="F451" s="24" t="str">
        <f aca="false">IF(B451="","",TEXT(B451,"yyyy-mm"))</f>
        <v/>
      </c>
      <c r="G451" s="29"/>
      <c r="H451" s="29"/>
      <c r="I451" s="29"/>
      <c r="J451" s="29"/>
      <c r="K451" s="29"/>
      <c r="L451" s="29"/>
      <c r="M451" s="29"/>
      <c r="N451" s="29"/>
      <c r="O451" s="29"/>
      <c r="P451" s="29"/>
      <c r="Q451" s="30"/>
      <c r="R451" s="29"/>
      <c r="S451" s="32"/>
      <c r="T451" s="29"/>
      <c r="U451" s="29"/>
      <c r="V451" s="24" t="str">
        <f aca="false">IF(A451="","",IFERROR(INDEX(Settings!$F$5:$F$49,MATCH(G451,Settings!$D$5:$D$49,0)),""))</f>
        <v/>
      </c>
      <c r="W451" s="24" t="str">
        <f aca="false">IF(A451="","",IF(OR(P451="",P451="Organic"),"social","paid_social"))</f>
        <v/>
      </c>
      <c r="X451" s="24" t="str">
        <f aca="false">IF(A451="","",IF(K451&lt;&gt;"",IFERROR(INDEX('Case Studies'!$C$5:$C$54,MATCH(K451,'Case Studies'!$B$5:$B$54,0))&amp;"","case-study"),IF(J451&lt;&gt;"",IFERROR(INDEX(Settings!$J$5:$J$55,MATCH(J451,Settings!$I$5:$I$55,0)),"general"),"general")))</f>
        <v/>
      </c>
      <c r="Y451" s="24" t="str">
        <f aca="false">IF(A451="","",LOWER(A451))</f>
        <v/>
      </c>
      <c r="Z451" s="24" t="str">
        <f aca="false">IF(A451="","",IF(T451="",Settings!$B$5,T451)&amp;IF(ISNUMBER(FIND("?",IF(T451="",Settings!$B$5,T451))),"&amp;","?")&amp;"utm_source="&amp;V451&amp;"&amp;utm_medium="&amp;W451&amp;"&amp;utm_campaign="&amp;X451&amp;"&amp;utm_content="&amp;Y451)</f>
        <v/>
      </c>
      <c r="AA451" s="29"/>
      <c r="AB451" s="39"/>
      <c r="AC451" s="32"/>
      <c r="AD451" s="32"/>
      <c r="AE451" s="32"/>
      <c r="AF451" s="32"/>
      <c r="AG451" s="32"/>
      <c r="AH451" s="32"/>
      <c r="AI451" s="32"/>
      <c r="AJ451" s="32"/>
      <c r="AK451" s="32"/>
      <c r="AL451" s="32"/>
      <c r="AM451" s="32"/>
      <c r="AN451" s="32"/>
      <c r="AO451" s="33" t="str">
        <f aca="false">IF(A451="","",IF(AD451&lt;&gt;"",AD451,IF(AC451&lt;&gt;"",AC451,"")))</f>
        <v/>
      </c>
      <c r="AP451" s="24" t="str">
        <f aca="false">IF(AO451="","",IF(AD451&lt;&gt;"","Reported reach","Impressions (proxy)"))</f>
        <v/>
      </c>
      <c r="AQ451" s="34" t="str">
        <f aca="false">IF(OR(AO451="",N(S451)=0),"",AO451/S451)</f>
        <v/>
      </c>
      <c r="AR451" s="33" t="str">
        <f aca="false">IF(A451="","",IF(COUNT(AF451:AJ451)=0,"",SUM(AF451:AJ451)))</f>
        <v/>
      </c>
      <c r="AS451" s="34" t="str">
        <f aca="false">IF(OR(AR451="",N(AO451)=0),"",AR451/AO451)</f>
        <v/>
      </c>
      <c r="AT451" s="34" t="str">
        <f aca="false">IF(OR(AR451="",N(AC451)=0),"",AR451/AC451)</f>
        <v/>
      </c>
      <c r="AU451" s="34" t="str">
        <f aca="false">IF(OR(AR451="",N(S451)=0),"",AR451/S451)</f>
        <v/>
      </c>
      <c r="AV451" s="34" t="str">
        <f aca="false">IF(OR(AJ451="",N(AC451)=0),"",AJ451/AC451)</f>
        <v/>
      </c>
      <c r="AW451" s="34" t="str">
        <f aca="false">IF(OR(AH451="",N(AO451)=0),"",AH451/AO451)</f>
        <v/>
      </c>
      <c r="AX451" s="35" t="str">
        <f aca="false">IF(OR(AR451="",N(AO451)=0),"",(N(AF451)*Settings!$B$6+N(AG451)*Settings!$B$7+N(AH451)*Settings!$B$8+N(AI451)*Settings!$B$9+N(AJ451)*Settings!$B$10)/AO451*1000)</f>
        <v/>
      </c>
      <c r="AY451" s="36" t="str">
        <f aca="false">IF(AS451="","",IFERROR(AS451/AVERAGEIFS('Post Tracker'!$AS$5:$AS$1004,'Post Tracker'!$G$5:$G$1004,G451),""))</f>
        <v/>
      </c>
      <c r="AZ451" s="32"/>
      <c r="BA451" s="32"/>
      <c r="BB451" s="32"/>
      <c r="BC451" s="32"/>
      <c r="BD451" s="33" t="str">
        <f aca="false">IF(A451="","",COUNTIFS('Demo Pipeline'!$Q$5:$Q$504,A451))</f>
        <v/>
      </c>
      <c r="BE451" s="33" t="str">
        <f aca="false">IF(A451="","",COUNTIFS('Demo Pipeline'!$Q$5:$Q$504,A451,'Demo Pipeline'!$W$5:$W$504,"Attended"))</f>
        <v/>
      </c>
      <c r="BF451" s="33" t="str">
        <f aca="false">IF(A451="","",COUNTIFS('Demo Pipeline'!$Q$5:$Q$504,A451,'Demo Pipeline'!$X$5:$X$504,"Yes"))</f>
        <v/>
      </c>
      <c r="BG451" s="33" t="str">
        <f aca="false">IF(A451="","",COUNTIFS('Demo Pipeline'!$Q$5:$Q$504,A451,'Demo Pipeline'!$Y$5:$Y$504,"Closed Won"))</f>
        <v/>
      </c>
      <c r="BH451" s="37" t="str">
        <f aca="false">IF(A451="","",SUMIFS('Demo Pipeline'!$Z$5:$Z$504,'Demo Pipeline'!$Q$5:$Q$504,A451))</f>
        <v/>
      </c>
      <c r="BI451" s="34" t="str">
        <f aca="false">IF(OR(AZ451="",N(AJ451)=0),"",AZ451/AJ451)</f>
        <v/>
      </c>
      <c r="BJ451" s="34" t="str">
        <f aca="false">IF(OR(BB451="",N(AZ451)=0),"",BB451/AZ451)</f>
        <v/>
      </c>
      <c r="BK451" s="34" t="str">
        <f aca="false">IF(OR(A451="",N(BB451)=0),"",BD451/BB451)</f>
        <v/>
      </c>
      <c r="BL451" s="34" t="str">
        <f aca="false">IF(OR(A451="",N(AZ451)=0),"",BD451/AZ451)</f>
        <v/>
      </c>
      <c r="BM451" s="37" t="str">
        <f aca="false">IF(OR(N(Q451)=0,N(BD451)=0),"",Q451/BD451)</f>
        <v/>
      </c>
      <c r="BN451" s="29"/>
      <c r="BO451" s="29"/>
      <c r="BP451" s="33" t="str">
        <f aca="false">IF(OR(AR451="",N(AO451)=0),"",AR451)</f>
        <v/>
      </c>
      <c r="BQ451" s="33" t="str">
        <f aca="false">IF(OR(AR451="",N(S451)=0),"",S451)</f>
        <v/>
      </c>
      <c r="BR451" s="38" t="str">
        <f aca="false">IF(AND(ISNUMBER(B451),B451&gt;=Dashboard!$C$4,B451&lt;=Dashboard!$F$4,ISNUMBER(AU451)),AU451+ROW()/10^9,"")</f>
        <v/>
      </c>
      <c r="BS451" s="38" t="str">
        <f aca="false">IF(AND(ISNUMBER(B451),B451&gt;=Dashboard!$C$4,B451&lt;=Dashboard!$F$4,A451&lt;&gt;""),N(BD451)+N(AU451)/100+ROW()/10^9,"")</f>
        <v/>
      </c>
    </row>
    <row r="452" customFormat="false" ht="15" hidden="false" customHeight="false" outlineLevel="0" collapsed="false">
      <c r="A452" s="24" t="str">
        <f aca="false">IF(OR(B452="",G452="",H452=""),"",IFERROR(INDEX(Settings!$E$5:$E$49,MATCH(G452,Settings!$D$5:$D$49,0))&amp;INDEX(Settings!$H$5:$H$47,MATCH(H452,Settings!$G$5:$G$47,0))&amp;"-"&amp;TEXT(B452,"yymmdd")&amp;"-"&amp;IF(C452="","0000",TEXT(C452,"hhmm")),"CHECK LISTS"))</f>
        <v/>
      </c>
      <c r="B452" s="39"/>
      <c r="C452" s="40"/>
      <c r="D452" s="24" t="str">
        <f aca="false">IF(B452="","",TEXT(B452,"ddd"))</f>
        <v/>
      </c>
      <c r="E452" s="27" t="str">
        <f aca="false">IF(B452="","",B452-WEEKDAY(B452,3))</f>
        <v/>
      </c>
      <c r="F452" s="24" t="str">
        <f aca="false">IF(B452="","",TEXT(B452,"yyyy-mm"))</f>
        <v/>
      </c>
      <c r="G452" s="29"/>
      <c r="H452" s="29"/>
      <c r="I452" s="29"/>
      <c r="J452" s="29"/>
      <c r="K452" s="29"/>
      <c r="L452" s="29"/>
      <c r="M452" s="29"/>
      <c r="N452" s="29"/>
      <c r="O452" s="29"/>
      <c r="P452" s="29"/>
      <c r="Q452" s="30"/>
      <c r="R452" s="29"/>
      <c r="S452" s="32"/>
      <c r="T452" s="29"/>
      <c r="U452" s="29"/>
      <c r="V452" s="24" t="str">
        <f aca="false">IF(A452="","",IFERROR(INDEX(Settings!$F$5:$F$49,MATCH(G452,Settings!$D$5:$D$49,0)),""))</f>
        <v/>
      </c>
      <c r="W452" s="24" t="str">
        <f aca="false">IF(A452="","",IF(OR(P452="",P452="Organic"),"social","paid_social"))</f>
        <v/>
      </c>
      <c r="X452" s="24" t="str">
        <f aca="false">IF(A452="","",IF(K452&lt;&gt;"",IFERROR(INDEX('Case Studies'!$C$5:$C$54,MATCH(K452,'Case Studies'!$B$5:$B$54,0))&amp;"","case-study"),IF(J452&lt;&gt;"",IFERROR(INDEX(Settings!$J$5:$J$55,MATCH(J452,Settings!$I$5:$I$55,0)),"general"),"general")))</f>
        <v/>
      </c>
      <c r="Y452" s="24" t="str">
        <f aca="false">IF(A452="","",LOWER(A452))</f>
        <v/>
      </c>
      <c r="Z452" s="24" t="str">
        <f aca="false">IF(A452="","",IF(T452="",Settings!$B$5,T452)&amp;IF(ISNUMBER(FIND("?",IF(T452="",Settings!$B$5,T452))),"&amp;","?")&amp;"utm_source="&amp;V452&amp;"&amp;utm_medium="&amp;W452&amp;"&amp;utm_campaign="&amp;X452&amp;"&amp;utm_content="&amp;Y452)</f>
        <v/>
      </c>
      <c r="AA452" s="29"/>
      <c r="AB452" s="39"/>
      <c r="AC452" s="32"/>
      <c r="AD452" s="32"/>
      <c r="AE452" s="32"/>
      <c r="AF452" s="32"/>
      <c r="AG452" s="32"/>
      <c r="AH452" s="32"/>
      <c r="AI452" s="32"/>
      <c r="AJ452" s="32"/>
      <c r="AK452" s="32"/>
      <c r="AL452" s="32"/>
      <c r="AM452" s="32"/>
      <c r="AN452" s="32"/>
      <c r="AO452" s="33" t="str">
        <f aca="false">IF(A452="","",IF(AD452&lt;&gt;"",AD452,IF(AC452&lt;&gt;"",AC452,"")))</f>
        <v/>
      </c>
      <c r="AP452" s="24" t="str">
        <f aca="false">IF(AO452="","",IF(AD452&lt;&gt;"","Reported reach","Impressions (proxy)"))</f>
        <v/>
      </c>
      <c r="AQ452" s="34" t="str">
        <f aca="false">IF(OR(AO452="",N(S452)=0),"",AO452/S452)</f>
        <v/>
      </c>
      <c r="AR452" s="33" t="str">
        <f aca="false">IF(A452="","",IF(COUNT(AF452:AJ452)=0,"",SUM(AF452:AJ452)))</f>
        <v/>
      </c>
      <c r="AS452" s="34" t="str">
        <f aca="false">IF(OR(AR452="",N(AO452)=0),"",AR452/AO452)</f>
        <v/>
      </c>
      <c r="AT452" s="34" t="str">
        <f aca="false">IF(OR(AR452="",N(AC452)=0),"",AR452/AC452)</f>
        <v/>
      </c>
      <c r="AU452" s="34" t="str">
        <f aca="false">IF(OR(AR452="",N(S452)=0),"",AR452/S452)</f>
        <v/>
      </c>
      <c r="AV452" s="34" t="str">
        <f aca="false">IF(OR(AJ452="",N(AC452)=0),"",AJ452/AC452)</f>
        <v/>
      </c>
      <c r="AW452" s="34" t="str">
        <f aca="false">IF(OR(AH452="",N(AO452)=0),"",AH452/AO452)</f>
        <v/>
      </c>
      <c r="AX452" s="35" t="str">
        <f aca="false">IF(OR(AR452="",N(AO452)=0),"",(N(AF452)*Settings!$B$6+N(AG452)*Settings!$B$7+N(AH452)*Settings!$B$8+N(AI452)*Settings!$B$9+N(AJ452)*Settings!$B$10)/AO452*1000)</f>
        <v/>
      </c>
      <c r="AY452" s="36" t="str">
        <f aca="false">IF(AS452="","",IFERROR(AS452/AVERAGEIFS('Post Tracker'!$AS$5:$AS$1004,'Post Tracker'!$G$5:$G$1004,G452),""))</f>
        <v/>
      </c>
      <c r="AZ452" s="32"/>
      <c r="BA452" s="32"/>
      <c r="BB452" s="32"/>
      <c r="BC452" s="32"/>
      <c r="BD452" s="33" t="str">
        <f aca="false">IF(A452="","",COUNTIFS('Demo Pipeline'!$Q$5:$Q$504,A452))</f>
        <v/>
      </c>
      <c r="BE452" s="33" t="str">
        <f aca="false">IF(A452="","",COUNTIFS('Demo Pipeline'!$Q$5:$Q$504,A452,'Demo Pipeline'!$W$5:$W$504,"Attended"))</f>
        <v/>
      </c>
      <c r="BF452" s="33" t="str">
        <f aca="false">IF(A452="","",COUNTIFS('Demo Pipeline'!$Q$5:$Q$504,A452,'Demo Pipeline'!$X$5:$X$504,"Yes"))</f>
        <v/>
      </c>
      <c r="BG452" s="33" t="str">
        <f aca="false">IF(A452="","",COUNTIFS('Demo Pipeline'!$Q$5:$Q$504,A452,'Demo Pipeline'!$Y$5:$Y$504,"Closed Won"))</f>
        <v/>
      </c>
      <c r="BH452" s="37" t="str">
        <f aca="false">IF(A452="","",SUMIFS('Demo Pipeline'!$Z$5:$Z$504,'Demo Pipeline'!$Q$5:$Q$504,A452))</f>
        <v/>
      </c>
      <c r="BI452" s="34" t="str">
        <f aca="false">IF(OR(AZ452="",N(AJ452)=0),"",AZ452/AJ452)</f>
        <v/>
      </c>
      <c r="BJ452" s="34" t="str">
        <f aca="false">IF(OR(BB452="",N(AZ452)=0),"",BB452/AZ452)</f>
        <v/>
      </c>
      <c r="BK452" s="34" t="str">
        <f aca="false">IF(OR(A452="",N(BB452)=0),"",BD452/BB452)</f>
        <v/>
      </c>
      <c r="BL452" s="34" t="str">
        <f aca="false">IF(OR(A452="",N(AZ452)=0),"",BD452/AZ452)</f>
        <v/>
      </c>
      <c r="BM452" s="37" t="str">
        <f aca="false">IF(OR(N(Q452)=0,N(BD452)=0),"",Q452/BD452)</f>
        <v/>
      </c>
      <c r="BN452" s="29"/>
      <c r="BO452" s="29"/>
      <c r="BP452" s="33" t="str">
        <f aca="false">IF(OR(AR452="",N(AO452)=0),"",AR452)</f>
        <v/>
      </c>
      <c r="BQ452" s="33" t="str">
        <f aca="false">IF(OR(AR452="",N(S452)=0),"",S452)</f>
        <v/>
      </c>
      <c r="BR452" s="38" t="str">
        <f aca="false">IF(AND(ISNUMBER(B452),B452&gt;=Dashboard!$C$4,B452&lt;=Dashboard!$F$4,ISNUMBER(AU452)),AU452+ROW()/10^9,"")</f>
        <v/>
      </c>
      <c r="BS452" s="38" t="str">
        <f aca="false">IF(AND(ISNUMBER(B452),B452&gt;=Dashboard!$C$4,B452&lt;=Dashboard!$F$4,A452&lt;&gt;""),N(BD452)+N(AU452)/100+ROW()/10^9,"")</f>
        <v/>
      </c>
    </row>
    <row r="453" customFormat="false" ht="15" hidden="false" customHeight="false" outlineLevel="0" collapsed="false">
      <c r="A453" s="24" t="str">
        <f aca="false">IF(OR(B453="",G453="",H453=""),"",IFERROR(INDEX(Settings!$E$5:$E$49,MATCH(G453,Settings!$D$5:$D$49,0))&amp;INDEX(Settings!$H$5:$H$47,MATCH(H453,Settings!$G$5:$G$47,0))&amp;"-"&amp;TEXT(B453,"yymmdd")&amp;"-"&amp;IF(C453="","0000",TEXT(C453,"hhmm")),"CHECK LISTS"))</f>
        <v/>
      </c>
      <c r="B453" s="39"/>
      <c r="C453" s="40"/>
      <c r="D453" s="24" t="str">
        <f aca="false">IF(B453="","",TEXT(B453,"ddd"))</f>
        <v/>
      </c>
      <c r="E453" s="27" t="str">
        <f aca="false">IF(B453="","",B453-WEEKDAY(B453,3))</f>
        <v/>
      </c>
      <c r="F453" s="24" t="str">
        <f aca="false">IF(B453="","",TEXT(B453,"yyyy-mm"))</f>
        <v/>
      </c>
      <c r="G453" s="29"/>
      <c r="H453" s="29"/>
      <c r="I453" s="29"/>
      <c r="J453" s="29"/>
      <c r="K453" s="29"/>
      <c r="L453" s="29"/>
      <c r="M453" s="29"/>
      <c r="N453" s="29"/>
      <c r="O453" s="29"/>
      <c r="P453" s="29"/>
      <c r="Q453" s="30"/>
      <c r="R453" s="29"/>
      <c r="S453" s="32"/>
      <c r="T453" s="29"/>
      <c r="U453" s="29"/>
      <c r="V453" s="24" t="str">
        <f aca="false">IF(A453="","",IFERROR(INDEX(Settings!$F$5:$F$49,MATCH(G453,Settings!$D$5:$D$49,0)),""))</f>
        <v/>
      </c>
      <c r="W453" s="24" t="str">
        <f aca="false">IF(A453="","",IF(OR(P453="",P453="Organic"),"social","paid_social"))</f>
        <v/>
      </c>
      <c r="X453" s="24" t="str">
        <f aca="false">IF(A453="","",IF(K453&lt;&gt;"",IFERROR(INDEX('Case Studies'!$C$5:$C$54,MATCH(K453,'Case Studies'!$B$5:$B$54,0))&amp;"","case-study"),IF(J453&lt;&gt;"",IFERROR(INDEX(Settings!$J$5:$J$55,MATCH(J453,Settings!$I$5:$I$55,0)),"general"),"general")))</f>
        <v/>
      </c>
      <c r="Y453" s="24" t="str">
        <f aca="false">IF(A453="","",LOWER(A453))</f>
        <v/>
      </c>
      <c r="Z453" s="24" t="str">
        <f aca="false">IF(A453="","",IF(T453="",Settings!$B$5,T453)&amp;IF(ISNUMBER(FIND("?",IF(T453="",Settings!$B$5,T453))),"&amp;","?")&amp;"utm_source="&amp;V453&amp;"&amp;utm_medium="&amp;W453&amp;"&amp;utm_campaign="&amp;X453&amp;"&amp;utm_content="&amp;Y453)</f>
        <v/>
      </c>
      <c r="AA453" s="29"/>
      <c r="AB453" s="39"/>
      <c r="AC453" s="32"/>
      <c r="AD453" s="32"/>
      <c r="AE453" s="32"/>
      <c r="AF453" s="32"/>
      <c r="AG453" s="32"/>
      <c r="AH453" s="32"/>
      <c r="AI453" s="32"/>
      <c r="AJ453" s="32"/>
      <c r="AK453" s="32"/>
      <c r="AL453" s="32"/>
      <c r="AM453" s="32"/>
      <c r="AN453" s="32"/>
      <c r="AO453" s="33" t="str">
        <f aca="false">IF(A453="","",IF(AD453&lt;&gt;"",AD453,IF(AC453&lt;&gt;"",AC453,"")))</f>
        <v/>
      </c>
      <c r="AP453" s="24" t="str">
        <f aca="false">IF(AO453="","",IF(AD453&lt;&gt;"","Reported reach","Impressions (proxy)"))</f>
        <v/>
      </c>
      <c r="AQ453" s="34" t="str">
        <f aca="false">IF(OR(AO453="",N(S453)=0),"",AO453/S453)</f>
        <v/>
      </c>
      <c r="AR453" s="33" t="str">
        <f aca="false">IF(A453="","",IF(COUNT(AF453:AJ453)=0,"",SUM(AF453:AJ453)))</f>
        <v/>
      </c>
      <c r="AS453" s="34" t="str">
        <f aca="false">IF(OR(AR453="",N(AO453)=0),"",AR453/AO453)</f>
        <v/>
      </c>
      <c r="AT453" s="34" t="str">
        <f aca="false">IF(OR(AR453="",N(AC453)=0),"",AR453/AC453)</f>
        <v/>
      </c>
      <c r="AU453" s="34" t="str">
        <f aca="false">IF(OR(AR453="",N(S453)=0),"",AR453/S453)</f>
        <v/>
      </c>
      <c r="AV453" s="34" t="str">
        <f aca="false">IF(OR(AJ453="",N(AC453)=0),"",AJ453/AC453)</f>
        <v/>
      </c>
      <c r="AW453" s="34" t="str">
        <f aca="false">IF(OR(AH453="",N(AO453)=0),"",AH453/AO453)</f>
        <v/>
      </c>
      <c r="AX453" s="35" t="str">
        <f aca="false">IF(OR(AR453="",N(AO453)=0),"",(N(AF453)*Settings!$B$6+N(AG453)*Settings!$B$7+N(AH453)*Settings!$B$8+N(AI453)*Settings!$B$9+N(AJ453)*Settings!$B$10)/AO453*1000)</f>
        <v/>
      </c>
      <c r="AY453" s="36" t="str">
        <f aca="false">IF(AS453="","",IFERROR(AS453/AVERAGEIFS('Post Tracker'!$AS$5:$AS$1004,'Post Tracker'!$G$5:$G$1004,G453),""))</f>
        <v/>
      </c>
      <c r="AZ453" s="32"/>
      <c r="BA453" s="32"/>
      <c r="BB453" s="32"/>
      <c r="BC453" s="32"/>
      <c r="BD453" s="33" t="str">
        <f aca="false">IF(A453="","",COUNTIFS('Demo Pipeline'!$Q$5:$Q$504,A453))</f>
        <v/>
      </c>
      <c r="BE453" s="33" t="str">
        <f aca="false">IF(A453="","",COUNTIFS('Demo Pipeline'!$Q$5:$Q$504,A453,'Demo Pipeline'!$W$5:$W$504,"Attended"))</f>
        <v/>
      </c>
      <c r="BF453" s="33" t="str">
        <f aca="false">IF(A453="","",COUNTIFS('Demo Pipeline'!$Q$5:$Q$504,A453,'Demo Pipeline'!$X$5:$X$504,"Yes"))</f>
        <v/>
      </c>
      <c r="BG453" s="33" t="str">
        <f aca="false">IF(A453="","",COUNTIFS('Demo Pipeline'!$Q$5:$Q$504,A453,'Demo Pipeline'!$Y$5:$Y$504,"Closed Won"))</f>
        <v/>
      </c>
      <c r="BH453" s="37" t="str">
        <f aca="false">IF(A453="","",SUMIFS('Demo Pipeline'!$Z$5:$Z$504,'Demo Pipeline'!$Q$5:$Q$504,A453))</f>
        <v/>
      </c>
      <c r="BI453" s="34" t="str">
        <f aca="false">IF(OR(AZ453="",N(AJ453)=0),"",AZ453/AJ453)</f>
        <v/>
      </c>
      <c r="BJ453" s="34" t="str">
        <f aca="false">IF(OR(BB453="",N(AZ453)=0),"",BB453/AZ453)</f>
        <v/>
      </c>
      <c r="BK453" s="34" t="str">
        <f aca="false">IF(OR(A453="",N(BB453)=0),"",BD453/BB453)</f>
        <v/>
      </c>
      <c r="BL453" s="34" t="str">
        <f aca="false">IF(OR(A453="",N(AZ453)=0),"",BD453/AZ453)</f>
        <v/>
      </c>
      <c r="BM453" s="37" t="str">
        <f aca="false">IF(OR(N(Q453)=0,N(BD453)=0),"",Q453/BD453)</f>
        <v/>
      </c>
      <c r="BN453" s="29"/>
      <c r="BO453" s="29"/>
      <c r="BP453" s="33" t="str">
        <f aca="false">IF(OR(AR453="",N(AO453)=0),"",AR453)</f>
        <v/>
      </c>
      <c r="BQ453" s="33" t="str">
        <f aca="false">IF(OR(AR453="",N(S453)=0),"",S453)</f>
        <v/>
      </c>
      <c r="BR453" s="38" t="str">
        <f aca="false">IF(AND(ISNUMBER(B453),B453&gt;=Dashboard!$C$4,B453&lt;=Dashboard!$F$4,ISNUMBER(AU453)),AU453+ROW()/10^9,"")</f>
        <v/>
      </c>
      <c r="BS453" s="38" t="str">
        <f aca="false">IF(AND(ISNUMBER(B453),B453&gt;=Dashboard!$C$4,B453&lt;=Dashboard!$F$4,A453&lt;&gt;""),N(BD453)+N(AU453)/100+ROW()/10^9,"")</f>
        <v/>
      </c>
    </row>
    <row r="454" customFormat="false" ht="15" hidden="false" customHeight="false" outlineLevel="0" collapsed="false">
      <c r="A454" s="24" t="str">
        <f aca="false">IF(OR(B454="",G454="",H454=""),"",IFERROR(INDEX(Settings!$E$5:$E$49,MATCH(G454,Settings!$D$5:$D$49,0))&amp;INDEX(Settings!$H$5:$H$47,MATCH(H454,Settings!$G$5:$G$47,0))&amp;"-"&amp;TEXT(B454,"yymmdd")&amp;"-"&amp;IF(C454="","0000",TEXT(C454,"hhmm")),"CHECK LISTS"))</f>
        <v/>
      </c>
      <c r="B454" s="39"/>
      <c r="C454" s="40"/>
      <c r="D454" s="24" t="str">
        <f aca="false">IF(B454="","",TEXT(B454,"ddd"))</f>
        <v/>
      </c>
      <c r="E454" s="27" t="str">
        <f aca="false">IF(B454="","",B454-WEEKDAY(B454,3))</f>
        <v/>
      </c>
      <c r="F454" s="24" t="str">
        <f aca="false">IF(B454="","",TEXT(B454,"yyyy-mm"))</f>
        <v/>
      </c>
      <c r="G454" s="29"/>
      <c r="H454" s="29"/>
      <c r="I454" s="29"/>
      <c r="J454" s="29"/>
      <c r="K454" s="29"/>
      <c r="L454" s="29"/>
      <c r="M454" s="29"/>
      <c r="N454" s="29"/>
      <c r="O454" s="29"/>
      <c r="P454" s="29"/>
      <c r="Q454" s="30"/>
      <c r="R454" s="29"/>
      <c r="S454" s="32"/>
      <c r="T454" s="29"/>
      <c r="U454" s="29"/>
      <c r="V454" s="24" t="str">
        <f aca="false">IF(A454="","",IFERROR(INDEX(Settings!$F$5:$F$49,MATCH(G454,Settings!$D$5:$D$49,0)),""))</f>
        <v/>
      </c>
      <c r="W454" s="24" t="str">
        <f aca="false">IF(A454="","",IF(OR(P454="",P454="Organic"),"social","paid_social"))</f>
        <v/>
      </c>
      <c r="X454" s="24" t="str">
        <f aca="false">IF(A454="","",IF(K454&lt;&gt;"",IFERROR(INDEX('Case Studies'!$C$5:$C$54,MATCH(K454,'Case Studies'!$B$5:$B$54,0))&amp;"","case-study"),IF(J454&lt;&gt;"",IFERROR(INDEX(Settings!$J$5:$J$55,MATCH(J454,Settings!$I$5:$I$55,0)),"general"),"general")))</f>
        <v/>
      </c>
      <c r="Y454" s="24" t="str">
        <f aca="false">IF(A454="","",LOWER(A454))</f>
        <v/>
      </c>
      <c r="Z454" s="24" t="str">
        <f aca="false">IF(A454="","",IF(T454="",Settings!$B$5,T454)&amp;IF(ISNUMBER(FIND("?",IF(T454="",Settings!$B$5,T454))),"&amp;","?")&amp;"utm_source="&amp;V454&amp;"&amp;utm_medium="&amp;W454&amp;"&amp;utm_campaign="&amp;X454&amp;"&amp;utm_content="&amp;Y454)</f>
        <v/>
      </c>
      <c r="AA454" s="29"/>
      <c r="AB454" s="39"/>
      <c r="AC454" s="32"/>
      <c r="AD454" s="32"/>
      <c r="AE454" s="32"/>
      <c r="AF454" s="32"/>
      <c r="AG454" s="32"/>
      <c r="AH454" s="32"/>
      <c r="AI454" s="32"/>
      <c r="AJ454" s="32"/>
      <c r="AK454" s="32"/>
      <c r="AL454" s="32"/>
      <c r="AM454" s="32"/>
      <c r="AN454" s="32"/>
      <c r="AO454" s="33" t="str">
        <f aca="false">IF(A454="","",IF(AD454&lt;&gt;"",AD454,IF(AC454&lt;&gt;"",AC454,"")))</f>
        <v/>
      </c>
      <c r="AP454" s="24" t="str">
        <f aca="false">IF(AO454="","",IF(AD454&lt;&gt;"","Reported reach","Impressions (proxy)"))</f>
        <v/>
      </c>
      <c r="AQ454" s="34" t="str">
        <f aca="false">IF(OR(AO454="",N(S454)=0),"",AO454/S454)</f>
        <v/>
      </c>
      <c r="AR454" s="33" t="str">
        <f aca="false">IF(A454="","",IF(COUNT(AF454:AJ454)=0,"",SUM(AF454:AJ454)))</f>
        <v/>
      </c>
      <c r="AS454" s="34" t="str">
        <f aca="false">IF(OR(AR454="",N(AO454)=0),"",AR454/AO454)</f>
        <v/>
      </c>
      <c r="AT454" s="34" t="str">
        <f aca="false">IF(OR(AR454="",N(AC454)=0),"",AR454/AC454)</f>
        <v/>
      </c>
      <c r="AU454" s="34" t="str">
        <f aca="false">IF(OR(AR454="",N(S454)=0),"",AR454/S454)</f>
        <v/>
      </c>
      <c r="AV454" s="34" t="str">
        <f aca="false">IF(OR(AJ454="",N(AC454)=0),"",AJ454/AC454)</f>
        <v/>
      </c>
      <c r="AW454" s="34" t="str">
        <f aca="false">IF(OR(AH454="",N(AO454)=0),"",AH454/AO454)</f>
        <v/>
      </c>
      <c r="AX454" s="35" t="str">
        <f aca="false">IF(OR(AR454="",N(AO454)=0),"",(N(AF454)*Settings!$B$6+N(AG454)*Settings!$B$7+N(AH454)*Settings!$B$8+N(AI454)*Settings!$B$9+N(AJ454)*Settings!$B$10)/AO454*1000)</f>
        <v/>
      </c>
      <c r="AY454" s="36" t="str">
        <f aca="false">IF(AS454="","",IFERROR(AS454/AVERAGEIFS('Post Tracker'!$AS$5:$AS$1004,'Post Tracker'!$G$5:$G$1004,G454),""))</f>
        <v/>
      </c>
      <c r="AZ454" s="32"/>
      <c r="BA454" s="32"/>
      <c r="BB454" s="32"/>
      <c r="BC454" s="32"/>
      <c r="BD454" s="33" t="str">
        <f aca="false">IF(A454="","",COUNTIFS('Demo Pipeline'!$Q$5:$Q$504,A454))</f>
        <v/>
      </c>
      <c r="BE454" s="33" t="str">
        <f aca="false">IF(A454="","",COUNTIFS('Demo Pipeline'!$Q$5:$Q$504,A454,'Demo Pipeline'!$W$5:$W$504,"Attended"))</f>
        <v/>
      </c>
      <c r="BF454" s="33" t="str">
        <f aca="false">IF(A454="","",COUNTIFS('Demo Pipeline'!$Q$5:$Q$504,A454,'Demo Pipeline'!$X$5:$X$504,"Yes"))</f>
        <v/>
      </c>
      <c r="BG454" s="33" t="str">
        <f aca="false">IF(A454="","",COUNTIFS('Demo Pipeline'!$Q$5:$Q$504,A454,'Demo Pipeline'!$Y$5:$Y$504,"Closed Won"))</f>
        <v/>
      </c>
      <c r="BH454" s="37" t="str">
        <f aca="false">IF(A454="","",SUMIFS('Demo Pipeline'!$Z$5:$Z$504,'Demo Pipeline'!$Q$5:$Q$504,A454))</f>
        <v/>
      </c>
      <c r="BI454" s="34" t="str">
        <f aca="false">IF(OR(AZ454="",N(AJ454)=0),"",AZ454/AJ454)</f>
        <v/>
      </c>
      <c r="BJ454" s="34" t="str">
        <f aca="false">IF(OR(BB454="",N(AZ454)=0),"",BB454/AZ454)</f>
        <v/>
      </c>
      <c r="BK454" s="34" t="str">
        <f aca="false">IF(OR(A454="",N(BB454)=0),"",BD454/BB454)</f>
        <v/>
      </c>
      <c r="BL454" s="34" t="str">
        <f aca="false">IF(OR(A454="",N(AZ454)=0),"",BD454/AZ454)</f>
        <v/>
      </c>
      <c r="BM454" s="37" t="str">
        <f aca="false">IF(OR(N(Q454)=0,N(BD454)=0),"",Q454/BD454)</f>
        <v/>
      </c>
      <c r="BN454" s="29"/>
      <c r="BO454" s="29"/>
      <c r="BP454" s="33" t="str">
        <f aca="false">IF(OR(AR454="",N(AO454)=0),"",AR454)</f>
        <v/>
      </c>
      <c r="BQ454" s="33" t="str">
        <f aca="false">IF(OR(AR454="",N(S454)=0),"",S454)</f>
        <v/>
      </c>
      <c r="BR454" s="38" t="str">
        <f aca="false">IF(AND(ISNUMBER(B454),B454&gt;=Dashboard!$C$4,B454&lt;=Dashboard!$F$4,ISNUMBER(AU454)),AU454+ROW()/10^9,"")</f>
        <v/>
      </c>
      <c r="BS454" s="38" t="str">
        <f aca="false">IF(AND(ISNUMBER(B454),B454&gt;=Dashboard!$C$4,B454&lt;=Dashboard!$F$4,A454&lt;&gt;""),N(BD454)+N(AU454)/100+ROW()/10^9,"")</f>
        <v/>
      </c>
    </row>
    <row r="455" customFormat="false" ht="15" hidden="false" customHeight="false" outlineLevel="0" collapsed="false">
      <c r="A455" s="24" t="str">
        <f aca="false">IF(OR(B455="",G455="",H455=""),"",IFERROR(INDEX(Settings!$E$5:$E$49,MATCH(G455,Settings!$D$5:$D$49,0))&amp;INDEX(Settings!$H$5:$H$47,MATCH(H455,Settings!$G$5:$G$47,0))&amp;"-"&amp;TEXT(B455,"yymmdd")&amp;"-"&amp;IF(C455="","0000",TEXT(C455,"hhmm")),"CHECK LISTS"))</f>
        <v/>
      </c>
      <c r="B455" s="39"/>
      <c r="C455" s="40"/>
      <c r="D455" s="24" t="str">
        <f aca="false">IF(B455="","",TEXT(B455,"ddd"))</f>
        <v/>
      </c>
      <c r="E455" s="27" t="str">
        <f aca="false">IF(B455="","",B455-WEEKDAY(B455,3))</f>
        <v/>
      </c>
      <c r="F455" s="24" t="str">
        <f aca="false">IF(B455="","",TEXT(B455,"yyyy-mm"))</f>
        <v/>
      </c>
      <c r="G455" s="29"/>
      <c r="H455" s="29"/>
      <c r="I455" s="29"/>
      <c r="J455" s="29"/>
      <c r="K455" s="29"/>
      <c r="L455" s="29"/>
      <c r="M455" s="29"/>
      <c r="N455" s="29"/>
      <c r="O455" s="29"/>
      <c r="P455" s="29"/>
      <c r="Q455" s="30"/>
      <c r="R455" s="29"/>
      <c r="S455" s="32"/>
      <c r="T455" s="29"/>
      <c r="U455" s="29"/>
      <c r="V455" s="24" t="str">
        <f aca="false">IF(A455="","",IFERROR(INDEX(Settings!$F$5:$F$49,MATCH(G455,Settings!$D$5:$D$49,0)),""))</f>
        <v/>
      </c>
      <c r="W455" s="24" t="str">
        <f aca="false">IF(A455="","",IF(OR(P455="",P455="Organic"),"social","paid_social"))</f>
        <v/>
      </c>
      <c r="X455" s="24" t="str">
        <f aca="false">IF(A455="","",IF(K455&lt;&gt;"",IFERROR(INDEX('Case Studies'!$C$5:$C$54,MATCH(K455,'Case Studies'!$B$5:$B$54,0))&amp;"","case-study"),IF(J455&lt;&gt;"",IFERROR(INDEX(Settings!$J$5:$J$55,MATCH(J455,Settings!$I$5:$I$55,0)),"general"),"general")))</f>
        <v/>
      </c>
      <c r="Y455" s="24" t="str">
        <f aca="false">IF(A455="","",LOWER(A455))</f>
        <v/>
      </c>
      <c r="Z455" s="24" t="str">
        <f aca="false">IF(A455="","",IF(T455="",Settings!$B$5,T455)&amp;IF(ISNUMBER(FIND("?",IF(T455="",Settings!$B$5,T455))),"&amp;","?")&amp;"utm_source="&amp;V455&amp;"&amp;utm_medium="&amp;W455&amp;"&amp;utm_campaign="&amp;X455&amp;"&amp;utm_content="&amp;Y455)</f>
        <v/>
      </c>
      <c r="AA455" s="29"/>
      <c r="AB455" s="39"/>
      <c r="AC455" s="32"/>
      <c r="AD455" s="32"/>
      <c r="AE455" s="32"/>
      <c r="AF455" s="32"/>
      <c r="AG455" s="32"/>
      <c r="AH455" s="32"/>
      <c r="AI455" s="32"/>
      <c r="AJ455" s="32"/>
      <c r="AK455" s="32"/>
      <c r="AL455" s="32"/>
      <c r="AM455" s="32"/>
      <c r="AN455" s="32"/>
      <c r="AO455" s="33" t="str">
        <f aca="false">IF(A455="","",IF(AD455&lt;&gt;"",AD455,IF(AC455&lt;&gt;"",AC455,"")))</f>
        <v/>
      </c>
      <c r="AP455" s="24" t="str">
        <f aca="false">IF(AO455="","",IF(AD455&lt;&gt;"","Reported reach","Impressions (proxy)"))</f>
        <v/>
      </c>
      <c r="AQ455" s="34" t="str">
        <f aca="false">IF(OR(AO455="",N(S455)=0),"",AO455/S455)</f>
        <v/>
      </c>
      <c r="AR455" s="33" t="str">
        <f aca="false">IF(A455="","",IF(COUNT(AF455:AJ455)=0,"",SUM(AF455:AJ455)))</f>
        <v/>
      </c>
      <c r="AS455" s="34" t="str">
        <f aca="false">IF(OR(AR455="",N(AO455)=0),"",AR455/AO455)</f>
        <v/>
      </c>
      <c r="AT455" s="34" t="str">
        <f aca="false">IF(OR(AR455="",N(AC455)=0),"",AR455/AC455)</f>
        <v/>
      </c>
      <c r="AU455" s="34" t="str">
        <f aca="false">IF(OR(AR455="",N(S455)=0),"",AR455/S455)</f>
        <v/>
      </c>
      <c r="AV455" s="34" t="str">
        <f aca="false">IF(OR(AJ455="",N(AC455)=0),"",AJ455/AC455)</f>
        <v/>
      </c>
      <c r="AW455" s="34" t="str">
        <f aca="false">IF(OR(AH455="",N(AO455)=0),"",AH455/AO455)</f>
        <v/>
      </c>
      <c r="AX455" s="35" t="str">
        <f aca="false">IF(OR(AR455="",N(AO455)=0),"",(N(AF455)*Settings!$B$6+N(AG455)*Settings!$B$7+N(AH455)*Settings!$B$8+N(AI455)*Settings!$B$9+N(AJ455)*Settings!$B$10)/AO455*1000)</f>
        <v/>
      </c>
      <c r="AY455" s="36" t="str">
        <f aca="false">IF(AS455="","",IFERROR(AS455/AVERAGEIFS('Post Tracker'!$AS$5:$AS$1004,'Post Tracker'!$G$5:$G$1004,G455),""))</f>
        <v/>
      </c>
      <c r="AZ455" s="32"/>
      <c r="BA455" s="32"/>
      <c r="BB455" s="32"/>
      <c r="BC455" s="32"/>
      <c r="BD455" s="33" t="str">
        <f aca="false">IF(A455="","",COUNTIFS('Demo Pipeline'!$Q$5:$Q$504,A455))</f>
        <v/>
      </c>
      <c r="BE455" s="33" t="str">
        <f aca="false">IF(A455="","",COUNTIFS('Demo Pipeline'!$Q$5:$Q$504,A455,'Demo Pipeline'!$W$5:$W$504,"Attended"))</f>
        <v/>
      </c>
      <c r="BF455" s="33" t="str">
        <f aca="false">IF(A455="","",COUNTIFS('Demo Pipeline'!$Q$5:$Q$504,A455,'Demo Pipeline'!$X$5:$X$504,"Yes"))</f>
        <v/>
      </c>
      <c r="BG455" s="33" t="str">
        <f aca="false">IF(A455="","",COUNTIFS('Demo Pipeline'!$Q$5:$Q$504,A455,'Demo Pipeline'!$Y$5:$Y$504,"Closed Won"))</f>
        <v/>
      </c>
      <c r="BH455" s="37" t="str">
        <f aca="false">IF(A455="","",SUMIFS('Demo Pipeline'!$Z$5:$Z$504,'Demo Pipeline'!$Q$5:$Q$504,A455))</f>
        <v/>
      </c>
      <c r="BI455" s="34" t="str">
        <f aca="false">IF(OR(AZ455="",N(AJ455)=0),"",AZ455/AJ455)</f>
        <v/>
      </c>
      <c r="BJ455" s="34" t="str">
        <f aca="false">IF(OR(BB455="",N(AZ455)=0),"",BB455/AZ455)</f>
        <v/>
      </c>
      <c r="BK455" s="34" t="str">
        <f aca="false">IF(OR(A455="",N(BB455)=0),"",BD455/BB455)</f>
        <v/>
      </c>
      <c r="BL455" s="34" t="str">
        <f aca="false">IF(OR(A455="",N(AZ455)=0),"",BD455/AZ455)</f>
        <v/>
      </c>
      <c r="BM455" s="37" t="str">
        <f aca="false">IF(OR(N(Q455)=0,N(BD455)=0),"",Q455/BD455)</f>
        <v/>
      </c>
      <c r="BN455" s="29"/>
      <c r="BO455" s="29"/>
      <c r="BP455" s="33" t="str">
        <f aca="false">IF(OR(AR455="",N(AO455)=0),"",AR455)</f>
        <v/>
      </c>
      <c r="BQ455" s="33" t="str">
        <f aca="false">IF(OR(AR455="",N(S455)=0),"",S455)</f>
        <v/>
      </c>
      <c r="BR455" s="38" t="str">
        <f aca="false">IF(AND(ISNUMBER(B455),B455&gt;=Dashboard!$C$4,B455&lt;=Dashboard!$F$4,ISNUMBER(AU455)),AU455+ROW()/10^9,"")</f>
        <v/>
      </c>
      <c r="BS455" s="38" t="str">
        <f aca="false">IF(AND(ISNUMBER(B455),B455&gt;=Dashboard!$C$4,B455&lt;=Dashboard!$F$4,A455&lt;&gt;""),N(BD455)+N(AU455)/100+ROW()/10^9,"")</f>
        <v/>
      </c>
    </row>
    <row r="456" customFormat="false" ht="15" hidden="false" customHeight="false" outlineLevel="0" collapsed="false">
      <c r="A456" s="24" t="str">
        <f aca="false">IF(OR(B456="",G456="",H456=""),"",IFERROR(INDEX(Settings!$E$5:$E$49,MATCH(G456,Settings!$D$5:$D$49,0))&amp;INDEX(Settings!$H$5:$H$47,MATCH(H456,Settings!$G$5:$G$47,0))&amp;"-"&amp;TEXT(B456,"yymmdd")&amp;"-"&amp;IF(C456="","0000",TEXT(C456,"hhmm")),"CHECK LISTS"))</f>
        <v/>
      </c>
      <c r="B456" s="39"/>
      <c r="C456" s="40"/>
      <c r="D456" s="24" t="str">
        <f aca="false">IF(B456="","",TEXT(B456,"ddd"))</f>
        <v/>
      </c>
      <c r="E456" s="27" t="str">
        <f aca="false">IF(B456="","",B456-WEEKDAY(B456,3))</f>
        <v/>
      </c>
      <c r="F456" s="24" t="str">
        <f aca="false">IF(B456="","",TEXT(B456,"yyyy-mm"))</f>
        <v/>
      </c>
      <c r="G456" s="29"/>
      <c r="H456" s="29"/>
      <c r="I456" s="29"/>
      <c r="J456" s="29"/>
      <c r="K456" s="29"/>
      <c r="L456" s="29"/>
      <c r="M456" s="29"/>
      <c r="N456" s="29"/>
      <c r="O456" s="29"/>
      <c r="P456" s="29"/>
      <c r="Q456" s="30"/>
      <c r="R456" s="29"/>
      <c r="S456" s="32"/>
      <c r="T456" s="29"/>
      <c r="U456" s="29"/>
      <c r="V456" s="24" t="str">
        <f aca="false">IF(A456="","",IFERROR(INDEX(Settings!$F$5:$F$49,MATCH(G456,Settings!$D$5:$D$49,0)),""))</f>
        <v/>
      </c>
      <c r="W456" s="24" t="str">
        <f aca="false">IF(A456="","",IF(OR(P456="",P456="Organic"),"social","paid_social"))</f>
        <v/>
      </c>
      <c r="X456" s="24" t="str">
        <f aca="false">IF(A456="","",IF(K456&lt;&gt;"",IFERROR(INDEX('Case Studies'!$C$5:$C$54,MATCH(K456,'Case Studies'!$B$5:$B$54,0))&amp;"","case-study"),IF(J456&lt;&gt;"",IFERROR(INDEX(Settings!$J$5:$J$55,MATCH(J456,Settings!$I$5:$I$55,0)),"general"),"general")))</f>
        <v/>
      </c>
      <c r="Y456" s="24" t="str">
        <f aca="false">IF(A456="","",LOWER(A456))</f>
        <v/>
      </c>
      <c r="Z456" s="24" t="str">
        <f aca="false">IF(A456="","",IF(T456="",Settings!$B$5,T456)&amp;IF(ISNUMBER(FIND("?",IF(T456="",Settings!$B$5,T456))),"&amp;","?")&amp;"utm_source="&amp;V456&amp;"&amp;utm_medium="&amp;W456&amp;"&amp;utm_campaign="&amp;X456&amp;"&amp;utm_content="&amp;Y456)</f>
        <v/>
      </c>
      <c r="AA456" s="29"/>
      <c r="AB456" s="39"/>
      <c r="AC456" s="32"/>
      <c r="AD456" s="32"/>
      <c r="AE456" s="32"/>
      <c r="AF456" s="32"/>
      <c r="AG456" s="32"/>
      <c r="AH456" s="32"/>
      <c r="AI456" s="32"/>
      <c r="AJ456" s="32"/>
      <c r="AK456" s="32"/>
      <c r="AL456" s="32"/>
      <c r="AM456" s="32"/>
      <c r="AN456" s="32"/>
      <c r="AO456" s="33" t="str">
        <f aca="false">IF(A456="","",IF(AD456&lt;&gt;"",AD456,IF(AC456&lt;&gt;"",AC456,"")))</f>
        <v/>
      </c>
      <c r="AP456" s="24" t="str">
        <f aca="false">IF(AO456="","",IF(AD456&lt;&gt;"","Reported reach","Impressions (proxy)"))</f>
        <v/>
      </c>
      <c r="AQ456" s="34" t="str">
        <f aca="false">IF(OR(AO456="",N(S456)=0),"",AO456/S456)</f>
        <v/>
      </c>
      <c r="AR456" s="33" t="str">
        <f aca="false">IF(A456="","",IF(COUNT(AF456:AJ456)=0,"",SUM(AF456:AJ456)))</f>
        <v/>
      </c>
      <c r="AS456" s="34" t="str">
        <f aca="false">IF(OR(AR456="",N(AO456)=0),"",AR456/AO456)</f>
        <v/>
      </c>
      <c r="AT456" s="34" t="str">
        <f aca="false">IF(OR(AR456="",N(AC456)=0),"",AR456/AC456)</f>
        <v/>
      </c>
      <c r="AU456" s="34" t="str">
        <f aca="false">IF(OR(AR456="",N(S456)=0),"",AR456/S456)</f>
        <v/>
      </c>
      <c r="AV456" s="34" t="str">
        <f aca="false">IF(OR(AJ456="",N(AC456)=0),"",AJ456/AC456)</f>
        <v/>
      </c>
      <c r="AW456" s="34" t="str">
        <f aca="false">IF(OR(AH456="",N(AO456)=0),"",AH456/AO456)</f>
        <v/>
      </c>
      <c r="AX456" s="35" t="str">
        <f aca="false">IF(OR(AR456="",N(AO456)=0),"",(N(AF456)*Settings!$B$6+N(AG456)*Settings!$B$7+N(AH456)*Settings!$B$8+N(AI456)*Settings!$B$9+N(AJ456)*Settings!$B$10)/AO456*1000)</f>
        <v/>
      </c>
      <c r="AY456" s="36" t="str">
        <f aca="false">IF(AS456="","",IFERROR(AS456/AVERAGEIFS('Post Tracker'!$AS$5:$AS$1004,'Post Tracker'!$G$5:$G$1004,G456),""))</f>
        <v/>
      </c>
      <c r="AZ456" s="32"/>
      <c r="BA456" s="32"/>
      <c r="BB456" s="32"/>
      <c r="BC456" s="32"/>
      <c r="BD456" s="33" t="str">
        <f aca="false">IF(A456="","",COUNTIFS('Demo Pipeline'!$Q$5:$Q$504,A456))</f>
        <v/>
      </c>
      <c r="BE456" s="33" t="str">
        <f aca="false">IF(A456="","",COUNTIFS('Demo Pipeline'!$Q$5:$Q$504,A456,'Demo Pipeline'!$W$5:$W$504,"Attended"))</f>
        <v/>
      </c>
      <c r="BF456" s="33" t="str">
        <f aca="false">IF(A456="","",COUNTIFS('Demo Pipeline'!$Q$5:$Q$504,A456,'Demo Pipeline'!$X$5:$X$504,"Yes"))</f>
        <v/>
      </c>
      <c r="BG456" s="33" t="str">
        <f aca="false">IF(A456="","",COUNTIFS('Demo Pipeline'!$Q$5:$Q$504,A456,'Demo Pipeline'!$Y$5:$Y$504,"Closed Won"))</f>
        <v/>
      </c>
      <c r="BH456" s="37" t="str">
        <f aca="false">IF(A456="","",SUMIFS('Demo Pipeline'!$Z$5:$Z$504,'Demo Pipeline'!$Q$5:$Q$504,A456))</f>
        <v/>
      </c>
      <c r="BI456" s="34" t="str">
        <f aca="false">IF(OR(AZ456="",N(AJ456)=0),"",AZ456/AJ456)</f>
        <v/>
      </c>
      <c r="BJ456" s="34" t="str">
        <f aca="false">IF(OR(BB456="",N(AZ456)=0),"",BB456/AZ456)</f>
        <v/>
      </c>
      <c r="BK456" s="34" t="str">
        <f aca="false">IF(OR(A456="",N(BB456)=0),"",BD456/BB456)</f>
        <v/>
      </c>
      <c r="BL456" s="34" t="str">
        <f aca="false">IF(OR(A456="",N(AZ456)=0),"",BD456/AZ456)</f>
        <v/>
      </c>
      <c r="BM456" s="37" t="str">
        <f aca="false">IF(OR(N(Q456)=0,N(BD456)=0),"",Q456/BD456)</f>
        <v/>
      </c>
      <c r="BN456" s="29"/>
      <c r="BO456" s="29"/>
      <c r="BP456" s="33" t="str">
        <f aca="false">IF(OR(AR456="",N(AO456)=0),"",AR456)</f>
        <v/>
      </c>
      <c r="BQ456" s="33" t="str">
        <f aca="false">IF(OR(AR456="",N(S456)=0),"",S456)</f>
        <v/>
      </c>
      <c r="BR456" s="38" t="str">
        <f aca="false">IF(AND(ISNUMBER(B456),B456&gt;=Dashboard!$C$4,B456&lt;=Dashboard!$F$4,ISNUMBER(AU456)),AU456+ROW()/10^9,"")</f>
        <v/>
      </c>
      <c r="BS456" s="38" t="str">
        <f aca="false">IF(AND(ISNUMBER(B456),B456&gt;=Dashboard!$C$4,B456&lt;=Dashboard!$F$4,A456&lt;&gt;""),N(BD456)+N(AU456)/100+ROW()/10^9,"")</f>
        <v/>
      </c>
    </row>
    <row r="457" customFormat="false" ht="15" hidden="false" customHeight="false" outlineLevel="0" collapsed="false">
      <c r="A457" s="24" t="str">
        <f aca="false">IF(OR(B457="",G457="",H457=""),"",IFERROR(INDEX(Settings!$E$5:$E$49,MATCH(G457,Settings!$D$5:$D$49,0))&amp;INDEX(Settings!$H$5:$H$47,MATCH(H457,Settings!$G$5:$G$47,0))&amp;"-"&amp;TEXT(B457,"yymmdd")&amp;"-"&amp;IF(C457="","0000",TEXT(C457,"hhmm")),"CHECK LISTS"))</f>
        <v/>
      </c>
      <c r="B457" s="39"/>
      <c r="C457" s="40"/>
      <c r="D457" s="24" t="str">
        <f aca="false">IF(B457="","",TEXT(B457,"ddd"))</f>
        <v/>
      </c>
      <c r="E457" s="27" t="str">
        <f aca="false">IF(B457="","",B457-WEEKDAY(B457,3))</f>
        <v/>
      </c>
      <c r="F457" s="24" t="str">
        <f aca="false">IF(B457="","",TEXT(B457,"yyyy-mm"))</f>
        <v/>
      </c>
      <c r="G457" s="29"/>
      <c r="H457" s="29"/>
      <c r="I457" s="29"/>
      <c r="J457" s="29"/>
      <c r="K457" s="29"/>
      <c r="L457" s="29"/>
      <c r="M457" s="29"/>
      <c r="N457" s="29"/>
      <c r="O457" s="29"/>
      <c r="P457" s="29"/>
      <c r="Q457" s="30"/>
      <c r="R457" s="29"/>
      <c r="S457" s="32"/>
      <c r="T457" s="29"/>
      <c r="U457" s="29"/>
      <c r="V457" s="24" t="str">
        <f aca="false">IF(A457="","",IFERROR(INDEX(Settings!$F$5:$F$49,MATCH(G457,Settings!$D$5:$D$49,0)),""))</f>
        <v/>
      </c>
      <c r="W457" s="24" t="str">
        <f aca="false">IF(A457="","",IF(OR(P457="",P457="Organic"),"social","paid_social"))</f>
        <v/>
      </c>
      <c r="X457" s="24" t="str">
        <f aca="false">IF(A457="","",IF(K457&lt;&gt;"",IFERROR(INDEX('Case Studies'!$C$5:$C$54,MATCH(K457,'Case Studies'!$B$5:$B$54,0))&amp;"","case-study"),IF(J457&lt;&gt;"",IFERROR(INDEX(Settings!$J$5:$J$55,MATCH(J457,Settings!$I$5:$I$55,0)),"general"),"general")))</f>
        <v/>
      </c>
      <c r="Y457" s="24" t="str">
        <f aca="false">IF(A457="","",LOWER(A457))</f>
        <v/>
      </c>
      <c r="Z457" s="24" t="str">
        <f aca="false">IF(A457="","",IF(T457="",Settings!$B$5,T457)&amp;IF(ISNUMBER(FIND("?",IF(T457="",Settings!$B$5,T457))),"&amp;","?")&amp;"utm_source="&amp;V457&amp;"&amp;utm_medium="&amp;W457&amp;"&amp;utm_campaign="&amp;X457&amp;"&amp;utm_content="&amp;Y457)</f>
        <v/>
      </c>
      <c r="AA457" s="29"/>
      <c r="AB457" s="39"/>
      <c r="AC457" s="32"/>
      <c r="AD457" s="32"/>
      <c r="AE457" s="32"/>
      <c r="AF457" s="32"/>
      <c r="AG457" s="32"/>
      <c r="AH457" s="32"/>
      <c r="AI457" s="32"/>
      <c r="AJ457" s="32"/>
      <c r="AK457" s="32"/>
      <c r="AL457" s="32"/>
      <c r="AM457" s="32"/>
      <c r="AN457" s="32"/>
      <c r="AO457" s="33" t="str">
        <f aca="false">IF(A457="","",IF(AD457&lt;&gt;"",AD457,IF(AC457&lt;&gt;"",AC457,"")))</f>
        <v/>
      </c>
      <c r="AP457" s="24" t="str">
        <f aca="false">IF(AO457="","",IF(AD457&lt;&gt;"","Reported reach","Impressions (proxy)"))</f>
        <v/>
      </c>
      <c r="AQ457" s="34" t="str">
        <f aca="false">IF(OR(AO457="",N(S457)=0),"",AO457/S457)</f>
        <v/>
      </c>
      <c r="AR457" s="33" t="str">
        <f aca="false">IF(A457="","",IF(COUNT(AF457:AJ457)=0,"",SUM(AF457:AJ457)))</f>
        <v/>
      </c>
      <c r="AS457" s="34" t="str">
        <f aca="false">IF(OR(AR457="",N(AO457)=0),"",AR457/AO457)</f>
        <v/>
      </c>
      <c r="AT457" s="34" t="str">
        <f aca="false">IF(OR(AR457="",N(AC457)=0),"",AR457/AC457)</f>
        <v/>
      </c>
      <c r="AU457" s="34" t="str">
        <f aca="false">IF(OR(AR457="",N(S457)=0),"",AR457/S457)</f>
        <v/>
      </c>
      <c r="AV457" s="34" t="str">
        <f aca="false">IF(OR(AJ457="",N(AC457)=0),"",AJ457/AC457)</f>
        <v/>
      </c>
      <c r="AW457" s="34" t="str">
        <f aca="false">IF(OR(AH457="",N(AO457)=0),"",AH457/AO457)</f>
        <v/>
      </c>
      <c r="AX457" s="35" t="str">
        <f aca="false">IF(OR(AR457="",N(AO457)=0),"",(N(AF457)*Settings!$B$6+N(AG457)*Settings!$B$7+N(AH457)*Settings!$B$8+N(AI457)*Settings!$B$9+N(AJ457)*Settings!$B$10)/AO457*1000)</f>
        <v/>
      </c>
      <c r="AY457" s="36" t="str">
        <f aca="false">IF(AS457="","",IFERROR(AS457/AVERAGEIFS('Post Tracker'!$AS$5:$AS$1004,'Post Tracker'!$G$5:$G$1004,G457),""))</f>
        <v/>
      </c>
      <c r="AZ457" s="32"/>
      <c r="BA457" s="32"/>
      <c r="BB457" s="32"/>
      <c r="BC457" s="32"/>
      <c r="BD457" s="33" t="str">
        <f aca="false">IF(A457="","",COUNTIFS('Demo Pipeline'!$Q$5:$Q$504,A457))</f>
        <v/>
      </c>
      <c r="BE457" s="33" t="str">
        <f aca="false">IF(A457="","",COUNTIFS('Demo Pipeline'!$Q$5:$Q$504,A457,'Demo Pipeline'!$W$5:$W$504,"Attended"))</f>
        <v/>
      </c>
      <c r="BF457" s="33" t="str">
        <f aca="false">IF(A457="","",COUNTIFS('Demo Pipeline'!$Q$5:$Q$504,A457,'Demo Pipeline'!$X$5:$X$504,"Yes"))</f>
        <v/>
      </c>
      <c r="BG457" s="33" t="str">
        <f aca="false">IF(A457="","",COUNTIFS('Demo Pipeline'!$Q$5:$Q$504,A457,'Demo Pipeline'!$Y$5:$Y$504,"Closed Won"))</f>
        <v/>
      </c>
      <c r="BH457" s="37" t="str">
        <f aca="false">IF(A457="","",SUMIFS('Demo Pipeline'!$Z$5:$Z$504,'Demo Pipeline'!$Q$5:$Q$504,A457))</f>
        <v/>
      </c>
      <c r="BI457" s="34" t="str">
        <f aca="false">IF(OR(AZ457="",N(AJ457)=0),"",AZ457/AJ457)</f>
        <v/>
      </c>
      <c r="BJ457" s="34" t="str">
        <f aca="false">IF(OR(BB457="",N(AZ457)=0),"",BB457/AZ457)</f>
        <v/>
      </c>
      <c r="BK457" s="34" t="str">
        <f aca="false">IF(OR(A457="",N(BB457)=0),"",BD457/BB457)</f>
        <v/>
      </c>
      <c r="BL457" s="34" t="str">
        <f aca="false">IF(OR(A457="",N(AZ457)=0),"",BD457/AZ457)</f>
        <v/>
      </c>
      <c r="BM457" s="37" t="str">
        <f aca="false">IF(OR(N(Q457)=0,N(BD457)=0),"",Q457/BD457)</f>
        <v/>
      </c>
      <c r="BN457" s="29"/>
      <c r="BO457" s="29"/>
      <c r="BP457" s="33" t="str">
        <f aca="false">IF(OR(AR457="",N(AO457)=0),"",AR457)</f>
        <v/>
      </c>
      <c r="BQ457" s="33" t="str">
        <f aca="false">IF(OR(AR457="",N(S457)=0),"",S457)</f>
        <v/>
      </c>
      <c r="BR457" s="38" t="str">
        <f aca="false">IF(AND(ISNUMBER(B457),B457&gt;=Dashboard!$C$4,B457&lt;=Dashboard!$F$4,ISNUMBER(AU457)),AU457+ROW()/10^9,"")</f>
        <v/>
      </c>
      <c r="BS457" s="38" t="str">
        <f aca="false">IF(AND(ISNUMBER(B457),B457&gt;=Dashboard!$C$4,B457&lt;=Dashboard!$F$4,A457&lt;&gt;""),N(BD457)+N(AU457)/100+ROW()/10^9,"")</f>
        <v/>
      </c>
    </row>
    <row r="458" customFormat="false" ht="15" hidden="false" customHeight="false" outlineLevel="0" collapsed="false">
      <c r="A458" s="24" t="str">
        <f aca="false">IF(OR(B458="",G458="",H458=""),"",IFERROR(INDEX(Settings!$E$5:$E$49,MATCH(G458,Settings!$D$5:$D$49,0))&amp;INDEX(Settings!$H$5:$H$47,MATCH(H458,Settings!$G$5:$G$47,0))&amp;"-"&amp;TEXT(B458,"yymmdd")&amp;"-"&amp;IF(C458="","0000",TEXT(C458,"hhmm")),"CHECK LISTS"))</f>
        <v/>
      </c>
      <c r="B458" s="39"/>
      <c r="C458" s="40"/>
      <c r="D458" s="24" t="str">
        <f aca="false">IF(B458="","",TEXT(B458,"ddd"))</f>
        <v/>
      </c>
      <c r="E458" s="27" t="str">
        <f aca="false">IF(B458="","",B458-WEEKDAY(B458,3))</f>
        <v/>
      </c>
      <c r="F458" s="24" t="str">
        <f aca="false">IF(B458="","",TEXT(B458,"yyyy-mm"))</f>
        <v/>
      </c>
      <c r="G458" s="29"/>
      <c r="H458" s="29"/>
      <c r="I458" s="29"/>
      <c r="J458" s="29"/>
      <c r="K458" s="29"/>
      <c r="L458" s="29"/>
      <c r="M458" s="29"/>
      <c r="N458" s="29"/>
      <c r="O458" s="29"/>
      <c r="P458" s="29"/>
      <c r="Q458" s="30"/>
      <c r="R458" s="29"/>
      <c r="S458" s="32"/>
      <c r="T458" s="29"/>
      <c r="U458" s="29"/>
      <c r="V458" s="24" t="str">
        <f aca="false">IF(A458="","",IFERROR(INDEX(Settings!$F$5:$F$49,MATCH(G458,Settings!$D$5:$D$49,0)),""))</f>
        <v/>
      </c>
      <c r="W458" s="24" t="str">
        <f aca="false">IF(A458="","",IF(OR(P458="",P458="Organic"),"social","paid_social"))</f>
        <v/>
      </c>
      <c r="X458" s="24" t="str">
        <f aca="false">IF(A458="","",IF(K458&lt;&gt;"",IFERROR(INDEX('Case Studies'!$C$5:$C$54,MATCH(K458,'Case Studies'!$B$5:$B$54,0))&amp;"","case-study"),IF(J458&lt;&gt;"",IFERROR(INDEX(Settings!$J$5:$J$55,MATCH(J458,Settings!$I$5:$I$55,0)),"general"),"general")))</f>
        <v/>
      </c>
      <c r="Y458" s="24" t="str">
        <f aca="false">IF(A458="","",LOWER(A458))</f>
        <v/>
      </c>
      <c r="Z458" s="24" t="str">
        <f aca="false">IF(A458="","",IF(T458="",Settings!$B$5,T458)&amp;IF(ISNUMBER(FIND("?",IF(T458="",Settings!$B$5,T458))),"&amp;","?")&amp;"utm_source="&amp;V458&amp;"&amp;utm_medium="&amp;W458&amp;"&amp;utm_campaign="&amp;X458&amp;"&amp;utm_content="&amp;Y458)</f>
        <v/>
      </c>
      <c r="AA458" s="29"/>
      <c r="AB458" s="39"/>
      <c r="AC458" s="32"/>
      <c r="AD458" s="32"/>
      <c r="AE458" s="32"/>
      <c r="AF458" s="32"/>
      <c r="AG458" s="32"/>
      <c r="AH458" s="32"/>
      <c r="AI458" s="32"/>
      <c r="AJ458" s="32"/>
      <c r="AK458" s="32"/>
      <c r="AL458" s="32"/>
      <c r="AM458" s="32"/>
      <c r="AN458" s="32"/>
      <c r="AO458" s="33" t="str">
        <f aca="false">IF(A458="","",IF(AD458&lt;&gt;"",AD458,IF(AC458&lt;&gt;"",AC458,"")))</f>
        <v/>
      </c>
      <c r="AP458" s="24" t="str">
        <f aca="false">IF(AO458="","",IF(AD458&lt;&gt;"","Reported reach","Impressions (proxy)"))</f>
        <v/>
      </c>
      <c r="AQ458" s="34" t="str">
        <f aca="false">IF(OR(AO458="",N(S458)=0),"",AO458/S458)</f>
        <v/>
      </c>
      <c r="AR458" s="33" t="str">
        <f aca="false">IF(A458="","",IF(COUNT(AF458:AJ458)=0,"",SUM(AF458:AJ458)))</f>
        <v/>
      </c>
      <c r="AS458" s="34" t="str">
        <f aca="false">IF(OR(AR458="",N(AO458)=0),"",AR458/AO458)</f>
        <v/>
      </c>
      <c r="AT458" s="34" t="str">
        <f aca="false">IF(OR(AR458="",N(AC458)=0),"",AR458/AC458)</f>
        <v/>
      </c>
      <c r="AU458" s="34" t="str">
        <f aca="false">IF(OR(AR458="",N(S458)=0),"",AR458/S458)</f>
        <v/>
      </c>
      <c r="AV458" s="34" t="str">
        <f aca="false">IF(OR(AJ458="",N(AC458)=0),"",AJ458/AC458)</f>
        <v/>
      </c>
      <c r="AW458" s="34" t="str">
        <f aca="false">IF(OR(AH458="",N(AO458)=0),"",AH458/AO458)</f>
        <v/>
      </c>
      <c r="AX458" s="35" t="str">
        <f aca="false">IF(OR(AR458="",N(AO458)=0),"",(N(AF458)*Settings!$B$6+N(AG458)*Settings!$B$7+N(AH458)*Settings!$B$8+N(AI458)*Settings!$B$9+N(AJ458)*Settings!$B$10)/AO458*1000)</f>
        <v/>
      </c>
      <c r="AY458" s="36" t="str">
        <f aca="false">IF(AS458="","",IFERROR(AS458/AVERAGEIFS('Post Tracker'!$AS$5:$AS$1004,'Post Tracker'!$G$5:$G$1004,G458),""))</f>
        <v/>
      </c>
      <c r="AZ458" s="32"/>
      <c r="BA458" s="32"/>
      <c r="BB458" s="32"/>
      <c r="BC458" s="32"/>
      <c r="BD458" s="33" t="str">
        <f aca="false">IF(A458="","",COUNTIFS('Demo Pipeline'!$Q$5:$Q$504,A458))</f>
        <v/>
      </c>
      <c r="BE458" s="33" t="str">
        <f aca="false">IF(A458="","",COUNTIFS('Demo Pipeline'!$Q$5:$Q$504,A458,'Demo Pipeline'!$W$5:$W$504,"Attended"))</f>
        <v/>
      </c>
      <c r="BF458" s="33" t="str">
        <f aca="false">IF(A458="","",COUNTIFS('Demo Pipeline'!$Q$5:$Q$504,A458,'Demo Pipeline'!$X$5:$X$504,"Yes"))</f>
        <v/>
      </c>
      <c r="BG458" s="33" t="str">
        <f aca="false">IF(A458="","",COUNTIFS('Demo Pipeline'!$Q$5:$Q$504,A458,'Demo Pipeline'!$Y$5:$Y$504,"Closed Won"))</f>
        <v/>
      </c>
      <c r="BH458" s="37" t="str">
        <f aca="false">IF(A458="","",SUMIFS('Demo Pipeline'!$Z$5:$Z$504,'Demo Pipeline'!$Q$5:$Q$504,A458))</f>
        <v/>
      </c>
      <c r="BI458" s="34" t="str">
        <f aca="false">IF(OR(AZ458="",N(AJ458)=0),"",AZ458/AJ458)</f>
        <v/>
      </c>
      <c r="BJ458" s="34" t="str">
        <f aca="false">IF(OR(BB458="",N(AZ458)=0),"",BB458/AZ458)</f>
        <v/>
      </c>
      <c r="BK458" s="34" t="str">
        <f aca="false">IF(OR(A458="",N(BB458)=0),"",BD458/BB458)</f>
        <v/>
      </c>
      <c r="BL458" s="34" t="str">
        <f aca="false">IF(OR(A458="",N(AZ458)=0),"",BD458/AZ458)</f>
        <v/>
      </c>
      <c r="BM458" s="37" t="str">
        <f aca="false">IF(OR(N(Q458)=0,N(BD458)=0),"",Q458/BD458)</f>
        <v/>
      </c>
      <c r="BN458" s="29"/>
      <c r="BO458" s="29"/>
      <c r="BP458" s="33" t="str">
        <f aca="false">IF(OR(AR458="",N(AO458)=0),"",AR458)</f>
        <v/>
      </c>
      <c r="BQ458" s="33" t="str">
        <f aca="false">IF(OR(AR458="",N(S458)=0),"",S458)</f>
        <v/>
      </c>
      <c r="BR458" s="38" t="str">
        <f aca="false">IF(AND(ISNUMBER(B458),B458&gt;=Dashboard!$C$4,B458&lt;=Dashboard!$F$4,ISNUMBER(AU458)),AU458+ROW()/10^9,"")</f>
        <v/>
      </c>
      <c r="BS458" s="38" t="str">
        <f aca="false">IF(AND(ISNUMBER(B458),B458&gt;=Dashboard!$C$4,B458&lt;=Dashboard!$F$4,A458&lt;&gt;""),N(BD458)+N(AU458)/100+ROW()/10^9,"")</f>
        <v/>
      </c>
    </row>
    <row r="459" customFormat="false" ht="15" hidden="false" customHeight="false" outlineLevel="0" collapsed="false">
      <c r="A459" s="24" t="str">
        <f aca="false">IF(OR(B459="",G459="",H459=""),"",IFERROR(INDEX(Settings!$E$5:$E$49,MATCH(G459,Settings!$D$5:$D$49,0))&amp;INDEX(Settings!$H$5:$H$47,MATCH(H459,Settings!$G$5:$G$47,0))&amp;"-"&amp;TEXT(B459,"yymmdd")&amp;"-"&amp;IF(C459="","0000",TEXT(C459,"hhmm")),"CHECK LISTS"))</f>
        <v/>
      </c>
      <c r="B459" s="39"/>
      <c r="C459" s="40"/>
      <c r="D459" s="24" t="str">
        <f aca="false">IF(B459="","",TEXT(B459,"ddd"))</f>
        <v/>
      </c>
      <c r="E459" s="27" t="str">
        <f aca="false">IF(B459="","",B459-WEEKDAY(B459,3))</f>
        <v/>
      </c>
      <c r="F459" s="24" t="str">
        <f aca="false">IF(B459="","",TEXT(B459,"yyyy-mm"))</f>
        <v/>
      </c>
      <c r="G459" s="29"/>
      <c r="H459" s="29"/>
      <c r="I459" s="29"/>
      <c r="J459" s="29"/>
      <c r="K459" s="29"/>
      <c r="L459" s="29"/>
      <c r="M459" s="29"/>
      <c r="N459" s="29"/>
      <c r="O459" s="29"/>
      <c r="P459" s="29"/>
      <c r="Q459" s="30"/>
      <c r="R459" s="29"/>
      <c r="S459" s="32"/>
      <c r="T459" s="29"/>
      <c r="U459" s="29"/>
      <c r="V459" s="24" t="str">
        <f aca="false">IF(A459="","",IFERROR(INDEX(Settings!$F$5:$F$49,MATCH(G459,Settings!$D$5:$D$49,0)),""))</f>
        <v/>
      </c>
      <c r="W459" s="24" t="str">
        <f aca="false">IF(A459="","",IF(OR(P459="",P459="Organic"),"social","paid_social"))</f>
        <v/>
      </c>
      <c r="X459" s="24" t="str">
        <f aca="false">IF(A459="","",IF(K459&lt;&gt;"",IFERROR(INDEX('Case Studies'!$C$5:$C$54,MATCH(K459,'Case Studies'!$B$5:$B$54,0))&amp;"","case-study"),IF(J459&lt;&gt;"",IFERROR(INDEX(Settings!$J$5:$J$55,MATCH(J459,Settings!$I$5:$I$55,0)),"general"),"general")))</f>
        <v/>
      </c>
      <c r="Y459" s="24" t="str">
        <f aca="false">IF(A459="","",LOWER(A459))</f>
        <v/>
      </c>
      <c r="Z459" s="24" t="str">
        <f aca="false">IF(A459="","",IF(T459="",Settings!$B$5,T459)&amp;IF(ISNUMBER(FIND("?",IF(T459="",Settings!$B$5,T459))),"&amp;","?")&amp;"utm_source="&amp;V459&amp;"&amp;utm_medium="&amp;W459&amp;"&amp;utm_campaign="&amp;X459&amp;"&amp;utm_content="&amp;Y459)</f>
        <v/>
      </c>
      <c r="AA459" s="29"/>
      <c r="AB459" s="39"/>
      <c r="AC459" s="32"/>
      <c r="AD459" s="32"/>
      <c r="AE459" s="32"/>
      <c r="AF459" s="32"/>
      <c r="AG459" s="32"/>
      <c r="AH459" s="32"/>
      <c r="AI459" s="32"/>
      <c r="AJ459" s="32"/>
      <c r="AK459" s="32"/>
      <c r="AL459" s="32"/>
      <c r="AM459" s="32"/>
      <c r="AN459" s="32"/>
      <c r="AO459" s="33" t="str">
        <f aca="false">IF(A459="","",IF(AD459&lt;&gt;"",AD459,IF(AC459&lt;&gt;"",AC459,"")))</f>
        <v/>
      </c>
      <c r="AP459" s="24" t="str">
        <f aca="false">IF(AO459="","",IF(AD459&lt;&gt;"","Reported reach","Impressions (proxy)"))</f>
        <v/>
      </c>
      <c r="AQ459" s="34" t="str">
        <f aca="false">IF(OR(AO459="",N(S459)=0),"",AO459/S459)</f>
        <v/>
      </c>
      <c r="AR459" s="33" t="str">
        <f aca="false">IF(A459="","",IF(COUNT(AF459:AJ459)=0,"",SUM(AF459:AJ459)))</f>
        <v/>
      </c>
      <c r="AS459" s="34" t="str">
        <f aca="false">IF(OR(AR459="",N(AO459)=0),"",AR459/AO459)</f>
        <v/>
      </c>
      <c r="AT459" s="34" t="str">
        <f aca="false">IF(OR(AR459="",N(AC459)=0),"",AR459/AC459)</f>
        <v/>
      </c>
      <c r="AU459" s="34" t="str">
        <f aca="false">IF(OR(AR459="",N(S459)=0),"",AR459/S459)</f>
        <v/>
      </c>
      <c r="AV459" s="34" t="str">
        <f aca="false">IF(OR(AJ459="",N(AC459)=0),"",AJ459/AC459)</f>
        <v/>
      </c>
      <c r="AW459" s="34" t="str">
        <f aca="false">IF(OR(AH459="",N(AO459)=0),"",AH459/AO459)</f>
        <v/>
      </c>
      <c r="AX459" s="35" t="str">
        <f aca="false">IF(OR(AR459="",N(AO459)=0),"",(N(AF459)*Settings!$B$6+N(AG459)*Settings!$B$7+N(AH459)*Settings!$B$8+N(AI459)*Settings!$B$9+N(AJ459)*Settings!$B$10)/AO459*1000)</f>
        <v/>
      </c>
      <c r="AY459" s="36" t="str">
        <f aca="false">IF(AS459="","",IFERROR(AS459/AVERAGEIFS('Post Tracker'!$AS$5:$AS$1004,'Post Tracker'!$G$5:$G$1004,G459),""))</f>
        <v/>
      </c>
      <c r="AZ459" s="32"/>
      <c r="BA459" s="32"/>
      <c r="BB459" s="32"/>
      <c r="BC459" s="32"/>
      <c r="BD459" s="33" t="str">
        <f aca="false">IF(A459="","",COUNTIFS('Demo Pipeline'!$Q$5:$Q$504,A459))</f>
        <v/>
      </c>
      <c r="BE459" s="33" t="str">
        <f aca="false">IF(A459="","",COUNTIFS('Demo Pipeline'!$Q$5:$Q$504,A459,'Demo Pipeline'!$W$5:$W$504,"Attended"))</f>
        <v/>
      </c>
      <c r="BF459" s="33" t="str">
        <f aca="false">IF(A459="","",COUNTIFS('Demo Pipeline'!$Q$5:$Q$504,A459,'Demo Pipeline'!$X$5:$X$504,"Yes"))</f>
        <v/>
      </c>
      <c r="BG459" s="33" t="str">
        <f aca="false">IF(A459="","",COUNTIFS('Demo Pipeline'!$Q$5:$Q$504,A459,'Demo Pipeline'!$Y$5:$Y$504,"Closed Won"))</f>
        <v/>
      </c>
      <c r="BH459" s="37" t="str">
        <f aca="false">IF(A459="","",SUMIFS('Demo Pipeline'!$Z$5:$Z$504,'Demo Pipeline'!$Q$5:$Q$504,A459))</f>
        <v/>
      </c>
      <c r="BI459" s="34" t="str">
        <f aca="false">IF(OR(AZ459="",N(AJ459)=0),"",AZ459/AJ459)</f>
        <v/>
      </c>
      <c r="BJ459" s="34" t="str">
        <f aca="false">IF(OR(BB459="",N(AZ459)=0),"",BB459/AZ459)</f>
        <v/>
      </c>
      <c r="BK459" s="34" t="str">
        <f aca="false">IF(OR(A459="",N(BB459)=0),"",BD459/BB459)</f>
        <v/>
      </c>
      <c r="BL459" s="34" t="str">
        <f aca="false">IF(OR(A459="",N(AZ459)=0),"",BD459/AZ459)</f>
        <v/>
      </c>
      <c r="BM459" s="37" t="str">
        <f aca="false">IF(OR(N(Q459)=0,N(BD459)=0),"",Q459/BD459)</f>
        <v/>
      </c>
      <c r="BN459" s="29"/>
      <c r="BO459" s="29"/>
      <c r="BP459" s="33" t="str">
        <f aca="false">IF(OR(AR459="",N(AO459)=0),"",AR459)</f>
        <v/>
      </c>
      <c r="BQ459" s="33" t="str">
        <f aca="false">IF(OR(AR459="",N(S459)=0),"",S459)</f>
        <v/>
      </c>
      <c r="BR459" s="38" t="str">
        <f aca="false">IF(AND(ISNUMBER(B459),B459&gt;=Dashboard!$C$4,B459&lt;=Dashboard!$F$4,ISNUMBER(AU459)),AU459+ROW()/10^9,"")</f>
        <v/>
      </c>
      <c r="BS459" s="38" t="str">
        <f aca="false">IF(AND(ISNUMBER(B459),B459&gt;=Dashboard!$C$4,B459&lt;=Dashboard!$F$4,A459&lt;&gt;""),N(BD459)+N(AU459)/100+ROW()/10^9,"")</f>
        <v/>
      </c>
    </row>
    <row r="460" customFormat="false" ht="15" hidden="false" customHeight="false" outlineLevel="0" collapsed="false">
      <c r="A460" s="24" t="str">
        <f aca="false">IF(OR(B460="",G460="",H460=""),"",IFERROR(INDEX(Settings!$E$5:$E$49,MATCH(G460,Settings!$D$5:$D$49,0))&amp;INDEX(Settings!$H$5:$H$47,MATCH(H460,Settings!$G$5:$G$47,0))&amp;"-"&amp;TEXT(B460,"yymmdd")&amp;"-"&amp;IF(C460="","0000",TEXT(C460,"hhmm")),"CHECK LISTS"))</f>
        <v/>
      </c>
      <c r="B460" s="39"/>
      <c r="C460" s="40"/>
      <c r="D460" s="24" t="str">
        <f aca="false">IF(B460="","",TEXT(B460,"ddd"))</f>
        <v/>
      </c>
      <c r="E460" s="27" t="str">
        <f aca="false">IF(B460="","",B460-WEEKDAY(B460,3))</f>
        <v/>
      </c>
      <c r="F460" s="24" t="str">
        <f aca="false">IF(B460="","",TEXT(B460,"yyyy-mm"))</f>
        <v/>
      </c>
      <c r="G460" s="29"/>
      <c r="H460" s="29"/>
      <c r="I460" s="29"/>
      <c r="J460" s="29"/>
      <c r="K460" s="29"/>
      <c r="L460" s="29"/>
      <c r="M460" s="29"/>
      <c r="N460" s="29"/>
      <c r="O460" s="29"/>
      <c r="P460" s="29"/>
      <c r="Q460" s="30"/>
      <c r="R460" s="29"/>
      <c r="S460" s="32"/>
      <c r="T460" s="29"/>
      <c r="U460" s="29"/>
      <c r="V460" s="24" t="str">
        <f aca="false">IF(A460="","",IFERROR(INDEX(Settings!$F$5:$F$49,MATCH(G460,Settings!$D$5:$D$49,0)),""))</f>
        <v/>
      </c>
      <c r="W460" s="24" t="str">
        <f aca="false">IF(A460="","",IF(OR(P460="",P460="Organic"),"social","paid_social"))</f>
        <v/>
      </c>
      <c r="X460" s="24" t="str">
        <f aca="false">IF(A460="","",IF(K460&lt;&gt;"",IFERROR(INDEX('Case Studies'!$C$5:$C$54,MATCH(K460,'Case Studies'!$B$5:$B$54,0))&amp;"","case-study"),IF(J460&lt;&gt;"",IFERROR(INDEX(Settings!$J$5:$J$55,MATCH(J460,Settings!$I$5:$I$55,0)),"general"),"general")))</f>
        <v/>
      </c>
      <c r="Y460" s="24" t="str">
        <f aca="false">IF(A460="","",LOWER(A460))</f>
        <v/>
      </c>
      <c r="Z460" s="24" t="str">
        <f aca="false">IF(A460="","",IF(T460="",Settings!$B$5,T460)&amp;IF(ISNUMBER(FIND("?",IF(T460="",Settings!$B$5,T460))),"&amp;","?")&amp;"utm_source="&amp;V460&amp;"&amp;utm_medium="&amp;W460&amp;"&amp;utm_campaign="&amp;X460&amp;"&amp;utm_content="&amp;Y460)</f>
        <v/>
      </c>
      <c r="AA460" s="29"/>
      <c r="AB460" s="39"/>
      <c r="AC460" s="32"/>
      <c r="AD460" s="32"/>
      <c r="AE460" s="32"/>
      <c r="AF460" s="32"/>
      <c r="AG460" s="32"/>
      <c r="AH460" s="32"/>
      <c r="AI460" s="32"/>
      <c r="AJ460" s="32"/>
      <c r="AK460" s="32"/>
      <c r="AL460" s="32"/>
      <c r="AM460" s="32"/>
      <c r="AN460" s="32"/>
      <c r="AO460" s="33" t="str">
        <f aca="false">IF(A460="","",IF(AD460&lt;&gt;"",AD460,IF(AC460&lt;&gt;"",AC460,"")))</f>
        <v/>
      </c>
      <c r="AP460" s="24" t="str">
        <f aca="false">IF(AO460="","",IF(AD460&lt;&gt;"","Reported reach","Impressions (proxy)"))</f>
        <v/>
      </c>
      <c r="AQ460" s="34" t="str">
        <f aca="false">IF(OR(AO460="",N(S460)=0),"",AO460/S460)</f>
        <v/>
      </c>
      <c r="AR460" s="33" t="str">
        <f aca="false">IF(A460="","",IF(COUNT(AF460:AJ460)=0,"",SUM(AF460:AJ460)))</f>
        <v/>
      </c>
      <c r="AS460" s="34" t="str">
        <f aca="false">IF(OR(AR460="",N(AO460)=0),"",AR460/AO460)</f>
        <v/>
      </c>
      <c r="AT460" s="34" t="str">
        <f aca="false">IF(OR(AR460="",N(AC460)=0),"",AR460/AC460)</f>
        <v/>
      </c>
      <c r="AU460" s="34" t="str">
        <f aca="false">IF(OR(AR460="",N(S460)=0),"",AR460/S460)</f>
        <v/>
      </c>
      <c r="AV460" s="34" t="str">
        <f aca="false">IF(OR(AJ460="",N(AC460)=0),"",AJ460/AC460)</f>
        <v/>
      </c>
      <c r="AW460" s="34" t="str">
        <f aca="false">IF(OR(AH460="",N(AO460)=0),"",AH460/AO460)</f>
        <v/>
      </c>
      <c r="AX460" s="35" t="str">
        <f aca="false">IF(OR(AR460="",N(AO460)=0),"",(N(AF460)*Settings!$B$6+N(AG460)*Settings!$B$7+N(AH460)*Settings!$B$8+N(AI460)*Settings!$B$9+N(AJ460)*Settings!$B$10)/AO460*1000)</f>
        <v/>
      </c>
      <c r="AY460" s="36" t="str">
        <f aca="false">IF(AS460="","",IFERROR(AS460/AVERAGEIFS('Post Tracker'!$AS$5:$AS$1004,'Post Tracker'!$G$5:$G$1004,G460),""))</f>
        <v/>
      </c>
      <c r="AZ460" s="32"/>
      <c r="BA460" s="32"/>
      <c r="BB460" s="32"/>
      <c r="BC460" s="32"/>
      <c r="BD460" s="33" t="str">
        <f aca="false">IF(A460="","",COUNTIFS('Demo Pipeline'!$Q$5:$Q$504,A460))</f>
        <v/>
      </c>
      <c r="BE460" s="33" t="str">
        <f aca="false">IF(A460="","",COUNTIFS('Demo Pipeline'!$Q$5:$Q$504,A460,'Demo Pipeline'!$W$5:$W$504,"Attended"))</f>
        <v/>
      </c>
      <c r="BF460" s="33" t="str">
        <f aca="false">IF(A460="","",COUNTIFS('Demo Pipeline'!$Q$5:$Q$504,A460,'Demo Pipeline'!$X$5:$X$504,"Yes"))</f>
        <v/>
      </c>
      <c r="BG460" s="33" t="str">
        <f aca="false">IF(A460="","",COUNTIFS('Demo Pipeline'!$Q$5:$Q$504,A460,'Demo Pipeline'!$Y$5:$Y$504,"Closed Won"))</f>
        <v/>
      </c>
      <c r="BH460" s="37" t="str">
        <f aca="false">IF(A460="","",SUMIFS('Demo Pipeline'!$Z$5:$Z$504,'Demo Pipeline'!$Q$5:$Q$504,A460))</f>
        <v/>
      </c>
      <c r="BI460" s="34" t="str">
        <f aca="false">IF(OR(AZ460="",N(AJ460)=0),"",AZ460/AJ460)</f>
        <v/>
      </c>
      <c r="BJ460" s="34" t="str">
        <f aca="false">IF(OR(BB460="",N(AZ460)=0),"",BB460/AZ460)</f>
        <v/>
      </c>
      <c r="BK460" s="34" t="str">
        <f aca="false">IF(OR(A460="",N(BB460)=0),"",BD460/BB460)</f>
        <v/>
      </c>
      <c r="BL460" s="34" t="str">
        <f aca="false">IF(OR(A460="",N(AZ460)=0),"",BD460/AZ460)</f>
        <v/>
      </c>
      <c r="BM460" s="37" t="str">
        <f aca="false">IF(OR(N(Q460)=0,N(BD460)=0),"",Q460/BD460)</f>
        <v/>
      </c>
      <c r="BN460" s="29"/>
      <c r="BO460" s="29"/>
      <c r="BP460" s="33" t="str">
        <f aca="false">IF(OR(AR460="",N(AO460)=0),"",AR460)</f>
        <v/>
      </c>
      <c r="BQ460" s="33" t="str">
        <f aca="false">IF(OR(AR460="",N(S460)=0),"",S460)</f>
        <v/>
      </c>
      <c r="BR460" s="38" t="str">
        <f aca="false">IF(AND(ISNUMBER(B460),B460&gt;=Dashboard!$C$4,B460&lt;=Dashboard!$F$4,ISNUMBER(AU460)),AU460+ROW()/10^9,"")</f>
        <v/>
      </c>
      <c r="BS460" s="38" t="str">
        <f aca="false">IF(AND(ISNUMBER(B460),B460&gt;=Dashboard!$C$4,B460&lt;=Dashboard!$F$4,A460&lt;&gt;""),N(BD460)+N(AU460)/100+ROW()/10^9,"")</f>
        <v/>
      </c>
    </row>
    <row r="461" customFormat="false" ht="15" hidden="false" customHeight="false" outlineLevel="0" collapsed="false">
      <c r="A461" s="24" t="str">
        <f aca="false">IF(OR(B461="",G461="",H461=""),"",IFERROR(INDEX(Settings!$E$5:$E$49,MATCH(G461,Settings!$D$5:$D$49,0))&amp;INDEX(Settings!$H$5:$H$47,MATCH(H461,Settings!$G$5:$G$47,0))&amp;"-"&amp;TEXT(B461,"yymmdd")&amp;"-"&amp;IF(C461="","0000",TEXT(C461,"hhmm")),"CHECK LISTS"))</f>
        <v/>
      </c>
      <c r="B461" s="39"/>
      <c r="C461" s="40"/>
      <c r="D461" s="24" t="str">
        <f aca="false">IF(B461="","",TEXT(B461,"ddd"))</f>
        <v/>
      </c>
      <c r="E461" s="27" t="str">
        <f aca="false">IF(B461="","",B461-WEEKDAY(B461,3))</f>
        <v/>
      </c>
      <c r="F461" s="24" t="str">
        <f aca="false">IF(B461="","",TEXT(B461,"yyyy-mm"))</f>
        <v/>
      </c>
      <c r="G461" s="29"/>
      <c r="H461" s="29"/>
      <c r="I461" s="29"/>
      <c r="J461" s="29"/>
      <c r="K461" s="29"/>
      <c r="L461" s="29"/>
      <c r="M461" s="29"/>
      <c r="N461" s="29"/>
      <c r="O461" s="29"/>
      <c r="P461" s="29"/>
      <c r="Q461" s="30"/>
      <c r="R461" s="29"/>
      <c r="S461" s="32"/>
      <c r="T461" s="29"/>
      <c r="U461" s="29"/>
      <c r="V461" s="24" t="str">
        <f aca="false">IF(A461="","",IFERROR(INDEX(Settings!$F$5:$F$49,MATCH(G461,Settings!$D$5:$D$49,0)),""))</f>
        <v/>
      </c>
      <c r="W461" s="24" t="str">
        <f aca="false">IF(A461="","",IF(OR(P461="",P461="Organic"),"social","paid_social"))</f>
        <v/>
      </c>
      <c r="X461" s="24" t="str">
        <f aca="false">IF(A461="","",IF(K461&lt;&gt;"",IFERROR(INDEX('Case Studies'!$C$5:$C$54,MATCH(K461,'Case Studies'!$B$5:$B$54,0))&amp;"","case-study"),IF(J461&lt;&gt;"",IFERROR(INDEX(Settings!$J$5:$J$55,MATCH(J461,Settings!$I$5:$I$55,0)),"general"),"general")))</f>
        <v/>
      </c>
      <c r="Y461" s="24" t="str">
        <f aca="false">IF(A461="","",LOWER(A461))</f>
        <v/>
      </c>
      <c r="Z461" s="24" t="str">
        <f aca="false">IF(A461="","",IF(T461="",Settings!$B$5,T461)&amp;IF(ISNUMBER(FIND("?",IF(T461="",Settings!$B$5,T461))),"&amp;","?")&amp;"utm_source="&amp;V461&amp;"&amp;utm_medium="&amp;W461&amp;"&amp;utm_campaign="&amp;X461&amp;"&amp;utm_content="&amp;Y461)</f>
        <v/>
      </c>
      <c r="AA461" s="29"/>
      <c r="AB461" s="39"/>
      <c r="AC461" s="32"/>
      <c r="AD461" s="32"/>
      <c r="AE461" s="32"/>
      <c r="AF461" s="32"/>
      <c r="AG461" s="32"/>
      <c r="AH461" s="32"/>
      <c r="AI461" s="32"/>
      <c r="AJ461" s="32"/>
      <c r="AK461" s="32"/>
      <c r="AL461" s="32"/>
      <c r="AM461" s="32"/>
      <c r="AN461" s="32"/>
      <c r="AO461" s="33" t="str">
        <f aca="false">IF(A461="","",IF(AD461&lt;&gt;"",AD461,IF(AC461&lt;&gt;"",AC461,"")))</f>
        <v/>
      </c>
      <c r="AP461" s="24" t="str">
        <f aca="false">IF(AO461="","",IF(AD461&lt;&gt;"","Reported reach","Impressions (proxy)"))</f>
        <v/>
      </c>
      <c r="AQ461" s="34" t="str">
        <f aca="false">IF(OR(AO461="",N(S461)=0),"",AO461/S461)</f>
        <v/>
      </c>
      <c r="AR461" s="33" t="str">
        <f aca="false">IF(A461="","",IF(COUNT(AF461:AJ461)=0,"",SUM(AF461:AJ461)))</f>
        <v/>
      </c>
      <c r="AS461" s="34" t="str">
        <f aca="false">IF(OR(AR461="",N(AO461)=0),"",AR461/AO461)</f>
        <v/>
      </c>
      <c r="AT461" s="34" t="str">
        <f aca="false">IF(OR(AR461="",N(AC461)=0),"",AR461/AC461)</f>
        <v/>
      </c>
      <c r="AU461" s="34" t="str">
        <f aca="false">IF(OR(AR461="",N(S461)=0),"",AR461/S461)</f>
        <v/>
      </c>
      <c r="AV461" s="34" t="str">
        <f aca="false">IF(OR(AJ461="",N(AC461)=0),"",AJ461/AC461)</f>
        <v/>
      </c>
      <c r="AW461" s="34" t="str">
        <f aca="false">IF(OR(AH461="",N(AO461)=0),"",AH461/AO461)</f>
        <v/>
      </c>
      <c r="AX461" s="35" t="str">
        <f aca="false">IF(OR(AR461="",N(AO461)=0),"",(N(AF461)*Settings!$B$6+N(AG461)*Settings!$B$7+N(AH461)*Settings!$B$8+N(AI461)*Settings!$B$9+N(AJ461)*Settings!$B$10)/AO461*1000)</f>
        <v/>
      </c>
      <c r="AY461" s="36" t="str">
        <f aca="false">IF(AS461="","",IFERROR(AS461/AVERAGEIFS('Post Tracker'!$AS$5:$AS$1004,'Post Tracker'!$G$5:$G$1004,G461),""))</f>
        <v/>
      </c>
      <c r="AZ461" s="32"/>
      <c r="BA461" s="32"/>
      <c r="BB461" s="32"/>
      <c r="BC461" s="32"/>
      <c r="BD461" s="33" t="str">
        <f aca="false">IF(A461="","",COUNTIFS('Demo Pipeline'!$Q$5:$Q$504,A461))</f>
        <v/>
      </c>
      <c r="BE461" s="33" t="str">
        <f aca="false">IF(A461="","",COUNTIFS('Demo Pipeline'!$Q$5:$Q$504,A461,'Demo Pipeline'!$W$5:$W$504,"Attended"))</f>
        <v/>
      </c>
      <c r="BF461" s="33" t="str">
        <f aca="false">IF(A461="","",COUNTIFS('Demo Pipeline'!$Q$5:$Q$504,A461,'Demo Pipeline'!$X$5:$X$504,"Yes"))</f>
        <v/>
      </c>
      <c r="BG461" s="33" t="str">
        <f aca="false">IF(A461="","",COUNTIFS('Demo Pipeline'!$Q$5:$Q$504,A461,'Demo Pipeline'!$Y$5:$Y$504,"Closed Won"))</f>
        <v/>
      </c>
      <c r="BH461" s="37" t="str">
        <f aca="false">IF(A461="","",SUMIFS('Demo Pipeline'!$Z$5:$Z$504,'Demo Pipeline'!$Q$5:$Q$504,A461))</f>
        <v/>
      </c>
      <c r="BI461" s="34" t="str">
        <f aca="false">IF(OR(AZ461="",N(AJ461)=0),"",AZ461/AJ461)</f>
        <v/>
      </c>
      <c r="BJ461" s="34" t="str">
        <f aca="false">IF(OR(BB461="",N(AZ461)=0),"",BB461/AZ461)</f>
        <v/>
      </c>
      <c r="BK461" s="34" t="str">
        <f aca="false">IF(OR(A461="",N(BB461)=0),"",BD461/BB461)</f>
        <v/>
      </c>
      <c r="BL461" s="34" t="str">
        <f aca="false">IF(OR(A461="",N(AZ461)=0),"",BD461/AZ461)</f>
        <v/>
      </c>
      <c r="BM461" s="37" t="str">
        <f aca="false">IF(OR(N(Q461)=0,N(BD461)=0),"",Q461/BD461)</f>
        <v/>
      </c>
      <c r="BN461" s="29"/>
      <c r="BO461" s="29"/>
      <c r="BP461" s="33" t="str">
        <f aca="false">IF(OR(AR461="",N(AO461)=0),"",AR461)</f>
        <v/>
      </c>
      <c r="BQ461" s="33" t="str">
        <f aca="false">IF(OR(AR461="",N(S461)=0),"",S461)</f>
        <v/>
      </c>
      <c r="BR461" s="38" t="str">
        <f aca="false">IF(AND(ISNUMBER(B461),B461&gt;=Dashboard!$C$4,B461&lt;=Dashboard!$F$4,ISNUMBER(AU461)),AU461+ROW()/10^9,"")</f>
        <v/>
      </c>
      <c r="BS461" s="38" t="str">
        <f aca="false">IF(AND(ISNUMBER(B461),B461&gt;=Dashboard!$C$4,B461&lt;=Dashboard!$F$4,A461&lt;&gt;""),N(BD461)+N(AU461)/100+ROW()/10^9,"")</f>
        <v/>
      </c>
    </row>
    <row r="462" customFormat="false" ht="15" hidden="false" customHeight="false" outlineLevel="0" collapsed="false">
      <c r="A462" s="24" t="str">
        <f aca="false">IF(OR(B462="",G462="",H462=""),"",IFERROR(INDEX(Settings!$E$5:$E$49,MATCH(G462,Settings!$D$5:$D$49,0))&amp;INDEX(Settings!$H$5:$H$47,MATCH(H462,Settings!$G$5:$G$47,0))&amp;"-"&amp;TEXT(B462,"yymmdd")&amp;"-"&amp;IF(C462="","0000",TEXT(C462,"hhmm")),"CHECK LISTS"))</f>
        <v/>
      </c>
      <c r="B462" s="39"/>
      <c r="C462" s="40"/>
      <c r="D462" s="24" t="str">
        <f aca="false">IF(B462="","",TEXT(B462,"ddd"))</f>
        <v/>
      </c>
      <c r="E462" s="27" t="str">
        <f aca="false">IF(B462="","",B462-WEEKDAY(B462,3))</f>
        <v/>
      </c>
      <c r="F462" s="24" t="str">
        <f aca="false">IF(B462="","",TEXT(B462,"yyyy-mm"))</f>
        <v/>
      </c>
      <c r="G462" s="29"/>
      <c r="H462" s="29"/>
      <c r="I462" s="29"/>
      <c r="J462" s="29"/>
      <c r="K462" s="29"/>
      <c r="L462" s="29"/>
      <c r="M462" s="29"/>
      <c r="N462" s="29"/>
      <c r="O462" s="29"/>
      <c r="P462" s="29"/>
      <c r="Q462" s="30"/>
      <c r="R462" s="29"/>
      <c r="S462" s="32"/>
      <c r="T462" s="29"/>
      <c r="U462" s="29"/>
      <c r="V462" s="24" t="str">
        <f aca="false">IF(A462="","",IFERROR(INDEX(Settings!$F$5:$F$49,MATCH(G462,Settings!$D$5:$D$49,0)),""))</f>
        <v/>
      </c>
      <c r="W462" s="24" t="str">
        <f aca="false">IF(A462="","",IF(OR(P462="",P462="Organic"),"social","paid_social"))</f>
        <v/>
      </c>
      <c r="X462" s="24" t="str">
        <f aca="false">IF(A462="","",IF(K462&lt;&gt;"",IFERROR(INDEX('Case Studies'!$C$5:$C$54,MATCH(K462,'Case Studies'!$B$5:$B$54,0))&amp;"","case-study"),IF(J462&lt;&gt;"",IFERROR(INDEX(Settings!$J$5:$J$55,MATCH(J462,Settings!$I$5:$I$55,0)),"general"),"general")))</f>
        <v/>
      </c>
      <c r="Y462" s="24" t="str">
        <f aca="false">IF(A462="","",LOWER(A462))</f>
        <v/>
      </c>
      <c r="Z462" s="24" t="str">
        <f aca="false">IF(A462="","",IF(T462="",Settings!$B$5,T462)&amp;IF(ISNUMBER(FIND("?",IF(T462="",Settings!$B$5,T462))),"&amp;","?")&amp;"utm_source="&amp;V462&amp;"&amp;utm_medium="&amp;W462&amp;"&amp;utm_campaign="&amp;X462&amp;"&amp;utm_content="&amp;Y462)</f>
        <v/>
      </c>
      <c r="AA462" s="29"/>
      <c r="AB462" s="39"/>
      <c r="AC462" s="32"/>
      <c r="AD462" s="32"/>
      <c r="AE462" s="32"/>
      <c r="AF462" s="32"/>
      <c r="AG462" s="32"/>
      <c r="AH462" s="32"/>
      <c r="AI462" s="32"/>
      <c r="AJ462" s="32"/>
      <c r="AK462" s="32"/>
      <c r="AL462" s="32"/>
      <c r="AM462" s="32"/>
      <c r="AN462" s="32"/>
      <c r="AO462" s="33" t="str">
        <f aca="false">IF(A462="","",IF(AD462&lt;&gt;"",AD462,IF(AC462&lt;&gt;"",AC462,"")))</f>
        <v/>
      </c>
      <c r="AP462" s="24" t="str">
        <f aca="false">IF(AO462="","",IF(AD462&lt;&gt;"","Reported reach","Impressions (proxy)"))</f>
        <v/>
      </c>
      <c r="AQ462" s="34" t="str">
        <f aca="false">IF(OR(AO462="",N(S462)=0),"",AO462/S462)</f>
        <v/>
      </c>
      <c r="AR462" s="33" t="str">
        <f aca="false">IF(A462="","",IF(COUNT(AF462:AJ462)=0,"",SUM(AF462:AJ462)))</f>
        <v/>
      </c>
      <c r="AS462" s="34" t="str">
        <f aca="false">IF(OR(AR462="",N(AO462)=0),"",AR462/AO462)</f>
        <v/>
      </c>
      <c r="AT462" s="34" t="str">
        <f aca="false">IF(OR(AR462="",N(AC462)=0),"",AR462/AC462)</f>
        <v/>
      </c>
      <c r="AU462" s="34" t="str">
        <f aca="false">IF(OR(AR462="",N(S462)=0),"",AR462/S462)</f>
        <v/>
      </c>
      <c r="AV462" s="34" t="str">
        <f aca="false">IF(OR(AJ462="",N(AC462)=0),"",AJ462/AC462)</f>
        <v/>
      </c>
      <c r="AW462" s="34" t="str">
        <f aca="false">IF(OR(AH462="",N(AO462)=0),"",AH462/AO462)</f>
        <v/>
      </c>
      <c r="AX462" s="35" t="str">
        <f aca="false">IF(OR(AR462="",N(AO462)=0),"",(N(AF462)*Settings!$B$6+N(AG462)*Settings!$B$7+N(AH462)*Settings!$B$8+N(AI462)*Settings!$B$9+N(AJ462)*Settings!$B$10)/AO462*1000)</f>
        <v/>
      </c>
      <c r="AY462" s="36" t="str">
        <f aca="false">IF(AS462="","",IFERROR(AS462/AVERAGEIFS('Post Tracker'!$AS$5:$AS$1004,'Post Tracker'!$G$5:$G$1004,G462),""))</f>
        <v/>
      </c>
      <c r="AZ462" s="32"/>
      <c r="BA462" s="32"/>
      <c r="BB462" s="32"/>
      <c r="BC462" s="32"/>
      <c r="BD462" s="33" t="str">
        <f aca="false">IF(A462="","",COUNTIFS('Demo Pipeline'!$Q$5:$Q$504,A462))</f>
        <v/>
      </c>
      <c r="BE462" s="33" t="str">
        <f aca="false">IF(A462="","",COUNTIFS('Demo Pipeline'!$Q$5:$Q$504,A462,'Demo Pipeline'!$W$5:$W$504,"Attended"))</f>
        <v/>
      </c>
      <c r="BF462" s="33" t="str">
        <f aca="false">IF(A462="","",COUNTIFS('Demo Pipeline'!$Q$5:$Q$504,A462,'Demo Pipeline'!$X$5:$X$504,"Yes"))</f>
        <v/>
      </c>
      <c r="BG462" s="33" t="str">
        <f aca="false">IF(A462="","",COUNTIFS('Demo Pipeline'!$Q$5:$Q$504,A462,'Demo Pipeline'!$Y$5:$Y$504,"Closed Won"))</f>
        <v/>
      </c>
      <c r="BH462" s="37" t="str">
        <f aca="false">IF(A462="","",SUMIFS('Demo Pipeline'!$Z$5:$Z$504,'Demo Pipeline'!$Q$5:$Q$504,A462))</f>
        <v/>
      </c>
      <c r="BI462" s="34" t="str">
        <f aca="false">IF(OR(AZ462="",N(AJ462)=0),"",AZ462/AJ462)</f>
        <v/>
      </c>
      <c r="BJ462" s="34" t="str">
        <f aca="false">IF(OR(BB462="",N(AZ462)=0),"",BB462/AZ462)</f>
        <v/>
      </c>
      <c r="BK462" s="34" t="str">
        <f aca="false">IF(OR(A462="",N(BB462)=0),"",BD462/BB462)</f>
        <v/>
      </c>
      <c r="BL462" s="34" t="str">
        <f aca="false">IF(OR(A462="",N(AZ462)=0),"",BD462/AZ462)</f>
        <v/>
      </c>
      <c r="BM462" s="37" t="str">
        <f aca="false">IF(OR(N(Q462)=0,N(BD462)=0),"",Q462/BD462)</f>
        <v/>
      </c>
      <c r="BN462" s="29"/>
      <c r="BO462" s="29"/>
      <c r="BP462" s="33" t="str">
        <f aca="false">IF(OR(AR462="",N(AO462)=0),"",AR462)</f>
        <v/>
      </c>
      <c r="BQ462" s="33" t="str">
        <f aca="false">IF(OR(AR462="",N(S462)=0),"",S462)</f>
        <v/>
      </c>
      <c r="BR462" s="38" t="str">
        <f aca="false">IF(AND(ISNUMBER(B462),B462&gt;=Dashboard!$C$4,B462&lt;=Dashboard!$F$4,ISNUMBER(AU462)),AU462+ROW()/10^9,"")</f>
        <v/>
      </c>
      <c r="BS462" s="38" t="str">
        <f aca="false">IF(AND(ISNUMBER(B462),B462&gt;=Dashboard!$C$4,B462&lt;=Dashboard!$F$4,A462&lt;&gt;""),N(BD462)+N(AU462)/100+ROW()/10^9,"")</f>
        <v/>
      </c>
    </row>
    <row r="463" customFormat="false" ht="15" hidden="false" customHeight="false" outlineLevel="0" collapsed="false">
      <c r="A463" s="24" t="str">
        <f aca="false">IF(OR(B463="",G463="",H463=""),"",IFERROR(INDEX(Settings!$E$5:$E$49,MATCH(G463,Settings!$D$5:$D$49,0))&amp;INDEX(Settings!$H$5:$H$47,MATCH(H463,Settings!$G$5:$G$47,0))&amp;"-"&amp;TEXT(B463,"yymmdd")&amp;"-"&amp;IF(C463="","0000",TEXT(C463,"hhmm")),"CHECK LISTS"))</f>
        <v/>
      </c>
      <c r="B463" s="39"/>
      <c r="C463" s="40"/>
      <c r="D463" s="24" t="str">
        <f aca="false">IF(B463="","",TEXT(B463,"ddd"))</f>
        <v/>
      </c>
      <c r="E463" s="27" t="str">
        <f aca="false">IF(B463="","",B463-WEEKDAY(B463,3))</f>
        <v/>
      </c>
      <c r="F463" s="24" t="str">
        <f aca="false">IF(B463="","",TEXT(B463,"yyyy-mm"))</f>
        <v/>
      </c>
      <c r="G463" s="29"/>
      <c r="H463" s="29"/>
      <c r="I463" s="29"/>
      <c r="J463" s="29"/>
      <c r="K463" s="29"/>
      <c r="L463" s="29"/>
      <c r="M463" s="29"/>
      <c r="N463" s="29"/>
      <c r="O463" s="29"/>
      <c r="P463" s="29"/>
      <c r="Q463" s="30"/>
      <c r="R463" s="29"/>
      <c r="S463" s="32"/>
      <c r="T463" s="29"/>
      <c r="U463" s="29"/>
      <c r="V463" s="24" t="str">
        <f aca="false">IF(A463="","",IFERROR(INDEX(Settings!$F$5:$F$49,MATCH(G463,Settings!$D$5:$D$49,0)),""))</f>
        <v/>
      </c>
      <c r="W463" s="24" t="str">
        <f aca="false">IF(A463="","",IF(OR(P463="",P463="Organic"),"social","paid_social"))</f>
        <v/>
      </c>
      <c r="X463" s="24" t="str">
        <f aca="false">IF(A463="","",IF(K463&lt;&gt;"",IFERROR(INDEX('Case Studies'!$C$5:$C$54,MATCH(K463,'Case Studies'!$B$5:$B$54,0))&amp;"","case-study"),IF(J463&lt;&gt;"",IFERROR(INDEX(Settings!$J$5:$J$55,MATCH(J463,Settings!$I$5:$I$55,0)),"general"),"general")))</f>
        <v/>
      </c>
      <c r="Y463" s="24" t="str">
        <f aca="false">IF(A463="","",LOWER(A463))</f>
        <v/>
      </c>
      <c r="Z463" s="24" t="str">
        <f aca="false">IF(A463="","",IF(T463="",Settings!$B$5,T463)&amp;IF(ISNUMBER(FIND("?",IF(T463="",Settings!$B$5,T463))),"&amp;","?")&amp;"utm_source="&amp;V463&amp;"&amp;utm_medium="&amp;W463&amp;"&amp;utm_campaign="&amp;X463&amp;"&amp;utm_content="&amp;Y463)</f>
        <v/>
      </c>
      <c r="AA463" s="29"/>
      <c r="AB463" s="39"/>
      <c r="AC463" s="32"/>
      <c r="AD463" s="32"/>
      <c r="AE463" s="32"/>
      <c r="AF463" s="32"/>
      <c r="AG463" s="32"/>
      <c r="AH463" s="32"/>
      <c r="AI463" s="32"/>
      <c r="AJ463" s="32"/>
      <c r="AK463" s="32"/>
      <c r="AL463" s="32"/>
      <c r="AM463" s="32"/>
      <c r="AN463" s="32"/>
      <c r="AO463" s="33" t="str">
        <f aca="false">IF(A463="","",IF(AD463&lt;&gt;"",AD463,IF(AC463&lt;&gt;"",AC463,"")))</f>
        <v/>
      </c>
      <c r="AP463" s="24" t="str">
        <f aca="false">IF(AO463="","",IF(AD463&lt;&gt;"","Reported reach","Impressions (proxy)"))</f>
        <v/>
      </c>
      <c r="AQ463" s="34" t="str">
        <f aca="false">IF(OR(AO463="",N(S463)=0),"",AO463/S463)</f>
        <v/>
      </c>
      <c r="AR463" s="33" t="str">
        <f aca="false">IF(A463="","",IF(COUNT(AF463:AJ463)=0,"",SUM(AF463:AJ463)))</f>
        <v/>
      </c>
      <c r="AS463" s="34" t="str">
        <f aca="false">IF(OR(AR463="",N(AO463)=0),"",AR463/AO463)</f>
        <v/>
      </c>
      <c r="AT463" s="34" t="str">
        <f aca="false">IF(OR(AR463="",N(AC463)=0),"",AR463/AC463)</f>
        <v/>
      </c>
      <c r="AU463" s="34" t="str">
        <f aca="false">IF(OR(AR463="",N(S463)=0),"",AR463/S463)</f>
        <v/>
      </c>
      <c r="AV463" s="34" t="str">
        <f aca="false">IF(OR(AJ463="",N(AC463)=0),"",AJ463/AC463)</f>
        <v/>
      </c>
      <c r="AW463" s="34" t="str">
        <f aca="false">IF(OR(AH463="",N(AO463)=0),"",AH463/AO463)</f>
        <v/>
      </c>
      <c r="AX463" s="35" t="str">
        <f aca="false">IF(OR(AR463="",N(AO463)=0),"",(N(AF463)*Settings!$B$6+N(AG463)*Settings!$B$7+N(AH463)*Settings!$B$8+N(AI463)*Settings!$B$9+N(AJ463)*Settings!$B$10)/AO463*1000)</f>
        <v/>
      </c>
      <c r="AY463" s="36" t="str">
        <f aca="false">IF(AS463="","",IFERROR(AS463/AVERAGEIFS('Post Tracker'!$AS$5:$AS$1004,'Post Tracker'!$G$5:$G$1004,G463),""))</f>
        <v/>
      </c>
      <c r="AZ463" s="32"/>
      <c r="BA463" s="32"/>
      <c r="BB463" s="32"/>
      <c r="BC463" s="32"/>
      <c r="BD463" s="33" t="str">
        <f aca="false">IF(A463="","",COUNTIFS('Demo Pipeline'!$Q$5:$Q$504,A463))</f>
        <v/>
      </c>
      <c r="BE463" s="33" t="str">
        <f aca="false">IF(A463="","",COUNTIFS('Demo Pipeline'!$Q$5:$Q$504,A463,'Demo Pipeline'!$W$5:$W$504,"Attended"))</f>
        <v/>
      </c>
      <c r="BF463" s="33" t="str">
        <f aca="false">IF(A463="","",COUNTIFS('Demo Pipeline'!$Q$5:$Q$504,A463,'Demo Pipeline'!$X$5:$X$504,"Yes"))</f>
        <v/>
      </c>
      <c r="BG463" s="33" t="str">
        <f aca="false">IF(A463="","",COUNTIFS('Demo Pipeline'!$Q$5:$Q$504,A463,'Demo Pipeline'!$Y$5:$Y$504,"Closed Won"))</f>
        <v/>
      </c>
      <c r="BH463" s="37" t="str">
        <f aca="false">IF(A463="","",SUMIFS('Demo Pipeline'!$Z$5:$Z$504,'Demo Pipeline'!$Q$5:$Q$504,A463))</f>
        <v/>
      </c>
      <c r="BI463" s="34" t="str">
        <f aca="false">IF(OR(AZ463="",N(AJ463)=0),"",AZ463/AJ463)</f>
        <v/>
      </c>
      <c r="BJ463" s="34" t="str">
        <f aca="false">IF(OR(BB463="",N(AZ463)=0),"",BB463/AZ463)</f>
        <v/>
      </c>
      <c r="BK463" s="34" t="str">
        <f aca="false">IF(OR(A463="",N(BB463)=0),"",BD463/BB463)</f>
        <v/>
      </c>
      <c r="BL463" s="34" t="str">
        <f aca="false">IF(OR(A463="",N(AZ463)=0),"",BD463/AZ463)</f>
        <v/>
      </c>
      <c r="BM463" s="37" t="str">
        <f aca="false">IF(OR(N(Q463)=0,N(BD463)=0),"",Q463/BD463)</f>
        <v/>
      </c>
      <c r="BN463" s="29"/>
      <c r="BO463" s="29"/>
      <c r="BP463" s="33" t="str">
        <f aca="false">IF(OR(AR463="",N(AO463)=0),"",AR463)</f>
        <v/>
      </c>
      <c r="BQ463" s="33" t="str">
        <f aca="false">IF(OR(AR463="",N(S463)=0),"",S463)</f>
        <v/>
      </c>
      <c r="BR463" s="38" t="str">
        <f aca="false">IF(AND(ISNUMBER(B463),B463&gt;=Dashboard!$C$4,B463&lt;=Dashboard!$F$4,ISNUMBER(AU463)),AU463+ROW()/10^9,"")</f>
        <v/>
      </c>
      <c r="BS463" s="38" t="str">
        <f aca="false">IF(AND(ISNUMBER(B463),B463&gt;=Dashboard!$C$4,B463&lt;=Dashboard!$F$4,A463&lt;&gt;""),N(BD463)+N(AU463)/100+ROW()/10^9,"")</f>
        <v/>
      </c>
    </row>
    <row r="464" customFormat="false" ht="15" hidden="false" customHeight="false" outlineLevel="0" collapsed="false">
      <c r="A464" s="24" t="str">
        <f aca="false">IF(OR(B464="",G464="",H464=""),"",IFERROR(INDEX(Settings!$E$5:$E$49,MATCH(G464,Settings!$D$5:$D$49,0))&amp;INDEX(Settings!$H$5:$H$47,MATCH(H464,Settings!$G$5:$G$47,0))&amp;"-"&amp;TEXT(B464,"yymmdd")&amp;"-"&amp;IF(C464="","0000",TEXT(C464,"hhmm")),"CHECK LISTS"))</f>
        <v/>
      </c>
      <c r="B464" s="39"/>
      <c r="C464" s="40"/>
      <c r="D464" s="24" t="str">
        <f aca="false">IF(B464="","",TEXT(B464,"ddd"))</f>
        <v/>
      </c>
      <c r="E464" s="27" t="str">
        <f aca="false">IF(B464="","",B464-WEEKDAY(B464,3))</f>
        <v/>
      </c>
      <c r="F464" s="24" t="str">
        <f aca="false">IF(B464="","",TEXT(B464,"yyyy-mm"))</f>
        <v/>
      </c>
      <c r="G464" s="29"/>
      <c r="H464" s="29"/>
      <c r="I464" s="29"/>
      <c r="J464" s="29"/>
      <c r="K464" s="29"/>
      <c r="L464" s="29"/>
      <c r="M464" s="29"/>
      <c r="N464" s="29"/>
      <c r="O464" s="29"/>
      <c r="P464" s="29"/>
      <c r="Q464" s="30"/>
      <c r="R464" s="29"/>
      <c r="S464" s="32"/>
      <c r="T464" s="29"/>
      <c r="U464" s="29"/>
      <c r="V464" s="24" t="str">
        <f aca="false">IF(A464="","",IFERROR(INDEX(Settings!$F$5:$F$49,MATCH(G464,Settings!$D$5:$D$49,0)),""))</f>
        <v/>
      </c>
      <c r="W464" s="24" t="str">
        <f aca="false">IF(A464="","",IF(OR(P464="",P464="Organic"),"social","paid_social"))</f>
        <v/>
      </c>
      <c r="X464" s="24" t="str">
        <f aca="false">IF(A464="","",IF(K464&lt;&gt;"",IFERROR(INDEX('Case Studies'!$C$5:$C$54,MATCH(K464,'Case Studies'!$B$5:$B$54,0))&amp;"","case-study"),IF(J464&lt;&gt;"",IFERROR(INDEX(Settings!$J$5:$J$55,MATCH(J464,Settings!$I$5:$I$55,0)),"general"),"general")))</f>
        <v/>
      </c>
      <c r="Y464" s="24" t="str">
        <f aca="false">IF(A464="","",LOWER(A464))</f>
        <v/>
      </c>
      <c r="Z464" s="24" t="str">
        <f aca="false">IF(A464="","",IF(T464="",Settings!$B$5,T464)&amp;IF(ISNUMBER(FIND("?",IF(T464="",Settings!$B$5,T464))),"&amp;","?")&amp;"utm_source="&amp;V464&amp;"&amp;utm_medium="&amp;W464&amp;"&amp;utm_campaign="&amp;X464&amp;"&amp;utm_content="&amp;Y464)</f>
        <v/>
      </c>
      <c r="AA464" s="29"/>
      <c r="AB464" s="39"/>
      <c r="AC464" s="32"/>
      <c r="AD464" s="32"/>
      <c r="AE464" s="32"/>
      <c r="AF464" s="32"/>
      <c r="AG464" s="32"/>
      <c r="AH464" s="32"/>
      <c r="AI464" s="32"/>
      <c r="AJ464" s="32"/>
      <c r="AK464" s="32"/>
      <c r="AL464" s="32"/>
      <c r="AM464" s="32"/>
      <c r="AN464" s="32"/>
      <c r="AO464" s="33" t="str">
        <f aca="false">IF(A464="","",IF(AD464&lt;&gt;"",AD464,IF(AC464&lt;&gt;"",AC464,"")))</f>
        <v/>
      </c>
      <c r="AP464" s="24" t="str">
        <f aca="false">IF(AO464="","",IF(AD464&lt;&gt;"","Reported reach","Impressions (proxy)"))</f>
        <v/>
      </c>
      <c r="AQ464" s="34" t="str">
        <f aca="false">IF(OR(AO464="",N(S464)=0),"",AO464/S464)</f>
        <v/>
      </c>
      <c r="AR464" s="33" t="str">
        <f aca="false">IF(A464="","",IF(COUNT(AF464:AJ464)=0,"",SUM(AF464:AJ464)))</f>
        <v/>
      </c>
      <c r="AS464" s="34" t="str">
        <f aca="false">IF(OR(AR464="",N(AO464)=0),"",AR464/AO464)</f>
        <v/>
      </c>
      <c r="AT464" s="34" t="str">
        <f aca="false">IF(OR(AR464="",N(AC464)=0),"",AR464/AC464)</f>
        <v/>
      </c>
      <c r="AU464" s="34" t="str">
        <f aca="false">IF(OR(AR464="",N(S464)=0),"",AR464/S464)</f>
        <v/>
      </c>
      <c r="AV464" s="34" t="str">
        <f aca="false">IF(OR(AJ464="",N(AC464)=0),"",AJ464/AC464)</f>
        <v/>
      </c>
      <c r="AW464" s="34" t="str">
        <f aca="false">IF(OR(AH464="",N(AO464)=0),"",AH464/AO464)</f>
        <v/>
      </c>
      <c r="AX464" s="35" t="str">
        <f aca="false">IF(OR(AR464="",N(AO464)=0),"",(N(AF464)*Settings!$B$6+N(AG464)*Settings!$B$7+N(AH464)*Settings!$B$8+N(AI464)*Settings!$B$9+N(AJ464)*Settings!$B$10)/AO464*1000)</f>
        <v/>
      </c>
      <c r="AY464" s="36" t="str">
        <f aca="false">IF(AS464="","",IFERROR(AS464/AVERAGEIFS('Post Tracker'!$AS$5:$AS$1004,'Post Tracker'!$G$5:$G$1004,G464),""))</f>
        <v/>
      </c>
      <c r="AZ464" s="32"/>
      <c r="BA464" s="32"/>
      <c r="BB464" s="32"/>
      <c r="BC464" s="32"/>
      <c r="BD464" s="33" t="str">
        <f aca="false">IF(A464="","",COUNTIFS('Demo Pipeline'!$Q$5:$Q$504,A464))</f>
        <v/>
      </c>
      <c r="BE464" s="33" t="str">
        <f aca="false">IF(A464="","",COUNTIFS('Demo Pipeline'!$Q$5:$Q$504,A464,'Demo Pipeline'!$W$5:$W$504,"Attended"))</f>
        <v/>
      </c>
      <c r="BF464" s="33" t="str">
        <f aca="false">IF(A464="","",COUNTIFS('Demo Pipeline'!$Q$5:$Q$504,A464,'Demo Pipeline'!$X$5:$X$504,"Yes"))</f>
        <v/>
      </c>
      <c r="BG464" s="33" t="str">
        <f aca="false">IF(A464="","",COUNTIFS('Demo Pipeline'!$Q$5:$Q$504,A464,'Demo Pipeline'!$Y$5:$Y$504,"Closed Won"))</f>
        <v/>
      </c>
      <c r="BH464" s="37" t="str">
        <f aca="false">IF(A464="","",SUMIFS('Demo Pipeline'!$Z$5:$Z$504,'Demo Pipeline'!$Q$5:$Q$504,A464))</f>
        <v/>
      </c>
      <c r="BI464" s="34" t="str">
        <f aca="false">IF(OR(AZ464="",N(AJ464)=0),"",AZ464/AJ464)</f>
        <v/>
      </c>
      <c r="BJ464" s="34" t="str">
        <f aca="false">IF(OR(BB464="",N(AZ464)=0),"",BB464/AZ464)</f>
        <v/>
      </c>
      <c r="BK464" s="34" t="str">
        <f aca="false">IF(OR(A464="",N(BB464)=0),"",BD464/BB464)</f>
        <v/>
      </c>
      <c r="BL464" s="34" t="str">
        <f aca="false">IF(OR(A464="",N(AZ464)=0),"",BD464/AZ464)</f>
        <v/>
      </c>
      <c r="BM464" s="37" t="str">
        <f aca="false">IF(OR(N(Q464)=0,N(BD464)=0),"",Q464/BD464)</f>
        <v/>
      </c>
      <c r="BN464" s="29"/>
      <c r="BO464" s="29"/>
      <c r="BP464" s="33" t="str">
        <f aca="false">IF(OR(AR464="",N(AO464)=0),"",AR464)</f>
        <v/>
      </c>
      <c r="BQ464" s="33" t="str">
        <f aca="false">IF(OR(AR464="",N(S464)=0),"",S464)</f>
        <v/>
      </c>
      <c r="BR464" s="38" t="str">
        <f aca="false">IF(AND(ISNUMBER(B464),B464&gt;=Dashboard!$C$4,B464&lt;=Dashboard!$F$4,ISNUMBER(AU464)),AU464+ROW()/10^9,"")</f>
        <v/>
      </c>
      <c r="BS464" s="38" t="str">
        <f aca="false">IF(AND(ISNUMBER(B464),B464&gt;=Dashboard!$C$4,B464&lt;=Dashboard!$F$4,A464&lt;&gt;""),N(BD464)+N(AU464)/100+ROW()/10^9,"")</f>
        <v/>
      </c>
    </row>
    <row r="465" customFormat="false" ht="15" hidden="false" customHeight="false" outlineLevel="0" collapsed="false">
      <c r="A465" s="24" t="str">
        <f aca="false">IF(OR(B465="",G465="",H465=""),"",IFERROR(INDEX(Settings!$E$5:$E$49,MATCH(G465,Settings!$D$5:$D$49,0))&amp;INDEX(Settings!$H$5:$H$47,MATCH(H465,Settings!$G$5:$G$47,0))&amp;"-"&amp;TEXT(B465,"yymmdd")&amp;"-"&amp;IF(C465="","0000",TEXT(C465,"hhmm")),"CHECK LISTS"))</f>
        <v/>
      </c>
      <c r="B465" s="39"/>
      <c r="C465" s="40"/>
      <c r="D465" s="24" t="str">
        <f aca="false">IF(B465="","",TEXT(B465,"ddd"))</f>
        <v/>
      </c>
      <c r="E465" s="27" t="str">
        <f aca="false">IF(B465="","",B465-WEEKDAY(B465,3))</f>
        <v/>
      </c>
      <c r="F465" s="24" t="str">
        <f aca="false">IF(B465="","",TEXT(B465,"yyyy-mm"))</f>
        <v/>
      </c>
      <c r="G465" s="29"/>
      <c r="H465" s="29"/>
      <c r="I465" s="29"/>
      <c r="J465" s="29"/>
      <c r="K465" s="29"/>
      <c r="L465" s="29"/>
      <c r="M465" s="29"/>
      <c r="N465" s="29"/>
      <c r="O465" s="29"/>
      <c r="P465" s="29"/>
      <c r="Q465" s="30"/>
      <c r="R465" s="29"/>
      <c r="S465" s="32"/>
      <c r="T465" s="29"/>
      <c r="U465" s="29"/>
      <c r="V465" s="24" t="str">
        <f aca="false">IF(A465="","",IFERROR(INDEX(Settings!$F$5:$F$49,MATCH(G465,Settings!$D$5:$D$49,0)),""))</f>
        <v/>
      </c>
      <c r="W465" s="24" t="str">
        <f aca="false">IF(A465="","",IF(OR(P465="",P465="Organic"),"social","paid_social"))</f>
        <v/>
      </c>
      <c r="X465" s="24" t="str">
        <f aca="false">IF(A465="","",IF(K465&lt;&gt;"",IFERROR(INDEX('Case Studies'!$C$5:$C$54,MATCH(K465,'Case Studies'!$B$5:$B$54,0))&amp;"","case-study"),IF(J465&lt;&gt;"",IFERROR(INDEX(Settings!$J$5:$J$55,MATCH(J465,Settings!$I$5:$I$55,0)),"general"),"general")))</f>
        <v/>
      </c>
      <c r="Y465" s="24" t="str">
        <f aca="false">IF(A465="","",LOWER(A465))</f>
        <v/>
      </c>
      <c r="Z465" s="24" t="str">
        <f aca="false">IF(A465="","",IF(T465="",Settings!$B$5,T465)&amp;IF(ISNUMBER(FIND("?",IF(T465="",Settings!$B$5,T465))),"&amp;","?")&amp;"utm_source="&amp;V465&amp;"&amp;utm_medium="&amp;W465&amp;"&amp;utm_campaign="&amp;X465&amp;"&amp;utm_content="&amp;Y465)</f>
        <v/>
      </c>
      <c r="AA465" s="29"/>
      <c r="AB465" s="39"/>
      <c r="AC465" s="32"/>
      <c r="AD465" s="32"/>
      <c r="AE465" s="32"/>
      <c r="AF465" s="32"/>
      <c r="AG465" s="32"/>
      <c r="AH465" s="32"/>
      <c r="AI465" s="32"/>
      <c r="AJ465" s="32"/>
      <c r="AK465" s="32"/>
      <c r="AL465" s="32"/>
      <c r="AM465" s="32"/>
      <c r="AN465" s="32"/>
      <c r="AO465" s="33" t="str">
        <f aca="false">IF(A465="","",IF(AD465&lt;&gt;"",AD465,IF(AC465&lt;&gt;"",AC465,"")))</f>
        <v/>
      </c>
      <c r="AP465" s="24" t="str">
        <f aca="false">IF(AO465="","",IF(AD465&lt;&gt;"","Reported reach","Impressions (proxy)"))</f>
        <v/>
      </c>
      <c r="AQ465" s="34" t="str">
        <f aca="false">IF(OR(AO465="",N(S465)=0),"",AO465/S465)</f>
        <v/>
      </c>
      <c r="AR465" s="33" t="str">
        <f aca="false">IF(A465="","",IF(COUNT(AF465:AJ465)=0,"",SUM(AF465:AJ465)))</f>
        <v/>
      </c>
      <c r="AS465" s="34" t="str">
        <f aca="false">IF(OR(AR465="",N(AO465)=0),"",AR465/AO465)</f>
        <v/>
      </c>
      <c r="AT465" s="34" t="str">
        <f aca="false">IF(OR(AR465="",N(AC465)=0),"",AR465/AC465)</f>
        <v/>
      </c>
      <c r="AU465" s="34" t="str">
        <f aca="false">IF(OR(AR465="",N(S465)=0),"",AR465/S465)</f>
        <v/>
      </c>
      <c r="AV465" s="34" t="str">
        <f aca="false">IF(OR(AJ465="",N(AC465)=0),"",AJ465/AC465)</f>
        <v/>
      </c>
      <c r="AW465" s="34" t="str">
        <f aca="false">IF(OR(AH465="",N(AO465)=0),"",AH465/AO465)</f>
        <v/>
      </c>
      <c r="AX465" s="35" t="str">
        <f aca="false">IF(OR(AR465="",N(AO465)=0),"",(N(AF465)*Settings!$B$6+N(AG465)*Settings!$B$7+N(AH465)*Settings!$B$8+N(AI465)*Settings!$B$9+N(AJ465)*Settings!$B$10)/AO465*1000)</f>
        <v/>
      </c>
      <c r="AY465" s="36" t="str">
        <f aca="false">IF(AS465="","",IFERROR(AS465/AVERAGEIFS('Post Tracker'!$AS$5:$AS$1004,'Post Tracker'!$G$5:$G$1004,G465),""))</f>
        <v/>
      </c>
      <c r="AZ465" s="32"/>
      <c r="BA465" s="32"/>
      <c r="BB465" s="32"/>
      <c r="BC465" s="32"/>
      <c r="BD465" s="33" t="str">
        <f aca="false">IF(A465="","",COUNTIFS('Demo Pipeline'!$Q$5:$Q$504,A465))</f>
        <v/>
      </c>
      <c r="BE465" s="33" t="str">
        <f aca="false">IF(A465="","",COUNTIFS('Demo Pipeline'!$Q$5:$Q$504,A465,'Demo Pipeline'!$W$5:$W$504,"Attended"))</f>
        <v/>
      </c>
      <c r="BF465" s="33" t="str">
        <f aca="false">IF(A465="","",COUNTIFS('Demo Pipeline'!$Q$5:$Q$504,A465,'Demo Pipeline'!$X$5:$X$504,"Yes"))</f>
        <v/>
      </c>
      <c r="BG465" s="33" t="str">
        <f aca="false">IF(A465="","",COUNTIFS('Demo Pipeline'!$Q$5:$Q$504,A465,'Demo Pipeline'!$Y$5:$Y$504,"Closed Won"))</f>
        <v/>
      </c>
      <c r="BH465" s="37" t="str">
        <f aca="false">IF(A465="","",SUMIFS('Demo Pipeline'!$Z$5:$Z$504,'Demo Pipeline'!$Q$5:$Q$504,A465))</f>
        <v/>
      </c>
      <c r="BI465" s="34" t="str">
        <f aca="false">IF(OR(AZ465="",N(AJ465)=0),"",AZ465/AJ465)</f>
        <v/>
      </c>
      <c r="BJ465" s="34" t="str">
        <f aca="false">IF(OR(BB465="",N(AZ465)=0),"",BB465/AZ465)</f>
        <v/>
      </c>
      <c r="BK465" s="34" t="str">
        <f aca="false">IF(OR(A465="",N(BB465)=0),"",BD465/BB465)</f>
        <v/>
      </c>
      <c r="BL465" s="34" t="str">
        <f aca="false">IF(OR(A465="",N(AZ465)=0),"",BD465/AZ465)</f>
        <v/>
      </c>
      <c r="BM465" s="37" t="str">
        <f aca="false">IF(OR(N(Q465)=0,N(BD465)=0),"",Q465/BD465)</f>
        <v/>
      </c>
      <c r="BN465" s="29"/>
      <c r="BO465" s="29"/>
      <c r="BP465" s="33" t="str">
        <f aca="false">IF(OR(AR465="",N(AO465)=0),"",AR465)</f>
        <v/>
      </c>
      <c r="BQ465" s="33" t="str">
        <f aca="false">IF(OR(AR465="",N(S465)=0),"",S465)</f>
        <v/>
      </c>
      <c r="BR465" s="38" t="str">
        <f aca="false">IF(AND(ISNUMBER(B465),B465&gt;=Dashboard!$C$4,B465&lt;=Dashboard!$F$4,ISNUMBER(AU465)),AU465+ROW()/10^9,"")</f>
        <v/>
      </c>
      <c r="BS465" s="38" t="str">
        <f aca="false">IF(AND(ISNUMBER(B465),B465&gt;=Dashboard!$C$4,B465&lt;=Dashboard!$F$4,A465&lt;&gt;""),N(BD465)+N(AU465)/100+ROW()/10^9,"")</f>
        <v/>
      </c>
    </row>
    <row r="466" customFormat="false" ht="15" hidden="false" customHeight="false" outlineLevel="0" collapsed="false">
      <c r="A466" s="24" t="str">
        <f aca="false">IF(OR(B466="",G466="",H466=""),"",IFERROR(INDEX(Settings!$E$5:$E$49,MATCH(G466,Settings!$D$5:$D$49,0))&amp;INDEX(Settings!$H$5:$H$47,MATCH(H466,Settings!$G$5:$G$47,0))&amp;"-"&amp;TEXT(B466,"yymmdd")&amp;"-"&amp;IF(C466="","0000",TEXT(C466,"hhmm")),"CHECK LISTS"))</f>
        <v/>
      </c>
      <c r="B466" s="39"/>
      <c r="C466" s="40"/>
      <c r="D466" s="24" t="str">
        <f aca="false">IF(B466="","",TEXT(B466,"ddd"))</f>
        <v/>
      </c>
      <c r="E466" s="27" t="str">
        <f aca="false">IF(B466="","",B466-WEEKDAY(B466,3))</f>
        <v/>
      </c>
      <c r="F466" s="24" t="str">
        <f aca="false">IF(B466="","",TEXT(B466,"yyyy-mm"))</f>
        <v/>
      </c>
      <c r="G466" s="29"/>
      <c r="H466" s="29"/>
      <c r="I466" s="29"/>
      <c r="J466" s="29"/>
      <c r="K466" s="29"/>
      <c r="L466" s="29"/>
      <c r="M466" s="29"/>
      <c r="N466" s="29"/>
      <c r="O466" s="29"/>
      <c r="P466" s="29"/>
      <c r="Q466" s="30"/>
      <c r="R466" s="29"/>
      <c r="S466" s="32"/>
      <c r="T466" s="29"/>
      <c r="U466" s="29"/>
      <c r="V466" s="24" t="str">
        <f aca="false">IF(A466="","",IFERROR(INDEX(Settings!$F$5:$F$49,MATCH(G466,Settings!$D$5:$D$49,0)),""))</f>
        <v/>
      </c>
      <c r="W466" s="24" t="str">
        <f aca="false">IF(A466="","",IF(OR(P466="",P466="Organic"),"social","paid_social"))</f>
        <v/>
      </c>
      <c r="X466" s="24" t="str">
        <f aca="false">IF(A466="","",IF(K466&lt;&gt;"",IFERROR(INDEX('Case Studies'!$C$5:$C$54,MATCH(K466,'Case Studies'!$B$5:$B$54,0))&amp;"","case-study"),IF(J466&lt;&gt;"",IFERROR(INDEX(Settings!$J$5:$J$55,MATCH(J466,Settings!$I$5:$I$55,0)),"general"),"general")))</f>
        <v/>
      </c>
      <c r="Y466" s="24" t="str">
        <f aca="false">IF(A466="","",LOWER(A466))</f>
        <v/>
      </c>
      <c r="Z466" s="24" t="str">
        <f aca="false">IF(A466="","",IF(T466="",Settings!$B$5,T466)&amp;IF(ISNUMBER(FIND("?",IF(T466="",Settings!$B$5,T466))),"&amp;","?")&amp;"utm_source="&amp;V466&amp;"&amp;utm_medium="&amp;W466&amp;"&amp;utm_campaign="&amp;X466&amp;"&amp;utm_content="&amp;Y466)</f>
        <v/>
      </c>
      <c r="AA466" s="29"/>
      <c r="AB466" s="39"/>
      <c r="AC466" s="32"/>
      <c r="AD466" s="32"/>
      <c r="AE466" s="32"/>
      <c r="AF466" s="32"/>
      <c r="AG466" s="32"/>
      <c r="AH466" s="32"/>
      <c r="AI466" s="32"/>
      <c r="AJ466" s="32"/>
      <c r="AK466" s="32"/>
      <c r="AL466" s="32"/>
      <c r="AM466" s="32"/>
      <c r="AN466" s="32"/>
      <c r="AO466" s="33" t="str">
        <f aca="false">IF(A466="","",IF(AD466&lt;&gt;"",AD466,IF(AC466&lt;&gt;"",AC466,"")))</f>
        <v/>
      </c>
      <c r="AP466" s="24" t="str">
        <f aca="false">IF(AO466="","",IF(AD466&lt;&gt;"","Reported reach","Impressions (proxy)"))</f>
        <v/>
      </c>
      <c r="AQ466" s="34" t="str">
        <f aca="false">IF(OR(AO466="",N(S466)=0),"",AO466/S466)</f>
        <v/>
      </c>
      <c r="AR466" s="33" t="str">
        <f aca="false">IF(A466="","",IF(COUNT(AF466:AJ466)=0,"",SUM(AF466:AJ466)))</f>
        <v/>
      </c>
      <c r="AS466" s="34" t="str">
        <f aca="false">IF(OR(AR466="",N(AO466)=0),"",AR466/AO466)</f>
        <v/>
      </c>
      <c r="AT466" s="34" t="str">
        <f aca="false">IF(OR(AR466="",N(AC466)=0),"",AR466/AC466)</f>
        <v/>
      </c>
      <c r="AU466" s="34" t="str">
        <f aca="false">IF(OR(AR466="",N(S466)=0),"",AR466/S466)</f>
        <v/>
      </c>
      <c r="AV466" s="34" t="str">
        <f aca="false">IF(OR(AJ466="",N(AC466)=0),"",AJ466/AC466)</f>
        <v/>
      </c>
      <c r="AW466" s="34" t="str">
        <f aca="false">IF(OR(AH466="",N(AO466)=0),"",AH466/AO466)</f>
        <v/>
      </c>
      <c r="AX466" s="35" t="str">
        <f aca="false">IF(OR(AR466="",N(AO466)=0),"",(N(AF466)*Settings!$B$6+N(AG466)*Settings!$B$7+N(AH466)*Settings!$B$8+N(AI466)*Settings!$B$9+N(AJ466)*Settings!$B$10)/AO466*1000)</f>
        <v/>
      </c>
      <c r="AY466" s="36" t="str">
        <f aca="false">IF(AS466="","",IFERROR(AS466/AVERAGEIFS('Post Tracker'!$AS$5:$AS$1004,'Post Tracker'!$G$5:$G$1004,G466),""))</f>
        <v/>
      </c>
      <c r="AZ466" s="32"/>
      <c r="BA466" s="32"/>
      <c r="BB466" s="32"/>
      <c r="BC466" s="32"/>
      <c r="BD466" s="33" t="str">
        <f aca="false">IF(A466="","",COUNTIFS('Demo Pipeline'!$Q$5:$Q$504,A466))</f>
        <v/>
      </c>
      <c r="BE466" s="33" t="str">
        <f aca="false">IF(A466="","",COUNTIFS('Demo Pipeline'!$Q$5:$Q$504,A466,'Demo Pipeline'!$W$5:$W$504,"Attended"))</f>
        <v/>
      </c>
      <c r="BF466" s="33" t="str">
        <f aca="false">IF(A466="","",COUNTIFS('Demo Pipeline'!$Q$5:$Q$504,A466,'Demo Pipeline'!$X$5:$X$504,"Yes"))</f>
        <v/>
      </c>
      <c r="BG466" s="33" t="str">
        <f aca="false">IF(A466="","",COUNTIFS('Demo Pipeline'!$Q$5:$Q$504,A466,'Demo Pipeline'!$Y$5:$Y$504,"Closed Won"))</f>
        <v/>
      </c>
      <c r="BH466" s="37" t="str">
        <f aca="false">IF(A466="","",SUMIFS('Demo Pipeline'!$Z$5:$Z$504,'Demo Pipeline'!$Q$5:$Q$504,A466))</f>
        <v/>
      </c>
      <c r="BI466" s="34" t="str">
        <f aca="false">IF(OR(AZ466="",N(AJ466)=0),"",AZ466/AJ466)</f>
        <v/>
      </c>
      <c r="BJ466" s="34" t="str">
        <f aca="false">IF(OR(BB466="",N(AZ466)=0),"",BB466/AZ466)</f>
        <v/>
      </c>
      <c r="BK466" s="34" t="str">
        <f aca="false">IF(OR(A466="",N(BB466)=0),"",BD466/BB466)</f>
        <v/>
      </c>
      <c r="BL466" s="34" t="str">
        <f aca="false">IF(OR(A466="",N(AZ466)=0),"",BD466/AZ466)</f>
        <v/>
      </c>
      <c r="BM466" s="37" t="str">
        <f aca="false">IF(OR(N(Q466)=0,N(BD466)=0),"",Q466/BD466)</f>
        <v/>
      </c>
      <c r="BN466" s="29"/>
      <c r="BO466" s="29"/>
      <c r="BP466" s="33" t="str">
        <f aca="false">IF(OR(AR466="",N(AO466)=0),"",AR466)</f>
        <v/>
      </c>
      <c r="BQ466" s="33" t="str">
        <f aca="false">IF(OR(AR466="",N(S466)=0),"",S466)</f>
        <v/>
      </c>
      <c r="BR466" s="38" t="str">
        <f aca="false">IF(AND(ISNUMBER(B466),B466&gt;=Dashboard!$C$4,B466&lt;=Dashboard!$F$4,ISNUMBER(AU466)),AU466+ROW()/10^9,"")</f>
        <v/>
      </c>
      <c r="BS466" s="38" t="str">
        <f aca="false">IF(AND(ISNUMBER(B466),B466&gt;=Dashboard!$C$4,B466&lt;=Dashboard!$F$4,A466&lt;&gt;""),N(BD466)+N(AU466)/100+ROW()/10^9,"")</f>
        <v/>
      </c>
    </row>
    <row r="467" customFormat="false" ht="15" hidden="false" customHeight="false" outlineLevel="0" collapsed="false">
      <c r="A467" s="24" t="str">
        <f aca="false">IF(OR(B467="",G467="",H467=""),"",IFERROR(INDEX(Settings!$E$5:$E$49,MATCH(G467,Settings!$D$5:$D$49,0))&amp;INDEX(Settings!$H$5:$H$47,MATCH(H467,Settings!$G$5:$G$47,0))&amp;"-"&amp;TEXT(B467,"yymmdd")&amp;"-"&amp;IF(C467="","0000",TEXT(C467,"hhmm")),"CHECK LISTS"))</f>
        <v/>
      </c>
      <c r="B467" s="39"/>
      <c r="C467" s="40"/>
      <c r="D467" s="24" t="str">
        <f aca="false">IF(B467="","",TEXT(B467,"ddd"))</f>
        <v/>
      </c>
      <c r="E467" s="27" t="str">
        <f aca="false">IF(B467="","",B467-WEEKDAY(B467,3))</f>
        <v/>
      </c>
      <c r="F467" s="24" t="str">
        <f aca="false">IF(B467="","",TEXT(B467,"yyyy-mm"))</f>
        <v/>
      </c>
      <c r="G467" s="29"/>
      <c r="H467" s="29"/>
      <c r="I467" s="29"/>
      <c r="J467" s="29"/>
      <c r="K467" s="29"/>
      <c r="L467" s="29"/>
      <c r="M467" s="29"/>
      <c r="N467" s="29"/>
      <c r="O467" s="29"/>
      <c r="P467" s="29"/>
      <c r="Q467" s="30"/>
      <c r="R467" s="29"/>
      <c r="S467" s="32"/>
      <c r="T467" s="29"/>
      <c r="U467" s="29"/>
      <c r="V467" s="24" t="str">
        <f aca="false">IF(A467="","",IFERROR(INDEX(Settings!$F$5:$F$49,MATCH(G467,Settings!$D$5:$D$49,0)),""))</f>
        <v/>
      </c>
      <c r="W467" s="24" t="str">
        <f aca="false">IF(A467="","",IF(OR(P467="",P467="Organic"),"social","paid_social"))</f>
        <v/>
      </c>
      <c r="X467" s="24" t="str">
        <f aca="false">IF(A467="","",IF(K467&lt;&gt;"",IFERROR(INDEX('Case Studies'!$C$5:$C$54,MATCH(K467,'Case Studies'!$B$5:$B$54,0))&amp;"","case-study"),IF(J467&lt;&gt;"",IFERROR(INDEX(Settings!$J$5:$J$55,MATCH(J467,Settings!$I$5:$I$55,0)),"general"),"general")))</f>
        <v/>
      </c>
      <c r="Y467" s="24" t="str">
        <f aca="false">IF(A467="","",LOWER(A467))</f>
        <v/>
      </c>
      <c r="Z467" s="24" t="str">
        <f aca="false">IF(A467="","",IF(T467="",Settings!$B$5,T467)&amp;IF(ISNUMBER(FIND("?",IF(T467="",Settings!$B$5,T467))),"&amp;","?")&amp;"utm_source="&amp;V467&amp;"&amp;utm_medium="&amp;W467&amp;"&amp;utm_campaign="&amp;X467&amp;"&amp;utm_content="&amp;Y467)</f>
        <v/>
      </c>
      <c r="AA467" s="29"/>
      <c r="AB467" s="39"/>
      <c r="AC467" s="32"/>
      <c r="AD467" s="32"/>
      <c r="AE467" s="32"/>
      <c r="AF467" s="32"/>
      <c r="AG467" s="32"/>
      <c r="AH467" s="32"/>
      <c r="AI467" s="32"/>
      <c r="AJ467" s="32"/>
      <c r="AK467" s="32"/>
      <c r="AL467" s="32"/>
      <c r="AM467" s="32"/>
      <c r="AN467" s="32"/>
      <c r="AO467" s="33" t="str">
        <f aca="false">IF(A467="","",IF(AD467&lt;&gt;"",AD467,IF(AC467&lt;&gt;"",AC467,"")))</f>
        <v/>
      </c>
      <c r="AP467" s="24" t="str">
        <f aca="false">IF(AO467="","",IF(AD467&lt;&gt;"","Reported reach","Impressions (proxy)"))</f>
        <v/>
      </c>
      <c r="AQ467" s="34" t="str">
        <f aca="false">IF(OR(AO467="",N(S467)=0),"",AO467/S467)</f>
        <v/>
      </c>
      <c r="AR467" s="33" t="str">
        <f aca="false">IF(A467="","",IF(COUNT(AF467:AJ467)=0,"",SUM(AF467:AJ467)))</f>
        <v/>
      </c>
      <c r="AS467" s="34" t="str">
        <f aca="false">IF(OR(AR467="",N(AO467)=0),"",AR467/AO467)</f>
        <v/>
      </c>
      <c r="AT467" s="34" t="str">
        <f aca="false">IF(OR(AR467="",N(AC467)=0),"",AR467/AC467)</f>
        <v/>
      </c>
      <c r="AU467" s="34" t="str">
        <f aca="false">IF(OR(AR467="",N(S467)=0),"",AR467/S467)</f>
        <v/>
      </c>
      <c r="AV467" s="34" t="str">
        <f aca="false">IF(OR(AJ467="",N(AC467)=0),"",AJ467/AC467)</f>
        <v/>
      </c>
      <c r="AW467" s="34" t="str">
        <f aca="false">IF(OR(AH467="",N(AO467)=0),"",AH467/AO467)</f>
        <v/>
      </c>
      <c r="AX467" s="35" t="str">
        <f aca="false">IF(OR(AR467="",N(AO467)=0),"",(N(AF467)*Settings!$B$6+N(AG467)*Settings!$B$7+N(AH467)*Settings!$B$8+N(AI467)*Settings!$B$9+N(AJ467)*Settings!$B$10)/AO467*1000)</f>
        <v/>
      </c>
      <c r="AY467" s="36" t="str">
        <f aca="false">IF(AS467="","",IFERROR(AS467/AVERAGEIFS('Post Tracker'!$AS$5:$AS$1004,'Post Tracker'!$G$5:$G$1004,G467),""))</f>
        <v/>
      </c>
      <c r="AZ467" s="32"/>
      <c r="BA467" s="32"/>
      <c r="BB467" s="32"/>
      <c r="BC467" s="32"/>
      <c r="BD467" s="33" t="str">
        <f aca="false">IF(A467="","",COUNTIFS('Demo Pipeline'!$Q$5:$Q$504,A467))</f>
        <v/>
      </c>
      <c r="BE467" s="33" t="str">
        <f aca="false">IF(A467="","",COUNTIFS('Demo Pipeline'!$Q$5:$Q$504,A467,'Demo Pipeline'!$W$5:$W$504,"Attended"))</f>
        <v/>
      </c>
      <c r="BF467" s="33" t="str">
        <f aca="false">IF(A467="","",COUNTIFS('Demo Pipeline'!$Q$5:$Q$504,A467,'Demo Pipeline'!$X$5:$X$504,"Yes"))</f>
        <v/>
      </c>
      <c r="BG467" s="33" t="str">
        <f aca="false">IF(A467="","",COUNTIFS('Demo Pipeline'!$Q$5:$Q$504,A467,'Demo Pipeline'!$Y$5:$Y$504,"Closed Won"))</f>
        <v/>
      </c>
      <c r="BH467" s="37" t="str">
        <f aca="false">IF(A467="","",SUMIFS('Demo Pipeline'!$Z$5:$Z$504,'Demo Pipeline'!$Q$5:$Q$504,A467))</f>
        <v/>
      </c>
      <c r="BI467" s="34" t="str">
        <f aca="false">IF(OR(AZ467="",N(AJ467)=0),"",AZ467/AJ467)</f>
        <v/>
      </c>
      <c r="BJ467" s="34" t="str">
        <f aca="false">IF(OR(BB467="",N(AZ467)=0),"",BB467/AZ467)</f>
        <v/>
      </c>
      <c r="BK467" s="34" t="str">
        <f aca="false">IF(OR(A467="",N(BB467)=0),"",BD467/BB467)</f>
        <v/>
      </c>
      <c r="BL467" s="34" t="str">
        <f aca="false">IF(OR(A467="",N(AZ467)=0),"",BD467/AZ467)</f>
        <v/>
      </c>
      <c r="BM467" s="37" t="str">
        <f aca="false">IF(OR(N(Q467)=0,N(BD467)=0),"",Q467/BD467)</f>
        <v/>
      </c>
      <c r="BN467" s="29"/>
      <c r="BO467" s="29"/>
      <c r="BP467" s="33" t="str">
        <f aca="false">IF(OR(AR467="",N(AO467)=0),"",AR467)</f>
        <v/>
      </c>
      <c r="BQ467" s="33" t="str">
        <f aca="false">IF(OR(AR467="",N(S467)=0),"",S467)</f>
        <v/>
      </c>
      <c r="BR467" s="38" t="str">
        <f aca="false">IF(AND(ISNUMBER(B467),B467&gt;=Dashboard!$C$4,B467&lt;=Dashboard!$F$4,ISNUMBER(AU467)),AU467+ROW()/10^9,"")</f>
        <v/>
      </c>
      <c r="BS467" s="38" t="str">
        <f aca="false">IF(AND(ISNUMBER(B467),B467&gt;=Dashboard!$C$4,B467&lt;=Dashboard!$F$4,A467&lt;&gt;""),N(BD467)+N(AU467)/100+ROW()/10^9,"")</f>
        <v/>
      </c>
    </row>
    <row r="468" customFormat="false" ht="15" hidden="false" customHeight="false" outlineLevel="0" collapsed="false">
      <c r="A468" s="24" t="str">
        <f aca="false">IF(OR(B468="",G468="",H468=""),"",IFERROR(INDEX(Settings!$E$5:$E$49,MATCH(G468,Settings!$D$5:$D$49,0))&amp;INDEX(Settings!$H$5:$H$47,MATCH(H468,Settings!$G$5:$G$47,0))&amp;"-"&amp;TEXT(B468,"yymmdd")&amp;"-"&amp;IF(C468="","0000",TEXT(C468,"hhmm")),"CHECK LISTS"))</f>
        <v/>
      </c>
      <c r="B468" s="39"/>
      <c r="C468" s="40"/>
      <c r="D468" s="24" t="str">
        <f aca="false">IF(B468="","",TEXT(B468,"ddd"))</f>
        <v/>
      </c>
      <c r="E468" s="27" t="str">
        <f aca="false">IF(B468="","",B468-WEEKDAY(B468,3))</f>
        <v/>
      </c>
      <c r="F468" s="24" t="str">
        <f aca="false">IF(B468="","",TEXT(B468,"yyyy-mm"))</f>
        <v/>
      </c>
      <c r="G468" s="29"/>
      <c r="H468" s="29"/>
      <c r="I468" s="29"/>
      <c r="J468" s="29"/>
      <c r="K468" s="29"/>
      <c r="L468" s="29"/>
      <c r="M468" s="29"/>
      <c r="N468" s="29"/>
      <c r="O468" s="29"/>
      <c r="P468" s="29"/>
      <c r="Q468" s="30"/>
      <c r="R468" s="29"/>
      <c r="S468" s="32"/>
      <c r="T468" s="29"/>
      <c r="U468" s="29"/>
      <c r="V468" s="24" t="str">
        <f aca="false">IF(A468="","",IFERROR(INDEX(Settings!$F$5:$F$49,MATCH(G468,Settings!$D$5:$D$49,0)),""))</f>
        <v/>
      </c>
      <c r="W468" s="24" t="str">
        <f aca="false">IF(A468="","",IF(OR(P468="",P468="Organic"),"social","paid_social"))</f>
        <v/>
      </c>
      <c r="X468" s="24" t="str">
        <f aca="false">IF(A468="","",IF(K468&lt;&gt;"",IFERROR(INDEX('Case Studies'!$C$5:$C$54,MATCH(K468,'Case Studies'!$B$5:$B$54,0))&amp;"","case-study"),IF(J468&lt;&gt;"",IFERROR(INDEX(Settings!$J$5:$J$55,MATCH(J468,Settings!$I$5:$I$55,0)),"general"),"general")))</f>
        <v/>
      </c>
      <c r="Y468" s="24" t="str">
        <f aca="false">IF(A468="","",LOWER(A468))</f>
        <v/>
      </c>
      <c r="Z468" s="24" t="str">
        <f aca="false">IF(A468="","",IF(T468="",Settings!$B$5,T468)&amp;IF(ISNUMBER(FIND("?",IF(T468="",Settings!$B$5,T468))),"&amp;","?")&amp;"utm_source="&amp;V468&amp;"&amp;utm_medium="&amp;W468&amp;"&amp;utm_campaign="&amp;X468&amp;"&amp;utm_content="&amp;Y468)</f>
        <v/>
      </c>
      <c r="AA468" s="29"/>
      <c r="AB468" s="39"/>
      <c r="AC468" s="32"/>
      <c r="AD468" s="32"/>
      <c r="AE468" s="32"/>
      <c r="AF468" s="32"/>
      <c r="AG468" s="32"/>
      <c r="AH468" s="32"/>
      <c r="AI468" s="32"/>
      <c r="AJ468" s="32"/>
      <c r="AK468" s="32"/>
      <c r="AL468" s="32"/>
      <c r="AM468" s="32"/>
      <c r="AN468" s="32"/>
      <c r="AO468" s="33" t="str">
        <f aca="false">IF(A468="","",IF(AD468&lt;&gt;"",AD468,IF(AC468&lt;&gt;"",AC468,"")))</f>
        <v/>
      </c>
      <c r="AP468" s="24" t="str">
        <f aca="false">IF(AO468="","",IF(AD468&lt;&gt;"","Reported reach","Impressions (proxy)"))</f>
        <v/>
      </c>
      <c r="AQ468" s="34" t="str">
        <f aca="false">IF(OR(AO468="",N(S468)=0),"",AO468/S468)</f>
        <v/>
      </c>
      <c r="AR468" s="33" t="str">
        <f aca="false">IF(A468="","",IF(COUNT(AF468:AJ468)=0,"",SUM(AF468:AJ468)))</f>
        <v/>
      </c>
      <c r="AS468" s="34" t="str">
        <f aca="false">IF(OR(AR468="",N(AO468)=0),"",AR468/AO468)</f>
        <v/>
      </c>
      <c r="AT468" s="34" t="str">
        <f aca="false">IF(OR(AR468="",N(AC468)=0),"",AR468/AC468)</f>
        <v/>
      </c>
      <c r="AU468" s="34" t="str">
        <f aca="false">IF(OR(AR468="",N(S468)=0),"",AR468/S468)</f>
        <v/>
      </c>
      <c r="AV468" s="34" t="str">
        <f aca="false">IF(OR(AJ468="",N(AC468)=0),"",AJ468/AC468)</f>
        <v/>
      </c>
      <c r="AW468" s="34" t="str">
        <f aca="false">IF(OR(AH468="",N(AO468)=0),"",AH468/AO468)</f>
        <v/>
      </c>
      <c r="AX468" s="35" t="str">
        <f aca="false">IF(OR(AR468="",N(AO468)=0),"",(N(AF468)*Settings!$B$6+N(AG468)*Settings!$B$7+N(AH468)*Settings!$B$8+N(AI468)*Settings!$B$9+N(AJ468)*Settings!$B$10)/AO468*1000)</f>
        <v/>
      </c>
      <c r="AY468" s="36" t="str">
        <f aca="false">IF(AS468="","",IFERROR(AS468/AVERAGEIFS('Post Tracker'!$AS$5:$AS$1004,'Post Tracker'!$G$5:$G$1004,G468),""))</f>
        <v/>
      </c>
      <c r="AZ468" s="32"/>
      <c r="BA468" s="32"/>
      <c r="BB468" s="32"/>
      <c r="BC468" s="32"/>
      <c r="BD468" s="33" t="str">
        <f aca="false">IF(A468="","",COUNTIFS('Demo Pipeline'!$Q$5:$Q$504,A468))</f>
        <v/>
      </c>
      <c r="BE468" s="33" t="str">
        <f aca="false">IF(A468="","",COUNTIFS('Demo Pipeline'!$Q$5:$Q$504,A468,'Demo Pipeline'!$W$5:$W$504,"Attended"))</f>
        <v/>
      </c>
      <c r="BF468" s="33" t="str">
        <f aca="false">IF(A468="","",COUNTIFS('Demo Pipeline'!$Q$5:$Q$504,A468,'Demo Pipeline'!$X$5:$X$504,"Yes"))</f>
        <v/>
      </c>
      <c r="BG468" s="33" t="str">
        <f aca="false">IF(A468="","",COUNTIFS('Demo Pipeline'!$Q$5:$Q$504,A468,'Demo Pipeline'!$Y$5:$Y$504,"Closed Won"))</f>
        <v/>
      </c>
      <c r="BH468" s="37" t="str">
        <f aca="false">IF(A468="","",SUMIFS('Demo Pipeline'!$Z$5:$Z$504,'Demo Pipeline'!$Q$5:$Q$504,A468))</f>
        <v/>
      </c>
      <c r="BI468" s="34" t="str">
        <f aca="false">IF(OR(AZ468="",N(AJ468)=0),"",AZ468/AJ468)</f>
        <v/>
      </c>
      <c r="BJ468" s="34" t="str">
        <f aca="false">IF(OR(BB468="",N(AZ468)=0),"",BB468/AZ468)</f>
        <v/>
      </c>
      <c r="BK468" s="34" t="str">
        <f aca="false">IF(OR(A468="",N(BB468)=0),"",BD468/BB468)</f>
        <v/>
      </c>
      <c r="BL468" s="34" t="str">
        <f aca="false">IF(OR(A468="",N(AZ468)=0),"",BD468/AZ468)</f>
        <v/>
      </c>
      <c r="BM468" s="37" t="str">
        <f aca="false">IF(OR(N(Q468)=0,N(BD468)=0),"",Q468/BD468)</f>
        <v/>
      </c>
      <c r="BN468" s="29"/>
      <c r="BO468" s="29"/>
      <c r="BP468" s="33" t="str">
        <f aca="false">IF(OR(AR468="",N(AO468)=0),"",AR468)</f>
        <v/>
      </c>
      <c r="BQ468" s="33" t="str">
        <f aca="false">IF(OR(AR468="",N(S468)=0),"",S468)</f>
        <v/>
      </c>
      <c r="BR468" s="38" t="str">
        <f aca="false">IF(AND(ISNUMBER(B468),B468&gt;=Dashboard!$C$4,B468&lt;=Dashboard!$F$4,ISNUMBER(AU468)),AU468+ROW()/10^9,"")</f>
        <v/>
      </c>
      <c r="BS468" s="38" t="str">
        <f aca="false">IF(AND(ISNUMBER(B468),B468&gt;=Dashboard!$C$4,B468&lt;=Dashboard!$F$4,A468&lt;&gt;""),N(BD468)+N(AU468)/100+ROW()/10^9,"")</f>
        <v/>
      </c>
    </row>
    <row r="469" customFormat="false" ht="15" hidden="false" customHeight="false" outlineLevel="0" collapsed="false">
      <c r="A469" s="24" t="str">
        <f aca="false">IF(OR(B469="",G469="",H469=""),"",IFERROR(INDEX(Settings!$E$5:$E$49,MATCH(G469,Settings!$D$5:$D$49,0))&amp;INDEX(Settings!$H$5:$H$47,MATCH(H469,Settings!$G$5:$G$47,0))&amp;"-"&amp;TEXT(B469,"yymmdd")&amp;"-"&amp;IF(C469="","0000",TEXT(C469,"hhmm")),"CHECK LISTS"))</f>
        <v/>
      </c>
      <c r="B469" s="39"/>
      <c r="C469" s="40"/>
      <c r="D469" s="24" t="str">
        <f aca="false">IF(B469="","",TEXT(B469,"ddd"))</f>
        <v/>
      </c>
      <c r="E469" s="27" t="str">
        <f aca="false">IF(B469="","",B469-WEEKDAY(B469,3))</f>
        <v/>
      </c>
      <c r="F469" s="24" t="str">
        <f aca="false">IF(B469="","",TEXT(B469,"yyyy-mm"))</f>
        <v/>
      </c>
      <c r="G469" s="29"/>
      <c r="H469" s="29"/>
      <c r="I469" s="29"/>
      <c r="J469" s="29"/>
      <c r="K469" s="29"/>
      <c r="L469" s="29"/>
      <c r="M469" s="29"/>
      <c r="N469" s="29"/>
      <c r="O469" s="29"/>
      <c r="P469" s="29"/>
      <c r="Q469" s="30"/>
      <c r="R469" s="29"/>
      <c r="S469" s="32"/>
      <c r="T469" s="29"/>
      <c r="U469" s="29"/>
      <c r="V469" s="24" t="str">
        <f aca="false">IF(A469="","",IFERROR(INDEX(Settings!$F$5:$F$49,MATCH(G469,Settings!$D$5:$D$49,0)),""))</f>
        <v/>
      </c>
      <c r="W469" s="24" t="str">
        <f aca="false">IF(A469="","",IF(OR(P469="",P469="Organic"),"social","paid_social"))</f>
        <v/>
      </c>
      <c r="X469" s="24" t="str">
        <f aca="false">IF(A469="","",IF(K469&lt;&gt;"",IFERROR(INDEX('Case Studies'!$C$5:$C$54,MATCH(K469,'Case Studies'!$B$5:$B$54,0))&amp;"","case-study"),IF(J469&lt;&gt;"",IFERROR(INDEX(Settings!$J$5:$J$55,MATCH(J469,Settings!$I$5:$I$55,0)),"general"),"general")))</f>
        <v/>
      </c>
      <c r="Y469" s="24" t="str">
        <f aca="false">IF(A469="","",LOWER(A469))</f>
        <v/>
      </c>
      <c r="Z469" s="24" t="str">
        <f aca="false">IF(A469="","",IF(T469="",Settings!$B$5,T469)&amp;IF(ISNUMBER(FIND("?",IF(T469="",Settings!$B$5,T469))),"&amp;","?")&amp;"utm_source="&amp;V469&amp;"&amp;utm_medium="&amp;W469&amp;"&amp;utm_campaign="&amp;X469&amp;"&amp;utm_content="&amp;Y469)</f>
        <v/>
      </c>
      <c r="AA469" s="29"/>
      <c r="AB469" s="39"/>
      <c r="AC469" s="32"/>
      <c r="AD469" s="32"/>
      <c r="AE469" s="32"/>
      <c r="AF469" s="32"/>
      <c r="AG469" s="32"/>
      <c r="AH469" s="32"/>
      <c r="AI469" s="32"/>
      <c r="AJ469" s="32"/>
      <c r="AK469" s="32"/>
      <c r="AL469" s="32"/>
      <c r="AM469" s="32"/>
      <c r="AN469" s="32"/>
      <c r="AO469" s="33" t="str">
        <f aca="false">IF(A469="","",IF(AD469&lt;&gt;"",AD469,IF(AC469&lt;&gt;"",AC469,"")))</f>
        <v/>
      </c>
      <c r="AP469" s="24" t="str">
        <f aca="false">IF(AO469="","",IF(AD469&lt;&gt;"","Reported reach","Impressions (proxy)"))</f>
        <v/>
      </c>
      <c r="AQ469" s="34" t="str">
        <f aca="false">IF(OR(AO469="",N(S469)=0),"",AO469/S469)</f>
        <v/>
      </c>
      <c r="AR469" s="33" t="str">
        <f aca="false">IF(A469="","",IF(COUNT(AF469:AJ469)=0,"",SUM(AF469:AJ469)))</f>
        <v/>
      </c>
      <c r="AS469" s="34" t="str">
        <f aca="false">IF(OR(AR469="",N(AO469)=0),"",AR469/AO469)</f>
        <v/>
      </c>
      <c r="AT469" s="34" t="str">
        <f aca="false">IF(OR(AR469="",N(AC469)=0),"",AR469/AC469)</f>
        <v/>
      </c>
      <c r="AU469" s="34" t="str">
        <f aca="false">IF(OR(AR469="",N(S469)=0),"",AR469/S469)</f>
        <v/>
      </c>
      <c r="AV469" s="34" t="str">
        <f aca="false">IF(OR(AJ469="",N(AC469)=0),"",AJ469/AC469)</f>
        <v/>
      </c>
      <c r="AW469" s="34" t="str">
        <f aca="false">IF(OR(AH469="",N(AO469)=0),"",AH469/AO469)</f>
        <v/>
      </c>
      <c r="AX469" s="35" t="str">
        <f aca="false">IF(OR(AR469="",N(AO469)=0),"",(N(AF469)*Settings!$B$6+N(AG469)*Settings!$B$7+N(AH469)*Settings!$B$8+N(AI469)*Settings!$B$9+N(AJ469)*Settings!$B$10)/AO469*1000)</f>
        <v/>
      </c>
      <c r="AY469" s="36" t="str">
        <f aca="false">IF(AS469="","",IFERROR(AS469/AVERAGEIFS('Post Tracker'!$AS$5:$AS$1004,'Post Tracker'!$G$5:$G$1004,G469),""))</f>
        <v/>
      </c>
      <c r="AZ469" s="32"/>
      <c r="BA469" s="32"/>
      <c r="BB469" s="32"/>
      <c r="BC469" s="32"/>
      <c r="BD469" s="33" t="str">
        <f aca="false">IF(A469="","",COUNTIFS('Demo Pipeline'!$Q$5:$Q$504,A469))</f>
        <v/>
      </c>
      <c r="BE469" s="33" t="str">
        <f aca="false">IF(A469="","",COUNTIFS('Demo Pipeline'!$Q$5:$Q$504,A469,'Demo Pipeline'!$W$5:$W$504,"Attended"))</f>
        <v/>
      </c>
      <c r="BF469" s="33" t="str">
        <f aca="false">IF(A469="","",COUNTIFS('Demo Pipeline'!$Q$5:$Q$504,A469,'Demo Pipeline'!$X$5:$X$504,"Yes"))</f>
        <v/>
      </c>
      <c r="BG469" s="33" t="str">
        <f aca="false">IF(A469="","",COUNTIFS('Demo Pipeline'!$Q$5:$Q$504,A469,'Demo Pipeline'!$Y$5:$Y$504,"Closed Won"))</f>
        <v/>
      </c>
      <c r="BH469" s="37" t="str">
        <f aca="false">IF(A469="","",SUMIFS('Demo Pipeline'!$Z$5:$Z$504,'Demo Pipeline'!$Q$5:$Q$504,A469))</f>
        <v/>
      </c>
      <c r="BI469" s="34" t="str">
        <f aca="false">IF(OR(AZ469="",N(AJ469)=0),"",AZ469/AJ469)</f>
        <v/>
      </c>
      <c r="BJ469" s="34" t="str">
        <f aca="false">IF(OR(BB469="",N(AZ469)=0),"",BB469/AZ469)</f>
        <v/>
      </c>
      <c r="BK469" s="34" t="str">
        <f aca="false">IF(OR(A469="",N(BB469)=0),"",BD469/BB469)</f>
        <v/>
      </c>
      <c r="BL469" s="34" t="str">
        <f aca="false">IF(OR(A469="",N(AZ469)=0),"",BD469/AZ469)</f>
        <v/>
      </c>
      <c r="BM469" s="37" t="str">
        <f aca="false">IF(OR(N(Q469)=0,N(BD469)=0),"",Q469/BD469)</f>
        <v/>
      </c>
      <c r="BN469" s="29"/>
      <c r="BO469" s="29"/>
      <c r="BP469" s="33" t="str">
        <f aca="false">IF(OR(AR469="",N(AO469)=0),"",AR469)</f>
        <v/>
      </c>
      <c r="BQ469" s="33" t="str">
        <f aca="false">IF(OR(AR469="",N(S469)=0),"",S469)</f>
        <v/>
      </c>
      <c r="BR469" s="38" t="str">
        <f aca="false">IF(AND(ISNUMBER(B469),B469&gt;=Dashboard!$C$4,B469&lt;=Dashboard!$F$4,ISNUMBER(AU469)),AU469+ROW()/10^9,"")</f>
        <v/>
      </c>
      <c r="BS469" s="38" t="str">
        <f aca="false">IF(AND(ISNUMBER(B469),B469&gt;=Dashboard!$C$4,B469&lt;=Dashboard!$F$4,A469&lt;&gt;""),N(BD469)+N(AU469)/100+ROW()/10^9,"")</f>
        <v/>
      </c>
    </row>
    <row r="470" customFormat="false" ht="15" hidden="false" customHeight="false" outlineLevel="0" collapsed="false">
      <c r="A470" s="24" t="str">
        <f aca="false">IF(OR(B470="",G470="",H470=""),"",IFERROR(INDEX(Settings!$E$5:$E$49,MATCH(G470,Settings!$D$5:$D$49,0))&amp;INDEX(Settings!$H$5:$H$47,MATCH(H470,Settings!$G$5:$G$47,0))&amp;"-"&amp;TEXT(B470,"yymmdd")&amp;"-"&amp;IF(C470="","0000",TEXT(C470,"hhmm")),"CHECK LISTS"))</f>
        <v/>
      </c>
      <c r="B470" s="39"/>
      <c r="C470" s="40"/>
      <c r="D470" s="24" t="str">
        <f aca="false">IF(B470="","",TEXT(B470,"ddd"))</f>
        <v/>
      </c>
      <c r="E470" s="27" t="str">
        <f aca="false">IF(B470="","",B470-WEEKDAY(B470,3))</f>
        <v/>
      </c>
      <c r="F470" s="24" t="str">
        <f aca="false">IF(B470="","",TEXT(B470,"yyyy-mm"))</f>
        <v/>
      </c>
      <c r="G470" s="29"/>
      <c r="H470" s="29"/>
      <c r="I470" s="29"/>
      <c r="J470" s="29"/>
      <c r="K470" s="29"/>
      <c r="L470" s="29"/>
      <c r="M470" s="29"/>
      <c r="N470" s="29"/>
      <c r="O470" s="29"/>
      <c r="P470" s="29"/>
      <c r="Q470" s="30"/>
      <c r="R470" s="29"/>
      <c r="S470" s="32"/>
      <c r="T470" s="29"/>
      <c r="U470" s="29"/>
      <c r="V470" s="24" t="str">
        <f aca="false">IF(A470="","",IFERROR(INDEX(Settings!$F$5:$F$49,MATCH(G470,Settings!$D$5:$D$49,0)),""))</f>
        <v/>
      </c>
      <c r="W470" s="24" t="str">
        <f aca="false">IF(A470="","",IF(OR(P470="",P470="Organic"),"social","paid_social"))</f>
        <v/>
      </c>
      <c r="X470" s="24" t="str">
        <f aca="false">IF(A470="","",IF(K470&lt;&gt;"",IFERROR(INDEX('Case Studies'!$C$5:$C$54,MATCH(K470,'Case Studies'!$B$5:$B$54,0))&amp;"","case-study"),IF(J470&lt;&gt;"",IFERROR(INDEX(Settings!$J$5:$J$55,MATCH(J470,Settings!$I$5:$I$55,0)),"general"),"general")))</f>
        <v/>
      </c>
      <c r="Y470" s="24" t="str">
        <f aca="false">IF(A470="","",LOWER(A470))</f>
        <v/>
      </c>
      <c r="Z470" s="24" t="str">
        <f aca="false">IF(A470="","",IF(T470="",Settings!$B$5,T470)&amp;IF(ISNUMBER(FIND("?",IF(T470="",Settings!$B$5,T470))),"&amp;","?")&amp;"utm_source="&amp;V470&amp;"&amp;utm_medium="&amp;W470&amp;"&amp;utm_campaign="&amp;X470&amp;"&amp;utm_content="&amp;Y470)</f>
        <v/>
      </c>
      <c r="AA470" s="29"/>
      <c r="AB470" s="39"/>
      <c r="AC470" s="32"/>
      <c r="AD470" s="32"/>
      <c r="AE470" s="32"/>
      <c r="AF470" s="32"/>
      <c r="AG470" s="32"/>
      <c r="AH470" s="32"/>
      <c r="AI470" s="32"/>
      <c r="AJ470" s="32"/>
      <c r="AK470" s="32"/>
      <c r="AL470" s="32"/>
      <c r="AM470" s="32"/>
      <c r="AN470" s="32"/>
      <c r="AO470" s="33" t="str">
        <f aca="false">IF(A470="","",IF(AD470&lt;&gt;"",AD470,IF(AC470&lt;&gt;"",AC470,"")))</f>
        <v/>
      </c>
      <c r="AP470" s="24" t="str">
        <f aca="false">IF(AO470="","",IF(AD470&lt;&gt;"","Reported reach","Impressions (proxy)"))</f>
        <v/>
      </c>
      <c r="AQ470" s="34" t="str">
        <f aca="false">IF(OR(AO470="",N(S470)=0),"",AO470/S470)</f>
        <v/>
      </c>
      <c r="AR470" s="33" t="str">
        <f aca="false">IF(A470="","",IF(COUNT(AF470:AJ470)=0,"",SUM(AF470:AJ470)))</f>
        <v/>
      </c>
      <c r="AS470" s="34" t="str">
        <f aca="false">IF(OR(AR470="",N(AO470)=0),"",AR470/AO470)</f>
        <v/>
      </c>
      <c r="AT470" s="34" t="str">
        <f aca="false">IF(OR(AR470="",N(AC470)=0),"",AR470/AC470)</f>
        <v/>
      </c>
      <c r="AU470" s="34" t="str">
        <f aca="false">IF(OR(AR470="",N(S470)=0),"",AR470/S470)</f>
        <v/>
      </c>
      <c r="AV470" s="34" t="str">
        <f aca="false">IF(OR(AJ470="",N(AC470)=0),"",AJ470/AC470)</f>
        <v/>
      </c>
      <c r="AW470" s="34" t="str">
        <f aca="false">IF(OR(AH470="",N(AO470)=0),"",AH470/AO470)</f>
        <v/>
      </c>
      <c r="AX470" s="35" t="str">
        <f aca="false">IF(OR(AR470="",N(AO470)=0),"",(N(AF470)*Settings!$B$6+N(AG470)*Settings!$B$7+N(AH470)*Settings!$B$8+N(AI470)*Settings!$B$9+N(AJ470)*Settings!$B$10)/AO470*1000)</f>
        <v/>
      </c>
      <c r="AY470" s="36" t="str">
        <f aca="false">IF(AS470="","",IFERROR(AS470/AVERAGEIFS('Post Tracker'!$AS$5:$AS$1004,'Post Tracker'!$G$5:$G$1004,G470),""))</f>
        <v/>
      </c>
      <c r="AZ470" s="32"/>
      <c r="BA470" s="32"/>
      <c r="BB470" s="32"/>
      <c r="BC470" s="32"/>
      <c r="BD470" s="33" t="str">
        <f aca="false">IF(A470="","",COUNTIFS('Demo Pipeline'!$Q$5:$Q$504,A470))</f>
        <v/>
      </c>
      <c r="BE470" s="33" t="str">
        <f aca="false">IF(A470="","",COUNTIFS('Demo Pipeline'!$Q$5:$Q$504,A470,'Demo Pipeline'!$W$5:$W$504,"Attended"))</f>
        <v/>
      </c>
      <c r="BF470" s="33" t="str">
        <f aca="false">IF(A470="","",COUNTIFS('Demo Pipeline'!$Q$5:$Q$504,A470,'Demo Pipeline'!$X$5:$X$504,"Yes"))</f>
        <v/>
      </c>
      <c r="BG470" s="33" t="str">
        <f aca="false">IF(A470="","",COUNTIFS('Demo Pipeline'!$Q$5:$Q$504,A470,'Demo Pipeline'!$Y$5:$Y$504,"Closed Won"))</f>
        <v/>
      </c>
      <c r="BH470" s="37" t="str">
        <f aca="false">IF(A470="","",SUMIFS('Demo Pipeline'!$Z$5:$Z$504,'Demo Pipeline'!$Q$5:$Q$504,A470))</f>
        <v/>
      </c>
      <c r="BI470" s="34" t="str">
        <f aca="false">IF(OR(AZ470="",N(AJ470)=0),"",AZ470/AJ470)</f>
        <v/>
      </c>
      <c r="BJ470" s="34" t="str">
        <f aca="false">IF(OR(BB470="",N(AZ470)=0),"",BB470/AZ470)</f>
        <v/>
      </c>
      <c r="BK470" s="34" t="str">
        <f aca="false">IF(OR(A470="",N(BB470)=0),"",BD470/BB470)</f>
        <v/>
      </c>
      <c r="BL470" s="34" t="str">
        <f aca="false">IF(OR(A470="",N(AZ470)=0),"",BD470/AZ470)</f>
        <v/>
      </c>
      <c r="BM470" s="37" t="str">
        <f aca="false">IF(OR(N(Q470)=0,N(BD470)=0),"",Q470/BD470)</f>
        <v/>
      </c>
      <c r="BN470" s="29"/>
      <c r="BO470" s="29"/>
      <c r="BP470" s="33" t="str">
        <f aca="false">IF(OR(AR470="",N(AO470)=0),"",AR470)</f>
        <v/>
      </c>
      <c r="BQ470" s="33" t="str">
        <f aca="false">IF(OR(AR470="",N(S470)=0),"",S470)</f>
        <v/>
      </c>
      <c r="BR470" s="38" t="str">
        <f aca="false">IF(AND(ISNUMBER(B470),B470&gt;=Dashboard!$C$4,B470&lt;=Dashboard!$F$4,ISNUMBER(AU470)),AU470+ROW()/10^9,"")</f>
        <v/>
      </c>
      <c r="BS470" s="38" t="str">
        <f aca="false">IF(AND(ISNUMBER(B470),B470&gt;=Dashboard!$C$4,B470&lt;=Dashboard!$F$4,A470&lt;&gt;""),N(BD470)+N(AU470)/100+ROW()/10^9,"")</f>
        <v/>
      </c>
    </row>
    <row r="471" customFormat="false" ht="15" hidden="false" customHeight="false" outlineLevel="0" collapsed="false">
      <c r="A471" s="24" t="str">
        <f aca="false">IF(OR(B471="",G471="",H471=""),"",IFERROR(INDEX(Settings!$E$5:$E$49,MATCH(G471,Settings!$D$5:$D$49,0))&amp;INDEX(Settings!$H$5:$H$47,MATCH(H471,Settings!$G$5:$G$47,0))&amp;"-"&amp;TEXT(B471,"yymmdd")&amp;"-"&amp;IF(C471="","0000",TEXT(C471,"hhmm")),"CHECK LISTS"))</f>
        <v/>
      </c>
      <c r="B471" s="39"/>
      <c r="C471" s="40"/>
      <c r="D471" s="24" t="str">
        <f aca="false">IF(B471="","",TEXT(B471,"ddd"))</f>
        <v/>
      </c>
      <c r="E471" s="27" t="str">
        <f aca="false">IF(B471="","",B471-WEEKDAY(B471,3))</f>
        <v/>
      </c>
      <c r="F471" s="24" t="str">
        <f aca="false">IF(B471="","",TEXT(B471,"yyyy-mm"))</f>
        <v/>
      </c>
      <c r="G471" s="29"/>
      <c r="H471" s="29"/>
      <c r="I471" s="29"/>
      <c r="J471" s="29"/>
      <c r="K471" s="29"/>
      <c r="L471" s="29"/>
      <c r="M471" s="29"/>
      <c r="N471" s="29"/>
      <c r="O471" s="29"/>
      <c r="P471" s="29"/>
      <c r="Q471" s="30"/>
      <c r="R471" s="29"/>
      <c r="S471" s="32"/>
      <c r="T471" s="29"/>
      <c r="U471" s="29"/>
      <c r="V471" s="24" t="str">
        <f aca="false">IF(A471="","",IFERROR(INDEX(Settings!$F$5:$F$49,MATCH(G471,Settings!$D$5:$D$49,0)),""))</f>
        <v/>
      </c>
      <c r="W471" s="24" t="str">
        <f aca="false">IF(A471="","",IF(OR(P471="",P471="Organic"),"social","paid_social"))</f>
        <v/>
      </c>
      <c r="X471" s="24" t="str">
        <f aca="false">IF(A471="","",IF(K471&lt;&gt;"",IFERROR(INDEX('Case Studies'!$C$5:$C$54,MATCH(K471,'Case Studies'!$B$5:$B$54,0))&amp;"","case-study"),IF(J471&lt;&gt;"",IFERROR(INDEX(Settings!$J$5:$J$55,MATCH(J471,Settings!$I$5:$I$55,0)),"general"),"general")))</f>
        <v/>
      </c>
      <c r="Y471" s="24" t="str">
        <f aca="false">IF(A471="","",LOWER(A471))</f>
        <v/>
      </c>
      <c r="Z471" s="24" t="str">
        <f aca="false">IF(A471="","",IF(T471="",Settings!$B$5,T471)&amp;IF(ISNUMBER(FIND("?",IF(T471="",Settings!$B$5,T471))),"&amp;","?")&amp;"utm_source="&amp;V471&amp;"&amp;utm_medium="&amp;W471&amp;"&amp;utm_campaign="&amp;X471&amp;"&amp;utm_content="&amp;Y471)</f>
        <v/>
      </c>
      <c r="AA471" s="29"/>
      <c r="AB471" s="39"/>
      <c r="AC471" s="32"/>
      <c r="AD471" s="32"/>
      <c r="AE471" s="32"/>
      <c r="AF471" s="32"/>
      <c r="AG471" s="32"/>
      <c r="AH471" s="32"/>
      <c r="AI471" s="32"/>
      <c r="AJ471" s="32"/>
      <c r="AK471" s="32"/>
      <c r="AL471" s="32"/>
      <c r="AM471" s="32"/>
      <c r="AN471" s="32"/>
      <c r="AO471" s="33" t="str">
        <f aca="false">IF(A471="","",IF(AD471&lt;&gt;"",AD471,IF(AC471&lt;&gt;"",AC471,"")))</f>
        <v/>
      </c>
      <c r="AP471" s="24" t="str">
        <f aca="false">IF(AO471="","",IF(AD471&lt;&gt;"","Reported reach","Impressions (proxy)"))</f>
        <v/>
      </c>
      <c r="AQ471" s="34" t="str">
        <f aca="false">IF(OR(AO471="",N(S471)=0),"",AO471/S471)</f>
        <v/>
      </c>
      <c r="AR471" s="33" t="str">
        <f aca="false">IF(A471="","",IF(COUNT(AF471:AJ471)=0,"",SUM(AF471:AJ471)))</f>
        <v/>
      </c>
      <c r="AS471" s="34" t="str">
        <f aca="false">IF(OR(AR471="",N(AO471)=0),"",AR471/AO471)</f>
        <v/>
      </c>
      <c r="AT471" s="34" t="str">
        <f aca="false">IF(OR(AR471="",N(AC471)=0),"",AR471/AC471)</f>
        <v/>
      </c>
      <c r="AU471" s="34" t="str">
        <f aca="false">IF(OR(AR471="",N(S471)=0),"",AR471/S471)</f>
        <v/>
      </c>
      <c r="AV471" s="34" t="str">
        <f aca="false">IF(OR(AJ471="",N(AC471)=0),"",AJ471/AC471)</f>
        <v/>
      </c>
      <c r="AW471" s="34" t="str">
        <f aca="false">IF(OR(AH471="",N(AO471)=0),"",AH471/AO471)</f>
        <v/>
      </c>
      <c r="AX471" s="35" t="str">
        <f aca="false">IF(OR(AR471="",N(AO471)=0),"",(N(AF471)*Settings!$B$6+N(AG471)*Settings!$B$7+N(AH471)*Settings!$B$8+N(AI471)*Settings!$B$9+N(AJ471)*Settings!$B$10)/AO471*1000)</f>
        <v/>
      </c>
      <c r="AY471" s="36" t="str">
        <f aca="false">IF(AS471="","",IFERROR(AS471/AVERAGEIFS('Post Tracker'!$AS$5:$AS$1004,'Post Tracker'!$G$5:$G$1004,G471),""))</f>
        <v/>
      </c>
      <c r="AZ471" s="32"/>
      <c r="BA471" s="32"/>
      <c r="BB471" s="32"/>
      <c r="BC471" s="32"/>
      <c r="BD471" s="33" t="str">
        <f aca="false">IF(A471="","",COUNTIFS('Demo Pipeline'!$Q$5:$Q$504,A471))</f>
        <v/>
      </c>
      <c r="BE471" s="33" t="str">
        <f aca="false">IF(A471="","",COUNTIFS('Demo Pipeline'!$Q$5:$Q$504,A471,'Demo Pipeline'!$W$5:$W$504,"Attended"))</f>
        <v/>
      </c>
      <c r="BF471" s="33" t="str">
        <f aca="false">IF(A471="","",COUNTIFS('Demo Pipeline'!$Q$5:$Q$504,A471,'Demo Pipeline'!$X$5:$X$504,"Yes"))</f>
        <v/>
      </c>
      <c r="BG471" s="33" t="str">
        <f aca="false">IF(A471="","",COUNTIFS('Demo Pipeline'!$Q$5:$Q$504,A471,'Demo Pipeline'!$Y$5:$Y$504,"Closed Won"))</f>
        <v/>
      </c>
      <c r="BH471" s="37" t="str">
        <f aca="false">IF(A471="","",SUMIFS('Demo Pipeline'!$Z$5:$Z$504,'Demo Pipeline'!$Q$5:$Q$504,A471))</f>
        <v/>
      </c>
      <c r="BI471" s="34" t="str">
        <f aca="false">IF(OR(AZ471="",N(AJ471)=0),"",AZ471/AJ471)</f>
        <v/>
      </c>
      <c r="BJ471" s="34" t="str">
        <f aca="false">IF(OR(BB471="",N(AZ471)=0),"",BB471/AZ471)</f>
        <v/>
      </c>
      <c r="BK471" s="34" t="str">
        <f aca="false">IF(OR(A471="",N(BB471)=0),"",BD471/BB471)</f>
        <v/>
      </c>
      <c r="BL471" s="34" t="str">
        <f aca="false">IF(OR(A471="",N(AZ471)=0),"",BD471/AZ471)</f>
        <v/>
      </c>
      <c r="BM471" s="37" t="str">
        <f aca="false">IF(OR(N(Q471)=0,N(BD471)=0),"",Q471/BD471)</f>
        <v/>
      </c>
      <c r="BN471" s="29"/>
      <c r="BO471" s="29"/>
      <c r="BP471" s="33" t="str">
        <f aca="false">IF(OR(AR471="",N(AO471)=0),"",AR471)</f>
        <v/>
      </c>
      <c r="BQ471" s="33" t="str">
        <f aca="false">IF(OR(AR471="",N(S471)=0),"",S471)</f>
        <v/>
      </c>
      <c r="BR471" s="38" t="str">
        <f aca="false">IF(AND(ISNUMBER(B471),B471&gt;=Dashboard!$C$4,B471&lt;=Dashboard!$F$4,ISNUMBER(AU471)),AU471+ROW()/10^9,"")</f>
        <v/>
      </c>
      <c r="BS471" s="38" t="str">
        <f aca="false">IF(AND(ISNUMBER(B471),B471&gt;=Dashboard!$C$4,B471&lt;=Dashboard!$F$4,A471&lt;&gt;""),N(BD471)+N(AU471)/100+ROW()/10^9,"")</f>
        <v/>
      </c>
    </row>
    <row r="472" customFormat="false" ht="15" hidden="false" customHeight="false" outlineLevel="0" collapsed="false">
      <c r="A472" s="24" t="str">
        <f aca="false">IF(OR(B472="",G472="",H472=""),"",IFERROR(INDEX(Settings!$E$5:$E$49,MATCH(G472,Settings!$D$5:$D$49,0))&amp;INDEX(Settings!$H$5:$H$47,MATCH(H472,Settings!$G$5:$G$47,0))&amp;"-"&amp;TEXT(B472,"yymmdd")&amp;"-"&amp;IF(C472="","0000",TEXT(C472,"hhmm")),"CHECK LISTS"))</f>
        <v/>
      </c>
      <c r="B472" s="39"/>
      <c r="C472" s="40"/>
      <c r="D472" s="24" t="str">
        <f aca="false">IF(B472="","",TEXT(B472,"ddd"))</f>
        <v/>
      </c>
      <c r="E472" s="27" t="str">
        <f aca="false">IF(B472="","",B472-WEEKDAY(B472,3))</f>
        <v/>
      </c>
      <c r="F472" s="24" t="str">
        <f aca="false">IF(B472="","",TEXT(B472,"yyyy-mm"))</f>
        <v/>
      </c>
      <c r="G472" s="29"/>
      <c r="H472" s="29"/>
      <c r="I472" s="29"/>
      <c r="J472" s="29"/>
      <c r="K472" s="29"/>
      <c r="L472" s="29"/>
      <c r="M472" s="29"/>
      <c r="N472" s="29"/>
      <c r="O472" s="29"/>
      <c r="P472" s="29"/>
      <c r="Q472" s="30"/>
      <c r="R472" s="29"/>
      <c r="S472" s="32"/>
      <c r="T472" s="29"/>
      <c r="U472" s="29"/>
      <c r="V472" s="24" t="str">
        <f aca="false">IF(A472="","",IFERROR(INDEX(Settings!$F$5:$F$49,MATCH(G472,Settings!$D$5:$D$49,0)),""))</f>
        <v/>
      </c>
      <c r="W472" s="24" t="str">
        <f aca="false">IF(A472="","",IF(OR(P472="",P472="Organic"),"social","paid_social"))</f>
        <v/>
      </c>
      <c r="X472" s="24" t="str">
        <f aca="false">IF(A472="","",IF(K472&lt;&gt;"",IFERROR(INDEX('Case Studies'!$C$5:$C$54,MATCH(K472,'Case Studies'!$B$5:$B$54,0))&amp;"","case-study"),IF(J472&lt;&gt;"",IFERROR(INDEX(Settings!$J$5:$J$55,MATCH(J472,Settings!$I$5:$I$55,0)),"general"),"general")))</f>
        <v/>
      </c>
      <c r="Y472" s="24" t="str">
        <f aca="false">IF(A472="","",LOWER(A472))</f>
        <v/>
      </c>
      <c r="Z472" s="24" t="str">
        <f aca="false">IF(A472="","",IF(T472="",Settings!$B$5,T472)&amp;IF(ISNUMBER(FIND("?",IF(T472="",Settings!$B$5,T472))),"&amp;","?")&amp;"utm_source="&amp;V472&amp;"&amp;utm_medium="&amp;W472&amp;"&amp;utm_campaign="&amp;X472&amp;"&amp;utm_content="&amp;Y472)</f>
        <v/>
      </c>
      <c r="AA472" s="29"/>
      <c r="AB472" s="39"/>
      <c r="AC472" s="32"/>
      <c r="AD472" s="32"/>
      <c r="AE472" s="32"/>
      <c r="AF472" s="32"/>
      <c r="AG472" s="32"/>
      <c r="AH472" s="32"/>
      <c r="AI472" s="32"/>
      <c r="AJ472" s="32"/>
      <c r="AK472" s="32"/>
      <c r="AL472" s="32"/>
      <c r="AM472" s="32"/>
      <c r="AN472" s="32"/>
      <c r="AO472" s="33" t="str">
        <f aca="false">IF(A472="","",IF(AD472&lt;&gt;"",AD472,IF(AC472&lt;&gt;"",AC472,"")))</f>
        <v/>
      </c>
      <c r="AP472" s="24" t="str">
        <f aca="false">IF(AO472="","",IF(AD472&lt;&gt;"","Reported reach","Impressions (proxy)"))</f>
        <v/>
      </c>
      <c r="AQ472" s="34" t="str">
        <f aca="false">IF(OR(AO472="",N(S472)=0),"",AO472/S472)</f>
        <v/>
      </c>
      <c r="AR472" s="33" t="str">
        <f aca="false">IF(A472="","",IF(COUNT(AF472:AJ472)=0,"",SUM(AF472:AJ472)))</f>
        <v/>
      </c>
      <c r="AS472" s="34" t="str">
        <f aca="false">IF(OR(AR472="",N(AO472)=0),"",AR472/AO472)</f>
        <v/>
      </c>
      <c r="AT472" s="34" t="str">
        <f aca="false">IF(OR(AR472="",N(AC472)=0),"",AR472/AC472)</f>
        <v/>
      </c>
      <c r="AU472" s="34" t="str">
        <f aca="false">IF(OR(AR472="",N(S472)=0),"",AR472/S472)</f>
        <v/>
      </c>
      <c r="AV472" s="34" t="str">
        <f aca="false">IF(OR(AJ472="",N(AC472)=0),"",AJ472/AC472)</f>
        <v/>
      </c>
      <c r="AW472" s="34" t="str">
        <f aca="false">IF(OR(AH472="",N(AO472)=0),"",AH472/AO472)</f>
        <v/>
      </c>
      <c r="AX472" s="35" t="str">
        <f aca="false">IF(OR(AR472="",N(AO472)=0),"",(N(AF472)*Settings!$B$6+N(AG472)*Settings!$B$7+N(AH472)*Settings!$B$8+N(AI472)*Settings!$B$9+N(AJ472)*Settings!$B$10)/AO472*1000)</f>
        <v/>
      </c>
      <c r="AY472" s="36" t="str">
        <f aca="false">IF(AS472="","",IFERROR(AS472/AVERAGEIFS('Post Tracker'!$AS$5:$AS$1004,'Post Tracker'!$G$5:$G$1004,G472),""))</f>
        <v/>
      </c>
      <c r="AZ472" s="32"/>
      <c r="BA472" s="32"/>
      <c r="BB472" s="32"/>
      <c r="BC472" s="32"/>
      <c r="BD472" s="33" t="str">
        <f aca="false">IF(A472="","",COUNTIFS('Demo Pipeline'!$Q$5:$Q$504,A472))</f>
        <v/>
      </c>
      <c r="BE472" s="33" t="str">
        <f aca="false">IF(A472="","",COUNTIFS('Demo Pipeline'!$Q$5:$Q$504,A472,'Demo Pipeline'!$W$5:$W$504,"Attended"))</f>
        <v/>
      </c>
      <c r="BF472" s="33" t="str">
        <f aca="false">IF(A472="","",COUNTIFS('Demo Pipeline'!$Q$5:$Q$504,A472,'Demo Pipeline'!$X$5:$X$504,"Yes"))</f>
        <v/>
      </c>
      <c r="BG472" s="33" t="str">
        <f aca="false">IF(A472="","",COUNTIFS('Demo Pipeline'!$Q$5:$Q$504,A472,'Demo Pipeline'!$Y$5:$Y$504,"Closed Won"))</f>
        <v/>
      </c>
      <c r="BH472" s="37" t="str">
        <f aca="false">IF(A472="","",SUMIFS('Demo Pipeline'!$Z$5:$Z$504,'Demo Pipeline'!$Q$5:$Q$504,A472))</f>
        <v/>
      </c>
      <c r="BI472" s="34" t="str">
        <f aca="false">IF(OR(AZ472="",N(AJ472)=0),"",AZ472/AJ472)</f>
        <v/>
      </c>
      <c r="BJ472" s="34" t="str">
        <f aca="false">IF(OR(BB472="",N(AZ472)=0),"",BB472/AZ472)</f>
        <v/>
      </c>
      <c r="BK472" s="34" t="str">
        <f aca="false">IF(OR(A472="",N(BB472)=0),"",BD472/BB472)</f>
        <v/>
      </c>
      <c r="BL472" s="34" t="str">
        <f aca="false">IF(OR(A472="",N(AZ472)=0),"",BD472/AZ472)</f>
        <v/>
      </c>
      <c r="BM472" s="37" t="str">
        <f aca="false">IF(OR(N(Q472)=0,N(BD472)=0),"",Q472/BD472)</f>
        <v/>
      </c>
      <c r="BN472" s="29"/>
      <c r="BO472" s="29"/>
      <c r="BP472" s="33" t="str">
        <f aca="false">IF(OR(AR472="",N(AO472)=0),"",AR472)</f>
        <v/>
      </c>
      <c r="BQ472" s="33" t="str">
        <f aca="false">IF(OR(AR472="",N(S472)=0),"",S472)</f>
        <v/>
      </c>
      <c r="BR472" s="38" t="str">
        <f aca="false">IF(AND(ISNUMBER(B472),B472&gt;=Dashboard!$C$4,B472&lt;=Dashboard!$F$4,ISNUMBER(AU472)),AU472+ROW()/10^9,"")</f>
        <v/>
      </c>
      <c r="BS472" s="38" t="str">
        <f aca="false">IF(AND(ISNUMBER(B472),B472&gt;=Dashboard!$C$4,B472&lt;=Dashboard!$F$4,A472&lt;&gt;""),N(BD472)+N(AU472)/100+ROW()/10^9,"")</f>
        <v/>
      </c>
    </row>
    <row r="473" customFormat="false" ht="15" hidden="false" customHeight="false" outlineLevel="0" collapsed="false">
      <c r="A473" s="24" t="str">
        <f aca="false">IF(OR(B473="",G473="",H473=""),"",IFERROR(INDEX(Settings!$E$5:$E$49,MATCH(G473,Settings!$D$5:$D$49,0))&amp;INDEX(Settings!$H$5:$H$47,MATCH(H473,Settings!$G$5:$G$47,0))&amp;"-"&amp;TEXT(B473,"yymmdd")&amp;"-"&amp;IF(C473="","0000",TEXT(C473,"hhmm")),"CHECK LISTS"))</f>
        <v/>
      </c>
      <c r="B473" s="39"/>
      <c r="C473" s="40"/>
      <c r="D473" s="24" t="str">
        <f aca="false">IF(B473="","",TEXT(B473,"ddd"))</f>
        <v/>
      </c>
      <c r="E473" s="27" t="str">
        <f aca="false">IF(B473="","",B473-WEEKDAY(B473,3))</f>
        <v/>
      </c>
      <c r="F473" s="24" t="str">
        <f aca="false">IF(B473="","",TEXT(B473,"yyyy-mm"))</f>
        <v/>
      </c>
      <c r="G473" s="29"/>
      <c r="H473" s="29"/>
      <c r="I473" s="29"/>
      <c r="J473" s="29"/>
      <c r="K473" s="29"/>
      <c r="L473" s="29"/>
      <c r="M473" s="29"/>
      <c r="N473" s="29"/>
      <c r="O473" s="29"/>
      <c r="P473" s="29"/>
      <c r="Q473" s="30"/>
      <c r="R473" s="29"/>
      <c r="S473" s="32"/>
      <c r="T473" s="29"/>
      <c r="U473" s="29"/>
      <c r="V473" s="24" t="str">
        <f aca="false">IF(A473="","",IFERROR(INDEX(Settings!$F$5:$F$49,MATCH(G473,Settings!$D$5:$D$49,0)),""))</f>
        <v/>
      </c>
      <c r="W473" s="24" t="str">
        <f aca="false">IF(A473="","",IF(OR(P473="",P473="Organic"),"social","paid_social"))</f>
        <v/>
      </c>
      <c r="X473" s="24" t="str">
        <f aca="false">IF(A473="","",IF(K473&lt;&gt;"",IFERROR(INDEX('Case Studies'!$C$5:$C$54,MATCH(K473,'Case Studies'!$B$5:$B$54,0))&amp;"","case-study"),IF(J473&lt;&gt;"",IFERROR(INDEX(Settings!$J$5:$J$55,MATCH(J473,Settings!$I$5:$I$55,0)),"general"),"general")))</f>
        <v/>
      </c>
      <c r="Y473" s="24" t="str">
        <f aca="false">IF(A473="","",LOWER(A473))</f>
        <v/>
      </c>
      <c r="Z473" s="24" t="str">
        <f aca="false">IF(A473="","",IF(T473="",Settings!$B$5,T473)&amp;IF(ISNUMBER(FIND("?",IF(T473="",Settings!$B$5,T473))),"&amp;","?")&amp;"utm_source="&amp;V473&amp;"&amp;utm_medium="&amp;W473&amp;"&amp;utm_campaign="&amp;X473&amp;"&amp;utm_content="&amp;Y473)</f>
        <v/>
      </c>
      <c r="AA473" s="29"/>
      <c r="AB473" s="39"/>
      <c r="AC473" s="32"/>
      <c r="AD473" s="32"/>
      <c r="AE473" s="32"/>
      <c r="AF473" s="32"/>
      <c r="AG473" s="32"/>
      <c r="AH473" s="32"/>
      <c r="AI473" s="32"/>
      <c r="AJ473" s="32"/>
      <c r="AK473" s="32"/>
      <c r="AL473" s="32"/>
      <c r="AM473" s="32"/>
      <c r="AN473" s="32"/>
      <c r="AO473" s="33" t="str">
        <f aca="false">IF(A473="","",IF(AD473&lt;&gt;"",AD473,IF(AC473&lt;&gt;"",AC473,"")))</f>
        <v/>
      </c>
      <c r="AP473" s="24" t="str">
        <f aca="false">IF(AO473="","",IF(AD473&lt;&gt;"","Reported reach","Impressions (proxy)"))</f>
        <v/>
      </c>
      <c r="AQ473" s="34" t="str">
        <f aca="false">IF(OR(AO473="",N(S473)=0),"",AO473/S473)</f>
        <v/>
      </c>
      <c r="AR473" s="33" t="str">
        <f aca="false">IF(A473="","",IF(COUNT(AF473:AJ473)=0,"",SUM(AF473:AJ473)))</f>
        <v/>
      </c>
      <c r="AS473" s="34" t="str">
        <f aca="false">IF(OR(AR473="",N(AO473)=0),"",AR473/AO473)</f>
        <v/>
      </c>
      <c r="AT473" s="34" t="str">
        <f aca="false">IF(OR(AR473="",N(AC473)=0),"",AR473/AC473)</f>
        <v/>
      </c>
      <c r="AU473" s="34" t="str">
        <f aca="false">IF(OR(AR473="",N(S473)=0),"",AR473/S473)</f>
        <v/>
      </c>
      <c r="AV473" s="34" t="str">
        <f aca="false">IF(OR(AJ473="",N(AC473)=0),"",AJ473/AC473)</f>
        <v/>
      </c>
      <c r="AW473" s="34" t="str">
        <f aca="false">IF(OR(AH473="",N(AO473)=0),"",AH473/AO473)</f>
        <v/>
      </c>
      <c r="AX473" s="35" t="str">
        <f aca="false">IF(OR(AR473="",N(AO473)=0),"",(N(AF473)*Settings!$B$6+N(AG473)*Settings!$B$7+N(AH473)*Settings!$B$8+N(AI473)*Settings!$B$9+N(AJ473)*Settings!$B$10)/AO473*1000)</f>
        <v/>
      </c>
      <c r="AY473" s="36" t="str">
        <f aca="false">IF(AS473="","",IFERROR(AS473/AVERAGEIFS('Post Tracker'!$AS$5:$AS$1004,'Post Tracker'!$G$5:$G$1004,G473),""))</f>
        <v/>
      </c>
      <c r="AZ473" s="32"/>
      <c r="BA473" s="32"/>
      <c r="BB473" s="32"/>
      <c r="BC473" s="32"/>
      <c r="BD473" s="33" t="str">
        <f aca="false">IF(A473="","",COUNTIFS('Demo Pipeline'!$Q$5:$Q$504,A473))</f>
        <v/>
      </c>
      <c r="BE473" s="33" t="str">
        <f aca="false">IF(A473="","",COUNTIFS('Demo Pipeline'!$Q$5:$Q$504,A473,'Demo Pipeline'!$W$5:$W$504,"Attended"))</f>
        <v/>
      </c>
      <c r="BF473" s="33" t="str">
        <f aca="false">IF(A473="","",COUNTIFS('Demo Pipeline'!$Q$5:$Q$504,A473,'Demo Pipeline'!$X$5:$X$504,"Yes"))</f>
        <v/>
      </c>
      <c r="BG473" s="33" t="str">
        <f aca="false">IF(A473="","",COUNTIFS('Demo Pipeline'!$Q$5:$Q$504,A473,'Demo Pipeline'!$Y$5:$Y$504,"Closed Won"))</f>
        <v/>
      </c>
      <c r="BH473" s="37" t="str">
        <f aca="false">IF(A473="","",SUMIFS('Demo Pipeline'!$Z$5:$Z$504,'Demo Pipeline'!$Q$5:$Q$504,A473))</f>
        <v/>
      </c>
      <c r="BI473" s="34" t="str">
        <f aca="false">IF(OR(AZ473="",N(AJ473)=0),"",AZ473/AJ473)</f>
        <v/>
      </c>
      <c r="BJ473" s="34" t="str">
        <f aca="false">IF(OR(BB473="",N(AZ473)=0),"",BB473/AZ473)</f>
        <v/>
      </c>
      <c r="BK473" s="34" t="str">
        <f aca="false">IF(OR(A473="",N(BB473)=0),"",BD473/BB473)</f>
        <v/>
      </c>
      <c r="BL473" s="34" t="str">
        <f aca="false">IF(OR(A473="",N(AZ473)=0),"",BD473/AZ473)</f>
        <v/>
      </c>
      <c r="BM473" s="37" t="str">
        <f aca="false">IF(OR(N(Q473)=0,N(BD473)=0),"",Q473/BD473)</f>
        <v/>
      </c>
      <c r="BN473" s="29"/>
      <c r="BO473" s="29"/>
      <c r="BP473" s="33" t="str">
        <f aca="false">IF(OR(AR473="",N(AO473)=0),"",AR473)</f>
        <v/>
      </c>
      <c r="BQ473" s="33" t="str">
        <f aca="false">IF(OR(AR473="",N(S473)=0),"",S473)</f>
        <v/>
      </c>
      <c r="BR473" s="38" t="str">
        <f aca="false">IF(AND(ISNUMBER(B473),B473&gt;=Dashboard!$C$4,B473&lt;=Dashboard!$F$4,ISNUMBER(AU473)),AU473+ROW()/10^9,"")</f>
        <v/>
      </c>
      <c r="BS473" s="38" t="str">
        <f aca="false">IF(AND(ISNUMBER(B473),B473&gt;=Dashboard!$C$4,B473&lt;=Dashboard!$F$4,A473&lt;&gt;""),N(BD473)+N(AU473)/100+ROW()/10^9,"")</f>
        <v/>
      </c>
    </row>
    <row r="474" customFormat="false" ht="15" hidden="false" customHeight="false" outlineLevel="0" collapsed="false">
      <c r="A474" s="24" t="str">
        <f aca="false">IF(OR(B474="",G474="",H474=""),"",IFERROR(INDEX(Settings!$E$5:$E$49,MATCH(G474,Settings!$D$5:$D$49,0))&amp;INDEX(Settings!$H$5:$H$47,MATCH(H474,Settings!$G$5:$G$47,0))&amp;"-"&amp;TEXT(B474,"yymmdd")&amp;"-"&amp;IF(C474="","0000",TEXT(C474,"hhmm")),"CHECK LISTS"))</f>
        <v/>
      </c>
      <c r="B474" s="39"/>
      <c r="C474" s="40"/>
      <c r="D474" s="24" t="str">
        <f aca="false">IF(B474="","",TEXT(B474,"ddd"))</f>
        <v/>
      </c>
      <c r="E474" s="27" t="str">
        <f aca="false">IF(B474="","",B474-WEEKDAY(B474,3))</f>
        <v/>
      </c>
      <c r="F474" s="24" t="str">
        <f aca="false">IF(B474="","",TEXT(B474,"yyyy-mm"))</f>
        <v/>
      </c>
      <c r="G474" s="29"/>
      <c r="H474" s="29"/>
      <c r="I474" s="29"/>
      <c r="J474" s="29"/>
      <c r="K474" s="29"/>
      <c r="L474" s="29"/>
      <c r="M474" s="29"/>
      <c r="N474" s="29"/>
      <c r="O474" s="29"/>
      <c r="P474" s="29"/>
      <c r="Q474" s="30"/>
      <c r="R474" s="29"/>
      <c r="S474" s="32"/>
      <c r="T474" s="29"/>
      <c r="U474" s="29"/>
      <c r="V474" s="24" t="str">
        <f aca="false">IF(A474="","",IFERROR(INDEX(Settings!$F$5:$F$49,MATCH(G474,Settings!$D$5:$D$49,0)),""))</f>
        <v/>
      </c>
      <c r="W474" s="24" t="str">
        <f aca="false">IF(A474="","",IF(OR(P474="",P474="Organic"),"social","paid_social"))</f>
        <v/>
      </c>
      <c r="X474" s="24" t="str">
        <f aca="false">IF(A474="","",IF(K474&lt;&gt;"",IFERROR(INDEX('Case Studies'!$C$5:$C$54,MATCH(K474,'Case Studies'!$B$5:$B$54,0))&amp;"","case-study"),IF(J474&lt;&gt;"",IFERROR(INDEX(Settings!$J$5:$J$55,MATCH(J474,Settings!$I$5:$I$55,0)),"general"),"general")))</f>
        <v/>
      </c>
      <c r="Y474" s="24" t="str">
        <f aca="false">IF(A474="","",LOWER(A474))</f>
        <v/>
      </c>
      <c r="Z474" s="24" t="str">
        <f aca="false">IF(A474="","",IF(T474="",Settings!$B$5,T474)&amp;IF(ISNUMBER(FIND("?",IF(T474="",Settings!$B$5,T474))),"&amp;","?")&amp;"utm_source="&amp;V474&amp;"&amp;utm_medium="&amp;W474&amp;"&amp;utm_campaign="&amp;X474&amp;"&amp;utm_content="&amp;Y474)</f>
        <v/>
      </c>
      <c r="AA474" s="29"/>
      <c r="AB474" s="39"/>
      <c r="AC474" s="32"/>
      <c r="AD474" s="32"/>
      <c r="AE474" s="32"/>
      <c r="AF474" s="32"/>
      <c r="AG474" s="32"/>
      <c r="AH474" s="32"/>
      <c r="AI474" s="32"/>
      <c r="AJ474" s="32"/>
      <c r="AK474" s="32"/>
      <c r="AL474" s="32"/>
      <c r="AM474" s="32"/>
      <c r="AN474" s="32"/>
      <c r="AO474" s="33" t="str">
        <f aca="false">IF(A474="","",IF(AD474&lt;&gt;"",AD474,IF(AC474&lt;&gt;"",AC474,"")))</f>
        <v/>
      </c>
      <c r="AP474" s="24" t="str">
        <f aca="false">IF(AO474="","",IF(AD474&lt;&gt;"","Reported reach","Impressions (proxy)"))</f>
        <v/>
      </c>
      <c r="AQ474" s="34" t="str">
        <f aca="false">IF(OR(AO474="",N(S474)=0),"",AO474/S474)</f>
        <v/>
      </c>
      <c r="AR474" s="33" t="str">
        <f aca="false">IF(A474="","",IF(COUNT(AF474:AJ474)=0,"",SUM(AF474:AJ474)))</f>
        <v/>
      </c>
      <c r="AS474" s="34" t="str">
        <f aca="false">IF(OR(AR474="",N(AO474)=0),"",AR474/AO474)</f>
        <v/>
      </c>
      <c r="AT474" s="34" t="str">
        <f aca="false">IF(OR(AR474="",N(AC474)=0),"",AR474/AC474)</f>
        <v/>
      </c>
      <c r="AU474" s="34" t="str">
        <f aca="false">IF(OR(AR474="",N(S474)=0),"",AR474/S474)</f>
        <v/>
      </c>
      <c r="AV474" s="34" t="str">
        <f aca="false">IF(OR(AJ474="",N(AC474)=0),"",AJ474/AC474)</f>
        <v/>
      </c>
      <c r="AW474" s="34" t="str">
        <f aca="false">IF(OR(AH474="",N(AO474)=0),"",AH474/AO474)</f>
        <v/>
      </c>
      <c r="AX474" s="35" t="str">
        <f aca="false">IF(OR(AR474="",N(AO474)=0),"",(N(AF474)*Settings!$B$6+N(AG474)*Settings!$B$7+N(AH474)*Settings!$B$8+N(AI474)*Settings!$B$9+N(AJ474)*Settings!$B$10)/AO474*1000)</f>
        <v/>
      </c>
      <c r="AY474" s="36" t="str">
        <f aca="false">IF(AS474="","",IFERROR(AS474/AVERAGEIFS('Post Tracker'!$AS$5:$AS$1004,'Post Tracker'!$G$5:$G$1004,G474),""))</f>
        <v/>
      </c>
      <c r="AZ474" s="32"/>
      <c r="BA474" s="32"/>
      <c r="BB474" s="32"/>
      <c r="BC474" s="32"/>
      <c r="BD474" s="33" t="str">
        <f aca="false">IF(A474="","",COUNTIFS('Demo Pipeline'!$Q$5:$Q$504,A474))</f>
        <v/>
      </c>
      <c r="BE474" s="33" t="str">
        <f aca="false">IF(A474="","",COUNTIFS('Demo Pipeline'!$Q$5:$Q$504,A474,'Demo Pipeline'!$W$5:$W$504,"Attended"))</f>
        <v/>
      </c>
      <c r="BF474" s="33" t="str">
        <f aca="false">IF(A474="","",COUNTIFS('Demo Pipeline'!$Q$5:$Q$504,A474,'Demo Pipeline'!$X$5:$X$504,"Yes"))</f>
        <v/>
      </c>
      <c r="BG474" s="33" t="str">
        <f aca="false">IF(A474="","",COUNTIFS('Demo Pipeline'!$Q$5:$Q$504,A474,'Demo Pipeline'!$Y$5:$Y$504,"Closed Won"))</f>
        <v/>
      </c>
      <c r="BH474" s="37" t="str">
        <f aca="false">IF(A474="","",SUMIFS('Demo Pipeline'!$Z$5:$Z$504,'Demo Pipeline'!$Q$5:$Q$504,A474))</f>
        <v/>
      </c>
      <c r="BI474" s="34" t="str">
        <f aca="false">IF(OR(AZ474="",N(AJ474)=0),"",AZ474/AJ474)</f>
        <v/>
      </c>
      <c r="BJ474" s="34" t="str">
        <f aca="false">IF(OR(BB474="",N(AZ474)=0),"",BB474/AZ474)</f>
        <v/>
      </c>
      <c r="BK474" s="34" t="str">
        <f aca="false">IF(OR(A474="",N(BB474)=0),"",BD474/BB474)</f>
        <v/>
      </c>
      <c r="BL474" s="34" t="str">
        <f aca="false">IF(OR(A474="",N(AZ474)=0),"",BD474/AZ474)</f>
        <v/>
      </c>
      <c r="BM474" s="37" t="str">
        <f aca="false">IF(OR(N(Q474)=0,N(BD474)=0),"",Q474/BD474)</f>
        <v/>
      </c>
      <c r="BN474" s="29"/>
      <c r="BO474" s="29"/>
      <c r="BP474" s="33" t="str">
        <f aca="false">IF(OR(AR474="",N(AO474)=0),"",AR474)</f>
        <v/>
      </c>
      <c r="BQ474" s="33" t="str">
        <f aca="false">IF(OR(AR474="",N(S474)=0),"",S474)</f>
        <v/>
      </c>
      <c r="BR474" s="38" t="str">
        <f aca="false">IF(AND(ISNUMBER(B474),B474&gt;=Dashboard!$C$4,B474&lt;=Dashboard!$F$4,ISNUMBER(AU474)),AU474+ROW()/10^9,"")</f>
        <v/>
      </c>
      <c r="BS474" s="38" t="str">
        <f aca="false">IF(AND(ISNUMBER(B474),B474&gt;=Dashboard!$C$4,B474&lt;=Dashboard!$F$4,A474&lt;&gt;""),N(BD474)+N(AU474)/100+ROW()/10^9,"")</f>
        <v/>
      </c>
    </row>
    <row r="475" customFormat="false" ht="15" hidden="false" customHeight="false" outlineLevel="0" collapsed="false">
      <c r="A475" s="24" t="str">
        <f aca="false">IF(OR(B475="",G475="",H475=""),"",IFERROR(INDEX(Settings!$E$5:$E$49,MATCH(G475,Settings!$D$5:$D$49,0))&amp;INDEX(Settings!$H$5:$H$47,MATCH(H475,Settings!$G$5:$G$47,0))&amp;"-"&amp;TEXT(B475,"yymmdd")&amp;"-"&amp;IF(C475="","0000",TEXT(C475,"hhmm")),"CHECK LISTS"))</f>
        <v/>
      </c>
      <c r="B475" s="39"/>
      <c r="C475" s="40"/>
      <c r="D475" s="24" t="str">
        <f aca="false">IF(B475="","",TEXT(B475,"ddd"))</f>
        <v/>
      </c>
      <c r="E475" s="27" t="str">
        <f aca="false">IF(B475="","",B475-WEEKDAY(B475,3))</f>
        <v/>
      </c>
      <c r="F475" s="24" t="str">
        <f aca="false">IF(B475="","",TEXT(B475,"yyyy-mm"))</f>
        <v/>
      </c>
      <c r="G475" s="29"/>
      <c r="H475" s="29"/>
      <c r="I475" s="29"/>
      <c r="J475" s="29"/>
      <c r="K475" s="29"/>
      <c r="L475" s="29"/>
      <c r="M475" s="29"/>
      <c r="N475" s="29"/>
      <c r="O475" s="29"/>
      <c r="P475" s="29"/>
      <c r="Q475" s="30"/>
      <c r="R475" s="29"/>
      <c r="S475" s="32"/>
      <c r="T475" s="29"/>
      <c r="U475" s="29"/>
      <c r="V475" s="24" t="str">
        <f aca="false">IF(A475="","",IFERROR(INDEX(Settings!$F$5:$F$49,MATCH(G475,Settings!$D$5:$D$49,0)),""))</f>
        <v/>
      </c>
      <c r="W475" s="24" t="str">
        <f aca="false">IF(A475="","",IF(OR(P475="",P475="Organic"),"social","paid_social"))</f>
        <v/>
      </c>
      <c r="X475" s="24" t="str">
        <f aca="false">IF(A475="","",IF(K475&lt;&gt;"",IFERROR(INDEX('Case Studies'!$C$5:$C$54,MATCH(K475,'Case Studies'!$B$5:$B$54,0))&amp;"","case-study"),IF(J475&lt;&gt;"",IFERROR(INDEX(Settings!$J$5:$J$55,MATCH(J475,Settings!$I$5:$I$55,0)),"general"),"general")))</f>
        <v/>
      </c>
      <c r="Y475" s="24" t="str">
        <f aca="false">IF(A475="","",LOWER(A475))</f>
        <v/>
      </c>
      <c r="Z475" s="24" t="str">
        <f aca="false">IF(A475="","",IF(T475="",Settings!$B$5,T475)&amp;IF(ISNUMBER(FIND("?",IF(T475="",Settings!$B$5,T475))),"&amp;","?")&amp;"utm_source="&amp;V475&amp;"&amp;utm_medium="&amp;W475&amp;"&amp;utm_campaign="&amp;X475&amp;"&amp;utm_content="&amp;Y475)</f>
        <v/>
      </c>
      <c r="AA475" s="29"/>
      <c r="AB475" s="39"/>
      <c r="AC475" s="32"/>
      <c r="AD475" s="32"/>
      <c r="AE475" s="32"/>
      <c r="AF475" s="32"/>
      <c r="AG475" s="32"/>
      <c r="AH475" s="32"/>
      <c r="AI475" s="32"/>
      <c r="AJ475" s="32"/>
      <c r="AK475" s="32"/>
      <c r="AL475" s="32"/>
      <c r="AM475" s="32"/>
      <c r="AN475" s="32"/>
      <c r="AO475" s="33" t="str">
        <f aca="false">IF(A475="","",IF(AD475&lt;&gt;"",AD475,IF(AC475&lt;&gt;"",AC475,"")))</f>
        <v/>
      </c>
      <c r="AP475" s="24" t="str">
        <f aca="false">IF(AO475="","",IF(AD475&lt;&gt;"","Reported reach","Impressions (proxy)"))</f>
        <v/>
      </c>
      <c r="AQ475" s="34" t="str">
        <f aca="false">IF(OR(AO475="",N(S475)=0),"",AO475/S475)</f>
        <v/>
      </c>
      <c r="AR475" s="33" t="str">
        <f aca="false">IF(A475="","",IF(COUNT(AF475:AJ475)=0,"",SUM(AF475:AJ475)))</f>
        <v/>
      </c>
      <c r="AS475" s="34" t="str">
        <f aca="false">IF(OR(AR475="",N(AO475)=0),"",AR475/AO475)</f>
        <v/>
      </c>
      <c r="AT475" s="34" t="str">
        <f aca="false">IF(OR(AR475="",N(AC475)=0),"",AR475/AC475)</f>
        <v/>
      </c>
      <c r="AU475" s="34" t="str">
        <f aca="false">IF(OR(AR475="",N(S475)=0),"",AR475/S475)</f>
        <v/>
      </c>
      <c r="AV475" s="34" t="str">
        <f aca="false">IF(OR(AJ475="",N(AC475)=0),"",AJ475/AC475)</f>
        <v/>
      </c>
      <c r="AW475" s="34" t="str">
        <f aca="false">IF(OR(AH475="",N(AO475)=0),"",AH475/AO475)</f>
        <v/>
      </c>
      <c r="AX475" s="35" t="str">
        <f aca="false">IF(OR(AR475="",N(AO475)=0),"",(N(AF475)*Settings!$B$6+N(AG475)*Settings!$B$7+N(AH475)*Settings!$B$8+N(AI475)*Settings!$B$9+N(AJ475)*Settings!$B$10)/AO475*1000)</f>
        <v/>
      </c>
      <c r="AY475" s="36" t="str">
        <f aca="false">IF(AS475="","",IFERROR(AS475/AVERAGEIFS('Post Tracker'!$AS$5:$AS$1004,'Post Tracker'!$G$5:$G$1004,G475),""))</f>
        <v/>
      </c>
      <c r="AZ475" s="32"/>
      <c r="BA475" s="32"/>
      <c r="BB475" s="32"/>
      <c r="BC475" s="32"/>
      <c r="BD475" s="33" t="str">
        <f aca="false">IF(A475="","",COUNTIFS('Demo Pipeline'!$Q$5:$Q$504,A475))</f>
        <v/>
      </c>
      <c r="BE475" s="33" t="str">
        <f aca="false">IF(A475="","",COUNTIFS('Demo Pipeline'!$Q$5:$Q$504,A475,'Demo Pipeline'!$W$5:$W$504,"Attended"))</f>
        <v/>
      </c>
      <c r="BF475" s="33" t="str">
        <f aca="false">IF(A475="","",COUNTIFS('Demo Pipeline'!$Q$5:$Q$504,A475,'Demo Pipeline'!$X$5:$X$504,"Yes"))</f>
        <v/>
      </c>
      <c r="BG475" s="33" t="str">
        <f aca="false">IF(A475="","",COUNTIFS('Demo Pipeline'!$Q$5:$Q$504,A475,'Demo Pipeline'!$Y$5:$Y$504,"Closed Won"))</f>
        <v/>
      </c>
      <c r="BH475" s="37" t="str">
        <f aca="false">IF(A475="","",SUMIFS('Demo Pipeline'!$Z$5:$Z$504,'Demo Pipeline'!$Q$5:$Q$504,A475))</f>
        <v/>
      </c>
      <c r="BI475" s="34" t="str">
        <f aca="false">IF(OR(AZ475="",N(AJ475)=0),"",AZ475/AJ475)</f>
        <v/>
      </c>
      <c r="BJ475" s="34" t="str">
        <f aca="false">IF(OR(BB475="",N(AZ475)=0),"",BB475/AZ475)</f>
        <v/>
      </c>
      <c r="BK475" s="34" t="str">
        <f aca="false">IF(OR(A475="",N(BB475)=0),"",BD475/BB475)</f>
        <v/>
      </c>
      <c r="BL475" s="34" t="str">
        <f aca="false">IF(OR(A475="",N(AZ475)=0),"",BD475/AZ475)</f>
        <v/>
      </c>
      <c r="BM475" s="37" t="str">
        <f aca="false">IF(OR(N(Q475)=0,N(BD475)=0),"",Q475/BD475)</f>
        <v/>
      </c>
      <c r="BN475" s="29"/>
      <c r="BO475" s="29"/>
      <c r="BP475" s="33" t="str">
        <f aca="false">IF(OR(AR475="",N(AO475)=0),"",AR475)</f>
        <v/>
      </c>
      <c r="BQ475" s="33" t="str">
        <f aca="false">IF(OR(AR475="",N(S475)=0),"",S475)</f>
        <v/>
      </c>
      <c r="BR475" s="38" t="str">
        <f aca="false">IF(AND(ISNUMBER(B475),B475&gt;=Dashboard!$C$4,B475&lt;=Dashboard!$F$4,ISNUMBER(AU475)),AU475+ROW()/10^9,"")</f>
        <v/>
      </c>
      <c r="BS475" s="38" t="str">
        <f aca="false">IF(AND(ISNUMBER(B475),B475&gt;=Dashboard!$C$4,B475&lt;=Dashboard!$F$4,A475&lt;&gt;""),N(BD475)+N(AU475)/100+ROW()/10^9,"")</f>
        <v/>
      </c>
    </row>
    <row r="476" customFormat="false" ht="15" hidden="false" customHeight="false" outlineLevel="0" collapsed="false">
      <c r="A476" s="24" t="str">
        <f aca="false">IF(OR(B476="",G476="",H476=""),"",IFERROR(INDEX(Settings!$E$5:$E$49,MATCH(G476,Settings!$D$5:$D$49,0))&amp;INDEX(Settings!$H$5:$H$47,MATCH(H476,Settings!$G$5:$G$47,0))&amp;"-"&amp;TEXT(B476,"yymmdd")&amp;"-"&amp;IF(C476="","0000",TEXT(C476,"hhmm")),"CHECK LISTS"))</f>
        <v/>
      </c>
      <c r="B476" s="39"/>
      <c r="C476" s="40"/>
      <c r="D476" s="24" t="str">
        <f aca="false">IF(B476="","",TEXT(B476,"ddd"))</f>
        <v/>
      </c>
      <c r="E476" s="27" t="str">
        <f aca="false">IF(B476="","",B476-WEEKDAY(B476,3))</f>
        <v/>
      </c>
      <c r="F476" s="24" t="str">
        <f aca="false">IF(B476="","",TEXT(B476,"yyyy-mm"))</f>
        <v/>
      </c>
      <c r="G476" s="29"/>
      <c r="H476" s="29"/>
      <c r="I476" s="29"/>
      <c r="J476" s="29"/>
      <c r="K476" s="29"/>
      <c r="L476" s="29"/>
      <c r="M476" s="29"/>
      <c r="N476" s="29"/>
      <c r="O476" s="29"/>
      <c r="P476" s="29"/>
      <c r="Q476" s="30"/>
      <c r="R476" s="29"/>
      <c r="S476" s="32"/>
      <c r="T476" s="29"/>
      <c r="U476" s="29"/>
      <c r="V476" s="24" t="str">
        <f aca="false">IF(A476="","",IFERROR(INDEX(Settings!$F$5:$F$49,MATCH(G476,Settings!$D$5:$D$49,0)),""))</f>
        <v/>
      </c>
      <c r="W476" s="24" t="str">
        <f aca="false">IF(A476="","",IF(OR(P476="",P476="Organic"),"social","paid_social"))</f>
        <v/>
      </c>
      <c r="X476" s="24" t="str">
        <f aca="false">IF(A476="","",IF(K476&lt;&gt;"",IFERROR(INDEX('Case Studies'!$C$5:$C$54,MATCH(K476,'Case Studies'!$B$5:$B$54,0))&amp;"","case-study"),IF(J476&lt;&gt;"",IFERROR(INDEX(Settings!$J$5:$J$55,MATCH(J476,Settings!$I$5:$I$55,0)),"general"),"general")))</f>
        <v/>
      </c>
      <c r="Y476" s="24" t="str">
        <f aca="false">IF(A476="","",LOWER(A476))</f>
        <v/>
      </c>
      <c r="Z476" s="24" t="str">
        <f aca="false">IF(A476="","",IF(T476="",Settings!$B$5,T476)&amp;IF(ISNUMBER(FIND("?",IF(T476="",Settings!$B$5,T476))),"&amp;","?")&amp;"utm_source="&amp;V476&amp;"&amp;utm_medium="&amp;W476&amp;"&amp;utm_campaign="&amp;X476&amp;"&amp;utm_content="&amp;Y476)</f>
        <v/>
      </c>
      <c r="AA476" s="29"/>
      <c r="AB476" s="39"/>
      <c r="AC476" s="32"/>
      <c r="AD476" s="32"/>
      <c r="AE476" s="32"/>
      <c r="AF476" s="32"/>
      <c r="AG476" s="32"/>
      <c r="AH476" s="32"/>
      <c r="AI476" s="32"/>
      <c r="AJ476" s="32"/>
      <c r="AK476" s="32"/>
      <c r="AL476" s="32"/>
      <c r="AM476" s="32"/>
      <c r="AN476" s="32"/>
      <c r="AO476" s="33" t="str">
        <f aca="false">IF(A476="","",IF(AD476&lt;&gt;"",AD476,IF(AC476&lt;&gt;"",AC476,"")))</f>
        <v/>
      </c>
      <c r="AP476" s="24" t="str">
        <f aca="false">IF(AO476="","",IF(AD476&lt;&gt;"","Reported reach","Impressions (proxy)"))</f>
        <v/>
      </c>
      <c r="AQ476" s="34" t="str">
        <f aca="false">IF(OR(AO476="",N(S476)=0),"",AO476/S476)</f>
        <v/>
      </c>
      <c r="AR476" s="33" t="str">
        <f aca="false">IF(A476="","",IF(COUNT(AF476:AJ476)=0,"",SUM(AF476:AJ476)))</f>
        <v/>
      </c>
      <c r="AS476" s="34" t="str">
        <f aca="false">IF(OR(AR476="",N(AO476)=0),"",AR476/AO476)</f>
        <v/>
      </c>
      <c r="AT476" s="34" t="str">
        <f aca="false">IF(OR(AR476="",N(AC476)=0),"",AR476/AC476)</f>
        <v/>
      </c>
      <c r="AU476" s="34" t="str">
        <f aca="false">IF(OR(AR476="",N(S476)=0),"",AR476/S476)</f>
        <v/>
      </c>
      <c r="AV476" s="34" t="str">
        <f aca="false">IF(OR(AJ476="",N(AC476)=0),"",AJ476/AC476)</f>
        <v/>
      </c>
      <c r="AW476" s="34" t="str">
        <f aca="false">IF(OR(AH476="",N(AO476)=0),"",AH476/AO476)</f>
        <v/>
      </c>
      <c r="AX476" s="35" t="str">
        <f aca="false">IF(OR(AR476="",N(AO476)=0),"",(N(AF476)*Settings!$B$6+N(AG476)*Settings!$B$7+N(AH476)*Settings!$B$8+N(AI476)*Settings!$B$9+N(AJ476)*Settings!$B$10)/AO476*1000)</f>
        <v/>
      </c>
      <c r="AY476" s="36" t="str">
        <f aca="false">IF(AS476="","",IFERROR(AS476/AVERAGEIFS('Post Tracker'!$AS$5:$AS$1004,'Post Tracker'!$G$5:$G$1004,G476),""))</f>
        <v/>
      </c>
      <c r="AZ476" s="32"/>
      <c r="BA476" s="32"/>
      <c r="BB476" s="32"/>
      <c r="BC476" s="32"/>
      <c r="BD476" s="33" t="str">
        <f aca="false">IF(A476="","",COUNTIFS('Demo Pipeline'!$Q$5:$Q$504,A476))</f>
        <v/>
      </c>
      <c r="BE476" s="33" t="str">
        <f aca="false">IF(A476="","",COUNTIFS('Demo Pipeline'!$Q$5:$Q$504,A476,'Demo Pipeline'!$W$5:$W$504,"Attended"))</f>
        <v/>
      </c>
      <c r="BF476" s="33" t="str">
        <f aca="false">IF(A476="","",COUNTIFS('Demo Pipeline'!$Q$5:$Q$504,A476,'Demo Pipeline'!$X$5:$X$504,"Yes"))</f>
        <v/>
      </c>
      <c r="BG476" s="33" t="str">
        <f aca="false">IF(A476="","",COUNTIFS('Demo Pipeline'!$Q$5:$Q$504,A476,'Demo Pipeline'!$Y$5:$Y$504,"Closed Won"))</f>
        <v/>
      </c>
      <c r="BH476" s="37" t="str">
        <f aca="false">IF(A476="","",SUMIFS('Demo Pipeline'!$Z$5:$Z$504,'Demo Pipeline'!$Q$5:$Q$504,A476))</f>
        <v/>
      </c>
      <c r="BI476" s="34" t="str">
        <f aca="false">IF(OR(AZ476="",N(AJ476)=0),"",AZ476/AJ476)</f>
        <v/>
      </c>
      <c r="BJ476" s="34" t="str">
        <f aca="false">IF(OR(BB476="",N(AZ476)=0),"",BB476/AZ476)</f>
        <v/>
      </c>
      <c r="BK476" s="34" t="str">
        <f aca="false">IF(OR(A476="",N(BB476)=0),"",BD476/BB476)</f>
        <v/>
      </c>
      <c r="BL476" s="34" t="str">
        <f aca="false">IF(OR(A476="",N(AZ476)=0),"",BD476/AZ476)</f>
        <v/>
      </c>
      <c r="BM476" s="37" t="str">
        <f aca="false">IF(OR(N(Q476)=0,N(BD476)=0),"",Q476/BD476)</f>
        <v/>
      </c>
      <c r="BN476" s="29"/>
      <c r="BO476" s="29"/>
      <c r="BP476" s="33" t="str">
        <f aca="false">IF(OR(AR476="",N(AO476)=0),"",AR476)</f>
        <v/>
      </c>
      <c r="BQ476" s="33" t="str">
        <f aca="false">IF(OR(AR476="",N(S476)=0),"",S476)</f>
        <v/>
      </c>
      <c r="BR476" s="38" t="str">
        <f aca="false">IF(AND(ISNUMBER(B476),B476&gt;=Dashboard!$C$4,B476&lt;=Dashboard!$F$4,ISNUMBER(AU476)),AU476+ROW()/10^9,"")</f>
        <v/>
      </c>
      <c r="BS476" s="38" t="str">
        <f aca="false">IF(AND(ISNUMBER(B476),B476&gt;=Dashboard!$C$4,B476&lt;=Dashboard!$F$4,A476&lt;&gt;""),N(BD476)+N(AU476)/100+ROW()/10^9,"")</f>
        <v/>
      </c>
    </row>
    <row r="477" customFormat="false" ht="15" hidden="false" customHeight="false" outlineLevel="0" collapsed="false">
      <c r="A477" s="24" t="str">
        <f aca="false">IF(OR(B477="",G477="",H477=""),"",IFERROR(INDEX(Settings!$E$5:$E$49,MATCH(G477,Settings!$D$5:$D$49,0))&amp;INDEX(Settings!$H$5:$H$47,MATCH(H477,Settings!$G$5:$G$47,0))&amp;"-"&amp;TEXT(B477,"yymmdd")&amp;"-"&amp;IF(C477="","0000",TEXT(C477,"hhmm")),"CHECK LISTS"))</f>
        <v/>
      </c>
      <c r="B477" s="39"/>
      <c r="C477" s="40"/>
      <c r="D477" s="24" t="str">
        <f aca="false">IF(B477="","",TEXT(B477,"ddd"))</f>
        <v/>
      </c>
      <c r="E477" s="27" t="str">
        <f aca="false">IF(B477="","",B477-WEEKDAY(B477,3))</f>
        <v/>
      </c>
      <c r="F477" s="24" t="str">
        <f aca="false">IF(B477="","",TEXT(B477,"yyyy-mm"))</f>
        <v/>
      </c>
      <c r="G477" s="29"/>
      <c r="H477" s="29"/>
      <c r="I477" s="29"/>
      <c r="J477" s="29"/>
      <c r="K477" s="29"/>
      <c r="L477" s="29"/>
      <c r="M477" s="29"/>
      <c r="N477" s="29"/>
      <c r="O477" s="29"/>
      <c r="P477" s="29"/>
      <c r="Q477" s="30"/>
      <c r="R477" s="29"/>
      <c r="S477" s="32"/>
      <c r="T477" s="29"/>
      <c r="U477" s="29"/>
      <c r="V477" s="24" t="str">
        <f aca="false">IF(A477="","",IFERROR(INDEX(Settings!$F$5:$F$49,MATCH(G477,Settings!$D$5:$D$49,0)),""))</f>
        <v/>
      </c>
      <c r="W477" s="24" t="str">
        <f aca="false">IF(A477="","",IF(OR(P477="",P477="Organic"),"social","paid_social"))</f>
        <v/>
      </c>
      <c r="X477" s="24" t="str">
        <f aca="false">IF(A477="","",IF(K477&lt;&gt;"",IFERROR(INDEX('Case Studies'!$C$5:$C$54,MATCH(K477,'Case Studies'!$B$5:$B$54,0))&amp;"","case-study"),IF(J477&lt;&gt;"",IFERROR(INDEX(Settings!$J$5:$J$55,MATCH(J477,Settings!$I$5:$I$55,0)),"general"),"general")))</f>
        <v/>
      </c>
      <c r="Y477" s="24" t="str">
        <f aca="false">IF(A477="","",LOWER(A477))</f>
        <v/>
      </c>
      <c r="Z477" s="24" t="str">
        <f aca="false">IF(A477="","",IF(T477="",Settings!$B$5,T477)&amp;IF(ISNUMBER(FIND("?",IF(T477="",Settings!$B$5,T477))),"&amp;","?")&amp;"utm_source="&amp;V477&amp;"&amp;utm_medium="&amp;W477&amp;"&amp;utm_campaign="&amp;X477&amp;"&amp;utm_content="&amp;Y477)</f>
        <v/>
      </c>
      <c r="AA477" s="29"/>
      <c r="AB477" s="39"/>
      <c r="AC477" s="32"/>
      <c r="AD477" s="32"/>
      <c r="AE477" s="32"/>
      <c r="AF477" s="32"/>
      <c r="AG477" s="32"/>
      <c r="AH477" s="32"/>
      <c r="AI477" s="32"/>
      <c r="AJ477" s="32"/>
      <c r="AK477" s="32"/>
      <c r="AL477" s="32"/>
      <c r="AM477" s="32"/>
      <c r="AN477" s="32"/>
      <c r="AO477" s="33" t="str">
        <f aca="false">IF(A477="","",IF(AD477&lt;&gt;"",AD477,IF(AC477&lt;&gt;"",AC477,"")))</f>
        <v/>
      </c>
      <c r="AP477" s="24" t="str">
        <f aca="false">IF(AO477="","",IF(AD477&lt;&gt;"","Reported reach","Impressions (proxy)"))</f>
        <v/>
      </c>
      <c r="AQ477" s="34" t="str">
        <f aca="false">IF(OR(AO477="",N(S477)=0),"",AO477/S477)</f>
        <v/>
      </c>
      <c r="AR477" s="33" t="str">
        <f aca="false">IF(A477="","",IF(COUNT(AF477:AJ477)=0,"",SUM(AF477:AJ477)))</f>
        <v/>
      </c>
      <c r="AS477" s="34" t="str">
        <f aca="false">IF(OR(AR477="",N(AO477)=0),"",AR477/AO477)</f>
        <v/>
      </c>
      <c r="AT477" s="34" t="str">
        <f aca="false">IF(OR(AR477="",N(AC477)=0),"",AR477/AC477)</f>
        <v/>
      </c>
      <c r="AU477" s="34" t="str">
        <f aca="false">IF(OR(AR477="",N(S477)=0),"",AR477/S477)</f>
        <v/>
      </c>
      <c r="AV477" s="34" t="str">
        <f aca="false">IF(OR(AJ477="",N(AC477)=0),"",AJ477/AC477)</f>
        <v/>
      </c>
      <c r="AW477" s="34" t="str">
        <f aca="false">IF(OR(AH477="",N(AO477)=0),"",AH477/AO477)</f>
        <v/>
      </c>
      <c r="AX477" s="35" t="str">
        <f aca="false">IF(OR(AR477="",N(AO477)=0),"",(N(AF477)*Settings!$B$6+N(AG477)*Settings!$B$7+N(AH477)*Settings!$B$8+N(AI477)*Settings!$B$9+N(AJ477)*Settings!$B$10)/AO477*1000)</f>
        <v/>
      </c>
      <c r="AY477" s="36" t="str">
        <f aca="false">IF(AS477="","",IFERROR(AS477/AVERAGEIFS('Post Tracker'!$AS$5:$AS$1004,'Post Tracker'!$G$5:$G$1004,G477),""))</f>
        <v/>
      </c>
      <c r="AZ477" s="32"/>
      <c r="BA477" s="32"/>
      <c r="BB477" s="32"/>
      <c r="BC477" s="32"/>
      <c r="BD477" s="33" t="str">
        <f aca="false">IF(A477="","",COUNTIFS('Demo Pipeline'!$Q$5:$Q$504,A477))</f>
        <v/>
      </c>
      <c r="BE477" s="33" t="str">
        <f aca="false">IF(A477="","",COUNTIFS('Demo Pipeline'!$Q$5:$Q$504,A477,'Demo Pipeline'!$W$5:$W$504,"Attended"))</f>
        <v/>
      </c>
      <c r="BF477" s="33" t="str">
        <f aca="false">IF(A477="","",COUNTIFS('Demo Pipeline'!$Q$5:$Q$504,A477,'Demo Pipeline'!$X$5:$X$504,"Yes"))</f>
        <v/>
      </c>
      <c r="BG477" s="33" t="str">
        <f aca="false">IF(A477="","",COUNTIFS('Demo Pipeline'!$Q$5:$Q$504,A477,'Demo Pipeline'!$Y$5:$Y$504,"Closed Won"))</f>
        <v/>
      </c>
      <c r="BH477" s="37" t="str">
        <f aca="false">IF(A477="","",SUMIFS('Demo Pipeline'!$Z$5:$Z$504,'Demo Pipeline'!$Q$5:$Q$504,A477))</f>
        <v/>
      </c>
      <c r="BI477" s="34" t="str">
        <f aca="false">IF(OR(AZ477="",N(AJ477)=0),"",AZ477/AJ477)</f>
        <v/>
      </c>
      <c r="BJ477" s="34" t="str">
        <f aca="false">IF(OR(BB477="",N(AZ477)=0),"",BB477/AZ477)</f>
        <v/>
      </c>
      <c r="BK477" s="34" t="str">
        <f aca="false">IF(OR(A477="",N(BB477)=0),"",BD477/BB477)</f>
        <v/>
      </c>
      <c r="BL477" s="34" t="str">
        <f aca="false">IF(OR(A477="",N(AZ477)=0),"",BD477/AZ477)</f>
        <v/>
      </c>
      <c r="BM477" s="37" t="str">
        <f aca="false">IF(OR(N(Q477)=0,N(BD477)=0),"",Q477/BD477)</f>
        <v/>
      </c>
      <c r="BN477" s="29"/>
      <c r="BO477" s="29"/>
      <c r="BP477" s="33" t="str">
        <f aca="false">IF(OR(AR477="",N(AO477)=0),"",AR477)</f>
        <v/>
      </c>
      <c r="BQ477" s="33" t="str">
        <f aca="false">IF(OR(AR477="",N(S477)=0),"",S477)</f>
        <v/>
      </c>
      <c r="BR477" s="38" t="str">
        <f aca="false">IF(AND(ISNUMBER(B477),B477&gt;=Dashboard!$C$4,B477&lt;=Dashboard!$F$4,ISNUMBER(AU477)),AU477+ROW()/10^9,"")</f>
        <v/>
      </c>
      <c r="BS477" s="38" t="str">
        <f aca="false">IF(AND(ISNUMBER(B477),B477&gt;=Dashboard!$C$4,B477&lt;=Dashboard!$F$4,A477&lt;&gt;""),N(BD477)+N(AU477)/100+ROW()/10^9,"")</f>
        <v/>
      </c>
    </row>
    <row r="478" customFormat="false" ht="15" hidden="false" customHeight="false" outlineLevel="0" collapsed="false">
      <c r="A478" s="24" t="str">
        <f aca="false">IF(OR(B478="",G478="",H478=""),"",IFERROR(INDEX(Settings!$E$5:$E$49,MATCH(G478,Settings!$D$5:$D$49,0))&amp;INDEX(Settings!$H$5:$H$47,MATCH(H478,Settings!$G$5:$G$47,0))&amp;"-"&amp;TEXT(B478,"yymmdd")&amp;"-"&amp;IF(C478="","0000",TEXT(C478,"hhmm")),"CHECK LISTS"))</f>
        <v/>
      </c>
      <c r="B478" s="39"/>
      <c r="C478" s="40"/>
      <c r="D478" s="24" t="str">
        <f aca="false">IF(B478="","",TEXT(B478,"ddd"))</f>
        <v/>
      </c>
      <c r="E478" s="27" t="str">
        <f aca="false">IF(B478="","",B478-WEEKDAY(B478,3))</f>
        <v/>
      </c>
      <c r="F478" s="24" t="str">
        <f aca="false">IF(B478="","",TEXT(B478,"yyyy-mm"))</f>
        <v/>
      </c>
      <c r="G478" s="29"/>
      <c r="H478" s="29"/>
      <c r="I478" s="29"/>
      <c r="J478" s="29"/>
      <c r="K478" s="29"/>
      <c r="L478" s="29"/>
      <c r="M478" s="29"/>
      <c r="N478" s="29"/>
      <c r="O478" s="29"/>
      <c r="P478" s="29"/>
      <c r="Q478" s="30"/>
      <c r="R478" s="29"/>
      <c r="S478" s="32"/>
      <c r="T478" s="29"/>
      <c r="U478" s="29"/>
      <c r="V478" s="24" t="str">
        <f aca="false">IF(A478="","",IFERROR(INDEX(Settings!$F$5:$F$49,MATCH(G478,Settings!$D$5:$D$49,0)),""))</f>
        <v/>
      </c>
      <c r="W478" s="24" t="str">
        <f aca="false">IF(A478="","",IF(OR(P478="",P478="Organic"),"social","paid_social"))</f>
        <v/>
      </c>
      <c r="X478" s="24" t="str">
        <f aca="false">IF(A478="","",IF(K478&lt;&gt;"",IFERROR(INDEX('Case Studies'!$C$5:$C$54,MATCH(K478,'Case Studies'!$B$5:$B$54,0))&amp;"","case-study"),IF(J478&lt;&gt;"",IFERROR(INDEX(Settings!$J$5:$J$55,MATCH(J478,Settings!$I$5:$I$55,0)),"general"),"general")))</f>
        <v/>
      </c>
      <c r="Y478" s="24" t="str">
        <f aca="false">IF(A478="","",LOWER(A478))</f>
        <v/>
      </c>
      <c r="Z478" s="24" t="str">
        <f aca="false">IF(A478="","",IF(T478="",Settings!$B$5,T478)&amp;IF(ISNUMBER(FIND("?",IF(T478="",Settings!$B$5,T478))),"&amp;","?")&amp;"utm_source="&amp;V478&amp;"&amp;utm_medium="&amp;W478&amp;"&amp;utm_campaign="&amp;X478&amp;"&amp;utm_content="&amp;Y478)</f>
        <v/>
      </c>
      <c r="AA478" s="29"/>
      <c r="AB478" s="39"/>
      <c r="AC478" s="32"/>
      <c r="AD478" s="32"/>
      <c r="AE478" s="32"/>
      <c r="AF478" s="32"/>
      <c r="AG478" s="32"/>
      <c r="AH478" s="32"/>
      <c r="AI478" s="32"/>
      <c r="AJ478" s="32"/>
      <c r="AK478" s="32"/>
      <c r="AL478" s="32"/>
      <c r="AM478" s="32"/>
      <c r="AN478" s="32"/>
      <c r="AO478" s="33" t="str">
        <f aca="false">IF(A478="","",IF(AD478&lt;&gt;"",AD478,IF(AC478&lt;&gt;"",AC478,"")))</f>
        <v/>
      </c>
      <c r="AP478" s="24" t="str">
        <f aca="false">IF(AO478="","",IF(AD478&lt;&gt;"","Reported reach","Impressions (proxy)"))</f>
        <v/>
      </c>
      <c r="AQ478" s="34" t="str">
        <f aca="false">IF(OR(AO478="",N(S478)=0),"",AO478/S478)</f>
        <v/>
      </c>
      <c r="AR478" s="33" t="str">
        <f aca="false">IF(A478="","",IF(COUNT(AF478:AJ478)=0,"",SUM(AF478:AJ478)))</f>
        <v/>
      </c>
      <c r="AS478" s="34" t="str">
        <f aca="false">IF(OR(AR478="",N(AO478)=0),"",AR478/AO478)</f>
        <v/>
      </c>
      <c r="AT478" s="34" t="str">
        <f aca="false">IF(OR(AR478="",N(AC478)=0),"",AR478/AC478)</f>
        <v/>
      </c>
      <c r="AU478" s="34" t="str">
        <f aca="false">IF(OR(AR478="",N(S478)=0),"",AR478/S478)</f>
        <v/>
      </c>
      <c r="AV478" s="34" t="str">
        <f aca="false">IF(OR(AJ478="",N(AC478)=0),"",AJ478/AC478)</f>
        <v/>
      </c>
      <c r="AW478" s="34" t="str">
        <f aca="false">IF(OR(AH478="",N(AO478)=0),"",AH478/AO478)</f>
        <v/>
      </c>
      <c r="AX478" s="35" t="str">
        <f aca="false">IF(OR(AR478="",N(AO478)=0),"",(N(AF478)*Settings!$B$6+N(AG478)*Settings!$B$7+N(AH478)*Settings!$B$8+N(AI478)*Settings!$B$9+N(AJ478)*Settings!$B$10)/AO478*1000)</f>
        <v/>
      </c>
      <c r="AY478" s="36" t="str">
        <f aca="false">IF(AS478="","",IFERROR(AS478/AVERAGEIFS('Post Tracker'!$AS$5:$AS$1004,'Post Tracker'!$G$5:$G$1004,G478),""))</f>
        <v/>
      </c>
      <c r="AZ478" s="32"/>
      <c r="BA478" s="32"/>
      <c r="BB478" s="32"/>
      <c r="BC478" s="32"/>
      <c r="BD478" s="33" t="str">
        <f aca="false">IF(A478="","",COUNTIFS('Demo Pipeline'!$Q$5:$Q$504,A478))</f>
        <v/>
      </c>
      <c r="BE478" s="33" t="str">
        <f aca="false">IF(A478="","",COUNTIFS('Demo Pipeline'!$Q$5:$Q$504,A478,'Demo Pipeline'!$W$5:$W$504,"Attended"))</f>
        <v/>
      </c>
      <c r="BF478" s="33" t="str">
        <f aca="false">IF(A478="","",COUNTIFS('Demo Pipeline'!$Q$5:$Q$504,A478,'Demo Pipeline'!$X$5:$X$504,"Yes"))</f>
        <v/>
      </c>
      <c r="BG478" s="33" t="str">
        <f aca="false">IF(A478="","",COUNTIFS('Demo Pipeline'!$Q$5:$Q$504,A478,'Demo Pipeline'!$Y$5:$Y$504,"Closed Won"))</f>
        <v/>
      </c>
      <c r="BH478" s="37" t="str">
        <f aca="false">IF(A478="","",SUMIFS('Demo Pipeline'!$Z$5:$Z$504,'Demo Pipeline'!$Q$5:$Q$504,A478))</f>
        <v/>
      </c>
      <c r="BI478" s="34" t="str">
        <f aca="false">IF(OR(AZ478="",N(AJ478)=0),"",AZ478/AJ478)</f>
        <v/>
      </c>
      <c r="BJ478" s="34" t="str">
        <f aca="false">IF(OR(BB478="",N(AZ478)=0),"",BB478/AZ478)</f>
        <v/>
      </c>
      <c r="BK478" s="34" t="str">
        <f aca="false">IF(OR(A478="",N(BB478)=0),"",BD478/BB478)</f>
        <v/>
      </c>
      <c r="BL478" s="34" t="str">
        <f aca="false">IF(OR(A478="",N(AZ478)=0),"",BD478/AZ478)</f>
        <v/>
      </c>
      <c r="BM478" s="37" t="str">
        <f aca="false">IF(OR(N(Q478)=0,N(BD478)=0),"",Q478/BD478)</f>
        <v/>
      </c>
      <c r="BN478" s="29"/>
      <c r="BO478" s="29"/>
      <c r="BP478" s="33" t="str">
        <f aca="false">IF(OR(AR478="",N(AO478)=0),"",AR478)</f>
        <v/>
      </c>
      <c r="BQ478" s="33" t="str">
        <f aca="false">IF(OR(AR478="",N(S478)=0),"",S478)</f>
        <v/>
      </c>
      <c r="BR478" s="38" t="str">
        <f aca="false">IF(AND(ISNUMBER(B478),B478&gt;=Dashboard!$C$4,B478&lt;=Dashboard!$F$4,ISNUMBER(AU478)),AU478+ROW()/10^9,"")</f>
        <v/>
      </c>
      <c r="BS478" s="38" t="str">
        <f aca="false">IF(AND(ISNUMBER(B478),B478&gt;=Dashboard!$C$4,B478&lt;=Dashboard!$F$4,A478&lt;&gt;""),N(BD478)+N(AU478)/100+ROW()/10^9,"")</f>
        <v/>
      </c>
    </row>
    <row r="479" customFormat="false" ht="15" hidden="false" customHeight="false" outlineLevel="0" collapsed="false">
      <c r="A479" s="24" t="str">
        <f aca="false">IF(OR(B479="",G479="",H479=""),"",IFERROR(INDEX(Settings!$E$5:$E$49,MATCH(G479,Settings!$D$5:$D$49,0))&amp;INDEX(Settings!$H$5:$H$47,MATCH(H479,Settings!$G$5:$G$47,0))&amp;"-"&amp;TEXT(B479,"yymmdd")&amp;"-"&amp;IF(C479="","0000",TEXT(C479,"hhmm")),"CHECK LISTS"))</f>
        <v/>
      </c>
      <c r="B479" s="39"/>
      <c r="C479" s="40"/>
      <c r="D479" s="24" t="str">
        <f aca="false">IF(B479="","",TEXT(B479,"ddd"))</f>
        <v/>
      </c>
      <c r="E479" s="27" t="str">
        <f aca="false">IF(B479="","",B479-WEEKDAY(B479,3))</f>
        <v/>
      </c>
      <c r="F479" s="24" t="str">
        <f aca="false">IF(B479="","",TEXT(B479,"yyyy-mm"))</f>
        <v/>
      </c>
      <c r="G479" s="29"/>
      <c r="H479" s="29"/>
      <c r="I479" s="29"/>
      <c r="J479" s="29"/>
      <c r="K479" s="29"/>
      <c r="L479" s="29"/>
      <c r="M479" s="29"/>
      <c r="N479" s="29"/>
      <c r="O479" s="29"/>
      <c r="P479" s="29"/>
      <c r="Q479" s="30"/>
      <c r="R479" s="29"/>
      <c r="S479" s="32"/>
      <c r="T479" s="29"/>
      <c r="U479" s="29"/>
      <c r="V479" s="24" t="str">
        <f aca="false">IF(A479="","",IFERROR(INDEX(Settings!$F$5:$F$49,MATCH(G479,Settings!$D$5:$D$49,0)),""))</f>
        <v/>
      </c>
      <c r="W479" s="24" t="str">
        <f aca="false">IF(A479="","",IF(OR(P479="",P479="Organic"),"social","paid_social"))</f>
        <v/>
      </c>
      <c r="X479" s="24" t="str">
        <f aca="false">IF(A479="","",IF(K479&lt;&gt;"",IFERROR(INDEX('Case Studies'!$C$5:$C$54,MATCH(K479,'Case Studies'!$B$5:$B$54,0))&amp;"","case-study"),IF(J479&lt;&gt;"",IFERROR(INDEX(Settings!$J$5:$J$55,MATCH(J479,Settings!$I$5:$I$55,0)),"general"),"general")))</f>
        <v/>
      </c>
      <c r="Y479" s="24" t="str">
        <f aca="false">IF(A479="","",LOWER(A479))</f>
        <v/>
      </c>
      <c r="Z479" s="24" t="str">
        <f aca="false">IF(A479="","",IF(T479="",Settings!$B$5,T479)&amp;IF(ISNUMBER(FIND("?",IF(T479="",Settings!$B$5,T479))),"&amp;","?")&amp;"utm_source="&amp;V479&amp;"&amp;utm_medium="&amp;W479&amp;"&amp;utm_campaign="&amp;X479&amp;"&amp;utm_content="&amp;Y479)</f>
        <v/>
      </c>
      <c r="AA479" s="29"/>
      <c r="AB479" s="39"/>
      <c r="AC479" s="32"/>
      <c r="AD479" s="32"/>
      <c r="AE479" s="32"/>
      <c r="AF479" s="32"/>
      <c r="AG479" s="32"/>
      <c r="AH479" s="32"/>
      <c r="AI479" s="32"/>
      <c r="AJ479" s="32"/>
      <c r="AK479" s="32"/>
      <c r="AL479" s="32"/>
      <c r="AM479" s="32"/>
      <c r="AN479" s="32"/>
      <c r="AO479" s="33" t="str">
        <f aca="false">IF(A479="","",IF(AD479&lt;&gt;"",AD479,IF(AC479&lt;&gt;"",AC479,"")))</f>
        <v/>
      </c>
      <c r="AP479" s="24" t="str">
        <f aca="false">IF(AO479="","",IF(AD479&lt;&gt;"","Reported reach","Impressions (proxy)"))</f>
        <v/>
      </c>
      <c r="AQ479" s="34" t="str">
        <f aca="false">IF(OR(AO479="",N(S479)=0),"",AO479/S479)</f>
        <v/>
      </c>
      <c r="AR479" s="33" t="str">
        <f aca="false">IF(A479="","",IF(COUNT(AF479:AJ479)=0,"",SUM(AF479:AJ479)))</f>
        <v/>
      </c>
      <c r="AS479" s="34" t="str">
        <f aca="false">IF(OR(AR479="",N(AO479)=0),"",AR479/AO479)</f>
        <v/>
      </c>
      <c r="AT479" s="34" t="str">
        <f aca="false">IF(OR(AR479="",N(AC479)=0),"",AR479/AC479)</f>
        <v/>
      </c>
      <c r="AU479" s="34" t="str">
        <f aca="false">IF(OR(AR479="",N(S479)=0),"",AR479/S479)</f>
        <v/>
      </c>
      <c r="AV479" s="34" t="str">
        <f aca="false">IF(OR(AJ479="",N(AC479)=0),"",AJ479/AC479)</f>
        <v/>
      </c>
      <c r="AW479" s="34" t="str">
        <f aca="false">IF(OR(AH479="",N(AO479)=0),"",AH479/AO479)</f>
        <v/>
      </c>
      <c r="AX479" s="35" t="str">
        <f aca="false">IF(OR(AR479="",N(AO479)=0),"",(N(AF479)*Settings!$B$6+N(AG479)*Settings!$B$7+N(AH479)*Settings!$B$8+N(AI479)*Settings!$B$9+N(AJ479)*Settings!$B$10)/AO479*1000)</f>
        <v/>
      </c>
      <c r="AY479" s="36" t="str">
        <f aca="false">IF(AS479="","",IFERROR(AS479/AVERAGEIFS('Post Tracker'!$AS$5:$AS$1004,'Post Tracker'!$G$5:$G$1004,G479),""))</f>
        <v/>
      </c>
      <c r="AZ479" s="32"/>
      <c r="BA479" s="32"/>
      <c r="BB479" s="32"/>
      <c r="BC479" s="32"/>
      <c r="BD479" s="33" t="str">
        <f aca="false">IF(A479="","",COUNTIFS('Demo Pipeline'!$Q$5:$Q$504,A479))</f>
        <v/>
      </c>
      <c r="BE479" s="33" t="str">
        <f aca="false">IF(A479="","",COUNTIFS('Demo Pipeline'!$Q$5:$Q$504,A479,'Demo Pipeline'!$W$5:$W$504,"Attended"))</f>
        <v/>
      </c>
      <c r="BF479" s="33" t="str">
        <f aca="false">IF(A479="","",COUNTIFS('Demo Pipeline'!$Q$5:$Q$504,A479,'Demo Pipeline'!$X$5:$X$504,"Yes"))</f>
        <v/>
      </c>
      <c r="BG479" s="33" t="str">
        <f aca="false">IF(A479="","",COUNTIFS('Demo Pipeline'!$Q$5:$Q$504,A479,'Demo Pipeline'!$Y$5:$Y$504,"Closed Won"))</f>
        <v/>
      </c>
      <c r="BH479" s="37" t="str">
        <f aca="false">IF(A479="","",SUMIFS('Demo Pipeline'!$Z$5:$Z$504,'Demo Pipeline'!$Q$5:$Q$504,A479))</f>
        <v/>
      </c>
      <c r="BI479" s="34" t="str">
        <f aca="false">IF(OR(AZ479="",N(AJ479)=0),"",AZ479/AJ479)</f>
        <v/>
      </c>
      <c r="BJ479" s="34" t="str">
        <f aca="false">IF(OR(BB479="",N(AZ479)=0),"",BB479/AZ479)</f>
        <v/>
      </c>
      <c r="BK479" s="34" t="str">
        <f aca="false">IF(OR(A479="",N(BB479)=0),"",BD479/BB479)</f>
        <v/>
      </c>
      <c r="BL479" s="34" t="str">
        <f aca="false">IF(OR(A479="",N(AZ479)=0),"",BD479/AZ479)</f>
        <v/>
      </c>
      <c r="BM479" s="37" t="str">
        <f aca="false">IF(OR(N(Q479)=0,N(BD479)=0),"",Q479/BD479)</f>
        <v/>
      </c>
      <c r="BN479" s="29"/>
      <c r="BO479" s="29"/>
      <c r="BP479" s="33" t="str">
        <f aca="false">IF(OR(AR479="",N(AO479)=0),"",AR479)</f>
        <v/>
      </c>
      <c r="BQ479" s="33" t="str">
        <f aca="false">IF(OR(AR479="",N(S479)=0),"",S479)</f>
        <v/>
      </c>
      <c r="BR479" s="38" t="str">
        <f aca="false">IF(AND(ISNUMBER(B479),B479&gt;=Dashboard!$C$4,B479&lt;=Dashboard!$F$4,ISNUMBER(AU479)),AU479+ROW()/10^9,"")</f>
        <v/>
      </c>
      <c r="BS479" s="38" t="str">
        <f aca="false">IF(AND(ISNUMBER(B479),B479&gt;=Dashboard!$C$4,B479&lt;=Dashboard!$F$4,A479&lt;&gt;""),N(BD479)+N(AU479)/100+ROW()/10^9,"")</f>
        <v/>
      </c>
    </row>
    <row r="480" customFormat="false" ht="15" hidden="false" customHeight="false" outlineLevel="0" collapsed="false">
      <c r="A480" s="24" t="str">
        <f aca="false">IF(OR(B480="",G480="",H480=""),"",IFERROR(INDEX(Settings!$E$5:$E$49,MATCH(G480,Settings!$D$5:$D$49,0))&amp;INDEX(Settings!$H$5:$H$47,MATCH(H480,Settings!$G$5:$G$47,0))&amp;"-"&amp;TEXT(B480,"yymmdd")&amp;"-"&amp;IF(C480="","0000",TEXT(C480,"hhmm")),"CHECK LISTS"))</f>
        <v/>
      </c>
      <c r="B480" s="39"/>
      <c r="C480" s="40"/>
      <c r="D480" s="24" t="str">
        <f aca="false">IF(B480="","",TEXT(B480,"ddd"))</f>
        <v/>
      </c>
      <c r="E480" s="27" t="str">
        <f aca="false">IF(B480="","",B480-WEEKDAY(B480,3))</f>
        <v/>
      </c>
      <c r="F480" s="24" t="str">
        <f aca="false">IF(B480="","",TEXT(B480,"yyyy-mm"))</f>
        <v/>
      </c>
      <c r="G480" s="29"/>
      <c r="H480" s="29"/>
      <c r="I480" s="29"/>
      <c r="J480" s="29"/>
      <c r="K480" s="29"/>
      <c r="L480" s="29"/>
      <c r="M480" s="29"/>
      <c r="N480" s="29"/>
      <c r="O480" s="29"/>
      <c r="P480" s="29"/>
      <c r="Q480" s="30"/>
      <c r="R480" s="29"/>
      <c r="S480" s="32"/>
      <c r="T480" s="29"/>
      <c r="U480" s="29"/>
      <c r="V480" s="24" t="str">
        <f aca="false">IF(A480="","",IFERROR(INDEX(Settings!$F$5:$F$49,MATCH(G480,Settings!$D$5:$D$49,0)),""))</f>
        <v/>
      </c>
      <c r="W480" s="24" t="str">
        <f aca="false">IF(A480="","",IF(OR(P480="",P480="Organic"),"social","paid_social"))</f>
        <v/>
      </c>
      <c r="X480" s="24" t="str">
        <f aca="false">IF(A480="","",IF(K480&lt;&gt;"",IFERROR(INDEX('Case Studies'!$C$5:$C$54,MATCH(K480,'Case Studies'!$B$5:$B$54,0))&amp;"","case-study"),IF(J480&lt;&gt;"",IFERROR(INDEX(Settings!$J$5:$J$55,MATCH(J480,Settings!$I$5:$I$55,0)),"general"),"general")))</f>
        <v/>
      </c>
      <c r="Y480" s="24" t="str">
        <f aca="false">IF(A480="","",LOWER(A480))</f>
        <v/>
      </c>
      <c r="Z480" s="24" t="str">
        <f aca="false">IF(A480="","",IF(T480="",Settings!$B$5,T480)&amp;IF(ISNUMBER(FIND("?",IF(T480="",Settings!$B$5,T480))),"&amp;","?")&amp;"utm_source="&amp;V480&amp;"&amp;utm_medium="&amp;W480&amp;"&amp;utm_campaign="&amp;X480&amp;"&amp;utm_content="&amp;Y480)</f>
        <v/>
      </c>
      <c r="AA480" s="29"/>
      <c r="AB480" s="39"/>
      <c r="AC480" s="32"/>
      <c r="AD480" s="32"/>
      <c r="AE480" s="32"/>
      <c r="AF480" s="32"/>
      <c r="AG480" s="32"/>
      <c r="AH480" s="32"/>
      <c r="AI480" s="32"/>
      <c r="AJ480" s="32"/>
      <c r="AK480" s="32"/>
      <c r="AL480" s="32"/>
      <c r="AM480" s="32"/>
      <c r="AN480" s="32"/>
      <c r="AO480" s="33" t="str">
        <f aca="false">IF(A480="","",IF(AD480&lt;&gt;"",AD480,IF(AC480&lt;&gt;"",AC480,"")))</f>
        <v/>
      </c>
      <c r="AP480" s="24" t="str">
        <f aca="false">IF(AO480="","",IF(AD480&lt;&gt;"","Reported reach","Impressions (proxy)"))</f>
        <v/>
      </c>
      <c r="AQ480" s="34" t="str">
        <f aca="false">IF(OR(AO480="",N(S480)=0),"",AO480/S480)</f>
        <v/>
      </c>
      <c r="AR480" s="33" t="str">
        <f aca="false">IF(A480="","",IF(COUNT(AF480:AJ480)=0,"",SUM(AF480:AJ480)))</f>
        <v/>
      </c>
      <c r="AS480" s="34" t="str">
        <f aca="false">IF(OR(AR480="",N(AO480)=0),"",AR480/AO480)</f>
        <v/>
      </c>
      <c r="AT480" s="34" t="str">
        <f aca="false">IF(OR(AR480="",N(AC480)=0),"",AR480/AC480)</f>
        <v/>
      </c>
      <c r="AU480" s="34" t="str">
        <f aca="false">IF(OR(AR480="",N(S480)=0),"",AR480/S480)</f>
        <v/>
      </c>
      <c r="AV480" s="34" t="str">
        <f aca="false">IF(OR(AJ480="",N(AC480)=0),"",AJ480/AC480)</f>
        <v/>
      </c>
      <c r="AW480" s="34" t="str">
        <f aca="false">IF(OR(AH480="",N(AO480)=0),"",AH480/AO480)</f>
        <v/>
      </c>
      <c r="AX480" s="35" t="str">
        <f aca="false">IF(OR(AR480="",N(AO480)=0),"",(N(AF480)*Settings!$B$6+N(AG480)*Settings!$B$7+N(AH480)*Settings!$B$8+N(AI480)*Settings!$B$9+N(AJ480)*Settings!$B$10)/AO480*1000)</f>
        <v/>
      </c>
      <c r="AY480" s="36" t="str">
        <f aca="false">IF(AS480="","",IFERROR(AS480/AVERAGEIFS('Post Tracker'!$AS$5:$AS$1004,'Post Tracker'!$G$5:$G$1004,G480),""))</f>
        <v/>
      </c>
      <c r="AZ480" s="32"/>
      <c r="BA480" s="32"/>
      <c r="BB480" s="32"/>
      <c r="BC480" s="32"/>
      <c r="BD480" s="33" t="str">
        <f aca="false">IF(A480="","",COUNTIFS('Demo Pipeline'!$Q$5:$Q$504,A480))</f>
        <v/>
      </c>
      <c r="BE480" s="33" t="str">
        <f aca="false">IF(A480="","",COUNTIFS('Demo Pipeline'!$Q$5:$Q$504,A480,'Demo Pipeline'!$W$5:$W$504,"Attended"))</f>
        <v/>
      </c>
      <c r="BF480" s="33" t="str">
        <f aca="false">IF(A480="","",COUNTIFS('Demo Pipeline'!$Q$5:$Q$504,A480,'Demo Pipeline'!$X$5:$X$504,"Yes"))</f>
        <v/>
      </c>
      <c r="BG480" s="33" t="str">
        <f aca="false">IF(A480="","",COUNTIFS('Demo Pipeline'!$Q$5:$Q$504,A480,'Demo Pipeline'!$Y$5:$Y$504,"Closed Won"))</f>
        <v/>
      </c>
      <c r="BH480" s="37" t="str">
        <f aca="false">IF(A480="","",SUMIFS('Demo Pipeline'!$Z$5:$Z$504,'Demo Pipeline'!$Q$5:$Q$504,A480))</f>
        <v/>
      </c>
      <c r="BI480" s="34" t="str">
        <f aca="false">IF(OR(AZ480="",N(AJ480)=0),"",AZ480/AJ480)</f>
        <v/>
      </c>
      <c r="BJ480" s="34" t="str">
        <f aca="false">IF(OR(BB480="",N(AZ480)=0),"",BB480/AZ480)</f>
        <v/>
      </c>
      <c r="BK480" s="34" t="str">
        <f aca="false">IF(OR(A480="",N(BB480)=0),"",BD480/BB480)</f>
        <v/>
      </c>
      <c r="BL480" s="34" t="str">
        <f aca="false">IF(OR(A480="",N(AZ480)=0),"",BD480/AZ480)</f>
        <v/>
      </c>
      <c r="BM480" s="37" t="str">
        <f aca="false">IF(OR(N(Q480)=0,N(BD480)=0),"",Q480/BD480)</f>
        <v/>
      </c>
      <c r="BN480" s="29"/>
      <c r="BO480" s="29"/>
      <c r="BP480" s="33" t="str">
        <f aca="false">IF(OR(AR480="",N(AO480)=0),"",AR480)</f>
        <v/>
      </c>
      <c r="BQ480" s="33" t="str">
        <f aca="false">IF(OR(AR480="",N(S480)=0),"",S480)</f>
        <v/>
      </c>
      <c r="BR480" s="38" t="str">
        <f aca="false">IF(AND(ISNUMBER(B480),B480&gt;=Dashboard!$C$4,B480&lt;=Dashboard!$F$4,ISNUMBER(AU480)),AU480+ROW()/10^9,"")</f>
        <v/>
      </c>
      <c r="BS480" s="38" t="str">
        <f aca="false">IF(AND(ISNUMBER(B480),B480&gt;=Dashboard!$C$4,B480&lt;=Dashboard!$F$4,A480&lt;&gt;""),N(BD480)+N(AU480)/100+ROW()/10^9,"")</f>
        <v/>
      </c>
    </row>
    <row r="481" customFormat="false" ht="15" hidden="false" customHeight="false" outlineLevel="0" collapsed="false">
      <c r="A481" s="24" t="str">
        <f aca="false">IF(OR(B481="",G481="",H481=""),"",IFERROR(INDEX(Settings!$E$5:$E$49,MATCH(G481,Settings!$D$5:$D$49,0))&amp;INDEX(Settings!$H$5:$H$47,MATCH(H481,Settings!$G$5:$G$47,0))&amp;"-"&amp;TEXT(B481,"yymmdd")&amp;"-"&amp;IF(C481="","0000",TEXT(C481,"hhmm")),"CHECK LISTS"))</f>
        <v/>
      </c>
      <c r="B481" s="39"/>
      <c r="C481" s="40"/>
      <c r="D481" s="24" t="str">
        <f aca="false">IF(B481="","",TEXT(B481,"ddd"))</f>
        <v/>
      </c>
      <c r="E481" s="27" t="str">
        <f aca="false">IF(B481="","",B481-WEEKDAY(B481,3))</f>
        <v/>
      </c>
      <c r="F481" s="24" t="str">
        <f aca="false">IF(B481="","",TEXT(B481,"yyyy-mm"))</f>
        <v/>
      </c>
      <c r="G481" s="29"/>
      <c r="H481" s="29"/>
      <c r="I481" s="29"/>
      <c r="J481" s="29"/>
      <c r="K481" s="29"/>
      <c r="L481" s="29"/>
      <c r="M481" s="29"/>
      <c r="N481" s="29"/>
      <c r="O481" s="29"/>
      <c r="P481" s="29"/>
      <c r="Q481" s="30"/>
      <c r="R481" s="29"/>
      <c r="S481" s="32"/>
      <c r="T481" s="29"/>
      <c r="U481" s="29"/>
      <c r="V481" s="24" t="str">
        <f aca="false">IF(A481="","",IFERROR(INDEX(Settings!$F$5:$F$49,MATCH(G481,Settings!$D$5:$D$49,0)),""))</f>
        <v/>
      </c>
      <c r="W481" s="24" t="str">
        <f aca="false">IF(A481="","",IF(OR(P481="",P481="Organic"),"social","paid_social"))</f>
        <v/>
      </c>
      <c r="X481" s="24" t="str">
        <f aca="false">IF(A481="","",IF(K481&lt;&gt;"",IFERROR(INDEX('Case Studies'!$C$5:$C$54,MATCH(K481,'Case Studies'!$B$5:$B$54,0))&amp;"","case-study"),IF(J481&lt;&gt;"",IFERROR(INDEX(Settings!$J$5:$J$55,MATCH(J481,Settings!$I$5:$I$55,0)),"general"),"general")))</f>
        <v/>
      </c>
      <c r="Y481" s="24" t="str">
        <f aca="false">IF(A481="","",LOWER(A481))</f>
        <v/>
      </c>
      <c r="Z481" s="24" t="str">
        <f aca="false">IF(A481="","",IF(T481="",Settings!$B$5,T481)&amp;IF(ISNUMBER(FIND("?",IF(T481="",Settings!$B$5,T481))),"&amp;","?")&amp;"utm_source="&amp;V481&amp;"&amp;utm_medium="&amp;W481&amp;"&amp;utm_campaign="&amp;X481&amp;"&amp;utm_content="&amp;Y481)</f>
        <v/>
      </c>
      <c r="AA481" s="29"/>
      <c r="AB481" s="39"/>
      <c r="AC481" s="32"/>
      <c r="AD481" s="32"/>
      <c r="AE481" s="32"/>
      <c r="AF481" s="32"/>
      <c r="AG481" s="32"/>
      <c r="AH481" s="32"/>
      <c r="AI481" s="32"/>
      <c r="AJ481" s="32"/>
      <c r="AK481" s="32"/>
      <c r="AL481" s="32"/>
      <c r="AM481" s="32"/>
      <c r="AN481" s="32"/>
      <c r="AO481" s="33" t="str">
        <f aca="false">IF(A481="","",IF(AD481&lt;&gt;"",AD481,IF(AC481&lt;&gt;"",AC481,"")))</f>
        <v/>
      </c>
      <c r="AP481" s="24" t="str">
        <f aca="false">IF(AO481="","",IF(AD481&lt;&gt;"","Reported reach","Impressions (proxy)"))</f>
        <v/>
      </c>
      <c r="AQ481" s="34" t="str">
        <f aca="false">IF(OR(AO481="",N(S481)=0),"",AO481/S481)</f>
        <v/>
      </c>
      <c r="AR481" s="33" t="str">
        <f aca="false">IF(A481="","",IF(COUNT(AF481:AJ481)=0,"",SUM(AF481:AJ481)))</f>
        <v/>
      </c>
      <c r="AS481" s="34" t="str">
        <f aca="false">IF(OR(AR481="",N(AO481)=0),"",AR481/AO481)</f>
        <v/>
      </c>
      <c r="AT481" s="34" t="str">
        <f aca="false">IF(OR(AR481="",N(AC481)=0),"",AR481/AC481)</f>
        <v/>
      </c>
      <c r="AU481" s="34" t="str">
        <f aca="false">IF(OR(AR481="",N(S481)=0),"",AR481/S481)</f>
        <v/>
      </c>
      <c r="AV481" s="34" t="str">
        <f aca="false">IF(OR(AJ481="",N(AC481)=0),"",AJ481/AC481)</f>
        <v/>
      </c>
      <c r="AW481" s="34" t="str">
        <f aca="false">IF(OR(AH481="",N(AO481)=0),"",AH481/AO481)</f>
        <v/>
      </c>
      <c r="AX481" s="35" t="str">
        <f aca="false">IF(OR(AR481="",N(AO481)=0),"",(N(AF481)*Settings!$B$6+N(AG481)*Settings!$B$7+N(AH481)*Settings!$B$8+N(AI481)*Settings!$B$9+N(AJ481)*Settings!$B$10)/AO481*1000)</f>
        <v/>
      </c>
      <c r="AY481" s="36" t="str">
        <f aca="false">IF(AS481="","",IFERROR(AS481/AVERAGEIFS('Post Tracker'!$AS$5:$AS$1004,'Post Tracker'!$G$5:$G$1004,G481),""))</f>
        <v/>
      </c>
      <c r="AZ481" s="32"/>
      <c r="BA481" s="32"/>
      <c r="BB481" s="32"/>
      <c r="BC481" s="32"/>
      <c r="BD481" s="33" t="str">
        <f aca="false">IF(A481="","",COUNTIFS('Demo Pipeline'!$Q$5:$Q$504,A481))</f>
        <v/>
      </c>
      <c r="BE481" s="33" t="str">
        <f aca="false">IF(A481="","",COUNTIFS('Demo Pipeline'!$Q$5:$Q$504,A481,'Demo Pipeline'!$W$5:$W$504,"Attended"))</f>
        <v/>
      </c>
      <c r="BF481" s="33" t="str">
        <f aca="false">IF(A481="","",COUNTIFS('Demo Pipeline'!$Q$5:$Q$504,A481,'Demo Pipeline'!$X$5:$X$504,"Yes"))</f>
        <v/>
      </c>
      <c r="BG481" s="33" t="str">
        <f aca="false">IF(A481="","",COUNTIFS('Demo Pipeline'!$Q$5:$Q$504,A481,'Demo Pipeline'!$Y$5:$Y$504,"Closed Won"))</f>
        <v/>
      </c>
      <c r="BH481" s="37" t="str">
        <f aca="false">IF(A481="","",SUMIFS('Demo Pipeline'!$Z$5:$Z$504,'Demo Pipeline'!$Q$5:$Q$504,A481))</f>
        <v/>
      </c>
      <c r="BI481" s="34" t="str">
        <f aca="false">IF(OR(AZ481="",N(AJ481)=0),"",AZ481/AJ481)</f>
        <v/>
      </c>
      <c r="BJ481" s="34" t="str">
        <f aca="false">IF(OR(BB481="",N(AZ481)=0),"",BB481/AZ481)</f>
        <v/>
      </c>
      <c r="BK481" s="34" t="str">
        <f aca="false">IF(OR(A481="",N(BB481)=0),"",BD481/BB481)</f>
        <v/>
      </c>
      <c r="BL481" s="34" t="str">
        <f aca="false">IF(OR(A481="",N(AZ481)=0),"",BD481/AZ481)</f>
        <v/>
      </c>
      <c r="BM481" s="37" t="str">
        <f aca="false">IF(OR(N(Q481)=0,N(BD481)=0),"",Q481/BD481)</f>
        <v/>
      </c>
      <c r="BN481" s="29"/>
      <c r="BO481" s="29"/>
      <c r="BP481" s="33" t="str">
        <f aca="false">IF(OR(AR481="",N(AO481)=0),"",AR481)</f>
        <v/>
      </c>
      <c r="BQ481" s="33" t="str">
        <f aca="false">IF(OR(AR481="",N(S481)=0),"",S481)</f>
        <v/>
      </c>
      <c r="BR481" s="38" t="str">
        <f aca="false">IF(AND(ISNUMBER(B481),B481&gt;=Dashboard!$C$4,B481&lt;=Dashboard!$F$4,ISNUMBER(AU481)),AU481+ROW()/10^9,"")</f>
        <v/>
      </c>
      <c r="BS481" s="38" t="str">
        <f aca="false">IF(AND(ISNUMBER(B481),B481&gt;=Dashboard!$C$4,B481&lt;=Dashboard!$F$4,A481&lt;&gt;""),N(BD481)+N(AU481)/100+ROW()/10^9,"")</f>
        <v/>
      </c>
    </row>
    <row r="482" customFormat="false" ht="15" hidden="false" customHeight="false" outlineLevel="0" collapsed="false">
      <c r="A482" s="24" t="str">
        <f aca="false">IF(OR(B482="",G482="",H482=""),"",IFERROR(INDEX(Settings!$E$5:$E$49,MATCH(G482,Settings!$D$5:$D$49,0))&amp;INDEX(Settings!$H$5:$H$47,MATCH(H482,Settings!$G$5:$G$47,0))&amp;"-"&amp;TEXT(B482,"yymmdd")&amp;"-"&amp;IF(C482="","0000",TEXT(C482,"hhmm")),"CHECK LISTS"))</f>
        <v/>
      </c>
      <c r="B482" s="39"/>
      <c r="C482" s="40"/>
      <c r="D482" s="24" t="str">
        <f aca="false">IF(B482="","",TEXT(B482,"ddd"))</f>
        <v/>
      </c>
      <c r="E482" s="27" t="str">
        <f aca="false">IF(B482="","",B482-WEEKDAY(B482,3))</f>
        <v/>
      </c>
      <c r="F482" s="24" t="str">
        <f aca="false">IF(B482="","",TEXT(B482,"yyyy-mm"))</f>
        <v/>
      </c>
      <c r="G482" s="29"/>
      <c r="H482" s="29"/>
      <c r="I482" s="29"/>
      <c r="J482" s="29"/>
      <c r="K482" s="29"/>
      <c r="L482" s="29"/>
      <c r="M482" s="29"/>
      <c r="N482" s="29"/>
      <c r="O482" s="29"/>
      <c r="P482" s="29"/>
      <c r="Q482" s="30"/>
      <c r="R482" s="29"/>
      <c r="S482" s="32"/>
      <c r="T482" s="29"/>
      <c r="U482" s="29"/>
      <c r="V482" s="24" t="str">
        <f aca="false">IF(A482="","",IFERROR(INDEX(Settings!$F$5:$F$49,MATCH(G482,Settings!$D$5:$D$49,0)),""))</f>
        <v/>
      </c>
      <c r="W482" s="24" t="str">
        <f aca="false">IF(A482="","",IF(OR(P482="",P482="Organic"),"social","paid_social"))</f>
        <v/>
      </c>
      <c r="X482" s="24" t="str">
        <f aca="false">IF(A482="","",IF(K482&lt;&gt;"",IFERROR(INDEX('Case Studies'!$C$5:$C$54,MATCH(K482,'Case Studies'!$B$5:$B$54,0))&amp;"","case-study"),IF(J482&lt;&gt;"",IFERROR(INDEX(Settings!$J$5:$J$55,MATCH(J482,Settings!$I$5:$I$55,0)),"general"),"general")))</f>
        <v/>
      </c>
      <c r="Y482" s="24" t="str">
        <f aca="false">IF(A482="","",LOWER(A482))</f>
        <v/>
      </c>
      <c r="Z482" s="24" t="str">
        <f aca="false">IF(A482="","",IF(T482="",Settings!$B$5,T482)&amp;IF(ISNUMBER(FIND("?",IF(T482="",Settings!$B$5,T482))),"&amp;","?")&amp;"utm_source="&amp;V482&amp;"&amp;utm_medium="&amp;W482&amp;"&amp;utm_campaign="&amp;X482&amp;"&amp;utm_content="&amp;Y482)</f>
        <v/>
      </c>
      <c r="AA482" s="29"/>
      <c r="AB482" s="39"/>
      <c r="AC482" s="32"/>
      <c r="AD482" s="32"/>
      <c r="AE482" s="32"/>
      <c r="AF482" s="32"/>
      <c r="AG482" s="32"/>
      <c r="AH482" s="32"/>
      <c r="AI482" s="32"/>
      <c r="AJ482" s="32"/>
      <c r="AK482" s="32"/>
      <c r="AL482" s="32"/>
      <c r="AM482" s="32"/>
      <c r="AN482" s="32"/>
      <c r="AO482" s="33" t="str">
        <f aca="false">IF(A482="","",IF(AD482&lt;&gt;"",AD482,IF(AC482&lt;&gt;"",AC482,"")))</f>
        <v/>
      </c>
      <c r="AP482" s="24" t="str">
        <f aca="false">IF(AO482="","",IF(AD482&lt;&gt;"","Reported reach","Impressions (proxy)"))</f>
        <v/>
      </c>
      <c r="AQ482" s="34" t="str">
        <f aca="false">IF(OR(AO482="",N(S482)=0),"",AO482/S482)</f>
        <v/>
      </c>
      <c r="AR482" s="33" t="str">
        <f aca="false">IF(A482="","",IF(COUNT(AF482:AJ482)=0,"",SUM(AF482:AJ482)))</f>
        <v/>
      </c>
      <c r="AS482" s="34" t="str">
        <f aca="false">IF(OR(AR482="",N(AO482)=0),"",AR482/AO482)</f>
        <v/>
      </c>
      <c r="AT482" s="34" t="str">
        <f aca="false">IF(OR(AR482="",N(AC482)=0),"",AR482/AC482)</f>
        <v/>
      </c>
      <c r="AU482" s="34" t="str">
        <f aca="false">IF(OR(AR482="",N(S482)=0),"",AR482/S482)</f>
        <v/>
      </c>
      <c r="AV482" s="34" t="str">
        <f aca="false">IF(OR(AJ482="",N(AC482)=0),"",AJ482/AC482)</f>
        <v/>
      </c>
      <c r="AW482" s="34" t="str">
        <f aca="false">IF(OR(AH482="",N(AO482)=0),"",AH482/AO482)</f>
        <v/>
      </c>
      <c r="AX482" s="35" t="str">
        <f aca="false">IF(OR(AR482="",N(AO482)=0),"",(N(AF482)*Settings!$B$6+N(AG482)*Settings!$B$7+N(AH482)*Settings!$B$8+N(AI482)*Settings!$B$9+N(AJ482)*Settings!$B$10)/AO482*1000)</f>
        <v/>
      </c>
      <c r="AY482" s="36" t="str">
        <f aca="false">IF(AS482="","",IFERROR(AS482/AVERAGEIFS('Post Tracker'!$AS$5:$AS$1004,'Post Tracker'!$G$5:$G$1004,G482),""))</f>
        <v/>
      </c>
      <c r="AZ482" s="32"/>
      <c r="BA482" s="32"/>
      <c r="BB482" s="32"/>
      <c r="BC482" s="32"/>
      <c r="BD482" s="33" t="str">
        <f aca="false">IF(A482="","",COUNTIFS('Demo Pipeline'!$Q$5:$Q$504,A482))</f>
        <v/>
      </c>
      <c r="BE482" s="33" t="str">
        <f aca="false">IF(A482="","",COUNTIFS('Demo Pipeline'!$Q$5:$Q$504,A482,'Demo Pipeline'!$W$5:$W$504,"Attended"))</f>
        <v/>
      </c>
      <c r="BF482" s="33" t="str">
        <f aca="false">IF(A482="","",COUNTIFS('Demo Pipeline'!$Q$5:$Q$504,A482,'Demo Pipeline'!$X$5:$X$504,"Yes"))</f>
        <v/>
      </c>
      <c r="BG482" s="33" t="str">
        <f aca="false">IF(A482="","",COUNTIFS('Demo Pipeline'!$Q$5:$Q$504,A482,'Demo Pipeline'!$Y$5:$Y$504,"Closed Won"))</f>
        <v/>
      </c>
      <c r="BH482" s="37" t="str">
        <f aca="false">IF(A482="","",SUMIFS('Demo Pipeline'!$Z$5:$Z$504,'Demo Pipeline'!$Q$5:$Q$504,A482))</f>
        <v/>
      </c>
      <c r="BI482" s="34" t="str">
        <f aca="false">IF(OR(AZ482="",N(AJ482)=0),"",AZ482/AJ482)</f>
        <v/>
      </c>
      <c r="BJ482" s="34" t="str">
        <f aca="false">IF(OR(BB482="",N(AZ482)=0),"",BB482/AZ482)</f>
        <v/>
      </c>
      <c r="BK482" s="34" t="str">
        <f aca="false">IF(OR(A482="",N(BB482)=0),"",BD482/BB482)</f>
        <v/>
      </c>
      <c r="BL482" s="34" t="str">
        <f aca="false">IF(OR(A482="",N(AZ482)=0),"",BD482/AZ482)</f>
        <v/>
      </c>
      <c r="BM482" s="37" t="str">
        <f aca="false">IF(OR(N(Q482)=0,N(BD482)=0),"",Q482/BD482)</f>
        <v/>
      </c>
      <c r="BN482" s="29"/>
      <c r="BO482" s="29"/>
      <c r="BP482" s="33" t="str">
        <f aca="false">IF(OR(AR482="",N(AO482)=0),"",AR482)</f>
        <v/>
      </c>
      <c r="BQ482" s="33" t="str">
        <f aca="false">IF(OR(AR482="",N(S482)=0),"",S482)</f>
        <v/>
      </c>
      <c r="BR482" s="38" t="str">
        <f aca="false">IF(AND(ISNUMBER(B482),B482&gt;=Dashboard!$C$4,B482&lt;=Dashboard!$F$4,ISNUMBER(AU482)),AU482+ROW()/10^9,"")</f>
        <v/>
      </c>
      <c r="BS482" s="38" t="str">
        <f aca="false">IF(AND(ISNUMBER(B482),B482&gt;=Dashboard!$C$4,B482&lt;=Dashboard!$F$4,A482&lt;&gt;""),N(BD482)+N(AU482)/100+ROW()/10^9,"")</f>
        <v/>
      </c>
    </row>
    <row r="483" customFormat="false" ht="15" hidden="false" customHeight="false" outlineLevel="0" collapsed="false">
      <c r="A483" s="24" t="str">
        <f aca="false">IF(OR(B483="",G483="",H483=""),"",IFERROR(INDEX(Settings!$E$5:$E$49,MATCH(G483,Settings!$D$5:$D$49,0))&amp;INDEX(Settings!$H$5:$H$47,MATCH(H483,Settings!$G$5:$G$47,0))&amp;"-"&amp;TEXT(B483,"yymmdd")&amp;"-"&amp;IF(C483="","0000",TEXT(C483,"hhmm")),"CHECK LISTS"))</f>
        <v/>
      </c>
      <c r="B483" s="39"/>
      <c r="C483" s="40"/>
      <c r="D483" s="24" t="str">
        <f aca="false">IF(B483="","",TEXT(B483,"ddd"))</f>
        <v/>
      </c>
      <c r="E483" s="27" t="str">
        <f aca="false">IF(B483="","",B483-WEEKDAY(B483,3))</f>
        <v/>
      </c>
      <c r="F483" s="24" t="str">
        <f aca="false">IF(B483="","",TEXT(B483,"yyyy-mm"))</f>
        <v/>
      </c>
      <c r="G483" s="29"/>
      <c r="H483" s="29"/>
      <c r="I483" s="29"/>
      <c r="J483" s="29"/>
      <c r="K483" s="29"/>
      <c r="L483" s="29"/>
      <c r="M483" s="29"/>
      <c r="N483" s="29"/>
      <c r="O483" s="29"/>
      <c r="P483" s="29"/>
      <c r="Q483" s="30"/>
      <c r="R483" s="29"/>
      <c r="S483" s="32"/>
      <c r="T483" s="29"/>
      <c r="U483" s="29"/>
      <c r="V483" s="24" t="str">
        <f aca="false">IF(A483="","",IFERROR(INDEX(Settings!$F$5:$F$49,MATCH(G483,Settings!$D$5:$D$49,0)),""))</f>
        <v/>
      </c>
      <c r="W483" s="24" t="str">
        <f aca="false">IF(A483="","",IF(OR(P483="",P483="Organic"),"social","paid_social"))</f>
        <v/>
      </c>
      <c r="X483" s="24" t="str">
        <f aca="false">IF(A483="","",IF(K483&lt;&gt;"",IFERROR(INDEX('Case Studies'!$C$5:$C$54,MATCH(K483,'Case Studies'!$B$5:$B$54,0))&amp;"","case-study"),IF(J483&lt;&gt;"",IFERROR(INDEX(Settings!$J$5:$J$55,MATCH(J483,Settings!$I$5:$I$55,0)),"general"),"general")))</f>
        <v/>
      </c>
      <c r="Y483" s="24" t="str">
        <f aca="false">IF(A483="","",LOWER(A483))</f>
        <v/>
      </c>
      <c r="Z483" s="24" t="str">
        <f aca="false">IF(A483="","",IF(T483="",Settings!$B$5,T483)&amp;IF(ISNUMBER(FIND("?",IF(T483="",Settings!$B$5,T483))),"&amp;","?")&amp;"utm_source="&amp;V483&amp;"&amp;utm_medium="&amp;W483&amp;"&amp;utm_campaign="&amp;X483&amp;"&amp;utm_content="&amp;Y483)</f>
        <v/>
      </c>
      <c r="AA483" s="29"/>
      <c r="AB483" s="39"/>
      <c r="AC483" s="32"/>
      <c r="AD483" s="32"/>
      <c r="AE483" s="32"/>
      <c r="AF483" s="32"/>
      <c r="AG483" s="32"/>
      <c r="AH483" s="32"/>
      <c r="AI483" s="32"/>
      <c r="AJ483" s="32"/>
      <c r="AK483" s="32"/>
      <c r="AL483" s="32"/>
      <c r="AM483" s="32"/>
      <c r="AN483" s="32"/>
      <c r="AO483" s="33" t="str">
        <f aca="false">IF(A483="","",IF(AD483&lt;&gt;"",AD483,IF(AC483&lt;&gt;"",AC483,"")))</f>
        <v/>
      </c>
      <c r="AP483" s="24" t="str">
        <f aca="false">IF(AO483="","",IF(AD483&lt;&gt;"","Reported reach","Impressions (proxy)"))</f>
        <v/>
      </c>
      <c r="AQ483" s="34" t="str">
        <f aca="false">IF(OR(AO483="",N(S483)=0),"",AO483/S483)</f>
        <v/>
      </c>
      <c r="AR483" s="33" t="str">
        <f aca="false">IF(A483="","",IF(COUNT(AF483:AJ483)=0,"",SUM(AF483:AJ483)))</f>
        <v/>
      </c>
      <c r="AS483" s="34" t="str">
        <f aca="false">IF(OR(AR483="",N(AO483)=0),"",AR483/AO483)</f>
        <v/>
      </c>
      <c r="AT483" s="34" t="str">
        <f aca="false">IF(OR(AR483="",N(AC483)=0),"",AR483/AC483)</f>
        <v/>
      </c>
      <c r="AU483" s="34" t="str">
        <f aca="false">IF(OR(AR483="",N(S483)=0),"",AR483/S483)</f>
        <v/>
      </c>
      <c r="AV483" s="34" t="str">
        <f aca="false">IF(OR(AJ483="",N(AC483)=0),"",AJ483/AC483)</f>
        <v/>
      </c>
      <c r="AW483" s="34" t="str">
        <f aca="false">IF(OR(AH483="",N(AO483)=0),"",AH483/AO483)</f>
        <v/>
      </c>
      <c r="AX483" s="35" t="str">
        <f aca="false">IF(OR(AR483="",N(AO483)=0),"",(N(AF483)*Settings!$B$6+N(AG483)*Settings!$B$7+N(AH483)*Settings!$B$8+N(AI483)*Settings!$B$9+N(AJ483)*Settings!$B$10)/AO483*1000)</f>
        <v/>
      </c>
      <c r="AY483" s="36" t="str">
        <f aca="false">IF(AS483="","",IFERROR(AS483/AVERAGEIFS('Post Tracker'!$AS$5:$AS$1004,'Post Tracker'!$G$5:$G$1004,G483),""))</f>
        <v/>
      </c>
      <c r="AZ483" s="32"/>
      <c r="BA483" s="32"/>
      <c r="BB483" s="32"/>
      <c r="BC483" s="32"/>
      <c r="BD483" s="33" t="str">
        <f aca="false">IF(A483="","",COUNTIFS('Demo Pipeline'!$Q$5:$Q$504,A483))</f>
        <v/>
      </c>
      <c r="BE483" s="33" t="str">
        <f aca="false">IF(A483="","",COUNTIFS('Demo Pipeline'!$Q$5:$Q$504,A483,'Demo Pipeline'!$W$5:$W$504,"Attended"))</f>
        <v/>
      </c>
      <c r="BF483" s="33" t="str">
        <f aca="false">IF(A483="","",COUNTIFS('Demo Pipeline'!$Q$5:$Q$504,A483,'Demo Pipeline'!$X$5:$X$504,"Yes"))</f>
        <v/>
      </c>
      <c r="BG483" s="33" t="str">
        <f aca="false">IF(A483="","",COUNTIFS('Demo Pipeline'!$Q$5:$Q$504,A483,'Demo Pipeline'!$Y$5:$Y$504,"Closed Won"))</f>
        <v/>
      </c>
      <c r="BH483" s="37" t="str">
        <f aca="false">IF(A483="","",SUMIFS('Demo Pipeline'!$Z$5:$Z$504,'Demo Pipeline'!$Q$5:$Q$504,A483))</f>
        <v/>
      </c>
      <c r="BI483" s="34" t="str">
        <f aca="false">IF(OR(AZ483="",N(AJ483)=0),"",AZ483/AJ483)</f>
        <v/>
      </c>
      <c r="BJ483" s="34" t="str">
        <f aca="false">IF(OR(BB483="",N(AZ483)=0),"",BB483/AZ483)</f>
        <v/>
      </c>
      <c r="BK483" s="34" t="str">
        <f aca="false">IF(OR(A483="",N(BB483)=0),"",BD483/BB483)</f>
        <v/>
      </c>
      <c r="BL483" s="34" t="str">
        <f aca="false">IF(OR(A483="",N(AZ483)=0),"",BD483/AZ483)</f>
        <v/>
      </c>
      <c r="BM483" s="37" t="str">
        <f aca="false">IF(OR(N(Q483)=0,N(BD483)=0),"",Q483/BD483)</f>
        <v/>
      </c>
      <c r="BN483" s="29"/>
      <c r="BO483" s="29"/>
      <c r="BP483" s="33" t="str">
        <f aca="false">IF(OR(AR483="",N(AO483)=0),"",AR483)</f>
        <v/>
      </c>
      <c r="BQ483" s="33" t="str">
        <f aca="false">IF(OR(AR483="",N(S483)=0),"",S483)</f>
        <v/>
      </c>
      <c r="BR483" s="38" t="str">
        <f aca="false">IF(AND(ISNUMBER(B483),B483&gt;=Dashboard!$C$4,B483&lt;=Dashboard!$F$4,ISNUMBER(AU483)),AU483+ROW()/10^9,"")</f>
        <v/>
      </c>
      <c r="BS483" s="38" t="str">
        <f aca="false">IF(AND(ISNUMBER(B483),B483&gt;=Dashboard!$C$4,B483&lt;=Dashboard!$F$4,A483&lt;&gt;""),N(BD483)+N(AU483)/100+ROW()/10^9,"")</f>
        <v/>
      </c>
    </row>
    <row r="484" customFormat="false" ht="15" hidden="false" customHeight="false" outlineLevel="0" collapsed="false">
      <c r="A484" s="24" t="str">
        <f aca="false">IF(OR(B484="",G484="",H484=""),"",IFERROR(INDEX(Settings!$E$5:$E$49,MATCH(G484,Settings!$D$5:$D$49,0))&amp;INDEX(Settings!$H$5:$H$47,MATCH(H484,Settings!$G$5:$G$47,0))&amp;"-"&amp;TEXT(B484,"yymmdd")&amp;"-"&amp;IF(C484="","0000",TEXT(C484,"hhmm")),"CHECK LISTS"))</f>
        <v/>
      </c>
      <c r="B484" s="39"/>
      <c r="C484" s="40"/>
      <c r="D484" s="24" t="str">
        <f aca="false">IF(B484="","",TEXT(B484,"ddd"))</f>
        <v/>
      </c>
      <c r="E484" s="27" t="str">
        <f aca="false">IF(B484="","",B484-WEEKDAY(B484,3))</f>
        <v/>
      </c>
      <c r="F484" s="24" t="str">
        <f aca="false">IF(B484="","",TEXT(B484,"yyyy-mm"))</f>
        <v/>
      </c>
      <c r="G484" s="29"/>
      <c r="H484" s="29"/>
      <c r="I484" s="29"/>
      <c r="J484" s="29"/>
      <c r="K484" s="29"/>
      <c r="L484" s="29"/>
      <c r="M484" s="29"/>
      <c r="N484" s="29"/>
      <c r="O484" s="29"/>
      <c r="P484" s="29"/>
      <c r="Q484" s="30"/>
      <c r="R484" s="29"/>
      <c r="S484" s="32"/>
      <c r="T484" s="29"/>
      <c r="U484" s="29"/>
      <c r="V484" s="24" t="str">
        <f aca="false">IF(A484="","",IFERROR(INDEX(Settings!$F$5:$F$49,MATCH(G484,Settings!$D$5:$D$49,0)),""))</f>
        <v/>
      </c>
      <c r="W484" s="24" t="str">
        <f aca="false">IF(A484="","",IF(OR(P484="",P484="Organic"),"social","paid_social"))</f>
        <v/>
      </c>
      <c r="X484" s="24" t="str">
        <f aca="false">IF(A484="","",IF(K484&lt;&gt;"",IFERROR(INDEX('Case Studies'!$C$5:$C$54,MATCH(K484,'Case Studies'!$B$5:$B$54,0))&amp;"","case-study"),IF(J484&lt;&gt;"",IFERROR(INDEX(Settings!$J$5:$J$55,MATCH(J484,Settings!$I$5:$I$55,0)),"general"),"general")))</f>
        <v/>
      </c>
      <c r="Y484" s="24" t="str">
        <f aca="false">IF(A484="","",LOWER(A484))</f>
        <v/>
      </c>
      <c r="Z484" s="24" t="str">
        <f aca="false">IF(A484="","",IF(T484="",Settings!$B$5,T484)&amp;IF(ISNUMBER(FIND("?",IF(T484="",Settings!$B$5,T484))),"&amp;","?")&amp;"utm_source="&amp;V484&amp;"&amp;utm_medium="&amp;W484&amp;"&amp;utm_campaign="&amp;X484&amp;"&amp;utm_content="&amp;Y484)</f>
        <v/>
      </c>
      <c r="AA484" s="29"/>
      <c r="AB484" s="39"/>
      <c r="AC484" s="32"/>
      <c r="AD484" s="32"/>
      <c r="AE484" s="32"/>
      <c r="AF484" s="32"/>
      <c r="AG484" s="32"/>
      <c r="AH484" s="32"/>
      <c r="AI484" s="32"/>
      <c r="AJ484" s="32"/>
      <c r="AK484" s="32"/>
      <c r="AL484" s="32"/>
      <c r="AM484" s="32"/>
      <c r="AN484" s="32"/>
      <c r="AO484" s="33" t="str">
        <f aca="false">IF(A484="","",IF(AD484&lt;&gt;"",AD484,IF(AC484&lt;&gt;"",AC484,"")))</f>
        <v/>
      </c>
      <c r="AP484" s="24" t="str">
        <f aca="false">IF(AO484="","",IF(AD484&lt;&gt;"","Reported reach","Impressions (proxy)"))</f>
        <v/>
      </c>
      <c r="AQ484" s="34" t="str">
        <f aca="false">IF(OR(AO484="",N(S484)=0),"",AO484/S484)</f>
        <v/>
      </c>
      <c r="AR484" s="33" t="str">
        <f aca="false">IF(A484="","",IF(COUNT(AF484:AJ484)=0,"",SUM(AF484:AJ484)))</f>
        <v/>
      </c>
      <c r="AS484" s="34" t="str">
        <f aca="false">IF(OR(AR484="",N(AO484)=0),"",AR484/AO484)</f>
        <v/>
      </c>
      <c r="AT484" s="34" t="str">
        <f aca="false">IF(OR(AR484="",N(AC484)=0),"",AR484/AC484)</f>
        <v/>
      </c>
      <c r="AU484" s="34" t="str">
        <f aca="false">IF(OR(AR484="",N(S484)=0),"",AR484/S484)</f>
        <v/>
      </c>
      <c r="AV484" s="34" t="str">
        <f aca="false">IF(OR(AJ484="",N(AC484)=0),"",AJ484/AC484)</f>
        <v/>
      </c>
      <c r="AW484" s="34" t="str">
        <f aca="false">IF(OR(AH484="",N(AO484)=0),"",AH484/AO484)</f>
        <v/>
      </c>
      <c r="AX484" s="35" t="str">
        <f aca="false">IF(OR(AR484="",N(AO484)=0),"",(N(AF484)*Settings!$B$6+N(AG484)*Settings!$B$7+N(AH484)*Settings!$B$8+N(AI484)*Settings!$B$9+N(AJ484)*Settings!$B$10)/AO484*1000)</f>
        <v/>
      </c>
      <c r="AY484" s="36" t="str">
        <f aca="false">IF(AS484="","",IFERROR(AS484/AVERAGEIFS('Post Tracker'!$AS$5:$AS$1004,'Post Tracker'!$G$5:$G$1004,G484),""))</f>
        <v/>
      </c>
      <c r="AZ484" s="32"/>
      <c r="BA484" s="32"/>
      <c r="BB484" s="32"/>
      <c r="BC484" s="32"/>
      <c r="BD484" s="33" t="str">
        <f aca="false">IF(A484="","",COUNTIFS('Demo Pipeline'!$Q$5:$Q$504,A484))</f>
        <v/>
      </c>
      <c r="BE484" s="33" t="str">
        <f aca="false">IF(A484="","",COUNTIFS('Demo Pipeline'!$Q$5:$Q$504,A484,'Demo Pipeline'!$W$5:$W$504,"Attended"))</f>
        <v/>
      </c>
      <c r="BF484" s="33" t="str">
        <f aca="false">IF(A484="","",COUNTIFS('Demo Pipeline'!$Q$5:$Q$504,A484,'Demo Pipeline'!$X$5:$X$504,"Yes"))</f>
        <v/>
      </c>
      <c r="BG484" s="33" t="str">
        <f aca="false">IF(A484="","",COUNTIFS('Demo Pipeline'!$Q$5:$Q$504,A484,'Demo Pipeline'!$Y$5:$Y$504,"Closed Won"))</f>
        <v/>
      </c>
      <c r="BH484" s="37" t="str">
        <f aca="false">IF(A484="","",SUMIFS('Demo Pipeline'!$Z$5:$Z$504,'Demo Pipeline'!$Q$5:$Q$504,A484))</f>
        <v/>
      </c>
      <c r="BI484" s="34" t="str">
        <f aca="false">IF(OR(AZ484="",N(AJ484)=0),"",AZ484/AJ484)</f>
        <v/>
      </c>
      <c r="BJ484" s="34" t="str">
        <f aca="false">IF(OR(BB484="",N(AZ484)=0),"",BB484/AZ484)</f>
        <v/>
      </c>
      <c r="BK484" s="34" t="str">
        <f aca="false">IF(OR(A484="",N(BB484)=0),"",BD484/BB484)</f>
        <v/>
      </c>
      <c r="BL484" s="34" t="str">
        <f aca="false">IF(OR(A484="",N(AZ484)=0),"",BD484/AZ484)</f>
        <v/>
      </c>
      <c r="BM484" s="37" t="str">
        <f aca="false">IF(OR(N(Q484)=0,N(BD484)=0),"",Q484/BD484)</f>
        <v/>
      </c>
      <c r="BN484" s="29"/>
      <c r="BO484" s="29"/>
      <c r="BP484" s="33" t="str">
        <f aca="false">IF(OR(AR484="",N(AO484)=0),"",AR484)</f>
        <v/>
      </c>
      <c r="BQ484" s="33" t="str">
        <f aca="false">IF(OR(AR484="",N(S484)=0),"",S484)</f>
        <v/>
      </c>
      <c r="BR484" s="38" t="str">
        <f aca="false">IF(AND(ISNUMBER(B484),B484&gt;=Dashboard!$C$4,B484&lt;=Dashboard!$F$4,ISNUMBER(AU484)),AU484+ROW()/10^9,"")</f>
        <v/>
      </c>
      <c r="BS484" s="38" t="str">
        <f aca="false">IF(AND(ISNUMBER(B484),B484&gt;=Dashboard!$C$4,B484&lt;=Dashboard!$F$4,A484&lt;&gt;""),N(BD484)+N(AU484)/100+ROW()/10^9,"")</f>
        <v/>
      </c>
    </row>
    <row r="485" customFormat="false" ht="15" hidden="false" customHeight="false" outlineLevel="0" collapsed="false">
      <c r="A485" s="24" t="str">
        <f aca="false">IF(OR(B485="",G485="",H485=""),"",IFERROR(INDEX(Settings!$E$5:$E$49,MATCH(G485,Settings!$D$5:$D$49,0))&amp;INDEX(Settings!$H$5:$H$47,MATCH(H485,Settings!$G$5:$G$47,0))&amp;"-"&amp;TEXT(B485,"yymmdd")&amp;"-"&amp;IF(C485="","0000",TEXT(C485,"hhmm")),"CHECK LISTS"))</f>
        <v/>
      </c>
      <c r="B485" s="39"/>
      <c r="C485" s="40"/>
      <c r="D485" s="24" t="str">
        <f aca="false">IF(B485="","",TEXT(B485,"ddd"))</f>
        <v/>
      </c>
      <c r="E485" s="27" t="str">
        <f aca="false">IF(B485="","",B485-WEEKDAY(B485,3))</f>
        <v/>
      </c>
      <c r="F485" s="24" t="str">
        <f aca="false">IF(B485="","",TEXT(B485,"yyyy-mm"))</f>
        <v/>
      </c>
      <c r="G485" s="29"/>
      <c r="H485" s="29"/>
      <c r="I485" s="29"/>
      <c r="J485" s="29"/>
      <c r="K485" s="29"/>
      <c r="L485" s="29"/>
      <c r="M485" s="29"/>
      <c r="N485" s="29"/>
      <c r="O485" s="29"/>
      <c r="P485" s="29"/>
      <c r="Q485" s="30"/>
      <c r="R485" s="29"/>
      <c r="S485" s="32"/>
      <c r="T485" s="29"/>
      <c r="U485" s="29"/>
      <c r="V485" s="24" t="str">
        <f aca="false">IF(A485="","",IFERROR(INDEX(Settings!$F$5:$F$49,MATCH(G485,Settings!$D$5:$D$49,0)),""))</f>
        <v/>
      </c>
      <c r="W485" s="24" t="str">
        <f aca="false">IF(A485="","",IF(OR(P485="",P485="Organic"),"social","paid_social"))</f>
        <v/>
      </c>
      <c r="X485" s="24" t="str">
        <f aca="false">IF(A485="","",IF(K485&lt;&gt;"",IFERROR(INDEX('Case Studies'!$C$5:$C$54,MATCH(K485,'Case Studies'!$B$5:$B$54,0))&amp;"","case-study"),IF(J485&lt;&gt;"",IFERROR(INDEX(Settings!$J$5:$J$55,MATCH(J485,Settings!$I$5:$I$55,0)),"general"),"general")))</f>
        <v/>
      </c>
      <c r="Y485" s="24" t="str">
        <f aca="false">IF(A485="","",LOWER(A485))</f>
        <v/>
      </c>
      <c r="Z485" s="24" t="str">
        <f aca="false">IF(A485="","",IF(T485="",Settings!$B$5,T485)&amp;IF(ISNUMBER(FIND("?",IF(T485="",Settings!$B$5,T485))),"&amp;","?")&amp;"utm_source="&amp;V485&amp;"&amp;utm_medium="&amp;W485&amp;"&amp;utm_campaign="&amp;X485&amp;"&amp;utm_content="&amp;Y485)</f>
        <v/>
      </c>
      <c r="AA485" s="29"/>
      <c r="AB485" s="39"/>
      <c r="AC485" s="32"/>
      <c r="AD485" s="32"/>
      <c r="AE485" s="32"/>
      <c r="AF485" s="32"/>
      <c r="AG485" s="32"/>
      <c r="AH485" s="32"/>
      <c r="AI485" s="32"/>
      <c r="AJ485" s="32"/>
      <c r="AK485" s="32"/>
      <c r="AL485" s="32"/>
      <c r="AM485" s="32"/>
      <c r="AN485" s="32"/>
      <c r="AO485" s="33" t="str">
        <f aca="false">IF(A485="","",IF(AD485&lt;&gt;"",AD485,IF(AC485&lt;&gt;"",AC485,"")))</f>
        <v/>
      </c>
      <c r="AP485" s="24" t="str">
        <f aca="false">IF(AO485="","",IF(AD485&lt;&gt;"","Reported reach","Impressions (proxy)"))</f>
        <v/>
      </c>
      <c r="AQ485" s="34" t="str">
        <f aca="false">IF(OR(AO485="",N(S485)=0),"",AO485/S485)</f>
        <v/>
      </c>
      <c r="AR485" s="33" t="str">
        <f aca="false">IF(A485="","",IF(COUNT(AF485:AJ485)=0,"",SUM(AF485:AJ485)))</f>
        <v/>
      </c>
      <c r="AS485" s="34" t="str">
        <f aca="false">IF(OR(AR485="",N(AO485)=0),"",AR485/AO485)</f>
        <v/>
      </c>
      <c r="AT485" s="34" t="str">
        <f aca="false">IF(OR(AR485="",N(AC485)=0),"",AR485/AC485)</f>
        <v/>
      </c>
      <c r="AU485" s="34" t="str">
        <f aca="false">IF(OR(AR485="",N(S485)=0),"",AR485/S485)</f>
        <v/>
      </c>
      <c r="AV485" s="34" t="str">
        <f aca="false">IF(OR(AJ485="",N(AC485)=0),"",AJ485/AC485)</f>
        <v/>
      </c>
      <c r="AW485" s="34" t="str">
        <f aca="false">IF(OR(AH485="",N(AO485)=0),"",AH485/AO485)</f>
        <v/>
      </c>
      <c r="AX485" s="35" t="str">
        <f aca="false">IF(OR(AR485="",N(AO485)=0),"",(N(AF485)*Settings!$B$6+N(AG485)*Settings!$B$7+N(AH485)*Settings!$B$8+N(AI485)*Settings!$B$9+N(AJ485)*Settings!$B$10)/AO485*1000)</f>
        <v/>
      </c>
      <c r="AY485" s="36" t="str">
        <f aca="false">IF(AS485="","",IFERROR(AS485/AVERAGEIFS('Post Tracker'!$AS$5:$AS$1004,'Post Tracker'!$G$5:$G$1004,G485),""))</f>
        <v/>
      </c>
      <c r="AZ485" s="32"/>
      <c r="BA485" s="32"/>
      <c r="BB485" s="32"/>
      <c r="BC485" s="32"/>
      <c r="BD485" s="33" t="str">
        <f aca="false">IF(A485="","",COUNTIFS('Demo Pipeline'!$Q$5:$Q$504,A485))</f>
        <v/>
      </c>
      <c r="BE485" s="33" t="str">
        <f aca="false">IF(A485="","",COUNTIFS('Demo Pipeline'!$Q$5:$Q$504,A485,'Demo Pipeline'!$W$5:$W$504,"Attended"))</f>
        <v/>
      </c>
      <c r="BF485" s="33" t="str">
        <f aca="false">IF(A485="","",COUNTIFS('Demo Pipeline'!$Q$5:$Q$504,A485,'Demo Pipeline'!$X$5:$X$504,"Yes"))</f>
        <v/>
      </c>
      <c r="BG485" s="33" t="str">
        <f aca="false">IF(A485="","",COUNTIFS('Demo Pipeline'!$Q$5:$Q$504,A485,'Demo Pipeline'!$Y$5:$Y$504,"Closed Won"))</f>
        <v/>
      </c>
      <c r="BH485" s="37" t="str">
        <f aca="false">IF(A485="","",SUMIFS('Demo Pipeline'!$Z$5:$Z$504,'Demo Pipeline'!$Q$5:$Q$504,A485))</f>
        <v/>
      </c>
      <c r="BI485" s="34" t="str">
        <f aca="false">IF(OR(AZ485="",N(AJ485)=0),"",AZ485/AJ485)</f>
        <v/>
      </c>
      <c r="BJ485" s="34" t="str">
        <f aca="false">IF(OR(BB485="",N(AZ485)=0),"",BB485/AZ485)</f>
        <v/>
      </c>
      <c r="BK485" s="34" t="str">
        <f aca="false">IF(OR(A485="",N(BB485)=0),"",BD485/BB485)</f>
        <v/>
      </c>
      <c r="BL485" s="34" t="str">
        <f aca="false">IF(OR(A485="",N(AZ485)=0),"",BD485/AZ485)</f>
        <v/>
      </c>
      <c r="BM485" s="37" t="str">
        <f aca="false">IF(OR(N(Q485)=0,N(BD485)=0),"",Q485/BD485)</f>
        <v/>
      </c>
      <c r="BN485" s="29"/>
      <c r="BO485" s="29"/>
      <c r="BP485" s="33" t="str">
        <f aca="false">IF(OR(AR485="",N(AO485)=0),"",AR485)</f>
        <v/>
      </c>
      <c r="BQ485" s="33" t="str">
        <f aca="false">IF(OR(AR485="",N(S485)=0),"",S485)</f>
        <v/>
      </c>
      <c r="BR485" s="38" t="str">
        <f aca="false">IF(AND(ISNUMBER(B485),B485&gt;=Dashboard!$C$4,B485&lt;=Dashboard!$F$4,ISNUMBER(AU485)),AU485+ROW()/10^9,"")</f>
        <v/>
      </c>
      <c r="BS485" s="38" t="str">
        <f aca="false">IF(AND(ISNUMBER(B485),B485&gt;=Dashboard!$C$4,B485&lt;=Dashboard!$F$4,A485&lt;&gt;""),N(BD485)+N(AU485)/100+ROW()/10^9,"")</f>
        <v/>
      </c>
    </row>
    <row r="486" customFormat="false" ht="15" hidden="false" customHeight="false" outlineLevel="0" collapsed="false">
      <c r="A486" s="24" t="str">
        <f aca="false">IF(OR(B486="",G486="",H486=""),"",IFERROR(INDEX(Settings!$E$5:$E$49,MATCH(G486,Settings!$D$5:$D$49,0))&amp;INDEX(Settings!$H$5:$H$47,MATCH(H486,Settings!$G$5:$G$47,0))&amp;"-"&amp;TEXT(B486,"yymmdd")&amp;"-"&amp;IF(C486="","0000",TEXT(C486,"hhmm")),"CHECK LISTS"))</f>
        <v/>
      </c>
      <c r="B486" s="39"/>
      <c r="C486" s="40"/>
      <c r="D486" s="24" t="str">
        <f aca="false">IF(B486="","",TEXT(B486,"ddd"))</f>
        <v/>
      </c>
      <c r="E486" s="27" t="str">
        <f aca="false">IF(B486="","",B486-WEEKDAY(B486,3))</f>
        <v/>
      </c>
      <c r="F486" s="24" t="str">
        <f aca="false">IF(B486="","",TEXT(B486,"yyyy-mm"))</f>
        <v/>
      </c>
      <c r="G486" s="29"/>
      <c r="H486" s="29"/>
      <c r="I486" s="29"/>
      <c r="J486" s="29"/>
      <c r="K486" s="29"/>
      <c r="L486" s="29"/>
      <c r="M486" s="29"/>
      <c r="N486" s="29"/>
      <c r="O486" s="29"/>
      <c r="P486" s="29"/>
      <c r="Q486" s="30"/>
      <c r="R486" s="29"/>
      <c r="S486" s="32"/>
      <c r="T486" s="29"/>
      <c r="U486" s="29"/>
      <c r="V486" s="24" t="str">
        <f aca="false">IF(A486="","",IFERROR(INDEX(Settings!$F$5:$F$49,MATCH(G486,Settings!$D$5:$D$49,0)),""))</f>
        <v/>
      </c>
      <c r="W486" s="24" t="str">
        <f aca="false">IF(A486="","",IF(OR(P486="",P486="Organic"),"social","paid_social"))</f>
        <v/>
      </c>
      <c r="X486" s="24" t="str">
        <f aca="false">IF(A486="","",IF(K486&lt;&gt;"",IFERROR(INDEX('Case Studies'!$C$5:$C$54,MATCH(K486,'Case Studies'!$B$5:$B$54,0))&amp;"","case-study"),IF(J486&lt;&gt;"",IFERROR(INDEX(Settings!$J$5:$J$55,MATCH(J486,Settings!$I$5:$I$55,0)),"general"),"general")))</f>
        <v/>
      </c>
      <c r="Y486" s="24" t="str">
        <f aca="false">IF(A486="","",LOWER(A486))</f>
        <v/>
      </c>
      <c r="Z486" s="24" t="str">
        <f aca="false">IF(A486="","",IF(T486="",Settings!$B$5,T486)&amp;IF(ISNUMBER(FIND("?",IF(T486="",Settings!$B$5,T486))),"&amp;","?")&amp;"utm_source="&amp;V486&amp;"&amp;utm_medium="&amp;W486&amp;"&amp;utm_campaign="&amp;X486&amp;"&amp;utm_content="&amp;Y486)</f>
        <v/>
      </c>
      <c r="AA486" s="29"/>
      <c r="AB486" s="39"/>
      <c r="AC486" s="32"/>
      <c r="AD486" s="32"/>
      <c r="AE486" s="32"/>
      <c r="AF486" s="32"/>
      <c r="AG486" s="32"/>
      <c r="AH486" s="32"/>
      <c r="AI486" s="32"/>
      <c r="AJ486" s="32"/>
      <c r="AK486" s="32"/>
      <c r="AL486" s="32"/>
      <c r="AM486" s="32"/>
      <c r="AN486" s="32"/>
      <c r="AO486" s="33" t="str">
        <f aca="false">IF(A486="","",IF(AD486&lt;&gt;"",AD486,IF(AC486&lt;&gt;"",AC486,"")))</f>
        <v/>
      </c>
      <c r="AP486" s="24" t="str">
        <f aca="false">IF(AO486="","",IF(AD486&lt;&gt;"","Reported reach","Impressions (proxy)"))</f>
        <v/>
      </c>
      <c r="AQ486" s="34" t="str">
        <f aca="false">IF(OR(AO486="",N(S486)=0),"",AO486/S486)</f>
        <v/>
      </c>
      <c r="AR486" s="33" t="str">
        <f aca="false">IF(A486="","",IF(COUNT(AF486:AJ486)=0,"",SUM(AF486:AJ486)))</f>
        <v/>
      </c>
      <c r="AS486" s="34" t="str">
        <f aca="false">IF(OR(AR486="",N(AO486)=0),"",AR486/AO486)</f>
        <v/>
      </c>
      <c r="AT486" s="34" t="str">
        <f aca="false">IF(OR(AR486="",N(AC486)=0),"",AR486/AC486)</f>
        <v/>
      </c>
      <c r="AU486" s="34" t="str">
        <f aca="false">IF(OR(AR486="",N(S486)=0),"",AR486/S486)</f>
        <v/>
      </c>
      <c r="AV486" s="34" t="str">
        <f aca="false">IF(OR(AJ486="",N(AC486)=0),"",AJ486/AC486)</f>
        <v/>
      </c>
      <c r="AW486" s="34" t="str">
        <f aca="false">IF(OR(AH486="",N(AO486)=0),"",AH486/AO486)</f>
        <v/>
      </c>
      <c r="AX486" s="35" t="str">
        <f aca="false">IF(OR(AR486="",N(AO486)=0),"",(N(AF486)*Settings!$B$6+N(AG486)*Settings!$B$7+N(AH486)*Settings!$B$8+N(AI486)*Settings!$B$9+N(AJ486)*Settings!$B$10)/AO486*1000)</f>
        <v/>
      </c>
      <c r="AY486" s="36" t="str">
        <f aca="false">IF(AS486="","",IFERROR(AS486/AVERAGEIFS('Post Tracker'!$AS$5:$AS$1004,'Post Tracker'!$G$5:$G$1004,G486),""))</f>
        <v/>
      </c>
      <c r="AZ486" s="32"/>
      <c r="BA486" s="32"/>
      <c r="BB486" s="32"/>
      <c r="BC486" s="32"/>
      <c r="BD486" s="33" t="str">
        <f aca="false">IF(A486="","",COUNTIFS('Demo Pipeline'!$Q$5:$Q$504,A486))</f>
        <v/>
      </c>
      <c r="BE486" s="33" t="str">
        <f aca="false">IF(A486="","",COUNTIFS('Demo Pipeline'!$Q$5:$Q$504,A486,'Demo Pipeline'!$W$5:$W$504,"Attended"))</f>
        <v/>
      </c>
      <c r="BF486" s="33" t="str">
        <f aca="false">IF(A486="","",COUNTIFS('Demo Pipeline'!$Q$5:$Q$504,A486,'Demo Pipeline'!$X$5:$X$504,"Yes"))</f>
        <v/>
      </c>
      <c r="BG486" s="33" t="str">
        <f aca="false">IF(A486="","",COUNTIFS('Demo Pipeline'!$Q$5:$Q$504,A486,'Demo Pipeline'!$Y$5:$Y$504,"Closed Won"))</f>
        <v/>
      </c>
      <c r="BH486" s="37" t="str">
        <f aca="false">IF(A486="","",SUMIFS('Demo Pipeline'!$Z$5:$Z$504,'Demo Pipeline'!$Q$5:$Q$504,A486))</f>
        <v/>
      </c>
      <c r="BI486" s="34" t="str">
        <f aca="false">IF(OR(AZ486="",N(AJ486)=0),"",AZ486/AJ486)</f>
        <v/>
      </c>
      <c r="BJ486" s="34" t="str">
        <f aca="false">IF(OR(BB486="",N(AZ486)=0),"",BB486/AZ486)</f>
        <v/>
      </c>
      <c r="BK486" s="34" t="str">
        <f aca="false">IF(OR(A486="",N(BB486)=0),"",BD486/BB486)</f>
        <v/>
      </c>
      <c r="BL486" s="34" t="str">
        <f aca="false">IF(OR(A486="",N(AZ486)=0),"",BD486/AZ486)</f>
        <v/>
      </c>
      <c r="BM486" s="37" t="str">
        <f aca="false">IF(OR(N(Q486)=0,N(BD486)=0),"",Q486/BD486)</f>
        <v/>
      </c>
      <c r="BN486" s="29"/>
      <c r="BO486" s="29"/>
      <c r="BP486" s="33" t="str">
        <f aca="false">IF(OR(AR486="",N(AO486)=0),"",AR486)</f>
        <v/>
      </c>
      <c r="BQ486" s="33" t="str">
        <f aca="false">IF(OR(AR486="",N(S486)=0),"",S486)</f>
        <v/>
      </c>
      <c r="BR486" s="38" t="str">
        <f aca="false">IF(AND(ISNUMBER(B486),B486&gt;=Dashboard!$C$4,B486&lt;=Dashboard!$F$4,ISNUMBER(AU486)),AU486+ROW()/10^9,"")</f>
        <v/>
      </c>
      <c r="BS486" s="38" t="str">
        <f aca="false">IF(AND(ISNUMBER(B486),B486&gt;=Dashboard!$C$4,B486&lt;=Dashboard!$F$4,A486&lt;&gt;""),N(BD486)+N(AU486)/100+ROW()/10^9,"")</f>
        <v/>
      </c>
    </row>
    <row r="487" customFormat="false" ht="15" hidden="false" customHeight="false" outlineLevel="0" collapsed="false">
      <c r="A487" s="24" t="str">
        <f aca="false">IF(OR(B487="",G487="",H487=""),"",IFERROR(INDEX(Settings!$E$5:$E$49,MATCH(G487,Settings!$D$5:$D$49,0))&amp;INDEX(Settings!$H$5:$H$47,MATCH(H487,Settings!$G$5:$G$47,0))&amp;"-"&amp;TEXT(B487,"yymmdd")&amp;"-"&amp;IF(C487="","0000",TEXT(C487,"hhmm")),"CHECK LISTS"))</f>
        <v/>
      </c>
      <c r="B487" s="39"/>
      <c r="C487" s="40"/>
      <c r="D487" s="24" t="str">
        <f aca="false">IF(B487="","",TEXT(B487,"ddd"))</f>
        <v/>
      </c>
      <c r="E487" s="27" t="str">
        <f aca="false">IF(B487="","",B487-WEEKDAY(B487,3))</f>
        <v/>
      </c>
      <c r="F487" s="24" t="str">
        <f aca="false">IF(B487="","",TEXT(B487,"yyyy-mm"))</f>
        <v/>
      </c>
      <c r="G487" s="29"/>
      <c r="H487" s="29"/>
      <c r="I487" s="29"/>
      <c r="J487" s="29"/>
      <c r="K487" s="29"/>
      <c r="L487" s="29"/>
      <c r="M487" s="29"/>
      <c r="N487" s="29"/>
      <c r="O487" s="29"/>
      <c r="P487" s="29"/>
      <c r="Q487" s="30"/>
      <c r="R487" s="29"/>
      <c r="S487" s="32"/>
      <c r="T487" s="29"/>
      <c r="U487" s="29"/>
      <c r="V487" s="24" t="str">
        <f aca="false">IF(A487="","",IFERROR(INDEX(Settings!$F$5:$F$49,MATCH(G487,Settings!$D$5:$D$49,0)),""))</f>
        <v/>
      </c>
      <c r="W487" s="24" t="str">
        <f aca="false">IF(A487="","",IF(OR(P487="",P487="Organic"),"social","paid_social"))</f>
        <v/>
      </c>
      <c r="X487" s="24" t="str">
        <f aca="false">IF(A487="","",IF(K487&lt;&gt;"",IFERROR(INDEX('Case Studies'!$C$5:$C$54,MATCH(K487,'Case Studies'!$B$5:$B$54,0))&amp;"","case-study"),IF(J487&lt;&gt;"",IFERROR(INDEX(Settings!$J$5:$J$55,MATCH(J487,Settings!$I$5:$I$55,0)),"general"),"general")))</f>
        <v/>
      </c>
      <c r="Y487" s="24" t="str">
        <f aca="false">IF(A487="","",LOWER(A487))</f>
        <v/>
      </c>
      <c r="Z487" s="24" t="str">
        <f aca="false">IF(A487="","",IF(T487="",Settings!$B$5,T487)&amp;IF(ISNUMBER(FIND("?",IF(T487="",Settings!$B$5,T487))),"&amp;","?")&amp;"utm_source="&amp;V487&amp;"&amp;utm_medium="&amp;W487&amp;"&amp;utm_campaign="&amp;X487&amp;"&amp;utm_content="&amp;Y487)</f>
        <v/>
      </c>
      <c r="AA487" s="29"/>
      <c r="AB487" s="39"/>
      <c r="AC487" s="32"/>
      <c r="AD487" s="32"/>
      <c r="AE487" s="32"/>
      <c r="AF487" s="32"/>
      <c r="AG487" s="32"/>
      <c r="AH487" s="32"/>
      <c r="AI487" s="32"/>
      <c r="AJ487" s="32"/>
      <c r="AK487" s="32"/>
      <c r="AL487" s="32"/>
      <c r="AM487" s="32"/>
      <c r="AN487" s="32"/>
      <c r="AO487" s="33" t="str">
        <f aca="false">IF(A487="","",IF(AD487&lt;&gt;"",AD487,IF(AC487&lt;&gt;"",AC487,"")))</f>
        <v/>
      </c>
      <c r="AP487" s="24" t="str">
        <f aca="false">IF(AO487="","",IF(AD487&lt;&gt;"","Reported reach","Impressions (proxy)"))</f>
        <v/>
      </c>
      <c r="AQ487" s="34" t="str">
        <f aca="false">IF(OR(AO487="",N(S487)=0),"",AO487/S487)</f>
        <v/>
      </c>
      <c r="AR487" s="33" t="str">
        <f aca="false">IF(A487="","",IF(COUNT(AF487:AJ487)=0,"",SUM(AF487:AJ487)))</f>
        <v/>
      </c>
      <c r="AS487" s="34" t="str">
        <f aca="false">IF(OR(AR487="",N(AO487)=0),"",AR487/AO487)</f>
        <v/>
      </c>
      <c r="AT487" s="34" t="str">
        <f aca="false">IF(OR(AR487="",N(AC487)=0),"",AR487/AC487)</f>
        <v/>
      </c>
      <c r="AU487" s="34" t="str">
        <f aca="false">IF(OR(AR487="",N(S487)=0),"",AR487/S487)</f>
        <v/>
      </c>
      <c r="AV487" s="34" t="str">
        <f aca="false">IF(OR(AJ487="",N(AC487)=0),"",AJ487/AC487)</f>
        <v/>
      </c>
      <c r="AW487" s="34" t="str">
        <f aca="false">IF(OR(AH487="",N(AO487)=0),"",AH487/AO487)</f>
        <v/>
      </c>
      <c r="AX487" s="35" t="str">
        <f aca="false">IF(OR(AR487="",N(AO487)=0),"",(N(AF487)*Settings!$B$6+N(AG487)*Settings!$B$7+N(AH487)*Settings!$B$8+N(AI487)*Settings!$B$9+N(AJ487)*Settings!$B$10)/AO487*1000)</f>
        <v/>
      </c>
      <c r="AY487" s="36" t="str">
        <f aca="false">IF(AS487="","",IFERROR(AS487/AVERAGEIFS('Post Tracker'!$AS$5:$AS$1004,'Post Tracker'!$G$5:$G$1004,G487),""))</f>
        <v/>
      </c>
      <c r="AZ487" s="32"/>
      <c r="BA487" s="32"/>
      <c r="BB487" s="32"/>
      <c r="BC487" s="32"/>
      <c r="BD487" s="33" t="str">
        <f aca="false">IF(A487="","",COUNTIFS('Demo Pipeline'!$Q$5:$Q$504,A487))</f>
        <v/>
      </c>
      <c r="BE487" s="33" t="str">
        <f aca="false">IF(A487="","",COUNTIFS('Demo Pipeline'!$Q$5:$Q$504,A487,'Demo Pipeline'!$W$5:$W$504,"Attended"))</f>
        <v/>
      </c>
      <c r="BF487" s="33" t="str">
        <f aca="false">IF(A487="","",COUNTIFS('Demo Pipeline'!$Q$5:$Q$504,A487,'Demo Pipeline'!$X$5:$X$504,"Yes"))</f>
        <v/>
      </c>
      <c r="BG487" s="33" t="str">
        <f aca="false">IF(A487="","",COUNTIFS('Demo Pipeline'!$Q$5:$Q$504,A487,'Demo Pipeline'!$Y$5:$Y$504,"Closed Won"))</f>
        <v/>
      </c>
      <c r="BH487" s="37" t="str">
        <f aca="false">IF(A487="","",SUMIFS('Demo Pipeline'!$Z$5:$Z$504,'Demo Pipeline'!$Q$5:$Q$504,A487))</f>
        <v/>
      </c>
      <c r="BI487" s="34" t="str">
        <f aca="false">IF(OR(AZ487="",N(AJ487)=0),"",AZ487/AJ487)</f>
        <v/>
      </c>
      <c r="BJ487" s="34" t="str">
        <f aca="false">IF(OR(BB487="",N(AZ487)=0),"",BB487/AZ487)</f>
        <v/>
      </c>
      <c r="BK487" s="34" t="str">
        <f aca="false">IF(OR(A487="",N(BB487)=0),"",BD487/BB487)</f>
        <v/>
      </c>
      <c r="BL487" s="34" t="str">
        <f aca="false">IF(OR(A487="",N(AZ487)=0),"",BD487/AZ487)</f>
        <v/>
      </c>
      <c r="BM487" s="37" t="str">
        <f aca="false">IF(OR(N(Q487)=0,N(BD487)=0),"",Q487/BD487)</f>
        <v/>
      </c>
      <c r="BN487" s="29"/>
      <c r="BO487" s="29"/>
      <c r="BP487" s="33" t="str">
        <f aca="false">IF(OR(AR487="",N(AO487)=0),"",AR487)</f>
        <v/>
      </c>
      <c r="BQ487" s="33" t="str">
        <f aca="false">IF(OR(AR487="",N(S487)=0),"",S487)</f>
        <v/>
      </c>
      <c r="BR487" s="38" t="str">
        <f aca="false">IF(AND(ISNUMBER(B487),B487&gt;=Dashboard!$C$4,B487&lt;=Dashboard!$F$4,ISNUMBER(AU487)),AU487+ROW()/10^9,"")</f>
        <v/>
      </c>
      <c r="BS487" s="38" t="str">
        <f aca="false">IF(AND(ISNUMBER(B487),B487&gt;=Dashboard!$C$4,B487&lt;=Dashboard!$F$4,A487&lt;&gt;""),N(BD487)+N(AU487)/100+ROW()/10^9,"")</f>
        <v/>
      </c>
    </row>
    <row r="488" customFormat="false" ht="15" hidden="false" customHeight="false" outlineLevel="0" collapsed="false">
      <c r="A488" s="24" t="str">
        <f aca="false">IF(OR(B488="",G488="",H488=""),"",IFERROR(INDEX(Settings!$E$5:$E$49,MATCH(G488,Settings!$D$5:$D$49,0))&amp;INDEX(Settings!$H$5:$H$47,MATCH(H488,Settings!$G$5:$G$47,0))&amp;"-"&amp;TEXT(B488,"yymmdd")&amp;"-"&amp;IF(C488="","0000",TEXT(C488,"hhmm")),"CHECK LISTS"))</f>
        <v/>
      </c>
      <c r="B488" s="39"/>
      <c r="C488" s="40"/>
      <c r="D488" s="24" t="str">
        <f aca="false">IF(B488="","",TEXT(B488,"ddd"))</f>
        <v/>
      </c>
      <c r="E488" s="27" t="str">
        <f aca="false">IF(B488="","",B488-WEEKDAY(B488,3))</f>
        <v/>
      </c>
      <c r="F488" s="24" t="str">
        <f aca="false">IF(B488="","",TEXT(B488,"yyyy-mm"))</f>
        <v/>
      </c>
      <c r="G488" s="29"/>
      <c r="H488" s="29"/>
      <c r="I488" s="29"/>
      <c r="J488" s="29"/>
      <c r="K488" s="29"/>
      <c r="L488" s="29"/>
      <c r="M488" s="29"/>
      <c r="N488" s="29"/>
      <c r="O488" s="29"/>
      <c r="P488" s="29"/>
      <c r="Q488" s="30"/>
      <c r="R488" s="29"/>
      <c r="S488" s="32"/>
      <c r="T488" s="29"/>
      <c r="U488" s="29"/>
      <c r="V488" s="24" t="str">
        <f aca="false">IF(A488="","",IFERROR(INDEX(Settings!$F$5:$F$49,MATCH(G488,Settings!$D$5:$D$49,0)),""))</f>
        <v/>
      </c>
      <c r="W488" s="24" t="str">
        <f aca="false">IF(A488="","",IF(OR(P488="",P488="Organic"),"social","paid_social"))</f>
        <v/>
      </c>
      <c r="X488" s="24" t="str">
        <f aca="false">IF(A488="","",IF(K488&lt;&gt;"",IFERROR(INDEX('Case Studies'!$C$5:$C$54,MATCH(K488,'Case Studies'!$B$5:$B$54,0))&amp;"","case-study"),IF(J488&lt;&gt;"",IFERROR(INDEX(Settings!$J$5:$J$55,MATCH(J488,Settings!$I$5:$I$55,0)),"general"),"general")))</f>
        <v/>
      </c>
      <c r="Y488" s="24" t="str">
        <f aca="false">IF(A488="","",LOWER(A488))</f>
        <v/>
      </c>
      <c r="Z488" s="24" t="str">
        <f aca="false">IF(A488="","",IF(T488="",Settings!$B$5,T488)&amp;IF(ISNUMBER(FIND("?",IF(T488="",Settings!$B$5,T488))),"&amp;","?")&amp;"utm_source="&amp;V488&amp;"&amp;utm_medium="&amp;W488&amp;"&amp;utm_campaign="&amp;X488&amp;"&amp;utm_content="&amp;Y488)</f>
        <v/>
      </c>
      <c r="AA488" s="29"/>
      <c r="AB488" s="39"/>
      <c r="AC488" s="32"/>
      <c r="AD488" s="32"/>
      <c r="AE488" s="32"/>
      <c r="AF488" s="32"/>
      <c r="AG488" s="32"/>
      <c r="AH488" s="32"/>
      <c r="AI488" s="32"/>
      <c r="AJ488" s="32"/>
      <c r="AK488" s="32"/>
      <c r="AL488" s="32"/>
      <c r="AM488" s="32"/>
      <c r="AN488" s="32"/>
      <c r="AO488" s="33" t="str">
        <f aca="false">IF(A488="","",IF(AD488&lt;&gt;"",AD488,IF(AC488&lt;&gt;"",AC488,"")))</f>
        <v/>
      </c>
      <c r="AP488" s="24" t="str">
        <f aca="false">IF(AO488="","",IF(AD488&lt;&gt;"","Reported reach","Impressions (proxy)"))</f>
        <v/>
      </c>
      <c r="AQ488" s="34" t="str">
        <f aca="false">IF(OR(AO488="",N(S488)=0),"",AO488/S488)</f>
        <v/>
      </c>
      <c r="AR488" s="33" t="str">
        <f aca="false">IF(A488="","",IF(COUNT(AF488:AJ488)=0,"",SUM(AF488:AJ488)))</f>
        <v/>
      </c>
      <c r="AS488" s="34" t="str">
        <f aca="false">IF(OR(AR488="",N(AO488)=0),"",AR488/AO488)</f>
        <v/>
      </c>
      <c r="AT488" s="34" t="str">
        <f aca="false">IF(OR(AR488="",N(AC488)=0),"",AR488/AC488)</f>
        <v/>
      </c>
      <c r="AU488" s="34" t="str">
        <f aca="false">IF(OR(AR488="",N(S488)=0),"",AR488/S488)</f>
        <v/>
      </c>
      <c r="AV488" s="34" t="str">
        <f aca="false">IF(OR(AJ488="",N(AC488)=0),"",AJ488/AC488)</f>
        <v/>
      </c>
      <c r="AW488" s="34" t="str">
        <f aca="false">IF(OR(AH488="",N(AO488)=0),"",AH488/AO488)</f>
        <v/>
      </c>
      <c r="AX488" s="35" t="str">
        <f aca="false">IF(OR(AR488="",N(AO488)=0),"",(N(AF488)*Settings!$B$6+N(AG488)*Settings!$B$7+N(AH488)*Settings!$B$8+N(AI488)*Settings!$B$9+N(AJ488)*Settings!$B$10)/AO488*1000)</f>
        <v/>
      </c>
      <c r="AY488" s="36" t="str">
        <f aca="false">IF(AS488="","",IFERROR(AS488/AVERAGEIFS('Post Tracker'!$AS$5:$AS$1004,'Post Tracker'!$G$5:$G$1004,G488),""))</f>
        <v/>
      </c>
      <c r="AZ488" s="32"/>
      <c r="BA488" s="32"/>
      <c r="BB488" s="32"/>
      <c r="BC488" s="32"/>
      <c r="BD488" s="33" t="str">
        <f aca="false">IF(A488="","",COUNTIFS('Demo Pipeline'!$Q$5:$Q$504,A488))</f>
        <v/>
      </c>
      <c r="BE488" s="33" t="str">
        <f aca="false">IF(A488="","",COUNTIFS('Demo Pipeline'!$Q$5:$Q$504,A488,'Demo Pipeline'!$W$5:$W$504,"Attended"))</f>
        <v/>
      </c>
      <c r="BF488" s="33" t="str">
        <f aca="false">IF(A488="","",COUNTIFS('Demo Pipeline'!$Q$5:$Q$504,A488,'Demo Pipeline'!$X$5:$X$504,"Yes"))</f>
        <v/>
      </c>
      <c r="BG488" s="33" t="str">
        <f aca="false">IF(A488="","",COUNTIFS('Demo Pipeline'!$Q$5:$Q$504,A488,'Demo Pipeline'!$Y$5:$Y$504,"Closed Won"))</f>
        <v/>
      </c>
      <c r="BH488" s="37" t="str">
        <f aca="false">IF(A488="","",SUMIFS('Demo Pipeline'!$Z$5:$Z$504,'Demo Pipeline'!$Q$5:$Q$504,A488))</f>
        <v/>
      </c>
      <c r="BI488" s="34" t="str">
        <f aca="false">IF(OR(AZ488="",N(AJ488)=0),"",AZ488/AJ488)</f>
        <v/>
      </c>
      <c r="BJ488" s="34" t="str">
        <f aca="false">IF(OR(BB488="",N(AZ488)=0),"",BB488/AZ488)</f>
        <v/>
      </c>
      <c r="BK488" s="34" t="str">
        <f aca="false">IF(OR(A488="",N(BB488)=0),"",BD488/BB488)</f>
        <v/>
      </c>
      <c r="BL488" s="34" t="str">
        <f aca="false">IF(OR(A488="",N(AZ488)=0),"",BD488/AZ488)</f>
        <v/>
      </c>
      <c r="BM488" s="37" t="str">
        <f aca="false">IF(OR(N(Q488)=0,N(BD488)=0),"",Q488/BD488)</f>
        <v/>
      </c>
      <c r="BN488" s="29"/>
      <c r="BO488" s="29"/>
      <c r="BP488" s="33" t="str">
        <f aca="false">IF(OR(AR488="",N(AO488)=0),"",AR488)</f>
        <v/>
      </c>
      <c r="BQ488" s="33" t="str">
        <f aca="false">IF(OR(AR488="",N(S488)=0),"",S488)</f>
        <v/>
      </c>
      <c r="BR488" s="38" t="str">
        <f aca="false">IF(AND(ISNUMBER(B488),B488&gt;=Dashboard!$C$4,B488&lt;=Dashboard!$F$4,ISNUMBER(AU488)),AU488+ROW()/10^9,"")</f>
        <v/>
      </c>
      <c r="BS488" s="38" t="str">
        <f aca="false">IF(AND(ISNUMBER(B488),B488&gt;=Dashboard!$C$4,B488&lt;=Dashboard!$F$4,A488&lt;&gt;""),N(BD488)+N(AU488)/100+ROW()/10^9,"")</f>
        <v/>
      </c>
    </row>
    <row r="489" customFormat="false" ht="15" hidden="false" customHeight="false" outlineLevel="0" collapsed="false">
      <c r="A489" s="24" t="str">
        <f aca="false">IF(OR(B489="",G489="",H489=""),"",IFERROR(INDEX(Settings!$E$5:$E$49,MATCH(G489,Settings!$D$5:$D$49,0))&amp;INDEX(Settings!$H$5:$H$47,MATCH(H489,Settings!$G$5:$G$47,0))&amp;"-"&amp;TEXT(B489,"yymmdd")&amp;"-"&amp;IF(C489="","0000",TEXT(C489,"hhmm")),"CHECK LISTS"))</f>
        <v/>
      </c>
      <c r="B489" s="39"/>
      <c r="C489" s="40"/>
      <c r="D489" s="24" t="str">
        <f aca="false">IF(B489="","",TEXT(B489,"ddd"))</f>
        <v/>
      </c>
      <c r="E489" s="27" t="str">
        <f aca="false">IF(B489="","",B489-WEEKDAY(B489,3))</f>
        <v/>
      </c>
      <c r="F489" s="24" t="str">
        <f aca="false">IF(B489="","",TEXT(B489,"yyyy-mm"))</f>
        <v/>
      </c>
      <c r="G489" s="29"/>
      <c r="H489" s="29"/>
      <c r="I489" s="29"/>
      <c r="J489" s="29"/>
      <c r="K489" s="29"/>
      <c r="L489" s="29"/>
      <c r="M489" s="29"/>
      <c r="N489" s="29"/>
      <c r="O489" s="29"/>
      <c r="P489" s="29"/>
      <c r="Q489" s="30"/>
      <c r="R489" s="29"/>
      <c r="S489" s="32"/>
      <c r="T489" s="29"/>
      <c r="U489" s="29"/>
      <c r="V489" s="24" t="str">
        <f aca="false">IF(A489="","",IFERROR(INDEX(Settings!$F$5:$F$49,MATCH(G489,Settings!$D$5:$D$49,0)),""))</f>
        <v/>
      </c>
      <c r="W489" s="24" t="str">
        <f aca="false">IF(A489="","",IF(OR(P489="",P489="Organic"),"social","paid_social"))</f>
        <v/>
      </c>
      <c r="X489" s="24" t="str">
        <f aca="false">IF(A489="","",IF(K489&lt;&gt;"",IFERROR(INDEX('Case Studies'!$C$5:$C$54,MATCH(K489,'Case Studies'!$B$5:$B$54,0))&amp;"","case-study"),IF(J489&lt;&gt;"",IFERROR(INDEX(Settings!$J$5:$J$55,MATCH(J489,Settings!$I$5:$I$55,0)),"general"),"general")))</f>
        <v/>
      </c>
      <c r="Y489" s="24" t="str">
        <f aca="false">IF(A489="","",LOWER(A489))</f>
        <v/>
      </c>
      <c r="Z489" s="24" t="str">
        <f aca="false">IF(A489="","",IF(T489="",Settings!$B$5,T489)&amp;IF(ISNUMBER(FIND("?",IF(T489="",Settings!$B$5,T489))),"&amp;","?")&amp;"utm_source="&amp;V489&amp;"&amp;utm_medium="&amp;W489&amp;"&amp;utm_campaign="&amp;X489&amp;"&amp;utm_content="&amp;Y489)</f>
        <v/>
      </c>
      <c r="AA489" s="29"/>
      <c r="AB489" s="39"/>
      <c r="AC489" s="32"/>
      <c r="AD489" s="32"/>
      <c r="AE489" s="32"/>
      <c r="AF489" s="32"/>
      <c r="AG489" s="32"/>
      <c r="AH489" s="32"/>
      <c r="AI489" s="32"/>
      <c r="AJ489" s="32"/>
      <c r="AK489" s="32"/>
      <c r="AL489" s="32"/>
      <c r="AM489" s="32"/>
      <c r="AN489" s="32"/>
      <c r="AO489" s="33" t="str">
        <f aca="false">IF(A489="","",IF(AD489&lt;&gt;"",AD489,IF(AC489&lt;&gt;"",AC489,"")))</f>
        <v/>
      </c>
      <c r="AP489" s="24" t="str">
        <f aca="false">IF(AO489="","",IF(AD489&lt;&gt;"","Reported reach","Impressions (proxy)"))</f>
        <v/>
      </c>
      <c r="AQ489" s="34" t="str">
        <f aca="false">IF(OR(AO489="",N(S489)=0),"",AO489/S489)</f>
        <v/>
      </c>
      <c r="AR489" s="33" t="str">
        <f aca="false">IF(A489="","",IF(COUNT(AF489:AJ489)=0,"",SUM(AF489:AJ489)))</f>
        <v/>
      </c>
      <c r="AS489" s="34" t="str">
        <f aca="false">IF(OR(AR489="",N(AO489)=0),"",AR489/AO489)</f>
        <v/>
      </c>
      <c r="AT489" s="34" t="str">
        <f aca="false">IF(OR(AR489="",N(AC489)=0),"",AR489/AC489)</f>
        <v/>
      </c>
      <c r="AU489" s="34" t="str">
        <f aca="false">IF(OR(AR489="",N(S489)=0),"",AR489/S489)</f>
        <v/>
      </c>
      <c r="AV489" s="34" t="str">
        <f aca="false">IF(OR(AJ489="",N(AC489)=0),"",AJ489/AC489)</f>
        <v/>
      </c>
      <c r="AW489" s="34" t="str">
        <f aca="false">IF(OR(AH489="",N(AO489)=0),"",AH489/AO489)</f>
        <v/>
      </c>
      <c r="AX489" s="35" t="str">
        <f aca="false">IF(OR(AR489="",N(AO489)=0),"",(N(AF489)*Settings!$B$6+N(AG489)*Settings!$B$7+N(AH489)*Settings!$B$8+N(AI489)*Settings!$B$9+N(AJ489)*Settings!$B$10)/AO489*1000)</f>
        <v/>
      </c>
      <c r="AY489" s="36" t="str">
        <f aca="false">IF(AS489="","",IFERROR(AS489/AVERAGEIFS('Post Tracker'!$AS$5:$AS$1004,'Post Tracker'!$G$5:$G$1004,G489),""))</f>
        <v/>
      </c>
      <c r="AZ489" s="32"/>
      <c r="BA489" s="32"/>
      <c r="BB489" s="32"/>
      <c r="BC489" s="32"/>
      <c r="BD489" s="33" t="str">
        <f aca="false">IF(A489="","",COUNTIFS('Demo Pipeline'!$Q$5:$Q$504,A489))</f>
        <v/>
      </c>
      <c r="BE489" s="33" t="str">
        <f aca="false">IF(A489="","",COUNTIFS('Demo Pipeline'!$Q$5:$Q$504,A489,'Demo Pipeline'!$W$5:$W$504,"Attended"))</f>
        <v/>
      </c>
      <c r="BF489" s="33" t="str">
        <f aca="false">IF(A489="","",COUNTIFS('Demo Pipeline'!$Q$5:$Q$504,A489,'Demo Pipeline'!$X$5:$X$504,"Yes"))</f>
        <v/>
      </c>
      <c r="BG489" s="33" t="str">
        <f aca="false">IF(A489="","",COUNTIFS('Demo Pipeline'!$Q$5:$Q$504,A489,'Demo Pipeline'!$Y$5:$Y$504,"Closed Won"))</f>
        <v/>
      </c>
      <c r="BH489" s="37" t="str">
        <f aca="false">IF(A489="","",SUMIFS('Demo Pipeline'!$Z$5:$Z$504,'Demo Pipeline'!$Q$5:$Q$504,A489))</f>
        <v/>
      </c>
      <c r="BI489" s="34" t="str">
        <f aca="false">IF(OR(AZ489="",N(AJ489)=0),"",AZ489/AJ489)</f>
        <v/>
      </c>
      <c r="BJ489" s="34" t="str">
        <f aca="false">IF(OR(BB489="",N(AZ489)=0),"",BB489/AZ489)</f>
        <v/>
      </c>
      <c r="BK489" s="34" t="str">
        <f aca="false">IF(OR(A489="",N(BB489)=0),"",BD489/BB489)</f>
        <v/>
      </c>
      <c r="BL489" s="34" t="str">
        <f aca="false">IF(OR(A489="",N(AZ489)=0),"",BD489/AZ489)</f>
        <v/>
      </c>
      <c r="BM489" s="37" t="str">
        <f aca="false">IF(OR(N(Q489)=0,N(BD489)=0),"",Q489/BD489)</f>
        <v/>
      </c>
      <c r="BN489" s="29"/>
      <c r="BO489" s="29"/>
      <c r="BP489" s="33" t="str">
        <f aca="false">IF(OR(AR489="",N(AO489)=0),"",AR489)</f>
        <v/>
      </c>
      <c r="BQ489" s="33" t="str">
        <f aca="false">IF(OR(AR489="",N(S489)=0),"",S489)</f>
        <v/>
      </c>
      <c r="BR489" s="38" t="str">
        <f aca="false">IF(AND(ISNUMBER(B489),B489&gt;=Dashboard!$C$4,B489&lt;=Dashboard!$F$4,ISNUMBER(AU489)),AU489+ROW()/10^9,"")</f>
        <v/>
      </c>
      <c r="BS489" s="38" t="str">
        <f aca="false">IF(AND(ISNUMBER(B489),B489&gt;=Dashboard!$C$4,B489&lt;=Dashboard!$F$4,A489&lt;&gt;""),N(BD489)+N(AU489)/100+ROW()/10^9,"")</f>
        <v/>
      </c>
    </row>
    <row r="490" customFormat="false" ht="15" hidden="false" customHeight="false" outlineLevel="0" collapsed="false">
      <c r="A490" s="24" t="str">
        <f aca="false">IF(OR(B490="",G490="",H490=""),"",IFERROR(INDEX(Settings!$E$5:$E$49,MATCH(G490,Settings!$D$5:$D$49,0))&amp;INDEX(Settings!$H$5:$H$47,MATCH(H490,Settings!$G$5:$G$47,0))&amp;"-"&amp;TEXT(B490,"yymmdd")&amp;"-"&amp;IF(C490="","0000",TEXT(C490,"hhmm")),"CHECK LISTS"))</f>
        <v/>
      </c>
      <c r="B490" s="39"/>
      <c r="C490" s="40"/>
      <c r="D490" s="24" t="str">
        <f aca="false">IF(B490="","",TEXT(B490,"ddd"))</f>
        <v/>
      </c>
      <c r="E490" s="27" t="str">
        <f aca="false">IF(B490="","",B490-WEEKDAY(B490,3))</f>
        <v/>
      </c>
      <c r="F490" s="24" t="str">
        <f aca="false">IF(B490="","",TEXT(B490,"yyyy-mm"))</f>
        <v/>
      </c>
      <c r="G490" s="29"/>
      <c r="H490" s="29"/>
      <c r="I490" s="29"/>
      <c r="J490" s="29"/>
      <c r="K490" s="29"/>
      <c r="L490" s="29"/>
      <c r="M490" s="29"/>
      <c r="N490" s="29"/>
      <c r="O490" s="29"/>
      <c r="P490" s="29"/>
      <c r="Q490" s="30"/>
      <c r="R490" s="29"/>
      <c r="S490" s="32"/>
      <c r="T490" s="29"/>
      <c r="U490" s="29"/>
      <c r="V490" s="24" t="str">
        <f aca="false">IF(A490="","",IFERROR(INDEX(Settings!$F$5:$F$49,MATCH(G490,Settings!$D$5:$D$49,0)),""))</f>
        <v/>
      </c>
      <c r="W490" s="24" t="str">
        <f aca="false">IF(A490="","",IF(OR(P490="",P490="Organic"),"social","paid_social"))</f>
        <v/>
      </c>
      <c r="X490" s="24" t="str">
        <f aca="false">IF(A490="","",IF(K490&lt;&gt;"",IFERROR(INDEX('Case Studies'!$C$5:$C$54,MATCH(K490,'Case Studies'!$B$5:$B$54,0))&amp;"","case-study"),IF(J490&lt;&gt;"",IFERROR(INDEX(Settings!$J$5:$J$55,MATCH(J490,Settings!$I$5:$I$55,0)),"general"),"general")))</f>
        <v/>
      </c>
      <c r="Y490" s="24" t="str">
        <f aca="false">IF(A490="","",LOWER(A490))</f>
        <v/>
      </c>
      <c r="Z490" s="24" t="str">
        <f aca="false">IF(A490="","",IF(T490="",Settings!$B$5,T490)&amp;IF(ISNUMBER(FIND("?",IF(T490="",Settings!$B$5,T490))),"&amp;","?")&amp;"utm_source="&amp;V490&amp;"&amp;utm_medium="&amp;W490&amp;"&amp;utm_campaign="&amp;X490&amp;"&amp;utm_content="&amp;Y490)</f>
        <v/>
      </c>
      <c r="AA490" s="29"/>
      <c r="AB490" s="39"/>
      <c r="AC490" s="32"/>
      <c r="AD490" s="32"/>
      <c r="AE490" s="32"/>
      <c r="AF490" s="32"/>
      <c r="AG490" s="32"/>
      <c r="AH490" s="32"/>
      <c r="AI490" s="32"/>
      <c r="AJ490" s="32"/>
      <c r="AK490" s="32"/>
      <c r="AL490" s="32"/>
      <c r="AM490" s="32"/>
      <c r="AN490" s="32"/>
      <c r="AO490" s="33" t="str">
        <f aca="false">IF(A490="","",IF(AD490&lt;&gt;"",AD490,IF(AC490&lt;&gt;"",AC490,"")))</f>
        <v/>
      </c>
      <c r="AP490" s="24" t="str">
        <f aca="false">IF(AO490="","",IF(AD490&lt;&gt;"","Reported reach","Impressions (proxy)"))</f>
        <v/>
      </c>
      <c r="AQ490" s="34" t="str">
        <f aca="false">IF(OR(AO490="",N(S490)=0),"",AO490/S490)</f>
        <v/>
      </c>
      <c r="AR490" s="33" t="str">
        <f aca="false">IF(A490="","",IF(COUNT(AF490:AJ490)=0,"",SUM(AF490:AJ490)))</f>
        <v/>
      </c>
      <c r="AS490" s="34" t="str">
        <f aca="false">IF(OR(AR490="",N(AO490)=0),"",AR490/AO490)</f>
        <v/>
      </c>
      <c r="AT490" s="34" t="str">
        <f aca="false">IF(OR(AR490="",N(AC490)=0),"",AR490/AC490)</f>
        <v/>
      </c>
      <c r="AU490" s="34" t="str">
        <f aca="false">IF(OR(AR490="",N(S490)=0),"",AR490/S490)</f>
        <v/>
      </c>
      <c r="AV490" s="34" t="str">
        <f aca="false">IF(OR(AJ490="",N(AC490)=0),"",AJ490/AC490)</f>
        <v/>
      </c>
      <c r="AW490" s="34" t="str">
        <f aca="false">IF(OR(AH490="",N(AO490)=0),"",AH490/AO490)</f>
        <v/>
      </c>
      <c r="AX490" s="35" t="str">
        <f aca="false">IF(OR(AR490="",N(AO490)=0),"",(N(AF490)*Settings!$B$6+N(AG490)*Settings!$B$7+N(AH490)*Settings!$B$8+N(AI490)*Settings!$B$9+N(AJ490)*Settings!$B$10)/AO490*1000)</f>
        <v/>
      </c>
      <c r="AY490" s="36" t="str">
        <f aca="false">IF(AS490="","",IFERROR(AS490/AVERAGEIFS('Post Tracker'!$AS$5:$AS$1004,'Post Tracker'!$G$5:$G$1004,G490),""))</f>
        <v/>
      </c>
      <c r="AZ490" s="32"/>
      <c r="BA490" s="32"/>
      <c r="BB490" s="32"/>
      <c r="BC490" s="32"/>
      <c r="BD490" s="33" t="str">
        <f aca="false">IF(A490="","",COUNTIFS('Demo Pipeline'!$Q$5:$Q$504,A490))</f>
        <v/>
      </c>
      <c r="BE490" s="33" t="str">
        <f aca="false">IF(A490="","",COUNTIFS('Demo Pipeline'!$Q$5:$Q$504,A490,'Demo Pipeline'!$W$5:$W$504,"Attended"))</f>
        <v/>
      </c>
      <c r="BF490" s="33" t="str">
        <f aca="false">IF(A490="","",COUNTIFS('Demo Pipeline'!$Q$5:$Q$504,A490,'Demo Pipeline'!$X$5:$X$504,"Yes"))</f>
        <v/>
      </c>
      <c r="BG490" s="33" t="str">
        <f aca="false">IF(A490="","",COUNTIFS('Demo Pipeline'!$Q$5:$Q$504,A490,'Demo Pipeline'!$Y$5:$Y$504,"Closed Won"))</f>
        <v/>
      </c>
      <c r="BH490" s="37" t="str">
        <f aca="false">IF(A490="","",SUMIFS('Demo Pipeline'!$Z$5:$Z$504,'Demo Pipeline'!$Q$5:$Q$504,A490))</f>
        <v/>
      </c>
      <c r="BI490" s="34" t="str">
        <f aca="false">IF(OR(AZ490="",N(AJ490)=0),"",AZ490/AJ490)</f>
        <v/>
      </c>
      <c r="BJ490" s="34" t="str">
        <f aca="false">IF(OR(BB490="",N(AZ490)=0),"",BB490/AZ490)</f>
        <v/>
      </c>
      <c r="BK490" s="34" t="str">
        <f aca="false">IF(OR(A490="",N(BB490)=0),"",BD490/BB490)</f>
        <v/>
      </c>
      <c r="BL490" s="34" t="str">
        <f aca="false">IF(OR(A490="",N(AZ490)=0),"",BD490/AZ490)</f>
        <v/>
      </c>
      <c r="BM490" s="37" t="str">
        <f aca="false">IF(OR(N(Q490)=0,N(BD490)=0),"",Q490/BD490)</f>
        <v/>
      </c>
      <c r="BN490" s="29"/>
      <c r="BO490" s="29"/>
      <c r="BP490" s="33" t="str">
        <f aca="false">IF(OR(AR490="",N(AO490)=0),"",AR490)</f>
        <v/>
      </c>
      <c r="BQ490" s="33" t="str">
        <f aca="false">IF(OR(AR490="",N(S490)=0),"",S490)</f>
        <v/>
      </c>
      <c r="BR490" s="38" t="str">
        <f aca="false">IF(AND(ISNUMBER(B490),B490&gt;=Dashboard!$C$4,B490&lt;=Dashboard!$F$4,ISNUMBER(AU490)),AU490+ROW()/10^9,"")</f>
        <v/>
      </c>
      <c r="BS490" s="38" t="str">
        <f aca="false">IF(AND(ISNUMBER(B490),B490&gt;=Dashboard!$C$4,B490&lt;=Dashboard!$F$4,A490&lt;&gt;""),N(BD490)+N(AU490)/100+ROW()/10^9,"")</f>
        <v/>
      </c>
    </row>
    <row r="491" customFormat="false" ht="15" hidden="false" customHeight="false" outlineLevel="0" collapsed="false">
      <c r="A491" s="24" t="str">
        <f aca="false">IF(OR(B491="",G491="",H491=""),"",IFERROR(INDEX(Settings!$E$5:$E$49,MATCH(G491,Settings!$D$5:$D$49,0))&amp;INDEX(Settings!$H$5:$H$47,MATCH(H491,Settings!$G$5:$G$47,0))&amp;"-"&amp;TEXT(B491,"yymmdd")&amp;"-"&amp;IF(C491="","0000",TEXT(C491,"hhmm")),"CHECK LISTS"))</f>
        <v/>
      </c>
      <c r="B491" s="39"/>
      <c r="C491" s="40"/>
      <c r="D491" s="24" t="str">
        <f aca="false">IF(B491="","",TEXT(B491,"ddd"))</f>
        <v/>
      </c>
      <c r="E491" s="27" t="str">
        <f aca="false">IF(B491="","",B491-WEEKDAY(B491,3))</f>
        <v/>
      </c>
      <c r="F491" s="24" t="str">
        <f aca="false">IF(B491="","",TEXT(B491,"yyyy-mm"))</f>
        <v/>
      </c>
      <c r="G491" s="29"/>
      <c r="H491" s="29"/>
      <c r="I491" s="29"/>
      <c r="J491" s="29"/>
      <c r="K491" s="29"/>
      <c r="L491" s="29"/>
      <c r="M491" s="29"/>
      <c r="N491" s="29"/>
      <c r="O491" s="29"/>
      <c r="P491" s="29"/>
      <c r="Q491" s="30"/>
      <c r="R491" s="29"/>
      <c r="S491" s="32"/>
      <c r="T491" s="29"/>
      <c r="U491" s="29"/>
      <c r="V491" s="24" t="str">
        <f aca="false">IF(A491="","",IFERROR(INDEX(Settings!$F$5:$F$49,MATCH(G491,Settings!$D$5:$D$49,0)),""))</f>
        <v/>
      </c>
      <c r="W491" s="24" t="str">
        <f aca="false">IF(A491="","",IF(OR(P491="",P491="Organic"),"social","paid_social"))</f>
        <v/>
      </c>
      <c r="X491" s="24" t="str">
        <f aca="false">IF(A491="","",IF(K491&lt;&gt;"",IFERROR(INDEX('Case Studies'!$C$5:$C$54,MATCH(K491,'Case Studies'!$B$5:$B$54,0))&amp;"","case-study"),IF(J491&lt;&gt;"",IFERROR(INDEX(Settings!$J$5:$J$55,MATCH(J491,Settings!$I$5:$I$55,0)),"general"),"general")))</f>
        <v/>
      </c>
      <c r="Y491" s="24" t="str">
        <f aca="false">IF(A491="","",LOWER(A491))</f>
        <v/>
      </c>
      <c r="Z491" s="24" t="str">
        <f aca="false">IF(A491="","",IF(T491="",Settings!$B$5,T491)&amp;IF(ISNUMBER(FIND("?",IF(T491="",Settings!$B$5,T491))),"&amp;","?")&amp;"utm_source="&amp;V491&amp;"&amp;utm_medium="&amp;W491&amp;"&amp;utm_campaign="&amp;X491&amp;"&amp;utm_content="&amp;Y491)</f>
        <v/>
      </c>
      <c r="AA491" s="29"/>
      <c r="AB491" s="39"/>
      <c r="AC491" s="32"/>
      <c r="AD491" s="32"/>
      <c r="AE491" s="32"/>
      <c r="AF491" s="32"/>
      <c r="AG491" s="32"/>
      <c r="AH491" s="32"/>
      <c r="AI491" s="32"/>
      <c r="AJ491" s="32"/>
      <c r="AK491" s="32"/>
      <c r="AL491" s="32"/>
      <c r="AM491" s="32"/>
      <c r="AN491" s="32"/>
      <c r="AO491" s="33" t="str">
        <f aca="false">IF(A491="","",IF(AD491&lt;&gt;"",AD491,IF(AC491&lt;&gt;"",AC491,"")))</f>
        <v/>
      </c>
      <c r="AP491" s="24" t="str">
        <f aca="false">IF(AO491="","",IF(AD491&lt;&gt;"","Reported reach","Impressions (proxy)"))</f>
        <v/>
      </c>
      <c r="AQ491" s="34" t="str">
        <f aca="false">IF(OR(AO491="",N(S491)=0),"",AO491/S491)</f>
        <v/>
      </c>
      <c r="AR491" s="33" t="str">
        <f aca="false">IF(A491="","",IF(COUNT(AF491:AJ491)=0,"",SUM(AF491:AJ491)))</f>
        <v/>
      </c>
      <c r="AS491" s="34" t="str">
        <f aca="false">IF(OR(AR491="",N(AO491)=0),"",AR491/AO491)</f>
        <v/>
      </c>
      <c r="AT491" s="34" t="str">
        <f aca="false">IF(OR(AR491="",N(AC491)=0),"",AR491/AC491)</f>
        <v/>
      </c>
      <c r="AU491" s="34" t="str">
        <f aca="false">IF(OR(AR491="",N(S491)=0),"",AR491/S491)</f>
        <v/>
      </c>
      <c r="AV491" s="34" t="str">
        <f aca="false">IF(OR(AJ491="",N(AC491)=0),"",AJ491/AC491)</f>
        <v/>
      </c>
      <c r="AW491" s="34" t="str">
        <f aca="false">IF(OR(AH491="",N(AO491)=0),"",AH491/AO491)</f>
        <v/>
      </c>
      <c r="AX491" s="35" t="str">
        <f aca="false">IF(OR(AR491="",N(AO491)=0),"",(N(AF491)*Settings!$B$6+N(AG491)*Settings!$B$7+N(AH491)*Settings!$B$8+N(AI491)*Settings!$B$9+N(AJ491)*Settings!$B$10)/AO491*1000)</f>
        <v/>
      </c>
      <c r="AY491" s="36" t="str">
        <f aca="false">IF(AS491="","",IFERROR(AS491/AVERAGEIFS('Post Tracker'!$AS$5:$AS$1004,'Post Tracker'!$G$5:$G$1004,G491),""))</f>
        <v/>
      </c>
      <c r="AZ491" s="32"/>
      <c r="BA491" s="32"/>
      <c r="BB491" s="32"/>
      <c r="BC491" s="32"/>
      <c r="BD491" s="33" t="str">
        <f aca="false">IF(A491="","",COUNTIFS('Demo Pipeline'!$Q$5:$Q$504,A491))</f>
        <v/>
      </c>
      <c r="BE491" s="33" t="str">
        <f aca="false">IF(A491="","",COUNTIFS('Demo Pipeline'!$Q$5:$Q$504,A491,'Demo Pipeline'!$W$5:$W$504,"Attended"))</f>
        <v/>
      </c>
      <c r="BF491" s="33" t="str">
        <f aca="false">IF(A491="","",COUNTIFS('Demo Pipeline'!$Q$5:$Q$504,A491,'Demo Pipeline'!$X$5:$X$504,"Yes"))</f>
        <v/>
      </c>
      <c r="BG491" s="33" t="str">
        <f aca="false">IF(A491="","",COUNTIFS('Demo Pipeline'!$Q$5:$Q$504,A491,'Demo Pipeline'!$Y$5:$Y$504,"Closed Won"))</f>
        <v/>
      </c>
      <c r="BH491" s="37" t="str">
        <f aca="false">IF(A491="","",SUMIFS('Demo Pipeline'!$Z$5:$Z$504,'Demo Pipeline'!$Q$5:$Q$504,A491))</f>
        <v/>
      </c>
      <c r="BI491" s="34" t="str">
        <f aca="false">IF(OR(AZ491="",N(AJ491)=0),"",AZ491/AJ491)</f>
        <v/>
      </c>
      <c r="BJ491" s="34" t="str">
        <f aca="false">IF(OR(BB491="",N(AZ491)=0),"",BB491/AZ491)</f>
        <v/>
      </c>
      <c r="BK491" s="34" t="str">
        <f aca="false">IF(OR(A491="",N(BB491)=0),"",BD491/BB491)</f>
        <v/>
      </c>
      <c r="BL491" s="34" t="str">
        <f aca="false">IF(OR(A491="",N(AZ491)=0),"",BD491/AZ491)</f>
        <v/>
      </c>
      <c r="BM491" s="37" t="str">
        <f aca="false">IF(OR(N(Q491)=0,N(BD491)=0),"",Q491/BD491)</f>
        <v/>
      </c>
      <c r="BN491" s="29"/>
      <c r="BO491" s="29"/>
      <c r="BP491" s="33" t="str">
        <f aca="false">IF(OR(AR491="",N(AO491)=0),"",AR491)</f>
        <v/>
      </c>
      <c r="BQ491" s="33" t="str">
        <f aca="false">IF(OR(AR491="",N(S491)=0),"",S491)</f>
        <v/>
      </c>
      <c r="BR491" s="38" t="str">
        <f aca="false">IF(AND(ISNUMBER(B491),B491&gt;=Dashboard!$C$4,B491&lt;=Dashboard!$F$4,ISNUMBER(AU491)),AU491+ROW()/10^9,"")</f>
        <v/>
      </c>
      <c r="BS491" s="38" t="str">
        <f aca="false">IF(AND(ISNUMBER(B491),B491&gt;=Dashboard!$C$4,B491&lt;=Dashboard!$F$4,A491&lt;&gt;""),N(BD491)+N(AU491)/100+ROW()/10^9,"")</f>
        <v/>
      </c>
    </row>
    <row r="492" customFormat="false" ht="15" hidden="false" customHeight="false" outlineLevel="0" collapsed="false">
      <c r="A492" s="24" t="str">
        <f aca="false">IF(OR(B492="",G492="",H492=""),"",IFERROR(INDEX(Settings!$E$5:$E$49,MATCH(G492,Settings!$D$5:$D$49,0))&amp;INDEX(Settings!$H$5:$H$47,MATCH(H492,Settings!$G$5:$G$47,0))&amp;"-"&amp;TEXT(B492,"yymmdd")&amp;"-"&amp;IF(C492="","0000",TEXT(C492,"hhmm")),"CHECK LISTS"))</f>
        <v/>
      </c>
      <c r="B492" s="39"/>
      <c r="C492" s="40"/>
      <c r="D492" s="24" t="str">
        <f aca="false">IF(B492="","",TEXT(B492,"ddd"))</f>
        <v/>
      </c>
      <c r="E492" s="27" t="str">
        <f aca="false">IF(B492="","",B492-WEEKDAY(B492,3))</f>
        <v/>
      </c>
      <c r="F492" s="24" t="str">
        <f aca="false">IF(B492="","",TEXT(B492,"yyyy-mm"))</f>
        <v/>
      </c>
      <c r="G492" s="29"/>
      <c r="H492" s="29"/>
      <c r="I492" s="29"/>
      <c r="J492" s="29"/>
      <c r="K492" s="29"/>
      <c r="L492" s="29"/>
      <c r="M492" s="29"/>
      <c r="N492" s="29"/>
      <c r="O492" s="29"/>
      <c r="P492" s="29"/>
      <c r="Q492" s="30"/>
      <c r="R492" s="29"/>
      <c r="S492" s="32"/>
      <c r="T492" s="29"/>
      <c r="U492" s="29"/>
      <c r="V492" s="24" t="str">
        <f aca="false">IF(A492="","",IFERROR(INDEX(Settings!$F$5:$F$49,MATCH(G492,Settings!$D$5:$D$49,0)),""))</f>
        <v/>
      </c>
      <c r="W492" s="24" t="str">
        <f aca="false">IF(A492="","",IF(OR(P492="",P492="Organic"),"social","paid_social"))</f>
        <v/>
      </c>
      <c r="X492" s="24" t="str">
        <f aca="false">IF(A492="","",IF(K492&lt;&gt;"",IFERROR(INDEX('Case Studies'!$C$5:$C$54,MATCH(K492,'Case Studies'!$B$5:$B$54,0))&amp;"","case-study"),IF(J492&lt;&gt;"",IFERROR(INDEX(Settings!$J$5:$J$55,MATCH(J492,Settings!$I$5:$I$55,0)),"general"),"general")))</f>
        <v/>
      </c>
      <c r="Y492" s="24" t="str">
        <f aca="false">IF(A492="","",LOWER(A492))</f>
        <v/>
      </c>
      <c r="Z492" s="24" t="str">
        <f aca="false">IF(A492="","",IF(T492="",Settings!$B$5,T492)&amp;IF(ISNUMBER(FIND("?",IF(T492="",Settings!$B$5,T492))),"&amp;","?")&amp;"utm_source="&amp;V492&amp;"&amp;utm_medium="&amp;W492&amp;"&amp;utm_campaign="&amp;X492&amp;"&amp;utm_content="&amp;Y492)</f>
        <v/>
      </c>
      <c r="AA492" s="29"/>
      <c r="AB492" s="39"/>
      <c r="AC492" s="32"/>
      <c r="AD492" s="32"/>
      <c r="AE492" s="32"/>
      <c r="AF492" s="32"/>
      <c r="AG492" s="32"/>
      <c r="AH492" s="32"/>
      <c r="AI492" s="32"/>
      <c r="AJ492" s="32"/>
      <c r="AK492" s="32"/>
      <c r="AL492" s="32"/>
      <c r="AM492" s="32"/>
      <c r="AN492" s="32"/>
      <c r="AO492" s="33" t="str">
        <f aca="false">IF(A492="","",IF(AD492&lt;&gt;"",AD492,IF(AC492&lt;&gt;"",AC492,"")))</f>
        <v/>
      </c>
      <c r="AP492" s="24" t="str">
        <f aca="false">IF(AO492="","",IF(AD492&lt;&gt;"","Reported reach","Impressions (proxy)"))</f>
        <v/>
      </c>
      <c r="AQ492" s="34" t="str">
        <f aca="false">IF(OR(AO492="",N(S492)=0),"",AO492/S492)</f>
        <v/>
      </c>
      <c r="AR492" s="33" t="str">
        <f aca="false">IF(A492="","",IF(COUNT(AF492:AJ492)=0,"",SUM(AF492:AJ492)))</f>
        <v/>
      </c>
      <c r="AS492" s="34" t="str">
        <f aca="false">IF(OR(AR492="",N(AO492)=0),"",AR492/AO492)</f>
        <v/>
      </c>
      <c r="AT492" s="34" t="str">
        <f aca="false">IF(OR(AR492="",N(AC492)=0),"",AR492/AC492)</f>
        <v/>
      </c>
      <c r="AU492" s="34" t="str">
        <f aca="false">IF(OR(AR492="",N(S492)=0),"",AR492/S492)</f>
        <v/>
      </c>
      <c r="AV492" s="34" t="str">
        <f aca="false">IF(OR(AJ492="",N(AC492)=0),"",AJ492/AC492)</f>
        <v/>
      </c>
      <c r="AW492" s="34" t="str">
        <f aca="false">IF(OR(AH492="",N(AO492)=0),"",AH492/AO492)</f>
        <v/>
      </c>
      <c r="AX492" s="35" t="str">
        <f aca="false">IF(OR(AR492="",N(AO492)=0),"",(N(AF492)*Settings!$B$6+N(AG492)*Settings!$B$7+N(AH492)*Settings!$B$8+N(AI492)*Settings!$B$9+N(AJ492)*Settings!$B$10)/AO492*1000)</f>
        <v/>
      </c>
      <c r="AY492" s="36" t="str">
        <f aca="false">IF(AS492="","",IFERROR(AS492/AVERAGEIFS('Post Tracker'!$AS$5:$AS$1004,'Post Tracker'!$G$5:$G$1004,G492),""))</f>
        <v/>
      </c>
      <c r="AZ492" s="32"/>
      <c r="BA492" s="32"/>
      <c r="BB492" s="32"/>
      <c r="BC492" s="32"/>
      <c r="BD492" s="33" t="str">
        <f aca="false">IF(A492="","",COUNTIFS('Demo Pipeline'!$Q$5:$Q$504,A492))</f>
        <v/>
      </c>
      <c r="BE492" s="33" t="str">
        <f aca="false">IF(A492="","",COUNTIFS('Demo Pipeline'!$Q$5:$Q$504,A492,'Demo Pipeline'!$W$5:$W$504,"Attended"))</f>
        <v/>
      </c>
      <c r="BF492" s="33" t="str">
        <f aca="false">IF(A492="","",COUNTIFS('Demo Pipeline'!$Q$5:$Q$504,A492,'Demo Pipeline'!$X$5:$X$504,"Yes"))</f>
        <v/>
      </c>
      <c r="BG492" s="33" t="str">
        <f aca="false">IF(A492="","",COUNTIFS('Demo Pipeline'!$Q$5:$Q$504,A492,'Demo Pipeline'!$Y$5:$Y$504,"Closed Won"))</f>
        <v/>
      </c>
      <c r="BH492" s="37" t="str">
        <f aca="false">IF(A492="","",SUMIFS('Demo Pipeline'!$Z$5:$Z$504,'Demo Pipeline'!$Q$5:$Q$504,A492))</f>
        <v/>
      </c>
      <c r="BI492" s="34" t="str">
        <f aca="false">IF(OR(AZ492="",N(AJ492)=0),"",AZ492/AJ492)</f>
        <v/>
      </c>
      <c r="BJ492" s="34" t="str">
        <f aca="false">IF(OR(BB492="",N(AZ492)=0),"",BB492/AZ492)</f>
        <v/>
      </c>
      <c r="BK492" s="34" t="str">
        <f aca="false">IF(OR(A492="",N(BB492)=0),"",BD492/BB492)</f>
        <v/>
      </c>
      <c r="BL492" s="34" t="str">
        <f aca="false">IF(OR(A492="",N(AZ492)=0),"",BD492/AZ492)</f>
        <v/>
      </c>
      <c r="BM492" s="37" t="str">
        <f aca="false">IF(OR(N(Q492)=0,N(BD492)=0),"",Q492/BD492)</f>
        <v/>
      </c>
      <c r="BN492" s="29"/>
      <c r="BO492" s="29"/>
      <c r="BP492" s="33" t="str">
        <f aca="false">IF(OR(AR492="",N(AO492)=0),"",AR492)</f>
        <v/>
      </c>
      <c r="BQ492" s="33" t="str">
        <f aca="false">IF(OR(AR492="",N(S492)=0),"",S492)</f>
        <v/>
      </c>
      <c r="BR492" s="38" t="str">
        <f aca="false">IF(AND(ISNUMBER(B492),B492&gt;=Dashboard!$C$4,B492&lt;=Dashboard!$F$4,ISNUMBER(AU492)),AU492+ROW()/10^9,"")</f>
        <v/>
      </c>
      <c r="BS492" s="38" t="str">
        <f aca="false">IF(AND(ISNUMBER(B492),B492&gt;=Dashboard!$C$4,B492&lt;=Dashboard!$F$4,A492&lt;&gt;""),N(BD492)+N(AU492)/100+ROW()/10^9,"")</f>
        <v/>
      </c>
    </row>
    <row r="493" customFormat="false" ht="15" hidden="false" customHeight="false" outlineLevel="0" collapsed="false">
      <c r="A493" s="24" t="str">
        <f aca="false">IF(OR(B493="",G493="",H493=""),"",IFERROR(INDEX(Settings!$E$5:$E$49,MATCH(G493,Settings!$D$5:$D$49,0))&amp;INDEX(Settings!$H$5:$H$47,MATCH(H493,Settings!$G$5:$G$47,0))&amp;"-"&amp;TEXT(B493,"yymmdd")&amp;"-"&amp;IF(C493="","0000",TEXT(C493,"hhmm")),"CHECK LISTS"))</f>
        <v/>
      </c>
      <c r="B493" s="39"/>
      <c r="C493" s="40"/>
      <c r="D493" s="24" t="str">
        <f aca="false">IF(B493="","",TEXT(B493,"ddd"))</f>
        <v/>
      </c>
      <c r="E493" s="27" t="str">
        <f aca="false">IF(B493="","",B493-WEEKDAY(B493,3))</f>
        <v/>
      </c>
      <c r="F493" s="24" t="str">
        <f aca="false">IF(B493="","",TEXT(B493,"yyyy-mm"))</f>
        <v/>
      </c>
      <c r="G493" s="29"/>
      <c r="H493" s="29"/>
      <c r="I493" s="29"/>
      <c r="J493" s="29"/>
      <c r="K493" s="29"/>
      <c r="L493" s="29"/>
      <c r="M493" s="29"/>
      <c r="N493" s="29"/>
      <c r="O493" s="29"/>
      <c r="P493" s="29"/>
      <c r="Q493" s="30"/>
      <c r="R493" s="29"/>
      <c r="S493" s="32"/>
      <c r="T493" s="29"/>
      <c r="U493" s="29"/>
      <c r="V493" s="24" t="str">
        <f aca="false">IF(A493="","",IFERROR(INDEX(Settings!$F$5:$F$49,MATCH(G493,Settings!$D$5:$D$49,0)),""))</f>
        <v/>
      </c>
      <c r="W493" s="24" t="str">
        <f aca="false">IF(A493="","",IF(OR(P493="",P493="Organic"),"social","paid_social"))</f>
        <v/>
      </c>
      <c r="X493" s="24" t="str">
        <f aca="false">IF(A493="","",IF(K493&lt;&gt;"",IFERROR(INDEX('Case Studies'!$C$5:$C$54,MATCH(K493,'Case Studies'!$B$5:$B$54,0))&amp;"","case-study"),IF(J493&lt;&gt;"",IFERROR(INDEX(Settings!$J$5:$J$55,MATCH(J493,Settings!$I$5:$I$55,0)),"general"),"general")))</f>
        <v/>
      </c>
      <c r="Y493" s="24" t="str">
        <f aca="false">IF(A493="","",LOWER(A493))</f>
        <v/>
      </c>
      <c r="Z493" s="24" t="str">
        <f aca="false">IF(A493="","",IF(T493="",Settings!$B$5,T493)&amp;IF(ISNUMBER(FIND("?",IF(T493="",Settings!$B$5,T493))),"&amp;","?")&amp;"utm_source="&amp;V493&amp;"&amp;utm_medium="&amp;W493&amp;"&amp;utm_campaign="&amp;X493&amp;"&amp;utm_content="&amp;Y493)</f>
        <v/>
      </c>
      <c r="AA493" s="29"/>
      <c r="AB493" s="39"/>
      <c r="AC493" s="32"/>
      <c r="AD493" s="32"/>
      <c r="AE493" s="32"/>
      <c r="AF493" s="32"/>
      <c r="AG493" s="32"/>
      <c r="AH493" s="32"/>
      <c r="AI493" s="32"/>
      <c r="AJ493" s="32"/>
      <c r="AK493" s="32"/>
      <c r="AL493" s="32"/>
      <c r="AM493" s="32"/>
      <c r="AN493" s="32"/>
      <c r="AO493" s="33" t="str">
        <f aca="false">IF(A493="","",IF(AD493&lt;&gt;"",AD493,IF(AC493&lt;&gt;"",AC493,"")))</f>
        <v/>
      </c>
      <c r="AP493" s="24" t="str">
        <f aca="false">IF(AO493="","",IF(AD493&lt;&gt;"","Reported reach","Impressions (proxy)"))</f>
        <v/>
      </c>
      <c r="AQ493" s="34" t="str">
        <f aca="false">IF(OR(AO493="",N(S493)=0),"",AO493/S493)</f>
        <v/>
      </c>
      <c r="AR493" s="33" t="str">
        <f aca="false">IF(A493="","",IF(COUNT(AF493:AJ493)=0,"",SUM(AF493:AJ493)))</f>
        <v/>
      </c>
      <c r="AS493" s="34" t="str">
        <f aca="false">IF(OR(AR493="",N(AO493)=0),"",AR493/AO493)</f>
        <v/>
      </c>
      <c r="AT493" s="34" t="str">
        <f aca="false">IF(OR(AR493="",N(AC493)=0),"",AR493/AC493)</f>
        <v/>
      </c>
      <c r="AU493" s="34" t="str">
        <f aca="false">IF(OR(AR493="",N(S493)=0),"",AR493/S493)</f>
        <v/>
      </c>
      <c r="AV493" s="34" t="str">
        <f aca="false">IF(OR(AJ493="",N(AC493)=0),"",AJ493/AC493)</f>
        <v/>
      </c>
      <c r="AW493" s="34" t="str">
        <f aca="false">IF(OR(AH493="",N(AO493)=0),"",AH493/AO493)</f>
        <v/>
      </c>
      <c r="AX493" s="35" t="str">
        <f aca="false">IF(OR(AR493="",N(AO493)=0),"",(N(AF493)*Settings!$B$6+N(AG493)*Settings!$B$7+N(AH493)*Settings!$B$8+N(AI493)*Settings!$B$9+N(AJ493)*Settings!$B$10)/AO493*1000)</f>
        <v/>
      </c>
      <c r="AY493" s="36" t="str">
        <f aca="false">IF(AS493="","",IFERROR(AS493/AVERAGEIFS('Post Tracker'!$AS$5:$AS$1004,'Post Tracker'!$G$5:$G$1004,G493),""))</f>
        <v/>
      </c>
      <c r="AZ493" s="32"/>
      <c r="BA493" s="32"/>
      <c r="BB493" s="32"/>
      <c r="BC493" s="32"/>
      <c r="BD493" s="33" t="str">
        <f aca="false">IF(A493="","",COUNTIFS('Demo Pipeline'!$Q$5:$Q$504,A493))</f>
        <v/>
      </c>
      <c r="BE493" s="33" t="str">
        <f aca="false">IF(A493="","",COUNTIFS('Demo Pipeline'!$Q$5:$Q$504,A493,'Demo Pipeline'!$W$5:$W$504,"Attended"))</f>
        <v/>
      </c>
      <c r="BF493" s="33" t="str">
        <f aca="false">IF(A493="","",COUNTIFS('Demo Pipeline'!$Q$5:$Q$504,A493,'Demo Pipeline'!$X$5:$X$504,"Yes"))</f>
        <v/>
      </c>
      <c r="BG493" s="33" t="str">
        <f aca="false">IF(A493="","",COUNTIFS('Demo Pipeline'!$Q$5:$Q$504,A493,'Demo Pipeline'!$Y$5:$Y$504,"Closed Won"))</f>
        <v/>
      </c>
      <c r="BH493" s="37" t="str">
        <f aca="false">IF(A493="","",SUMIFS('Demo Pipeline'!$Z$5:$Z$504,'Demo Pipeline'!$Q$5:$Q$504,A493))</f>
        <v/>
      </c>
      <c r="BI493" s="34" t="str">
        <f aca="false">IF(OR(AZ493="",N(AJ493)=0),"",AZ493/AJ493)</f>
        <v/>
      </c>
      <c r="BJ493" s="34" t="str">
        <f aca="false">IF(OR(BB493="",N(AZ493)=0),"",BB493/AZ493)</f>
        <v/>
      </c>
      <c r="BK493" s="34" t="str">
        <f aca="false">IF(OR(A493="",N(BB493)=0),"",BD493/BB493)</f>
        <v/>
      </c>
      <c r="BL493" s="34" t="str">
        <f aca="false">IF(OR(A493="",N(AZ493)=0),"",BD493/AZ493)</f>
        <v/>
      </c>
      <c r="BM493" s="37" t="str">
        <f aca="false">IF(OR(N(Q493)=0,N(BD493)=0),"",Q493/BD493)</f>
        <v/>
      </c>
      <c r="BN493" s="29"/>
      <c r="BO493" s="29"/>
      <c r="BP493" s="33" t="str">
        <f aca="false">IF(OR(AR493="",N(AO493)=0),"",AR493)</f>
        <v/>
      </c>
      <c r="BQ493" s="33" t="str">
        <f aca="false">IF(OR(AR493="",N(S493)=0),"",S493)</f>
        <v/>
      </c>
      <c r="BR493" s="38" t="str">
        <f aca="false">IF(AND(ISNUMBER(B493),B493&gt;=Dashboard!$C$4,B493&lt;=Dashboard!$F$4,ISNUMBER(AU493)),AU493+ROW()/10^9,"")</f>
        <v/>
      </c>
      <c r="BS493" s="38" t="str">
        <f aca="false">IF(AND(ISNUMBER(B493),B493&gt;=Dashboard!$C$4,B493&lt;=Dashboard!$F$4,A493&lt;&gt;""),N(BD493)+N(AU493)/100+ROW()/10^9,"")</f>
        <v/>
      </c>
    </row>
    <row r="494" customFormat="false" ht="15" hidden="false" customHeight="false" outlineLevel="0" collapsed="false">
      <c r="A494" s="24" t="str">
        <f aca="false">IF(OR(B494="",G494="",H494=""),"",IFERROR(INDEX(Settings!$E$5:$E$49,MATCH(G494,Settings!$D$5:$D$49,0))&amp;INDEX(Settings!$H$5:$H$47,MATCH(H494,Settings!$G$5:$G$47,0))&amp;"-"&amp;TEXT(B494,"yymmdd")&amp;"-"&amp;IF(C494="","0000",TEXT(C494,"hhmm")),"CHECK LISTS"))</f>
        <v/>
      </c>
      <c r="B494" s="39"/>
      <c r="C494" s="40"/>
      <c r="D494" s="24" t="str">
        <f aca="false">IF(B494="","",TEXT(B494,"ddd"))</f>
        <v/>
      </c>
      <c r="E494" s="27" t="str">
        <f aca="false">IF(B494="","",B494-WEEKDAY(B494,3))</f>
        <v/>
      </c>
      <c r="F494" s="24" t="str">
        <f aca="false">IF(B494="","",TEXT(B494,"yyyy-mm"))</f>
        <v/>
      </c>
      <c r="G494" s="29"/>
      <c r="H494" s="29"/>
      <c r="I494" s="29"/>
      <c r="J494" s="29"/>
      <c r="K494" s="29"/>
      <c r="L494" s="29"/>
      <c r="M494" s="29"/>
      <c r="N494" s="29"/>
      <c r="O494" s="29"/>
      <c r="P494" s="29"/>
      <c r="Q494" s="30"/>
      <c r="R494" s="29"/>
      <c r="S494" s="32"/>
      <c r="T494" s="29"/>
      <c r="U494" s="29"/>
      <c r="V494" s="24" t="str">
        <f aca="false">IF(A494="","",IFERROR(INDEX(Settings!$F$5:$F$49,MATCH(G494,Settings!$D$5:$D$49,0)),""))</f>
        <v/>
      </c>
      <c r="W494" s="24" t="str">
        <f aca="false">IF(A494="","",IF(OR(P494="",P494="Organic"),"social","paid_social"))</f>
        <v/>
      </c>
      <c r="X494" s="24" t="str">
        <f aca="false">IF(A494="","",IF(K494&lt;&gt;"",IFERROR(INDEX('Case Studies'!$C$5:$C$54,MATCH(K494,'Case Studies'!$B$5:$B$54,0))&amp;"","case-study"),IF(J494&lt;&gt;"",IFERROR(INDEX(Settings!$J$5:$J$55,MATCH(J494,Settings!$I$5:$I$55,0)),"general"),"general")))</f>
        <v/>
      </c>
      <c r="Y494" s="24" t="str">
        <f aca="false">IF(A494="","",LOWER(A494))</f>
        <v/>
      </c>
      <c r="Z494" s="24" t="str">
        <f aca="false">IF(A494="","",IF(T494="",Settings!$B$5,T494)&amp;IF(ISNUMBER(FIND("?",IF(T494="",Settings!$B$5,T494))),"&amp;","?")&amp;"utm_source="&amp;V494&amp;"&amp;utm_medium="&amp;W494&amp;"&amp;utm_campaign="&amp;X494&amp;"&amp;utm_content="&amp;Y494)</f>
        <v/>
      </c>
      <c r="AA494" s="29"/>
      <c r="AB494" s="39"/>
      <c r="AC494" s="32"/>
      <c r="AD494" s="32"/>
      <c r="AE494" s="32"/>
      <c r="AF494" s="32"/>
      <c r="AG494" s="32"/>
      <c r="AH494" s="32"/>
      <c r="AI494" s="32"/>
      <c r="AJ494" s="32"/>
      <c r="AK494" s="32"/>
      <c r="AL494" s="32"/>
      <c r="AM494" s="32"/>
      <c r="AN494" s="32"/>
      <c r="AO494" s="33" t="str">
        <f aca="false">IF(A494="","",IF(AD494&lt;&gt;"",AD494,IF(AC494&lt;&gt;"",AC494,"")))</f>
        <v/>
      </c>
      <c r="AP494" s="24" t="str">
        <f aca="false">IF(AO494="","",IF(AD494&lt;&gt;"","Reported reach","Impressions (proxy)"))</f>
        <v/>
      </c>
      <c r="AQ494" s="34" t="str">
        <f aca="false">IF(OR(AO494="",N(S494)=0),"",AO494/S494)</f>
        <v/>
      </c>
      <c r="AR494" s="33" t="str">
        <f aca="false">IF(A494="","",IF(COUNT(AF494:AJ494)=0,"",SUM(AF494:AJ494)))</f>
        <v/>
      </c>
      <c r="AS494" s="34" t="str">
        <f aca="false">IF(OR(AR494="",N(AO494)=0),"",AR494/AO494)</f>
        <v/>
      </c>
      <c r="AT494" s="34" t="str">
        <f aca="false">IF(OR(AR494="",N(AC494)=0),"",AR494/AC494)</f>
        <v/>
      </c>
      <c r="AU494" s="34" t="str">
        <f aca="false">IF(OR(AR494="",N(S494)=0),"",AR494/S494)</f>
        <v/>
      </c>
      <c r="AV494" s="34" t="str">
        <f aca="false">IF(OR(AJ494="",N(AC494)=0),"",AJ494/AC494)</f>
        <v/>
      </c>
      <c r="AW494" s="34" t="str">
        <f aca="false">IF(OR(AH494="",N(AO494)=0),"",AH494/AO494)</f>
        <v/>
      </c>
      <c r="AX494" s="35" t="str">
        <f aca="false">IF(OR(AR494="",N(AO494)=0),"",(N(AF494)*Settings!$B$6+N(AG494)*Settings!$B$7+N(AH494)*Settings!$B$8+N(AI494)*Settings!$B$9+N(AJ494)*Settings!$B$10)/AO494*1000)</f>
        <v/>
      </c>
      <c r="AY494" s="36" t="str">
        <f aca="false">IF(AS494="","",IFERROR(AS494/AVERAGEIFS('Post Tracker'!$AS$5:$AS$1004,'Post Tracker'!$G$5:$G$1004,G494),""))</f>
        <v/>
      </c>
      <c r="AZ494" s="32"/>
      <c r="BA494" s="32"/>
      <c r="BB494" s="32"/>
      <c r="BC494" s="32"/>
      <c r="BD494" s="33" t="str">
        <f aca="false">IF(A494="","",COUNTIFS('Demo Pipeline'!$Q$5:$Q$504,A494))</f>
        <v/>
      </c>
      <c r="BE494" s="33" t="str">
        <f aca="false">IF(A494="","",COUNTIFS('Demo Pipeline'!$Q$5:$Q$504,A494,'Demo Pipeline'!$W$5:$W$504,"Attended"))</f>
        <v/>
      </c>
      <c r="BF494" s="33" t="str">
        <f aca="false">IF(A494="","",COUNTIFS('Demo Pipeline'!$Q$5:$Q$504,A494,'Demo Pipeline'!$X$5:$X$504,"Yes"))</f>
        <v/>
      </c>
      <c r="BG494" s="33" t="str">
        <f aca="false">IF(A494="","",COUNTIFS('Demo Pipeline'!$Q$5:$Q$504,A494,'Demo Pipeline'!$Y$5:$Y$504,"Closed Won"))</f>
        <v/>
      </c>
      <c r="BH494" s="37" t="str">
        <f aca="false">IF(A494="","",SUMIFS('Demo Pipeline'!$Z$5:$Z$504,'Demo Pipeline'!$Q$5:$Q$504,A494))</f>
        <v/>
      </c>
      <c r="BI494" s="34" t="str">
        <f aca="false">IF(OR(AZ494="",N(AJ494)=0),"",AZ494/AJ494)</f>
        <v/>
      </c>
      <c r="BJ494" s="34" t="str">
        <f aca="false">IF(OR(BB494="",N(AZ494)=0),"",BB494/AZ494)</f>
        <v/>
      </c>
      <c r="BK494" s="34" t="str">
        <f aca="false">IF(OR(A494="",N(BB494)=0),"",BD494/BB494)</f>
        <v/>
      </c>
      <c r="BL494" s="34" t="str">
        <f aca="false">IF(OR(A494="",N(AZ494)=0),"",BD494/AZ494)</f>
        <v/>
      </c>
      <c r="BM494" s="37" t="str">
        <f aca="false">IF(OR(N(Q494)=0,N(BD494)=0),"",Q494/BD494)</f>
        <v/>
      </c>
      <c r="BN494" s="29"/>
      <c r="BO494" s="29"/>
      <c r="BP494" s="33" t="str">
        <f aca="false">IF(OR(AR494="",N(AO494)=0),"",AR494)</f>
        <v/>
      </c>
      <c r="BQ494" s="33" t="str">
        <f aca="false">IF(OR(AR494="",N(S494)=0),"",S494)</f>
        <v/>
      </c>
      <c r="BR494" s="38" t="str">
        <f aca="false">IF(AND(ISNUMBER(B494),B494&gt;=Dashboard!$C$4,B494&lt;=Dashboard!$F$4,ISNUMBER(AU494)),AU494+ROW()/10^9,"")</f>
        <v/>
      </c>
      <c r="BS494" s="38" t="str">
        <f aca="false">IF(AND(ISNUMBER(B494),B494&gt;=Dashboard!$C$4,B494&lt;=Dashboard!$F$4,A494&lt;&gt;""),N(BD494)+N(AU494)/100+ROW()/10^9,"")</f>
        <v/>
      </c>
    </row>
    <row r="495" customFormat="false" ht="15" hidden="false" customHeight="false" outlineLevel="0" collapsed="false">
      <c r="A495" s="24" t="str">
        <f aca="false">IF(OR(B495="",G495="",H495=""),"",IFERROR(INDEX(Settings!$E$5:$E$49,MATCH(G495,Settings!$D$5:$D$49,0))&amp;INDEX(Settings!$H$5:$H$47,MATCH(H495,Settings!$G$5:$G$47,0))&amp;"-"&amp;TEXT(B495,"yymmdd")&amp;"-"&amp;IF(C495="","0000",TEXT(C495,"hhmm")),"CHECK LISTS"))</f>
        <v/>
      </c>
      <c r="B495" s="39"/>
      <c r="C495" s="40"/>
      <c r="D495" s="24" t="str">
        <f aca="false">IF(B495="","",TEXT(B495,"ddd"))</f>
        <v/>
      </c>
      <c r="E495" s="27" t="str">
        <f aca="false">IF(B495="","",B495-WEEKDAY(B495,3))</f>
        <v/>
      </c>
      <c r="F495" s="24" t="str">
        <f aca="false">IF(B495="","",TEXT(B495,"yyyy-mm"))</f>
        <v/>
      </c>
      <c r="G495" s="29"/>
      <c r="H495" s="29"/>
      <c r="I495" s="29"/>
      <c r="J495" s="29"/>
      <c r="K495" s="29"/>
      <c r="L495" s="29"/>
      <c r="M495" s="29"/>
      <c r="N495" s="29"/>
      <c r="O495" s="29"/>
      <c r="P495" s="29"/>
      <c r="Q495" s="30"/>
      <c r="R495" s="29"/>
      <c r="S495" s="32"/>
      <c r="T495" s="29"/>
      <c r="U495" s="29"/>
      <c r="V495" s="24" t="str">
        <f aca="false">IF(A495="","",IFERROR(INDEX(Settings!$F$5:$F$49,MATCH(G495,Settings!$D$5:$D$49,0)),""))</f>
        <v/>
      </c>
      <c r="W495" s="24" t="str">
        <f aca="false">IF(A495="","",IF(OR(P495="",P495="Organic"),"social","paid_social"))</f>
        <v/>
      </c>
      <c r="X495" s="24" t="str">
        <f aca="false">IF(A495="","",IF(K495&lt;&gt;"",IFERROR(INDEX('Case Studies'!$C$5:$C$54,MATCH(K495,'Case Studies'!$B$5:$B$54,0))&amp;"","case-study"),IF(J495&lt;&gt;"",IFERROR(INDEX(Settings!$J$5:$J$55,MATCH(J495,Settings!$I$5:$I$55,0)),"general"),"general")))</f>
        <v/>
      </c>
      <c r="Y495" s="24" t="str">
        <f aca="false">IF(A495="","",LOWER(A495))</f>
        <v/>
      </c>
      <c r="Z495" s="24" t="str">
        <f aca="false">IF(A495="","",IF(T495="",Settings!$B$5,T495)&amp;IF(ISNUMBER(FIND("?",IF(T495="",Settings!$B$5,T495))),"&amp;","?")&amp;"utm_source="&amp;V495&amp;"&amp;utm_medium="&amp;W495&amp;"&amp;utm_campaign="&amp;X495&amp;"&amp;utm_content="&amp;Y495)</f>
        <v/>
      </c>
      <c r="AA495" s="29"/>
      <c r="AB495" s="39"/>
      <c r="AC495" s="32"/>
      <c r="AD495" s="32"/>
      <c r="AE495" s="32"/>
      <c r="AF495" s="32"/>
      <c r="AG495" s="32"/>
      <c r="AH495" s="32"/>
      <c r="AI495" s="32"/>
      <c r="AJ495" s="32"/>
      <c r="AK495" s="32"/>
      <c r="AL495" s="32"/>
      <c r="AM495" s="32"/>
      <c r="AN495" s="32"/>
      <c r="AO495" s="33" t="str">
        <f aca="false">IF(A495="","",IF(AD495&lt;&gt;"",AD495,IF(AC495&lt;&gt;"",AC495,"")))</f>
        <v/>
      </c>
      <c r="AP495" s="24" t="str">
        <f aca="false">IF(AO495="","",IF(AD495&lt;&gt;"","Reported reach","Impressions (proxy)"))</f>
        <v/>
      </c>
      <c r="AQ495" s="34" t="str">
        <f aca="false">IF(OR(AO495="",N(S495)=0),"",AO495/S495)</f>
        <v/>
      </c>
      <c r="AR495" s="33" t="str">
        <f aca="false">IF(A495="","",IF(COUNT(AF495:AJ495)=0,"",SUM(AF495:AJ495)))</f>
        <v/>
      </c>
      <c r="AS495" s="34" t="str">
        <f aca="false">IF(OR(AR495="",N(AO495)=0),"",AR495/AO495)</f>
        <v/>
      </c>
      <c r="AT495" s="34" t="str">
        <f aca="false">IF(OR(AR495="",N(AC495)=0),"",AR495/AC495)</f>
        <v/>
      </c>
      <c r="AU495" s="34" t="str">
        <f aca="false">IF(OR(AR495="",N(S495)=0),"",AR495/S495)</f>
        <v/>
      </c>
      <c r="AV495" s="34" t="str">
        <f aca="false">IF(OR(AJ495="",N(AC495)=0),"",AJ495/AC495)</f>
        <v/>
      </c>
      <c r="AW495" s="34" t="str">
        <f aca="false">IF(OR(AH495="",N(AO495)=0),"",AH495/AO495)</f>
        <v/>
      </c>
      <c r="AX495" s="35" t="str">
        <f aca="false">IF(OR(AR495="",N(AO495)=0),"",(N(AF495)*Settings!$B$6+N(AG495)*Settings!$B$7+N(AH495)*Settings!$B$8+N(AI495)*Settings!$B$9+N(AJ495)*Settings!$B$10)/AO495*1000)</f>
        <v/>
      </c>
      <c r="AY495" s="36" t="str">
        <f aca="false">IF(AS495="","",IFERROR(AS495/AVERAGEIFS('Post Tracker'!$AS$5:$AS$1004,'Post Tracker'!$G$5:$G$1004,G495),""))</f>
        <v/>
      </c>
      <c r="AZ495" s="32"/>
      <c r="BA495" s="32"/>
      <c r="BB495" s="32"/>
      <c r="BC495" s="32"/>
      <c r="BD495" s="33" t="str">
        <f aca="false">IF(A495="","",COUNTIFS('Demo Pipeline'!$Q$5:$Q$504,A495))</f>
        <v/>
      </c>
      <c r="BE495" s="33" t="str">
        <f aca="false">IF(A495="","",COUNTIFS('Demo Pipeline'!$Q$5:$Q$504,A495,'Demo Pipeline'!$W$5:$W$504,"Attended"))</f>
        <v/>
      </c>
      <c r="BF495" s="33" t="str">
        <f aca="false">IF(A495="","",COUNTIFS('Demo Pipeline'!$Q$5:$Q$504,A495,'Demo Pipeline'!$X$5:$X$504,"Yes"))</f>
        <v/>
      </c>
      <c r="BG495" s="33" t="str">
        <f aca="false">IF(A495="","",COUNTIFS('Demo Pipeline'!$Q$5:$Q$504,A495,'Demo Pipeline'!$Y$5:$Y$504,"Closed Won"))</f>
        <v/>
      </c>
      <c r="BH495" s="37" t="str">
        <f aca="false">IF(A495="","",SUMIFS('Demo Pipeline'!$Z$5:$Z$504,'Demo Pipeline'!$Q$5:$Q$504,A495))</f>
        <v/>
      </c>
      <c r="BI495" s="34" t="str">
        <f aca="false">IF(OR(AZ495="",N(AJ495)=0),"",AZ495/AJ495)</f>
        <v/>
      </c>
      <c r="BJ495" s="34" t="str">
        <f aca="false">IF(OR(BB495="",N(AZ495)=0),"",BB495/AZ495)</f>
        <v/>
      </c>
      <c r="BK495" s="34" t="str">
        <f aca="false">IF(OR(A495="",N(BB495)=0),"",BD495/BB495)</f>
        <v/>
      </c>
      <c r="BL495" s="34" t="str">
        <f aca="false">IF(OR(A495="",N(AZ495)=0),"",BD495/AZ495)</f>
        <v/>
      </c>
      <c r="BM495" s="37" t="str">
        <f aca="false">IF(OR(N(Q495)=0,N(BD495)=0),"",Q495/BD495)</f>
        <v/>
      </c>
      <c r="BN495" s="29"/>
      <c r="BO495" s="29"/>
      <c r="BP495" s="33" t="str">
        <f aca="false">IF(OR(AR495="",N(AO495)=0),"",AR495)</f>
        <v/>
      </c>
      <c r="BQ495" s="33" t="str">
        <f aca="false">IF(OR(AR495="",N(S495)=0),"",S495)</f>
        <v/>
      </c>
      <c r="BR495" s="38" t="str">
        <f aca="false">IF(AND(ISNUMBER(B495),B495&gt;=Dashboard!$C$4,B495&lt;=Dashboard!$F$4,ISNUMBER(AU495)),AU495+ROW()/10^9,"")</f>
        <v/>
      </c>
      <c r="BS495" s="38" t="str">
        <f aca="false">IF(AND(ISNUMBER(B495),B495&gt;=Dashboard!$C$4,B495&lt;=Dashboard!$F$4,A495&lt;&gt;""),N(BD495)+N(AU495)/100+ROW()/10^9,"")</f>
        <v/>
      </c>
    </row>
    <row r="496" customFormat="false" ht="15" hidden="false" customHeight="false" outlineLevel="0" collapsed="false">
      <c r="A496" s="24" t="str">
        <f aca="false">IF(OR(B496="",G496="",H496=""),"",IFERROR(INDEX(Settings!$E$5:$E$49,MATCH(G496,Settings!$D$5:$D$49,0))&amp;INDEX(Settings!$H$5:$H$47,MATCH(H496,Settings!$G$5:$G$47,0))&amp;"-"&amp;TEXT(B496,"yymmdd")&amp;"-"&amp;IF(C496="","0000",TEXT(C496,"hhmm")),"CHECK LISTS"))</f>
        <v/>
      </c>
      <c r="B496" s="39"/>
      <c r="C496" s="40"/>
      <c r="D496" s="24" t="str">
        <f aca="false">IF(B496="","",TEXT(B496,"ddd"))</f>
        <v/>
      </c>
      <c r="E496" s="27" t="str">
        <f aca="false">IF(B496="","",B496-WEEKDAY(B496,3))</f>
        <v/>
      </c>
      <c r="F496" s="24" t="str">
        <f aca="false">IF(B496="","",TEXT(B496,"yyyy-mm"))</f>
        <v/>
      </c>
      <c r="G496" s="29"/>
      <c r="H496" s="29"/>
      <c r="I496" s="29"/>
      <c r="J496" s="29"/>
      <c r="K496" s="29"/>
      <c r="L496" s="29"/>
      <c r="M496" s="29"/>
      <c r="N496" s="29"/>
      <c r="O496" s="29"/>
      <c r="P496" s="29"/>
      <c r="Q496" s="30"/>
      <c r="R496" s="29"/>
      <c r="S496" s="32"/>
      <c r="T496" s="29"/>
      <c r="U496" s="29"/>
      <c r="V496" s="24" t="str">
        <f aca="false">IF(A496="","",IFERROR(INDEX(Settings!$F$5:$F$49,MATCH(G496,Settings!$D$5:$D$49,0)),""))</f>
        <v/>
      </c>
      <c r="W496" s="24" t="str">
        <f aca="false">IF(A496="","",IF(OR(P496="",P496="Organic"),"social","paid_social"))</f>
        <v/>
      </c>
      <c r="X496" s="24" t="str">
        <f aca="false">IF(A496="","",IF(K496&lt;&gt;"",IFERROR(INDEX('Case Studies'!$C$5:$C$54,MATCH(K496,'Case Studies'!$B$5:$B$54,0))&amp;"","case-study"),IF(J496&lt;&gt;"",IFERROR(INDEX(Settings!$J$5:$J$55,MATCH(J496,Settings!$I$5:$I$55,0)),"general"),"general")))</f>
        <v/>
      </c>
      <c r="Y496" s="24" t="str">
        <f aca="false">IF(A496="","",LOWER(A496))</f>
        <v/>
      </c>
      <c r="Z496" s="24" t="str">
        <f aca="false">IF(A496="","",IF(T496="",Settings!$B$5,T496)&amp;IF(ISNUMBER(FIND("?",IF(T496="",Settings!$B$5,T496))),"&amp;","?")&amp;"utm_source="&amp;V496&amp;"&amp;utm_medium="&amp;W496&amp;"&amp;utm_campaign="&amp;X496&amp;"&amp;utm_content="&amp;Y496)</f>
        <v/>
      </c>
      <c r="AA496" s="29"/>
      <c r="AB496" s="39"/>
      <c r="AC496" s="32"/>
      <c r="AD496" s="32"/>
      <c r="AE496" s="32"/>
      <c r="AF496" s="32"/>
      <c r="AG496" s="32"/>
      <c r="AH496" s="32"/>
      <c r="AI496" s="32"/>
      <c r="AJ496" s="32"/>
      <c r="AK496" s="32"/>
      <c r="AL496" s="32"/>
      <c r="AM496" s="32"/>
      <c r="AN496" s="32"/>
      <c r="AO496" s="33" t="str">
        <f aca="false">IF(A496="","",IF(AD496&lt;&gt;"",AD496,IF(AC496&lt;&gt;"",AC496,"")))</f>
        <v/>
      </c>
      <c r="AP496" s="24" t="str">
        <f aca="false">IF(AO496="","",IF(AD496&lt;&gt;"","Reported reach","Impressions (proxy)"))</f>
        <v/>
      </c>
      <c r="AQ496" s="34" t="str">
        <f aca="false">IF(OR(AO496="",N(S496)=0),"",AO496/S496)</f>
        <v/>
      </c>
      <c r="AR496" s="33" t="str">
        <f aca="false">IF(A496="","",IF(COUNT(AF496:AJ496)=0,"",SUM(AF496:AJ496)))</f>
        <v/>
      </c>
      <c r="AS496" s="34" t="str">
        <f aca="false">IF(OR(AR496="",N(AO496)=0),"",AR496/AO496)</f>
        <v/>
      </c>
      <c r="AT496" s="34" t="str">
        <f aca="false">IF(OR(AR496="",N(AC496)=0),"",AR496/AC496)</f>
        <v/>
      </c>
      <c r="AU496" s="34" t="str">
        <f aca="false">IF(OR(AR496="",N(S496)=0),"",AR496/S496)</f>
        <v/>
      </c>
      <c r="AV496" s="34" t="str">
        <f aca="false">IF(OR(AJ496="",N(AC496)=0),"",AJ496/AC496)</f>
        <v/>
      </c>
      <c r="AW496" s="34" t="str">
        <f aca="false">IF(OR(AH496="",N(AO496)=0),"",AH496/AO496)</f>
        <v/>
      </c>
      <c r="AX496" s="35" t="str">
        <f aca="false">IF(OR(AR496="",N(AO496)=0),"",(N(AF496)*Settings!$B$6+N(AG496)*Settings!$B$7+N(AH496)*Settings!$B$8+N(AI496)*Settings!$B$9+N(AJ496)*Settings!$B$10)/AO496*1000)</f>
        <v/>
      </c>
      <c r="AY496" s="36" t="str">
        <f aca="false">IF(AS496="","",IFERROR(AS496/AVERAGEIFS('Post Tracker'!$AS$5:$AS$1004,'Post Tracker'!$G$5:$G$1004,G496),""))</f>
        <v/>
      </c>
      <c r="AZ496" s="32"/>
      <c r="BA496" s="32"/>
      <c r="BB496" s="32"/>
      <c r="BC496" s="32"/>
      <c r="BD496" s="33" t="str">
        <f aca="false">IF(A496="","",COUNTIFS('Demo Pipeline'!$Q$5:$Q$504,A496))</f>
        <v/>
      </c>
      <c r="BE496" s="33" t="str">
        <f aca="false">IF(A496="","",COUNTIFS('Demo Pipeline'!$Q$5:$Q$504,A496,'Demo Pipeline'!$W$5:$W$504,"Attended"))</f>
        <v/>
      </c>
      <c r="BF496" s="33" t="str">
        <f aca="false">IF(A496="","",COUNTIFS('Demo Pipeline'!$Q$5:$Q$504,A496,'Demo Pipeline'!$X$5:$X$504,"Yes"))</f>
        <v/>
      </c>
      <c r="BG496" s="33" t="str">
        <f aca="false">IF(A496="","",COUNTIFS('Demo Pipeline'!$Q$5:$Q$504,A496,'Demo Pipeline'!$Y$5:$Y$504,"Closed Won"))</f>
        <v/>
      </c>
      <c r="BH496" s="37" t="str">
        <f aca="false">IF(A496="","",SUMIFS('Demo Pipeline'!$Z$5:$Z$504,'Demo Pipeline'!$Q$5:$Q$504,A496))</f>
        <v/>
      </c>
      <c r="BI496" s="34" t="str">
        <f aca="false">IF(OR(AZ496="",N(AJ496)=0),"",AZ496/AJ496)</f>
        <v/>
      </c>
      <c r="BJ496" s="34" t="str">
        <f aca="false">IF(OR(BB496="",N(AZ496)=0),"",BB496/AZ496)</f>
        <v/>
      </c>
      <c r="BK496" s="34" t="str">
        <f aca="false">IF(OR(A496="",N(BB496)=0),"",BD496/BB496)</f>
        <v/>
      </c>
      <c r="BL496" s="34" t="str">
        <f aca="false">IF(OR(A496="",N(AZ496)=0),"",BD496/AZ496)</f>
        <v/>
      </c>
      <c r="BM496" s="37" t="str">
        <f aca="false">IF(OR(N(Q496)=0,N(BD496)=0),"",Q496/BD496)</f>
        <v/>
      </c>
      <c r="BN496" s="29"/>
      <c r="BO496" s="29"/>
      <c r="BP496" s="33" t="str">
        <f aca="false">IF(OR(AR496="",N(AO496)=0),"",AR496)</f>
        <v/>
      </c>
      <c r="BQ496" s="33" t="str">
        <f aca="false">IF(OR(AR496="",N(S496)=0),"",S496)</f>
        <v/>
      </c>
      <c r="BR496" s="38" t="str">
        <f aca="false">IF(AND(ISNUMBER(B496),B496&gt;=Dashboard!$C$4,B496&lt;=Dashboard!$F$4,ISNUMBER(AU496)),AU496+ROW()/10^9,"")</f>
        <v/>
      </c>
      <c r="BS496" s="38" t="str">
        <f aca="false">IF(AND(ISNUMBER(B496),B496&gt;=Dashboard!$C$4,B496&lt;=Dashboard!$F$4,A496&lt;&gt;""),N(BD496)+N(AU496)/100+ROW()/10^9,"")</f>
        <v/>
      </c>
    </row>
    <row r="497" customFormat="false" ht="15" hidden="false" customHeight="false" outlineLevel="0" collapsed="false">
      <c r="A497" s="24" t="str">
        <f aca="false">IF(OR(B497="",G497="",H497=""),"",IFERROR(INDEX(Settings!$E$5:$E$49,MATCH(G497,Settings!$D$5:$D$49,0))&amp;INDEX(Settings!$H$5:$H$47,MATCH(H497,Settings!$G$5:$G$47,0))&amp;"-"&amp;TEXT(B497,"yymmdd")&amp;"-"&amp;IF(C497="","0000",TEXT(C497,"hhmm")),"CHECK LISTS"))</f>
        <v/>
      </c>
      <c r="B497" s="39"/>
      <c r="C497" s="40"/>
      <c r="D497" s="24" t="str">
        <f aca="false">IF(B497="","",TEXT(B497,"ddd"))</f>
        <v/>
      </c>
      <c r="E497" s="27" t="str">
        <f aca="false">IF(B497="","",B497-WEEKDAY(B497,3))</f>
        <v/>
      </c>
      <c r="F497" s="24" t="str">
        <f aca="false">IF(B497="","",TEXT(B497,"yyyy-mm"))</f>
        <v/>
      </c>
      <c r="G497" s="29"/>
      <c r="H497" s="29"/>
      <c r="I497" s="29"/>
      <c r="J497" s="29"/>
      <c r="K497" s="29"/>
      <c r="L497" s="29"/>
      <c r="M497" s="29"/>
      <c r="N497" s="29"/>
      <c r="O497" s="29"/>
      <c r="P497" s="29"/>
      <c r="Q497" s="30"/>
      <c r="R497" s="29"/>
      <c r="S497" s="32"/>
      <c r="T497" s="29"/>
      <c r="U497" s="29"/>
      <c r="V497" s="24" t="str">
        <f aca="false">IF(A497="","",IFERROR(INDEX(Settings!$F$5:$F$49,MATCH(G497,Settings!$D$5:$D$49,0)),""))</f>
        <v/>
      </c>
      <c r="W497" s="24" t="str">
        <f aca="false">IF(A497="","",IF(OR(P497="",P497="Organic"),"social","paid_social"))</f>
        <v/>
      </c>
      <c r="X497" s="24" t="str">
        <f aca="false">IF(A497="","",IF(K497&lt;&gt;"",IFERROR(INDEX('Case Studies'!$C$5:$C$54,MATCH(K497,'Case Studies'!$B$5:$B$54,0))&amp;"","case-study"),IF(J497&lt;&gt;"",IFERROR(INDEX(Settings!$J$5:$J$55,MATCH(J497,Settings!$I$5:$I$55,0)),"general"),"general")))</f>
        <v/>
      </c>
      <c r="Y497" s="24" t="str">
        <f aca="false">IF(A497="","",LOWER(A497))</f>
        <v/>
      </c>
      <c r="Z497" s="24" t="str">
        <f aca="false">IF(A497="","",IF(T497="",Settings!$B$5,T497)&amp;IF(ISNUMBER(FIND("?",IF(T497="",Settings!$B$5,T497))),"&amp;","?")&amp;"utm_source="&amp;V497&amp;"&amp;utm_medium="&amp;W497&amp;"&amp;utm_campaign="&amp;X497&amp;"&amp;utm_content="&amp;Y497)</f>
        <v/>
      </c>
      <c r="AA497" s="29"/>
      <c r="AB497" s="39"/>
      <c r="AC497" s="32"/>
      <c r="AD497" s="32"/>
      <c r="AE497" s="32"/>
      <c r="AF497" s="32"/>
      <c r="AG497" s="32"/>
      <c r="AH497" s="32"/>
      <c r="AI497" s="32"/>
      <c r="AJ497" s="32"/>
      <c r="AK497" s="32"/>
      <c r="AL497" s="32"/>
      <c r="AM497" s="32"/>
      <c r="AN497" s="32"/>
      <c r="AO497" s="33" t="str">
        <f aca="false">IF(A497="","",IF(AD497&lt;&gt;"",AD497,IF(AC497&lt;&gt;"",AC497,"")))</f>
        <v/>
      </c>
      <c r="AP497" s="24" t="str">
        <f aca="false">IF(AO497="","",IF(AD497&lt;&gt;"","Reported reach","Impressions (proxy)"))</f>
        <v/>
      </c>
      <c r="AQ497" s="34" t="str">
        <f aca="false">IF(OR(AO497="",N(S497)=0),"",AO497/S497)</f>
        <v/>
      </c>
      <c r="AR497" s="33" t="str">
        <f aca="false">IF(A497="","",IF(COUNT(AF497:AJ497)=0,"",SUM(AF497:AJ497)))</f>
        <v/>
      </c>
      <c r="AS497" s="34" t="str">
        <f aca="false">IF(OR(AR497="",N(AO497)=0),"",AR497/AO497)</f>
        <v/>
      </c>
      <c r="AT497" s="34" t="str">
        <f aca="false">IF(OR(AR497="",N(AC497)=0),"",AR497/AC497)</f>
        <v/>
      </c>
      <c r="AU497" s="34" t="str">
        <f aca="false">IF(OR(AR497="",N(S497)=0),"",AR497/S497)</f>
        <v/>
      </c>
      <c r="AV497" s="34" t="str">
        <f aca="false">IF(OR(AJ497="",N(AC497)=0),"",AJ497/AC497)</f>
        <v/>
      </c>
      <c r="AW497" s="34" t="str">
        <f aca="false">IF(OR(AH497="",N(AO497)=0),"",AH497/AO497)</f>
        <v/>
      </c>
      <c r="AX497" s="35" t="str">
        <f aca="false">IF(OR(AR497="",N(AO497)=0),"",(N(AF497)*Settings!$B$6+N(AG497)*Settings!$B$7+N(AH497)*Settings!$B$8+N(AI497)*Settings!$B$9+N(AJ497)*Settings!$B$10)/AO497*1000)</f>
        <v/>
      </c>
      <c r="AY497" s="36" t="str">
        <f aca="false">IF(AS497="","",IFERROR(AS497/AVERAGEIFS('Post Tracker'!$AS$5:$AS$1004,'Post Tracker'!$G$5:$G$1004,G497),""))</f>
        <v/>
      </c>
      <c r="AZ497" s="32"/>
      <c r="BA497" s="32"/>
      <c r="BB497" s="32"/>
      <c r="BC497" s="32"/>
      <c r="BD497" s="33" t="str">
        <f aca="false">IF(A497="","",COUNTIFS('Demo Pipeline'!$Q$5:$Q$504,A497))</f>
        <v/>
      </c>
      <c r="BE497" s="33" t="str">
        <f aca="false">IF(A497="","",COUNTIFS('Demo Pipeline'!$Q$5:$Q$504,A497,'Demo Pipeline'!$W$5:$W$504,"Attended"))</f>
        <v/>
      </c>
      <c r="BF497" s="33" t="str">
        <f aca="false">IF(A497="","",COUNTIFS('Demo Pipeline'!$Q$5:$Q$504,A497,'Demo Pipeline'!$X$5:$X$504,"Yes"))</f>
        <v/>
      </c>
      <c r="BG497" s="33" t="str">
        <f aca="false">IF(A497="","",COUNTIFS('Demo Pipeline'!$Q$5:$Q$504,A497,'Demo Pipeline'!$Y$5:$Y$504,"Closed Won"))</f>
        <v/>
      </c>
      <c r="BH497" s="37" t="str">
        <f aca="false">IF(A497="","",SUMIFS('Demo Pipeline'!$Z$5:$Z$504,'Demo Pipeline'!$Q$5:$Q$504,A497))</f>
        <v/>
      </c>
      <c r="BI497" s="34" t="str">
        <f aca="false">IF(OR(AZ497="",N(AJ497)=0),"",AZ497/AJ497)</f>
        <v/>
      </c>
      <c r="BJ497" s="34" t="str">
        <f aca="false">IF(OR(BB497="",N(AZ497)=0),"",BB497/AZ497)</f>
        <v/>
      </c>
      <c r="BK497" s="34" t="str">
        <f aca="false">IF(OR(A497="",N(BB497)=0),"",BD497/BB497)</f>
        <v/>
      </c>
      <c r="BL497" s="34" t="str">
        <f aca="false">IF(OR(A497="",N(AZ497)=0),"",BD497/AZ497)</f>
        <v/>
      </c>
      <c r="BM497" s="37" t="str">
        <f aca="false">IF(OR(N(Q497)=0,N(BD497)=0),"",Q497/BD497)</f>
        <v/>
      </c>
      <c r="BN497" s="29"/>
      <c r="BO497" s="29"/>
      <c r="BP497" s="33" t="str">
        <f aca="false">IF(OR(AR497="",N(AO497)=0),"",AR497)</f>
        <v/>
      </c>
      <c r="BQ497" s="33" t="str">
        <f aca="false">IF(OR(AR497="",N(S497)=0),"",S497)</f>
        <v/>
      </c>
      <c r="BR497" s="38" t="str">
        <f aca="false">IF(AND(ISNUMBER(B497),B497&gt;=Dashboard!$C$4,B497&lt;=Dashboard!$F$4,ISNUMBER(AU497)),AU497+ROW()/10^9,"")</f>
        <v/>
      </c>
      <c r="BS497" s="38" t="str">
        <f aca="false">IF(AND(ISNUMBER(B497),B497&gt;=Dashboard!$C$4,B497&lt;=Dashboard!$F$4,A497&lt;&gt;""),N(BD497)+N(AU497)/100+ROW()/10^9,"")</f>
        <v/>
      </c>
    </row>
    <row r="498" customFormat="false" ht="15" hidden="false" customHeight="false" outlineLevel="0" collapsed="false">
      <c r="A498" s="24" t="str">
        <f aca="false">IF(OR(B498="",G498="",H498=""),"",IFERROR(INDEX(Settings!$E$5:$E$49,MATCH(G498,Settings!$D$5:$D$49,0))&amp;INDEX(Settings!$H$5:$H$47,MATCH(H498,Settings!$G$5:$G$47,0))&amp;"-"&amp;TEXT(B498,"yymmdd")&amp;"-"&amp;IF(C498="","0000",TEXT(C498,"hhmm")),"CHECK LISTS"))</f>
        <v/>
      </c>
      <c r="B498" s="39"/>
      <c r="C498" s="40"/>
      <c r="D498" s="24" t="str">
        <f aca="false">IF(B498="","",TEXT(B498,"ddd"))</f>
        <v/>
      </c>
      <c r="E498" s="27" t="str">
        <f aca="false">IF(B498="","",B498-WEEKDAY(B498,3))</f>
        <v/>
      </c>
      <c r="F498" s="24" t="str">
        <f aca="false">IF(B498="","",TEXT(B498,"yyyy-mm"))</f>
        <v/>
      </c>
      <c r="G498" s="29"/>
      <c r="H498" s="29"/>
      <c r="I498" s="29"/>
      <c r="J498" s="29"/>
      <c r="K498" s="29"/>
      <c r="L498" s="29"/>
      <c r="M498" s="29"/>
      <c r="N498" s="29"/>
      <c r="O498" s="29"/>
      <c r="P498" s="29"/>
      <c r="Q498" s="30"/>
      <c r="R498" s="29"/>
      <c r="S498" s="32"/>
      <c r="T498" s="29"/>
      <c r="U498" s="29"/>
      <c r="V498" s="24" t="str">
        <f aca="false">IF(A498="","",IFERROR(INDEX(Settings!$F$5:$F$49,MATCH(G498,Settings!$D$5:$D$49,0)),""))</f>
        <v/>
      </c>
      <c r="W498" s="24" t="str">
        <f aca="false">IF(A498="","",IF(OR(P498="",P498="Organic"),"social","paid_social"))</f>
        <v/>
      </c>
      <c r="X498" s="24" t="str">
        <f aca="false">IF(A498="","",IF(K498&lt;&gt;"",IFERROR(INDEX('Case Studies'!$C$5:$C$54,MATCH(K498,'Case Studies'!$B$5:$B$54,0))&amp;"","case-study"),IF(J498&lt;&gt;"",IFERROR(INDEX(Settings!$J$5:$J$55,MATCH(J498,Settings!$I$5:$I$55,0)),"general"),"general")))</f>
        <v/>
      </c>
      <c r="Y498" s="24" t="str">
        <f aca="false">IF(A498="","",LOWER(A498))</f>
        <v/>
      </c>
      <c r="Z498" s="24" t="str">
        <f aca="false">IF(A498="","",IF(T498="",Settings!$B$5,T498)&amp;IF(ISNUMBER(FIND("?",IF(T498="",Settings!$B$5,T498))),"&amp;","?")&amp;"utm_source="&amp;V498&amp;"&amp;utm_medium="&amp;W498&amp;"&amp;utm_campaign="&amp;X498&amp;"&amp;utm_content="&amp;Y498)</f>
        <v/>
      </c>
      <c r="AA498" s="29"/>
      <c r="AB498" s="39"/>
      <c r="AC498" s="32"/>
      <c r="AD498" s="32"/>
      <c r="AE498" s="32"/>
      <c r="AF498" s="32"/>
      <c r="AG498" s="32"/>
      <c r="AH498" s="32"/>
      <c r="AI498" s="32"/>
      <c r="AJ498" s="32"/>
      <c r="AK498" s="32"/>
      <c r="AL498" s="32"/>
      <c r="AM498" s="32"/>
      <c r="AN498" s="32"/>
      <c r="AO498" s="33" t="str">
        <f aca="false">IF(A498="","",IF(AD498&lt;&gt;"",AD498,IF(AC498&lt;&gt;"",AC498,"")))</f>
        <v/>
      </c>
      <c r="AP498" s="24" t="str">
        <f aca="false">IF(AO498="","",IF(AD498&lt;&gt;"","Reported reach","Impressions (proxy)"))</f>
        <v/>
      </c>
      <c r="AQ498" s="34" t="str">
        <f aca="false">IF(OR(AO498="",N(S498)=0),"",AO498/S498)</f>
        <v/>
      </c>
      <c r="AR498" s="33" t="str">
        <f aca="false">IF(A498="","",IF(COUNT(AF498:AJ498)=0,"",SUM(AF498:AJ498)))</f>
        <v/>
      </c>
      <c r="AS498" s="34" t="str">
        <f aca="false">IF(OR(AR498="",N(AO498)=0),"",AR498/AO498)</f>
        <v/>
      </c>
      <c r="AT498" s="34" t="str">
        <f aca="false">IF(OR(AR498="",N(AC498)=0),"",AR498/AC498)</f>
        <v/>
      </c>
      <c r="AU498" s="34" t="str">
        <f aca="false">IF(OR(AR498="",N(S498)=0),"",AR498/S498)</f>
        <v/>
      </c>
      <c r="AV498" s="34" t="str">
        <f aca="false">IF(OR(AJ498="",N(AC498)=0),"",AJ498/AC498)</f>
        <v/>
      </c>
      <c r="AW498" s="34" t="str">
        <f aca="false">IF(OR(AH498="",N(AO498)=0),"",AH498/AO498)</f>
        <v/>
      </c>
      <c r="AX498" s="35" t="str">
        <f aca="false">IF(OR(AR498="",N(AO498)=0),"",(N(AF498)*Settings!$B$6+N(AG498)*Settings!$B$7+N(AH498)*Settings!$B$8+N(AI498)*Settings!$B$9+N(AJ498)*Settings!$B$10)/AO498*1000)</f>
        <v/>
      </c>
      <c r="AY498" s="36" t="str">
        <f aca="false">IF(AS498="","",IFERROR(AS498/AVERAGEIFS('Post Tracker'!$AS$5:$AS$1004,'Post Tracker'!$G$5:$G$1004,G498),""))</f>
        <v/>
      </c>
      <c r="AZ498" s="32"/>
      <c r="BA498" s="32"/>
      <c r="BB498" s="32"/>
      <c r="BC498" s="32"/>
      <c r="BD498" s="33" t="str">
        <f aca="false">IF(A498="","",COUNTIFS('Demo Pipeline'!$Q$5:$Q$504,A498))</f>
        <v/>
      </c>
      <c r="BE498" s="33" t="str">
        <f aca="false">IF(A498="","",COUNTIFS('Demo Pipeline'!$Q$5:$Q$504,A498,'Demo Pipeline'!$W$5:$W$504,"Attended"))</f>
        <v/>
      </c>
      <c r="BF498" s="33" t="str">
        <f aca="false">IF(A498="","",COUNTIFS('Demo Pipeline'!$Q$5:$Q$504,A498,'Demo Pipeline'!$X$5:$X$504,"Yes"))</f>
        <v/>
      </c>
      <c r="BG498" s="33" t="str">
        <f aca="false">IF(A498="","",COUNTIFS('Demo Pipeline'!$Q$5:$Q$504,A498,'Demo Pipeline'!$Y$5:$Y$504,"Closed Won"))</f>
        <v/>
      </c>
      <c r="BH498" s="37" t="str">
        <f aca="false">IF(A498="","",SUMIFS('Demo Pipeline'!$Z$5:$Z$504,'Demo Pipeline'!$Q$5:$Q$504,A498))</f>
        <v/>
      </c>
      <c r="BI498" s="34" t="str">
        <f aca="false">IF(OR(AZ498="",N(AJ498)=0),"",AZ498/AJ498)</f>
        <v/>
      </c>
      <c r="BJ498" s="34" t="str">
        <f aca="false">IF(OR(BB498="",N(AZ498)=0),"",BB498/AZ498)</f>
        <v/>
      </c>
      <c r="BK498" s="34" t="str">
        <f aca="false">IF(OR(A498="",N(BB498)=0),"",BD498/BB498)</f>
        <v/>
      </c>
      <c r="BL498" s="34" t="str">
        <f aca="false">IF(OR(A498="",N(AZ498)=0),"",BD498/AZ498)</f>
        <v/>
      </c>
      <c r="BM498" s="37" t="str">
        <f aca="false">IF(OR(N(Q498)=0,N(BD498)=0),"",Q498/BD498)</f>
        <v/>
      </c>
      <c r="BN498" s="29"/>
      <c r="BO498" s="29"/>
      <c r="BP498" s="33" t="str">
        <f aca="false">IF(OR(AR498="",N(AO498)=0),"",AR498)</f>
        <v/>
      </c>
      <c r="BQ498" s="33" t="str">
        <f aca="false">IF(OR(AR498="",N(S498)=0),"",S498)</f>
        <v/>
      </c>
      <c r="BR498" s="38" t="str">
        <f aca="false">IF(AND(ISNUMBER(B498),B498&gt;=Dashboard!$C$4,B498&lt;=Dashboard!$F$4,ISNUMBER(AU498)),AU498+ROW()/10^9,"")</f>
        <v/>
      </c>
      <c r="BS498" s="38" t="str">
        <f aca="false">IF(AND(ISNUMBER(B498),B498&gt;=Dashboard!$C$4,B498&lt;=Dashboard!$F$4,A498&lt;&gt;""),N(BD498)+N(AU498)/100+ROW()/10^9,"")</f>
        <v/>
      </c>
    </row>
    <row r="499" customFormat="false" ht="15" hidden="false" customHeight="false" outlineLevel="0" collapsed="false">
      <c r="A499" s="24" t="str">
        <f aca="false">IF(OR(B499="",G499="",H499=""),"",IFERROR(INDEX(Settings!$E$5:$E$49,MATCH(G499,Settings!$D$5:$D$49,0))&amp;INDEX(Settings!$H$5:$H$47,MATCH(H499,Settings!$G$5:$G$47,0))&amp;"-"&amp;TEXT(B499,"yymmdd")&amp;"-"&amp;IF(C499="","0000",TEXT(C499,"hhmm")),"CHECK LISTS"))</f>
        <v/>
      </c>
      <c r="B499" s="39"/>
      <c r="C499" s="40"/>
      <c r="D499" s="24" t="str">
        <f aca="false">IF(B499="","",TEXT(B499,"ddd"))</f>
        <v/>
      </c>
      <c r="E499" s="27" t="str">
        <f aca="false">IF(B499="","",B499-WEEKDAY(B499,3))</f>
        <v/>
      </c>
      <c r="F499" s="24" t="str">
        <f aca="false">IF(B499="","",TEXT(B499,"yyyy-mm"))</f>
        <v/>
      </c>
      <c r="G499" s="29"/>
      <c r="H499" s="29"/>
      <c r="I499" s="29"/>
      <c r="J499" s="29"/>
      <c r="K499" s="29"/>
      <c r="L499" s="29"/>
      <c r="M499" s="29"/>
      <c r="N499" s="29"/>
      <c r="O499" s="29"/>
      <c r="P499" s="29"/>
      <c r="Q499" s="30"/>
      <c r="R499" s="29"/>
      <c r="S499" s="32"/>
      <c r="T499" s="29"/>
      <c r="U499" s="29"/>
      <c r="V499" s="24" t="str">
        <f aca="false">IF(A499="","",IFERROR(INDEX(Settings!$F$5:$F$49,MATCH(G499,Settings!$D$5:$D$49,0)),""))</f>
        <v/>
      </c>
      <c r="W499" s="24" t="str">
        <f aca="false">IF(A499="","",IF(OR(P499="",P499="Organic"),"social","paid_social"))</f>
        <v/>
      </c>
      <c r="X499" s="24" t="str">
        <f aca="false">IF(A499="","",IF(K499&lt;&gt;"",IFERROR(INDEX('Case Studies'!$C$5:$C$54,MATCH(K499,'Case Studies'!$B$5:$B$54,0))&amp;"","case-study"),IF(J499&lt;&gt;"",IFERROR(INDEX(Settings!$J$5:$J$55,MATCH(J499,Settings!$I$5:$I$55,0)),"general"),"general")))</f>
        <v/>
      </c>
      <c r="Y499" s="24" t="str">
        <f aca="false">IF(A499="","",LOWER(A499))</f>
        <v/>
      </c>
      <c r="Z499" s="24" t="str">
        <f aca="false">IF(A499="","",IF(T499="",Settings!$B$5,T499)&amp;IF(ISNUMBER(FIND("?",IF(T499="",Settings!$B$5,T499))),"&amp;","?")&amp;"utm_source="&amp;V499&amp;"&amp;utm_medium="&amp;W499&amp;"&amp;utm_campaign="&amp;X499&amp;"&amp;utm_content="&amp;Y499)</f>
        <v/>
      </c>
      <c r="AA499" s="29"/>
      <c r="AB499" s="39"/>
      <c r="AC499" s="32"/>
      <c r="AD499" s="32"/>
      <c r="AE499" s="32"/>
      <c r="AF499" s="32"/>
      <c r="AG499" s="32"/>
      <c r="AH499" s="32"/>
      <c r="AI499" s="32"/>
      <c r="AJ499" s="32"/>
      <c r="AK499" s="32"/>
      <c r="AL499" s="32"/>
      <c r="AM499" s="32"/>
      <c r="AN499" s="32"/>
      <c r="AO499" s="33" t="str">
        <f aca="false">IF(A499="","",IF(AD499&lt;&gt;"",AD499,IF(AC499&lt;&gt;"",AC499,"")))</f>
        <v/>
      </c>
      <c r="AP499" s="24" t="str">
        <f aca="false">IF(AO499="","",IF(AD499&lt;&gt;"","Reported reach","Impressions (proxy)"))</f>
        <v/>
      </c>
      <c r="AQ499" s="34" t="str">
        <f aca="false">IF(OR(AO499="",N(S499)=0),"",AO499/S499)</f>
        <v/>
      </c>
      <c r="AR499" s="33" t="str">
        <f aca="false">IF(A499="","",IF(COUNT(AF499:AJ499)=0,"",SUM(AF499:AJ499)))</f>
        <v/>
      </c>
      <c r="AS499" s="34" t="str">
        <f aca="false">IF(OR(AR499="",N(AO499)=0),"",AR499/AO499)</f>
        <v/>
      </c>
      <c r="AT499" s="34" t="str">
        <f aca="false">IF(OR(AR499="",N(AC499)=0),"",AR499/AC499)</f>
        <v/>
      </c>
      <c r="AU499" s="34" t="str">
        <f aca="false">IF(OR(AR499="",N(S499)=0),"",AR499/S499)</f>
        <v/>
      </c>
      <c r="AV499" s="34" t="str">
        <f aca="false">IF(OR(AJ499="",N(AC499)=0),"",AJ499/AC499)</f>
        <v/>
      </c>
      <c r="AW499" s="34" t="str">
        <f aca="false">IF(OR(AH499="",N(AO499)=0),"",AH499/AO499)</f>
        <v/>
      </c>
      <c r="AX499" s="35" t="str">
        <f aca="false">IF(OR(AR499="",N(AO499)=0),"",(N(AF499)*Settings!$B$6+N(AG499)*Settings!$B$7+N(AH499)*Settings!$B$8+N(AI499)*Settings!$B$9+N(AJ499)*Settings!$B$10)/AO499*1000)</f>
        <v/>
      </c>
      <c r="AY499" s="36" t="str">
        <f aca="false">IF(AS499="","",IFERROR(AS499/AVERAGEIFS('Post Tracker'!$AS$5:$AS$1004,'Post Tracker'!$G$5:$G$1004,G499),""))</f>
        <v/>
      </c>
      <c r="AZ499" s="32"/>
      <c r="BA499" s="32"/>
      <c r="BB499" s="32"/>
      <c r="BC499" s="32"/>
      <c r="BD499" s="33" t="str">
        <f aca="false">IF(A499="","",COUNTIFS('Demo Pipeline'!$Q$5:$Q$504,A499))</f>
        <v/>
      </c>
      <c r="BE499" s="33" t="str">
        <f aca="false">IF(A499="","",COUNTIFS('Demo Pipeline'!$Q$5:$Q$504,A499,'Demo Pipeline'!$W$5:$W$504,"Attended"))</f>
        <v/>
      </c>
      <c r="BF499" s="33" t="str">
        <f aca="false">IF(A499="","",COUNTIFS('Demo Pipeline'!$Q$5:$Q$504,A499,'Demo Pipeline'!$X$5:$X$504,"Yes"))</f>
        <v/>
      </c>
      <c r="BG499" s="33" t="str">
        <f aca="false">IF(A499="","",COUNTIFS('Demo Pipeline'!$Q$5:$Q$504,A499,'Demo Pipeline'!$Y$5:$Y$504,"Closed Won"))</f>
        <v/>
      </c>
      <c r="BH499" s="37" t="str">
        <f aca="false">IF(A499="","",SUMIFS('Demo Pipeline'!$Z$5:$Z$504,'Demo Pipeline'!$Q$5:$Q$504,A499))</f>
        <v/>
      </c>
      <c r="BI499" s="34" t="str">
        <f aca="false">IF(OR(AZ499="",N(AJ499)=0),"",AZ499/AJ499)</f>
        <v/>
      </c>
      <c r="BJ499" s="34" t="str">
        <f aca="false">IF(OR(BB499="",N(AZ499)=0),"",BB499/AZ499)</f>
        <v/>
      </c>
      <c r="BK499" s="34" t="str">
        <f aca="false">IF(OR(A499="",N(BB499)=0),"",BD499/BB499)</f>
        <v/>
      </c>
      <c r="BL499" s="34" t="str">
        <f aca="false">IF(OR(A499="",N(AZ499)=0),"",BD499/AZ499)</f>
        <v/>
      </c>
      <c r="BM499" s="37" t="str">
        <f aca="false">IF(OR(N(Q499)=0,N(BD499)=0),"",Q499/BD499)</f>
        <v/>
      </c>
      <c r="BN499" s="29"/>
      <c r="BO499" s="29"/>
      <c r="BP499" s="33" t="str">
        <f aca="false">IF(OR(AR499="",N(AO499)=0),"",AR499)</f>
        <v/>
      </c>
      <c r="BQ499" s="33" t="str">
        <f aca="false">IF(OR(AR499="",N(S499)=0),"",S499)</f>
        <v/>
      </c>
      <c r="BR499" s="38" t="str">
        <f aca="false">IF(AND(ISNUMBER(B499),B499&gt;=Dashboard!$C$4,B499&lt;=Dashboard!$F$4,ISNUMBER(AU499)),AU499+ROW()/10^9,"")</f>
        <v/>
      </c>
      <c r="BS499" s="38" t="str">
        <f aca="false">IF(AND(ISNUMBER(B499),B499&gt;=Dashboard!$C$4,B499&lt;=Dashboard!$F$4,A499&lt;&gt;""),N(BD499)+N(AU499)/100+ROW()/10^9,"")</f>
        <v/>
      </c>
    </row>
    <row r="500" customFormat="false" ht="15" hidden="false" customHeight="false" outlineLevel="0" collapsed="false">
      <c r="A500" s="24" t="str">
        <f aca="false">IF(OR(B500="",G500="",H500=""),"",IFERROR(INDEX(Settings!$E$5:$E$49,MATCH(G500,Settings!$D$5:$D$49,0))&amp;INDEX(Settings!$H$5:$H$47,MATCH(H500,Settings!$G$5:$G$47,0))&amp;"-"&amp;TEXT(B500,"yymmdd")&amp;"-"&amp;IF(C500="","0000",TEXT(C500,"hhmm")),"CHECK LISTS"))</f>
        <v/>
      </c>
      <c r="B500" s="39"/>
      <c r="C500" s="40"/>
      <c r="D500" s="24" t="str">
        <f aca="false">IF(B500="","",TEXT(B500,"ddd"))</f>
        <v/>
      </c>
      <c r="E500" s="27" t="str">
        <f aca="false">IF(B500="","",B500-WEEKDAY(B500,3))</f>
        <v/>
      </c>
      <c r="F500" s="24" t="str">
        <f aca="false">IF(B500="","",TEXT(B500,"yyyy-mm"))</f>
        <v/>
      </c>
      <c r="G500" s="29"/>
      <c r="H500" s="29"/>
      <c r="I500" s="29"/>
      <c r="J500" s="29"/>
      <c r="K500" s="29"/>
      <c r="L500" s="29"/>
      <c r="M500" s="29"/>
      <c r="N500" s="29"/>
      <c r="O500" s="29"/>
      <c r="P500" s="29"/>
      <c r="Q500" s="30"/>
      <c r="R500" s="29"/>
      <c r="S500" s="32"/>
      <c r="T500" s="29"/>
      <c r="U500" s="29"/>
      <c r="V500" s="24" t="str">
        <f aca="false">IF(A500="","",IFERROR(INDEX(Settings!$F$5:$F$49,MATCH(G500,Settings!$D$5:$D$49,0)),""))</f>
        <v/>
      </c>
      <c r="W500" s="24" t="str">
        <f aca="false">IF(A500="","",IF(OR(P500="",P500="Organic"),"social","paid_social"))</f>
        <v/>
      </c>
      <c r="X500" s="24" t="str">
        <f aca="false">IF(A500="","",IF(K500&lt;&gt;"",IFERROR(INDEX('Case Studies'!$C$5:$C$54,MATCH(K500,'Case Studies'!$B$5:$B$54,0))&amp;"","case-study"),IF(J500&lt;&gt;"",IFERROR(INDEX(Settings!$J$5:$J$55,MATCH(J500,Settings!$I$5:$I$55,0)),"general"),"general")))</f>
        <v/>
      </c>
      <c r="Y500" s="24" t="str">
        <f aca="false">IF(A500="","",LOWER(A500))</f>
        <v/>
      </c>
      <c r="Z500" s="24" t="str">
        <f aca="false">IF(A500="","",IF(T500="",Settings!$B$5,T500)&amp;IF(ISNUMBER(FIND("?",IF(T500="",Settings!$B$5,T500))),"&amp;","?")&amp;"utm_source="&amp;V500&amp;"&amp;utm_medium="&amp;W500&amp;"&amp;utm_campaign="&amp;X500&amp;"&amp;utm_content="&amp;Y500)</f>
        <v/>
      </c>
      <c r="AA500" s="29"/>
      <c r="AB500" s="39"/>
      <c r="AC500" s="32"/>
      <c r="AD500" s="32"/>
      <c r="AE500" s="32"/>
      <c r="AF500" s="32"/>
      <c r="AG500" s="32"/>
      <c r="AH500" s="32"/>
      <c r="AI500" s="32"/>
      <c r="AJ500" s="32"/>
      <c r="AK500" s="32"/>
      <c r="AL500" s="32"/>
      <c r="AM500" s="32"/>
      <c r="AN500" s="32"/>
      <c r="AO500" s="33" t="str">
        <f aca="false">IF(A500="","",IF(AD500&lt;&gt;"",AD500,IF(AC500&lt;&gt;"",AC500,"")))</f>
        <v/>
      </c>
      <c r="AP500" s="24" t="str">
        <f aca="false">IF(AO500="","",IF(AD500&lt;&gt;"","Reported reach","Impressions (proxy)"))</f>
        <v/>
      </c>
      <c r="AQ500" s="34" t="str">
        <f aca="false">IF(OR(AO500="",N(S500)=0),"",AO500/S500)</f>
        <v/>
      </c>
      <c r="AR500" s="33" t="str">
        <f aca="false">IF(A500="","",IF(COUNT(AF500:AJ500)=0,"",SUM(AF500:AJ500)))</f>
        <v/>
      </c>
      <c r="AS500" s="34" t="str">
        <f aca="false">IF(OR(AR500="",N(AO500)=0),"",AR500/AO500)</f>
        <v/>
      </c>
      <c r="AT500" s="34" t="str">
        <f aca="false">IF(OR(AR500="",N(AC500)=0),"",AR500/AC500)</f>
        <v/>
      </c>
      <c r="AU500" s="34" t="str">
        <f aca="false">IF(OR(AR500="",N(S500)=0),"",AR500/S500)</f>
        <v/>
      </c>
      <c r="AV500" s="34" t="str">
        <f aca="false">IF(OR(AJ500="",N(AC500)=0),"",AJ500/AC500)</f>
        <v/>
      </c>
      <c r="AW500" s="34" t="str">
        <f aca="false">IF(OR(AH500="",N(AO500)=0),"",AH500/AO500)</f>
        <v/>
      </c>
      <c r="AX500" s="35" t="str">
        <f aca="false">IF(OR(AR500="",N(AO500)=0),"",(N(AF500)*Settings!$B$6+N(AG500)*Settings!$B$7+N(AH500)*Settings!$B$8+N(AI500)*Settings!$B$9+N(AJ500)*Settings!$B$10)/AO500*1000)</f>
        <v/>
      </c>
      <c r="AY500" s="36" t="str">
        <f aca="false">IF(AS500="","",IFERROR(AS500/AVERAGEIFS('Post Tracker'!$AS$5:$AS$1004,'Post Tracker'!$G$5:$G$1004,G500),""))</f>
        <v/>
      </c>
      <c r="AZ500" s="32"/>
      <c r="BA500" s="32"/>
      <c r="BB500" s="32"/>
      <c r="BC500" s="32"/>
      <c r="BD500" s="33" t="str">
        <f aca="false">IF(A500="","",COUNTIFS('Demo Pipeline'!$Q$5:$Q$504,A500))</f>
        <v/>
      </c>
      <c r="BE500" s="33" t="str">
        <f aca="false">IF(A500="","",COUNTIFS('Demo Pipeline'!$Q$5:$Q$504,A500,'Demo Pipeline'!$W$5:$W$504,"Attended"))</f>
        <v/>
      </c>
      <c r="BF500" s="33" t="str">
        <f aca="false">IF(A500="","",COUNTIFS('Demo Pipeline'!$Q$5:$Q$504,A500,'Demo Pipeline'!$X$5:$X$504,"Yes"))</f>
        <v/>
      </c>
      <c r="BG500" s="33" t="str">
        <f aca="false">IF(A500="","",COUNTIFS('Demo Pipeline'!$Q$5:$Q$504,A500,'Demo Pipeline'!$Y$5:$Y$504,"Closed Won"))</f>
        <v/>
      </c>
      <c r="BH500" s="37" t="str">
        <f aca="false">IF(A500="","",SUMIFS('Demo Pipeline'!$Z$5:$Z$504,'Demo Pipeline'!$Q$5:$Q$504,A500))</f>
        <v/>
      </c>
      <c r="BI500" s="34" t="str">
        <f aca="false">IF(OR(AZ500="",N(AJ500)=0),"",AZ500/AJ500)</f>
        <v/>
      </c>
      <c r="BJ500" s="34" t="str">
        <f aca="false">IF(OR(BB500="",N(AZ500)=0),"",BB500/AZ500)</f>
        <v/>
      </c>
      <c r="BK500" s="34" t="str">
        <f aca="false">IF(OR(A500="",N(BB500)=0),"",BD500/BB500)</f>
        <v/>
      </c>
      <c r="BL500" s="34" t="str">
        <f aca="false">IF(OR(A500="",N(AZ500)=0),"",BD500/AZ500)</f>
        <v/>
      </c>
      <c r="BM500" s="37" t="str">
        <f aca="false">IF(OR(N(Q500)=0,N(BD500)=0),"",Q500/BD500)</f>
        <v/>
      </c>
      <c r="BN500" s="29"/>
      <c r="BO500" s="29"/>
      <c r="BP500" s="33" t="str">
        <f aca="false">IF(OR(AR500="",N(AO500)=0),"",AR500)</f>
        <v/>
      </c>
      <c r="BQ500" s="33" t="str">
        <f aca="false">IF(OR(AR500="",N(S500)=0),"",S500)</f>
        <v/>
      </c>
      <c r="BR500" s="38" t="str">
        <f aca="false">IF(AND(ISNUMBER(B500),B500&gt;=Dashboard!$C$4,B500&lt;=Dashboard!$F$4,ISNUMBER(AU500)),AU500+ROW()/10^9,"")</f>
        <v/>
      </c>
      <c r="BS500" s="38" t="str">
        <f aca="false">IF(AND(ISNUMBER(B500),B500&gt;=Dashboard!$C$4,B500&lt;=Dashboard!$F$4,A500&lt;&gt;""),N(BD500)+N(AU500)/100+ROW()/10^9,"")</f>
        <v/>
      </c>
    </row>
    <row r="501" customFormat="false" ht="15" hidden="false" customHeight="false" outlineLevel="0" collapsed="false">
      <c r="A501" s="24" t="str">
        <f aca="false">IF(OR(B501="",G501="",H501=""),"",IFERROR(INDEX(Settings!$E$5:$E$49,MATCH(G501,Settings!$D$5:$D$49,0))&amp;INDEX(Settings!$H$5:$H$47,MATCH(H501,Settings!$G$5:$G$47,0))&amp;"-"&amp;TEXT(B501,"yymmdd")&amp;"-"&amp;IF(C501="","0000",TEXT(C501,"hhmm")),"CHECK LISTS"))</f>
        <v/>
      </c>
      <c r="B501" s="39"/>
      <c r="C501" s="40"/>
      <c r="D501" s="24" t="str">
        <f aca="false">IF(B501="","",TEXT(B501,"ddd"))</f>
        <v/>
      </c>
      <c r="E501" s="27" t="str">
        <f aca="false">IF(B501="","",B501-WEEKDAY(B501,3))</f>
        <v/>
      </c>
      <c r="F501" s="24" t="str">
        <f aca="false">IF(B501="","",TEXT(B501,"yyyy-mm"))</f>
        <v/>
      </c>
      <c r="G501" s="29"/>
      <c r="H501" s="29"/>
      <c r="I501" s="29"/>
      <c r="J501" s="29"/>
      <c r="K501" s="29"/>
      <c r="L501" s="29"/>
      <c r="M501" s="29"/>
      <c r="N501" s="29"/>
      <c r="O501" s="29"/>
      <c r="P501" s="29"/>
      <c r="Q501" s="30"/>
      <c r="R501" s="29"/>
      <c r="S501" s="32"/>
      <c r="T501" s="29"/>
      <c r="U501" s="29"/>
      <c r="V501" s="24" t="str">
        <f aca="false">IF(A501="","",IFERROR(INDEX(Settings!$F$5:$F$49,MATCH(G501,Settings!$D$5:$D$49,0)),""))</f>
        <v/>
      </c>
      <c r="W501" s="24" t="str">
        <f aca="false">IF(A501="","",IF(OR(P501="",P501="Organic"),"social","paid_social"))</f>
        <v/>
      </c>
      <c r="X501" s="24" t="str">
        <f aca="false">IF(A501="","",IF(K501&lt;&gt;"",IFERROR(INDEX('Case Studies'!$C$5:$C$54,MATCH(K501,'Case Studies'!$B$5:$B$54,0))&amp;"","case-study"),IF(J501&lt;&gt;"",IFERROR(INDEX(Settings!$J$5:$J$55,MATCH(J501,Settings!$I$5:$I$55,0)),"general"),"general")))</f>
        <v/>
      </c>
      <c r="Y501" s="24" t="str">
        <f aca="false">IF(A501="","",LOWER(A501))</f>
        <v/>
      </c>
      <c r="Z501" s="24" t="str">
        <f aca="false">IF(A501="","",IF(T501="",Settings!$B$5,T501)&amp;IF(ISNUMBER(FIND("?",IF(T501="",Settings!$B$5,T501))),"&amp;","?")&amp;"utm_source="&amp;V501&amp;"&amp;utm_medium="&amp;W501&amp;"&amp;utm_campaign="&amp;X501&amp;"&amp;utm_content="&amp;Y501)</f>
        <v/>
      </c>
      <c r="AA501" s="29"/>
      <c r="AB501" s="39"/>
      <c r="AC501" s="32"/>
      <c r="AD501" s="32"/>
      <c r="AE501" s="32"/>
      <c r="AF501" s="32"/>
      <c r="AG501" s="32"/>
      <c r="AH501" s="32"/>
      <c r="AI501" s="32"/>
      <c r="AJ501" s="32"/>
      <c r="AK501" s="32"/>
      <c r="AL501" s="32"/>
      <c r="AM501" s="32"/>
      <c r="AN501" s="32"/>
      <c r="AO501" s="33" t="str">
        <f aca="false">IF(A501="","",IF(AD501&lt;&gt;"",AD501,IF(AC501&lt;&gt;"",AC501,"")))</f>
        <v/>
      </c>
      <c r="AP501" s="24" t="str">
        <f aca="false">IF(AO501="","",IF(AD501&lt;&gt;"","Reported reach","Impressions (proxy)"))</f>
        <v/>
      </c>
      <c r="AQ501" s="34" t="str">
        <f aca="false">IF(OR(AO501="",N(S501)=0),"",AO501/S501)</f>
        <v/>
      </c>
      <c r="AR501" s="33" t="str">
        <f aca="false">IF(A501="","",IF(COUNT(AF501:AJ501)=0,"",SUM(AF501:AJ501)))</f>
        <v/>
      </c>
      <c r="AS501" s="34" t="str">
        <f aca="false">IF(OR(AR501="",N(AO501)=0),"",AR501/AO501)</f>
        <v/>
      </c>
      <c r="AT501" s="34" t="str">
        <f aca="false">IF(OR(AR501="",N(AC501)=0),"",AR501/AC501)</f>
        <v/>
      </c>
      <c r="AU501" s="34" t="str">
        <f aca="false">IF(OR(AR501="",N(S501)=0),"",AR501/S501)</f>
        <v/>
      </c>
      <c r="AV501" s="34" t="str">
        <f aca="false">IF(OR(AJ501="",N(AC501)=0),"",AJ501/AC501)</f>
        <v/>
      </c>
      <c r="AW501" s="34" t="str">
        <f aca="false">IF(OR(AH501="",N(AO501)=0),"",AH501/AO501)</f>
        <v/>
      </c>
      <c r="AX501" s="35" t="str">
        <f aca="false">IF(OR(AR501="",N(AO501)=0),"",(N(AF501)*Settings!$B$6+N(AG501)*Settings!$B$7+N(AH501)*Settings!$B$8+N(AI501)*Settings!$B$9+N(AJ501)*Settings!$B$10)/AO501*1000)</f>
        <v/>
      </c>
      <c r="AY501" s="36" t="str">
        <f aca="false">IF(AS501="","",IFERROR(AS501/AVERAGEIFS('Post Tracker'!$AS$5:$AS$1004,'Post Tracker'!$G$5:$G$1004,G501),""))</f>
        <v/>
      </c>
      <c r="AZ501" s="32"/>
      <c r="BA501" s="32"/>
      <c r="BB501" s="32"/>
      <c r="BC501" s="32"/>
      <c r="BD501" s="33" t="str">
        <f aca="false">IF(A501="","",COUNTIFS('Demo Pipeline'!$Q$5:$Q$504,A501))</f>
        <v/>
      </c>
      <c r="BE501" s="33" t="str">
        <f aca="false">IF(A501="","",COUNTIFS('Demo Pipeline'!$Q$5:$Q$504,A501,'Demo Pipeline'!$W$5:$W$504,"Attended"))</f>
        <v/>
      </c>
      <c r="BF501" s="33" t="str">
        <f aca="false">IF(A501="","",COUNTIFS('Demo Pipeline'!$Q$5:$Q$504,A501,'Demo Pipeline'!$X$5:$X$504,"Yes"))</f>
        <v/>
      </c>
      <c r="BG501" s="33" t="str">
        <f aca="false">IF(A501="","",COUNTIFS('Demo Pipeline'!$Q$5:$Q$504,A501,'Demo Pipeline'!$Y$5:$Y$504,"Closed Won"))</f>
        <v/>
      </c>
      <c r="BH501" s="37" t="str">
        <f aca="false">IF(A501="","",SUMIFS('Demo Pipeline'!$Z$5:$Z$504,'Demo Pipeline'!$Q$5:$Q$504,A501))</f>
        <v/>
      </c>
      <c r="BI501" s="34" t="str">
        <f aca="false">IF(OR(AZ501="",N(AJ501)=0),"",AZ501/AJ501)</f>
        <v/>
      </c>
      <c r="BJ501" s="34" t="str">
        <f aca="false">IF(OR(BB501="",N(AZ501)=0),"",BB501/AZ501)</f>
        <v/>
      </c>
      <c r="BK501" s="34" t="str">
        <f aca="false">IF(OR(A501="",N(BB501)=0),"",BD501/BB501)</f>
        <v/>
      </c>
      <c r="BL501" s="34" t="str">
        <f aca="false">IF(OR(A501="",N(AZ501)=0),"",BD501/AZ501)</f>
        <v/>
      </c>
      <c r="BM501" s="37" t="str">
        <f aca="false">IF(OR(N(Q501)=0,N(BD501)=0),"",Q501/BD501)</f>
        <v/>
      </c>
      <c r="BN501" s="29"/>
      <c r="BO501" s="29"/>
      <c r="BP501" s="33" t="str">
        <f aca="false">IF(OR(AR501="",N(AO501)=0),"",AR501)</f>
        <v/>
      </c>
      <c r="BQ501" s="33" t="str">
        <f aca="false">IF(OR(AR501="",N(S501)=0),"",S501)</f>
        <v/>
      </c>
      <c r="BR501" s="38" t="str">
        <f aca="false">IF(AND(ISNUMBER(B501),B501&gt;=Dashboard!$C$4,B501&lt;=Dashboard!$F$4,ISNUMBER(AU501)),AU501+ROW()/10^9,"")</f>
        <v/>
      </c>
      <c r="BS501" s="38" t="str">
        <f aca="false">IF(AND(ISNUMBER(B501),B501&gt;=Dashboard!$C$4,B501&lt;=Dashboard!$F$4,A501&lt;&gt;""),N(BD501)+N(AU501)/100+ROW()/10^9,"")</f>
        <v/>
      </c>
    </row>
    <row r="502" customFormat="false" ht="15" hidden="false" customHeight="false" outlineLevel="0" collapsed="false">
      <c r="A502" s="24" t="str">
        <f aca="false">IF(OR(B502="",G502="",H502=""),"",IFERROR(INDEX(Settings!$E$5:$E$49,MATCH(G502,Settings!$D$5:$D$49,0))&amp;INDEX(Settings!$H$5:$H$47,MATCH(H502,Settings!$G$5:$G$47,0))&amp;"-"&amp;TEXT(B502,"yymmdd")&amp;"-"&amp;IF(C502="","0000",TEXT(C502,"hhmm")),"CHECK LISTS"))</f>
        <v/>
      </c>
      <c r="B502" s="39"/>
      <c r="C502" s="40"/>
      <c r="D502" s="24" t="str">
        <f aca="false">IF(B502="","",TEXT(B502,"ddd"))</f>
        <v/>
      </c>
      <c r="E502" s="27" t="str">
        <f aca="false">IF(B502="","",B502-WEEKDAY(B502,3))</f>
        <v/>
      </c>
      <c r="F502" s="24" t="str">
        <f aca="false">IF(B502="","",TEXT(B502,"yyyy-mm"))</f>
        <v/>
      </c>
      <c r="G502" s="29"/>
      <c r="H502" s="29"/>
      <c r="I502" s="29"/>
      <c r="J502" s="29"/>
      <c r="K502" s="29"/>
      <c r="L502" s="29"/>
      <c r="M502" s="29"/>
      <c r="N502" s="29"/>
      <c r="O502" s="29"/>
      <c r="P502" s="29"/>
      <c r="Q502" s="30"/>
      <c r="R502" s="29"/>
      <c r="S502" s="32"/>
      <c r="T502" s="29"/>
      <c r="U502" s="29"/>
      <c r="V502" s="24" t="str">
        <f aca="false">IF(A502="","",IFERROR(INDEX(Settings!$F$5:$F$49,MATCH(G502,Settings!$D$5:$D$49,0)),""))</f>
        <v/>
      </c>
      <c r="W502" s="24" t="str">
        <f aca="false">IF(A502="","",IF(OR(P502="",P502="Organic"),"social","paid_social"))</f>
        <v/>
      </c>
      <c r="X502" s="24" t="str">
        <f aca="false">IF(A502="","",IF(K502&lt;&gt;"",IFERROR(INDEX('Case Studies'!$C$5:$C$54,MATCH(K502,'Case Studies'!$B$5:$B$54,0))&amp;"","case-study"),IF(J502&lt;&gt;"",IFERROR(INDEX(Settings!$J$5:$J$55,MATCH(J502,Settings!$I$5:$I$55,0)),"general"),"general")))</f>
        <v/>
      </c>
      <c r="Y502" s="24" t="str">
        <f aca="false">IF(A502="","",LOWER(A502))</f>
        <v/>
      </c>
      <c r="Z502" s="24" t="str">
        <f aca="false">IF(A502="","",IF(T502="",Settings!$B$5,T502)&amp;IF(ISNUMBER(FIND("?",IF(T502="",Settings!$B$5,T502))),"&amp;","?")&amp;"utm_source="&amp;V502&amp;"&amp;utm_medium="&amp;W502&amp;"&amp;utm_campaign="&amp;X502&amp;"&amp;utm_content="&amp;Y502)</f>
        <v/>
      </c>
      <c r="AA502" s="29"/>
      <c r="AB502" s="39"/>
      <c r="AC502" s="32"/>
      <c r="AD502" s="32"/>
      <c r="AE502" s="32"/>
      <c r="AF502" s="32"/>
      <c r="AG502" s="32"/>
      <c r="AH502" s="32"/>
      <c r="AI502" s="32"/>
      <c r="AJ502" s="32"/>
      <c r="AK502" s="32"/>
      <c r="AL502" s="32"/>
      <c r="AM502" s="32"/>
      <c r="AN502" s="32"/>
      <c r="AO502" s="33" t="str">
        <f aca="false">IF(A502="","",IF(AD502&lt;&gt;"",AD502,IF(AC502&lt;&gt;"",AC502,"")))</f>
        <v/>
      </c>
      <c r="AP502" s="24" t="str">
        <f aca="false">IF(AO502="","",IF(AD502&lt;&gt;"","Reported reach","Impressions (proxy)"))</f>
        <v/>
      </c>
      <c r="AQ502" s="34" t="str">
        <f aca="false">IF(OR(AO502="",N(S502)=0),"",AO502/S502)</f>
        <v/>
      </c>
      <c r="AR502" s="33" t="str">
        <f aca="false">IF(A502="","",IF(COUNT(AF502:AJ502)=0,"",SUM(AF502:AJ502)))</f>
        <v/>
      </c>
      <c r="AS502" s="34" t="str">
        <f aca="false">IF(OR(AR502="",N(AO502)=0),"",AR502/AO502)</f>
        <v/>
      </c>
      <c r="AT502" s="34" t="str">
        <f aca="false">IF(OR(AR502="",N(AC502)=0),"",AR502/AC502)</f>
        <v/>
      </c>
      <c r="AU502" s="34" t="str">
        <f aca="false">IF(OR(AR502="",N(S502)=0),"",AR502/S502)</f>
        <v/>
      </c>
      <c r="AV502" s="34" t="str">
        <f aca="false">IF(OR(AJ502="",N(AC502)=0),"",AJ502/AC502)</f>
        <v/>
      </c>
      <c r="AW502" s="34" t="str">
        <f aca="false">IF(OR(AH502="",N(AO502)=0),"",AH502/AO502)</f>
        <v/>
      </c>
      <c r="AX502" s="35" t="str">
        <f aca="false">IF(OR(AR502="",N(AO502)=0),"",(N(AF502)*Settings!$B$6+N(AG502)*Settings!$B$7+N(AH502)*Settings!$B$8+N(AI502)*Settings!$B$9+N(AJ502)*Settings!$B$10)/AO502*1000)</f>
        <v/>
      </c>
      <c r="AY502" s="36" t="str">
        <f aca="false">IF(AS502="","",IFERROR(AS502/AVERAGEIFS('Post Tracker'!$AS$5:$AS$1004,'Post Tracker'!$G$5:$G$1004,G502),""))</f>
        <v/>
      </c>
      <c r="AZ502" s="32"/>
      <c r="BA502" s="32"/>
      <c r="BB502" s="32"/>
      <c r="BC502" s="32"/>
      <c r="BD502" s="33" t="str">
        <f aca="false">IF(A502="","",COUNTIFS('Demo Pipeline'!$Q$5:$Q$504,A502))</f>
        <v/>
      </c>
      <c r="BE502" s="33" t="str">
        <f aca="false">IF(A502="","",COUNTIFS('Demo Pipeline'!$Q$5:$Q$504,A502,'Demo Pipeline'!$W$5:$W$504,"Attended"))</f>
        <v/>
      </c>
      <c r="BF502" s="33" t="str">
        <f aca="false">IF(A502="","",COUNTIFS('Demo Pipeline'!$Q$5:$Q$504,A502,'Demo Pipeline'!$X$5:$X$504,"Yes"))</f>
        <v/>
      </c>
      <c r="BG502" s="33" t="str">
        <f aca="false">IF(A502="","",COUNTIFS('Demo Pipeline'!$Q$5:$Q$504,A502,'Demo Pipeline'!$Y$5:$Y$504,"Closed Won"))</f>
        <v/>
      </c>
      <c r="BH502" s="37" t="str">
        <f aca="false">IF(A502="","",SUMIFS('Demo Pipeline'!$Z$5:$Z$504,'Demo Pipeline'!$Q$5:$Q$504,A502))</f>
        <v/>
      </c>
      <c r="BI502" s="34" t="str">
        <f aca="false">IF(OR(AZ502="",N(AJ502)=0),"",AZ502/AJ502)</f>
        <v/>
      </c>
      <c r="BJ502" s="34" t="str">
        <f aca="false">IF(OR(BB502="",N(AZ502)=0),"",BB502/AZ502)</f>
        <v/>
      </c>
      <c r="BK502" s="34" t="str">
        <f aca="false">IF(OR(A502="",N(BB502)=0),"",BD502/BB502)</f>
        <v/>
      </c>
      <c r="BL502" s="34" t="str">
        <f aca="false">IF(OR(A502="",N(AZ502)=0),"",BD502/AZ502)</f>
        <v/>
      </c>
      <c r="BM502" s="37" t="str">
        <f aca="false">IF(OR(N(Q502)=0,N(BD502)=0),"",Q502/BD502)</f>
        <v/>
      </c>
      <c r="BN502" s="29"/>
      <c r="BO502" s="29"/>
      <c r="BP502" s="33" t="str">
        <f aca="false">IF(OR(AR502="",N(AO502)=0),"",AR502)</f>
        <v/>
      </c>
      <c r="BQ502" s="33" t="str">
        <f aca="false">IF(OR(AR502="",N(S502)=0),"",S502)</f>
        <v/>
      </c>
      <c r="BR502" s="38" t="str">
        <f aca="false">IF(AND(ISNUMBER(B502),B502&gt;=Dashboard!$C$4,B502&lt;=Dashboard!$F$4,ISNUMBER(AU502)),AU502+ROW()/10^9,"")</f>
        <v/>
      </c>
      <c r="BS502" s="38" t="str">
        <f aca="false">IF(AND(ISNUMBER(B502),B502&gt;=Dashboard!$C$4,B502&lt;=Dashboard!$F$4,A502&lt;&gt;""),N(BD502)+N(AU502)/100+ROW()/10^9,"")</f>
        <v/>
      </c>
    </row>
    <row r="503" customFormat="false" ht="15" hidden="false" customHeight="false" outlineLevel="0" collapsed="false">
      <c r="A503" s="24" t="str">
        <f aca="false">IF(OR(B503="",G503="",H503=""),"",IFERROR(INDEX(Settings!$E$5:$E$49,MATCH(G503,Settings!$D$5:$D$49,0))&amp;INDEX(Settings!$H$5:$H$47,MATCH(H503,Settings!$G$5:$G$47,0))&amp;"-"&amp;TEXT(B503,"yymmdd")&amp;"-"&amp;IF(C503="","0000",TEXT(C503,"hhmm")),"CHECK LISTS"))</f>
        <v/>
      </c>
      <c r="B503" s="39"/>
      <c r="C503" s="40"/>
      <c r="D503" s="24" t="str">
        <f aca="false">IF(B503="","",TEXT(B503,"ddd"))</f>
        <v/>
      </c>
      <c r="E503" s="27" t="str">
        <f aca="false">IF(B503="","",B503-WEEKDAY(B503,3))</f>
        <v/>
      </c>
      <c r="F503" s="24" t="str">
        <f aca="false">IF(B503="","",TEXT(B503,"yyyy-mm"))</f>
        <v/>
      </c>
      <c r="G503" s="29"/>
      <c r="H503" s="29"/>
      <c r="I503" s="29"/>
      <c r="J503" s="29"/>
      <c r="K503" s="29"/>
      <c r="L503" s="29"/>
      <c r="M503" s="29"/>
      <c r="N503" s="29"/>
      <c r="O503" s="29"/>
      <c r="P503" s="29"/>
      <c r="Q503" s="30"/>
      <c r="R503" s="29"/>
      <c r="S503" s="32"/>
      <c r="T503" s="29"/>
      <c r="U503" s="29"/>
      <c r="V503" s="24" t="str">
        <f aca="false">IF(A503="","",IFERROR(INDEX(Settings!$F$5:$F$49,MATCH(G503,Settings!$D$5:$D$49,0)),""))</f>
        <v/>
      </c>
      <c r="W503" s="24" t="str">
        <f aca="false">IF(A503="","",IF(OR(P503="",P503="Organic"),"social","paid_social"))</f>
        <v/>
      </c>
      <c r="X503" s="24" t="str">
        <f aca="false">IF(A503="","",IF(K503&lt;&gt;"",IFERROR(INDEX('Case Studies'!$C$5:$C$54,MATCH(K503,'Case Studies'!$B$5:$B$54,0))&amp;"","case-study"),IF(J503&lt;&gt;"",IFERROR(INDEX(Settings!$J$5:$J$55,MATCH(J503,Settings!$I$5:$I$55,0)),"general"),"general")))</f>
        <v/>
      </c>
      <c r="Y503" s="24" t="str">
        <f aca="false">IF(A503="","",LOWER(A503))</f>
        <v/>
      </c>
      <c r="Z503" s="24" t="str">
        <f aca="false">IF(A503="","",IF(T503="",Settings!$B$5,T503)&amp;IF(ISNUMBER(FIND("?",IF(T503="",Settings!$B$5,T503))),"&amp;","?")&amp;"utm_source="&amp;V503&amp;"&amp;utm_medium="&amp;W503&amp;"&amp;utm_campaign="&amp;X503&amp;"&amp;utm_content="&amp;Y503)</f>
        <v/>
      </c>
      <c r="AA503" s="29"/>
      <c r="AB503" s="39"/>
      <c r="AC503" s="32"/>
      <c r="AD503" s="32"/>
      <c r="AE503" s="32"/>
      <c r="AF503" s="32"/>
      <c r="AG503" s="32"/>
      <c r="AH503" s="32"/>
      <c r="AI503" s="32"/>
      <c r="AJ503" s="32"/>
      <c r="AK503" s="32"/>
      <c r="AL503" s="32"/>
      <c r="AM503" s="32"/>
      <c r="AN503" s="32"/>
      <c r="AO503" s="33" t="str">
        <f aca="false">IF(A503="","",IF(AD503&lt;&gt;"",AD503,IF(AC503&lt;&gt;"",AC503,"")))</f>
        <v/>
      </c>
      <c r="AP503" s="24" t="str">
        <f aca="false">IF(AO503="","",IF(AD503&lt;&gt;"","Reported reach","Impressions (proxy)"))</f>
        <v/>
      </c>
      <c r="AQ503" s="34" t="str">
        <f aca="false">IF(OR(AO503="",N(S503)=0),"",AO503/S503)</f>
        <v/>
      </c>
      <c r="AR503" s="33" t="str">
        <f aca="false">IF(A503="","",IF(COUNT(AF503:AJ503)=0,"",SUM(AF503:AJ503)))</f>
        <v/>
      </c>
      <c r="AS503" s="34" t="str">
        <f aca="false">IF(OR(AR503="",N(AO503)=0),"",AR503/AO503)</f>
        <v/>
      </c>
      <c r="AT503" s="34" t="str">
        <f aca="false">IF(OR(AR503="",N(AC503)=0),"",AR503/AC503)</f>
        <v/>
      </c>
      <c r="AU503" s="34" t="str">
        <f aca="false">IF(OR(AR503="",N(S503)=0),"",AR503/S503)</f>
        <v/>
      </c>
      <c r="AV503" s="34" t="str">
        <f aca="false">IF(OR(AJ503="",N(AC503)=0),"",AJ503/AC503)</f>
        <v/>
      </c>
      <c r="AW503" s="34" t="str">
        <f aca="false">IF(OR(AH503="",N(AO503)=0),"",AH503/AO503)</f>
        <v/>
      </c>
      <c r="AX503" s="35" t="str">
        <f aca="false">IF(OR(AR503="",N(AO503)=0),"",(N(AF503)*Settings!$B$6+N(AG503)*Settings!$B$7+N(AH503)*Settings!$B$8+N(AI503)*Settings!$B$9+N(AJ503)*Settings!$B$10)/AO503*1000)</f>
        <v/>
      </c>
      <c r="AY503" s="36" t="str">
        <f aca="false">IF(AS503="","",IFERROR(AS503/AVERAGEIFS('Post Tracker'!$AS$5:$AS$1004,'Post Tracker'!$G$5:$G$1004,G503),""))</f>
        <v/>
      </c>
      <c r="AZ503" s="32"/>
      <c r="BA503" s="32"/>
      <c r="BB503" s="32"/>
      <c r="BC503" s="32"/>
      <c r="BD503" s="33" t="str">
        <f aca="false">IF(A503="","",COUNTIFS('Demo Pipeline'!$Q$5:$Q$504,A503))</f>
        <v/>
      </c>
      <c r="BE503" s="33" t="str">
        <f aca="false">IF(A503="","",COUNTIFS('Demo Pipeline'!$Q$5:$Q$504,A503,'Demo Pipeline'!$W$5:$W$504,"Attended"))</f>
        <v/>
      </c>
      <c r="BF503" s="33" t="str">
        <f aca="false">IF(A503="","",COUNTIFS('Demo Pipeline'!$Q$5:$Q$504,A503,'Demo Pipeline'!$X$5:$X$504,"Yes"))</f>
        <v/>
      </c>
      <c r="BG503" s="33" t="str">
        <f aca="false">IF(A503="","",COUNTIFS('Demo Pipeline'!$Q$5:$Q$504,A503,'Demo Pipeline'!$Y$5:$Y$504,"Closed Won"))</f>
        <v/>
      </c>
      <c r="BH503" s="37" t="str">
        <f aca="false">IF(A503="","",SUMIFS('Demo Pipeline'!$Z$5:$Z$504,'Demo Pipeline'!$Q$5:$Q$504,A503))</f>
        <v/>
      </c>
      <c r="BI503" s="34" t="str">
        <f aca="false">IF(OR(AZ503="",N(AJ503)=0),"",AZ503/AJ503)</f>
        <v/>
      </c>
      <c r="BJ503" s="34" t="str">
        <f aca="false">IF(OR(BB503="",N(AZ503)=0),"",BB503/AZ503)</f>
        <v/>
      </c>
      <c r="BK503" s="34" t="str">
        <f aca="false">IF(OR(A503="",N(BB503)=0),"",BD503/BB503)</f>
        <v/>
      </c>
      <c r="BL503" s="34" t="str">
        <f aca="false">IF(OR(A503="",N(AZ503)=0),"",BD503/AZ503)</f>
        <v/>
      </c>
      <c r="BM503" s="37" t="str">
        <f aca="false">IF(OR(N(Q503)=0,N(BD503)=0),"",Q503/BD503)</f>
        <v/>
      </c>
      <c r="BN503" s="29"/>
      <c r="BO503" s="29"/>
      <c r="BP503" s="33" t="str">
        <f aca="false">IF(OR(AR503="",N(AO503)=0),"",AR503)</f>
        <v/>
      </c>
      <c r="BQ503" s="33" t="str">
        <f aca="false">IF(OR(AR503="",N(S503)=0),"",S503)</f>
        <v/>
      </c>
      <c r="BR503" s="38" t="str">
        <f aca="false">IF(AND(ISNUMBER(B503),B503&gt;=Dashboard!$C$4,B503&lt;=Dashboard!$F$4,ISNUMBER(AU503)),AU503+ROW()/10^9,"")</f>
        <v/>
      </c>
      <c r="BS503" s="38" t="str">
        <f aca="false">IF(AND(ISNUMBER(B503),B503&gt;=Dashboard!$C$4,B503&lt;=Dashboard!$F$4,A503&lt;&gt;""),N(BD503)+N(AU503)/100+ROW()/10^9,"")</f>
        <v/>
      </c>
    </row>
    <row r="504" customFormat="false" ht="15" hidden="false" customHeight="false" outlineLevel="0" collapsed="false">
      <c r="A504" s="24" t="str">
        <f aca="false">IF(OR(B504="",G504="",H504=""),"",IFERROR(INDEX(Settings!$E$5:$E$49,MATCH(G504,Settings!$D$5:$D$49,0))&amp;INDEX(Settings!$H$5:$H$47,MATCH(H504,Settings!$G$5:$G$47,0))&amp;"-"&amp;TEXT(B504,"yymmdd")&amp;"-"&amp;IF(C504="","0000",TEXT(C504,"hhmm")),"CHECK LISTS"))</f>
        <v/>
      </c>
      <c r="B504" s="39"/>
      <c r="C504" s="40"/>
      <c r="D504" s="24" t="str">
        <f aca="false">IF(B504="","",TEXT(B504,"ddd"))</f>
        <v/>
      </c>
      <c r="E504" s="27" t="str">
        <f aca="false">IF(B504="","",B504-WEEKDAY(B504,3))</f>
        <v/>
      </c>
      <c r="F504" s="24" t="str">
        <f aca="false">IF(B504="","",TEXT(B504,"yyyy-mm"))</f>
        <v/>
      </c>
      <c r="G504" s="29"/>
      <c r="H504" s="29"/>
      <c r="I504" s="29"/>
      <c r="J504" s="29"/>
      <c r="K504" s="29"/>
      <c r="L504" s="29"/>
      <c r="M504" s="29"/>
      <c r="N504" s="29"/>
      <c r="O504" s="29"/>
      <c r="P504" s="29"/>
      <c r="Q504" s="30"/>
      <c r="R504" s="29"/>
      <c r="S504" s="32"/>
      <c r="T504" s="29"/>
      <c r="U504" s="29"/>
      <c r="V504" s="24" t="str">
        <f aca="false">IF(A504="","",IFERROR(INDEX(Settings!$F$5:$F$49,MATCH(G504,Settings!$D$5:$D$49,0)),""))</f>
        <v/>
      </c>
      <c r="W504" s="24" t="str">
        <f aca="false">IF(A504="","",IF(OR(P504="",P504="Organic"),"social","paid_social"))</f>
        <v/>
      </c>
      <c r="X504" s="24" t="str">
        <f aca="false">IF(A504="","",IF(K504&lt;&gt;"",IFERROR(INDEX('Case Studies'!$C$5:$C$54,MATCH(K504,'Case Studies'!$B$5:$B$54,0))&amp;"","case-study"),IF(J504&lt;&gt;"",IFERROR(INDEX(Settings!$J$5:$J$55,MATCH(J504,Settings!$I$5:$I$55,0)),"general"),"general")))</f>
        <v/>
      </c>
      <c r="Y504" s="24" t="str">
        <f aca="false">IF(A504="","",LOWER(A504))</f>
        <v/>
      </c>
      <c r="Z504" s="24" t="str">
        <f aca="false">IF(A504="","",IF(T504="",Settings!$B$5,T504)&amp;IF(ISNUMBER(FIND("?",IF(T504="",Settings!$B$5,T504))),"&amp;","?")&amp;"utm_source="&amp;V504&amp;"&amp;utm_medium="&amp;W504&amp;"&amp;utm_campaign="&amp;X504&amp;"&amp;utm_content="&amp;Y504)</f>
        <v/>
      </c>
      <c r="AA504" s="29"/>
      <c r="AB504" s="39"/>
      <c r="AC504" s="32"/>
      <c r="AD504" s="32"/>
      <c r="AE504" s="32"/>
      <c r="AF504" s="32"/>
      <c r="AG504" s="32"/>
      <c r="AH504" s="32"/>
      <c r="AI504" s="32"/>
      <c r="AJ504" s="32"/>
      <c r="AK504" s="32"/>
      <c r="AL504" s="32"/>
      <c r="AM504" s="32"/>
      <c r="AN504" s="32"/>
      <c r="AO504" s="33" t="str">
        <f aca="false">IF(A504="","",IF(AD504&lt;&gt;"",AD504,IF(AC504&lt;&gt;"",AC504,"")))</f>
        <v/>
      </c>
      <c r="AP504" s="24" t="str">
        <f aca="false">IF(AO504="","",IF(AD504&lt;&gt;"","Reported reach","Impressions (proxy)"))</f>
        <v/>
      </c>
      <c r="AQ504" s="34" t="str">
        <f aca="false">IF(OR(AO504="",N(S504)=0),"",AO504/S504)</f>
        <v/>
      </c>
      <c r="AR504" s="33" t="str">
        <f aca="false">IF(A504="","",IF(COUNT(AF504:AJ504)=0,"",SUM(AF504:AJ504)))</f>
        <v/>
      </c>
      <c r="AS504" s="34" t="str">
        <f aca="false">IF(OR(AR504="",N(AO504)=0),"",AR504/AO504)</f>
        <v/>
      </c>
      <c r="AT504" s="34" t="str">
        <f aca="false">IF(OR(AR504="",N(AC504)=0),"",AR504/AC504)</f>
        <v/>
      </c>
      <c r="AU504" s="34" t="str">
        <f aca="false">IF(OR(AR504="",N(S504)=0),"",AR504/S504)</f>
        <v/>
      </c>
      <c r="AV504" s="34" t="str">
        <f aca="false">IF(OR(AJ504="",N(AC504)=0),"",AJ504/AC504)</f>
        <v/>
      </c>
      <c r="AW504" s="34" t="str">
        <f aca="false">IF(OR(AH504="",N(AO504)=0),"",AH504/AO504)</f>
        <v/>
      </c>
      <c r="AX504" s="35" t="str">
        <f aca="false">IF(OR(AR504="",N(AO504)=0),"",(N(AF504)*Settings!$B$6+N(AG504)*Settings!$B$7+N(AH504)*Settings!$B$8+N(AI504)*Settings!$B$9+N(AJ504)*Settings!$B$10)/AO504*1000)</f>
        <v/>
      </c>
      <c r="AY504" s="36" t="str">
        <f aca="false">IF(AS504="","",IFERROR(AS504/AVERAGEIFS('Post Tracker'!$AS$5:$AS$1004,'Post Tracker'!$G$5:$G$1004,G504),""))</f>
        <v/>
      </c>
      <c r="AZ504" s="32"/>
      <c r="BA504" s="32"/>
      <c r="BB504" s="32"/>
      <c r="BC504" s="32"/>
      <c r="BD504" s="33" t="str">
        <f aca="false">IF(A504="","",COUNTIFS('Demo Pipeline'!$Q$5:$Q$504,A504))</f>
        <v/>
      </c>
      <c r="BE504" s="33" t="str">
        <f aca="false">IF(A504="","",COUNTIFS('Demo Pipeline'!$Q$5:$Q$504,A504,'Demo Pipeline'!$W$5:$W$504,"Attended"))</f>
        <v/>
      </c>
      <c r="BF504" s="33" t="str">
        <f aca="false">IF(A504="","",COUNTIFS('Demo Pipeline'!$Q$5:$Q$504,A504,'Demo Pipeline'!$X$5:$X$504,"Yes"))</f>
        <v/>
      </c>
      <c r="BG504" s="33" t="str">
        <f aca="false">IF(A504="","",COUNTIFS('Demo Pipeline'!$Q$5:$Q$504,A504,'Demo Pipeline'!$Y$5:$Y$504,"Closed Won"))</f>
        <v/>
      </c>
      <c r="BH504" s="37" t="str">
        <f aca="false">IF(A504="","",SUMIFS('Demo Pipeline'!$Z$5:$Z$504,'Demo Pipeline'!$Q$5:$Q$504,A504))</f>
        <v/>
      </c>
      <c r="BI504" s="34" t="str">
        <f aca="false">IF(OR(AZ504="",N(AJ504)=0),"",AZ504/AJ504)</f>
        <v/>
      </c>
      <c r="BJ504" s="34" t="str">
        <f aca="false">IF(OR(BB504="",N(AZ504)=0),"",BB504/AZ504)</f>
        <v/>
      </c>
      <c r="BK504" s="34" t="str">
        <f aca="false">IF(OR(A504="",N(BB504)=0),"",BD504/BB504)</f>
        <v/>
      </c>
      <c r="BL504" s="34" t="str">
        <f aca="false">IF(OR(A504="",N(AZ504)=0),"",BD504/AZ504)</f>
        <v/>
      </c>
      <c r="BM504" s="37" t="str">
        <f aca="false">IF(OR(N(Q504)=0,N(BD504)=0),"",Q504/BD504)</f>
        <v/>
      </c>
      <c r="BN504" s="29"/>
      <c r="BO504" s="29"/>
      <c r="BP504" s="33" t="str">
        <f aca="false">IF(OR(AR504="",N(AO504)=0),"",AR504)</f>
        <v/>
      </c>
      <c r="BQ504" s="33" t="str">
        <f aca="false">IF(OR(AR504="",N(S504)=0),"",S504)</f>
        <v/>
      </c>
      <c r="BR504" s="38" t="str">
        <f aca="false">IF(AND(ISNUMBER(B504),B504&gt;=Dashboard!$C$4,B504&lt;=Dashboard!$F$4,ISNUMBER(AU504)),AU504+ROW()/10^9,"")</f>
        <v/>
      </c>
      <c r="BS504" s="38" t="str">
        <f aca="false">IF(AND(ISNUMBER(B504),B504&gt;=Dashboard!$C$4,B504&lt;=Dashboard!$F$4,A504&lt;&gt;""),N(BD504)+N(AU504)/100+ROW()/10^9,"")</f>
        <v/>
      </c>
    </row>
    <row r="505" customFormat="false" ht="15" hidden="false" customHeight="false" outlineLevel="0" collapsed="false">
      <c r="A505" s="24" t="str">
        <f aca="false">IF(OR(B505="",G505="",H505=""),"",IFERROR(INDEX(Settings!$E$5:$E$49,MATCH(G505,Settings!$D$5:$D$49,0))&amp;INDEX(Settings!$H$5:$H$47,MATCH(H505,Settings!$G$5:$G$47,0))&amp;"-"&amp;TEXT(B505,"yymmdd")&amp;"-"&amp;IF(C505="","0000",TEXT(C505,"hhmm")),"CHECK LISTS"))</f>
        <v/>
      </c>
      <c r="B505" s="39"/>
      <c r="C505" s="40"/>
      <c r="D505" s="24" t="str">
        <f aca="false">IF(B505="","",TEXT(B505,"ddd"))</f>
        <v/>
      </c>
      <c r="E505" s="27" t="str">
        <f aca="false">IF(B505="","",B505-WEEKDAY(B505,3))</f>
        <v/>
      </c>
      <c r="F505" s="24" t="str">
        <f aca="false">IF(B505="","",TEXT(B505,"yyyy-mm"))</f>
        <v/>
      </c>
      <c r="G505" s="29"/>
      <c r="H505" s="29"/>
      <c r="I505" s="29"/>
      <c r="J505" s="29"/>
      <c r="K505" s="29"/>
      <c r="L505" s="29"/>
      <c r="M505" s="29"/>
      <c r="N505" s="29"/>
      <c r="O505" s="29"/>
      <c r="P505" s="29"/>
      <c r="Q505" s="30"/>
      <c r="R505" s="29"/>
      <c r="S505" s="32"/>
      <c r="T505" s="29"/>
      <c r="U505" s="29"/>
      <c r="V505" s="24" t="str">
        <f aca="false">IF(A505="","",IFERROR(INDEX(Settings!$F$5:$F$49,MATCH(G505,Settings!$D$5:$D$49,0)),""))</f>
        <v/>
      </c>
      <c r="W505" s="24" t="str">
        <f aca="false">IF(A505="","",IF(OR(P505="",P505="Organic"),"social","paid_social"))</f>
        <v/>
      </c>
      <c r="X505" s="24" t="str">
        <f aca="false">IF(A505="","",IF(K505&lt;&gt;"",IFERROR(INDEX('Case Studies'!$C$5:$C$54,MATCH(K505,'Case Studies'!$B$5:$B$54,0))&amp;"","case-study"),IF(J505&lt;&gt;"",IFERROR(INDEX(Settings!$J$5:$J$55,MATCH(J505,Settings!$I$5:$I$55,0)),"general"),"general")))</f>
        <v/>
      </c>
      <c r="Y505" s="24" t="str">
        <f aca="false">IF(A505="","",LOWER(A505))</f>
        <v/>
      </c>
      <c r="Z505" s="24" t="str">
        <f aca="false">IF(A505="","",IF(T505="",Settings!$B$5,T505)&amp;IF(ISNUMBER(FIND("?",IF(T505="",Settings!$B$5,T505))),"&amp;","?")&amp;"utm_source="&amp;V505&amp;"&amp;utm_medium="&amp;W505&amp;"&amp;utm_campaign="&amp;X505&amp;"&amp;utm_content="&amp;Y505)</f>
        <v/>
      </c>
      <c r="AA505" s="29"/>
      <c r="AB505" s="39"/>
      <c r="AC505" s="32"/>
      <c r="AD505" s="32"/>
      <c r="AE505" s="32"/>
      <c r="AF505" s="32"/>
      <c r="AG505" s="32"/>
      <c r="AH505" s="32"/>
      <c r="AI505" s="32"/>
      <c r="AJ505" s="32"/>
      <c r="AK505" s="32"/>
      <c r="AL505" s="32"/>
      <c r="AM505" s="32"/>
      <c r="AN505" s="32"/>
      <c r="AO505" s="33" t="str">
        <f aca="false">IF(A505="","",IF(AD505&lt;&gt;"",AD505,IF(AC505&lt;&gt;"",AC505,"")))</f>
        <v/>
      </c>
      <c r="AP505" s="24" t="str">
        <f aca="false">IF(AO505="","",IF(AD505&lt;&gt;"","Reported reach","Impressions (proxy)"))</f>
        <v/>
      </c>
      <c r="AQ505" s="34" t="str">
        <f aca="false">IF(OR(AO505="",N(S505)=0),"",AO505/S505)</f>
        <v/>
      </c>
      <c r="AR505" s="33" t="str">
        <f aca="false">IF(A505="","",IF(COUNT(AF505:AJ505)=0,"",SUM(AF505:AJ505)))</f>
        <v/>
      </c>
      <c r="AS505" s="34" t="str">
        <f aca="false">IF(OR(AR505="",N(AO505)=0),"",AR505/AO505)</f>
        <v/>
      </c>
      <c r="AT505" s="34" t="str">
        <f aca="false">IF(OR(AR505="",N(AC505)=0),"",AR505/AC505)</f>
        <v/>
      </c>
      <c r="AU505" s="34" t="str">
        <f aca="false">IF(OR(AR505="",N(S505)=0),"",AR505/S505)</f>
        <v/>
      </c>
      <c r="AV505" s="34" t="str">
        <f aca="false">IF(OR(AJ505="",N(AC505)=0),"",AJ505/AC505)</f>
        <v/>
      </c>
      <c r="AW505" s="34" t="str">
        <f aca="false">IF(OR(AH505="",N(AO505)=0),"",AH505/AO505)</f>
        <v/>
      </c>
      <c r="AX505" s="35" t="str">
        <f aca="false">IF(OR(AR505="",N(AO505)=0),"",(N(AF505)*Settings!$B$6+N(AG505)*Settings!$B$7+N(AH505)*Settings!$B$8+N(AI505)*Settings!$B$9+N(AJ505)*Settings!$B$10)/AO505*1000)</f>
        <v/>
      </c>
      <c r="AY505" s="36" t="str">
        <f aca="false">IF(AS505="","",IFERROR(AS505/AVERAGEIFS('Post Tracker'!$AS$5:$AS$1004,'Post Tracker'!$G$5:$G$1004,G505),""))</f>
        <v/>
      </c>
      <c r="AZ505" s="32"/>
      <c r="BA505" s="32"/>
      <c r="BB505" s="32"/>
      <c r="BC505" s="32"/>
      <c r="BD505" s="33" t="str">
        <f aca="false">IF(A505="","",COUNTIFS('Demo Pipeline'!$Q$5:$Q$504,A505))</f>
        <v/>
      </c>
      <c r="BE505" s="33" t="str">
        <f aca="false">IF(A505="","",COUNTIFS('Demo Pipeline'!$Q$5:$Q$504,A505,'Demo Pipeline'!$W$5:$W$504,"Attended"))</f>
        <v/>
      </c>
      <c r="BF505" s="33" t="str">
        <f aca="false">IF(A505="","",COUNTIFS('Demo Pipeline'!$Q$5:$Q$504,A505,'Demo Pipeline'!$X$5:$X$504,"Yes"))</f>
        <v/>
      </c>
      <c r="BG505" s="33" t="str">
        <f aca="false">IF(A505="","",COUNTIFS('Demo Pipeline'!$Q$5:$Q$504,A505,'Demo Pipeline'!$Y$5:$Y$504,"Closed Won"))</f>
        <v/>
      </c>
      <c r="BH505" s="37" t="str">
        <f aca="false">IF(A505="","",SUMIFS('Demo Pipeline'!$Z$5:$Z$504,'Demo Pipeline'!$Q$5:$Q$504,A505))</f>
        <v/>
      </c>
      <c r="BI505" s="34" t="str">
        <f aca="false">IF(OR(AZ505="",N(AJ505)=0),"",AZ505/AJ505)</f>
        <v/>
      </c>
      <c r="BJ505" s="34" t="str">
        <f aca="false">IF(OR(BB505="",N(AZ505)=0),"",BB505/AZ505)</f>
        <v/>
      </c>
      <c r="BK505" s="34" t="str">
        <f aca="false">IF(OR(A505="",N(BB505)=0),"",BD505/BB505)</f>
        <v/>
      </c>
      <c r="BL505" s="34" t="str">
        <f aca="false">IF(OR(A505="",N(AZ505)=0),"",BD505/AZ505)</f>
        <v/>
      </c>
      <c r="BM505" s="37" t="str">
        <f aca="false">IF(OR(N(Q505)=0,N(BD505)=0),"",Q505/BD505)</f>
        <v/>
      </c>
      <c r="BN505" s="29"/>
      <c r="BO505" s="29"/>
      <c r="BP505" s="33" t="str">
        <f aca="false">IF(OR(AR505="",N(AO505)=0),"",AR505)</f>
        <v/>
      </c>
      <c r="BQ505" s="33" t="str">
        <f aca="false">IF(OR(AR505="",N(S505)=0),"",S505)</f>
        <v/>
      </c>
      <c r="BR505" s="38" t="str">
        <f aca="false">IF(AND(ISNUMBER(B505),B505&gt;=Dashboard!$C$4,B505&lt;=Dashboard!$F$4,ISNUMBER(AU505)),AU505+ROW()/10^9,"")</f>
        <v/>
      </c>
      <c r="BS505" s="38" t="str">
        <f aca="false">IF(AND(ISNUMBER(B505),B505&gt;=Dashboard!$C$4,B505&lt;=Dashboard!$F$4,A505&lt;&gt;""),N(BD505)+N(AU505)/100+ROW()/10^9,"")</f>
        <v/>
      </c>
    </row>
    <row r="506" customFormat="false" ht="15" hidden="false" customHeight="false" outlineLevel="0" collapsed="false">
      <c r="A506" s="24" t="str">
        <f aca="false">IF(OR(B506="",G506="",H506=""),"",IFERROR(INDEX(Settings!$E$5:$E$49,MATCH(G506,Settings!$D$5:$D$49,0))&amp;INDEX(Settings!$H$5:$H$47,MATCH(H506,Settings!$G$5:$G$47,0))&amp;"-"&amp;TEXT(B506,"yymmdd")&amp;"-"&amp;IF(C506="","0000",TEXT(C506,"hhmm")),"CHECK LISTS"))</f>
        <v/>
      </c>
      <c r="B506" s="39"/>
      <c r="C506" s="40"/>
      <c r="D506" s="24" t="str">
        <f aca="false">IF(B506="","",TEXT(B506,"ddd"))</f>
        <v/>
      </c>
      <c r="E506" s="27" t="str">
        <f aca="false">IF(B506="","",B506-WEEKDAY(B506,3))</f>
        <v/>
      </c>
      <c r="F506" s="24" t="str">
        <f aca="false">IF(B506="","",TEXT(B506,"yyyy-mm"))</f>
        <v/>
      </c>
      <c r="G506" s="29"/>
      <c r="H506" s="29"/>
      <c r="I506" s="29"/>
      <c r="J506" s="29"/>
      <c r="K506" s="29"/>
      <c r="L506" s="29"/>
      <c r="M506" s="29"/>
      <c r="N506" s="29"/>
      <c r="O506" s="29"/>
      <c r="P506" s="29"/>
      <c r="Q506" s="30"/>
      <c r="R506" s="29"/>
      <c r="S506" s="32"/>
      <c r="T506" s="29"/>
      <c r="U506" s="29"/>
      <c r="V506" s="24" t="str">
        <f aca="false">IF(A506="","",IFERROR(INDEX(Settings!$F$5:$F$49,MATCH(G506,Settings!$D$5:$D$49,0)),""))</f>
        <v/>
      </c>
      <c r="W506" s="24" t="str">
        <f aca="false">IF(A506="","",IF(OR(P506="",P506="Organic"),"social","paid_social"))</f>
        <v/>
      </c>
      <c r="X506" s="24" t="str">
        <f aca="false">IF(A506="","",IF(K506&lt;&gt;"",IFERROR(INDEX('Case Studies'!$C$5:$C$54,MATCH(K506,'Case Studies'!$B$5:$B$54,0))&amp;"","case-study"),IF(J506&lt;&gt;"",IFERROR(INDEX(Settings!$J$5:$J$55,MATCH(J506,Settings!$I$5:$I$55,0)),"general"),"general")))</f>
        <v/>
      </c>
      <c r="Y506" s="24" t="str">
        <f aca="false">IF(A506="","",LOWER(A506))</f>
        <v/>
      </c>
      <c r="Z506" s="24" t="str">
        <f aca="false">IF(A506="","",IF(T506="",Settings!$B$5,T506)&amp;IF(ISNUMBER(FIND("?",IF(T506="",Settings!$B$5,T506))),"&amp;","?")&amp;"utm_source="&amp;V506&amp;"&amp;utm_medium="&amp;W506&amp;"&amp;utm_campaign="&amp;X506&amp;"&amp;utm_content="&amp;Y506)</f>
        <v/>
      </c>
      <c r="AA506" s="29"/>
      <c r="AB506" s="39"/>
      <c r="AC506" s="32"/>
      <c r="AD506" s="32"/>
      <c r="AE506" s="32"/>
      <c r="AF506" s="32"/>
      <c r="AG506" s="32"/>
      <c r="AH506" s="32"/>
      <c r="AI506" s="32"/>
      <c r="AJ506" s="32"/>
      <c r="AK506" s="32"/>
      <c r="AL506" s="32"/>
      <c r="AM506" s="32"/>
      <c r="AN506" s="32"/>
      <c r="AO506" s="33" t="str">
        <f aca="false">IF(A506="","",IF(AD506&lt;&gt;"",AD506,IF(AC506&lt;&gt;"",AC506,"")))</f>
        <v/>
      </c>
      <c r="AP506" s="24" t="str">
        <f aca="false">IF(AO506="","",IF(AD506&lt;&gt;"","Reported reach","Impressions (proxy)"))</f>
        <v/>
      </c>
      <c r="AQ506" s="34" t="str">
        <f aca="false">IF(OR(AO506="",N(S506)=0),"",AO506/S506)</f>
        <v/>
      </c>
      <c r="AR506" s="33" t="str">
        <f aca="false">IF(A506="","",IF(COUNT(AF506:AJ506)=0,"",SUM(AF506:AJ506)))</f>
        <v/>
      </c>
      <c r="AS506" s="34" t="str">
        <f aca="false">IF(OR(AR506="",N(AO506)=0),"",AR506/AO506)</f>
        <v/>
      </c>
      <c r="AT506" s="34" t="str">
        <f aca="false">IF(OR(AR506="",N(AC506)=0),"",AR506/AC506)</f>
        <v/>
      </c>
      <c r="AU506" s="34" t="str">
        <f aca="false">IF(OR(AR506="",N(S506)=0),"",AR506/S506)</f>
        <v/>
      </c>
      <c r="AV506" s="34" t="str">
        <f aca="false">IF(OR(AJ506="",N(AC506)=0),"",AJ506/AC506)</f>
        <v/>
      </c>
      <c r="AW506" s="34" t="str">
        <f aca="false">IF(OR(AH506="",N(AO506)=0),"",AH506/AO506)</f>
        <v/>
      </c>
      <c r="AX506" s="35" t="str">
        <f aca="false">IF(OR(AR506="",N(AO506)=0),"",(N(AF506)*Settings!$B$6+N(AG506)*Settings!$B$7+N(AH506)*Settings!$B$8+N(AI506)*Settings!$B$9+N(AJ506)*Settings!$B$10)/AO506*1000)</f>
        <v/>
      </c>
      <c r="AY506" s="36" t="str">
        <f aca="false">IF(AS506="","",IFERROR(AS506/AVERAGEIFS('Post Tracker'!$AS$5:$AS$1004,'Post Tracker'!$G$5:$G$1004,G506),""))</f>
        <v/>
      </c>
      <c r="AZ506" s="32"/>
      <c r="BA506" s="32"/>
      <c r="BB506" s="32"/>
      <c r="BC506" s="32"/>
      <c r="BD506" s="33" t="str">
        <f aca="false">IF(A506="","",COUNTIFS('Demo Pipeline'!$Q$5:$Q$504,A506))</f>
        <v/>
      </c>
      <c r="BE506" s="33" t="str">
        <f aca="false">IF(A506="","",COUNTIFS('Demo Pipeline'!$Q$5:$Q$504,A506,'Demo Pipeline'!$W$5:$W$504,"Attended"))</f>
        <v/>
      </c>
      <c r="BF506" s="33" t="str">
        <f aca="false">IF(A506="","",COUNTIFS('Demo Pipeline'!$Q$5:$Q$504,A506,'Demo Pipeline'!$X$5:$X$504,"Yes"))</f>
        <v/>
      </c>
      <c r="BG506" s="33" t="str">
        <f aca="false">IF(A506="","",COUNTIFS('Demo Pipeline'!$Q$5:$Q$504,A506,'Demo Pipeline'!$Y$5:$Y$504,"Closed Won"))</f>
        <v/>
      </c>
      <c r="BH506" s="37" t="str">
        <f aca="false">IF(A506="","",SUMIFS('Demo Pipeline'!$Z$5:$Z$504,'Demo Pipeline'!$Q$5:$Q$504,A506))</f>
        <v/>
      </c>
      <c r="BI506" s="34" t="str">
        <f aca="false">IF(OR(AZ506="",N(AJ506)=0),"",AZ506/AJ506)</f>
        <v/>
      </c>
      <c r="BJ506" s="34" t="str">
        <f aca="false">IF(OR(BB506="",N(AZ506)=0),"",BB506/AZ506)</f>
        <v/>
      </c>
      <c r="BK506" s="34" t="str">
        <f aca="false">IF(OR(A506="",N(BB506)=0),"",BD506/BB506)</f>
        <v/>
      </c>
      <c r="BL506" s="34" t="str">
        <f aca="false">IF(OR(A506="",N(AZ506)=0),"",BD506/AZ506)</f>
        <v/>
      </c>
      <c r="BM506" s="37" t="str">
        <f aca="false">IF(OR(N(Q506)=0,N(BD506)=0),"",Q506/BD506)</f>
        <v/>
      </c>
      <c r="BN506" s="29"/>
      <c r="BO506" s="29"/>
      <c r="BP506" s="33" t="str">
        <f aca="false">IF(OR(AR506="",N(AO506)=0),"",AR506)</f>
        <v/>
      </c>
      <c r="BQ506" s="33" t="str">
        <f aca="false">IF(OR(AR506="",N(S506)=0),"",S506)</f>
        <v/>
      </c>
      <c r="BR506" s="38" t="str">
        <f aca="false">IF(AND(ISNUMBER(B506),B506&gt;=Dashboard!$C$4,B506&lt;=Dashboard!$F$4,ISNUMBER(AU506)),AU506+ROW()/10^9,"")</f>
        <v/>
      </c>
      <c r="BS506" s="38" t="str">
        <f aca="false">IF(AND(ISNUMBER(B506),B506&gt;=Dashboard!$C$4,B506&lt;=Dashboard!$F$4,A506&lt;&gt;""),N(BD506)+N(AU506)/100+ROW()/10^9,"")</f>
        <v/>
      </c>
    </row>
    <row r="507" customFormat="false" ht="15" hidden="false" customHeight="false" outlineLevel="0" collapsed="false">
      <c r="A507" s="24" t="str">
        <f aca="false">IF(OR(B507="",G507="",H507=""),"",IFERROR(INDEX(Settings!$E$5:$E$49,MATCH(G507,Settings!$D$5:$D$49,0))&amp;INDEX(Settings!$H$5:$H$47,MATCH(H507,Settings!$G$5:$G$47,0))&amp;"-"&amp;TEXT(B507,"yymmdd")&amp;"-"&amp;IF(C507="","0000",TEXT(C507,"hhmm")),"CHECK LISTS"))</f>
        <v/>
      </c>
      <c r="B507" s="39"/>
      <c r="C507" s="40"/>
      <c r="D507" s="24" t="str">
        <f aca="false">IF(B507="","",TEXT(B507,"ddd"))</f>
        <v/>
      </c>
      <c r="E507" s="27" t="str">
        <f aca="false">IF(B507="","",B507-WEEKDAY(B507,3))</f>
        <v/>
      </c>
      <c r="F507" s="24" t="str">
        <f aca="false">IF(B507="","",TEXT(B507,"yyyy-mm"))</f>
        <v/>
      </c>
      <c r="G507" s="29"/>
      <c r="H507" s="29"/>
      <c r="I507" s="29"/>
      <c r="J507" s="29"/>
      <c r="K507" s="29"/>
      <c r="L507" s="29"/>
      <c r="M507" s="29"/>
      <c r="N507" s="29"/>
      <c r="O507" s="29"/>
      <c r="P507" s="29"/>
      <c r="Q507" s="30"/>
      <c r="R507" s="29"/>
      <c r="S507" s="32"/>
      <c r="T507" s="29"/>
      <c r="U507" s="29"/>
      <c r="V507" s="24" t="str">
        <f aca="false">IF(A507="","",IFERROR(INDEX(Settings!$F$5:$F$49,MATCH(G507,Settings!$D$5:$D$49,0)),""))</f>
        <v/>
      </c>
      <c r="W507" s="24" t="str">
        <f aca="false">IF(A507="","",IF(OR(P507="",P507="Organic"),"social","paid_social"))</f>
        <v/>
      </c>
      <c r="X507" s="24" t="str">
        <f aca="false">IF(A507="","",IF(K507&lt;&gt;"",IFERROR(INDEX('Case Studies'!$C$5:$C$54,MATCH(K507,'Case Studies'!$B$5:$B$54,0))&amp;"","case-study"),IF(J507&lt;&gt;"",IFERROR(INDEX(Settings!$J$5:$J$55,MATCH(J507,Settings!$I$5:$I$55,0)),"general"),"general")))</f>
        <v/>
      </c>
      <c r="Y507" s="24" t="str">
        <f aca="false">IF(A507="","",LOWER(A507))</f>
        <v/>
      </c>
      <c r="Z507" s="24" t="str">
        <f aca="false">IF(A507="","",IF(T507="",Settings!$B$5,T507)&amp;IF(ISNUMBER(FIND("?",IF(T507="",Settings!$B$5,T507))),"&amp;","?")&amp;"utm_source="&amp;V507&amp;"&amp;utm_medium="&amp;W507&amp;"&amp;utm_campaign="&amp;X507&amp;"&amp;utm_content="&amp;Y507)</f>
        <v/>
      </c>
      <c r="AA507" s="29"/>
      <c r="AB507" s="39"/>
      <c r="AC507" s="32"/>
      <c r="AD507" s="32"/>
      <c r="AE507" s="32"/>
      <c r="AF507" s="32"/>
      <c r="AG507" s="32"/>
      <c r="AH507" s="32"/>
      <c r="AI507" s="32"/>
      <c r="AJ507" s="32"/>
      <c r="AK507" s="32"/>
      <c r="AL507" s="32"/>
      <c r="AM507" s="32"/>
      <c r="AN507" s="32"/>
      <c r="AO507" s="33" t="str">
        <f aca="false">IF(A507="","",IF(AD507&lt;&gt;"",AD507,IF(AC507&lt;&gt;"",AC507,"")))</f>
        <v/>
      </c>
      <c r="AP507" s="24" t="str">
        <f aca="false">IF(AO507="","",IF(AD507&lt;&gt;"","Reported reach","Impressions (proxy)"))</f>
        <v/>
      </c>
      <c r="AQ507" s="34" t="str">
        <f aca="false">IF(OR(AO507="",N(S507)=0),"",AO507/S507)</f>
        <v/>
      </c>
      <c r="AR507" s="33" t="str">
        <f aca="false">IF(A507="","",IF(COUNT(AF507:AJ507)=0,"",SUM(AF507:AJ507)))</f>
        <v/>
      </c>
      <c r="AS507" s="34" t="str">
        <f aca="false">IF(OR(AR507="",N(AO507)=0),"",AR507/AO507)</f>
        <v/>
      </c>
      <c r="AT507" s="34" t="str">
        <f aca="false">IF(OR(AR507="",N(AC507)=0),"",AR507/AC507)</f>
        <v/>
      </c>
      <c r="AU507" s="34" t="str">
        <f aca="false">IF(OR(AR507="",N(S507)=0),"",AR507/S507)</f>
        <v/>
      </c>
      <c r="AV507" s="34" t="str">
        <f aca="false">IF(OR(AJ507="",N(AC507)=0),"",AJ507/AC507)</f>
        <v/>
      </c>
      <c r="AW507" s="34" t="str">
        <f aca="false">IF(OR(AH507="",N(AO507)=0),"",AH507/AO507)</f>
        <v/>
      </c>
      <c r="AX507" s="35" t="str">
        <f aca="false">IF(OR(AR507="",N(AO507)=0),"",(N(AF507)*Settings!$B$6+N(AG507)*Settings!$B$7+N(AH507)*Settings!$B$8+N(AI507)*Settings!$B$9+N(AJ507)*Settings!$B$10)/AO507*1000)</f>
        <v/>
      </c>
      <c r="AY507" s="36" t="str">
        <f aca="false">IF(AS507="","",IFERROR(AS507/AVERAGEIFS('Post Tracker'!$AS$5:$AS$1004,'Post Tracker'!$G$5:$G$1004,G507),""))</f>
        <v/>
      </c>
      <c r="AZ507" s="32"/>
      <c r="BA507" s="32"/>
      <c r="BB507" s="32"/>
      <c r="BC507" s="32"/>
      <c r="BD507" s="33" t="str">
        <f aca="false">IF(A507="","",COUNTIFS('Demo Pipeline'!$Q$5:$Q$504,A507))</f>
        <v/>
      </c>
      <c r="BE507" s="33" t="str">
        <f aca="false">IF(A507="","",COUNTIFS('Demo Pipeline'!$Q$5:$Q$504,A507,'Demo Pipeline'!$W$5:$W$504,"Attended"))</f>
        <v/>
      </c>
      <c r="BF507" s="33" t="str">
        <f aca="false">IF(A507="","",COUNTIFS('Demo Pipeline'!$Q$5:$Q$504,A507,'Demo Pipeline'!$X$5:$X$504,"Yes"))</f>
        <v/>
      </c>
      <c r="BG507" s="33" t="str">
        <f aca="false">IF(A507="","",COUNTIFS('Demo Pipeline'!$Q$5:$Q$504,A507,'Demo Pipeline'!$Y$5:$Y$504,"Closed Won"))</f>
        <v/>
      </c>
      <c r="BH507" s="37" t="str">
        <f aca="false">IF(A507="","",SUMIFS('Demo Pipeline'!$Z$5:$Z$504,'Demo Pipeline'!$Q$5:$Q$504,A507))</f>
        <v/>
      </c>
      <c r="BI507" s="34" t="str">
        <f aca="false">IF(OR(AZ507="",N(AJ507)=0),"",AZ507/AJ507)</f>
        <v/>
      </c>
      <c r="BJ507" s="34" t="str">
        <f aca="false">IF(OR(BB507="",N(AZ507)=0),"",BB507/AZ507)</f>
        <v/>
      </c>
      <c r="BK507" s="34" t="str">
        <f aca="false">IF(OR(A507="",N(BB507)=0),"",BD507/BB507)</f>
        <v/>
      </c>
      <c r="BL507" s="34" t="str">
        <f aca="false">IF(OR(A507="",N(AZ507)=0),"",BD507/AZ507)</f>
        <v/>
      </c>
      <c r="BM507" s="37" t="str">
        <f aca="false">IF(OR(N(Q507)=0,N(BD507)=0),"",Q507/BD507)</f>
        <v/>
      </c>
      <c r="BN507" s="29"/>
      <c r="BO507" s="29"/>
      <c r="BP507" s="33" t="str">
        <f aca="false">IF(OR(AR507="",N(AO507)=0),"",AR507)</f>
        <v/>
      </c>
      <c r="BQ507" s="33" t="str">
        <f aca="false">IF(OR(AR507="",N(S507)=0),"",S507)</f>
        <v/>
      </c>
      <c r="BR507" s="38" t="str">
        <f aca="false">IF(AND(ISNUMBER(B507),B507&gt;=Dashboard!$C$4,B507&lt;=Dashboard!$F$4,ISNUMBER(AU507)),AU507+ROW()/10^9,"")</f>
        <v/>
      </c>
      <c r="BS507" s="38" t="str">
        <f aca="false">IF(AND(ISNUMBER(B507),B507&gt;=Dashboard!$C$4,B507&lt;=Dashboard!$F$4,A507&lt;&gt;""),N(BD507)+N(AU507)/100+ROW()/10^9,"")</f>
        <v/>
      </c>
    </row>
    <row r="508" customFormat="false" ht="15" hidden="false" customHeight="false" outlineLevel="0" collapsed="false">
      <c r="A508" s="24" t="str">
        <f aca="false">IF(OR(B508="",G508="",H508=""),"",IFERROR(INDEX(Settings!$E$5:$E$49,MATCH(G508,Settings!$D$5:$D$49,0))&amp;INDEX(Settings!$H$5:$H$47,MATCH(H508,Settings!$G$5:$G$47,0))&amp;"-"&amp;TEXT(B508,"yymmdd")&amp;"-"&amp;IF(C508="","0000",TEXT(C508,"hhmm")),"CHECK LISTS"))</f>
        <v/>
      </c>
      <c r="B508" s="39"/>
      <c r="C508" s="40"/>
      <c r="D508" s="24" t="str">
        <f aca="false">IF(B508="","",TEXT(B508,"ddd"))</f>
        <v/>
      </c>
      <c r="E508" s="27" t="str">
        <f aca="false">IF(B508="","",B508-WEEKDAY(B508,3))</f>
        <v/>
      </c>
      <c r="F508" s="24" t="str">
        <f aca="false">IF(B508="","",TEXT(B508,"yyyy-mm"))</f>
        <v/>
      </c>
      <c r="G508" s="29"/>
      <c r="H508" s="29"/>
      <c r="I508" s="29"/>
      <c r="J508" s="29"/>
      <c r="K508" s="29"/>
      <c r="L508" s="29"/>
      <c r="M508" s="29"/>
      <c r="N508" s="29"/>
      <c r="O508" s="29"/>
      <c r="P508" s="29"/>
      <c r="Q508" s="30"/>
      <c r="R508" s="29"/>
      <c r="S508" s="32"/>
      <c r="T508" s="29"/>
      <c r="U508" s="29"/>
      <c r="V508" s="24" t="str">
        <f aca="false">IF(A508="","",IFERROR(INDEX(Settings!$F$5:$F$49,MATCH(G508,Settings!$D$5:$D$49,0)),""))</f>
        <v/>
      </c>
      <c r="W508" s="24" t="str">
        <f aca="false">IF(A508="","",IF(OR(P508="",P508="Organic"),"social","paid_social"))</f>
        <v/>
      </c>
      <c r="X508" s="24" t="str">
        <f aca="false">IF(A508="","",IF(K508&lt;&gt;"",IFERROR(INDEX('Case Studies'!$C$5:$C$54,MATCH(K508,'Case Studies'!$B$5:$B$54,0))&amp;"","case-study"),IF(J508&lt;&gt;"",IFERROR(INDEX(Settings!$J$5:$J$55,MATCH(J508,Settings!$I$5:$I$55,0)),"general"),"general")))</f>
        <v/>
      </c>
      <c r="Y508" s="24" t="str">
        <f aca="false">IF(A508="","",LOWER(A508))</f>
        <v/>
      </c>
      <c r="Z508" s="24" t="str">
        <f aca="false">IF(A508="","",IF(T508="",Settings!$B$5,T508)&amp;IF(ISNUMBER(FIND("?",IF(T508="",Settings!$B$5,T508))),"&amp;","?")&amp;"utm_source="&amp;V508&amp;"&amp;utm_medium="&amp;W508&amp;"&amp;utm_campaign="&amp;X508&amp;"&amp;utm_content="&amp;Y508)</f>
        <v/>
      </c>
      <c r="AA508" s="29"/>
      <c r="AB508" s="39"/>
      <c r="AC508" s="32"/>
      <c r="AD508" s="32"/>
      <c r="AE508" s="32"/>
      <c r="AF508" s="32"/>
      <c r="AG508" s="32"/>
      <c r="AH508" s="32"/>
      <c r="AI508" s="32"/>
      <c r="AJ508" s="32"/>
      <c r="AK508" s="32"/>
      <c r="AL508" s="32"/>
      <c r="AM508" s="32"/>
      <c r="AN508" s="32"/>
      <c r="AO508" s="33" t="str">
        <f aca="false">IF(A508="","",IF(AD508&lt;&gt;"",AD508,IF(AC508&lt;&gt;"",AC508,"")))</f>
        <v/>
      </c>
      <c r="AP508" s="24" t="str">
        <f aca="false">IF(AO508="","",IF(AD508&lt;&gt;"","Reported reach","Impressions (proxy)"))</f>
        <v/>
      </c>
      <c r="AQ508" s="34" t="str">
        <f aca="false">IF(OR(AO508="",N(S508)=0),"",AO508/S508)</f>
        <v/>
      </c>
      <c r="AR508" s="33" t="str">
        <f aca="false">IF(A508="","",IF(COUNT(AF508:AJ508)=0,"",SUM(AF508:AJ508)))</f>
        <v/>
      </c>
      <c r="AS508" s="34" t="str">
        <f aca="false">IF(OR(AR508="",N(AO508)=0),"",AR508/AO508)</f>
        <v/>
      </c>
      <c r="AT508" s="34" t="str">
        <f aca="false">IF(OR(AR508="",N(AC508)=0),"",AR508/AC508)</f>
        <v/>
      </c>
      <c r="AU508" s="34" t="str">
        <f aca="false">IF(OR(AR508="",N(S508)=0),"",AR508/S508)</f>
        <v/>
      </c>
      <c r="AV508" s="34" t="str">
        <f aca="false">IF(OR(AJ508="",N(AC508)=0),"",AJ508/AC508)</f>
        <v/>
      </c>
      <c r="AW508" s="34" t="str">
        <f aca="false">IF(OR(AH508="",N(AO508)=0),"",AH508/AO508)</f>
        <v/>
      </c>
      <c r="AX508" s="35" t="str">
        <f aca="false">IF(OR(AR508="",N(AO508)=0),"",(N(AF508)*Settings!$B$6+N(AG508)*Settings!$B$7+N(AH508)*Settings!$B$8+N(AI508)*Settings!$B$9+N(AJ508)*Settings!$B$10)/AO508*1000)</f>
        <v/>
      </c>
      <c r="AY508" s="36" t="str">
        <f aca="false">IF(AS508="","",IFERROR(AS508/AVERAGEIFS('Post Tracker'!$AS$5:$AS$1004,'Post Tracker'!$G$5:$G$1004,G508),""))</f>
        <v/>
      </c>
      <c r="AZ508" s="32"/>
      <c r="BA508" s="32"/>
      <c r="BB508" s="32"/>
      <c r="BC508" s="32"/>
      <c r="BD508" s="33" t="str">
        <f aca="false">IF(A508="","",COUNTIFS('Demo Pipeline'!$Q$5:$Q$504,A508))</f>
        <v/>
      </c>
      <c r="BE508" s="33" t="str">
        <f aca="false">IF(A508="","",COUNTIFS('Demo Pipeline'!$Q$5:$Q$504,A508,'Demo Pipeline'!$W$5:$W$504,"Attended"))</f>
        <v/>
      </c>
      <c r="BF508" s="33" t="str">
        <f aca="false">IF(A508="","",COUNTIFS('Demo Pipeline'!$Q$5:$Q$504,A508,'Demo Pipeline'!$X$5:$X$504,"Yes"))</f>
        <v/>
      </c>
      <c r="BG508" s="33" t="str">
        <f aca="false">IF(A508="","",COUNTIFS('Demo Pipeline'!$Q$5:$Q$504,A508,'Demo Pipeline'!$Y$5:$Y$504,"Closed Won"))</f>
        <v/>
      </c>
      <c r="BH508" s="37" t="str">
        <f aca="false">IF(A508="","",SUMIFS('Demo Pipeline'!$Z$5:$Z$504,'Demo Pipeline'!$Q$5:$Q$504,A508))</f>
        <v/>
      </c>
      <c r="BI508" s="34" t="str">
        <f aca="false">IF(OR(AZ508="",N(AJ508)=0),"",AZ508/AJ508)</f>
        <v/>
      </c>
      <c r="BJ508" s="34" t="str">
        <f aca="false">IF(OR(BB508="",N(AZ508)=0),"",BB508/AZ508)</f>
        <v/>
      </c>
      <c r="BK508" s="34" t="str">
        <f aca="false">IF(OR(A508="",N(BB508)=0),"",BD508/BB508)</f>
        <v/>
      </c>
      <c r="BL508" s="34" t="str">
        <f aca="false">IF(OR(A508="",N(AZ508)=0),"",BD508/AZ508)</f>
        <v/>
      </c>
      <c r="BM508" s="37" t="str">
        <f aca="false">IF(OR(N(Q508)=0,N(BD508)=0),"",Q508/BD508)</f>
        <v/>
      </c>
      <c r="BN508" s="29"/>
      <c r="BO508" s="29"/>
      <c r="BP508" s="33" t="str">
        <f aca="false">IF(OR(AR508="",N(AO508)=0),"",AR508)</f>
        <v/>
      </c>
      <c r="BQ508" s="33" t="str">
        <f aca="false">IF(OR(AR508="",N(S508)=0),"",S508)</f>
        <v/>
      </c>
      <c r="BR508" s="38" t="str">
        <f aca="false">IF(AND(ISNUMBER(B508),B508&gt;=Dashboard!$C$4,B508&lt;=Dashboard!$F$4,ISNUMBER(AU508)),AU508+ROW()/10^9,"")</f>
        <v/>
      </c>
      <c r="BS508" s="38" t="str">
        <f aca="false">IF(AND(ISNUMBER(B508),B508&gt;=Dashboard!$C$4,B508&lt;=Dashboard!$F$4,A508&lt;&gt;""),N(BD508)+N(AU508)/100+ROW()/10^9,"")</f>
        <v/>
      </c>
    </row>
    <row r="509" customFormat="false" ht="15" hidden="false" customHeight="false" outlineLevel="0" collapsed="false">
      <c r="A509" s="24" t="str">
        <f aca="false">IF(OR(B509="",G509="",H509=""),"",IFERROR(INDEX(Settings!$E$5:$E$49,MATCH(G509,Settings!$D$5:$D$49,0))&amp;INDEX(Settings!$H$5:$H$47,MATCH(H509,Settings!$G$5:$G$47,0))&amp;"-"&amp;TEXT(B509,"yymmdd")&amp;"-"&amp;IF(C509="","0000",TEXT(C509,"hhmm")),"CHECK LISTS"))</f>
        <v/>
      </c>
      <c r="B509" s="39"/>
      <c r="C509" s="40"/>
      <c r="D509" s="24" t="str">
        <f aca="false">IF(B509="","",TEXT(B509,"ddd"))</f>
        <v/>
      </c>
      <c r="E509" s="27" t="str">
        <f aca="false">IF(B509="","",B509-WEEKDAY(B509,3))</f>
        <v/>
      </c>
      <c r="F509" s="24" t="str">
        <f aca="false">IF(B509="","",TEXT(B509,"yyyy-mm"))</f>
        <v/>
      </c>
      <c r="G509" s="29"/>
      <c r="H509" s="29"/>
      <c r="I509" s="29"/>
      <c r="J509" s="29"/>
      <c r="K509" s="29"/>
      <c r="L509" s="29"/>
      <c r="M509" s="29"/>
      <c r="N509" s="29"/>
      <c r="O509" s="29"/>
      <c r="P509" s="29"/>
      <c r="Q509" s="30"/>
      <c r="R509" s="29"/>
      <c r="S509" s="32"/>
      <c r="T509" s="29"/>
      <c r="U509" s="29"/>
      <c r="V509" s="24" t="str">
        <f aca="false">IF(A509="","",IFERROR(INDEX(Settings!$F$5:$F$49,MATCH(G509,Settings!$D$5:$D$49,0)),""))</f>
        <v/>
      </c>
      <c r="W509" s="24" t="str">
        <f aca="false">IF(A509="","",IF(OR(P509="",P509="Organic"),"social","paid_social"))</f>
        <v/>
      </c>
      <c r="X509" s="24" t="str">
        <f aca="false">IF(A509="","",IF(K509&lt;&gt;"",IFERROR(INDEX('Case Studies'!$C$5:$C$54,MATCH(K509,'Case Studies'!$B$5:$B$54,0))&amp;"","case-study"),IF(J509&lt;&gt;"",IFERROR(INDEX(Settings!$J$5:$J$55,MATCH(J509,Settings!$I$5:$I$55,0)),"general"),"general")))</f>
        <v/>
      </c>
      <c r="Y509" s="24" t="str">
        <f aca="false">IF(A509="","",LOWER(A509))</f>
        <v/>
      </c>
      <c r="Z509" s="24" t="str">
        <f aca="false">IF(A509="","",IF(T509="",Settings!$B$5,T509)&amp;IF(ISNUMBER(FIND("?",IF(T509="",Settings!$B$5,T509))),"&amp;","?")&amp;"utm_source="&amp;V509&amp;"&amp;utm_medium="&amp;W509&amp;"&amp;utm_campaign="&amp;X509&amp;"&amp;utm_content="&amp;Y509)</f>
        <v/>
      </c>
      <c r="AA509" s="29"/>
      <c r="AB509" s="39"/>
      <c r="AC509" s="32"/>
      <c r="AD509" s="32"/>
      <c r="AE509" s="32"/>
      <c r="AF509" s="32"/>
      <c r="AG509" s="32"/>
      <c r="AH509" s="32"/>
      <c r="AI509" s="32"/>
      <c r="AJ509" s="32"/>
      <c r="AK509" s="32"/>
      <c r="AL509" s="32"/>
      <c r="AM509" s="32"/>
      <c r="AN509" s="32"/>
      <c r="AO509" s="33" t="str">
        <f aca="false">IF(A509="","",IF(AD509&lt;&gt;"",AD509,IF(AC509&lt;&gt;"",AC509,"")))</f>
        <v/>
      </c>
      <c r="AP509" s="24" t="str">
        <f aca="false">IF(AO509="","",IF(AD509&lt;&gt;"","Reported reach","Impressions (proxy)"))</f>
        <v/>
      </c>
      <c r="AQ509" s="34" t="str">
        <f aca="false">IF(OR(AO509="",N(S509)=0),"",AO509/S509)</f>
        <v/>
      </c>
      <c r="AR509" s="33" t="str">
        <f aca="false">IF(A509="","",IF(COUNT(AF509:AJ509)=0,"",SUM(AF509:AJ509)))</f>
        <v/>
      </c>
      <c r="AS509" s="34" t="str">
        <f aca="false">IF(OR(AR509="",N(AO509)=0),"",AR509/AO509)</f>
        <v/>
      </c>
      <c r="AT509" s="34" t="str">
        <f aca="false">IF(OR(AR509="",N(AC509)=0),"",AR509/AC509)</f>
        <v/>
      </c>
      <c r="AU509" s="34" t="str">
        <f aca="false">IF(OR(AR509="",N(S509)=0),"",AR509/S509)</f>
        <v/>
      </c>
      <c r="AV509" s="34" t="str">
        <f aca="false">IF(OR(AJ509="",N(AC509)=0),"",AJ509/AC509)</f>
        <v/>
      </c>
      <c r="AW509" s="34" t="str">
        <f aca="false">IF(OR(AH509="",N(AO509)=0),"",AH509/AO509)</f>
        <v/>
      </c>
      <c r="AX509" s="35" t="str">
        <f aca="false">IF(OR(AR509="",N(AO509)=0),"",(N(AF509)*Settings!$B$6+N(AG509)*Settings!$B$7+N(AH509)*Settings!$B$8+N(AI509)*Settings!$B$9+N(AJ509)*Settings!$B$10)/AO509*1000)</f>
        <v/>
      </c>
      <c r="AY509" s="36" t="str">
        <f aca="false">IF(AS509="","",IFERROR(AS509/AVERAGEIFS('Post Tracker'!$AS$5:$AS$1004,'Post Tracker'!$G$5:$G$1004,G509),""))</f>
        <v/>
      </c>
      <c r="AZ509" s="32"/>
      <c r="BA509" s="32"/>
      <c r="BB509" s="32"/>
      <c r="BC509" s="32"/>
      <c r="BD509" s="33" t="str">
        <f aca="false">IF(A509="","",COUNTIFS('Demo Pipeline'!$Q$5:$Q$504,A509))</f>
        <v/>
      </c>
      <c r="BE509" s="33" t="str">
        <f aca="false">IF(A509="","",COUNTIFS('Demo Pipeline'!$Q$5:$Q$504,A509,'Demo Pipeline'!$W$5:$W$504,"Attended"))</f>
        <v/>
      </c>
      <c r="BF509" s="33" t="str">
        <f aca="false">IF(A509="","",COUNTIFS('Demo Pipeline'!$Q$5:$Q$504,A509,'Demo Pipeline'!$X$5:$X$504,"Yes"))</f>
        <v/>
      </c>
      <c r="BG509" s="33" t="str">
        <f aca="false">IF(A509="","",COUNTIFS('Demo Pipeline'!$Q$5:$Q$504,A509,'Demo Pipeline'!$Y$5:$Y$504,"Closed Won"))</f>
        <v/>
      </c>
      <c r="BH509" s="37" t="str">
        <f aca="false">IF(A509="","",SUMIFS('Demo Pipeline'!$Z$5:$Z$504,'Demo Pipeline'!$Q$5:$Q$504,A509))</f>
        <v/>
      </c>
      <c r="BI509" s="34" t="str">
        <f aca="false">IF(OR(AZ509="",N(AJ509)=0),"",AZ509/AJ509)</f>
        <v/>
      </c>
      <c r="BJ509" s="34" t="str">
        <f aca="false">IF(OR(BB509="",N(AZ509)=0),"",BB509/AZ509)</f>
        <v/>
      </c>
      <c r="BK509" s="34" t="str">
        <f aca="false">IF(OR(A509="",N(BB509)=0),"",BD509/BB509)</f>
        <v/>
      </c>
      <c r="BL509" s="34" t="str">
        <f aca="false">IF(OR(A509="",N(AZ509)=0),"",BD509/AZ509)</f>
        <v/>
      </c>
      <c r="BM509" s="37" t="str">
        <f aca="false">IF(OR(N(Q509)=0,N(BD509)=0),"",Q509/BD509)</f>
        <v/>
      </c>
      <c r="BN509" s="29"/>
      <c r="BO509" s="29"/>
      <c r="BP509" s="33" t="str">
        <f aca="false">IF(OR(AR509="",N(AO509)=0),"",AR509)</f>
        <v/>
      </c>
      <c r="BQ509" s="33" t="str">
        <f aca="false">IF(OR(AR509="",N(S509)=0),"",S509)</f>
        <v/>
      </c>
      <c r="BR509" s="38" t="str">
        <f aca="false">IF(AND(ISNUMBER(B509),B509&gt;=Dashboard!$C$4,B509&lt;=Dashboard!$F$4,ISNUMBER(AU509)),AU509+ROW()/10^9,"")</f>
        <v/>
      </c>
      <c r="BS509" s="38" t="str">
        <f aca="false">IF(AND(ISNUMBER(B509),B509&gt;=Dashboard!$C$4,B509&lt;=Dashboard!$F$4,A509&lt;&gt;""),N(BD509)+N(AU509)/100+ROW()/10^9,"")</f>
        <v/>
      </c>
    </row>
    <row r="510" customFormat="false" ht="15" hidden="false" customHeight="false" outlineLevel="0" collapsed="false">
      <c r="A510" s="24" t="str">
        <f aca="false">IF(OR(B510="",G510="",H510=""),"",IFERROR(INDEX(Settings!$E$5:$E$49,MATCH(G510,Settings!$D$5:$D$49,0))&amp;INDEX(Settings!$H$5:$H$47,MATCH(H510,Settings!$G$5:$G$47,0))&amp;"-"&amp;TEXT(B510,"yymmdd")&amp;"-"&amp;IF(C510="","0000",TEXT(C510,"hhmm")),"CHECK LISTS"))</f>
        <v/>
      </c>
      <c r="B510" s="39"/>
      <c r="C510" s="40"/>
      <c r="D510" s="24" t="str">
        <f aca="false">IF(B510="","",TEXT(B510,"ddd"))</f>
        <v/>
      </c>
      <c r="E510" s="27" t="str">
        <f aca="false">IF(B510="","",B510-WEEKDAY(B510,3))</f>
        <v/>
      </c>
      <c r="F510" s="24" t="str">
        <f aca="false">IF(B510="","",TEXT(B510,"yyyy-mm"))</f>
        <v/>
      </c>
      <c r="G510" s="29"/>
      <c r="H510" s="29"/>
      <c r="I510" s="29"/>
      <c r="J510" s="29"/>
      <c r="K510" s="29"/>
      <c r="L510" s="29"/>
      <c r="M510" s="29"/>
      <c r="N510" s="29"/>
      <c r="O510" s="29"/>
      <c r="P510" s="29"/>
      <c r="Q510" s="30"/>
      <c r="R510" s="29"/>
      <c r="S510" s="32"/>
      <c r="T510" s="29"/>
      <c r="U510" s="29"/>
      <c r="V510" s="24" t="str">
        <f aca="false">IF(A510="","",IFERROR(INDEX(Settings!$F$5:$F$49,MATCH(G510,Settings!$D$5:$D$49,0)),""))</f>
        <v/>
      </c>
      <c r="W510" s="24" t="str">
        <f aca="false">IF(A510="","",IF(OR(P510="",P510="Organic"),"social","paid_social"))</f>
        <v/>
      </c>
      <c r="X510" s="24" t="str">
        <f aca="false">IF(A510="","",IF(K510&lt;&gt;"",IFERROR(INDEX('Case Studies'!$C$5:$C$54,MATCH(K510,'Case Studies'!$B$5:$B$54,0))&amp;"","case-study"),IF(J510&lt;&gt;"",IFERROR(INDEX(Settings!$J$5:$J$55,MATCH(J510,Settings!$I$5:$I$55,0)),"general"),"general")))</f>
        <v/>
      </c>
      <c r="Y510" s="24" t="str">
        <f aca="false">IF(A510="","",LOWER(A510))</f>
        <v/>
      </c>
      <c r="Z510" s="24" t="str">
        <f aca="false">IF(A510="","",IF(T510="",Settings!$B$5,T510)&amp;IF(ISNUMBER(FIND("?",IF(T510="",Settings!$B$5,T510))),"&amp;","?")&amp;"utm_source="&amp;V510&amp;"&amp;utm_medium="&amp;W510&amp;"&amp;utm_campaign="&amp;X510&amp;"&amp;utm_content="&amp;Y510)</f>
        <v/>
      </c>
      <c r="AA510" s="29"/>
      <c r="AB510" s="39"/>
      <c r="AC510" s="32"/>
      <c r="AD510" s="32"/>
      <c r="AE510" s="32"/>
      <c r="AF510" s="32"/>
      <c r="AG510" s="32"/>
      <c r="AH510" s="32"/>
      <c r="AI510" s="32"/>
      <c r="AJ510" s="32"/>
      <c r="AK510" s="32"/>
      <c r="AL510" s="32"/>
      <c r="AM510" s="32"/>
      <c r="AN510" s="32"/>
      <c r="AO510" s="33" t="str">
        <f aca="false">IF(A510="","",IF(AD510&lt;&gt;"",AD510,IF(AC510&lt;&gt;"",AC510,"")))</f>
        <v/>
      </c>
      <c r="AP510" s="24" t="str">
        <f aca="false">IF(AO510="","",IF(AD510&lt;&gt;"","Reported reach","Impressions (proxy)"))</f>
        <v/>
      </c>
      <c r="AQ510" s="34" t="str">
        <f aca="false">IF(OR(AO510="",N(S510)=0),"",AO510/S510)</f>
        <v/>
      </c>
      <c r="AR510" s="33" t="str">
        <f aca="false">IF(A510="","",IF(COUNT(AF510:AJ510)=0,"",SUM(AF510:AJ510)))</f>
        <v/>
      </c>
      <c r="AS510" s="34" t="str">
        <f aca="false">IF(OR(AR510="",N(AO510)=0),"",AR510/AO510)</f>
        <v/>
      </c>
      <c r="AT510" s="34" t="str">
        <f aca="false">IF(OR(AR510="",N(AC510)=0),"",AR510/AC510)</f>
        <v/>
      </c>
      <c r="AU510" s="34" t="str">
        <f aca="false">IF(OR(AR510="",N(S510)=0),"",AR510/S510)</f>
        <v/>
      </c>
      <c r="AV510" s="34" t="str">
        <f aca="false">IF(OR(AJ510="",N(AC510)=0),"",AJ510/AC510)</f>
        <v/>
      </c>
      <c r="AW510" s="34" t="str">
        <f aca="false">IF(OR(AH510="",N(AO510)=0),"",AH510/AO510)</f>
        <v/>
      </c>
      <c r="AX510" s="35" t="str">
        <f aca="false">IF(OR(AR510="",N(AO510)=0),"",(N(AF510)*Settings!$B$6+N(AG510)*Settings!$B$7+N(AH510)*Settings!$B$8+N(AI510)*Settings!$B$9+N(AJ510)*Settings!$B$10)/AO510*1000)</f>
        <v/>
      </c>
      <c r="AY510" s="36" t="str">
        <f aca="false">IF(AS510="","",IFERROR(AS510/AVERAGEIFS('Post Tracker'!$AS$5:$AS$1004,'Post Tracker'!$G$5:$G$1004,G510),""))</f>
        <v/>
      </c>
      <c r="AZ510" s="32"/>
      <c r="BA510" s="32"/>
      <c r="BB510" s="32"/>
      <c r="BC510" s="32"/>
      <c r="BD510" s="33" t="str">
        <f aca="false">IF(A510="","",COUNTIFS('Demo Pipeline'!$Q$5:$Q$504,A510))</f>
        <v/>
      </c>
      <c r="BE510" s="33" t="str">
        <f aca="false">IF(A510="","",COUNTIFS('Demo Pipeline'!$Q$5:$Q$504,A510,'Demo Pipeline'!$W$5:$W$504,"Attended"))</f>
        <v/>
      </c>
      <c r="BF510" s="33" t="str">
        <f aca="false">IF(A510="","",COUNTIFS('Demo Pipeline'!$Q$5:$Q$504,A510,'Demo Pipeline'!$X$5:$X$504,"Yes"))</f>
        <v/>
      </c>
      <c r="BG510" s="33" t="str">
        <f aca="false">IF(A510="","",COUNTIFS('Demo Pipeline'!$Q$5:$Q$504,A510,'Demo Pipeline'!$Y$5:$Y$504,"Closed Won"))</f>
        <v/>
      </c>
      <c r="BH510" s="37" t="str">
        <f aca="false">IF(A510="","",SUMIFS('Demo Pipeline'!$Z$5:$Z$504,'Demo Pipeline'!$Q$5:$Q$504,A510))</f>
        <v/>
      </c>
      <c r="BI510" s="34" t="str">
        <f aca="false">IF(OR(AZ510="",N(AJ510)=0),"",AZ510/AJ510)</f>
        <v/>
      </c>
      <c r="BJ510" s="34" t="str">
        <f aca="false">IF(OR(BB510="",N(AZ510)=0),"",BB510/AZ510)</f>
        <v/>
      </c>
      <c r="BK510" s="34" t="str">
        <f aca="false">IF(OR(A510="",N(BB510)=0),"",BD510/BB510)</f>
        <v/>
      </c>
      <c r="BL510" s="34" t="str">
        <f aca="false">IF(OR(A510="",N(AZ510)=0),"",BD510/AZ510)</f>
        <v/>
      </c>
      <c r="BM510" s="37" t="str">
        <f aca="false">IF(OR(N(Q510)=0,N(BD510)=0),"",Q510/BD510)</f>
        <v/>
      </c>
      <c r="BN510" s="29"/>
      <c r="BO510" s="29"/>
      <c r="BP510" s="33" t="str">
        <f aca="false">IF(OR(AR510="",N(AO510)=0),"",AR510)</f>
        <v/>
      </c>
      <c r="BQ510" s="33" t="str">
        <f aca="false">IF(OR(AR510="",N(S510)=0),"",S510)</f>
        <v/>
      </c>
      <c r="BR510" s="38" t="str">
        <f aca="false">IF(AND(ISNUMBER(B510),B510&gt;=Dashboard!$C$4,B510&lt;=Dashboard!$F$4,ISNUMBER(AU510)),AU510+ROW()/10^9,"")</f>
        <v/>
      </c>
      <c r="BS510" s="38" t="str">
        <f aca="false">IF(AND(ISNUMBER(B510),B510&gt;=Dashboard!$C$4,B510&lt;=Dashboard!$F$4,A510&lt;&gt;""),N(BD510)+N(AU510)/100+ROW()/10^9,"")</f>
        <v/>
      </c>
    </row>
    <row r="511" customFormat="false" ht="15" hidden="false" customHeight="false" outlineLevel="0" collapsed="false">
      <c r="A511" s="24" t="str">
        <f aca="false">IF(OR(B511="",G511="",H511=""),"",IFERROR(INDEX(Settings!$E$5:$E$49,MATCH(G511,Settings!$D$5:$D$49,0))&amp;INDEX(Settings!$H$5:$H$47,MATCH(H511,Settings!$G$5:$G$47,0))&amp;"-"&amp;TEXT(B511,"yymmdd")&amp;"-"&amp;IF(C511="","0000",TEXT(C511,"hhmm")),"CHECK LISTS"))</f>
        <v/>
      </c>
      <c r="B511" s="39"/>
      <c r="C511" s="40"/>
      <c r="D511" s="24" t="str">
        <f aca="false">IF(B511="","",TEXT(B511,"ddd"))</f>
        <v/>
      </c>
      <c r="E511" s="27" t="str">
        <f aca="false">IF(B511="","",B511-WEEKDAY(B511,3))</f>
        <v/>
      </c>
      <c r="F511" s="24" t="str">
        <f aca="false">IF(B511="","",TEXT(B511,"yyyy-mm"))</f>
        <v/>
      </c>
      <c r="G511" s="29"/>
      <c r="H511" s="29"/>
      <c r="I511" s="29"/>
      <c r="J511" s="29"/>
      <c r="K511" s="29"/>
      <c r="L511" s="29"/>
      <c r="M511" s="29"/>
      <c r="N511" s="29"/>
      <c r="O511" s="29"/>
      <c r="P511" s="29"/>
      <c r="Q511" s="30"/>
      <c r="R511" s="29"/>
      <c r="S511" s="32"/>
      <c r="T511" s="29"/>
      <c r="U511" s="29"/>
      <c r="V511" s="24" t="str">
        <f aca="false">IF(A511="","",IFERROR(INDEX(Settings!$F$5:$F$49,MATCH(G511,Settings!$D$5:$D$49,0)),""))</f>
        <v/>
      </c>
      <c r="W511" s="24" t="str">
        <f aca="false">IF(A511="","",IF(OR(P511="",P511="Organic"),"social","paid_social"))</f>
        <v/>
      </c>
      <c r="X511" s="24" t="str">
        <f aca="false">IF(A511="","",IF(K511&lt;&gt;"",IFERROR(INDEX('Case Studies'!$C$5:$C$54,MATCH(K511,'Case Studies'!$B$5:$B$54,0))&amp;"","case-study"),IF(J511&lt;&gt;"",IFERROR(INDEX(Settings!$J$5:$J$55,MATCH(J511,Settings!$I$5:$I$55,0)),"general"),"general")))</f>
        <v/>
      </c>
      <c r="Y511" s="24" t="str">
        <f aca="false">IF(A511="","",LOWER(A511))</f>
        <v/>
      </c>
      <c r="Z511" s="24" t="str">
        <f aca="false">IF(A511="","",IF(T511="",Settings!$B$5,T511)&amp;IF(ISNUMBER(FIND("?",IF(T511="",Settings!$B$5,T511))),"&amp;","?")&amp;"utm_source="&amp;V511&amp;"&amp;utm_medium="&amp;W511&amp;"&amp;utm_campaign="&amp;X511&amp;"&amp;utm_content="&amp;Y511)</f>
        <v/>
      </c>
      <c r="AA511" s="29"/>
      <c r="AB511" s="39"/>
      <c r="AC511" s="32"/>
      <c r="AD511" s="32"/>
      <c r="AE511" s="32"/>
      <c r="AF511" s="32"/>
      <c r="AG511" s="32"/>
      <c r="AH511" s="32"/>
      <c r="AI511" s="32"/>
      <c r="AJ511" s="32"/>
      <c r="AK511" s="32"/>
      <c r="AL511" s="32"/>
      <c r="AM511" s="32"/>
      <c r="AN511" s="32"/>
      <c r="AO511" s="33" t="str">
        <f aca="false">IF(A511="","",IF(AD511&lt;&gt;"",AD511,IF(AC511&lt;&gt;"",AC511,"")))</f>
        <v/>
      </c>
      <c r="AP511" s="24" t="str">
        <f aca="false">IF(AO511="","",IF(AD511&lt;&gt;"","Reported reach","Impressions (proxy)"))</f>
        <v/>
      </c>
      <c r="AQ511" s="34" t="str">
        <f aca="false">IF(OR(AO511="",N(S511)=0),"",AO511/S511)</f>
        <v/>
      </c>
      <c r="AR511" s="33" t="str">
        <f aca="false">IF(A511="","",IF(COUNT(AF511:AJ511)=0,"",SUM(AF511:AJ511)))</f>
        <v/>
      </c>
      <c r="AS511" s="34" t="str">
        <f aca="false">IF(OR(AR511="",N(AO511)=0),"",AR511/AO511)</f>
        <v/>
      </c>
      <c r="AT511" s="34" t="str">
        <f aca="false">IF(OR(AR511="",N(AC511)=0),"",AR511/AC511)</f>
        <v/>
      </c>
      <c r="AU511" s="34" t="str">
        <f aca="false">IF(OR(AR511="",N(S511)=0),"",AR511/S511)</f>
        <v/>
      </c>
      <c r="AV511" s="34" t="str">
        <f aca="false">IF(OR(AJ511="",N(AC511)=0),"",AJ511/AC511)</f>
        <v/>
      </c>
      <c r="AW511" s="34" t="str">
        <f aca="false">IF(OR(AH511="",N(AO511)=0),"",AH511/AO511)</f>
        <v/>
      </c>
      <c r="AX511" s="35" t="str">
        <f aca="false">IF(OR(AR511="",N(AO511)=0),"",(N(AF511)*Settings!$B$6+N(AG511)*Settings!$B$7+N(AH511)*Settings!$B$8+N(AI511)*Settings!$B$9+N(AJ511)*Settings!$B$10)/AO511*1000)</f>
        <v/>
      </c>
      <c r="AY511" s="36" t="str">
        <f aca="false">IF(AS511="","",IFERROR(AS511/AVERAGEIFS('Post Tracker'!$AS$5:$AS$1004,'Post Tracker'!$G$5:$G$1004,G511),""))</f>
        <v/>
      </c>
      <c r="AZ511" s="32"/>
      <c r="BA511" s="32"/>
      <c r="BB511" s="32"/>
      <c r="BC511" s="32"/>
      <c r="BD511" s="33" t="str">
        <f aca="false">IF(A511="","",COUNTIFS('Demo Pipeline'!$Q$5:$Q$504,A511))</f>
        <v/>
      </c>
      <c r="BE511" s="33" t="str">
        <f aca="false">IF(A511="","",COUNTIFS('Demo Pipeline'!$Q$5:$Q$504,A511,'Demo Pipeline'!$W$5:$W$504,"Attended"))</f>
        <v/>
      </c>
      <c r="BF511" s="33" t="str">
        <f aca="false">IF(A511="","",COUNTIFS('Demo Pipeline'!$Q$5:$Q$504,A511,'Demo Pipeline'!$X$5:$X$504,"Yes"))</f>
        <v/>
      </c>
      <c r="BG511" s="33" t="str">
        <f aca="false">IF(A511="","",COUNTIFS('Demo Pipeline'!$Q$5:$Q$504,A511,'Demo Pipeline'!$Y$5:$Y$504,"Closed Won"))</f>
        <v/>
      </c>
      <c r="BH511" s="37" t="str">
        <f aca="false">IF(A511="","",SUMIFS('Demo Pipeline'!$Z$5:$Z$504,'Demo Pipeline'!$Q$5:$Q$504,A511))</f>
        <v/>
      </c>
      <c r="BI511" s="34" t="str">
        <f aca="false">IF(OR(AZ511="",N(AJ511)=0),"",AZ511/AJ511)</f>
        <v/>
      </c>
      <c r="BJ511" s="34" t="str">
        <f aca="false">IF(OR(BB511="",N(AZ511)=0),"",BB511/AZ511)</f>
        <v/>
      </c>
      <c r="BK511" s="34" t="str">
        <f aca="false">IF(OR(A511="",N(BB511)=0),"",BD511/BB511)</f>
        <v/>
      </c>
      <c r="BL511" s="34" t="str">
        <f aca="false">IF(OR(A511="",N(AZ511)=0),"",BD511/AZ511)</f>
        <v/>
      </c>
      <c r="BM511" s="37" t="str">
        <f aca="false">IF(OR(N(Q511)=0,N(BD511)=0),"",Q511/BD511)</f>
        <v/>
      </c>
      <c r="BN511" s="29"/>
      <c r="BO511" s="29"/>
      <c r="BP511" s="33" t="str">
        <f aca="false">IF(OR(AR511="",N(AO511)=0),"",AR511)</f>
        <v/>
      </c>
      <c r="BQ511" s="33" t="str">
        <f aca="false">IF(OR(AR511="",N(S511)=0),"",S511)</f>
        <v/>
      </c>
      <c r="BR511" s="38" t="str">
        <f aca="false">IF(AND(ISNUMBER(B511),B511&gt;=Dashboard!$C$4,B511&lt;=Dashboard!$F$4,ISNUMBER(AU511)),AU511+ROW()/10^9,"")</f>
        <v/>
      </c>
      <c r="BS511" s="38" t="str">
        <f aca="false">IF(AND(ISNUMBER(B511),B511&gt;=Dashboard!$C$4,B511&lt;=Dashboard!$F$4,A511&lt;&gt;""),N(BD511)+N(AU511)/100+ROW()/10^9,"")</f>
        <v/>
      </c>
    </row>
    <row r="512" customFormat="false" ht="15" hidden="false" customHeight="false" outlineLevel="0" collapsed="false">
      <c r="A512" s="24" t="str">
        <f aca="false">IF(OR(B512="",G512="",H512=""),"",IFERROR(INDEX(Settings!$E$5:$E$49,MATCH(G512,Settings!$D$5:$D$49,0))&amp;INDEX(Settings!$H$5:$H$47,MATCH(H512,Settings!$G$5:$G$47,0))&amp;"-"&amp;TEXT(B512,"yymmdd")&amp;"-"&amp;IF(C512="","0000",TEXT(C512,"hhmm")),"CHECK LISTS"))</f>
        <v/>
      </c>
      <c r="B512" s="39"/>
      <c r="C512" s="40"/>
      <c r="D512" s="24" t="str">
        <f aca="false">IF(B512="","",TEXT(B512,"ddd"))</f>
        <v/>
      </c>
      <c r="E512" s="27" t="str">
        <f aca="false">IF(B512="","",B512-WEEKDAY(B512,3))</f>
        <v/>
      </c>
      <c r="F512" s="24" t="str">
        <f aca="false">IF(B512="","",TEXT(B512,"yyyy-mm"))</f>
        <v/>
      </c>
      <c r="G512" s="29"/>
      <c r="H512" s="29"/>
      <c r="I512" s="29"/>
      <c r="J512" s="29"/>
      <c r="K512" s="29"/>
      <c r="L512" s="29"/>
      <c r="M512" s="29"/>
      <c r="N512" s="29"/>
      <c r="O512" s="29"/>
      <c r="P512" s="29"/>
      <c r="Q512" s="30"/>
      <c r="R512" s="29"/>
      <c r="S512" s="32"/>
      <c r="T512" s="29"/>
      <c r="U512" s="29"/>
      <c r="V512" s="24" t="str">
        <f aca="false">IF(A512="","",IFERROR(INDEX(Settings!$F$5:$F$49,MATCH(G512,Settings!$D$5:$D$49,0)),""))</f>
        <v/>
      </c>
      <c r="W512" s="24" t="str">
        <f aca="false">IF(A512="","",IF(OR(P512="",P512="Organic"),"social","paid_social"))</f>
        <v/>
      </c>
      <c r="X512" s="24" t="str">
        <f aca="false">IF(A512="","",IF(K512&lt;&gt;"",IFERROR(INDEX('Case Studies'!$C$5:$C$54,MATCH(K512,'Case Studies'!$B$5:$B$54,0))&amp;"","case-study"),IF(J512&lt;&gt;"",IFERROR(INDEX(Settings!$J$5:$J$55,MATCH(J512,Settings!$I$5:$I$55,0)),"general"),"general")))</f>
        <v/>
      </c>
      <c r="Y512" s="24" t="str">
        <f aca="false">IF(A512="","",LOWER(A512))</f>
        <v/>
      </c>
      <c r="Z512" s="24" t="str">
        <f aca="false">IF(A512="","",IF(T512="",Settings!$B$5,T512)&amp;IF(ISNUMBER(FIND("?",IF(T512="",Settings!$B$5,T512))),"&amp;","?")&amp;"utm_source="&amp;V512&amp;"&amp;utm_medium="&amp;W512&amp;"&amp;utm_campaign="&amp;X512&amp;"&amp;utm_content="&amp;Y512)</f>
        <v/>
      </c>
      <c r="AA512" s="29"/>
      <c r="AB512" s="39"/>
      <c r="AC512" s="32"/>
      <c r="AD512" s="32"/>
      <c r="AE512" s="32"/>
      <c r="AF512" s="32"/>
      <c r="AG512" s="32"/>
      <c r="AH512" s="32"/>
      <c r="AI512" s="32"/>
      <c r="AJ512" s="32"/>
      <c r="AK512" s="32"/>
      <c r="AL512" s="32"/>
      <c r="AM512" s="32"/>
      <c r="AN512" s="32"/>
      <c r="AO512" s="33" t="str">
        <f aca="false">IF(A512="","",IF(AD512&lt;&gt;"",AD512,IF(AC512&lt;&gt;"",AC512,"")))</f>
        <v/>
      </c>
      <c r="AP512" s="24" t="str">
        <f aca="false">IF(AO512="","",IF(AD512&lt;&gt;"","Reported reach","Impressions (proxy)"))</f>
        <v/>
      </c>
      <c r="AQ512" s="34" t="str">
        <f aca="false">IF(OR(AO512="",N(S512)=0),"",AO512/S512)</f>
        <v/>
      </c>
      <c r="AR512" s="33" t="str">
        <f aca="false">IF(A512="","",IF(COUNT(AF512:AJ512)=0,"",SUM(AF512:AJ512)))</f>
        <v/>
      </c>
      <c r="AS512" s="34" t="str">
        <f aca="false">IF(OR(AR512="",N(AO512)=0),"",AR512/AO512)</f>
        <v/>
      </c>
      <c r="AT512" s="34" t="str">
        <f aca="false">IF(OR(AR512="",N(AC512)=0),"",AR512/AC512)</f>
        <v/>
      </c>
      <c r="AU512" s="34" t="str">
        <f aca="false">IF(OR(AR512="",N(S512)=0),"",AR512/S512)</f>
        <v/>
      </c>
      <c r="AV512" s="34" t="str">
        <f aca="false">IF(OR(AJ512="",N(AC512)=0),"",AJ512/AC512)</f>
        <v/>
      </c>
      <c r="AW512" s="34" t="str">
        <f aca="false">IF(OR(AH512="",N(AO512)=0),"",AH512/AO512)</f>
        <v/>
      </c>
      <c r="AX512" s="35" t="str">
        <f aca="false">IF(OR(AR512="",N(AO512)=0),"",(N(AF512)*Settings!$B$6+N(AG512)*Settings!$B$7+N(AH512)*Settings!$B$8+N(AI512)*Settings!$B$9+N(AJ512)*Settings!$B$10)/AO512*1000)</f>
        <v/>
      </c>
      <c r="AY512" s="36" t="str">
        <f aca="false">IF(AS512="","",IFERROR(AS512/AVERAGEIFS('Post Tracker'!$AS$5:$AS$1004,'Post Tracker'!$G$5:$G$1004,G512),""))</f>
        <v/>
      </c>
      <c r="AZ512" s="32"/>
      <c r="BA512" s="32"/>
      <c r="BB512" s="32"/>
      <c r="BC512" s="32"/>
      <c r="BD512" s="33" t="str">
        <f aca="false">IF(A512="","",COUNTIFS('Demo Pipeline'!$Q$5:$Q$504,A512))</f>
        <v/>
      </c>
      <c r="BE512" s="33" t="str">
        <f aca="false">IF(A512="","",COUNTIFS('Demo Pipeline'!$Q$5:$Q$504,A512,'Demo Pipeline'!$W$5:$W$504,"Attended"))</f>
        <v/>
      </c>
      <c r="BF512" s="33" t="str">
        <f aca="false">IF(A512="","",COUNTIFS('Demo Pipeline'!$Q$5:$Q$504,A512,'Demo Pipeline'!$X$5:$X$504,"Yes"))</f>
        <v/>
      </c>
      <c r="BG512" s="33" t="str">
        <f aca="false">IF(A512="","",COUNTIFS('Demo Pipeline'!$Q$5:$Q$504,A512,'Demo Pipeline'!$Y$5:$Y$504,"Closed Won"))</f>
        <v/>
      </c>
      <c r="BH512" s="37" t="str">
        <f aca="false">IF(A512="","",SUMIFS('Demo Pipeline'!$Z$5:$Z$504,'Demo Pipeline'!$Q$5:$Q$504,A512))</f>
        <v/>
      </c>
      <c r="BI512" s="34" t="str">
        <f aca="false">IF(OR(AZ512="",N(AJ512)=0),"",AZ512/AJ512)</f>
        <v/>
      </c>
      <c r="BJ512" s="34" t="str">
        <f aca="false">IF(OR(BB512="",N(AZ512)=0),"",BB512/AZ512)</f>
        <v/>
      </c>
      <c r="BK512" s="34" t="str">
        <f aca="false">IF(OR(A512="",N(BB512)=0),"",BD512/BB512)</f>
        <v/>
      </c>
      <c r="BL512" s="34" t="str">
        <f aca="false">IF(OR(A512="",N(AZ512)=0),"",BD512/AZ512)</f>
        <v/>
      </c>
      <c r="BM512" s="37" t="str">
        <f aca="false">IF(OR(N(Q512)=0,N(BD512)=0),"",Q512/BD512)</f>
        <v/>
      </c>
      <c r="BN512" s="29"/>
      <c r="BO512" s="29"/>
      <c r="BP512" s="33" t="str">
        <f aca="false">IF(OR(AR512="",N(AO512)=0),"",AR512)</f>
        <v/>
      </c>
      <c r="BQ512" s="33" t="str">
        <f aca="false">IF(OR(AR512="",N(S512)=0),"",S512)</f>
        <v/>
      </c>
      <c r="BR512" s="38" t="str">
        <f aca="false">IF(AND(ISNUMBER(B512),B512&gt;=Dashboard!$C$4,B512&lt;=Dashboard!$F$4,ISNUMBER(AU512)),AU512+ROW()/10^9,"")</f>
        <v/>
      </c>
      <c r="BS512" s="38" t="str">
        <f aca="false">IF(AND(ISNUMBER(B512),B512&gt;=Dashboard!$C$4,B512&lt;=Dashboard!$F$4,A512&lt;&gt;""),N(BD512)+N(AU512)/100+ROW()/10^9,"")</f>
        <v/>
      </c>
    </row>
    <row r="513" customFormat="false" ht="15" hidden="false" customHeight="false" outlineLevel="0" collapsed="false">
      <c r="A513" s="24" t="str">
        <f aca="false">IF(OR(B513="",G513="",H513=""),"",IFERROR(INDEX(Settings!$E$5:$E$49,MATCH(G513,Settings!$D$5:$D$49,0))&amp;INDEX(Settings!$H$5:$H$47,MATCH(H513,Settings!$G$5:$G$47,0))&amp;"-"&amp;TEXT(B513,"yymmdd")&amp;"-"&amp;IF(C513="","0000",TEXT(C513,"hhmm")),"CHECK LISTS"))</f>
        <v/>
      </c>
      <c r="B513" s="39"/>
      <c r="C513" s="40"/>
      <c r="D513" s="24" t="str">
        <f aca="false">IF(B513="","",TEXT(B513,"ddd"))</f>
        <v/>
      </c>
      <c r="E513" s="27" t="str">
        <f aca="false">IF(B513="","",B513-WEEKDAY(B513,3))</f>
        <v/>
      </c>
      <c r="F513" s="24" t="str">
        <f aca="false">IF(B513="","",TEXT(B513,"yyyy-mm"))</f>
        <v/>
      </c>
      <c r="G513" s="29"/>
      <c r="H513" s="29"/>
      <c r="I513" s="29"/>
      <c r="J513" s="29"/>
      <c r="K513" s="29"/>
      <c r="L513" s="29"/>
      <c r="M513" s="29"/>
      <c r="N513" s="29"/>
      <c r="O513" s="29"/>
      <c r="P513" s="29"/>
      <c r="Q513" s="30"/>
      <c r="R513" s="29"/>
      <c r="S513" s="32"/>
      <c r="T513" s="29"/>
      <c r="U513" s="29"/>
      <c r="V513" s="24" t="str">
        <f aca="false">IF(A513="","",IFERROR(INDEX(Settings!$F$5:$F$49,MATCH(G513,Settings!$D$5:$D$49,0)),""))</f>
        <v/>
      </c>
      <c r="W513" s="24" t="str">
        <f aca="false">IF(A513="","",IF(OR(P513="",P513="Organic"),"social","paid_social"))</f>
        <v/>
      </c>
      <c r="X513" s="24" t="str">
        <f aca="false">IF(A513="","",IF(K513&lt;&gt;"",IFERROR(INDEX('Case Studies'!$C$5:$C$54,MATCH(K513,'Case Studies'!$B$5:$B$54,0))&amp;"","case-study"),IF(J513&lt;&gt;"",IFERROR(INDEX(Settings!$J$5:$J$55,MATCH(J513,Settings!$I$5:$I$55,0)),"general"),"general")))</f>
        <v/>
      </c>
      <c r="Y513" s="24" t="str">
        <f aca="false">IF(A513="","",LOWER(A513))</f>
        <v/>
      </c>
      <c r="Z513" s="24" t="str">
        <f aca="false">IF(A513="","",IF(T513="",Settings!$B$5,T513)&amp;IF(ISNUMBER(FIND("?",IF(T513="",Settings!$B$5,T513))),"&amp;","?")&amp;"utm_source="&amp;V513&amp;"&amp;utm_medium="&amp;W513&amp;"&amp;utm_campaign="&amp;X513&amp;"&amp;utm_content="&amp;Y513)</f>
        <v/>
      </c>
      <c r="AA513" s="29"/>
      <c r="AB513" s="39"/>
      <c r="AC513" s="32"/>
      <c r="AD513" s="32"/>
      <c r="AE513" s="32"/>
      <c r="AF513" s="32"/>
      <c r="AG513" s="32"/>
      <c r="AH513" s="32"/>
      <c r="AI513" s="32"/>
      <c r="AJ513" s="32"/>
      <c r="AK513" s="32"/>
      <c r="AL513" s="32"/>
      <c r="AM513" s="32"/>
      <c r="AN513" s="32"/>
      <c r="AO513" s="33" t="str">
        <f aca="false">IF(A513="","",IF(AD513&lt;&gt;"",AD513,IF(AC513&lt;&gt;"",AC513,"")))</f>
        <v/>
      </c>
      <c r="AP513" s="24" t="str">
        <f aca="false">IF(AO513="","",IF(AD513&lt;&gt;"","Reported reach","Impressions (proxy)"))</f>
        <v/>
      </c>
      <c r="AQ513" s="34" t="str">
        <f aca="false">IF(OR(AO513="",N(S513)=0),"",AO513/S513)</f>
        <v/>
      </c>
      <c r="AR513" s="33" t="str">
        <f aca="false">IF(A513="","",IF(COUNT(AF513:AJ513)=0,"",SUM(AF513:AJ513)))</f>
        <v/>
      </c>
      <c r="AS513" s="34" t="str">
        <f aca="false">IF(OR(AR513="",N(AO513)=0),"",AR513/AO513)</f>
        <v/>
      </c>
      <c r="AT513" s="34" t="str">
        <f aca="false">IF(OR(AR513="",N(AC513)=0),"",AR513/AC513)</f>
        <v/>
      </c>
      <c r="AU513" s="34" t="str">
        <f aca="false">IF(OR(AR513="",N(S513)=0),"",AR513/S513)</f>
        <v/>
      </c>
      <c r="AV513" s="34" t="str">
        <f aca="false">IF(OR(AJ513="",N(AC513)=0),"",AJ513/AC513)</f>
        <v/>
      </c>
      <c r="AW513" s="34" t="str">
        <f aca="false">IF(OR(AH513="",N(AO513)=0),"",AH513/AO513)</f>
        <v/>
      </c>
      <c r="AX513" s="35" t="str">
        <f aca="false">IF(OR(AR513="",N(AO513)=0),"",(N(AF513)*Settings!$B$6+N(AG513)*Settings!$B$7+N(AH513)*Settings!$B$8+N(AI513)*Settings!$B$9+N(AJ513)*Settings!$B$10)/AO513*1000)</f>
        <v/>
      </c>
      <c r="AY513" s="36" t="str">
        <f aca="false">IF(AS513="","",IFERROR(AS513/AVERAGEIFS('Post Tracker'!$AS$5:$AS$1004,'Post Tracker'!$G$5:$G$1004,G513),""))</f>
        <v/>
      </c>
      <c r="AZ513" s="32"/>
      <c r="BA513" s="32"/>
      <c r="BB513" s="32"/>
      <c r="BC513" s="32"/>
      <c r="BD513" s="33" t="str">
        <f aca="false">IF(A513="","",COUNTIFS('Demo Pipeline'!$Q$5:$Q$504,A513))</f>
        <v/>
      </c>
      <c r="BE513" s="33" t="str">
        <f aca="false">IF(A513="","",COUNTIFS('Demo Pipeline'!$Q$5:$Q$504,A513,'Demo Pipeline'!$W$5:$W$504,"Attended"))</f>
        <v/>
      </c>
      <c r="BF513" s="33" t="str">
        <f aca="false">IF(A513="","",COUNTIFS('Demo Pipeline'!$Q$5:$Q$504,A513,'Demo Pipeline'!$X$5:$X$504,"Yes"))</f>
        <v/>
      </c>
      <c r="BG513" s="33" t="str">
        <f aca="false">IF(A513="","",COUNTIFS('Demo Pipeline'!$Q$5:$Q$504,A513,'Demo Pipeline'!$Y$5:$Y$504,"Closed Won"))</f>
        <v/>
      </c>
      <c r="BH513" s="37" t="str">
        <f aca="false">IF(A513="","",SUMIFS('Demo Pipeline'!$Z$5:$Z$504,'Demo Pipeline'!$Q$5:$Q$504,A513))</f>
        <v/>
      </c>
      <c r="BI513" s="34" t="str">
        <f aca="false">IF(OR(AZ513="",N(AJ513)=0),"",AZ513/AJ513)</f>
        <v/>
      </c>
      <c r="BJ513" s="34" t="str">
        <f aca="false">IF(OR(BB513="",N(AZ513)=0),"",BB513/AZ513)</f>
        <v/>
      </c>
      <c r="BK513" s="34" t="str">
        <f aca="false">IF(OR(A513="",N(BB513)=0),"",BD513/BB513)</f>
        <v/>
      </c>
      <c r="BL513" s="34" t="str">
        <f aca="false">IF(OR(A513="",N(AZ513)=0),"",BD513/AZ513)</f>
        <v/>
      </c>
      <c r="BM513" s="37" t="str">
        <f aca="false">IF(OR(N(Q513)=0,N(BD513)=0),"",Q513/BD513)</f>
        <v/>
      </c>
      <c r="BN513" s="29"/>
      <c r="BO513" s="29"/>
      <c r="BP513" s="33" t="str">
        <f aca="false">IF(OR(AR513="",N(AO513)=0),"",AR513)</f>
        <v/>
      </c>
      <c r="BQ513" s="33" t="str">
        <f aca="false">IF(OR(AR513="",N(S513)=0),"",S513)</f>
        <v/>
      </c>
      <c r="BR513" s="38" t="str">
        <f aca="false">IF(AND(ISNUMBER(B513),B513&gt;=Dashboard!$C$4,B513&lt;=Dashboard!$F$4,ISNUMBER(AU513)),AU513+ROW()/10^9,"")</f>
        <v/>
      </c>
      <c r="BS513" s="38" t="str">
        <f aca="false">IF(AND(ISNUMBER(B513),B513&gt;=Dashboard!$C$4,B513&lt;=Dashboard!$F$4,A513&lt;&gt;""),N(BD513)+N(AU513)/100+ROW()/10^9,"")</f>
        <v/>
      </c>
    </row>
    <row r="514" customFormat="false" ht="15" hidden="false" customHeight="false" outlineLevel="0" collapsed="false">
      <c r="A514" s="24" t="str">
        <f aca="false">IF(OR(B514="",G514="",H514=""),"",IFERROR(INDEX(Settings!$E$5:$E$49,MATCH(G514,Settings!$D$5:$D$49,0))&amp;INDEX(Settings!$H$5:$H$47,MATCH(H514,Settings!$G$5:$G$47,0))&amp;"-"&amp;TEXT(B514,"yymmdd")&amp;"-"&amp;IF(C514="","0000",TEXT(C514,"hhmm")),"CHECK LISTS"))</f>
        <v/>
      </c>
      <c r="B514" s="39"/>
      <c r="C514" s="40"/>
      <c r="D514" s="24" t="str">
        <f aca="false">IF(B514="","",TEXT(B514,"ddd"))</f>
        <v/>
      </c>
      <c r="E514" s="27" t="str">
        <f aca="false">IF(B514="","",B514-WEEKDAY(B514,3))</f>
        <v/>
      </c>
      <c r="F514" s="24" t="str">
        <f aca="false">IF(B514="","",TEXT(B514,"yyyy-mm"))</f>
        <v/>
      </c>
      <c r="G514" s="29"/>
      <c r="H514" s="29"/>
      <c r="I514" s="29"/>
      <c r="J514" s="29"/>
      <c r="K514" s="29"/>
      <c r="L514" s="29"/>
      <c r="M514" s="29"/>
      <c r="N514" s="29"/>
      <c r="O514" s="29"/>
      <c r="P514" s="29"/>
      <c r="Q514" s="30"/>
      <c r="R514" s="29"/>
      <c r="S514" s="32"/>
      <c r="T514" s="29"/>
      <c r="U514" s="29"/>
      <c r="V514" s="24" t="str">
        <f aca="false">IF(A514="","",IFERROR(INDEX(Settings!$F$5:$F$49,MATCH(G514,Settings!$D$5:$D$49,0)),""))</f>
        <v/>
      </c>
      <c r="W514" s="24" t="str">
        <f aca="false">IF(A514="","",IF(OR(P514="",P514="Organic"),"social","paid_social"))</f>
        <v/>
      </c>
      <c r="X514" s="24" t="str">
        <f aca="false">IF(A514="","",IF(K514&lt;&gt;"",IFERROR(INDEX('Case Studies'!$C$5:$C$54,MATCH(K514,'Case Studies'!$B$5:$B$54,0))&amp;"","case-study"),IF(J514&lt;&gt;"",IFERROR(INDEX(Settings!$J$5:$J$55,MATCH(J514,Settings!$I$5:$I$55,0)),"general"),"general")))</f>
        <v/>
      </c>
      <c r="Y514" s="24" t="str">
        <f aca="false">IF(A514="","",LOWER(A514))</f>
        <v/>
      </c>
      <c r="Z514" s="24" t="str">
        <f aca="false">IF(A514="","",IF(T514="",Settings!$B$5,T514)&amp;IF(ISNUMBER(FIND("?",IF(T514="",Settings!$B$5,T514))),"&amp;","?")&amp;"utm_source="&amp;V514&amp;"&amp;utm_medium="&amp;W514&amp;"&amp;utm_campaign="&amp;X514&amp;"&amp;utm_content="&amp;Y514)</f>
        <v/>
      </c>
      <c r="AA514" s="29"/>
      <c r="AB514" s="39"/>
      <c r="AC514" s="32"/>
      <c r="AD514" s="32"/>
      <c r="AE514" s="32"/>
      <c r="AF514" s="32"/>
      <c r="AG514" s="32"/>
      <c r="AH514" s="32"/>
      <c r="AI514" s="32"/>
      <c r="AJ514" s="32"/>
      <c r="AK514" s="32"/>
      <c r="AL514" s="32"/>
      <c r="AM514" s="32"/>
      <c r="AN514" s="32"/>
      <c r="AO514" s="33" t="str">
        <f aca="false">IF(A514="","",IF(AD514&lt;&gt;"",AD514,IF(AC514&lt;&gt;"",AC514,"")))</f>
        <v/>
      </c>
      <c r="AP514" s="24" t="str">
        <f aca="false">IF(AO514="","",IF(AD514&lt;&gt;"","Reported reach","Impressions (proxy)"))</f>
        <v/>
      </c>
      <c r="AQ514" s="34" t="str">
        <f aca="false">IF(OR(AO514="",N(S514)=0),"",AO514/S514)</f>
        <v/>
      </c>
      <c r="AR514" s="33" t="str">
        <f aca="false">IF(A514="","",IF(COUNT(AF514:AJ514)=0,"",SUM(AF514:AJ514)))</f>
        <v/>
      </c>
      <c r="AS514" s="34" t="str">
        <f aca="false">IF(OR(AR514="",N(AO514)=0),"",AR514/AO514)</f>
        <v/>
      </c>
      <c r="AT514" s="34" t="str">
        <f aca="false">IF(OR(AR514="",N(AC514)=0),"",AR514/AC514)</f>
        <v/>
      </c>
      <c r="AU514" s="34" t="str">
        <f aca="false">IF(OR(AR514="",N(S514)=0),"",AR514/S514)</f>
        <v/>
      </c>
      <c r="AV514" s="34" t="str">
        <f aca="false">IF(OR(AJ514="",N(AC514)=0),"",AJ514/AC514)</f>
        <v/>
      </c>
      <c r="AW514" s="34" t="str">
        <f aca="false">IF(OR(AH514="",N(AO514)=0),"",AH514/AO514)</f>
        <v/>
      </c>
      <c r="AX514" s="35" t="str">
        <f aca="false">IF(OR(AR514="",N(AO514)=0),"",(N(AF514)*Settings!$B$6+N(AG514)*Settings!$B$7+N(AH514)*Settings!$B$8+N(AI514)*Settings!$B$9+N(AJ514)*Settings!$B$10)/AO514*1000)</f>
        <v/>
      </c>
      <c r="AY514" s="36" t="str">
        <f aca="false">IF(AS514="","",IFERROR(AS514/AVERAGEIFS('Post Tracker'!$AS$5:$AS$1004,'Post Tracker'!$G$5:$G$1004,G514),""))</f>
        <v/>
      </c>
      <c r="AZ514" s="32"/>
      <c r="BA514" s="32"/>
      <c r="BB514" s="32"/>
      <c r="BC514" s="32"/>
      <c r="BD514" s="33" t="str">
        <f aca="false">IF(A514="","",COUNTIFS('Demo Pipeline'!$Q$5:$Q$504,A514))</f>
        <v/>
      </c>
      <c r="BE514" s="33" t="str">
        <f aca="false">IF(A514="","",COUNTIFS('Demo Pipeline'!$Q$5:$Q$504,A514,'Demo Pipeline'!$W$5:$W$504,"Attended"))</f>
        <v/>
      </c>
      <c r="BF514" s="33" t="str">
        <f aca="false">IF(A514="","",COUNTIFS('Demo Pipeline'!$Q$5:$Q$504,A514,'Demo Pipeline'!$X$5:$X$504,"Yes"))</f>
        <v/>
      </c>
      <c r="BG514" s="33" t="str">
        <f aca="false">IF(A514="","",COUNTIFS('Demo Pipeline'!$Q$5:$Q$504,A514,'Demo Pipeline'!$Y$5:$Y$504,"Closed Won"))</f>
        <v/>
      </c>
      <c r="BH514" s="37" t="str">
        <f aca="false">IF(A514="","",SUMIFS('Demo Pipeline'!$Z$5:$Z$504,'Demo Pipeline'!$Q$5:$Q$504,A514))</f>
        <v/>
      </c>
      <c r="BI514" s="34" t="str">
        <f aca="false">IF(OR(AZ514="",N(AJ514)=0),"",AZ514/AJ514)</f>
        <v/>
      </c>
      <c r="BJ514" s="34" t="str">
        <f aca="false">IF(OR(BB514="",N(AZ514)=0),"",BB514/AZ514)</f>
        <v/>
      </c>
      <c r="BK514" s="34" t="str">
        <f aca="false">IF(OR(A514="",N(BB514)=0),"",BD514/BB514)</f>
        <v/>
      </c>
      <c r="BL514" s="34" t="str">
        <f aca="false">IF(OR(A514="",N(AZ514)=0),"",BD514/AZ514)</f>
        <v/>
      </c>
      <c r="BM514" s="37" t="str">
        <f aca="false">IF(OR(N(Q514)=0,N(BD514)=0),"",Q514/BD514)</f>
        <v/>
      </c>
      <c r="BN514" s="29"/>
      <c r="BO514" s="29"/>
      <c r="BP514" s="33" t="str">
        <f aca="false">IF(OR(AR514="",N(AO514)=0),"",AR514)</f>
        <v/>
      </c>
      <c r="BQ514" s="33" t="str">
        <f aca="false">IF(OR(AR514="",N(S514)=0),"",S514)</f>
        <v/>
      </c>
      <c r="BR514" s="38" t="str">
        <f aca="false">IF(AND(ISNUMBER(B514),B514&gt;=Dashboard!$C$4,B514&lt;=Dashboard!$F$4,ISNUMBER(AU514)),AU514+ROW()/10^9,"")</f>
        <v/>
      </c>
      <c r="BS514" s="38" t="str">
        <f aca="false">IF(AND(ISNUMBER(B514),B514&gt;=Dashboard!$C$4,B514&lt;=Dashboard!$F$4,A514&lt;&gt;""),N(BD514)+N(AU514)/100+ROW()/10^9,"")</f>
        <v/>
      </c>
    </row>
    <row r="515" customFormat="false" ht="15" hidden="false" customHeight="false" outlineLevel="0" collapsed="false">
      <c r="A515" s="24" t="str">
        <f aca="false">IF(OR(B515="",G515="",H515=""),"",IFERROR(INDEX(Settings!$E$5:$E$49,MATCH(G515,Settings!$D$5:$D$49,0))&amp;INDEX(Settings!$H$5:$H$47,MATCH(H515,Settings!$G$5:$G$47,0))&amp;"-"&amp;TEXT(B515,"yymmdd")&amp;"-"&amp;IF(C515="","0000",TEXT(C515,"hhmm")),"CHECK LISTS"))</f>
        <v/>
      </c>
      <c r="B515" s="39"/>
      <c r="C515" s="40"/>
      <c r="D515" s="24" t="str">
        <f aca="false">IF(B515="","",TEXT(B515,"ddd"))</f>
        <v/>
      </c>
      <c r="E515" s="27" t="str">
        <f aca="false">IF(B515="","",B515-WEEKDAY(B515,3))</f>
        <v/>
      </c>
      <c r="F515" s="24" t="str">
        <f aca="false">IF(B515="","",TEXT(B515,"yyyy-mm"))</f>
        <v/>
      </c>
      <c r="G515" s="29"/>
      <c r="H515" s="29"/>
      <c r="I515" s="29"/>
      <c r="J515" s="29"/>
      <c r="K515" s="29"/>
      <c r="L515" s="29"/>
      <c r="M515" s="29"/>
      <c r="N515" s="29"/>
      <c r="O515" s="29"/>
      <c r="P515" s="29"/>
      <c r="Q515" s="30"/>
      <c r="R515" s="29"/>
      <c r="S515" s="32"/>
      <c r="T515" s="29"/>
      <c r="U515" s="29"/>
      <c r="V515" s="24" t="str">
        <f aca="false">IF(A515="","",IFERROR(INDEX(Settings!$F$5:$F$49,MATCH(G515,Settings!$D$5:$D$49,0)),""))</f>
        <v/>
      </c>
      <c r="W515" s="24" t="str">
        <f aca="false">IF(A515="","",IF(OR(P515="",P515="Organic"),"social","paid_social"))</f>
        <v/>
      </c>
      <c r="X515" s="24" t="str">
        <f aca="false">IF(A515="","",IF(K515&lt;&gt;"",IFERROR(INDEX('Case Studies'!$C$5:$C$54,MATCH(K515,'Case Studies'!$B$5:$B$54,0))&amp;"","case-study"),IF(J515&lt;&gt;"",IFERROR(INDEX(Settings!$J$5:$J$55,MATCH(J515,Settings!$I$5:$I$55,0)),"general"),"general")))</f>
        <v/>
      </c>
      <c r="Y515" s="24" t="str">
        <f aca="false">IF(A515="","",LOWER(A515))</f>
        <v/>
      </c>
      <c r="Z515" s="24" t="str">
        <f aca="false">IF(A515="","",IF(T515="",Settings!$B$5,T515)&amp;IF(ISNUMBER(FIND("?",IF(T515="",Settings!$B$5,T515))),"&amp;","?")&amp;"utm_source="&amp;V515&amp;"&amp;utm_medium="&amp;W515&amp;"&amp;utm_campaign="&amp;X515&amp;"&amp;utm_content="&amp;Y515)</f>
        <v/>
      </c>
      <c r="AA515" s="29"/>
      <c r="AB515" s="39"/>
      <c r="AC515" s="32"/>
      <c r="AD515" s="32"/>
      <c r="AE515" s="32"/>
      <c r="AF515" s="32"/>
      <c r="AG515" s="32"/>
      <c r="AH515" s="32"/>
      <c r="AI515" s="32"/>
      <c r="AJ515" s="32"/>
      <c r="AK515" s="32"/>
      <c r="AL515" s="32"/>
      <c r="AM515" s="32"/>
      <c r="AN515" s="32"/>
      <c r="AO515" s="33" t="str">
        <f aca="false">IF(A515="","",IF(AD515&lt;&gt;"",AD515,IF(AC515&lt;&gt;"",AC515,"")))</f>
        <v/>
      </c>
      <c r="AP515" s="24" t="str">
        <f aca="false">IF(AO515="","",IF(AD515&lt;&gt;"","Reported reach","Impressions (proxy)"))</f>
        <v/>
      </c>
      <c r="AQ515" s="34" t="str">
        <f aca="false">IF(OR(AO515="",N(S515)=0),"",AO515/S515)</f>
        <v/>
      </c>
      <c r="AR515" s="33" t="str">
        <f aca="false">IF(A515="","",IF(COUNT(AF515:AJ515)=0,"",SUM(AF515:AJ515)))</f>
        <v/>
      </c>
      <c r="AS515" s="34" t="str">
        <f aca="false">IF(OR(AR515="",N(AO515)=0),"",AR515/AO515)</f>
        <v/>
      </c>
      <c r="AT515" s="34" t="str">
        <f aca="false">IF(OR(AR515="",N(AC515)=0),"",AR515/AC515)</f>
        <v/>
      </c>
      <c r="AU515" s="34" t="str">
        <f aca="false">IF(OR(AR515="",N(S515)=0),"",AR515/S515)</f>
        <v/>
      </c>
      <c r="AV515" s="34" t="str">
        <f aca="false">IF(OR(AJ515="",N(AC515)=0),"",AJ515/AC515)</f>
        <v/>
      </c>
      <c r="AW515" s="34" t="str">
        <f aca="false">IF(OR(AH515="",N(AO515)=0),"",AH515/AO515)</f>
        <v/>
      </c>
      <c r="AX515" s="35" t="str">
        <f aca="false">IF(OR(AR515="",N(AO515)=0),"",(N(AF515)*Settings!$B$6+N(AG515)*Settings!$B$7+N(AH515)*Settings!$B$8+N(AI515)*Settings!$B$9+N(AJ515)*Settings!$B$10)/AO515*1000)</f>
        <v/>
      </c>
      <c r="AY515" s="36" t="str">
        <f aca="false">IF(AS515="","",IFERROR(AS515/AVERAGEIFS('Post Tracker'!$AS$5:$AS$1004,'Post Tracker'!$G$5:$G$1004,G515),""))</f>
        <v/>
      </c>
      <c r="AZ515" s="32"/>
      <c r="BA515" s="32"/>
      <c r="BB515" s="32"/>
      <c r="BC515" s="32"/>
      <c r="BD515" s="33" t="str">
        <f aca="false">IF(A515="","",COUNTIFS('Demo Pipeline'!$Q$5:$Q$504,A515))</f>
        <v/>
      </c>
      <c r="BE515" s="33" t="str">
        <f aca="false">IF(A515="","",COUNTIFS('Demo Pipeline'!$Q$5:$Q$504,A515,'Demo Pipeline'!$W$5:$W$504,"Attended"))</f>
        <v/>
      </c>
      <c r="BF515" s="33" t="str">
        <f aca="false">IF(A515="","",COUNTIFS('Demo Pipeline'!$Q$5:$Q$504,A515,'Demo Pipeline'!$X$5:$X$504,"Yes"))</f>
        <v/>
      </c>
      <c r="BG515" s="33" t="str">
        <f aca="false">IF(A515="","",COUNTIFS('Demo Pipeline'!$Q$5:$Q$504,A515,'Demo Pipeline'!$Y$5:$Y$504,"Closed Won"))</f>
        <v/>
      </c>
      <c r="BH515" s="37" t="str">
        <f aca="false">IF(A515="","",SUMIFS('Demo Pipeline'!$Z$5:$Z$504,'Demo Pipeline'!$Q$5:$Q$504,A515))</f>
        <v/>
      </c>
      <c r="BI515" s="34" t="str">
        <f aca="false">IF(OR(AZ515="",N(AJ515)=0),"",AZ515/AJ515)</f>
        <v/>
      </c>
      <c r="BJ515" s="34" t="str">
        <f aca="false">IF(OR(BB515="",N(AZ515)=0),"",BB515/AZ515)</f>
        <v/>
      </c>
      <c r="BK515" s="34" t="str">
        <f aca="false">IF(OR(A515="",N(BB515)=0),"",BD515/BB515)</f>
        <v/>
      </c>
      <c r="BL515" s="34" t="str">
        <f aca="false">IF(OR(A515="",N(AZ515)=0),"",BD515/AZ515)</f>
        <v/>
      </c>
      <c r="BM515" s="37" t="str">
        <f aca="false">IF(OR(N(Q515)=0,N(BD515)=0),"",Q515/BD515)</f>
        <v/>
      </c>
      <c r="BN515" s="29"/>
      <c r="BO515" s="29"/>
      <c r="BP515" s="33" t="str">
        <f aca="false">IF(OR(AR515="",N(AO515)=0),"",AR515)</f>
        <v/>
      </c>
      <c r="BQ515" s="33" t="str">
        <f aca="false">IF(OR(AR515="",N(S515)=0),"",S515)</f>
        <v/>
      </c>
      <c r="BR515" s="38" t="str">
        <f aca="false">IF(AND(ISNUMBER(B515),B515&gt;=Dashboard!$C$4,B515&lt;=Dashboard!$F$4,ISNUMBER(AU515)),AU515+ROW()/10^9,"")</f>
        <v/>
      </c>
      <c r="BS515" s="38" t="str">
        <f aca="false">IF(AND(ISNUMBER(B515),B515&gt;=Dashboard!$C$4,B515&lt;=Dashboard!$F$4,A515&lt;&gt;""),N(BD515)+N(AU515)/100+ROW()/10^9,"")</f>
        <v/>
      </c>
    </row>
    <row r="516" customFormat="false" ht="15" hidden="false" customHeight="false" outlineLevel="0" collapsed="false">
      <c r="A516" s="24" t="str">
        <f aca="false">IF(OR(B516="",G516="",H516=""),"",IFERROR(INDEX(Settings!$E$5:$E$49,MATCH(G516,Settings!$D$5:$D$49,0))&amp;INDEX(Settings!$H$5:$H$47,MATCH(H516,Settings!$G$5:$G$47,0))&amp;"-"&amp;TEXT(B516,"yymmdd")&amp;"-"&amp;IF(C516="","0000",TEXT(C516,"hhmm")),"CHECK LISTS"))</f>
        <v/>
      </c>
      <c r="B516" s="39"/>
      <c r="C516" s="40"/>
      <c r="D516" s="24" t="str">
        <f aca="false">IF(B516="","",TEXT(B516,"ddd"))</f>
        <v/>
      </c>
      <c r="E516" s="27" t="str">
        <f aca="false">IF(B516="","",B516-WEEKDAY(B516,3))</f>
        <v/>
      </c>
      <c r="F516" s="24" t="str">
        <f aca="false">IF(B516="","",TEXT(B516,"yyyy-mm"))</f>
        <v/>
      </c>
      <c r="G516" s="29"/>
      <c r="H516" s="29"/>
      <c r="I516" s="29"/>
      <c r="J516" s="29"/>
      <c r="K516" s="29"/>
      <c r="L516" s="29"/>
      <c r="M516" s="29"/>
      <c r="N516" s="29"/>
      <c r="O516" s="29"/>
      <c r="P516" s="29"/>
      <c r="Q516" s="30"/>
      <c r="R516" s="29"/>
      <c r="S516" s="32"/>
      <c r="T516" s="29"/>
      <c r="U516" s="29"/>
      <c r="V516" s="24" t="str">
        <f aca="false">IF(A516="","",IFERROR(INDEX(Settings!$F$5:$F$49,MATCH(G516,Settings!$D$5:$D$49,0)),""))</f>
        <v/>
      </c>
      <c r="W516" s="24" t="str">
        <f aca="false">IF(A516="","",IF(OR(P516="",P516="Organic"),"social","paid_social"))</f>
        <v/>
      </c>
      <c r="X516" s="24" t="str">
        <f aca="false">IF(A516="","",IF(K516&lt;&gt;"",IFERROR(INDEX('Case Studies'!$C$5:$C$54,MATCH(K516,'Case Studies'!$B$5:$B$54,0))&amp;"","case-study"),IF(J516&lt;&gt;"",IFERROR(INDEX(Settings!$J$5:$J$55,MATCH(J516,Settings!$I$5:$I$55,0)),"general"),"general")))</f>
        <v/>
      </c>
      <c r="Y516" s="24" t="str">
        <f aca="false">IF(A516="","",LOWER(A516))</f>
        <v/>
      </c>
      <c r="Z516" s="24" t="str">
        <f aca="false">IF(A516="","",IF(T516="",Settings!$B$5,T516)&amp;IF(ISNUMBER(FIND("?",IF(T516="",Settings!$B$5,T516))),"&amp;","?")&amp;"utm_source="&amp;V516&amp;"&amp;utm_medium="&amp;W516&amp;"&amp;utm_campaign="&amp;X516&amp;"&amp;utm_content="&amp;Y516)</f>
        <v/>
      </c>
      <c r="AA516" s="29"/>
      <c r="AB516" s="39"/>
      <c r="AC516" s="32"/>
      <c r="AD516" s="32"/>
      <c r="AE516" s="32"/>
      <c r="AF516" s="32"/>
      <c r="AG516" s="32"/>
      <c r="AH516" s="32"/>
      <c r="AI516" s="32"/>
      <c r="AJ516" s="32"/>
      <c r="AK516" s="32"/>
      <c r="AL516" s="32"/>
      <c r="AM516" s="32"/>
      <c r="AN516" s="32"/>
      <c r="AO516" s="33" t="str">
        <f aca="false">IF(A516="","",IF(AD516&lt;&gt;"",AD516,IF(AC516&lt;&gt;"",AC516,"")))</f>
        <v/>
      </c>
      <c r="AP516" s="24" t="str">
        <f aca="false">IF(AO516="","",IF(AD516&lt;&gt;"","Reported reach","Impressions (proxy)"))</f>
        <v/>
      </c>
      <c r="AQ516" s="34" t="str">
        <f aca="false">IF(OR(AO516="",N(S516)=0),"",AO516/S516)</f>
        <v/>
      </c>
      <c r="AR516" s="33" t="str">
        <f aca="false">IF(A516="","",IF(COUNT(AF516:AJ516)=0,"",SUM(AF516:AJ516)))</f>
        <v/>
      </c>
      <c r="AS516" s="34" t="str">
        <f aca="false">IF(OR(AR516="",N(AO516)=0),"",AR516/AO516)</f>
        <v/>
      </c>
      <c r="AT516" s="34" t="str">
        <f aca="false">IF(OR(AR516="",N(AC516)=0),"",AR516/AC516)</f>
        <v/>
      </c>
      <c r="AU516" s="34" t="str">
        <f aca="false">IF(OR(AR516="",N(S516)=0),"",AR516/S516)</f>
        <v/>
      </c>
      <c r="AV516" s="34" t="str">
        <f aca="false">IF(OR(AJ516="",N(AC516)=0),"",AJ516/AC516)</f>
        <v/>
      </c>
      <c r="AW516" s="34" t="str">
        <f aca="false">IF(OR(AH516="",N(AO516)=0),"",AH516/AO516)</f>
        <v/>
      </c>
      <c r="AX516" s="35" t="str">
        <f aca="false">IF(OR(AR516="",N(AO516)=0),"",(N(AF516)*Settings!$B$6+N(AG516)*Settings!$B$7+N(AH516)*Settings!$B$8+N(AI516)*Settings!$B$9+N(AJ516)*Settings!$B$10)/AO516*1000)</f>
        <v/>
      </c>
      <c r="AY516" s="36" t="str">
        <f aca="false">IF(AS516="","",IFERROR(AS516/AVERAGEIFS('Post Tracker'!$AS$5:$AS$1004,'Post Tracker'!$G$5:$G$1004,G516),""))</f>
        <v/>
      </c>
      <c r="AZ516" s="32"/>
      <c r="BA516" s="32"/>
      <c r="BB516" s="32"/>
      <c r="BC516" s="32"/>
      <c r="BD516" s="33" t="str">
        <f aca="false">IF(A516="","",COUNTIFS('Demo Pipeline'!$Q$5:$Q$504,A516))</f>
        <v/>
      </c>
      <c r="BE516" s="33" t="str">
        <f aca="false">IF(A516="","",COUNTIFS('Demo Pipeline'!$Q$5:$Q$504,A516,'Demo Pipeline'!$W$5:$W$504,"Attended"))</f>
        <v/>
      </c>
      <c r="BF516" s="33" t="str">
        <f aca="false">IF(A516="","",COUNTIFS('Demo Pipeline'!$Q$5:$Q$504,A516,'Demo Pipeline'!$X$5:$X$504,"Yes"))</f>
        <v/>
      </c>
      <c r="BG516" s="33" t="str">
        <f aca="false">IF(A516="","",COUNTIFS('Demo Pipeline'!$Q$5:$Q$504,A516,'Demo Pipeline'!$Y$5:$Y$504,"Closed Won"))</f>
        <v/>
      </c>
      <c r="BH516" s="37" t="str">
        <f aca="false">IF(A516="","",SUMIFS('Demo Pipeline'!$Z$5:$Z$504,'Demo Pipeline'!$Q$5:$Q$504,A516))</f>
        <v/>
      </c>
      <c r="BI516" s="34" t="str">
        <f aca="false">IF(OR(AZ516="",N(AJ516)=0),"",AZ516/AJ516)</f>
        <v/>
      </c>
      <c r="BJ516" s="34" t="str">
        <f aca="false">IF(OR(BB516="",N(AZ516)=0),"",BB516/AZ516)</f>
        <v/>
      </c>
      <c r="BK516" s="34" t="str">
        <f aca="false">IF(OR(A516="",N(BB516)=0),"",BD516/BB516)</f>
        <v/>
      </c>
      <c r="BL516" s="34" t="str">
        <f aca="false">IF(OR(A516="",N(AZ516)=0),"",BD516/AZ516)</f>
        <v/>
      </c>
      <c r="BM516" s="37" t="str">
        <f aca="false">IF(OR(N(Q516)=0,N(BD516)=0),"",Q516/BD516)</f>
        <v/>
      </c>
      <c r="BN516" s="29"/>
      <c r="BO516" s="29"/>
      <c r="BP516" s="33" t="str">
        <f aca="false">IF(OR(AR516="",N(AO516)=0),"",AR516)</f>
        <v/>
      </c>
      <c r="BQ516" s="33" t="str">
        <f aca="false">IF(OR(AR516="",N(S516)=0),"",S516)</f>
        <v/>
      </c>
      <c r="BR516" s="38" t="str">
        <f aca="false">IF(AND(ISNUMBER(B516),B516&gt;=Dashboard!$C$4,B516&lt;=Dashboard!$F$4,ISNUMBER(AU516)),AU516+ROW()/10^9,"")</f>
        <v/>
      </c>
      <c r="BS516" s="38" t="str">
        <f aca="false">IF(AND(ISNUMBER(B516),B516&gt;=Dashboard!$C$4,B516&lt;=Dashboard!$F$4,A516&lt;&gt;""),N(BD516)+N(AU516)/100+ROW()/10^9,"")</f>
        <v/>
      </c>
    </row>
    <row r="517" customFormat="false" ht="15" hidden="false" customHeight="false" outlineLevel="0" collapsed="false">
      <c r="A517" s="24" t="str">
        <f aca="false">IF(OR(B517="",G517="",H517=""),"",IFERROR(INDEX(Settings!$E$5:$E$49,MATCH(G517,Settings!$D$5:$D$49,0))&amp;INDEX(Settings!$H$5:$H$47,MATCH(H517,Settings!$G$5:$G$47,0))&amp;"-"&amp;TEXT(B517,"yymmdd")&amp;"-"&amp;IF(C517="","0000",TEXT(C517,"hhmm")),"CHECK LISTS"))</f>
        <v/>
      </c>
      <c r="B517" s="39"/>
      <c r="C517" s="40"/>
      <c r="D517" s="24" t="str">
        <f aca="false">IF(B517="","",TEXT(B517,"ddd"))</f>
        <v/>
      </c>
      <c r="E517" s="27" t="str">
        <f aca="false">IF(B517="","",B517-WEEKDAY(B517,3))</f>
        <v/>
      </c>
      <c r="F517" s="24" t="str">
        <f aca="false">IF(B517="","",TEXT(B517,"yyyy-mm"))</f>
        <v/>
      </c>
      <c r="G517" s="29"/>
      <c r="H517" s="29"/>
      <c r="I517" s="29"/>
      <c r="J517" s="29"/>
      <c r="K517" s="29"/>
      <c r="L517" s="29"/>
      <c r="M517" s="29"/>
      <c r="N517" s="29"/>
      <c r="O517" s="29"/>
      <c r="P517" s="29"/>
      <c r="Q517" s="30"/>
      <c r="R517" s="29"/>
      <c r="S517" s="32"/>
      <c r="T517" s="29"/>
      <c r="U517" s="29"/>
      <c r="V517" s="24" t="str">
        <f aca="false">IF(A517="","",IFERROR(INDEX(Settings!$F$5:$F$49,MATCH(G517,Settings!$D$5:$D$49,0)),""))</f>
        <v/>
      </c>
      <c r="W517" s="24" t="str">
        <f aca="false">IF(A517="","",IF(OR(P517="",P517="Organic"),"social","paid_social"))</f>
        <v/>
      </c>
      <c r="X517" s="24" t="str">
        <f aca="false">IF(A517="","",IF(K517&lt;&gt;"",IFERROR(INDEX('Case Studies'!$C$5:$C$54,MATCH(K517,'Case Studies'!$B$5:$B$54,0))&amp;"","case-study"),IF(J517&lt;&gt;"",IFERROR(INDEX(Settings!$J$5:$J$55,MATCH(J517,Settings!$I$5:$I$55,0)),"general"),"general")))</f>
        <v/>
      </c>
      <c r="Y517" s="24" t="str">
        <f aca="false">IF(A517="","",LOWER(A517))</f>
        <v/>
      </c>
      <c r="Z517" s="24" t="str">
        <f aca="false">IF(A517="","",IF(T517="",Settings!$B$5,T517)&amp;IF(ISNUMBER(FIND("?",IF(T517="",Settings!$B$5,T517))),"&amp;","?")&amp;"utm_source="&amp;V517&amp;"&amp;utm_medium="&amp;W517&amp;"&amp;utm_campaign="&amp;X517&amp;"&amp;utm_content="&amp;Y517)</f>
        <v/>
      </c>
      <c r="AA517" s="29"/>
      <c r="AB517" s="39"/>
      <c r="AC517" s="32"/>
      <c r="AD517" s="32"/>
      <c r="AE517" s="32"/>
      <c r="AF517" s="32"/>
      <c r="AG517" s="32"/>
      <c r="AH517" s="32"/>
      <c r="AI517" s="32"/>
      <c r="AJ517" s="32"/>
      <c r="AK517" s="32"/>
      <c r="AL517" s="32"/>
      <c r="AM517" s="32"/>
      <c r="AN517" s="32"/>
      <c r="AO517" s="33" t="str">
        <f aca="false">IF(A517="","",IF(AD517&lt;&gt;"",AD517,IF(AC517&lt;&gt;"",AC517,"")))</f>
        <v/>
      </c>
      <c r="AP517" s="24" t="str">
        <f aca="false">IF(AO517="","",IF(AD517&lt;&gt;"","Reported reach","Impressions (proxy)"))</f>
        <v/>
      </c>
      <c r="AQ517" s="34" t="str">
        <f aca="false">IF(OR(AO517="",N(S517)=0),"",AO517/S517)</f>
        <v/>
      </c>
      <c r="AR517" s="33" t="str">
        <f aca="false">IF(A517="","",IF(COUNT(AF517:AJ517)=0,"",SUM(AF517:AJ517)))</f>
        <v/>
      </c>
      <c r="AS517" s="34" t="str">
        <f aca="false">IF(OR(AR517="",N(AO517)=0),"",AR517/AO517)</f>
        <v/>
      </c>
      <c r="AT517" s="34" t="str">
        <f aca="false">IF(OR(AR517="",N(AC517)=0),"",AR517/AC517)</f>
        <v/>
      </c>
      <c r="AU517" s="34" t="str">
        <f aca="false">IF(OR(AR517="",N(S517)=0),"",AR517/S517)</f>
        <v/>
      </c>
      <c r="AV517" s="34" t="str">
        <f aca="false">IF(OR(AJ517="",N(AC517)=0),"",AJ517/AC517)</f>
        <v/>
      </c>
      <c r="AW517" s="34" t="str">
        <f aca="false">IF(OR(AH517="",N(AO517)=0),"",AH517/AO517)</f>
        <v/>
      </c>
      <c r="AX517" s="35" t="str">
        <f aca="false">IF(OR(AR517="",N(AO517)=0),"",(N(AF517)*Settings!$B$6+N(AG517)*Settings!$B$7+N(AH517)*Settings!$B$8+N(AI517)*Settings!$B$9+N(AJ517)*Settings!$B$10)/AO517*1000)</f>
        <v/>
      </c>
      <c r="AY517" s="36" t="str">
        <f aca="false">IF(AS517="","",IFERROR(AS517/AVERAGEIFS('Post Tracker'!$AS$5:$AS$1004,'Post Tracker'!$G$5:$G$1004,G517),""))</f>
        <v/>
      </c>
      <c r="AZ517" s="32"/>
      <c r="BA517" s="32"/>
      <c r="BB517" s="32"/>
      <c r="BC517" s="32"/>
      <c r="BD517" s="33" t="str">
        <f aca="false">IF(A517="","",COUNTIFS('Demo Pipeline'!$Q$5:$Q$504,A517))</f>
        <v/>
      </c>
      <c r="BE517" s="33" t="str">
        <f aca="false">IF(A517="","",COUNTIFS('Demo Pipeline'!$Q$5:$Q$504,A517,'Demo Pipeline'!$W$5:$W$504,"Attended"))</f>
        <v/>
      </c>
      <c r="BF517" s="33" t="str">
        <f aca="false">IF(A517="","",COUNTIFS('Demo Pipeline'!$Q$5:$Q$504,A517,'Demo Pipeline'!$X$5:$X$504,"Yes"))</f>
        <v/>
      </c>
      <c r="BG517" s="33" t="str">
        <f aca="false">IF(A517="","",COUNTIFS('Demo Pipeline'!$Q$5:$Q$504,A517,'Demo Pipeline'!$Y$5:$Y$504,"Closed Won"))</f>
        <v/>
      </c>
      <c r="BH517" s="37" t="str">
        <f aca="false">IF(A517="","",SUMIFS('Demo Pipeline'!$Z$5:$Z$504,'Demo Pipeline'!$Q$5:$Q$504,A517))</f>
        <v/>
      </c>
      <c r="BI517" s="34" t="str">
        <f aca="false">IF(OR(AZ517="",N(AJ517)=0),"",AZ517/AJ517)</f>
        <v/>
      </c>
      <c r="BJ517" s="34" t="str">
        <f aca="false">IF(OR(BB517="",N(AZ517)=0),"",BB517/AZ517)</f>
        <v/>
      </c>
      <c r="BK517" s="34" t="str">
        <f aca="false">IF(OR(A517="",N(BB517)=0),"",BD517/BB517)</f>
        <v/>
      </c>
      <c r="BL517" s="34" t="str">
        <f aca="false">IF(OR(A517="",N(AZ517)=0),"",BD517/AZ517)</f>
        <v/>
      </c>
      <c r="BM517" s="37" t="str">
        <f aca="false">IF(OR(N(Q517)=0,N(BD517)=0),"",Q517/BD517)</f>
        <v/>
      </c>
      <c r="BN517" s="29"/>
      <c r="BO517" s="29"/>
      <c r="BP517" s="33" t="str">
        <f aca="false">IF(OR(AR517="",N(AO517)=0),"",AR517)</f>
        <v/>
      </c>
      <c r="BQ517" s="33" t="str">
        <f aca="false">IF(OR(AR517="",N(S517)=0),"",S517)</f>
        <v/>
      </c>
      <c r="BR517" s="38" t="str">
        <f aca="false">IF(AND(ISNUMBER(B517),B517&gt;=Dashboard!$C$4,B517&lt;=Dashboard!$F$4,ISNUMBER(AU517)),AU517+ROW()/10^9,"")</f>
        <v/>
      </c>
      <c r="BS517" s="38" t="str">
        <f aca="false">IF(AND(ISNUMBER(B517),B517&gt;=Dashboard!$C$4,B517&lt;=Dashboard!$F$4,A517&lt;&gt;""),N(BD517)+N(AU517)/100+ROW()/10^9,"")</f>
        <v/>
      </c>
    </row>
    <row r="518" customFormat="false" ht="15" hidden="false" customHeight="false" outlineLevel="0" collapsed="false">
      <c r="A518" s="24" t="str">
        <f aca="false">IF(OR(B518="",G518="",H518=""),"",IFERROR(INDEX(Settings!$E$5:$E$49,MATCH(G518,Settings!$D$5:$D$49,0))&amp;INDEX(Settings!$H$5:$H$47,MATCH(H518,Settings!$G$5:$G$47,0))&amp;"-"&amp;TEXT(B518,"yymmdd")&amp;"-"&amp;IF(C518="","0000",TEXT(C518,"hhmm")),"CHECK LISTS"))</f>
        <v/>
      </c>
      <c r="B518" s="39"/>
      <c r="C518" s="40"/>
      <c r="D518" s="24" t="str">
        <f aca="false">IF(B518="","",TEXT(B518,"ddd"))</f>
        <v/>
      </c>
      <c r="E518" s="27" t="str">
        <f aca="false">IF(B518="","",B518-WEEKDAY(B518,3))</f>
        <v/>
      </c>
      <c r="F518" s="24" t="str">
        <f aca="false">IF(B518="","",TEXT(B518,"yyyy-mm"))</f>
        <v/>
      </c>
      <c r="G518" s="29"/>
      <c r="H518" s="29"/>
      <c r="I518" s="29"/>
      <c r="J518" s="29"/>
      <c r="K518" s="29"/>
      <c r="L518" s="29"/>
      <c r="M518" s="29"/>
      <c r="N518" s="29"/>
      <c r="O518" s="29"/>
      <c r="P518" s="29"/>
      <c r="Q518" s="30"/>
      <c r="R518" s="29"/>
      <c r="S518" s="32"/>
      <c r="T518" s="29"/>
      <c r="U518" s="29"/>
      <c r="V518" s="24" t="str">
        <f aca="false">IF(A518="","",IFERROR(INDEX(Settings!$F$5:$F$49,MATCH(G518,Settings!$D$5:$D$49,0)),""))</f>
        <v/>
      </c>
      <c r="W518" s="24" t="str">
        <f aca="false">IF(A518="","",IF(OR(P518="",P518="Organic"),"social","paid_social"))</f>
        <v/>
      </c>
      <c r="X518" s="24" t="str">
        <f aca="false">IF(A518="","",IF(K518&lt;&gt;"",IFERROR(INDEX('Case Studies'!$C$5:$C$54,MATCH(K518,'Case Studies'!$B$5:$B$54,0))&amp;"","case-study"),IF(J518&lt;&gt;"",IFERROR(INDEX(Settings!$J$5:$J$55,MATCH(J518,Settings!$I$5:$I$55,0)),"general"),"general")))</f>
        <v/>
      </c>
      <c r="Y518" s="24" t="str">
        <f aca="false">IF(A518="","",LOWER(A518))</f>
        <v/>
      </c>
      <c r="Z518" s="24" t="str">
        <f aca="false">IF(A518="","",IF(T518="",Settings!$B$5,T518)&amp;IF(ISNUMBER(FIND("?",IF(T518="",Settings!$B$5,T518))),"&amp;","?")&amp;"utm_source="&amp;V518&amp;"&amp;utm_medium="&amp;W518&amp;"&amp;utm_campaign="&amp;X518&amp;"&amp;utm_content="&amp;Y518)</f>
        <v/>
      </c>
      <c r="AA518" s="29"/>
      <c r="AB518" s="39"/>
      <c r="AC518" s="32"/>
      <c r="AD518" s="32"/>
      <c r="AE518" s="32"/>
      <c r="AF518" s="32"/>
      <c r="AG518" s="32"/>
      <c r="AH518" s="32"/>
      <c r="AI518" s="32"/>
      <c r="AJ518" s="32"/>
      <c r="AK518" s="32"/>
      <c r="AL518" s="32"/>
      <c r="AM518" s="32"/>
      <c r="AN518" s="32"/>
      <c r="AO518" s="33" t="str">
        <f aca="false">IF(A518="","",IF(AD518&lt;&gt;"",AD518,IF(AC518&lt;&gt;"",AC518,"")))</f>
        <v/>
      </c>
      <c r="AP518" s="24" t="str">
        <f aca="false">IF(AO518="","",IF(AD518&lt;&gt;"","Reported reach","Impressions (proxy)"))</f>
        <v/>
      </c>
      <c r="AQ518" s="34" t="str">
        <f aca="false">IF(OR(AO518="",N(S518)=0),"",AO518/S518)</f>
        <v/>
      </c>
      <c r="AR518" s="33" t="str">
        <f aca="false">IF(A518="","",IF(COUNT(AF518:AJ518)=0,"",SUM(AF518:AJ518)))</f>
        <v/>
      </c>
      <c r="AS518" s="34" t="str">
        <f aca="false">IF(OR(AR518="",N(AO518)=0),"",AR518/AO518)</f>
        <v/>
      </c>
      <c r="AT518" s="34" t="str">
        <f aca="false">IF(OR(AR518="",N(AC518)=0),"",AR518/AC518)</f>
        <v/>
      </c>
      <c r="AU518" s="34" t="str">
        <f aca="false">IF(OR(AR518="",N(S518)=0),"",AR518/S518)</f>
        <v/>
      </c>
      <c r="AV518" s="34" t="str">
        <f aca="false">IF(OR(AJ518="",N(AC518)=0),"",AJ518/AC518)</f>
        <v/>
      </c>
      <c r="AW518" s="34" t="str">
        <f aca="false">IF(OR(AH518="",N(AO518)=0),"",AH518/AO518)</f>
        <v/>
      </c>
      <c r="AX518" s="35" t="str">
        <f aca="false">IF(OR(AR518="",N(AO518)=0),"",(N(AF518)*Settings!$B$6+N(AG518)*Settings!$B$7+N(AH518)*Settings!$B$8+N(AI518)*Settings!$B$9+N(AJ518)*Settings!$B$10)/AO518*1000)</f>
        <v/>
      </c>
      <c r="AY518" s="36" t="str">
        <f aca="false">IF(AS518="","",IFERROR(AS518/AVERAGEIFS('Post Tracker'!$AS$5:$AS$1004,'Post Tracker'!$G$5:$G$1004,G518),""))</f>
        <v/>
      </c>
      <c r="AZ518" s="32"/>
      <c r="BA518" s="32"/>
      <c r="BB518" s="32"/>
      <c r="BC518" s="32"/>
      <c r="BD518" s="33" t="str">
        <f aca="false">IF(A518="","",COUNTIFS('Demo Pipeline'!$Q$5:$Q$504,A518))</f>
        <v/>
      </c>
      <c r="BE518" s="33" t="str">
        <f aca="false">IF(A518="","",COUNTIFS('Demo Pipeline'!$Q$5:$Q$504,A518,'Demo Pipeline'!$W$5:$W$504,"Attended"))</f>
        <v/>
      </c>
      <c r="BF518" s="33" t="str">
        <f aca="false">IF(A518="","",COUNTIFS('Demo Pipeline'!$Q$5:$Q$504,A518,'Demo Pipeline'!$X$5:$X$504,"Yes"))</f>
        <v/>
      </c>
      <c r="BG518" s="33" t="str">
        <f aca="false">IF(A518="","",COUNTIFS('Demo Pipeline'!$Q$5:$Q$504,A518,'Demo Pipeline'!$Y$5:$Y$504,"Closed Won"))</f>
        <v/>
      </c>
      <c r="BH518" s="37" t="str">
        <f aca="false">IF(A518="","",SUMIFS('Demo Pipeline'!$Z$5:$Z$504,'Demo Pipeline'!$Q$5:$Q$504,A518))</f>
        <v/>
      </c>
      <c r="BI518" s="34" t="str">
        <f aca="false">IF(OR(AZ518="",N(AJ518)=0),"",AZ518/AJ518)</f>
        <v/>
      </c>
      <c r="BJ518" s="34" t="str">
        <f aca="false">IF(OR(BB518="",N(AZ518)=0),"",BB518/AZ518)</f>
        <v/>
      </c>
      <c r="BK518" s="34" t="str">
        <f aca="false">IF(OR(A518="",N(BB518)=0),"",BD518/BB518)</f>
        <v/>
      </c>
      <c r="BL518" s="34" t="str">
        <f aca="false">IF(OR(A518="",N(AZ518)=0),"",BD518/AZ518)</f>
        <v/>
      </c>
      <c r="BM518" s="37" t="str">
        <f aca="false">IF(OR(N(Q518)=0,N(BD518)=0),"",Q518/BD518)</f>
        <v/>
      </c>
      <c r="BN518" s="29"/>
      <c r="BO518" s="29"/>
      <c r="BP518" s="33" t="str">
        <f aca="false">IF(OR(AR518="",N(AO518)=0),"",AR518)</f>
        <v/>
      </c>
      <c r="BQ518" s="33" t="str">
        <f aca="false">IF(OR(AR518="",N(S518)=0),"",S518)</f>
        <v/>
      </c>
      <c r="BR518" s="38" t="str">
        <f aca="false">IF(AND(ISNUMBER(B518),B518&gt;=Dashboard!$C$4,B518&lt;=Dashboard!$F$4,ISNUMBER(AU518)),AU518+ROW()/10^9,"")</f>
        <v/>
      </c>
      <c r="BS518" s="38" t="str">
        <f aca="false">IF(AND(ISNUMBER(B518),B518&gt;=Dashboard!$C$4,B518&lt;=Dashboard!$F$4,A518&lt;&gt;""),N(BD518)+N(AU518)/100+ROW()/10^9,"")</f>
        <v/>
      </c>
    </row>
    <row r="519" customFormat="false" ht="15" hidden="false" customHeight="false" outlineLevel="0" collapsed="false">
      <c r="A519" s="24" t="str">
        <f aca="false">IF(OR(B519="",G519="",H519=""),"",IFERROR(INDEX(Settings!$E$5:$E$49,MATCH(G519,Settings!$D$5:$D$49,0))&amp;INDEX(Settings!$H$5:$H$47,MATCH(H519,Settings!$G$5:$G$47,0))&amp;"-"&amp;TEXT(B519,"yymmdd")&amp;"-"&amp;IF(C519="","0000",TEXT(C519,"hhmm")),"CHECK LISTS"))</f>
        <v/>
      </c>
      <c r="B519" s="39"/>
      <c r="C519" s="40"/>
      <c r="D519" s="24" t="str">
        <f aca="false">IF(B519="","",TEXT(B519,"ddd"))</f>
        <v/>
      </c>
      <c r="E519" s="27" t="str">
        <f aca="false">IF(B519="","",B519-WEEKDAY(B519,3))</f>
        <v/>
      </c>
      <c r="F519" s="24" t="str">
        <f aca="false">IF(B519="","",TEXT(B519,"yyyy-mm"))</f>
        <v/>
      </c>
      <c r="G519" s="29"/>
      <c r="H519" s="29"/>
      <c r="I519" s="29"/>
      <c r="J519" s="29"/>
      <c r="K519" s="29"/>
      <c r="L519" s="29"/>
      <c r="M519" s="29"/>
      <c r="N519" s="29"/>
      <c r="O519" s="29"/>
      <c r="P519" s="29"/>
      <c r="Q519" s="30"/>
      <c r="R519" s="29"/>
      <c r="S519" s="32"/>
      <c r="T519" s="29"/>
      <c r="U519" s="29"/>
      <c r="V519" s="24" t="str">
        <f aca="false">IF(A519="","",IFERROR(INDEX(Settings!$F$5:$F$49,MATCH(G519,Settings!$D$5:$D$49,0)),""))</f>
        <v/>
      </c>
      <c r="W519" s="24" t="str">
        <f aca="false">IF(A519="","",IF(OR(P519="",P519="Organic"),"social","paid_social"))</f>
        <v/>
      </c>
      <c r="X519" s="24" t="str">
        <f aca="false">IF(A519="","",IF(K519&lt;&gt;"",IFERROR(INDEX('Case Studies'!$C$5:$C$54,MATCH(K519,'Case Studies'!$B$5:$B$54,0))&amp;"","case-study"),IF(J519&lt;&gt;"",IFERROR(INDEX(Settings!$J$5:$J$55,MATCH(J519,Settings!$I$5:$I$55,0)),"general"),"general")))</f>
        <v/>
      </c>
      <c r="Y519" s="24" t="str">
        <f aca="false">IF(A519="","",LOWER(A519))</f>
        <v/>
      </c>
      <c r="Z519" s="24" t="str">
        <f aca="false">IF(A519="","",IF(T519="",Settings!$B$5,T519)&amp;IF(ISNUMBER(FIND("?",IF(T519="",Settings!$B$5,T519))),"&amp;","?")&amp;"utm_source="&amp;V519&amp;"&amp;utm_medium="&amp;W519&amp;"&amp;utm_campaign="&amp;X519&amp;"&amp;utm_content="&amp;Y519)</f>
        <v/>
      </c>
      <c r="AA519" s="29"/>
      <c r="AB519" s="39"/>
      <c r="AC519" s="32"/>
      <c r="AD519" s="32"/>
      <c r="AE519" s="32"/>
      <c r="AF519" s="32"/>
      <c r="AG519" s="32"/>
      <c r="AH519" s="32"/>
      <c r="AI519" s="32"/>
      <c r="AJ519" s="32"/>
      <c r="AK519" s="32"/>
      <c r="AL519" s="32"/>
      <c r="AM519" s="32"/>
      <c r="AN519" s="32"/>
      <c r="AO519" s="33" t="str">
        <f aca="false">IF(A519="","",IF(AD519&lt;&gt;"",AD519,IF(AC519&lt;&gt;"",AC519,"")))</f>
        <v/>
      </c>
      <c r="AP519" s="24" t="str">
        <f aca="false">IF(AO519="","",IF(AD519&lt;&gt;"","Reported reach","Impressions (proxy)"))</f>
        <v/>
      </c>
      <c r="AQ519" s="34" t="str">
        <f aca="false">IF(OR(AO519="",N(S519)=0),"",AO519/S519)</f>
        <v/>
      </c>
      <c r="AR519" s="33" t="str">
        <f aca="false">IF(A519="","",IF(COUNT(AF519:AJ519)=0,"",SUM(AF519:AJ519)))</f>
        <v/>
      </c>
      <c r="AS519" s="34" t="str">
        <f aca="false">IF(OR(AR519="",N(AO519)=0),"",AR519/AO519)</f>
        <v/>
      </c>
      <c r="AT519" s="34" t="str">
        <f aca="false">IF(OR(AR519="",N(AC519)=0),"",AR519/AC519)</f>
        <v/>
      </c>
      <c r="AU519" s="34" t="str">
        <f aca="false">IF(OR(AR519="",N(S519)=0),"",AR519/S519)</f>
        <v/>
      </c>
      <c r="AV519" s="34" t="str">
        <f aca="false">IF(OR(AJ519="",N(AC519)=0),"",AJ519/AC519)</f>
        <v/>
      </c>
      <c r="AW519" s="34" t="str">
        <f aca="false">IF(OR(AH519="",N(AO519)=0),"",AH519/AO519)</f>
        <v/>
      </c>
      <c r="AX519" s="35" t="str">
        <f aca="false">IF(OR(AR519="",N(AO519)=0),"",(N(AF519)*Settings!$B$6+N(AG519)*Settings!$B$7+N(AH519)*Settings!$B$8+N(AI519)*Settings!$B$9+N(AJ519)*Settings!$B$10)/AO519*1000)</f>
        <v/>
      </c>
      <c r="AY519" s="36" t="str">
        <f aca="false">IF(AS519="","",IFERROR(AS519/AVERAGEIFS('Post Tracker'!$AS$5:$AS$1004,'Post Tracker'!$G$5:$G$1004,G519),""))</f>
        <v/>
      </c>
      <c r="AZ519" s="32"/>
      <c r="BA519" s="32"/>
      <c r="BB519" s="32"/>
      <c r="BC519" s="32"/>
      <c r="BD519" s="33" t="str">
        <f aca="false">IF(A519="","",COUNTIFS('Demo Pipeline'!$Q$5:$Q$504,A519))</f>
        <v/>
      </c>
      <c r="BE519" s="33" t="str">
        <f aca="false">IF(A519="","",COUNTIFS('Demo Pipeline'!$Q$5:$Q$504,A519,'Demo Pipeline'!$W$5:$W$504,"Attended"))</f>
        <v/>
      </c>
      <c r="BF519" s="33" t="str">
        <f aca="false">IF(A519="","",COUNTIFS('Demo Pipeline'!$Q$5:$Q$504,A519,'Demo Pipeline'!$X$5:$X$504,"Yes"))</f>
        <v/>
      </c>
      <c r="BG519" s="33" t="str">
        <f aca="false">IF(A519="","",COUNTIFS('Demo Pipeline'!$Q$5:$Q$504,A519,'Demo Pipeline'!$Y$5:$Y$504,"Closed Won"))</f>
        <v/>
      </c>
      <c r="BH519" s="37" t="str">
        <f aca="false">IF(A519="","",SUMIFS('Demo Pipeline'!$Z$5:$Z$504,'Demo Pipeline'!$Q$5:$Q$504,A519))</f>
        <v/>
      </c>
      <c r="BI519" s="34" t="str">
        <f aca="false">IF(OR(AZ519="",N(AJ519)=0),"",AZ519/AJ519)</f>
        <v/>
      </c>
      <c r="BJ519" s="34" t="str">
        <f aca="false">IF(OR(BB519="",N(AZ519)=0),"",BB519/AZ519)</f>
        <v/>
      </c>
      <c r="BK519" s="34" t="str">
        <f aca="false">IF(OR(A519="",N(BB519)=0),"",BD519/BB519)</f>
        <v/>
      </c>
      <c r="BL519" s="34" t="str">
        <f aca="false">IF(OR(A519="",N(AZ519)=0),"",BD519/AZ519)</f>
        <v/>
      </c>
      <c r="BM519" s="37" t="str">
        <f aca="false">IF(OR(N(Q519)=0,N(BD519)=0),"",Q519/BD519)</f>
        <v/>
      </c>
      <c r="BN519" s="29"/>
      <c r="BO519" s="29"/>
      <c r="BP519" s="33" t="str">
        <f aca="false">IF(OR(AR519="",N(AO519)=0),"",AR519)</f>
        <v/>
      </c>
      <c r="BQ519" s="33" t="str">
        <f aca="false">IF(OR(AR519="",N(S519)=0),"",S519)</f>
        <v/>
      </c>
      <c r="BR519" s="38" t="str">
        <f aca="false">IF(AND(ISNUMBER(B519),B519&gt;=Dashboard!$C$4,B519&lt;=Dashboard!$F$4,ISNUMBER(AU519)),AU519+ROW()/10^9,"")</f>
        <v/>
      </c>
      <c r="BS519" s="38" t="str">
        <f aca="false">IF(AND(ISNUMBER(B519),B519&gt;=Dashboard!$C$4,B519&lt;=Dashboard!$F$4,A519&lt;&gt;""),N(BD519)+N(AU519)/100+ROW()/10^9,"")</f>
        <v/>
      </c>
    </row>
    <row r="520" customFormat="false" ht="15" hidden="false" customHeight="false" outlineLevel="0" collapsed="false">
      <c r="A520" s="24" t="str">
        <f aca="false">IF(OR(B520="",G520="",H520=""),"",IFERROR(INDEX(Settings!$E$5:$E$49,MATCH(G520,Settings!$D$5:$D$49,0))&amp;INDEX(Settings!$H$5:$H$47,MATCH(H520,Settings!$G$5:$G$47,0))&amp;"-"&amp;TEXT(B520,"yymmdd")&amp;"-"&amp;IF(C520="","0000",TEXT(C520,"hhmm")),"CHECK LISTS"))</f>
        <v/>
      </c>
      <c r="B520" s="39"/>
      <c r="C520" s="40"/>
      <c r="D520" s="24" t="str">
        <f aca="false">IF(B520="","",TEXT(B520,"ddd"))</f>
        <v/>
      </c>
      <c r="E520" s="27" t="str">
        <f aca="false">IF(B520="","",B520-WEEKDAY(B520,3))</f>
        <v/>
      </c>
      <c r="F520" s="24" t="str">
        <f aca="false">IF(B520="","",TEXT(B520,"yyyy-mm"))</f>
        <v/>
      </c>
      <c r="G520" s="29"/>
      <c r="H520" s="29"/>
      <c r="I520" s="29"/>
      <c r="J520" s="29"/>
      <c r="K520" s="29"/>
      <c r="L520" s="29"/>
      <c r="M520" s="29"/>
      <c r="N520" s="29"/>
      <c r="O520" s="29"/>
      <c r="P520" s="29"/>
      <c r="Q520" s="30"/>
      <c r="R520" s="29"/>
      <c r="S520" s="32"/>
      <c r="T520" s="29"/>
      <c r="U520" s="29"/>
      <c r="V520" s="24" t="str">
        <f aca="false">IF(A520="","",IFERROR(INDEX(Settings!$F$5:$F$49,MATCH(G520,Settings!$D$5:$D$49,0)),""))</f>
        <v/>
      </c>
      <c r="W520" s="24" t="str">
        <f aca="false">IF(A520="","",IF(OR(P520="",P520="Organic"),"social","paid_social"))</f>
        <v/>
      </c>
      <c r="X520" s="24" t="str">
        <f aca="false">IF(A520="","",IF(K520&lt;&gt;"",IFERROR(INDEX('Case Studies'!$C$5:$C$54,MATCH(K520,'Case Studies'!$B$5:$B$54,0))&amp;"","case-study"),IF(J520&lt;&gt;"",IFERROR(INDEX(Settings!$J$5:$J$55,MATCH(J520,Settings!$I$5:$I$55,0)),"general"),"general")))</f>
        <v/>
      </c>
      <c r="Y520" s="24" t="str">
        <f aca="false">IF(A520="","",LOWER(A520))</f>
        <v/>
      </c>
      <c r="Z520" s="24" t="str">
        <f aca="false">IF(A520="","",IF(T520="",Settings!$B$5,T520)&amp;IF(ISNUMBER(FIND("?",IF(T520="",Settings!$B$5,T520))),"&amp;","?")&amp;"utm_source="&amp;V520&amp;"&amp;utm_medium="&amp;W520&amp;"&amp;utm_campaign="&amp;X520&amp;"&amp;utm_content="&amp;Y520)</f>
        <v/>
      </c>
      <c r="AA520" s="29"/>
      <c r="AB520" s="39"/>
      <c r="AC520" s="32"/>
      <c r="AD520" s="32"/>
      <c r="AE520" s="32"/>
      <c r="AF520" s="32"/>
      <c r="AG520" s="32"/>
      <c r="AH520" s="32"/>
      <c r="AI520" s="32"/>
      <c r="AJ520" s="32"/>
      <c r="AK520" s="32"/>
      <c r="AL520" s="32"/>
      <c r="AM520" s="32"/>
      <c r="AN520" s="32"/>
      <c r="AO520" s="33" t="str">
        <f aca="false">IF(A520="","",IF(AD520&lt;&gt;"",AD520,IF(AC520&lt;&gt;"",AC520,"")))</f>
        <v/>
      </c>
      <c r="AP520" s="24" t="str">
        <f aca="false">IF(AO520="","",IF(AD520&lt;&gt;"","Reported reach","Impressions (proxy)"))</f>
        <v/>
      </c>
      <c r="AQ520" s="34" t="str">
        <f aca="false">IF(OR(AO520="",N(S520)=0),"",AO520/S520)</f>
        <v/>
      </c>
      <c r="AR520" s="33" t="str">
        <f aca="false">IF(A520="","",IF(COUNT(AF520:AJ520)=0,"",SUM(AF520:AJ520)))</f>
        <v/>
      </c>
      <c r="AS520" s="34" t="str">
        <f aca="false">IF(OR(AR520="",N(AO520)=0),"",AR520/AO520)</f>
        <v/>
      </c>
      <c r="AT520" s="34" t="str">
        <f aca="false">IF(OR(AR520="",N(AC520)=0),"",AR520/AC520)</f>
        <v/>
      </c>
      <c r="AU520" s="34" t="str">
        <f aca="false">IF(OR(AR520="",N(S520)=0),"",AR520/S520)</f>
        <v/>
      </c>
      <c r="AV520" s="34" t="str">
        <f aca="false">IF(OR(AJ520="",N(AC520)=0),"",AJ520/AC520)</f>
        <v/>
      </c>
      <c r="AW520" s="34" t="str">
        <f aca="false">IF(OR(AH520="",N(AO520)=0),"",AH520/AO520)</f>
        <v/>
      </c>
      <c r="AX520" s="35" t="str">
        <f aca="false">IF(OR(AR520="",N(AO520)=0),"",(N(AF520)*Settings!$B$6+N(AG520)*Settings!$B$7+N(AH520)*Settings!$B$8+N(AI520)*Settings!$B$9+N(AJ520)*Settings!$B$10)/AO520*1000)</f>
        <v/>
      </c>
      <c r="AY520" s="36" t="str">
        <f aca="false">IF(AS520="","",IFERROR(AS520/AVERAGEIFS('Post Tracker'!$AS$5:$AS$1004,'Post Tracker'!$G$5:$G$1004,G520),""))</f>
        <v/>
      </c>
      <c r="AZ520" s="32"/>
      <c r="BA520" s="32"/>
      <c r="BB520" s="32"/>
      <c r="BC520" s="32"/>
      <c r="BD520" s="33" t="str">
        <f aca="false">IF(A520="","",COUNTIFS('Demo Pipeline'!$Q$5:$Q$504,A520))</f>
        <v/>
      </c>
      <c r="BE520" s="33" t="str">
        <f aca="false">IF(A520="","",COUNTIFS('Demo Pipeline'!$Q$5:$Q$504,A520,'Demo Pipeline'!$W$5:$W$504,"Attended"))</f>
        <v/>
      </c>
      <c r="BF520" s="33" t="str">
        <f aca="false">IF(A520="","",COUNTIFS('Demo Pipeline'!$Q$5:$Q$504,A520,'Demo Pipeline'!$X$5:$X$504,"Yes"))</f>
        <v/>
      </c>
      <c r="BG520" s="33" t="str">
        <f aca="false">IF(A520="","",COUNTIFS('Demo Pipeline'!$Q$5:$Q$504,A520,'Demo Pipeline'!$Y$5:$Y$504,"Closed Won"))</f>
        <v/>
      </c>
      <c r="BH520" s="37" t="str">
        <f aca="false">IF(A520="","",SUMIFS('Demo Pipeline'!$Z$5:$Z$504,'Demo Pipeline'!$Q$5:$Q$504,A520))</f>
        <v/>
      </c>
      <c r="BI520" s="34" t="str">
        <f aca="false">IF(OR(AZ520="",N(AJ520)=0),"",AZ520/AJ520)</f>
        <v/>
      </c>
      <c r="BJ520" s="34" t="str">
        <f aca="false">IF(OR(BB520="",N(AZ520)=0),"",BB520/AZ520)</f>
        <v/>
      </c>
      <c r="BK520" s="34" t="str">
        <f aca="false">IF(OR(A520="",N(BB520)=0),"",BD520/BB520)</f>
        <v/>
      </c>
      <c r="BL520" s="34" t="str">
        <f aca="false">IF(OR(A520="",N(AZ520)=0),"",BD520/AZ520)</f>
        <v/>
      </c>
      <c r="BM520" s="37" t="str">
        <f aca="false">IF(OR(N(Q520)=0,N(BD520)=0),"",Q520/BD520)</f>
        <v/>
      </c>
      <c r="BN520" s="29"/>
      <c r="BO520" s="29"/>
      <c r="BP520" s="33" t="str">
        <f aca="false">IF(OR(AR520="",N(AO520)=0),"",AR520)</f>
        <v/>
      </c>
      <c r="BQ520" s="33" t="str">
        <f aca="false">IF(OR(AR520="",N(S520)=0),"",S520)</f>
        <v/>
      </c>
      <c r="BR520" s="38" t="str">
        <f aca="false">IF(AND(ISNUMBER(B520),B520&gt;=Dashboard!$C$4,B520&lt;=Dashboard!$F$4,ISNUMBER(AU520)),AU520+ROW()/10^9,"")</f>
        <v/>
      </c>
      <c r="BS520" s="38" t="str">
        <f aca="false">IF(AND(ISNUMBER(B520),B520&gt;=Dashboard!$C$4,B520&lt;=Dashboard!$F$4,A520&lt;&gt;""),N(BD520)+N(AU520)/100+ROW()/10^9,"")</f>
        <v/>
      </c>
    </row>
    <row r="521" customFormat="false" ht="15" hidden="false" customHeight="false" outlineLevel="0" collapsed="false">
      <c r="A521" s="24" t="str">
        <f aca="false">IF(OR(B521="",G521="",H521=""),"",IFERROR(INDEX(Settings!$E$5:$E$49,MATCH(G521,Settings!$D$5:$D$49,0))&amp;INDEX(Settings!$H$5:$H$47,MATCH(H521,Settings!$G$5:$G$47,0))&amp;"-"&amp;TEXT(B521,"yymmdd")&amp;"-"&amp;IF(C521="","0000",TEXT(C521,"hhmm")),"CHECK LISTS"))</f>
        <v/>
      </c>
      <c r="B521" s="39"/>
      <c r="C521" s="40"/>
      <c r="D521" s="24" t="str">
        <f aca="false">IF(B521="","",TEXT(B521,"ddd"))</f>
        <v/>
      </c>
      <c r="E521" s="27" t="str">
        <f aca="false">IF(B521="","",B521-WEEKDAY(B521,3))</f>
        <v/>
      </c>
      <c r="F521" s="24" t="str">
        <f aca="false">IF(B521="","",TEXT(B521,"yyyy-mm"))</f>
        <v/>
      </c>
      <c r="G521" s="29"/>
      <c r="H521" s="29"/>
      <c r="I521" s="29"/>
      <c r="J521" s="29"/>
      <c r="K521" s="29"/>
      <c r="L521" s="29"/>
      <c r="M521" s="29"/>
      <c r="N521" s="29"/>
      <c r="O521" s="29"/>
      <c r="P521" s="29"/>
      <c r="Q521" s="30"/>
      <c r="R521" s="29"/>
      <c r="S521" s="32"/>
      <c r="T521" s="29"/>
      <c r="U521" s="29"/>
      <c r="V521" s="24" t="str">
        <f aca="false">IF(A521="","",IFERROR(INDEX(Settings!$F$5:$F$49,MATCH(G521,Settings!$D$5:$D$49,0)),""))</f>
        <v/>
      </c>
      <c r="W521" s="24" t="str">
        <f aca="false">IF(A521="","",IF(OR(P521="",P521="Organic"),"social","paid_social"))</f>
        <v/>
      </c>
      <c r="X521" s="24" t="str">
        <f aca="false">IF(A521="","",IF(K521&lt;&gt;"",IFERROR(INDEX('Case Studies'!$C$5:$C$54,MATCH(K521,'Case Studies'!$B$5:$B$54,0))&amp;"","case-study"),IF(J521&lt;&gt;"",IFERROR(INDEX(Settings!$J$5:$J$55,MATCH(J521,Settings!$I$5:$I$55,0)),"general"),"general")))</f>
        <v/>
      </c>
      <c r="Y521" s="24" t="str">
        <f aca="false">IF(A521="","",LOWER(A521))</f>
        <v/>
      </c>
      <c r="Z521" s="24" t="str">
        <f aca="false">IF(A521="","",IF(T521="",Settings!$B$5,T521)&amp;IF(ISNUMBER(FIND("?",IF(T521="",Settings!$B$5,T521))),"&amp;","?")&amp;"utm_source="&amp;V521&amp;"&amp;utm_medium="&amp;W521&amp;"&amp;utm_campaign="&amp;X521&amp;"&amp;utm_content="&amp;Y521)</f>
        <v/>
      </c>
      <c r="AA521" s="29"/>
      <c r="AB521" s="39"/>
      <c r="AC521" s="32"/>
      <c r="AD521" s="32"/>
      <c r="AE521" s="32"/>
      <c r="AF521" s="32"/>
      <c r="AG521" s="32"/>
      <c r="AH521" s="32"/>
      <c r="AI521" s="32"/>
      <c r="AJ521" s="32"/>
      <c r="AK521" s="32"/>
      <c r="AL521" s="32"/>
      <c r="AM521" s="32"/>
      <c r="AN521" s="32"/>
      <c r="AO521" s="33" t="str">
        <f aca="false">IF(A521="","",IF(AD521&lt;&gt;"",AD521,IF(AC521&lt;&gt;"",AC521,"")))</f>
        <v/>
      </c>
      <c r="AP521" s="24" t="str">
        <f aca="false">IF(AO521="","",IF(AD521&lt;&gt;"","Reported reach","Impressions (proxy)"))</f>
        <v/>
      </c>
      <c r="AQ521" s="34" t="str">
        <f aca="false">IF(OR(AO521="",N(S521)=0),"",AO521/S521)</f>
        <v/>
      </c>
      <c r="AR521" s="33" t="str">
        <f aca="false">IF(A521="","",IF(COUNT(AF521:AJ521)=0,"",SUM(AF521:AJ521)))</f>
        <v/>
      </c>
      <c r="AS521" s="34" t="str">
        <f aca="false">IF(OR(AR521="",N(AO521)=0),"",AR521/AO521)</f>
        <v/>
      </c>
      <c r="AT521" s="34" t="str">
        <f aca="false">IF(OR(AR521="",N(AC521)=0),"",AR521/AC521)</f>
        <v/>
      </c>
      <c r="AU521" s="34" t="str">
        <f aca="false">IF(OR(AR521="",N(S521)=0),"",AR521/S521)</f>
        <v/>
      </c>
      <c r="AV521" s="34" t="str">
        <f aca="false">IF(OR(AJ521="",N(AC521)=0),"",AJ521/AC521)</f>
        <v/>
      </c>
      <c r="AW521" s="34" t="str">
        <f aca="false">IF(OR(AH521="",N(AO521)=0),"",AH521/AO521)</f>
        <v/>
      </c>
      <c r="AX521" s="35" t="str">
        <f aca="false">IF(OR(AR521="",N(AO521)=0),"",(N(AF521)*Settings!$B$6+N(AG521)*Settings!$B$7+N(AH521)*Settings!$B$8+N(AI521)*Settings!$B$9+N(AJ521)*Settings!$B$10)/AO521*1000)</f>
        <v/>
      </c>
      <c r="AY521" s="36" t="str">
        <f aca="false">IF(AS521="","",IFERROR(AS521/AVERAGEIFS('Post Tracker'!$AS$5:$AS$1004,'Post Tracker'!$G$5:$G$1004,G521),""))</f>
        <v/>
      </c>
      <c r="AZ521" s="32"/>
      <c r="BA521" s="32"/>
      <c r="BB521" s="32"/>
      <c r="BC521" s="32"/>
      <c r="BD521" s="33" t="str">
        <f aca="false">IF(A521="","",COUNTIFS('Demo Pipeline'!$Q$5:$Q$504,A521))</f>
        <v/>
      </c>
      <c r="BE521" s="33" t="str">
        <f aca="false">IF(A521="","",COUNTIFS('Demo Pipeline'!$Q$5:$Q$504,A521,'Demo Pipeline'!$W$5:$W$504,"Attended"))</f>
        <v/>
      </c>
      <c r="BF521" s="33" t="str">
        <f aca="false">IF(A521="","",COUNTIFS('Demo Pipeline'!$Q$5:$Q$504,A521,'Demo Pipeline'!$X$5:$X$504,"Yes"))</f>
        <v/>
      </c>
      <c r="BG521" s="33" t="str">
        <f aca="false">IF(A521="","",COUNTIFS('Demo Pipeline'!$Q$5:$Q$504,A521,'Demo Pipeline'!$Y$5:$Y$504,"Closed Won"))</f>
        <v/>
      </c>
      <c r="BH521" s="37" t="str">
        <f aca="false">IF(A521="","",SUMIFS('Demo Pipeline'!$Z$5:$Z$504,'Demo Pipeline'!$Q$5:$Q$504,A521))</f>
        <v/>
      </c>
      <c r="BI521" s="34" t="str">
        <f aca="false">IF(OR(AZ521="",N(AJ521)=0),"",AZ521/AJ521)</f>
        <v/>
      </c>
      <c r="BJ521" s="34" t="str">
        <f aca="false">IF(OR(BB521="",N(AZ521)=0),"",BB521/AZ521)</f>
        <v/>
      </c>
      <c r="BK521" s="34" t="str">
        <f aca="false">IF(OR(A521="",N(BB521)=0),"",BD521/BB521)</f>
        <v/>
      </c>
      <c r="BL521" s="34" t="str">
        <f aca="false">IF(OR(A521="",N(AZ521)=0),"",BD521/AZ521)</f>
        <v/>
      </c>
      <c r="BM521" s="37" t="str">
        <f aca="false">IF(OR(N(Q521)=0,N(BD521)=0),"",Q521/BD521)</f>
        <v/>
      </c>
      <c r="BN521" s="29"/>
      <c r="BO521" s="29"/>
      <c r="BP521" s="33" t="str">
        <f aca="false">IF(OR(AR521="",N(AO521)=0),"",AR521)</f>
        <v/>
      </c>
      <c r="BQ521" s="33" t="str">
        <f aca="false">IF(OR(AR521="",N(S521)=0),"",S521)</f>
        <v/>
      </c>
      <c r="BR521" s="38" t="str">
        <f aca="false">IF(AND(ISNUMBER(B521),B521&gt;=Dashboard!$C$4,B521&lt;=Dashboard!$F$4,ISNUMBER(AU521)),AU521+ROW()/10^9,"")</f>
        <v/>
      </c>
      <c r="BS521" s="38" t="str">
        <f aca="false">IF(AND(ISNUMBER(B521),B521&gt;=Dashboard!$C$4,B521&lt;=Dashboard!$F$4,A521&lt;&gt;""),N(BD521)+N(AU521)/100+ROW()/10^9,"")</f>
        <v/>
      </c>
    </row>
    <row r="522" customFormat="false" ht="15" hidden="false" customHeight="false" outlineLevel="0" collapsed="false">
      <c r="A522" s="24" t="str">
        <f aca="false">IF(OR(B522="",G522="",H522=""),"",IFERROR(INDEX(Settings!$E$5:$E$49,MATCH(G522,Settings!$D$5:$D$49,0))&amp;INDEX(Settings!$H$5:$H$47,MATCH(H522,Settings!$G$5:$G$47,0))&amp;"-"&amp;TEXT(B522,"yymmdd")&amp;"-"&amp;IF(C522="","0000",TEXT(C522,"hhmm")),"CHECK LISTS"))</f>
        <v/>
      </c>
      <c r="B522" s="39"/>
      <c r="C522" s="40"/>
      <c r="D522" s="24" t="str">
        <f aca="false">IF(B522="","",TEXT(B522,"ddd"))</f>
        <v/>
      </c>
      <c r="E522" s="27" t="str">
        <f aca="false">IF(B522="","",B522-WEEKDAY(B522,3))</f>
        <v/>
      </c>
      <c r="F522" s="24" t="str">
        <f aca="false">IF(B522="","",TEXT(B522,"yyyy-mm"))</f>
        <v/>
      </c>
      <c r="G522" s="29"/>
      <c r="H522" s="29"/>
      <c r="I522" s="29"/>
      <c r="J522" s="29"/>
      <c r="K522" s="29"/>
      <c r="L522" s="29"/>
      <c r="M522" s="29"/>
      <c r="N522" s="29"/>
      <c r="O522" s="29"/>
      <c r="P522" s="29"/>
      <c r="Q522" s="30"/>
      <c r="R522" s="29"/>
      <c r="S522" s="32"/>
      <c r="T522" s="29"/>
      <c r="U522" s="29"/>
      <c r="V522" s="24" t="str">
        <f aca="false">IF(A522="","",IFERROR(INDEX(Settings!$F$5:$F$49,MATCH(G522,Settings!$D$5:$D$49,0)),""))</f>
        <v/>
      </c>
      <c r="W522" s="24" t="str">
        <f aca="false">IF(A522="","",IF(OR(P522="",P522="Organic"),"social","paid_social"))</f>
        <v/>
      </c>
      <c r="X522" s="24" t="str">
        <f aca="false">IF(A522="","",IF(K522&lt;&gt;"",IFERROR(INDEX('Case Studies'!$C$5:$C$54,MATCH(K522,'Case Studies'!$B$5:$B$54,0))&amp;"","case-study"),IF(J522&lt;&gt;"",IFERROR(INDEX(Settings!$J$5:$J$55,MATCH(J522,Settings!$I$5:$I$55,0)),"general"),"general")))</f>
        <v/>
      </c>
      <c r="Y522" s="24" t="str">
        <f aca="false">IF(A522="","",LOWER(A522))</f>
        <v/>
      </c>
      <c r="Z522" s="24" t="str">
        <f aca="false">IF(A522="","",IF(T522="",Settings!$B$5,T522)&amp;IF(ISNUMBER(FIND("?",IF(T522="",Settings!$B$5,T522))),"&amp;","?")&amp;"utm_source="&amp;V522&amp;"&amp;utm_medium="&amp;W522&amp;"&amp;utm_campaign="&amp;X522&amp;"&amp;utm_content="&amp;Y522)</f>
        <v/>
      </c>
      <c r="AA522" s="29"/>
      <c r="AB522" s="39"/>
      <c r="AC522" s="32"/>
      <c r="AD522" s="32"/>
      <c r="AE522" s="32"/>
      <c r="AF522" s="32"/>
      <c r="AG522" s="32"/>
      <c r="AH522" s="32"/>
      <c r="AI522" s="32"/>
      <c r="AJ522" s="32"/>
      <c r="AK522" s="32"/>
      <c r="AL522" s="32"/>
      <c r="AM522" s="32"/>
      <c r="AN522" s="32"/>
      <c r="AO522" s="33" t="str">
        <f aca="false">IF(A522="","",IF(AD522&lt;&gt;"",AD522,IF(AC522&lt;&gt;"",AC522,"")))</f>
        <v/>
      </c>
      <c r="AP522" s="24" t="str">
        <f aca="false">IF(AO522="","",IF(AD522&lt;&gt;"","Reported reach","Impressions (proxy)"))</f>
        <v/>
      </c>
      <c r="AQ522" s="34" t="str">
        <f aca="false">IF(OR(AO522="",N(S522)=0),"",AO522/S522)</f>
        <v/>
      </c>
      <c r="AR522" s="33" t="str">
        <f aca="false">IF(A522="","",IF(COUNT(AF522:AJ522)=0,"",SUM(AF522:AJ522)))</f>
        <v/>
      </c>
      <c r="AS522" s="34" t="str">
        <f aca="false">IF(OR(AR522="",N(AO522)=0),"",AR522/AO522)</f>
        <v/>
      </c>
      <c r="AT522" s="34" t="str">
        <f aca="false">IF(OR(AR522="",N(AC522)=0),"",AR522/AC522)</f>
        <v/>
      </c>
      <c r="AU522" s="34" t="str">
        <f aca="false">IF(OR(AR522="",N(S522)=0),"",AR522/S522)</f>
        <v/>
      </c>
      <c r="AV522" s="34" t="str">
        <f aca="false">IF(OR(AJ522="",N(AC522)=0),"",AJ522/AC522)</f>
        <v/>
      </c>
      <c r="AW522" s="34" t="str">
        <f aca="false">IF(OR(AH522="",N(AO522)=0),"",AH522/AO522)</f>
        <v/>
      </c>
      <c r="AX522" s="35" t="str">
        <f aca="false">IF(OR(AR522="",N(AO522)=0),"",(N(AF522)*Settings!$B$6+N(AG522)*Settings!$B$7+N(AH522)*Settings!$B$8+N(AI522)*Settings!$B$9+N(AJ522)*Settings!$B$10)/AO522*1000)</f>
        <v/>
      </c>
      <c r="AY522" s="36" t="str">
        <f aca="false">IF(AS522="","",IFERROR(AS522/AVERAGEIFS('Post Tracker'!$AS$5:$AS$1004,'Post Tracker'!$G$5:$G$1004,G522),""))</f>
        <v/>
      </c>
      <c r="AZ522" s="32"/>
      <c r="BA522" s="32"/>
      <c r="BB522" s="32"/>
      <c r="BC522" s="32"/>
      <c r="BD522" s="33" t="str">
        <f aca="false">IF(A522="","",COUNTIFS('Demo Pipeline'!$Q$5:$Q$504,A522))</f>
        <v/>
      </c>
      <c r="BE522" s="33" t="str">
        <f aca="false">IF(A522="","",COUNTIFS('Demo Pipeline'!$Q$5:$Q$504,A522,'Demo Pipeline'!$W$5:$W$504,"Attended"))</f>
        <v/>
      </c>
      <c r="BF522" s="33" t="str">
        <f aca="false">IF(A522="","",COUNTIFS('Demo Pipeline'!$Q$5:$Q$504,A522,'Demo Pipeline'!$X$5:$X$504,"Yes"))</f>
        <v/>
      </c>
      <c r="BG522" s="33" t="str">
        <f aca="false">IF(A522="","",COUNTIFS('Demo Pipeline'!$Q$5:$Q$504,A522,'Demo Pipeline'!$Y$5:$Y$504,"Closed Won"))</f>
        <v/>
      </c>
      <c r="BH522" s="37" t="str">
        <f aca="false">IF(A522="","",SUMIFS('Demo Pipeline'!$Z$5:$Z$504,'Demo Pipeline'!$Q$5:$Q$504,A522))</f>
        <v/>
      </c>
      <c r="BI522" s="34" t="str">
        <f aca="false">IF(OR(AZ522="",N(AJ522)=0),"",AZ522/AJ522)</f>
        <v/>
      </c>
      <c r="BJ522" s="34" t="str">
        <f aca="false">IF(OR(BB522="",N(AZ522)=0),"",BB522/AZ522)</f>
        <v/>
      </c>
      <c r="BK522" s="34" t="str">
        <f aca="false">IF(OR(A522="",N(BB522)=0),"",BD522/BB522)</f>
        <v/>
      </c>
      <c r="BL522" s="34" t="str">
        <f aca="false">IF(OR(A522="",N(AZ522)=0),"",BD522/AZ522)</f>
        <v/>
      </c>
      <c r="BM522" s="37" t="str">
        <f aca="false">IF(OR(N(Q522)=0,N(BD522)=0),"",Q522/BD522)</f>
        <v/>
      </c>
      <c r="BN522" s="29"/>
      <c r="BO522" s="29"/>
      <c r="BP522" s="33" t="str">
        <f aca="false">IF(OR(AR522="",N(AO522)=0),"",AR522)</f>
        <v/>
      </c>
      <c r="BQ522" s="33" t="str">
        <f aca="false">IF(OR(AR522="",N(S522)=0),"",S522)</f>
        <v/>
      </c>
      <c r="BR522" s="38" t="str">
        <f aca="false">IF(AND(ISNUMBER(B522),B522&gt;=Dashboard!$C$4,B522&lt;=Dashboard!$F$4,ISNUMBER(AU522)),AU522+ROW()/10^9,"")</f>
        <v/>
      </c>
      <c r="BS522" s="38" t="str">
        <f aca="false">IF(AND(ISNUMBER(B522),B522&gt;=Dashboard!$C$4,B522&lt;=Dashboard!$F$4,A522&lt;&gt;""),N(BD522)+N(AU522)/100+ROW()/10^9,"")</f>
        <v/>
      </c>
    </row>
    <row r="523" customFormat="false" ht="15" hidden="false" customHeight="false" outlineLevel="0" collapsed="false">
      <c r="A523" s="24" t="str">
        <f aca="false">IF(OR(B523="",G523="",H523=""),"",IFERROR(INDEX(Settings!$E$5:$E$49,MATCH(G523,Settings!$D$5:$D$49,0))&amp;INDEX(Settings!$H$5:$H$47,MATCH(H523,Settings!$G$5:$G$47,0))&amp;"-"&amp;TEXT(B523,"yymmdd")&amp;"-"&amp;IF(C523="","0000",TEXT(C523,"hhmm")),"CHECK LISTS"))</f>
        <v/>
      </c>
      <c r="B523" s="39"/>
      <c r="C523" s="40"/>
      <c r="D523" s="24" t="str">
        <f aca="false">IF(B523="","",TEXT(B523,"ddd"))</f>
        <v/>
      </c>
      <c r="E523" s="27" t="str">
        <f aca="false">IF(B523="","",B523-WEEKDAY(B523,3))</f>
        <v/>
      </c>
      <c r="F523" s="24" t="str">
        <f aca="false">IF(B523="","",TEXT(B523,"yyyy-mm"))</f>
        <v/>
      </c>
      <c r="G523" s="29"/>
      <c r="H523" s="29"/>
      <c r="I523" s="29"/>
      <c r="J523" s="29"/>
      <c r="K523" s="29"/>
      <c r="L523" s="29"/>
      <c r="M523" s="29"/>
      <c r="N523" s="29"/>
      <c r="O523" s="29"/>
      <c r="P523" s="29"/>
      <c r="Q523" s="30"/>
      <c r="R523" s="29"/>
      <c r="S523" s="32"/>
      <c r="T523" s="29"/>
      <c r="U523" s="29"/>
      <c r="V523" s="24" t="str">
        <f aca="false">IF(A523="","",IFERROR(INDEX(Settings!$F$5:$F$49,MATCH(G523,Settings!$D$5:$D$49,0)),""))</f>
        <v/>
      </c>
      <c r="W523" s="24" t="str">
        <f aca="false">IF(A523="","",IF(OR(P523="",P523="Organic"),"social","paid_social"))</f>
        <v/>
      </c>
      <c r="X523" s="24" t="str">
        <f aca="false">IF(A523="","",IF(K523&lt;&gt;"",IFERROR(INDEX('Case Studies'!$C$5:$C$54,MATCH(K523,'Case Studies'!$B$5:$B$54,0))&amp;"","case-study"),IF(J523&lt;&gt;"",IFERROR(INDEX(Settings!$J$5:$J$55,MATCH(J523,Settings!$I$5:$I$55,0)),"general"),"general")))</f>
        <v/>
      </c>
      <c r="Y523" s="24" t="str">
        <f aca="false">IF(A523="","",LOWER(A523))</f>
        <v/>
      </c>
      <c r="Z523" s="24" t="str">
        <f aca="false">IF(A523="","",IF(T523="",Settings!$B$5,T523)&amp;IF(ISNUMBER(FIND("?",IF(T523="",Settings!$B$5,T523))),"&amp;","?")&amp;"utm_source="&amp;V523&amp;"&amp;utm_medium="&amp;W523&amp;"&amp;utm_campaign="&amp;X523&amp;"&amp;utm_content="&amp;Y523)</f>
        <v/>
      </c>
      <c r="AA523" s="29"/>
      <c r="AB523" s="39"/>
      <c r="AC523" s="32"/>
      <c r="AD523" s="32"/>
      <c r="AE523" s="32"/>
      <c r="AF523" s="32"/>
      <c r="AG523" s="32"/>
      <c r="AH523" s="32"/>
      <c r="AI523" s="32"/>
      <c r="AJ523" s="32"/>
      <c r="AK523" s="32"/>
      <c r="AL523" s="32"/>
      <c r="AM523" s="32"/>
      <c r="AN523" s="32"/>
      <c r="AO523" s="33" t="str">
        <f aca="false">IF(A523="","",IF(AD523&lt;&gt;"",AD523,IF(AC523&lt;&gt;"",AC523,"")))</f>
        <v/>
      </c>
      <c r="AP523" s="24" t="str">
        <f aca="false">IF(AO523="","",IF(AD523&lt;&gt;"","Reported reach","Impressions (proxy)"))</f>
        <v/>
      </c>
      <c r="AQ523" s="34" t="str">
        <f aca="false">IF(OR(AO523="",N(S523)=0),"",AO523/S523)</f>
        <v/>
      </c>
      <c r="AR523" s="33" t="str">
        <f aca="false">IF(A523="","",IF(COUNT(AF523:AJ523)=0,"",SUM(AF523:AJ523)))</f>
        <v/>
      </c>
      <c r="AS523" s="34" t="str">
        <f aca="false">IF(OR(AR523="",N(AO523)=0),"",AR523/AO523)</f>
        <v/>
      </c>
      <c r="AT523" s="34" t="str">
        <f aca="false">IF(OR(AR523="",N(AC523)=0),"",AR523/AC523)</f>
        <v/>
      </c>
      <c r="AU523" s="34" t="str">
        <f aca="false">IF(OR(AR523="",N(S523)=0),"",AR523/S523)</f>
        <v/>
      </c>
      <c r="AV523" s="34" t="str">
        <f aca="false">IF(OR(AJ523="",N(AC523)=0),"",AJ523/AC523)</f>
        <v/>
      </c>
      <c r="AW523" s="34" t="str">
        <f aca="false">IF(OR(AH523="",N(AO523)=0),"",AH523/AO523)</f>
        <v/>
      </c>
      <c r="AX523" s="35" t="str">
        <f aca="false">IF(OR(AR523="",N(AO523)=0),"",(N(AF523)*Settings!$B$6+N(AG523)*Settings!$B$7+N(AH523)*Settings!$B$8+N(AI523)*Settings!$B$9+N(AJ523)*Settings!$B$10)/AO523*1000)</f>
        <v/>
      </c>
      <c r="AY523" s="36" t="str">
        <f aca="false">IF(AS523="","",IFERROR(AS523/AVERAGEIFS('Post Tracker'!$AS$5:$AS$1004,'Post Tracker'!$G$5:$G$1004,G523),""))</f>
        <v/>
      </c>
      <c r="AZ523" s="32"/>
      <c r="BA523" s="32"/>
      <c r="BB523" s="32"/>
      <c r="BC523" s="32"/>
      <c r="BD523" s="33" t="str">
        <f aca="false">IF(A523="","",COUNTIFS('Demo Pipeline'!$Q$5:$Q$504,A523))</f>
        <v/>
      </c>
      <c r="BE523" s="33" t="str">
        <f aca="false">IF(A523="","",COUNTIFS('Demo Pipeline'!$Q$5:$Q$504,A523,'Demo Pipeline'!$W$5:$W$504,"Attended"))</f>
        <v/>
      </c>
      <c r="BF523" s="33" t="str">
        <f aca="false">IF(A523="","",COUNTIFS('Demo Pipeline'!$Q$5:$Q$504,A523,'Demo Pipeline'!$X$5:$X$504,"Yes"))</f>
        <v/>
      </c>
      <c r="BG523" s="33" t="str">
        <f aca="false">IF(A523="","",COUNTIFS('Demo Pipeline'!$Q$5:$Q$504,A523,'Demo Pipeline'!$Y$5:$Y$504,"Closed Won"))</f>
        <v/>
      </c>
      <c r="BH523" s="37" t="str">
        <f aca="false">IF(A523="","",SUMIFS('Demo Pipeline'!$Z$5:$Z$504,'Demo Pipeline'!$Q$5:$Q$504,A523))</f>
        <v/>
      </c>
      <c r="BI523" s="34" t="str">
        <f aca="false">IF(OR(AZ523="",N(AJ523)=0),"",AZ523/AJ523)</f>
        <v/>
      </c>
      <c r="BJ523" s="34" t="str">
        <f aca="false">IF(OR(BB523="",N(AZ523)=0),"",BB523/AZ523)</f>
        <v/>
      </c>
      <c r="BK523" s="34" t="str">
        <f aca="false">IF(OR(A523="",N(BB523)=0),"",BD523/BB523)</f>
        <v/>
      </c>
      <c r="BL523" s="34" t="str">
        <f aca="false">IF(OR(A523="",N(AZ523)=0),"",BD523/AZ523)</f>
        <v/>
      </c>
      <c r="BM523" s="37" t="str">
        <f aca="false">IF(OR(N(Q523)=0,N(BD523)=0),"",Q523/BD523)</f>
        <v/>
      </c>
      <c r="BN523" s="29"/>
      <c r="BO523" s="29"/>
      <c r="BP523" s="33" t="str">
        <f aca="false">IF(OR(AR523="",N(AO523)=0),"",AR523)</f>
        <v/>
      </c>
      <c r="BQ523" s="33" t="str">
        <f aca="false">IF(OR(AR523="",N(S523)=0),"",S523)</f>
        <v/>
      </c>
      <c r="BR523" s="38" t="str">
        <f aca="false">IF(AND(ISNUMBER(B523),B523&gt;=Dashboard!$C$4,B523&lt;=Dashboard!$F$4,ISNUMBER(AU523)),AU523+ROW()/10^9,"")</f>
        <v/>
      </c>
      <c r="BS523" s="38" t="str">
        <f aca="false">IF(AND(ISNUMBER(B523),B523&gt;=Dashboard!$C$4,B523&lt;=Dashboard!$F$4,A523&lt;&gt;""),N(BD523)+N(AU523)/100+ROW()/10^9,"")</f>
        <v/>
      </c>
    </row>
    <row r="524" customFormat="false" ht="15" hidden="false" customHeight="false" outlineLevel="0" collapsed="false">
      <c r="A524" s="24" t="str">
        <f aca="false">IF(OR(B524="",G524="",H524=""),"",IFERROR(INDEX(Settings!$E$5:$E$49,MATCH(G524,Settings!$D$5:$D$49,0))&amp;INDEX(Settings!$H$5:$H$47,MATCH(H524,Settings!$G$5:$G$47,0))&amp;"-"&amp;TEXT(B524,"yymmdd")&amp;"-"&amp;IF(C524="","0000",TEXT(C524,"hhmm")),"CHECK LISTS"))</f>
        <v/>
      </c>
      <c r="B524" s="39"/>
      <c r="C524" s="40"/>
      <c r="D524" s="24" t="str">
        <f aca="false">IF(B524="","",TEXT(B524,"ddd"))</f>
        <v/>
      </c>
      <c r="E524" s="27" t="str">
        <f aca="false">IF(B524="","",B524-WEEKDAY(B524,3))</f>
        <v/>
      </c>
      <c r="F524" s="24" t="str">
        <f aca="false">IF(B524="","",TEXT(B524,"yyyy-mm"))</f>
        <v/>
      </c>
      <c r="G524" s="29"/>
      <c r="H524" s="29"/>
      <c r="I524" s="29"/>
      <c r="J524" s="29"/>
      <c r="K524" s="29"/>
      <c r="L524" s="29"/>
      <c r="M524" s="29"/>
      <c r="N524" s="29"/>
      <c r="O524" s="29"/>
      <c r="P524" s="29"/>
      <c r="Q524" s="30"/>
      <c r="R524" s="29"/>
      <c r="S524" s="32"/>
      <c r="T524" s="29"/>
      <c r="U524" s="29"/>
      <c r="V524" s="24" t="str">
        <f aca="false">IF(A524="","",IFERROR(INDEX(Settings!$F$5:$F$49,MATCH(G524,Settings!$D$5:$D$49,0)),""))</f>
        <v/>
      </c>
      <c r="W524" s="24" t="str">
        <f aca="false">IF(A524="","",IF(OR(P524="",P524="Organic"),"social","paid_social"))</f>
        <v/>
      </c>
      <c r="X524" s="24" t="str">
        <f aca="false">IF(A524="","",IF(K524&lt;&gt;"",IFERROR(INDEX('Case Studies'!$C$5:$C$54,MATCH(K524,'Case Studies'!$B$5:$B$54,0))&amp;"","case-study"),IF(J524&lt;&gt;"",IFERROR(INDEX(Settings!$J$5:$J$55,MATCH(J524,Settings!$I$5:$I$55,0)),"general"),"general")))</f>
        <v/>
      </c>
      <c r="Y524" s="24" t="str">
        <f aca="false">IF(A524="","",LOWER(A524))</f>
        <v/>
      </c>
      <c r="Z524" s="24" t="str">
        <f aca="false">IF(A524="","",IF(T524="",Settings!$B$5,T524)&amp;IF(ISNUMBER(FIND("?",IF(T524="",Settings!$B$5,T524))),"&amp;","?")&amp;"utm_source="&amp;V524&amp;"&amp;utm_medium="&amp;W524&amp;"&amp;utm_campaign="&amp;X524&amp;"&amp;utm_content="&amp;Y524)</f>
        <v/>
      </c>
      <c r="AA524" s="29"/>
      <c r="AB524" s="39"/>
      <c r="AC524" s="32"/>
      <c r="AD524" s="32"/>
      <c r="AE524" s="32"/>
      <c r="AF524" s="32"/>
      <c r="AG524" s="32"/>
      <c r="AH524" s="32"/>
      <c r="AI524" s="32"/>
      <c r="AJ524" s="32"/>
      <c r="AK524" s="32"/>
      <c r="AL524" s="32"/>
      <c r="AM524" s="32"/>
      <c r="AN524" s="32"/>
      <c r="AO524" s="33" t="str">
        <f aca="false">IF(A524="","",IF(AD524&lt;&gt;"",AD524,IF(AC524&lt;&gt;"",AC524,"")))</f>
        <v/>
      </c>
      <c r="AP524" s="24" t="str">
        <f aca="false">IF(AO524="","",IF(AD524&lt;&gt;"","Reported reach","Impressions (proxy)"))</f>
        <v/>
      </c>
      <c r="AQ524" s="34" t="str">
        <f aca="false">IF(OR(AO524="",N(S524)=0),"",AO524/S524)</f>
        <v/>
      </c>
      <c r="AR524" s="33" t="str">
        <f aca="false">IF(A524="","",IF(COUNT(AF524:AJ524)=0,"",SUM(AF524:AJ524)))</f>
        <v/>
      </c>
      <c r="AS524" s="34" t="str">
        <f aca="false">IF(OR(AR524="",N(AO524)=0),"",AR524/AO524)</f>
        <v/>
      </c>
      <c r="AT524" s="34" t="str">
        <f aca="false">IF(OR(AR524="",N(AC524)=0),"",AR524/AC524)</f>
        <v/>
      </c>
      <c r="AU524" s="34" t="str">
        <f aca="false">IF(OR(AR524="",N(S524)=0),"",AR524/S524)</f>
        <v/>
      </c>
      <c r="AV524" s="34" t="str">
        <f aca="false">IF(OR(AJ524="",N(AC524)=0),"",AJ524/AC524)</f>
        <v/>
      </c>
      <c r="AW524" s="34" t="str">
        <f aca="false">IF(OR(AH524="",N(AO524)=0),"",AH524/AO524)</f>
        <v/>
      </c>
      <c r="AX524" s="35" t="str">
        <f aca="false">IF(OR(AR524="",N(AO524)=0),"",(N(AF524)*Settings!$B$6+N(AG524)*Settings!$B$7+N(AH524)*Settings!$B$8+N(AI524)*Settings!$B$9+N(AJ524)*Settings!$B$10)/AO524*1000)</f>
        <v/>
      </c>
      <c r="AY524" s="36" t="str">
        <f aca="false">IF(AS524="","",IFERROR(AS524/AVERAGEIFS('Post Tracker'!$AS$5:$AS$1004,'Post Tracker'!$G$5:$G$1004,G524),""))</f>
        <v/>
      </c>
      <c r="AZ524" s="32"/>
      <c r="BA524" s="32"/>
      <c r="BB524" s="32"/>
      <c r="BC524" s="32"/>
      <c r="BD524" s="33" t="str">
        <f aca="false">IF(A524="","",COUNTIFS('Demo Pipeline'!$Q$5:$Q$504,A524))</f>
        <v/>
      </c>
      <c r="BE524" s="33" t="str">
        <f aca="false">IF(A524="","",COUNTIFS('Demo Pipeline'!$Q$5:$Q$504,A524,'Demo Pipeline'!$W$5:$W$504,"Attended"))</f>
        <v/>
      </c>
      <c r="BF524" s="33" t="str">
        <f aca="false">IF(A524="","",COUNTIFS('Demo Pipeline'!$Q$5:$Q$504,A524,'Demo Pipeline'!$X$5:$X$504,"Yes"))</f>
        <v/>
      </c>
      <c r="BG524" s="33" t="str">
        <f aca="false">IF(A524="","",COUNTIFS('Demo Pipeline'!$Q$5:$Q$504,A524,'Demo Pipeline'!$Y$5:$Y$504,"Closed Won"))</f>
        <v/>
      </c>
      <c r="BH524" s="37" t="str">
        <f aca="false">IF(A524="","",SUMIFS('Demo Pipeline'!$Z$5:$Z$504,'Demo Pipeline'!$Q$5:$Q$504,A524))</f>
        <v/>
      </c>
      <c r="BI524" s="34" t="str">
        <f aca="false">IF(OR(AZ524="",N(AJ524)=0),"",AZ524/AJ524)</f>
        <v/>
      </c>
      <c r="BJ524" s="34" t="str">
        <f aca="false">IF(OR(BB524="",N(AZ524)=0),"",BB524/AZ524)</f>
        <v/>
      </c>
      <c r="BK524" s="34" t="str">
        <f aca="false">IF(OR(A524="",N(BB524)=0),"",BD524/BB524)</f>
        <v/>
      </c>
      <c r="BL524" s="34" t="str">
        <f aca="false">IF(OR(A524="",N(AZ524)=0),"",BD524/AZ524)</f>
        <v/>
      </c>
      <c r="BM524" s="37" t="str">
        <f aca="false">IF(OR(N(Q524)=0,N(BD524)=0),"",Q524/BD524)</f>
        <v/>
      </c>
      <c r="BN524" s="29"/>
      <c r="BO524" s="29"/>
      <c r="BP524" s="33" t="str">
        <f aca="false">IF(OR(AR524="",N(AO524)=0),"",AR524)</f>
        <v/>
      </c>
      <c r="BQ524" s="33" t="str">
        <f aca="false">IF(OR(AR524="",N(S524)=0),"",S524)</f>
        <v/>
      </c>
      <c r="BR524" s="38" t="str">
        <f aca="false">IF(AND(ISNUMBER(B524),B524&gt;=Dashboard!$C$4,B524&lt;=Dashboard!$F$4,ISNUMBER(AU524)),AU524+ROW()/10^9,"")</f>
        <v/>
      </c>
      <c r="BS524" s="38" t="str">
        <f aca="false">IF(AND(ISNUMBER(B524),B524&gt;=Dashboard!$C$4,B524&lt;=Dashboard!$F$4,A524&lt;&gt;""),N(BD524)+N(AU524)/100+ROW()/10^9,"")</f>
        <v/>
      </c>
    </row>
    <row r="525" customFormat="false" ht="15" hidden="false" customHeight="false" outlineLevel="0" collapsed="false">
      <c r="A525" s="24" t="str">
        <f aca="false">IF(OR(B525="",G525="",H525=""),"",IFERROR(INDEX(Settings!$E$5:$E$49,MATCH(G525,Settings!$D$5:$D$49,0))&amp;INDEX(Settings!$H$5:$H$47,MATCH(H525,Settings!$G$5:$G$47,0))&amp;"-"&amp;TEXT(B525,"yymmdd")&amp;"-"&amp;IF(C525="","0000",TEXT(C525,"hhmm")),"CHECK LISTS"))</f>
        <v/>
      </c>
      <c r="B525" s="39"/>
      <c r="C525" s="40"/>
      <c r="D525" s="24" t="str">
        <f aca="false">IF(B525="","",TEXT(B525,"ddd"))</f>
        <v/>
      </c>
      <c r="E525" s="27" t="str">
        <f aca="false">IF(B525="","",B525-WEEKDAY(B525,3))</f>
        <v/>
      </c>
      <c r="F525" s="24" t="str">
        <f aca="false">IF(B525="","",TEXT(B525,"yyyy-mm"))</f>
        <v/>
      </c>
      <c r="G525" s="29"/>
      <c r="H525" s="29"/>
      <c r="I525" s="29"/>
      <c r="J525" s="29"/>
      <c r="K525" s="29"/>
      <c r="L525" s="29"/>
      <c r="M525" s="29"/>
      <c r="N525" s="29"/>
      <c r="O525" s="29"/>
      <c r="P525" s="29"/>
      <c r="Q525" s="30"/>
      <c r="R525" s="29"/>
      <c r="S525" s="32"/>
      <c r="T525" s="29"/>
      <c r="U525" s="29"/>
      <c r="V525" s="24" t="str">
        <f aca="false">IF(A525="","",IFERROR(INDEX(Settings!$F$5:$F$49,MATCH(G525,Settings!$D$5:$D$49,0)),""))</f>
        <v/>
      </c>
      <c r="W525" s="24" t="str">
        <f aca="false">IF(A525="","",IF(OR(P525="",P525="Organic"),"social","paid_social"))</f>
        <v/>
      </c>
      <c r="X525" s="24" t="str">
        <f aca="false">IF(A525="","",IF(K525&lt;&gt;"",IFERROR(INDEX('Case Studies'!$C$5:$C$54,MATCH(K525,'Case Studies'!$B$5:$B$54,0))&amp;"","case-study"),IF(J525&lt;&gt;"",IFERROR(INDEX(Settings!$J$5:$J$55,MATCH(J525,Settings!$I$5:$I$55,0)),"general"),"general")))</f>
        <v/>
      </c>
      <c r="Y525" s="24" t="str">
        <f aca="false">IF(A525="","",LOWER(A525))</f>
        <v/>
      </c>
      <c r="Z525" s="24" t="str">
        <f aca="false">IF(A525="","",IF(T525="",Settings!$B$5,T525)&amp;IF(ISNUMBER(FIND("?",IF(T525="",Settings!$B$5,T525))),"&amp;","?")&amp;"utm_source="&amp;V525&amp;"&amp;utm_medium="&amp;W525&amp;"&amp;utm_campaign="&amp;X525&amp;"&amp;utm_content="&amp;Y525)</f>
        <v/>
      </c>
      <c r="AA525" s="29"/>
      <c r="AB525" s="39"/>
      <c r="AC525" s="32"/>
      <c r="AD525" s="32"/>
      <c r="AE525" s="32"/>
      <c r="AF525" s="32"/>
      <c r="AG525" s="32"/>
      <c r="AH525" s="32"/>
      <c r="AI525" s="32"/>
      <c r="AJ525" s="32"/>
      <c r="AK525" s="32"/>
      <c r="AL525" s="32"/>
      <c r="AM525" s="32"/>
      <c r="AN525" s="32"/>
      <c r="AO525" s="33" t="str">
        <f aca="false">IF(A525="","",IF(AD525&lt;&gt;"",AD525,IF(AC525&lt;&gt;"",AC525,"")))</f>
        <v/>
      </c>
      <c r="AP525" s="24" t="str">
        <f aca="false">IF(AO525="","",IF(AD525&lt;&gt;"","Reported reach","Impressions (proxy)"))</f>
        <v/>
      </c>
      <c r="AQ525" s="34" t="str">
        <f aca="false">IF(OR(AO525="",N(S525)=0),"",AO525/S525)</f>
        <v/>
      </c>
      <c r="AR525" s="33" t="str">
        <f aca="false">IF(A525="","",IF(COUNT(AF525:AJ525)=0,"",SUM(AF525:AJ525)))</f>
        <v/>
      </c>
      <c r="AS525" s="34" t="str">
        <f aca="false">IF(OR(AR525="",N(AO525)=0),"",AR525/AO525)</f>
        <v/>
      </c>
      <c r="AT525" s="34" t="str">
        <f aca="false">IF(OR(AR525="",N(AC525)=0),"",AR525/AC525)</f>
        <v/>
      </c>
      <c r="AU525" s="34" t="str">
        <f aca="false">IF(OR(AR525="",N(S525)=0),"",AR525/S525)</f>
        <v/>
      </c>
      <c r="AV525" s="34" t="str">
        <f aca="false">IF(OR(AJ525="",N(AC525)=0),"",AJ525/AC525)</f>
        <v/>
      </c>
      <c r="AW525" s="34" t="str">
        <f aca="false">IF(OR(AH525="",N(AO525)=0),"",AH525/AO525)</f>
        <v/>
      </c>
      <c r="AX525" s="35" t="str">
        <f aca="false">IF(OR(AR525="",N(AO525)=0),"",(N(AF525)*Settings!$B$6+N(AG525)*Settings!$B$7+N(AH525)*Settings!$B$8+N(AI525)*Settings!$B$9+N(AJ525)*Settings!$B$10)/AO525*1000)</f>
        <v/>
      </c>
      <c r="AY525" s="36" t="str">
        <f aca="false">IF(AS525="","",IFERROR(AS525/AVERAGEIFS('Post Tracker'!$AS$5:$AS$1004,'Post Tracker'!$G$5:$G$1004,G525),""))</f>
        <v/>
      </c>
      <c r="AZ525" s="32"/>
      <c r="BA525" s="32"/>
      <c r="BB525" s="32"/>
      <c r="BC525" s="32"/>
      <c r="BD525" s="33" t="str">
        <f aca="false">IF(A525="","",COUNTIFS('Demo Pipeline'!$Q$5:$Q$504,A525))</f>
        <v/>
      </c>
      <c r="BE525" s="33" t="str">
        <f aca="false">IF(A525="","",COUNTIFS('Demo Pipeline'!$Q$5:$Q$504,A525,'Demo Pipeline'!$W$5:$W$504,"Attended"))</f>
        <v/>
      </c>
      <c r="BF525" s="33" t="str">
        <f aca="false">IF(A525="","",COUNTIFS('Demo Pipeline'!$Q$5:$Q$504,A525,'Demo Pipeline'!$X$5:$X$504,"Yes"))</f>
        <v/>
      </c>
      <c r="BG525" s="33" t="str">
        <f aca="false">IF(A525="","",COUNTIFS('Demo Pipeline'!$Q$5:$Q$504,A525,'Demo Pipeline'!$Y$5:$Y$504,"Closed Won"))</f>
        <v/>
      </c>
      <c r="BH525" s="37" t="str">
        <f aca="false">IF(A525="","",SUMIFS('Demo Pipeline'!$Z$5:$Z$504,'Demo Pipeline'!$Q$5:$Q$504,A525))</f>
        <v/>
      </c>
      <c r="BI525" s="34" t="str">
        <f aca="false">IF(OR(AZ525="",N(AJ525)=0),"",AZ525/AJ525)</f>
        <v/>
      </c>
      <c r="BJ525" s="34" t="str">
        <f aca="false">IF(OR(BB525="",N(AZ525)=0),"",BB525/AZ525)</f>
        <v/>
      </c>
      <c r="BK525" s="34" t="str">
        <f aca="false">IF(OR(A525="",N(BB525)=0),"",BD525/BB525)</f>
        <v/>
      </c>
      <c r="BL525" s="34" t="str">
        <f aca="false">IF(OR(A525="",N(AZ525)=0),"",BD525/AZ525)</f>
        <v/>
      </c>
      <c r="BM525" s="37" t="str">
        <f aca="false">IF(OR(N(Q525)=0,N(BD525)=0),"",Q525/BD525)</f>
        <v/>
      </c>
      <c r="BN525" s="29"/>
      <c r="BO525" s="29"/>
      <c r="BP525" s="33" t="str">
        <f aca="false">IF(OR(AR525="",N(AO525)=0),"",AR525)</f>
        <v/>
      </c>
      <c r="BQ525" s="33" t="str">
        <f aca="false">IF(OR(AR525="",N(S525)=0),"",S525)</f>
        <v/>
      </c>
      <c r="BR525" s="38" t="str">
        <f aca="false">IF(AND(ISNUMBER(B525),B525&gt;=Dashboard!$C$4,B525&lt;=Dashboard!$F$4,ISNUMBER(AU525)),AU525+ROW()/10^9,"")</f>
        <v/>
      </c>
      <c r="BS525" s="38" t="str">
        <f aca="false">IF(AND(ISNUMBER(B525),B525&gt;=Dashboard!$C$4,B525&lt;=Dashboard!$F$4,A525&lt;&gt;""),N(BD525)+N(AU525)/100+ROW()/10^9,"")</f>
        <v/>
      </c>
    </row>
    <row r="526" customFormat="false" ht="15" hidden="false" customHeight="false" outlineLevel="0" collapsed="false">
      <c r="A526" s="24" t="str">
        <f aca="false">IF(OR(B526="",G526="",H526=""),"",IFERROR(INDEX(Settings!$E$5:$E$49,MATCH(G526,Settings!$D$5:$D$49,0))&amp;INDEX(Settings!$H$5:$H$47,MATCH(H526,Settings!$G$5:$G$47,0))&amp;"-"&amp;TEXT(B526,"yymmdd")&amp;"-"&amp;IF(C526="","0000",TEXT(C526,"hhmm")),"CHECK LISTS"))</f>
        <v/>
      </c>
      <c r="B526" s="39"/>
      <c r="C526" s="40"/>
      <c r="D526" s="24" t="str">
        <f aca="false">IF(B526="","",TEXT(B526,"ddd"))</f>
        <v/>
      </c>
      <c r="E526" s="27" t="str">
        <f aca="false">IF(B526="","",B526-WEEKDAY(B526,3))</f>
        <v/>
      </c>
      <c r="F526" s="24" t="str">
        <f aca="false">IF(B526="","",TEXT(B526,"yyyy-mm"))</f>
        <v/>
      </c>
      <c r="G526" s="29"/>
      <c r="H526" s="29"/>
      <c r="I526" s="29"/>
      <c r="J526" s="29"/>
      <c r="K526" s="29"/>
      <c r="L526" s="29"/>
      <c r="M526" s="29"/>
      <c r="N526" s="29"/>
      <c r="O526" s="29"/>
      <c r="P526" s="29"/>
      <c r="Q526" s="30"/>
      <c r="R526" s="29"/>
      <c r="S526" s="32"/>
      <c r="T526" s="29"/>
      <c r="U526" s="29"/>
      <c r="V526" s="24" t="str">
        <f aca="false">IF(A526="","",IFERROR(INDEX(Settings!$F$5:$F$49,MATCH(G526,Settings!$D$5:$D$49,0)),""))</f>
        <v/>
      </c>
      <c r="W526" s="24" t="str">
        <f aca="false">IF(A526="","",IF(OR(P526="",P526="Organic"),"social","paid_social"))</f>
        <v/>
      </c>
      <c r="X526" s="24" t="str">
        <f aca="false">IF(A526="","",IF(K526&lt;&gt;"",IFERROR(INDEX('Case Studies'!$C$5:$C$54,MATCH(K526,'Case Studies'!$B$5:$B$54,0))&amp;"","case-study"),IF(J526&lt;&gt;"",IFERROR(INDEX(Settings!$J$5:$J$55,MATCH(J526,Settings!$I$5:$I$55,0)),"general"),"general")))</f>
        <v/>
      </c>
      <c r="Y526" s="24" t="str">
        <f aca="false">IF(A526="","",LOWER(A526))</f>
        <v/>
      </c>
      <c r="Z526" s="24" t="str">
        <f aca="false">IF(A526="","",IF(T526="",Settings!$B$5,T526)&amp;IF(ISNUMBER(FIND("?",IF(T526="",Settings!$B$5,T526))),"&amp;","?")&amp;"utm_source="&amp;V526&amp;"&amp;utm_medium="&amp;W526&amp;"&amp;utm_campaign="&amp;X526&amp;"&amp;utm_content="&amp;Y526)</f>
        <v/>
      </c>
      <c r="AA526" s="29"/>
      <c r="AB526" s="39"/>
      <c r="AC526" s="32"/>
      <c r="AD526" s="32"/>
      <c r="AE526" s="32"/>
      <c r="AF526" s="32"/>
      <c r="AG526" s="32"/>
      <c r="AH526" s="32"/>
      <c r="AI526" s="32"/>
      <c r="AJ526" s="32"/>
      <c r="AK526" s="32"/>
      <c r="AL526" s="32"/>
      <c r="AM526" s="32"/>
      <c r="AN526" s="32"/>
      <c r="AO526" s="33" t="str">
        <f aca="false">IF(A526="","",IF(AD526&lt;&gt;"",AD526,IF(AC526&lt;&gt;"",AC526,"")))</f>
        <v/>
      </c>
      <c r="AP526" s="24" t="str">
        <f aca="false">IF(AO526="","",IF(AD526&lt;&gt;"","Reported reach","Impressions (proxy)"))</f>
        <v/>
      </c>
      <c r="AQ526" s="34" t="str">
        <f aca="false">IF(OR(AO526="",N(S526)=0),"",AO526/S526)</f>
        <v/>
      </c>
      <c r="AR526" s="33" t="str">
        <f aca="false">IF(A526="","",IF(COUNT(AF526:AJ526)=0,"",SUM(AF526:AJ526)))</f>
        <v/>
      </c>
      <c r="AS526" s="34" t="str">
        <f aca="false">IF(OR(AR526="",N(AO526)=0),"",AR526/AO526)</f>
        <v/>
      </c>
      <c r="AT526" s="34" t="str">
        <f aca="false">IF(OR(AR526="",N(AC526)=0),"",AR526/AC526)</f>
        <v/>
      </c>
      <c r="AU526" s="34" t="str">
        <f aca="false">IF(OR(AR526="",N(S526)=0),"",AR526/S526)</f>
        <v/>
      </c>
      <c r="AV526" s="34" t="str">
        <f aca="false">IF(OR(AJ526="",N(AC526)=0),"",AJ526/AC526)</f>
        <v/>
      </c>
      <c r="AW526" s="34" t="str">
        <f aca="false">IF(OR(AH526="",N(AO526)=0),"",AH526/AO526)</f>
        <v/>
      </c>
      <c r="AX526" s="35" t="str">
        <f aca="false">IF(OR(AR526="",N(AO526)=0),"",(N(AF526)*Settings!$B$6+N(AG526)*Settings!$B$7+N(AH526)*Settings!$B$8+N(AI526)*Settings!$B$9+N(AJ526)*Settings!$B$10)/AO526*1000)</f>
        <v/>
      </c>
      <c r="AY526" s="36" t="str">
        <f aca="false">IF(AS526="","",IFERROR(AS526/AVERAGEIFS('Post Tracker'!$AS$5:$AS$1004,'Post Tracker'!$G$5:$G$1004,G526),""))</f>
        <v/>
      </c>
      <c r="AZ526" s="32"/>
      <c r="BA526" s="32"/>
      <c r="BB526" s="32"/>
      <c r="BC526" s="32"/>
      <c r="BD526" s="33" t="str">
        <f aca="false">IF(A526="","",COUNTIFS('Demo Pipeline'!$Q$5:$Q$504,A526))</f>
        <v/>
      </c>
      <c r="BE526" s="33" t="str">
        <f aca="false">IF(A526="","",COUNTIFS('Demo Pipeline'!$Q$5:$Q$504,A526,'Demo Pipeline'!$W$5:$W$504,"Attended"))</f>
        <v/>
      </c>
      <c r="BF526" s="33" t="str">
        <f aca="false">IF(A526="","",COUNTIFS('Demo Pipeline'!$Q$5:$Q$504,A526,'Demo Pipeline'!$X$5:$X$504,"Yes"))</f>
        <v/>
      </c>
      <c r="BG526" s="33" t="str">
        <f aca="false">IF(A526="","",COUNTIFS('Demo Pipeline'!$Q$5:$Q$504,A526,'Demo Pipeline'!$Y$5:$Y$504,"Closed Won"))</f>
        <v/>
      </c>
      <c r="BH526" s="37" t="str">
        <f aca="false">IF(A526="","",SUMIFS('Demo Pipeline'!$Z$5:$Z$504,'Demo Pipeline'!$Q$5:$Q$504,A526))</f>
        <v/>
      </c>
      <c r="BI526" s="34" t="str">
        <f aca="false">IF(OR(AZ526="",N(AJ526)=0),"",AZ526/AJ526)</f>
        <v/>
      </c>
      <c r="BJ526" s="34" t="str">
        <f aca="false">IF(OR(BB526="",N(AZ526)=0),"",BB526/AZ526)</f>
        <v/>
      </c>
      <c r="BK526" s="34" t="str">
        <f aca="false">IF(OR(A526="",N(BB526)=0),"",BD526/BB526)</f>
        <v/>
      </c>
      <c r="BL526" s="34" t="str">
        <f aca="false">IF(OR(A526="",N(AZ526)=0),"",BD526/AZ526)</f>
        <v/>
      </c>
      <c r="BM526" s="37" t="str">
        <f aca="false">IF(OR(N(Q526)=0,N(BD526)=0),"",Q526/BD526)</f>
        <v/>
      </c>
      <c r="BN526" s="29"/>
      <c r="BO526" s="29"/>
      <c r="BP526" s="33" t="str">
        <f aca="false">IF(OR(AR526="",N(AO526)=0),"",AR526)</f>
        <v/>
      </c>
      <c r="BQ526" s="33" t="str">
        <f aca="false">IF(OR(AR526="",N(S526)=0),"",S526)</f>
        <v/>
      </c>
      <c r="BR526" s="38" t="str">
        <f aca="false">IF(AND(ISNUMBER(B526),B526&gt;=Dashboard!$C$4,B526&lt;=Dashboard!$F$4,ISNUMBER(AU526)),AU526+ROW()/10^9,"")</f>
        <v/>
      </c>
      <c r="BS526" s="38" t="str">
        <f aca="false">IF(AND(ISNUMBER(B526),B526&gt;=Dashboard!$C$4,B526&lt;=Dashboard!$F$4,A526&lt;&gt;""),N(BD526)+N(AU526)/100+ROW()/10^9,"")</f>
        <v/>
      </c>
    </row>
    <row r="527" customFormat="false" ht="15" hidden="false" customHeight="false" outlineLevel="0" collapsed="false">
      <c r="A527" s="24" t="str">
        <f aca="false">IF(OR(B527="",G527="",H527=""),"",IFERROR(INDEX(Settings!$E$5:$E$49,MATCH(G527,Settings!$D$5:$D$49,0))&amp;INDEX(Settings!$H$5:$H$47,MATCH(H527,Settings!$G$5:$G$47,0))&amp;"-"&amp;TEXT(B527,"yymmdd")&amp;"-"&amp;IF(C527="","0000",TEXT(C527,"hhmm")),"CHECK LISTS"))</f>
        <v/>
      </c>
      <c r="B527" s="39"/>
      <c r="C527" s="40"/>
      <c r="D527" s="24" t="str">
        <f aca="false">IF(B527="","",TEXT(B527,"ddd"))</f>
        <v/>
      </c>
      <c r="E527" s="27" t="str">
        <f aca="false">IF(B527="","",B527-WEEKDAY(B527,3))</f>
        <v/>
      </c>
      <c r="F527" s="24" t="str">
        <f aca="false">IF(B527="","",TEXT(B527,"yyyy-mm"))</f>
        <v/>
      </c>
      <c r="G527" s="29"/>
      <c r="H527" s="29"/>
      <c r="I527" s="29"/>
      <c r="J527" s="29"/>
      <c r="K527" s="29"/>
      <c r="L527" s="29"/>
      <c r="M527" s="29"/>
      <c r="N527" s="29"/>
      <c r="O527" s="29"/>
      <c r="P527" s="29"/>
      <c r="Q527" s="30"/>
      <c r="R527" s="29"/>
      <c r="S527" s="32"/>
      <c r="T527" s="29"/>
      <c r="U527" s="29"/>
      <c r="V527" s="24" t="str">
        <f aca="false">IF(A527="","",IFERROR(INDEX(Settings!$F$5:$F$49,MATCH(G527,Settings!$D$5:$D$49,0)),""))</f>
        <v/>
      </c>
      <c r="W527" s="24" t="str">
        <f aca="false">IF(A527="","",IF(OR(P527="",P527="Organic"),"social","paid_social"))</f>
        <v/>
      </c>
      <c r="X527" s="24" t="str">
        <f aca="false">IF(A527="","",IF(K527&lt;&gt;"",IFERROR(INDEX('Case Studies'!$C$5:$C$54,MATCH(K527,'Case Studies'!$B$5:$B$54,0))&amp;"","case-study"),IF(J527&lt;&gt;"",IFERROR(INDEX(Settings!$J$5:$J$55,MATCH(J527,Settings!$I$5:$I$55,0)),"general"),"general")))</f>
        <v/>
      </c>
      <c r="Y527" s="24" t="str">
        <f aca="false">IF(A527="","",LOWER(A527))</f>
        <v/>
      </c>
      <c r="Z527" s="24" t="str">
        <f aca="false">IF(A527="","",IF(T527="",Settings!$B$5,T527)&amp;IF(ISNUMBER(FIND("?",IF(T527="",Settings!$B$5,T527))),"&amp;","?")&amp;"utm_source="&amp;V527&amp;"&amp;utm_medium="&amp;W527&amp;"&amp;utm_campaign="&amp;X527&amp;"&amp;utm_content="&amp;Y527)</f>
        <v/>
      </c>
      <c r="AA527" s="29"/>
      <c r="AB527" s="39"/>
      <c r="AC527" s="32"/>
      <c r="AD527" s="32"/>
      <c r="AE527" s="32"/>
      <c r="AF527" s="32"/>
      <c r="AG527" s="32"/>
      <c r="AH527" s="32"/>
      <c r="AI527" s="32"/>
      <c r="AJ527" s="32"/>
      <c r="AK527" s="32"/>
      <c r="AL527" s="32"/>
      <c r="AM527" s="32"/>
      <c r="AN527" s="32"/>
      <c r="AO527" s="33" t="str">
        <f aca="false">IF(A527="","",IF(AD527&lt;&gt;"",AD527,IF(AC527&lt;&gt;"",AC527,"")))</f>
        <v/>
      </c>
      <c r="AP527" s="24" t="str">
        <f aca="false">IF(AO527="","",IF(AD527&lt;&gt;"","Reported reach","Impressions (proxy)"))</f>
        <v/>
      </c>
      <c r="AQ527" s="34" t="str">
        <f aca="false">IF(OR(AO527="",N(S527)=0),"",AO527/S527)</f>
        <v/>
      </c>
      <c r="AR527" s="33" t="str">
        <f aca="false">IF(A527="","",IF(COUNT(AF527:AJ527)=0,"",SUM(AF527:AJ527)))</f>
        <v/>
      </c>
      <c r="AS527" s="34" t="str">
        <f aca="false">IF(OR(AR527="",N(AO527)=0),"",AR527/AO527)</f>
        <v/>
      </c>
      <c r="AT527" s="34" t="str">
        <f aca="false">IF(OR(AR527="",N(AC527)=0),"",AR527/AC527)</f>
        <v/>
      </c>
      <c r="AU527" s="34" t="str">
        <f aca="false">IF(OR(AR527="",N(S527)=0),"",AR527/S527)</f>
        <v/>
      </c>
      <c r="AV527" s="34" t="str">
        <f aca="false">IF(OR(AJ527="",N(AC527)=0),"",AJ527/AC527)</f>
        <v/>
      </c>
      <c r="AW527" s="34" t="str">
        <f aca="false">IF(OR(AH527="",N(AO527)=0),"",AH527/AO527)</f>
        <v/>
      </c>
      <c r="AX527" s="35" t="str">
        <f aca="false">IF(OR(AR527="",N(AO527)=0),"",(N(AF527)*Settings!$B$6+N(AG527)*Settings!$B$7+N(AH527)*Settings!$B$8+N(AI527)*Settings!$B$9+N(AJ527)*Settings!$B$10)/AO527*1000)</f>
        <v/>
      </c>
      <c r="AY527" s="36" t="str">
        <f aca="false">IF(AS527="","",IFERROR(AS527/AVERAGEIFS('Post Tracker'!$AS$5:$AS$1004,'Post Tracker'!$G$5:$G$1004,G527),""))</f>
        <v/>
      </c>
      <c r="AZ527" s="32"/>
      <c r="BA527" s="32"/>
      <c r="BB527" s="32"/>
      <c r="BC527" s="32"/>
      <c r="BD527" s="33" t="str">
        <f aca="false">IF(A527="","",COUNTIFS('Demo Pipeline'!$Q$5:$Q$504,A527))</f>
        <v/>
      </c>
      <c r="BE527" s="33" t="str">
        <f aca="false">IF(A527="","",COUNTIFS('Demo Pipeline'!$Q$5:$Q$504,A527,'Demo Pipeline'!$W$5:$W$504,"Attended"))</f>
        <v/>
      </c>
      <c r="BF527" s="33" t="str">
        <f aca="false">IF(A527="","",COUNTIFS('Demo Pipeline'!$Q$5:$Q$504,A527,'Demo Pipeline'!$X$5:$X$504,"Yes"))</f>
        <v/>
      </c>
      <c r="BG527" s="33" t="str">
        <f aca="false">IF(A527="","",COUNTIFS('Demo Pipeline'!$Q$5:$Q$504,A527,'Demo Pipeline'!$Y$5:$Y$504,"Closed Won"))</f>
        <v/>
      </c>
      <c r="BH527" s="37" t="str">
        <f aca="false">IF(A527="","",SUMIFS('Demo Pipeline'!$Z$5:$Z$504,'Demo Pipeline'!$Q$5:$Q$504,A527))</f>
        <v/>
      </c>
      <c r="BI527" s="34" t="str">
        <f aca="false">IF(OR(AZ527="",N(AJ527)=0),"",AZ527/AJ527)</f>
        <v/>
      </c>
      <c r="BJ527" s="34" t="str">
        <f aca="false">IF(OR(BB527="",N(AZ527)=0),"",BB527/AZ527)</f>
        <v/>
      </c>
      <c r="BK527" s="34" t="str">
        <f aca="false">IF(OR(A527="",N(BB527)=0),"",BD527/BB527)</f>
        <v/>
      </c>
      <c r="BL527" s="34" t="str">
        <f aca="false">IF(OR(A527="",N(AZ527)=0),"",BD527/AZ527)</f>
        <v/>
      </c>
      <c r="BM527" s="37" t="str">
        <f aca="false">IF(OR(N(Q527)=0,N(BD527)=0),"",Q527/BD527)</f>
        <v/>
      </c>
      <c r="BN527" s="29"/>
      <c r="BO527" s="29"/>
      <c r="BP527" s="33" t="str">
        <f aca="false">IF(OR(AR527="",N(AO527)=0),"",AR527)</f>
        <v/>
      </c>
      <c r="BQ527" s="33" t="str">
        <f aca="false">IF(OR(AR527="",N(S527)=0),"",S527)</f>
        <v/>
      </c>
      <c r="BR527" s="38" t="str">
        <f aca="false">IF(AND(ISNUMBER(B527),B527&gt;=Dashboard!$C$4,B527&lt;=Dashboard!$F$4,ISNUMBER(AU527)),AU527+ROW()/10^9,"")</f>
        <v/>
      </c>
      <c r="BS527" s="38" t="str">
        <f aca="false">IF(AND(ISNUMBER(B527),B527&gt;=Dashboard!$C$4,B527&lt;=Dashboard!$F$4,A527&lt;&gt;""),N(BD527)+N(AU527)/100+ROW()/10^9,"")</f>
        <v/>
      </c>
    </row>
    <row r="528" customFormat="false" ht="15" hidden="false" customHeight="false" outlineLevel="0" collapsed="false">
      <c r="A528" s="24" t="str">
        <f aca="false">IF(OR(B528="",G528="",H528=""),"",IFERROR(INDEX(Settings!$E$5:$E$49,MATCH(G528,Settings!$D$5:$D$49,0))&amp;INDEX(Settings!$H$5:$H$47,MATCH(H528,Settings!$G$5:$G$47,0))&amp;"-"&amp;TEXT(B528,"yymmdd")&amp;"-"&amp;IF(C528="","0000",TEXT(C528,"hhmm")),"CHECK LISTS"))</f>
        <v/>
      </c>
      <c r="B528" s="39"/>
      <c r="C528" s="40"/>
      <c r="D528" s="24" t="str">
        <f aca="false">IF(B528="","",TEXT(B528,"ddd"))</f>
        <v/>
      </c>
      <c r="E528" s="27" t="str">
        <f aca="false">IF(B528="","",B528-WEEKDAY(B528,3))</f>
        <v/>
      </c>
      <c r="F528" s="24" t="str">
        <f aca="false">IF(B528="","",TEXT(B528,"yyyy-mm"))</f>
        <v/>
      </c>
      <c r="G528" s="29"/>
      <c r="H528" s="29"/>
      <c r="I528" s="29"/>
      <c r="J528" s="29"/>
      <c r="K528" s="29"/>
      <c r="L528" s="29"/>
      <c r="M528" s="29"/>
      <c r="N528" s="29"/>
      <c r="O528" s="29"/>
      <c r="P528" s="29"/>
      <c r="Q528" s="30"/>
      <c r="R528" s="29"/>
      <c r="S528" s="32"/>
      <c r="T528" s="29"/>
      <c r="U528" s="29"/>
      <c r="V528" s="24" t="str">
        <f aca="false">IF(A528="","",IFERROR(INDEX(Settings!$F$5:$F$49,MATCH(G528,Settings!$D$5:$D$49,0)),""))</f>
        <v/>
      </c>
      <c r="W528" s="24" t="str">
        <f aca="false">IF(A528="","",IF(OR(P528="",P528="Organic"),"social","paid_social"))</f>
        <v/>
      </c>
      <c r="X528" s="24" t="str">
        <f aca="false">IF(A528="","",IF(K528&lt;&gt;"",IFERROR(INDEX('Case Studies'!$C$5:$C$54,MATCH(K528,'Case Studies'!$B$5:$B$54,0))&amp;"","case-study"),IF(J528&lt;&gt;"",IFERROR(INDEX(Settings!$J$5:$J$55,MATCH(J528,Settings!$I$5:$I$55,0)),"general"),"general")))</f>
        <v/>
      </c>
      <c r="Y528" s="24" t="str">
        <f aca="false">IF(A528="","",LOWER(A528))</f>
        <v/>
      </c>
      <c r="Z528" s="24" t="str">
        <f aca="false">IF(A528="","",IF(T528="",Settings!$B$5,T528)&amp;IF(ISNUMBER(FIND("?",IF(T528="",Settings!$B$5,T528))),"&amp;","?")&amp;"utm_source="&amp;V528&amp;"&amp;utm_medium="&amp;W528&amp;"&amp;utm_campaign="&amp;X528&amp;"&amp;utm_content="&amp;Y528)</f>
        <v/>
      </c>
      <c r="AA528" s="29"/>
      <c r="AB528" s="39"/>
      <c r="AC528" s="32"/>
      <c r="AD528" s="32"/>
      <c r="AE528" s="32"/>
      <c r="AF528" s="32"/>
      <c r="AG528" s="32"/>
      <c r="AH528" s="32"/>
      <c r="AI528" s="32"/>
      <c r="AJ528" s="32"/>
      <c r="AK528" s="32"/>
      <c r="AL528" s="32"/>
      <c r="AM528" s="32"/>
      <c r="AN528" s="32"/>
      <c r="AO528" s="33" t="str">
        <f aca="false">IF(A528="","",IF(AD528&lt;&gt;"",AD528,IF(AC528&lt;&gt;"",AC528,"")))</f>
        <v/>
      </c>
      <c r="AP528" s="24" t="str">
        <f aca="false">IF(AO528="","",IF(AD528&lt;&gt;"","Reported reach","Impressions (proxy)"))</f>
        <v/>
      </c>
      <c r="AQ528" s="34" t="str">
        <f aca="false">IF(OR(AO528="",N(S528)=0),"",AO528/S528)</f>
        <v/>
      </c>
      <c r="AR528" s="33" t="str">
        <f aca="false">IF(A528="","",IF(COUNT(AF528:AJ528)=0,"",SUM(AF528:AJ528)))</f>
        <v/>
      </c>
      <c r="AS528" s="34" t="str">
        <f aca="false">IF(OR(AR528="",N(AO528)=0),"",AR528/AO528)</f>
        <v/>
      </c>
      <c r="AT528" s="34" t="str">
        <f aca="false">IF(OR(AR528="",N(AC528)=0),"",AR528/AC528)</f>
        <v/>
      </c>
      <c r="AU528" s="34" t="str">
        <f aca="false">IF(OR(AR528="",N(S528)=0),"",AR528/S528)</f>
        <v/>
      </c>
      <c r="AV528" s="34" t="str">
        <f aca="false">IF(OR(AJ528="",N(AC528)=0),"",AJ528/AC528)</f>
        <v/>
      </c>
      <c r="AW528" s="34" t="str">
        <f aca="false">IF(OR(AH528="",N(AO528)=0),"",AH528/AO528)</f>
        <v/>
      </c>
      <c r="AX528" s="35" t="str">
        <f aca="false">IF(OR(AR528="",N(AO528)=0),"",(N(AF528)*Settings!$B$6+N(AG528)*Settings!$B$7+N(AH528)*Settings!$B$8+N(AI528)*Settings!$B$9+N(AJ528)*Settings!$B$10)/AO528*1000)</f>
        <v/>
      </c>
      <c r="AY528" s="36" t="str">
        <f aca="false">IF(AS528="","",IFERROR(AS528/AVERAGEIFS('Post Tracker'!$AS$5:$AS$1004,'Post Tracker'!$G$5:$G$1004,G528),""))</f>
        <v/>
      </c>
      <c r="AZ528" s="32"/>
      <c r="BA528" s="32"/>
      <c r="BB528" s="32"/>
      <c r="BC528" s="32"/>
      <c r="BD528" s="33" t="str">
        <f aca="false">IF(A528="","",COUNTIFS('Demo Pipeline'!$Q$5:$Q$504,A528))</f>
        <v/>
      </c>
      <c r="BE528" s="33" t="str">
        <f aca="false">IF(A528="","",COUNTIFS('Demo Pipeline'!$Q$5:$Q$504,A528,'Demo Pipeline'!$W$5:$W$504,"Attended"))</f>
        <v/>
      </c>
      <c r="BF528" s="33" t="str">
        <f aca="false">IF(A528="","",COUNTIFS('Demo Pipeline'!$Q$5:$Q$504,A528,'Demo Pipeline'!$X$5:$X$504,"Yes"))</f>
        <v/>
      </c>
      <c r="BG528" s="33" t="str">
        <f aca="false">IF(A528="","",COUNTIFS('Demo Pipeline'!$Q$5:$Q$504,A528,'Demo Pipeline'!$Y$5:$Y$504,"Closed Won"))</f>
        <v/>
      </c>
      <c r="BH528" s="37" t="str">
        <f aca="false">IF(A528="","",SUMIFS('Demo Pipeline'!$Z$5:$Z$504,'Demo Pipeline'!$Q$5:$Q$504,A528))</f>
        <v/>
      </c>
      <c r="BI528" s="34" t="str">
        <f aca="false">IF(OR(AZ528="",N(AJ528)=0),"",AZ528/AJ528)</f>
        <v/>
      </c>
      <c r="BJ528" s="34" t="str">
        <f aca="false">IF(OR(BB528="",N(AZ528)=0),"",BB528/AZ528)</f>
        <v/>
      </c>
      <c r="BK528" s="34" t="str">
        <f aca="false">IF(OR(A528="",N(BB528)=0),"",BD528/BB528)</f>
        <v/>
      </c>
      <c r="BL528" s="34" t="str">
        <f aca="false">IF(OR(A528="",N(AZ528)=0),"",BD528/AZ528)</f>
        <v/>
      </c>
      <c r="BM528" s="37" t="str">
        <f aca="false">IF(OR(N(Q528)=0,N(BD528)=0),"",Q528/BD528)</f>
        <v/>
      </c>
      <c r="BN528" s="29"/>
      <c r="BO528" s="29"/>
      <c r="BP528" s="33" t="str">
        <f aca="false">IF(OR(AR528="",N(AO528)=0),"",AR528)</f>
        <v/>
      </c>
      <c r="BQ528" s="33" t="str">
        <f aca="false">IF(OR(AR528="",N(S528)=0),"",S528)</f>
        <v/>
      </c>
      <c r="BR528" s="38" t="str">
        <f aca="false">IF(AND(ISNUMBER(B528),B528&gt;=Dashboard!$C$4,B528&lt;=Dashboard!$F$4,ISNUMBER(AU528)),AU528+ROW()/10^9,"")</f>
        <v/>
      </c>
      <c r="BS528" s="38" t="str">
        <f aca="false">IF(AND(ISNUMBER(B528),B528&gt;=Dashboard!$C$4,B528&lt;=Dashboard!$F$4,A528&lt;&gt;""),N(BD528)+N(AU528)/100+ROW()/10^9,"")</f>
        <v/>
      </c>
    </row>
    <row r="529" customFormat="false" ht="15" hidden="false" customHeight="false" outlineLevel="0" collapsed="false">
      <c r="A529" s="24" t="str">
        <f aca="false">IF(OR(B529="",G529="",H529=""),"",IFERROR(INDEX(Settings!$E$5:$E$49,MATCH(G529,Settings!$D$5:$D$49,0))&amp;INDEX(Settings!$H$5:$H$47,MATCH(H529,Settings!$G$5:$G$47,0))&amp;"-"&amp;TEXT(B529,"yymmdd")&amp;"-"&amp;IF(C529="","0000",TEXT(C529,"hhmm")),"CHECK LISTS"))</f>
        <v/>
      </c>
      <c r="B529" s="39"/>
      <c r="C529" s="40"/>
      <c r="D529" s="24" t="str">
        <f aca="false">IF(B529="","",TEXT(B529,"ddd"))</f>
        <v/>
      </c>
      <c r="E529" s="27" t="str">
        <f aca="false">IF(B529="","",B529-WEEKDAY(B529,3))</f>
        <v/>
      </c>
      <c r="F529" s="24" t="str">
        <f aca="false">IF(B529="","",TEXT(B529,"yyyy-mm"))</f>
        <v/>
      </c>
      <c r="G529" s="29"/>
      <c r="H529" s="29"/>
      <c r="I529" s="29"/>
      <c r="J529" s="29"/>
      <c r="K529" s="29"/>
      <c r="L529" s="29"/>
      <c r="M529" s="29"/>
      <c r="N529" s="29"/>
      <c r="O529" s="29"/>
      <c r="P529" s="29"/>
      <c r="Q529" s="30"/>
      <c r="R529" s="29"/>
      <c r="S529" s="32"/>
      <c r="T529" s="29"/>
      <c r="U529" s="29"/>
      <c r="V529" s="24" t="str">
        <f aca="false">IF(A529="","",IFERROR(INDEX(Settings!$F$5:$F$49,MATCH(G529,Settings!$D$5:$D$49,0)),""))</f>
        <v/>
      </c>
      <c r="W529" s="24" t="str">
        <f aca="false">IF(A529="","",IF(OR(P529="",P529="Organic"),"social","paid_social"))</f>
        <v/>
      </c>
      <c r="X529" s="24" t="str">
        <f aca="false">IF(A529="","",IF(K529&lt;&gt;"",IFERROR(INDEX('Case Studies'!$C$5:$C$54,MATCH(K529,'Case Studies'!$B$5:$B$54,0))&amp;"","case-study"),IF(J529&lt;&gt;"",IFERROR(INDEX(Settings!$J$5:$J$55,MATCH(J529,Settings!$I$5:$I$55,0)),"general"),"general")))</f>
        <v/>
      </c>
      <c r="Y529" s="24" t="str">
        <f aca="false">IF(A529="","",LOWER(A529))</f>
        <v/>
      </c>
      <c r="Z529" s="24" t="str">
        <f aca="false">IF(A529="","",IF(T529="",Settings!$B$5,T529)&amp;IF(ISNUMBER(FIND("?",IF(T529="",Settings!$B$5,T529))),"&amp;","?")&amp;"utm_source="&amp;V529&amp;"&amp;utm_medium="&amp;W529&amp;"&amp;utm_campaign="&amp;X529&amp;"&amp;utm_content="&amp;Y529)</f>
        <v/>
      </c>
      <c r="AA529" s="29"/>
      <c r="AB529" s="39"/>
      <c r="AC529" s="32"/>
      <c r="AD529" s="32"/>
      <c r="AE529" s="32"/>
      <c r="AF529" s="32"/>
      <c r="AG529" s="32"/>
      <c r="AH529" s="32"/>
      <c r="AI529" s="32"/>
      <c r="AJ529" s="32"/>
      <c r="AK529" s="32"/>
      <c r="AL529" s="32"/>
      <c r="AM529" s="32"/>
      <c r="AN529" s="32"/>
      <c r="AO529" s="33" t="str">
        <f aca="false">IF(A529="","",IF(AD529&lt;&gt;"",AD529,IF(AC529&lt;&gt;"",AC529,"")))</f>
        <v/>
      </c>
      <c r="AP529" s="24" t="str">
        <f aca="false">IF(AO529="","",IF(AD529&lt;&gt;"","Reported reach","Impressions (proxy)"))</f>
        <v/>
      </c>
      <c r="AQ529" s="34" t="str">
        <f aca="false">IF(OR(AO529="",N(S529)=0),"",AO529/S529)</f>
        <v/>
      </c>
      <c r="AR529" s="33" t="str">
        <f aca="false">IF(A529="","",IF(COUNT(AF529:AJ529)=0,"",SUM(AF529:AJ529)))</f>
        <v/>
      </c>
      <c r="AS529" s="34" t="str">
        <f aca="false">IF(OR(AR529="",N(AO529)=0),"",AR529/AO529)</f>
        <v/>
      </c>
      <c r="AT529" s="34" t="str">
        <f aca="false">IF(OR(AR529="",N(AC529)=0),"",AR529/AC529)</f>
        <v/>
      </c>
      <c r="AU529" s="34" t="str">
        <f aca="false">IF(OR(AR529="",N(S529)=0),"",AR529/S529)</f>
        <v/>
      </c>
      <c r="AV529" s="34" t="str">
        <f aca="false">IF(OR(AJ529="",N(AC529)=0),"",AJ529/AC529)</f>
        <v/>
      </c>
      <c r="AW529" s="34" t="str">
        <f aca="false">IF(OR(AH529="",N(AO529)=0),"",AH529/AO529)</f>
        <v/>
      </c>
      <c r="AX529" s="35" t="str">
        <f aca="false">IF(OR(AR529="",N(AO529)=0),"",(N(AF529)*Settings!$B$6+N(AG529)*Settings!$B$7+N(AH529)*Settings!$B$8+N(AI529)*Settings!$B$9+N(AJ529)*Settings!$B$10)/AO529*1000)</f>
        <v/>
      </c>
      <c r="AY529" s="36" t="str">
        <f aca="false">IF(AS529="","",IFERROR(AS529/AVERAGEIFS('Post Tracker'!$AS$5:$AS$1004,'Post Tracker'!$G$5:$G$1004,G529),""))</f>
        <v/>
      </c>
      <c r="AZ529" s="32"/>
      <c r="BA529" s="32"/>
      <c r="BB529" s="32"/>
      <c r="BC529" s="32"/>
      <c r="BD529" s="33" t="str">
        <f aca="false">IF(A529="","",COUNTIFS('Demo Pipeline'!$Q$5:$Q$504,A529))</f>
        <v/>
      </c>
      <c r="BE529" s="33" t="str">
        <f aca="false">IF(A529="","",COUNTIFS('Demo Pipeline'!$Q$5:$Q$504,A529,'Demo Pipeline'!$W$5:$W$504,"Attended"))</f>
        <v/>
      </c>
      <c r="BF529" s="33" t="str">
        <f aca="false">IF(A529="","",COUNTIFS('Demo Pipeline'!$Q$5:$Q$504,A529,'Demo Pipeline'!$X$5:$X$504,"Yes"))</f>
        <v/>
      </c>
      <c r="BG529" s="33" t="str">
        <f aca="false">IF(A529="","",COUNTIFS('Demo Pipeline'!$Q$5:$Q$504,A529,'Demo Pipeline'!$Y$5:$Y$504,"Closed Won"))</f>
        <v/>
      </c>
      <c r="BH529" s="37" t="str">
        <f aca="false">IF(A529="","",SUMIFS('Demo Pipeline'!$Z$5:$Z$504,'Demo Pipeline'!$Q$5:$Q$504,A529))</f>
        <v/>
      </c>
      <c r="BI529" s="34" t="str">
        <f aca="false">IF(OR(AZ529="",N(AJ529)=0),"",AZ529/AJ529)</f>
        <v/>
      </c>
      <c r="BJ529" s="34" t="str">
        <f aca="false">IF(OR(BB529="",N(AZ529)=0),"",BB529/AZ529)</f>
        <v/>
      </c>
      <c r="BK529" s="34" t="str">
        <f aca="false">IF(OR(A529="",N(BB529)=0),"",BD529/BB529)</f>
        <v/>
      </c>
      <c r="BL529" s="34" t="str">
        <f aca="false">IF(OR(A529="",N(AZ529)=0),"",BD529/AZ529)</f>
        <v/>
      </c>
      <c r="BM529" s="37" t="str">
        <f aca="false">IF(OR(N(Q529)=0,N(BD529)=0),"",Q529/BD529)</f>
        <v/>
      </c>
      <c r="BN529" s="29"/>
      <c r="BO529" s="29"/>
      <c r="BP529" s="33" t="str">
        <f aca="false">IF(OR(AR529="",N(AO529)=0),"",AR529)</f>
        <v/>
      </c>
      <c r="BQ529" s="33" t="str">
        <f aca="false">IF(OR(AR529="",N(S529)=0),"",S529)</f>
        <v/>
      </c>
      <c r="BR529" s="38" t="str">
        <f aca="false">IF(AND(ISNUMBER(B529),B529&gt;=Dashboard!$C$4,B529&lt;=Dashboard!$F$4,ISNUMBER(AU529)),AU529+ROW()/10^9,"")</f>
        <v/>
      </c>
      <c r="BS529" s="38" t="str">
        <f aca="false">IF(AND(ISNUMBER(B529),B529&gt;=Dashboard!$C$4,B529&lt;=Dashboard!$F$4,A529&lt;&gt;""),N(BD529)+N(AU529)/100+ROW()/10^9,"")</f>
        <v/>
      </c>
    </row>
    <row r="530" customFormat="false" ht="15" hidden="false" customHeight="false" outlineLevel="0" collapsed="false">
      <c r="A530" s="24" t="str">
        <f aca="false">IF(OR(B530="",G530="",H530=""),"",IFERROR(INDEX(Settings!$E$5:$E$49,MATCH(G530,Settings!$D$5:$D$49,0))&amp;INDEX(Settings!$H$5:$H$47,MATCH(H530,Settings!$G$5:$G$47,0))&amp;"-"&amp;TEXT(B530,"yymmdd")&amp;"-"&amp;IF(C530="","0000",TEXT(C530,"hhmm")),"CHECK LISTS"))</f>
        <v/>
      </c>
      <c r="B530" s="39"/>
      <c r="C530" s="40"/>
      <c r="D530" s="24" t="str">
        <f aca="false">IF(B530="","",TEXT(B530,"ddd"))</f>
        <v/>
      </c>
      <c r="E530" s="27" t="str">
        <f aca="false">IF(B530="","",B530-WEEKDAY(B530,3))</f>
        <v/>
      </c>
      <c r="F530" s="24" t="str">
        <f aca="false">IF(B530="","",TEXT(B530,"yyyy-mm"))</f>
        <v/>
      </c>
      <c r="G530" s="29"/>
      <c r="H530" s="29"/>
      <c r="I530" s="29"/>
      <c r="J530" s="29"/>
      <c r="K530" s="29"/>
      <c r="L530" s="29"/>
      <c r="M530" s="29"/>
      <c r="N530" s="29"/>
      <c r="O530" s="29"/>
      <c r="P530" s="29"/>
      <c r="Q530" s="30"/>
      <c r="R530" s="29"/>
      <c r="S530" s="32"/>
      <c r="T530" s="29"/>
      <c r="U530" s="29"/>
      <c r="V530" s="24" t="str">
        <f aca="false">IF(A530="","",IFERROR(INDEX(Settings!$F$5:$F$49,MATCH(G530,Settings!$D$5:$D$49,0)),""))</f>
        <v/>
      </c>
      <c r="W530" s="24" t="str">
        <f aca="false">IF(A530="","",IF(OR(P530="",P530="Organic"),"social","paid_social"))</f>
        <v/>
      </c>
      <c r="X530" s="24" t="str">
        <f aca="false">IF(A530="","",IF(K530&lt;&gt;"",IFERROR(INDEX('Case Studies'!$C$5:$C$54,MATCH(K530,'Case Studies'!$B$5:$B$54,0))&amp;"","case-study"),IF(J530&lt;&gt;"",IFERROR(INDEX(Settings!$J$5:$J$55,MATCH(J530,Settings!$I$5:$I$55,0)),"general"),"general")))</f>
        <v/>
      </c>
      <c r="Y530" s="24" t="str">
        <f aca="false">IF(A530="","",LOWER(A530))</f>
        <v/>
      </c>
      <c r="Z530" s="24" t="str">
        <f aca="false">IF(A530="","",IF(T530="",Settings!$B$5,T530)&amp;IF(ISNUMBER(FIND("?",IF(T530="",Settings!$B$5,T530))),"&amp;","?")&amp;"utm_source="&amp;V530&amp;"&amp;utm_medium="&amp;W530&amp;"&amp;utm_campaign="&amp;X530&amp;"&amp;utm_content="&amp;Y530)</f>
        <v/>
      </c>
      <c r="AA530" s="29"/>
      <c r="AB530" s="39"/>
      <c r="AC530" s="32"/>
      <c r="AD530" s="32"/>
      <c r="AE530" s="32"/>
      <c r="AF530" s="32"/>
      <c r="AG530" s="32"/>
      <c r="AH530" s="32"/>
      <c r="AI530" s="32"/>
      <c r="AJ530" s="32"/>
      <c r="AK530" s="32"/>
      <c r="AL530" s="32"/>
      <c r="AM530" s="32"/>
      <c r="AN530" s="32"/>
      <c r="AO530" s="33" t="str">
        <f aca="false">IF(A530="","",IF(AD530&lt;&gt;"",AD530,IF(AC530&lt;&gt;"",AC530,"")))</f>
        <v/>
      </c>
      <c r="AP530" s="24" t="str">
        <f aca="false">IF(AO530="","",IF(AD530&lt;&gt;"","Reported reach","Impressions (proxy)"))</f>
        <v/>
      </c>
      <c r="AQ530" s="34" t="str">
        <f aca="false">IF(OR(AO530="",N(S530)=0),"",AO530/S530)</f>
        <v/>
      </c>
      <c r="AR530" s="33" t="str">
        <f aca="false">IF(A530="","",IF(COUNT(AF530:AJ530)=0,"",SUM(AF530:AJ530)))</f>
        <v/>
      </c>
      <c r="AS530" s="34" t="str">
        <f aca="false">IF(OR(AR530="",N(AO530)=0),"",AR530/AO530)</f>
        <v/>
      </c>
      <c r="AT530" s="34" t="str">
        <f aca="false">IF(OR(AR530="",N(AC530)=0),"",AR530/AC530)</f>
        <v/>
      </c>
      <c r="AU530" s="34" t="str">
        <f aca="false">IF(OR(AR530="",N(S530)=0),"",AR530/S530)</f>
        <v/>
      </c>
      <c r="AV530" s="34" t="str">
        <f aca="false">IF(OR(AJ530="",N(AC530)=0),"",AJ530/AC530)</f>
        <v/>
      </c>
      <c r="AW530" s="34" t="str">
        <f aca="false">IF(OR(AH530="",N(AO530)=0),"",AH530/AO530)</f>
        <v/>
      </c>
      <c r="AX530" s="35" t="str">
        <f aca="false">IF(OR(AR530="",N(AO530)=0),"",(N(AF530)*Settings!$B$6+N(AG530)*Settings!$B$7+N(AH530)*Settings!$B$8+N(AI530)*Settings!$B$9+N(AJ530)*Settings!$B$10)/AO530*1000)</f>
        <v/>
      </c>
      <c r="AY530" s="36" t="str">
        <f aca="false">IF(AS530="","",IFERROR(AS530/AVERAGEIFS('Post Tracker'!$AS$5:$AS$1004,'Post Tracker'!$G$5:$G$1004,G530),""))</f>
        <v/>
      </c>
      <c r="AZ530" s="32"/>
      <c r="BA530" s="32"/>
      <c r="BB530" s="32"/>
      <c r="BC530" s="32"/>
      <c r="BD530" s="33" t="str">
        <f aca="false">IF(A530="","",COUNTIFS('Demo Pipeline'!$Q$5:$Q$504,A530))</f>
        <v/>
      </c>
      <c r="BE530" s="33" t="str">
        <f aca="false">IF(A530="","",COUNTIFS('Demo Pipeline'!$Q$5:$Q$504,A530,'Demo Pipeline'!$W$5:$W$504,"Attended"))</f>
        <v/>
      </c>
      <c r="BF530" s="33" t="str">
        <f aca="false">IF(A530="","",COUNTIFS('Demo Pipeline'!$Q$5:$Q$504,A530,'Demo Pipeline'!$X$5:$X$504,"Yes"))</f>
        <v/>
      </c>
      <c r="BG530" s="33" t="str">
        <f aca="false">IF(A530="","",COUNTIFS('Demo Pipeline'!$Q$5:$Q$504,A530,'Demo Pipeline'!$Y$5:$Y$504,"Closed Won"))</f>
        <v/>
      </c>
      <c r="BH530" s="37" t="str">
        <f aca="false">IF(A530="","",SUMIFS('Demo Pipeline'!$Z$5:$Z$504,'Demo Pipeline'!$Q$5:$Q$504,A530))</f>
        <v/>
      </c>
      <c r="BI530" s="34" t="str">
        <f aca="false">IF(OR(AZ530="",N(AJ530)=0),"",AZ530/AJ530)</f>
        <v/>
      </c>
      <c r="BJ530" s="34" t="str">
        <f aca="false">IF(OR(BB530="",N(AZ530)=0),"",BB530/AZ530)</f>
        <v/>
      </c>
      <c r="BK530" s="34" t="str">
        <f aca="false">IF(OR(A530="",N(BB530)=0),"",BD530/BB530)</f>
        <v/>
      </c>
      <c r="BL530" s="34" t="str">
        <f aca="false">IF(OR(A530="",N(AZ530)=0),"",BD530/AZ530)</f>
        <v/>
      </c>
      <c r="BM530" s="37" t="str">
        <f aca="false">IF(OR(N(Q530)=0,N(BD530)=0),"",Q530/BD530)</f>
        <v/>
      </c>
      <c r="BN530" s="29"/>
      <c r="BO530" s="29"/>
      <c r="BP530" s="33" t="str">
        <f aca="false">IF(OR(AR530="",N(AO530)=0),"",AR530)</f>
        <v/>
      </c>
      <c r="BQ530" s="33" t="str">
        <f aca="false">IF(OR(AR530="",N(S530)=0),"",S530)</f>
        <v/>
      </c>
      <c r="BR530" s="38" t="str">
        <f aca="false">IF(AND(ISNUMBER(B530),B530&gt;=Dashboard!$C$4,B530&lt;=Dashboard!$F$4,ISNUMBER(AU530)),AU530+ROW()/10^9,"")</f>
        <v/>
      </c>
      <c r="BS530" s="38" t="str">
        <f aca="false">IF(AND(ISNUMBER(B530),B530&gt;=Dashboard!$C$4,B530&lt;=Dashboard!$F$4,A530&lt;&gt;""),N(BD530)+N(AU530)/100+ROW()/10^9,"")</f>
        <v/>
      </c>
    </row>
    <row r="531" customFormat="false" ht="15" hidden="false" customHeight="false" outlineLevel="0" collapsed="false">
      <c r="A531" s="24" t="str">
        <f aca="false">IF(OR(B531="",G531="",H531=""),"",IFERROR(INDEX(Settings!$E$5:$E$49,MATCH(G531,Settings!$D$5:$D$49,0))&amp;INDEX(Settings!$H$5:$H$47,MATCH(H531,Settings!$G$5:$G$47,0))&amp;"-"&amp;TEXT(B531,"yymmdd")&amp;"-"&amp;IF(C531="","0000",TEXT(C531,"hhmm")),"CHECK LISTS"))</f>
        <v/>
      </c>
      <c r="B531" s="39"/>
      <c r="C531" s="40"/>
      <c r="D531" s="24" t="str">
        <f aca="false">IF(B531="","",TEXT(B531,"ddd"))</f>
        <v/>
      </c>
      <c r="E531" s="27" t="str">
        <f aca="false">IF(B531="","",B531-WEEKDAY(B531,3))</f>
        <v/>
      </c>
      <c r="F531" s="24" t="str">
        <f aca="false">IF(B531="","",TEXT(B531,"yyyy-mm"))</f>
        <v/>
      </c>
      <c r="G531" s="29"/>
      <c r="H531" s="29"/>
      <c r="I531" s="29"/>
      <c r="J531" s="29"/>
      <c r="K531" s="29"/>
      <c r="L531" s="29"/>
      <c r="M531" s="29"/>
      <c r="N531" s="29"/>
      <c r="O531" s="29"/>
      <c r="P531" s="29"/>
      <c r="Q531" s="30"/>
      <c r="R531" s="29"/>
      <c r="S531" s="32"/>
      <c r="T531" s="29"/>
      <c r="U531" s="29"/>
      <c r="V531" s="24" t="str">
        <f aca="false">IF(A531="","",IFERROR(INDEX(Settings!$F$5:$F$49,MATCH(G531,Settings!$D$5:$D$49,0)),""))</f>
        <v/>
      </c>
      <c r="W531" s="24" t="str">
        <f aca="false">IF(A531="","",IF(OR(P531="",P531="Organic"),"social","paid_social"))</f>
        <v/>
      </c>
      <c r="X531" s="24" t="str">
        <f aca="false">IF(A531="","",IF(K531&lt;&gt;"",IFERROR(INDEX('Case Studies'!$C$5:$C$54,MATCH(K531,'Case Studies'!$B$5:$B$54,0))&amp;"","case-study"),IF(J531&lt;&gt;"",IFERROR(INDEX(Settings!$J$5:$J$55,MATCH(J531,Settings!$I$5:$I$55,0)),"general"),"general")))</f>
        <v/>
      </c>
      <c r="Y531" s="24" t="str">
        <f aca="false">IF(A531="","",LOWER(A531))</f>
        <v/>
      </c>
      <c r="Z531" s="24" t="str">
        <f aca="false">IF(A531="","",IF(T531="",Settings!$B$5,T531)&amp;IF(ISNUMBER(FIND("?",IF(T531="",Settings!$B$5,T531))),"&amp;","?")&amp;"utm_source="&amp;V531&amp;"&amp;utm_medium="&amp;W531&amp;"&amp;utm_campaign="&amp;X531&amp;"&amp;utm_content="&amp;Y531)</f>
        <v/>
      </c>
      <c r="AA531" s="29"/>
      <c r="AB531" s="39"/>
      <c r="AC531" s="32"/>
      <c r="AD531" s="32"/>
      <c r="AE531" s="32"/>
      <c r="AF531" s="32"/>
      <c r="AG531" s="32"/>
      <c r="AH531" s="32"/>
      <c r="AI531" s="32"/>
      <c r="AJ531" s="32"/>
      <c r="AK531" s="32"/>
      <c r="AL531" s="32"/>
      <c r="AM531" s="32"/>
      <c r="AN531" s="32"/>
      <c r="AO531" s="33" t="str">
        <f aca="false">IF(A531="","",IF(AD531&lt;&gt;"",AD531,IF(AC531&lt;&gt;"",AC531,"")))</f>
        <v/>
      </c>
      <c r="AP531" s="24" t="str">
        <f aca="false">IF(AO531="","",IF(AD531&lt;&gt;"","Reported reach","Impressions (proxy)"))</f>
        <v/>
      </c>
      <c r="AQ531" s="34" t="str">
        <f aca="false">IF(OR(AO531="",N(S531)=0),"",AO531/S531)</f>
        <v/>
      </c>
      <c r="AR531" s="33" t="str">
        <f aca="false">IF(A531="","",IF(COUNT(AF531:AJ531)=0,"",SUM(AF531:AJ531)))</f>
        <v/>
      </c>
      <c r="AS531" s="34" t="str">
        <f aca="false">IF(OR(AR531="",N(AO531)=0),"",AR531/AO531)</f>
        <v/>
      </c>
      <c r="AT531" s="34" t="str">
        <f aca="false">IF(OR(AR531="",N(AC531)=0),"",AR531/AC531)</f>
        <v/>
      </c>
      <c r="AU531" s="34" t="str">
        <f aca="false">IF(OR(AR531="",N(S531)=0),"",AR531/S531)</f>
        <v/>
      </c>
      <c r="AV531" s="34" t="str">
        <f aca="false">IF(OR(AJ531="",N(AC531)=0),"",AJ531/AC531)</f>
        <v/>
      </c>
      <c r="AW531" s="34" t="str">
        <f aca="false">IF(OR(AH531="",N(AO531)=0),"",AH531/AO531)</f>
        <v/>
      </c>
      <c r="AX531" s="35" t="str">
        <f aca="false">IF(OR(AR531="",N(AO531)=0),"",(N(AF531)*Settings!$B$6+N(AG531)*Settings!$B$7+N(AH531)*Settings!$B$8+N(AI531)*Settings!$B$9+N(AJ531)*Settings!$B$10)/AO531*1000)</f>
        <v/>
      </c>
      <c r="AY531" s="36" t="str">
        <f aca="false">IF(AS531="","",IFERROR(AS531/AVERAGEIFS('Post Tracker'!$AS$5:$AS$1004,'Post Tracker'!$G$5:$G$1004,G531),""))</f>
        <v/>
      </c>
      <c r="AZ531" s="32"/>
      <c r="BA531" s="32"/>
      <c r="BB531" s="32"/>
      <c r="BC531" s="32"/>
      <c r="BD531" s="33" t="str">
        <f aca="false">IF(A531="","",COUNTIFS('Demo Pipeline'!$Q$5:$Q$504,A531))</f>
        <v/>
      </c>
      <c r="BE531" s="33" t="str">
        <f aca="false">IF(A531="","",COUNTIFS('Demo Pipeline'!$Q$5:$Q$504,A531,'Demo Pipeline'!$W$5:$W$504,"Attended"))</f>
        <v/>
      </c>
      <c r="BF531" s="33" t="str">
        <f aca="false">IF(A531="","",COUNTIFS('Demo Pipeline'!$Q$5:$Q$504,A531,'Demo Pipeline'!$X$5:$X$504,"Yes"))</f>
        <v/>
      </c>
      <c r="BG531" s="33" t="str">
        <f aca="false">IF(A531="","",COUNTIFS('Demo Pipeline'!$Q$5:$Q$504,A531,'Demo Pipeline'!$Y$5:$Y$504,"Closed Won"))</f>
        <v/>
      </c>
      <c r="BH531" s="37" t="str">
        <f aca="false">IF(A531="","",SUMIFS('Demo Pipeline'!$Z$5:$Z$504,'Demo Pipeline'!$Q$5:$Q$504,A531))</f>
        <v/>
      </c>
      <c r="BI531" s="34" t="str">
        <f aca="false">IF(OR(AZ531="",N(AJ531)=0),"",AZ531/AJ531)</f>
        <v/>
      </c>
      <c r="BJ531" s="34" t="str">
        <f aca="false">IF(OR(BB531="",N(AZ531)=0),"",BB531/AZ531)</f>
        <v/>
      </c>
      <c r="BK531" s="34" t="str">
        <f aca="false">IF(OR(A531="",N(BB531)=0),"",BD531/BB531)</f>
        <v/>
      </c>
      <c r="BL531" s="34" t="str">
        <f aca="false">IF(OR(A531="",N(AZ531)=0),"",BD531/AZ531)</f>
        <v/>
      </c>
      <c r="BM531" s="37" t="str">
        <f aca="false">IF(OR(N(Q531)=0,N(BD531)=0),"",Q531/BD531)</f>
        <v/>
      </c>
      <c r="BN531" s="29"/>
      <c r="BO531" s="29"/>
      <c r="BP531" s="33" t="str">
        <f aca="false">IF(OR(AR531="",N(AO531)=0),"",AR531)</f>
        <v/>
      </c>
      <c r="BQ531" s="33" t="str">
        <f aca="false">IF(OR(AR531="",N(S531)=0),"",S531)</f>
        <v/>
      </c>
      <c r="BR531" s="38" t="str">
        <f aca="false">IF(AND(ISNUMBER(B531),B531&gt;=Dashboard!$C$4,B531&lt;=Dashboard!$F$4,ISNUMBER(AU531)),AU531+ROW()/10^9,"")</f>
        <v/>
      </c>
      <c r="BS531" s="38" t="str">
        <f aca="false">IF(AND(ISNUMBER(B531),B531&gt;=Dashboard!$C$4,B531&lt;=Dashboard!$F$4,A531&lt;&gt;""),N(BD531)+N(AU531)/100+ROW()/10^9,"")</f>
        <v/>
      </c>
    </row>
    <row r="532" customFormat="false" ht="15" hidden="false" customHeight="false" outlineLevel="0" collapsed="false">
      <c r="A532" s="24" t="str">
        <f aca="false">IF(OR(B532="",G532="",H532=""),"",IFERROR(INDEX(Settings!$E$5:$E$49,MATCH(G532,Settings!$D$5:$D$49,0))&amp;INDEX(Settings!$H$5:$H$47,MATCH(H532,Settings!$G$5:$G$47,0))&amp;"-"&amp;TEXT(B532,"yymmdd")&amp;"-"&amp;IF(C532="","0000",TEXT(C532,"hhmm")),"CHECK LISTS"))</f>
        <v/>
      </c>
      <c r="B532" s="39"/>
      <c r="C532" s="40"/>
      <c r="D532" s="24" t="str">
        <f aca="false">IF(B532="","",TEXT(B532,"ddd"))</f>
        <v/>
      </c>
      <c r="E532" s="27" t="str">
        <f aca="false">IF(B532="","",B532-WEEKDAY(B532,3))</f>
        <v/>
      </c>
      <c r="F532" s="24" t="str">
        <f aca="false">IF(B532="","",TEXT(B532,"yyyy-mm"))</f>
        <v/>
      </c>
      <c r="G532" s="29"/>
      <c r="H532" s="29"/>
      <c r="I532" s="29"/>
      <c r="J532" s="29"/>
      <c r="K532" s="29"/>
      <c r="L532" s="29"/>
      <c r="M532" s="29"/>
      <c r="N532" s="29"/>
      <c r="O532" s="29"/>
      <c r="P532" s="29"/>
      <c r="Q532" s="30"/>
      <c r="R532" s="29"/>
      <c r="S532" s="32"/>
      <c r="T532" s="29"/>
      <c r="U532" s="29"/>
      <c r="V532" s="24" t="str">
        <f aca="false">IF(A532="","",IFERROR(INDEX(Settings!$F$5:$F$49,MATCH(G532,Settings!$D$5:$D$49,0)),""))</f>
        <v/>
      </c>
      <c r="W532" s="24" t="str">
        <f aca="false">IF(A532="","",IF(OR(P532="",P532="Organic"),"social","paid_social"))</f>
        <v/>
      </c>
      <c r="X532" s="24" t="str">
        <f aca="false">IF(A532="","",IF(K532&lt;&gt;"",IFERROR(INDEX('Case Studies'!$C$5:$C$54,MATCH(K532,'Case Studies'!$B$5:$B$54,0))&amp;"","case-study"),IF(J532&lt;&gt;"",IFERROR(INDEX(Settings!$J$5:$J$55,MATCH(J532,Settings!$I$5:$I$55,0)),"general"),"general")))</f>
        <v/>
      </c>
      <c r="Y532" s="24" t="str">
        <f aca="false">IF(A532="","",LOWER(A532))</f>
        <v/>
      </c>
      <c r="Z532" s="24" t="str">
        <f aca="false">IF(A532="","",IF(T532="",Settings!$B$5,T532)&amp;IF(ISNUMBER(FIND("?",IF(T532="",Settings!$B$5,T532))),"&amp;","?")&amp;"utm_source="&amp;V532&amp;"&amp;utm_medium="&amp;W532&amp;"&amp;utm_campaign="&amp;X532&amp;"&amp;utm_content="&amp;Y532)</f>
        <v/>
      </c>
      <c r="AA532" s="29"/>
      <c r="AB532" s="39"/>
      <c r="AC532" s="32"/>
      <c r="AD532" s="32"/>
      <c r="AE532" s="32"/>
      <c r="AF532" s="32"/>
      <c r="AG532" s="32"/>
      <c r="AH532" s="32"/>
      <c r="AI532" s="32"/>
      <c r="AJ532" s="32"/>
      <c r="AK532" s="32"/>
      <c r="AL532" s="32"/>
      <c r="AM532" s="32"/>
      <c r="AN532" s="32"/>
      <c r="AO532" s="33" t="str">
        <f aca="false">IF(A532="","",IF(AD532&lt;&gt;"",AD532,IF(AC532&lt;&gt;"",AC532,"")))</f>
        <v/>
      </c>
      <c r="AP532" s="24" t="str">
        <f aca="false">IF(AO532="","",IF(AD532&lt;&gt;"","Reported reach","Impressions (proxy)"))</f>
        <v/>
      </c>
      <c r="AQ532" s="34" t="str">
        <f aca="false">IF(OR(AO532="",N(S532)=0),"",AO532/S532)</f>
        <v/>
      </c>
      <c r="AR532" s="33" t="str">
        <f aca="false">IF(A532="","",IF(COUNT(AF532:AJ532)=0,"",SUM(AF532:AJ532)))</f>
        <v/>
      </c>
      <c r="AS532" s="34" t="str">
        <f aca="false">IF(OR(AR532="",N(AO532)=0),"",AR532/AO532)</f>
        <v/>
      </c>
      <c r="AT532" s="34" t="str">
        <f aca="false">IF(OR(AR532="",N(AC532)=0),"",AR532/AC532)</f>
        <v/>
      </c>
      <c r="AU532" s="34" t="str">
        <f aca="false">IF(OR(AR532="",N(S532)=0),"",AR532/S532)</f>
        <v/>
      </c>
      <c r="AV532" s="34" t="str">
        <f aca="false">IF(OR(AJ532="",N(AC532)=0),"",AJ532/AC532)</f>
        <v/>
      </c>
      <c r="AW532" s="34" t="str">
        <f aca="false">IF(OR(AH532="",N(AO532)=0),"",AH532/AO532)</f>
        <v/>
      </c>
      <c r="AX532" s="35" t="str">
        <f aca="false">IF(OR(AR532="",N(AO532)=0),"",(N(AF532)*Settings!$B$6+N(AG532)*Settings!$B$7+N(AH532)*Settings!$B$8+N(AI532)*Settings!$B$9+N(AJ532)*Settings!$B$10)/AO532*1000)</f>
        <v/>
      </c>
      <c r="AY532" s="36" t="str">
        <f aca="false">IF(AS532="","",IFERROR(AS532/AVERAGEIFS('Post Tracker'!$AS$5:$AS$1004,'Post Tracker'!$G$5:$G$1004,G532),""))</f>
        <v/>
      </c>
      <c r="AZ532" s="32"/>
      <c r="BA532" s="32"/>
      <c r="BB532" s="32"/>
      <c r="BC532" s="32"/>
      <c r="BD532" s="33" t="str">
        <f aca="false">IF(A532="","",COUNTIFS('Demo Pipeline'!$Q$5:$Q$504,A532))</f>
        <v/>
      </c>
      <c r="BE532" s="33" t="str">
        <f aca="false">IF(A532="","",COUNTIFS('Demo Pipeline'!$Q$5:$Q$504,A532,'Demo Pipeline'!$W$5:$W$504,"Attended"))</f>
        <v/>
      </c>
      <c r="BF532" s="33" t="str">
        <f aca="false">IF(A532="","",COUNTIFS('Demo Pipeline'!$Q$5:$Q$504,A532,'Demo Pipeline'!$X$5:$X$504,"Yes"))</f>
        <v/>
      </c>
      <c r="BG532" s="33" t="str">
        <f aca="false">IF(A532="","",COUNTIFS('Demo Pipeline'!$Q$5:$Q$504,A532,'Demo Pipeline'!$Y$5:$Y$504,"Closed Won"))</f>
        <v/>
      </c>
      <c r="BH532" s="37" t="str">
        <f aca="false">IF(A532="","",SUMIFS('Demo Pipeline'!$Z$5:$Z$504,'Demo Pipeline'!$Q$5:$Q$504,A532))</f>
        <v/>
      </c>
      <c r="BI532" s="34" t="str">
        <f aca="false">IF(OR(AZ532="",N(AJ532)=0),"",AZ532/AJ532)</f>
        <v/>
      </c>
      <c r="BJ532" s="34" t="str">
        <f aca="false">IF(OR(BB532="",N(AZ532)=0),"",BB532/AZ532)</f>
        <v/>
      </c>
      <c r="BK532" s="34" t="str">
        <f aca="false">IF(OR(A532="",N(BB532)=0),"",BD532/BB532)</f>
        <v/>
      </c>
      <c r="BL532" s="34" t="str">
        <f aca="false">IF(OR(A532="",N(AZ532)=0),"",BD532/AZ532)</f>
        <v/>
      </c>
      <c r="BM532" s="37" t="str">
        <f aca="false">IF(OR(N(Q532)=0,N(BD532)=0),"",Q532/BD532)</f>
        <v/>
      </c>
      <c r="BN532" s="29"/>
      <c r="BO532" s="29"/>
      <c r="BP532" s="33" t="str">
        <f aca="false">IF(OR(AR532="",N(AO532)=0),"",AR532)</f>
        <v/>
      </c>
      <c r="BQ532" s="33" t="str">
        <f aca="false">IF(OR(AR532="",N(S532)=0),"",S532)</f>
        <v/>
      </c>
      <c r="BR532" s="38" t="str">
        <f aca="false">IF(AND(ISNUMBER(B532),B532&gt;=Dashboard!$C$4,B532&lt;=Dashboard!$F$4,ISNUMBER(AU532)),AU532+ROW()/10^9,"")</f>
        <v/>
      </c>
      <c r="BS532" s="38" t="str">
        <f aca="false">IF(AND(ISNUMBER(B532),B532&gt;=Dashboard!$C$4,B532&lt;=Dashboard!$F$4,A532&lt;&gt;""),N(BD532)+N(AU532)/100+ROW()/10^9,"")</f>
        <v/>
      </c>
    </row>
    <row r="533" customFormat="false" ht="15" hidden="false" customHeight="false" outlineLevel="0" collapsed="false">
      <c r="A533" s="24" t="str">
        <f aca="false">IF(OR(B533="",G533="",H533=""),"",IFERROR(INDEX(Settings!$E$5:$E$49,MATCH(G533,Settings!$D$5:$D$49,0))&amp;INDEX(Settings!$H$5:$H$47,MATCH(H533,Settings!$G$5:$G$47,0))&amp;"-"&amp;TEXT(B533,"yymmdd")&amp;"-"&amp;IF(C533="","0000",TEXT(C533,"hhmm")),"CHECK LISTS"))</f>
        <v/>
      </c>
      <c r="B533" s="39"/>
      <c r="C533" s="40"/>
      <c r="D533" s="24" t="str">
        <f aca="false">IF(B533="","",TEXT(B533,"ddd"))</f>
        <v/>
      </c>
      <c r="E533" s="27" t="str">
        <f aca="false">IF(B533="","",B533-WEEKDAY(B533,3))</f>
        <v/>
      </c>
      <c r="F533" s="24" t="str">
        <f aca="false">IF(B533="","",TEXT(B533,"yyyy-mm"))</f>
        <v/>
      </c>
      <c r="G533" s="29"/>
      <c r="H533" s="29"/>
      <c r="I533" s="29"/>
      <c r="J533" s="29"/>
      <c r="K533" s="29"/>
      <c r="L533" s="29"/>
      <c r="M533" s="29"/>
      <c r="N533" s="29"/>
      <c r="O533" s="29"/>
      <c r="P533" s="29"/>
      <c r="Q533" s="30"/>
      <c r="R533" s="29"/>
      <c r="S533" s="32"/>
      <c r="T533" s="29"/>
      <c r="U533" s="29"/>
      <c r="V533" s="24" t="str">
        <f aca="false">IF(A533="","",IFERROR(INDEX(Settings!$F$5:$F$49,MATCH(G533,Settings!$D$5:$D$49,0)),""))</f>
        <v/>
      </c>
      <c r="W533" s="24" t="str">
        <f aca="false">IF(A533="","",IF(OR(P533="",P533="Organic"),"social","paid_social"))</f>
        <v/>
      </c>
      <c r="X533" s="24" t="str">
        <f aca="false">IF(A533="","",IF(K533&lt;&gt;"",IFERROR(INDEX('Case Studies'!$C$5:$C$54,MATCH(K533,'Case Studies'!$B$5:$B$54,0))&amp;"","case-study"),IF(J533&lt;&gt;"",IFERROR(INDEX(Settings!$J$5:$J$55,MATCH(J533,Settings!$I$5:$I$55,0)),"general"),"general")))</f>
        <v/>
      </c>
      <c r="Y533" s="24" t="str">
        <f aca="false">IF(A533="","",LOWER(A533))</f>
        <v/>
      </c>
      <c r="Z533" s="24" t="str">
        <f aca="false">IF(A533="","",IF(T533="",Settings!$B$5,T533)&amp;IF(ISNUMBER(FIND("?",IF(T533="",Settings!$B$5,T533))),"&amp;","?")&amp;"utm_source="&amp;V533&amp;"&amp;utm_medium="&amp;W533&amp;"&amp;utm_campaign="&amp;X533&amp;"&amp;utm_content="&amp;Y533)</f>
        <v/>
      </c>
      <c r="AA533" s="29"/>
      <c r="AB533" s="39"/>
      <c r="AC533" s="32"/>
      <c r="AD533" s="32"/>
      <c r="AE533" s="32"/>
      <c r="AF533" s="32"/>
      <c r="AG533" s="32"/>
      <c r="AH533" s="32"/>
      <c r="AI533" s="32"/>
      <c r="AJ533" s="32"/>
      <c r="AK533" s="32"/>
      <c r="AL533" s="32"/>
      <c r="AM533" s="32"/>
      <c r="AN533" s="32"/>
      <c r="AO533" s="33" t="str">
        <f aca="false">IF(A533="","",IF(AD533&lt;&gt;"",AD533,IF(AC533&lt;&gt;"",AC533,"")))</f>
        <v/>
      </c>
      <c r="AP533" s="24" t="str">
        <f aca="false">IF(AO533="","",IF(AD533&lt;&gt;"","Reported reach","Impressions (proxy)"))</f>
        <v/>
      </c>
      <c r="AQ533" s="34" t="str">
        <f aca="false">IF(OR(AO533="",N(S533)=0),"",AO533/S533)</f>
        <v/>
      </c>
      <c r="AR533" s="33" t="str">
        <f aca="false">IF(A533="","",IF(COUNT(AF533:AJ533)=0,"",SUM(AF533:AJ533)))</f>
        <v/>
      </c>
      <c r="AS533" s="34" t="str">
        <f aca="false">IF(OR(AR533="",N(AO533)=0),"",AR533/AO533)</f>
        <v/>
      </c>
      <c r="AT533" s="34" t="str">
        <f aca="false">IF(OR(AR533="",N(AC533)=0),"",AR533/AC533)</f>
        <v/>
      </c>
      <c r="AU533" s="34" t="str">
        <f aca="false">IF(OR(AR533="",N(S533)=0),"",AR533/S533)</f>
        <v/>
      </c>
      <c r="AV533" s="34" t="str">
        <f aca="false">IF(OR(AJ533="",N(AC533)=0),"",AJ533/AC533)</f>
        <v/>
      </c>
      <c r="AW533" s="34" t="str">
        <f aca="false">IF(OR(AH533="",N(AO533)=0),"",AH533/AO533)</f>
        <v/>
      </c>
      <c r="AX533" s="35" t="str">
        <f aca="false">IF(OR(AR533="",N(AO533)=0),"",(N(AF533)*Settings!$B$6+N(AG533)*Settings!$B$7+N(AH533)*Settings!$B$8+N(AI533)*Settings!$B$9+N(AJ533)*Settings!$B$10)/AO533*1000)</f>
        <v/>
      </c>
      <c r="AY533" s="36" t="str">
        <f aca="false">IF(AS533="","",IFERROR(AS533/AVERAGEIFS('Post Tracker'!$AS$5:$AS$1004,'Post Tracker'!$G$5:$G$1004,G533),""))</f>
        <v/>
      </c>
      <c r="AZ533" s="32"/>
      <c r="BA533" s="32"/>
      <c r="BB533" s="32"/>
      <c r="BC533" s="32"/>
      <c r="BD533" s="33" t="str">
        <f aca="false">IF(A533="","",COUNTIFS('Demo Pipeline'!$Q$5:$Q$504,A533))</f>
        <v/>
      </c>
      <c r="BE533" s="33" t="str">
        <f aca="false">IF(A533="","",COUNTIFS('Demo Pipeline'!$Q$5:$Q$504,A533,'Demo Pipeline'!$W$5:$W$504,"Attended"))</f>
        <v/>
      </c>
      <c r="BF533" s="33" t="str">
        <f aca="false">IF(A533="","",COUNTIFS('Demo Pipeline'!$Q$5:$Q$504,A533,'Demo Pipeline'!$X$5:$X$504,"Yes"))</f>
        <v/>
      </c>
      <c r="BG533" s="33" t="str">
        <f aca="false">IF(A533="","",COUNTIFS('Demo Pipeline'!$Q$5:$Q$504,A533,'Demo Pipeline'!$Y$5:$Y$504,"Closed Won"))</f>
        <v/>
      </c>
      <c r="BH533" s="37" t="str">
        <f aca="false">IF(A533="","",SUMIFS('Demo Pipeline'!$Z$5:$Z$504,'Demo Pipeline'!$Q$5:$Q$504,A533))</f>
        <v/>
      </c>
      <c r="BI533" s="34" t="str">
        <f aca="false">IF(OR(AZ533="",N(AJ533)=0),"",AZ533/AJ533)</f>
        <v/>
      </c>
      <c r="BJ533" s="34" t="str">
        <f aca="false">IF(OR(BB533="",N(AZ533)=0),"",BB533/AZ533)</f>
        <v/>
      </c>
      <c r="BK533" s="34" t="str">
        <f aca="false">IF(OR(A533="",N(BB533)=0),"",BD533/BB533)</f>
        <v/>
      </c>
      <c r="BL533" s="34" t="str">
        <f aca="false">IF(OR(A533="",N(AZ533)=0),"",BD533/AZ533)</f>
        <v/>
      </c>
      <c r="BM533" s="37" t="str">
        <f aca="false">IF(OR(N(Q533)=0,N(BD533)=0),"",Q533/BD533)</f>
        <v/>
      </c>
      <c r="BN533" s="29"/>
      <c r="BO533" s="29"/>
      <c r="BP533" s="33" t="str">
        <f aca="false">IF(OR(AR533="",N(AO533)=0),"",AR533)</f>
        <v/>
      </c>
      <c r="BQ533" s="33" t="str">
        <f aca="false">IF(OR(AR533="",N(S533)=0),"",S533)</f>
        <v/>
      </c>
      <c r="BR533" s="38" t="str">
        <f aca="false">IF(AND(ISNUMBER(B533),B533&gt;=Dashboard!$C$4,B533&lt;=Dashboard!$F$4,ISNUMBER(AU533)),AU533+ROW()/10^9,"")</f>
        <v/>
      </c>
      <c r="BS533" s="38" t="str">
        <f aca="false">IF(AND(ISNUMBER(B533),B533&gt;=Dashboard!$C$4,B533&lt;=Dashboard!$F$4,A533&lt;&gt;""),N(BD533)+N(AU533)/100+ROW()/10^9,"")</f>
        <v/>
      </c>
    </row>
    <row r="534" customFormat="false" ht="15" hidden="false" customHeight="false" outlineLevel="0" collapsed="false">
      <c r="A534" s="24" t="str">
        <f aca="false">IF(OR(B534="",G534="",H534=""),"",IFERROR(INDEX(Settings!$E$5:$E$49,MATCH(G534,Settings!$D$5:$D$49,0))&amp;INDEX(Settings!$H$5:$H$47,MATCH(H534,Settings!$G$5:$G$47,0))&amp;"-"&amp;TEXT(B534,"yymmdd")&amp;"-"&amp;IF(C534="","0000",TEXT(C534,"hhmm")),"CHECK LISTS"))</f>
        <v/>
      </c>
      <c r="B534" s="39"/>
      <c r="C534" s="40"/>
      <c r="D534" s="24" t="str">
        <f aca="false">IF(B534="","",TEXT(B534,"ddd"))</f>
        <v/>
      </c>
      <c r="E534" s="27" t="str">
        <f aca="false">IF(B534="","",B534-WEEKDAY(B534,3))</f>
        <v/>
      </c>
      <c r="F534" s="24" t="str">
        <f aca="false">IF(B534="","",TEXT(B534,"yyyy-mm"))</f>
        <v/>
      </c>
      <c r="G534" s="29"/>
      <c r="H534" s="29"/>
      <c r="I534" s="29"/>
      <c r="J534" s="29"/>
      <c r="K534" s="29"/>
      <c r="L534" s="29"/>
      <c r="M534" s="29"/>
      <c r="N534" s="29"/>
      <c r="O534" s="29"/>
      <c r="P534" s="29"/>
      <c r="Q534" s="30"/>
      <c r="R534" s="29"/>
      <c r="S534" s="32"/>
      <c r="T534" s="29"/>
      <c r="U534" s="29"/>
      <c r="V534" s="24" t="str">
        <f aca="false">IF(A534="","",IFERROR(INDEX(Settings!$F$5:$F$49,MATCH(G534,Settings!$D$5:$D$49,0)),""))</f>
        <v/>
      </c>
      <c r="W534" s="24" t="str">
        <f aca="false">IF(A534="","",IF(OR(P534="",P534="Organic"),"social","paid_social"))</f>
        <v/>
      </c>
      <c r="X534" s="24" t="str">
        <f aca="false">IF(A534="","",IF(K534&lt;&gt;"",IFERROR(INDEX('Case Studies'!$C$5:$C$54,MATCH(K534,'Case Studies'!$B$5:$B$54,0))&amp;"","case-study"),IF(J534&lt;&gt;"",IFERROR(INDEX(Settings!$J$5:$J$55,MATCH(J534,Settings!$I$5:$I$55,0)),"general"),"general")))</f>
        <v/>
      </c>
      <c r="Y534" s="24" t="str">
        <f aca="false">IF(A534="","",LOWER(A534))</f>
        <v/>
      </c>
      <c r="Z534" s="24" t="str">
        <f aca="false">IF(A534="","",IF(T534="",Settings!$B$5,T534)&amp;IF(ISNUMBER(FIND("?",IF(T534="",Settings!$B$5,T534))),"&amp;","?")&amp;"utm_source="&amp;V534&amp;"&amp;utm_medium="&amp;W534&amp;"&amp;utm_campaign="&amp;X534&amp;"&amp;utm_content="&amp;Y534)</f>
        <v/>
      </c>
      <c r="AA534" s="29"/>
      <c r="AB534" s="39"/>
      <c r="AC534" s="32"/>
      <c r="AD534" s="32"/>
      <c r="AE534" s="32"/>
      <c r="AF534" s="32"/>
      <c r="AG534" s="32"/>
      <c r="AH534" s="32"/>
      <c r="AI534" s="32"/>
      <c r="AJ534" s="32"/>
      <c r="AK534" s="32"/>
      <c r="AL534" s="32"/>
      <c r="AM534" s="32"/>
      <c r="AN534" s="32"/>
      <c r="AO534" s="33" t="str">
        <f aca="false">IF(A534="","",IF(AD534&lt;&gt;"",AD534,IF(AC534&lt;&gt;"",AC534,"")))</f>
        <v/>
      </c>
      <c r="AP534" s="24" t="str">
        <f aca="false">IF(AO534="","",IF(AD534&lt;&gt;"","Reported reach","Impressions (proxy)"))</f>
        <v/>
      </c>
      <c r="AQ534" s="34" t="str">
        <f aca="false">IF(OR(AO534="",N(S534)=0),"",AO534/S534)</f>
        <v/>
      </c>
      <c r="AR534" s="33" t="str">
        <f aca="false">IF(A534="","",IF(COUNT(AF534:AJ534)=0,"",SUM(AF534:AJ534)))</f>
        <v/>
      </c>
      <c r="AS534" s="34" t="str">
        <f aca="false">IF(OR(AR534="",N(AO534)=0),"",AR534/AO534)</f>
        <v/>
      </c>
      <c r="AT534" s="34" t="str">
        <f aca="false">IF(OR(AR534="",N(AC534)=0),"",AR534/AC534)</f>
        <v/>
      </c>
      <c r="AU534" s="34" t="str">
        <f aca="false">IF(OR(AR534="",N(S534)=0),"",AR534/S534)</f>
        <v/>
      </c>
      <c r="AV534" s="34" t="str">
        <f aca="false">IF(OR(AJ534="",N(AC534)=0),"",AJ534/AC534)</f>
        <v/>
      </c>
      <c r="AW534" s="34" t="str">
        <f aca="false">IF(OR(AH534="",N(AO534)=0),"",AH534/AO534)</f>
        <v/>
      </c>
      <c r="AX534" s="35" t="str">
        <f aca="false">IF(OR(AR534="",N(AO534)=0),"",(N(AF534)*Settings!$B$6+N(AG534)*Settings!$B$7+N(AH534)*Settings!$B$8+N(AI534)*Settings!$B$9+N(AJ534)*Settings!$B$10)/AO534*1000)</f>
        <v/>
      </c>
      <c r="AY534" s="36" t="str">
        <f aca="false">IF(AS534="","",IFERROR(AS534/AVERAGEIFS('Post Tracker'!$AS$5:$AS$1004,'Post Tracker'!$G$5:$G$1004,G534),""))</f>
        <v/>
      </c>
      <c r="AZ534" s="32"/>
      <c r="BA534" s="32"/>
      <c r="BB534" s="32"/>
      <c r="BC534" s="32"/>
      <c r="BD534" s="33" t="str">
        <f aca="false">IF(A534="","",COUNTIFS('Demo Pipeline'!$Q$5:$Q$504,A534))</f>
        <v/>
      </c>
      <c r="BE534" s="33" t="str">
        <f aca="false">IF(A534="","",COUNTIFS('Demo Pipeline'!$Q$5:$Q$504,A534,'Demo Pipeline'!$W$5:$W$504,"Attended"))</f>
        <v/>
      </c>
      <c r="BF534" s="33" t="str">
        <f aca="false">IF(A534="","",COUNTIFS('Demo Pipeline'!$Q$5:$Q$504,A534,'Demo Pipeline'!$X$5:$X$504,"Yes"))</f>
        <v/>
      </c>
      <c r="BG534" s="33" t="str">
        <f aca="false">IF(A534="","",COUNTIFS('Demo Pipeline'!$Q$5:$Q$504,A534,'Demo Pipeline'!$Y$5:$Y$504,"Closed Won"))</f>
        <v/>
      </c>
      <c r="BH534" s="37" t="str">
        <f aca="false">IF(A534="","",SUMIFS('Demo Pipeline'!$Z$5:$Z$504,'Demo Pipeline'!$Q$5:$Q$504,A534))</f>
        <v/>
      </c>
      <c r="BI534" s="34" t="str">
        <f aca="false">IF(OR(AZ534="",N(AJ534)=0),"",AZ534/AJ534)</f>
        <v/>
      </c>
      <c r="BJ534" s="34" t="str">
        <f aca="false">IF(OR(BB534="",N(AZ534)=0),"",BB534/AZ534)</f>
        <v/>
      </c>
      <c r="BK534" s="34" t="str">
        <f aca="false">IF(OR(A534="",N(BB534)=0),"",BD534/BB534)</f>
        <v/>
      </c>
      <c r="BL534" s="34" t="str">
        <f aca="false">IF(OR(A534="",N(AZ534)=0),"",BD534/AZ534)</f>
        <v/>
      </c>
      <c r="BM534" s="37" t="str">
        <f aca="false">IF(OR(N(Q534)=0,N(BD534)=0),"",Q534/BD534)</f>
        <v/>
      </c>
      <c r="BN534" s="29"/>
      <c r="BO534" s="29"/>
      <c r="BP534" s="33" t="str">
        <f aca="false">IF(OR(AR534="",N(AO534)=0),"",AR534)</f>
        <v/>
      </c>
      <c r="BQ534" s="33" t="str">
        <f aca="false">IF(OR(AR534="",N(S534)=0),"",S534)</f>
        <v/>
      </c>
      <c r="BR534" s="38" t="str">
        <f aca="false">IF(AND(ISNUMBER(B534),B534&gt;=Dashboard!$C$4,B534&lt;=Dashboard!$F$4,ISNUMBER(AU534)),AU534+ROW()/10^9,"")</f>
        <v/>
      </c>
      <c r="BS534" s="38" t="str">
        <f aca="false">IF(AND(ISNUMBER(B534),B534&gt;=Dashboard!$C$4,B534&lt;=Dashboard!$F$4,A534&lt;&gt;""),N(BD534)+N(AU534)/100+ROW()/10^9,"")</f>
        <v/>
      </c>
    </row>
    <row r="535" customFormat="false" ht="15" hidden="false" customHeight="false" outlineLevel="0" collapsed="false">
      <c r="A535" s="24" t="str">
        <f aca="false">IF(OR(B535="",G535="",H535=""),"",IFERROR(INDEX(Settings!$E$5:$E$49,MATCH(G535,Settings!$D$5:$D$49,0))&amp;INDEX(Settings!$H$5:$H$47,MATCH(H535,Settings!$G$5:$G$47,0))&amp;"-"&amp;TEXT(B535,"yymmdd")&amp;"-"&amp;IF(C535="","0000",TEXT(C535,"hhmm")),"CHECK LISTS"))</f>
        <v/>
      </c>
      <c r="B535" s="39"/>
      <c r="C535" s="40"/>
      <c r="D535" s="24" t="str">
        <f aca="false">IF(B535="","",TEXT(B535,"ddd"))</f>
        <v/>
      </c>
      <c r="E535" s="27" t="str">
        <f aca="false">IF(B535="","",B535-WEEKDAY(B535,3))</f>
        <v/>
      </c>
      <c r="F535" s="24" t="str">
        <f aca="false">IF(B535="","",TEXT(B535,"yyyy-mm"))</f>
        <v/>
      </c>
      <c r="G535" s="29"/>
      <c r="H535" s="29"/>
      <c r="I535" s="29"/>
      <c r="J535" s="29"/>
      <c r="K535" s="29"/>
      <c r="L535" s="29"/>
      <c r="M535" s="29"/>
      <c r="N535" s="29"/>
      <c r="O535" s="29"/>
      <c r="P535" s="29"/>
      <c r="Q535" s="30"/>
      <c r="R535" s="29"/>
      <c r="S535" s="32"/>
      <c r="T535" s="29"/>
      <c r="U535" s="29"/>
      <c r="V535" s="24" t="str">
        <f aca="false">IF(A535="","",IFERROR(INDEX(Settings!$F$5:$F$49,MATCH(G535,Settings!$D$5:$D$49,0)),""))</f>
        <v/>
      </c>
      <c r="W535" s="24" t="str">
        <f aca="false">IF(A535="","",IF(OR(P535="",P535="Organic"),"social","paid_social"))</f>
        <v/>
      </c>
      <c r="X535" s="24" t="str">
        <f aca="false">IF(A535="","",IF(K535&lt;&gt;"",IFERROR(INDEX('Case Studies'!$C$5:$C$54,MATCH(K535,'Case Studies'!$B$5:$B$54,0))&amp;"","case-study"),IF(J535&lt;&gt;"",IFERROR(INDEX(Settings!$J$5:$J$55,MATCH(J535,Settings!$I$5:$I$55,0)),"general"),"general")))</f>
        <v/>
      </c>
      <c r="Y535" s="24" t="str">
        <f aca="false">IF(A535="","",LOWER(A535))</f>
        <v/>
      </c>
      <c r="Z535" s="24" t="str">
        <f aca="false">IF(A535="","",IF(T535="",Settings!$B$5,T535)&amp;IF(ISNUMBER(FIND("?",IF(T535="",Settings!$B$5,T535))),"&amp;","?")&amp;"utm_source="&amp;V535&amp;"&amp;utm_medium="&amp;W535&amp;"&amp;utm_campaign="&amp;X535&amp;"&amp;utm_content="&amp;Y535)</f>
        <v/>
      </c>
      <c r="AA535" s="29"/>
      <c r="AB535" s="39"/>
      <c r="AC535" s="32"/>
      <c r="AD535" s="32"/>
      <c r="AE535" s="32"/>
      <c r="AF535" s="32"/>
      <c r="AG535" s="32"/>
      <c r="AH535" s="32"/>
      <c r="AI535" s="32"/>
      <c r="AJ535" s="32"/>
      <c r="AK535" s="32"/>
      <c r="AL535" s="32"/>
      <c r="AM535" s="32"/>
      <c r="AN535" s="32"/>
      <c r="AO535" s="33" t="str">
        <f aca="false">IF(A535="","",IF(AD535&lt;&gt;"",AD535,IF(AC535&lt;&gt;"",AC535,"")))</f>
        <v/>
      </c>
      <c r="AP535" s="24" t="str">
        <f aca="false">IF(AO535="","",IF(AD535&lt;&gt;"","Reported reach","Impressions (proxy)"))</f>
        <v/>
      </c>
      <c r="AQ535" s="34" t="str">
        <f aca="false">IF(OR(AO535="",N(S535)=0),"",AO535/S535)</f>
        <v/>
      </c>
      <c r="AR535" s="33" t="str">
        <f aca="false">IF(A535="","",IF(COUNT(AF535:AJ535)=0,"",SUM(AF535:AJ535)))</f>
        <v/>
      </c>
      <c r="AS535" s="34" t="str">
        <f aca="false">IF(OR(AR535="",N(AO535)=0),"",AR535/AO535)</f>
        <v/>
      </c>
      <c r="AT535" s="34" t="str">
        <f aca="false">IF(OR(AR535="",N(AC535)=0),"",AR535/AC535)</f>
        <v/>
      </c>
      <c r="AU535" s="34" t="str">
        <f aca="false">IF(OR(AR535="",N(S535)=0),"",AR535/S535)</f>
        <v/>
      </c>
      <c r="AV535" s="34" t="str">
        <f aca="false">IF(OR(AJ535="",N(AC535)=0),"",AJ535/AC535)</f>
        <v/>
      </c>
      <c r="AW535" s="34" t="str">
        <f aca="false">IF(OR(AH535="",N(AO535)=0),"",AH535/AO535)</f>
        <v/>
      </c>
      <c r="AX535" s="35" t="str">
        <f aca="false">IF(OR(AR535="",N(AO535)=0),"",(N(AF535)*Settings!$B$6+N(AG535)*Settings!$B$7+N(AH535)*Settings!$B$8+N(AI535)*Settings!$B$9+N(AJ535)*Settings!$B$10)/AO535*1000)</f>
        <v/>
      </c>
      <c r="AY535" s="36" t="str">
        <f aca="false">IF(AS535="","",IFERROR(AS535/AVERAGEIFS('Post Tracker'!$AS$5:$AS$1004,'Post Tracker'!$G$5:$G$1004,G535),""))</f>
        <v/>
      </c>
      <c r="AZ535" s="32"/>
      <c r="BA535" s="32"/>
      <c r="BB535" s="32"/>
      <c r="BC535" s="32"/>
      <c r="BD535" s="33" t="str">
        <f aca="false">IF(A535="","",COUNTIFS('Demo Pipeline'!$Q$5:$Q$504,A535))</f>
        <v/>
      </c>
      <c r="BE535" s="33" t="str">
        <f aca="false">IF(A535="","",COUNTIFS('Demo Pipeline'!$Q$5:$Q$504,A535,'Demo Pipeline'!$W$5:$W$504,"Attended"))</f>
        <v/>
      </c>
      <c r="BF535" s="33" t="str">
        <f aca="false">IF(A535="","",COUNTIFS('Demo Pipeline'!$Q$5:$Q$504,A535,'Demo Pipeline'!$X$5:$X$504,"Yes"))</f>
        <v/>
      </c>
      <c r="BG535" s="33" t="str">
        <f aca="false">IF(A535="","",COUNTIFS('Demo Pipeline'!$Q$5:$Q$504,A535,'Demo Pipeline'!$Y$5:$Y$504,"Closed Won"))</f>
        <v/>
      </c>
      <c r="BH535" s="37" t="str">
        <f aca="false">IF(A535="","",SUMIFS('Demo Pipeline'!$Z$5:$Z$504,'Demo Pipeline'!$Q$5:$Q$504,A535))</f>
        <v/>
      </c>
      <c r="BI535" s="34" t="str">
        <f aca="false">IF(OR(AZ535="",N(AJ535)=0),"",AZ535/AJ535)</f>
        <v/>
      </c>
      <c r="BJ535" s="34" t="str">
        <f aca="false">IF(OR(BB535="",N(AZ535)=0),"",BB535/AZ535)</f>
        <v/>
      </c>
      <c r="BK535" s="34" t="str">
        <f aca="false">IF(OR(A535="",N(BB535)=0),"",BD535/BB535)</f>
        <v/>
      </c>
      <c r="BL535" s="34" t="str">
        <f aca="false">IF(OR(A535="",N(AZ535)=0),"",BD535/AZ535)</f>
        <v/>
      </c>
      <c r="BM535" s="37" t="str">
        <f aca="false">IF(OR(N(Q535)=0,N(BD535)=0),"",Q535/BD535)</f>
        <v/>
      </c>
      <c r="BN535" s="29"/>
      <c r="BO535" s="29"/>
      <c r="BP535" s="33" t="str">
        <f aca="false">IF(OR(AR535="",N(AO535)=0),"",AR535)</f>
        <v/>
      </c>
      <c r="BQ535" s="33" t="str">
        <f aca="false">IF(OR(AR535="",N(S535)=0),"",S535)</f>
        <v/>
      </c>
      <c r="BR535" s="38" t="str">
        <f aca="false">IF(AND(ISNUMBER(B535),B535&gt;=Dashboard!$C$4,B535&lt;=Dashboard!$F$4,ISNUMBER(AU535)),AU535+ROW()/10^9,"")</f>
        <v/>
      </c>
      <c r="BS535" s="38" t="str">
        <f aca="false">IF(AND(ISNUMBER(B535),B535&gt;=Dashboard!$C$4,B535&lt;=Dashboard!$F$4,A535&lt;&gt;""),N(BD535)+N(AU535)/100+ROW()/10^9,"")</f>
        <v/>
      </c>
    </row>
    <row r="536" customFormat="false" ht="15" hidden="false" customHeight="false" outlineLevel="0" collapsed="false">
      <c r="A536" s="24" t="str">
        <f aca="false">IF(OR(B536="",G536="",H536=""),"",IFERROR(INDEX(Settings!$E$5:$E$49,MATCH(G536,Settings!$D$5:$D$49,0))&amp;INDEX(Settings!$H$5:$H$47,MATCH(H536,Settings!$G$5:$G$47,0))&amp;"-"&amp;TEXT(B536,"yymmdd")&amp;"-"&amp;IF(C536="","0000",TEXT(C536,"hhmm")),"CHECK LISTS"))</f>
        <v/>
      </c>
      <c r="B536" s="39"/>
      <c r="C536" s="40"/>
      <c r="D536" s="24" t="str">
        <f aca="false">IF(B536="","",TEXT(B536,"ddd"))</f>
        <v/>
      </c>
      <c r="E536" s="27" t="str">
        <f aca="false">IF(B536="","",B536-WEEKDAY(B536,3))</f>
        <v/>
      </c>
      <c r="F536" s="24" t="str">
        <f aca="false">IF(B536="","",TEXT(B536,"yyyy-mm"))</f>
        <v/>
      </c>
      <c r="G536" s="29"/>
      <c r="H536" s="29"/>
      <c r="I536" s="29"/>
      <c r="J536" s="29"/>
      <c r="K536" s="29"/>
      <c r="L536" s="29"/>
      <c r="M536" s="29"/>
      <c r="N536" s="29"/>
      <c r="O536" s="29"/>
      <c r="P536" s="29"/>
      <c r="Q536" s="30"/>
      <c r="R536" s="29"/>
      <c r="S536" s="32"/>
      <c r="T536" s="29"/>
      <c r="U536" s="29"/>
      <c r="V536" s="24" t="str">
        <f aca="false">IF(A536="","",IFERROR(INDEX(Settings!$F$5:$F$49,MATCH(G536,Settings!$D$5:$D$49,0)),""))</f>
        <v/>
      </c>
      <c r="W536" s="24" t="str">
        <f aca="false">IF(A536="","",IF(OR(P536="",P536="Organic"),"social","paid_social"))</f>
        <v/>
      </c>
      <c r="X536" s="24" t="str">
        <f aca="false">IF(A536="","",IF(K536&lt;&gt;"",IFERROR(INDEX('Case Studies'!$C$5:$C$54,MATCH(K536,'Case Studies'!$B$5:$B$54,0))&amp;"","case-study"),IF(J536&lt;&gt;"",IFERROR(INDEX(Settings!$J$5:$J$55,MATCH(J536,Settings!$I$5:$I$55,0)),"general"),"general")))</f>
        <v/>
      </c>
      <c r="Y536" s="24" t="str">
        <f aca="false">IF(A536="","",LOWER(A536))</f>
        <v/>
      </c>
      <c r="Z536" s="24" t="str">
        <f aca="false">IF(A536="","",IF(T536="",Settings!$B$5,T536)&amp;IF(ISNUMBER(FIND("?",IF(T536="",Settings!$B$5,T536))),"&amp;","?")&amp;"utm_source="&amp;V536&amp;"&amp;utm_medium="&amp;W536&amp;"&amp;utm_campaign="&amp;X536&amp;"&amp;utm_content="&amp;Y536)</f>
        <v/>
      </c>
      <c r="AA536" s="29"/>
      <c r="AB536" s="39"/>
      <c r="AC536" s="32"/>
      <c r="AD536" s="32"/>
      <c r="AE536" s="32"/>
      <c r="AF536" s="32"/>
      <c r="AG536" s="32"/>
      <c r="AH536" s="32"/>
      <c r="AI536" s="32"/>
      <c r="AJ536" s="32"/>
      <c r="AK536" s="32"/>
      <c r="AL536" s="32"/>
      <c r="AM536" s="32"/>
      <c r="AN536" s="32"/>
      <c r="AO536" s="33" t="str">
        <f aca="false">IF(A536="","",IF(AD536&lt;&gt;"",AD536,IF(AC536&lt;&gt;"",AC536,"")))</f>
        <v/>
      </c>
      <c r="AP536" s="24" t="str">
        <f aca="false">IF(AO536="","",IF(AD536&lt;&gt;"","Reported reach","Impressions (proxy)"))</f>
        <v/>
      </c>
      <c r="AQ536" s="34" t="str">
        <f aca="false">IF(OR(AO536="",N(S536)=0),"",AO536/S536)</f>
        <v/>
      </c>
      <c r="AR536" s="33" t="str">
        <f aca="false">IF(A536="","",IF(COUNT(AF536:AJ536)=0,"",SUM(AF536:AJ536)))</f>
        <v/>
      </c>
      <c r="AS536" s="34" t="str">
        <f aca="false">IF(OR(AR536="",N(AO536)=0),"",AR536/AO536)</f>
        <v/>
      </c>
      <c r="AT536" s="34" t="str">
        <f aca="false">IF(OR(AR536="",N(AC536)=0),"",AR536/AC536)</f>
        <v/>
      </c>
      <c r="AU536" s="34" t="str">
        <f aca="false">IF(OR(AR536="",N(S536)=0),"",AR536/S536)</f>
        <v/>
      </c>
      <c r="AV536" s="34" t="str">
        <f aca="false">IF(OR(AJ536="",N(AC536)=0),"",AJ536/AC536)</f>
        <v/>
      </c>
      <c r="AW536" s="34" t="str">
        <f aca="false">IF(OR(AH536="",N(AO536)=0),"",AH536/AO536)</f>
        <v/>
      </c>
      <c r="AX536" s="35" t="str">
        <f aca="false">IF(OR(AR536="",N(AO536)=0),"",(N(AF536)*Settings!$B$6+N(AG536)*Settings!$B$7+N(AH536)*Settings!$B$8+N(AI536)*Settings!$B$9+N(AJ536)*Settings!$B$10)/AO536*1000)</f>
        <v/>
      </c>
      <c r="AY536" s="36" t="str">
        <f aca="false">IF(AS536="","",IFERROR(AS536/AVERAGEIFS('Post Tracker'!$AS$5:$AS$1004,'Post Tracker'!$G$5:$G$1004,G536),""))</f>
        <v/>
      </c>
      <c r="AZ536" s="32"/>
      <c r="BA536" s="32"/>
      <c r="BB536" s="32"/>
      <c r="BC536" s="32"/>
      <c r="BD536" s="33" t="str">
        <f aca="false">IF(A536="","",COUNTIFS('Demo Pipeline'!$Q$5:$Q$504,A536))</f>
        <v/>
      </c>
      <c r="BE536" s="33" t="str">
        <f aca="false">IF(A536="","",COUNTIFS('Demo Pipeline'!$Q$5:$Q$504,A536,'Demo Pipeline'!$W$5:$W$504,"Attended"))</f>
        <v/>
      </c>
      <c r="BF536" s="33" t="str">
        <f aca="false">IF(A536="","",COUNTIFS('Demo Pipeline'!$Q$5:$Q$504,A536,'Demo Pipeline'!$X$5:$X$504,"Yes"))</f>
        <v/>
      </c>
      <c r="BG536" s="33" t="str">
        <f aca="false">IF(A536="","",COUNTIFS('Demo Pipeline'!$Q$5:$Q$504,A536,'Demo Pipeline'!$Y$5:$Y$504,"Closed Won"))</f>
        <v/>
      </c>
      <c r="BH536" s="37" t="str">
        <f aca="false">IF(A536="","",SUMIFS('Demo Pipeline'!$Z$5:$Z$504,'Demo Pipeline'!$Q$5:$Q$504,A536))</f>
        <v/>
      </c>
      <c r="BI536" s="34" t="str">
        <f aca="false">IF(OR(AZ536="",N(AJ536)=0),"",AZ536/AJ536)</f>
        <v/>
      </c>
      <c r="BJ536" s="34" t="str">
        <f aca="false">IF(OR(BB536="",N(AZ536)=0),"",BB536/AZ536)</f>
        <v/>
      </c>
      <c r="BK536" s="34" t="str">
        <f aca="false">IF(OR(A536="",N(BB536)=0),"",BD536/BB536)</f>
        <v/>
      </c>
      <c r="BL536" s="34" t="str">
        <f aca="false">IF(OR(A536="",N(AZ536)=0),"",BD536/AZ536)</f>
        <v/>
      </c>
      <c r="BM536" s="37" t="str">
        <f aca="false">IF(OR(N(Q536)=0,N(BD536)=0),"",Q536/BD536)</f>
        <v/>
      </c>
      <c r="BN536" s="29"/>
      <c r="BO536" s="29"/>
      <c r="BP536" s="33" t="str">
        <f aca="false">IF(OR(AR536="",N(AO536)=0),"",AR536)</f>
        <v/>
      </c>
      <c r="BQ536" s="33" t="str">
        <f aca="false">IF(OR(AR536="",N(S536)=0),"",S536)</f>
        <v/>
      </c>
      <c r="BR536" s="38" t="str">
        <f aca="false">IF(AND(ISNUMBER(B536),B536&gt;=Dashboard!$C$4,B536&lt;=Dashboard!$F$4,ISNUMBER(AU536)),AU536+ROW()/10^9,"")</f>
        <v/>
      </c>
      <c r="BS536" s="38" t="str">
        <f aca="false">IF(AND(ISNUMBER(B536),B536&gt;=Dashboard!$C$4,B536&lt;=Dashboard!$F$4,A536&lt;&gt;""),N(BD536)+N(AU536)/100+ROW()/10^9,"")</f>
        <v/>
      </c>
    </row>
    <row r="537" customFormat="false" ht="15" hidden="false" customHeight="false" outlineLevel="0" collapsed="false">
      <c r="A537" s="24" t="str">
        <f aca="false">IF(OR(B537="",G537="",H537=""),"",IFERROR(INDEX(Settings!$E$5:$E$49,MATCH(G537,Settings!$D$5:$D$49,0))&amp;INDEX(Settings!$H$5:$H$47,MATCH(H537,Settings!$G$5:$G$47,0))&amp;"-"&amp;TEXT(B537,"yymmdd")&amp;"-"&amp;IF(C537="","0000",TEXT(C537,"hhmm")),"CHECK LISTS"))</f>
        <v/>
      </c>
      <c r="B537" s="39"/>
      <c r="C537" s="40"/>
      <c r="D537" s="24" t="str">
        <f aca="false">IF(B537="","",TEXT(B537,"ddd"))</f>
        <v/>
      </c>
      <c r="E537" s="27" t="str">
        <f aca="false">IF(B537="","",B537-WEEKDAY(B537,3))</f>
        <v/>
      </c>
      <c r="F537" s="24" t="str">
        <f aca="false">IF(B537="","",TEXT(B537,"yyyy-mm"))</f>
        <v/>
      </c>
      <c r="G537" s="29"/>
      <c r="H537" s="29"/>
      <c r="I537" s="29"/>
      <c r="J537" s="29"/>
      <c r="K537" s="29"/>
      <c r="L537" s="29"/>
      <c r="M537" s="29"/>
      <c r="N537" s="29"/>
      <c r="O537" s="29"/>
      <c r="P537" s="29"/>
      <c r="Q537" s="30"/>
      <c r="R537" s="29"/>
      <c r="S537" s="32"/>
      <c r="T537" s="29"/>
      <c r="U537" s="29"/>
      <c r="V537" s="24" t="str">
        <f aca="false">IF(A537="","",IFERROR(INDEX(Settings!$F$5:$F$49,MATCH(G537,Settings!$D$5:$D$49,0)),""))</f>
        <v/>
      </c>
      <c r="W537" s="24" t="str">
        <f aca="false">IF(A537="","",IF(OR(P537="",P537="Organic"),"social","paid_social"))</f>
        <v/>
      </c>
      <c r="X537" s="24" t="str">
        <f aca="false">IF(A537="","",IF(K537&lt;&gt;"",IFERROR(INDEX('Case Studies'!$C$5:$C$54,MATCH(K537,'Case Studies'!$B$5:$B$54,0))&amp;"","case-study"),IF(J537&lt;&gt;"",IFERROR(INDEX(Settings!$J$5:$J$55,MATCH(J537,Settings!$I$5:$I$55,0)),"general"),"general")))</f>
        <v/>
      </c>
      <c r="Y537" s="24" t="str">
        <f aca="false">IF(A537="","",LOWER(A537))</f>
        <v/>
      </c>
      <c r="Z537" s="24" t="str">
        <f aca="false">IF(A537="","",IF(T537="",Settings!$B$5,T537)&amp;IF(ISNUMBER(FIND("?",IF(T537="",Settings!$B$5,T537))),"&amp;","?")&amp;"utm_source="&amp;V537&amp;"&amp;utm_medium="&amp;W537&amp;"&amp;utm_campaign="&amp;X537&amp;"&amp;utm_content="&amp;Y537)</f>
        <v/>
      </c>
      <c r="AA537" s="29"/>
      <c r="AB537" s="39"/>
      <c r="AC537" s="32"/>
      <c r="AD537" s="32"/>
      <c r="AE537" s="32"/>
      <c r="AF537" s="32"/>
      <c r="AG537" s="32"/>
      <c r="AH537" s="32"/>
      <c r="AI537" s="32"/>
      <c r="AJ537" s="32"/>
      <c r="AK537" s="32"/>
      <c r="AL537" s="32"/>
      <c r="AM537" s="32"/>
      <c r="AN537" s="32"/>
      <c r="AO537" s="33" t="str">
        <f aca="false">IF(A537="","",IF(AD537&lt;&gt;"",AD537,IF(AC537&lt;&gt;"",AC537,"")))</f>
        <v/>
      </c>
      <c r="AP537" s="24" t="str">
        <f aca="false">IF(AO537="","",IF(AD537&lt;&gt;"","Reported reach","Impressions (proxy)"))</f>
        <v/>
      </c>
      <c r="AQ537" s="34" t="str">
        <f aca="false">IF(OR(AO537="",N(S537)=0),"",AO537/S537)</f>
        <v/>
      </c>
      <c r="AR537" s="33" t="str">
        <f aca="false">IF(A537="","",IF(COUNT(AF537:AJ537)=0,"",SUM(AF537:AJ537)))</f>
        <v/>
      </c>
      <c r="AS537" s="34" t="str">
        <f aca="false">IF(OR(AR537="",N(AO537)=0),"",AR537/AO537)</f>
        <v/>
      </c>
      <c r="AT537" s="34" t="str">
        <f aca="false">IF(OR(AR537="",N(AC537)=0),"",AR537/AC537)</f>
        <v/>
      </c>
      <c r="AU537" s="34" t="str">
        <f aca="false">IF(OR(AR537="",N(S537)=0),"",AR537/S537)</f>
        <v/>
      </c>
      <c r="AV537" s="34" t="str">
        <f aca="false">IF(OR(AJ537="",N(AC537)=0),"",AJ537/AC537)</f>
        <v/>
      </c>
      <c r="AW537" s="34" t="str">
        <f aca="false">IF(OR(AH537="",N(AO537)=0),"",AH537/AO537)</f>
        <v/>
      </c>
      <c r="AX537" s="35" t="str">
        <f aca="false">IF(OR(AR537="",N(AO537)=0),"",(N(AF537)*Settings!$B$6+N(AG537)*Settings!$B$7+N(AH537)*Settings!$B$8+N(AI537)*Settings!$B$9+N(AJ537)*Settings!$B$10)/AO537*1000)</f>
        <v/>
      </c>
      <c r="AY537" s="36" t="str">
        <f aca="false">IF(AS537="","",IFERROR(AS537/AVERAGEIFS('Post Tracker'!$AS$5:$AS$1004,'Post Tracker'!$G$5:$G$1004,G537),""))</f>
        <v/>
      </c>
      <c r="AZ537" s="32"/>
      <c r="BA537" s="32"/>
      <c r="BB537" s="32"/>
      <c r="BC537" s="32"/>
      <c r="BD537" s="33" t="str">
        <f aca="false">IF(A537="","",COUNTIFS('Demo Pipeline'!$Q$5:$Q$504,A537))</f>
        <v/>
      </c>
      <c r="BE537" s="33" t="str">
        <f aca="false">IF(A537="","",COUNTIFS('Demo Pipeline'!$Q$5:$Q$504,A537,'Demo Pipeline'!$W$5:$W$504,"Attended"))</f>
        <v/>
      </c>
      <c r="BF537" s="33" t="str">
        <f aca="false">IF(A537="","",COUNTIFS('Demo Pipeline'!$Q$5:$Q$504,A537,'Demo Pipeline'!$X$5:$X$504,"Yes"))</f>
        <v/>
      </c>
      <c r="BG537" s="33" t="str">
        <f aca="false">IF(A537="","",COUNTIFS('Demo Pipeline'!$Q$5:$Q$504,A537,'Demo Pipeline'!$Y$5:$Y$504,"Closed Won"))</f>
        <v/>
      </c>
      <c r="BH537" s="37" t="str">
        <f aca="false">IF(A537="","",SUMIFS('Demo Pipeline'!$Z$5:$Z$504,'Demo Pipeline'!$Q$5:$Q$504,A537))</f>
        <v/>
      </c>
      <c r="BI537" s="34" t="str">
        <f aca="false">IF(OR(AZ537="",N(AJ537)=0),"",AZ537/AJ537)</f>
        <v/>
      </c>
      <c r="BJ537" s="34" t="str">
        <f aca="false">IF(OR(BB537="",N(AZ537)=0),"",BB537/AZ537)</f>
        <v/>
      </c>
      <c r="BK537" s="34" t="str">
        <f aca="false">IF(OR(A537="",N(BB537)=0),"",BD537/BB537)</f>
        <v/>
      </c>
      <c r="BL537" s="34" t="str">
        <f aca="false">IF(OR(A537="",N(AZ537)=0),"",BD537/AZ537)</f>
        <v/>
      </c>
      <c r="BM537" s="37" t="str">
        <f aca="false">IF(OR(N(Q537)=0,N(BD537)=0),"",Q537/BD537)</f>
        <v/>
      </c>
      <c r="BN537" s="29"/>
      <c r="BO537" s="29"/>
      <c r="BP537" s="33" t="str">
        <f aca="false">IF(OR(AR537="",N(AO537)=0),"",AR537)</f>
        <v/>
      </c>
      <c r="BQ537" s="33" t="str">
        <f aca="false">IF(OR(AR537="",N(S537)=0),"",S537)</f>
        <v/>
      </c>
      <c r="BR537" s="38" t="str">
        <f aca="false">IF(AND(ISNUMBER(B537),B537&gt;=Dashboard!$C$4,B537&lt;=Dashboard!$F$4,ISNUMBER(AU537)),AU537+ROW()/10^9,"")</f>
        <v/>
      </c>
      <c r="BS537" s="38" t="str">
        <f aca="false">IF(AND(ISNUMBER(B537),B537&gt;=Dashboard!$C$4,B537&lt;=Dashboard!$F$4,A537&lt;&gt;""),N(BD537)+N(AU537)/100+ROW()/10^9,"")</f>
        <v/>
      </c>
    </row>
    <row r="538" customFormat="false" ht="15" hidden="false" customHeight="false" outlineLevel="0" collapsed="false">
      <c r="A538" s="24" t="str">
        <f aca="false">IF(OR(B538="",G538="",H538=""),"",IFERROR(INDEX(Settings!$E$5:$E$49,MATCH(G538,Settings!$D$5:$D$49,0))&amp;INDEX(Settings!$H$5:$H$47,MATCH(H538,Settings!$G$5:$G$47,0))&amp;"-"&amp;TEXT(B538,"yymmdd")&amp;"-"&amp;IF(C538="","0000",TEXT(C538,"hhmm")),"CHECK LISTS"))</f>
        <v/>
      </c>
      <c r="B538" s="39"/>
      <c r="C538" s="40"/>
      <c r="D538" s="24" t="str">
        <f aca="false">IF(B538="","",TEXT(B538,"ddd"))</f>
        <v/>
      </c>
      <c r="E538" s="27" t="str">
        <f aca="false">IF(B538="","",B538-WEEKDAY(B538,3))</f>
        <v/>
      </c>
      <c r="F538" s="24" t="str">
        <f aca="false">IF(B538="","",TEXT(B538,"yyyy-mm"))</f>
        <v/>
      </c>
      <c r="G538" s="29"/>
      <c r="H538" s="29"/>
      <c r="I538" s="29"/>
      <c r="J538" s="29"/>
      <c r="K538" s="29"/>
      <c r="L538" s="29"/>
      <c r="M538" s="29"/>
      <c r="N538" s="29"/>
      <c r="O538" s="29"/>
      <c r="P538" s="29"/>
      <c r="Q538" s="30"/>
      <c r="R538" s="29"/>
      <c r="S538" s="32"/>
      <c r="T538" s="29"/>
      <c r="U538" s="29"/>
      <c r="V538" s="24" t="str">
        <f aca="false">IF(A538="","",IFERROR(INDEX(Settings!$F$5:$F$49,MATCH(G538,Settings!$D$5:$D$49,0)),""))</f>
        <v/>
      </c>
      <c r="W538" s="24" t="str">
        <f aca="false">IF(A538="","",IF(OR(P538="",P538="Organic"),"social","paid_social"))</f>
        <v/>
      </c>
      <c r="X538" s="24" t="str">
        <f aca="false">IF(A538="","",IF(K538&lt;&gt;"",IFERROR(INDEX('Case Studies'!$C$5:$C$54,MATCH(K538,'Case Studies'!$B$5:$B$54,0))&amp;"","case-study"),IF(J538&lt;&gt;"",IFERROR(INDEX(Settings!$J$5:$J$55,MATCH(J538,Settings!$I$5:$I$55,0)),"general"),"general")))</f>
        <v/>
      </c>
      <c r="Y538" s="24" t="str">
        <f aca="false">IF(A538="","",LOWER(A538))</f>
        <v/>
      </c>
      <c r="Z538" s="24" t="str">
        <f aca="false">IF(A538="","",IF(T538="",Settings!$B$5,T538)&amp;IF(ISNUMBER(FIND("?",IF(T538="",Settings!$B$5,T538))),"&amp;","?")&amp;"utm_source="&amp;V538&amp;"&amp;utm_medium="&amp;W538&amp;"&amp;utm_campaign="&amp;X538&amp;"&amp;utm_content="&amp;Y538)</f>
        <v/>
      </c>
      <c r="AA538" s="29"/>
      <c r="AB538" s="39"/>
      <c r="AC538" s="32"/>
      <c r="AD538" s="32"/>
      <c r="AE538" s="32"/>
      <c r="AF538" s="32"/>
      <c r="AG538" s="32"/>
      <c r="AH538" s="32"/>
      <c r="AI538" s="32"/>
      <c r="AJ538" s="32"/>
      <c r="AK538" s="32"/>
      <c r="AL538" s="32"/>
      <c r="AM538" s="32"/>
      <c r="AN538" s="32"/>
      <c r="AO538" s="33" t="str">
        <f aca="false">IF(A538="","",IF(AD538&lt;&gt;"",AD538,IF(AC538&lt;&gt;"",AC538,"")))</f>
        <v/>
      </c>
      <c r="AP538" s="24" t="str">
        <f aca="false">IF(AO538="","",IF(AD538&lt;&gt;"","Reported reach","Impressions (proxy)"))</f>
        <v/>
      </c>
      <c r="AQ538" s="34" t="str">
        <f aca="false">IF(OR(AO538="",N(S538)=0),"",AO538/S538)</f>
        <v/>
      </c>
      <c r="AR538" s="33" t="str">
        <f aca="false">IF(A538="","",IF(COUNT(AF538:AJ538)=0,"",SUM(AF538:AJ538)))</f>
        <v/>
      </c>
      <c r="AS538" s="34" t="str">
        <f aca="false">IF(OR(AR538="",N(AO538)=0),"",AR538/AO538)</f>
        <v/>
      </c>
      <c r="AT538" s="34" t="str">
        <f aca="false">IF(OR(AR538="",N(AC538)=0),"",AR538/AC538)</f>
        <v/>
      </c>
      <c r="AU538" s="34" t="str">
        <f aca="false">IF(OR(AR538="",N(S538)=0),"",AR538/S538)</f>
        <v/>
      </c>
      <c r="AV538" s="34" t="str">
        <f aca="false">IF(OR(AJ538="",N(AC538)=0),"",AJ538/AC538)</f>
        <v/>
      </c>
      <c r="AW538" s="34" t="str">
        <f aca="false">IF(OR(AH538="",N(AO538)=0),"",AH538/AO538)</f>
        <v/>
      </c>
      <c r="AX538" s="35" t="str">
        <f aca="false">IF(OR(AR538="",N(AO538)=0),"",(N(AF538)*Settings!$B$6+N(AG538)*Settings!$B$7+N(AH538)*Settings!$B$8+N(AI538)*Settings!$B$9+N(AJ538)*Settings!$B$10)/AO538*1000)</f>
        <v/>
      </c>
      <c r="AY538" s="36" t="str">
        <f aca="false">IF(AS538="","",IFERROR(AS538/AVERAGEIFS('Post Tracker'!$AS$5:$AS$1004,'Post Tracker'!$G$5:$G$1004,G538),""))</f>
        <v/>
      </c>
      <c r="AZ538" s="32"/>
      <c r="BA538" s="32"/>
      <c r="BB538" s="32"/>
      <c r="BC538" s="32"/>
      <c r="BD538" s="33" t="str">
        <f aca="false">IF(A538="","",COUNTIFS('Demo Pipeline'!$Q$5:$Q$504,A538))</f>
        <v/>
      </c>
      <c r="BE538" s="33" t="str">
        <f aca="false">IF(A538="","",COUNTIFS('Demo Pipeline'!$Q$5:$Q$504,A538,'Demo Pipeline'!$W$5:$W$504,"Attended"))</f>
        <v/>
      </c>
      <c r="BF538" s="33" t="str">
        <f aca="false">IF(A538="","",COUNTIFS('Demo Pipeline'!$Q$5:$Q$504,A538,'Demo Pipeline'!$X$5:$X$504,"Yes"))</f>
        <v/>
      </c>
      <c r="BG538" s="33" t="str">
        <f aca="false">IF(A538="","",COUNTIFS('Demo Pipeline'!$Q$5:$Q$504,A538,'Demo Pipeline'!$Y$5:$Y$504,"Closed Won"))</f>
        <v/>
      </c>
      <c r="BH538" s="37" t="str">
        <f aca="false">IF(A538="","",SUMIFS('Demo Pipeline'!$Z$5:$Z$504,'Demo Pipeline'!$Q$5:$Q$504,A538))</f>
        <v/>
      </c>
      <c r="BI538" s="34" t="str">
        <f aca="false">IF(OR(AZ538="",N(AJ538)=0),"",AZ538/AJ538)</f>
        <v/>
      </c>
      <c r="BJ538" s="34" t="str">
        <f aca="false">IF(OR(BB538="",N(AZ538)=0),"",BB538/AZ538)</f>
        <v/>
      </c>
      <c r="BK538" s="34" t="str">
        <f aca="false">IF(OR(A538="",N(BB538)=0),"",BD538/BB538)</f>
        <v/>
      </c>
      <c r="BL538" s="34" t="str">
        <f aca="false">IF(OR(A538="",N(AZ538)=0),"",BD538/AZ538)</f>
        <v/>
      </c>
      <c r="BM538" s="37" t="str">
        <f aca="false">IF(OR(N(Q538)=0,N(BD538)=0),"",Q538/BD538)</f>
        <v/>
      </c>
      <c r="BN538" s="29"/>
      <c r="BO538" s="29"/>
      <c r="BP538" s="33" t="str">
        <f aca="false">IF(OR(AR538="",N(AO538)=0),"",AR538)</f>
        <v/>
      </c>
      <c r="BQ538" s="33" t="str">
        <f aca="false">IF(OR(AR538="",N(S538)=0),"",S538)</f>
        <v/>
      </c>
      <c r="BR538" s="38" t="str">
        <f aca="false">IF(AND(ISNUMBER(B538),B538&gt;=Dashboard!$C$4,B538&lt;=Dashboard!$F$4,ISNUMBER(AU538)),AU538+ROW()/10^9,"")</f>
        <v/>
      </c>
      <c r="BS538" s="38" t="str">
        <f aca="false">IF(AND(ISNUMBER(B538),B538&gt;=Dashboard!$C$4,B538&lt;=Dashboard!$F$4,A538&lt;&gt;""),N(BD538)+N(AU538)/100+ROW()/10^9,"")</f>
        <v/>
      </c>
    </row>
    <row r="539" customFormat="false" ht="15" hidden="false" customHeight="false" outlineLevel="0" collapsed="false">
      <c r="A539" s="24" t="str">
        <f aca="false">IF(OR(B539="",G539="",H539=""),"",IFERROR(INDEX(Settings!$E$5:$E$49,MATCH(G539,Settings!$D$5:$D$49,0))&amp;INDEX(Settings!$H$5:$H$47,MATCH(H539,Settings!$G$5:$G$47,0))&amp;"-"&amp;TEXT(B539,"yymmdd")&amp;"-"&amp;IF(C539="","0000",TEXT(C539,"hhmm")),"CHECK LISTS"))</f>
        <v/>
      </c>
      <c r="B539" s="39"/>
      <c r="C539" s="40"/>
      <c r="D539" s="24" t="str">
        <f aca="false">IF(B539="","",TEXT(B539,"ddd"))</f>
        <v/>
      </c>
      <c r="E539" s="27" t="str">
        <f aca="false">IF(B539="","",B539-WEEKDAY(B539,3))</f>
        <v/>
      </c>
      <c r="F539" s="24" t="str">
        <f aca="false">IF(B539="","",TEXT(B539,"yyyy-mm"))</f>
        <v/>
      </c>
      <c r="G539" s="29"/>
      <c r="H539" s="29"/>
      <c r="I539" s="29"/>
      <c r="J539" s="29"/>
      <c r="K539" s="29"/>
      <c r="L539" s="29"/>
      <c r="M539" s="29"/>
      <c r="N539" s="29"/>
      <c r="O539" s="29"/>
      <c r="P539" s="29"/>
      <c r="Q539" s="30"/>
      <c r="R539" s="29"/>
      <c r="S539" s="32"/>
      <c r="T539" s="29"/>
      <c r="U539" s="29"/>
      <c r="V539" s="24" t="str">
        <f aca="false">IF(A539="","",IFERROR(INDEX(Settings!$F$5:$F$49,MATCH(G539,Settings!$D$5:$D$49,0)),""))</f>
        <v/>
      </c>
      <c r="W539" s="24" t="str">
        <f aca="false">IF(A539="","",IF(OR(P539="",P539="Organic"),"social","paid_social"))</f>
        <v/>
      </c>
      <c r="X539" s="24" t="str">
        <f aca="false">IF(A539="","",IF(K539&lt;&gt;"",IFERROR(INDEX('Case Studies'!$C$5:$C$54,MATCH(K539,'Case Studies'!$B$5:$B$54,0))&amp;"","case-study"),IF(J539&lt;&gt;"",IFERROR(INDEX(Settings!$J$5:$J$55,MATCH(J539,Settings!$I$5:$I$55,0)),"general"),"general")))</f>
        <v/>
      </c>
      <c r="Y539" s="24" t="str">
        <f aca="false">IF(A539="","",LOWER(A539))</f>
        <v/>
      </c>
      <c r="Z539" s="24" t="str">
        <f aca="false">IF(A539="","",IF(T539="",Settings!$B$5,T539)&amp;IF(ISNUMBER(FIND("?",IF(T539="",Settings!$B$5,T539))),"&amp;","?")&amp;"utm_source="&amp;V539&amp;"&amp;utm_medium="&amp;W539&amp;"&amp;utm_campaign="&amp;X539&amp;"&amp;utm_content="&amp;Y539)</f>
        <v/>
      </c>
      <c r="AA539" s="29"/>
      <c r="AB539" s="39"/>
      <c r="AC539" s="32"/>
      <c r="AD539" s="32"/>
      <c r="AE539" s="32"/>
      <c r="AF539" s="32"/>
      <c r="AG539" s="32"/>
      <c r="AH539" s="32"/>
      <c r="AI539" s="32"/>
      <c r="AJ539" s="32"/>
      <c r="AK539" s="32"/>
      <c r="AL539" s="32"/>
      <c r="AM539" s="32"/>
      <c r="AN539" s="32"/>
      <c r="AO539" s="33" t="str">
        <f aca="false">IF(A539="","",IF(AD539&lt;&gt;"",AD539,IF(AC539&lt;&gt;"",AC539,"")))</f>
        <v/>
      </c>
      <c r="AP539" s="24" t="str">
        <f aca="false">IF(AO539="","",IF(AD539&lt;&gt;"","Reported reach","Impressions (proxy)"))</f>
        <v/>
      </c>
      <c r="AQ539" s="34" t="str">
        <f aca="false">IF(OR(AO539="",N(S539)=0),"",AO539/S539)</f>
        <v/>
      </c>
      <c r="AR539" s="33" t="str">
        <f aca="false">IF(A539="","",IF(COUNT(AF539:AJ539)=0,"",SUM(AF539:AJ539)))</f>
        <v/>
      </c>
      <c r="AS539" s="34" t="str">
        <f aca="false">IF(OR(AR539="",N(AO539)=0),"",AR539/AO539)</f>
        <v/>
      </c>
      <c r="AT539" s="34" t="str">
        <f aca="false">IF(OR(AR539="",N(AC539)=0),"",AR539/AC539)</f>
        <v/>
      </c>
      <c r="AU539" s="34" t="str">
        <f aca="false">IF(OR(AR539="",N(S539)=0),"",AR539/S539)</f>
        <v/>
      </c>
      <c r="AV539" s="34" t="str">
        <f aca="false">IF(OR(AJ539="",N(AC539)=0),"",AJ539/AC539)</f>
        <v/>
      </c>
      <c r="AW539" s="34" t="str">
        <f aca="false">IF(OR(AH539="",N(AO539)=0),"",AH539/AO539)</f>
        <v/>
      </c>
      <c r="AX539" s="35" t="str">
        <f aca="false">IF(OR(AR539="",N(AO539)=0),"",(N(AF539)*Settings!$B$6+N(AG539)*Settings!$B$7+N(AH539)*Settings!$B$8+N(AI539)*Settings!$B$9+N(AJ539)*Settings!$B$10)/AO539*1000)</f>
        <v/>
      </c>
      <c r="AY539" s="36" t="str">
        <f aca="false">IF(AS539="","",IFERROR(AS539/AVERAGEIFS('Post Tracker'!$AS$5:$AS$1004,'Post Tracker'!$G$5:$G$1004,G539),""))</f>
        <v/>
      </c>
      <c r="AZ539" s="32"/>
      <c r="BA539" s="32"/>
      <c r="BB539" s="32"/>
      <c r="BC539" s="32"/>
      <c r="BD539" s="33" t="str">
        <f aca="false">IF(A539="","",COUNTIFS('Demo Pipeline'!$Q$5:$Q$504,A539))</f>
        <v/>
      </c>
      <c r="BE539" s="33" t="str">
        <f aca="false">IF(A539="","",COUNTIFS('Demo Pipeline'!$Q$5:$Q$504,A539,'Demo Pipeline'!$W$5:$W$504,"Attended"))</f>
        <v/>
      </c>
      <c r="BF539" s="33" t="str">
        <f aca="false">IF(A539="","",COUNTIFS('Demo Pipeline'!$Q$5:$Q$504,A539,'Demo Pipeline'!$X$5:$X$504,"Yes"))</f>
        <v/>
      </c>
      <c r="BG539" s="33" t="str">
        <f aca="false">IF(A539="","",COUNTIFS('Demo Pipeline'!$Q$5:$Q$504,A539,'Demo Pipeline'!$Y$5:$Y$504,"Closed Won"))</f>
        <v/>
      </c>
      <c r="BH539" s="37" t="str">
        <f aca="false">IF(A539="","",SUMIFS('Demo Pipeline'!$Z$5:$Z$504,'Demo Pipeline'!$Q$5:$Q$504,A539))</f>
        <v/>
      </c>
      <c r="BI539" s="34" t="str">
        <f aca="false">IF(OR(AZ539="",N(AJ539)=0),"",AZ539/AJ539)</f>
        <v/>
      </c>
      <c r="BJ539" s="34" t="str">
        <f aca="false">IF(OR(BB539="",N(AZ539)=0),"",BB539/AZ539)</f>
        <v/>
      </c>
      <c r="BK539" s="34" t="str">
        <f aca="false">IF(OR(A539="",N(BB539)=0),"",BD539/BB539)</f>
        <v/>
      </c>
      <c r="BL539" s="34" t="str">
        <f aca="false">IF(OR(A539="",N(AZ539)=0),"",BD539/AZ539)</f>
        <v/>
      </c>
      <c r="BM539" s="37" t="str">
        <f aca="false">IF(OR(N(Q539)=0,N(BD539)=0),"",Q539/BD539)</f>
        <v/>
      </c>
      <c r="BN539" s="29"/>
      <c r="BO539" s="29"/>
      <c r="BP539" s="33" t="str">
        <f aca="false">IF(OR(AR539="",N(AO539)=0),"",AR539)</f>
        <v/>
      </c>
      <c r="BQ539" s="33" t="str">
        <f aca="false">IF(OR(AR539="",N(S539)=0),"",S539)</f>
        <v/>
      </c>
      <c r="BR539" s="38" t="str">
        <f aca="false">IF(AND(ISNUMBER(B539),B539&gt;=Dashboard!$C$4,B539&lt;=Dashboard!$F$4,ISNUMBER(AU539)),AU539+ROW()/10^9,"")</f>
        <v/>
      </c>
      <c r="BS539" s="38" t="str">
        <f aca="false">IF(AND(ISNUMBER(B539),B539&gt;=Dashboard!$C$4,B539&lt;=Dashboard!$F$4,A539&lt;&gt;""),N(BD539)+N(AU539)/100+ROW()/10^9,"")</f>
        <v/>
      </c>
    </row>
    <row r="540" customFormat="false" ht="15" hidden="false" customHeight="false" outlineLevel="0" collapsed="false">
      <c r="A540" s="24" t="str">
        <f aca="false">IF(OR(B540="",G540="",H540=""),"",IFERROR(INDEX(Settings!$E$5:$E$49,MATCH(G540,Settings!$D$5:$D$49,0))&amp;INDEX(Settings!$H$5:$H$47,MATCH(H540,Settings!$G$5:$G$47,0))&amp;"-"&amp;TEXT(B540,"yymmdd")&amp;"-"&amp;IF(C540="","0000",TEXT(C540,"hhmm")),"CHECK LISTS"))</f>
        <v/>
      </c>
      <c r="B540" s="39"/>
      <c r="C540" s="40"/>
      <c r="D540" s="24" t="str">
        <f aca="false">IF(B540="","",TEXT(B540,"ddd"))</f>
        <v/>
      </c>
      <c r="E540" s="27" t="str">
        <f aca="false">IF(B540="","",B540-WEEKDAY(B540,3))</f>
        <v/>
      </c>
      <c r="F540" s="24" t="str">
        <f aca="false">IF(B540="","",TEXT(B540,"yyyy-mm"))</f>
        <v/>
      </c>
      <c r="G540" s="29"/>
      <c r="H540" s="29"/>
      <c r="I540" s="29"/>
      <c r="J540" s="29"/>
      <c r="K540" s="29"/>
      <c r="L540" s="29"/>
      <c r="M540" s="29"/>
      <c r="N540" s="29"/>
      <c r="O540" s="29"/>
      <c r="P540" s="29"/>
      <c r="Q540" s="30"/>
      <c r="R540" s="29"/>
      <c r="S540" s="32"/>
      <c r="T540" s="29"/>
      <c r="U540" s="29"/>
      <c r="V540" s="24" t="str">
        <f aca="false">IF(A540="","",IFERROR(INDEX(Settings!$F$5:$F$49,MATCH(G540,Settings!$D$5:$D$49,0)),""))</f>
        <v/>
      </c>
      <c r="W540" s="24" t="str">
        <f aca="false">IF(A540="","",IF(OR(P540="",P540="Organic"),"social","paid_social"))</f>
        <v/>
      </c>
      <c r="X540" s="24" t="str">
        <f aca="false">IF(A540="","",IF(K540&lt;&gt;"",IFERROR(INDEX('Case Studies'!$C$5:$C$54,MATCH(K540,'Case Studies'!$B$5:$B$54,0))&amp;"","case-study"),IF(J540&lt;&gt;"",IFERROR(INDEX(Settings!$J$5:$J$55,MATCH(J540,Settings!$I$5:$I$55,0)),"general"),"general")))</f>
        <v/>
      </c>
      <c r="Y540" s="24" t="str">
        <f aca="false">IF(A540="","",LOWER(A540))</f>
        <v/>
      </c>
      <c r="Z540" s="24" t="str">
        <f aca="false">IF(A540="","",IF(T540="",Settings!$B$5,T540)&amp;IF(ISNUMBER(FIND("?",IF(T540="",Settings!$B$5,T540))),"&amp;","?")&amp;"utm_source="&amp;V540&amp;"&amp;utm_medium="&amp;W540&amp;"&amp;utm_campaign="&amp;X540&amp;"&amp;utm_content="&amp;Y540)</f>
        <v/>
      </c>
      <c r="AA540" s="29"/>
      <c r="AB540" s="39"/>
      <c r="AC540" s="32"/>
      <c r="AD540" s="32"/>
      <c r="AE540" s="32"/>
      <c r="AF540" s="32"/>
      <c r="AG540" s="32"/>
      <c r="AH540" s="32"/>
      <c r="AI540" s="32"/>
      <c r="AJ540" s="32"/>
      <c r="AK540" s="32"/>
      <c r="AL540" s="32"/>
      <c r="AM540" s="32"/>
      <c r="AN540" s="32"/>
      <c r="AO540" s="33" t="str">
        <f aca="false">IF(A540="","",IF(AD540&lt;&gt;"",AD540,IF(AC540&lt;&gt;"",AC540,"")))</f>
        <v/>
      </c>
      <c r="AP540" s="24" t="str">
        <f aca="false">IF(AO540="","",IF(AD540&lt;&gt;"","Reported reach","Impressions (proxy)"))</f>
        <v/>
      </c>
      <c r="AQ540" s="34" t="str">
        <f aca="false">IF(OR(AO540="",N(S540)=0),"",AO540/S540)</f>
        <v/>
      </c>
      <c r="AR540" s="33" t="str">
        <f aca="false">IF(A540="","",IF(COUNT(AF540:AJ540)=0,"",SUM(AF540:AJ540)))</f>
        <v/>
      </c>
      <c r="AS540" s="34" t="str">
        <f aca="false">IF(OR(AR540="",N(AO540)=0),"",AR540/AO540)</f>
        <v/>
      </c>
      <c r="AT540" s="34" t="str">
        <f aca="false">IF(OR(AR540="",N(AC540)=0),"",AR540/AC540)</f>
        <v/>
      </c>
      <c r="AU540" s="34" t="str">
        <f aca="false">IF(OR(AR540="",N(S540)=0),"",AR540/S540)</f>
        <v/>
      </c>
      <c r="AV540" s="34" t="str">
        <f aca="false">IF(OR(AJ540="",N(AC540)=0),"",AJ540/AC540)</f>
        <v/>
      </c>
      <c r="AW540" s="34" t="str">
        <f aca="false">IF(OR(AH540="",N(AO540)=0),"",AH540/AO540)</f>
        <v/>
      </c>
      <c r="AX540" s="35" t="str">
        <f aca="false">IF(OR(AR540="",N(AO540)=0),"",(N(AF540)*Settings!$B$6+N(AG540)*Settings!$B$7+N(AH540)*Settings!$B$8+N(AI540)*Settings!$B$9+N(AJ540)*Settings!$B$10)/AO540*1000)</f>
        <v/>
      </c>
      <c r="AY540" s="36" t="str">
        <f aca="false">IF(AS540="","",IFERROR(AS540/AVERAGEIFS('Post Tracker'!$AS$5:$AS$1004,'Post Tracker'!$G$5:$G$1004,G540),""))</f>
        <v/>
      </c>
      <c r="AZ540" s="32"/>
      <c r="BA540" s="32"/>
      <c r="BB540" s="32"/>
      <c r="BC540" s="32"/>
      <c r="BD540" s="33" t="str">
        <f aca="false">IF(A540="","",COUNTIFS('Demo Pipeline'!$Q$5:$Q$504,A540))</f>
        <v/>
      </c>
      <c r="BE540" s="33" t="str">
        <f aca="false">IF(A540="","",COUNTIFS('Demo Pipeline'!$Q$5:$Q$504,A540,'Demo Pipeline'!$W$5:$W$504,"Attended"))</f>
        <v/>
      </c>
      <c r="BF540" s="33" t="str">
        <f aca="false">IF(A540="","",COUNTIFS('Demo Pipeline'!$Q$5:$Q$504,A540,'Demo Pipeline'!$X$5:$X$504,"Yes"))</f>
        <v/>
      </c>
      <c r="BG540" s="33" t="str">
        <f aca="false">IF(A540="","",COUNTIFS('Demo Pipeline'!$Q$5:$Q$504,A540,'Demo Pipeline'!$Y$5:$Y$504,"Closed Won"))</f>
        <v/>
      </c>
      <c r="BH540" s="37" t="str">
        <f aca="false">IF(A540="","",SUMIFS('Demo Pipeline'!$Z$5:$Z$504,'Demo Pipeline'!$Q$5:$Q$504,A540))</f>
        <v/>
      </c>
      <c r="BI540" s="34" t="str">
        <f aca="false">IF(OR(AZ540="",N(AJ540)=0),"",AZ540/AJ540)</f>
        <v/>
      </c>
      <c r="BJ540" s="34" t="str">
        <f aca="false">IF(OR(BB540="",N(AZ540)=0),"",BB540/AZ540)</f>
        <v/>
      </c>
      <c r="BK540" s="34" t="str">
        <f aca="false">IF(OR(A540="",N(BB540)=0),"",BD540/BB540)</f>
        <v/>
      </c>
      <c r="BL540" s="34" t="str">
        <f aca="false">IF(OR(A540="",N(AZ540)=0),"",BD540/AZ540)</f>
        <v/>
      </c>
      <c r="BM540" s="37" t="str">
        <f aca="false">IF(OR(N(Q540)=0,N(BD540)=0),"",Q540/BD540)</f>
        <v/>
      </c>
      <c r="BN540" s="29"/>
      <c r="BO540" s="29"/>
      <c r="BP540" s="33" t="str">
        <f aca="false">IF(OR(AR540="",N(AO540)=0),"",AR540)</f>
        <v/>
      </c>
      <c r="BQ540" s="33" t="str">
        <f aca="false">IF(OR(AR540="",N(S540)=0),"",S540)</f>
        <v/>
      </c>
      <c r="BR540" s="38" t="str">
        <f aca="false">IF(AND(ISNUMBER(B540),B540&gt;=Dashboard!$C$4,B540&lt;=Dashboard!$F$4,ISNUMBER(AU540)),AU540+ROW()/10^9,"")</f>
        <v/>
      </c>
      <c r="BS540" s="38" t="str">
        <f aca="false">IF(AND(ISNUMBER(B540),B540&gt;=Dashboard!$C$4,B540&lt;=Dashboard!$F$4,A540&lt;&gt;""),N(BD540)+N(AU540)/100+ROW()/10^9,"")</f>
        <v/>
      </c>
    </row>
    <row r="541" customFormat="false" ht="15" hidden="false" customHeight="false" outlineLevel="0" collapsed="false">
      <c r="A541" s="24" t="str">
        <f aca="false">IF(OR(B541="",G541="",H541=""),"",IFERROR(INDEX(Settings!$E$5:$E$49,MATCH(G541,Settings!$D$5:$D$49,0))&amp;INDEX(Settings!$H$5:$H$47,MATCH(H541,Settings!$G$5:$G$47,0))&amp;"-"&amp;TEXT(B541,"yymmdd")&amp;"-"&amp;IF(C541="","0000",TEXT(C541,"hhmm")),"CHECK LISTS"))</f>
        <v/>
      </c>
      <c r="B541" s="39"/>
      <c r="C541" s="40"/>
      <c r="D541" s="24" t="str">
        <f aca="false">IF(B541="","",TEXT(B541,"ddd"))</f>
        <v/>
      </c>
      <c r="E541" s="27" t="str">
        <f aca="false">IF(B541="","",B541-WEEKDAY(B541,3))</f>
        <v/>
      </c>
      <c r="F541" s="24" t="str">
        <f aca="false">IF(B541="","",TEXT(B541,"yyyy-mm"))</f>
        <v/>
      </c>
      <c r="G541" s="29"/>
      <c r="H541" s="29"/>
      <c r="I541" s="29"/>
      <c r="J541" s="29"/>
      <c r="K541" s="29"/>
      <c r="L541" s="29"/>
      <c r="M541" s="29"/>
      <c r="N541" s="29"/>
      <c r="O541" s="29"/>
      <c r="P541" s="29"/>
      <c r="Q541" s="30"/>
      <c r="R541" s="29"/>
      <c r="S541" s="32"/>
      <c r="T541" s="29"/>
      <c r="U541" s="29"/>
      <c r="V541" s="24" t="str">
        <f aca="false">IF(A541="","",IFERROR(INDEX(Settings!$F$5:$F$49,MATCH(G541,Settings!$D$5:$D$49,0)),""))</f>
        <v/>
      </c>
      <c r="W541" s="24" t="str">
        <f aca="false">IF(A541="","",IF(OR(P541="",P541="Organic"),"social","paid_social"))</f>
        <v/>
      </c>
      <c r="X541" s="24" t="str">
        <f aca="false">IF(A541="","",IF(K541&lt;&gt;"",IFERROR(INDEX('Case Studies'!$C$5:$C$54,MATCH(K541,'Case Studies'!$B$5:$B$54,0))&amp;"","case-study"),IF(J541&lt;&gt;"",IFERROR(INDEX(Settings!$J$5:$J$55,MATCH(J541,Settings!$I$5:$I$55,0)),"general"),"general")))</f>
        <v/>
      </c>
      <c r="Y541" s="24" t="str">
        <f aca="false">IF(A541="","",LOWER(A541))</f>
        <v/>
      </c>
      <c r="Z541" s="24" t="str">
        <f aca="false">IF(A541="","",IF(T541="",Settings!$B$5,T541)&amp;IF(ISNUMBER(FIND("?",IF(T541="",Settings!$B$5,T541))),"&amp;","?")&amp;"utm_source="&amp;V541&amp;"&amp;utm_medium="&amp;W541&amp;"&amp;utm_campaign="&amp;X541&amp;"&amp;utm_content="&amp;Y541)</f>
        <v/>
      </c>
      <c r="AA541" s="29"/>
      <c r="AB541" s="39"/>
      <c r="AC541" s="32"/>
      <c r="AD541" s="32"/>
      <c r="AE541" s="32"/>
      <c r="AF541" s="32"/>
      <c r="AG541" s="32"/>
      <c r="AH541" s="32"/>
      <c r="AI541" s="32"/>
      <c r="AJ541" s="32"/>
      <c r="AK541" s="32"/>
      <c r="AL541" s="32"/>
      <c r="AM541" s="32"/>
      <c r="AN541" s="32"/>
      <c r="AO541" s="33" t="str">
        <f aca="false">IF(A541="","",IF(AD541&lt;&gt;"",AD541,IF(AC541&lt;&gt;"",AC541,"")))</f>
        <v/>
      </c>
      <c r="AP541" s="24" t="str">
        <f aca="false">IF(AO541="","",IF(AD541&lt;&gt;"","Reported reach","Impressions (proxy)"))</f>
        <v/>
      </c>
      <c r="AQ541" s="34" t="str">
        <f aca="false">IF(OR(AO541="",N(S541)=0),"",AO541/S541)</f>
        <v/>
      </c>
      <c r="AR541" s="33" t="str">
        <f aca="false">IF(A541="","",IF(COUNT(AF541:AJ541)=0,"",SUM(AF541:AJ541)))</f>
        <v/>
      </c>
      <c r="AS541" s="34" t="str">
        <f aca="false">IF(OR(AR541="",N(AO541)=0),"",AR541/AO541)</f>
        <v/>
      </c>
      <c r="AT541" s="34" t="str">
        <f aca="false">IF(OR(AR541="",N(AC541)=0),"",AR541/AC541)</f>
        <v/>
      </c>
      <c r="AU541" s="34" t="str">
        <f aca="false">IF(OR(AR541="",N(S541)=0),"",AR541/S541)</f>
        <v/>
      </c>
      <c r="AV541" s="34" t="str">
        <f aca="false">IF(OR(AJ541="",N(AC541)=0),"",AJ541/AC541)</f>
        <v/>
      </c>
      <c r="AW541" s="34" t="str">
        <f aca="false">IF(OR(AH541="",N(AO541)=0),"",AH541/AO541)</f>
        <v/>
      </c>
      <c r="AX541" s="35" t="str">
        <f aca="false">IF(OR(AR541="",N(AO541)=0),"",(N(AF541)*Settings!$B$6+N(AG541)*Settings!$B$7+N(AH541)*Settings!$B$8+N(AI541)*Settings!$B$9+N(AJ541)*Settings!$B$10)/AO541*1000)</f>
        <v/>
      </c>
      <c r="AY541" s="36" t="str">
        <f aca="false">IF(AS541="","",IFERROR(AS541/AVERAGEIFS('Post Tracker'!$AS$5:$AS$1004,'Post Tracker'!$G$5:$G$1004,G541),""))</f>
        <v/>
      </c>
      <c r="AZ541" s="32"/>
      <c r="BA541" s="32"/>
      <c r="BB541" s="32"/>
      <c r="BC541" s="32"/>
      <c r="BD541" s="33" t="str">
        <f aca="false">IF(A541="","",COUNTIFS('Demo Pipeline'!$Q$5:$Q$504,A541))</f>
        <v/>
      </c>
      <c r="BE541" s="33" t="str">
        <f aca="false">IF(A541="","",COUNTIFS('Demo Pipeline'!$Q$5:$Q$504,A541,'Demo Pipeline'!$W$5:$W$504,"Attended"))</f>
        <v/>
      </c>
      <c r="BF541" s="33" t="str">
        <f aca="false">IF(A541="","",COUNTIFS('Demo Pipeline'!$Q$5:$Q$504,A541,'Demo Pipeline'!$X$5:$X$504,"Yes"))</f>
        <v/>
      </c>
      <c r="BG541" s="33" t="str">
        <f aca="false">IF(A541="","",COUNTIFS('Demo Pipeline'!$Q$5:$Q$504,A541,'Demo Pipeline'!$Y$5:$Y$504,"Closed Won"))</f>
        <v/>
      </c>
      <c r="BH541" s="37" t="str">
        <f aca="false">IF(A541="","",SUMIFS('Demo Pipeline'!$Z$5:$Z$504,'Demo Pipeline'!$Q$5:$Q$504,A541))</f>
        <v/>
      </c>
      <c r="BI541" s="34" t="str">
        <f aca="false">IF(OR(AZ541="",N(AJ541)=0),"",AZ541/AJ541)</f>
        <v/>
      </c>
      <c r="BJ541" s="34" t="str">
        <f aca="false">IF(OR(BB541="",N(AZ541)=0),"",BB541/AZ541)</f>
        <v/>
      </c>
      <c r="BK541" s="34" t="str">
        <f aca="false">IF(OR(A541="",N(BB541)=0),"",BD541/BB541)</f>
        <v/>
      </c>
      <c r="BL541" s="34" t="str">
        <f aca="false">IF(OR(A541="",N(AZ541)=0),"",BD541/AZ541)</f>
        <v/>
      </c>
      <c r="BM541" s="37" t="str">
        <f aca="false">IF(OR(N(Q541)=0,N(BD541)=0),"",Q541/BD541)</f>
        <v/>
      </c>
      <c r="BN541" s="29"/>
      <c r="BO541" s="29"/>
      <c r="BP541" s="33" t="str">
        <f aca="false">IF(OR(AR541="",N(AO541)=0),"",AR541)</f>
        <v/>
      </c>
      <c r="BQ541" s="33" t="str">
        <f aca="false">IF(OR(AR541="",N(S541)=0),"",S541)</f>
        <v/>
      </c>
      <c r="BR541" s="38" t="str">
        <f aca="false">IF(AND(ISNUMBER(B541),B541&gt;=Dashboard!$C$4,B541&lt;=Dashboard!$F$4,ISNUMBER(AU541)),AU541+ROW()/10^9,"")</f>
        <v/>
      </c>
      <c r="BS541" s="38" t="str">
        <f aca="false">IF(AND(ISNUMBER(B541),B541&gt;=Dashboard!$C$4,B541&lt;=Dashboard!$F$4,A541&lt;&gt;""),N(BD541)+N(AU541)/100+ROW()/10^9,"")</f>
        <v/>
      </c>
    </row>
    <row r="542" customFormat="false" ht="15" hidden="false" customHeight="false" outlineLevel="0" collapsed="false">
      <c r="A542" s="24" t="str">
        <f aca="false">IF(OR(B542="",G542="",H542=""),"",IFERROR(INDEX(Settings!$E$5:$E$49,MATCH(G542,Settings!$D$5:$D$49,0))&amp;INDEX(Settings!$H$5:$H$47,MATCH(H542,Settings!$G$5:$G$47,0))&amp;"-"&amp;TEXT(B542,"yymmdd")&amp;"-"&amp;IF(C542="","0000",TEXT(C542,"hhmm")),"CHECK LISTS"))</f>
        <v/>
      </c>
      <c r="B542" s="39"/>
      <c r="C542" s="40"/>
      <c r="D542" s="24" t="str">
        <f aca="false">IF(B542="","",TEXT(B542,"ddd"))</f>
        <v/>
      </c>
      <c r="E542" s="27" t="str">
        <f aca="false">IF(B542="","",B542-WEEKDAY(B542,3))</f>
        <v/>
      </c>
      <c r="F542" s="24" t="str">
        <f aca="false">IF(B542="","",TEXT(B542,"yyyy-mm"))</f>
        <v/>
      </c>
      <c r="G542" s="29"/>
      <c r="H542" s="29"/>
      <c r="I542" s="29"/>
      <c r="J542" s="29"/>
      <c r="K542" s="29"/>
      <c r="L542" s="29"/>
      <c r="M542" s="29"/>
      <c r="N542" s="29"/>
      <c r="O542" s="29"/>
      <c r="P542" s="29"/>
      <c r="Q542" s="30"/>
      <c r="R542" s="29"/>
      <c r="S542" s="32"/>
      <c r="T542" s="29"/>
      <c r="U542" s="29"/>
      <c r="V542" s="24" t="str">
        <f aca="false">IF(A542="","",IFERROR(INDEX(Settings!$F$5:$F$49,MATCH(G542,Settings!$D$5:$D$49,0)),""))</f>
        <v/>
      </c>
      <c r="W542" s="24" t="str">
        <f aca="false">IF(A542="","",IF(OR(P542="",P542="Organic"),"social","paid_social"))</f>
        <v/>
      </c>
      <c r="X542" s="24" t="str">
        <f aca="false">IF(A542="","",IF(K542&lt;&gt;"",IFERROR(INDEX('Case Studies'!$C$5:$C$54,MATCH(K542,'Case Studies'!$B$5:$B$54,0))&amp;"","case-study"),IF(J542&lt;&gt;"",IFERROR(INDEX(Settings!$J$5:$J$55,MATCH(J542,Settings!$I$5:$I$55,0)),"general"),"general")))</f>
        <v/>
      </c>
      <c r="Y542" s="24" t="str">
        <f aca="false">IF(A542="","",LOWER(A542))</f>
        <v/>
      </c>
      <c r="Z542" s="24" t="str">
        <f aca="false">IF(A542="","",IF(T542="",Settings!$B$5,T542)&amp;IF(ISNUMBER(FIND("?",IF(T542="",Settings!$B$5,T542))),"&amp;","?")&amp;"utm_source="&amp;V542&amp;"&amp;utm_medium="&amp;W542&amp;"&amp;utm_campaign="&amp;X542&amp;"&amp;utm_content="&amp;Y542)</f>
        <v/>
      </c>
      <c r="AA542" s="29"/>
      <c r="AB542" s="39"/>
      <c r="AC542" s="32"/>
      <c r="AD542" s="32"/>
      <c r="AE542" s="32"/>
      <c r="AF542" s="32"/>
      <c r="AG542" s="32"/>
      <c r="AH542" s="32"/>
      <c r="AI542" s="32"/>
      <c r="AJ542" s="32"/>
      <c r="AK542" s="32"/>
      <c r="AL542" s="32"/>
      <c r="AM542" s="32"/>
      <c r="AN542" s="32"/>
      <c r="AO542" s="33" t="str">
        <f aca="false">IF(A542="","",IF(AD542&lt;&gt;"",AD542,IF(AC542&lt;&gt;"",AC542,"")))</f>
        <v/>
      </c>
      <c r="AP542" s="24" t="str">
        <f aca="false">IF(AO542="","",IF(AD542&lt;&gt;"","Reported reach","Impressions (proxy)"))</f>
        <v/>
      </c>
      <c r="AQ542" s="34" t="str">
        <f aca="false">IF(OR(AO542="",N(S542)=0),"",AO542/S542)</f>
        <v/>
      </c>
      <c r="AR542" s="33" t="str">
        <f aca="false">IF(A542="","",IF(COUNT(AF542:AJ542)=0,"",SUM(AF542:AJ542)))</f>
        <v/>
      </c>
      <c r="AS542" s="34" t="str">
        <f aca="false">IF(OR(AR542="",N(AO542)=0),"",AR542/AO542)</f>
        <v/>
      </c>
      <c r="AT542" s="34" t="str">
        <f aca="false">IF(OR(AR542="",N(AC542)=0),"",AR542/AC542)</f>
        <v/>
      </c>
      <c r="AU542" s="34" t="str">
        <f aca="false">IF(OR(AR542="",N(S542)=0),"",AR542/S542)</f>
        <v/>
      </c>
      <c r="AV542" s="34" t="str">
        <f aca="false">IF(OR(AJ542="",N(AC542)=0),"",AJ542/AC542)</f>
        <v/>
      </c>
      <c r="AW542" s="34" t="str">
        <f aca="false">IF(OR(AH542="",N(AO542)=0),"",AH542/AO542)</f>
        <v/>
      </c>
      <c r="AX542" s="35" t="str">
        <f aca="false">IF(OR(AR542="",N(AO542)=0),"",(N(AF542)*Settings!$B$6+N(AG542)*Settings!$B$7+N(AH542)*Settings!$B$8+N(AI542)*Settings!$B$9+N(AJ542)*Settings!$B$10)/AO542*1000)</f>
        <v/>
      </c>
      <c r="AY542" s="36" t="str">
        <f aca="false">IF(AS542="","",IFERROR(AS542/AVERAGEIFS('Post Tracker'!$AS$5:$AS$1004,'Post Tracker'!$G$5:$G$1004,G542),""))</f>
        <v/>
      </c>
      <c r="AZ542" s="32"/>
      <c r="BA542" s="32"/>
      <c r="BB542" s="32"/>
      <c r="BC542" s="32"/>
      <c r="BD542" s="33" t="str">
        <f aca="false">IF(A542="","",COUNTIFS('Demo Pipeline'!$Q$5:$Q$504,A542))</f>
        <v/>
      </c>
      <c r="BE542" s="33" t="str">
        <f aca="false">IF(A542="","",COUNTIFS('Demo Pipeline'!$Q$5:$Q$504,A542,'Demo Pipeline'!$W$5:$W$504,"Attended"))</f>
        <v/>
      </c>
      <c r="BF542" s="33" t="str">
        <f aca="false">IF(A542="","",COUNTIFS('Demo Pipeline'!$Q$5:$Q$504,A542,'Demo Pipeline'!$X$5:$X$504,"Yes"))</f>
        <v/>
      </c>
      <c r="BG542" s="33" t="str">
        <f aca="false">IF(A542="","",COUNTIFS('Demo Pipeline'!$Q$5:$Q$504,A542,'Demo Pipeline'!$Y$5:$Y$504,"Closed Won"))</f>
        <v/>
      </c>
      <c r="BH542" s="37" t="str">
        <f aca="false">IF(A542="","",SUMIFS('Demo Pipeline'!$Z$5:$Z$504,'Demo Pipeline'!$Q$5:$Q$504,A542))</f>
        <v/>
      </c>
      <c r="BI542" s="34" t="str">
        <f aca="false">IF(OR(AZ542="",N(AJ542)=0),"",AZ542/AJ542)</f>
        <v/>
      </c>
      <c r="BJ542" s="34" t="str">
        <f aca="false">IF(OR(BB542="",N(AZ542)=0),"",BB542/AZ542)</f>
        <v/>
      </c>
      <c r="BK542" s="34" t="str">
        <f aca="false">IF(OR(A542="",N(BB542)=0),"",BD542/BB542)</f>
        <v/>
      </c>
      <c r="BL542" s="34" t="str">
        <f aca="false">IF(OR(A542="",N(AZ542)=0),"",BD542/AZ542)</f>
        <v/>
      </c>
      <c r="BM542" s="37" t="str">
        <f aca="false">IF(OR(N(Q542)=0,N(BD542)=0),"",Q542/BD542)</f>
        <v/>
      </c>
      <c r="BN542" s="29"/>
      <c r="BO542" s="29"/>
      <c r="BP542" s="33" t="str">
        <f aca="false">IF(OR(AR542="",N(AO542)=0),"",AR542)</f>
        <v/>
      </c>
      <c r="BQ542" s="33" t="str">
        <f aca="false">IF(OR(AR542="",N(S542)=0),"",S542)</f>
        <v/>
      </c>
      <c r="BR542" s="38" t="str">
        <f aca="false">IF(AND(ISNUMBER(B542),B542&gt;=Dashboard!$C$4,B542&lt;=Dashboard!$F$4,ISNUMBER(AU542)),AU542+ROW()/10^9,"")</f>
        <v/>
      </c>
      <c r="BS542" s="38" t="str">
        <f aca="false">IF(AND(ISNUMBER(B542),B542&gt;=Dashboard!$C$4,B542&lt;=Dashboard!$F$4,A542&lt;&gt;""),N(BD542)+N(AU542)/100+ROW()/10^9,"")</f>
        <v/>
      </c>
    </row>
    <row r="543" customFormat="false" ht="15" hidden="false" customHeight="false" outlineLevel="0" collapsed="false">
      <c r="A543" s="24" t="str">
        <f aca="false">IF(OR(B543="",G543="",H543=""),"",IFERROR(INDEX(Settings!$E$5:$E$49,MATCH(G543,Settings!$D$5:$D$49,0))&amp;INDEX(Settings!$H$5:$H$47,MATCH(H543,Settings!$G$5:$G$47,0))&amp;"-"&amp;TEXT(B543,"yymmdd")&amp;"-"&amp;IF(C543="","0000",TEXT(C543,"hhmm")),"CHECK LISTS"))</f>
        <v/>
      </c>
      <c r="B543" s="39"/>
      <c r="C543" s="40"/>
      <c r="D543" s="24" t="str">
        <f aca="false">IF(B543="","",TEXT(B543,"ddd"))</f>
        <v/>
      </c>
      <c r="E543" s="27" t="str">
        <f aca="false">IF(B543="","",B543-WEEKDAY(B543,3))</f>
        <v/>
      </c>
      <c r="F543" s="24" t="str">
        <f aca="false">IF(B543="","",TEXT(B543,"yyyy-mm"))</f>
        <v/>
      </c>
      <c r="G543" s="29"/>
      <c r="H543" s="29"/>
      <c r="I543" s="29"/>
      <c r="J543" s="29"/>
      <c r="K543" s="29"/>
      <c r="L543" s="29"/>
      <c r="M543" s="29"/>
      <c r="N543" s="29"/>
      <c r="O543" s="29"/>
      <c r="P543" s="29"/>
      <c r="Q543" s="30"/>
      <c r="R543" s="29"/>
      <c r="S543" s="32"/>
      <c r="T543" s="29"/>
      <c r="U543" s="29"/>
      <c r="V543" s="24" t="str">
        <f aca="false">IF(A543="","",IFERROR(INDEX(Settings!$F$5:$F$49,MATCH(G543,Settings!$D$5:$D$49,0)),""))</f>
        <v/>
      </c>
      <c r="W543" s="24" t="str">
        <f aca="false">IF(A543="","",IF(OR(P543="",P543="Organic"),"social","paid_social"))</f>
        <v/>
      </c>
      <c r="X543" s="24" t="str">
        <f aca="false">IF(A543="","",IF(K543&lt;&gt;"",IFERROR(INDEX('Case Studies'!$C$5:$C$54,MATCH(K543,'Case Studies'!$B$5:$B$54,0))&amp;"","case-study"),IF(J543&lt;&gt;"",IFERROR(INDEX(Settings!$J$5:$J$55,MATCH(J543,Settings!$I$5:$I$55,0)),"general"),"general")))</f>
        <v/>
      </c>
      <c r="Y543" s="24" t="str">
        <f aca="false">IF(A543="","",LOWER(A543))</f>
        <v/>
      </c>
      <c r="Z543" s="24" t="str">
        <f aca="false">IF(A543="","",IF(T543="",Settings!$B$5,T543)&amp;IF(ISNUMBER(FIND("?",IF(T543="",Settings!$B$5,T543))),"&amp;","?")&amp;"utm_source="&amp;V543&amp;"&amp;utm_medium="&amp;W543&amp;"&amp;utm_campaign="&amp;X543&amp;"&amp;utm_content="&amp;Y543)</f>
        <v/>
      </c>
      <c r="AA543" s="29"/>
      <c r="AB543" s="39"/>
      <c r="AC543" s="32"/>
      <c r="AD543" s="32"/>
      <c r="AE543" s="32"/>
      <c r="AF543" s="32"/>
      <c r="AG543" s="32"/>
      <c r="AH543" s="32"/>
      <c r="AI543" s="32"/>
      <c r="AJ543" s="32"/>
      <c r="AK543" s="32"/>
      <c r="AL543" s="32"/>
      <c r="AM543" s="32"/>
      <c r="AN543" s="32"/>
      <c r="AO543" s="33" t="str">
        <f aca="false">IF(A543="","",IF(AD543&lt;&gt;"",AD543,IF(AC543&lt;&gt;"",AC543,"")))</f>
        <v/>
      </c>
      <c r="AP543" s="24" t="str">
        <f aca="false">IF(AO543="","",IF(AD543&lt;&gt;"","Reported reach","Impressions (proxy)"))</f>
        <v/>
      </c>
      <c r="AQ543" s="34" t="str">
        <f aca="false">IF(OR(AO543="",N(S543)=0),"",AO543/S543)</f>
        <v/>
      </c>
      <c r="AR543" s="33" t="str">
        <f aca="false">IF(A543="","",IF(COUNT(AF543:AJ543)=0,"",SUM(AF543:AJ543)))</f>
        <v/>
      </c>
      <c r="AS543" s="34" t="str">
        <f aca="false">IF(OR(AR543="",N(AO543)=0),"",AR543/AO543)</f>
        <v/>
      </c>
      <c r="AT543" s="34" t="str">
        <f aca="false">IF(OR(AR543="",N(AC543)=0),"",AR543/AC543)</f>
        <v/>
      </c>
      <c r="AU543" s="34" t="str">
        <f aca="false">IF(OR(AR543="",N(S543)=0),"",AR543/S543)</f>
        <v/>
      </c>
      <c r="AV543" s="34" t="str">
        <f aca="false">IF(OR(AJ543="",N(AC543)=0),"",AJ543/AC543)</f>
        <v/>
      </c>
      <c r="AW543" s="34" t="str">
        <f aca="false">IF(OR(AH543="",N(AO543)=0),"",AH543/AO543)</f>
        <v/>
      </c>
      <c r="AX543" s="35" t="str">
        <f aca="false">IF(OR(AR543="",N(AO543)=0),"",(N(AF543)*Settings!$B$6+N(AG543)*Settings!$B$7+N(AH543)*Settings!$B$8+N(AI543)*Settings!$B$9+N(AJ543)*Settings!$B$10)/AO543*1000)</f>
        <v/>
      </c>
      <c r="AY543" s="36" t="str">
        <f aca="false">IF(AS543="","",IFERROR(AS543/AVERAGEIFS('Post Tracker'!$AS$5:$AS$1004,'Post Tracker'!$G$5:$G$1004,G543),""))</f>
        <v/>
      </c>
      <c r="AZ543" s="32"/>
      <c r="BA543" s="32"/>
      <c r="BB543" s="32"/>
      <c r="BC543" s="32"/>
      <c r="BD543" s="33" t="str">
        <f aca="false">IF(A543="","",COUNTIFS('Demo Pipeline'!$Q$5:$Q$504,A543))</f>
        <v/>
      </c>
      <c r="BE543" s="33" t="str">
        <f aca="false">IF(A543="","",COUNTIFS('Demo Pipeline'!$Q$5:$Q$504,A543,'Demo Pipeline'!$W$5:$W$504,"Attended"))</f>
        <v/>
      </c>
      <c r="BF543" s="33" t="str">
        <f aca="false">IF(A543="","",COUNTIFS('Demo Pipeline'!$Q$5:$Q$504,A543,'Demo Pipeline'!$X$5:$X$504,"Yes"))</f>
        <v/>
      </c>
      <c r="BG543" s="33" t="str">
        <f aca="false">IF(A543="","",COUNTIFS('Demo Pipeline'!$Q$5:$Q$504,A543,'Demo Pipeline'!$Y$5:$Y$504,"Closed Won"))</f>
        <v/>
      </c>
      <c r="BH543" s="37" t="str">
        <f aca="false">IF(A543="","",SUMIFS('Demo Pipeline'!$Z$5:$Z$504,'Demo Pipeline'!$Q$5:$Q$504,A543))</f>
        <v/>
      </c>
      <c r="BI543" s="34" t="str">
        <f aca="false">IF(OR(AZ543="",N(AJ543)=0),"",AZ543/AJ543)</f>
        <v/>
      </c>
      <c r="BJ543" s="34" t="str">
        <f aca="false">IF(OR(BB543="",N(AZ543)=0),"",BB543/AZ543)</f>
        <v/>
      </c>
      <c r="BK543" s="34" t="str">
        <f aca="false">IF(OR(A543="",N(BB543)=0),"",BD543/BB543)</f>
        <v/>
      </c>
      <c r="BL543" s="34" t="str">
        <f aca="false">IF(OR(A543="",N(AZ543)=0),"",BD543/AZ543)</f>
        <v/>
      </c>
      <c r="BM543" s="37" t="str">
        <f aca="false">IF(OR(N(Q543)=0,N(BD543)=0),"",Q543/BD543)</f>
        <v/>
      </c>
      <c r="BN543" s="29"/>
      <c r="BO543" s="29"/>
      <c r="BP543" s="33" t="str">
        <f aca="false">IF(OR(AR543="",N(AO543)=0),"",AR543)</f>
        <v/>
      </c>
      <c r="BQ543" s="33" t="str">
        <f aca="false">IF(OR(AR543="",N(S543)=0),"",S543)</f>
        <v/>
      </c>
      <c r="BR543" s="38" t="str">
        <f aca="false">IF(AND(ISNUMBER(B543),B543&gt;=Dashboard!$C$4,B543&lt;=Dashboard!$F$4,ISNUMBER(AU543)),AU543+ROW()/10^9,"")</f>
        <v/>
      </c>
      <c r="BS543" s="38" t="str">
        <f aca="false">IF(AND(ISNUMBER(B543),B543&gt;=Dashboard!$C$4,B543&lt;=Dashboard!$F$4,A543&lt;&gt;""),N(BD543)+N(AU543)/100+ROW()/10^9,"")</f>
        <v/>
      </c>
    </row>
    <row r="544" customFormat="false" ht="15" hidden="false" customHeight="false" outlineLevel="0" collapsed="false">
      <c r="A544" s="24" t="str">
        <f aca="false">IF(OR(B544="",G544="",H544=""),"",IFERROR(INDEX(Settings!$E$5:$E$49,MATCH(G544,Settings!$D$5:$D$49,0))&amp;INDEX(Settings!$H$5:$H$47,MATCH(H544,Settings!$G$5:$G$47,0))&amp;"-"&amp;TEXT(B544,"yymmdd")&amp;"-"&amp;IF(C544="","0000",TEXT(C544,"hhmm")),"CHECK LISTS"))</f>
        <v/>
      </c>
      <c r="B544" s="39"/>
      <c r="C544" s="40"/>
      <c r="D544" s="24" t="str">
        <f aca="false">IF(B544="","",TEXT(B544,"ddd"))</f>
        <v/>
      </c>
      <c r="E544" s="27" t="str">
        <f aca="false">IF(B544="","",B544-WEEKDAY(B544,3))</f>
        <v/>
      </c>
      <c r="F544" s="24" t="str">
        <f aca="false">IF(B544="","",TEXT(B544,"yyyy-mm"))</f>
        <v/>
      </c>
      <c r="G544" s="29"/>
      <c r="H544" s="29"/>
      <c r="I544" s="29"/>
      <c r="J544" s="29"/>
      <c r="K544" s="29"/>
      <c r="L544" s="29"/>
      <c r="M544" s="29"/>
      <c r="N544" s="29"/>
      <c r="O544" s="29"/>
      <c r="P544" s="29"/>
      <c r="Q544" s="30"/>
      <c r="R544" s="29"/>
      <c r="S544" s="32"/>
      <c r="T544" s="29"/>
      <c r="U544" s="29"/>
      <c r="V544" s="24" t="str">
        <f aca="false">IF(A544="","",IFERROR(INDEX(Settings!$F$5:$F$49,MATCH(G544,Settings!$D$5:$D$49,0)),""))</f>
        <v/>
      </c>
      <c r="W544" s="24" t="str">
        <f aca="false">IF(A544="","",IF(OR(P544="",P544="Organic"),"social","paid_social"))</f>
        <v/>
      </c>
      <c r="X544" s="24" t="str">
        <f aca="false">IF(A544="","",IF(K544&lt;&gt;"",IFERROR(INDEX('Case Studies'!$C$5:$C$54,MATCH(K544,'Case Studies'!$B$5:$B$54,0))&amp;"","case-study"),IF(J544&lt;&gt;"",IFERROR(INDEX(Settings!$J$5:$J$55,MATCH(J544,Settings!$I$5:$I$55,0)),"general"),"general")))</f>
        <v/>
      </c>
      <c r="Y544" s="24" t="str">
        <f aca="false">IF(A544="","",LOWER(A544))</f>
        <v/>
      </c>
      <c r="Z544" s="24" t="str">
        <f aca="false">IF(A544="","",IF(T544="",Settings!$B$5,T544)&amp;IF(ISNUMBER(FIND("?",IF(T544="",Settings!$B$5,T544))),"&amp;","?")&amp;"utm_source="&amp;V544&amp;"&amp;utm_medium="&amp;W544&amp;"&amp;utm_campaign="&amp;X544&amp;"&amp;utm_content="&amp;Y544)</f>
        <v/>
      </c>
      <c r="AA544" s="29"/>
      <c r="AB544" s="39"/>
      <c r="AC544" s="32"/>
      <c r="AD544" s="32"/>
      <c r="AE544" s="32"/>
      <c r="AF544" s="32"/>
      <c r="AG544" s="32"/>
      <c r="AH544" s="32"/>
      <c r="AI544" s="32"/>
      <c r="AJ544" s="32"/>
      <c r="AK544" s="32"/>
      <c r="AL544" s="32"/>
      <c r="AM544" s="32"/>
      <c r="AN544" s="32"/>
      <c r="AO544" s="33" t="str">
        <f aca="false">IF(A544="","",IF(AD544&lt;&gt;"",AD544,IF(AC544&lt;&gt;"",AC544,"")))</f>
        <v/>
      </c>
      <c r="AP544" s="24" t="str">
        <f aca="false">IF(AO544="","",IF(AD544&lt;&gt;"","Reported reach","Impressions (proxy)"))</f>
        <v/>
      </c>
      <c r="AQ544" s="34" t="str">
        <f aca="false">IF(OR(AO544="",N(S544)=0),"",AO544/S544)</f>
        <v/>
      </c>
      <c r="AR544" s="33" t="str">
        <f aca="false">IF(A544="","",IF(COUNT(AF544:AJ544)=0,"",SUM(AF544:AJ544)))</f>
        <v/>
      </c>
      <c r="AS544" s="34" t="str">
        <f aca="false">IF(OR(AR544="",N(AO544)=0),"",AR544/AO544)</f>
        <v/>
      </c>
      <c r="AT544" s="34" t="str">
        <f aca="false">IF(OR(AR544="",N(AC544)=0),"",AR544/AC544)</f>
        <v/>
      </c>
      <c r="AU544" s="34" t="str">
        <f aca="false">IF(OR(AR544="",N(S544)=0),"",AR544/S544)</f>
        <v/>
      </c>
      <c r="AV544" s="34" t="str">
        <f aca="false">IF(OR(AJ544="",N(AC544)=0),"",AJ544/AC544)</f>
        <v/>
      </c>
      <c r="AW544" s="34" t="str">
        <f aca="false">IF(OR(AH544="",N(AO544)=0),"",AH544/AO544)</f>
        <v/>
      </c>
      <c r="AX544" s="35" t="str">
        <f aca="false">IF(OR(AR544="",N(AO544)=0),"",(N(AF544)*Settings!$B$6+N(AG544)*Settings!$B$7+N(AH544)*Settings!$B$8+N(AI544)*Settings!$B$9+N(AJ544)*Settings!$B$10)/AO544*1000)</f>
        <v/>
      </c>
      <c r="AY544" s="36" t="str">
        <f aca="false">IF(AS544="","",IFERROR(AS544/AVERAGEIFS('Post Tracker'!$AS$5:$AS$1004,'Post Tracker'!$G$5:$G$1004,G544),""))</f>
        <v/>
      </c>
      <c r="AZ544" s="32"/>
      <c r="BA544" s="32"/>
      <c r="BB544" s="32"/>
      <c r="BC544" s="32"/>
      <c r="BD544" s="33" t="str">
        <f aca="false">IF(A544="","",COUNTIFS('Demo Pipeline'!$Q$5:$Q$504,A544))</f>
        <v/>
      </c>
      <c r="BE544" s="33" t="str">
        <f aca="false">IF(A544="","",COUNTIFS('Demo Pipeline'!$Q$5:$Q$504,A544,'Demo Pipeline'!$W$5:$W$504,"Attended"))</f>
        <v/>
      </c>
      <c r="BF544" s="33" t="str">
        <f aca="false">IF(A544="","",COUNTIFS('Demo Pipeline'!$Q$5:$Q$504,A544,'Demo Pipeline'!$X$5:$X$504,"Yes"))</f>
        <v/>
      </c>
      <c r="BG544" s="33" t="str">
        <f aca="false">IF(A544="","",COUNTIFS('Demo Pipeline'!$Q$5:$Q$504,A544,'Demo Pipeline'!$Y$5:$Y$504,"Closed Won"))</f>
        <v/>
      </c>
      <c r="BH544" s="37" t="str">
        <f aca="false">IF(A544="","",SUMIFS('Demo Pipeline'!$Z$5:$Z$504,'Demo Pipeline'!$Q$5:$Q$504,A544))</f>
        <v/>
      </c>
      <c r="BI544" s="34" t="str">
        <f aca="false">IF(OR(AZ544="",N(AJ544)=0),"",AZ544/AJ544)</f>
        <v/>
      </c>
      <c r="BJ544" s="34" t="str">
        <f aca="false">IF(OR(BB544="",N(AZ544)=0),"",BB544/AZ544)</f>
        <v/>
      </c>
      <c r="BK544" s="34" t="str">
        <f aca="false">IF(OR(A544="",N(BB544)=0),"",BD544/BB544)</f>
        <v/>
      </c>
      <c r="BL544" s="34" t="str">
        <f aca="false">IF(OR(A544="",N(AZ544)=0),"",BD544/AZ544)</f>
        <v/>
      </c>
      <c r="BM544" s="37" t="str">
        <f aca="false">IF(OR(N(Q544)=0,N(BD544)=0),"",Q544/BD544)</f>
        <v/>
      </c>
      <c r="BN544" s="29"/>
      <c r="BO544" s="29"/>
      <c r="BP544" s="33" t="str">
        <f aca="false">IF(OR(AR544="",N(AO544)=0),"",AR544)</f>
        <v/>
      </c>
      <c r="BQ544" s="33" t="str">
        <f aca="false">IF(OR(AR544="",N(S544)=0),"",S544)</f>
        <v/>
      </c>
      <c r="BR544" s="38" t="str">
        <f aca="false">IF(AND(ISNUMBER(B544),B544&gt;=Dashboard!$C$4,B544&lt;=Dashboard!$F$4,ISNUMBER(AU544)),AU544+ROW()/10^9,"")</f>
        <v/>
      </c>
      <c r="BS544" s="38" t="str">
        <f aca="false">IF(AND(ISNUMBER(B544),B544&gt;=Dashboard!$C$4,B544&lt;=Dashboard!$F$4,A544&lt;&gt;""),N(BD544)+N(AU544)/100+ROW()/10^9,"")</f>
        <v/>
      </c>
    </row>
    <row r="545" customFormat="false" ht="15" hidden="false" customHeight="false" outlineLevel="0" collapsed="false">
      <c r="A545" s="24" t="str">
        <f aca="false">IF(OR(B545="",G545="",H545=""),"",IFERROR(INDEX(Settings!$E$5:$E$49,MATCH(G545,Settings!$D$5:$D$49,0))&amp;INDEX(Settings!$H$5:$H$47,MATCH(H545,Settings!$G$5:$G$47,0))&amp;"-"&amp;TEXT(B545,"yymmdd")&amp;"-"&amp;IF(C545="","0000",TEXT(C545,"hhmm")),"CHECK LISTS"))</f>
        <v/>
      </c>
      <c r="B545" s="39"/>
      <c r="C545" s="40"/>
      <c r="D545" s="24" t="str">
        <f aca="false">IF(B545="","",TEXT(B545,"ddd"))</f>
        <v/>
      </c>
      <c r="E545" s="27" t="str">
        <f aca="false">IF(B545="","",B545-WEEKDAY(B545,3))</f>
        <v/>
      </c>
      <c r="F545" s="24" t="str">
        <f aca="false">IF(B545="","",TEXT(B545,"yyyy-mm"))</f>
        <v/>
      </c>
      <c r="G545" s="29"/>
      <c r="H545" s="29"/>
      <c r="I545" s="29"/>
      <c r="J545" s="29"/>
      <c r="K545" s="29"/>
      <c r="L545" s="29"/>
      <c r="M545" s="29"/>
      <c r="N545" s="29"/>
      <c r="O545" s="29"/>
      <c r="P545" s="29"/>
      <c r="Q545" s="30"/>
      <c r="R545" s="29"/>
      <c r="S545" s="32"/>
      <c r="T545" s="29"/>
      <c r="U545" s="29"/>
      <c r="V545" s="24" t="str">
        <f aca="false">IF(A545="","",IFERROR(INDEX(Settings!$F$5:$F$49,MATCH(G545,Settings!$D$5:$D$49,0)),""))</f>
        <v/>
      </c>
      <c r="W545" s="24" t="str">
        <f aca="false">IF(A545="","",IF(OR(P545="",P545="Organic"),"social","paid_social"))</f>
        <v/>
      </c>
      <c r="X545" s="24" t="str">
        <f aca="false">IF(A545="","",IF(K545&lt;&gt;"",IFERROR(INDEX('Case Studies'!$C$5:$C$54,MATCH(K545,'Case Studies'!$B$5:$B$54,0))&amp;"","case-study"),IF(J545&lt;&gt;"",IFERROR(INDEX(Settings!$J$5:$J$55,MATCH(J545,Settings!$I$5:$I$55,0)),"general"),"general")))</f>
        <v/>
      </c>
      <c r="Y545" s="24" t="str">
        <f aca="false">IF(A545="","",LOWER(A545))</f>
        <v/>
      </c>
      <c r="Z545" s="24" t="str">
        <f aca="false">IF(A545="","",IF(T545="",Settings!$B$5,T545)&amp;IF(ISNUMBER(FIND("?",IF(T545="",Settings!$B$5,T545))),"&amp;","?")&amp;"utm_source="&amp;V545&amp;"&amp;utm_medium="&amp;W545&amp;"&amp;utm_campaign="&amp;X545&amp;"&amp;utm_content="&amp;Y545)</f>
        <v/>
      </c>
      <c r="AA545" s="29"/>
      <c r="AB545" s="39"/>
      <c r="AC545" s="32"/>
      <c r="AD545" s="32"/>
      <c r="AE545" s="32"/>
      <c r="AF545" s="32"/>
      <c r="AG545" s="32"/>
      <c r="AH545" s="32"/>
      <c r="AI545" s="32"/>
      <c r="AJ545" s="32"/>
      <c r="AK545" s="32"/>
      <c r="AL545" s="32"/>
      <c r="AM545" s="32"/>
      <c r="AN545" s="32"/>
      <c r="AO545" s="33" t="str">
        <f aca="false">IF(A545="","",IF(AD545&lt;&gt;"",AD545,IF(AC545&lt;&gt;"",AC545,"")))</f>
        <v/>
      </c>
      <c r="AP545" s="24" t="str">
        <f aca="false">IF(AO545="","",IF(AD545&lt;&gt;"","Reported reach","Impressions (proxy)"))</f>
        <v/>
      </c>
      <c r="AQ545" s="34" t="str">
        <f aca="false">IF(OR(AO545="",N(S545)=0),"",AO545/S545)</f>
        <v/>
      </c>
      <c r="AR545" s="33" t="str">
        <f aca="false">IF(A545="","",IF(COUNT(AF545:AJ545)=0,"",SUM(AF545:AJ545)))</f>
        <v/>
      </c>
      <c r="AS545" s="34" t="str">
        <f aca="false">IF(OR(AR545="",N(AO545)=0),"",AR545/AO545)</f>
        <v/>
      </c>
      <c r="AT545" s="34" t="str">
        <f aca="false">IF(OR(AR545="",N(AC545)=0),"",AR545/AC545)</f>
        <v/>
      </c>
      <c r="AU545" s="34" t="str">
        <f aca="false">IF(OR(AR545="",N(S545)=0),"",AR545/S545)</f>
        <v/>
      </c>
      <c r="AV545" s="34" t="str">
        <f aca="false">IF(OR(AJ545="",N(AC545)=0),"",AJ545/AC545)</f>
        <v/>
      </c>
      <c r="AW545" s="34" t="str">
        <f aca="false">IF(OR(AH545="",N(AO545)=0),"",AH545/AO545)</f>
        <v/>
      </c>
      <c r="AX545" s="35" t="str">
        <f aca="false">IF(OR(AR545="",N(AO545)=0),"",(N(AF545)*Settings!$B$6+N(AG545)*Settings!$B$7+N(AH545)*Settings!$B$8+N(AI545)*Settings!$B$9+N(AJ545)*Settings!$B$10)/AO545*1000)</f>
        <v/>
      </c>
      <c r="AY545" s="36" t="str">
        <f aca="false">IF(AS545="","",IFERROR(AS545/AVERAGEIFS('Post Tracker'!$AS$5:$AS$1004,'Post Tracker'!$G$5:$G$1004,G545),""))</f>
        <v/>
      </c>
      <c r="AZ545" s="32"/>
      <c r="BA545" s="32"/>
      <c r="BB545" s="32"/>
      <c r="BC545" s="32"/>
      <c r="BD545" s="33" t="str">
        <f aca="false">IF(A545="","",COUNTIFS('Demo Pipeline'!$Q$5:$Q$504,A545))</f>
        <v/>
      </c>
      <c r="BE545" s="33" t="str">
        <f aca="false">IF(A545="","",COUNTIFS('Demo Pipeline'!$Q$5:$Q$504,A545,'Demo Pipeline'!$W$5:$W$504,"Attended"))</f>
        <v/>
      </c>
      <c r="BF545" s="33" t="str">
        <f aca="false">IF(A545="","",COUNTIFS('Demo Pipeline'!$Q$5:$Q$504,A545,'Demo Pipeline'!$X$5:$X$504,"Yes"))</f>
        <v/>
      </c>
      <c r="BG545" s="33" t="str">
        <f aca="false">IF(A545="","",COUNTIFS('Demo Pipeline'!$Q$5:$Q$504,A545,'Demo Pipeline'!$Y$5:$Y$504,"Closed Won"))</f>
        <v/>
      </c>
      <c r="BH545" s="37" t="str">
        <f aca="false">IF(A545="","",SUMIFS('Demo Pipeline'!$Z$5:$Z$504,'Demo Pipeline'!$Q$5:$Q$504,A545))</f>
        <v/>
      </c>
      <c r="BI545" s="34" t="str">
        <f aca="false">IF(OR(AZ545="",N(AJ545)=0),"",AZ545/AJ545)</f>
        <v/>
      </c>
      <c r="BJ545" s="34" t="str">
        <f aca="false">IF(OR(BB545="",N(AZ545)=0),"",BB545/AZ545)</f>
        <v/>
      </c>
      <c r="BK545" s="34" t="str">
        <f aca="false">IF(OR(A545="",N(BB545)=0),"",BD545/BB545)</f>
        <v/>
      </c>
      <c r="BL545" s="34" t="str">
        <f aca="false">IF(OR(A545="",N(AZ545)=0),"",BD545/AZ545)</f>
        <v/>
      </c>
      <c r="BM545" s="37" t="str">
        <f aca="false">IF(OR(N(Q545)=0,N(BD545)=0),"",Q545/BD545)</f>
        <v/>
      </c>
      <c r="BN545" s="29"/>
      <c r="BO545" s="29"/>
      <c r="BP545" s="33" t="str">
        <f aca="false">IF(OR(AR545="",N(AO545)=0),"",AR545)</f>
        <v/>
      </c>
      <c r="BQ545" s="33" t="str">
        <f aca="false">IF(OR(AR545="",N(S545)=0),"",S545)</f>
        <v/>
      </c>
      <c r="BR545" s="38" t="str">
        <f aca="false">IF(AND(ISNUMBER(B545),B545&gt;=Dashboard!$C$4,B545&lt;=Dashboard!$F$4,ISNUMBER(AU545)),AU545+ROW()/10^9,"")</f>
        <v/>
      </c>
      <c r="BS545" s="38" t="str">
        <f aca="false">IF(AND(ISNUMBER(B545),B545&gt;=Dashboard!$C$4,B545&lt;=Dashboard!$F$4,A545&lt;&gt;""),N(BD545)+N(AU545)/100+ROW()/10^9,"")</f>
        <v/>
      </c>
    </row>
    <row r="546" customFormat="false" ht="15" hidden="false" customHeight="false" outlineLevel="0" collapsed="false">
      <c r="A546" s="24" t="str">
        <f aca="false">IF(OR(B546="",G546="",H546=""),"",IFERROR(INDEX(Settings!$E$5:$E$49,MATCH(G546,Settings!$D$5:$D$49,0))&amp;INDEX(Settings!$H$5:$H$47,MATCH(H546,Settings!$G$5:$G$47,0))&amp;"-"&amp;TEXT(B546,"yymmdd")&amp;"-"&amp;IF(C546="","0000",TEXT(C546,"hhmm")),"CHECK LISTS"))</f>
        <v/>
      </c>
      <c r="B546" s="39"/>
      <c r="C546" s="40"/>
      <c r="D546" s="24" t="str">
        <f aca="false">IF(B546="","",TEXT(B546,"ddd"))</f>
        <v/>
      </c>
      <c r="E546" s="27" t="str">
        <f aca="false">IF(B546="","",B546-WEEKDAY(B546,3))</f>
        <v/>
      </c>
      <c r="F546" s="24" t="str">
        <f aca="false">IF(B546="","",TEXT(B546,"yyyy-mm"))</f>
        <v/>
      </c>
      <c r="G546" s="29"/>
      <c r="H546" s="29"/>
      <c r="I546" s="29"/>
      <c r="J546" s="29"/>
      <c r="K546" s="29"/>
      <c r="L546" s="29"/>
      <c r="M546" s="29"/>
      <c r="N546" s="29"/>
      <c r="O546" s="29"/>
      <c r="P546" s="29"/>
      <c r="Q546" s="30"/>
      <c r="R546" s="29"/>
      <c r="S546" s="32"/>
      <c r="T546" s="29"/>
      <c r="U546" s="29"/>
      <c r="V546" s="24" t="str">
        <f aca="false">IF(A546="","",IFERROR(INDEX(Settings!$F$5:$F$49,MATCH(G546,Settings!$D$5:$D$49,0)),""))</f>
        <v/>
      </c>
      <c r="W546" s="24" t="str">
        <f aca="false">IF(A546="","",IF(OR(P546="",P546="Organic"),"social","paid_social"))</f>
        <v/>
      </c>
      <c r="X546" s="24" t="str">
        <f aca="false">IF(A546="","",IF(K546&lt;&gt;"",IFERROR(INDEX('Case Studies'!$C$5:$C$54,MATCH(K546,'Case Studies'!$B$5:$B$54,0))&amp;"","case-study"),IF(J546&lt;&gt;"",IFERROR(INDEX(Settings!$J$5:$J$55,MATCH(J546,Settings!$I$5:$I$55,0)),"general"),"general")))</f>
        <v/>
      </c>
      <c r="Y546" s="24" t="str">
        <f aca="false">IF(A546="","",LOWER(A546))</f>
        <v/>
      </c>
      <c r="Z546" s="24" t="str">
        <f aca="false">IF(A546="","",IF(T546="",Settings!$B$5,T546)&amp;IF(ISNUMBER(FIND("?",IF(T546="",Settings!$B$5,T546))),"&amp;","?")&amp;"utm_source="&amp;V546&amp;"&amp;utm_medium="&amp;W546&amp;"&amp;utm_campaign="&amp;X546&amp;"&amp;utm_content="&amp;Y546)</f>
        <v/>
      </c>
      <c r="AA546" s="29"/>
      <c r="AB546" s="39"/>
      <c r="AC546" s="32"/>
      <c r="AD546" s="32"/>
      <c r="AE546" s="32"/>
      <c r="AF546" s="32"/>
      <c r="AG546" s="32"/>
      <c r="AH546" s="32"/>
      <c r="AI546" s="32"/>
      <c r="AJ546" s="32"/>
      <c r="AK546" s="32"/>
      <c r="AL546" s="32"/>
      <c r="AM546" s="32"/>
      <c r="AN546" s="32"/>
      <c r="AO546" s="33" t="str">
        <f aca="false">IF(A546="","",IF(AD546&lt;&gt;"",AD546,IF(AC546&lt;&gt;"",AC546,"")))</f>
        <v/>
      </c>
      <c r="AP546" s="24" t="str">
        <f aca="false">IF(AO546="","",IF(AD546&lt;&gt;"","Reported reach","Impressions (proxy)"))</f>
        <v/>
      </c>
      <c r="AQ546" s="34" t="str">
        <f aca="false">IF(OR(AO546="",N(S546)=0),"",AO546/S546)</f>
        <v/>
      </c>
      <c r="AR546" s="33" t="str">
        <f aca="false">IF(A546="","",IF(COUNT(AF546:AJ546)=0,"",SUM(AF546:AJ546)))</f>
        <v/>
      </c>
      <c r="AS546" s="34" t="str">
        <f aca="false">IF(OR(AR546="",N(AO546)=0),"",AR546/AO546)</f>
        <v/>
      </c>
      <c r="AT546" s="34" t="str">
        <f aca="false">IF(OR(AR546="",N(AC546)=0),"",AR546/AC546)</f>
        <v/>
      </c>
      <c r="AU546" s="34" t="str">
        <f aca="false">IF(OR(AR546="",N(S546)=0),"",AR546/S546)</f>
        <v/>
      </c>
      <c r="AV546" s="34" t="str">
        <f aca="false">IF(OR(AJ546="",N(AC546)=0),"",AJ546/AC546)</f>
        <v/>
      </c>
      <c r="AW546" s="34" t="str">
        <f aca="false">IF(OR(AH546="",N(AO546)=0),"",AH546/AO546)</f>
        <v/>
      </c>
      <c r="AX546" s="35" t="str">
        <f aca="false">IF(OR(AR546="",N(AO546)=0),"",(N(AF546)*Settings!$B$6+N(AG546)*Settings!$B$7+N(AH546)*Settings!$B$8+N(AI546)*Settings!$B$9+N(AJ546)*Settings!$B$10)/AO546*1000)</f>
        <v/>
      </c>
      <c r="AY546" s="36" t="str">
        <f aca="false">IF(AS546="","",IFERROR(AS546/AVERAGEIFS('Post Tracker'!$AS$5:$AS$1004,'Post Tracker'!$G$5:$G$1004,G546),""))</f>
        <v/>
      </c>
      <c r="AZ546" s="32"/>
      <c r="BA546" s="32"/>
      <c r="BB546" s="32"/>
      <c r="BC546" s="32"/>
      <c r="BD546" s="33" t="str">
        <f aca="false">IF(A546="","",COUNTIFS('Demo Pipeline'!$Q$5:$Q$504,A546))</f>
        <v/>
      </c>
      <c r="BE546" s="33" t="str">
        <f aca="false">IF(A546="","",COUNTIFS('Demo Pipeline'!$Q$5:$Q$504,A546,'Demo Pipeline'!$W$5:$W$504,"Attended"))</f>
        <v/>
      </c>
      <c r="BF546" s="33" t="str">
        <f aca="false">IF(A546="","",COUNTIFS('Demo Pipeline'!$Q$5:$Q$504,A546,'Demo Pipeline'!$X$5:$X$504,"Yes"))</f>
        <v/>
      </c>
      <c r="BG546" s="33" t="str">
        <f aca="false">IF(A546="","",COUNTIFS('Demo Pipeline'!$Q$5:$Q$504,A546,'Demo Pipeline'!$Y$5:$Y$504,"Closed Won"))</f>
        <v/>
      </c>
      <c r="BH546" s="37" t="str">
        <f aca="false">IF(A546="","",SUMIFS('Demo Pipeline'!$Z$5:$Z$504,'Demo Pipeline'!$Q$5:$Q$504,A546))</f>
        <v/>
      </c>
      <c r="BI546" s="34" t="str">
        <f aca="false">IF(OR(AZ546="",N(AJ546)=0),"",AZ546/AJ546)</f>
        <v/>
      </c>
      <c r="BJ546" s="34" t="str">
        <f aca="false">IF(OR(BB546="",N(AZ546)=0),"",BB546/AZ546)</f>
        <v/>
      </c>
      <c r="BK546" s="34" t="str">
        <f aca="false">IF(OR(A546="",N(BB546)=0),"",BD546/BB546)</f>
        <v/>
      </c>
      <c r="BL546" s="34" t="str">
        <f aca="false">IF(OR(A546="",N(AZ546)=0),"",BD546/AZ546)</f>
        <v/>
      </c>
      <c r="BM546" s="37" t="str">
        <f aca="false">IF(OR(N(Q546)=0,N(BD546)=0),"",Q546/BD546)</f>
        <v/>
      </c>
      <c r="BN546" s="29"/>
      <c r="BO546" s="29"/>
      <c r="BP546" s="33" t="str">
        <f aca="false">IF(OR(AR546="",N(AO546)=0),"",AR546)</f>
        <v/>
      </c>
      <c r="BQ546" s="33" t="str">
        <f aca="false">IF(OR(AR546="",N(S546)=0),"",S546)</f>
        <v/>
      </c>
      <c r="BR546" s="38" t="str">
        <f aca="false">IF(AND(ISNUMBER(B546),B546&gt;=Dashboard!$C$4,B546&lt;=Dashboard!$F$4,ISNUMBER(AU546)),AU546+ROW()/10^9,"")</f>
        <v/>
      </c>
      <c r="BS546" s="38" t="str">
        <f aca="false">IF(AND(ISNUMBER(B546),B546&gt;=Dashboard!$C$4,B546&lt;=Dashboard!$F$4,A546&lt;&gt;""),N(BD546)+N(AU546)/100+ROW()/10^9,"")</f>
        <v/>
      </c>
    </row>
    <row r="547" customFormat="false" ht="15" hidden="false" customHeight="false" outlineLevel="0" collapsed="false">
      <c r="A547" s="24" t="str">
        <f aca="false">IF(OR(B547="",G547="",H547=""),"",IFERROR(INDEX(Settings!$E$5:$E$49,MATCH(G547,Settings!$D$5:$D$49,0))&amp;INDEX(Settings!$H$5:$H$47,MATCH(H547,Settings!$G$5:$G$47,0))&amp;"-"&amp;TEXT(B547,"yymmdd")&amp;"-"&amp;IF(C547="","0000",TEXT(C547,"hhmm")),"CHECK LISTS"))</f>
        <v/>
      </c>
      <c r="B547" s="39"/>
      <c r="C547" s="40"/>
      <c r="D547" s="24" t="str">
        <f aca="false">IF(B547="","",TEXT(B547,"ddd"))</f>
        <v/>
      </c>
      <c r="E547" s="27" t="str">
        <f aca="false">IF(B547="","",B547-WEEKDAY(B547,3))</f>
        <v/>
      </c>
      <c r="F547" s="24" t="str">
        <f aca="false">IF(B547="","",TEXT(B547,"yyyy-mm"))</f>
        <v/>
      </c>
      <c r="G547" s="29"/>
      <c r="H547" s="29"/>
      <c r="I547" s="29"/>
      <c r="J547" s="29"/>
      <c r="K547" s="29"/>
      <c r="L547" s="29"/>
      <c r="M547" s="29"/>
      <c r="N547" s="29"/>
      <c r="O547" s="29"/>
      <c r="P547" s="29"/>
      <c r="Q547" s="30"/>
      <c r="R547" s="29"/>
      <c r="S547" s="32"/>
      <c r="T547" s="29"/>
      <c r="U547" s="29"/>
      <c r="V547" s="24" t="str">
        <f aca="false">IF(A547="","",IFERROR(INDEX(Settings!$F$5:$F$49,MATCH(G547,Settings!$D$5:$D$49,0)),""))</f>
        <v/>
      </c>
      <c r="W547" s="24" t="str">
        <f aca="false">IF(A547="","",IF(OR(P547="",P547="Organic"),"social","paid_social"))</f>
        <v/>
      </c>
      <c r="X547" s="24" t="str">
        <f aca="false">IF(A547="","",IF(K547&lt;&gt;"",IFERROR(INDEX('Case Studies'!$C$5:$C$54,MATCH(K547,'Case Studies'!$B$5:$B$54,0))&amp;"","case-study"),IF(J547&lt;&gt;"",IFERROR(INDEX(Settings!$J$5:$J$55,MATCH(J547,Settings!$I$5:$I$55,0)),"general"),"general")))</f>
        <v/>
      </c>
      <c r="Y547" s="24" t="str">
        <f aca="false">IF(A547="","",LOWER(A547))</f>
        <v/>
      </c>
      <c r="Z547" s="24" t="str">
        <f aca="false">IF(A547="","",IF(T547="",Settings!$B$5,T547)&amp;IF(ISNUMBER(FIND("?",IF(T547="",Settings!$B$5,T547))),"&amp;","?")&amp;"utm_source="&amp;V547&amp;"&amp;utm_medium="&amp;W547&amp;"&amp;utm_campaign="&amp;X547&amp;"&amp;utm_content="&amp;Y547)</f>
        <v/>
      </c>
      <c r="AA547" s="29"/>
      <c r="AB547" s="39"/>
      <c r="AC547" s="32"/>
      <c r="AD547" s="32"/>
      <c r="AE547" s="32"/>
      <c r="AF547" s="32"/>
      <c r="AG547" s="32"/>
      <c r="AH547" s="32"/>
      <c r="AI547" s="32"/>
      <c r="AJ547" s="32"/>
      <c r="AK547" s="32"/>
      <c r="AL547" s="32"/>
      <c r="AM547" s="32"/>
      <c r="AN547" s="32"/>
      <c r="AO547" s="33" t="str">
        <f aca="false">IF(A547="","",IF(AD547&lt;&gt;"",AD547,IF(AC547&lt;&gt;"",AC547,"")))</f>
        <v/>
      </c>
      <c r="AP547" s="24" t="str">
        <f aca="false">IF(AO547="","",IF(AD547&lt;&gt;"","Reported reach","Impressions (proxy)"))</f>
        <v/>
      </c>
      <c r="AQ547" s="34" t="str">
        <f aca="false">IF(OR(AO547="",N(S547)=0),"",AO547/S547)</f>
        <v/>
      </c>
      <c r="AR547" s="33" t="str">
        <f aca="false">IF(A547="","",IF(COUNT(AF547:AJ547)=0,"",SUM(AF547:AJ547)))</f>
        <v/>
      </c>
      <c r="AS547" s="34" t="str">
        <f aca="false">IF(OR(AR547="",N(AO547)=0),"",AR547/AO547)</f>
        <v/>
      </c>
      <c r="AT547" s="34" t="str">
        <f aca="false">IF(OR(AR547="",N(AC547)=0),"",AR547/AC547)</f>
        <v/>
      </c>
      <c r="AU547" s="34" t="str">
        <f aca="false">IF(OR(AR547="",N(S547)=0),"",AR547/S547)</f>
        <v/>
      </c>
      <c r="AV547" s="34" t="str">
        <f aca="false">IF(OR(AJ547="",N(AC547)=0),"",AJ547/AC547)</f>
        <v/>
      </c>
      <c r="AW547" s="34" t="str">
        <f aca="false">IF(OR(AH547="",N(AO547)=0),"",AH547/AO547)</f>
        <v/>
      </c>
      <c r="AX547" s="35" t="str">
        <f aca="false">IF(OR(AR547="",N(AO547)=0),"",(N(AF547)*Settings!$B$6+N(AG547)*Settings!$B$7+N(AH547)*Settings!$B$8+N(AI547)*Settings!$B$9+N(AJ547)*Settings!$B$10)/AO547*1000)</f>
        <v/>
      </c>
      <c r="AY547" s="36" t="str">
        <f aca="false">IF(AS547="","",IFERROR(AS547/AVERAGEIFS('Post Tracker'!$AS$5:$AS$1004,'Post Tracker'!$G$5:$G$1004,G547),""))</f>
        <v/>
      </c>
      <c r="AZ547" s="32"/>
      <c r="BA547" s="32"/>
      <c r="BB547" s="32"/>
      <c r="BC547" s="32"/>
      <c r="BD547" s="33" t="str">
        <f aca="false">IF(A547="","",COUNTIFS('Demo Pipeline'!$Q$5:$Q$504,A547))</f>
        <v/>
      </c>
      <c r="BE547" s="33" t="str">
        <f aca="false">IF(A547="","",COUNTIFS('Demo Pipeline'!$Q$5:$Q$504,A547,'Demo Pipeline'!$W$5:$W$504,"Attended"))</f>
        <v/>
      </c>
      <c r="BF547" s="33" t="str">
        <f aca="false">IF(A547="","",COUNTIFS('Demo Pipeline'!$Q$5:$Q$504,A547,'Demo Pipeline'!$X$5:$X$504,"Yes"))</f>
        <v/>
      </c>
      <c r="BG547" s="33" t="str">
        <f aca="false">IF(A547="","",COUNTIFS('Demo Pipeline'!$Q$5:$Q$504,A547,'Demo Pipeline'!$Y$5:$Y$504,"Closed Won"))</f>
        <v/>
      </c>
      <c r="BH547" s="37" t="str">
        <f aca="false">IF(A547="","",SUMIFS('Demo Pipeline'!$Z$5:$Z$504,'Demo Pipeline'!$Q$5:$Q$504,A547))</f>
        <v/>
      </c>
      <c r="BI547" s="34" t="str">
        <f aca="false">IF(OR(AZ547="",N(AJ547)=0),"",AZ547/AJ547)</f>
        <v/>
      </c>
      <c r="BJ547" s="34" t="str">
        <f aca="false">IF(OR(BB547="",N(AZ547)=0),"",BB547/AZ547)</f>
        <v/>
      </c>
      <c r="BK547" s="34" t="str">
        <f aca="false">IF(OR(A547="",N(BB547)=0),"",BD547/BB547)</f>
        <v/>
      </c>
      <c r="BL547" s="34" t="str">
        <f aca="false">IF(OR(A547="",N(AZ547)=0),"",BD547/AZ547)</f>
        <v/>
      </c>
      <c r="BM547" s="37" t="str">
        <f aca="false">IF(OR(N(Q547)=0,N(BD547)=0),"",Q547/BD547)</f>
        <v/>
      </c>
      <c r="BN547" s="29"/>
      <c r="BO547" s="29"/>
      <c r="BP547" s="33" t="str">
        <f aca="false">IF(OR(AR547="",N(AO547)=0),"",AR547)</f>
        <v/>
      </c>
      <c r="BQ547" s="33" t="str">
        <f aca="false">IF(OR(AR547="",N(S547)=0),"",S547)</f>
        <v/>
      </c>
      <c r="BR547" s="38" t="str">
        <f aca="false">IF(AND(ISNUMBER(B547),B547&gt;=Dashboard!$C$4,B547&lt;=Dashboard!$F$4,ISNUMBER(AU547)),AU547+ROW()/10^9,"")</f>
        <v/>
      </c>
      <c r="BS547" s="38" t="str">
        <f aca="false">IF(AND(ISNUMBER(B547),B547&gt;=Dashboard!$C$4,B547&lt;=Dashboard!$F$4,A547&lt;&gt;""),N(BD547)+N(AU547)/100+ROW()/10^9,"")</f>
        <v/>
      </c>
    </row>
    <row r="548" customFormat="false" ht="15" hidden="false" customHeight="false" outlineLevel="0" collapsed="false">
      <c r="A548" s="24" t="str">
        <f aca="false">IF(OR(B548="",G548="",H548=""),"",IFERROR(INDEX(Settings!$E$5:$E$49,MATCH(G548,Settings!$D$5:$D$49,0))&amp;INDEX(Settings!$H$5:$H$47,MATCH(H548,Settings!$G$5:$G$47,0))&amp;"-"&amp;TEXT(B548,"yymmdd")&amp;"-"&amp;IF(C548="","0000",TEXT(C548,"hhmm")),"CHECK LISTS"))</f>
        <v/>
      </c>
      <c r="B548" s="39"/>
      <c r="C548" s="40"/>
      <c r="D548" s="24" t="str">
        <f aca="false">IF(B548="","",TEXT(B548,"ddd"))</f>
        <v/>
      </c>
      <c r="E548" s="27" t="str">
        <f aca="false">IF(B548="","",B548-WEEKDAY(B548,3))</f>
        <v/>
      </c>
      <c r="F548" s="24" t="str">
        <f aca="false">IF(B548="","",TEXT(B548,"yyyy-mm"))</f>
        <v/>
      </c>
      <c r="G548" s="29"/>
      <c r="H548" s="29"/>
      <c r="I548" s="29"/>
      <c r="J548" s="29"/>
      <c r="K548" s="29"/>
      <c r="L548" s="29"/>
      <c r="M548" s="29"/>
      <c r="N548" s="29"/>
      <c r="O548" s="29"/>
      <c r="P548" s="29"/>
      <c r="Q548" s="30"/>
      <c r="R548" s="29"/>
      <c r="S548" s="32"/>
      <c r="T548" s="29"/>
      <c r="U548" s="29"/>
      <c r="V548" s="24" t="str">
        <f aca="false">IF(A548="","",IFERROR(INDEX(Settings!$F$5:$F$49,MATCH(G548,Settings!$D$5:$D$49,0)),""))</f>
        <v/>
      </c>
      <c r="W548" s="24" t="str">
        <f aca="false">IF(A548="","",IF(OR(P548="",P548="Organic"),"social","paid_social"))</f>
        <v/>
      </c>
      <c r="X548" s="24" t="str">
        <f aca="false">IF(A548="","",IF(K548&lt;&gt;"",IFERROR(INDEX('Case Studies'!$C$5:$C$54,MATCH(K548,'Case Studies'!$B$5:$B$54,0))&amp;"","case-study"),IF(J548&lt;&gt;"",IFERROR(INDEX(Settings!$J$5:$J$55,MATCH(J548,Settings!$I$5:$I$55,0)),"general"),"general")))</f>
        <v/>
      </c>
      <c r="Y548" s="24" t="str">
        <f aca="false">IF(A548="","",LOWER(A548))</f>
        <v/>
      </c>
      <c r="Z548" s="24" t="str">
        <f aca="false">IF(A548="","",IF(T548="",Settings!$B$5,T548)&amp;IF(ISNUMBER(FIND("?",IF(T548="",Settings!$B$5,T548))),"&amp;","?")&amp;"utm_source="&amp;V548&amp;"&amp;utm_medium="&amp;W548&amp;"&amp;utm_campaign="&amp;X548&amp;"&amp;utm_content="&amp;Y548)</f>
        <v/>
      </c>
      <c r="AA548" s="29"/>
      <c r="AB548" s="39"/>
      <c r="AC548" s="32"/>
      <c r="AD548" s="32"/>
      <c r="AE548" s="32"/>
      <c r="AF548" s="32"/>
      <c r="AG548" s="32"/>
      <c r="AH548" s="32"/>
      <c r="AI548" s="32"/>
      <c r="AJ548" s="32"/>
      <c r="AK548" s="32"/>
      <c r="AL548" s="32"/>
      <c r="AM548" s="32"/>
      <c r="AN548" s="32"/>
      <c r="AO548" s="33" t="str">
        <f aca="false">IF(A548="","",IF(AD548&lt;&gt;"",AD548,IF(AC548&lt;&gt;"",AC548,"")))</f>
        <v/>
      </c>
      <c r="AP548" s="24" t="str">
        <f aca="false">IF(AO548="","",IF(AD548&lt;&gt;"","Reported reach","Impressions (proxy)"))</f>
        <v/>
      </c>
      <c r="AQ548" s="34" t="str">
        <f aca="false">IF(OR(AO548="",N(S548)=0),"",AO548/S548)</f>
        <v/>
      </c>
      <c r="AR548" s="33" t="str">
        <f aca="false">IF(A548="","",IF(COUNT(AF548:AJ548)=0,"",SUM(AF548:AJ548)))</f>
        <v/>
      </c>
      <c r="AS548" s="34" t="str">
        <f aca="false">IF(OR(AR548="",N(AO548)=0),"",AR548/AO548)</f>
        <v/>
      </c>
      <c r="AT548" s="34" t="str">
        <f aca="false">IF(OR(AR548="",N(AC548)=0),"",AR548/AC548)</f>
        <v/>
      </c>
      <c r="AU548" s="34" t="str">
        <f aca="false">IF(OR(AR548="",N(S548)=0),"",AR548/S548)</f>
        <v/>
      </c>
      <c r="AV548" s="34" t="str">
        <f aca="false">IF(OR(AJ548="",N(AC548)=0),"",AJ548/AC548)</f>
        <v/>
      </c>
      <c r="AW548" s="34" t="str">
        <f aca="false">IF(OR(AH548="",N(AO548)=0),"",AH548/AO548)</f>
        <v/>
      </c>
      <c r="AX548" s="35" t="str">
        <f aca="false">IF(OR(AR548="",N(AO548)=0),"",(N(AF548)*Settings!$B$6+N(AG548)*Settings!$B$7+N(AH548)*Settings!$B$8+N(AI548)*Settings!$B$9+N(AJ548)*Settings!$B$10)/AO548*1000)</f>
        <v/>
      </c>
      <c r="AY548" s="36" t="str">
        <f aca="false">IF(AS548="","",IFERROR(AS548/AVERAGEIFS('Post Tracker'!$AS$5:$AS$1004,'Post Tracker'!$G$5:$G$1004,G548),""))</f>
        <v/>
      </c>
      <c r="AZ548" s="32"/>
      <c r="BA548" s="32"/>
      <c r="BB548" s="32"/>
      <c r="BC548" s="32"/>
      <c r="BD548" s="33" t="str">
        <f aca="false">IF(A548="","",COUNTIFS('Demo Pipeline'!$Q$5:$Q$504,A548))</f>
        <v/>
      </c>
      <c r="BE548" s="33" t="str">
        <f aca="false">IF(A548="","",COUNTIFS('Demo Pipeline'!$Q$5:$Q$504,A548,'Demo Pipeline'!$W$5:$W$504,"Attended"))</f>
        <v/>
      </c>
      <c r="BF548" s="33" t="str">
        <f aca="false">IF(A548="","",COUNTIFS('Demo Pipeline'!$Q$5:$Q$504,A548,'Demo Pipeline'!$X$5:$X$504,"Yes"))</f>
        <v/>
      </c>
      <c r="BG548" s="33" t="str">
        <f aca="false">IF(A548="","",COUNTIFS('Demo Pipeline'!$Q$5:$Q$504,A548,'Demo Pipeline'!$Y$5:$Y$504,"Closed Won"))</f>
        <v/>
      </c>
      <c r="BH548" s="37" t="str">
        <f aca="false">IF(A548="","",SUMIFS('Demo Pipeline'!$Z$5:$Z$504,'Demo Pipeline'!$Q$5:$Q$504,A548))</f>
        <v/>
      </c>
      <c r="BI548" s="34" t="str">
        <f aca="false">IF(OR(AZ548="",N(AJ548)=0),"",AZ548/AJ548)</f>
        <v/>
      </c>
      <c r="BJ548" s="34" t="str">
        <f aca="false">IF(OR(BB548="",N(AZ548)=0),"",BB548/AZ548)</f>
        <v/>
      </c>
      <c r="BK548" s="34" t="str">
        <f aca="false">IF(OR(A548="",N(BB548)=0),"",BD548/BB548)</f>
        <v/>
      </c>
      <c r="BL548" s="34" t="str">
        <f aca="false">IF(OR(A548="",N(AZ548)=0),"",BD548/AZ548)</f>
        <v/>
      </c>
      <c r="BM548" s="37" t="str">
        <f aca="false">IF(OR(N(Q548)=0,N(BD548)=0),"",Q548/BD548)</f>
        <v/>
      </c>
      <c r="BN548" s="29"/>
      <c r="BO548" s="29"/>
      <c r="BP548" s="33" t="str">
        <f aca="false">IF(OR(AR548="",N(AO548)=0),"",AR548)</f>
        <v/>
      </c>
      <c r="BQ548" s="33" t="str">
        <f aca="false">IF(OR(AR548="",N(S548)=0),"",S548)</f>
        <v/>
      </c>
      <c r="BR548" s="38" t="str">
        <f aca="false">IF(AND(ISNUMBER(B548),B548&gt;=Dashboard!$C$4,B548&lt;=Dashboard!$F$4,ISNUMBER(AU548)),AU548+ROW()/10^9,"")</f>
        <v/>
      </c>
      <c r="BS548" s="38" t="str">
        <f aca="false">IF(AND(ISNUMBER(B548),B548&gt;=Dashboard!$C$4,B548&lt;=Dashboard!$F$4,A548&lt;&gt;""),N(BD548)+N(AU548)/100+ROW()/10^9,"")</f>
        <v/>
      </c>
    </row>
    <row r="549" customFormat="false" ht="15" hidden="false" customHeight="false" outlineLevel="0" collapsed="false">
      <c r="A549" s="24" t="str">
        <f aca="false">IF(OR(B549="",G549="",H549=""),"",IFERROR(INDEX(Settings!$E$5:$E$49,MATCH(G549,Settings!$D$5:$D$49,0))&amp;INDEX(Settings!$H$5:$H$47,MATCH(H549,Settings!$G$5:$G$47,0))&amp;"-"&amp;TEXT(B549,"yymmdd")&amp;"-"&amp;IF(C549="","0000",TEXT(C549,"hhmm")),"CHECK LISTS"))</f>
        <v/>
      </c>
      <c r="B549" s="39"/>
      <c r="C549" s="40"/>
      <c r="D549" s="24" t="str">
        <f aca="false">IF(B549="","",TEXT(B549,"ddd"))</f>
        <v/>
      </c>
      <c r="E549" s="27" t="str">
        <f aca="false">IF(B549="","",B549-WEEKDAY(B549,3))</f>
        <v/>
      </c>
      <c r="F549" s="24" t="str">
        <f aca="false">IF(B549="","",TEXT(B549,"yyyy-mm"))</f>
        <v/>
      </c>
      <c r="G549" s="29"/>
      <c r="H549" s="29"/>
      <c r="I549" s="29"/>
      <c r="J549" s="29"/>
      <c r="K549" s="29"/>
      <c r="L549" s="29"/>
      <c r="M549" s="29"/>
      <c r="N549" s="29"/>
      <c r="O549" s="29"/>
      <c r="P549" s="29"/>
      <c r="Q549" s="30"/>
      <c r="R549" s="29"/>
      <c r="S549" s="32"/>
      <c r="T549" s="29"/>
      <c r="U549" s="29"/>
      <c r="V549" s="24" t="str">
        <f aca="false">IF(A549="","",IFERROR(INDEX(Settings!$F$5:$F$49,MATCH(G549,Settings!$D$5:$D$49,0)),""))</f>
        <v/>
      </c>
      <c r="W549" s="24" t="str">
        <f aca="false">IF(A549="","",IF(OR(P549="",P549="Organic"),"social","paid_social"))</f>
        <v/>
      </c>
      <c r="X549" s="24" t="str">
        <f aca="false">IF(A549="","",IF(K549&lt;&gt;"",IFERROR(INDEX('Case Studies'!$C$5:$C$54,MATCH(K549,'Case Studies'!$B$5:$B$54,0))&amp;"","case-study"),IF(J549&lt;&gt;"",IFERROR(INDEX(Settings!$J$5:$J$55,MATCH(J549,Settings!$I$5:$I$55,0)),"general"),"general")))</f>
        <v/>
      </c>
      <c r="Y549" s="24" t="str">
        <f aca="false">IF(A549="","",LOWER(A549))</f>
        <v/>
      </c>
      <c r="Z549" s="24" t="str">
        <f aca="false">IF(A549="","",IF(T549="",Settings!$B$5,T549)&amp;IF(ISNUMBER(FIND("?",IF(T549="",Settings!$B$5,T549))),"&amp;","?")&amp;"utm_source="&amp;V549&amp;"&amp;utm_medium="&amp;W549&amp;"&amp;utm_campaign="&amp;X549&amp;"&amp;utm_content="&amp;Y549)</f>
        <v/>
      </c>
      <c r="AA549" s="29"/>
      <c r="AB549" s="39"/>
      <c r="AC549" s="32"/>
      <c r="AD549" s="32"/>
      <c r="AE549" s="32"/>
      <c r="AF549" s="32"/>
      <c r="AG549" s="32"/>
      <c r="AH549" s="32"/>
      <c r="AI549" s="32"/>
      <c r="AJ549" s="32"/>
      <c r="AK549" s="32"/>
      <c r="AL549" s="32"/>
      <c r="AM549" s="32"/>
      <c r="AN549" s="32"/>
      <c r="AO549" s="33" t="str">
        <f aca="false">IF(A549="","",IF(AD549&lt;&gt;"",AD549,IF(AC549&lt;&gt;"",AC549,"")))</f>
        <v/>
      </c>
      <c r="AP549" s="24" t="str">
        <f aca="false">IF(AO549="","",IF(AD549&lt;&gt;"","Reported reach","Impressions (proxy)"))</f>
        <v/>
      </c>
      <c r="AQ549" s="34" t="str">
        <f aca="false">IF(OR(AO549="",N(S549)=0),"",AO549/S549)</f>
        <v/>
      </c>
      <c r="AR549" s="33" t="str">
        <f aca="false">IF(A549="","",IF(COUNT(AF549:AJ549)=0,"",SUM(AF549:AJ549)))</f>
        <v/>
      </c>
      <c r="AS549" s="34" t="str">
        <f aca="false">IF(OR(AR549="",N(AO549)=0),"",AR549/AO549)</f>
        <v/>
      </c>
      <c r="AT549" s="34" t="str">
        <f aca="false">IF(OR(AR549="",N(AC549)=0),"",AR549/AC549)</f>
        <v/>
      </c>
      <c r="AU549" s="34" t="str">
        <f aca="false">IF(OR(AR549="",N(S549)=0),"",AR549/S549)</f>
        <v/>
      </c>
      <c r="AV549" s="34" t="str">
        <f aca="false">IF(OR(AJ549="",N(AC549)=0),"",AJ549/AC549)</f>
        <v/>
      </c>
      <c r="AW549" s="34" t="str">
        <f aca="false">IF(OR(AH549="",N(AO549)=0),"",AH549/AO549)</f>
        <v/>
      </c>
      <c r="AX549" s="35" t="str">
        <f aca="false">IF(OR(AR549="",N(AO549)=0),"",(N(AF549)*Settings!$B$6+N(AG549)*Settings!$B$7+N(AH549)*Settings!$B$8+N(AI549)*Settings!$B$9+N(AJ549)*Settings!$B$10)/AO549*1000)</f>
        <v/>
      </c>
      <c r="AY549" s="36" t="str">
        <f aca="false">IF(AS549="","",IFERROR(AS549/AVERAGEIFS('Post Tracker'!$AS$5:$AS$1004,'Post Tracker'!$G$5:$G$1004,G549),""))</f>
        <v/>
      </c>
      <c r="AZ549" s="32"/>
      <c r="BA549" s="32"/>
      <c r="BB549" s="32"/>
      <c r="BC549" s="32"/>
      <c r="BD549" s="33" t="str">
        <f aca="false">IF(A549="","",COUNTIFS('Demo Pipeline'!$Q$5:$Q$504,A549))</f>
        <v/>
      </c>
      <c r="BE549" s="33" t="str">
        <f aca="false">IF(A549="","",COUNTIFS('Demo Pipeline'!$Q$5:$Q$504,A549,'Demo Pipeline'!$W$5:$W$504,"Attended"))</f>
        <v/>
      </c>
      <c r="BF549" s="33" t="str">
        <f aca="false">IF(A549="","",COUNTIFS('Demo Pipeline'!$Q$5:$Q$504,A549,'Demo Pipeline'!$X$5:$X$504,"Yes"))</f>
        <v/>
      </c>
      <c r="BG549" s="33" t="str">
        <f aca="false">IF(A549="","",COUNTIFS('Demo Pipeline'!$Q$5:$Q$504,A549,'Demo Pipeline'!$Y$5:$Y$504,"Closed Won"))</f>
        <v/>
      </c>
      <c r="BH549" s="37" t="str">
        <f aca="false">IF(A549="","",SUMIFS('Demo Pipeline'!$Z$5:$Z$504,'Demo Pipeline'!$Q$5:$Q$504,A549))</f>
        <v/>
      </c>
      <c r="BI549" s="34" t="str">
        <f aca="false">IF(OR(AZ549="",N(AJ549)=0),"",AZ549/AJ549)</f>
        <v/>
      </c>
      <c r="BJ549" s="34" t="str">
        <f aca="false">IF(OR(BB549="",N(AZ549)=0),"",BB549/AZ549)</f>
        <v/>
      </c>
      <c r="BK549" s="34" t="str">
        <f aca="false">IF(OR(A549="",N(BB549)=0),"",BD549/BB549)</f>
        <v/>
      </c>
      <c r="BL549" s="34" t="str">
        <f aca="false">IF(OR(A549="",N(AZ549)=0),"",BD549/AZ549)</f>
        <v/>
      </c>
      <c r="BM549" s="37" t="str">
        <f aca="false">IF(OR(N(Q549)=0,N(BD549)=0),"",Q549/BD549)</f>
        <v/>
      </c>
      <c r="BN549" s="29"/>
      <c r="BO549" s="29"/>
      <c r="BP549" s="33" t="str">
        <f aca="false">IF(OR(AR549="",N(AO549)=0),"",AR549)</f>
        <v/>
      </c>
      <c r="BQ549" s="33" t="str">
        <f aca="false">IF(OR(AR549="",N(S549)=0),"",S549)</f>
        <v/>
      </c>
      <c r="BR549" s="38" t="str">
        <f aca="false">IF(AND(ISNUMBER(B549),B549&gt;=Dashboard!$C$4,B549&lt;=Dashboard!$F$4,ISNUMBER(AU549)),AU549+ROW()/10^9,"")</f>
        <v/>
      </c>
      <c r="BS549" s="38" t="str">
        <f aca="false">IF(AND(ISNUMBER(B549),B549&gt;=Dashboard!$C$4,B549&lt;=Dashboard!$F$4,A549&lt;&gt;""),N(BD549)+N(AU549)/100+ROW()/10^9,"")</f>
        <v/>
      </c>
    </row>
    <row r="550" customFormat="false" ht="15" hidden="false" customHeight="false" outlineLevel="0" collapsed="false">
      <c r="A550" s="24" t="str">
        <f aca="false">IF(OR(B550="",G550="",H550=""),"",IFERROR(INDEX(Settings!$E$5:$E$49,MATCH(G550,Settings!$D$5:$D$49,0))&amp;INDEX(Settings!$H$5:$H$47,MATCH(H550,Settings!$G$5:$G$47,0))&amp;"-"&amp;TEXT(B550,"yymmdd")&amp;"-"&amp;IF(C550="","0000",TEXT(C550,"hhmm")),"CHECK LISTS"))</f>
        <v/>
      </c>
      <c r="B550" s="39"/>
      <c r="C550" s="40"/>
      <c r="D550" s="24" t="str">
        <f aca="false">IF(B550="","",TEXT(B550,"ddd"))</f>
        <v/>
      </c>
      <c r="E550" s="27" t="str">
        <f aca="false">IF(B550="","",B550-WEEKDAY(B550,3))</f>
        <v/>
      </c>
      <c r="F550" s="24" t="str">
        <f aca="false">IF(B550="","",TEXT(B550,"yyyy-mm"))</f>
        <v/>
      </c>
      <c r="G550" s="29"/>
      <c r="H550" s="29"/>
      <c r="I550" s="29"/>
      <c r="J550" s="29"/>
      <c r="K550" s="29"/>
      <c r="L550" s="29"/>
      <c r="M550" s="29"/>
      <c r="N550" s="29"/>
      <c r="O550" s="29"/>
      <c r="P550" s="29"/>
      <c r="Q550" s="30"/>
      <c r="R550" s="29"/>
      <c r="S550" s="32"/>
      <c r="T550" s="29"/>
      <c r="U550" s="29"/>
      <c r="V550" s="24" t="str">
        <f aca="false">IF(A550="","",IFERROR(INDEX(Settings!$F$5:$F$49,MATCH(G550,Settings!$D$5:$D$49,0)),""))</f>
        <v/>
      </c>
      <c r="W550" s="24" t="str">
        <f aca="false">IF(A550="","",IF(OR(P550="",P550="Organic"),"social","paid_social"))</f>
        <v/>
      </c>
      <c r="X550" s="24" t="str">
        <f aca="false">IF(A550="","",IF(K550&lt;&gt;"",IFERROR(INDEX('Case Studies'!$C$5:$C$54,MATCH(K550,'Case Studies'!$B$5:$B$54,0))&amp;"","case-study"),IF(J550&lt;&gt;"",IFERROR(INDEX(Settings!$J$5:$J$55,MATCH(J550,Settings!$I$5:$I$55,0)),"general"),"general")))</f>
        <v/>
      </c>
      <c r="Y550" s="24" t="str">
        <f aca="false">IF(A550="","",LOWER(A550))</f>
        <v/>
      </c>
      <c r="Z550" s="24" t="str">
        <f aca="false">IF(A550="","",IF(T550="",Settings!$B$5,T550)&amp;IF(ISNUMBER(FIND("?",IF(T550="",Settings!$B$5,T550))),"&amp;","?")&amp;"utm_source="&amp;V550&amp;"&amp;utm_medium="&amp;W550&amp;"&amp;utm_campaign="&amp;X550&amp;"&amp;utm_content="&amp;Y550)</f>
        <v/>
      </c>
      <c r="AA550" s="29"/>
      <c r="AB550" s="39"/>
      <c r="AC550" s="32"/>
      <c r="AD550" s="32"/>
      <c r="AE550" s="32"/>
      <c r="AF550" s="32"/>
      <c r="AG550" s="32"/>
      <c r="AH550" s="32"/>
      <c r="AI550" s="32"/>
      <c r="AJ550" s="32"/>
      <c r="AK550" s="32"/>
      <c r="AL550" s="32"/>
      <c r="AM550" s="32"/>
      <c r="AN550" s="32"/>
      <c r="AO550" s="33" t="str">
        <f aca="false">IF(A550="","",IF(AD550&lt;&gt;"",AD550,IF(AC550&lt;&gt;"",AC550,"")))</f>
        <v/>
      </c>
      <c r="AP550" s="24" t="str">
        <f aca="false">IF(AO550="","",IF(AD550&lt;&gt;"","Reported reach","Impressions (proxy)"))</f>
        <v/>
      </c>
      <c r="AQ550" s="34" t="str">
        <f aca="false">IF(OR(AO550="",N(S550)=0),"",AO550/S550)</f>
        <v/>
      </c>
      <c r="AR550" s="33" t="str">
        <f aca="false">IF(A550="","",IF(COUNT(AF550:AJ550)=0,"",SUM(AF550:AJ550)))</f>
        <v/>
      </c>
      <c r="AS550" s="34" t="str">
        <f aca="false">IF(OR(AR550="",N(AO550)=0),"",AR550/AO550)</f>
        <v/>
      </c>
      <c r="AT550" s="34" t="str">
        <f aca="false">IF(OR(AR550="",N(AC550)=0),"",AR550/AC550)</f>
        <v/>
      </c>
      <c r="AU550" s="34" t="str">
        <f aca="false">IF(OR(AR550="",N(S550)=0),"",AR550/S550)</f>
        <v/>
      </c>
      <c r="AV550" s="34" t="str">
        <f aca="false">IF(OR(AJ550="",N(AC550)=0),"",AJ550/AC550)</f>
        <v/>
      </c>
      <c r="AW550" s="34" t="str">
        <f aca="false">IF(OR(AH550="",N(AO550)=0),"",AH550/AO550)</f>
        <v/>
      </c>
      <c r="AX550" s="35" t="str">
        <f aca="false">IF(OR(AR550="",N(AO550)=0),"",(N(AF550)*Settings!$B$6+N(AG550)*Settings!$B$7+N(AH550)*Settings!$B$8+N(AI550)*Settings!$B$9+N(AJ550)*Settings!$B$10)/AO550*1000)</f>
        <v/>
      </c>
      <c r="AY550" s="36" t="str">
        <f aca="false">IF(AS550="","",IFERROR(AS550/AVERAGEIFS('Post Tracker'!$AS$5:$AS$1004,'Post Tracker'!$G$5:$G$1004,G550),""))</f>
        <v/>
      </c>
      <c r="AZ550" s="32"/>
      <c r="BA550" s="32"/>
      <c r="BB550" s="32"/>
      <c r="BC550" s="32"/>
      <c r="BD550" s="33" t="str">
        <f aca="false">IF(A550="","",COUNTIFS('Demo Pipeline'!$Q$5:$Q$504,A550))</f>
        <v/>
      </c>
      <c r="BE550" s="33" t="str">
        <f aca="false">IF(A550="","",COUNTIFS('Demo Pipeline'!$Q$5:$Q$504,A550,'Demo Pipeline'!$W$5:$W$504,"Attended"))</f>
        <v/>
      </c>
      <c r="BF550" s="33" t="str">
        <f aca="false">IF(A550="","",COUNTIFS('Demo Pipeline'!$Q$5:$Q$504,A550,'Demo Pipeline'!$X$5:$X$504,"Yes"))</f>
        <v/>
      </c>
      <c r="BG550" s="33" t="str">
        <f aca="false">IF(A550="","",COUNTIFS('Demo Pipeline'!$Q$5:$Q$504,A550,'Demo Pipeline'!$Y$5:$Y$504,"Closed Won"))</f>
        <v/>
      </c>
      <c r="BH550" s="37" t="str">
        <f aca="false">IF(A550="","",SUMIFS('Demo Pipeline'!$Z$5:$Z$504,'Demo Pipeline'!$Q$5:$Q$504,A550))</f>
        <v/>
      </c>
      <c r="BI550" s="34" t="str">
        <f aca="false">IF(OR(AZ550="",N(AJ550)=0),"",AZ550/AJ550)</f>
        <v/>
      </c>
      <c r="BJ550" s="34" t="str">
        <f aca="false">IF(OR(BB550="",N(AZ550)=0),"",BB550/AZ550)</f>
        <v/>
      </c>
      <c r="BK550" s="34" t="str">
        <f aca="false">IF(OR(A550="",N(BB550)=0),"",BD550/BB550)</f>
        <v/>
      </c>
      <c r="BL550" s="34" t="str">
        <f aca="false">IF(OR(A550="",N(AZ550)=0),"",BD550/AZ550)</f>
        <v/>
      </c>
      <c r="BM550" s="37" t="str">
        <f aca="false">IF(OR(N(Q550)=0,N(BD550)=0),"",Q550/BD550)</f>
        <v/>
      </c>
      <c r="BN550" s="29"/>
      <c r="BO550" s="29"/>
      <c r="BP550" s="33" t="str">
        <f aca="false">IF(OR(AR550="",N(AO550)=0),"",AR550)</f>
        <v/>
      </c>
      <c r="BQ550" s="33" t="str">
        <f aca="false">IF(OR(AR550="",N(S550)=0),"",S550)</f>
        <v/>
      </c>
      <c r="BR550" s="38" t="str">
        <f aca="false">IF(AND(ISNUMBER(B550),B550&gt;=Dashboard!$C$4,B550&lt;=Dashboard!$F$4,ISNUMBER(AU550)),AU550+ROW()/10^9,"")</f>
        <v/>
      </c>
      <c r="BS550" s="38" t="str">
        <f aca="false">IF(AND(ISNUMBER(B550),B550&gt;=Dashboard!$C$4,B550&lt;=Dashboard!$F$4,A550&lt;&gt;""),N(BD550)+N(AU550)/100+ROW()/10^9,"")</f>
        <v/>
      </c>
    </row>
    <row r="551" customFormat="false" ht="15" hidden="false" customHeight="false" outlineLevel="0" collapsed="false">
      <c r="A551" s="24" t="str">
        <f aca="false">IF(OR(B551="",G551="",H551=""),"",IFERROR(INDEX(Settings!$E$5:$E$49,MATCH(G551,Settings!$D$5:$D$49,0))&amp;INDEX(Settings!$H$5:$H$47,MATCH(H551,Settings!$G$5:$G$47,0))&amp;"-"&amp;TEXT(B551,"yymmdd")&amp;"-"&amp;IF(C551="","0000",TEXT(C551,"hhmm")),"CHECK LISTS"))</f>
        <v/>
      </c>
      <c r="B551" s="39"/>
      <c r="C551" s="40"/>
      <c r="D551" s="24" t="str">
        <f aca="false">IF(B551="","",TEXT(B551,"ddd"))</f>
        <v/>
      </c>
      <c r="E551" s="27" t="str">
        <f aca="false">IF(B551="","",B551-WEEKDAY(B551,3))</f>
        <v/>
      </c>
      <c r="F551" s="24" t="str">
        <f aca="false">IF(B551="","",TEXT(B551,"yyyy-mm"))</f>
        <v/>
      </c>
      <c r="G551" s="29"/>
      <c r="H551" s="29"/>
      <c r="I551" s="29"/>
      <c r="J551" s="29"/>
      <c r="K551" s="29"/>
      <c r="L551" s="29"/>
      <c r="M551" s="29"/>
      <c r="N551" s="29"/>
      <c r="O551" s="29"/>
      <c r="P551" s="29"/>
      <c r="Q551" s="30"/>
      <c r="R551" s="29"/>
      <c r="S551" s="32"/>
      <c r="T551" s="29"/>
      <c r="U551" s="29"/>
      <c r="V551" s="24" t="str">
        <f aca="false">IF(A551="","",IFERROR(INDEX(Settings!$F$5:$F$49,MATCH(G551,Settings!$D$5:$D$49,0)),""))</f>
        <v/>
      </c>
      <c r="W551" s="24" t="str">
        <f aca="false">IF(A551="","",IF(OR(P551="",P551="Organic"),"social","paid_social"))</f>
        <v/>
      </c>
      <c r="X551" s="24" t="str">
        <f aca="false">IF(A551="","",IF(K551&lt;&gt;"",IFERROR(INDEX('Case Studies'!$C$5:$C$54,MATCH(K551,'Case Studies'!$B$5:$B$54,0))&amp;"","case-study"),IF(J551&lt;&gt;"",IFERROR(INDEX(Settings!$J$5:$J$55,MATCH(J551,Settings!$I$5:$I$55,0)),"general"),"general")))</f>
        <v/>
      </c>
      <c r="Y551" s="24" t="str">
        <f aca="false">IF(A551="","",LOWER(A551))</f>
        <v/>
      </c>
      <c r="Z551" s="24" t="str">
        <f aca="false">IF(A551="","",IF(T551="",Settings!$B$5,T551)&amp;IF(ISNUMBER(FIND("?",IF(T551="",Settings!$B$5,T551))),"&amp;","?")&amp;"utm_source="&amp;V551&amp;"&amp;utm_medium="&amp;W551&amp;"&amp;utm_campaign="&amp;X551&amp;"&amp;utm_content="&amp;Y551)</f>
        <v/>
      </c>
      <c r="AA551" s="29"/>
      <c r="AB551" s="39"/>
      <c r="AC551" s="32"/>
      <c r="AD551" s="32"/>
      <c r="AE551" s="32"/>
      <c r="AF551" s="32"/>
      <c r="AG551" s="32"/>
      <c r="AH551" s="32"/>
      <c r="AI551" s="32"/>
      <c r="AJ551" s="32"/>
      <c r="AK551" s="32"/>
      <c r="AL551" s="32"/>
      <c r="AM551" s="32"/>
      <c r="AN551" s="32"/>
      <c r="AO551" s="33" t="str">
        <f aca="false">IF(A551="","",IF(AD551&lt;&gt;"",AD551,IF(AC551&lt;&gt;"",AC551,"")))</f>
        <v/>
      </c>
      <c r="AP551" s="24" t="str">
        <f aca="false">IF(AO551="","",IF(AD551&lt;&gt;"","Reported reach","Impressions (proxy)"))</f>
        <v/>
      </c>
      <c r="AQ551" s="34" t="str">
        <f aca="false">IF(OR(AO551="",N(S551)=0),"",AO551/S551)</f>
        <v/>
      </c>
      <c r="AR551" s="33" t="str">
        <f aca="false">IF(A551="","",IF(COUNT(AF551:AJ551)=0,"",SUM(AF551:AJ551)))</f>
        <v/>
      </c>
      <c r="AS551" s="34" t="str">
        <f aca="false">IF(OR(AR551="",N(AO551)=0),"",AR551/AO551)</f>
        <v/>
      </c>
      <c r="AT551" s="34" t="str">
        <f aca="false">IF(OR(AR551="",N(AC551)=0),"",AR551/AC551)</f>
        <v/>
      </c>
      <c r="AU551" s="34" t="str">
        <f aca="false">IF(OR(AR551="",N(S551)=0),"",AR551/S551)</f>
        <v/>
      </c>
      <c r="AV551" s="34" t="str">
        <f aca="false">IF(OR(AJ551="",N(AC551)=0),"",AJ551/AC551)</f>
        <v/>
      </c>
      <c r="AW551" s="34" t="str">
        <f aca="false">IF(OR(AH551="",N(AO551)=0),"",AH551/AO551)</f>
        <v/>
      </c>
      <c r="AX551" s="35" t="str">
        <f aca="false">IF(OR(AR551="",N(AO551)=0),"",(N(AF551)*Settings!$B$6+N(AG551)*Settings!$B$7+N(AH551)*Settings!$B$8+N(AI551)*Settings!$B$9+N(AJ551)*Settings!$B$10)/AO551*1000)</f>
        <v/>
      </c>
      <c r="AY551" s="36" t="str">
        <f aca="false">IF(AS551="","",IFERROR(AS551/AVERAGEIFS('Post Tracker'!$AS$5:$AS$1004,'Post Tracker'!$G$5:$G$1004,G551),""))</f>
        <v/>
      </c>
      <c r="AZ551" s="32"/>
      <c r="BA551" s="32"/>
      <c r="BB551" s="32"/>
      <c r="BC551" s="32"/>
      <c r="BD551" s="33" t="str">
        <f aca="false">IF(A551="","",COUNTIFS('Demo Pipeline'!$Q$5:$Q$504,A551))</f>
        <v/>
      </c>
      <c r="BE551" s="33" t="str">
        <f aca="false">IF(A551="","",COUNTIFS('Demo Pipeline'!$Q$5:$Q$504,A551,'Demo Pipeline'!$W$5:$W$504,"Attended"))</f>
        <v/>
      </c>
      <c r="BF551" s="33" t="str">
        <f aca="false">IF(A551="","",COUNTIFS('Demo Pipeline'!$Q$5:$Q$504,A551,'Demo Pipeline'!$X$5:$X$504,"Yes"))</f>
        <v/>
      </c>
      <c r="BG551" s="33" t="str">
        <f aca="false">IF(A551="","",COUNTIFS('Demo Pipeline'!$Q$5:$Q$504,A551,'Demo Pipeline'!$Y$5:$Y$504,"Closed Won"))</f>
        <v/>
      </c>
      <c r="BH551" s="37" t="str">
        <f aca="false">IF(A551="","",SUMIFS('Demo Pipeline'!$Z$5:$Z$504,'Demo Pipeline'!$Q$5:$Q$504,A551))</f>
        <v/>
      </c>
      <c r="BI551" s="34" t="str">
        <f aca="false">IF(OR(AZ551="",N(AJ551)=0),"",AZ551/AJ551)</f>
        <v/>
      </c>
      <c r="BJ551" s="34" t="str">
        <f aca="false">IF(OR(BB551="",N(AZ551)=0),"",BB551/AZ551)</f>
        <v/>
      </c>
      <c r="BK551" s="34" t="str">
        <f aca="false">IF(OR(A551="",N(BB551)=0),"",BD551/BB551)</f>
        <v/>
      </c>
      <c r="BL551" s="34" t="str">
        <f aca="false">IF(OR(A551="",N(AZ551)=0),"",BD551/AZ551)</f>
        <v/>
      </c>
      <c r="BM551" s="37" t="str">
        <f aca="false">IF(OR(N(Q551)=0,N(BD551)=0),"",Q551/BD551)</f>
        <v/>
      </c>
      <c r="BN551" s="29"/>
      <c r="BO551" s="29"/>
      <c r="BP551" s="33" t="str">
        <f aca="false">IF(OR(AR551="",N(AO551)=0),"",AR551)</f>
        <v/>
      </c>
      <c r="BQ551" s="33" t="str">
        <f aca="false">IF(OR(AR551="",N(S551)=0),"",S551)</f>
        <v/>
      </c>
      <c r="BR551" s="38" t="str">
        <f aca="false">IF(AND(ISNUMBER(B551),B551&gt;=Dashboard!$C$4,B551&lt;=Dashboard!$F$4,ISNUMBER(AU551)),AU551+ROW()/10^9,"")</f>
        <v/>
      </c>
      <c r="BS551" s="38" t="str">
        <f aca="false">IF(AND(ISNUMBER(B551),B551&gt;=Dashboard!$C$4,B551&lt;=Dashboard!$F$4,A551&lt;&gt;""),N(BD551)+N(AU551)/100+ROW()/10^9,"")</f>
        <v/>
      </c>
    </row>
    <row r="552" customFormat="false" ht="15" hidden="false" customHeight="false" outlineLevel="0" collapsed="false">
      <c r="A552" s="24" t="str">
        <f aca="false">IF(OR(B552="",G552="",H552=""),"",IFERROR(INDEX(Settings!$E$5:$E$49,MATCH(G552,Settings!$D$5:$D$49,0))&amp;INDEX(Settings!$H$5:$H$47,MATCH(H552,Settings!$G$5:$G$47,0))&amp;"-"&amp;TEXT(B552,"yymmdd")&amp;"-"&amp;IF(C552="","0000",TEXT(C552,"hhmm")),"CHECK LISTS"))</f>
        <v/>
      </c>
      <c r="B552" s="39"/>
      <c r="C552" s="40"/>
      <c r="D552" s="24" t="str">
        <f aca="false">IF(B552="","",TEXT(B552,"ddd"))</f>
        <v/>
      </c>
      <c r="E552" s="27" t="str">
        <f aca="false">IF(B552="","",B552-WEEKDAY(B552,3))</f>
        <v/>
      </c>
      <c r="F552" s="24" t="str">
        <f aca="false">IF(B552="","",TEXT(B552,"yyyy-mm"))</f>
        <v/>
      </c>
      <c r="G552" s="29"/>
      <c r="H552" s="29"/>
      <c r="I552" s="29"/>
      <c r="J552" s="29"/>
      <c r="K552" s="29"/>
      <c r="L552" s="29"/>
      <c r="M552" s="29"/>
      <c r="N552" s="29"/>
      <c r="O552" s="29"/>
      <c r="P552" s="29"/>
      <c r="Q552" s="30"/>
      <c r="R552" s="29"/>
      <c r="S552" s="32"/>
      <c r="T552" s="29"/>
      <c r="U552" s="29"/>
      <c r="V552" s="24" t="str">
        <f aca="false">IF(A552="","",IFERROR(INDEX(Settings!$F$5:$F$49,MATCH(G552,Settings!$D$5:$D$49,0)),""))</f>
        <v/>
      </c>
      <c r="W552" s="24" t="str">
        <f aca="false">IF(A552="","",IF(OR(P552="",P552="Organic"),"social","paid_social"))</f>
        <v/>
      </c>
      <c r="X552" s="24" t="str">
        <f aca="false">IF(A552="","",IF(K552&lt;&gt;"",IFERROR(INDEX('Case Studies'!$C$5:$C$54,MATCH(K552,'Case Studies'!$B$5:$B$54,0))&amp;"","case-study"),IF(J552&lt;&gt;"",IFERROR(INDEX(Settings!$J$5:$J$55,MATCH(J552,Settings!$I$5:$I$55,0)),"general"),"general")))</f>
        <v/>
      </c>
      <c r="Y552" s="24" t="str">
        <f aca="false">IF(A552="","",LOWER(A552))</f>
        <v/>
      </c>
      <c r="Z552" s="24" t="str">
        <f aca="false">IF(A552="","",IF(T552="",Settings!$B$5,T552)&amp;IF(ISNUMBER(FIND("?",IF(T552="",Settings!$B$5,T552))),"&amp;","?")&amp;"utm_source="&amp;V552&amp;"&amp;utm_medium="&amp;W552&amp;"&amp;utm_campaign="&amp;X552&amp;"&amp;utm_content="&amp;Y552)</f>
        <v/>
      </c>
      <c r="AA552" s="29"/>
      <c r="AB552" s="39"/>
      <c r="AC552" s="32"/>
      <c r="AD552" s="32"/>
      <c r="AE552" s="32"/>
      <c r="AF552" s="32"/>
      <c r="AG552" s="32"/>
      <c r="AH552" s="32"/>
      <c r="AI552" s="32"/>
      <c r="AJ552" s="32"/>
      <c r="AK552" s="32"/>
      <c r="AL552" s="32"/>
      <c r="AM552" s="32"/>
      <c r="AN552" s="32"/>
      <c r="AO552" s="33" t="str">
        <f aca="false">IF(A552="","",IF(AD552&lt;&gt;"",AD552,IF(AC552&lt;&gt;"",AC552,"")))</f>
        <v/>
      </c>
      <c r="AP552" s="24" t="str">
        <f aca="false">IF(AO552="","",IF(AD552&lt;&gt;"","Reported reach","Impressions (proxy)"))</f>
        <v/>
      </c>
      <c r="AQ552" s="34" t="str">
        <f aca="false">IF(OR(AO552="",N(S552)=0),"",AO552/S552)</f>
        <v/>
      </c>
      <c r="AR552" s="33" t="str">
        <f aca="false">IF(A552="","",IF(COUNT(AF552:AJ552)=0,"",SUM(AF552:AJ552)))</f>
        <v/>
      </c>
      <c r="AS552" s="34" t="str">
        <f aca="false">IF(OR(AR552="",N(AO552)=0),"",AR552/AO552)</f>
        <v/>
      </c>
      <c r="AT552" s="34" t="str">
        <f aca="false">IF(OR(AR552="",N(AC552)=0),"",AR552/AC552)</f>
        <v/>
      </c>
      <c r="AU552" s="34" t="str">
        <f aca="false">IF(OR(AR552="",N(S552)=0),"",AR552/S552)</f>
        <v/>
      </c>
      <c r="AV552" s="34" t="str">
        <f aca="false">IF(OR(AJ552="",N(AC552)=0),"",AJ552/AC552)</f>
        <v/>
      </c>
      <c r="AW552" s="34" t="str">
        <f aca="false">IF(OR(AH552="",N(AO552)=0),"",AH552/AO552)</f>
        <v/>
      </c>
      <c r="AX552" s="35" t="str">
        <f aca="false">IF(OR(AR552="",N(AO552)=0),"",(N(AF552)*Settings!$B$6+N(AG552)*Settings!$B$7+N(AH552)*Settings!$B$8+N(AI552)*Settings!$B$9+N(AJ552)*Settings!$B$10)/AO552*1000)</f>
        <v/>
      </c>
      <c r="AY552" s="36" t="str">
        <f aca="false">IF(AS552="","",IFERROR(AS552/AVERAGEIFS('Post Tracker'!$AS$5:$AS$1004,'Post Tracker'!$G$5:$G$1004,G552),""))</f>
        <v/>
      </c>
      <c r="AZ552" s="32"/>
      <c r="BA552" s="32"/>
      <c r="BB552" s="32"/>
      <c r="BC552" s="32"/>
      <c r="BD552" s="33" t="str">
        <f aca="false">IF(A552="","",COUNTIFS('Demo Pipeline'!$Q$5:$Q$504,A552))</f>
        <v/>
      </c>
      <c r="BE552" s="33" t="str">
        <f aca="false">IF(A552="","",COUNTIFS('Demo Pipeline'!$Q$5:$Q$504,A552,'Demo Pipeline'!$W$5:$W$504,"Attended"))</f>
        <v/>
      </c>
      <c r="BF552" s="33" t="str">
        <f aca="false">IF(A552="","",COUNTIFS('Demo Pipeline'!$Q$5:$Q$504,A552,'Demo Pipeline'!$X$5:$X$504,"Yes"))</f>
        <v/>
      </c>
      <c r="BG552" s="33" t="str">
        <f aca="false">IF(A552="","",COUNTIFS('Demo Pipeline'!$Q$5:$Q$504,A552,'Demo Pipeline'!$Y$5:$Y$504,"Closed Won"))</f>
        <v/>
      </c>
      <c r="BH552" s="37" t="str">
        <f aca="false">IF(A552="","",SUMIFS('Demo Pipeline'!$Z$5:$Z$504,'Demo Pipeline'!$Q$5:$Q$504,A552))</f>
        <v/>
      </c>
      <c r="BI552" s="34" t="str">
        <f aca="false">IF(OR(AZ552="",N(AJ552)=0),"",AZ552/AJ552)</f>
        <v/>
      </c>
      <c r="BJ552" s="34" t="str">
        <f aca="false">IF(OR(BB552="",N(AZ552)=0),"",BB552/AZ552)</f>
        <v/>
      </c>
      <c r="BK552" s="34" t="str">
        <f aca="false">IF(OR(A552="",N(BB552)=0),"",BD552/BB552)</f>
        <v/>
      </c>
      <c r="BL552" s="34" t="str">
        <f aca="false">IF(OR(A552="",N(AZ552)=0),"",BD552/AZ552)</f>
        <v/>
      </c>
      <c r="BM552" s="37" t="str">
        <f aca="false">IF(OR(N(Q552)=0,N(BD552)=0),"",Q552/BD552)</f>
        <v/>
      </c>
      <c r="BN552" s="29"/>
      <c r="BO552" s="29"/>
      <c r="BP552" s="33" t="str">
        <f aca="false">IF(OR(AR552="",N(AO552)=0),"",AR552)</f>
        <v/>
      </c>
      <c r="BQ552" s="33" t="str">
        <f aca="false">IF(OR(AR552="",N(S552)=0),"",S552)</f>
        <v/>
      </c>
      <c r="BR552" s="38" t="str">
        <f aca="false">IF(AND(ISNUMBER(B552),B552&gt;=Dashboard!$C$4,B552&lt;=Dashboard!$F$4,ISNUMBER(AU552)),AU552+ROW()/10^9,"")</f>
        <v/>
      </c>
      <c r="BS552" s="38" t="str">
        <f aca="false">IF(AND(ISNUMBER(B552),B552&gt;=Dashboard!$C$4,B552&lt;=Dashboard!$F$4,A552&lt;&gt;""),N(BD552)+N(AU552)/100+ROW()/10^9,"")</f>
        <v/>
      </c>
    </row>
    <row r="553" customFormat="false" ht="15" hidden="false" customHeight="false" outlineLevel="0" collapsed="false">
      <c r="A553" s="24" t="str">
        <f aca="false">IF(OR(B553="",G553="",H553=""),"",IFERROR(INDEX(Settings!$E$5:$E$49,MATCH(G553,Settings!$D$5:$D$49,0))&amp;INDEX(Settings!$H$5:$H$47,MATCH(H553,Settings!$G$5:$G$47,0))&amp;"-"&amp;TEXT(B553,"yymmdd")&amp;"-"&amp;IF(C553="","0000",TEXT(C553,"hhmm")),"CHECK LISTS"))</f>
        <v/>
      </c>
      <c r="B553" s="39"/>
      <c r="C553" s="40"/>
      <c r="D553" s="24" t="str">
        <f aca="false">IF(B553="","",TEXT(B553,"ddd"))</f>
        <v/>
      </c>
      <c r="E553" s="27" t="str">
        <f aca="false">IF(B553="","",B553-WEEKDAY(B553,3))</f>
        <v/>
      </c>
      <c r="F553" s="24" t="str">
        <f aca="false">IF(B553="","",TEXT(B553,"yyyy-mm"))</f>
        <v/>
      </c>
      <c r="G553" s="29"/>
      <c r="H553" s="29"/>
      <c r="I553" s="29"/>
      <c r="J553" s="29"/>
      <c r="K553" s="29"/>
      <c r="L553" s="29"/>
      <c r="M553" s="29"/>
      <c r="N553" s="29"/>
      <c r="O553" s="29"/>
      <c r="P553" s="29"/>
      <c r="Q553" s="30"/>
      <c r="R553" s="29"/>
      <c r="S553" s="32"/>
      <c r="T553" s="29"/>
      <c r="U553" s="29"/>
      <c r="V553" s="24" t="str">
        <f aca="false">IF(A553="","",IFERROR(INDEX(Settings!$F$5:$F$49,MATCH(G553,Settings!$D$5:$D$49,0)),""))</f>
        <v/>
      </c>
      <c r="W553" s="24" t="str">
        <f aca="false">IF(A553="","",IF(OR(P553="",P553="Organic"),"social","paid_social"))</f>
        <v/>
      </c>
      <c r="X553" s="24" t="str">
        <f aca="false">IF(A553="","",IF(K553&lt;&gt;"",IFERROR(INDEX('Case Studies'!$C$5:$C$54,MATCH(K553,'Case Studies'!$B$5:$B$54,0))&amp;"","case-study"),IF(J553&lt;&gt;"",IFERROR(INDEX(Settings!$J$5:$J$55,MATCH(J553,Settings!$I$5:$I$55,0)),"general"),"general")))</f>
        <v/>
      </c>
      <c r="Y553" s="24" t="str">
        <f aca="false">IF(A553="","",LOWER(A553))</f>
        <v/>
      </c>
      <c r="Z553" s="24" t="str">
        <f aca="false">IF(A553="","",IF(T553="",Settings!$B$5,T553)&amp;IF(ISNUMBER(FIND("?",IF(T553="",Settings!$B$5,T553))),"&amp;","?")&amp;"utm_source="&amp;V553&amp;"&amp;utm_medium="&amp;W553&amp;"&amp;utm_campaign="&amp;X553&amp;"&amp;utm_content="&amp;Y553)</f>
        <v/>
      </c>
      <c r="AA553" s="29"/>
      <c r="AB553" s="39"/>
      <c r="AC553" s="32"/>
      <c r="AD553" s="32"/>
      <c r="AE553" s="32"/>
      <c r="AF553" s="32"/>
      <c r="AG553" s="32"/>
      <c r="AH553" s="32"/>
      <c r="AI553" s="32"/>
      <c r="AJ553" s="32"/>
      <c r="AK553" s="32"/>
      <c r="AL553" s="32"/>
      <c r="AM553" s="32"/>
      <c r="AN553" s="32"/>
      <c r="AO553" s="33" t="str">
        <f aca="false">IF(A553="","",IF(AD553&lt;&gt;"",AD553,IF(AC553&lt;&gt;"",AC553,"")))</f>
        <v/>
      </c>
      <c r="AP553" s="24" t="str">
        <f aca="false">IF(AO553="","",IF(AD553&lt;&gt;"","Reported reach","Impressions (proxy)"))</f>
        <v/>
      </c>
      <c r="AQ553" s="34" t="str">
        <f aca="false">IF(OR(AO553="",N(S553)=0),"",AO553/S553)</f>
        <v/>
      </c>
      <c r="AR553" s="33" t="str">
        <f aca="false">IF(A553="","",IF(COUNT(AF553:AJ553)=0,"",SUM(AF553:AJ553)))</f>
        <v/>
      </c>
      <c r="AS553" s="34" t="str">
        <f aca="false">IF(OR(AR553="",N(AO553)=0),"",AR553/AO553)</f>
        <v/>
      </c>
      <c r="AT553" s="34" t="str">
        <f aca="false">IF(OR(AR553="",N(AC553)=0),"",AR553/AC553)</f>
        <v/>
      </c>
      <c r="AU553" s="34" t="str">
        <f aca="false">IF(OR(AR553="",N(S553)=0),"",AR553/S553)</f>
        <v/>
      </c>
      <c r="AV553" s="34" t="str">
        <f aca="false">IF(OR(AJ553="",N(AC553)=0),"",AJ553/AC553)</f>
        <v/>
      </c>
      <c r="AW553" s="34" t="str">
        <f aca="false">IF(OR(AH553="",N(AO553)=0),"",AH553/AO553)</f>
        <v/>
      </c>
      <c r="AX553" s="35" t="str">
        <f aca="false">IF(OR(AR553="",N(AO553)=0),"",(N(AF553)*Settings!$B$6+N(AG553)*Settings!$B$7+N(AH553)*Settings!$B$8+N(AI553)*Settings!$B$9+N(AJ553)*Settings!$B$10)/AO553*1000)</f>
        <v/>
      </c>
      <c r="AY553" s="36" t="str">
        <f aca="false">IF(AS553="","",IFERROR(AS553/AVERAGEIFS('Post Tracker'!$AS$5:$AS$1004,'Post Tracker'!$G$5:$G$1004,G553),""))</f>
        <v/>
      </c>
      <c r="AZ553" s="32"/>
      <c r="BA553" s="32"/>
      <c r="BB553" s="32"/>
      <c r="BC553" s="32"/>
      <c r="BD553" s="33" t="str">
        <f aca="false">IF(A553="","",COUNTIFS('Demo Pipeline'!$Q$5:$Q$504,A553))</f>
        <v/>
      </c>
      <c r="BE553" s="33" t="str">
        <f aca="false">IF(A553="","",COUNTIFS('Demo Pipeline'!$Q$5:$Q$504,A553,'Demo Pipeline'!$W$5:$W$504,"Attended"))</f>
        <v/>
      </c>
      <c r="BF553" s="33" t="str">
        <f aca="false">IF(A553="","",COUNTIFS('Demo Pipeline'!$Q$5:$Q$504,A553,'Demo Pipeline'!$X$5:$X$504,"Yes"))</f>
        <v/>
      </c>
      <c r="BG553" s="33" t="str">
        <f aca="false">IF(A553="","",COUNTIFS('Demo Pipeline'!$Q$5:$Q$504,A553,'Demo Pipeline'!$Y$5:$Y$504,"Closed Won"))</f>
        <v/>
      </c>
      <c r="BH553" s="37" t="str">
        <f aca="false">IF(A553="","",SUMIFS('Demo Pipeline'!$Z$5:$Z$504,'Demo Pipeline'!$Q$5:$Q$504,A553))</f>
        <v/>
      </c>
      <c r="BI553" s="34" t="str">
        <f aca="false">IF(OR(AZ553="",N(AJ553)=0),"",AZ553/AJ553)</f>
        <v/>
      </c>
      <c r="BJ553" s="34" t="str">
        <f aca="false">IF(OR(BB553="",N(AZ553)=0),"",BB553/AZ553)</f>
        <v/>
      </c>
      <c r="BK553" s="34" t="str">
        <f aca="false">IF(OR(A553="",N(BB553)=0),"",BD553/BB553)</f>
        <v/>
      </c>
      <c r="BL553" s="34" t="str">
        <f aca="false">IF(OR(A553="",N(AZ553)=0),"",BD553/AZ553)</f>
        <v/>
      </c>
      <c r="BM553" s="37" t="str">
        <f aca="false">IF(OR(N(Q553)=0,N(BD553)=0),"",Q553/BD553)</f>
        <v/>
      </c>
      <c r="BN553" s="29"/>
      <c r="BO553" s="29"/>
      <c r="BP553" s="33" t="str">
        <f aca="false">IF(OR(AR553="",N(AO553)=0),"",AR553)</f>
        <v/>
      </c>
      <c r="BQ553" s="33" t="str">
        <f aca="false">IF(OR(AR553="",N(S553)=0),"",S553)</f>
        <v/>
      </c>
      <c r="BR553" s="38" t="str">
        <f aca="false">IF(AND(ISNUMBER(B553),B553&gt;=Dashboard!$C$4,B553&lt;=Dashboard!$F$4,ISNUMBER(AU553)),AU553+ROW()/10^9,"")</f>
        <v/>
      </c>
      <c r="BS553" s="38" t="str">
        <f aca="false">IF(AND(ISNUMBER(B553),B553&gt;=Dashboard!$C$4,B553&lt;=Dashboard!$F$4,A553&lt;&gt;""),N(BD553)+N(AU553)/100+ROW()/10^9,"")</f>
        <v/>
      </c>
    </row>
    <row r="554" customFormat="false" ht="15" hidden="false" customHeight="false" outlineLevel="0" collapsed="false">
      <c r="A554" s="24" t="str">
        <f aca="false">IF(OR(B554="",G554="",H554=""),"",IFERROR(INDEX(Settings!$E$5:$E$49,MATCH(G554,Settings!$D$5:$D$49,0))&amp;INDEX(Settings!$H$5:$H$47,MATCH(H554,Settings!$G$5:$G$47,0))&amp;"-"&amp;TEXT(B554,"yymmdd")&amp;"-"&amp;IF(C554="","0000",TEXT(C554,"hhmm")),"CHECK LISTS"))</f>
        <v/>
      </c>
      <c r="B554" s="39"/>
      <c r="C554" s="40"/>
      <c r="D554" s="24" t="str">
        <f aca="false">IF(B554="","",TEXT(B554,"ddd"))</f>
        <v/>
      </c>
      <c r="E554" s="27" t="str">
        <f aca="false">IF(B554="","",B554-WEEKDAY(B554,3))</f>
        <v/>
      </c>
      <c r="F554" s="24" t="str">
        <f aca="false">IF(B554="","",TEXT(B554,"yyyy-mm"))</f>
        <v/>
      </c>
      <c r="G554" s="29"/>
      <c r="H554" s="29"/>
      <c r="I554" s="29"/>
      <c r="J554" s="29"/>
      <c r="K554" s="29"/>
      <c r="L554" s="29"/>
      <c r="M554" s="29"/>
      <c r="N554" s="29"/>
      <c r="O554" s="29"/>
      <c r="P554" s="29"/>
      <c r="Q554" s="30"/>
      <c r="R554" s="29"/>
      <c r="S554" s="32"/>
      <c r="T554" s="29"/>
      <c r="U554" s="29"/>
      <c r="V554" s="24" t="str">
        <f aca="false">IF(A554="","",IFERROR(INDEX(Settings!$F$5:$F$49,MATCH(G554,Settings!$D$5:$D$49,0)),""))</f>
        <v/>
      </c>
      <c r="W554" s="24" t="str">
        <f aca="false">IF(A554="","",IF(OR(P554="",P554="Organic"),"social","paid_social"))</f>
        <v/>
      </c>
      <c r="X554" s="24" t="str">
        <f aca="false">IF(A554="","",IF(K554&lt;&gt;"",IFERROR(INDEX('Case Studies'!$C$5:$C$54,MATCH(K554,'Case Studies'!$B$5:$B$54,0))&amp;"","case-study"),IF(J554&lt;&gt;"",IFERROR(INDEX(Settings!$J$5:$J$55,MATCH(J554,Settings!$I$5:$I$55,0)),"general"),"general")))</f>
        <v/>
      </c>
      <c r="Y554" s="24" t="str">
        <f aca="false">IF(A554="","",LOWER(A554))</f>
        <v/>
      </c>
      <c r="Z554" s="24" t="str">
        <f aca="false">IF(A554="","",IF(T554="",Settings!$B$5,T554)&amp;IF(ISNUMBER(FIND("?",IF(T554="",Settings!$B$5,T554))),"&amp;","?")&amp;"utm_source="&amp;V554&amp;"&amp;utm_medium="&amp;W554&amp;"&amp;utm_campaign="&amp;X554&amp;"&amp;utm_content="&amp;Y554)</f>
        <v/>
      </c>
      <c r="AA554" s="29"/>
      <c r="AB554" s="39"/>
      <c r="AC554" s="32"/>
      <c r="AD554" s="32"/>
      <c r="AE554" s="32"/>
      <c r="AF554" s="32"/>
      <c r="AG554" s="32"/>
      <c r="AH554" s="32"/>
      <c r="AI554" s="32"/>
      <c r="AJ554" s="32"/>
      <c r="AK554" s="32"/>
      <c r="AL554" s="32"/>
      <c r="AM554" s="32"/>
      <c r="AN554" s="32"/>
      <c r="AO554" s="33" t="str">
        <f aca="false">IF(A554="","",IF(AD554&lt;&gt;"",AD554,IF(AC554&lt;&gt;"",AC554,"")))</f>
        <v/>
      </c>
      <c r="AP554" s="24" t="str">
        <f aca="false">IF(AO554="","",IF(AD554&lt;&gt;"","Reported reach","Impressions (proxy)"))</f>
        <v/>
      </c>
      <c r="AQ554" s="34" t="str">
        <f aca="false">IF(OR(AO554="",N(S554)=0),"",AO554/S554)</f>
        <v/>
      </c>
      <c r="AR554" s="33" t="str">
        <f aca="false">IF(A554="","",IF(COUNT(AF554:AJ554)=0,"",SUM(AF554:AJ554)))</f>
        <v/>
      </c>
      <c r="AS554" s="34" t="str">
        <f aca="false">IF(OR(AR554="",N(AO554)=0),"",AR554/AO554)</f>
        <v/>
      </c>
      <c r="AT554" s="34" t="str">
        <f aca="false">IF(OR(AR554="",N(AC554)=0),"",AR554/AC554)</f>
        <v/>
      </c>
      <c r="AU554" s="34" t="str">
        <f aca="false">IF(OR(AR554="",N(S554)=0),"",AR554/S554)</f>
        <v/>
      </c>
      <c r="AV554" s="34" t="str">
        <f aca="false">IF(OR(AJ554="",N(AC554)=0),"",AJ554/AC554)</f>
        <v/>
      </c>
      <c r="AW554" s="34" t="str">
        <f aca="false">IF(OR(AH554="",N(AO554)=0),"",AH554/AO554)</f>
        <v/>
      </c>
      <c r="AX554" s="35" t="str">
        <f aca="false">IF(OR(AR554="",N(AO554)=0),"",(N(AF554)*Settings!$B$6+N(AG554)*Settings!$B$7+N(AH554)*Settings!$B$8+N(AI554)*Settings!$B$9+N(AJ554)*Settings!$B$10)/AO554*1000)</f>
        <v/>
      </c>
      <c r="AY554" s="36" t="str">
        <f aca="false">IF(AS554="","",IFERROR(AS554/AVERAGEIFS('Post Tracker'!$AS$5:$AS$1004,'Post Tracker'!$G$5:$G$1004,G554),""))</f>
        <v/>
      </c>
      <c r="AZ554" s="32"/>
      <c r="BA554" s="32"/>
      <c r="BB554" s="32"/>
      <c r="BC554" s="32"/>
      <c r="BD554" s="33" t="str">
        <f aca="false">IF(A554="","",COUNTIFS('Demo Pipeline'!$Q$5:$Q$504,A554))</f>
        <v/>
      </c>
      <c r="BE554" s="33" t="str">
        <f aca="false">IF(A554="","",COUNTIFS('Demo Pipeline'!$Q$5:$Q$504,A554,'Demo Pipeline'!$W$5:$W$504,"Attended"))</f>
        <v/>
      </c>
      <c r="BF554" s="33" t="str">
        <f aca="false">IF(A554="","",COUNTIFS('Demo Pipeline'!$Q$5:$Q$504,A554,'Demo Pipeline'!$X$5:$X$504,"Yes"))</f>
        <v/>
      </c>
      <c r="BG554" s="33" t="str">
        <f aca="false">IF(A554="","",COUNTIFS('Demo Pipeline'!$Q$5:$Q$504,A554,'Demo Pipeline'!$Y$5:$Y$504,"Closed Won"))</f>
        <v/>
      </c>
      <c r="BH554" s="37" t="str">
        <f aca="false">IF(A554="","",SUMIFS('Demo Pipeline'!$Z$5:$Z$504,'Demo Pipeline'!$Q$5:$Q$504,A554))</f>
        <v/>
      </c>
      <c r="BI554" s="34" t="str">
        <f aca="false">IF(OR(AZ554="",N(AJ554)=0),"",AZ554/AJ554)</f>
        <v/>
      </c>
      <c r="BJ554" s="34" t="str">
        <f aca="false">IF(OR(BB554="",N(AZ554)=0),"",BB554/AZ554)</f>
        <v/>
      </c>
      <c r="BK554" s="34" t="str">
        <f aca="false">IF(OR(A554="",N(BB554)=0),"",BD554/BB554)</f>
        <v/>
      </c>
      <c r="BL554" s="34" t="str">
        <f aca="false">IF(OR(A554="",N(AZ554)=0),"",BD554/AZ554)</f>
        <v/>
      </c>
      <c r="BM554" s="37" t="str">
        <f aca="false">IF(OR(N(Q554)=0,N(BD554)=0),"",Q554/BD554)</f>
        <v/>
      </c>
      <c r="BN554" s="29"/>
      <c r="BO554" s="29"/>
      <c r="BP554" s="33" t="str">
        <f aca="false">IF(OR(AR554="",N(AO554)=0),"",AR554)</f>
        <v/>
      </c>
      <c r="BQ554" s="33" t="str">
        <f aca="false">IF(OR(AR554="",N(S554)=0),"",S554)</f>
        <v/>
      </c>
      <c r="BR554" s="38" t="str">
        <f aca="false">IF(AND(ISNUMBER(B554),B554&gt;=Dashboard!$C$4,B554&lt;=Dashboard!$F$4,ISNUMBER(AU554)),AU554+ROW()/10^9,"")</f>
        <v/>
      </c>
      <c r="BS554" s="38" t="str">
        <f aca="false">IF(AND(ISNUMBER(B554),B554&gt;=Dashboard!$C$4,B554&lt;=Dashboard!$F$4,A554&lt;&gt;""),N(BD554)+N(AU554)/100+ROW()/10^9,"")</f>
        <v/>
      </c>
    </row>
    <row r="555" customFormat="false" ht="15" hidden="false" customHeight="false" outlineLevel="0" collapsed="false">
      <c r="A555" s="24" t="str">
        <f aca="false">IF(OR(B555="",G555="",H555=""),"",IFERROR(INDEX(Settings!$E$5:$E$49,MATCH(G555,Settings!$D$5:$D$49,0))&amp;INDEX(Settings!$H$5:$H$47,MATCH(H555,Settings!$G$5:$G$47,0))&amp;"-"&amp;TEXT(B555,"yymmdd")&amp;"-"&amp;IF(C555="","0000",TEXT(C555,"hhmm")),"CHECK LISTS"))</f>
        <v/>
      </c>
      <c r="B555" s="39"/>
      <c r="C555" s="40"/>
      <c r="D555" s="24" t="str">
        <f aca="false">IF(B555="","",TEXT(B555,"ddd"))</f>
        <v/>
      </c>
      <c r="E555" s="27" t="str">
        <f aca="false">IF(B555="","",B555-WEEKDAY(B555,3))</f>
        <v/>
      </c>
      <c r="F555" s="24" t="str">
        <f aca="false">IF(B555="","",TEXT(B555,"yyyy-mm"))</f>
        <v/>
      </c>
      <c r="G555" s="29"/>
      <c r="H555" s="29"/>
      <c r="I555" s="29"/>
      <c r="J555" s="29"/>
      <c r="K555" s="29"/>
      <c r="L555" s="29"/>
      <c r="M555" s="29"/>
      <c r="N555" s="29"/>
      <c r="O555" s="29"/>
      <c r="P555" s="29"/>
      <c r="Q555" s="30"/>
      <c r="R555" s="29"/>
      <c r="S555" s="32"/>
      <c r="T555" s="29"/>
      <c r="U555" s="29"/>
      <c r="V555" s="24" t="str">
        <f aca="false">IF(A555="","",IFERROR(INDEX(Settings!$F$5:$F$49,MATCH(G555,Settings!$D$5:$D$49,0)),""))</f>
        <v/>
      </c>
      <c r="W555" s="24" t="str">
        <f aca="false">IF(A555="","",IF(OR(P555="",P555="Organic"),"social","paid_social"))</f>
        <v/>
      </c>
      <c r="X555" s="24" t="str">
        <f aca="false">IF(A555="","",IF(K555&lt;&gt;"",IFERROR(INDEX('Case Studies'!$C$5:$C$54,MATCH(K555,'Case Studies'!$B$5:$B$54,0))&amp;"","case-study"),IF(J555&lt;&gt;"",IFERROR(INDEX(Settings!$J$5:$J$55,MATCH(J555,Settings!$I$5:$I$55,0)),"general"),"general")))</f>
        <v/>
      </c>
      <c r="Y555" s="24" t="str">
        <f aca="false">IF(A555="","",LOWER(A555))</f>
        <v/>
      </c>
      <c r="Z555" s="24" t="str">
        <f aca="false">IF(A555="","",IF(T555="",Settings!$B$5,T555)&amp;IF(ISNUMBER(FIND("?",IF(T555="",Settings!$B$5,T555))),"&amp;","?")&amp;"utm_source="&amp;V555&amp;"&amp;utm_medium="&amp;W555&amp;"&amp;utm_campaign="&amp;X555&amp;"&amp;utm_content="&amp;Y555)</f>
        <v/>
      </c>
      <c r="AA555" s="29"/>
      <c r="AB555" s="39"/>
      <c r="AC555" s="32"/>
      <c r="AD555" s="32"/>
      <c r="AE555" s="32"/>
      <c r="AF555" s="32"/>
      <c r="AG555" s="32"/>
      <c r="AH555" s="32"/>
      <c r="AI555" s="32"/>
      <c r="AJ555" s="32"/>
      <c r="AK555" s="32"/>
      <c r="AL555" s="32"/>
      <c r="AM555" s="32"/>
      <c r="AN555" s="32"/>
      <c r="AO555" s="33" t="str">
        <f aca="false">IF(A555="","",IF(AD555&lt;&gt;"",AD555,IF(AC555&lt;&gt;"",AC555,"")))</f>
        <v/>
      </c>
      <c r="AP555" s="24" t="str">
        <f aca="false">IF(AO555="","",IF(AD555&lt;&gt;"","Reported reach","Impressions (proxy)"))</f>
        <v/>
      </c>
      <c r="AQ555" s="34" t="str">
        <f aca="false">IF(OR(AO555="",N(S555)=0),"",AO555/S555)</f>
        <v/>
      </c>
      <c r="AR555" s="33" t="str">
        <f aca="false">IF(A555="","",IF(COUNT(AF555:AJ555)=0,"",SUM(AF555:AJ555)))</f>
        <v/>
      </c>
      <c r="AS555" s="34" t="str">
        <f aca="false">IF(OR(AR555="",N(AO555)=0),"",AR555/AO555)</f>
        <v/>
      </c>
      <c r="AT555" s="34" t="str">
        <f aca="false">IF(OR(AR555="",N(AC555)=0),"",AR555/AC555)</f>
        <v/>
      </c>
      <c r="AU555" s="34" t="str">
        <f aca="false">IF(OR(AR555="",N(S555)=0),"",AR555/S555)</f>
        <v/>
      </c>
      <c r="AV555" s="34" t="str">
        <f aca="false">IF(OR(AJ555="",N(AC555)=0),"",AJ555/AC555)</f>
        <v/>
      </c>
      <c r="AW555" s="34" t="str">
        <f aca="false">IF(OR(AH555="",N(AO555)=0),"",AH555/AO555)</f>
        <v/>
      </c>
      <c r="AX555" s="35" t="str">
        <f aca="false">IF(OR(AR555="",N(AO555)=0),"",(N(AF555)*Settings!$B$6+N(AG555)*Settings!$B$7+N(AH555)*Settings!$B$8+N(AI555)*Settings!$B$9+N(AJ555)*Settings!$B$10)/AO555*1000)</f>
        <v/>
      </c>
      <c r="AY555" s="36" t="str">
        <f aca="false">IF(AS555="","",IFERROR(AS555/AVERAGEIFS('Post Tracker'!$AS$5:$AS$1004,'Post Tracker'!$G$5:$G$1004,G555),""))</f>
        <v/>
      </c>
      <c r="AZ555" s="32"/>
      <c r="BA555" s="32"/>
      <c r="BB555" s="32"/>
      <c r="BC555" s="32"/>
      <c r="BD555" s="33" t="str">
        <f aca="false">IF(A555="","",COUNTIFS('Demo Pipeline'!$Q$5:$Q$504,A555))</f>
        <v/>
      </c>
      <c r="BE555" s="33" t="str">
        <f aca="false">IF(A555="","",COUNTIFS('Demo Pipeline'!$Q$5:$Q$504,A555,'Demo Pipeline'!$W$5:$W$504,"Attended"))</f>
        <v/>
      </c>
      <c r="BF555" s="33" t="str">
        <f aca="false">IF(A555="","",COUNTIFS('Demo Pipeline'!$Q$5:$Q$504,A555,'Demo Pipeline'!$X$5:$X$504,"Yes"))</f>
        <v/>
      </c>
      <c r="BG555" s="33" t="str">
        <f aca="false">IF(A555="","",COUNTIFS('Demo Pipeline'!$Q$5:$Q$504,A555,'Demo Pipeline'!$Y$5:$Y$504,"Closed Won"))</f>
        <v/>
      </c>
      <c r="BH555" s="37" t="str">
        <f aca="false">IF(A555="","",SUMIFS('Demo Pipeline'!$Z$5:$Z$504,'Demo Pipeline'!$Q$5:$Q$504,A555))</f>
        <v/>
      </c>
      <c r="BI555" s="34" t="str">
        <f aca="false">IF(OR(AZ555="",N(AJ555)=0),"",AZ555/AJ555)</f>
        <v/>
      </c>
      <c r="BJ555" s="34" t="str">
        <f aca="false">IF(OR(BB555="",N(AZ555)=0),"",BB555/AZ555)</f>
        <v/>
      </c>
      <c r="BK555" s="34" t="str">
        <f aca="false">IF(OR(A555="",N(BB555)=0),"",BD555/BB555)</f>
        <v/>
      </c>
      <c r="BL555" s="34" t="str">
        <f aca="false">IF(OR(A555="",N(AZ555)=0),"",BD555/AZ555)</f>
        <v/>
      </c>
      <c r="BM555" s="37" t="str">
        <f aca="false">IF(OR(N(Q555)=0,N(BD555)=0),"",Q555/BD555)</f>
        <v/>
      </c>
      <c r="BN555" s="29"/>
      <c r="BO555" s="29"/>
      <c r="BP555" s="33" t="str">
        <f aca="false">IF(OR(AR555="",N(AO555)=0),"",AR555)</f>
        <v/>
      </c>
      <c r="BQ555" s="33" t="str">
        <f aca="false">IF(OR(AR555="",N(S555)=0),"",S555)</f>
        <v/>
      </c>
      <c r="BR555" s="38" t="str">
        <f aca="false">IF(AND(ISNUMBER(B555),B555&gt;=Dashboard!$C$4,B555&lt;=Dashboard!$F$4,ISNUMBER(AU555)),AU555+ROW()/10^9,"")</f>
        <v/>
      </c>
      <c r="BS555" s="38" t="str">
        <f aca="false">IF(AND(ISNUMBER(B555),B555&gt;=Dashboard!$C$4,B555&lt;=Dashboard!$F$4,A555&lt;&gt;""),N(BD555)+N(AU555)/100+ROW()/10^9,"")</f>
        <v/>
      </c>
    </row>
    <row r="556" customFormat="false" ht="15" hidden="false" customHeight="false" outlineLevel="0" collapsed="false">
      <c r="A556" s="24" t="str">
        <f aca="false">IF(OR(B556="",G556="",H556=""),"",IFERROR(INDEX(Settings!$E$5:$E$49,MATCH(G556,Settings!$D$5:$D$49,0))&amp;INDEX(Settings!$H$5:$H$47,MATCH(H556,Settings!$G$5:$G$47,0))&amp;"-"&amp;TEXT(B556,"yymmdd")&amp;"-"&amp;IF(C556="","0000",TEXT(C556,"hhmm")),"CHECK LISTS"))</f>
        <v/>
      </c>
      <c r="B556" s="39"/>
      <c r="C556" s="40"/>
      <c r="D556" s="24" t="str">
        <f aca="false">IF(B556="","",TEXT(B556,"ddd"))</f>
        <v/>
      </c>
      <c r="E556" s="27" t="str">
        <f aca="false">IF(B556="","",B556-WEEKDAY(B556,3))</f>
        <v/>
      </c>
      <c r="F556" s="24" t="str">
        <f aca="false">IF(B556="","",TEXT(B556,"yyyy-mm"))</f>
        <v/>
      </c>
      <c r="G556" s="29"/>
      <c r="H556" s="29"/>
      <c r="I556" s="29"/>
      <c r="J556" s="29"/>
      <c r="K556" s="29"/>
      <c r="L556" s="29"/>
      <c r="M556" s="29"/>
      <c r="N556" s="29"/>
      <c r="O556" s="29"/>
      <c r="P556" s="29"/>
      <c r="Q556" s="30"/>
      <c r="R556" s="29"/>
      <c r="S556" s="32"/>
      <c r="T556" s="29"/>
      <c r="U556" s="29"/>
      <c r="V556" s="24" t="str">
        <f aca="false">IF(A556="","",IFERROR(INDEX(Settings!$F$5:$F$49,MATCH(G556,Settings!$D$5:$D$49,0)),""))</f>
        <v/>
      </c>
      <c r="W556" s="24" t="str">
        <f aca="false">IF(A556="","",IF(OR(P556="",P556="Organic"),"social","paid_social"))</f>
        <v/>
      </c>
      <c r="X556" s="24" t="str">
        <f aca="false">IF(A556="","",IF(K556&lt;&gt;"",IFERROR(INDEX('Case Studies'!$C$5:$C$54,MATCH(K556,'Case Studies'!$B$5:$B$54,0))&amp;"","case-study"),IF(J556&lt;&gt;"",IFERROR(INDEX(Settings!$J$5:$J$55,MATCH(J556,Settings!$I$5:$I$55,0)),"general"),"general")))</f>
        <v/>
      </c>
      <c r="Y556" s="24" t="str">
        <f aca="false">IF(A556="","",LOWER(A556))</f>
        <v/>
      </c>
      <c r="Z556" s="24" t="str">
        <f aca="false">IF(A556="","",IF(T556="",Settings!$B$5,T556)&amp;IF(ISNUMBER(FIND("?",IF(T556="",Settings!$B$5,T556))),"&amp;","?")&amp;"utm_source="&amp;V556&amp;"&amp;utm_medium="&amp;W556&amp;"&amp;utm_campaign="&amp;X556&amp;"&amp;utm_content="&amp;Y556)</f>
        <v/>
      </c>
      <c r="AA556" s="29"/>
      <c r="AB556" s="39"/>
      <c r="AC556" s="32"/>
      <c r="AD556" s="32"/>
      <c r="AE556" s="32"/>
      <c r="AF556" s="32"/>
      <c r="AG556" s="32"/>
      <c r="AH556" s="32"/>
      <c r="AI556" s="32"/>
      <c r="AJ556" s="32"/>
      <c r="AK556" s="32"/>
      <c r="AL556" s="32"/>
      <c r="AM556" s="32"/>
      <c r="AN556" s="32"/>
      <c r="AO556" s="33" t="str">
        <f aca="false">IF(A556="","",IF(AD556&lt;&gt;"",AD556,IF(AC556&lt;&gt;"",AC556,"")))</f>
        <v/>
      </c>
      <c r="AP556" s="24" t="str">
        <f aca="false">IF(AO556="","",IF(AD556&lt;&gt;"","Reported reach","Impressions (proxy)"))</f>
        <v/>
      </c>
      <c r="AQ556" s="34" t="str">
        <f aca="false">IF(OR(AO556="",N(S556)=0),"",AO556/S556)</f>
        <v/>
      </c>
      <c r="AR556" s="33" t="str">
        <f aca="false">IF(A556="","",IF(COUNT(AF556:AJ556)=0,"",SUM(AF556:AJ556)))</f>
        <v/>
      </c>
      <c r="AS556" s="34" t="str">
        <f aca="false">IF(OR(AR556="",N(AO556)=0),"",AR556/AO556)</f>
        <v/>
      </c>
      <c r="AT556" s="34" t="str">
        <f aca="false">IF(OR(AR556="",N(AC556)=0),"",AR556/AC556)</f>
        <v/>
      </c>
      <c r="AU556" s="34" t="str">
        <f aca="false">IF(OR(AR556="",N(S556)=0),"",AR556/S556)</f>
        <v/>
      </c>
      <c r="AV556" s="34" t="str">
        <f aca="false">IF(OR(AJ556="",N(AC556)=0),"",AJ556/AC556)</f>
        <v/>
      </c>
      <c r="AW556" s="34" t="str">
        <f aca="false">IF(OR(AH556="",N(AO556)=0),"",AH556/AO556)</f>
        <v/>
      </c>
      <c r="AX556" s="35" t="str">
        <f aca="false">IF(OR(AR556="",N(AO556)=0),"",(N(AF556)*Settings!$B$6+N(AG556)*Settings!$B$7+N(AH556)*Settings!$B$8+N(AI556)*Settings!$B$9+N(AJ556)*Settings!$B$10)/AO556*1000)</f>
        <v/>
      </c>
      <c r="AY556" s="36" t="str">
        <f aca="false">IF(AS556="","",IFERROR(AS556/AVERAGEIFS('Post Tracker'!$AS$5:$AS$1004,'Post Tracker'!$G$5:$G$1004,G556),""))</f>
        <v/>
      </c>
      <c r="AZ556" s="32"/>
      <c r="BA556" s="32"/>
      <c r="BB556" s="32"/>
      <c r="BC556" s="32"/>
      <c r="BD556" s="33" t="str">
        <f aca="false">IF(A556="","",COUNTIFS('Demo Pipeline'!$Q$5:$Q$504,A556))</f>
        <v/>
      </c>
      <c r="BE556" s="33" t="str">
        <f aca="false">IF(A556="","",COUNTIFS('Demo Pipeline'!$Q$5:$Q$504,A556,'Demo Pipeline'!$W$5:$W$504,"Attended"))</f>
        <v/>
      </c>
      <c r="BF556" s="33" t="str">
        <f aca="false">IF(A556="","",COUNTIFS('Demo Pipeline'!$Q$5:$Q$504,A556,'Demo Pipeline'!$X$5:$X$504,"Yes"))</f>
        <v/>
      </c>
      <c r="BG556" s="33" t="str">
        <f aca="false">IF(A556="","",COUNTIFS('Demo Pipeline'!$Q$5:$Q$504,A556,'Demo Pipeline'!$Y$5:$Y$504,"Closed Won"))</f>
        <v/>
      </c>
      <c r="BH556" s="37" t="str">
        <f aca="false">IF(A556="","",SUMIFS('Demo Pipeline'!$Z$5:$Z$504,'Demo Pipeline'!$Q$5:$Q$504,A556))</f>
        <v/>
      </c>
      <c r="BI556" s="34" t="str">
        <f aca="false">IF(OR(AZ556="",N(AJ556)=0),"",AZ556/AJ556)</f>
        <v/>
      </c>
      <c r="BJ556" s="34" t="str">
        <f aca="false">IF(OR(BB556="",N(AZ556)=0),"",BB556/AZ556)</f>
        <v/>
      </c>
      <c r="BK556" s="34" t="str">
        <f aca="false">IF(OR(A556="",N(BB556)=0),"",BD556/BB556)</f>
        <v/>
      </c>
      <c r="BL556" s="34" t="str">
        <f aca="false">IF(OR(A556="",N(AZ556)=0),"",BD556/AZ556)</f>
        <v/>
      </c>
      <c r="BM556" s="37" t="str">
        <f aca="false">IF(OR(N(Q556)=0,N(BD556)=0),"",Q556/BD556)</f>
        <v/>
      </c>
      <c r="BN556" s="29"/>
      <c r="BO556" s="29"/>
      <c r="BP556" s="33" t="str">
        <f aca="false">IF(OR(AR556="",N(AO556)=0),"",AR556)</f>
        <v/>
      </c>
      <c r="BQ556" s="33" t="str">
        <f aca="false">IF(OR(AR556="",N(S556)=0),"",S556)</f>
        <v/>
      </c>
      <c r="BR556" s="38" t="str">
        <f aca="false">IF(AND(ISNUMBER(B556),B556&gt;=Dashboard!$C$4,B556&lt;=Dashboard!$F$4,ISNUMBER(AU556)),AU556+ROW()/10^9,"")</f>
        <v/>
      </c>
      <c r="BS556" s="38" t="str">
        <f aca="false">IF(AND(ISNUMBER(B556),B556&gt;=Dashboard!$C$4,B556&lt;=Dashboard!$F$4,A556&lt;&gt;""),N(BD556)+N(AU556)/100+ROW()/10^9,"")</f>
        <v/>
      </c>
    </row>
    <row r="557" customFormat="false" ht="15" hidden="false" customHeight="false" outlineLevel="0" collapsed="false">
      <c r="A557" s="24" t="str">
        <f aca="false">IF(OR(B557="",G557="",H557=""),"",IFERROR(INDEX(Settings!$E$5:$E$49,MATCH(G557,Settings!$D$5:$D$49,0))&amp;INDEX(Settings!$H$5:$H$47,MATCH(H557,Settings!$G$5:$G$47,0))&amp;"-"&amp;TEXT(B557,"yymmdd")&amp;"-"&amp;IF(C557="","0000",TEXT(C557,"hhmm")),"CHECK LISTS"))</f>
        <v/>
      </c>
      <c r="B557" s="39"/>
      <c r="C557" s="40"/>
      <c r="D557" s="24" t="str">
        <f aca="false">IF(B557="","",TEXT(B557,"ddd"))</f>
        <v/>
      </c>
      <c r="E557" s="27" t="str">
        <f aca="false">IF(B557="","",B557-WEEKDAY(B557,3))</f>
        <v/>
      </c>
      <c r="F557" s="24" t="str">
        <f aca="false">IF(B557="","",TEXT(B557,"yyyy-mm"))</f>
        <v/>
      </c>
      <c r="G557" s="29"/>
      <c r="H557" s="29"/>
      <c r="I557" s="29"/>
      <c r="J557" s="29"/>
      <c r="K557" s="29"/>
      <c r="L557" s="29"/>
      <c r="M557" s="29"/>
      <c r="N557" s="29"/>
      <c r="O557" s="29"/>
      <c r="P557" s="29"/>
      <c r="Q557" s="30"/>
      <c r="R557" s="29"/>
      <c r="S557" s="32"/>
      <c r="T557" s="29"/>
      <c r="U557" s="29"/>
      <c r="V557" s="24" t="str">
        <f aca="false">IF(A557="","",IFERROR(INDEX(Settings!$F$5:$F$49,MATCH(G557,Settings!$D$5:$D$49,0)),""))</f>
        <v/>
      </c>
      <c r="W557" s="24" t="str">
        <f aca="false">IF(A557="","",IF(OR(P557="",P557="Organic"),"social","paid_social"))</f>
        <v/>
      </c>
      <c r="X557" s="24" t="str">
        <f aca="false">IF(A557="","",IF(K557&lt;&gt;"",IFERROR(INDEX('Case Studies'!$C$5:$C$54,MATCH(K557,'Case Studies'!$B$5:$B$54,0))&amp;"","case-study"),IF(J557&lt;&gt;"",IFERROR(INDEX(Settings!$J$5:$J$55,MATCH(J557,Settings!$I$5:$I$55,0)),"general"),"general")))</f>
        <v/>
      </c>
      <c r="Y557" s="24" t="str">
        <f aca="false">IF(A557="","",LOWER(A557))</f>
        <v/>
      </c>
      <c r="Z557" s="24" t="str">
        <f aca="false">IF(A557="","",IF(T557="",Settings!$B$5,T557)&amp;IF(ISNUMBER(FIND("?",IF(T557="",Settings!$B$5,T557))),"&amp;","?")&amp;"utm_source="&amp;V557&amp;"&amp;utm_medium="&amp;W557&amp;"&amp;utm_campaign="&amp;X557&amp;"&amp;utm_content="&amp;Y557)</f>
        <v/>
      </c>
      <c r="AA557" s="29"/>
      <c r="AB557" s="39"/>
      <c r="AC557" s="32"/>
      <c r="AD557" s="32"/>
      <c r="AE557" s="32"/>
      <c r="AF557" s="32"/>
      <c r="AG557" s="32"/>
      <c r="AH557" s="32"/>
      <c r="AI557" s="32"/>
      <c r="AJ557" s="32"/>
      <c r="AK557" s="32"/>
      <c r="AL557" s="32"/>
      <c r="AM557" s="32"/>
      <c r="AN557" s="32"/>
      <c r="AO557" s="33" t="str">
        <f aca="false">IF(A557="","",IF(AD557&lt;&gt;"",AD557,IF(AC557&lt;&gt;"",AC557,"")))</f>
        <v/>
      </c>
      <c r="AP557" s="24" t="str">
        <f aca="false">IF(AO557="","",IF(AD557&lt;&gt;"","Reported reach","Impressions (proxy)"))</f>
        <v/>
      </c>
      <c r="AQ557" s="34" t="str">
        <f aca="false">IF(OR(AO557="",N(S557)=0),"",AO557/S557)</f>
        <v/>
      </c>
      <c r="AR557" s="33" t="str">
        <f aca="false">IF(A557="","",IF(COUNT(AF557:AJ557)=0,"",SUM(AF557:AJ557)))</f>
        <v/>
      </c>
      <c r="AS557" s="34" t="str">
        <f aca="false">IF(OR(AR557="",N(AO557)=0),"",AR557/AO557)</f>
        <v/>
      </c>
      <c r="AT557" s="34" t="str">
        <f aca="false">IF(OR(AR557="",N(AC557)=0),"",AR557/AC557)</f>
        <v/>
      </c>
      <c r="AU557" s="34" t="str">
        <f aca="false">IF(OR(AR557="",N(S557)=0),"",AR557/S557)</f>
        <v/>
      </c>
      <c r="AV557" s="34" t="str">
        <f aca="false">IF(OR(AJ557="",N(AC557)=0),"",AJ557/AC557)</f>
        <v/>
      </c>
      <c r="AW557" s="34" t="str">
        <f aca="false">IF(OR(AH557="",N(AO557)=0),"",AH557/AO557)</f>
        <v/>
      </c>
      <c r="AX557" s="35" t="str">
        <f aca="false">IF(OR(AR557="",N(AO557)=0),"",(N(AF557)*Settings!$B$6+N(AG557)*Settings!$B$7+N(AH557)*Settings!$B$8+N(AI557)*Settings!$B$9+N(AJ557)*Settings!$B$10)/AO557*1000)</f>
        <v/>
      </c>
      <c r="AY557" s="36" t="str">
        <f aca="false">IF(AS557="","",IFERROR(AS557/AVERAGEIFS('Post Tracker'!$AS$5:$AS$1004,'Post Tracker'!$G$5:$G$1004,G557),""))</f>
        <v/>
      </c>
      <c r="AZ557" s="32"/>
      <c r="BA557" s="32"/>
      <c r="BB557" s="32"/>
      <c r="BC557" s="32"/>
      <c r="BD557" s="33" t="str">
        <f aca="false">IF(A557="","",COUNTIFS('Demo Pipeline'!$Q$5:$Q$504,A557))</f>
        <v/>
      </c>
      <c r="BE557" s="33" t="str">
        <f aca="false">IF(A557="","",COUNTIFS('Demo Pipeline'!$Q$5:$Q$504,A557,'Demo Pipeline'!$W$5:$W$504,"Attended"))</f>
        <v/>
      </c>
      <c r="BF557" s="33" t="str">
        <f aca="false">IF(A557="","",COUNTIFS('Demo Pipeline'!$Q$5:$Q$504,A557,'Demo Pipeline'!$X$5:$X$504,"Yes"))</f>
        <v/>
      </c>
      <c r="BG557" s="33" t="str">
        <f aca="false">IF(A557="","",COUNTIFS('Demo Pipeline'!$Q$5:$Q$504,A557,'Demo Pipeline'!$Y$5:$Y$504,"Closed Won"))</f>
        <v/>
      </c>
      <c r="BH557" s="37" t="str">
        <f aca="false">IF(A557="","",SUMIFS('Demo Pipeline'!$Z$5:$Z$504,'Demo Pipeline'!$Q$5:$Q$504,A557))</f>
        <v/>
      </c>
      <c r="BI557" s="34" t="str">
        <f aca="false">IF(OR(AZ557="",N(AJ557)=0),"",AZ557/AJ557)</f>
        <v/>
      </c>
      <c r="BJ557" s="34" t="str">
        <f aca="false">IF(OR(BB557="",N(AZ557)=0),"",BB557/AZ557)</f>
        <v/>
      </c>
      <c r="BK557" s="34" t="str">
        <f aca="false">IF(OR(A557="",N(BB557)=0),"",BD557/BB557)</f>
        <v/>
      </c>
      <c r="BL557" s="34" t="str">
        <f aca="false">IF(OR(A557="",N(AZ557)=0),"",BD557/AZ557)</f>
        <v/>
      </c>
      <c r="BM557" s="37" t="str">
        <f aca="false">IF(OR(N(Q557)=0,N(BD557)=0),"",Q557/BD557)</f>
        <v/>
      </c>
      <c r="BN557" s="29"/>
      <c r="BO557" s="29"/>
      <c r="BP557" s="33" t="str">
        <f aca="false">IF(OR(AR557="",N(AO557)=0),"",AR557)</f>
        <v/>
      </c>
      <c r="BQ557" s="33" t="str">
        <f aca="false">IF(OR(AR557="",N(S557)=0),"",S557)</f>
        <v/>
      </c>
      <c r="BR557" s="38" t="str">
        <f aca="false">IF(AND(ISNUMBER(B557),B557&gt;=Dashboard!$C$4,B557&lt;=Dashboard!$F$4,ISNUMBER(AU557)),AU557+ROW()/10^9,"")</f>
        <v/>
      </c>
      <c r="BS557" s="38" t="str">
        <f aca="false">IF(AND(ISNUMBER(B557),B557&gt;=Dashboard!$C$4,B557&lt;=Dashboard!$F$4,A557&lt;&gt;""),N(BD557)+N(AU557)/100+ROW()/10^9,"")</f>
        <v/>
      </c>
    </row>
    <row r="558" customFormat="false" ht="15" hidden="false" customHeight="false" outlineLevel="0" collapsed="false">
      <c r="A558" s="24" t="str">
        <f aca="false">IF(OR(B558="",G558="",H558=""),"",IFERROR(INDEX(Settings!$E$5:$E$49,MATCH(G558,Settings!$D$5:$D$49,0))&amp;INDEX(Settings!$H$5:$H$47,MATCH(H558,Settings!$G$5:$G$47,0))&amp;"-"&amp;TEXT(B558,"yymmdd")&amp;"-"&amp;IF(C558="","0000",TEXT(C558,"hhmm")),"CHECK LISTS"))</f>
        <v/>
      </c>
      <c r="B558" s="39"/>
      <c r="C558" s="40"/>
      <c r="D558" s="24" t="str">
        <f aca="false">IF(B558="","",TEXT(B558,"ddd"))</f>
        <v/>
      </c>
      <c r="E558" s="27" t="str">
        <f aca="false">IF(B558="","",B558-WEEKDAY(B558,3))</f>
        <v/>
      </c>
      <c r="F558" s="24" t="str">
        <f aca="false">IF(B558="","",TEXT(B558,"yyyy-mm"))</f>
        <v/>
      </c>
      <c r="G558" s="29"/>
      <c r="H558" s="29"/>
      <c r="I558" s="29"/>
      <c r="J558" s="29"/>
      <c r="K558" s="29"/>
      <c r="L558" s="29"/>
      <c r="M558" s="29"/>
      <c r="N558" s="29"/>
      <c r="O558" s="29"/>
      <c r="P558" s="29"/>
      <c r="Q558" s="30"/>
      <c r="R558" s="29"/>
      <c r="S558" s="32"/>
      <c r="T558" s="29"/>
      <c r="U558" s="29"/>
      <c r="V558" s="24" t="str">
        <f aca="false">IF(A558="","",IFERROR(INDEX(Settings!$F$5:$F$49,MATCH(G558,Settings!$D$5:$D$49,0)),""))</f>
        <v/>
      </c>
      <c r="W558" s="24" t="str">
        <f aca="false">IF(A558="","",IF(OR(P558="",P558="Organic"),"social","paid_social"))</f>
        <v/>
      </c>
      <c r="X558" s="24" t="str">
        <f aca="false">IF(A558="","",IF(K558&lt;&gt;"",IFERROR(INDEX('Case Studies'!$C$5:$C$54,MATCH(K558,'Case Studies'!$B$5:$B$54,0))&amp;"","case-study"),IF(J558&lt;&gt;"",IFERROR(INDEX(Settings!$J$5:$J$55,MATCH(J558,Settings!$I$5:$I$55,0)),"general"),"general")))</f>
        <v/>
      </c>
      <c r="Y558" s="24" t="str">
        <f aca="false">IF(A558="","",LOWER(A558))</f>
        <v/>
      </c>
      <c r="Z558" s="24" t="str">
        <f aca="false">IF(A558="","",IF(T558="",Settings!$B$5,T558)&amp;IF(ISNUMBER(FIND("?",IF(T558="",Settings!$B$5,T558))),"&amp;","?")&amp;"utm_source="&amp;V558&amp;"&amp;utm_medium="&amp;W558&amp;"&amp;utm_campaign="&amp;X558&amp;"&amp;utm_content="&amp;Y558)</f>
        <v/>
      </c>
      <c r="AA558" s="29"/>
      <c r="AB558" s="39"/>
      <c r="AC558" s="32"/>
      <c r="AD558" s="32"/>
      <c r="AE558" s="32"/>
      <c r="AF558" s="32"/>
      <c r="AG558" s="32"/>
      <c r="AH558" s="32"/>
      <c r="AI558" s="32"/>
      <c r="AJ558" s="32"/>
      <c r="AK558" s="32"/>
      <c r="AL558" s="32"/>
      <c r="AM558" s="32"/>
      <c r="AN558" s="32"/>
      <c r="AO558" s="33" t="str">
        <f aca="false">IF(A558="","",IF(AD558&lt;&gt;"",AD558,IF(AC558&lt;&gt;"",AC558,"")))</f>
        <v/>
      </c>
      <c r="AP558" s="24" t="str">
        <f aca="false">IF(AO558="","",IF(AD558&lt;&gt;"","Reported reach","Impressions (proxy)"))</f>
        <v/>
      </c>
      <c r="AQ558" s="34" t="str">
        <f aca="false">IF(OR(AO558="",N(S558)=0),"",AO558/S558)</f>
        <v/>
      </c>
      <c r="AR558" s="33" t="str">
        <f aca="false">IF(A558="","",IF(COUNT(AF558:AJ558)=0,"",SUM(AF558:AJ558)))</f>
        <v/>
      </c>
      <c r="AS558" s="34" t="str">
        <f aca="false">IF(OR(AR558="",N(AO558)=0),"",AR558/AO558)</f>
        <v/>
      </c>
      <c r="AT558" s="34" t="str">
        <f aca="false">IF(OR(AR558="",N(AC558)=0),"",AR558/AC558)</f>
        <v/>
      </c>
      <c r="AU558" s="34" t="str">
        <f aca="false">IF(OR(AR558="",N(S558)=0),"",AR558/S558)</f>
        <v/>
      </c>
      <c r="AV558" s="34" t="str">
        <f aca="false">IF(OR(AJ558="",N(AC558)=0),"",AJ558/AC558)</f>
        <v/>
      </c>
      <c r="AW558" s="34" t="str">
        <f aca="false">IF(OR(AH558="",N(AO558)=0),"",AH558/AO558)</f>
        <v/>
      </c>
      <c r="AX558" s="35" t="str">
        <f aca="false">IF(OR(AR558="",N(AO558)=0),"",(N(AF558)*Settings!$B$6+N(AG558)*Settings!$B$7+N(AH558)*Settings!$B$8+N(AI558)*Settings!$B$9+N(AJ558)*Settings!$B$10)/AO558*1000)</f>
        <v/>
      </c>
      <c r="AY558" s="36" t="str">
        <f aca="false">IF(AS558="","",IFERROR(AS558/AVERAGEIFS('Post Tracker'!$AS$5:$AS$1004,'Post Tracker'!$G$5:$G$1004,G558),""))</f>
        <v/>
      </c>
      <c r="AZ558" s="32"/>
      <c r="BA558" s="32"/>
      <c r="BB558" s="32"/>
      <c r="BC558" s="32"/>
      <c r="BD558" s="33" t="str">
        <f aca="false">IF(A558="","",COUNTIFS('Demo Pipeline'!$Q$5:$Q$504,A558))</f>
        <v/>
      </c>
      <c r="BE558" s="33" t="str">
        <f aca="false">IF(A558="","",COUNTIFS('Demo Pipeline'!$Q$5:$Q$504,A558,'Demo Pipeline'!$W$5:$W$504,"Attended"))</f>
        <v/>
      </c>
      <c r="BF558" s="33" t="str">
        <f aca="false">IF(A558="","",COUNTIFS('Demo Pipeline'!$Q$5:$Q$504,A558,'Demo Pipeline'!$X$5:$X$504,"Yes"))</f>
        <v/>
      </c>
      <c r="BG558" s="33" t="str">
        <f aca="false">IF(A558="","",COUNTIFS('Demo Pipeline'!$Q$5:$Q$504,A558,'Demo Pipeline'!$Y$5:$Y$504,"Closed Won"))</f>
        <v/>
      </c>
      <c r="BH558" s="37" t="str">
        <f aca="false">IF(A558="","",SUMIFS('Demo Pipeline'!$Z$5:$Z$504,'Demo Pipeline'!$Q$5:$Q$504,A558))</f>
        <v/>
      </c>
      <c r="BI558" s="34" t="str">
        <f aca="false">IF(OR(AZ558="",N(AJ558)=0),"",AZ558/AJ558)</f>
        <v/>
      </c>
      <c r="BJ558" s="34" t="str">
        <f aca="false">IF(OR(BB558="",N(AZ558)=0),"",BB558/AZ558)</f>
        <v/>
      </c>
      <c r="BK558" s="34" t="str">
        <f aca="false">IF(OR(A558="",N(BB558)=0),"",BD558/BB558)</f>
        <v/>
      </c>
      <c r="BL558" s="34" t="str">
        <f aca="false">IF(OR(A558="",N(AZ558)=0),"",BD558/AZ558)</f>
        <v/>
      </c>
      <c r="BM558" s="37" t="str">
        <f aca="false">IF(OR(N(Q558)=0,N(BD558)=0),"",Q558/BD558)</f>
        <v/>
      </c>
      <c r="BN558" s="29"/>
      <c r="BO558" s="29"/>
      <c r="BP558" s="33" t="str">
        <f aca="false">IF(OR(AR558="",N(AO558)=0),"",AR558)</f>
        <v/>
      </c>
      <c r="BQ558" s="33" t="str">
        <f aca="false">IF(OR(AR558="",N(S558)=0),"",S558)</f>
        <v/>
      </c>
      <c r="BR558" s="38" t="str">
        <f aca="false">IF(AND(ISNUMBER(B558),B558&gt;=Dashboard!$C$4,B558&lt;=Dashboard!$F$4,ISNUMBER(AU558)),AU558+ROW()/10^9,"")</f>
        <v/>
      </c>
      <c r="BS558" s="38" t="str">
        <f aca="false">IF(AND(ISNUMBER(B558),B558&gt;=Dashboard!$C$4,B558&lt;=Dashboard!$F$4,A558&lt;&gt;""),N(BD558)+N(AU558)/100+ROW()/10^9,"")</f>
        <v/>
      </c>
    </row>
    <row r="559" customFormat="false" ht="15" hidden="false" customHeight="false" outlineLevel="0" collapsed="false">
      <c r="A559" s="24" t="str">
        <f aca="false">IF(OR(B559="",G559="",H559=""),"",IFERROR(INDEX(Settings!$E$5:$E$49,MATCH(G559,Settings!$D$5:$D$49,0))&amp;INDEX(Settings!$H$5:$H$47,MATCH(H559,Settings!$G$5:$G$47,0))&amp;"-"&amp;TEXT(B559,"yymmdd")&amp;"-"&amp;IF(C559="","0000",TEXT(C559,"hhmm")),"CHECK LISTS"))</f>
        <v/>
      </c>
      <c r="B559" s="39"/>
      <c r="C559" s="40"/>
      <c r="D559" s="24" t="str">
        <f aca="false">IF(B559="","",TEXT(B559,"ddd"))</f>
        <v/>
      </c>
      <c r="E559" s="27" t="str">
        <f aca="false">IF(B559="","",B559-WEEKDAY(B559,3))</f>
        <v/>
      </c>
      <c r="F559" s="24" t="str">
        <f aca="false">IF(B559="","",TEXT(B559,"yyyy-mm"))</f>
        <v/>
      </c>
      <c r="G559" s="29"/>
      <c r="H559" s="29"/>
      <c r="I559" s="29"/>
      <c r="J559" s="29"/>
      <c r="K559" s="29"/>
      <c r="L559" s="29"/>
      <c r="M559" s="29"/>
      <c r="N559" s="29"/>
      <c r="O559" s="29"/>
      <c r="P559" s="29"/>
      <c r="Q559" s="30"/>
      <c r="R559" s="29"/>
      <c r="S559" s="32"/>
      <c r="T559" s="29"/>
      <c r="U559" s="29"/>
      <c r="V559" s="24" t="str">
        <f aca="false">IF(A559="","",IFERROR(INDEX(Settings!$F$5:$F$49,MATCH(G559,Settings!$D$5:$D$49,0)),""))</f>
        <v/>
      </c>
      <c r="W559" s="24" t="str">
        <f aca="false">IF(A559="","",IF(OR(P559="",P559="Organic"),"social","paid_social"))</f>
        <v/>
      </c>
      <c r="X559" s="24" t="str">
        <f aca="false">IF(A559="","",IF(K559&lt;&gt;"",IFERROR(INDEX('Case Studies'!$C$5:$C$54,MATCH(K559,'Case Studies'!$B$5:$B$54,0))&amp;"","case-study"),IF(J559&lt;&gt;"",IFERROR(INDEX(Settings!$J$5:$J$55,MATCH(J559,Settings!$I$5:$I$55,0)),"general"),"general")))</f>
        <v/>
      </c>
      <c r="Y559" s="24" t="str">
        <f aca="false">IF(A559="","",LOWER(A559))</f>
        <v/>
      </c>
      <c r="Z559" s="24" t="str">
        <f aca="false">IF(A559="","",IF(T559="",Settings!$B$5,T559)&amp;IF(ISNUMBER(FIND("?",IF(T559="",Settings!$B$5,T559))),"&amp;","?")&amp;"utm_source="&amp;V559&amp;"&amp;utm_medium="&amp;W559&amp;"&amp;utm_campaign="&amp;X559&amp;"&amp;utm_content="&amp;Y559)</f>
        <v/>
      </c>
      <c r="AA559" s="29"/>
      <c r="AB559" s="39"/>
      <c r="AC559" s="32"/>
      <c r="AD559" s="32"/>
      <c r="AE559" s="32"/>
      <c r="AF559" s="32"/>
      <c r="AG559" s="32"/>
      <c r="AH559" s="32"/>
      <c r="AI559" s="32"/>
      <c r="AJ559" s="32"/>
      <c r="AK559" s="32"/>
      <c r="AL559" s="32"/>
      <c r="AM559" s="32"/>
      <c r="AN559" s="32"/>
      <c r="AO559" s="33" t="str">
        <f aca="false">IF(A559="","",IF(AD559&lt;&gt;"",AD559,IF(AC559&lt;&gt;"",AC559,"")))</f>
        <v/>
      </c>
      <c r="AP559" s="24" t="str">
        <f aca="false">IF(AO559="","",IF(AD559&lt;&gt;"","Reported reach","Impressions (proxy)"))</f>
        <v/>
      </c>
      <c r="AQ559" s="34" t="str">
        <f aca="false">IF(OR(AO559="",N(S559)=0),"",AO559/S559)</f>
        <v/>
      </c>
      <c r="AR559" s="33" t="str">
        <f aca="false">IF(A559="","",IF(COUNT(AF559:AJ559)=0,"",SUM(AF559:AJ559)))</f>
        <v/>
      </c>
      <c r="AS559" s="34" t="str">
        <f aca="false">IF(OR(AR559="",N(AO559)=0),"",AR559/AO559)</f>
        <v/>
      </c>
      <c r="AT559" s="34" t="str">
        <f aca="false">IF(OR(AR559="",N(AC559)=0),"",AR559/AC559)</f>
        <v/>
      </c>
      <c r="AU559" s="34" t="str">
        <f aca="false">IF(OR(AR559="",N(S559)=0),"",AR559/S559)</f>
        <v/>
      </c>
      <c r="AV559" s="34" t="str">
        <f aca="false">IF(OR(AJ559="",N(AC559)=0),"",AJ559/AC559)</f>
        <v/>
      </c>
      <c r="AW559" s="34" t="str">
        <f aca="false">IF(OR(AH559="",N(AO559)=0),"",AH559/AO559)</f>
        <v/>
      </c>
      <c r="AX559" s="35" t="str">
        <f aca="false">IF(OR(AR559="",N(AO559)=0),"",(N(AF559)*Settings!$B$6+N(AG559)*Settings!$B$7+N(AH559)*Settings!$B$8+N(AI559)*Settings!$B$9+N(AJ559)*Settings!$B$10)/AO559*1000)</f>
        <v/>
      </c>
      <c r="AY559" s="36" t="str">
        <f aca="false">IF(AS559="","",IFERROR(AS559/AVERAGEIFS('Post Tracker'!$AS$5:$AS$1004,'Post Tracker'!$G$5:$G$1004,G559),""))</f>
        <v/>
      </c>
      <c r="AZ559" s="32"/>
      <c r="BA559" s="32"/>
      <c r="BB559" s="32"/>
      <c r="BC559" s="32"/>
      <c r="BD559" s="33" t="str">
        <f aca="false">IF(A559="","",COUNTIFS('Demo Pipeline'!$Q$5:$Q$504,A559))</f>
        <v/>
      </c>
      <c r="BE559" s="33" t="str">
        <f aca="false">IF(A559="","",COUNTIFS('Demo Pipeline'!$Q$5:$Q$504,A559,'Demo Pipeline'!$W$5:$W$504,"Attended"))</f>
        <v/>
      </c>
      <c r="BF559" s="33" t="str">
        <f aca="false">IF(A559="","",COUNTIFS('Demo Pipeline'!$Q$5:$Q$504,A559,'Demo Pipeline'!$X$5:$X$504,"Yes"))</f>
        <v/>
      </c>
      <c r="BG559" s="33" t="str">
        <f aca="false">IF(A559="","",COUNTIFS('Demo Pipeline'!$Q$5:$Q$504,A559,'Demo Pipeline'!$Y$5:$Y$504,"Closed Won"))</f>
        <v/>
      </c>
      <c r="BH559" s="37" t="str">
        <f aca="false">IF(A559="","",SUMIFS('Demo Pipeline'!$Z$5:$Z$504,'Demo Pipeline'!$Q$5:$Q$504,A559))</f>
        <v/>
      </c>
      <c r="BI559" s="34" t="str">
        <f aca="false">IF(OR(AZ559="",N(AJ559)=0),"",AZ559/AJ559)</f>
        <v/>
      </c>
      <c r="BJ559" s="34" t="str">
        <f aca="false">IF(OR(BB559="",N(AZ559)=0),"",BB559/AZ559)</f>
        <v/>
      </c>
      <c r="BK559" s="34" t="str">
        <f aca="false">IF(OR(A559="",N(BB559)=0),"",BD559/BB559)</f>
        <v/>
      </c>
      <c r="BL559" s="34" t="str">
        <f aca="false">IF(OR(A559="",N(AZ559)=0),"",BD559/AZ559)</f>
        <v/>
      </c>
      <c r="BM559" s="37" t="str">
        <f aca="false">IF(OR(N(Q559)=0,N(BD559)=0),"",Q559/BD559)</f>
        <v/>
      </c>
      <c r="BN559" s="29"/>
      <c r="BO559" s="29"/>
      <c r="BP559" s="33" t="str">
        <f aca="false">IF(OR(AR559="",N(AO559)=0),"",AR559)</f>
        <v/>
      </c>
      <c r="BQ559" s="33" t="str">
        <f aca="false">IF(OR(AR559="",N(S559)=0),"",S559)</f>
        <v/>
      </c>
      <c r="BR559" s="38" t="str">
        <f aca="false">IF(AND(ISNUMBER(B559),B559&gt;=Dashboard!$C$4,B559&lt;=Dashboard!$F$4,ISNUMBER(AU559)),AU559+ROW()/10^9,"")</f>
        <v/>
      </c>
      <c r="BS559" s="38" t="str">
        <f aca="false">IF(AND(ISNUMBER(B559),B559&gt;=Dashboard!$C$4,B559&lt;=Dashboard!$F$4,A559&lt;&gt;""),N(BD559)+N(AU559)/100+ROW()/10^9,"")</f>
        <v/>
      </c>
    </row>
    <row r="560" customFormat="false" ht="15" hidden="false" customHeight="false" outlineLevel="0" collapsed="false">
      <c r="A560" s="24" t="str">
        <f aca="false">IF(OR(B560="",G560="",H560=""),"",IFERROR(INDEX(Settings!$E$5:$E$49,MATCH(G560,Settings!$D$5:$D$49,0))&amp;INDEX(Settings!$H$5:$H$47,MATCH(H560,Settings!$G$5:$G$47,0))&amp;"-"&amp;TEXT(B560,"yymmdd")&amp;"-"&amp;IF(C560="","0000",TEXT(C560,"hhmm")),"CHECK LISTS"))</f>
        <v/>
      </c>
      <c r="B560" s="39"/>
      <c r="C560" s="40"/>
      <c r="D560" s="24" t="str">
        <f aca="false">IF(B560="","",TEXT(B560,"ddd"))</f>
        <v/>
      </c>
      <c r="E560" s="27" t="str">
        <f aca="false">IF(B560="","",B560-WEEKDAY(B560,3))</f>
        <v/>
      </c>
      <c r="F560" s="24" t="str">
        <f aca="false">IF(B560="","",TEXT(B560,"yyyy-mm"))</f>
        <v/>
      </c>
      <c r="G560" s="29"/>
      <c r="H560" s="29"/>
      <c r="I560" s="29"/>
      <c r="J560" s="29"/>
      <c r="K560" s="29"/>
      <c r="L560" s="29"/>
      <c r="M560" s="29"/>
      <c r="N560" s="29"/>
      <c r="O560" s="29"/>
      <c r="P560" s="29"/>
      <c r="Q560" s="30"/>
      <c r="R560" s="29"/>
      <c r="S560" s="32"/>
      <c r="T560" s="29"/>
      <c r="U560" s="29"/>
      <c r="V560" s="24" t="str">
        <f aca="false">IF(A560="","",IFERROR(INDEX(Settings!$F$5:$F$49,MATCH(G560,Settings!$D$5:$D$49,0)),""))</f>
        <v/>
      </c>
      <c r="W560" s="24" t="str">
        <f aca="false">IF(A560="","",IF(OR(P560="",P560="Organic"),"social","paid_social"))</f>
        <v/>
      </c>
      <c r="X560" s="24" t="str">
        <f aca="false">IF(A560="","",IF(K560&lt;&gt;"",IFERROR(INDEX('Case Studies'!$C$5:$C$54,MATCH(K560,'Case Studies'!$B$5:$B$54,0))&amp;"","case-study"),IF(J560&lt;&gt;"",IFERROR(INDEX(Settings!$J$5:$J$55,MATCH(J560,Settings!$I$5:$I$55,0)),"general"),"general")))</f>
        <v/>
      </c>
      <c r="Y560" s="24" t="str">
        <f aca="false">IF(A560="","",LOWER(A560))</f>
        <v/>
      </c>
      <c r="Z560" s="24" t="str">
        <f aca="false">IF(A560="","",IF(T560="",Settings!$B$5,T560)&amp;IF(ISNUMBER(FIND("?",IF(T560="",Settings!$B$5,T560))),"&amp;","?")&amp;"utm_source="&amp;V560&amp;"&amp;utm_medium="&amp;W560&amp;"&amp;utm_campaign="&amp;X560&amp;"&amp;utm_content="&amp;Y560)</f>
        <v/>
      </c>
      <c r="AA560" s="29"/>
      <c r="AB560" s="39"/>
      <c r="AC560" s="32"/>
      <c r="AD560" s="32"/>
      <c r="AE560" s="32"/>
      <c r="AF560" s="32"/>
      <c r="AG560" s="32"/>
      <c r="AH560" s="32"/>
      <c r="AI560" s="32"/>
      <c r="AJ560" s="32"/>
      <c r="AK560" s="32"/>
      <c r="AL560" s="32"/>
      <c r="AM560" s="32"/>
      <c r="AN560" s="32"/>
      <c r="AO560" s="33" t="str">
        <f aca="false">IF(A560="","",IF(AD560&lt;&gt;"",AD560,IF(AC560&lt;&gt;"",AC560,"")))</f>
        <v/>
      </c>
      <c r="AP560" s="24" t="str">
        <f aca="false">IF(AO560="","",IF(AD560&lt;&gt;"","Reported reach","Impressions (proxy)"))</f>
        <v/>
      </c>
      <c r="AQ560" s="34" t="str">
        <f aca="false">IF(OR(AO560="",N(S560)=0),"",AO560/S560)</f>
        <v/>
      </c>
      <c r="AR560" s="33" t="str">
        <f aca="false">IF(A560="","",IF(COUNT(AF560:AJ560)=0,"",SUM(AF560:AJ560)))</f>
        <v/>
      </c>
      <c r="AS560" s="34" t="str">
        <f aca="false">IF(OR(AR560="",N(AO560)=0),"",AR560/AO560)</f>
        <v/>
      </c>
      <c r="AT560" s="34" t="str">
        <f aca="false">IF(OR(AR560="",N(AC560)=0),"",AR560/AC560)</f>
        <v/>
      </c>
      <c r="AU560" s="34" t="str">
        <f aca="false">IF(OR(AR560="",N(S560)=0),"",AR560/S560)</f>
        <v/>
      </c>
      <c r="AV560" s="34" t="str">
        <f aca="false">IF(OR(AJ560="",N(AC560)=0),"",AJ560/AC560)</f>
        <v/>
      </c>
      <c r="AW560" s="34" t="str">
        <f aca="false">IF(OR(AH560="",N(AO560)=0),"",AH560/AO560)</f>
        <v/>
      </c>
      <c r="AX560" s="35" t="str">
        <f aca="false">IF(OR(AR560="",N(AO560)=0),"",(N(AF560)*Settings!$B$6+N(AG560)*Settings!$B$7+N(AH560)*Settings!$B$8+N(AI560)*Settings!$B$9+N(AJ560)*Settings!$B$10)/AO560*1000)</f>
        <v/>
      </c>
      <c r="AY560" s="36" t="str">
        <f aca="false">IF(AS560="","",IFERROR(AS560/AVERAGEIFS('Post Tracker'!$AS$5:$AS$1004,'Post Tracker'!$G$5:$G$1004,G560),""))</f>
        <v/>
      </c>
      <c r="AZ560" s="32"/>
      <c r="BA560" s="32"/>
      <c r="BB560" s="32"/>
      <c r="BC560" s="32"/>
      <c r="BD560" s="33" t="str">
        <f aca="false">IF(A560="","",COUNTIFS('Demo Pipeline'!$Q$5:$Q$504,A560))</f>
        <v/>
      </c>
      <c r="BE560" s="33" t="str">
        <f aca="false">IF(A560="","",COUNTIFS('Demo Pipeline'!$Q$5:$Q$504,A560,'Demo Pipeline'!$W$5:$W$504,"Attended"))</f>
        <v/>
      </c>
      <c r="BF560" s="33" t="str">
        <f aca="false">IF(A560="","",COUNTIFS('Demo Pipeline'!$Q$5:$Q$504,A560,'Demo Pipeline'!$X$5:$X$504,"Yes"))</f>
        <v/>
      </c>
      <c r="BG560" s="33" t="str">
        <f aca="false">IF(A560="","",COUNTIFS('Demo Pipeline'!$Q$5:$Q$504,A560,'Demo Pipeline'!$Y$5:$Y$504,"Closed Won"))</f>
        <v/>
      </c>
      <c r="BH560" s="37" t="str">
        <f aca="false">IF(A560="","",SUMIFS('Demo Pipeline'!$Z$5:$Z$504,'Demo Pipeline'!$Q$5:$Q$504,A560))</f>
        <v/>
      </c>
      <c r="BI560" s="34" t="str">
        <f aca="false">IF(OR(AZ560="",N(AJ560)=0),"",AZ560/AJ560)</f>
        <v/>
      </c>
      <c r="BJ560" s="34" t="str">
        <f aca="false">IF(OR(BB560="",N(AZ560)=0),"",BB560/AZ560)</f>
        <v/>
      </c>
      <c r="BK560" s="34" t="str">
        <f aca="false">IF(OR(A560="",N(BB560)=0),"",BD560/BB560)</f>
        <v/>
      </c>
      <c r="BL560" s="34" t="str">
        <f aca="false">IF(OR(A560="",N(AZ560)=0),"",BD560/AZ560)</f>
        <v/>
      </c>
      <c r="BM560" s="37" t="str">
        <f aca="false">IF(OR(N(Q560)=0,N(BD560)=0),"",Q560/BD560)</f>
        <v/>
      </c>
      <c r="BN560" s="29"/>
      <c r="BO560" s="29"/>
      <c r="BP560" s="33" t="str">
        <f aca="false">IF(OR(AR560="",N(AO560)=0),"",AR560)</f>
        <v/>
      </c>
      <c r="BQ560" s="33" t="str">
        <f aca="false">IF(OR(AR560="",N(S560)=0),"",S560)</f>
        <v/>
      </c>
      <c r="BR560" s="38" t="str">
        <f aca="false">IF(AND(ISNUMBER(B560),B560&gt;=Dashboard!$C$4,B560&lt;=Dashboard!$F$4,ISNUMBER(AU560)),AU560+ROW()/10^9,"")</f>
        <v/>
      </c>
      <c r="BS560" s="38" t="str">
        <f aca="false">IF(AND(ISNUMBER(B560),B560&gt;=Dashboard!$C$4,B560&lt;=Dashboard!$F$4,A560&lt;&gt;""),N(BD560)+N(AU560)/100+ROW()/10^9,"")</f>
        <v/>
      </c>
    </row>
    <row r="561" customFormat="false" ht="15" hidden="false" customHeight="false" outlineLevel="0" collapsed="false">
      <c r="A561" s="24" t="str">
        <f aca="false">IF(OR(B561="",G561="",H561=""),"",IFERROR(INDEX(Settings!$E$5:$E$49,MATCH(G561,Settings!$D$5:$D$49,0))&amp;INDEX(Settings!$H$5:$H$47,MATCH(H561,Settings!$G$5:$G$47,0))&amp;"-"&amp;TEXT(B561,"yymmdd")&amp;"-"&amp;IF(C561="","0000",TEXT(C561,"hhmm")),"CHECK LISTS"))</f>
        <v/>
      </c>
      <c r="B561" s="39"/>
      <c r="C561" s="40"/>
      <c r="D561" s="24" t="str">
        <f aca="false">IF(B561="","",TEXT(B561,"ddd"))</f>
        <v/>
      </c>
      <c r="E561" s="27" t="str">
        <f aca="false">IF(B561="","",B561-WEEKDAY(B561,3))</f>
        <v/>
      </c>
      <c r="F561" s="24" t="str">
        <f aca="false">IF(B561="","",TEXT(B561,"yyyy-mm"))</f>
        <v/>
      </c>
      <c r="G561" s="29"/>
      <c r="H561" s="29"/>
      <c r="I561" s="29"/>
      <c r="J561" s="29"/>
      <c r="K561" s="29"/>
      <c r="L561" s="29"/>
      <c r="M561" s="29"/>
      <c r="N561" s="29"/>
      <c r="O561" s="29"/>
      <c r="P561" s="29"/>
      <c r="Q561" s="30"/>
      <c r="R561" s="29"/>
      <c r="S561" s="32"/>
      <c r="T561" s="29"/>
      <c r="U561" s="29"/>
      <c r="V561" s="24" t="str">
        <f aca="false">IF(A561="","",IFERROR(INDEX(Settings!$F$5:$F$49,MATCH(G561,Settings!$D$5:$D$49,0)),""))</f>
        <v/>
      </c>
      <c r="W561" s="24" t="str">
        <f aca="false">IF(A561="","",IF(OR(P561="",P561="Organic"),"social","paid_social"))</f>
        <v/>
      </c>
      <c r="X561" s="24" t="str">
        <f aca="false">IF(A561="","",IF(K561&lt;&gt;"",IFERROR(INDEX('Case Studies'!$C$5:$C$54,MATCH(K561,'Case Studies'!$B$5:$B$54,0))&amp;"","case-study"),IF(J561&lt;&gt;"",IFERROR(INDEX(Settings!$J$5:$J$55,MATCH(J561,Settings!$I$5:$I$55,0)),"general"),"general")))</f>
        <v/>
      </c>
      <c r="Y561" s="24" t="str">
        <f aca="false">IF(A561="","",LOWER(A561))</f>
        <v/>
      </c>
      <c r="Z561" s="24" t="str">
        <f aca="false">IF(A561="","",IF(T561="",Settings!$B$5,T561)&amp;IF(ISNUMBER(FIND("?",IF(T561="",Settings!$B$5,T561))),"&amp;","?")&amp;"utm_source="&amp;V561&amp;"&amp;utm_medium="&amp;W561&amp;"&amp;utm_campaign="&amp;X561&amp;"&amp;utm_content="&amp;Y561)</f>
        <v/>
      </c>
      <c r="AA561" s="29"/>
      <c r="AB561" s="39"/>
      <c r="AC561" s="32"/>
      <c r="AD561" s="32"/>
      <c r="AE561" s="32"/>
      <c r="AF561" s="32"/>
      <c r="AG561" s="32"/>
      <c r="AH561" s="32"/>
      <c r="AI561" s="32"/>
      <c r="AJ561" s="32"/>
      <c r="AK561" s="32"/>
      <c r="AL561" s="32"/>
      <c r="AM561" s="32"/>
      <c r="AN561" s="32"/>
      <c r="AO561" s="33" t="str">
        <f aca="false">IF(A561="","",IF(AD561&lt;&gt;"",AD561,IF(AC561&lt;&gt;"",AC561,"")))</f>
        <v/>
      </c>
      <c r="AP561" s="24" t="str">
        <f aca="false">IF(AO561="","",IF(AD561&lt;&gt;"","Reported reach","Impressions (proxy)"))</f>
        <v/>
      </c>
      <c r="AQ561" s="34" t="str">
        <f aca="false">IF(OR(AO561="",N(S561)=0),"",AO561/S561)</f>
        <v/>
      </c>
      <c r="AR561" s="33" t="str">
        <f aca="false">IF(A561="","",IF(COUNT(AF561:AJ561)=0,"",SUM(AF561:AJ561)))</f>
        <v/>
      </c>
      <c r="AS561" s="34" t="str">
        <f aca="false">IF(OR(AR561="",N(AO561)=0),"",AR561/AO561)</f>
        <v/>
      </c>
      <c r="AT561" s="34" t="str">
        <f aca="false">IF(OR(AR561="",N(AC561)=0),"",AR561/AC561)</f>
        <v/>
      </c>
      <c r="AU561" s="34" t="str">
        <f aca="false">IF(OR(AR561="",N(S561)=0),"",AR561/S561)</f>
        <v/>
      </c>
      <c r="AV561" s="34" t="str">
        <f aca="false">IF(OR(AJ561="",N(AC561)=0),"",AJ561/AC561)</f>
        <v/>
      </c>
      <c r="AW561" s="34" t="str">
        <f aca="false">IF(OR(AH561="",N(AO561)=0),"",AH561/AO561)</f>
        <v/>
      </c>
      <c r="AX561" s="35" t="str">
        <f aca="false">IF(OR(AR561="",N(AO561)=0),"",(N(AF561)*Settings!$B$6+N(AG561)*Settings!$B$7+N(AH561)*Settings!$B$8+N(AI561)*Settings!$B$9+N(AJ561)*Settings!$B$10)/AO561*1000)</f>
        <v/>
      </c>
      <c r="AY561" s="36" t="str">
        <f aca="false">IF(AS561="","",IFERROR(AS561/AVERAGEIFS('Post Tracker'!$AS$5:$AS$1004,'Post Tracker'!$G$5:$G$1004,G561),""))</f>
        <v/>
      </c>
      <c r="AZ561" s="32"/>
      <c r="BA561" s="32"/>
      <c r="BB561" s="32"/>
      <c r="BC561" s="32"/>
      <c r="BD561" s="33" t="str">
        <f aca="false">IF(A561="","",COUNTIFS('Demo Pipeline'!$Q$5:$Q$504,A561))</f>
        <v/>
      </c>
      <c r="BE561" s="33" t="str">
        <f aca="false">IF(A561="","",COUNTIFS('Demo Pipeline'!$Q$5:$Q$504,A561,'Demo Pipeline'!$W$5:$W$504,"Attended"))</f>
        <v/>
      </c>
      <c r="BF561" s="33" t="str">
        <f aca="false">IF(A561="","",COUNTIFS('Demo Pipeline'!$Q$5:$Q$504,A561,'Demo Pipeline'!$X$5:$X$504,"Yes"))</f>
        <v/>
      </c>
      <c r="BG561" s="33" t="str">
        <f aca="false">IF(A561="","",COUNTIFS('Demo Pipeline'!$Q$5:$Q$504,A561,'Demo Pipeline'!$Y$5:$Y$504,"Closed Won"))</f>
        <v/>
      </c>
      <c r="BH561" s="37" t="str">
        <f aca="false">IF(A561="","",SUMIFS('Demo Pipeline'!$Z$5:$Z$504,'Demo Pipeline'!$Q$5:$Q$504,A561))</f>
        <v/>
      </c>
      <c r="BI561" s="34" t="str">
        <f aca="false">IF(OR(AZ561="",N(AJ561)=0),"",AZ561/AJ561)</f>
        <v/>
      </c>
      <c r="BJ561" s="34" t="str">
        <f aca="false">IF(OR(BB561="",N(AZ561)=0),"",BB561/AZ561)</f>
        <v/>
      </c>
      <c r="BK561" s="34" t="str">
        <f aca="false">IF(OR(A561="",N(BB561)=0),"",BD561/BB561)</f>
        <v/>
      </c>
      <c r="BL561" s="34" t="str">
        <f aca="false">IF(OR(A561="",N(AZ561)=0),"",BD561/AZ561)</f>
        <v/>
      </c>
      <c r="BM561" s="37" t="str">
        <f aca="false">IF(OR(N(Q561)=0,N(BD561)=0),"",Q561/BD561)</f>
        <v/>
      </c>
      <c r="BN561" s="29"/>
      <c r="BO561" s="29"/>
      <c r="BP561" s="33" t="str">
        <f aca="false">IF(OR(AR561="",N(AO561)=0),"",AR561)</f>
        <v/>
      </c>
      <c r="BQ561" s="33" t="str">
        <f aca="false">IF(OR(AR561="",N(S561)=0),"",S561)</f>
        <v/>
      </c>
      <c r="BR561" s="38" t="str">
        <f aca="false">IF(AND(ISNUMBER(B561),B561&gt;=Dashboard!$C$4,B561&lt;=Dashboard!$F$4,ISNUMBER(AU561)),AU561+ROW()/10^9,"")</f>
        <v/>
      </c>
      <c r="BS561" s="38" t="str">
        <f aca="false">IF(AND(ISNUMBER(B561),B561&gt;=Dashboard!$C$4,B561&lt;=Dashboard!$F$4,A561&lt;&gt;""),N(BD561)+N(AU561)/100+ROW()/10^9,"")</f>
        <v/>
      </c>
    </row>
    <row r="562" customFormat="false" ht="15" hidden="false" customHeight="false" outlineLevel="0" collapsed="false">
      <c r="A562" s="24" t="str">
        <f aca="false">IF(OR(B562="",G562="",H562=""),"",IFERROR(INDEX(Settings!$E$5:$E$49,MATCH(G562,Settings!$D$5:$D$49,0))&amp;INDEX(Settings!$H$5:$H$47,MATCH(H562,Settings!$G$5:$G$47,0))&amp;"-"&amp;TEXT(B562,"yymmdd")&amp;"-"&amp;IF(C562="","0000",TEXT(C562,"hhmm")),"CHECK LISTS"))</f>
        <v/>
      </c>
      <c r="B562" s="39"/>
      <c r="C562" s="40"/>
      <c r="D562" s="24" t="str">
        <f aca="false">IF(B562="","",TEXT(B562,"ddd"))</f>
        <v/>
      </c>
      <c r="E562" s="27" t="str">
        <f aca="false">IF(B562="","",B562-WEEKDAY(B562,3))</f>
        <v/>
      </c>
      <c r="F562" s="24" t="str">
        <f aca="false">IF(B562="","",TEXT(B562,"yyyy-mm"))</f>
        <v/>
      </c>
      <c r="G562" s="29"/>
      <c r="H562" s="29"/>
      <c r="I562" s="29"/>
      <c r="J562" s="29"/>
      <c r="K562" s="29"/>
      <c r="L562" s="29"/>
      <c r="M562" s="29"/>
      <c r="N562" s="29"/>
      <c r="O562" s="29"/>
      <c r="P562" s="29"/>
      <c r="Q562" s="30"/>
      <c r="R562" s="29"/>
      <c r="S562" s="32"/>
      <c r="T562" s="29"/>
      <c r="U562" s="29"/>
      <c r="V562" s="24" t="str">
        <f aca="false">IF(A562="","",IFERROR(INDEX(Settings!$F$5:$F$49,MATCH(G562,Settings!$D$5:$D$49,0)),""))</f>
        <v/>
      </c>
      <c r="W562" s="24" t="str">
        <f aca="false">IF(A562="","",IF(OR(P562="",P562="Organic"),"social","paid_social"))</f>
        <v/>
      </c>
      <c r="X562" s="24" t="str">
        <f aca="false">IF(A562="","",IF(K562&lt;&gt;"",IFERROR(INDEX('Case Studies'!$C$5:$C$54,MATCH(K562,'Case Studies'!$B$5:$B$54,0))&amp;"","case-study"),IF(J562&lt;&gt;"",IFERROR(INDEX(Settings!$J$5:$J$55,MATCH(J562,Settings!$I$5:$I$55,0)),"general"),"general")))</f>
        <v/>
      </c>
      <c r="Y562" s="24" t="str">
        <f aca="false">IF(A562="","",LOWER(A562))</f>
        <v/>
      </c>
      <c r="Z562" s="24" t="str">
        <f aca="false">IF(A562="","",IF(T562="",Settings!$B$5,T562)&amp;IF(ISNUMBER(FIND("?",IF(T562="",Settings!$B$5,T562))),"&amp;","?")&amp;"utm_source="&amp;V562&amp;"&amp;utm_medium="&amp;W562&amp;"&amp;utm_campaign="&amp;X562&amp;"&amp;utm_content="&amp;Y562)</f>
        <v/>
      </c>
      <c r="AA562" s="29"/>
      <c r="AB562" s="39"/>
      <c r="AC562" s="32"/>
      <c r="AD562" s="32"/>
      <c r="AE562" s="32"/>
      <c r="AF562" s="32"/>
      <c r="AG562" s="32"/>
      <c r="AH562" s="32"/>
      <c r="AI562" s="32"/>
      <c r="AJ562" s="32"/>
      <c r="AK562" s="32"/>
      <c r="AL562" s="32"/>
      <c r="AM562" s="32"/>
      <c r="AN562" s="32"/>
      <c r="AO562" s="33" t="str">
        <f aca="false">IF(A562="","",IF(AD562&lt;&gt;"",AD562,IF(AC562&lt;&gt;"",AC562,"")))</f>
        <v/>
      </c>
      <c r="AP562" s="24" t="str">
        <f aca="false">IF(AO562="","",IF(AD562&lt;&gt;"","Reported reach","Impressions (proxy)"))</f>
        <v/>
      </c>
      <c r="AQ562" s="34" t="str">
        <f aca="false">IF(OR(AO562="",N(S562)=0),"",AO562/S562)</f>
        <v/>
      </c>
      <c r="AR562" s="33" t="str">
        <f aca="false">IF(A562="","",IF(COUNT(AF562:AJ562)=0,"",SUM(AF562:AJ562)))</f>
        <v/>
      </c>
      <c r="AS562" s="34" t="str">
        <f aca="false">IF(OR(AR562="",N(AO562)=0),"",AR562/AO562)</f>
        <v/>
      </c>
      <c r="AT562" s="34" t="str">
        <f aca="false">IF(OR(AR562="",N(AC562)=0),"",AR562/AC562)</f>
        <v/>
      </c>
      <c r="AU562" s="34" t="str">
        <f aca="false">IF(OR(AR562="",N(S562)=0),"",AR562/S562)</f>
        <v/>
      </c>
      <c r="AV562" s="34" t="str">
        <f aca="false">IF(OR(AJ562="",N(AC562)=0),"",AJ562/AC562)</f>
        <v/>
      </c>
      <c r="AW562" s="34" t="str">
        <f aca="false">IF(OR(AH562="",N(AO562)=0),"",AH562/AO562)</f>
        <v/>
      </c>
      <c r="AX562" s="35" t="str">
        <f aca="false">IF(OR(AR562="",N(AO562)=0),"",(N(AF562)*Settings!$B$6+N(AG562)*Settings!$B$7+N(AH562)*Settings!$B$8+N(AI562)*Settings!$B$9+N(AJ562)*Settings!$B$10)/AO562*1000)</f>
        <v/>
      </c>
      <c r="AY562" s="36" t="str">
        <f aca="false">IF(AS562="","",IFERROR(AS562/AVERAGEIFS('Post Tracker'!$AS$5:$AS$1004,'Post Tracker'!$G$5:$G$1004,G562),""))</f>
        <v/>
      </c>
      <c r="AZ562" s="32"/>
      <c r="BA562" s="32"/>
      <c r="BB562" s="32"/>
      <c r="BC562" s="32"/>
      <c r="BD562" s="33" t="str">
        <f aca="false">IF(A562="","",COUNTIFS('Demo Pipeline'!$Q$5:$Q$504,A562))</f>
        <v/>
      </c>
      <c r="BE562" s="33" t="str">
        <f aca="false">IF(A562="","",COUNTIFS('Demo Pipeline'!$Q$5:$Q$504,A562,'Demo Pipeline'!$W$5:$W$504,"Attended"))</f>
        <v/>
      </c>
      <c r="BF562" s="33" t="str">
        <f aca="false">IF(A562="","",COUNTIFS('Demo Pipeline'!$Q$5:$Q$504,A562,'Demo Pipeline'!$X$5:$X$504,"Yes"))</f>
        <v/>
      </c>
      <c r="BG562" s="33" t="str">
        <f aca="false">IF(A562="","",COUNTIFS('Demo Pipeline'!$Q$5:$Q$504,A562,'Demo Pipeline'!$Y$5:$Y$504,"Closed Won"))</f>
        <v/>
      </c>
      <c r="BH562" s="37" t="str">
        <f aca="false">IF(A562="","",SUMIFS('Demo Pipeline'!$Z$5:$Z$504,'Demo Pipeline'!$Q$5:$Q$504,A562))</f>
        <v/>
      </c>
      <c r="BI562" s="34" t="str">
        <f aca="false">IF(OR(AZ562="",N(AJ562)=0),"",AZ562/AJ562)</f>
        <v/>
      </c>
      <c r="BJ562" s="34" t="str">
        <f aca="false">IF(OR(BB562="",N(AZ562)=0),"",BB562/AZ562)</f>
        <v/>
      </c>
      <c r="BK562" s="34" t="str">
        <f aca="false">IF(OR(A562="",N(BB562)=0),"",BD562/BB562)</f>
        <v/>
      </c>
      <c r="BL562" s="34" t="str">
        <f aca="false">IF(OR(A562="",N(AZ562)=0),"",BD562/AZ562)</f>
        <v/>
      </c>
      <c r="BM562" s="37" t="str">
        <f aca="false">IF(OR(N(Q562)=0,N(BD562)=0),"",Q562/BD562)</f>
        <v/>
      </c>
      <c r="BN562" s="29"/>
      <c r="BO562" s="29"/>
      <c r="BP562" s="33" t="str">
        <f aca="false">IF(OR(AR562="",N(AO562)=0),"",AR562)</f>
        <v/>
      </c>
      <c r="BQ562" s="33" t="str">
        <f aca="false">IF(OR(AR562="",N(S562)=0),"",S562)</f>
        <v/>
      </c>
      <c r="BR562" s="38" t="str">
        <f aca="false">IF(AND(ISNUMBER(B562),B562&gt;=Dashboard!$C$4,B562&lt;=Dashboard!$F$4,ISNUMBER(AU562)),AU562+ROW()/10^9,"")</f>
        <v/>
      </c>
      <c r="BS562" s="38" t="str">
        <f aca="false">IF(AND(ISNUMBER(B562),B562&gt;=Dashboard!$C$4,B562&lt;=Dashboard!$F$4,A562&lt;&gt;""),N(BD562)+N(AU562)/100+ROW()/10^9,"")</f>
        <v/>
      </c>
    </row>
    <row r="563" customFormat="false" ht="15" hidden="false" customHeight="false" outlineLevel="0" collapsed="false">
      <c r="A563" s="24" t="str">
        <f aca="false">IF(OR(B563="",G563="",H563=""),"",IFERROR(INDEX(Settings!$E$5:$E$49,MATCH(G563,Settings!$D$5:$D$49,0))&amp;INDEX(Settings!$H$5:$H$47,MATCH(H563,Settings!$G$5:$G$47,0))&amp;"-"&amp;TEXT(B563,"yymmdd")&amp;"-"&amp;IF(C563="","0000",TEXT(C563,"hhmm")),"CHECK LISTS"))</f>
        <v/>
      </c>
      <c r="B563" s="39"/>
      <c r="C563" s="40"/>
      <c r="D563" s="24" t="str">
        <f aca="false">IF(B563="","",TEXT(B563,"ddd"))</f>
        <v/>
      </c>
      <c r="E563" s="27" t="str">
        <f aca="false">IF(B563="","",B563-WEEKDAY(B563,3))</f>
        <v/>
      </c>
      <c r="F563" s="24" t="str">
        <f aca="false">IF(B563="","",TEXT(B563,"yyyy-mm"))</f>
        <v/>
      </c>
      <c r="G563" s="29"/>
      <c r="H563" s="29"/>
      <c r="I563" s="29"/>
      <c r="J563" s="29"/>
      <c r="K563" s="29"/>
      <c r="L563" s="29"/>
      <c r="M563" s="29"/>
      <c r="N563" s="29"/>
      <c r="O563" s="29"/>
      <c r="P563" s="29"/>
      <c r="Q563" s="30"/>
      <c r="R563" s="29"/>
      <c r="S563" s="32"/>
      <c r="T563" s="29"/>
      <c r="U563" s="29"/>
      <c r="V563" s="24" t="str">
        <f aca="false">IF(A563="","",IFERROR(INDEX(Settings!$F$5:$F$49,MATCH(G563,Settings!$D$5:$D$49,0)),""))</f>
        <v/>
      </c>
      <c r="W563" s="24" t="str">
        <f aca="false">IF(A563="","",IF(OR(P563="",P563="Organic"),"social","paid_social"))</f>
        <v/>
      </c>
      <c r="X563" s="24" t="str">
        <f aca="false">IF(A563="","",IF(K563&lt;&gt;"",IFERROR(INDEX('Case Studies'!$C$5:$C$54,MATCH(K563,'Case Studies'!$B$5:$B$54,0))&amp;"","case-study"),IF(J563&lt;&gt;"",IFERROR(INDEX(Settings!$J$5:$J$55,MATCH(J563,Settings!$I$5:$I$55,0)),"general"),"general")))</f>
        <v/>
      </c>
      <c r="Y563" s="24" t="str">
        <f aca="false">IF(A563="","",LOWER(A563))</f>
        <v/>
      </c>
      <c r="Z563" s="24" t="str">
        <f aca="false">IF(A563="","",IF(T563="",Settings!$B$5,T563)&amp;IF(ISNUMBER(FIND("?",IF(T563="",Settings!$B$5,T563))),"&amp;","?")&amp;"utm_source="&amp;V563&amp;"&amp;utm_medium="&amp;W563&amp;"&amp;utm_campaign="&amp;X563&amp;"&amp;utm_content="&amp;Y563)</f>
        <v/>
      </c>
      <c r="AA563" s="29"/>
      <c r="AB563" s="39"/>
      <c r="AC563" s="32"/>
      <c r="AD563" s="32"/>
      <c r="AE563" s="32"/>
      <c r="AF563" s="32"/>
      <c r="AG563" s="32"/>
      <c r="AH563" s="32"/>
      <c r="AI563" s="32"/>
      <c r="AJ563" s="32"/>
      <c r="AK563" s="32"/>
      <c r="AL563" s="32"/>
      <c r="AM563" s="32"/>
      <c r="AN563" s="32"/>
      <c r="AO563" s="33" t="str">
        <f aca="false">IF(A563="","",IF(AD563&lt;&gt;"",AD563,IF(AC563&lt;&gt;"",AC563,"")))</f>
        <v/>
      </c>
      <c r="AP563" s="24" t="str">
        <f aca="false">IF(AO563="","",IF(AD563&lt;&gt;"","Reported reach","Impressions (proxy)"))</f>
        <v/>
      </c>
      <c r="AQ563" s="34" t="str">
        <f aca="false">IF(OR(AO563="",N(S563)=0),"",AO563/S563)</f>
        <v/>
      </c>
      <c r="AR563" s="33" t="str">
        <f aca="false">IF(A563="","",IF(COUNT(AF563:AJ563)=0,"",SUM(AF563:AJ563)))</f>
        <v/>
      </c>
      <c r="AS563" s="34" t="str">
        <f aca="false">IF(OR(AR563="",N(AO563)=0),"",AR563/AO563)</f>
        <v/>
      </c>
      <c r="AT563" s="34" t="str">
        <f aca="false">IF(OR(AR563="",N(AC563)=0),"",AR563/AC563)</f>
        <v/>
      </c>
      <c r="AU563" s="34" t="str">
        <f aca="false">IF(OR(AR563="",N(S563)=0),"",AR563/S563)</f>
        <v/>
      </c>
      <c r="AV563" s="34" t="str">
        <f aca="false">IF(OR(AJ563="",N(AC563)=0),"",AJ563/AC563)</f>
        <v/>
      </c>
      <c r="AW563" s="34" t="str">
        <f aca="false">IF(OR(AH563="",N(AO563)=0),"",AH563/AO563)</f>
        <v/>
      </c>
      <c r="AX563" s="35" t="str">
        <f aca="false">IF(OR(AR563="",N(AO563)=0),"",(N(AF563)*Settings!$B$6+N(AG563)*Settings!$B$7+N(AH563)*Settings!$B$8+N(AI563)*Settings!$B$9+N(AJ563)*Settings!$B$10)/AO563*1000)</f>
        <v/>
      </c>
      <c r="AY563" s="36" t="str">
        <f aca="false">IF(AS563="","",IFERROR(AS563/AVERAGEIFS('Post Tracker'!$AS$5:$AS$1004,'Post Tracker'!$G$5:$G$1004,G563),""))</f>
        <v/>
      </c>
      <c r="AZ563" s="32"/>
      <c r="BA563" s="32"/>
      <c r="BB563" s="32"/>
      <c r="BC563" s="32"/>
      <c r="BD563" s="33" t="str">
        <f aca="false">IF(A563="","",COUNTIFS('Demo Pipeline'!$Q$5:$Q$504,A563))</f>
        <v/>
      </c>
      <c r="BE563" s="33" t="str">
        <f aca="false">IF(A563="","",COUNTIFS('Demo Pipeline'!$Q$5:$Q$504,A563,'Demo Pipeline'!$W$5:$W$504,"Attended"))</f>
        <v/>
      </c>
      <c r="BF563" s="33" t="str">
        <f aca="false">IF(A563="","",COUNTIFS('Demo Pipeline'!$Q$5:$Q$504,A563,'Demo Pipeline'!$X$5:$X$504,"Yes"))</f>
        <v/>
      </c>
      <c r="BG563" s="33" t="str">
        <f aca="false">IF(A563="","",COUNTIFS('Demo Pipeline'!$Q$5:$Q$504,A563,'Demo Pipeline'!$Y$5:$Y$504,"Closed Won"))</f>
        <v/>
      </c>
      <c r="BH563" s="37" t="str">
        <f aca="false">IF(A563="","",SUMIFS('Demo Pipeline'!$Z$5:$Z$504,'Demo Pipeline'!$Q$5:$Q$504,A563))</f>
        <v/>
      </c>
      <c r="BI563" s="34" t="str">
        <f aca="false">IF(OR(AZ563="",N(AJ563)=0),"",AZ563/AJ563)</f>
        <v/>
      </c>
      <c r="BJ563" s="34" t="str">
        <f aca="false">IF(OR(BB563="",N(AZ563)=0),"",BB563/AZ563)</f>
        <v/>
      </c>
      <c r="BK563" s="34" t="str">
        <f aca="false">IF(OR(A563="",N(BB563)=0),"",BD563/BB563)</f>
        <v/>
      </c>
      <c r="BL563" s="34" t="str">
        <f aca="false">IF(OR(A563="",N(AZ563)=0),"",BD563/AZ563)</f>
        <v/>
      </c>
      <c r="BM563" s="37" t="str">
        <f aca="false">IF(OR(N(Q563)=0,N(BD563)=0),"",Q563/BD563)</f>
        <v/>
      </c>
      <c r="BN563" s="29"/>
      <c r="BO563" s="29"/>
      <c r="BP563" s="33" t="str">
        <f aca="false">IF(OR(AR563="",N(AO563)=0),"",AR563)</f>
        <v/>
      </c>
      <c r="BQ563" s="33" t="str">
        <f aca="false">IF(OR(AR563="",N(S563)=0),"",S563)</f>
        <v/>
      </c>
      <c r="BR563" s="38" t="str">
        <f aca="false">IF(AND(ISNUMBER(B563),B563&gt;=Dashboard!$C$4,B563&lt;=Dashboard!$F$4,ISNUMBER(AU563)),AU563+ROW()/10^9,"")</f>
        <v/>
      </c>
      <c r="BS563" s="38" t="str">
        <f aca="false">IF(AND(ISNUMBER(B563),B563&gt;=Dashboard!$C$4,B563&lt;=Dashboard!$F$4,A563&lt;&gt;""),N(BD563)+N(AU563)/100+ROW()/10^9,"")</f>
        <v/>
      </c>
    </row>
    <row r="564" customFormat="false" ht="15" hidden="false" customHeight="false" outlineLevel="0" collapsed="false">
      <c r="A564" s="24" t="str">
        <f aca="false">IF(OR(B564="",G564="",H564=""),"",IFERROR(INDEX(Settings!$E$5:$E$49,MATCH(G564,Settings!$D$5:$D$49,0))&amp;INDEX(Settings!$H$5:$H$47,MATCH(H564,Settings!$G$5:$G$47,0))&amp;"-"&amp;TEXT(B564,"yymmdd")&amp;"-"&amp;IF(C564="","0000",TEXT(C564,"hhmm")),"CHECK LISTS"))</f>
        <v/>
      </c>
      <c r="B564" s="39"/>
      <c r="C564" s="40"/>
      <c r="D564" s="24" t="str">
        <f aca="false">IF(B564="","",TEXT(B564,"ddd"))</f>
        <v/>
      </c>
      <c r="E564" s="27" t="str">
        <f aca="false">IF(B564="","",B564-WEEKDAY(B564,3))</f>
        <v/>
      </c>
      <c r="F564" s="24" t="str">
        <f aca="false">IF(B564="","",TEXT(B564,"yyyy-mm"))</f>
        <v/>
      </c>
      <c r="G564" s="29"/>
      <c r="H564" s="29"/>
      <c r="I564" s="29"/>
      <c r="J564" s="29"/>
      <c r="K564" s="29"/>
      <c r="L564" s="29"/>
      <c r="M564" s="29"/>
      <c r="N564" s="29"/>
      <c r="O564" s="29"/>
      <c r="P564" s="29"/>
      <c r="Q564" s="30"/>
      <c r="R564" s="29"/>
      <c r="S564" s="32"/>
      <c r="T564" s="29"/>
      <c r="U564" s="29"/>
      <c r="V564" s="24" t="str">
        <f aca="false">IF(A564="","",IFERROR(INDEX(Settings!$F$5:$F$49,MATCH(G564,Settings!$D$5:$D$49,0)),""))</f>
        <v/>
      </c>
      <c r="W564" s="24" t="str">
        <f aca="false">IF(A564="","",IF(OR(P564="",P564="Organic"),"social","paid_social"))</f>
        <v/>
      </c>
      <c r="X564" s="24" t="str">
        <f aca="false">IF(A564="","",IF(K564&lt;&gt;"",IFERROR(INDEX('Case Studies'!$C$5:$C$54,MATCH(K564,'Case Studies'!$B$5:$B$54,0))&amp;"","case-study"),IF(J564&lt;&gt;"",IFERROR(INDEX(Settings!$J$5:$J$55,MATCH(J564,Settings!$I$5:$I$55,0)),"general"),"general")))</f>
        <v/>
      </c>
      <c r="Y564" s="24" t="str">
        <f aca="false">IF(A564="","",LOWER(A564))</f>
        <v/>
      </c>
      <c r="Z564" s="24" t="str">
        <f aca="false">IF(A564="","",IF(T564="",Settings!$B$5,T564)&amp;IF(ISNUMBER(FIND("?",IF(T564="",Settings!$B$5,T564))),"&amp;","?")&amp;"utm_source="&amp;V564&amp;"&amp;utm_medium="&amp;W564&amp;"&amp;utm_campaign="&amp;X564&amp;"&amp;utm_content="&amp;Y564)</f>
        <v/>
      </c>
      <c r="AA564" s="29"/>
      <c r="AB564" s="39"/>
      <c r="AC564" s="32"/>
      <c r="AD564" s="32"/>
      <c r="AE564" s="32"/>
      <c r="AF564" s="32"/>
      <c r="AG564" s="32"/>
      <c r="AH564" s="32"/>
      <c r="AI564" s="32"/>
      <c r="AJ564" s="32"/>
      <c r="AK564" s="32"/>
      <c r="AL564" s="32"/>
      <c r="AM564" s="32"/>
      <c r="AN564" s="32"/>
      <c r="AO564" s="33" t="str">
        <f aca="false">IF(A564="","",IF(AD564&lt;&gt;"",AD564,IF(AC564&lt;&gt;"",AC564,"")))</f>
        <v/>
      </c>
      <c r="AP564" s="24" t="str">
        <f aca="false">IF(AO564="","",IF(AD564&lt;&gt;"","Reported reach","Impressions (proxy)"))</f>
        <v/>
      </c>
      <c r="AQ564" s="34" t="str">
        <f aca="false">IF(OR(AO564="",N(S564)=0),"",AO564/S564)</f>
        <v/>
      </c>
      <c r="AR564" s="33" t="str">
        <f aca="false">IF(A564="","",IF(COUNT(AF564:AJ564)=0,"",SUM(AF564:AJ564)))</f>
        <v/>
      </c>
      <c r="AS564" s="34" t="str">
        <f aca="false">IF(OR(AR564="",N(AO564)=0),"",AR564/AO564)</f>
        <v/>
      </c>
      <c r="AT564" s="34" t="str">
        <f aca="false">IF(OR(AR564="",N(AC564)=0),"",AR564/AC564)</f>
        <v/>
      </c>
      <c r="AU564" s="34" t="str">
        <f aca="false">IF(OR(AR564="",N(S564)=0),"",AR564/S564)</f>
        <v/>
      </c>
      <c r="AV564" s="34" t="str">
        <f aca="false">IF(OR(AJ564="",N(AC564)=0),"",AJ564/AC564)</f>
        <v/>
      </c>
      <c r="AW564" s="34" t="str">
        <f aca="false">IF(OR(AH564="",N(AO564)=0),"",AH564/AO564)</f>
        <v/>
      </c>
      <c r="AX564" s="35" t="str">
        <f aca="false">IF(OR(AR564="",N(AO564)=0),"",(N(AF564)*Settings!$B$6+N(AG564)*Settings!$B$7+N(AH564)*Settings!$B$8+N(AI564)*Settings!$B$9+N(AJ564)*Settings!$B$10)/AO564*1000)</f>
        <v/>
      </c>
      <c r="AY564" s="36" t="str">
        <f aca="false">IF(AS564="","",IFERROR(AS564/AVERAGEIFS('Post Tracker'!$AS$5:$AS$1004,'Post Tracker'!$G$5:$G$1004,G564),""))</f>
        <v/>
      </c>
      <c r="AZ564" s="32"/>
      <c r="BA564" s="32"/>
      <c r="BB564" s="32"/>
      <c r="BC564" s="32"/>
      <c r="BD564" s="33" t="str">
        <f aca="false">IF(A564="","",COUNTIFS('Demo Pipeline'!$Q$5:$Q$504,A564))</f>
        <v/>
      </c>
      <c r="BE564" s="33" t="str">
        <f aca="false">IF(A564="","",COUNTIFS('Demo Pipeline'!$Q$5:$Q$504,A564,'Demo Pipeline'!$W$5:$W$504,"Attended"))</f>
        <v/>
      </c>
      <c r="BF564" s="33" t="str">
        <f aca="false">IF(A564="","",COUNTIFS('Demo Pipeline'!$Q$5:$Q$504,A564,'Demo Pipeline'!$X$5:$X$504,"Yes"))</f>
        <v/>
      </c>
      <c r="BG564" s="33" t="str">
        <f aca="false">IF(A564="","",COUNTIFS('Demo Pipeline'!$Q$5:$Q$504,A564,'Demo Pipeline'!$Y$5:$Y$504,"Closed Won"))</f>
        <v/>
      </c>
      <c r="BH564" s="37" t="str">
        <f aca="false">IF(A564="","",SUMIFS('Demo Pipeline'!$Z$5:$Z$504,'Demo Pipeline'!$Q$5:$Q$504,A564))</f>
        <v/>
      </c>
      <c r="BI564" s="34" t="str">
        <f aca="false">IF(OR(AZ564="",N(AJ564)=0),"",AZ564/AJ564)</f>
        <v/>
      </c>
      <c r="BJ564" s="34" t="str">
        <f aca="false">IF(OR(BB564="",N(AZ564)=0),"",BB564/AZ564)</f>
        <v/>
      </c>
      <c r="BK564" s="34" t="str">
        <f aca="false">IF(OR(A564="",N(BB564)=0),"",BD564/BB564)</f>
        <v/>
      </c>
      <c r="BL564" s="34" t="str">
        <f aca="false">IF(OR(A564="",N(AZ564)=0),"",BD564/AZ564)</f>
        <v/>
      </c>
      <c r="BM564" s="37" t="str">
        <f aca="false">IF(OR(N(Q564)=0,N(BD564)=0),"",Q564/BD564)</f>
        <v/>
      </c>
      <c r="BN564" s="29"/>
      <c r="BO564" s="29"/>
      <c r="BP564" s="33" t="str">
        <f aca="false">IF(OR(AR564="",N(AO564)=0),"",AR564)</f>
        <v/>
      </c>
      <c r="BQ564" s="33" t="str">
        <f aca="false">IF(OR(AR564="",N(S564)=0),"",S564)</f>
        <v/>
      </c>
      <c r="BR564" s="38" t="str">
        <f aca="false">IF(AND(ISNUMBER(B564),B564&gt;=Dashboard!$C$4,B564&lt;=Dashboard!$F$4,ISNUMBER(AU564)),AU564+ROW()/10^9,"")</f>
        <v/>
      </c>
      <c r="BS564" s="38" t="str">
        <f aca="false">IF(AND(ISNUMBER(B564),B564&gt;=Dashboard!$C$4,B564&lt;=Dashboard!$F$4,A564&lt;&gt;""),N(BD564)+N(AU564)/100+ROW()/10^9,"")</f>
        <v/>
      </c>
    </row>
    <row r="565" customFormat="false" ht="15" hidden="false" customHeight="false" outlineLevel="0" collapsed="false">
      <c r="A565" s="24" t="str">
        <f aca="false">IF(OR(B565="",G565="",H565=""),"",IFERROR(INDEX(Settings!$E$5:$E$49,MATCH(G565,Settings!$D$5:$D$49,0))&amp;INDEX(Settings!$H$5:$H$47,MATCH(H565,Settings!$G$5:$G$47,0))&amp;"-"&amp;TEXT(B565,"yymmdd")&amp;"-"&amp;IF(C565="","0000",TEXT(C565,"hhmm")),"CHECK LISTS"))</f>
        <v/>
      </c>
      <c r="B565" s="39"/>
      <c r="C565" s="40"/>
      <c r="D565" s="24" t="str">
        <f aca="false">IF(B565="","",TEXT(B565,"ddd"))</f>
        <v/>
      </c>
      <c r="E565" s="27" t="str">
        <f aca="false">IF(B565="","",B565-WEEKDAY(B565,3))</f>
        <v/>
      </c>
      <c r="F565" s="24" t="str">
        <f aca="false">IF(B565="","",TEXT(B565,"yyyy-mm"))</f>
        <v/>
      </c>
      <c r="G565" s="29"/>
      <c r="H565" s="29"/>
      <c r="I565" s="29"/>
      <c r="J565" s="29"/>
      <c r="K565" s="29"/>
      <c r="L565" s="29"/>
      <c r="M565" s="29"/>
      <c r="N565" s="29"/>
      <c r="O565" s="29"/>
      <c r="P565" s="29"/>
      <c r="Q565" s="30"/>
      <c r="R565" s="29"/>
      <c r="S565" s="32"/>
      <c r="T565" s="29"/>
      <c r="U565" s="29"/>
      <c r="V565" s="24" t="str">
        <f aca="false">IF(A565="","",IFERROR(INDEX(Settings!$F$5:$F$49,MATCH(G565,Settings!$D$5:$D$49,0)),""))</f>
        <v/>
      </c>
      <c r="W565" s="24" t="str">
        <f aca="false">IF(A565="","",IF(OR(P565="",P565="Organic"),"social","paid_social"))</f>
        <v/>
      </c>
      <c r="X565" s="24" t="str">
        <f aca="false">IF(A565="","",IF(K565&lt;&gt;"",IFERROR(INDEX('Case Studies'!$C$5:$C$54,MATCH(K565,'Case Studies'!$B$5:$B$54,0))&amp;"","case-study"),IF(J565&lt;&gt;"",IFERROR(INDEX(Settings!$J$5:$J$55,MATCH(J565,Settings!$I$5:$I$55,0)),"general"),"general")))</f>
        <v/>
      </c>
      <c r="Y565" s="24" t="str">
        <f aca="false">IF(A565="","",LOWER(A565))</f>
        <v/>
      </c>
      <c r="Z565" s="24" t="str">
        <f aca="false">IF(A565="","",IF(T565="",Settings!$B$5,T565)&amp;IF(ISNUMBER(FIND("?",IF(T565="",Settings!$B$5,T565))),"&amp;","?")&amp;"utm_source="&amp;V565&amp;"&amp;utm_medium="&amp;W565&amp;"&amp;utm_campaign="&amp;X565&amp;"&amp;utm_content="&amp;Y565)</f>
        <v/>
      </c>
      <c r="AA565" s="29"/>
      <c r="AB565" s="39"/>
      <c r="AC565" s="32"/>
      <c r="AD565" s="32"/>
      <c r="AE565" s="32"/>
      <c r="AF565" s="32"/>
      <c r="AG565" s="32"/>
      <c r="AH565" s="32"/>
      <c r="AI565" s="32"/>
      <c r="AJ565" s="32"/>
      <c r="AK565" s="32"/>
      <c r="AL565" s="32"/>
      <c r="AM565" s="32"/>
      <c r="AN565" s="32"/>
      <c r="AO565" s="33" t="str">
        <f aca="false">IF(A565="","",IF(AD565&lt;&gt;"",AD565,IF(AC565&lt;&gt;"",AC565,"")))</f>
        <v/>
      </c>
      <c r="AP565" s="24" t="str">
        <f aca="false">IF(AO565="","",IF(AD565&lt;&gt;"","Reported reach","Impressions (proxy)"))</f>
        <v/>
      </c>
      <c r="AQ565" s="34" t="str">
        <f aca="false">IF(OR(AO565="",N(S565)=0),"",AO565/S565)</f>
        <v/>
      </c>
      <c r="AR565" s="33" t="str">
        <f aca="false">IF(A565="","",IF(COUNT(AF565:AJ565)=0,"",SUM(AF565:AJ565)))</f>
        <v/>
      </c>
      <c r="AS565" s="34" t="str">
        <f aca="false">IF(OR(AR565="",N(AO565)=0),"",AR565/AO565)</f>
        <v/>
      </c>
      <c r="AT565" s="34" t="str">
        <f aca="false">IF(OR(AR565="",N(AC565)=0),"",AR565/AC565)</f>
        <v/>
      </c>
      <c r="AU565" s="34" t="str">
        <f aca="false">IF(OR(AR565="",N(S565)=0),"",AR565/S565)</f>
        <v/>
      </c>
      <c r="AV565" s="34" t="str">
        <f aca="false">IF(OR(AJ565="",N(AC565)=0),"",AJ565/AC565)</f>
        <v/>
      </c>
      <c r="AW565" s="34" t="str">
        <f aca="false">IF(OR(AH565="",N(AO565)=0),"",AH565/AO565)</f>
        <v/>
      </c>
      <c r="AX565" s="35" t="str">
        <f aca="false">IF(OR(AR565="",N(AO565)=0),"",(N(AF565)*Settings!$B$6+N(AG565)*Settings!$B$7+N(AH565)*Settings!$B$8+N(AI565)*Settings!$B$9+N(AJ565)*Settings!$B$10)/AO565*1000)</f>
        <v/>
      </c>
      <c r="AY565" s="36" t="str">
        <f aca="false">IF(AS565="","",IFERROR(AS565/AVERAGEIFS('Post Tracker'!$AS$5:$AS$1004,'Post Tracker'!$G$5:$G$1004,G565),""))</f>
        <v/>
      </c>
      <c r="AZ565" s="32"/>
      <c r="BA565" s="32"/>
      <c r="BB565" s="32"/>
      <c r="BC565" s="32"/>
      <c r="BD565" s="33" t="str">
        <f aca="false">IF(A565="","",COUNTIFS('Demo Pipeline'!$Q$5:$Q$504,A565))</f>
        <v/>
      </c>
      <c r="BE565" s="33" t="str">
        <f aca="false">IF(A565="","",COUNTIFS('Demo Pipeline'!$Q$5:$Q$504,A565,'Demo Pipeline'!$W$5:$W$504,"Attended"))</f>
        <v/>
      </c>
      <c r="BF565" s="33" t="str">
        <f aca="false">IF(A565="","",COUNTIFS('Demo Pipeline'!$Q$5:$Q$504,A565,'Demo Pipeline'!$X$5:$X$504,"Yes"))</f>
        <v/>
      </c>
      <c r="BG565" s="33" t="str">
        <f aca="false">IF(A565="","",COUNTIFS('Demo Pipeline'!$Q$5:$Q$504,A565,'Demo Pipeline'!$Y$5:$Y$504,"Closed Won"))</f>
        <v/>
      </c>
      <c r="BH565" s="37" t="str">
        <f aca="false">IF(A565="","",SUMIFS('Demo Pipeline'!$Z$5:$Z$504,'Demo Pipeline'!$Q$5:$Q$504,A565))</f>
        <v/>
      </c>
      <c r="BI565" s="34" t="str">
        <f aca="false">IF(OR(AZ565="",N(AJ565)=0),"",AZ565/AJ565)</f>
        <v/>
      </c>
      <c r="BJ565" s="34" t="str">
        <f aca="false">IF(OR(BB565="",N(AZ565)=0),"",BB565/AZ565)</f>
        <v/>
      </c>
      <c r="BK565" s="34" t="str">
        <f aca="false">IF(OR(A565="",N(BB565)=0),"",BD565/BB565)</f>
        <v/>
      </c>
      <c r="BL565" s="34" t="str">
        <f aca="false">IF(OR(A565="",N(AZ565)=0),"",BD565/AZ565)</f>
        <v/>
      </c>
      <c r="BM565" s="37" t="str">
        <f aca="false">IF(OR(N(Q565)=0,N(BD565)=0),"",Q565/BD565)</f>
        <v/>
      </c>
      <c r="BN565" s="29"/>
      <c r="BO565" s="29"/>
      <c r="BP565" s="33" t="str">
        <f aca="false">IF(OR(AR565="",N(AO565)=0),"",AR565)</f>
        <v/>
      </c>
      <c r="BQ565" s="33" t="str">
        <f aca="false">IF(OR(AR565="",N(S565)=0),"",S565)</f>
        <v/>
      </c>
      <c r="BR565" s="38" t="str">
        <f aca="false">IF(AND(ISNUMBER(B565),B565&gt;=Dashboard!$C$4,B565&lt;=Dashboard!$F$4,ISNUMBER(AU565)),AU565+ROW()/10^9,"")</f>
        <v/>
      </c>
      <c r="BS565" s="38" t="str">
        <f aca="false">IF(AND(ISNUMBER(B565),B565&gt;=Dashboard!$C$4,B565&lt;=Dashboard!$F$4,A565&lt;&gt;""),N(BD565)+N(AU565)/100+ROW()/10^9,"")</f>
        <v/>
      </c>
    </row>
    <row r="566" customFormat="false" ht="15" hidden="false" customHeight="false" outlineLevel="0" collapsed="false">
      <c r="A566" s="24" t="str">
        <f aca="false">IF(OR(B566="",G566="",H566=""),"",IFERROR(INDEX(Settings!$E$5:$E$49,MATCH(G566,Settings!$D$5:$D$49,0))&amp;INDEX(Settings!$H$5:$H$47,MATCH(H566,Settings!$G$5:$G$47,0))&amp;"-"&amp;TEXT(B566,"yymmdd")&amp;"-"&amp;IF(C566="","0000",TEXT(C566,"hhmm")),"CHECK LISTS"))</f>
        <v/>
      </c>
      <c r="B566" s="39"/>
      <c r="C566" s="40"/>
      <c r="D566" s="24" t="str">
        <f aca="false">IF(B566="","",TEXT(B566,"ddd"))</f>
        <v/>
      </c>
      <c r="E566" s="27" t="str">
        <f aca="false">IF(B566="","",B566-WEEKDAY(B566,3))</f>
        <v/>
      </c>
      <c r="F566" s="24" t="str">
        <f aca="false">IF(B566="","",TEXT(B566,"yyyy-mm"))</f>
        <v/>
      </c>
      <c r="G566" s="29"/>
      <c r="H566" s="29"/>
      <c r="I566" s="29"/>
      <c r="J566" s="29"/>
      <c r="K566" s="29"/>
      <c r="L566" s="29"/>
      <c r="M566" s="29"/>
      <c r="N566" s="29"/>
      <c r="O566" s="29"/>
      <c r="P566" s="29"/>
      <c r="Q566" s="30"/>
      <c r="R566" s="29"/>
      <c r="S566" s="32"/>
      <c r="T566" s="29"/>
      <c r="U566" s="29"/>
      <c r="V566" s="24" t="str">
        <f aca="false">IF(A566="","",IFERROR(INDEX(Settings!$F$5:$F$49,MATCH(G566,Settings!$D$5:$D$49,0)),""))</f>
        <v/>
      </c>
      <c r="W566" s="24" t="str">
        <f aca="false">IF(A566="","",IF(OR(P566="",P566="Organic"),"social","paid_social"))</f>
        <v/>
      </c>
      <c r="X566" s="24" t="str">
        <f aca="false">IF(A566="","",IF(K566&lt;&gt;"",IFERROR(INDEX('Case Studies'!$C$5:$C$54,MATCH(K566,'Case Studies'!$B$5:$B$54,0))&amp;"","case-study"),IF(J566&lt;&gt;"",IFERROR(INDEX(Settings!$J$5:$J$55,MATCH(J566,Settings!$I$5:$I$55,0)),"general"),"general")))</f>
        <v/>
      </c>
      <c r="Y566" s="24" t="str">
        <f aca="false">IF(A566="","",LOWER(A566))</f>
        <v/>
      </c>
      <c r="Z566" s="24" t="str">
        <f aca="false">IF(A566="","",IF(T566="",Settings!$B$5,T566)&amp;IF(ISNUMBER(FIND("?",IF(T566="",Settings!$B$5,T566))),"&amp;","?")&amp;"utm_source="&amp;V566&amp;"&amp;utm_medium="&amp;W566&amp;"&amp;utm_campaign="&amp;X566&amp;"&amp;utm_content="&amp;Y566)</f>
        <v/>
      </c>
      <c r="AA566" s="29"/>
      <c r="AB566" s="39"/>
      <c r="AC566" s="32"/>
      <c r="AD566" s="32"/>
      <c r="AE566" s="32"/>
      <c r="AF566" s="32"/>
      <c r="AG566" s="32"/>
      <c r="AH566" s="32"/>
      <c r="AI566" s="32"/>
      <c r="AJ566" s="32"/>
      <c r="AK566" s="32"/>
      <c r="AL566" s="32"/>
      <c r="AM566" s="32"/>
      <c r="AN566" s="32"/>
      <c r="AO566" s="33" t="str">
        <f aca="false">IF(A566="","",IF(AD566&lt;&gt;"",AD566,IF(AC566&lt;&gt;"",AC566,"")))</f>
        <v/>
      </c>
      <c r="AP566" s="24" t="str">
        <f aca="false">IF(AO566="","",IF(AD566&lt;&gt;"","Reported reach","Impressions (proxy)"))</f>
        <v/>
      </c>
      <c r="AQ566" s="34" t="str">
        <f aca="false">IF(OR(AO566="",N(S566)=0),"",AO566/S566)</f>
        <v/>
      </c>
      <c r="AR566" s="33" t="str">
        <f aca="false">IF(A566="","",IF(COUNT(AF566:AJ566)=0,"",SUM(AF566:AJ566)))</f>
        <v/>
      </c>
      <c r="AS566" s="34" t="str">
        <f aca="false">IF(OR(AR566="",N(AO566)=0),"",AR566/AO566)</f>
        <v/>
      </c>
      <c r="AT566" s="34" t="str">
        <f aca="false">IF(OR(AR566="",N(AC566)=0),"",AR566/AC566)</f>
        <v/>
      </c>
      <c r="AU566" s="34" t="str">
        <f aca="false">IF(OR(AR566="",N(S566)=0),"",AR566/S566)</f>
        <v/>
      </c>
      <c r="AV566" s="34" t="str">
        <f aca="false">IF(OR(AJ566="",N(AC566)=0),"",AJ566/AC566)</f>
        <v/>
      </c>
      <c r="AW566" s="34" t="str">
        <f aca="false">IF(OR(AH566="",N(AO566)=0),"",AH566/AO566)</f>
        <v/>
      </c>
      <c r="AX566" s="35" t="str">
        <f aca="false">IF(OR(AR566="",N(AO566)=0),"",(N(AF566)*Settings!$B$6+N(AG566)*Settings!$B$7+N(AH566)*Settings!$B$8+N(AI566)*Settings!$B$9+N(AJ566)*Settings!$B$10)/AO566*1000)</f>
        <v/>
      </c>
      <c r="AY566" s="36" t="str">
        <f aca="false">IF(AS566="","",IFERROR(AS566/AVERAGEIFS('Post Tracker'!$AS$5:$AS$1004,'Post Tracker'!$G$5:$G$1004,G566),""))</f>
        <v/>
      </c>
      <c r="AZ566" s="32"/>
      <c r="BA566" s="32"/>
      <c r="BB566" s="32"/>
      <c r="BC566" s="32"/>
      <c r="BD566" s="33" t="str">
        <f aca="false">IF(A566="","",COUNTIFS('Demo Pipeline'!$Q$5:$Q$504,A566))</f>
        <v/>
      </c>
      <c r="BE566" s="33" t="str">
        <f aca="false">IF(A566="","",COUNTIFS('Demo Pipeline'!$Q$5:$Q$504,A566,'Demo Pipeline'!$W$5:$W$504,"Attended"))</f>
        <v/>
      </c>
      <c r="BF566" s="33" t="str">
        <f aca="false">IF(A566="","",COUNTIFS('Demo Pipeline'!$Q$5:$Q$504,A566,'Demo Pipeline'!$X$5:$X$504,"Yes"))</f>
        <v/>
      </c>
      <c r="BG566" s="33" t="str">
        <f aca="false">IF(A566="","",COUNTIFS('Demo Pipeline'!$Q$5:$Q$504,A566,'Demo Pipeline'!$Y$5:$Y$504,"Closed Won"))</f>
        <v/>
      </c>
      <c r="BH566" s="37" t="str">
        <f aca="false">IF(A566="","",SUMIFS('Demo Pipeline'!$Z$5:$Z$504,'Demo Pipeline'!$Q$5:$Q$504,A566))</f>
        <v/>
      </c>
      <c r="BI566" s="34" t="str">
        <f aca="false">IF(OR(AZ566="",N(AJ566)=0),"",AZ566/AJ566)</f>
        <v/>
      </c>
      <c r="BJ566" s="34" t="str">
        <f aca="false">IF(OR(BB566="",N(AZ566)=0),"",BB566/AZ566)</f>
        <v/>
      </c>
      <c r="BK566" s="34" t="str">
        <f aca="false">IF(OR(A566="",N(BB566)=0),"",BD566/BB566)</f>
        <v/>
      </c>
      <c r="BL566" s="34" t="str">
        <f aca="false">IF(OR(A566="",N(AZ566)=0),"",BD566/AZ566)</f>
        <v/>
      </c>
      <c r="BM566" s="37" t="str">
        <f aca="false">IF(OR(N(Q566)=0,N(BD566)=0),"",Q566/BD566)</f>
        <v/>
      </c>
      <c r="BN566" s="29"/>
      <c r="BO566" s="29"/>
      <c r="BP566" s="33" t="str">
        <f aca="false">IF(OR(AR566="",N(AO566)=0),"",AR566)</f>
        <v/>
      </c>
      <c r="BQ566" s="33" t="str">
        <f aca="false">IF(OR(AR566="",N(S566)=0),"",S566)</f>
        <v/>
      </c>
      <c r="BR566" s="38" t="str">
        <f aca="false">IF(AND(ISNUMBER(B566),B566&gt;=Dashboard!$C$4,B566&lt;=Dashboard!$F$4,ISNUMBER(AU566)),AU566+ROW()/10^9,"")</f>
        <v/>
      </c>
      <c r="BS566" s="38" t="str">
        <f aca="false">IF(AND(ISNUMBER(B566),B566&gt;=Dashboard!$C$4,B566&lt;=Dashboard!$F$4,A566&lt;&gt;""),N(BD566)+N(AU566)/100+ROW()/10^9,"")</f>
        <v/>
      </c>
    </row>
    <row r="567" customFormat="false" ht="15" hidden="false" customHeight="false" outlineLevel="0" collapsed="false">
      <c r="A567" s="24" t="str">
        <f aca="false">IF(OR(B567="",G567="",H567=""),"",IFERROR(INDEX(Settings!$E$5:$E$49,MATCH(G567,Settings!$D$5:$D$49,0))&amp;INDEX(Settings!$H$5:$H$47,MATCH(H567,Settings!$G$5:$G$47,0))&amp;"-"&amp;TEXT(B567,"yymmdd")&amp;"-"&amp;IF(C567="","0000",TEXT(C567,"hhmm")),"CHECK LISTS"))</f>
        <v/>
      </c>
      <c r="B567" s="39"/>
      <c r="C567" s="40"/>
      <c r="D567" s="24" t="str">
        <f aca="false">IF(B567="","",TEXT(B567,"ddd"))</f>
        <v/>
      </c>
      <c r="E567" s="27" t="str">
        <f aca="false">IF(B567="","",B567-WEEKDAY(B567,3))</f>
        <v/>
      </c>
      <c r="F567" s="24" t="str">
        <f aca="false">IF(B567="","",TEXT(B567,"yyyy-mm"))</f>
        <v/>
      </c>
      <c r="G567" s="29"/>
      <c r="H567" s="29"/>
      <c r="I567" s="29"/>
      <c r="J567" s="29"/>
      <c r="K567" s="29"/>
      <c r="L567" s="29"/>
      <c r="M567" s="29"/>
      <c r="N567" s="29"/>
      <c r="O567" s="29"/>
      <c r="P567" s="29"/>
      <c r="Q567" s="30"/>
      <c r="R567" s="29"/>
      <c r="S567" s="32"/>
      <c r="T567" s="29"/>
      <c r="U567" s="29"/>
      <c r="V567" s="24" t="str">
        <f aca="false">IF(A567="","",IFERROR(INDEX(Settings!$F$5:$F$49,MATCH(G567,Settings!$D$5:$D$49,0)),""))</f>
        <v/>
      </c>
      <c r="W567" s="24" t="str">
        <f aca="false">IF(A567="","",IF(OR(P567="",P567="Organic"),"social","paid_social"))</f>
        <v/>
      </c>
      <c r="X567" s="24" t="str">
        <f aca="false">IF(A567="","",IF(K567&lt;&gt;"",IFERROR(INDEX('Case Studies'!$C$5:$C$54,MATCH(K567,'Case Studies'!$B$5:$B$54,0))&amp;"","case-study"),IF(J567&lt;&gt;"",IFERROR(INDEX(Settings!$J$5:$J$55,MATCH(J567,Settings!$I$5:$I$55,0)),"general"),"general")))</f>
        <v/>
      </c>
      <c r="Y567" s="24" t="str">
        <f aca="false">IF(A567="","",LOWER(A567))</f>
        <v/>
      </c>
      <c r="Z567" s="24" t="str">
        <f aca="false">IF(A567="","",IF(T567="",Settings!$B$5,T567)&amp;IF(ISNUMBER(FIND("?",IF(T567="",Settings!$B$5,T567))),"&amp;","?")&amp;"utm_source="&amp;V567&amp;"&amp;utm_medium="&amp;W567&amp;"&amp;utm_campaign="&amp;X567&amp;"&amp;utm_content="&amp;Y567)</f>
        <v/>
      </c>
      <c r="AA567" s="29"/>
      <c r="AB567" s="39"/>
      <c r="AC567" s="32"/>
      <c r="AD567" s="32"/>
      <c r="AE567" s="32"/>
      <c r="AF567" s="32"/>
      <c r="AG567" s="32"/>
      <c r="AH567" s="32"/>
      <c r="AI567" s="32"/>
      <c r="AJ567" s="32"/>
      <c r="AK567" s="32"/>
      <c r="AL567" s="32"/>
      <c r="AM567" s="32"/>
      <c r="AN567" s="32"/>
      <c r="AO567" s="33" t="str">
        <f aca="false">IF(A567="","",IF(AD567&lt;&gt;"",AD567,IF(AC567&lt;&gt;"",AC567,"")))</f>
        <v/>
      </c>
      <c r="AP567" s="24" t="str">
        <f aca="false">IF(AO567="","",IF(AD567&lt;&gt;"","Reported reach","Impressions (proxy)"))</f>
        <v/>
      </c>
      <c r="AQ567" s="34" t="str">
        <f aca="false">IF(OR(AO567="",N(S567)=0),"",AO567/S567)</f>
        <v/>
      </c>
      <c r="AR567" s="33" t="str">
        <f aca="false">IF(A567="","",IF(COUNT(AF567:AJ567)=0,"",SUM(AF567:AJ567)))</f>
        <v/>
      </c>
      <c r="AS567" s="34" t="str">
        <f aca="false">IF(OR(AR567="",N(AO567)=0),"",AR567/AO567)</f>
        <v/>
      </c>
      <c r="AT567" s="34" t="str">
        <f aca="false">IF(OR(AR567="",N(AC567)=0),"",AR567/AC567)</f>
        <v/>
      </c>
      <c r="AU567" s="34" t="str">
        <f aca="false">IF(OR(AR567="",N(S567)=0),"",AR567/S567)</f>
        <v/>
      </c>
      <c r="AV567" s="34" t="str">
        <f aca="false">IF(OR(AJ567="",N(AC567)=0),"",AJ567/AC567)</f>
        <v/>
      </c>
      <c r="AW567" s="34" t="str">
        <f aca="false">IF(OR(AH567="",N(AO567)=0),"",AH567/AO567)</f>
        <v/>
      </c>
      <c r="AX567" s="35" t="str">
        <f aca="false">IF(OR(AR567="",N(AO567)=0),"",(N(AF567)*Settings!$B$6+N(AG567)*Settings!$B$7+N(AH567)*Settings!$B$8+N(AI567)*Settings!$B$9+N(AJ567)*Settings!$B$10)/AO567*1000)</f>
        <v/>
      </c>
      <c r="AY567" s="36" t="str">
        <f aca="false">IF(AS567="","",IFERROR(AS567/AVERAGEIFS('Post Tracker'!$AS$5:$AS$1004,'Post Tracker'!$G$5:$G$1004,G567),""))</f>
        <v/>
      </c>
      <c r="AZ567" s="32"/>
      <c r="BA567" s="32"/>
      <c r="BB567" s="32"/>
      <c r="BC567" s="32"/>
      <c r="BD567" s="33" t="str">
        <f aca="false">IF(A567="","",COUNTIFS('Demo Pipeline'!$Q$5:$Q$504,A567))</f>
        <v/>
      </c>
      <c r="BE567" s="33" t="str">
        <f aca="false">IF(A567="","",COUNTIFS('Demo Pipeline'!$Q$5:$Q$504,A567,'Demo Pipeline'!$W$5:$W$504,"Attended"))</f>
        <v/>
      </c>
      <c r="BF567" s="33" t="str">
        <f aca="false">IF(A567="","",COUNTIFS('Demo Pipeline'!$Q$5:$Q$504,A567,'Demo Pipeline'!$X$5:$X$504,"Yes"))</f>
        <v/>
      </c>
      <c r="BG567" s="33" t="str">
        <f aca="false">IF(A567="","",COUNTIFS('Demo Pipeline'!$Q$5:$Q$504,A567,'Demo Pipeline'!$Y$5:$Y$504,"Closed Won"))</f>
        <v/>
      </c>
      <c r="BH567" s="37" t="str">
        <f aca="false">IF(A567="","",SUMIFS('Demo Pipeline'!$Z$5:$Z$504,'Demo Pipeline'!$Q$5:$Q$504,A567))</f>
        <v/>
      </c>
      <c r="BI567" s="34" t="str">
        <f aca="false">IF(OR(AZ567="",N(AJ567)=0),"",AZ567/AJ567)</f>
        <v/>
      </c>
      <c r="BJ567" s="34" t="str">
        <f aca="false">IF(OR(BB567="",N(AZ567)=0),"",BB567/AZ567)</f>
        <v/>
      </c>
      <c r="BK567" s="34" t="str">
        <f aca="false">IF(OR(A567="",N(BB567)=0),"",BD567/BB567)</f>
        <v/>
      </c>
      <c r="BL567" s="34" t="str">
        <f aca="false">IF(OR(A567="",N(AZ567)=0),"",BD567/AZ567)</f>
        <v/>
      </c>
      <c r="BM567" s="37" t="str">
        <f aca="false">IF(OR(N(Q567)=0,N(BD567)=0),"",Q567/BD567)</f>
        <v/>
      </c>
      <c r="BN567" s="29"/>
      <c r="BO567" s="29"/>
      <c r="BP567" s="33" t="str">
        <f aca="false">IF(OR(AR567="",N(AO567)=0),"",AR567)</f>
        <v/>
      </c>
      <c r="BQ567" s="33" t="str">
        <f aca="false">IF(OR(AR567="",N(S567)=0),"",S567)</f>
        <v/>
      </c>
      <c r="BR567" s="38" t="str">
        <f aca="false">IF(AND(ISNUMBER(B567),B567&gt;=Dashboard!$C$4,B567&lt;=Dashboard!$F$4,ISNUMBER(AU567)),AU567+ROW()/10^9,"")</f>
        <v/>
      </c>
      <c r="BS567" s="38" t="str">
        <f aca="false">IF(AND(ISNUMBER(B567),B567&gt;=Dashboard!$C$4,B567&lt;=Dashboard!$F$4,A567&lt;&gt;""),N(BD567)+N(AU567)/100+ROW()/10^9,"")</f>
        <v/>
      </c>
    </row>
    <row r="568" customFormat="false" ht="15" hidden="false" customHeight="false" outlineLevel="0" collapsed="false">
      <c r="A568" s="24" t="str">
        <f aca="false">IF(OR(B568="",G568="",H568=""),"",IFERROR(INDEX(Settings!$E$5:$E$49,MATCH(G568,Settings!$D$5:$D$49,0))&amp;INDEX(Settings!$H$5:$H$47,MATCH(H568,Settings!$G$5:$G$47,0))&amp;"-"&amp;TEXT(B568,"yymmdd")&amp;"-"&amp;IF(C568="","0000",TEXT(C568,"hhmm")),"CHECK LISTS"))</f>
        <v/>
      </c>
      <c r="B568" s="39"/>
      <c r="C568" s="40"/>
      <c r="D568" s="24" t="str">
        <f aca="false">IF(B568="","",TEXT(B568,"ddd"))</f>
        <v/>
      </c>
      <c r="E568" s="27" t="str">
        <f aca="false">IF(B568="","",B568-WEEKDAY(B568,3))</f>
        <v/>
      </c>
      <c r="F568" s="24" t="str">
        <f aca="false">IF(B568="","",TEXT(B568,"yyyy-mm"))</f>
        <v/>
      </c>
      <c r="G568" s="29"/>
      <c r="H568" s="29"/>
      <c r="I568" s="29"/>
      <c r="J568" s="29"/>
      <c r="K568" s="29"/>
      <c r="L568" s="29"/>
      <c r="M568" s="29"/>
      <c r="N568" s="29"/>
      <c r="O568" s="29"/>
      <c r="P568" s="29"/>
      <c r="Q568" s="30"/>
      <c r="R568" s="29"/>
      <c r="S568" s="32"/>
      <c r="T568" s="29"/>
      <c r="U568" s="29"/>
      <c r="V568" s="24" t="str">
        <f aca="false">IF(A568="","",IFERROR(INDEX(Settings!$F$5:$F$49,MATCH(G568,Settings!$D$5:$D$49,0)),""))</f>
        <v/>
      </c>
      <c r="W568" s="24" t="str">
        <f aca="false">IF(A568="","",IF(OR(P568="",P568="Organic"),"social","paid_social"))</f>
        <v/>
      </c>
      <c r="X568" s="24" t="str">
        <f aca="false">IF(A568="","",IF(K568&lt;&gt;"",IFERROR(INDEX('Case Studies'!$C$5:$C$54,MATCH(K568,'Case Studies'!$B$5:$B$54,0))&amp;"","case-study"),IF(J568&lt;&gt;"",IFERROR(INDEX(Settings!$J$5:$J$55,MATCH(J568,Settings!$I$5:$I$55,0)),"general"),"general")))</f>
        <v/>
      </c>
      <c r="Y568" s="24" t="str">
        <f aca="false">IF(A568="","",LOWER(A568))</f>
        <v/>
      </c>
      <c r="Z568" s="24" t="str">
        <f aca="false">IF(A568="","",IF(T568="",Settings!$B$5,T568)&amp;IF(ISNUMBER(FIND("?",IF(T568="",Settings!$B$5,T568))),"&amp;","?")&amp;"utm_source="&amp;V568&amp;"&amp;utm_medium="&amp;W568&amp;"&amp;utm_campaign="&amp;X568&amp;"&amp;utm_content="&amp;Y568)</f>
        <v/>
      </c>
      <c r="AA568" s="29"/>
      <c r="AB568" s="39"/>
      <c r="AC568" s="32"/>
      <c r="AD568" s="32"/>
      <c r="AE568" s="32"/>
      <c r="AF568" s="32"/>
      <c r="AG568" s="32"/>
      <c r="AH568" s="32"/>
      <c r="AI568" s="32"/>
      <c r="AJ568" s="32"/>
      <c r="AK568" s="32"/>
      <c r="AL568" s="32"/>
      <c r="AM568" s="32"/>
      <c r="AN568" s="32"/>
      <c r="AO568" s="33" t="str">
        <f aca="false">IF(A568="","",IF(AD568&lt;&gt;"",AD568,IF(AC568&lt;&gt;"",AC568,"")))</f>
        <v/>
      </c>
      <c r="AP568" s="24" t="str">
        <f aca="false">IF(AO568="","",IF(AD568&lt;&gt;"","Reported reach","Impressions (proxy)"))</f>
        <v/>
      </c>
      <c r="AQ568" s="34" t="str">
        <f aca="false">IF(OR(AO568="",N(S568)=0),"",AO568/S568)</f>
        <v/>
      </c>
      <c r="AR568" s="33" t="str">
        <f aca="false">IF(A568="","",IF(COUNT(AF568:AJ568)=0,"",SUM(AF568:AJ568)))</f>
        <v/>
      </c>
      <c r="AS568" s="34" t="str">
        <f aca="false">IF(OR(AR568="",N(AO568)=0),"",AR568/AO568)</f>
        <v/>
      </c>
      <c r="AT568" s="34" t="str">
        <f aca="false">IF(OR(AR568="",N(AC568)=0),"",AR568/AC568)</f>
        <v/>
      </c>
      <c r="AU568" s="34" t="str">
        <f aca="false">IF(OR(AR568="",N(S568)=0),"",AR568/S568)</f>
        <v/>
      </c>
      <c r="AV568" s="34" t="str">
        <f aca="false">IF(OR(AJ568="",N(AC568)=0),"",AJ568/AC568)</f>
        <v/>
      </c>
      <c r="AW568" s="34" t="str">
        <f aca="false">IF(OR(AH568="",N(AO568)=0),"",AH568/AO568)</f>
        <v/>
      </c>
      <c r="AX568" s="35" t="str">
        <f aca="false">IF(OR(AR568="",N(AO568)=0),"",(N(AF568)*Settings!$B$6+N(AG568)*Settings!$B$7+N(AH568)*Settings!$B$8+N(AI568)*Settings!$B$9+N(AJ568)*Settings!$B$10)/AO568*1000)</f>
        <v/>
      </c>
      <c r="AY568" s="36" t="str">
        <f aca="false">IF(AS568="","",IFERROR(AS568/AVERAGEIFS('Post Tracker'!$AS$5:$AS$1004,'Post Tracker'!$G$5:$G$1004,G568),""))</f>
        <v/>
      </c>
      <c r="AZ568" s="32"/>
      <c r="BA568" s="32"/>
      <c r="BB568" s="32"/>
      <c r="BC568" s="32"/>
      <c r="BD568" s="33" t="str">
        <f aca="false">IF(A568="","",COUNTIFS('Demo Pipeline'!$Q$5:$Q$504,A568))</f>
        <v/>
      </c>
      <c r="BE568" s="33" t="str">
        <f aca="false">IF(A568="","",COUNTIFS('Demo Pipeline'!$Q$5:$Q$504,A568,'Demo Pipeline'!$W$5:$W$504,"Attended"))</f>
        <v/>
      </c>
      <c r="BF568" s="33" t="str">
        <f aca="false">IF(A568="","",COUNTIFS('Demo Pipeline'!$Q$5:$Q$504,A568,'Demo Pipeline'!$X$5:$X$504,"Yes"))</f>
        <v/>
      </c>
      <c r="BG568" s="33" t="str">
        <f aca="false">IF(A568="","",COUNTIFS('Demo Pipeline'!$Q$5:$Q$504,A568,'Demo Pipeline'!$Y$5:$Y$504,"Closed Won"))</f>
        <v/>
      </c>
      <c r="BH568" s="37" t="str">
        <f aca="false">IF(A568="","",SUMIFS('Demo Pipeline'!$Z$5:$Z$504,'Demo Pipeline'!$Q$5:$Q$504,A568))</f>
        <v/>
      </c>
      <c r="BI568" s="34" t="str">
        <f aca="false">IF(OR(AZ568="",N(AJ568)=0),"",AZ568/AJ568)</f>
        <v/>
      </c>
      <c r="BJ568" s="34" t="str">
        <f aca="false">IF(OR(BB568="",N(AZ568)=0),"",BB568/AZ568)</f>
        <v/>
      </c>
      <c r="BK568" s="34" t="str">
        <f aca="false">IF(OR(A568="",N(BB568)=0),"",BD568/BB568)</f>
        <v/>
      </c>
      <c r="BL568" s="34" t="str">
        <f aca="false">IF(OR(A568="",N(AZ568)=0),"",BD568/AZ568)</f>
        <v/>
      </c>
      <c r="BM568" s="37" t="str">
        <f aca="false">IF(OR(N(Q568)=0,N(BD568)=0),"",Q568/BD568)</f>
        <v/>
      </c>
      <c r="BN568" s="29"/>
      <c r="BO568" s="29"/>
      <c r="BP568" s="33" t="str">
        <f aca="false">IF(OR(AR568="",N(AO568)=0),"",AR568)</f>
        <v/>
      </c>
      <c r="BQ568" s="33" t="str">
        <f aca="false">IF(OR(AR568="",N(S568)=0),"",S568)</f>
        <v/>
      </c>
      <c r="BR568" s="38" t="str">
        <f aca="false">IF(AND(ISNUMBER(B568),B568&gt;=Dashboard!$C$4,B568&lt;=Dashboard!$F$4,ISNUMBER(AU568)),AU568+ROW()/10^9,"")</f>
        <v/>
      </c>
      <c r="BS568" s="38" t="str">
        <f aca="false">IF(AND(ISNUMBER(B568),B568&gt;=Dashboard!$C$4,B568&lt;=Dashboard!$F$4,A568&lt;&gt;""),N(BD568)+N(AU568)/100+ROW()/10^9,"")</f>
        <v/>
      </c>
    </row>
    <row r="569" customFormat="false" ht="15" hidden="false" customHeight="false" outlineLevel="0" collapsed="false">
      <c r="A569" s="24" t="str">
        <f aca="false">IF(OR(B569="",G569="",H569=""),"",IFERROR(INDEX(Settings!$E$5:$E$49,MATCH(G569,Settings!$D$5:$D$49,0))&amp;INDEX(Settings!$H$5:$H$47,MATCH(H569,Settings!$G$5:$G$47,0))&amp;"-"&amp;TEXT(B569,"yymmdd")&amp;"-"&amp;IF(C569="","0000",TEXT(C569,"hhmm")),"CHECK LISTS"))</f>
        <v/>
      </c>
      <c r="B569" s="39"/>
      <c r="C569" s="40"/>
      <c r="D569" s="24" t="str">
        <f aca="false">IF(B569="","",TEXT(B569,"ddd"))</f>
        <v/>
      </c>
      <c r="E569" s="27" t="str">
        <f aca="false">IF(B569="","",B569-WEEKDAY(B569,3))</f>
        <v/>
      </c>
      <c r="F569" s="24" t="str">
        <f aca="false">IF(B569="","",TEXT(B569,"yyyy-mm"))</f>
        <v/>
      </c>
      <c r="G569" s="29"/>
      <c r="H569" s="29"/>
      <c r="I569" s="29"/>
      <c r="J569" s="29"/>
      <c r="K569" s="29"/>
      <c r="L569" s="29"/>
      <c r="M569" s="29"/>
      <c r="N569" s="29"/>
      <c r="O569" s="29"/>
      <c r="P569" s="29"/>
      <c r="Q569" s="30"/>
      <c r="R569" s="29"/>
      <c r="S569" s="32"/>
      <c r="T569" s="29"/>
      <c r="U569" s="29"/>
      <c r="V569" s="24" t="str">
        <f aca="false">IF(A569="","",IFERROR(INDEX(Settings!$F$5:$F$49,MATCH(G569,Settings!$D$5:$D$49,0)),""))</f>
        <v/>
      </c>
      <c r="W569" s="24" t="str">
        <f aca="false">IF(A569="","",IF(OR(P569="",P569="Organic"),"social","paid_social"))</f>
        <v/>
      </c>
      <c r="X569" s="24" t="str">
        <f aca="false">IF(A569="","",IF(K569&lt;&gt;"",IFERROR(INDEX('Case Studies'!$C$5:$C$54,MATCH(K569,'Case Studies'!$B$5:$B$54,0))&amp;"","case-study"),IF(J569&lt;&gt;"",IFERROR(INDEX(Settings!$J$5:$J$55,MATCH(J569,Settings!$I$5:$I$55,0)),"general"),"general")))</f>
        <v/>
      </c>
      <c r="Y569" s="24" t="str">
        <f aca="false">IF(A569="","",LOWER(A569))</f>
        <v/>
      </c>
      <c r="Z569" s="24" t="str">
        <f aca="false">IF(A569="","",IF(T569="",Settings!$B$5,T569)&amp;IF(ISNUMBER(FIND("?",IF(T569="",Settings!$B$5,T569))),"&amp;","?")&amp;"utm_source="&amp;V569&amp;"&amp;utm_medium="&amp;W569&amp;"&amp;utm_campaign="&amp;X569&amp;"&amp;utm_content="&amp;Y569)</f>
        <v/>
      </c>
      <c r="AA569" s="29"/>
      <c r="AB569" s="39"/>
      <c r="AC569" s="32"/>
      <c r="AD569" s="32"/>
      <c r="AE569" s="32"/>
      <c r="AF569" s="32"/>
      <c r="AG569" s="32"/>
      <c r="AH569" s="32"/>
      <c r="AI569" s="32"/>
      <c r="AJ569" s="32"/>
      <c r="AK569" s="32"/>
      <c r="AL569" s="32"/>
      <c r="AM569" s="32"/>
      <c r="AN569" s="32"/>
      <c r="AO569" s="33" t="str">
        <f aca="false">IF(A569="","",IF(AD569&lt;&gt;"",AD569,IF(AC569&lt;&gt;"",AC569,"")))</f>
        <v/>
      </c>
      <c r="AP569" s="24" t="str">
        <f aca="false">IF(AO569="","",IF(AD569&lt;&gt;"","Reported reach","Impressions (proxy)"))</f>
        <v/>
      </c>
      <c r="AQ569" s="34" t="str">
        <f aca="false">IF(OR(AO569="",N(S569)=0),"",AO569/S569)</f>
        <v/>
      </c>
      <c r="AR569" s="33" t="str">
        <f aca="false">IF(A569="","",IF(COUNT(AF569:AJ569)=0,"",SUM(AF569:AJ569)))</f>
        <v/>
      </c>
      <c r="AS569" s="34" t="str">
        <f aca="false">IF(OR(AR569="",N(AO569)=0),"",AR569/AO569)</f>
        <v/>
      </c>
      <c r="AT569" s="34" t="str">
        <f aca="false">IF(OR(AR569="",N(AC569)=0),"",AR569/AC569)</f>
        <v/>
      </c>
      <c r="AU569" s="34" t="str">
        <f aca="false">IF(OR(AR569="",N(S569)=0),"",AR569/S569)</f>
        <v/>
      </c>
      <c r="AV569" s="34" t="str">
        <f aca="false">IF(OR(AJ569="",N(AC569)=0),"",AJ569/AC569)</f>
        <v/>
      </c>
      <c r="AW569" s="34" t="str">
        <f aca="false">IF(OR(AH569="",N(AO569)=0),"",AH569/AO569)</f>
        <v/>
      </c>
      <c r="AX569" s="35" t="str">
        <f aca="false">IF(OR(AR569="",N(AO569)=0),"",(N(AF569)*Settings!$B$6+N(AG569)*Settings!$B$7+N(AH569)*Settings!$B$8+N(AI569)*Settings!$B$9+N(AJ569)*Settings!$B$10)/AO569*1000)</f>
        <v/>
      </c>
      <c r="AY569" s="36" t="str">
        <f aca="false">IF(AS569="","",IFERROR(AS569/AVERAGEIFS('Post Tracker'!$AS$5:$AS$1004,'Post Tracker'!$G$5:$G$1004,G569),""))</f>
        <v/>
      </c>
      <c r="AZ569" s="32"/>
      <c r="BA569" s="32"/>
      <c r="BB569" s="32"/>
      <c r="BC569" s="32"/>
      <c r="BD569" s="33" t="str">
        <f aca="false">IF(A569="","",COUNTIFS('Demo Pipeline'!$Q$5:$Q$504,A569))</f>
        <v/>
      </c>
      <c r="BE569" s="33" t="str">
        <f aca="false">IF(A569="","",COUNTIFS('Demo Pipeline'!$Q$5:$Q$504,A569,'Demo Pipeline'!$W$5:$W$504,"Attended"))</f>
        <v/>
      </c>
      <c r="BF569" s="33" t="str">
        <f aca="false">IF(A569="","",COUNTIFS('Demo Pipeline'!$Q$5:$Q$504,A569,'Demo Pipeline'!$X$5:$X$504,"Yes"))</f>
        <v/>
      </c>
      <c r="BG569" s="33" t="str">
        <f aca="false">IF(A569="","",COUNTIFS('Demo Pipeline'!$Q$5:$Q$504,A569,'Demo Pipeline'!$Y$5:$Y$504,"Closed Won"))</f>
        <v/>
      </c>
      <c r="BH569" s="37" t="str">
        <f aca="false">IF(A569="","",SUMIFS('Demo Pipeline'!$Z$5:$Z$504,'Demo Pipeline'!$Q$5:$Q$504,A569))</f>
        <v/>
      </c>
      <c r="BI569" s="34" t="str">
        <f aca="false">IF(OR(AZ569="",N(AJ569)=0),"",AZ569/AJ569)</f>
        <v/>
      </c>
      <c r="BJ569" s="34" t="str">
        <f aca="false">IF(OR(BB569="",N(AZ569)=0),"",BB569/AZ569)</f>
        <v/>
      </c>
      <c r="BK569" s="34" t="str">
        <f aca="false">IF(OR(A569="",N(BB569)=0),"",BD569/BB569)</f>
        <v/>
      </c>
      <c r="BL569" s="34" t="str">
        <f aca="false">IF(OR(A569="",N(AZ569)=0),"",BD569/AZ569)</f>
        <v/>
      </c>
      <c r="BM569" s="37" t="str">
        <f aca="false">IF(OR(N(Q569)=0,N(BD569)=0),"",Q569/BD569)</f>
        <v/>
      </c>
      <c r="BN569" s="29"/>
      <c r="BO569" s="29"/>
      <c r="BP569" s="33" t="str">
        <f aca="false">IF(OR(AR569="",N(AO569)=0),"",AR569)</f>
        <v/>
      </c>
      <c r="BQ569" s="33" t="str">
        <f aca="false">IF(OR(AR569="",N(S569)=0),"",S569)</f>
        <v/>
      </c>
      <c r="BR569" s="38" t="str">
        <f aca="false">IF(AND(ISNUMBER(B569),B569&gt;=Dashboard!$C$4,B569&lt;=Dashboard!$F$4,ISNUMBER(AU569)),AU569+ROW()/10^9,"")</f>
        <v/>
      </c>
      <c r="BS569" s="38" t="str">
        <f aca="false">IF(AND(ISNUMBER(B569),B569&gt;=Dashboard!$C$4,B569&lt;=Dashboard!$F$4,A569&lt;&gt;""),N(BD569)+N(AU569)/100+ROW()/10^9,"")</f>
        <v/>
      </c>
    </row>
    <row r="570" customFormat="false" ht="15" hidden="false" customHeight="false" outlineLevel="0" collapsed="false">
      <c r="A570" s="24" t="str">
        <f aca="false">IF(OR(B570="",G570="",H570=""),"",IFERROR(INDEX(Settings!$E$5:$E$49,MATCH(G570,Settings!$D$5:$D$49,0))&amp;INDEX(Settings!$H$5:$H$47,MATCH(H570,Settings!$G$5:$G$47,0))&amp;"-"&amp;TEXT(B570,"yymmdd")&amp;"-"&amp;IF(C570="","0000",TEXT(C570,"hhmm")),"CHECK LISTS"))</f>
        <v/>
      </c>
      <c r="B570" s="39"/>
      <c r="C570" s="40"/>
      <c r="D570" s="24" t="str">
        <f aca="false">IF(B570="","",TEXT(B570,"ddd"))</f>
        <v/>
      </c>
      <c r="E570" s="27" t="str">
        <f aca="false">IF(B570="","",B570-WEEKDAY(B570,3))</f>
        <v/>
      </c>
      <c r="F570" s="24" t="str">
        <f aca="false">IF(B570="","",TEXT(B570,"yyyy-mm"))</f>
        <v/>
      </c>
      <c r="G570" s="29"/>
      <c r="H570" s="29"/>
      <c r="I570" s="29"/>
      <c r="J570" s="29"/>
      <c r="K570" s="29"/>
      <c r="L570" s="29"/>
      <c r="M570" s="29"/>
      <c r="N570" s="29"/>
      <c r="O570" s="29"/>
      <c r="P570" s="29"/>
      <c r="Q570" s="30"/>
      <c r="R570" s="29"/>
      <c r="S570" s="32"/>
      <c r="T570" s="29"/>
      <c r="U570" s="29"/>
      <c r="V570" s="24" t="str">
        <f aca="false">IF(A570="","",IFERROR(INDEX(Settings!$F$5:$F$49,MATCH(G570,Settings!$D$5:$D$49,0)),""))</f>
        <v/>
      </c>
      <c r="W570" s="24" t="str">
        <f aca="false">IF(A570="","",IF(OR(P570="",P570="Organic"),"social","paid_social"))</f>
        <v/>
      </c>
      <c r="X570" s="24" t="str">
        <f aca="false">IF(A570="","",IF(K570&lt;&gt;"",IFERROR(INDEX('Case Studies'!$C$5:$C$54,MATCH(K570,'Case Studies'!$B$5:$B$54,0))&amp;"","case-study"),IF(J570&lt;&gt;"",IFERROR(INDEX(Settings!$J$5:$J$55,MATCH(J570,Settings!$I$5:$I$55,0)),"general"),"general")))</f>
        <v/>
      </c>
      <c r="Y570" s="24" t="str">
        <f aca="false">IF(A570="","",LOWER(A570))</f>
        <v/>
      </c>
      <c r="Z570" s="24" t="str">
        <f aca="false">IF(A570="","",IF(T570="",Settings!$B$5,T570)&amp;IF(ISNUMBER(FIND("?",IF(T570="",Settings!$B$5,T570))),"&amp;","?")&amp;"utm_source="&amp;V570&amp;"&amp;utm_medium="&amp;W570&amp;"&amp;utm_campaign="&amp;X570&amp;"&amp;utm_content="&amp;Y570)</f>
        <v/>
      </c>
      <c r="AA570" s="29"/>
      <c r="AB570" s="39"/>
      <c r="AC570" s="32"/>
      <c r="AD570" s="32"/>
      <c r="AE570" s="32"/>
      <c r="AF570" s="32"/>
      <c r="AG570" s="32"/>
      <c r="AH570" s="32"/>
      <c r="AI570" s="32"/>
      <c r="AJ570" s="32"/>
      <c r="AK570" s="32"/>
      <c r="AL570" s="32"/>
      <c r="AM570" s="32"/>
      <c r="AN570" s="32"/>
      <c r="AO570" s="33" t="str">
        <f aca="false">IF(A570="","",IF(AD570&lt;&gt;"",AD570,IF(AC570&lt;&gt;"",AC570,"")))</f>
        <v/>
      </c>
      <c r="AP570" s="24" t="str">
        <f aca="false">IF(AO570="","",IF(AD570&lt;&gt;"","Reported reach","Impressions (proxy)"))</f>
        <v/>
      </c>
      <c r="AQ570" s="34" t="str">
        <f aca="false">IF(OR(AO570="",N(S570)=0),"",AO570/S570)</f>
        <v/>
      </c>
      <c r="AR570" s="33" t="str">
        <f aca="false">IF(A570="","",IF(COUNT(AF570:AJ570)=0,"",SUM(AF570:AJ570)))</f>
        <v/>
      </c>
      <c r="AS570" s="34" t="str">
        <f aca="false">IF(OR(AR570="",N(AO570)=0),"",AR570/AO570)</f>
        <v/>
      </c>
      <c r="AT570" s="34" t="str">
        <f aca="false">IF(OR(AR570="",N(AC570)=0),"",AR570/AC570)</f>
        <v/>
      </c>
      <c r="AU570" s="34" t="str">
        <f aca="false">IF(OR(AR570="",N(S570)=0),"",AR570/S570)</f>
        <v/>
      </c>
      <c r="AV570" s="34" t="str">
        <f aca="false">IF(OR(AJ570="",N(AC570)=0),"",AJ570/AC570)</f>
        <v/>
      </c>
      <c r="AW570" s="34" t="str">
        <f aca="false">IF(OR(AH570="",N(AO570)=0),"",AH570/AO570)</f>
        <v/>
      </c>
      <c r="AX570" s="35" t="str">
        <f aca="false">IF(OR(AR570="",N(AO570)=0),"",(N(AF570)*Settings!$B$6+N(AG570)*Settings!$B$7+N(AH570)*Settings!$B$8+N(AI570)*Settings!$B$9+N(AJ570)*Settings!$B$10)/AO570*1000)</f>
        <v/>
      </c>
      <c r="AY570" s="36" t="str">
        <f aca="false">IF(AS570="","",IFERROR(AS570/AVERAGEIFS('Post Tracker'!$AS$5:$AS$1004,'Post Tracker'!$G$5:$G$1004,G570),""))</f>
        <v/>
      </c>
      <c r="AZ570" s="32"/>
      <c r="BA570" s="32"/>
      <c r="BB570" s="32"/>
      <c r="BC570" s="32"/>
      <c r="BD570" s="33" t="str">
        <f aca="false">IF(A570="","",COUNTIFS('Demo Pipeline'!$Q$5:$Q$504,A570))</f>
        <v/>
      </c>
      <c r="BE570" s="33" t="str">
        <f aca="false">IF(A570="","",COUNTIFS('Demo Pipeline'!$Q$5:$Q$504,A570,'Demo Pipeline'!$W$5:$W$504,"Attended"))</f>
        <v/>
      </c>
      <c r="BF570" s="33" t="str">
        <f aca="false">IF(A570="","",COUNTIFS('Demo Pipeline'!$Q$5:$Q$504,A570,'Demo Pipeline'!$X$5:$X$504,"Yes"))</f>
        <v/>
      </c>
      <c r="BG570" s="33" t="str">
        <f aca="false">IF(A570="","",COUNTIFS('Demo Pipeline'!$Q$5:$Q$504,A570,'Demo Pipeline'!$Y$5:$Y$504,"Closed Won"))</f>
        <v/>
      </c>
      <c r="BH570" s="37" t="str">
        <f aca="false">IF(A570="","",SUMIFS('Demo Pipeline'!$Z$5:$Z$504,'Demo Pipeline'!$Q$5:$Q$504,A570))</f>
        <v/>
      </c>
      <c r="BI570" s="34" t="str">
        <f aca="false">IF(OR(AZ570="",N(AJ570)=0),"",AZ570/AJ570)</f>
        <v/>
      </c>
      <c r="BJ570" s="34" t="str">
        <f aca="false">IF(OR(BB570="",N(AZ570)=0),"",BB570/AZ570)</f>
        <v/>
      </c>
      <c r="BK570" s="34" t="str">
        <f aca="false">IF(OR(A570="",N(BB570)=0),"",BD570/BB570)</f>
        <v/>
      </c>
      <c r="BL570" s="34" t="str">
        <f aca="false">IF(OR(A570="",N(AZ570)=0),"",BD570/AZ570)</f>
        <v/>
      </c>
      <c r="BM570" s="37" t="str">
        <f aca="false">IF(OR(N(Q570)=0,N(BD570)=0),"",Q570/BD570)</f>
        <v/>
      </c>
      <c r="BN570" s="29"/>
      <c r="BO570" s="29"/>
      <c r="BP570" s="33" t="str">
        <f aca="false">IF(OR(AR570="",N(AO570)=0),"",AR570)</f>
        <v/>
      </c>
      <c r="BQ570" s="33" t="str">
        <f aca="false">IF(OR(AR570="",N(S570)=0),"",S570)</f>
        <v/>
      </c>
      <c r="BR570" s="38" t="str">
        <f aca="false">IF(AND(ISNUMBER(B570),B570&gt;=Dashboard!$C$4,B570&lt;=Dashboard!$F$4,ISNUMBER(AU570)),AU570+ROW()/10^9,"")</f>
        <v/>
      </c>
      <c r="BS570" s="38" t="str">
        <f aca="false">IF(AND(ISNUMBER(B570),B570&gt;=Dashboard!$C$4,B570&lt;=Dashboard!$F$4,A570&lt;&gt;""),N(BD570)+N(AU570)/100+ROW()/10^9,"")</f>
        <v/>
      </c>
    </row>
    <row r="571" customFormat="false" ht="15" hidden="false" customHeight="false" outlineLevel="0" collapsed="false">
      <c r="A571" s="24" t="str">
        <f aca="false">IF(OR(B571="",G571="",H571=""),"",IFERROR(INDEX(Settings!$E$5:$E$49,MATCH(G571,Settings!$D$5:$D$49,0))&amp;INDEX(Settings!$H$5:$H$47,MATCH(H571,Settings!$G$5:$G$47,0))&amp;"-"&amp;TEXT(B571,"yymmdd")&amp;"-"&amp;IF(C571="","0000",TEXT(C571,"hhmm")),"CHECK LISTS"))</f>
        <v/>
      </c>
      <c r="B571" s="39"/>
      <c r="C571" s="40"/>
      <c r="D571" s="24" t="str">
        <f aca="false">IF(B571="","",TEXT(B571,"ddd"))</f>
        <v/>
      </c>
      <c r="E571" s="27" t="str">
        <f aca="false">IF(B571="","",B571-WEEKDAY(B571,3))</f>
        <v/>
      </c>
      <c r="F571" s="24" t="str">
        <f aca="false">IF(B571="","",TEXT(B571,"yyyy-mm"))</f>
        <v/>
      </c>
      <c r="G571" s="29"/>
      <c r="H571" s="29"/>
      <c r="I571" s="29"/>
      <c r="J571" s="29"/>
      <c r="K571" s="29"/>
      <c r="L571" s="29"/>
      <c r="M571" s="29"/>
      <c r="N571" s="29"/>
      <c r="O571" s="29"/>
      <c r="P571" s="29"/>
      <c r="Q571" s="30"/>
      <c r="R571" s="29"/>
      <c r="S571" s="32"/>
      <c r="T571" s="29"/>
      <c r="U571" s="29"/>
      <c r="V571" s="24" t="str">
        <f aca="false">IF(A571="","",IFERROR(INDEX(Settings!$F$5:$F$49,MATCH(G571,Settings!$D$5:$D$49,0)),""))</f>
        <v/>
      </c>
      <c r="W571" s="24" t="str">
        <f aca="false">IF(A571="","",IF(OR(P571="",P571="Organic"),"social","paid_social"))</f>
        <v/>
      </c>
      <c r="X571" s="24" t="str">
        <f aca="false">IF(A571="","",IF(K571&lt;&gt;"",IFERROR(INDEX('Case Studies'!$C$5:$C$54,MATCH(K571,'Case Studies'!$B$5:$B$54,0))&amp;"","case-study"),IF(J571&lt;&gt;"",IFERROR(INDEX(Settings!$J$5:$J$55,MATCH(J571,Settings!$I$5:$I$55,0)),"general"),"general")))</f>
        <v/>
      </c>
      <c r="Y571" s="24" t="str">
        <f aca="false">IF(A571="","",LOWER(A571))</f>
        <v/>
      </c>
      <c r="Z571" s="24" t="str">
        <f aca="false">IF(A571="","",IF(T571="",Settings!$B$5,T571)&amp;IF(ISNUMBER(FIND("?",IF(T571="",Settings!$B$5,T571))),"&amp;","?")&amp;"utm_source="&amp;V571&amp;"&amp;utm_medium="&amp;W571&amp;"&amp;utm_campaign="&amp;X571&amp;"&amp;utm_content="&amp;Y571)</f>
        <v/>
      </c>
      <c r="AA571" s="29"/>
      <c r="AB571" s="39"/>
      <c r="AC571" s="32"/>
      <c r="AD571" s="32"/>
      <c r="AE571" s="32"/>
      <c r="AF571" s="32"/>
      <c r="AG571" s="32"/>
      <c r="AH571" s="32"/>
      <c r="AI571" s="32"/>
      <c r="AJ571" s="32"/>
      <c r="AK571" s="32"/>
      <c r="AL571" s="32"/>
      <c r="AM571" s="32"/>
      <c r="AN571" s="32"/>
      <c r="AO571" s="33" t="str">
        <f aca="false">IF(A571="","",IF(AD571&lt;&gt;"",AD571,IF(AC571&lt;&gt;"",AC571,"")))</f>
        <v/>
      </c>
      <c r="AP571" s="24" t="str">
        <f aca="false">IF(AO571="","",IF(AD571&lt;&gt;"","Reported reach","Impressions (proxy)"))</f>
        <v/>
      </c>
      <c r="AQ571" s="34" t="str">
        <f aca="false">IF(OR(AO571="",N(S571)=0),"",AO571/S571)</f>
        <v/>
      </c>
      <c r="AR571" s="33" t="str">
        <f aca="false">IF(A571="","",IF(COUNT(AF571:AJ571)=0,"",SUM(AF571:AJ571)))</f>
        <v/>
      </c>
      <c r="AS571" s="34" t="str">
        <f aca="false">IF(OR(AR571="",N(AO571)=0),"",AR571/AO571)</f>
        <v/>
      </c>
      <c r="AT571" s="34" t="str">
        <f aca="false">IF(OR(AR571="",N(AC571)=0),"",AR571/AC571)</f>
        <v/>
      </c>
      <c r="AU571" s="34" t="str">
        <f aca="false">IF(OR(AR571="",N(S571)=0),"",AR571/S571)</f>
        <v/>
      </c>
      <c r="AV571" s="34" t="str">
        <f aca="false">IF(OR(AJ571="",N(AC571)=0),"",AJ571/AC571)</f>
        <v/>
      </c>
      <c r="AW571" s="34" t="str">
        <f aca="false">IF(OR(AH571="",N(AO571)=0),"",AH571/AO571)</f>
        <v/>
      </c>
      <c r="AX571" s="35" t="str">
        <f aca="false">IF(OR(AR571="",N(AO571)=0),"",(N(AF571)*Settings!$B$6+N(AG571)*Settings!$B$7+N(AH571)*Settings!$B$8+N(AI571)*Settings!$B$9+N(AJ571)*Settings!$B$10)/AO571*1000)</f>
        <v/>
      </c>
      <c r="AY571" s="36" t="str">
        <f aca="false">IF(AS571="","",IFERROR(AS571/AVERAGEIFS('Post Tracker'!$AS$5:$AS$1004,'Post Tracker'!$G$5:$G$1004,G571),""))</f>
        <v/>
      </c>
      <c r="AZ571" s="32"/>
      <c r="BA571" s="32"/>
      <c r="BB571" s="32"/>
      <c r="BC571" s="32"/>
      <c r="BD571" s="33" t="str">
        <f aca="false">IF(A571="","",COUNTIFS('Demo Pipeline'!$Q$5:$Q$504,A571))</f>
        <v/>
      </c>
      <c r="BE571" s="33" t="str">
        <f aca="false">IF(A571="","",COUNTIFS('Demo Pipeline'!$Q$5:$Q$504,A571,'Demo Pipeline'!$W$5:$W$504,"Attended"))</f>
        <v/>
      </c>
      <c r="BF571" s="33" t="str">
        <f aca="false">IF(A571="","",COUNTIFS('Demo Pipeline'!$Q$5:$Q$504,A571,'Demo Pipeline'!$X$5:$X$504,"Yes"))</f>
        <v/>
      </c>
      <c r="BG571" s="33" t="str">
        <f aca="false">IF(A571="","",COUNTIFS('Demo Pipeline'!$Q$5:$Q$504,A571,'Demo Pipeline'!$Y$5:$Y$504,"Closed Won"))</f>
        <v/>
      </c>
      <c r="BH571" s="37" t="str">
        <f aca="false">IF(A571="","",SUMIFS('Demo Pipeline'!$Z$5:$Z$504,'Demo Pipeline'!$Q$5:$Q$504,A571))</f>
        <v/>
      </c>
      <c r="BI571" s="34" t="str">
        <f aca="false">IF(OR(AZ571="",N(AJ571)=0),"",AZ571/AJ571)</f>
        <v/>
      </c>
      <c r="BJ571" s="34" t="str">
        <f aca="false">IF(OR(BB571="",N(AZ571)=0),"",BB571/AZ571)</f>
        <v/>
      </c>
      <c r="BK571" s="34" t="str">
        <f aca="false">IF(OR(A571="",N(BB571)=0),"",BD571/BB571)</f>
        <v/>
      </c>
      <c r="BL571" s="34" t="str">
        <f aca="false">IF(OR(A571="",N(AZ571)=0),"",BD571/AZ571)</f>
        <v/>
      </c>
      <c r="BM571" s="37" t="str">
        <f aca="false">IF(OR(N(Q571)=0,N(BD571)=0),"",Q571/BD571)</f>
        <v/>
      </c>
      <c r="BN571" s="29"/>
      <c r="BO571" s="29"/>
      <c r="BP571" s="33" t="str">
        <f aca="false">IF(OR(AR571="",N(AO571)=0),"",AR571)</f>
        <v/>
      </c>
      <c r="BQ571" s="33" t="str">
        <f aca="false">IF(OR(AR571="",N(S571)=0),"",S571)</f>
        <v/>
      </c>
      <c r="BR571" s="38" t="str">
        <f aca="false">IF(AND(ISNUMBER(B571),B571&gt;=Dashboard!$C$4,B571&lt;=Dashboard!$F$4,ISNUMBER(AU571)),AU571+ROW()/10^9,"")</f>
        <v/>
      </c>
      <c r="BS571" s="38" t="str">
        <f aca="false">IF(AND(ISNUMBER(B571),B571&gt;=Dashboard!$C$4,B571&lt;=Dashboard!$F$4,A571&lt;&gt;""),N(BD571)+N(AU571)/100+ROW()/10^9,"")</f>
        <v/>
      </c>
    </row>
    <row r="572" customFormat="false" ht="15" hidden="false" customHeight="false" outlineLevel="0" collapsed="false">
      <c r="A572" s="24" t="str">
        <f aca="false">IF(OR(B572="",G572="",H572=""),"",IFERROR(INDEX(Settings!$E$5:$E$49,MATCH(G572,Settings!$D$5:$D$49,0))&amp;INDEX(Settings!$H$5:$H$47,MATCH(H572,Settings!$G$5:$G$47,0))&amp;"-"&amp;TEXT(B572,"yymmdd")&amp;"-"&amp;IF(C572="","0000",TEXT(C572,"hhmm")),"CHECK LISTS"))</f>
        <v/>
      </c>
      <c r="B572" s="39"/>
      <c r="C572" s="40"/>
      <c r="D572" s="24" t="str">
        <f aca="false">IF(B572="","",TEXT(B572,"ddd"))</f>
        <v/>
      </c>
      <c r="E572" s="27" t="str">
        <f aca="false">IF(B572="","",B572-WEEKDAY(B572,3))</f>
        <v/>
      </c>
      <c r="F572" s="24" t="str">
        <f aca="false">IF(B572="","",TEXT(B572,"yyyy-mm"))</f>
        <v/>
      </c>
      <c r="G572" s="29"/>
      <c r="H572" s="29"/>
      <c r="I572" s="29"/>
      <c r="J572" s="29"/>
      <c r="K572" s="29"/>
      <c r="L572" s="29"/>
      <c r="M572" s="29"/>
      <c r="N572" s="29"/>
      <c r="O572" s="29"/>
      <c r="P572" s="29"/>
      <c r="Q572" s="30"/>
      <c r="R572" s="29"/>
      <c r="S572" s="32"/>
      <c r="T572" s="29"/>
      <c r="U572" s="29"/>
      <c r="V572" s="24" t="str">
        <f aca="false">IF(A572="","",IFERROR(INDEX(Settings!$F$5:$F$49,MATCH(G572,Settings!$D$5:$D$49,0)),""))</f>
        <v/>
      </c>
      <c r="W572" s="24" t="str">
        <f aca="false">IF(A572="","",IF(OR(P572="",P572="Organic"),"social","paid_social"))</f>
        <v/>
      </c>
      <c r="X572" s="24" t="str">
        <f aca="false">IF(A572="","",IF(K572&lt;&gt;"",IFERROR(INDEX('Case Studies'!$C$5:$C$54,MATCH(K572,'Case Studies'!$B$5:$B$54,0))&amp;"","case-study"),IF(J572&lt;&gt;"",IFERROR(INDEX(Settings!$J$5:$J$55,MATCH(J572,Settings!$I$5:$I$55,0)),"general"),"general")))</f>
        <v/>
      </c>
      <c r="Y572" s="24" t="str">
        <f aca="false">IF(A572="","",LOWER(A572))</f>
        <v/>
      </c>
      <c r="Z572" s="24" t="str">
        <f aca="false">IF(A572="","",IF(T572="",Settings!$B$5,T572)&amp;IF(ISNUMBER(FIND("?",IF(T572="",Settings!$B$5,T572))),"&amp;","?")&amp;"utm_source="&amp;V572&amp;"&amp;utm_medium="&amp;W572&amp;"&amp;utm_campaign="&amp;X572&amp;"&amp;utm_content="&amp;Y572)</f>
        <v/>
      </c>
      <c r="AA572" s="29"/>
      <c r="AB572" s="39"/>
      <c r="AC572" s="32"/>
      <c r="AD572" s="32"/>
      <c r="AE572" s="32"/>
      <c r="AF572" s="32"/>
      <c r="AG572" s="32"/>
      <c r="AH572" s="32"/>
      <c r="AI572" s="32"/>
      <c r="AJ572" s="32"/>
      <c r="AK572" s="32"/>
      <c r="AL572" s="32"/>
      <c r="AM572" s="32"/>
      <c r="AN572" s="32"/>
      <c r="AO572" s="33" t="str">
        <f aca="false">IF(A572="","",IF(AD572&lt;&gt;"",AD572,IF(AC572&lt;&gt;"",AC572,"")))</f>
        <v/>
      </c>
      <c r="AP572" s="24" t="str">
        <f aca="false">IF(AO572="","",IF(AD572&lt;&gt;"","Reported reach","Impressions (proxy)"))</f>
        <v/>
      </c>
      <c r="AQ572" s="34" t="str">
        <f aca="false">IF(OR(AO572="",N(S572)=0),"",AO572/S572)</f>
        <v/>
      </c>
      <c r="AR572" s="33" t="str">
        <f aca="false">IF(A572="","",IF(COUNT(AF572:AJ572)=0,"",SUM(AF572:AJ572)))</f>
        <v/>
      </c>
      <c r="AS572" s="34" t="str">
        <f aca="false">IF(OR(AR572="",N(AO572)=0),"",AR572/AO572)</f>
        <v/>
      </c>
      <c r="AT572" s="34" t="str">
        <f aca="false">IF(OR(AR572="",N(AC572)=0),"",AR572/AC572)</f>
        <v/>
      </c>
      <c r="AU572" s="34" t="str">
        <f aca="false">IF(OR(AR572="",N(S572)=0),"",AR572/S572)</f>
        <v/>
      </c>
      <c r="AV572" s="34" t="str">
        <f aca="false">IF(OR(AJ572="",N(AC572)=0),"",AJ572/AC572)</f>
        <v/>
      </c>
      <c r="AW572" s="34" t="str">
        <f aca="false">IF(OR(AH572="",N(AO572)=0),"",AH572/AO572)</f>
        <v/>
      </c>
      <c r="AX572" s="35" t="str">
        <f aca="false">IF(OR(AR572="",N(AO572)=0),"",(N(AF572)*Settings!$B$6+N(AG572)*Settings!$B$7+N(AH572)*Settings!$B$8+N(AI572)*Settings!$B$9+N(AJ572)*Settings!$B$10)/AO572*1000)</f>
        <v/>
      </c>
      <c r="AY572" s="36" t="str">
        <f aca="false">IF(AS572="","",IFERROR(AS572/AVERAGEIFS('Post Tracker'!$AS$5:$AS$1004,'Post Tracker'!$G$5:$G$1004,G572),""))</f>
        <v/>
      </c>
      <c r="AZ572" s="32"/>
      <c r="BA572" s="32"/>
      <c r="BB572" s="32"/>
      <c r="BC572" s="32"/>
      <c r="BD572" s="33" t="str">
        <f aca="false">IF(A572="","",COUNTIFS('Demo Pipeline'!$Q$5:$Q$504,A572))</f>
        <v/>
      </c>
      <c r="BE572" s="33" t="str">
        <f aca="false">IF(A572="","",COUNTIFS('Demo Pipeline'!$Q$5:$Q$504,A572,'Demo Pipeline'!$W$5:$W$504,"Attended"))</f>
        <v/>
      </c>
      <c r="BF572" s="33" t="str">
        <f aca="false">IF(A572="","",COUNTIFS('Demo Pipeline'!$Q$5:$Q$504,A572,'Demo Pipeline'!$X$5:$X$504,"Yes"))</f>
        <v/>
      </c>
      <c r="BG572" s="33" t="str">
        <f aca="false">IF(A572="","",COUNTIFS('Demo Pipeline'!$Q$5:$Q$504,A572,'Demo Pipeline'!$Y$5:$Y$504,"Closed Won"))</f>
        <v/>
      </c>
      <c r="BH572" s="37" t="str">
        <f aca="false">IF(A572="","",SUMIFS('Demo Pipeline'!$Z$5:$Z$504,'Demo Pipeline'!$Q$5:$Q$504,A572))</f>
        <v/>
      </c>
      <c r="BI572" s="34" t="str">
        <f aca="false">IF(OR(AZ572="",N(AJ572)=0),"",AZ572/AJ572)</f>
        <v/>
      </c>
      <c r="BJ572" s="34" t="str">
        <f aca="false">IF(OR(BB572="",N(AZ572)=0),"",BB572/AZ572)</f>
        <v/>
      </c>
      <c r="BK572" s="34" t="str">
        <f aca="false">IF(OR(A572="",N(BB572)=0),"",BD572/BB572)</f>
        <v/>
      </c>
      <c r="BL572" s="34" t="str">
        <f aca="false">IF(OR(A572="",N(AZ572)=0),"",BD572/AZ572)</f>
        <v/>
      </c>
      <c r="BM572" s="37" t="str">
        <f aca="false">IF(OR(N(Q572)=0,N(BD572)=0),"",Q572/BD572)</f>
        <v/>
      </c>
      <c r="BN572" s="29"/>
      <c r="BO572" s="29"/>
      <c r="BP572" s="33" t="str">
        <f aca="false">IF(OR(AR572="",N(AO572)=0),"",AR572)</f>
        <v/>
      </c>
      <c r="BQ572" s="33" t="str">
        <f aca="false">IF(OR(AR572="",N(S572)=0),"",S572)</f>
        <v/>
      </c>
      <c r="BR572" s="38" t="str">
        <f aca="false">IF(AND(ISNUMBER(B572),B572&gt;=Dashboard!$C$4,B572&lt;=Dashboard!$F$4,ISNUMBER(AU572)),AU572+ROW()/10^9,"")</f>
        <v/>
      </c>
      <c r="BS572" s="38" t="str">
        <f aca="false">IF(AND(ISNUMBER(B572),B572&gt;=Dashboard!$C$4,B572&lt;=Dashboard!$F$4,A572&lt;&gt;""),N(BD572)+N(AU572)/100+ROW()/10^9,"")</f>
        <v/>
      </c>
    </row>
    <row r="573" customFormat="false" ht="15" hidden="false" customHeight="false" outlineLevel="0" collapsed="false">
      <c r="A573" s="24" t="str">
        <f aca="false">IF(OR(B573="",G573="",H573=""),"",IFERROR(INDEX(Settings!$E$5:$E$49,MATCH(G573,Settings!$D$5:$D$49,0))&amp;INDEX(Settings!$H$5:$H$47,MATCH(H573,Settings!$G$5:$G$47,0))&amp;"-"&amp;TEXT(B573,"yymmdd")&amp;"-"&amp;IF(C573="","0000",TEXT(C573,"hhmm")),"CHECK LISTS"))</f>
        <v/>
      </c>
      <c r="B573" s="39"/>
      <c r="C573" s="40"/>
      <c r="D573" s="24" t="str">
        <f aca="false">IF(B573="","",TEXT(B573,"ddd"))</f>
        <v/>
      </c>
      <c r="E573" s="27" t="str">
        <f aca="false">IF(B573="","",B573-WEEKDAY(B573,3))</f>
        <v/>
      </c>
      <c r="F573" s="24" t="str">
        <f aca="false">IF(B573="","",TEXT(B573,"yyyy-mm"))</f>
        <v/>
      </c>
      <c r="G573" s="29"/>
      <c r="H573" s="29"/>
      <c r="I573" s="29"/>
      <c r="J573" s="29"/>
      <c r="K573" s="29"/>
      <c r="L573" s="29"/>
      <c r="M573" s="29"/>
      <c r="N573" s="29"/>
      <c r="O573" s="29"/>
      <c r="P573" s="29"/>
      <c r="Q573" s="30"/>
      <c r="R573" s="29"/>
      <c r="S573" s="32"/>
      <c r="T573" s="29"/>
      <c r="U573" s="29"/>
      <c r="V573" s="24" t="str">
        <f aca="false">IF(A573="","",IFERROR(INDEX(Settings!$F$5:$F$49,MATCH(G573,Settings!$D$5:$D$49,0)),""))</f>
        <v/>
      </c>
      <c r="W573" s="24" t="str">
        <f aca="false">IF(A573="","",IF(OR(P573="",P573="Organic"),"social","paid_social"))</f>
        <v/>
      </c>
      <c r="X573" s="24" t="str">
        <f aca="false">IF(A573="","",IF(K573&lt;&gt;"",IFERROR(INDEX('Case Studies'!$C$5:$C$54,MATCH(K573,'Case Studies'!$B$5:$B$54,0))&amp;"","case-study"),IF(J573&lt;&gt;"",IFERROR(INDEX(Settings!$J$5:$J$55,MATCH(J573,Settings!$I$5:$I$55,0)),"general"),"general")))</f>
        <v/>
      </c>
      <c r="Y573" s="24" t="str">
        <f aca="false">IF(A573="","",LOWER(A573))</f>
        <v/>
      </c>
      <c r="Z573" s="24" t="str">
        <f aca="false">IF(A573="","",IF(T573="",Settings!$B$5,T573)&amp;IF(ISNUMBER(FIND("?",IF(T573="",Settings!$B$5,T573))),"&amp;","?")&amp;"utm_source="&amp;V573&amp;"&amp;utm_medium="&amp;W573&amp;"&amp;utm_campaign="&amp;X573&amp;"&amp;utm_content="&amp;Y573)</f>
        <v/>
      </c>
      <c r="AA573" s="29"/>
      <c r="AB573" s="39"/>
      <c r="AC573" s="32"/>
      <c r="AD573" s="32"/>
      <c r="AE573" s="32"/>
      <c r="AF573" s="32"/>
      <c r="AG573" s="32"/>
      <c r="AH573" s="32"/>
      <c r="AI573" s="32"/>
      <c r="AJ573" s="32"/>
      <c r="AK573" s="32"/>
      <c r="AL573" s="32"/>
      <c r="AM573" s="32"/>
      <c r="AN573" s="32"/>
      <c r="AO573" s="33" t="str">
        <f aca="false">IF(A573="","",IF(AD573&lt;&gt;"",AD573,IF(AC573&lt;&gt;"",AC573,"")))</f>
        <v/>
      </c>
      <c r="AP573" s="24" t="str">
        <f aca="false">IF(AO573="","",IF(AD573&lt;&gt;"","Reported reach","Impressions (proxy)"))</f>
        <v/>
      </c>
      <c r="AQ573" s="34" t="str">
        <f aca="false">IF(OR(AO573="",N(S573)=0),"",AO573/S573)</f>
        <v/>
      </c>
      <c r="AR573" s="33" t="str">
        <f aca="false">IF(A573="","",IF(COUNT(AF573:AJ573)=0,"",SUM(AF573:AJ573)))</f>
        <v/>
      </c>
      <c r="AS573" s="34" t="str">
        <f aca="false">IF(OR(AR573="",N(AO573)=0),"",AR573/AO573)</f>
        <v/>
      </c>
      <c r="AT573" s="34" t="str">
        <f aca="false">IF(OR(AR573="",N(AC573)=0),"",AR573/AC573)</f>
        <v/>
      </c>
      <c r="AU573" s="34" t="str">
        <f aca="false">IF(OR(AR573="",N(S573)=0),"",AR573/S573)</f>
        <v/>
      </c>
      <c r="AV573" s="34" t="str">
        <f aca="false">IF(OR(AJ573="",N(AC573)=0),"",AJ573/AC573)</f>
        <v/>
      </c>
      <c r="AW573" s="34" t="str">
        <f aca="false">IF(OR(AH573="",N(AO573)=0),"",AH573/AO573)</f>
        <v/>
      </c>
      <c r="AX573" s="35" t="str">
        <f aca="false">IF(OR(AR573="",N(AO573)=0),"",(N(AF573)*Settings!$B$6+N(AG573)*Settings!$B$7+N(AH573)*Settings!$B$8+N(AI573)*Settings!$B$9+N(AJ573)*Settings!$B$10)/AO573*1000)</f>
        <v/>
      </c>
      <c r="AY573" s="36" t="str">
        <f aca="false">IF(AS573="","",IFERROR(AS573/AVERAGEIFS('Post Tracker'!$AS$5:$AS$1004,'Post Tracker'!$G$5:$G$1004,G573),""))</f>
        <v/>
      </c>
      <c r="AZ573" s="32"/>
      <c r="BA573" s="32"/>
      <c r="BB573" s="32"/>
      <c r="BC573" s="32"/>
      <c r="BD573" s="33" t="str">
        <f aca="false">IF(A573="","",COUNTIFS('Demo Pipeline'!$Q$5:$Q$504,A573))</f>
        <v/>
      </c>
      <c r="BE573" s="33" t="str">
        <f aca="false">IF(A573="","",COUNTIFS('Demo Pipeline'!$Q$5:$Q$504,A573,'Demo Pipeline'!$W$5:$W$504,"Attended"))</f>
        <v/>
      </c>
      <c r="BF573" s="33" t="str">
        <f aca="false">IF(A573="","",COUNTIFS('Demo Pipeline'!$Q$5:$Q$504,A573,'Demo Pipeline'!$X$5:$X$504,"Yes"))</f>
        <v/>
      </c>
      <c r="BG573" s="33" t="str">
        <f aca="false">IF(A573="","",COUNTIFS('Demo Pipeline'!$Q$5:$Q$504,A573,'Demo Pipeline'!$Y$5:$Y$504,"Closed Won"))</f>
        <v/>
      </c>
      <c r="BH573" s="37" t="str">
        <f aca="false">IF(A573="","",SUMIFS('Demo Pipeline'!$Z$5:$Z$504,'Demo Pipeline'!$Q$5:$Q$504,A573))</f>
        <v/>
      </c>
      <c r="BI573" s="34" t="str">
        <f aca="false">IF(OR(AZ573="",N(AJ573)=0),"",AZ573/AJ573)</f>
        <v/>
      </c>
      <c r="BJ573" s="34" t="str">
        <f aca="false">IF(OR(BB573="",N(AZ573)=0),"",BB573/AZ573)</f>
        <v/>
      </c>
      <c r="BK573" s="34" t="str">
        <f aca="false">IF(OR(A573="",N(BB573)=0),"",BD573/BB573)</f>
        <v/>
      </c>
      <c r="BL573" s="34" t="str">
        <f aca="false">IF(OR(A573="",N(AZ573)=0),"",BD573/AZ573)</f>
        <v/>
      </c>
      <c r="BM573" s="37" t="str">
        <f aca="false">IF(OR(N(Q573)=0,N(BD573)=0),"",Q573/BD573)</f>
        <v/>
      </c>
      <c r="BN573" s="29"/>
      <c r="BO573" s="29"/>
      <c r="BP573" s="33" t="str">
        <f aca="false">IF(OR(AR573="",N(AO573)=0),"",AR573)</f>
        <v/>
      </c>
      <c r="BQ573" s="33" t="str">
        <f aca="false">IF(OR(AR573="",N(S573)=0),"",S573)</f>
        <v/>
      </c>
      <c r="BR573" s="38" t="str">
        <f aca="false">IF(AND(ISNUMBER(B573),B573&gt;=Dashboard!$C$4,B573&lt;=Dashboard!$F$4,ISNUMBER(AU573)),AU573+ROW()/10^9,"")</f>
        <v/>
      </c>
      <c r="BS573" s="38" t="str">
        <f aca="false">IF(AND(ISNUMBER(B573),B573&gt;=Dashboard!$C$4,B573&lt;=Dashboard!$F$4,A573&lt;&gt;""),N(BD573)+N(AU573)/100+ROW()/10^9,"")</f>
        <v/>
      </c>
    </row>
    <row r="574" customFormat="false" ht="15" hidden="false" customHeight="false" outlineLevel="0" collapsed="false">
      <c r="A574" s="24" t="str">
        <f aca="false">IF(OR(B574="",G574="",H574=""),"",IFERROR(INDEX(Settings!$E$5:$E$49,MATCH(G574,Settings!$D$5:$D$49,0))&amp;INDEX(Settings!$H$5:$H$47,MATCH(H574,Settings!$G$5:$G$47,0))&amp;"-"&amp;TEXT(B574,"yymmdd")&amp;"-"&amp;IF(C574="","0000",TEXT(C574,"hhmm")),"CHECK LISTS"))</f>
        <v/>
      </c>
      <c r="B574" s="39"/>
      <c r="C574" s="40"/>
      <c r="D574" s="24" t="str">
        <f aca="false">IF(B574="","",TEXT(B574,"ddd"))</f>
        <v/>
      </c>
      <c r="E574" s="27" t="str">
        <f aca="false">IF(B574="","",B574-WEEKDAY(B574,3))</f>
        <v/>
      </c>
      <c r="F574" s="24" t="str">
        <f aca="false">IF(B574="","",TEXT(B574,"yyyy-mm"))</f>
        <v/>
      </c>
      <c r="G574" s="29"/>
      <c r="H574" s="29"/>
      <c r="I574" s="29"/>
      <c r="J574" s="29"/>
      <c r="K574" s="29"/>
      <c r="L574" s="29"/>
      <c r="M574" s="29"/>
      <c r="N574" s="29"/>
      <c r="O574" s="29"/>
      <c r="P574" s="29"/>
      <c r="Q574" s="30"/>
      <c r="R574" s="29"/>
      <c r="S574" s="32"/>
      <c r="T574" s="29"/>
      <c r="U574" s="29"/>
      <c r="V574" s="24" t="str">
        <f aca="false">IF(A574="","",IFERROR(INDEX(Settings!$F$5:$F$49,MATCH(G574,Settings!$D$5:$D$49,0)),""))</f>
        <v/>
      </c>
      <c r="W574" s="24" t="str">
        <f aca="false">IF(A574="","",IF(OR(P574="",P574="Organic"),"social","paid_social"))</f>
        <v/>
      </c>
      <c r="X574" s="24" t="str">
        <f aca="false">IF(A574="","",IF(K574&lt;&gt;"",IFERROR(INDEX('Case Studies'!$C$5:$C$54,MATCH(K574,'Case Studies'!$B$5:$B$54,0))&amp;"","case-study"),IF(J574&lt;&gt;"",IFERROR(INDEX(Settings!$J$5:$J$55,MATCH(J574,Settings!$I$5:$I$55,0)),"general"),"general")))</f>
        <v/>
      </c>
      <c r="Y574" s="24" t="str">
        <f aca="false">IF(A574="","",LOWER(A574))</f>
        <v/>
      </c>
      <c r="Z574" s="24" t="str">
        <f aca="false">IF(A574="","",IF(T574="",Settings!$B$5,T574)&amp;IF(ISNUMBER(FIND("?",IF(T574="",Settings!$B$5,T574))),"&amp;","?")&amp;"utm_source="&amp;V574&amp;"&amp;utm_medium="&amp;W574&amp;"&amp;utm_campaign="&amp;X574&amp;"&amp;utm_content="&amp;Y574)</f>
        <v/>
      </c>
      <c r="AA574" s="29"/>
      <c r="AB574" s="39"/>
      <c r="AC574" s="32"/>
      <c r="AD574" s="32"/>
      <c r="AE574" s="32"/>
      <c r="AF574" s="32"/>
      <c r="AG574" s="32"/>
      <c r="AH574" s="32"/>
      <c r="AI574" s="32"/>
      <c r="AJ574" s="32"/>
      <c r="AK574" s="32"/>
      <c r="AL574" s="32"/>
      <c r="AM574" s="32"/>
      <c r="AN574" s="32"/>
      <c r="AO574" s="33" t="str">
        <f aca="false">IF(A574="","",IF(AD574&lt;&gt;"",AD574,IF(AC574&lt;&gt;"",AC574,"")))</f>
        <v/>
      </c>
      <c r="AP574" s="24" t="str">
        <f aca="false">IF(AO574="","",IF(AD574&lt;&gt;"","Reported reach","Impressions (proxy)"))</f>
        <v/>
      </c>
      <c r="AQ574" s="34" t="str">
        <f aca="false">IF(OR(AO574="",N(S574)=0),"",AO574/S574)</f>
        <v/>
      </c>
      <c r="AR574" s="33" t="str">
        <f aca="false">IF(A574="","",IF(COUNT(AF574:AJ574)=0,"",SUM(AF574:AJ574)))</f>
        <v/>
      </c>
      <c r="AS574" s="34" t="str">
        <f aca="false">IF(OR(AR574="",N(AO574)=0),"",AR574/AO574)</f>
        <v/>
      </c>
      <c r="AT574" s="34" t="str">
        <f aca="false">IF(OR(AR574="",N(AC574)=0),"",AR574/AC574)</f>
        <v/>
      </c>
      <c r="AU574" s="34" t="str">
        <f aca="false">IF(OR(AR574="",N(S574)=0),"",AR574/S574)</f>
        <v/>
      </c>
      <c r="AV574" s="34" t="str">
        <f aca="false">IF(OR(AJ574="",N(AC574)=0),"",AJ574/AC574)</f>
        <v/>
      </c>
      <c r="AW574" s="34" t="str">
        <f aca="false">IF(OR(AH574="",N(AO574)=0),"",AH574/AO574)</f>
        <v/>
      </c>
      <c r="AX574" s="35" t="str">
        <f aca="false">IF(OR(AR574="",N(AO574)=0),"",(N(AF574)*Settings!$B$6+N(AG574)*Settings!$B$7+N(AH574)*Settings!$B$8+N(AI574)*Settings!$B$9+N(AJ574)*Settings!$B$10)/AO574*1000)</f>
        <v/>
      </c>
      <c r="AY574" s="36" t="str">
        <f aca="false">IF(AS574="","",IFERROR(AS574/AVERAGEIFS('Post Tracker'!$AS$5:$AS$1004,'Post Tracker'!$G$5:$G$1004,G574),""))</f>
        <v/>
      </c>
      <c r="AZ574" s="32"/>
      <c r="BA574" s="32"/>
      <c r="BB574" s="32"/>
      <c r="BC574" s="32"/>
      <c r="BD574" s="33" t="str">
        <f aca="false">IF(A574="","",COUNTIFS('Demo Pipeline'!$Q$5:$Q$504,A574))</f>
        <v/>
      </c>
      <c r="BE574" s="33" t="str">
        <f aca="false">IF(A574="","",COUNTIFS('Demo Pipeline'!$Q$5:$Q$504,A574,'Demo Pipeline'!$W$5:$W$504,"Attended"))</f>
        <v/>
      </c>
      <c r="BF574" s="33" t="str">
        <f aca="false">IF(A574="","",COUNTIFS('Demo Pipeline'!$Q$5:$Q$504,A574,'Demo Pipeline'!$X$5:$X$504,"Yes"))</f>
        <v/>
      </c>
      <c r="BG574" s="33" t="str">
        <f aca="false">IF(A574="","",COUNTIFS('Demo Pipeline'!$Q$5:$Q$504,A574,'Demo Pipeline'!$Y$5:$Y$504,"Closed Won"))</f>
        <v/>
      </c>
      <c r="BH574" s="37" t="str">
        <f aca="false">IF(A574="","",SUMIFS('Demo Pipeline'!$Z$5:$Z$504,'Demo Pipeline'!$Q$5:$Q$504,A574))</f>
        <v/>
      </c>
      <c r="BI574" s="34" t="str">
        <f aca="false">IF(OR(AZ574="",N(AJ574)=0),"",AZ574/AJ574)</f>
        <v/>
      </c>
      <c r="BJ574" s="34" t="str">
        <f aca="false">IF(OR(BB574="",N(AZ574)=0),"",BB574/AZ574)</f>
        <v/>
      </c>
      <c r="BK574" s="34" t="str">
        <f aca="false">IF(OR(A574="",N(BB574)=0),"",BD574/BB574)</f>
        <v/>
      </c>
      <c r="BL574" s="34" t="str">
        <f aca="false">IF(OR(A574="",N(AZ574)=0),"",BD574/AZ574)</f>
        <v/>
      </c>
      <c r="BM574" s="37" t="str">
        <f aca="false">IF(OR(N(Q574)=0,N(BD574)=0),"",Q574/BD574)</f>
        <v/>
      </c>
      <c r="BN574" s="29"/>
      <c r="BO574" s="29"/>
      <c r="BP574" s="33" t="str">
        <f aca="false">IF(OR(AR574="",N(AO574)=0),"",AR574)</f>
        <v/>
      </c>
      <c r="BQ574" s="33" t="str">
        <f aca="false">IF(OR(AR574="",N(S574)=0),"",S574)</f>
        <v/>
      </c>
      <c r="BR574" s="38" t="str">
        <f aca="false">IF(AND(ISNUMBER(B574),B574&gt;=Dashboard!$C$4,B574&lt;=Dashboard!$F$4,ISNUMBER(AU574)),AU574+ROW()/10^9,"")</f>
        <v/>
      </c>
      <c r="BS574" s="38" t="str">
        <f aca="false">IF(AND(ISNUMBER(B574),B574&gt;=Dashboard!$C$4,B574&lt;=Dashboard!$F$4,A574&lt;&gt;""),N(BD574)+N(AU574)/100+ROW()/10^9,"")</f>
        <v/>
      </c>
    </row>
    <row r="575" customFormat="false" ht="15" hidden="false" customHeight="false" outlineLevel="0" collapsed="false">
      <c r="A575" s="24" t="str">
        <f aca="false">IF(OR(B575="",G575="",H575=""),"",IFERROR(INDEX(Settings!$E$5:$E$49,MATCH(G575,Settings!$D$5:$D$49,0))&amp;INDEX(Settings!$H$5:$H$47,MATCH(H575,Settings!$G$5:$G$47,0))&amp;"-"&amp;TEXT(B575,"yymmdd")&amp;"-"&amp;IF(C575="","0000",TEXT(C575,"hhmm")),"CHECK LISTS"))</f>
        <v/>
      </c>
      <c r="B575" s="39"/>
      <c r="C575" s="40"/>
      <c r="D575" s="24" t="str">
        <f aca="false">IF(B575="","",TEXT(B575,"ddd"))</f>
        <v/>
      </c>
      <c r="E575" s="27" t="str">
        <f aca="false">IF(B575="","",B575-WEEKDAY(B575,3))</f>
        <v/>
      </c>
      <c r="F575" s="24" t="str">
        <f aca="false">IF(B575="","",TEXT(B575,"yyyy-mm"))</f>
        <v/>
      </c>
      <c r="G575" s="29"/>
      <c r="H575" s="29"/>
      <c r="I575" s="29"/>
      <c r="J575" s="29"/>
      <c r="K575" s="29"/>
      <c r="L575" s="29"/>
      <c r="M575" s="29"/>
      <c r="N575" s="29"/>
      <c r="O575" s="29"/>
      <c r="P575" s="29"/>
      <c r="Q575" s="30"/>
      <c r="R575" s="29"/>
      <c r="S575" s="32"/>
      <c r="T575" s="29"/>
      <c r="U575" s="29"/>
      <c r="V575" s="24" t="str">
        <f aca="false">IF(A575="","",IFERROR(INDEX(Settings!$F$5:$F$49,MATCH(G575,Settings!$D$5:$D$49,0)),""))</f>
        <v/>
      </c>
      <c r="W575" s="24" t="str">
        <f aca="false">IF(A575="","",IF(OR(P575="",P575="Organic"),"social","paid_social"))</f>
        <v/>
      </c>
      <c r="X575" s="24" t="str">
        <f aca="false">IF(A575="","",IF(K575&lt;&gt;"",IFERROR(INDEX('Case Studies'!$C$5:$C$54,MATCH(K575,'Case Studies'!$B$5:$B$54,0))&amp;"","case-study"),IF(J575&lt;&gt;"",IFERROR(INDEX(Settings!$J$5:$J$55,MATCH(J575,Settings!$I$5:$I$55,0)),"general"),"general")))</f>
        <v/>
      </c>
      <c r="Y575" s="24" t="str">
        <f aca="false">IF(A575="","",LOWER(A575))</f>
        <v/>
      </c>
      <c r="Z575" s="24" t="str">
        <f aca="false">IF(A575="","",IF(T575="",Settings!$B$5,T575)&amp;IF(ISNUMBER(FIND("?",IF(T575="",Settings!$B$5,T575))),"&amp;","?")&amp;"utm_source="&amp;V575&amp;"&amp;utm_medium="&amp;W575&amp;"&amp;utm_campaign="&amp;X575&amp;"&amp;utm_content="&amp;Y575)</f>
        <v/>
      </c>
      <c r="AA575" s="29"/>
      <c r="AB575" s="39"/>
      <c r="AC575" s="32"/>
      <c r="AD575" s="32"/>
      <c r="AE575" s="32"/>
      <c r="AF575" s="32"/>
      <c r="AG575" s="32"/>
      <c r="AH575" s="32"/>
      <c r="AI575" s="32"/>
      <c r="AJ575" s="32"/>
      <c r="AK575" s="32"/>
      <c r="AL575" s="32"/>
      <c r="AM575" s="32"/>
      <c r="AN575" s="32"/>
      <c r="AO575" s="33" t="str">
        <f aca="false">IF(A575="","",IF(AD575&lt;&gt;"",AD575,IF(AC575&lt;&gt;"",AC575,"")))</f>
        <v/>
      </c>
      <c r="AP575" s="24" t="str">
        <f aca="false">IF(AO575="","",IF(AD575&lt;&gt;"","Reported reach","Impressions (proxy)"))</f>
        <v/>
      </c>
      <c r="AQ575" s="34" t="str">
        <f aca="false">IF(OR(AO575="",N(S575)=0),"",AO575/S575)</f>
        <v/>
      </c>
      <c r="AR575" s="33" t="str">
        <f aca="false">IF(A575="","",IF(COUNT(AF575:AJ575)=0,"",SUM(AF575:AJ575)))</f>
        <v/>
      </c>
      <c r="AS575" s="34" t="str">
        <f aca="false">IF(OR(AR575="",N(AO575)=0),"",AR575/AO575)</f>
        <v/>
      </c>
      <c r="AT575" s="34" t="str">
        <f aca="false">IF(OR(AR575="",N(AC575)=0),"",AR575/AC575)</f>
        <v/>
      </c>
      <c r="AU575" s="34" t="str">
        <f aca="false">IF(OR(AR575="",N(S575)=0),"",AR575/S575)</f>
        <v/>
      </c>
      <c r="AV575" s="34" t="str">
        <f aca="false">IF(OR(AJ575="",N(AC575)=0),"",AJ575/AC575)</f>
        <v/>
      </c>
      <c r="AW575" s="34" t="str">
        <f aca="false">IF(OR(AH575="",N(AO575)=0),"",AH575/AO575)</f>
        <v/>
      </c>
      <c r="AX575" s="35" t="str">
        <f aca="false">IF(OR(AR575="",N(AO575)=0),"",(N(AF575)*Settings!$B$6+N(AG575)*Settings!$B$7+N(AH575)*Settings!$B$8+N(AI575)*Settings!$B$9+N(AJ575)*Settings!$B$10)/AO575*1000)</f>
        <v/>
      </c>
      <c r="AY575" s="36" t="str">
        <f aca="false">IF(AS575="","",IFERROR(AS575/AVERAGEIFS('Post Tracker'!$AS$5:$AS$1004,'Post Tracker'!$G$5:$G$1004,G575),""))</f>
        <v/>
      </c>
      <c r="AZ575" s="32"/>
      <c r="BA575" s="32"/>
      <c r="BB575" s="32"/>
      <c r="BC575" s="32"/>
      <c r="BD575" s="33" t="str">
        <f aca="false">IF(A575="","",COUNTIFS('Demo Pipeline'!$Q$5:$Q$504,A575))</f>
        <v/>
      </c>
      <c r="BE575" s="33" t="str">
        <f aca="false">IF(A575="","",COUNTIFS('Demo Pipeline'!$Q$5:$Q$504,A575,'Demo Pipeline'!$W$5:$W$504,"Attended"))</f>
        <v/>
      </c>
      <c r="BF575" s="33" t="str">
        <f aca="false">IF(A575="","",COUNTIFS('Demo Pipeline'!$Q$5:$Q$504,A575,'Demo Pipeline'!$X$5:$X$504,"Yes"))</f>
        <v/>
      </c>
      <c r="BG575" s="33" t="str">
        <f aca="false">IF(A575="","",COUNTIFS('Demo Pipeline'!$Q$5:$Q$504,A575,'Demo Pipeline'!$Y$5:$Y$504,"Closed Won"))</f>
        <v/>
      </c>
      <c r="BH575" s="37" t="str">
        <f aca="false">IF(A575="","",SUMIFS('Demo Pipeline'!$Z$5:$Z$504,'Demo Pipeline'!$Q$5:$Q$504,A575))</f>
        <v/>
      </c>
      <c r="BI575" s="34" t="str">
        <f aca="false">IF(OR(AZ575="",N(AJ575)=0),"",AZ575/AJ575)</f>
        <v/>
      </c>
      <c r="BJ575" s="34" t="str">
        <f aca="false">IF(OR(BB575="",N(AZ575)=0),"",BB575/AZ575)</f>
        <v/>
      </c>
      <c r="BK575" s="34" t="str">
        <f aca="false">IF(OR(A575="",N(BB575)=0),"",BD575/BB575)</f>
        <v/>
      </c>
      <c r="BL575" s="34" t="str">
        <f aca="false">IF(OR(A575="",N(AZ575)=0),"",BD575/AZ575)</f>
        <v/>
      </c>
      <c r="BM575" s="37" t="str">
        <f aca="false">IF(OR(N(Q575)=0,N(BD575)=0),"",Q575/BD575)</f>
        <v/>
      </c>
      <c r="BN575" s="29"/>
      <c r="BO575" s="29"/>
      <c r="BP575" s="33" t="str">
        <f aca="false">IF(OR(AR575="",N(AO575)=0),"",AR575)</f>
        <v/>
      </c>
      <c r="BQ575" s="33" t="str">
        <f aca="false">IF(OR(AR575="",N(S575)=0),"",S575)</f>
        <v/>
      </c>
      <c r="BR575" s="38" t="str">
        <f aca="false">IF(AND(ISNUMBER(B575),B575&gt;=Dashboard!$C$4,B575&lt;=Dashboard!$F$4,ISNUMBER(AU575)),AU575+ROW()/10^9,"")</f>
        <v/>
      </c>
      <c r="BS575" s="38" t="str">
        <f aca="false">IF(AND(ISNUMBER(B575),B575&gt;=Dashboard!$C$4,B575&lt;=Dashboard!$F$4,A575&lt;&gt;""),N(BD575)+N(AU575)/100+ROW()/10^9,"")</f>
        <v/>
      </c>
    </row>
    <row r="576" customFormat="false" ht="15" hidden="false" customHeight="false" outlineLevel="0" collapsed="false">
      <c r="A576" s="24" t="str">
        <f aca="false">IF(OR(B576="",G576="",H576=""),"",IFERROR(INDEX(Settings!$E$5:$E$49,MATCH(G576,Settings!$D$5:$D$49,0))&amp;INDEX(Settings!$H$5:$H$47,MATCH(H576,Settings!$G$5:$G$47,0))&amp;"-"&amp;TEXT(B576,"yymmdd")&amp;"-"&amp;IF(C576="","0000",TEXT(C576,"hhmm")),"CHECK LISTS"))</f>
        <v/>
      </c>
      <c r="B576" s="39"/>
      <c r="C576" s="40"/>
      <c r="D576" s="24" t="str">
        <f aca="false">IF(B576="","",TEXT(B576,"ddd"))</f>
        <v/>
      </c>
      <c r="E576" s="27" t="str">
        <f aca="false">IF(B576="","",B576-WEEKDAY(B576,3))</f>
        <v/>
      </c>
      <c r="F576" s="24" t="str">
        <f aca="false">IF(B576="","",TEXT(B576,"yyyy-mm"))</f>
        <v/>
      </c>
      <c r="G576" s="29"/>
      <c r="H576" s="29"/>
      <c r="I576" s="29"/>
      <c r="J576" s="29"/>
      <c r="K576" s="29"/>
      <c r="L576" s="29"/>
      <c r="M576" s="29"/>
      <c r="N576" s="29"/>
      <c r="O576" s="29"/>
      <c r="P576" s="29"/>
      <c r="Q576" s="30"/>
      <c r="R576" s="29"/>
      <c r="S576" s="32"/>
      <c r="T576" s="29"/>
      <c r="U576" s="29"/>
      <c r="V576" s="24" t="str">
        <f aca="false">IF(A576="","",IFERROR(INDEX(Settings!$F$5:$F$49,MATCH(G576,Settings!$D$5:$D$49,0)),""))</f>
        <v/>
      </c>
      <c r="W576" s="24" t="str">
        <f aca="false">IF(A576="","",IF(OR(P576="",P576="Organic"),"social","paid_social"))</f>
        <v/>
      </c>
      <c r="X576" s="24" t="str">
        <f aca="false">IF(A576="","",IF(K576&lt;&gt;"",IFERROR(INDEX('Case Studies'!$C$5:$C$54,MATCH(K576,'Case Studies'!$B$5:$B$54,0))&amp;"","case-study"),IF(J576&lt;&gt;"",IFERROR(INDEX(Settings!$J$5:$J$55,MATCH(J576,Settings!$I$5:$I$55,0)),"general"),"general")))</f>
        <v/>
      </c>
      <c r="Y576" s="24" t="str">
        <f aca="false">IF(A576="","",LOWER(A576))</f>
        <v/>
      </c>
      <c r="Z576" s="24" t="str">
        <f aca="false">IF(A576="","",IF(T576="",Settings!$B$5,T576)&amp;IF(ISNUMBER(FIND("?",IF(T576="",Settings!$B$5,T576))),"&amp;","?")&amp;"utm_source="&amp;V576&amp;"&amp;utm_medium="&amp;W576&amp;"&amp;utm_campaign="&amp;X576&amp;"&amp;utm_content="&amp;Y576)</f>
        <v/>
      </c>
      <c r="AA576" s="29"/>
      <c r="AB576" s="39"/>
      <c r="AC576" s="32"/>
      <c r="AD576" s="32"/>
      <c r="AE576" s="32"/>
      <c r="AF576" s="32"/>
      <c r="AG576" s="32"/>
      <c r="AH576" s="32"/>
      <c r="AI576" s="32"/>
      <c r="AJ576" s="32"/>
      <c r="AK576" s="32"/>
      <c r="AL576" s="32"/>
      <c r="AM576" s="32"/>
      <c r="AN576" s="32"/>
      <c r="AO576" s="33" t="str">
        <f aca="false">IF(A576="","",IF(AD576&lt;&gt;"",AD576,IF(AC576&lt;&gt;"",AC576,"")))</f>
        <v/>
      </c>
      <c r="AP576" s="24" t="str">
        <f aca="false">IF(AO576="","",IF(AD576&lt;&gt;"","Reported reach","Impressions (proxy)"))</f>
        <v/>
      </c>
      <c r="AQ576" s="34" t="str">
        <f aca="false">IF(OR(AO576="",N(S576)=0),"",AO576/S576)</f>
        <v/>
      </c>
      <c r="AR576" s="33" t="str">
        <f aca="false">IF(A576="","",IF(COUNT(AF576:AJ576)=0,"",SUM(AF576:AJ576)))</f>
        <v/>
      </c>
      <c r="AS576" s="34" t="str">
        <f aca="false">IF(OR(AR576="",N(AO576)=0),"",AR576/AO576)</f>
        <v/>
      </c>
      <c r="AT576" s="34" t="str">
        <f aca="false">IF(OR(AR576="",N(AC576)=0),"",AR576/AC576)</f>
        <v/>
      </c>
      <c r="AU576" s="34" t="str">
        <f aca="false">IF(OR(AR576="",N(S576)=0),"",AR576/S576)</f>
        <v/>
      </c>
      <c r="AV576" s="34" t="str">
        <f aca="false">IF(OR(AJ576="",N(AC576)=0),"",AJ576/AC576)</f>
        <v/>
      </c>
      <c r="AW576" s="34" t="str">
        <f aca="false">IF(OR(AH576="",N(AO576)=0),"",AH576/AO576)</f>
        <v/>
      </c>
      <c r="AX576" s="35" t="str">
        <f aca="false">IF(OR(AR576="",N(AO576)=0),"",(N(AF576)*Settings!$B$6+N(AG576)*Settings!$B$7+N(AH576)*Settings!$B$8+N(AI576)*Settings!$B$9+N(AJ576)*Settings!$B$10)/AO576*1000)</f>
        <v/>
      </c>
      <c r="AY576" s="36" t="str">
        <f aca="false">IF(AS576="","",IFERROR(AS576/AVERAGEIFS('Post Tracker'!$AS$5:$AS$1004,'Post Tracker'!$G$5:$G$1004,G576),""))</f>
        <v/>
      </c>
      <c r="AZ576" s="32"/>
      <c r="BA576" s="32"/>
      <c r="BB576" s="32"/>
      <c r="BC576" s="32"/>
      <c r="BD576" s="33" t="str">
        <f aca="false">IF(A576="","",COUNTIFS('Demo Pipeline'!$Q$5:$Q$504,A576))</f>
        <v/>
      </c>
      <c r="BE576" s="33" t="str">
        <f aca="false">IF(A576="","",COUNTIFS('Demo Pipeline'!$Q$5:$Q$504,A576,'Demo Pipeline'!$W$5:$W$504,"Attended"))</f>
        <v/>
      </c>
      <c r="BF576" s="33" t="str">
        <f aca="false">IF(A576="","",COUNTIFS('Demo Pipeline'!$Q$5:$Q$504,A576,'Demo Pipeline'!$X$5:$X$504,"Yes"))</f>
        <v/>
      </c>
      <c r="BG576" s="33" t="str">
        <f aca="false">IF(A576="","",COUNTIFS('Demo Pipeline'!$Q$5:$Q$504,A576,'Demo Pipeline'!$Y$5:$Y$504,"Closed Won"))</f>
        <v/>
      </c>
      <c r="BH576" s="37" t="str">
        <f aca="false">IF(A576="","",SUMIFS('Demo Pipeline'!$Z$5:$Z$504,'Demo Pipeline'!$Q$5:$Q$504,A576))</f>
        <v/>
      </c>
      <c r="BI576" s="34" t="str">
        <f aca="false">IF(OR(AZ576="",N(AJ576)=0),"",AZ576/AJ576)</f>
        <v/>
      </c>
      <c r="BJ576" s="34" t="str">
        <f aca="false">IF(OR(BB576="",N(AZ576)=0),"",BB576/AZ576)</f>
        <v/>
      </c>
      <c r="BK576" s="34" t="str">
        <f aca="false">IF(OR(A576="",N(BB576)=0),"",BD576/BB576)</f>
        <v/>
      </c>
      <c r="BL576" s="34" t="str">
        <f aca="false">IF(OR(A576="",N(AZ576)=0),"",BD576/AZ576)</f>
        <v/>
      </c>
      <c r="BM576" s="37" t="str">
        <f aca="false">IF(OR(N(Q576)=0,N(BD576)=0),"",Q576/BD576)</f>
        <v/>
      </c>
      <c r="BN576" s="29"/>
      <c r="BO576" s="29"/>
      <c r="BP576" s="33" t="str">
        <f aca="false">IF(OR(AR576="",N(AO576)=0),"",AR576)</f>
        <v/>
      </c>
      <c r="BQ576" s="33" t="str">
        <f aca="false">IF(OR(AR576="",N(S576)=0),"",S576)</f>
        <v/>
      </c>
      <c r="BR576" s="38" t="str">
        <f aca="false">IF(AND(ISNUMBER(B576),B576&gt;=Dashboard!$C$4,B576&lt;=Dashboard!$F$4,ISNUMBER(AU576)),AU576+ROW()/10^9,"")</f>
        <v/>
      </c>
      <c r="BS576" s="38" t="str">
        <f aca="false">IF(AND(ISNUMBER(B576),B576&gt;=Dashboard!$C$4,B576&lt;=Dashboard!$F$4,A576&lt;&gt;""),N(BD576)+N(AU576)/100+ROW()/10^9,"")</f>
        <v/>
      </c>
    </row>
    <row r="577" customFormat="false" ht="15" hidden="false" customHeight="false" outlineLevel="0" collapsed="false">
      <c r="A577" s="24" t="str">
        <f aca="false">IF(OR(B577="",G577="",H577=""),"",IFERROR(INDEX(Settings!$E$5:$E$49,MATCH(G577,Settings!$D$5:$D$49,0))&amp;INDEX(Settings!$H$5:$H$47,MATCH(H577,Settings!$G$5:$G$47,0))&amp;"-"&amp;TEXT(B577,"yymmdd")&amp;"-"&amp;IF(C577="","0000",TEXT(C577,"hhmm")),"CHECK LISTS"))</f>
        <v/>
      </c>
      <c r="B577" s="39"/>
      <c r="C577" s="40"/>
      <c r="D577" s="24" t="str">
        <f aca="false">IF(B577="","",TEXT(B577,"ddd"))</f>
        <v/>
      </c>
      <c r="E577" s="27" t="str">
        <f aca="false">IF(B577="","",B577-WEEKDAY(B577,3))</f>
        <v/>
      </c>
      <c r="F577" s="24" t="str">
        <f aca="false">IF(B577="","",TEXT(B577,"yyyy-mm"))</f>
        <v/>
      </c>
      <c r="G577" s="29"/>
      <c r="H577" s="29"/>
      <c r="I577" s="29"/>
      <c r="J577" s="29"/>
      <c r="K577" s="29"/>
      <c r="L577" s="29"/>
      <c r="M577" s="29"/>
      <c r="N577" s="29"/>
      <c r="O577" s="29"/>
      <c r="P577" s="29"/>
      <c r="Q577" s="30"/>
      <c r="R577" s="29"/>
      <c r="S577" s="32"/>
      <c r="T577" s="29"/>
      <c r="U577" s="29"/>
      <c r="V577" s="24" t="str">
        <f aca="false">IF(A577="","",IFERROR(INDEX(Settings!$F$5:$F$49,MATCH(G577,Settings!$D$5:$D$49,0)),""))</f>
        <v/>
      </c>
      <c r="W577" s="24" t="str">
        <f aca="false">IF(A577="","",IF(OR(P577="",P577="Organic"),"social","paid_social"))</f>
        <v/>
      </c>
      <c r="X577" s="24" t="str">
        <f aca="false">IF(A577="","",IF(K577&lt;&gt;"",IFERROR(INDEX('Case Studies'!$C$5:$C$54,MATCH(K577,'Case Studies'!$B$5:$B$54,0))&amp;"","case-study"),IF(J577&lt;&gt;"",IFERROR(INDEX(Settings!$J$5:$J$55,MATCH(J577,Settings!$I$5:$I$55,0)),"general"),"general")))</f>
        <v/>
      </c>
      <c r="Y577" s="24" t="str">
        <f aca="false">IF(A577="","",LOWER(A577))</f>
        <v/>
      </c>
      <c r="Z577" s="24" t="str">
        <f aca="false">IF(A577="","",IF(T577="",Settings!$B$5,T577)&amp;IF(ISNUMBER(FIND("?",IF(T577="",Settings!$B$5,T577))),"&amp;","?")&amp;"utm_source="&amp;V577&amp;"&amp;utm_medium="&amp;W577&amp;"&amp;utm_campaign="&amp;X577&amp;"&amp;utm_content="&amp;Y577)</f>
        <v/>
      </c>
      <c r="AA577" s="29"/>
      <c r="AB577" s="39"/>
      <c r="AC577" s="32"/>
      <c r="AD577" s="32"/>
      <c r="AE577" s="32"/>
      <c r="AF577" s="32"/>
      <c r="AG577" s="32"/>
      <c r="AH577" s="32"/>
      <c r="AI577" s="32"/>
      <c r="AJ577" s="32"/>
      <c r="AK577" s="32"/>
      <c r="AL577" s="32"/>
      <c r="AM577" s="32"/>
      <c r="AN577" s="32"/>
      <c r="AO577" s="33" t="str">
        <f aca="false">IF(A577="","",IF(AD577&lt;&gt;"",AD577,IF(AC577&lt;&gt;"",AC577,"")))</f>
        <v/>
      </c>
      <c r="AP577" s="24" t="str">
        <f aca="false">IF(AO577="","",IF(AD577&lt;&gt;"","Reported reach","Impressions (proxy)"))</f>
        <v/>
      </c>
      <c r="AQ577" s="34" t="str">
        <f aca="false">IF(OR(AO577="",N(S577)=0),"",AO577/S577)</f>
        <v/>
      </c>
      <c r="AR577" s="33" t="str">
        <f aca="false">IF(A577="","",IF(COUNT(AF577:AJ577)=0,"",SUM(AF577:AJ577)))</f>
        <v/>
      </c>
      <c r="AS577" s="34" t="str">
        <f aca="false">IF(OR(AR577="",N(AO577)=0),"",AR577/AO577)</f>
        <v/>
      </c>
      <c r="AT577" s="34" t="str">
        <f aca="false">IF(OR(AR577="",N(AC577)=0),"",AR577/AC577)</f>
        <v/>
      </c>
      <c r="AU577" s="34" t="str">
        <f aca="false">IF(OR(AR577="",N(S577)=0),"",AR577/S577)</f>
        <v/>
      </c>
      <c r="AV577" s="34" t="str">
        <f aca="false">IF(OR(AJ577="",N(AC577)=0),"",AJ577/AC577)</f>
        <v/>
      </c>
      <c r="AW577" s="34" t="str">
        <f aca="false">IF(OR(AH577="",N(AO577)=0),"",AH577/AO577)</f>
        <v/>
      </c>
      <c r="AX577" s="35" t="str">
        <f aca="false">IF(OR(AR577="",N(AO577)=0),"",(N(AF577)*Settings!$B$6+N(AG577)*Settings!$B$7+N(AH577)*Settings!$B$8+N(AI577)*Settings!$B$9+N(AJ577)*Settings!$B$10)/AO577*1000)</f>
        <v/>
      </c>
      <c r="AY577" s="36" t="str">
        <f aca="false">IF(AS577="","",IFERROR(AS577/AVERAGEIFS('Post Tracker'!$AS$5:$AS$1004,'Post Tracker'!$G$5:$G$1004,G577),""))</f>
        <v/>
      </c>
      <c r="AZ577" s="32"/>
      <c r="BA577" s="32"/>
      <c r="BB577" s="32"/>
      <c r="BC577" s="32"/>
      <c r="BD577" s="33" t="str">
        <f aca="false">IF(A577="","",COUNTIFS('Demo Pipeline'!$Q$5:$Q$504,A577))</f>
        <v/>
      </c>
      <c r="BE577" s="33" t="str">
        <f aca="false">IF(A577="","",COUNTIFS('Demo Pipeline'!$Q$5:$Q$504,A577,'Demo Pipeline'!$W$5:$W$504,"Attended"))</f>
        <v/>
      </c>
      <c r="BF577" s="33" t="str">
        <f aca="false">IF(A577="","",COUNTIFS('Demo Pipeline'!$Q$5:$Q$504,A577,'Demo Pipeline'!$X$5:$X$504,"Yes"))</f>
        <v/>
      </c>
      <c r="BG577" s="33" t="str">
        <f aca="false">IF(A577="","",COUNTIFS('Demo Pipeline'!$Q$5:$Q$504,A577,'Demo Pipeline'!$Y$5:$Y$504,"Closed Won"))</f>
        <v/>
      </c>
      <c r="BH577" s="37" t="str">
        <f aca="false">IF(A577="","",SUMIFS('Demo Pipeline'!$Z$5:$Z$504,'Demo Pipeline'!$Q$5:$Q$504,A577))</f>
        <v/>
      </c>
      <c r="BI577" s="34" t="str">
        <f aca="false">IF(OR(AZ577="",N(AJ577)=0),"",AZ577/AJ577)</f>
        <v/>
      </c>
      <c r="BJ577" s="34" t="str">
        <f aca="false">IF(OR(BB577="",N(AZ577)=0),"",BB577/AZ577)</f>
        <v/>
      </c>
      <c r="BK577" s="34" t="str">
        <f aca="false">IF(OR(A577="",N(BB577)=0),"",BD577/BB577)</f>
        <v/>
      </c>
      <c r="BL577" s="34" t="str">
        <f aca="false">IF(OR(A577="",N(AZ577)=0),"",BD577/AZ577)</f>
        <v/>
      </c>
      <c r="BM577" s="37" t="str">
        <f aca="false">IF(OR(N(Q577)=0,N(BD577)=0),"",Q577/BD577)</f>
        <v/>
      </c>
      <c r="BN577" s="29"/>
      <c r="BO577" s="29"/>
      <c r="BP577" s="33" t="str">
        <f aca="false">IF(OR(AR577="",N(AO577)=0),"",AR577)</f>
        <v/>
      </c>
      <c r="BQ577" s="33" t="str">
        <f aca="false">IF(OR(AR577="",N(S577)=0),"",S577)</f>
        <v/>
      </c>
      <c r="BR577" s="38" t="str">
        <f aca="false">IF(AND(ISNUMBER(B577),B577&gt;=Dashboard!$C$4,B577&lt;=Dashboard!$F$4,ISNUMBER(AU577)),AU577+ROW()/10^9,"")</f>
        <v/>
      </c>
      <c r="BS577" s="38" t="str">
        <f aca="false">IF(AND(ISNUMBER(B577),B577&gt;=Dashboard!$C$4,B577&lt;=Dashboard!$F$4,A577&lt;&gt;""),N(BD577)+N(AU577)/100+ROW()/10^9,"")</f>
        <v/>
      </c>
    </row>
    <row r="578" customFormat="false" ht="15" hidden="false" customHeight="false" outlineLevel="0" collapsed="false">
      <c r="A578" s="24" t="str">
        <f aca="false">IF(OR(B578="",G578="",H578=""),"",IFERROR(INDEX(Settings!$E$5:$E$49,MATCH(G578,Settings!$D$5:$D$49,0))&amp;INDEX(Settings!$H$5:$H$47,MATCH(H578,Settings!$G$5:$G$47,0))&amp;"-"&amp;TEXT(B578,"yymmdd")&amp;"-"&amp;IF(C578="","0000",TEXT(C578,"hhmm")),"CHECK LISTS"))</f>
        <v/>
      </c>
      <c r="B578" s="39"/>
      <c r="C578" s="40"/>
      <c r="D578" s="24" t="str">
        <f aca="false">IF(B578="","",TEXT(B578,"ddd"))</f>
        <v/>
      </c>
      <c r="E578" s="27" t="str">
        <f aca="false">IF(B578="","",B578-WEEKDAY(B578,3))</f>
        <v/>
      </c>
      <c r="F578" s="24" t="str">
        <f aca="false">IF(B578="","",TEXT(B578,"yyyy-mm"))</f>
        <v/>
      </c>
      <c r="G578" s="29"/>
      <c r="H578" s="29"/>
      <c r="I578" s="29"/>
      <c r="J578" s="29"/>
      <c r="K578" s="29"/>
      <c r="L578" s="29"/>
      <c r="M578" s="29"/>
      <c r="N578" s="29"/>
      <c r="O578" s="29"/>
      <c r="P578" s="29"/>
      <c r="Q578" s="30"/>
      <c r="R578" s="29"/>
      <c r="S578" s="32"/>
      <c r="T578" s="29"/>
      <c r="U578" s="29"/>
      <c r="V578" s="24" t="str">
        <f aca="false">IF(A578="","",IFERROR(INDEX(Settings!$F$5:$F$49,MATCH(G578,Settings!$D$5:$D$49,0)),""))</f>
        <v/>
      </c>
      <c r="W578" s="24" t="str">
        <f aca="false">IF(A578="","",IF(OR(P578="",P578="Organic"),"social","paid_social"))</f>
        <v/>
      </c>
      <c r="X578" s="24" t="str">
        <f aca="false">IF(A578="","",IF(K578&lt;&gt;"",IFERROR(INDEX('Case Studies'!$C$5:$C$54,MATCH(K578,'Case Studies'!$B$5:$B$54,0))&amp;"","case-study"),IF(J578&lt;&gt;"",IFERROR(INDEX(Settings!$J$5:$J$55,MATCH(J578,Settings!$I$5:$I$55,0)),"general"),"general")))</f>
        <v/>
      </c>
      <c r="Y578" s="24" t="str">
        <f aca="false">IF(A578="","",LOWER(A578))</f>
        <v/>
      </c>
      <c r="Z578" s="24" t="str">
        <f aca="false">IF(A578="","",IF(T578="",Settings!$B$5,T578)&amp;IF(ISNUMBER(FIND("?",IF(T578="",Settings!$B$5,T578))),"&amp;","?")&amp;"utm_source="&amp;V578&amp;"&amp;utm_medium="&amp;W578&amp;"&amp;utm_campaign="&amp;X578&amp;"&amp;utm_content="&amp;Y578)</f>
        <v/>
      </c>
      <c r="AA578" s="29"/>
      <c r="AB578" s="39"/>
      <c r="AC578" s="32"/>
      <c r="AD578" s="32"/>
      <c r="AE578" s="32"/>
      <c r="AF578" s="32"/>
      <c r="AG578" s="32"/>
      <c r="AH578" s="32"/>
      <c r="AI578" s="32"/>
      <c r="AJ578" s="32"/>
      <c r="AK578" s="32"/>
      <c r="AL578" s="32"/>
      <c r="AM578" s="32"/>
      <c r="AN578" s="32"/>
      <c r="AO578" s="33" t="str">
        <f aca="false">IF(A578="","",IF(AD578&lt;&gt;"",AD578,IF(AC578&lt;&gt;"",AC578,"")))</f>
        <v/>
      </c>
      <c r="AP578" s="24" t="str">
        <f aca="false">IF(AO578="","",IF(AD578&lt;&gt;"","Reported reach","Impressions (proxy)"))</f>
        <v/>
      </c>
      <c r="AQ578" s="34" t="str">
        <f aca="false">IF(OR(AO578="",N(S578)=0),"",AO578/S578)</f>
        <v/>
      </c>
      <c r="AR578" s="33" t="str">
        <f aca="false">IF(A578="","",IF(COUNT(AF578:AJ578)=0,"",SUM(AF578:AJ578)))</f>
        <v/>
      </c>
      <c r="AS578" s="34" t="str">
        <f aca="false">IF(OR(AR578="",N(AO578)=0),"",AR578/AO578)</f>
        <v/>
      </c>
      <c r="AT578" s="34" t="str">
        <f aca="false">IF(OR(AR578="",N(AC578)=0),"",AR578/AC578)</f>
        <v/>
      </c>
      <c r="AU578" s="34" t="str">
        <f aca="false">IF(OR(AR578="",N(S578)=0),"",AR578/S578)</f>
        <v/>
      </c>
      <c r="AV578" s="34" t="str">
        <f aca="false">IF(OR(AJ578="",N(AC578)=0),"",AJ578/AC578)</f>
        <v/>
      </c>
      <c r="AW578" s="34" t="str">
        <f aca="false">IF(OR(AH578="",N(AO578)=0),"",AH578/AO578)</f>
        <v/>
      </c>
      <c r="AX578" s="35" t="str">
        <f aca="false">IF(OR(AR578="",N(AO578)=0),"",(N(AF578)*Settings!$B$6+N(AG578)*Settings!$B$7+N(AH578)*Settings!$B$8+N(AI578)*Settings!$B$9+N(AJ578)*Settings!$B$10)/AO578*1000)</f>
        <v/>
      </c>
      <c r="AY578" s="36" t="str">
        <f aca="false">IF(AS578="","",IFERROR(AS578/AVERAGEIFS('Post Tracker'!$AS$5:$AS$1004,'Post Tracker'!$G$5:$G$1004,G578),""))</f>
        <v/>
      </c>
      <c r="AZ578" s="32"/>
      <c r="BA578" s="32"/>
      <c r="BB578" s="32"/>
      <c r="BC578" s="32"/>
      <c r="BD578" s="33" t="str">
        <f aca="false">IF(A578="","",COUNTIFS('Demo Pipeline'!$Q$5:$Q$504,A578))</f>
        <v/>
      </c>
      <c r="BE578" s="33" t="str">
        <f aca="false">IF(A578="","",COUNTIFS('Demo Pipeline'!$Q$5:$Q$504,A578,'Demo Pipeline'!$W$5:$W$504,"Attended"))</f>
        <v/>
      </c>
      <c r="BF578" s="33" t="str">
        <f aca="false">IF(A578="","",COUNTIFS('Demo Pipeline'!$Q$5:$Q$504,A578,'Demo Pipeline'!$X$5:$X$504,"Yes"))</f>
        <v/>
      </c>
      <c r="BG578" s="33" t="str">
        <f aca="false">IF(A578="","",COUNTIFS('Demo Pipeline'!$Q$5:$Q$504,A578,'Demo Pipeline'!$Y$5:$Y$504,"Closed Won"))</f>
        <v/>
      </c>
      <c r="BH578" s="37" t="str">
        <f aca="false">IF(A578="","",SUMIFS('Demo Pipeline'!$Z$5:$Z$504,'Demo Pipeline'!$Q$5:$Q$504,A578))</f>
        <v/>
      </c>
      <c r="BI578" s="34" t="str">
        <f aca="false">IF(OR(AZ578="",N(AJ578)=0),"",AZ578/AJ578)</f>
        <v/>
      </c>
      <c r="BJ578" s="34" t="str">
        <f aca="false">IF(OR(BB578="",N(AZ578)=0),"",BB578/AZ578)</f>
        <v/>
      </c>
      <c r="BK578" s="34" t="str">
        <f aca="false">IF(OR(A578="",N(BB578)=0),"",BD578/BB578)</f>
        <v/>
      </c>
      <c r="BL578" s="34" t="str">
        <f aca="false">IF(OR(A578="",N(AZ578)=0),"",BD578/AZ578)</f>
        <v/>
      </c>
      <c r="BM578" s="37" t="str">
        <f aca="false">IF(OR(N(Q578)=0,N(BD578)=0),"",Q578/BD578)</f>
        <v/>
      </c>
      <c r="BN578" s="29"/>
      <c r="BO578" s="29"/>
      <c r="BP578" s="33" t="str">
        <f aca="false">IF(OR(AR578="",N(AO578)=0),"",AR578)</f>
        <v/>
      </c>
      <c r="BQ578" s="33" t="str">
        <f aca="false">IF(OR(AR578="",N(S578)=0),"",S578)</f>
        <v/>
      </c>
      <c r="BR578" s="38" t="str">
        <f aca="false">IF(AND(ISNUMBER(B578),B578&gt;=Dashboard!$C$4,B578&lt;=Dashboard!$F$4,ISNUMBER(AU578)),AU578+ROW()/10^9,"")</f>
        <v/>
      </c>
      <c r="BS578" s="38" t="str">
        <f aca="false">IF(AND(ISNUMBER(B578),B578&gt;=Dashboard!$C$4,B578&lt;=Dashboard!$F$4,A578&lt;&gt;""),N(BD578)+N(AU578)/100+ROW()/10^9,"")</f>
        <v/>
      </c>
    </row>
    <row r="579" customFormat="false" ht="15" hidden="false" customHeight="false" outlineLevel="0" collapsed="false">
      <c r="A579" s="24" t="str">
        <f aca="false">IF(OR(B579="",G579="",H579=""),"",IFERROR(INDEX(Settings!$E$5:$E$49,MATCH(G579,Settings!$D$5:$D$49,0))&amp;INDEX(Settings!$H$5:$H$47,MATCH(H579,Settings!$G$5:$G$47,0))&amp;"-"&amp;TEXT(B579,"yymmdd")&amp;"-"&amp;IF(C579="","0000",TEXT(C579,"hhmm")),"CHECK LISTS"))</f>
        <v/>
      </c>
      <c r="B579" s="39"/>
      <c r="C579" s="40"/>
      <c r="D579" s="24" t="str">
        <f aca="false">IF(B579="","",TEXT(B579,"ddd"))</f>
        <v/>
      </c>
      <c r="E579" s="27" t="str">
        <f aca="false">IF(B579="","",B579-WEEKDAY(B579,3))</f>
        <v/>
      </c>
      <c r="F579" s="24" t="str">
        <f aca="false">IF(B579="","",TEXT(B579,"yyyy-mm"))</f>
        <v/>
      </c>
      <c r="G579" s="29"/>
      <c r="H579" s="29"/>
      <c r="I579" s="29"/>
      <c r="J579" s="29"/>
      <c r="K579" s="29"/>
      <c r="L579" s="29"/>
      <c r="M579" s="29"/>
      <c r="N579" s="29"/>
      <c r="O579" s="29"/>
      <c r="P579" s="29"/>
      <c r="Q579" s="30"/>
      <c r="R579" s="29"/>
      <c r="S579" s="32"/>
      <c r="T579" s="29"/>
      <c r="U579" s="29"/>
      <c r="V579" s="24" t="str">
        <f aca="false">IF(A579="","",IFERROR(INDEX(Settings!$F$5:$F$49,MATCH(G579,Settings!$D$5:$D$49,0)),""))</f>
        <v/>
      </c>
      <c r="W579" s="24" t="str">
        <f aca="false">IF(A579="","",IF(OR(P579="",P579="Organic"),"social","paid_social"))</f>
        <v/>
      </c>
      <c r="X579" s="24" t="str">
        <f aca="false">IF(A579="","",IF(K579&lt;&gt;"",IFERROR(INDEX('Case Studies'!$C$5:$C$54,MATCH(K579,'Case Studies'!$B$5:$B$54,0))&amp;"","case-study"),IF(J579&lt;&gt;"",IFERROR(INDEX(Settings!$J$5:$J$55,MATCH(J579,Settings!$I$5:$I$55,0)),"general"),"general")))</f>
        <v/>
      </c>
      <c r="Y579" s="24" t="str">
        <f aca="false">IF(A579="","",LOWER(A579))</f>
        <v/>
      </c>
      <c r="Z579" s="24" t="str">
        <f aca="false">IF(A579="","",IF(T579="",Settings!$B$5,T579)&amp;IF(ISNUMBER(FIND("?",IF(T579="",Settings!$B$5,T579))),"&amp;","?")&amp;"utm_source="&amp;V579&amp;"&amp;utm_medium="&amp;W579&amp;"&amp;utm_campaign="&amp;X579&amp;"&amp;utm_content="&amp;Y579)</f>
        <v/>
      </c>
      <c r="AA579" s="29"/>
      <c r="AB579" s="39"/>
      <c r="AC579" s="32"/>
      <c r="AD579" s="32"/>
      <c r="AE579" s="32"/>
      <c r="AF579" s="32"/>
      <c r="AG579" s="32"/>
      <c r="AH579" s="32"/>
      <c r="AI579" s="32"/>
      <c r="AJ579" s="32"/>
      <c r="AK579" s="32"/>
      <c r="AL579" s="32"/>
      <c r="AM579" s="32"/>
      <c r="AN579" s="32"/>
      <c r="AO579" s="33" t="str">
        <f aca="false">IF(A579="","",IF(AD579&lt;&gt;"",AD579,IF(AC579&lt;&gt;"",AC579,"")))</f>
        <v/>
      </c>
      <c r="AP579" s="24" t="str">
        <f aca="false">IF(AO579="","",IF(AD579&lt;&gt;"","Reported reach","Impressions (proxy)"))</f>
        <v/>
      </c>
      <c r="AQ579" s="34" t="str">
        <f aca="false">IF(OR(AO579="",N(S579)=0),"",AO579/S579)</f>
        <v/>
      </c>
      <c r="AR579" s="33" t="str">
        <f aca="false">IF(A579="","",IF(COUNT(AF579:AJ579)=0,"",SUM(AF579:AJ579)))</f>
        <v/>
      </c>
      <c r="AS579" s="34" t="str">
        <f aca="false">IF(OR(AR579="",N(AO579)=0),"",AR579/AO579)</f>
        <v/>
      </c>
      <c r="AT579" s="34" t="str">
        <f aca="false">IF(OR(AR579="",N(AC579)=0),"",AR579/AC579)</f>
        <v/>
      </c>
      <c r="AU579" s="34" t="str">
        <f aca="false">IF(OR(AR579="",N(S579)=0),"",AR579/S579)</f>
        <v/>
      </c>
      <c r="AV579" s="34" t="str">
        <f aca="false">IF(OR(AJ579="",N(AC579)=0),"",AJ579/AC579)</f>
        <v/>
      </c>
      <c r="AW579" s="34" t="str">
        <f aca="false">IF(OR(AH579="",N(AO579)=0),"",AH579/AO579)</f>
        <v/>
      </c>
      <c r="AX579" s="35" t="str">
        <f aca="false">IF(OR(AR579="",N(AO579)=0),"",(N(AF579)*Settings!$B$6+N(AG579)*Settings!$B$7+N(AH579)*Settings!$B$8+N(AI579)*Settings!$B$9+N(AJ579)*Settings!$B$10)/AO579*1000)</f>
        <v/>
      </c>
      <c r="AY579" s="36" t="str">
        <f aca="false">IF(AS579="","",IFERROR(AS579/AVERAGEIFS('Post Tracker'!$AS$5:$AS$1004,'Post Tracker'!$G$5:$G$1004,G579),""))</f>
        <v/>
      </c>
      <c r="AZ579" s="32"/>
      <c r="BA579" s="32"/>
      <c r="BB579" s="32"/>
      <c r="BC579" s="32"/>
      <c r="BD579" s="33" t="str">
        <f aca="false">IF(A579="","",COUNTIFS('Demo Pipeline'!$Q$5:$Q$504,A579))</f>
        <v/>
      </c>
      <c r="BE579" s="33" t="str">
        <f aca="false">IF(A579="","",COUNTIFS('Demo Pipeline'!$Q$5:$Q$504,A579,'Demo Pipeline'!$W$5:$W$504,"Attended"))</f>
        <v/>
      </c>
      <c r="BF579" s="33" t="str">
        <f aca="false">IF(A579="","",COUNTIFS('Demo Pipeline'!$Q$5:$Q$504,A579,'Demo Pipeline'!$X$5:$X$504,"Yes"))</f>
        <v/>
      </c>
      <c r="BG579" s="33" t="str">
        <f aca="false">IF(A579="","",COUNTIFS('Demo Pipeline'!$Q$5:$Q$504,A579,'Demo Pipeline'!$Y$5:$Y$504,"Closed Won"))</f>
        <v/>
      </c>
      <c r="BH579" s="37" t="str">
        <f aca="false">IF(A579="","",SUMIFS('Demo Pipeline'!$Z$5:$Z$504,'Demo Pipeline'!$Q$5:$Q$504,A579))</f>
        <v/>
      </c>
      <c r="BI579" s="34" t="str">
        <f aca="false">IF(OR(AZ579="",N(AJ579)=0),"",AZ579/AJ579)</f>
        <v/>
      </c>
      <c r="BJ579" s="34" t="str">
        <f aca="false">IF(OR(BB579="",N(AZ579)=0),"",BB579/AZ579)</f>
        <v/>
      </c>
      <c r="BK579" s="34" t="str">
        <f aca="false">IF(OR(A579="",N(BB579)=0),"",BD579/BB579)</f>
        <v/>
      </c>
      <c r="BL579" s="34" t="str">
        <f aca="false">IF(OR(A579="",N(AZ579)=0),"",BD579/AZ579)</f>
        <v/>
      </c>
      <c r="BM579" s="37" t="str">
        <f aca="false">IF(OR(N(Q579)=0,N(BD579)=0),"",Q579/BD579)</f>
        <v/>
      </c>
      <c r="BN579" s="29"/>
      <c r="BO579" s="29"/>
      <c r="BP579" s="33" t="str">
        <f aca="false">IF(OR(AR579="",N(AO579)=0),"",AR579)</f>
        <v/>
      </c>
      <c r="BQ579" s="33" t="str">
        <f aca="false">IF(OR(AR579="",N(S579)=0),"",S579)</f>
        <v/>
      </c>
      <c r="BR579" s="38" t="str">
        <f aca="false">IF(AND(ISNUMBER(B579),B579&gt;=Dashboard!$C$4,B579&lt;=Dashboard!$F$4,ISNUMBER(AU579)),AU579+ROW()/10^9,"")</f>
        <v/>
      </c>
      <c r="BS579" s="38" t="str">
        <f aca="false">IF(AND(ISNUMBER(B579),B579&gt;=Dashboard!$C$4,B579&lt;=Dashboard!$F$4,A579&lt;&gt;""),N(BD579)+N(AU579)/100+ROW()/10^9,"")</f>
        <v/>
      </c>
    </row>
    <row r="580" customFormat="false" ht="15" hidden="false" customHeight="false" outlineLevel="0" collapsed="false">
      <c r="A580" s="24" t="str">
        <f aca="false">IF(OR(B580="",G580="",H580=""),"",IFERROR(INDEX(Settings!$E$5:$E$49,MATCH(G580,Settings!$D$5:$D$49,0))&amp;INDEX(Settings!$H$5:$H$47,MATCH(H580,Settings!$G$5:$G$47,0))&amp;"-"&amp;TEXT(B580,"yymmdd")&amp;"-"&amp;IF(C580="","0000",TEXT(C580,"hhmm")),"CHECK LISTS"))</f>
        <v/>
      </c>
      <c r="B580" s="39"/>
      <c r="C580" s="40"/>
      <c r="D580" s="24" t="str">
        <f aca="false">IF(B580="","",TEXT(B580,"ddd"))</f>
        <v/>
      </c>
      <c r="E580" s="27" t="str">
        <f aca="false">IF(B580="","",B580-WEEKDAY(B580,3))</f>
        <v/>
      </c>
      <c r="F580" s="24" t="str">
        <f aca="false">IF(B580="","",TEXT(B580,"yyyy-mm"))</f>
        <v/>
      </c>
      <c r="G580" s="29"/>
      <c r="H580" s="29"/>
      <c r="I580" s="29"/>
      <c r="J580" s="29"/>
      <c r="K580" s="29"/>
      <c r="L580" s="29"/>
      <c r="M580" s="29"/>
      <c r="N580" s="29"/>
      <c r="O580" s="29"/>
      <c r="P580" s="29"/>
      <c r="Q580" s="30"/>
      <c r="R580" s="29"/>
      <c r="S580" s="32"/>
      <c r="T580" s="29"/>
      <c r="U580" s="29"/>
      <c r="V580" s="24" t="str">
        <f aca="false">IF(A580="","",IFERROR(INDEX(Settings!$F$5:$F$49,MATCH(G580,Settings!$D$5:$D$49,0)),""))</f>
        <v/>
      </c>
      <c r="W580" s="24" t="str">
        <f aca="false">IF(A580="","",IF(OR(P580="",P580="Organic"),"social","paid_social"))</f>
        <v/>
      </c>
      <c r="X580" s="24" t="str">
        <f aca="false">IF(A580="","",IF(K580&lt;&gt;"",IFERROR(INDEX('Case Studies'!$C$5:$C$54,MATCH(K580,'Case Studies'!$B$5:$B$54,0))&amp;"","case-study"),IF(J580&lt;&gt;"",IFERROR(INDEX(Settings!$J$5:$J$55,MATCH(J580,Settings!$I$5:$I$55,0)),"general"),"general")))</f>
        <v/>
      </c>
      <c r="Y580" s="24" t="str">
        <f aca="false">IF(A580="","",LOWER(A580))</f>
        <v/>
      </c>
      <c r="Z580" s="24" t="str">
        <f aca="false">IF(A580="","",IF(T580="",Settings!$B$5,T580)&amp;IF(ISNUMBER(FIND("?",IF(T580="",Settings!$B$5,T580))),"&amp;","?")&amp;"utm_source="&amp;V580&amp;"&amp;utm_medium="&amp;W580&amp;"&amp;utm_campaign="&amp;X580&amp;"&amp;utm_content="&amp;Y580)</f>
        <v/>
      </c>
      <c r="AA580" s="29"/>
      <c r="AB580" s="39"/>
      <c r="AC580" s="32"/>
      <c r="AD580" s="32"/>
      <c r="AE580" s="32"/>
      <c r="AF580" s="32"/>
      <c r="AG580" s="32"/>
      <c r="AH580" s="32"/>
      <c r="AI580" s="32"/>
      <c r="AJ580" s="32"/>
      <c r="AK580" s="32"/>
      <c r="AL580" s="32"/>
      <c r="AM580" s="32"/>
      <c r="AN580" s="32"/>
      <c r="AO580" s="33" t="str">
        <f aca="false">IF(A580="","",IF(AD580&lt;&gt;"",AD580,IF(AC580&lt;&gt;"",AC580,"")))</f>
        <v/>
      </c>
      <c r="AP580" s="24" t="str">
        <f aca="false">IF(AO580="","",IF(AD580&lt;&gt;"","Reported reach","Impressions (proxy)"))</f>
        <v/>
      </c>
      <c r="AQ580" s="34" t="str">
        <f aca="false">IF(OR(AO580="",N(S580)=0),"",AO580/S580)</f>
        <v/>
      </c>
      <c r="AR580" s="33" t="str">
        <f aca="false">IF(A580="","",IF(COUNT(AF580:AJ580)=0,"",SUM(AF580:AJ580)))</f>
        <v/>
      </c>
      <c r="AS580" s="34" t="str">
        <f aca="false">IF(OR(AR580="",N(AO580)=0),"",AR580/AO580)</f>
        <v/>
      </c>
      <c r="AT580" s="34" t="str">
        <f aca="false">IF(OR(AR580="",N(AC580)=0),"",AR580/AC580)</f>
        <v/>
      </c>
      <c r="AU580" s="34" t="str">
        <f aca="false">IF(OR(AR580="",N(S580)=0),"",AR580/S580)</f>
        <v/>
      </c>
      <c r="AV580" s="34" t="str">
        <f aca="false">IF(OR(AJ580="",N(AC580)=0),"",AJ580/AC580)</f>
        <v/>
      </c>
      <c r="AW580" s="34" t="str">
        <f aca="false">IF(OR(AH580="",N(AO580)=0),"",AH580/AO580)</f>
        <v/>
      </c>
      <c r="AX580" s="35" t="str">
        <f aca="false">IF(OR(AR580="",N(AO580)=0),"",(N(AF580)*Settings!$B$6+N(AG580)*Settings!$B$7+N(AH580)*Settings!$B$8+N(AI580)*Settings!$B$9+N(AJ580)*Settings!$B$10)/AO580*1000)</f>
        <v/>
      </c>
      <c r="AY580" s="36" t="str">
        <f aca="false">IF(AS580="","",IFERROR(AS580/AVERAGEIFS('Post Tracker'!$AS$5:$AS$1004,'Post Tracker'!$G$5:$G$1004,G580),""))</f>
        <v/>
      </c>
      <c r="AZ580" s="32"/>
      <c r="BA580" s="32"/>
      <c r="BB580" s="32"/>
      <c r="BC580" s="32"/>
      <c r="BD580" s="33" t="str">
        <f aca="false">IF(A580="","",COUNTIFS('Demo Pipeline'!$Q$5:$Q$504,A580))</f>
        <v/>
      </c>
      <c r="BE580" s="33" t="str">
        <f aca="false">IF(A580="","",COUNTIFS('Demo Pipeline'!$Q$5:$Q$504,A580,'Demo Pipeline'!$W$5:$W$504,"Attended"))</f>
        <v/>
      </c>
      <c r="BF580" s="33" t="str">
        <f aca="false">IF(A580="","",COUNTIFS('Demo Pipeline'!$Q$5:$Q$504,A580,'Demo Pipeline'!$X$5:$X$504,"Yes"))</f>
        <v/>
      </c>
      <c r="BG580" s="33" t="str">
        <f aca="false">IF(A580="","",COUNTIFS('Demo Pipeline'!$Q$5:$Q$504,A580,'Demo Pipeline'!$Y$5:$Y$504,"Closed Won"))</f>
        <v/>
      </c>
      <c r="BH580" s="37" t="str">
        <f aca="false">IF(A580="","",SUMIFS('Demo Pipeline'!$Z$5:$Z$504,'Demo Pipeline'!$Q$5:$Q$504,A580))</f>
        <v/>
      </c>
      <c r="BI580" s="34" t="str">
        <f aca="false">IF(OR(AZ580="",N(AJ580)=0),"",AZ580/AJ580)</f>
        <v/>
      </c>
      <c r="BJ580" s="34" t="str">
        <f aca="false">IF(OR(BB580="",N(AZ580)=0),"",BB580/AZ580)</f>
        <v/>
      </c>
      <c r="BK580" s="34" t="str">
        <f aca="false">IF(OR(A580="",N(BB580)=0),"",BD580/BB580)</f>
        <v/>
      </c>
      <c r="BL580" s="34" t="str">
        <f aca="false">IF(OR(A580="",N(AZ580)=0),"",BD580/AZ580)</f>
        <v/>
      </c>
      <c r="BM580" s="37" t="str">
        <f aca="false">IF(OR(N(Q580)=0,N(BD580)=0),"",Q580/BD580)</f>
        <v/>
      </c>
      <c r="BN580" s="29"/>
      <c r="BO580" s="29"/>
      <c r="BP580" s="33" t="str">
        <f aca="false">IF(OR(AR580="",N(AO580)=0),"",AR580)</f>
        <v/>
      </c>
      <c r="BQ580" s="33" t="str">
        <f aca="false">IF(OR(AR580="",N(S580)=0),"",S580)</f>
        <v/>
      </c>
      <c r="BR580" s="38" t="str">
        <f aca="false">IF(AND(ISNUMBER(B580),B580&gt;=Dashboard!$C$4,B580&lt;=Dashboard!$F$4,ISNUMBER(AU580)),AU580+ROW()/10^9,"")</f>
        <v/>
      </c>
      <c r="BS580" s="38" t="str">
        <f aca="false">IF(AND(ISNUMBER(B580),B580&gt;=Dashboard!$C$4,B580&lt;=Dashboard!$F$4,A580&lt;&gt;""),N(BD580)+N(AU580)/100+ROW()/10^9,"")</f>
        <v/>
      </c>
    </row>
    <row r="581" customFormat="false" ht="15" hidden="false" customHeight="false" outlineLevel="0" collapsed="false">
      <c r="A581" s="24" t="str">
        <f aca="false">IF(OR(B581="",G581="",H581=""),"",IFERROR(INDEX(Settings!$E$5:$E$49,MATCH(G581,Settings!$D$5:$D$49,0))&amp;INDEX(Settings!$H$5:$H$47,MATCH(H581,Settings!$G$5:$G$47,0))&amp;"-"&amp;TEXT(B581,"yymmdd")&amp;"-"&amp;IF(C581="","0000",TEXT(C581,"hhmm")),"CHECK LISTS"))</f>
        <v/>
      </c>
      <c r="B581" s="39"/>
      <c r="C581" s="40"/>
      <c r="D581" s="24" t="str">
        <f aca="false">IF(B581="","",TEXT(B581,"ddd"))</f>
        <v/>
      </c>
      <c r="E581" s="27" t="str">
        <f aca="false">IF(B581="","",B581-WEEKDAY(B581,3))</f>
        <v/>
      </c>
      <c r="F581" s="24" t="str">
        <f aca="false">IF(B581="","",TEXT(B581,"yyyy-mm"))</f>
        <v/>
      </c>
      <c r="G581" s="29"/>
      <c r="H581" s="29"/>
      <c r="I581" s="29"/>
      <c r="J581" s="29"/>
      <c r="K581" s="29"/>
      <c r="L581" s="29"/>
      <c r="M581" s="29"/>
      <c r="N581" s="29"/>
      <c r="O581" s="29"/>
      <c r="P581" s="29"/>
      <c r="Q581" s="30"/>
      <c r="R581" s="29"/>
      <c r="S581" s="32"/>
      <c r="T581" s="29"/>
      <c r="U581" s="29"/>
      <c r="V581" s="24" t="str">
        <f aca="false">IF(A581="","",IFERROR(INDEX(Settings!$F$5:$F$49,MATCH(G581,Settings!$D$5:$D$49,0)),""))</f>
        <v/>
      </c>
      <c r="W581" s="24" t="str">
        <f aca="false">IF(A581="","",IF(OR(P581="",P581="Organic"),"social","paid_social"))</f>
        <v/>
      </c>
      <c r="X581" s="24" t="str">
        <f aca="false">IF(A581="","",IF(K581&lt;&gt;"",IFERROR(INDEX('Case Studies'!$C$5:$C$54,MATCH(K581,'Case Studies'!$B$5:$B$54,0))&amp;"","case-study"),IF(J581&lt;&gt;"",IFERROR(INDEX(Settings!$J$5:$J$55,MATCH(J581,Settings!$I$5:$I$55,0)),"general"),"general")))</f>
        <v/>
      </c>
      <c r="Y581" s="24" t="str">
        <f aca="false">IF(A581="","",LOWER(A581))</f>
        <v/>
      </c>
      <c r="Z581" s="24" t="str">
        <f aca="false">IF(A581="","",IF(T581="",Settings!$B$5,T581)&amp;IF(ISNUMBER(FIND("?",IF(T581="",Settings!$B$5,T581))),"&amp;","?")&amp;"utm_source="&amp;V581&amp;"&amp;utm_medium="&amp;W581&amp;"&amp;utm_campaign="&amp;X581&amp;"&amp;utm_content="&amp;Y581)</f>
        <v/>
      </c>
      <c r="AA581" s="29"/>
      <c r="AB581" s="39"/>
      <c r="AC581" s="32"/>
      <c r="AD581" s="32"/>
      <c r="AE581" s="32"/>
      <c r="AF581" s="32"/>
      <c r="AG581" s="32"/>
      <c r="AH581" s="32"/>
      <c r="AI581" s="32"/>
      <c r="AJ581" s="32"/>
      <c r="AK581" s="32"/>
      <c r="AL581" s="32"/>
      <c r="AM581" s="32"/>
      <c r="AN581" s="32"/>
      <c r="AO581" s="33" t="str">
        <f aca="false">IF(A581="","",IF(AD581&lt;&gt;"",AD581,IF(AC581&lt;&gt;"",AC581,"")))</f>
        <v/>
      </c>
      <c r="AP581" s="24" t="str">
        <f aca="false">IF(AO581="","",IF(AD581&lt;&gt;"","Reported reach","Impressions (proxy)"))</f>
        <v/>
      </c>
      <c r="AQ581" s="34" t="str">
        <f aca="false">IF(OR(AO581="",N(S581)=0),"",AO581/S581)</f>
        <v/>
      </c>
      <c r="AR581" s="33" t="str">
        <f aca="false">IF(A581="","",IF(COUNT(AF581:AJ581)=0,"",SUM(AF581:AJ581)))</f>
        <v/>
      </c>
      <c r="AS581" s="34" t="str">
        <f aca="false">IF(OR(AR581="",N(AO581)=0),"",AR581/AO581)</f>
        <v/>
      </c>
      <c r="AT581" s="34" t="str">
        <f aca="false">IF(OR(AR581="",N(AC581)=0),"",AR581/AC581)</f>
        <v/>
      </c>
      <c r="AU581" s="34" t="str">
        <f aca="false">IF(OR(AR581="",N(S581)=0),"",AR581/S581)</f>
        <v/>
      </c>
      <c r="AV581" s="34" t="str">
        <f aca="false">IF(OR(AJ581="",N(AC581)=0),"",AJ581/AC581)</f>
        <v/>
      </c>
      <c r="AW581" s="34" t="str">
        <f aca="false">IF(OR(AH581="",N(AO581)=0),"",AH581/AO581)</f>
        <v/>
      </c>
      <c r="AX581" s="35" t="str">
        <f aca="false">IF(OR(AR581="",N(AO581)=0),"",(N(AF581)*Settings!$B$6+N(AG581)*Settings!$B$7+N(AH581)*Settings!$B$8+N(AI581)*Settings!$B$9+N(AJ581)*Settings!$B$10)/AO581*1000)</f>
        <v/>
      </c>
      <c r="AY581" s="36" t="str">
        <f aca="false">IF(AS581="","",IFERROR(AS581/AVERAGEIFS('Post Tracker'!$AS$5:$AS$1004,'Post Tracker'!$G$5:$G$1004,G581),""))</f>
        <v/>
      </c>
      <c r="AZ581" s="32"/>
      <c r="BA581" s="32"/>
      <c r="BB581" s="32"/>
      <c r="BC581" s="32"/>
      <c r="BD581" s="33" t="str">
        <f aca="false">IF(A581="","",COUNTIFS('Demo Pipeline'!$Q$5:$Q$504,A581))</f>
        <v/>
      </c>
      <c r="BE581" s="33" t="str">
        <f aca="false">IF(A581="","",COUNTIFS('Demo Pipeline'!$Q$5:$Q$504,A581,'Demo Pipeline'!$W$5:$W$504,"Attended"))</f>
        <v/>
      </c>
      <c r="BF581" s="33" t="str">
        <f aca="false">IF(A581="","",COUNTIFS('Demo Pipeline'!$Q$5:$Q$504,A581,'Demo Pipeline'!$X$5:$X$504,"Yes"))</f>
        <v/>
      </c>
      <c r="BG581" s="33" t="str">
        <f aca="false">IF(A581="","",COUNTIFS('Demo Pipeline'!$Q$5:$Q$504,A581,'Demo Pipeline'!$Y$5:$Y$504,"Closed Won"))</f>
        <v/>
      </c>
      <c r="BH581" s="37" t="str">
        <f aca="false">IF(A581="","",SUMIFS('Demo Pipeline'!$Z$5:$Z$504,'Demo Pipeline'!$Q$5:$Q$504,A581))</f>
        <v/>
      </c>
      <c r="BI581" s="34" t="str">
        <f aca="false">IF(OR(AZ581="",N(AJ581)=0),"",AZ581/AJ581)</f>
        <v/>
      </c>
      <c r="BJ581" s="34" t="str">
        <f aca="false">IF(OR(BB581="",N(AZ581)=0),"",BB581/AZ581)</f>
        <v/>
      </c>
      <c r="BK581" s="34" t="str">
        <f aca="false">IF(OR(A581="",N(BB581)=0),"",BD581/BB581)</f>
        <v/>
      </c>
      <c r="BL581" s="34" t="str">
        <f aca="false">IF(OR(A581="",N(AZ581)=0),"",BD581/AZ581)</f>
        <v/>
      </c>
      <c r="BM581" s="37" t="str">
        <f aca="false">IF(OR(N(Q581)=0,N(BD581)=0),"",Q581/BD581)</f>
        <v/>
      </c>
      <c r="BN581" s="29"/>
      <c r="BO581" s="29"/>
      <c r="BP581" s="33" t="str">
        <f aca="false">IF(OR(AR581="",N(AO581)=0),"",AR581)</f>
        <v/>
      </c>
      <c r="BQ581" s="33" t="str">
        <f aca="false">IF(OR(AR581="",N(S581)=0),"",S581)</f>
        <v/>
      </c>
      <c r="BR581" s="38" t="str">
        <f aca="false">IF(AND(ISNUMBER(B581),B581&gt;=Dashboard!$C$4,B581&lt;=Dashboard!$F$4,ISNUMBER(AU581)),AU581+ROW()/10^9,"")</f>
        <v/>
      </c>
      <c r="BS581" s="38" t="str">
        <f aca="false">IF(AND(ISNUMBER(B581),B581&gt;=Dashboard!$C$4,B581&lt;=Dashboard!$F$4,A581&lt;&gt;""),N(BD581)+N(AU581)/100+ROW()/10^9,"")</f>
        <v/>
      </c>
    </row>
    <row r="582" customFormat="false" ht="15" hidden="false" customHeight="false" outlineLevel="0" collapsed="false">
      <c r="A582" s="24" t="str">
        <f aca="false">IF(OR(B582="",G582="",H582=""),"",IFERROR(INDEX(Settings!$E$5:$E$49,MATCH(G582,Settings!$D$5:$D$49,0))&amp;INDEX(Settings!$H$5:$H$47,MATCH(H582,Settings!$G$5:$G$47,0))&amp;"-"&amp;TEXT(B582,"yymmdd")&amp;"-"&amp;IF(C582="","0000",TEXT(C582,"hhmm")),"CHECK LISTS"))</f>
        <v/>
      </c>
      <c r="B582" s="39"/>
      <c r="C582" s="40"/>
      <c r="D582" s="24" t="str">
        <f aca="false">IF(B582="","",TEXT(B582,"ddd"))</f>
        <v/>
      </c>
      <c r="E582" s="27" t="str">
        <f aca="false">IF(B582="","",B582-WEEKDAY(B582,3))</f>
        <v/>
      </c>
      <c r="F582" s="24" t="str">
        <f aca="false">IF(B582="","",TEXT(B582,"yyyy-mm"))</f>
        <v/>
      </c>
      <c r="G582" s="29"/>
      <c r="H582" s="29"/>
      <c r="I582" s="29"/>
      <c r="J582" s="29"/>
      <c r="K582" s="29"/>
      <c r="L582" s="29"/>
      <c r="M582" s="29"/>
      <c r="N582" s="29"/>
      <c r="O582" s="29"/>
      <c r="P582" s="29"/>
      <c r="Q582" s="30"/>
      <c r="R582" s="29"/>
      <c r="S582" s="32"/>
      <c r="T582" s="29"/>
      <c r="U582" s="29"/>
      <c r="V582" s="24" t="str">
        <f aca="false">IF(A582="","",IFERROR(INDEX(Settings!$F$5:$F$49,MATCH(G582,Settings!$D$5:$D$49,0)),""))</f>
        <v/>
      </c>
      <c r="W582" s="24" t="str">
        <f aca="false">IF(A582="","",IF(OR(P582="",P582="Organic"),"social","paid_social"))</f>
        <v/>
      </c>
      <c r="X582" s="24" t="str">
        <f aca="false">IF(A582="","",IF(K582&lt;&gt;"",IFERROR(INDEX('Case Studies'!$C$5:$C$54,MATCH(K582,'Case Studies'!$B$5:$B$54,0))&amp;"","case-study"),IF(J582&lt;&gt;"",IFERROR(INDEX(Settings!$J$5:$J$55,MATCH(J582,Settings!$I$5:$I$55,0)),"general"),"general")))</f>
        <v/>
      </c>
      <c r="Y582" s="24" t="str">
        <f aca="false">IF(A582="","",LOWER(A582))</f>
        <v/>
      </c>
      <c r="Z582" s="24" t="str">
        <f aca="false">IF(A582="","",IF(T582="",Settings!$B$5,T582)&amp;IF(ISNUMBER(FIND("?",IF(T582="",Settings!$B$5,T582))),"&amp;","?")&amp;"utm_source="&amp;V582&amp;"&amp;utm_medium="&amp;W582&amp;"&amp;utm_campaign="&amp;X582&amp;"&amp;utm_content="&amp;Y582)</f>
        <v/>
      </c>
      <c r="AA582" s="29"/>
      <c r="AB582" s="39"/>
      <c r="AC582" s="32"/>
      <c r="AD582" s="32"/>
      <c r="AE582" s="32"/>
      <c r="AF582" s="32"/>
      <c r="AG582" s="32"/>
      <c r="AH582" s="32"/>
      <c r="AI582" s="32"/>
      <c r="AJ582" s="32"/>
      <c r="AK582" s="32"/>
      <c r="AL582" s="32"/>
      <c r="AM582" s="32"/>
      <c r="AN582" s="32"/>
      <c r="AO582" s="33" t="str">
        <f aca="false">IF(A582="","",IF(AD582&lt;&gt;"",AD582,IF(AC582&lt;&gt;"",AC582,"")))</f>
        <v/>
      </c>
      <c r="AP582" s="24" t="str">
        <f aca="false">IF(AO582="","",IF(AD582&lt;&gt;"","Reported reach","Impressions (proxy)"))</f>
        <v/>
      </c>
      <c r="AQ582" s="34" t="str">
        <f aca="false">IF(OR(AO582="",N(S582)=0),"",AO582/S582)</f>
        <v/>
      </c>
      <c r="AR582" s="33" t="str">
        <f aca="false">IF(A582="","",IF(COUNT(AF582:AJ582)=0,"",SUM(AF582:AJ582)))</f>
        <v/>
      </c>
      <c r="AS582" s="34" t="str">
        <f aca="false">IF(OR(AR582="",N(AO582)=0),"",AR582/AO582)</f>
        <v/>
      </c>
      <c r="AT582" s="34" t="str">
        <f aca="false">IF(OR(AR582="",N(AC582)=0),"",AR582/AC582)</f>
        <v/>
      </c>
      <c r="AU582" s="34" t="str">
        <f aca="false">IF(OR(AR582="",N(S582)=0),"",AR582/S582)</f>
        <v/>
      </c>
      <c r="AV582" s="34" t="str">
        <f aca="false">IF(OR(AJ582="",N(AC582)=0),"",AJ582/AC582)</f>
        <v/>
      </c>
      <c r="AW582" s="34" t="str">
        <f aca="false">IF(OR(AH582="",N(AO582)=0),"",AH582/AO582)</f>
        <v/>
      </c>
      <c r="AX582" s="35" t="str">
        <f aca="false">IF(OR(AR582="",N(AO582)=0),"",(N(AF582)*Settings!$B$6+N(AG582)*Settings!$B$7+N(AH582)*Settings!$B$8+N(AI582)*Settings!$B$9+N(AJ582)*Settings!$B$10)/AO582*1000)</f>
        <v/>
      </c>
      <c r="AY582" s="36" t="str">
        <f aca="false">IF(AS582="","",IFERROR(AS582/AVERAGEIFS('Post Tracker'!$AS$5:$AS$1004,'Post Tracker'!$G$5:$G$1004,G582),""))</f>
        <v/>
      </c>
      <c r="AZ582" s="32"/>
      <c r="BA582" s="32"/>
      <c r="BB582" s="32"/>
      <c r="BC582" s="32"/>
      <c r="BD582" s="33" t="str">
        <f aca="false">IF(A582="","",COUNTIFS('Demo Pipeline'!$Q$5:$Q$504,A582))</f>
        <v/>
      </c>
      <c r="BE582" s="33" t="str">
        <f aca="false">IF(A582="","",COUNTIFS('Demo Pipeline'!$Q$5:$Q$504,A582,'Demo Pipeline'!$W$5:$W$504,"Attended"))</f>
        <v/>
      </c>
      <c r="BF582" s="33" t="str">
        <f aca="false">IF(A582="","",COUNTIFS('Demo Pipeline'!$Q$5:$Q$504,A582,'Demo Pipeline'!$X$5:$X$504,"Yes"))</f>
        <v/>
      </c>
      <c r="BG582" s="33" t="str">
        <f aca="false">IF(A582="","",COUNTIFS('Demo Pipeline'!$Q$5:$Q$504,A582,'Demo Pipeline'!$Y$5:$Y$504,"Closed Won"))</f>
        <v/>
      </c>
      <c r="BH582" s="37" t="str">
        <f aca="false">IF(A582="","",SUMIFS('Demo Pipeline'!$Z$5:$Z$504,'Demo Pipeline'!$Q$5:$Q$504,A582))</f>
        <v/>
      </c>
      <c r="BI582" s="34" t="str">
        <f aca="false">IF(OR(AZ582="",N(AJ582)=0),"",AZ582/AJ582)</f>
        <v/>
      </c>
      <c r="BJ582" s="34" t="str">
        <f aca="false">IF(OR(BB582="",N(AZ582)=0),"",BB582/AZ582)</f>
        <v/>
      </c>
      <c r="BK582" s="34" t="str">
        <f aca="false">IF(OR(A582="",N(BB582)=0),"",BD582/BB582)</f>
        <v/>
      </c>
      <c r="BL582" s="34" t="str">
        <f aca="false">IF(OR(A582="",N(AZ582)=0),"",BD582/AZ582)</f>
        <v/>
      </c>
      <c r="BM582" s="37" t="str">
        <f aca="false">IF(OR(N(Q582)=0,N(BD582)=0),"",Q582/BD582)</f>
        <v/>
      </c>
      <c r="BN582" s="29"/>
      <c r="BO582" s="29"/>
      <c r="BP582" s="33" t="str">
        <f aca="false">IF(OR(AR582="",N(AO582)=0),"",AR582)</f>
        <v/>
      </c>
      <c r="BQ582" s="33" t="str">
        <f aca="false">IF(OR(AR582="",N(S582)=0),"",S582)</f>
        <v/>
      </c>
      <c r="BR582" s="38" t="str">
        <f aca="false">IF(AND(ISNUMBER(B582),B582&gt;=Dashboard!$C$4,B582&lt;=Dashboard!$F$4,ISNUMBER(AU582)),AU582+ROW()/10^9,"")</f>
        <v/>
      </c>
      <c r="BS582" s="38" t="str">
        <f aca="false">IF(AND(ISNUMBER(B582),B582&gt;=Dashboard!$C$4,B582&lt;=Dashboard!$F$4,A582&lt;&gt;""),N(BD582)+N(AU582)/100+ROW()/10^9,"")</f>
        <v/>
      </c>
    </row>
    <row r="583" customFormat="false" ht="15" hidden="false" customHeight="false" outlineLevel="0" collapsed="false">
      <c r="A583" s="24" t="str">
        <f aca="false">IF(OR(B583="",G583="",H583=""),"",IFERROR(INDEX(Settings!$E$5:$E$49,MATCH(G583,Settings!$D$5:$D$49,0))&amp;INDEX(Settings!$H$5:$H$47,MATCH(H583,Settings!$G$5:$G$47,0))&amp;"-"&amp;TEXT(B583,"yymmdd")&amp;"-"&amp;IF(C583="","0000",TEXT(C583,"hhmm")),"CHECK LISTS"))</f>
        <v/>
      </c>
      <c r="B583" s="39"/>
      <c r="C583" s="40"/>
      <c r="D583" s="24" t="str">
        <f aca="false">IF(B583="","",TEXT(B583,"ddd"))</f>
        <v/>
      </c>
      <c r="E583" s="27" t="str">
        <f aca="false">IF(B583="","",B583-WEEKDAY(B583,3))</f>
        <v/>
      </c>
      <c r="F583" s="24" t="str">
        <f aca="false">IF(B583="","",TEXT(B583,"yyyy-mm"))</f>
        <v/>
      </c>
      <c r="G583" s="29"/>
      <c r="H583" s="29"/>
      <c r="I583" s="29"/>
      <c r="J583" s="29"/>
      <c r="K583" s="29"/>
      <c r="L583" s="29"/>
      <c r="M583" s="29"/>
      <c r="N583" s="29"/>
      <c r="O583" s="29"/>
      <c r="P583" s="29"/>
      <c r="Q583" s="30"/>
      <c r="R583" s="29"/>
      <c r="S583" s="32"/>
      <c r="T583" s="29"/>
      <c r="U583" s="29"/>
      <c r="V583" s="24" t="str">
        <f aca="false">IF(A583="","",IFERROR(INDEX(Settings!$F$5:$F$49,MATCH(G583,Settings!$D$5:$D$49,0)),""))</f>
        <v/>
      </c>
      <c r="W583" s="24" t="str">
        <f aca="false">IF(A583="","",IF(OR(P583="",P583="Organic"),"social","paid_social"))</f>
        <v/>
      </c>
      <c r="X583" s="24" t="str">
        <f aca="false">IF(A583="","",IF(K583&lt;&gt;"",IFERROR(INDEX('Case Studies'!$C$5:$C$54,MATCH(K583,'Case Studies'!$B$5:$B$54,0))&amp;"","case-study"),IF(J583&lt;&gt;"",IFERROR(INDEX(Settings!$J$5:$J$55,MATCH(J583,Settings!$I$5:$I$55,0)),"general"),"general")))</f>
        <v/>
      </c>
      <c r="Y583" s="24" t="str">
        <f aca="false">IF(A583="","",LOWER(A583))</f>
        <v/>
      </c>
      <c r="Z583" s="24" t="str">
        <f aca="false">IF(A583="","",IF(T583="",Settings!$B$5,T583)&amp;IF(ISNUMBER(FIND("?",IF(T583="",Settings!$B$5,T583))),"&amp;","?")&amp;"utm_source="&amp;V583&amp;"&amp;utm_medium="&amp;W583&amp;"&amp;utm_campaign="&amp;X583&amp;"&amp;utm_content="&amp;Y583)</f>
        <v/>
      </c>
      <c r="AA583" s="29"/>
      <c r="AB583" s="39"/>
      <c r="AC583" s="32"/>
      <c r="AD583" s="32"/>
      <c r="AE583" s="32"/>
      <c r="AF583" s="32"/>
      <c r="AG583" s="32"/>
      <c r="AH583" s="32"/>
      <c r="AI583" s="32"/>
      <c r="AJ583" s="32"/>
      <c r="AK583" s="32"/>
      <c r="AL583" s="32"/>
      <c r="AM583" s="32"/>
      <c r="AN583" s="32"/>
      <c r="AO583" s="33" t="str">
        <f aca="false">IF(A583="","",IF(AD583&lt;&gt;"",AD583,IF(AC583&lt;&gt;"",AC583,"")))</f>
        <v/>
      </c>
      <c r="AP583" s="24" t="str">
        <f aca="false">IF(AO583="","",IF(AD583&lt;&gt;"","Reported reach","Impressions (proxy)"))</f>
        <v/>
      </c>
      <c r="AQ583" s="34" t="str">
        <f aca="false">IF(OR(AO583="",N(S583)=0),"",AO583/S583)</f>
        <v/>
      </c>
      <c r="AR583" s="33" t="str">
        <f aca="false">IF(A583="","",IF(COUNT(AF583:AJ583)=0,"",SUM(AF583:AJ583)))</f>
        <v/>
      </c>
      <c r="AS583" s="34" t="str">
        <f aca="false">IF(OR(AR583="",N(AO583)=0),"",AR583/AO583)</f>
        <v/>
      </c>
      <c r="AT583" s="34" t="str">
        <f aca="false">IF(OR(AR583="",N(AC583)=0),"",AR583/AC583)</f>
        <v/>
      </c>
      <c r="AU583" s="34" t="str">
        <f aca="false">IF(OR(AR583="",N(S583)=0),"",AR583/S583)</f>
        <v/>
      </c>
      <c r="AV583" s="34" t="str">
        <f aca="false">IF(OR(AJ583="",N(AC583)=0),"",AJ583/AC583)</f>
        <v/>
      </c>
      <c r="AW583" s="34" t="str">
        <f aca="false">IF(OR(AH583="",N(AO583)=0),"",AH583/AO583)</f>
        <v/>
      </c>
      <c r="AX583" s="35" t="str">
        <f aca="false">IF(OR(AR583="",N(AO583)=0),"",(N(AF583)*Settings!$B$6+N(AG583)*Settings!$B$7+N(AH583)*Settings!$B$8+N(AI583)*Settings!$B$9+N(AJ583)*Settings!$B$10)/AO583*1000)</f>
        <v/>
      </c>
      <c r="AY583" s="36" t="str">
        <f aca="false">IF(AS583="","",IFERROR(AS583/AVERAGEIFS('Post Tracker'!$AS$5:$AS$1004,'Post Tracker'!$G$5:$G$1004,G583),""))</f>
        <v/>
      </c>
      <c r="AZ583" s="32"/>
      <c r="BA583" s="32"/>
      <c r="BB583" s="32"/>
      <c r="BC583" s="32"/>
      <c r="BD583" s="33" t="str">
        <f aca="false">IF(A583="","",COUNTIFS('Demo Pipeline'!$Q$5:$Q$504,A583))</f>
        <v/>
      </c>
      <c r="BE583" s="33" t="str">
        <f aca="false">IF(A583="","",COUNTIFS('Demo Pipeline'!$Q$5:$Q$504,A583,'Demo Pipeline'!$W$5:$W$504,"Attended"))</f>
        <v/>
      </c>
      <c r="BF583" s="33" t="str">
        <f aca="false">IF(A583="","",COUNTIFS('Demo Pipeline'!$Q$5:$Q$504,A583,'Demo Pipeline'!$X$5:$X$504,"Yes"))</f>
        <v/>
      </c>
      <c r="BG583" s="33" t="str">
        <f aca="false">IF(A583="","",COUNTIFS('Demo Pipeline'!$Q$5:$Q$504,A583,'Demo Pipeline'!$Y$5:$Y$504,"Closed Won"))</f>
        <v/>
      </c>
      <c r="BH583" s="37" t="str">
        <f aca="false">IF(A583="","",SUMIFS('Demo Pipeline'!$Z$5:$Z$504,'Demo Pipeline'!$Q$5:$Q$504,A583))</f>
        <v/>
      </c>
      <c r="BI583" s="34" t="str">
        <f aca="false">IF(OR(AZ583="",N(AJ583)=0),"",AZ583/AJ583)</f>
        <v/>
      </c>
      <c r="BJ583" s="34" t="str">
        <f aca="false">IF(OR(BB583="",N(AZ583)=0),"",BB583/AZ583)</f>
        <v/>
      </c>
      <c r="BK583" s="34" t="str">
        <f aca="false">IF(OR(A583="",N(BB583)=0),"",BD583/BB583)</f>
        <v/>
      </c>
      <c r="BL583" s="34" t="str">
        <f aca="false">IF(OR(A583="",N(AZ583)=0),"",BD583/AZ583)</f>
        <v/>
      </c>
      <c r="BM583" s="37" t="str">
        <f aca="false">IF(OR(N(Q583)=0,N(BD583)=0),"",Q583/BD583)</f>
        <v/>
      </c>
      <c r="BN583" s="29"/>
      <c r="BO583" s="29"/>
      <c r="BP583" s="33" t="str">
        <f aca="false">IF(OR(AR583="",N(AO583)=0),"",AR583)</f>
        <v/>
      </c>
      <c r="BQ583" s="33" t="str">
        <f aca="false">IF(OR(AR583="",N(S583)=0),"",S583)</f>
        <v/>
      </c>
      <c r="BR583" s="38" t="str">
        <f aca="false">IF(AND(ISNUMBER(B583),B583&gt;=Dashboard!$C$4,B583&lt;=Dashboard!$F$4,ISNUMBER(AU583)),AU583+ROW()/10^9,"")</f>
        <v/>
      </c>
      <c r="BS583" s="38" t="str">
        <f aca="false">IF(AND(ISNUMBER(B583),B583&gt;=Dashboard!$C$4,B583&lt;=Dashboard!$F$4,A583&lt;&gt;""),N(BD583)+N(AU583)/100+ROW()/10^9,"")</f>
        <v/>
      </c>
    </row>
    <row r="584" customFormat="false" ht="15" hidden="false" customHeight="false" outlineLevel="0" collapsed="false">
      <c r="A584" s="24" t="str">
        <f aca="false">IF(OR(B584="",G584="",H584=""),"",IFERROR(INDEX(Settings!$E$5:$E$49,MATCH(G584,Settings!$D$5:$D$49,0))&amp;INDEX(Settings!$H$5:$H$47,MATCH(H584,Settings!$G$5:$G$47,0))&amp;"-"&amp;TEXT(B584,"yymmdd")&amp;"-"&amp;IF(C584="","0000",TEXT(C584,"hhmm")),"CHECK LISTS"))</f>
        <v/>
      </c>
      <c r="B584" s="39"/>
      <c r="C584" s="40"/>
      <c r="D584" s="24" t="str">
        <f aca="false">IF(B584="","",TEXT(B584,"ddd"))</f>
        <v/>
      </c>
      <c r="E584" s="27" t="str">
        <f aca="false">IF(B584="","",B584-WEEKDAY(B584,3))</f>
        <v/>
      </c>
      <c r="F584" s="24" t="str">
        <f aca="false">IF(B584="","",TEXT(B584,"yyyy-mm"))</f>
        <v/>
      </c>
      <c r="G584" s="29"/>
      <c r="H584" s="29"/>
      <c r="I584" s="29"/>
      <c r="J584" s="29"/>
      <c r="K584" s="29"/>
      <c r="L584" s="29"/>
      <c r="M584" s="29"/>
      <c r="N584" s="29"/>
      <c r="O584" s="29"/>
      <c r="P584" s="29"/>
      <c r="Q584" s="30"/>
      <c r="R584" s="29"/>
      <c r="S584" s="32"/>
      <c r="T584" s="29"/>
      <c r="U584" s="29"/>
      <c r="V584" s="24" t="str">
        <f aca="false">IF(A584="","",IFERROR(INDEX(Settings!$F$5:$F$49,MATCH(G584,Settings!$D$5:$D$49,0)),""))</f>
        <v/>
      </c>
      <c r="W584" s="24" t="str">
        <f aca="false">IF(A584="","",IF(OR(P584="",P584="Organic"),"social","paid_social"))</f>
        <v/>
      </c>
      <c r="X584" s="24" t="str">
        <f aca="false">IF(A584="","",IF(K584&lt;&gt;"",IFERROR(INDEX('Case Studies'!$C$5:$C$54,MATCH(K584,'Case Studies'!$B$5:$B$54,0))&amp;"","case-study"),IF(J584&lt;&gt;"",IFERROR(INDEX(Settings!$J$5:$J$55,MATCH(J584,Settings!$I$5:$I$55,0)),"general"),"general")))</f>
        <v/>
      </c>
      <c r="Y584" s="24" t="str">
        <f aca="false">IF(A584="","",LOWER(A584))</f>
        <v/>
      </c>
      <c r="Z584" s="24" t="str">
        <f aca="false">IF(A584="","",IF(T584="",Settings!$B$5,T584)&amp;IF(ISNUMBER(FIND("?",IF(T584="",Settings!$B$5,T584))),"&amp;","?")&amp;"utm_source="&amp;V584&amp;"&amp;utm_medium="&amp;W584&amp;"&amp;utm_campaign="&amp;X584&amp;"&amp;utm_content="&amp;Y584)</f>
        <v/>
      </c>
      <c r="AA584" s="29"/>
      <c r="AB584" s="39"/>
      <c r="AC584" s="32"/>
      <c r="AD584" s="32"/>
      <c r="AE584" s="32"/>
      <c r="AF584" s="32"/>
      <c r="AG584" s="32"/>
      <c r="AH584" s="32"/>
      <c r="AI584" s="32"/>
      <c r="AJ584" s="32"/>
      <c r="AK584" s="32"/>
      <c r="AL584" s="32"/>
      <c r="AM584" s="32"/>
      <c r="AN584" s="32"/>
      <c r="AO584" s="33" t="str">
        <f aca="false">IF(A584="","",IF(AD584&lt;&gt;"",AD584,IF(AC584&lt;&gt;"",AC584,"")))</f>
        <v/>
      </c>
      <c r="AP584" s="24" t="str">
        <f aca="false">IF(AO584="","",IF(AD584&lt;&gt;"","Reported reach","Impressions (proxy)"))</f>
        <v/>
      </c>
      <c r="AQ584" s="34" t="str">
        <f aca="false">IF(OR(AO584="",N(S584)=0),"",AO584/S584)</f>
        <v/>
      </c>
      <c r="AR584" s="33" t="str">
        <f aca="false">IF(A584="","",IF(COUNT(AF584:AJ584)=0,"",SUM(AF584:AJ584)))</f>
        <v/>
      </c>
      <c r="AS584" s="34" t="str">
        <f aca="false">IF(OR(AR584="",N(AO584)=0),"",AR584/AO584)</f>
        <v/>
      </c>
      <c r="AT584" s="34" t="str">
        <f aca="false">IF(OR(AR584="",N(AC584)=0),"",AR584/AC584)</f>
        <v/>
      </c>
      <c r="AU584" s="34" t="str">
        <f aca="false">IF(OR(AR584="",N(S584)=0),"",AR584/S584)</f>
        <v/>
      </c>
      <c r="AV584" s="34" t="str">
        <f aca="false">IF(OR(AJ584="",N(AC584)=0),"",AJ584/AC584)</f>
        <v/>
      </c>
      <c r="AW584" s="34" t="str">
        <f aca="false">IF(OR(AH584="",N(AO584)=0),"",AH584/AO584)</f>
        <v/>
      </c>
      <c r="AX584" s="35" t="str">
        <f aca="false">IF(OR(AR584="",N(AO584)=0),"",(N(AF584)*Settings!$B$6+N(AG584)*Settings!$B$7+N(AH584)*Settings!$B$8+N(AI584)*Settings!$B$9+N(AJ584)*Settings!$B$10)/AO584*1000)</f>
        <v/>
      </c>
      <c r="AY584" s="36" t="str">
        <f aca="false">IF(AS584="","",IFERROR(AS584/AVERAGEIFS('Post Tracker'!$AS$5:$AS$1004,'Post Tracker'!$G$5:$G$1004,G584),""))</f>
        <v/>
      </c>
      <c r="AZ584" s="32"/>
      <c r="BA584" s="32"/>
      <c r="BB584" s="32"/>
      <c r="BC584" s="32"/>
      <c r="BD584" s="33" t="str">
        <f aca="false">IF(A584="","",COUNTIFS('Demo Pipeline'!$Q$5:$Q$504,A584))</f>
        <v/>
      </c>
      <c r="BE584" s="33" t="str">
        <f aca="false">IF(A584="","",COUNTIFS('Demo Pipeline'!$Q$5:$Q$504,A584,'Demo Pipeline'!$W$5:$W$504,"Attended"))</f>
        <v/>
      </c>
      <c r="BF584" s="33" t="str">
        <f aca="false">IF(A584="","",COUNTIFS('Demo Pipeline'!$Q$5:$Q$504,A584,'Demo Pipeline'!$X$5:$X$504,"Yes"))</f>
        <v/>
      </c>
      <c r="BG584" s="33" t="str">
        <f aca="false">IF(A584="","",COUNTIFS('Demo Pipeline'!$Q$5:$Q$504,A584,'Demo Pipeline'!$Y$5:$Y$504,"Closed Won"))</f>
        <v/>
      </c>
      <c r="BH584" s="37" t="str">
        <f aca="false">IF(A584="","",SUMIFS('Demo Pipeline'!$Z$5:$Z$504,'Demo Pipeline'!$Q$5:$Q$504,A584))</f>
        <v/>
      </c>
      <c r="BI584" s="34" t="str">
        <f aca="false">IF(OR(AZ584="",N(AJ584)=0),"",AZ584/AJ584)</f>
        <v/>
      </c>
      <c r="BJ584" s="34" t="str">
        <f aca="false">IF(OR(BB584="",N(AZ584)=0),"",BB584/AZ584)</f>
        <v/>
      </c>
      <c r="BK584" s="34" t="str">
        <f aca="false">IF(OR(A584="",N(BB584)=0),"",BD584/BB584)</f>
        <v/>
      </c>
      <c r="BL584" s="34" t="str">
        <f aca="false">IF(OR(A584="",N(AZ584)=0),"",BD584/AZ584)</f>
        <v/>
      </c>
      <c r="BM584" s="37" t="str">
        <f aca="false">IF(OR(N(Q584)=0,N(BD584)=0),"",Q584/BD584)</f>
        <v/>
      </c>
      <c r="BN584" s="29"/>
      <c r="BO584" s="29"/>
      <c r="BP584" s="33" t="str">
        <f aca="false">IF(OR(AR584="",N(AO584)=0),"",AR584)</f>
        <v/>
      </c>
      <c r="BQ584" s="33" t="str">
        <f aca="false">IF(OR(AR584="",N(S584)=0),"",S584)</f>
        <v/>
      </c>
      <c r="BR584" s="38" t="str">
        <f aca="false">IF(AND(ISNUMBER(B584),B584&gt;=Dashboard!$C$4,B584&lt;=Dashboard!$F$4,ISNUMBER(AU584)),AU584+ROW()/10^9,"")</f>
        <v/>
      </c>
      <c r="BS584" s="38" t="str">
        <f aca="false">IF(AND(ISNUMBER(B584),B584&gt;=Dashboard!$C$4,B584&lt;=Dashboard!$F$4,A584&lt;&gt;""),N(BD584)+N(AU584)/100+ROW()/10^9,"")</f>
        <v/>
      </c>
    </row>
    <row r="585" customFormat="false" ht="15" hidden="false" customHeight="false" outlineLevel="0" collapsed="false">
      <c r="A585" s="24" t="str">
        <f aca="false">IF(OR(B585="",G585="",H585=""),"",IFERROR(INDEX(Settings!$E$5:$E$49,MATCH(G585,Settings!$D$5:$D$49,0))&amp;INDEX(Settings!$H$5:$H$47,MATCH(H585,Settings!$G$5:$G$47,0))&amp;"-"&amp;TEXT(B585,"yymmdd")&amp;"-"&amp;IF(C585="","0000",TEXT(C585,"hhmm")),"CHECK LISTS"))</f>
        <v/>
      </c>
      <c r="B585" s="39"/>
      <c r="C585" s="40"/>
      <c r="D585" s="24" t="str">
        <f aca="false">IF(B585="","",TEXT(B585,"ddd"))</f>
        <v/>
      </c>
      <c r="E585" s="27" t="str">
        <f aca="false">IF(B585="","",B585-WEEKDAY(B585,3))</f>
        <v/>
      </c>
      <c r="F585" s="24" t="str">
        <f aca="false">IF(B585="","",TEXT(B585,"yyyy-mm"))</f>
        <v/>
      </c>
      <c r="G585" s="29"/>
      <c r="H585" s="29"/>
      <c r="I585" s="29"/>
      <c r="J585" s="29"/>
      <c r="K585" s="29"/>
      <c r="L585" s="29"/>
      <c r="M585" s="29"/>
      <c r="N585" s="29"/>
      <c r="O585" s="29"/>
      <c r="P585" s="29"/>
      <c r="Q585" s="30"/>
      <c r="R585" s="29"/>
      <c r="S585" s="32"/>
      <c r="T585" s="29"/>
      <c r="U585" s="29"/>
      <c r="V585" s="24" t="str">
        <f aca="false">IF(A585="","",IFERROR(INDEX(Settings!$F$5:$F$49,MATCH(G585,Settings!$D$5:$D$49,0)),""))</f>
        <v/>
      </c>
      <c r="W585" s="24" t="str">
        <f aca="false">IF(A585="","",IF(OR(P585="",P585="Organic"),"social","paid_social"))</f>
        <v/>
      </c>
      <c r="X585" s="24" t="str">
        <f aca="false">IF(A585="","",IF(K585&lt;&gt;"",IFERROR(INDEX('Case Studies'!$C$5:$C$54,MATCH(K585,'Case Studies'!$B$5:$B$54,0))&amp;"","case-study"),IF(J585&lt;&gt;"",IFERROR(INDEX(Settings!$J$5:$J$55,MATCH(J585,Settings!$I$5:$I$55,0)),"general"),"general")))</f>
        <v/>
      </c>
      <c r="Y585" s="24" t="str">
        <f aca="false">IF(A585="","",LOWER(A585))</f>
        <v/>
      </c>
      <c r="Z585" s="24" t="str">
        <f aca="false">IF(A585="","",IF(T585="",Settings!$B$5,T585)&amp;IF(ISNUMBER(FIND("?",IF(T585="",Settings!$B$5,T585))),"&amp;","?")&amp;"utm_source="&amp;V585&amp;"&amp;utm_medium="&amp;W585&amp;"&amp;utm_campaign="&amp;X585&amp;"&amp;utm_content="&amp;Y585)</f>
        <v/>
      </c>
      <c r="AA585" s="29"/>
      <c r="AB585" s="39"/>
      <c r="AC585" s="32"/>
      <c r="AD585" s="32"/>
      <c r="AE585" s="32"/>
      <c r="AF585" s="32"/>
      <c r="AG585" s="32"/>
      <c r="AH585" s="32"/>
      <c r="AI585" s="32"/>
      <c r="AJ585" s="32"/>
      <c r="AK585" s="32"/>
      <c r="AL585" s="32"/>
      <c r="AM585" s="32"/>
      <c r="AN585" s="32"/>
      <c r="AO585" s="33" t="str">
        <f aca="false">IF(A585="","",IF(AD585&lt;&gt;"",AD585,IF(AC585&lt;&gt;"",AC585,"")))</f>
        <v/>
      </c>
      <c r="AP585" s="24" t="str">
        <f aca="false">IF(AO585="","",IF(AD585&lt;&gt;"","Reported reach","Impressions (proxy)"))</f>
        <v/>
      </c>
      <c r="AQ585" s="34" t="str">
        <f aca="false">IF(OR(AO585="",N(S585)=0),"",AO585/S585)</f>
        <v/>
      </c>
      <c r="AR585" s="33" t="str">
        <f aca="false">IF(A585="","",IF(COUNT(AF585:AJ585)=0,"",SUM(AF585:AJ585)))</f>
        <v/>
      </c>
      <c r="AS585" s="34" t="str">
        <f aca="false">IF(OR(AR585="",N(AO585)=0),"",AR585/AO585)</f>
        <v/>
      </c>
      <c r="AT585" s="34" t="str">
        <f aca="false">IF(OR(AR585="",N(AC585)=0),"",AR585/AC585)</f>
        <v/>
      </c>
      <c r="AU585" s="34" t="str">
        <f aca="false">IF(OR(AR585="",N(S585)=0),"",AR585/S585)</f>
        <v/>
      </c>
      <c r="AV585" s="34" t="str">
        <f aca="false">IF(OR(AJ585="",N(AC585)=0),"",AJ585/AC585)</f>
        <v/>
      </c>
      <c r="AW585" s="34" t="str">
        <f aca="false">IF(OR(AH585="",N(AO585)=0),"",AH585/AO585)</f>
        <v/>
      </c>
      <c r="AX585" s="35" t="str">
        <f aca="false">IF(OR(AR585="",N(AO585)=0),"",(N(AF585)*Settings!$B$6+N(AG585)*Settings!$B$7+N(AH585)*Settings!$B$8+N(AI585)*Settings!$B$9+N(AJ585)*Settings!$B$10)/AO585*1000)</f>
        <v/>
      </c>
      <c r="AY585" s="36" t="str">
        <f aca="false">IF(AS585="","",IFERROR(AS585/AVERAGEIFS('Post Tracker'!$AS$5:$AS$1004,'Post Tracker'!$G$5:$G$1004,G585),""))</f>
        <v/>
      </c>
      <c r="AZ585" s="32"/>
      <c r="BA585" s="32"/>
      <c r="BB585" s="32"/>
      <c r="BC585" s="32"/>
      <c r="BD585" s="33" t="str">
        <f aca="false">IF(A585="","",COUNTIFS('Demo Pipeline'!$Q$5:$Q$504,A585))</f>
        <v/>
      </c>
      <c r="BE585" s="33" t="str">
        <f aca="false">IF(A585="","",COUNTIFS('Demo Pipeline'!$Q$5:$Q$504,A585,'Demo Pipeline'!$W$5:$W$504,"Attended"))</f>
        <v/>
      </c>
      <c r="BF585" s="33" t="str">
        <f aca="false">IF(A585="","",COUNTIFS('Demo Pipeline'!$Q$5:$Q$504,A585,'Demo Pipeline'!$X$5:$X$504,"Yes"))</f>
        <v/>
      </c>
      <c r="BG585" s="33" t="str">
        <f aca="false">IF(A585="","",COUNTIFS('Demo Pipeline'!$Q$5:$Q$504,A585,'Demo Pipeline'!$Y$5:$Y$504,"Closed Won"))</f>
        <v/>
      </c>
      <c r="BH585" s="37" t="str">
        <f aca="false">IF(A585="","",SUMIFS('Demo Pipeline'!$Z$5:$Z$504,'Demo Pipeline'!$Q$5:$Q$504,A585))</f>
        <v/>
      </c>
      <c r="BI585" s="34" t="str">
        <f aca="false">IF(OR(AZ585="",N(AJ585)=0),"",AZ585/AJ585)</f>
        <v/>
      </c>
      <c r="BJ585" s="34" t="str">
        <f aca="false">IF(OR(BB585="",N(AZ585)=0),"",BB585/AZ585)</f>
        <v/>
      </c>
      <c r="BK585" s="34" t="str">
        <f aca="false">IF(OR(A585="",N(BB585)=0),"",BD585/BB585)</f>
        <v/>
      </c>
      <c r="BL585" s="34" t="str">
        <f aca="false">IF(OR(A585="",N(AZ585)=0),"",BD585/AZ585)</f>
        <v/>
      </c>
      <c r="BM585" s="37" t="str">
        <f aca="false">IF(OR(N(Q585)=0,N(BD585)=0),"",Q585/BD585)</f>
        <v/>
      </c>
      <c r="BN585" s="29"/>
      <c r="BO585" s="29"/>
      <c r="BP585" s="33" t="str">
        <f aca="false">IF(OR(AR585="",N(AO585)=0),"",AR585)</f>
        <v/>
      </c>
      <c r="BQ585" s="33" t="str">
        <f aca="false">IF(OR(AR585="",N(S585)=0),"",S585)</f>
        <v/>
      </c>
      <c r="BR585" s="38" t="str">
        <f aca="false">IF(AND(ISNUMBER(B585),B585&gt;=Dashboard!$C$4,B585&lt;=Dashboard!$F$4,ISNUMBER(AU585)),AU585+ROW()/10^9,"")</f>
        <v/>
      </c>
      <c r="BS585" s="38" t="str">
        <f aca="false">IF(AND(ISNUMBER(B585),B585&gt;=Dashboard!$C$4,B585&lt;=Dashboard!$F$4,A585&lt;&gt;""),N(BD585)+N(AU585)/100+ROW()/10^9,"")</f>
        <v/>
      </c>
    </row>
    <row r="586" customFormat="false" ht="15" hidden="false" customHeight="false" outlineLevel="0" collapsed="false">
      <c r="A586" s="24" t="str">
        <f aca="false">IF(OR(B586="",G586="",H586=""),"",IFERROR(INDEX(Settings!$E$5:$E$49,MATCH(G586,Settings!$D$5:$D$49,0))&amp;INDEX(Settings!$H$5:$H$47,MATCH(H586,Settings!$G$5:$G$47,0))&amp;"-"&amp;TEXT(B586,"yymmdd")&amp;"-"&amp;IF(C586="","0000",TEXT(C586,"hhmm")),"CHECK LISTS"))</f>
        <v/>
      </c>
      <c r="B586" s="39"/>
      <c r="C586" s="40"/>
      <c r="D586" s="24" t="str">
        <f aca="false">IF(B586="","",TEXT(B586,"ddd"))</f>
        <v/>
      </c>
      <c r="E586" s="27" t="str">
        <f aca="false">IF(B586="","",B586-WEEKDAY(B586,3))</f>
        <v/>
      </c>
      <c r="F586" s="24" t="str">
        <f aca="false">IF(B586="","",TEXT(B586,"yyyy-mm"))</f>
        <v/>
      </c>
      <c r="G586" s="29"/>
      <c r="H586" s="29"/>
      <c r="I586" s="29"/>
      <c r="J586" s="29"/>
      <c r="K586" s="29"/>
      <c r="L586" s="29"/>
      <c r="M586" s="29"/>
      <c r="N586" s="29"/>
      <c r="O586" s="29"/>
      <c r="P586" s="29"/>
      <c r="Q586" s="30"/>
      <c r="R586" s="29"/>
      <c r="S586" s="32"/>
      <c r="T586" s="29"/>
      <c r="U586" s="29"/>
      <c r="V586" s="24" t="str">
        <f aca="false">IF(A586="","",IFERROR(INDEX(Settings!$F$5:$F$49,MATCH(G586,Settings!$D$5:$D$49,0)),""))</f>
        <v/>
      </c>
      <c r="W586" s="24" t="str">
        <f aca="false">IF(A586="","",IF(OR(P586="",P586="Organic"),"social","paid_social"))</f>
        <v/>
      </c>
      <c r="X586" s="24" t="str">
        <f aca="false">IF(A586="","",IF(K586&lt;&gt;"",IFERROR(INDEX('Case Studies'!$C$5:$C$54,MATCH(K586,'Case Studies'!$B$5:$B$54,0))&amp;"","case-study"),IF(J586&lt;&gt;"",IFERROR(INDEX(Settings!$J$5:$J$55,MATCH(J586,Settings!$I$5:$I$55,0)),"general"),"general")))</f>
        <v/>
      </c>
      <c r="Y586" s="24" t="str">
        <f aca="false">IF(A586="","",LOWER(A586))</f>
        <v/>
      </c>
      <c r="Z586" s="24" t="str">
        <f aca="false">IF(A586="","",IF(T586="",Settings!$B$5,T586)&amp;IF(ISNUMBER(FIND("?",IF(T586="",Settings!$B$5,T586))),"&amp;","?")&amp;"utm_source="&amp;V586&amp;"&amp;utm_medium="&amp;W586&amp;"&amp;utm_campaign="&amp;X586&amp;"&amp;utm_content="&amp;Y586)</f>
        <v/>
      </c>
      <c r="AA586" s="29"/>
      <c r="AB586" s="39"/>
      <c r="AC586" s="32"/>
      <c r="AD586" s="32"/>
      <c r="AE586" s="32"/>
      <c r="AF586" s="32"/>
      <c r="AG586" s="32"/>
      <c r="AH586" s="32"/>
      <c r="AI586" s="32"/>
      <c r="AJ586" s="32"/>
      <c r="AK586" s="32"/>
      <c r="AL586" s="32"/>
      <c r="AM586" s="32"/>
      <c r="AN586" s="32"/>
      <c r="AO586" s="33" t="str">
        <f aca="false">IF(A586="","",IF(AD586&lt;&gt;"",AD586,IF(AC586&lt;&gt;"",AC586,"")))</f>
        <v/>
      </c>
      <c r="AP586" s="24" t="str">
        <f aca="false">IF(AO586="","",IF(AD586&lt;&gt;"","Reported reach","Impressions (proxy)"))</f>
        <v/>
      </c>
      <c r="AQ586" s="34" t="str">
        <f aca="false">IF(OR(AO586="",N(S586)=0),"",AO586/S586)</f>
        <v/>
      </c>
      <c r="AR586" s="33" t="str">
        <f aca="false">IF(A586="","",IF(COUNT(AF586:AJ586)=0,"",SUM(AF586:AJ586)))</f>
        <v/>
      </c>
      <c r="AS586" s="34" t="str">
        <f aca="false">IF(OR(AR586="",N(AO586)=0),"",AR586/AO586)</f>
        <v/>
      </c>
      <c r="AT586" s="34" t="str">
        <f aca="false">IF(OR(AR586="",N(AC586)=0),"",AR586/AC586)</f>
        <v/>
      </c>
      <c r="AU586" s="34" t="str">
        <f aca="false">IF(OR(AR586="",N(S586)=0),"",AR586/S586)</f>
        <v/>
      </c>
      <c r="AV586" s="34" t="str">
        <f aca="false">IF(OR(AJ586="",N(AC586)=0),"",AJ586/AC586)</f>
        <v/>
      </c>
      <c r="AW586" s="34" t="str">
        <f aca="false">IF(OR(AH586="",N(AO586)=0),"",AH586/AO586)</f>
        <v/>
      </c>
      <c r="AX586" s="35" t="str">
        <f aca="false">IF(OR(AR586="",N(AO586)=0),"",(N(AF586)*Settings!$B$6+N(AG586)*Settings!$B$7+N(AH586)*Settings!$B$8+N(AI586)*Settings!$B$9+N(AJ586)*Settings!$B$10)/AO586*1000)</f>
        <v/>
      </c>
      <c r="AY586" s="36" t="str">
        <f aca="false">IF(AS586="","",IFERROR(AS586/AVERAGEIFS('Post Tracker'!$AS$5:$AS$1004,'Post Tracker'!$G$5:$G$1004,G586),""))</f>
        <v/>
      </c>
      <c r="AZ586" s="32"/>
      <c r="BA586" s="32"/>
      <c r="BB586" s="32"/>
      <c r="BC586" s="32"/>
      <c r="BD586" s="33" t="str">
        <f aca="false">IF(A586="","",COUNTIFS('Demo Pipeline'!$Q$5:$Q$504,A586))</f>
        <v/>
      </c>
      <c r="BE586" s="33" t="str">
        <f aca="false">IF(A586="","",COUNTIFS('Demo Pipeline'!$Q$5:$Q$504,A586,'Demo Pipeline'!$W$5:$W$504,"Attended"))</f>
        <v/>
      </c>
      <c r="BF586" s="33" t="str">
        <f aca="false">IF(A586="","",COUNTIFS('Demo Pipeline'!$Q$5:$Q$504,A586,'Demo Pipeline'!$X$5:$X$504,"Yes"))</f>
        <v/>
      </c>
      <c r="BG586" s="33" t="str">
        <f aca="false">IF(A586="","",COUNTIFS('Demo Pipeline'!$Q$5:$Q$504,A586,'Demo Pipeline'!$Y$5:$Y$504,"Closed Won"))</f>
        <v/>
      </c>
      <c r="BH586" s="37" t="str">
        <f aca="false">IF(A586="","",SUMIFS('Demo Pipeline'!$Z$5:$Z$504,'Demo Pipeline'!$Q$5:$Q$504,A586))</f>
        <v/>
      </c>
      <c r="BI586" s="34" t="str">
        <f aca="false">IF(OR(AZ586="",N(AJ586)=0),"",AZ586/AJ586)</f>
        <v/>
      </c>
      <c r="BJ586" s="34" t="str">
        <f aca="false">IF(OR(BB586="",N(AZ586)=0),"",BB586/AZ586)</f>
        <v/>
      </c>
      <c r="BK586" s="34" t="str">
        <f aca="false">IF(OR(A586="",N(BB586)=0),"",BD586/BB586)</f>
        <v/>
      </c>
      <c r="BL586" s="34" t="str">
        <f aca="false">IF(OR(A586="",N(AZ586)=0),"",BD586/AZ586)</f>
        <v/>
      </c>
      <c r="BM586" s="37" t="str">
        <f aca="false">IF(OR(N(Q586)=0,N(BD586)=0),"",Q586/BD586)</f>
        <v/>
      </c>
      <c r="BN586" s="29"/>
      <c r="BO586" s="29"/>
      <c r="BP586" s="33" t="str">
        <f aca="false">IF(OR(AR586="",N(AO586)=0),"",AR586)</f>
        <v/>
      </c>
      <c r="BQ586" s="33" t="str">
        <f aca="false">IF(OR(AR586="",N(S586)=0),"",S586)</f>
        <v/>
      </c>
      <c r="BR586" s="38" t="str">
        <f aca="false">IF(AND(ISNUMBER(B586),B586&gt;=Dashboard!$C$4,B586&lt;=Dashboard!$F$4,ISNUMBER(AU586)),AU586+ROW()/10^9,"")</f>
        <v/>
      </c>
      <c r="BS586" s="38" t="str">
        <f aca="false">IF(AND(ISNUMBER(B586),B586&gt;=Dashboard!$C$4,B586&lt;=Dashboard!$F$4,A586&lt;&gt;""),N(BD586)+N(AU586)/100+ROW()/10^9,"")</f>
        <v/>
      </c>
    </row>
    <row r="587" customFormat="false" ht="15" hidden="false" customHeight="false" outlineLevel="0" collapsed="false">
      <c r="A587" s="24" t="str">
        <f aca="false">IF(OR(B587="",G587="",H587=""),"",IFERROR(INDEX(Settings!$E$5:$E$49,MATCH(G587,Settings!$D$5:$D$49,0))&amp;INDEX(Settings!$H$5:$H$47,MATCH(H587,Settings!$G$5:$G$47,0))&amp;"-"&amp;TEXT(B587,"yymmdd")&amp;"-"&amp;IF(C587="","0000",TEXT(C587,"hhmm")),"CHECK LISTS"))</f>
        <v/>
      </c>
      <c r="B587" s="39"/>
      <c r="C587" s="40"/>
      <c r="D587" s="24" t="str">
        <f aca="false">IF(B587="","",TEXT(B587,"ddd"))</f>
        <v/>
      </c>
      <c r="E587" s="27" t="str">
        <f aca="false">IF(B587="","",B587-WEEKDAY(B587,3))</f>
        <v/>
      </c>
      <c r="F587" s="24" t="str">
        <f aca="false">IF(B587="","",TEXT(B587,"yyyy-mm"))</f>
        <v/>
      </c>
      <c r="G587" s="29"/>
      <c r="H587" s="29"/>
      <c r="I587" s="29"/>
      <c r="J587" s="29"/>
      <c r="K587" s="29"/>
      <c r="L587" s="29"/>
      <c r="M587" s="29"/>
      <c r="N587" s="29"/>
      <c r="O587" s="29"/>
      <c r="P587" s="29"/>
      <c r="Q587" s="30"/>
      <c r="R587" s="29"/>
      <c r="S587" s="32"/>
      <c r="T587" s="29"/>
      <c r="U587" s="29"/>
      <c r="V587" s="24" t="str">
        <f aca="false">IF(A587="","",IFERROR(INDEX(Settings!$F$5:$F$49,MATCH(G587,Settings!$D$5:$D$49,0)),""))</f>
        <v/>
      </c>
      <c r="W587" s="24" t="str">
        <f aca="false">IF(A587="","",IF(OR(P587="",P587="Organic"),"social","paid_social"))</f>
        <v/>
      </c>
      <c r="X587" s="24" t="str">
        <f aca="false">IF(A587="","",IF(K587&lt;&gt;"",IFERROR(INDEX('Case Studies'!$C$5:$C$54,MATCH(K587,'Case Studies'!$B$5:$B$54,0))&amp;"","case-study"),IF(J587&lt;&gt;"",IFERROR(INDEX(Settings!$J$5:$J$55,MATCH(J587,Settings!$I$5:$I$55,0)),"general"),"general")))</f>
        <v/>
      </c>
      <c r="Y587" s="24" t="str">
        <f aca="false">IF(A587="","",LOWER(A587))</f>
        <v/>
      </c>
      <c r="Z587" s="24" t="str">
        <f aca="false">IF(A587="","",IF(T587="",Settings!$B$5,T587)&amp;IF(ISNUMBER(FIND("?",IF(T587="",Settings!$B$5,T587))),"&amp;","?")&amp;"utm_source="&amp;V587&amp;"&amp;utm_medium="&amp;W587&amp;"&amp;utm_campaign="&amp;X587&amp;"&amp;utm_content="&amp;Y587)</f>
        <v/>
      </c>
      <c r="AA587" s="29"/>
      <c r="AB587" s="39"/>
      <c r="AC587" s="32"/>
      <c r="AD587" s="32"/>
      <c r="AE587" s="32"/>
      <c r="AF587" s="32"/>
      <c r="AG587" s="32"/>
      <c r="AH587" s="32"/>
      <c r="AI587" s="32"/>
      <c r="AJ587" s="32"/>
      <c r="AK587" s="32"/>
      <c r="AL587" s="32"/>
      <c r="AM587" s="32"/>
      <c r="AN587" s="32"/>
      <c r="AO587" s="33" t="str">
        <f aca="false">IF(A587="","",IF(AD587&lt;&gt;"",AD587,IF(AC587&lt;&gt;"",AC587,"")))</f>
        <v/>
      </c>
      <c r="AP587" s="24" t="str">
        <f aca="false">IF(AO587="","",IF(AD587&lt;&gt;"","Reported reach","Impressions (proxy)"))</f>
        <v/>
      </c>
      <c r="AQ587" s="34" t="str">
        <f aca="false">IF(OR(AO587="",N(S587)=0),"",AO587/S587)</f>
        <v/>
      </c>
      <c r="AR587" s="33" t="str">
        <f aca="false">IF(A587="","",IF(COUNT(AF587:AJ587)=0,"",SUM(AF587:AJ587)))</f>
        <v/>
      </c>
      <c r="AS587" s="34" t="str">
        <f aca="false">IF(OR(AR587="",N(AO587)=0),"",AR587/AO587)</f>
        <v/>
      </c>
      <c r="AT587" s="34" t="str">
        <f aca="false">IF(OR(AR587="",N(AC587)=0),"",AR587/AC587)</f>
        <v/>
      </c>
      <c r="AU587" s="34" t="str">
        <f aca="false">IF(OR(AR587="",N(S587)=0),"",AR587/S587)</f>
        <v/>
      </c>
      <c r="AV587" s="34" t="str">
        <f aca="false">IF(OR(AJ587="",N(AC587)=0),"",AJ587/AC587)</f>
        <v/>
      </c>
      <c r="AW587" s="34" t="str">
        <f aca="false">IF(OR(AH587="",N(AO587)=0),"",AH587/AO587)</f>
        <v/>
      </c>
      <c r="AX587" s="35" t="str">
        <f aca="false">IF(OR(AR587="",N(AO587)=0),"",(N(AF587)*Settings!$B$6+N(AG587)*Settings!$B$7+N(AH587)*Settings!$B$8+N(AI587)*Settings!$B$9+N(AJ587)*Settings!$B$10)/AO587*1000)</f>
        <v/>
      </c>
      <c r="AY587" s="36" t="str">
        <f aca="false">IF(AS587="","",IFERROR(AS587/AVERAGEIFS('Post Tracker'!$AS$5:$AS$1004,'Post Tracker'!$G$5:$G$1004,G587),""))</f>
        <v/>
      </c>
      <c r="AZ587" s="32"/>
      <c r="BA587" s="32"/>
      <c r="BB587" s="32"/>
      <c r="BC587" s="32"/>
      <c r="BD587" s="33" t="str">
        <f aca="false">IF(A587="","",COUNTIFS('Demo Pipeline'!$Q$5:$Q$504,A587))</f>
        <v/>
      </c>
      <c r="BE587" s="33" t="str">
        <f aca="false">IF(A587="","",COUNTIFS('Demo Pipeline'!$Q$5:$Q$504,A587,'Demo Pipeline'!$W$5:$W$504,"Attended"))</f>
        <v/>
      </c>
      <c r="BF587" s="33" t="str">
        <f aca="false">IF(A587="","",COUNTIFS('Demo Pipeline'!$Q$5:$Q$504,A587,'Demo Pipeline'!$X$5:$X$504,"Yes"))</f>
        <v/>
      </c>
      <c r="BG587" s="33" t="str">
        <f aca="false">IF(A587="","",COUNTIFS('Demo Pipeline'!$Q$5:$Q$504,A587,'Demo Pipeline'!$Y$5:$Y$504,"Closed Won"))</f>
        <v/>
      </c>
      <c r="BH587" s="37" t="str">
        <f aca="false">IF(A587="","",SUMIFS('Demo Pipeline'!$Z$5:$Z$504,'Demo Pipeline'!$Q$5:$Q$504,A587))</f>
        <v/>
      </c>
      <c r="BI587" s="34" t="str">
        <f aca="false">IF(OR(AZ587="",N(AJ587)=0),"",AZ587/AJ587)</f>
        <v/>
      </c>
      <c r="BJ587" s="34" t="str">
        <f aca="false">IF(OR(BB587="",N(AZ587)=0),"",BB587/AZ587)</f>
        <v/>
      </c>
      <c r="BK587" s="34" t="str">
        <f aca="false">IF(OR(A587="",N(BB587)=0),"",BD587/BB587)</f>
        <v/>
      </c>
      <c r="BL587" s="34" t="str">
        <f aca="false">IF(OR(A587="",N(AZ587)=0),"",BD587/AZ587)</f>
        <v/>
      </c>
      <c r="BM587" s="37" t="str">
        <f aca="false">IF(OR(N(Q587)=0,N(BD587)=0),"",Q587/BD587)</f>
        <v/>
      </c>
      <c r="BN587" s="29"/>
      <c r="BO587" s="29"/>
      <c r="BP587" s="33" t="str">
        <f aca="false">IF(OR(AR587="",N(AO587)=0),"",AR587)</f>
        <v/>
      </c>
      <c r="BQ587" s="33" t="str">
        <f aca="false">IF(OR(AR587="",N(S587)=0),"",S587)</f>
        <v/>
      </c>
      <c r="BR587" s="38" t="str">
        <f aca="false">IF(AND(ISNUMBER(B587),B587&gt;=Dashboard!$C$4,B587&lt;=Dashboard!$F$4,ISNUMBER(AU587)),AU587+ROW()/10^9,"")</f>
        <v/>
      </c>
      <c r="BS587" s="38" t="str">
        <f aca="false">IF(AND(ISNUMBER(B587),B587&gt;=Dashboard!$C$4,B587&lt;=Dashboard!$F$4,A587&lt;&gt;""),N(BD587)+N(AU587)/100+ROW()/10^9,"")</f>
        <v/>
      </c>
    </row>
    <row r="588" customFormat="false" ht="15" hidden="false" customHeight="false" outlineLevel="0" collapsed="false">
      <c r="A588" s="24" t="str">
        <f aca="false">IF(OR(B588="",G588="",H588=""),"",IFERROR(INDEX(Settings!$E$5:$E$49,MATCH(G588,Settings!$D$5:$D$49,0))&amp;INDEX(Settings!$H$5:$H$47,MATCH(H588,Settings!$G$5:$G$47,0))&amp;"-"&amp;TEXT(B588,"yymmdd")&amp;"-"&amp;IF(C588="","0000",TEXT(C588,"hhmm")),"CHECK LISTS"))</f>
        <v/>
      </c>
      <c r="B588" s="39"/>
      <c r="C588" s="40"/>
      <c r="D588" s="24" t="str">
        <f aca="false">IF(B588="","",TEXT(B588,"ddd"))</f>
        <v/>
      </c>
      <c r="E588" s="27" t="str">
        <f aca="false">IF(B588="","",B588-WEEKDAY(B588,3))</f>
        <v/>
      </c>
      <c r="F588" s="24" t="str">
        <f aca="false">IF(B588="","",TEXT(B588,"yyyy-mm"))</f>
        <v/>
      </c>
      <c r="G588" s="29"/>
      <c r="H588" s="29"/>
      <c r="I588" s="29"/>
      <c r="J588" s="29"/>
      <c r="K588" s="29"/>
      <c r="L588" s="29"/>
      <c r="M588" s="29"/>
      <c r="N588" s="29"/>
      <c r="O588" s="29"/>
      <c r="P588" s="29"/>
      <c r="Q588" s="30"/>
      <c r="R588" s="29"/>
      <c r="S588" s="32"/>
      <c r="T588" s="29"/>
      <c r="U588" s="29"/>
      <c r="V588" s="24" t="str">
        <f aca="false">IF(A588="","",IFERROR(INDEX(Settings!$F$5:$F$49,MATCH(G588,Settings!$D$5:$D$49,0)),""))</f>
        <v/>
      </c>
      <c r="W588" s="24" t="str">
        <f aca="false">IF(A588="","",IF(OR(P588="",P588="Organic"),"social","paid_social"))</f>
        <v/>
      </c>
      <c r="X588" s="24" t="str">
        <f aca="false">IF(A588="","",IF(K588&lt;&gt;"",IFERROR(INDEX('Case Studies'!$C$5:$C$54,MATCH(K588,'Case Studies'!$B$5:$B$54,0))&amp;"","case-study"),IF(J588&lt;&gt;"",IFERROR(INDEX(Settings!$J$5:$J$55,MATCH(J588,Settings!$I$5:$I$55,0)),"general"),"general")))</f>
        <v/>
      </c>
      <c r="Y588" s="24" t="str">
        <f aca="false">IF(A588="","",LOWER(A588))</f>
        <v/>
      </c>
      <c r="Z588" s="24" t="str">
        <f aca="false">IF(A588="","",IF(T588="",Settings!$B$5,T588)&amp;IF(ISNUMBER(FIND("?",IF(T588="",Settings!$B$5,T588))),"&amp;","?")&amp;"utm_source="&amp;V588&amp;"&amp;utm_medium="&amp;W588&amp;"&amp;utm_campaign="&amp;X588&amp;"&amp;utm_content="&amp;Y588)</f>
        <v/>
      </c>
      <c r="AA588" s="29"/>
      <c r="AB588" s="39"/>
      <c r="AC588" s="32"/>
      <c r="AD588" s="32"/>
      <c r="AE588" s="32"/>
      <c r="AF588" s="32"/>
      <c r="AG588" s="32"/>
      <c r="AH588" s="32"/>
      <c r="AI588" s="32"/>
      <c r="AJ588" s="32"/>
      <c r="AK588" s="32"/>
      <c r="AL588" s="32"/>
      <c r="AM588" s="32"/>
      <c r="AN588" s="32"/>
      <c r="AO588" s="33" t="str">
        <f aca="false">IF(A588="","",IF(AD588&lt;&gt;"",AD588,IF(AC588&lt;&gt;"",AC588,"")))</f>
        <v/>
      </c>
      <c r="AP588" s="24" t="str">
        <f aca="false">IF(AO588="","",IF(AD588&lt;&gt;"","Reported reach","Impressions (proxy)"))</f>
        <v/>
      </c>
      <c r="AQ588" s="34" t="str">
        <f aca="false">IF(OR(AO588="",N(S588)=0),"",AO588/S588)</f>
        <v/>
      </c>
      <c r="AR588" s="33" t="str">
        <f aca="false">IF(A588="","",IF(COUNT(AF588:AJ588)=0,"",SUM(AF588:AJ588)))</f>
        <v/>
      </c>
      <c r="AS588" s="34" t="str">
        <f aca="false">IF(OR(AR588="",N(AO588)=0),"",AR588/AO588)</f>
        <v/>
      </c>
      <c r="AT588" s="34" t="str">
        <f aca="false">IF(OR(AR588="",N(AC588)=0),"",AR588/AC588)</f>
        <v/>
      </c>
      <c r="AU588" s="34" t="str">
        <f aca="false">IF(OR(AR588="",N(S588)=0),"",AR588/S588)</f>
        <v/>
      </c>
      <c r="AV588" s="34" t="str">
        <f aca="false">IF(OR(AJ588="",N(AC588)=0),"",AJ588/AC588)</f>
        <v/>
      </c>
      <c r="AW588" s="34" t="str">
        <f aca="false">IF(OR(AH588="",N(AO588)=0),"",AH588/AO588)</f>
        <v/>
      </c>
      <c r="AX588" s="35" t="str">
        <f aca="false">IF(OR(AR588="",N(AO588)=0),"",(N(AF588)*Settings!$B$6+N(AG588)*Settings!$B$7+N(AH588)*Settings!$B$8+N(AI588)*Settings!$B$9+N(AJ588)*Settings!$B$10)/AO588*1000)</f>
        <v/>
      </c>
      <c r="AY588" s="36" t="str">
        <f aca="false">IF(AS588="","",IFERROR(AS588/AVERAGEIFS('Post Tracker'!$AS$5:$AS$1004,'Post Tracker'!$G$5:$G$1004,G588),""))</f>
        <v/>
      </c>
      <c r="AZ588" s="32"/>
      <c r="BA588" s="32"/>
      <c r="BB588" s="32"/>
      <c r="BC588" s="32"/>
      <c r="BD588" s="33" t="str">
        <f aca="false">IF(A588="","",COUNTIFS('Demo Pipeline'!$Q$5:$Q$504,A588))</f>
        <v/>
      </c>
      <c r="BE588" s="33" t="str">
        <f aca="false">IF(A588="","",COUNTIFS('Demo Pipeline'!$Q$5:$Q$504,A588,'Demo Pipeline'!$W$5:$W$504,"Attended"))</f>
        <v/>
      </c>
      <c r="BF588" s="33" t="str">
        <f aca="false">IF(A588="","",COUNTIFS('Demo Pipeline'!$Q$5:$Q$504,A588,'Demo Pipeline'!$X$5:$X$504,"Yes"))</f>
        <v/>
      </c>
      <c r="BG588" s="33" t="str">
        <f aca="false">IF(A588="","",COUNTIFS('Demo Pipeline'!$Q$5:$Q$504,A588,'Demo Pipeline'!$Y$5:$Y$504,"Closed Won"))</f>
        <v/>
      </c>
      <c r="BH588" s="37" t="str">
        <f aca="false">IF(A588="","",SUMIFS('Demo Pipeline'!$Z$5:$Z$504,'Demo Pipeline'!$Q$5:$Q$504,A588))</f>
        <v/>
      </c>
      <c r="BI588" s="34" t="str">
        <f aca="false">IF(OR(AZ588="",N(AJ588)=0),"",AZ588/AJ588)</f>
        <v/>
      </c>
      <c r="BJ588" s="34" t="str">
        <f aca="false">IF(OR(BB588="",N(AZ588)=0),"",BB588/AZ588)</f>
        <v/>
      </c>
      <c r="BK588" s="34" t="str">
        <f aca="false">IF(OR(A588="",N(BB588)=0),"",BD588/BB588)</f>
        <v/>
      </c>
      <c r="BL588" s="34" t="str">
        <f aca="false">IF(OR(A588="",N(AZ588)=0),"",BD588/AZ588)</f>
        <v/>
      </c>
      <c r="BM588" s="37" t="str">
        <f aca="false">IF(OR(N(Q588)=0,N(BD588)=0),"",Q588/BD588)</f>
        <v/>
      </c>
      <c r="BN588" s="29"/>
      <c r="BO588" s="29"/>
      <c r="BP588" s="33" t="str">
        <f aca="false">IF(OR(AR588="",N(AO588)=0),"",AR588)</f>
        <v/>
      </c>
      <c r="BQ588" s="33" t="str">
        <f aca="false">IF(OR(AR588="",N(S588)=0),"",S588)</f>
        <v/>
      </c>
      <c r="BR588" s="38" t="str">
        <f aca="false">IF(AND(ISNUMBER(B588),B588&gt;=Dashboard!$C$4,B588&lt;=Dashboard!$F$4,ISNUMBER(AU588)),AU588+ROW()/10^9,"")</f>
        <v/>
      </c>
      <c r="BS588" s="38" t="str">
        <f aca="false">IF(AND(ISNUMBER(B588),B588&gt;=Dashboard!$C$4,B588&lt;=Dashboard!$F$4,A588&lt;&gt;""),N(BD588)+N(AU588)/100+ROW()/10^9,"")</f>
        <v/>
      </c>
    </row>
    <row r="589" customFormat="false" ht="15" hidden="false" customHeight="false" outlineLevel="0" collapsed="false">
      <c r="A589" s="24" t="str">
        <f aca="false">IF(OR(B589="",G589="",H589=""),"",IFERROR(INDEX(Settings!$E$5:$E$49,MATCH(G589,Settings!$D$5:$D$49,0))&amp;INDEX(Settings!$H$5:$H$47,MATCH(H589,Settings!$G$5:$G$47,0))&amp;"-"&amp;TEXT(B589,"yymmdd")&amp;"-"&amp;IF(C589="","0000",TEXT(C589,"hhmm")),"CHECK LISTS"))</f>
        <v/>
      </c>
      <c r="B589" s="39"/>
      <c r="C589" s="40"/>
      <c r="D589" s="24" t="str">
        <f aca="false">IF(B589="","",TEXT(B589,"ddd"))</f>
        <v/>
      </c>
      <c r="E589" s="27" t="str">
        <f aca="false">IF(B589="","",B589-WEEKDAY(B589,3))</f>
        <v/>
      </c>
      <c r="F589" s="24" t="str">
        <f aca="false">IF(B589="","",TEXT(B589,"yyyy-mm"))</f>
        <v/>
      </c>
      <c r="G589" s="29"/>
      <c r="H589" s="29"/>
      <c r="I589" s="29"/>
      <c r="J589" s="29"/>
      <c r="K589" s="29"/>
      <c r="L589" s="29"/>
      <c r="M589" s="29"/>
      <c r="N589" s="29"/>
      <c r="O589" s="29"/>
      <c r="P589" s="29"/>
      <c r="Q589" s="30"/>
      <c r="R589" s="29"/>
      <c r="S589" s="32"/>
      <c r="T589" s="29"/>
      <c r="U589" s="29"/>
      <c r="V589" s="24" t="str">
        <f aca="false">IF(A589="","",IFERROR(INDEX(Settings!$F$5:$F$49,MATCH(G589,Settings!$D$5:$D$49,0)),""))</f>
        <v/>
      </c>
      <c r="W589" s="24" t="str">
        <f aca="false">IF(A589="","",IF(OR(P589="",P589="Organic"),"social","paid_social"))</f>
        <v/>
      </c>
      <c r="X589" s="24" t="str">
        <f aca="false">IF(A589="","",IF(K589&lt;&gt;"",IFERROR(INDEX('Case Studies'!$C$5:$C$54,MATCH(K589,'Case Studies'!$B$5:$B$54,0))&amp;"","case-study"),IF(J589&lt;&gt;"",IFERROR(INDEX(Settings!$J$5:$J$55,MATCH(J589,Settings!$I$5:$I$55,0)),"general"),"general")))</f>
        <v/>
      </c>
      <c r="Y589" s="24" t="str">
        <f aca="false">IF(A589="","",LOWER(A589))</f>
        <v/>
      </c>
      <c r="Z589" s="24" t="str">
        <f aca="false">IF(A589="","",IF(T589="",Settings!$B$5,T589)&amp;IF(ISNUMBER(FIND("?",IF(T589="",Settings!$B$5,T589))),"&amp;","?")&amp;"utm_source="&amp;V589&amp;"&amp;utm_medium="&amp;W589&amp;"&amp;utm_campaign="&amp;X589&amp;"&amp;utm_content="&amp;Y589)</f>
        <v/>
      </c>
      <c r="AA589" s="29"/>
      <c r="AB589" s="39"/>
      <c r="AC589" s="32"/>
      <c r="AD589" s="32"/>
      <c r="AE589" s="32"/>
      <c r="AF589" s="32"/>
      <c r="AG589" s="32"/>
      <c r="AH589" s="32"/>
      <c r="AI589" s="32"/>
      <c r="AJ589" s="32"/>
      <c r="AK589" s="32"/>
      <c r="AL589" s="32"/>
      <c r="AM589" s="32"/>
      <c r="AN589" s="32"/>
      <c r="AO589" s="33" t="str">
        <f aca="false">IF(A589="","",IF(AD589&lt;&gt;"",AD589,IF(AC589&lt;&gt;"",AC589,"")))</f>
        <v/>
      </c>
      <c r="AP589" s="24" t="str">
        <f aca="false">IF(AO589="","",IF(AD589&lt;&gt;"","Reported reach","Impressions (proxy)"))</f>
        <v/>
      </c>
      <c r="AQ589" s="34" t="str">
        <f aca="false">IF(OR(AO589="",N(S589)=0),"",AO589/S589)</f>
        <v/>
      </c>
      <c r="AR589" s="33" t="str">
        <f aca="false">IF(A589="","",IF(COUNT(AF589:AJ589)=0,"",SUM(AF589:AJ589)))</f>
        <v/>
      </c>
      <c r="AS589" s="34" t="str">
        <f aca="false">IF(OR(AR589="",N(AO589)=0),"",AR589/AO589)</f>
        <v/>
      </c>
      <c r="AT589" s="34" t="str">
        <f aca="false">IF(OR(AR589="",N(AC589)=0),"",AR589/AC589)</f>
        <v/>
      </c>
      <c r="AU589" s="34" t="str">
        <f aca="false">IF(OR(AR589="",N(S589)=0),"",AR589/S589)</f>
        <v/>
      </c>
      <c r="AV589" s="34" t="str">
        <f aca="false">IF(OR(AJ589="",N(AC589)=0),"",AJ589/AC589)</f>
        <v/>
      </c>
      <c r="AW589" s="34" t="str">
        <f aca="false">IF(OR(AH589="",N(AO589)=0),"",AH589/AO589)</f>
        <v/>
      </c>
      <c r="AX589" s="35" t="str">
        <f aca="false">IF(OR(AR589="",N(AO589)=0),"",(N(AF589)*Settings!$B$6+N(AG589)*Settings!$B$7+N(AH589)*Settings!$B$8+N(AI589)*Settings!$B$9+N(AJ589)*Settings!$B$10)/AO589*1000)</f>
        <v/>
      </c>
      <c r="AY589" s="36" t="str">
        <f aca="false">IF(AS589="","",IFERROR(AS589/AVERAGEIFS('Post Tracker'!$AS$5:$AS$1004,'Post Tracker'!$G$5:$G$1004,G589),""))</f>
        <v/>
      </c>
      <c r="AZ589" s="32"/>
      <c r="BA589" s="32"/>
      <c r="BB589" s="32"/>
      <c r="BC589" s="32"/>
      <c r="BD589" s="33" t="str">
        <f aca="false">IF(A589="","",COUNTIFS('Demo Pipeline'!$Q$5:$Q$504,A589))</f>
        <v/>
      </c>
      <c r="BE589" s="33" t="str">
        <f aca="false">IF(A589="","",COUNTIFS('Demo Pipeline'!$Q$5:$Q$504,A589,'Demo Pipeline'!$W$5:$W$504,"Attended"))</f>
        <v/>
      </c>
      <c r="BF589" s="33" t="str">
        <f aca="false">IF(A589="","",COUNTIFS('Demo Pipeline'!$Q$5:$Q$504,A589,'Demo Pipeline'!$X$5:$X$504,"Yes"))</f>
        <v/>
      </c>
      <c r="BG589" s="33" t="str">
        <f aca="false">IF(A589="","",COUNTIFS('Demo Pipeline'!$Q$5:$Q$504,A589,'Demo Pipeline'!$Y$5:$Y$504,"Closed Won"))</f>
        <v/>
      </c>
      <c r="BH589" s="37" t="str">
        <f aca="false">IF(A589="","",SUMIFS('Demo Pipeline'!$Z$5:$Z$504,'Demo Pipeline'!$Q$5:$Q$504,A589))</f>
        <v/>
      </c>
      <c r="BI589" s="34" t="str">
        <f aca="false">IF(OR(AZ589="",N(AJ589)=0),"",AZ589/AJ589)</f>
        <v/>
      </c>
      <c r="BJ589" s="34" t="str">
        <f aca="false">IF(OR(BB589="",N(AZ589)=0),"",BB589/AZ589)</f>
        <v/>
      </c>
      <c r="BK589" s="34" t="str">
        <f aca="false">IF(OR(A589="",N(BB589)=0),"",BD589/BB589)</f>
        <v/>
      </c>
      <c r="BL589" s="34" t="str">
        <f aca="false">IF(OR(A589="",N(AZ589)=0),"",BD589/AZ589)</f>
        <v/>
      </c>
      <c r="BM589" s="37" t="str">
        <f aca="false">IF(OR(N(Q589)=0,N(BD589)=0),"",Q589/BD589)</f>
        <v/>
      </c>
      <c r="BN589" s="29"/>
      <c r="BO589" s="29"/>
      <c r="BP589" s="33" t="str">
        <f aca="false">IF(OR(AR589="",N(AO589)=0),"",AR589)</f>
        <v/>
      </c>
      <c r="BQ589" s="33" t="str">
        <f aca="false">IF(OR(AR589="",N(S589)=0),"",S589)</f>
        <v/>
      </c>
      <c r="BR589" s="38" t="str">
        <f aca="false">IF(AND(ISNUMBER(B589),B589&gt;=Dashboard!$C$4,B589&lt;=Dashboard!$F$4,ISNUMBER(AU589)),AU589+ROW()/10^9,"")</f>
        <v/>
      </c>
      <c r="BS589" s="38" t="str">
        <f aca="false">IF(AND(ISNUMBER(B589),B589&gt;=Dashboard!$C$4,B589&lt;=Dashboard!$F$4,A589&lt;&gt;""),N(BD589)+N(AU589)/100+ROW()/10^9,"")</f>
        <v/>
      </c>
    </row>
    <row r="590" customFormat="false" ht="15" hidden="false" customHeight="false" outlineLevel="0" collapsed="false">
      <c r="A590" s="24" t="str">
        <f aca="false">IF(OR(B590="",G590="",H590=""),"",IFERROR(INDEX(Settings!$E$5:$E$49,MATCH(G590,Settings!$D$5:$D$49,0))&amp;INDEX(Settings!$H$5:$H$47,MATCH(H590,Settings!$G$5:$G$47,0))&amp;"-"&amp;TEXT(B590,"yymmdd")&amp;"-"&amp;IF(C590="","0000",TEXT(C590,"hhmm")),"CHECK LISTS"))</f>
        <v/>
      </c>
      <c r="B590" s="39"/>
      <c r="C590" s="40"/>
      <c r="D590" s="24" t="str">
        <f aca="false">IF(B590="","",TEXT(B590,"ddd"))</f>
        <v/>
      </c>
      <c r="E590" s="27" t="str">
        <f aca="false">IF(B590="","",B590-WEEKDAY(B590,3))</f>
        <v/>
      </c>
      <c r="F590" s="24" t="str">
        <f aca="false">IF(B590="","",TEXT(B590,"yyyy-mm"))</f>
        <v/>
      </c>
      <c r="G590" s="29"/>
      <c r="H590" s="29"/>
      <c r="I590" s="29"/>
      <c r="J590" s="29"/>
      <c r="K590" s="29"/>
      <c r="L590" s="29"/>
      <c r="M590" s="29"/>
      <c r="N590" s="29"/>
      <c r="O590" s="29"/>
      <c r="P590" s="29"/>
      <c r="Q590" s="30"/>
      <c r="R590" s="29"/>
      <c r="S590" s="32"/>
      <c r="T590" s="29"/>
      <c r="U590" s="29"/>
      <c r="V590" s="24" t="str">
        <f aca="false">IF(A590="","",IFERROR(INDEX(Settings!$F$5:$F$49,MATCH(G590,Settings!$D$5:$D$49,0)),""))</f>
        <v/>
      </c>
      <c r="W590" s="24" t="str">
        <f aca="false">IF(A590="","",IF(OR(P590="",P590="Organic"),"social","paid_social"))</f>
        <v/>
      </c>
      <c r="X590" s="24" t="str">
        <f aca="false">IF(A590="","",IF(K590&lt;&gt;"",IFERROR(INDEX('Case Studies'!$C$5:$C$54,MATCH(K590,'Case Studies'!$B$5:$B$54,0))&amp;"","case-study"),IF(J590&lt;&gt;"",IFERROR(INDEX(Settings!$J$5:$J$55,MATCH(J590,Settings!$I$5:$I$55,0)),"general"),"general")))</f>
        <v/>
      </c>
      <c r="Y590" s="24" t="str">
        <f aca="false">IF(A590="","",LOWER(A590))</f>
        <v/>
      </c>
      <c r="Z590" s="24" t="str">
        <f aca="false">IF(A590="","",IF(T590="",Settings!$B$5,T590)&amp;IF(ISNUMBER(FIND("?",IF(T590="",Settings!$B$5,T590))),"&amp;","?")&amp;"utm_source="&amp;V590&amp;"&amp;utm_medium="&amp;W590&amp;"&amp;utm_campaign="&amp;X590&amp;"&amp;utm_content="&amp;Y590)</f>
        <v/>
      </c>
      <c r="AA590" s="29"/>
      <c r="AB590" s="39"/>
      <c r="AC590" s="32"/>
      <c r="AD590" s="32"/>
      <c r="AE590" s="32"/>
      <c r="AF590" s="32"/>
      <c r="AG590" s="32"/>
      <c r="AH590" s="32"/>
      <c r="AI590" s="32"/>
      <c r="AJ590" s="32"/>
      <c r="AK590" s="32"/>
      <c r="AL590" s="32"/>
      <c r="AM590" s="32"/>
      <c r="AN590" s="32"/>
      <c r="AO590" s="33" t="str">
        <f aca="false">IF(A590="","",IF(AD590&lt;&gt;"",AD590,IF(AC590&lt;&gt;"",AC590,"")))</f>
        <v/>
      </c>
      <c r="AP590" s="24" t="str">
        <f aca="false">IF(AO590="","",IF(AD590&lt;&gt;"","Reported reach","Impressions (proxy)"))</f>
        <v/>
      </c>
      <c r="AQ590" s="34" t="str">
        <f aca="false">IF(OR(AO590="",N(S590)=0),"",AO590/S590)</f>
        <v/>
      </c>
      <c r="AR590" s="33" t="str">
        <f aca="false">IF(A590="","",IF(COUNT(AF590:AJ590)=0,"",SUM(AF590:AJ590)))</f>
        <v/>
      </c>
      <c r="AS590" s="34" t="str">
        <f aca="false">IF(OR(AR590="",N(AO590)=0),"",AR590/AO590)</f>
        <v/>
      </c>
      <c r="AT590" s="34" t="str">
        <f aca="false">IF(OR(AR590="",N(AC590)=0),"",AR590/AC590)</f>
        <v/>
      </c>
      <c r="AU590" s="34" t="str">
        <f aca="false">IF(OR(AR590="",N(S590)=0),"",AR590/S590)</f>
        <v/>
      </c>
      <c r="AV590" s="34" t="str">
        <f aca="false">IF(OR(AJ590="",N(AC590)=0),"",AJ590/AC590)</f>
        <v/>
      </c>
      <c r="AW590" s="34" t="str">
        <f aca="false">IF(OR(AH590="",N(AO590)=0),"",AH590/AO590)</f>
        <v/>
      </c>
      <c r="AX590" s="35" t="str">
        <f aca="false">IF(OR(AR590="",N(AO590)=0),"",(N(AF590)*Settings!$B$6+N(AG590)*Settings!$B$7+N(AH590)*Settings!$B$8+N(AI590)*Settings!$B$9+N(AJ590)*Settings!$B$10)/AO590*1000)</f>
        <v/>
      </c>
      <c r="AY590" s="36" t="str">
        <f aca="false">IF(AS590="","",IFERROR(AS590/AVERAGEIFS('Post Tracker'!$AS$5:$AS$1004,'Post Tracker'!$G$5:$G$1004,G590),""))</f>
        <v/>
      </c>
      <c r="AZ590" s="32"/>
      <c r="BA590" s="32"/>
      <c r="BB590" s="32"/>
      <c r="BC590" s="32"/>
      <c r="BD590" s="33" t="str">
        <f aca="false">IF(A590="","",COUNTIFS('Demo Pipeline'!$Q$5:$Q$504,A590))</f>
        <v/>
      </c>
      <c r="BE590" s="33" t="str">
        <f aca="false">IF(A590="","",COUNTIFS('Demo Pipeline'!$Q$5:$Q$504,A590,'Demo Pipeline'!$W$5:$W$504,"Attended"))</f>
        <v/>
      </c>
      <c r="BF590" s="33" t="str">
        <f aca="false">IF(A590="","",COUNTIFS('Demo Pipeline'!$Q$5:$Q$504,A590,'Demo Pipeline'!$X$5:$X$504,"Yes"))</f>
        <v/>
      </c>
      <c r="BG590" s="33" t="str">
        <f aca="false">IF(A590="","",COUNTIFS('Demo Pipeline'!$Q$5:$Q$504,A590,'Demo Pipeline'!$Y$5:$Y$504,"Closed Won"))</f>
        <v/>
      </c>
      <c r="BH590" s="37" t="str">
        <f aca="false">IF(A590="","",SUMIFS('Demo Pipeline'!$Z$5:$Z$504,'Demo Pipeline'!$Q$5:$Q$504,A590))</f>
        <v/>
      </c>
      <c r="BI590" s="34" t="str">
        <f aca="false">IF(OR(AZ590="",N(AJ590)=0),"",AZ590/AJ590)</f>
        <v/>
      </c>
      <c r="BJ590" s="34" t="str">
        <f aca="false">IF(OR(BB590="",N(AZ590)=0),"",BB590/AZ590)</f>
        <v/>
      </c>
      <c r="BK590" s="34" t="str">
        <f aca="false">IF(OR(A590="",N(BB590)=0),"",BD590/BB590)</f>
        <v/>
      </c>
      <c r="BL590" s="34" t="str">
        <f aca="false">IF(OR(A590="",N(AZ590)=0),"",BD590/AZ590)</f>
        <v/>
      </c>
      <c r="BM590" s="37" t="str">
        <f aca="false">IF(OR(N(Q590)=0,N(BD590)=0),"",Q590/BD590)</f>
        <v/>
      </c>
      <c r="BN590" s="29"/>
      <c r="BO590" s="29"/>
      <c r="BP590" s="33" t="str">
        <f aca="false">IF(OR(AR590="",N(AO590)=0),"",AR590)</f>
        <v/>
      </c>
      <c r="BQ590" s="33" t="str">
        <f aca="false">IF(OR(AR590="",N(S590)=0),"",S590)</f>
        <v/>
      </c>
      <c r="BR590" s="38" t="str">
        <f aca="false">IF(AND(ISNUMBER(B590),B590&gt;=Dashboard!$C$4,B590&lt;=Dashboard!$F$4,ISNUMBER(AU590)),AU590+ROW()/10^9,"")</f>
        <v/>
      </c>
      <c r="BS590" s="38" t="str">
        <f aca="false">IF(AND(ISNUMBER(B590),B590&gt;=Dashboard!$C$4,B590&lt;=Dashboard!$F$4,A590&lt;&gt;""),N(BD590)+N(AU590)/100+ROW()/10^9,"")</f>
        <v/>
      </c>
    </row>
    <row r="591" customFormat="false" ht="15" hidden="false" customHeight="false" outlineLevel="0" collapsed="false">
      <c r="A591" s="24" t="str">
        <f aca="false">IF(OR(B591="",G591="",H591=""),"",IFERROR(INDEX(Settings!$E$5:$E$49,MATCH(G591,Settings!$D$5:$D$49,0))&amp;INDEX(Settings!$H$5:$H$47,MATCH(H591,Settings!$G$5:$G$47,0))&amp;"-"&amp;TEXT(B591,"yymmdd")&amp;"-"&amp;IF(C591="","0000",TEXT(C591,"hhmm")),"CHECK LISTS"))</f>
        <v/>
      </c>
      <c r="B591" s="39"/>
      <c r="C591" s="40"/>
      <c r="D591" s="24" t="str">
        <f aca="false">IF(B591="","",TEXT(B591,"ddd"))</f>
        <v/>
      </c>
      <c r="E591" s="27" t="str">
        <f aca="false">IF(B591="","",B591-WEEKDAY(B591,3))</f>
        <v/>
      </c>
      <c r="F591" s="24" t="str">
        <f aca="false">IF(B591="","",TEXT(B591,"yyyy-mm"))</f>
        <v/>
      </c>
      <c r="G591" s="29"/>
      <c r="H591" s="29"/>
      <c r="I591" s="29"/>
      <c r="J591" s="29"/>
      <c r="K591" s="29"/>
      <c r="L591" s="29"/>
      <c r="M591" s="29"/>
      <c r="N591" s="29"/>
      <c r="O591" s="29"/>
      <c r="P591" s="29"/>
      <c r="Q591" s="30"/>
      <c r="R591" s="29"/>
      <c r="S591" s="32"/>
      <c r="T591" s="29"/>
      <c r="U591" s="29"/>
      <c r="V591" s="24" t="str">
        <f aca="false">IF(A591="","",IFERROR(INDEX(Settings!$F$5:$F$49,MATCH(G591,Settings!$D$5:$D$49,0)),""))</f>
        <v/>
      </c>
      <c r="W591" s="24" t="str">
        <f aca="false">IF(A591="","",IF(OR(P591="",P591="Organic"),"social","paid_social"))</f>
        <v/>
      </c>
      <c r="X591" s="24" t="str">
        <f aca="false">IF(A591="","",IF(K591&lt;&gt;"",IFERROR(INDEX('Case Studies'!$C$5:$C$54,MATCH(K591,'Case Studies'!$B$5:$B$54,0))&amp;"","case-study"),IF(J591&lt;&gt;"",IFERROR(INDEX(Settings!$J$5:$J$55,MATCH(J591,Settings!$I$5:$I$55,0)),"general"),"general")))</f>
        <v/>
      </c>
      <c r="Y591" s="24" t="str">
        <f aca="false">IF(A591="","",LOWER(A591))</f>
        <v/>
      </c>
      <c r="Z591" s="24" t="str">
        <f aca="false">IF(A591="","",IF(T591="",Settings!$B$5,T591)&amp;IF(ISNUMBER(FIND("?",IF(T591="",Settings!$B$5,T591))),"&amp;","?")&amp;"utm_source="&amp;V591&amp;"&amp;utm_medium="&amp;W591&amp;"&amp;utm_campaign="&amp;X591&amp;"&amp;utm_content="&amp;Y591)</f>
        <v/>
      </c>
      <c r="AA591" s="29"/>
      <c r="AB591" s="39"/>
      <c r="AC591" s="32"/>
      <c r="AD591" s="32"/>
      <c r="AE591" s="32"/>
      <c r="AF591" s="32"/>
      <c r="AG591" s="32"/>
      <c r="AH591" s="32"/>
      <c r="AI591" s="32"/>
      <c r="AJ591" s="32"/>
      <c r="AK591" s="32"/>
      <c r="AL591" s="32"/>
      <c r="AM591" s="32"/>
      <c r="AN591" s="32"/>
      <c r="AO591" s="33" t="str">
        <f aca="false">IF(A591="","",IF(AD591&lt;&gt;"",AD591,IF(AC591&lt;&gt;"",AC591,"")))</f>
        <v/>
      </c>
      <c r="AP591" s="24" t="str">
        <f aca="false">IF(AO591="","",IF(AD591&lt;&gt;"","Reported reach","Impressions (proxy)"))</f>
        <v/>
      </c>
      <c r="AQ591" s="34" t="str">
        <f aca="false">IF(OR(AO591="",N(S591)=0),"",AO591/S591)</f>
        <v/>
      </c>
      <c r="AR591" s="33" t="str">
        <f aca="false">IF(A591="","",IF(COUNT(AF591:AJ591)=0,"",SUM(AF591:AJ591)))</f>
        <v/>
      </c>
      <c r="AS591" s="34" t="str">
        <f aca="false">IF(OR(AR591="",N(AO591)=0),"",AR591/AO591)</f>
        <v/>
      </c>
      <c r="AT591" s="34" t="str">
        <f aca="false">IF(OR(AR591="",N(AC591)=0),"",AR591/AC591)</f>
        <v/>
      </c>
      <c r="AU591" s="34" t="str">
        <f aca="false">IF(OR(AR591="",N(S591)=0),"",AR591/S591)</f>
        <v/>
      </c>
      <c r="AV591" s="34" t="str">
        <f aca="false">IF(OR(AJ591="",N(AC591)=0),"",AJ591/AC591)</f>
        <v/>
      </c>
      <c r="AW591" s="34" t="str">
        <f aca="false">IF(OR(AH591="",N(AO591)=0),"",AH591/AO591)</f>
        <v/>
      </c>
      <c r="AX591" s="35" t="str">
        <f aca="false">IF(OR(AR591="",N(AO591)=0),"",(N(AF591)*Settings!$B$6+N(AG591)*Settings!$B$7+N(AH591)*Settings!$B$8+N(AI591)*Settings!$B$9+N(AJ591)*Settings!$B$10)/AO591*1000)</f>
        <v/>
      </c>
      <c r="AY591" s="36" t="str">
        <f aca="false">IF(AS591="","",IFERROR(AS591/AVERAGEIFS('Post Tracker'!$AS$5:$AS$1004,'Post Tracker'!$G$5:$G$1004,G591),""))</f>
        <v/>
      </c>
      <c r="AZ591" s="32"/>
      <c r="BA591" s="32"/>
      <c r="BB591" s="32"/>
      <c r="BC591" s="32"/>
      <c r="BD591" s="33" t="str">
        <f aca="false">IF(A591="","",COUNTIFS('Demo Pipeline'!$Q$5:$Q$504,A591))</f>
        <v/>
      </c>
      <c r="BE591" s="33" t="str">
        <f aca="false">IF(A591="","",COUNTIFS('Demo Pipeline'!$Q$5:$Q$504,A591,'Demo Pipeline'!$W$5:$W$504,"Attended"))</f>
        <v/>
      </c>
      <c r="BF591" s="33" t="str">
        <f aca="false">IF(A591="","",COUNTIFS('Demo Pipeline'!$Q$5:$Q$504,A591,'Demo Pipeline'!$X$5:$X$504,"Yes"))</f>
        <v/>
      </c>
      <c r="BG591" s="33" t="str">
        <f aca="false">IF(A591="","",COUNTIFS('Demo Pipeline'!$Q$5:$Q$504,A591,'Demo Pipeline'!$Y$5:$Y$504,"Closed Won"))</f>
        <v/>
      </c>
      <c r="BH591" s="37" t="str">
        <f aca="false">IF(A591="","",SUMIFS('Demo Pipeline'!$Z$5:$Z$504,'Demo Pipeline'!$Q$5:$Q$504,A591))</f>
        <v/>
      </c>
      <c r="BI591" s="34" t="str">
        <f aca="false">IF(OR(AZ591="",N(AJ591)=0),"",AZ591/AJ591)</f>
        <v/>
      </c>
      <c r="BJ591" s="34" t="str">
        <f aca="false">IF(OR(BB591="",N(AZ591)=0),"",BB591/AZ591)</f>
        <v/>
      </c>
      <c r="BK591" s="34" t="str">
        <f aca="false">IF(OR(A591="",N(BB591)=0),"",BD591/BB591)</f>
        <v/>
      </c>
      <c r="BL591" s="34" t="str">
        <f aca="false">IF(OR(A591="",N(AZ591)=0),"",BD591/AZ591)</f>
        <v/>
      </c>
      <c r="BM591" s="37" t="str">
        <f aca="false">IF(OR(N(Q591)=0,N(BD591)=0),"",Q591/BD591)</f>
        <v/>
      </c>
      <c r="BN591" s="29"/>
      <c r="BO591" s="29"/>
      <c r="BP591" s="33" t="str">
        <f aca="false">IF(OR(AR591="",N(AO591)=0),"",AR591)</f>
        <v/>
      </c>
      <c r="BQ591" s="33" t="str">
        <f aca="false">IF(OR(AR591="",N(S591)=0),"",S591)</f>
        <v/>
      </c>
      <c r="BR591" s="38" t="str">
        <f aca="false">IF(AND(ISNUMBER(B591),B591&gt;=Dashboard!$C$4,B591&lt;=Dashboard!$F$4,ISNUMBER(AU591)),AU591+ROW()/10^9,"")</f>
        <v/>
      </c>
      <c r="BS591" s="38" t="str">
        <f aca="false">IF(AND(ISNUMBER(B591),B591&gt;=Dashboard!$C$4,B591&lt;=Dashboard!$F$4,A591&lt;&gt;""),N(BD591)+N(AU591)/100+ROW()/10^9,"")</f>
        <v/>
      </c>
    </row>
    <row r="592" customFormat="false" ht="15" hidden="false" customHeight="false" outlineLevel="0" collapsed="false">
      <c r="A592" s="24" t="str">
        <f aca="false">IF(OR(B592="",G592="",H592=""),"",IFERROR(INDEX(Settings!$E$5:$E$49,MATCH(G592,Settings!$D$5:$D$49,0))&amp;INDEX(Settings!$H$5:$H$47,MATCH(H592,Settings!$G$5:$G$47,0))&amp;"-"&amp;TEXT(B592,"yymmdd")&amp;"-"&amp;IF(C592="","0000",TEXT(C592,"hhmm")),"CHECK LISTS"))</f>
        <v/>
      </c>
      <c r="B592" s="39"/>
      <c r="C592" s="40"/>
      <c r="D592" s="24" t="str">
        <f aca="false">IF(B592="","",TEXT(B592,"ddd"))</f>
        <v/>
      </c>
      <c r="E592" s="27" t="str">
        <f aca="false">IF(B592="","",B592-WEEKDAY(B592,3))</f>
        <v/>
      </c>
      <c r="F592" s="24" t="str">
        <f aca="false">IF(B592="","",TEXT(B592,"yyyy-mm"))</f>
        <v/>
      </c>
      <c r="G592" s="29"/>
      <c r="H592" s="29"/>
      <c r="I592" s="29"/>
      <c r="J592" s="29"/>
      <c r="K592" s="29"/>
      <c r="L592" s="29"/>
      <c r="M592" s="29"/>
      <c r="N592" s="29"/>
      <c r="O592" s="29"/>
      <c r="P592" s="29"/>
      <c r="Q592" s="30"/>
      <c r="R592" s="29"/>
      <c r="S592" s="32"/>
      <c r="T592" s="29"/>
      <c r="U592" s="29"/>
      <c r="V592" s="24" t="str">
        <f aca="false">IF(A592="","",IFERROR(INDEX(Settings!$F$5:$F$49,MATCH(G592,Settings!$D$5:$D$49,0)),""))</f>
        <v/>
      </c>
      <c r="W592" s="24" t="str">
        <f aca="false">IF(A592="","",IF(OR(P592="",P592="Organic"),"social","paid_social"))</f>
        <v/>
      </c>
      <c r="X592" s="24" t="str">
        <f aca="false">IF(A592="","",IF(K592&lt;&gt;"",IFERROR(INDEX('Case Studies'!$C$5:$C$54,MATCH(K592,'Case Studies'!$B$5:$B$54,0))&amp;"","case-study"),IF(J592&lt;&gt;"",IFERROR(INDEX(Settings!$J$5:$J$55,MATCH(J592,Settings!$I$5:$I$55,0)),"general"),"general")))</f>
        <v/>
      </c>
      <c r="Y592" s="24" t="str">
        <f aca="false">IF(A592="","",LOWER(A592))</f>
        <v/>
      </c>
      <c r="Z592" s="24" t="str">
        <f aca="false">IF(A592="","",IF(T592="",Settings!$B$5,T592)&amp;IF(ISNUMBER(FIND("?",IF(T592="",Settings!$B$5,T592))),"&amp;","?")&amp;"utm_source="&amp;V592&amp;"&amp;utm_medium="&amp;W592&amp;"&amp;utm_campaign="&amp;X592&amp;"&amp;utm_content="&amp;Y592)</f>
        <v/>
      </c>
      <c r="AA592" s="29"/>
      <c r="AB592" s="39"/>
      <c r="AC592" s="32"/>
      <c r="AD592" s="32"/>
      <c r="AE592" s="32"/>
      <c r="AF592" s="32"/>
      <c r="AG592" s="32"/>
      <c r="AH592" s="32"/>
      <c r="AI592" s="32"/>
      <c r="AJ592" s="32"/>
      <c r="AK592" s="32"/>
      <c r="AL592" s="32"/>
      <c r="AM592" s="32"/>
      <c r="AN592" s="32"/>
      <c r="AO592" s="33" t="str">
        <f aca="false">IF(A592="","",IF(AD592&lt;&gt;"",AD592,IF(AC592&lt;&gt;"",AC592,"")))</f>
        <v/>
      </c>
      <c r="AP592" s="24" t="str">
        <f aca="false">IF(AO592="","",IF(AD592&lt;&gt;"","Reported reach","Impressions (proxy)"))</f>
        <v/>
      </c>
      <c r="AQ592" s="34" t="str">
        <f aca="false">IF(OR(AO592="",N(S592)=0),"",AO592/S592)</f>
        <v/>
      </c>
      <c r="AR592" s="33" t="str">
        <f aca="false">IF(A592="","",IF(COUNT(AF592:AJ592)=0,"",SUM(AF592:AJ592)))</f>
        <v/>
      </c>
      <c r="AS592" s="34" t="str">
        <f aca="false">IF(OR(AR592="",N(AO592)=0),"",AR592/AO592)</f>
        <v/>
      </c>
      <c r="AT592" s="34" t="str">
        <f aca="false">IF(OR(AR592="",N(AC592)=0),"",AR592/AC592)</f>
        <v/>
      </c>
      <c r="AU592" s="34" t="str">
        <f aca="false">IF(OR(AR592="",N(S592)=0),"",AR592/S592)</f>
        <v/>
      </c>
      <c r="AV592" s="34" t="str">
        <f aca="false">IF(OR(AJ592="",N(AC592)=0),"",AJ592/AC592)</f>
        <v/>
      </c>
      <c r="AW592" s="34" t="str">
        <f aca="false">IF(OR(AH592="",N(AO592)=0),"",AH592/AO592)</f>
        <v/>
      </c>
      <c r="AX592" s="35" t="str">
        <f aca="false">IF(OR(AR592="",N(AO592)=0),"",(N(AF592)*Settings!$B$6+N(AG592)*Settings!$B$7+N(AH592)*Settings!$B$8+N(AI592)*Settings!$B$9+N(AJ592)*Settings!$B$10)/AO592*1000)</f>
        <v/>
      </c>
      <c r="AY592" s="36" t="str">
        <f aca="false">IF(AS592="","",IFERROR(AS592/AVERAGEIFS('Post Tracker'!$AS$5:$AS$1004,'Post Tracker'!$G$5:$G$1004,G592),""))</f>
        <v/>
      </c>
      <c r="AZ592" s="32"/>
      <c r="BA592" s="32"/>
      <c r="BB592" s="32"/>
      <c r="BC592" s="32"/>
      <c r="BD592" s="33" t="str">
        <f aca="false">IF(A592="","",COUNTIFS('Demo Pipeline'!$Q$5:$Q$504,A592))</f>
        <v/>
      </c>
      <c r="BE592" s="33" t="str">
        <f aca="false">IF(A592="","",COUNTIFS('Demo Pipeline'!$Q$5:$Q$504,A592,'Demo Pipeline'!$W$5:$W$504,"Attended"))</f>
        <v/>
      </c>
      <c r="BF592" s="33" t="str">
        <f aca="false">IF(A592="","",COUNTIFS('Demo Pipeline'!$Q$5:$Q$504,A592,'Demo Pipeline'!$X$5:$X$504,"Yes"))</f>
        <v/>
      </c>
      <c r="BG592" s="33" t="str">
        <f aca="false">IF(A592="","",COUNTIFS('Demo Pipeline'!$Q$5:$Q$504,A592,'Demo Pipeline'!$Y$5:$Y$504,"Closed Won"))</f>
        <v/>
      </c>
      <c r="BH592" s="37" t="str">
        <f aca="false">IF(A592="","",SUMIFS('Demo Pipeline'!$Z$5:$Z$504,'Demo Pipeline'!$Q$5:$Q$504,A592))</f>
        <v/>
      </c>
      <c r="BI592" s="34" t="str">
        <f aca="false">IF(OR(AZ592="",N(AJ592)=0),"",AZ592/AJ592)</f>
        <v/>
      </c>
      <c r="BJ592" s="34" t="str">
        <f aca="false">IF(OR(BB592="",N(AZ592)=0),"",BB592/AZ592)</f>
        <v/>
      </c>
      <c r="BK592" s="34" t="str">
        <f aca="false">IF(OR(A592="",N(BB592)=0),"",BD592/BB592)</f>
        <v/>
      </c>
      <c r="BL592" s="34" t="str">
        <f aca="false">IF(OR(A592="",N(AZ592)=0),"",BD592/AZ592)</f>
        <v/>
      </c>
      <c r="BM592" s="37" t="str">
        <f aca="false">IF(OR(N(Q592)=0,N(BD592)=0),"",Q592/BD592)</f>
        <v/>
      </c>
      <c r="BN592" s="29"/>
      <c r="BO592" s="29"/>
      <c r="BP592" s="33" t="str">
        <f aca="false">IF(OR(AR592="",N(AO592)=0),"",AR592)</f>
        <v/>
      </c>
      <c r="BQ592" s="33" t="str">
        <f aca="false">IF(OR(AR592="",N(S592)=0),"",S592)</f>
        <v/>
      </c>
      <c r="BR592" s="38" t="str">
        <f aca="false">IF(AND(ISNUMBER(B592),B592&gt;=Dashboard!$C$4,B592&lt;=Dashboard!$F$4,ISNUMBER(AU592)),AU592+ROW()/10^9,"")</f>
        <v/>
      </c>
      <c r="BS592" s="38" t="str">
        <f aca="false">IF(AND(ISNUMBER(B592),B592&gt;=Dashboard!$C$4,B592&lt;=Dashboard!$F$4,A592&lt;&gt;""),N(BD592)+N(AU592)/100+ROW()/10^9,"")</f>
        <v/>
      </c>
    </row>
    <row r="593" customFormat="false" ht="15" hidden="false" customHeight="false" outlineLevel="0" collapsed="false">
      <c r="A593" s="24" t="str">
        <f aca="false">IF(OR(B593="",G593="",H593=""),"",IFERROR(INDEX(Settings!$E$5:$E$49,MATCH(G593,Settings!$D$5:$D$49,0))&amp;INDEX(Settings!$H$5:$H$47,MATCH(H593,Settings!$G$5:$G$47,0))&amp;"-"&amp;TEXT(B593,"yymmdd")&amp;"-"&amp;IF(C593="","0000",TEXT(C593,"hhmm")),"CHECK LISTS"))</f>
        <v/>
      </c>
      <c r="B593" s="39"/>
      <c r="C593" s="40"/>
      <c r="D593" s="24" t="str">
        <f aca="false">IF(B593="","",TEXT(B593,"ddd"))</f>
        <v/>
      </c>
      <c r="E593" s="27" t="str">
        <f aca="false">IF(B593="","",B593-WEEKDAY(B593,3))</f>
        <v/>
      </c>
      <c r="F593" s="24" t="str">
        <f aca="false">IF(B593="","",TEXT(B593,"yyyy-mm"))</f>
        <v/>
      </c>
      <c r="G593" s="29"/>
      <c r="H593" s="29"/>
      <c r="I593" s="29"/>
      <c r="J593" s="29"/>
      <c r="K593" s="29"/>
      <c r="L593" s="29"/>
      <c r="M593" s="29"/>
      <c r="N593" s="29"/>
      <c r="O593" s="29"/>
      <c r="P593" s="29"/>
      <c r="Q593" s="30"/>
      <c r="R593" s="29"/>
      <c r="S593" s="32"/>
      <c r="T593" s="29"/>
      <c r="U593" s="29"/>
      <c r="V593" s="24" t="str">
        <f aca="false">IF(A593="","",IFERROR(INDEX(Settings!$F$5:$F$49,MATCH(G593,Settings!$D$5:$D$49,0)),""))</f>
        <v/>
      </c>
      <c r="W593" s="24" t="str">
        <f aca="false">IF(A593="","",IF(OR(P593="",P593="Organic"),"social","paid_social"))</f>
        <v/>
      </c>
      <c r="X593" s="24" t="str">
        <f aca="false">IF(A593="","",IF(K593&lt;&gt;"",IFERROR(INDEX('Case Studies'!$C$5:$C$54,MATCH(K593,'Case Studies'!$B$5:$B$54,0))&amp;"","case-study"),IF(J593&lt;&gt;"",IFERROR(INDEX(Settings!$J$5:$J$55,MATCH(J593,Settings!$I$5:$I$55,0)),"general"),"general")))</f>
        <v/>
      </c>
      <c r="Y593" s="24" t="str">
        <f aca="false">IF(A593="","",LOWER(A593))</f>
        <v/>
      </c>
      <c r="Z593" s="24" t="str">
        <f aca="false">IF(A593="","",IF(T593="",Settings!$B$5,T593)&amp;IF(ISNUMBER(FIND("?",IF(T593="",Settings!$B$5,T593))),"&amp;","?")&amp;"utm_source="&amp;V593&amp;"&amp;utm_medium="&amp;W593&amp;"&amp;utm_campaign="&amp;X593&amp;"&amp;utm_content="&amp;Y593)</f>
        <v/>
      </c>
      <c r="AA593" s="29"/>
      <c r="AB593" s="39"/>
      <c r="AC593" s="32"/>
      <c r="AD593" s="32"/>
      <c r="AE593" s="32"/>
      <c r="AF593" s="32"/>
      <c r="AG593" s="32"/>
      <c r="AH593" s="32"/>
      <c r="AI593" s="32"/>
      <c r="AJ593" s="32"/>
      <c r="AK593" s="32"/>
      <c r="AL593" s="32"/>
      <c r="AM593" s="32"/>
      <c r="AN593" s="32"/>
      <c r="AO593" s="33" t="str">
        <f aca="false">IF(A593="","",IF(AD593&lt;&gt;"",AD593,IF(AC593&lt;&gt;"",AC593,"")))</f>
        <v/>
      </c>
      <c r="AP593" s="24" t="str">
        <f aca="false">IF(AO593="","",IF(AD593&lt;&gt;"","Reported reach","Impressions (proxy)"))</f>
        <v/>
      </c>
      <c r="AQ593" s="34" t="str">
        <f aca="false">IF(OR(AO593="",N(S593)=0),"",AO593/S593)</f>
        <v/>
      </c>
      <c r="AR593" s="33" t="str">
        <f aca="false">IF(A593="","",IF(COUNT(AF593:AJ593)=0,"",SUM(AF593:AJ593)))</f>
        <v/>
      </c>
      <c r="AS593" s="34" t="str">
        <f aca="false">IF(OR(AR593="",N(AO593)=0),"",AR593/AO593)</f>
        <v/>
      </c>
      <c r="AT593" s="34" t="str">
        <f aca="false">IF(OR(AR593="",N(AC593)=0),"",AR593/AC593)</f>
        <v/>
      </c>
      <c r="AU593" s="34" t="str">
        <f aca="false">IF(OR(AR593="",N(S593)=0),"",AR593/S593)</f>
        <v/>
      </c>
      <c r="AV593" s="34" t="str">
        <f aca="false">IF(OR(AJ593="",N(AC593)=0),"",AJ593/AC593)</f>
        <v/>
      </c>
      <c r="AW593" s="34" t="str">
        <f aca="false">IF(OR(AH593="",N(AO593)=0),"",AH593/AO593)</f>
        <v/>
      </c>
      <c r="AX593" s="35" t="str">
        <f aca="false">IF(OR(AR593="",N(AO593)=0),"",(N(AF593)*Settings!$B$6+N(AG593)*Settings!$B$7+N(AH593)*Settings!$B$8+N(AI593)*Settings!$B$9+N(AJ593)*Settings!$B$10)/AO593*1000)</f>
        <v/>
      </c>
      <c r="AY593" s="36" t="str">
        <f aca="false">IF(AS593="","",IFERROR(AS593/AVERAGEIFS('Post Tracker'!$AS$5:$AS$1004,'Post Tracker'!$G$5:$G$1004,G593),""))</f>
        <v/>
      </c>
      <c r="AZ593" s="32"/>
      <c r="BA593" s="32"/>
      <c r="BB593" s="32"/>
      <c r="BC593" s="32"/>
      <c r="BD593" s="33" t="str">
        <f aca="false">IF(A593="","",COUNTIFS('Demo Pipeline'!$Q$5:$Q$504,A593))</f>
        <v/>
      </c>
      <c r="BE593" s="33" t="str">
        <f aca="false">IF(A593="","",COUNTIFS('Demo Pipeline'!$Q$5:$Q$504,A593,'Demo Pipeline'!$W$5:$W$504,"Attended"))</f>
        <v/>
      </c>
      <c r="BF593" s="33" t="str">
        <f aca="false">IF(A593="","",COUNTIFS('Demo Pipeline'!$Q$5:$Q$504,A593,'Demo Pipeline'!$X$5:$X$504,"Yes"))</f>
        <v/>
      </c>
      <c r="BG593" s="33" t="str">
        <f aca="false">IF(A593="","",COUNTIFS('Demo Pipeline'!$Q$5:$Q$504,A593,'Demo Pipeline'!$Y$5:$Y$504,"Closed Won"))</f>
        <v/>
      </c>
      <c r="BH593" s="37" t="str">
        <f aca="false">IF(A593="","",SUMIFS('Demo Pipeline'!$Z$5:$Z$504,'Demo Pipeline'!$Q$5:$Q$504,A593))</f>
        <v/>
      </c>
      <c r="BI593" s="34" t="str">
        <f aca="false">IF(OR(AZ593="",N(AJ593)=0),"",AZ593/AJ593)</f>
        <v/>
      </c>
      <c r="BJ593" s="34" t="str">
        <f aca="false">IF(OR(BB593="",N(AZ593)=0),"",BB593/AZ593)</f>
        <v/>
      </c>
      <c r="BK593" s="34" t="str">
        <f aca="false">IF(OR(A593="",N(BB593)=0),"",BD593/BB593)</f>
        <v/>
      </c>
      <c r="BL593" s="34" t="str">
        <f aca="false">IF(OR(A593="",N(AZ593)=0),"",BD593/AZ593)</f>
        <v/>
      </c>
      <c r="BM593" s="37" t="str">
        <f aca="false">IF(OR(N(Q593)=0,N(BD593)=0),"",Q593/BD593)</f>
        <v/>
      </c>
      <c r="BN593" s="29"/>
      <c r="BO593" s="29"/>
      <c r="BP593" s="33" t="str">
        <f aca="false">IF(OR(AR593="",N(AO593)=0),"",AR593)</f>
        <v/>
      </c>
      <c r="BQ593" s="33" t="str">
        <f aca="false">IF(OR(AR593="",N(S593)=0),"",S593)</f>
        <v/>
      </c>
      <c r="BR593" s="38" t="str">
        <f aca="false">IF(AND(ISNUMBER(B593),B593&gt;=Dashboard!$C$4,B593&lt;=Dashboard!$F$4,ISNUMBER(AU593)),AU593+ROW()/10^9,"")</f>
        <v/>
      </c>
      <c r="BS593" s="38" t="str">
        <f aca="false">IF(AND(ISNUMBER(B593),B593&gt;=Dashboard!$C$4,B593&lt;=Dashboard!$F$4,A593&lt;&gt;""),N(BD593)+N(AU593)/100+ROW()/10^9,"")</f>
        <v/>
      </c>
    </row>
    <row r="594" customFormat="false" ht="15" hidden="false" customHeight="false" outlineLevel="0" collapsed="false">
      <c r="A594" s="24" t="str">
        <f aca="false">IF(OR(B594="",G594="",H594=""),"",IFERROR(INDEX(Settings!$E$5:$E$49,MATCH(G594,Settings!$D$5:$D$49,0))&amp;INDEX(Settings!$H$5:$H$47,MATCH(H594,Settings!$G$5:$G$47,0))&amp;"-"&amp;TEXT(B594,"yymmdd")&amp;"-"&amp;IF(C594="","0000",TEXT(C594,"hhmm")),"CHECK LISTS"))</f>
        <v/>
      </c>
      <c r="B594" s="39"/>
      <c r="C594" s="40"/>
      <c r="D594" s="24" t="str">
        <f aca="false">IF(B594="","",TEXT(B594,"ddd"))</f>
        <v/>
      </c>
      <c r="E594" s="27" t="str">
        <f aca="false">IF(B594="","",B594-WEEKDAY(B594,3))</f>
        <v/>
      </c>
      <c r="F594" s="24" t="str">
        <f aca="false">IF(B594="","",TEXT(B594,"yyyy-mm"))</f>
        <v/>
      </c>
      <c r="G594" s="29"/>
      <c r="H594" s="29"/>
      <c r="I594" s="29"/>
      <c r="J594" s="29"/>
      <c r="K594" s="29"/>
      <c r="L594" s="29"/>
      <c r="M594" s="29"/>
      <c r="N594" s="29"/>
      <c r="O594" s="29"/>
      <c r="P594" s="29"/>
      <c r="Q594" s="30"/>
      <c r="R594" s="29"/>
      <c r="S594" s="32"/>
      <c r="T594" s="29"/>
      <c r="U594" s="29"/>
      <c r="V594" s="24" t="str">
        <f aca="false">IF(A594="","",IFERROR(INDEX(Settings!$F$5:$F$49,MATCH(G594,Settings!$D$5:$D$49,0)),""))</f>
        <v/>
      </c>
      <c r="W594" s="24" t="str">
        <f aca="false">IF(A594="","",IF(OR(P594="",P594="Organic"),"social","paid_social"))</f>
        <v/>
      </c>
      <c r="X594" s="24" t="str">
        <f aca="false">IF(A594="","",IF(K594&lt;&gt;"",IFERROR(INDEX('Case Studies'!$C$5:$C$54,MATCH(K594,'Case Studies'!$B$5:$B$54,0))&amp;"","case-study"),IF(J594&lt;&gt;"",IFERROR(INDEX(Settings!$J$5:$J$55,MATCH(J594,Settings!$I$5:$I$55,0)),"general"),"general")))</f>
        <v/>
      </c>
      <c r="Y594" s="24" t="str">
        <f aca="false">IF(A594="","",LOWER(A594))</f>
        <v/>
      </c>
      <c r="Z594" s="24" t="str">
        <f aca="false">IF(A594="","",IF(T594="",Settings!$B$5,T594)&amp;IF(ISNUMBER(FIND("?",IF(T594="",Settings!$B$5,T594))),"&amp;","?")&amp;"utm_source="&amp;V594&amp;"&amp;utm_medium="&amp;W594&amp;"&amp;utm_campaign="&amp;X594&amp;"&amp;utm_content="&amp;Y594)</f>
        <v/>
      </c>
      <c r="AA594" s="29"/>
      <c r="AB594" s="39"/>
      <c r="AC594" s="32"/>
      <c r="AD594" s="32"/>
      <c r="AE594" s="32"/>
      <c r="AF594" s="32"/>
      <c r="AG594" s="32"/>
      <c r="AH594" s="32"/>
      <c r="AI594" s="32"/>
      <c r="AJ594" s="32"/>
      <c r="AK594" s="32"/>
      <c r="AL594" s="32"/>
      <c r="AM594" s="32"/>
      <c r="AN594" s="32"/>
      <c r="AO594" s="33" t="str">
        <f aca="false">IF(A594="","",IF(AD594&lt;&gt;"",AD594,IF(AC594&lt;&gt;"",AC594,"")))</f>
        <v/>
      </c>
      <c r="AP594" s="24" t="str">
        <f aca="false">IF(AO594="","",IF(AD594&lt;&gt;"","Reported reach","Impressions (proxy)"))</f>
        <v/>
      </c>
      <c r="AQ594" s="34" t="str">
        <f aca="false">IF(OR(AO594="",N(S594)=0),"",AO594/S594)</f>
        <v/>
      </c>
      <c r="AR594" s="33" t="str">
        <f aca="false">IF(A594="","",IF(COUNT(AF594:AJ594)=0,"",SUM(AF594:AJ594)))</f>
        <v/>
      </c>
      <c r="AS594" s="34" t="str">
        <f aca="false">IF(OR(AR594="",N(AO594)=0),"",AR594/AO594)</f>
        <v/>
      </c>
      <c r="AT594" s="34" t="str">
        <f aca="false">IF(OR(AR594="",N(AC594)=0),"",AR594/AC594)</f>
        <v/>
      </c>
      <c r="AU594" s="34" t="str">
        <f aca="false">IF(OR(AR594="",N(S594)=0),"",AR594/S594)</f>
        <v/>
      </c>
      <c r="AV594" s="34" t="str">
        <f aca="false">IF(OR(AJ594="",N(AC594)=0),"",AJ594/AC594)</f>
        <v/>
      </c>
      <c r="AW594" s="34" t="str">
        <f aca="false">IF(OR(AH594="",N(AO594)=0),"",AH594/AO594)</f>
        <v/>
      </c>
      <c r="AX594" s="35" t="str">
        <f aca="false">IF(OR(AR594="",N(AO594)=0),"",(N(AF594)*Settings!$B$6+N(AG594)*Settings!$B$7+N(AH594)*Settings!$B$8+N(AI594)*Settings!$B$9+N(AJ594)*Settings!$B$10)/AO594*1000)</f>
        <v/>
      </c>
      <c r="AY594" s="36" t="str">
        <f aca="false">IF(AS594="","",IFERROR(AS594/AVERAGEIFS('Post Tracker'!$AS$5:$AS$1004,'Post Tracker'!$G$5:$G$1004,G594),""))</f>
        <v/>
      </c>
      <c r="AZ594" s="32"/>
      <c r="BA594" s="32"/>
      <c r="BB594" s="32"/>
      <c r="BC594" s="32"/>
      <c r="BD594" s="33" t="str">
        <f aca="false">IF(A594="","",COUNTIFS('Demo Pipeline'!$Q$5:$Q$504,A594))</f>
        <v/>
      </c>
      <c r="BE594" s="33" t="str">
        <f aca="false">IF(A594="","",COUNTIFS('Demo Pipeline'!$Q$5:$Q$504,A594,'Demo Pipeline'!$W$5:$W$504,"Attended"))</f>
        <v/>
      </c>
      <c r="BF594" s="33" t="str">
        <f aca="false">IF(A594="","",COUNTIFS('Demo Pipeline'!$Q$5:$Q$504,A594,'Demo Pipeline'!$X$5:$X$504,"Yes"))</f>
        <v/>
      </c>
      <c r="BG594" s="33" t="str">
        <f aca="false">IF(A594="","",COUNTIFS('Demo Pipeline'!$Q$5:$Q$504,A594,'Demo Pipeline'!$Y$5:$Y$504,"Closed Won"))</f>
        <v/>
      </c>
      <c r="BH594" s="37" t="str">
        <f aca="false">IF(A594="","",SUMIFS('Demo Pipeline'!$Z$5:$Z$504,'Demo Pipeline'!$Q$5:$Q$504,A594))</f>
        <v/>
      </c>
      <c r="BI594" s="34" t="str">
        <f aca="false">IF(OR(AZ594="",N(AJ594)=0),"",AZ594/AJ594)</f>
        <v/>
      </c>
      <c r="BJ594" s="34" t="str">
        <f aca="false">IF(OR(BB594="",N(AZ594)=0),"",BB594/AZ594)</f>
        <v/>
      </c>
      <c r="BK594" s="34" t="str">
        <f aca="false">IF(OR(A594="",N(BB594)=0),"",BD594/BB594)</f>
        <v/>
      </c>
      <c r="BL594" s="34" t="str">
        <f aca="false">IF(OR(A594="",N(AZ594)=0),"",BD594/AZ594)</f>
        <v/>
      </c>
      <c r="BM594" s="37" t="str">
        <f aca="false">IF(OR(N(Q594)=0,N(BD594)=0),"",Q594/BD594)</f>
        <v/>
      </c>
      <c r="BN594" s="29"/>
      <c r="BO594" s="29"/>
      <c r="BP594" s="33" t="str">
        <f aca="false">IF(OR(AR594="",N(AO594)=0),"",AR594)</f>
        <v/>
      </c>
      <c r="BQ594" s="33" t="str">
        <f aca="false">IF(OR(AR594="",N(S594)=0),"",S594)</f>
        <v/>
      </c>
      <c r="BR594" s="38" t="str">
        <f aca="false">IF(AND(ISNUMBER(B594),B594&gt;=Dashboard!$C$4,B594&lt;=Dashboard!$F$4,ISNUMBER(AU594)),AU594+ROW()/10^9,"")</f>
        <v/>
      </c>
      <c r="BS594" s="38" t="str">
        <f aca="false">IF(AND(ISNUMBER(B594),B594&gt;=Dashboard!$C$4,B594&lt;=Dashboard!$F$4,A594&lt;&gt;""),N(BD594)+N(AU594)/100+ROW()/10^9,"")</f>
        <v/>
      </c>
    </row>
    <row r="595" customFormat="false" ht="15" hidden="false" customHeight="false" outlineLevel="0" collapsed="false">
      <c r="A595" s="24" t="str">
        <f aca="false">IF(OR(B595="",G595="",H595=""),"",IFERROR(INDEX(Settings!$E$5:$E$49,MATCH(G595,Settings!$D$5:$D$49,0))&amp;INDEX(Settings!$H$5:$H$47,MATCH(H595,Settings!$G$5:$G$47,0))&amp;"-"&amp;TEXT(B595,"yymmdd")&amp;"-"&amp;IF(C595="","0000",TEXT(C595,"hhmm")),"CHECK LISTS"))</f>
        <v/>
      </c>
      <c r="B595" s="39"/>
      <c r="C595" s="40"/>
      <c r="D595" s="24" t="str">
        <f aca="false">IF(B595="","",TEXT(B595,"ddd"))</f>
        <v/>
      </c>
      <c r="E595" s="27" t="str">
        <f aca="false">IF(B595="","",B595-WEEKDAY(B595,3))</f>
        <v/>
      </c>
      <c r="F595" s="24" t="str">
        <f aca="false">IF(B595="","",TEXT(B595,"yyyy-mm"))</f>
        <v/>
      </c>
      <c r="G595" s="29"/>
      <c r="H595" s="29"/>
      <c r="I595" s="29"/>
      <c r="J595" s="29"/>
      <c r="K595" s="29"/>
      <c r="L595" s="29"/>
      <c r="M595" s="29"/>
      <c r="N595" s="29"/>
      <c r="O595" s="29"/>
      <c r="P595" s="29"/>
      <c r="Q595" s="30"/>
      <c r="R595" s="29"/>
      <c r="S595" s="32"/>
      <c r="T595" s="29"/>
      <c r="U595" s="29"/>
      <c r="V595" s="24" t="str">
        <f aca="false">IF(A595="","",IFERROR(INDEX(Settings!$F$5:$F$49,MATCH(G595,Settings!$D$5:$D$49,0)),""))</f>
        <v/>
      </c>
      <c r="W595" s="24" t="str">
        <f aca="false">IF(A595="","",IF(OR(P595="",P595="Organic"),"social","paid_social"))</f>
        <v/>
      </c>
      <c r="X595" s="24" t="str">
        <f aca="false">IF(A595="","",IF(K595&lt;&gt;"",IFERROR(INDEX('Case Studies'!$C$5:$C$54,MATCH(K595,'Case Studies'!$B$5:$B$54,0))&amp;"","case-study"),IF(J595&lt;&gt;"",IFERROR(INDEX(Settings!$J$5:$J$55,MATCH(J595,Settings!$I$5:$I$55,0)),"general"),"general")))</f>
        <v/>
      </c>
      <c r="Y595" s="24" t="str">
        <f aca="false">IF(A595="","",LOWER(A595))</f>
        <v/>
      </c>
      <c r="Z595" s="24" t="str">
        <f aca="false">IF(A595="","",IF(T595="",Settings!$B$5,T595)&amp;IF(ISNUMBER(FIND("?",IF(T595="",Settings!$B$5,T595))),"&amp;","?")&amp;"utm_source="&amp;V595&amp;"&amp;utm_medium="&amp;W595&amp;"&amp;utm_campaign="&amp;X595&amp;"&amp;utm_content="&amp;Y595)</f>
        <v/>
      </c>
      <c r="AA595" s="29"/>
      <c r="AB595" s="39"/>
      <c r="AC595" s="32"/>
      <c r="AD595" s="32"/>
      <c r="AE595" s="32"/>
      <c r="AF595" s="32"/>
      <c r="AG595" s="32"/>
      <c r="AH595" s="32"/>
      <c r="AI595" s="32"/>
      <c r="AJ595" s="32"/>
      <c r="AK595" s="32"/>
      <c r="AL595" s="32"/>
      <c r="AM595" s="32"/>
      <c r="AN595" s="32"/>
      <c r="AO595" s="33" t="str">
        <f aca="false">IF(A595="","",IF(AD595&lt;&gt;"",AD595,IF(AC595&lt;&gt;"",AC595,"")))</f>
        <v/>
      </c>
      <c r="AP595" s="24" t="str">
        <f aca="false">IF(AO595="","",IF(AD595&lt;&gt;"","Reported reach","Impressions (proxy)"))</f>
        <v/>
      </c>
      <c r="AQ595" s="34" t="str">
        <f aca="false">IF(OR(AO595="",N(S595)=0),"",AO595/S595)</f>
        <v/>
      </c>
      <c r="AR595" s="33" t="str">
        <f aca="false">IF(A595="","",IF(COUNT(AF595:AJ595)=0,"",SUM(AF595:AJ595)))</f>
        <v/>
      </c>
      <c r="AS595" s="34" t="str">
        <f aca="false">IF(OR(AR595="",N(AO595)=0),"",AR595/AO595)</f>
        <v/>
      </c>
      <c r="AT595" s="34" t="str">
        <f aca="false">IF(OR(AR595="",N(AC595)=0),"",AR595/AC595)</f>
        <v/>
      </c>
      <c r="AU595" s="34" t="str">
        <f aca="false">IF(OR(AR595="",N(S595)=0),"",AR595/S595)</f>
        <v/>
      </c>
      <c r="AV595" s="34" t="str">
        <f aca="false">IF(OR(AJ595="",N(AC595)=0),"",AJ595/AC595)</f>
        <v/>
      </c>
      <c r="AW595" s="34" t="str">
        <f aca="false">IF(OR(AH595="",N(AO595)=0),"",AH595/AO595)</f>
        <v/>
      </c>
      <c r="AX595" s="35" t="str">
        <f aca="false">IF(OR(AR595="",N(AO595)=0),"",(N(AF595)*Settings!$B$6+N(AG595)*Settings!$B$7+N(AH595)*Settings!$B$8+N(AI595)*Settings!$B$9+N(AJ595)*Settings!$B$10)/AO595*1000)</f>
        <v/>
      </c>
      <c r="AY595" s="36" t="str">
        <f aca="false">IF(AS595="","",IFERROR(AS595/AVERAGEIFS('Post Tracker'!$AS$5:$AS$1004,'Post Tracker'!$G$5:$G$1004,G595),""))</f>
        <v/>
      </c>
      <c r="AZ595" s="32"/>
      <c r="BA595" s="32"/>
      <c r="BB595" s="32"/>
      <c r="BC595" s="32"/>
      <c r="BD595" s="33" t="str">
        <f aca="false">IF(A595="","",COUNTIFS('Demo Pipeline'!$Q$5:$Q$504,A595))</f>
        <v/>
      </c>
      <c r="BE595" s="33" t="str">
        <f aca="false">IF(A595="","",COUNTIFS('Demo Pipeline'!$Q$5:$Q$504,A595,'Demo Pipeline'!$W$5:$W$504,"Attended"))</f>
        <v/>
      </c>
      <c r="BF595" s="33" t="str">
        <f aca="false">IF(A595="","",COUNTIFS('Demo Pipeline'!$Q$5:$Q$504,A595,'Demo Pipeline'!$X$5:$X$504,"Yes"))</f>
        <v/>
      </c>
      <c r="BG595" s="33" t="str">
        <f aca="false">IF(A595="","",COUNTIFS('Demo Pipeline'!$Q$5:$Q$504,A595,'Demo Pipeline'!$Y$5:$Y$504,"Closed Won"))</f>
        <v/>
      </c>
      <c r="BH595" s="37" t="str">
        <f aca="false">IF(A595="","",SUMIFS('Demo Pipeline'!$Z$5:$Z$504,'Demo Pipeline'!$Q$5:$Q$504,A595))</f>
        <v/>
      </c>
      <c r="BI595" s="34" t="str">
        <f aca="false">IF(OR(AZ595="",N(AJ595)=0),"",AZ595/AJ595)</f>
        <v/>
      </c>
      <c r="BJ595" s="34" t="str">
        <f aca="false">IF(OR(BB595="",N(AZ595)=0),"",BB595/AZ595)</f>
        <v/>
      </c>
      <c r="BK595" s="34" t="str">
        <f aca="false">IF(OR(A595="",N(BB595)=0),"",BD595/BB595)</f>
        <v/>
      </c>
      <c r="BL595" s="34" t="str">
        <f aca="false">IF(OR(A595="",N(AZ595)=0),"",BD595/AZ595)</f>
        <v/>
      </c>
      <c r="BM595" s="37" t="str">
        <f aca="false">IF(OR(N(Q595)=0,N(BD595)=0),"",Q595/BD595)</f>
        <v/>
      </c>
      <c r="BN595" s="29"/>
      <c r="BO595" s="29"/>
      <c r="BP595" s="33" t="str">
        <f aca="false">IF(OR(AR595="",N(AO595)=0),"",AR595)</f>
        <v/>
      </c>
      <c r="BQ595" s="33" t="str">
        <f aca="false">IF(OR(AR595="",N(S595)=0),"",S595)</f>
        <v/>
      </c>
      <c r="BR595" s="38" t="str">
        <f aca="false">IF(AND(ISNUMBER(B595),B595&gt;=Dashboard!$C$4,B595&lt;=Dashboard!$F$4,ISNUMBER(AU595)),AU595+ROW()/10^9,"")</f>
        <v/>
      </c>
      <c r="BS595" s="38" t="str">
        <f aca="false">IF(AND(ISNUMBER(B595),B595&gt;=Dashboard!$C$4,B595&lt;=Dashboard!$F$4,A595&lt;&gt;""),N(BD595)+N(AU595)/100+ROW()/10^9,"")</f>
        <v/>
      </c>
    </row>
    <row r="596" customFormat="false" ht="15" hidden="false" customHeight="false" outlineLevel="0" collapsed="false">
      <c r="A596" s="24" t="str">
        <f aca="false">IF(OR(B596="",G596="",H596=""),"",IFERROR(INDEX(Settings!$E$5:$E$49,MATCH(G596,Settings!$D$5:$D$49,0))&amp;INDEX(Settings!$H$5:$H$47,MATCH(H596,Settings!$G$5:$G$47,0))&amp;"-"&amp;TEXT(B596,"yymmdd")&amp;"-"&amp;IF(C596="","0000",TEXT(C596,"hhmm")),"CHECK LISTS"))</f>
        <v/>
      </c>
      <c r="B596" s="39"/>
      <c r="C596" s="40"/>
      <c r="D596" s="24" t="str">
        <f aca="false">IF(B596="","",TEXT(B596,"ddd"))</f>
        <v/>
      </c>
      <c r="E596" s="27" t="str">
        <f aca="false">IF(B596="","",B596-WEEKDAY(B596,3))</f>
        <v/>
      </c>
      <c r="F596" s="24" t="str">
        <f aca="false">IF(B596="","",TEXT(B596,"yyyy-mm"))</f>
        <v/>
      </c>
      <c r="G596" s="29"/>
      <c r="H596" s="29"/>
      <c r="I596" s="29"/>
      <c r="J596" s="29"/>
      <c r="K596" s="29"/>
      <c r="L596" s="29"/>
      <c r="M596" s="29"/>
      <c r="N596" s="29"/>
      <c r="O596" s="29"/>
      <c r="P596" s="29"/>
      <c r="Q596" s="30"/>
      <c r="R596" s="29"/>
      <c r="S596" s="32"/>
      <c r="T596" s="29"/>
      <c r="U596" s="29"/>
      <c r="V596" s="24" t="str">
        <f aca="false">IF(A596="","",IFERROR(INDEX(Settings!$F$5:$F$49,MATCH(G596,Settings!$D$5:$D$49,0)),""))</f>
        <v/>
      </c>
      <c r="W596" s="24" t="str">
        <f aca="false">IF(A596="","",IF(OR(P596="",P596="Organic"),"social","paid_social"))</f>
        <v/>
      </c>
      <c r="X596" s="24" t="str">
        <f aca="false">IF(A596="","",IF(K596&lt;&gt;"",IFERROR(INDEX('Case Studies'!$C$5:$C$54,MATCH(K596,'Case Studies'!$B$5:$B$54,0))&amp;"","case-study"),IF(J596&lt;&gt;"",IFERROR(INDEX(Settings!$J$5:$J$55,MATCH(J596,Settings!$I$5:$I$55,0)),"general"),"general")))</f>
        <v/>
      </c>
      <c r="Y596" s="24" t="str">
        <f aca="false">IF(A596="","",LOWER(A596))</f>
        <v/>
      </c>
      <c r="Z596" s="24" t="str">
        <f aca="false">IF(A596="","",IF(T596="",Settings!$B$5,T596)&amp;IF(ISNUMBER(FIND("?",IF(T596="",Settings!$B$5,T596))),"&amp;","?")&amp;"utm_source="&amp;V596&amp;"&amp;utm_medium="&amp;W596&amp;"&amp;utm_campaign="&amp;X596&amp;"&amp;utm_content="&amp;Y596)</f>
        <v/>
      </c>
      <c r="AA596" s="29"/>
      <c r="AB596" s="39"/>
      <c r="AC596" s="32"/>
      <c r="AD596" s="32"/>
      <c r="AE596" s="32"/>
      <c r="AF596" s="32"/>
      <c r="AG596" s="32"/>
      <c r="AH596" s="32"/>
      <c r="AI596" s="32"/>
      <c r="AJ596" s="32"/>
      <c r="AK596" s="32"/>
      <c r="AL596" s="32"/>
      <c r="AM596" s="32"/>
      <c r="AN596" s="32"/>
      <c r="AO596" s="33" t="str">
        <f aca="false">IF(A596="","",IF(AD596&lt;&gt;"",AD596,IF(AC596&lt;&gt;"",AC596,"")))</f>
        <v/>
      </c>
      <c r="AP596" s="24" t="str">
        <f aca="false">IF(AO596="","",IF(AD596&lt;&gt;"","Reported reach","Impressions (proxy)"))</f>
        <v/>
      </c>
      <c r="AQ596" s="34" t="str">
        <f aca="false">IF(OR(AO596="",N(S596)=0),"",AO596/S596)</f>
        <v/>
      </c>
      <c r="AR596" s="33" t="str">
        <f aca="false">IF(A596="","",IF(COUNT(AF596:AJ596)=0,"",SUM(AF596:AJ596)))</f>
        <v/>
      </c>
      <c r="AS596" s="34" t="str">
        <f aca="false">IF(OR(AR596="",N(AO596)=0),"",AR596/AO596)</f>
        <v/>
      </c>
      <c r="AT596" s="34" t="str">
        <f aca="false">IF(OR(AR596="",N(AC596)=0),"",AR596/AC596)</f>
        <v/>
      </c>
      <c r="AU596" s="34" t="str">
        <f aca="false">IF(OR(AR596="",N(S596)=0),"",AR596/S596)</f>
        <v/>
      </c>
      <c r="AV596" s="34" t="str">
        <f aca="false">IF(OR(AJ596="",N(AC596)=0),"",AJ596/AC596)</f>
        <v/>
      </c>
      <c r="AW596" s="34" t="str">
        <f aca="false">IF(OR(AH596="",N(AO596)=0),"",AH596/AO596)</f>
        <v/>
      </c>
      <c r="AX596" s="35" t="str">
        <f aca="false">IF(OR(AR596="",N(AO596)=0),"",(N(AF596)*Settings!$B$6+N(AG596)*Settings!$B$7+N(AH596)*Settings!$B$8+N(AI596)*Settings!$B$9+N(AJ596)*Settings!$B$10)/AO596*1000)</f>
        <v/>
      </c>
      <c r="AY596" s="36" t="str">
        <f aca="false">IF(AS596="","",IFERROR(AS596/AVERAGEIFS('Post Tracker'!$AS$5:$AS$1004,'Post Tracker'!$G$5:$G$1004,G596),""))</f>
        <v/>
      </c>
      <c r="AZ596" s="32"/>
      <c r="BA596" s="32"/>
      <c r="BB596" s="32"/>
      <c r="BC596" s="32"/>
      <c r="BD596" s="33" t="str">
        <f aca="false">IF(A596="","",COUNTIFS('Demo Pipeline'!$Q$5:$Q$504,A596))</f>
        <v/>
      </c>
      <c r="BE596" s="33" t="str">
        <f aca="false">IF(A596="","",COUNTIFS('Demo Pipeline'!$Q$5:$Q$504,A596,'Demo Pipeline'!$W$5:$W$504,"Attended"))</f>
        <v/>
      </c>
      <c r="BF596" s="33" t="str">
        <f aca="false">IF(A596="","",COUNTIFS('Demo Pipeline'!$Q$5:$Q$504,A596,'Demo Pipeline'!$X$5:$X$504,"Yes"))</f>
        <v/>
      </c>
      <c r="BG596" s="33" t="str">
        <f aca="false">IF(A596="","",COUNTIFS('Demo Pipeline'!$Q$5:$Q$504,A596,'Demo Pipeline'!$Y$5:$Y$504,"Closed Won"))</f>
        <v/>
      </c>
      <c r="BH596" s="37" t="str">
        <f aca="false">IF(A596="","",SUMIFS('Demo Pipeline'!$Z$5:$Z$504,'Demo Pipeline'!$Q$5:$Q$504,A596))</f>
        <v/>
      </c>
      <c r="BI596" s="34" t="str">
        <f aca="false">IF(OR(AZ596="",N(AJ596)=0),"",AZ596/AJ596)</f>
        <v/>
      </c>
      <c r="BJ596" s="34" t="str">
        <f aca="false">IF(OR(BB596="",N(AZ596)=0),"",BB596/AZ596)</f>
        <v/>
      </c>
      <c r="BK596" s="34" t="str">
        <f aca="false">IF(OR(A596="",N(BB596)=0),"",BD596/BB596)</f>
        <v/>
      </c>
      <c r="BL596" s="34" t="str">
        <f aca="false">IF(OR(A596="",N(AZ596)=0),"",BD596/AZ596)</f>
        <v/>
      </c>
      <c r="BM596" s="37" t="str">
        <f aca="false">IF(OR(N(Q596)=0,N(BD596)=0),"",Q596/BD596)</f>
        <v/>
      </c>
      <c r="BN596" s="29"/>
      <c r="BO596" s="29"/>
      <c r="BP596" s="33" t="str">
        <f aca="false">IF(OR(AR596="",N(AO596)=0),"",AR596)</f>
        <v/>
      </c>
      <c r="BQ596" s="33" t="str">
        <f aca="false">IF(OR(AR596="",N(S596)=0),"",S596)</f>
        <v/>
      </c>
      <c r="BR596" s="38" t="str">
        <f aca="false">IF(AND(ISNUMBER(B596),B596&gt;=Dashboard!$C$4,B596&lt;=Dashboard!$F$4,ISNUMBER(AU596)),AU596+ROW()/10^9,"")</f>
        <v/>
      </c>
      <c r="BS596" s="38" t="str">
        <f aca="false">IF(AND(ISNUMBER(B596),B596&gt;=Dashboard!$C$4,B596&lt;=Dashboard!$F$4,A596&lt;&gt;""),N(BD596)+N(AU596)/100+ROW()/10^9,"")</f>
        <v/>
      </c>
    </row>
    <row r="597" customFormat="false" ht="15" hidden="false" customHeight="false" outlineLevel="0" collapsed="false">
      <c r="A597" s="24" t="str">
        <f aca="false">IF(OR(B597="",G597="",H597=""),"",IFERROR(INDEX(Settings!$E$5:$E$49,MATCH(G597,Settings!$D$5:$D$49,0))&amp;INDEX(Settings!$H$5:$H$47,MATCH(H597,Settings!$G$5:$G$47,0))&amp;"-"&amp;TEXT(B597,"yymmdd")&amp;"-"&amp;IF(C597="","0000",TEXT(C597,"hhmm")),"CHECK LISTS"))</f>
        <v/>
      </c>
      <c r="B597" s="39"/>
      <c r="C597" s="40"/>
      <c r="D597" s="24" t="str">
        <f aca="false">IF(B597="","",TEXT(B597,"ddd"))</f>
        <v/>
      </c>
      <c r="E597" s="27" t="str">
        <f aca="false">IF(B597="","",B597-WEEKDAY(B597,3))</f>
        <v/>
      </c>
      <c r="F597" s="24" t="str">
        <f aca="false">IF(B597="","",TEXT(B597,"yyyy-mm"))</f>
        <v/>
      </c>
      <c r="G597" s="29"/>
      <c r="H597" s="29"/>
      <c r="I597" s="29"/>
      <c r="J597" s="29"/>
      <c r="K597" s="29"/>
      <c r="L597" s="29"/>
      <c r="M597" s="29"/>
      <c r="N597" s="29"/>
      <c r="O597" s="29"/>
      <c r="P597" s="29"/>
      <c r="Q597" s="30"/>
      <c r="R597" s="29"/>
      <c r="S597" s="32"/>
      <c r="T597" s="29"/>
      <c r="U597" s="29"/>
      <c r="V597" s="24" t="str">
        <f aca="false">IF(A597="","",IFERROR(INDEX(Settings!$F$5:$F$49,MATCH(G597,Settings!$D$5:$D$49,0)),""))</f>
        <v/>
      </c>
      <c r="W597" s="24" t="str">
        <f aca="false">IF(A597="","",IF(OR(P597="",P597="Organic"),"social","paid_social"))</f>
        <v/>
      </c>
      <c r="X597" s="24" t="str">
        <f aca="false">IF(A597="","",IF(K597&lt;&gt;"",IFERROR(INDEX('Case Studies'!$C$5:$C$54,MATCH(K597,'Case Studies'!$B$5:$B$54,0))&amp;"","case-study"),IF(J597&lt;&gt;"",IFERROR(INDEX(Settings!$J$5:$J$55,MATCH(J597,Settings!$I$5:$I$55,0)),"general"),"general")))</f>
        <v/>
      </c>
      <c r="Y597" s="24" t="str">
        <f aca="false">IF(A597="","",LOWER(A597))</f>
        <v/>
      </c>
      <c r="Z597" s="24" t="str">
        <f aca="false">IF(A597="","",IF(T597="",Settings!$B$5,T597)&amp;IF(ISNUMBER(FIND("?",IF(T597="",Settings!$B$5,T597))),"&amp;","?")&amp;"utm_source="&amp;V597&amp;"&amp;utm_medium="&amp;W597&amp;"&amp;utm_campaign="&amp;X597&amp;"&amp;utm_content="&amp;Y597)</f>
        <v/>
      </c>
      <c r="AA597" s="29"/>
      <c r="AB597" s="39"/>
      <c r="AC597" s="32"/>
      <c r="AD597" s="32"/>
      <c r="AE597" s="32"/>
      <c r="AF597" s="32"/>
      <c r="AG597" s="32"/>
      <c r="AH597" s="32"/>
      <c r="AI597" s="32"/>
      <c r="AJ597" s="32"/>
      <c r="AK597" s="32"/>
      <c r="AL597" s="32"/>
      <c r="AM597" s="32"/>
      <c r="AN597" s="32"/>
      <c r="AO597" s="33" t="str">
        <f aca="false">IF(A597="","",IF(AD597&lt;&gt;"",AD597,IF(AC597&lt;&gt;"",AC597,"")))</f>
        <v/>
      </c>
      <c r="AP597" s="24" t="str">
        <f aca="false">IF(AO597="","",IF(AD597&lt;&gt;"","Reported reach","Impressions (proxy)"))</f>
        <v/>
      </c>
      <c r="AQ597" s="34" t="str">
        <f aca="false">IF(OR(AO597="",N(S597)=0),"",AO597/S597)</f>
        <v/>
      </c>
      <c r="AR597" s="33" t="str">
        <f aca="false">IF(A597="","",IF(COUNT(AF597:AJ597)=0,"",SUM(AF597:AJ597)))</f>
        <v/>
      </c>
      <c r="AS597" s="34" t="str">
        <f aca="false">IF(OR(AR597="",N(AO597)=0),"",AR597/AO597)</f>
        <v/>
      </c>
      <c r="AT597" s="34" t="str">
        <f aca="false">IF(OR(AR597="",N(AC597)=0),"",AR597/AC597)</f>
        <v/>
      </c>
      <c r="AU597" s="34" t="str">
        <f aca="false">IF(OR(AR597="",N(S597)=0),"",AR597/S597)</f>
        <v/>
      </c>
      <c r="AV597" s="34" t="str">
        <f aca="false">IF(OR(AJ597="",N(AC597)=0),"",AJ597/AC597)</f>
        <v/>
      </c>
      <c r="AW597" s="34" t="str">
        <f aca="false">IF(OR(AH597="",N(AO597)=0),"",AH597/AO597)</f>
        <v/>
      </c>
      <c r="AX597" s="35" t="str">
        <f aca="false">IF(OR(AR597="",N(AO597)=0),"",(N(AF597)*Settings!$B$6+N(AG597)*Settings!$B$7+N(AH597)*Settings!$B$8+N(AI597)*Settings!$B$9+N(AJ597)*Settings!$B$10)/AO597*1000)</f>
        <v/>
      </c>
      <c r="AY597" s="36" t="str">
        <f aca="false">IF(AS597="","",IFERROR(AS597/AVERAGEIFS('Post Tracker'!$AS$5:$AS$1004,'Post Tracker'!$G$5:$G$1004,G597),""))</f>
        <v/>
      </c>
      <c r="AZ597" s="32"/>
      <c r="BA597" s="32"/>
      <c r="BB597" s="32"/>
      <c r="BC597" s="32"/>
      <c r="BD597" s="33" t="str">
        <f aca="false">IF(A597="","",COUNTIFS('Demo Pipeline'!$Q$5:$Q$504,A597))</f>
        <v/>
      </c>
      <c r="BE597" s="33" t="str">
        <f aca="false">IF(A597="","",COUNTIFS('Demo Pipeline'!$Q$5:$Q$504,A597,'Demo Pipeline'!$W$5:$W$504,"Attended"))</f>
        <v/>
      </c>
      <c r="BF597" s="33" t="str">
        <f aca="false">IF(A597="","",COUNTIFS('Demo Pipeline'!$Q$5:$Q$504,A597,'Demo Pipeline'!$X$5:$X$504,"Yes"))</f>
        <v/>
      </c>
      <c r="BG597" s="33" t="str">
        <f aca="false">IF(A597="","",COUNTIFS('Demo Pipeline'!$Q$5:$Q$504,A597,'Demo Pipeline'!$Y$5:$Y$504,"Closed Won"))</f>
        <v/>
      </c>
      <c r="BH597" s="37" t="str">
        <f aca="false">IF(A597="","",SUMIFS('Demo Pipeline'!$Z$5:$Z$504,'Demo Pipeline'!$Q$5:$Q$504,A597))</f>
        <v/>
      </c>
      <c r="BI597" s="34" t="str">
        <f aca="false">IF(OR(AZ597="",N(AJ597)=0),"",AZ597/AJ597)</f>
        <v/>
      </c>
      <c r="BJ597" s="34" t="str">
        <f aca="false">IF(OR(BB597="",N(AZ597)=0),"",BB597/AZ597)</f>
        <v/>
      </c>
      <c r="BK597" s="34" t="str">
        <f aca="false">IF(OR(A597="",N(BB597)=0),"",BD597/BB597)</f>
        <v/>
      </c>
      <c r="BL597" s="34" t="str">
        <f aca="false">IF(OR(A597="",N(AZ597)=0),"",BD597/AZ597)</f>
        <v/>
      </c>
      <c r="BM597" s="37" t="str">
        <f aca="false">IF(OR(N(Q597)=0,N(BD597)=0),"",Q597/BD597)</f>
        <v/>
      </c>
      <c r="BN597" s="29"/>
      <c r="BO597" s="29"/>
      <c r="BP597" s="33" t="str">
        <f aca="false">IF(OR(AR597="",N(AO597)=0),"",AR597)</f>
        <v/>
      </c>
      <c r="BQ597" s="33" t="str">
        <f aca="false">IF(OR(AR597="",N(S597)=0),"",S597)</f>
        <v/>
      </c>
      <c r="BR597" s="38" t="str">
        <f aca="false">IF(AND(ISNUMBER(B597),B597&gt;=Dashboard!$C$4,B597&lt;=Dashboard!$F$4,ISNUMBER(AU597)),AU597+ROW()/10^9,"")</f>
        <v/>
      </c>
      <c r="BS597" s="38" t="str">
        <f aca="false">IF(AND(ISNUMBER(B597),B597&gt;=Dashboard!$C$4,B597&lt;=Dashboard!$F$4,A597&lt;&gt;""),N(BD597)+N(AU597)/100+ROW()/10^9,"")</f>
        <v/>
      </c>
    </row>
    <row r="598" customFormat="false" ht="15" hidden="false" customHeight="false" outlineLevel="0" collapsed="false">
      <c r="A598" s="24" t="str">
        <f aca="false">IF(OR(B598="",G598="",H598=""),"",IFERROR(INDEX(Settings!$E$5:$E$49,MATCH(G598,Settings!$D$5:$D$49,0))&amp;INDEX(Settings!$H$5:$H$47,MATCH(H598,Settings!$G$5:$G$47,0))&amp;"-"&amp;TEXT(B598,"yymmdd")&amp;"-"&amp;IF(C598="","0000",TEXT(C598,"hhmm")),"CHECK LISTS"))</f>
        <v/>
      </c>
      <c r="B598" s="39"/>
      <c r="C598" s="40"/>
      <c r="D598" s="24" t="str">
        <f aca="false">IF(B598="","",TEXT(B598,"ddd"))</f>
        <v/>
      </c>
      <c r="E598" s="27" t="str">
        <f aca="false">IF(B598="","",B598-WEEKDAY(B598,3))</f>
        <v/>
      </c>
      <c r="F598" s="24" t="str">
        <f aca="false">IF(B598="","",TEXT(B598,"yyyy-mm"))</f>
        <v/>
      </c>
      <c r="G598" s="29"/>
      <c r="H598" s="29"/>
      <c r="I598" s="29"/>
      <c r="J598" s="29"/>
      <c r="K598" s="29"/>
      <c r="L598" s="29"/>
      <c r="M598" s="29"/>
      <c r="N598" s="29"/>
      <c r="O598" s="29"/>
      <c r="P598" s="29"/>
      <c r="Q598" s="30"/>
      <c r="R598" s="29"/>
      <c r="S598" s="32"/>
      <c r="T598" s="29"/>
      <c r="U598" s="29"/>
      <c r="V598" s="24" t="str">
        <f aca="false">IF(A598="","",IFERROR(INDEX(Settings!$F$5:$F$49,MATCH(G598,Settings!$D$5:$D$49,0)),""))</f>
        <v/>
      </c>
      <c r="W598" s="24" t="str">
        <f aca="false">IF(A598="","",IF(OR(P598="",P598="Organic"),"social","paid_social"))</f>
        <v/>
      </c>
      <c r="X598" s="24" t="str">
        <f aca="false">IF(A598="","",IF(K598&lt;&gt;"",IFERROR(INDEX('Case Studies'!$C$5:$C$54,MATCH(K598,'Case Studies'!$B$5:$B$54,0))&amp;"","case-study"),IF(J598&lt;&gt;"",IFERROR(INDEX(Settings!$J$5:$J$55,MATCH(J598,Settings!$I$5:$I$55,0)),"general"),"general")))</f>
        <v/>
      </c>
      <c r="Y598" s="24" t="str">
        <f aca="false">IF(A598="","",LOWER(A598))</f>
        <v/>
      </c>
      <c r="Z598" s="24" t="str">
        <f aca="false">IF(A598="","",IF(T598="",Settings!$B$5,T598)&amp;IF(ISNUMBER(FIND("?",IF(T598="",Settings!$B$5,T598))),"&amp;","?")&amp;"utm_source="&amp;V598&amp;"&amp;utm_medium="&amp;W598&amp;"&amp;utm_campaign="&amp;X598&amp;"&amp;utm_content="&amp;Y598)</f>
        <v/>
      </c>
      <c r="AA598" s="29"/>
      <c r="AB598" s="39"/>
      <c r="AC598" s="32"/>
      <c r="AD598" s="32"/>
      <c r="AE598" s="32"/>
      <c r="AF598" s="32"/>
      <c r="AG598" s="32"/>
      <c r="AH598" s="32"/>
      <c r="AI598" s="32"/>
      <c r="AJ598" s="32"/>
      <c r="AK598" s="32"/>
      <c r="AL598" s="32"/>
      <c r="AM598" s="32"/>
      <c r="AN598" s="32"/>
      <c r="AO598" s="33" t="str">
        <f aca="false">IF(A598="","",IF(AD598&lt;&gt;"",AD598,IF(AC598&lt;&gt;"",AC598,"")))</f>
        <v/>
      </c>
      <c r="AP598" s="24" t="str">
        <f aca="false">IF(AO598="","",IF(AD598&lt;&gt;"","Reported reach","Impressions (proxy)"))</f>
        <v/>
      </c>
      <c r="AQ598" s="34" t="str">
        <f aca="false">IF(OR(AO598="",N(S598)=0),"",AO598/S598)</f>
        <v/>
      </c>
      <c r="AR598" s="33" t="str">
        <f aca="false">IF(A598="","",IF(COUNT(AF598:AJ598)=0,"",SUM(AF598:AJ598)))</f>
        <v/>
      </c>
      <c r="AS598" s="34" t="str">
        <f aca="false">IF(OR(AR598="",N(AO598)=0),"",AR598/AO598)</f>
        <v/>
      </c>
      <c r="AT598" s="34" t="str">
        <f aca="false">IF(OR(AR598="",N(AC598)=0),"",AR598/AC598)</f>
        <v/>
      </c>
      <c r="AU598" s="34" t="str">
        <f aca="false">IF(OR(AR598="",N(S598)=0),"",AR598/S598)</f>
        <v/>
      </c>
      <c r="AV598" s="34" t="str">
        <f aca="false">IF(OR(AJ598="",N(AC598)=0),"",AJ598/AC598)</f>
        <v/>
      </c>
      <c r="AW598" s="34" t="str">
        <f aca="false">IF(OR(AH598="",N(AO598)=0),"",AH598/AO598)</f>
        <v/>
      </c>
      <c r="AX598" s="35" t="str">
        <f aca="false">IF(OR(AR598="",N(AO598)=0),"",(N(AF598)*Settings!$B$6+N(AG598)*Settings!$B$7+N(AH598)*Settings!$B$8+N(AI598)*Settings!$B$9+N(AJ598)*Settings!$B$10)/AO598*1000)</f>
        <v/>
      </c>
      <c r="AY598" s="36" t="str">
        <f aca="false">IF(AS598="","",IFERROR(AS598/AVERAGEIFS('Post Tracker'!$AS$5:$AS$1004,'Post Tracker'!$G$5:$G$1004,G598),""))</f>
        <v/>
      </c>
      <c r="AZ598" s="32"/>
      <c r="BA598" s="32"/>
      <c r="BB598" s="32"/>
      <c r="BC598" s="32"/>
      <c r="BD598" s="33" t="str">
        <f aca="false">IF(A598="","",COUNTIFS('Demo Pipeline'!$Q$5:$Q$504,A598))</f>
        <v/>
      </c>
      <c r="BE598" s="33" t="str">
        <f aca="false">IF(A598="","",COUNTIFS('Demo Pipeline'!$Q$5:$Q$504,A598,'Demo Pipeline'!$W$5:$W$504,"Attended"))</f>
        <v/>
      </c>
      <c r="BF598" s="33" t="str">
        <f aca="false">IF(A598="","",COUNTIFS('Demo Pipeline'!$Q$5:$Q$504,A598,'Demo Pipeline'!$X$5:$X$504,"Yes"))</f>
        <v/>
      </c>
      <c r="BG598" s="33" t="str">
        <f aca="false">IF(A598="","",COUNTIFS('Demo Pipeline'!$Q$5:$Q$504,A598,'Demo Pipeline'!$Y$5:$Y$504,"Closed Won"))</f>
        <v/>
      </c>
      <c r="BH598" s="37" t="str">
        <f aca="false">IF(A598="","",SUMIFS('Demo Pipeline'!$Z$5:$Z$504,'Demo Pipeline'!$Q$5:$Q$504,A598))</f>
        <v/>
      </c>
      <c r="BI598" s="34" t="str">
        <f aca="false">IF(OR(AZ598="",N(AJ598)=0),"",AZ598/AJ598)</f>
        <v/>
      </c>
      <c r="BJ598" s="34" t="str">
        <f aca="false">IF(OR(BB598="",N(AZ598)=0),"",BB598/AZ598)</f>
        <v/>
      </c>
      <c r="BK598" s="34" t="str">
        <f aca="false">IF(OR(A598="",N(BB598)=0),"",BD598/BB598)</f>
        <v/>
      </c>
      <c r="BL598" s="34" t="str">
        <f aca="false">IF(OR(A598="",N(AZ598)=0),"",BD598/AZ598)</f>
        <v/>
      </c>
      <c r="BM598" s="37" t="str">
        <f aca="false">IF(OR(N(Q598)=0,N(BD598)=0),"",Q598/BD598)</f>
        <v/>
      </c>
      <c r="BN598" s="29"/>
      <c r="BO598" s="29"/>
      <c r="BP598" s="33" t="str">
        <f aca="false">IF(OR(AR598="",N(AO598)=0),"",AR598)</f>
        <v/>
      </c>
      <c r="BQ598" s="33" t="str">
        <f aca="false">IF(OR(AR598="",N(S598)=0),"",S598)</f>
        <v/>
      </c>
      <c r="BR598" s="38" t="str">
        <f aca="false">IF(AND(ISNUMBER(B598),B598&gt;=Dashboard!$C$4,B598&lt;=Dashboard!$F$4,ISNUMBER(AU598)),AU598+ROW()/10^9,"")</f>
        <v/>
      </c>
      <c r="BS598" s="38" t="str">
        <f aca="false">IF(AND(ISNUMBER(B598),B598&gt;=Dashboard!$C$4,B598&lt;=Dashboard!$F$4,A598&lt;&gt;""),N(BD598)+N(AU598)/100+ROW()/10^9,"")</f>
        <v/>
      </c>
    </row>
    <row r="599" customFormat="false" ht="15" hidden="false" customHeight="false" outlineLevel="0" collapsed="false">
      <c r="A599" s="24" t="str">
        <f aca="false">IF(OR(B599="",G599="",H599=""),"",IFERROR(INDEX(Settings!$E$5:$E$49,MATCH(G599,Settings!$D$5:$D$49,0))&amp;INDEX(Settings!$H$5:$H$47,MATCH(H599,Settings!$G$5:$G$47,0))&amp;"-"&amp;TEXT(B599,"yymmdd")&amp;"-"&amp;IF(C599="","0000",TEXT(C599,"hhmm")),"CHECK LISTS"))</f>
        <v/>
      </c>
      <c r="B599" s="39"/>
      <c r="C599" s="40"/>
      <c r="D599" s="24" t="str">
        <f aca="false">IF(B599="","",TEXT(B599,"ddd"))</f>
        <v/>
      </c>
      <c r="E599" s="27" t="str">
        <f aca="false">IF(B599="","",B599-WEEKDAY(B599,3))</f>
        <v/>
      </c>
      <c r="F599" s="24" t="str">
        <f aca="false">IF(B599="","",TEXT(B599,"yyyy-mm"))</f>
        <v/>
      </c>
      <c r="G599" s="29"/>
      <c r="H599" s="29"/>
      <c r="I599" s="29"/>
      <c r="J599" s="29"/>
      <c r="K599" s="29"/>
      <c r="L599" s="29"/>
      <c r="M599" s="29"/>
      <c r="N599" s="29"/>
      <c r="O599" s="29"/>
      <c r="P599" s="29"/>
      <c r="Q599" s="30"/>
      <c r="R599" s="29"/>
      <c r="S599" s="32"/>
      <c r="T599" s="29"/>
      <c r="U599" s="29"/>
      <c r="V599" s="24" t="str">
        <f aca="false">IF(A599="","",IFERROR(INDEX(Settings!$F$5:$F$49,MATCH(G599,Settings!$D$5:$D$49,0)),""))</f>
        <v/>
      </c>
      <c r="W599" s="24" t="str">
        <f aca="false">IF(A599="","",IF(OR(P599="",P599="Organic"),"social","paid_social"))</f>
        <v/>
      </c>
      <c r="X599" s="24" t="str">
        <f aca="false">IF(A599="","",IF(K599&lt;&gt;"",IFERROR(INDEX('Case Studies'!$C$5:$C$54,MATCH(K599,'Case Studies'!$B$5:$B$54,0))&amp;"","case-study"),IF(J599&lt;&gt;"",IFERROR(INDEX(Settings!$J$5:$J$55,MATCH(J599,Settings!$I$5:$I$55,0)),"general"),"general")))</f>
        <v/>
      </c>
      <c r="Y599" s="24" t="str">
        <f aca="false">IF(A599="","",LOWER(A599))</f>
        <v/>
      </c>
      <c r="Z599" s="24" t="str">
        <f aca="false">IF(A599="","",IF(T599="",Settings!$B$5,T599)&amp;IF(ISNUMBER(FIND("?",IF(T599="",Settings!$B$5,T599))),"&amp;","?")&amp;"utm_source="&amp;V599&amp;"&amp;utm_medium="&amp;W599&amp;"&amp;utm_campaign="&amp;X599&amp;"&amp;utm_content="&amp;Y599)</f>
        <v/>
      </c>
      <c r="AA599" s="29"/>
      <c r="AB599" s="39"/>
      <c r="AC599" s="32"/>
      <c r="AD599" s="32"/>
      <c r="AE599" s="32"/>
      <c r="AF599" s="32"/>
      <c r="AG599" s="32"/>
      <c r="AH599" s="32"/>
      <c r="AI599" s="32"/>
      <c r="AJ599" s="32"/>
      <c r="AK599" s="32"/>
      <c r="AL599" s="32"/>
      <c r="AM599" s="32"/>
      <c r="AN599" s="32"/>
      <c r="AO599" s="33" t="str">
        <f aca="false">IF(A599="","",IF(AD599&lt;&gt;"",AD599,IF(AC599&lt;&gt;"",AC599,"")))</f>
        <v/>
      </c>
      <c r="AP599" s="24" t="str">
        <f aca="false">IF(AO599="","",IF(AD599&lt;&gt;"","Reported reach","Impressions (proxy)"))</f>
        <v/>
      </c>
      <c r="AQ599" s="34" t="str">
        <f aca="false">IF(OR(AO599="",N(S599)=0),"",AO599/S599)</f>
        <v/>
      </c>
      <c r="AR599" s="33" t="str">
        <f aca="false">IF(A599="","",IF(COUNT(AF599:AJ599)=0,"",SUM(AF599:AJ599)))</f>
        <v/>
      </c>
      <c r="AS599" s="34" t="str">
        <f aca="false">IF(OR(AR599="",N(AO599)=0),"",AR599/AO599)</f>
        <v/>
      </c>
      <c r="AT599" s="34" t="str">
        <f aca="false">IF(OR(AR599="",N(AC599)=0),"",AR599/AC599)</f>
        <v/>
      </c>
      <c r="AU599" s="34" t="str">
        <f aca="false">IF(OR(AR599="",N(S599)=0),"",AR599/S599)</f>
        <v/>
      </c>
      <c r="AV599" s="34" t="str">
        <f aca="false">IF(OR(AJ599="",N(AC599)=0),"",AJ599/AC599)</f>
        <v/>
      </c>
      <c r="AW599" s="34" t="str">
        <f aca="false">IF(OR(AH599="",N(AO599)=0),"",AH599/AO599)</f>
        <v/>
      </c>
      <c r="AX599" s="35" t="str">
        <f aca="false">IF(OR(AR599="",N(AO599)=0),"",(N(AF599)*Settings!$B$6+N(AG599)*Settings!$B$7+N(AH599)*Settings!$B$8+N(AI599)*Settings!$B$9+N(AJ599)*Settings!$B$10)/AO599*1000)</f>
        <v/>
      </c>
      <c r="AY599" s="36" t="str">
        <f aca="false">IF(AS599="","",IFERROR(AS599/AVERAGEIFS('Post Tracker'!$AS$5:$AS$1004,'Post Tracker'!$G$5:$G$1004,G599),""))</f>
        <v/>
      </c>
      <c r="AZ599" s="32"/>
      <c r="BA599" s="32"/>
      <c r="BB599" s="32"/>
      <c r="BC599" s="32"/>
      <c r="BD599" s="33" t="str">
        <f aca="false">IF(A599="","",COUNTIFS('Demo Pipeline'!$Q$5:$Q$504,A599))</f>
        <v/>
      </c>
      <c r="BE599" s="33" t="str">
        <f aca="false">IF(A599="","",COUNTIFS('Demo Pipeline'!$Q$5:$Q$504,A599,'Demo Pipeline'!$W$5:$W$504,"Attended"))</f>
        <v/>
      </c>
      <c r="BF599" s="33" t="str">
        <f aca="false">IF(A599="","",COUNTIFS('Demo Pipeline'!$Q$5:$Q$504,A599,'Demo Pipeline'!$X$5:$X$504,"Yes"))</f>
        <v/>
      </c>
      <c r="BG599" s="33" t="str">
        <f aca="false">IF(A599="","",COUNTIFS('Demo Pipeline'!$Q$5:$Q$504,A599,'Demo Pipeline'!$Y$5:$Y$504,"Closed Won"))</f>
        <v/>
      </c>
      <c r="BH599" s="37" t="str">
        <f aca="false">IF(A599="","",SUMIFS('Demo Pipeline'!$Z$5:$Z$504,'Demo Pipeline'!$Q$5:$Q$504,A599))</f>
        <v/>
      </c>
      <c r="BI599" s="34" t="str">
        <f aca="false">IF(OR(AZ599="",N(AJ599)=0),"",AZ599/AJ599)</f>
        <v/>
      </c>
      <c r="BJ599" s="34" t="str">
        <f aca="false">IF(OR(BB599="",N(AZ599)=0),"",BB599/AZ599)</f>
        <v/>
      </c>
      <c r="BK599" s="34" t="str">
        <f aca="false">IF(OR(A599="",N(BB599)=0),"",BD599/BB599)</f>
        <v/>
      </c>
      <c r="BL599" s="34" t="str">
        <f aca="false">IF(OR(A599="",N(AZ599)=0),"",BD599/AZ599)</f>
        <v/>
      </c>
      <c r="BM599" s="37" t="str">
        <f aca="false">IF(OR(N(Q599)=0,N(BD599)=0),"",Q599/BD599)</f>
        <v/>
      </c>
      <c r="BN599" s="29"/>
      <c r="BO599" s="29"/>
      <c r="BP599" s="33" t="str">
        <f aca="false">IF(OR(AR599="",N(AO599)=0),"",AR599)</f>
        <v/>
      </c>
      <c r="BQ599" s="33" t="str">
        <f aca="false">IF(OR(AR599="",N(S599)=0),"",S599)</f>
        <v/>
      </c>
      <c r="BR599" s="38" t="str">
        <f aca="false">IF(AND(ISNUMBER(B599),B599&gt;=Dashboard!$C$4,B599&lt;=Dashboard!$F$4,ISNUMBER(AU599)),AU599+ROW()/10^9,"")</f>
        <v/>
      </c>
      <c r="BS599" s="38" t="str">
        <f aca="false">IF(AND(ISNUMBER(B599),B599&gt;=Dashboard!$C$4,B599&lt;=Dashboard!$F$4,A599&lt;&gt;""),N(BD599)+N(AU599)/100+ROW()/10^9,"")</f>
        <v/>
      </c>
    </row>
    <row r="600" customFormat="false" ht="15" hidden="false" customHeight="false" outlineLevel="0" collapsed="false">
      <c r="A600" s="24" t="str">
        <f aca="false">IF(OR(B600="",G600="",H600=""),"",IFERROR(INDEX(Settings!$E$5:$E$49,MATCH(G600,Settings!$D$5:$D$49,0))&amp;INDEX(Settings!$H$5:$H$47,MATCH(H600,Settings!$G$5:$G$47,0))&amp;"-"&amp;TEXT(B600,"yymmdd")&amp;"-"&amp;IF(C600="","0000",TEXT(C600,"hhmm")),"CHECK LISTS"))</f>
        <v/>
      </c>
      <c r="B600" s="39"/>
      <c r="C600" s="40"/>
      <c r="D600" s="24" t="str">
        <f aca="false">IF(B600="","",TEXT(B600,"ddd"))</f>
        <v/>
      </c>
      <c r="E600" s="27" t="str">
        <f aca="false">IF(B600="","",B600-WEEKDAY(B600,3))</f>
        <v/>
      </c>
      <c r="F600" s="24" t="str">
        <f aca="false">IF(B600="","",TEXT(B600,"yyyy-mm"))</f>
        <v/>
      </c>
      <c r="G600" s="29"/>
      <c r="H600" s="29"/>
      <c r="I600" s="29"/>
      <c r="J600" s="29"/>
      <c r="K600" s="29"/>
      <c r="L600" s="29"/>
      <c r="M600" s="29"/>
      <c r="N600" s="29"/>
      <c r="O600" s="29"/>
      <c r="P600" s="29"/>
      <c r="Q600" s="30"/>
      <c r="R600" s="29"/>
      <c r="S600" s="32"/>
      <c r="T600" s="29"/>
      <c r="U600" s="29"/>
      <c r="V600" s="24" t="str">
        <f aca="false">IF(A600="","",IFERROR(INDEX(Settings!$F$5:$F$49,MATCH(G600,Settings!$D$5:$D$49,0)),""))</f>
        <v/>
      </c>
      <c r="W600" s="24" t="str">
        <f aca="false">IF(A600="","",IF(OR(P600="",P600="Organic"),"social","paid_social"))</f>
        <v/>
      </c>
      <c r="X600" s="24" t="str">
        <f aca="false">IF(A600="","",IF(K600&lt;&gt;"",IFERROR(INDEX('Case Studies'!$C$5:$C$54,MATCH(K600,'Case Studies'!$B$5:$B$54,0))&amp;"","case-study"),IF(J600&lt;&gt;"",IFERROR(INDEX(Settings!$J$5:$J$55,MATCH(J600,Settings!$I$5:$I$55,0)),"general"),"general")))</f>
        <v/>
      </c>
      <c r="Y600" s="24" t="str">
        <f aca="false">IF(A600="","",LOWER(A600))</f>
        <v/>
      </c>
      <c r="Z600" s="24" t="str">
        <f aca="false">IF(A600="","",IF(T600="",Settings!$B$5,T600)&amp;IF(ISNUMBER(FIND("?",IF(T600="",Settings!$B$5,T600))),"&amp;","?")&amp;"utm_source="&amp;V600&amp;"&amp;utm_medium="&amp;W600&amp;"&amp;utm_campaign="&amp;X600&amp;"&amp;utm_content="&amp;Y600)</f>
        <v/>
      </c>
      <c r="AA600" s="29"/>
      <c r="AB600" s="39"/>
      <c r="AC600" s="32"/>
      <c r="AD600" s="32"/>
      <c r="AE600" s="32"/>
      <c r="AF600" s="32"/>
      <c r="AG600" s="32"/>
      <c r="AH600" s="32"/>
      <c r="AI600" s="32"/>
      <c r="AJ600" s="32"/>
      <c r="AK600" s="32"/>
      <c r="AL600" s="32"/>
      <c r="AM600" s="32"/>
      <c r="AN600" s="32"/>
      <c r="AO600" s="33" t="str">
        <f aca="false">IF(A600="","",IF(AD600&lt;&gt;"",AD600,IF(AC600&lt;&gt;"",AC600,"")))</f>
        <v/>
      </c>
      <c r="AP600" s="24" t="str">
        <f aca="false">IF(AO600="","",IF(AD600&lt;&gt;"","Reported reach","Impressions (proxy)"))</f>
        <v/>
      </c>
      <c r="AQ600" s="34" t="str">
        <f aca="false">IF(OR(AO600="",N(S600)=0),"",AO600/S600)</f>
        <v/>
      </c>
      <c r="AR600" s="33" t="str">
        <f aca="false">IF(A600="","",IF(COUNT(AF600:AJ600)=0,"",SUM(AF600:AJ600)))</f>
        <v/>
      </c>
      <c r="AS600" s="34" t="str">
        <f aca="false">IF(OR(AR600="",N(AO600)=0),"",AR600/AO600)</f>
        <v/>
      </c>
      <c r="AT600" s="34" t="str">
        <f aca="false">IF(OR(AR600="",N(AC600)=0),"",AR600/AC600)</f>
        <v/>
      </c>
      <c r="AU600" s="34" t="str">
        <f aca="false">IF(OR(AR600="",N(S600)=0),"",AR600/S600)</f>
        <v/>
      </c>
      <c r="AV600" s="34" t="str">
        <f aca="false">IF(OR(AJ600="",N(AC600)=0),"",AJ600/AC600)</f>
        <v/>
      </c>
      <c r="AW600" s="34" t="str">
        <f aca="false">IF(OR(AH600="",N(AO600)=0),"",AH600/AO600)</f>
        <v/>
      </c>
      <c r="AX600" s="35" t="str">
        <f aca="false">IF(OR(AR600="",N(AO600)=0),"",(N(AF600)*Settings!$B$6+N(AG600)*Settings!$B$7+N(AH600)*Settings!$B$8+N(AI600)*Settings!$B$9+N(AJ600)*Settings!$B$10)/AO600*1000)</f>
        <v/>
      </c>
      <c r="AY600" s="36" t="str">
        <f aca="false">IF(AS600="","",IFERROR(AS600/AVERAGEIFS('Post Tracker'!$AS$5:$AS$1004,'Post Tracker'!$G$5:$G$1004,G600),""))</f>
        <v/>
      </c>
      <c r="AZ600" s="32"/>
      <c r="BA600" s="32"/>
      <c r="BB600" s="32"/>
      <c r="BC600" s="32"/>
      <c r="BD600" s="33" t="str">
        <f aca="false">IF(A600="","",COUNTIFS('Demo Pipeline'!$Q$5:$Q$504,A600))</f>
        <v/>
      </c>
      <c r="BE600" s="33" t="str">
        <f aca="false">IF(A600="","",COUNTIFS('Demo Pipeline'!$Q$5:$Q$504,A600,'Demo Pipeline'!$W$5:$W$504,"Attended"))</f>
        <v/>
      </c>
      <c r="BF600" s="33" t="str">
        <f aca="false">IF(A600="","",COUNTIFS('Demo Pipeline'!$Q$5:$Q$504,A600,'Demo Pipeline'!$X$5:$X$504,"Yes"))</f>
        <v/>
      </c>
      <c r="BG600" s="33" t="str">
        <f aca="false">IF(A600="","",COUNTIFS('Demo Pipeline'!$Q$5:$Q$504,A600,'Demo Pipeline'!$Y$5:$Y$504,"Closed Won"))</f>
        <v/>
      </c>
      <c r="BH600" s="37" t="str">
        <f aca="false">IF(A600="","",SUMIFS('Demo Pipeline'!$Z$5:$Z$504,'Demo Pipeline'!$Q$5:$Q$504,A600))</f>
        <v/>
      </c>
      <c r="BI600" s="34" t="str">
        <f aca="false">IF(OR(AZ600="",N(AJ600)=0),"",AZ600/AJ600)</f>
        <v/>
      </c>
      <c r="BJ600" s="34" t="str">
        <f aca="false">IF(OR(BB600="",N(AZ600)=0),"",BB600/AZ600)</f>
        <v/>
      </c>
      <c r="BK600" s="34" t="str">
        <f aca="false">IF(OR(A600="",N(BB600)=0),"",BD600/BB600)</f>
        <v/>
      </c>
      <c r="BL600" s="34" t="str">
        <f aca="false">IF(OR(A600="",N(AZ600)=0),"",BD600/AZ600)</f>
        <v/>
      </c>
      <c r="BM600" s="37" t="str">
        <f aca="false">IF(OR(N(Q600)=0,N(BD600)=0),"",Q600/BD600)</f>
        <v/>
      </c>
      <c r="BN600" s="29"/>
      <c r="BO600" s="29"/>
      <c r="BP600" s="33" t="str">
        <f aca="false">IF(OR(AR600="",N(AO600)=0),"",AR600)</f>
        <v/>
      </c>
      <c r="BQ600" s="33" t="str">
        <f aca="false">IF(OR(AR600="",N(S600)=0),"",S600)</f>
        <v/>
      </c>
      <c r="BR600" s="38" t="str">
        <f aca="false">IF(AND(ISNUMBER(B600),B600&gt;=Dashboard!$C$4,B600&lt;=Dashboard!$F$4,ISNUMBER(AU600)),AU600+ROW()/10^9,"")</f>
        <v/>
      </c>
      <c r="BS600" s="38" t="str">
        <f aca="false">IF(AND(ISNUMBER(B600),B600&gt;=Dashboard!$C$4,B600&lt;=Dashboard!$F$4,A600&lt;&gt;""),N(BD600)+N(AU600)/100+ROW()/10^9,"")</f>
        <v/>
      </c>
    </row>
    <row r="601" customFormat="false" ht="15" hidden="false" customHeight="false" outlineLevel="0" collapsed="false">
      <c r="A601" s="24" t="str">
        <f aca="false">IF(OR(B601="",G601="",H601=""),"",IFERROR(INDEX(Settings!$E$5:$E$49,MATCH(G601,Settings!$D$5:$D$49,0))&amp;INDEX(Settings!$H$5:$H$47,MATCH(H601,Settings!$G$5:$G$47,0))&amp;"-"&amp;TEXT(B601,"yymmdd")&amp;"-"&amp;IF(C601="","0000",TEXT(C601,"hhmm")),"CHECK LISTS"))</f>
        <v/>
      </c>
      <c r="B601" s="39"/>
      <c r="C601" s="40"/>
      <c r="D601" s="24" t="str">
        <f aca="false">IF(B601="","",TEXT(B601,"ddd"))</f>
        <v/>
      </c>
      <c r="E601" s="27" t="str">
        <f aca="false">IF(B601="","",B601-WEEKDAY(B601,3))</f>
        <v/>
      </c>
      <c r="F601" s="24" t="str">
        <f aca="false">IF(B601="","",TEXT(B601,"yyyy-mm"))</f>
        <v/>
      </c>
      <c r="G601" s="29"/>
      <c r="H601" s="29"/>
      <c r="I601" s="29"/>
      <c r="J601" s="29"/>
      <c r="K601" s="29"/>
      <c r="L601" s="29"/>
      <c r="M601" s="29"/>
      <c r="N601" s="29"/>
      <c r="O601" s="29"/>
      <c r="P601" s="29"/>
      <c r="Q601" s="30"/>
      <c r="R601" s="29"/>
      <c r="S601" s="32"/>
      <c r="T601" s="29"/>
      <c r="U601" s="29"/>
      <c r="V601" s="24" t="str">
        <f aca="false">IF(A601="","",IFERROR(INDEX(Settings!$F$5:$F$49,MATCH(G601,Settings!$D$5:$D$49,0)),""))</f>
        <v/>
      </c>
      <c r="W601" s="24" t="str">
        <f aca="false">IF(A601="","",IF(OR(P601="",P601="Organic"),"social","paid_social"))</f>
        <v/>
      </c>
      <c r="X601" s="24" t="str">
        <f aca="false">IF(A601="","",IF(K601&lt;&gt;"",IFERROR(INDEX('Case Studies'!$C$5:$C$54,MATCH(K601,'Case Studies'!$B$5:$B$54,0))&amp;"","case-study"),IF(J601&lt;&gt;"",IFERROR(INDEX(Settings!$J$5:$J$55,MATCH(J601,Settings!$I$5:$I$55,0)),"general"),"general")))</f>
        <v/>
      </c>
      <c r="Y601" s="24" t="str">
        <f aca="false">IF(A601="","",LOWER(A601))</f>
        <v/>
      </c>
      <c r="Z601" s="24" t="str">
        <f aca="false">IF(A601="","",IF(T601="",Settings!$B$5,T601)&amp;IF(ISNUMBER(FIND("?",IF(T601="",Settings!$B$5,T601))),"&amp;","?")&amp;"utm_source="&amp;V601&amp;"&amp;utm_medium="&amp;W601&amp;"&amp;utm_campaign="&amp;X601&amp;"&amp;utm_content="&amp;Y601)</f>
        <v/>
      </c>
      <c r="AA601" s="29"/>
      <c r="AB601" s="39"/>
      <c r="AC601" s="32"/>
      <c r="AD601" s="32"/>
      <c r="AE601" s="32"/>
      <c r="AF601" s="32"/>
      <c r="AG601" s="32"/>
      <c r="AH601" s="32"/>
      <c r="AI601" s="32"/>
      <c r="AJ601" s="32"/>
      <c r="AK601" s="32"/>
      <c r="AL601" s="32"/>
      <c r="AM601" s="32"/>
      <c r="AN601" s="32"/>
      <c r="AO601" s="33" t="str">
        <f aca="false">IF(A601="","",IF(AD601&lt;&gt;"",AD601,IF(AC601&lt;&gt;"",AC601,"")))</f>
        <v/>
      </c>
      <c r="AP601" s="24" t="str">
        <f aca="false">IF(AO601="","",IF(AD601&lt;&gt;"","Reported reach","Impressions (proxy)"))</f>
        <v/>
      </c>
      <c r="AQ601" s="34" t="str">
        <f aca="false">IF(OR(AO601="",N(S601)=0),"",AO601/S601)</f>
        <v/>
      </c>
      <c r="AR601" s="33" t="str">
        <f aca="false">IF(A601="","",IF(COUNT(AF601:AJ601)=0,"",SUM(AF601:AJ601)))</f>
        <v/>
      </c>
      <c r="AS601" s="34" t="str">
        <f aca="false">IF(OR(AR601="",N(AO601)=0),"",AR601/AO601)</f>
        <v/>
      </c>
      <c r="AT601" s="34" t="str">
        <f aca="false">IF(OR(AR601="",N(AC601)=0),"",AR601/AC601)</f>
        <v/>
      </c>
      <c r="AU601" s="34" t="str">
        <f aca="false">IF(OR(AR601="",N(S601)=0),"",AR601/S601)</f>
        <v/>
      </c>
      <c r="AV601" s="34" t="str">
        <f aca="false">IF(OR(AJ601="",N(AC601)=0),"",AJ601/AC601)</f>
        <v/>
      </c>
      <c r="AW601" s="34" t="str">
        <f aca="false">IF(OR(AH601="",N(AO601)=0),"",AH601/AO601)</f>
        <v/>
      </c>
      <c r="AX601" s="35" t="str">
        <f aca="false">IF(OR(AR601="",N(AO601)=0),"",(N(AF601)*Settings!$B$6+N(AG601)*Settings!$B$7+N(AH601)*Settings!$B$8+N(AI601)*Settings!$B$9+N(AJ601)*Settings!$B$10)/AO601*1000)</f>
        <v/>
      </c>
      <c r="AY601" s="36" t="str">
        <f aca="false">IF(AS601="","",IFERROR(AS601/AVERAGEIFS('Post Tracker'!$AS$5:$AS$1004,'Post Tracker'!$G$5:$G$1004,G601),""))</f>
        <v/>
      </c>
      <c r="AZ601" s="32"/>
      <c r="BA601" s="32"/>
      <c r="BB601" s="32"/>
      <c r="BC601" s="32"/>
      <c r="BD601" s="33" t="str">
        <f aca="false">IF(A601="","",COUNTIFS('Demo Pipeline'!$Q$5:$Q$504,A601))</f>
        <v/>
      </c>
      <c r="BE601" s="33" t="str">
        <f aca="false">IF(A601="","",COUNTIFS('Demo Pipeline'!$Q$5:$Q$504,A601,'Demo Pipeline'!$W$5:$W$504,"Attended"))</f>
        <v/>
      </c>
      <c r="BF601" s="33" t="str">
        <f aca="false">IF(A601="","",COUNTIFS('Demo Pipeline'!$Q$5:$Q$504,A601,'Demo Pipeline'!$X$5:$X$504,"Yes"))</f>
        <v/>
      </c>
      <c r="BG601" s="33" t="str">
        <f aca="false">IF(A601="","",COUNTIFS('Demo Pipeline'!$Q$5:$Q$504,A601,'Demo Pipeline'!$Y$5:$Y$504,"Closed Won"))</f>
        <v/>
      </c>
      <c r="BH601" s="37" t="str">
        <f aca="false">IF(A601="","",SUMIFS('Demo Pipeline'!$Z$5:$Z$504,'Demo Pipeline'!$Q$5:$Q$504,A601))</f>
        <v/>
      </c>
      <c r="BI601" s="34" t="str">
        <f aca="false">IF(OR(AZ601="",N(AJ601)=0),"",AZ601/AJ601)</f>
        <v/>
      </c>
      <c r="BJ601" s="34" t="str">
        <f aca="false">IF(OR(BB601="",N(AZ601)=0),"",BB601/AZ601)</f>
        <v/>
      </c>
      <c r="BK601" s="34" t="str">
        <f aca="false">IF(OR(A601="",N(BB601)=0),"",BD601/BB601)</f>
        <v/>
      </c>
      <c r="BL601" s="34" t="str">
        <f aca="false">IF(OR(A601="",N(AZ601)=0),"",BD601/AZ601)</f>
        <v/>
      </c>
      <c r="BM601" s="37" t="str">
        <f aca="false">IF(OR(N(Q601)=0,N(BD601)=0),"",Q601/BD601)</f>
        <v/>
      </c>
      <c r="BN601" s="29"/>
      <c r="BO601" s="29"/>
      <c r="BP601" s="33" t="str">
        <f aca="false">IF(OR(AR601="",N(AO601)=0),"",AR601)</f>
        <v/>
      </c>
      <c r="BQ601" s="33" t="str">
        <f aca="false">IF(OR(AR601="",N(S601)=0),"",S601)</f>
        <v/>
      </c>
      <c r="BR601" s="38" t="str">
        <f aca="false">IF(AND(ISNUMBER(B601),B601&gt;=Dashboard!$C$4,B601&lt;=Dashboard!$F$4,ISNUMBER(AU601)),AU601+ROW()/10^9,"")</f>
        <v/>
      </c>
      <c r="BS601" s="38" t="str">
        <f aca="false">IF(AND(ISNUMBER(B601),B601&gt;=Dashboard!$C$4,B601&lt;=Dashboard!$F$4,A601&lt;&gt;""),N(BD601)+N(AU601)/100+ROW()/10^9,"")</f>
        <v/>
      </c>
    </row>
    <row r="602" customFormat="false" ht="15" hidden="false" customHeight="false" outlineLevel="0" collapsed="false">
      <c r="A602" s="24" t="str">
        <f aca="false">IF(OR(B602="",G602="",H602=""),"",IFERROR(INDEX(Settings!$E$5:$E$49,MATCH(G602,Settings!$D$5:$D$49,0))&amp;INDEX(Settings!$H$5:$H$47,MATCH(H602,Settings!$G$5:$G$47,0))&amp;"-"&amp;TEXT(B602,"yymmdd")&amp;"-"&amp;IF(C602="","0000",TEXT(C602,"hhmm")),"CHECK LISTS"))</f>
        <v/>
      </c>
      <c r="B602" s="39"/>
      <c r="C602" s="40"/>
      <c r="D602" s="24" t="str">
        <f aca="false">IF(B602="","",TEXT(B602,"ddd"))</f>
        <v/>
      </c>
      <c r="E602" s="27" t="str">
        <f aca="false">IF(B602="","",B602-WEEKDAY(B602,3))</f>
        <v/>
      </c>
      <c r="F602" s="24" t="str">
        <f aca="false">IF(B602="","",TEXT(B602,"yyyy-mm"))</f>
        <v/>
      </c>
      <c r="G602" s="29"/>
      <c r="H602" s="29"/>
      <c r="I602" s="29"/>
      <c r="J602" s="29"/>
      <c r="K602" s="29"/>
      <c r="L602" s="29"/>
      <c r="M602" s="29"/>
      <c r="N602" s="29"/>
      <c r="O602" s="29"/>
      <c r="P602" s="29"/>
      <c r="Q602" s="30"/>
      <c r="R602" s="29"/>
      <c r="S602" s="32"/>
      <c r="T602" s="29"/>
      <c r="U602" s="29"/>
      <c r="V602" s="24" t="str">
        <f aca="false">IF(A602="","",IFERROR(INDEX(Settings!$F$5:$F$49,MATCH(G602,Settings!$D$5:$D$49,0)),""))</f>
        <v/>
      </c>
      <c r="W602" s="24" t="str">
        <f aca="false">IF(A602="","",IF(OR(P602="",P602="Organic"),"social","paid_social"))</f>
        <v/>
      </c>
      <c r="X602" s="24" t="str">
        <f aca="false">IF(A602="","",IF(K602&lt;&gt;"",IFERROR(INDEX('Case Studies'!$C$5:$C$54,MATCH(K602,'Case Studies'!$B$5:$B$54,0))&amp;"","case-study"),IF(J602&lt;&gt;"",IFERROR(INDEX(Settings!$J$5:$J$55,MATCH(J602,Settings!$I$5:$I$55,0)),"general"),"general")))</f>
        <v/>
      </c>
      <c r="Y602" s="24" t="str">
        <f aca="false">IF(A602="","",LOWER(A602))</f>
        <v/>
      </c>
      <c r="Z602" s="24" t="str">
        <f aca="false">IF(A602="","",IF(T602="",Settings!$B$5,T602)&amp;IF(ISNUMBER(FIND("?",IF(T602="",Settings!$B$5,T602))),"&amp;","?")&amp;"utm_source="&amp;V602&amp;"&amp;utm_medium="&amp;W602&amp;"&amp;utm_campaign="&amp;X602&amp;"&amp;utm_content="&amp;Y602)</f>
        <v/>
      </c>
      <c r="AA602" s="29"/>
      <c r="AB602" s="39"/>
      <c r="AC602" s="32"/>
      <c r="AD602" s="32"/>
      <c r="AE602" s="32"/>
      <c r="AF602" s="32"/>
      <c r="AG602" s="32"/>
      <c r="AH602" s="32"/>
      <c r="AI602" s="32"/>
      <c r="AJ602" s="32"/>
      <c r="AK602" s="32"/>
      <c r="AL602" s="32"/>
      <c r="AM602" s="32"/>
      <c r="AN602" s="32"/>
      <c r="AO602" s="33" t="str">
        <f aca="false">IF(A602="","",IF(AD602&lt;&gt;"",AD602,IF(AC602&lt;&gt;"",AC602,"")))</f>
        <v/>
      </c>
      <c r="AP602" s="24" t="str">
        <f aca="false">IF(AO602="","",IF(AD602&lt;&gt;"","Reported reach","Impressions (proxy)"))</f>
        <v/>
      </c>
      <c r="AQ602" s="34" t="str">
        <f aca="false">IF(OR(AO602="",N(S602)=0),"",AO602/S602)</f>
        <v/>
      </c>
      <c r="AR602" s="33" t="str">
        <f aca="false">IF(A602="","",IF(COUNT(AF602:AJ602)=0,"",SUM(AF602:AJ602)))</f>
        <v/>
      </c>
      <c r="AS602" s="34" t="str">
        <f aca="false">IF(OR(AR602="",N(AO602)=0),"",AR602/AO602)</f>
        <v/>
      </c>
      <c r="AT602" s="34" t="str">
        <f aca="false">IF(OR(AR602="",N(AC602)=0),"",AR602/AC602)</f>
        <v/>
      </c>
      <c r="AU602" s="34" t="str">
        <f aca="false">IF(OR(AR602="",N(S602)=0),"",AR602/S602)</f>
        <v/>
      </c>
      <c r="AV602" s="34" t="str">
        <f aca="false">IF(OR(AJ602="",N(AC602)=0),"",AJ602/AC602)</f>
        <v/>
      </c>
      <c r="AW602" s="34" t="str">
        <f aca="false">IF(OR(AH602="",N(AO602)=0),"",AH602/AO602)</f>
        <v/>
      </c>
      <c r="AX602" s="35" t="str">
        <f aca="false">IF(OR(AR602="",N(AO602)=0),"",(N(AF602)*Settings!$B$6+N(AG602)*Settings!$B$7+N(AH602)*Settings!$B$8+N(AI602)*Settings!$B$9+N(AJ602)*Settings!$B$10)/AO602*1000)</f>
        <v/>
      </c>
      <c r="AY602" s="36" t="str">
        <f aca="false">IF(AS602="","",IFERROR(AS602/AVERAGEIFS('Post Tracker'!$AS$5:$AS$1004,'Post Tracker'!$G$5:$G$1004,G602),""))</f>
        <v/>
      </c>
      <c r="AZ602" s="32"/>
      <c r="BA602" s="32"/>
      <c r="BB602" s="32"/>
      <c r="BC602" s="32"/>
      <c r="BD602" s="33" t="str">
        <f aca="false">IF(A602="","",COUNTIFS('Demo Pipeline'!$Q$5:$Q$504,A602))</f>
        <v/>
      </c>
      <c r="BE602" s="33" t="str">
        <f aca="false">IF(A602="","",COUNTIFS('Demo Pipeline'!$Q$5:$Q$504,A602,'Demo Pipeline'!$W$5:$W$504,"Attended"))</f>
        <v/>
      </c>
      <c r="BF602" s="33" t="str">
        <f aca="false">IF(A602="","",COUNTIFS('Demo Pipeline'!$Q$5:$Q$504,A602,'Demo Pipeline'!$X$5:$X$504,"Yes"))</f>
        <v/>
      </c>
      <c r="BG602" s="33" t="str">
        <f aca="false">IF(A602="","",COUNTIFS('Demo Pipeline'!$Q$5:$Q$504,A602,'Demo Pipeline'!$Y$5:$Y$504,"Closed Won"))</f>
        <v/>
      </c>
      <c r="BH602" s="37" t="str">
        <f aca="false">IF(A602="","",SUMIFS('Demo Pipeline'!$Z$5:$Z$504,'Demo Pipeline'!$Q$5:$Q$504,A602))</f>
        <v/>
      </c>
      <c r="BI602" s="34" t="str">
        <f aca="false">IF(OR(AZ602="",N(AJ602)=0),"",AZ602/AJ602)</f>
        <v/>
      </c>
      <c r="BJ602" s="34" t="str">
        <f aca="false">IF(OR(BB602="",N(AZ602)=0),"",BB602/AZ602)</f>
        <v/>
      </c>
      <c r="BK602" s="34" t="str">
        <f aca="false">IF(OR(A602="",N(BB602)=0),"",BD602/BB602)</f>
        <v/>
      </c>
      <c r="BL602" s="34" t="str">
        <f aca="false">IF(OR(A602="",N(AZ602)=0),"",BD602/AZ602)</f>
        <v/>
      </c>
      <c r="BM602" s="37" t="str">
        <f aca="false">IF(OR(N(Q602)=0,N(BD602)=0),"",Q602/BD602)</f>
        <v/>
      </c>
      <c r="BN602" s="29"/>
      <c r="BO602" s="29"/>
      <c r="BP602" s="33" t="str">
        <f aca="false">IF(OR(AR602="",N(AO602)=0),"",AR602)</f>
        <v/>
      </c>
      <c r="BQ602" s="33" t="str">
        <f aca="false">IF(OR(AR602="",N(S602)=0),"",S602)</f>
        <v/>
      </c>
      <c r="BR602" s="38" t="str">
        <f aca="false">IF(AND(ISNUMBER(B602),B602&gt;=Dashboard!$C$4,B602&lt;=Dashboard!$F$4,ISNUMBER(AU602)),AU602+ROW()/10^9,"")</f>
        <v/>
      </c>
      <c r="BS602" s="38" t="str">
        <f aca="false">IF(AND(ISNUMBER(B602),B602&gt;=Dashboard!$C$4,B602&lt;=Dashboard!$F$4,A602&lt;&gt;""),N(BD602)+N(AU602)/100+ROW()/10^9,"")</f>
        <v/>
      </c>
    </row>
    <row r="603" customFormat="false" ht="15" hidden="false" customHeight="false" outlineLevel="0" collapsed="false">
      <c r="A603" s="24" t="str">
        <f aca="false">IF(OR(B603="",G603="",H603=""),"",IFERROR(INDEX(Settings!$E$5:$E$49,MATCH(G603,Settings!$D$5:$D$49,0))&amp;INDEX(Settings!$H$5:$H$47,MATCH(H603,Settings!$G$5:$G$47,0))&amp;"-"&amp;TEXT(B603,"yymmdd")&amp;"-"&amp;IF(C603="","0000",TEXT(C603,"hhmm")),"CHECK LISTS"))</f>
        <v/>
      </c>
      <c r="B603" s="39"/>
      <c r="C603" s="40"/>
      <c r="D603" s="24" t="str">
        <f aca="false">IF(B603="","",TEXT(B603,"ddd"))</f>
        <v/>
      </c>
      <c r="E603" s="27" t="str">
        <f aca="false">IF(B603="","",B603-WEEKDAY(B603,3))</f>
        <v/>
      </c>
      <c r="F603" s="24" t="str">
        <f aca="false">IF(B603="","",TEXT(B603,"yyyy-mm"))</f>
        <v/>
      </c>
      <c r="G603" s="29"/>
      <c r="H603" s="29"/>
      <c r="I603" s="29"/>
      <c r="J603" s="29"/>
      <c r="K603" s="29"/>
      <c r="L603" s="29"/>
      <c r="M603" s="29"/>
      <c r="N603" s="29"/>
      <c r="O603" s="29"/>
      <c r="P603" s="29"/>
      <c r="Q603" s="30"/>
      <c r="R603" s="29"/>
      <c r="S603" s="32"/>
      <c r="T603" s="29"/>
      <c r="U603" s="29"/>
      <c r="V603" s="24" t="str">
        <f aca="false">IF(A603="","",IFERROR(INDEX(Settings!$F$5:$F$49,MATCH(G603,Settings!$D$5:$D$49,0)),""))</f>
        <v/>
      </c>
      <c r="W603" s="24" t="str">
        <f aca="false">IF(A603="","",IF(OR(P603="",P603="Organic"),"social","paid_social"))</f>
        <v/>
      </c>
      <c r="X603" s="24" t="str">
        <f aca="false">IF(A603="","",IF(K603&lt;&gt;"",IFERROR(INDEX('Case Studies'!$C$5:$C$54,MATCH(K603,'Case Studies'!$B$5:$B$54,0))&amp;"","case-study"),IF(J603&lt;&gt;"",IFERROR(INDEX(Settings!$J$5:$J$55,MATCH(J603,Settings!$I$5:$I$55,0)),"general"),"general")))</f>
        <v/>
      </c>
      <c r="Y603" s="24" t="str">
        <f aca="false">IF(A603="","",LOWER(A603))</f>
        <v/>
      </c>
      <c r="Z603" s="24" t="str">
        <f aca="false">IF(A603="","",IF(T603="",Settings!$B$5,T603)&amp;IF(ISNUMBER(FIND("?",IF(T603="",Settings!$B$5,T603))),"&amp;","?")&amp;"utm_source="&amp;V603&amp;"&amp;utm_medium="&amp;W603&amp;"&amp;utm_campaign="&amp;X603&amp;"&amp;utm_content="&amp;Y603)</f>
        <v/>
      </c>
      <c r="AA603" s="29"/>
      <c r="AB603" s="39"/>
      <c r="AC603" s="32"/>
      <c r="AD603" s="32"/>
      <c r="AE603" s="32"/>
      <c r="AF603" s="32"/>
      <c r="AG603" s="32"/>
      <c r="AH603" s="32"/>
      <c r="AI603" s="32"/>
      <c r="AJ603" s="32"/>
      <c r="AK603" s="32"/>
      <c r="AL603" s="32"/>
      <c r="AM603" s="32"/>
      <c r="AN603" s="32"/>
      <c r="AO603" s="33" t="str">
        <f aca="false">IF(A603="","",IF(AD603&lt;&gt;"",AD603,IF(AC603&lt;&gt;"",AC603,"")))</f>
        <v/>
      </c>
      <c r="AP603" s="24" t="str">
        <f aca="false">IF(AO603="","",IF(AD603&lt;&gt;"","Reported reach","Impressions (proxy)"))</f>
        <v/>
      </c>
      <c r="AQ603" s="34" t="str">
        <f aca="false">IF(OR(AO603="",N(S603)=0),"",AO603/S603)</f>
        <v/>
      </c>
      <c r="AR603" s="33" t="str">
        <f aca="false">IF(A603="","",IF(COUNT(AF603:AJ603)=0,"",SUM(AF603:AJ603)))</f>
        <v/>
      </c>
      <c r="AS603" s="34" t="str">
        <f aca="false">IF(OR(AR603="",N(AO603)=0),"",AR603/AO603)</f>
        <v/>
      </c>
      <c r="AT603" s="34" t="str">
        <f aca="false">IF(OR(AR603="",N(AC603)=0),"",AR603/AC603)</f>
        <v/>
      </c>
      <c r="AU603" s="34" t="str">
        <f aca="false">IF(OR(AR603="",N(S603)=0),"",AR603/S603)</f>
        <v/>
      </c>
      <c r="AV603" s="34" t="str">
        <f aca="false">IF(OR(AJ603="",N(AC603)=0),"",AJ603/AC603)</f>
        <v/>
      </c>
      <c r="AW603" s="34" t="str">
        <f aca="false">IF(OR(AH603="",N(AO603)=0),"",AH603/AO603)</f>
        <v/>
      </c>
      <c r="AX603" s="35" t="str">
        <f aca="false">IF(OR(AR603="",N(AO603)=0),"",(N(AF603)*Settings!$B$6+N(AG603)*Settings!$B$7+N(AH603)*Settings!$B$8+N(AI603)*Settings!$B$9+N(AJ603)*Settings!$B$10)/AO603*1000)</f>
        <v/>
      </c>
      <c r="AY603" s="36" t="str">
        <f aca="false">IF(AS603="","",IFERROR(AS603/AVERAGEIFS('Post Tracker'!$AS$5:$AS$1004,'Post Tracker'!$G$5:$G$1004,G603),""))</f>
        <v/>
      </c>
      <c r="AZ603" s="32"/>
      <c r="BA603" s="32"/>
      <c r="BB603" s="32"/>
      <c r="BC603" s="32"/>
      <c r="BD603" s="33" t="str">
        <f aca="false">IF(A603="","",COUNTIFS('Demo Pipeline'!$Q$5:$Q$504,A603))</f>
        <v/>
      </c>
      <c r="BE603" s="33" t="str">
        <f aca="false">IF(A603="","",COUNTIFS('Demo Pipeline'!$Q$5:$Q$504,A603,'Demo Pipeline'!$W$5:$W$504,"Attended"))</f>
        <v/>
      </c>
      <c r="BF603" s="33" t="str">
        <f aca="false">IF(A603="","",COUNTIFS('Demo Pipeline'!$Q$5:$Q$504,A603,'Demo Pipeline'!$X$5:$X$504,"Yes"))</f>
        <v/>
      </c>
      <c r="BG603" s="33" t="str">
        <f aca="false">IF(A603="","",COUNTIFS('Demo Pipeline'!$Q$5:$Q$504,A603,'Demo Pipeline'!$Y$5:$Y$504,"Closed Won"))</f>
        <v/>
      </c>
      <c r="BH603" s="37" t="str">
        <f aca="false">IF(A603="","",SUMIFS('Demo Pipeline'!$Z$5:$Z$504,'Demo Pipeline'!$Q$5:$Q$504,A603))</f>
        <v/>
      </c>
      <c r="BI603" s="34" t="str">
        <f aca="false">IF(OR(AZ603="",N(AJ603)=0),"",AZ603/AJ603)</f>
        <v/>
      </c>
      <c r="BJ603" s="34" t="str">
        <f aca="false">IF(OR(BB603="",N(AZ603)=0),"",BB603/AZ603)</f>
        <v/>
      </c>
      <c r="BK603" s="34" t="str">
        <f aca="false">IF(OR(A603="",N(BB603)=0),"",BD603/BB603)</f>
        <v/>
      </c>
      <c r="BL603" s="34" t="str">
        <f aca="false">IF(OR(A603="",N(AZ603)=0),"",BD603/AZ603)</f>
        <v/>
      </c>
      <c r="BM603" s="37" t="str">
        <f aca="false">IF(OR(N(Q603)=0,N(BD603)=0),"",Q603/BD603)</f>
        <v/>
      </c>
      <c r="BN603" s="29"/>
      <c r="BO603" s="29"/>
      <c r="BP603" s="33" t="str">
        <f aca="false">IF(OR(AR603="",N(AO603)=0),"",AR603)</f>
        <v/>
      </c>
      <c r="BQ603" s="33" t="str">
        <f aca="false">IF(OR(AR603="",N(S603)=0),"",S603)</f>
        <v/>
      </c>
      <c r="BR603" s="38" t="str">
        <f aca="false">IF(AND(ISNUMBER(B603),B603&gt;=Dashboard!$C$4,B603&lt;=Dashboard!$F$4,ISNUMBER(AU603)),AU603+ROW()/10^9,"")</f>
        <v/>
      </c>
      <c r="BS603" s="38" t="str">
        <f aca="false">IF(AND(ISNUMBER(B603),B603&gt;=Dashboard!$C$4,B603&lt;=Dashboard!$F$4,A603&lt;&gt;""),N(BD603)+N(AU603)/100+ROW()/10^9,"")</f>
        <v/>
      </c>
    </row>
    <row r="604" customFormat="false" ht="15" hidden="false" customHeight="false" outlineLevel="0" collapsed="false">
      <c r="A604" s="24" t="str">
        <f aca="false">IF(OR(B604="",G604="",H604=""),"",IFERROR(INDEX(Settings!$E$5:$E$49,MATCH(G604,Settings!$D$5:$D$49,0))&amp;INDEX(Settings!$H$5:$H$47,MATCH(H604,Settings!$G$5:$G$47,0))&amp;"-"&amp;TEXT(B604,"yymmdd")&amp;"-"&amp;IF(C604="","0000",TEXT(C604,"hhmm")),"CHECK LISTS"))</f>
        <v/>
      </c>
      <c r="B604" s="39"/>
      <c r="C604" s="40"/>
      <c r="D604" s="24" t="str">
        <f aca="false">IF(B604="","",TEXT(B604,"ddd"))</f>
        <v/>
      </c>
      <c r="E604" s="27" t="str">
        <f aca="false">IF(B604="","",B604-WEEKDAY(B604,3))</f>
        <v/>
      </c>
      <c r="F604" s="24" t="str">
        <f aca="false">IF(B604="","",TEXT(B604,"yyyy-mm"))</f>
        <v/>
      </c>
      <c r="G604" s="29"/>
      <c r="H604" s="29"/>
      <c r="I604" s="29"/>
      <c r="J604" s="29"/>
      <c r="K604" s="29"/>
      <c r="L604" s="29"/>
      <c r="M604" s="29"/>
      <c r="N604" s="29"/>
      <c r="O604" s="29"/>
      <c r="P604" s="29"/>
      <c r="Q604" s="30"/>
      <c r="R604" s="29"/>
      <c r="S604" s="32"/>
      <c r="T604" s="29"/>
      <c r="U604" s="29"/>
      <c r="V604" s="24" t="str">
        <f aca="false">IF(A604="","",IFERROR(INDEX(Settings!$F$5:$F$49,MATCH(G604,Settings!$D$5:$D$49,0)),""))</f>
        <v/>
      </c>
      <c r="W604" s="24" t="str">
        <f aca="false">IF(A604="","",IF(OR(P604="",P604="Organic"),"social","paid_social"))</f>
        <v/>
      </c>
      <c r="X604" s="24" t="str">
        <f aca="false">IF(A604="","",IF(K604&lt;&gt;"",IFERROR(INDEX('Case Studies'!$C$5:$C$54,MATCH(K604,'Case Studies'!$B$5:$B$54,0))&amp;"","case-study"),IF(J604&lt;&gt;"",IFERROR(INDEX(Settings!$J$5:$J$55,MATCH(J604,Settings!$I$5:$I$55,0)),"general"),"general")))</f>
        <v/>
      </c>
      <c r="Y604" s="24" t="str">
        <f aca="false">IF(A604="","",LOWER(A604))</f>
        <v/>
      </c>
      <c r="Z604" s="24" t="str">
        <f aca="false">IF(A604="","",IF(T604="",Settings!$B$5,T604)&amp;IF(ISNUMBER(FIND("?",IF(T604="",Settings!$B$5,T604))),"&amp;","?")&amp;"utm_source="&amp;V604&amp;"&amp;utm_medium="&amp;W604&amp;"&amp;utm_campaign="&amp;X604&amp;"&amp;utm_content="&amp;Y604)</f>
        <v/>
      </c>
      <c r="AA604" s="29"/>
      <c r="AB604" s="39"/>
      <c r="AC604" s="32"/>
      <c r="AD604" s="32"/>
      <c r="AE604" s="32"/>
      <c r="AF604" s="32"/>
      <c r="AG604" s="32"/>
      <c r="AH604" s="32"/>
      <c r="AI604" s="32"/>
      <c r="AJ604" s="32"/>
      <c r="AK604" s="32"/>
      <c r="AL604" s="32"/>
      <c r="AM604" s="32"/>
      <c r="AN604" s="32"/>
      <c r="AO604" s="33" t="str">
        <f aca="false">IF(A604="","",IF(AD604&lt;&gt;"",AD604,IF(AC604&lt;&gt;"",AC604,"")))</f>
        <v/>
      </c>
      <c r="AP604" s="24" t="str">
        <f aca="false">IF(AO604="","",IF(AD604&lt;&gt;"","Reported reach","Impressions (proxy)"))</f>
        <v/>
      </c>
      <c r="AQ604" s="34" t="str">
        <f aca="false">IF(OR(AO604="",N(S604)=0),"",AO604/S604)</f>
        <v/>
      </c>
      <c r="AR604" s="33" t="str">
        <f aca="false">IF(A604="","",IF(COUNT(AF604:AJ604)=0,"",SUM(AF604:AJ604)))</f>
        <v/>
      </c>
      <c r="AS604" s="34" t="str">
        <f aca="false">IF(OR(AR604="",N(AO604)=0),"",AR604/AO604)</f>
        <v/>
      </c>
      <c r="AT604" s="34" t="str">
        <f aca="false">IF(OR(AR604="",N(AC604)=0),"",AR604/AC604)</f>
        <v/>
      </c>
      <c r="AU604" s="34" t="str">
        <f aca="false">IF(OR(AR604="",N(S604)=0),"",AR604/S604)</f>
        <v/>
      </c>
      <c r="AV604" s="34" t="str">
        <f aca="false">IF(OR(AJ604="",N(AC604)=0),"",AJ604/AC604)</f>
        <v/>
      </c>
      <c r="AW604" s="34" t="str">
        <f aca="false">IF(OR(AH604="",N(AO604)=0),"",AH604/AO604)</f>
        <v/>
      </c>
      <c r="AX604" s="35" t="str">
        <f aca="false">IF(OR(AR604="",N(AO604)=0),"",(N(AF604)*Settings!$B$6+N(AG604)*Settings!$B$7+N(AH604)*Settings!$B$8+N(AI604)*Settings!$B$9+N(AJ604)*Settings!$B$10)/AO604*1000)</f>
        <v/>
      </c>
      <c r="AY604" s="36" t="str">
        <f aca="false">IF(AS604="","",IFERROR(AS604/AVERAGEIFS('Post Tracker'!$AS$5:$AS$1004,'Post Tracker'!$G$5:$G$1004,G604),""))</f>
        <v/>
      </c>
      <c r="AZ604" s="32"/>
      <c r="BA604" s="32"/>
      <c r="BB604" s="32"/>
      <c r="BC604" s="32"/>
      <c r="BD604" s="33" t="str">
        <f aca="false">IF(A604="","",COUNTIFS('Demo Pipeline'!$Q$5:$Q$504,A604))</f>
        <v/>
      </c>
      <c r="BE604" s="33" t="str">
        <f aca="false">IF(A604="","",COUNTIFS('Demo Pipeline'!$Q$5:$Q$504,A604,'Demo Pipeline'!$W$5:$W$504,"Attended"))</f>
        <v/>
      </c>
      <c r="BF604" s="33" t="str">
        <f aca="false">IF(A604="","",COUNTIFS('Demo Pipeline'!$Q$5:$Q$504,A604,'Demo Pipeline'!$X$5:$X$504,"Yes"))</f>
        <v/>
      </c>
      <c r="BG604" s="33" t="str">
        <f aca="false">IF(A604="","",COUNTIFS('Demo Pipeline'!$Q$5:$Q$504,A604,'Demo Pipeline'!$Y$5:$Y$504,"Closed Won"))</f>
        <v/>
      </c>
      <c r="BH604" s="37" t="str">
        <f aca="false">IF(A604="","",SUMIFS('Demo Pipeline'!$Z$5:$Z$504,'Demo Pipeline'!$Q$5:$Q$504,A604))</f>
        <v/>
      </c>
      <c r="BI604" s="34" t="str">
        <f aca="false">IF(OR(AZ604="",N(AJ604)=0),"",AZ604/AJ604)</f>
        <v/>
      </c>
      <c r="BJ604" s="34" t="str">
        <f aca="false">IF(OR(BB604="",N(AZ604)=0),"",BB604/AZ604)</f>
        <v/>
      </c>
      <c r="BK604" s="34" t="str">
        <f aca="false">IF(OR(A604="",N(BB604)=0),"",BD604/BB604)</f>
        <v/>
      </c>
      <c r="BL604" s="34" t="str">
        <f aca="false">IF(OR(A604="",N(AZ604)=0),"",BD604/AZ604)</f>
        <v/>
      </c>
      <c r="BM604" s="37" t="str">
        <f aca="false">IF(OR(N(Q604)=0,N(BD604)=0),"",Q604/BD604)</f>
        <v/>
      </c>
      <c r="BN604" s="29"/>
      <c r="BO604" s="29"/>
      <c r="BP604" s="33" t="str">
        <f aca="false">IF(OR(AR604="",N(AO604)=0),"",AR604)</f>
        <v/>
      </c>
      <c r="BQ604" s="33" t="str">
        <f aca="false">IF(OR(AR604="",N(S604)=0),"",S604)</f>
        <v/>
      </c>
      <c r="BR604" s="38" t="str">
        <f aca="false">IF(AND(ISNUMBER(B604),B604&gt;=Dashboard!$C$4,B604&lt;=Dashboard!$F$4,ISNUMBER(AU604)),AU604+ROW()/10^9,"")</f>
        <v/>
      </c>
      <c r="BS604" s="38" t="str">
        <f aca="false">IF(AND(ISNUMBER(B604),B604&gt;=Dashboard!$C$4,B604&lt;=Dashboard!$F$4,A604&lt;&gt;""),N(BD604)+N(AU604)/100+ROW()/10^9,"")</f>
        <v/>
      </c>
    </row>
    <row r="605" customFormat="false" ht="15" hidden="false" customHeight="false" outlineLevel="0" collapsed="false">
      <c r="A605" s="24" t="str">
        <f aca="false">IF(OR(B605="",G605="",H605=""),"",IFERROR(INDEX(Settings!$E$5:$E$49,MATCH(G605,Settings!$D$5:$D$49,0))&amp;INDEX(Settings!$H$5:$H$47,MATCH(H605,Settings!$G$5:$G$47,0))&amp;"-"&amp;TEXT(B605,"yymmdd")&amp;"-"&amp;IF(C605="","0000",TEXT(C605,"hhmm")),"CHECK LISTS"))</f>
        <v/>
      </c>
      <c r="B605" s="39"/>
      <c r="C605" s="40"/>
      <c r="D605" s="24" t="str">
        <f aca="false">IF(B605="","",TEXT(B605,"ddd"))</f>
        <v/>
      </c>
      <c r="E605" s="27" t="str">
        <f aca="false">IF(B605="","",B605-WEEKDAY(B605,3))</f>
        <v/>
      </c>
      <c r="F605" s="24" t="str">
        <f aca="false">IF(B605="","",TEXT(B605,"yyyy-mm"))</f>
        <v/>
      </c>
      <c r="G605" s="29"/>
      <c r="H605" s="29"/>
      <c r="I605" s="29"/>
      <c r="J605" s="29"/>
      <c r="K605" s="29"/>
      <c r="L605" s="29"/>
      <c r="M605" s="29"/>
      <c r="N605" s="29"/>
      <c r="O605" s="29"/>
      <c r="P605" s="29"/>
      <c r="Q605" s="30"/>
      <c r="R605" s="29"/>
      <c r="S605" s="32"/>
      <c r="T605" s="29"/>
      <c r="U605" s="29"/>
      <c r="V605" s="24" t="str">
        <f aca="false">IF(A605="","",IFERROR(INDEX(Settings!$F$5:$F$49,MATCH(G605,Settings!$D$5:$D$49,0)),""))</f>
        <v/>
      </c>
      <c r="W605" s="24" t="str">
        <f aca="false">IF(A605="","",IF(OR(P605="",P605="Organic"),"social","paid_social"))</f>
        <v/>
      </c>
      <c r="X605" s="24" t="str">
        <f aca="false">IF(A605="","",IF(K605&lt;&gt;"",IFERROR(INDEX('Case Studies'!$C$5:$C$54,MATCH(K605,'Case Studies'!$B$5:$B$54,0))&amp;"","case-study"),IF(J605&lt;&gt;"",IFERROR(INDEX(Settings!$J$5:$J$55,MATCH(J605,Settings!$I$5:$I$55,0)),"general"),"general")))</f>
        <v/>
      </c>
      <c r="Y605" s="24" t="str">
        <f aca="false">IF(A605="","",LOWER(A605))</f>
        <v/>
      </c>
      <c r="Z605" s="24" t="str">
        <f aca="false">IF(A605="","",IF(T605="",Settings!$B$5,T605)&amp;IF(ISNUMBER(FIND("?",IF(T605="",Settings!$B$5,T605))),"&amp;","?")&amp;"utm_source="&amp;V605&amp;"&amp;utm_medium="&amp;W605&amp;"&amp;utm_campaign="&amp;X605&amp;"&amp;utm_content="&amp;Y605)</f>
        <v/>
      </c>
      <c r="AA605" s="29"/>
      <c r="AB605" s="39"/>
      <c r="AC605" s="32"/>
      <c r="AD605" s="32"/>
      <c r="AE605" s="32"/>
      <c r="AF605" s="32"/>
      <c r="AG605" s="32"/>
      <c r="AH605" s="32"/>
      <c r="AI605" s="32"/>
      <c r="AJ605" s="32"/>
      <c r="AK605" s="32"/>
      <c r="AL605" s="32"/>
      <c r="AM605" s="32"/>
      <c r="AN605" s="32"/>
      <c r="AO605" s="33" t="str">
        <f aca="false">IF(A605="","",IF(AD605&lt;&gt;"",AD605,IF(AC605&lt;&gt;"",AC605,"")))</f>
        <v/>
      </c>
      <c r="AP605" s="24" t="str">
        <f aca="false">IF(AO605="","",IF(AD605&lt;&gt;"","Reported reach","Impressions (proxy)"))</f>
        <v/>
      </c>
      <c r="AQ605" s="34" t="str">
        <f aca="false">IF(OR(AO605="",N(S605)=0),"",AO605/S605)</f>
        <v/>
      </c>
      <c r="AR605" s="33" t="str">
        <f aca="false">IF(A605="","",IF(COUNT(AF605:AJ605)=0,"",SUM(AF605:AJ605)))</f>
        <v/>
      </c>
      <c r="AS605" s="34" t="str">
        <f aca="false">IF(OR(AR605="",N(AO605)=0),"",AR605/AO605)</f>
        <v/>
      </c>
      <c r="AT605" s="34" t="str">
        <f aca="false">IF(OR(AR605="",N(AC605)=0),"",AR605/AC605)</f>
        <v/>
      </c>
      <c r="AU605" s="34" t="str">
        <f aca="false">IF(OR(AR605="",N(S605)=0),"",AR605/S605)</f>
        <v/>
      </c>
      <c r="AV605" s="34" t="str">
        <f aca="false">IF(OR(AJ605="",N(AC605)=0),"",AJ605/AC605)</f>
        <v/>
      </c>
      <c r="AW605" s="34" t="str">
        <f aca="false">IF(OR(AH605="",N(AO605)=0),"",AH605/AO605)</f>
        <v/>
      </c>
      <c r="AX605" s="35" t="str">
        <f aca="false">IF(OR(AR605="",N(AO605)=0),"",(N(AF605)*Settings!$B$6+N(AG605)*Settings!$B$7+N(AH605)*Settings!$B$8+N(AI605)*Settings!$B$9+N(AJ605)*Settings!$B$10)/AO605*1000)</f>
        <v/>
      </c>
      <c r="AY605" s="36" t="str">
        <f aca="false">IF(AS605="","",IFERROR(AS605/AVERAGEIFS('Post Tracker'!$AS$5:$AS$1004,'Post Tracker'!$G$5:$G$1004,G605),""))</f>
        <v/>
      </c>
      <c r="AZ605" s="32"/>
      <c r="BA605" s="32"/>
      <c r="BB605" s="32"/>
      <c r="BC605" s="32"/>
      <c r="BD605" s="33" t="str">
        <f aca="false">IF(A605="","",COUNTIFS('Demo Pipeline'!$Q$5:$Q$504,A605))</f>
        <v/>
      </c>
      <c r="BE605" s="33" t="str">
        <f aca="false">IF(A605="","",COUNTIFS('Demo Pipeline'!$Q$5:$Q$504,A605,'Demo Pipeline'!$W$5:$W$504,"Attended"))</f>
        <v/>
      </c>
      <c r="BF605" s="33" t="str">
        <f aca="false">IF(A605="","",COUNTIFS('Demo Pipeline'!$Q$5:$Q$504,A605,'Demo Pipeline'!$X$5:$X$504,"Yes"))</f>
        <v/>
      </c>
      <c r="BG605" s="33" t="str">
        <f aca="false">IF(A605="","",COUNTIFS('Demo Pipeline'!$Q$5:$Q$504,A605,'Demo Pipeline'!$Y$5:$Y$504,"Closed Won"))</f>
        <v/>
      </c>
      <c r="BH605" s="37" t="str">
        <f aca="false">IF(A605="","",SUMIFS('Demo Pipeline'!$Z$5:$Z$504,'Demo Pipeline'!$Q$5:$Q$504,A605))</f>
        <v/>
      </c>
      <c r="BI605" s="34" t="str">
        <f aca="false">IF(OR(AZ605="",N(AJ605)=0),"",AZ605/AJ605)</f>
        <v/>
      </c>
      <c r="BJ605" s="34" t="str">
        <f aca="false">IF(OR(BB605="",N(AZ605)=0),"",BB605/AZ605)</f>
        <v/>
      </c>
      <c r="BK605" s="34" t="str">
        <f aca="false">IF(OR(A605="",N(BB605)=0),"",BD605/BB605)</f>
        <v/>
      </c>
      <c r="BL605" s="34" t="str">
        <f aca="false">IF(OR(A605="",N(AZ605)=0),"",BD605/AZ605)</f>
        <v/>
      </c>
      <c r="BM605" s="37" t="str">
        <f aca="false">IF(OR(N(Q605)=0,N(BD605)=0),"",Q605/BD605)</f>
        <v/>
      </c>
      <c r="BN605" s="29"/>
      <c r="BO605" s="29"/>
      <c r="BP605" s="33" t="str">
        <f aca="false">IF(OR(AR605="",N(AO605)=0),"",AR605)</f>
        <v/>
      </c>
      <c r="BQ605" s="33" t="str">
        <f aca="false">IF(OR(AR605="",N(S605)=0),"",S605)</f>
        <v/>
      </c>
      <c r="BR605" s="38" t="str">
        <f aca="false">IF(AND(ISNUMBER(B605),B605&gt;=Dashboard!$C$4,B605&lt;=Dashboard!$F$4,ISNUMBER(AU605)),AU605+ROW()/10^9,"")</f>
        <v/>
      </c>
      <c r="BS605" s="38" t="str">
        <f aca="false">IF(AND(ISNUMBER(B605),B605&gt;=Dashboard!$C$4,B605&lt;=Dashboard!$F$4,A605&lt;&gt;""),N(BD605)+N(AU605)/100+ROW()/10^9,"")</f>
        <v/>
      </c>
    </row>
    <row r="606" customFormat="false" ht="15" hidden="false" customHeight="false" outlineLevel="0" collapsed="false">
      <c r="A606" s="24" t="str">
        <f aca="false">IF(OR(B606="",G606="",H606=""),"",IFERROR(INDEX(Settings!$E$5:$E$49,MATCH(G606,Settings!$D$5:$D$49,0))&amp;INDEX(Settings!$H$5:$H$47,MATCH(H606,Settings!$G$5:$G$47,0))&amp;"-"&amp;TEXT(B606,"yymmdd")&amp;"-"&amp;IF(C606="","0000",TEXT(C606,"hhmm")),"CHECK LISTS"))</f>
        <v/>
      </c>
      <c r="B606" s="39"/>
      <c r="C606" s="40"/>
      <c r="D606" s="24" t="str">
        <f aca="false">IF(B606="","",TEXT(B606,"ddd"))</f>
        <v/>
      </c>
      <c r="E606" s="27" t="str">
        <f aca="false">IF(B606="","",B606-WEEKDAY(B606,3))</f>
        <v/>
      </c>
      <c r="F606" s="24" t="str">
        <f aca="false">IF(B606="","",TEXT(B606,"yyyy-mm"))</f>
        <v/>
      </c>
      <c r="G606" s="29"/>
      <c r="H606" s="29"/>
      <c r="I606" s="29"/>
      <c r="J606" s="29"/>
      <c r="K606" s="29"/>
      <c r="L606" s="29"/>
      <c r="M606" s="29"/>
      <c r="N606" s="29"/>
      <c r="O606" s="29"/>
      <c r="P606" s="29"/>
      <c r="Q606" s="30"/>
      <c r="R606" s="29"/>
      <c r="S606" s="32"/>
      <c r="T606" s="29"/>
      <c r="U606" s="29"/>
      <c r="V606" s="24" t="str">
        <f aca="false">IF(A606="","",IFERROR(INDEX(Settings!$F$5:$F$49,MATCH(G606,Settings!$D$5:$D$49,0)),""))</f>
        <v/>
      </c>
      <c r="W606" s="24" t="str">
        <f aca="false">IF(A606="","",IF(OR(P606="",P606="Organic"),"social","paid_social"))</f>
        <v/>
      </c>
      <c r="X606" s="24" t="str">
        <f aca="false">IF(A606="","",IF(K606&lt;&gt;"",IFERROR(INDEX('Case Studies'!$C$5:$C$54,MATCH(K606,'Case Studies'!$B$5:$B$54,0))&amp;"","case-study"),IF(J606&lt;&gt;"",IFERROR(INDEX(Settings!$J$5:$J$55,MATCH(J606,Settings!$I$5:$I$55,0)),"general"),"general")))</f>
        <v/>
      </c>
      <c r="Y606" s="24" t="str">
        <f aca="false">IF(A606="","",LOWER(A606))</f>
        <v/>
      </c>
      <c r="Z606" s="24" t="str">
        <f aca="false">IF(A606="","",IF(T606="",Settings!$B$5,T606)&amp;IF(ISNUMBER(FIND("?",IF(T606="",Settings!$B$5,T606))),"&amp;","?")&amp;"utm_source="&amp;V606&amp;"&amp;utm_medium="&amp;W606&amp;"&amp;utm_campaign="&amp;X606&amp;"&amp;utm_content="&amp;Y606)</f>
        <v/>
      </c>
      <c r="AA606" s="29"/>
      <c r="AB606" s="39"/>
      <c r="AC606" s="32"/>
      <c r="AD606" s="32"/>
      <c r="AE606" s="32"/>
      <c r="AF606" s="32"/>
      <c r="AG606" s="32"/>
      <c r="AH606" s="32"/>
      <c r="AI606" s="32"/>
      <c r="AJ606" s="32"/>
      <c r="AK606" s="32"/>
      <c r="AL606" s="32"/>
      <c r="AM606" s="32"/>
      <c r="AN606" s="32"/>
      <c r="AO606" s="33" t="str">
        <f aca="false">IF(A606="","",IF(AD606&lt;&gt;"",AD606,IF(AC606&lt;&gt;"",AC606,"")))</f>
        <v/>
      </c>
      <c r="AP606" s="24" t="str">
        <f aca="false">IF(AO606="","",IF(AD606&lt;&gt;"","Reported reach","Impressions (proxy)"))</f>
        <v/>
      </c>
      <c r="AQ606" s="34" t="str">
        <f aca="false">IF(OR(AO606="",N(S606)=0),"",AO606/S606)</f>
        <v/>
      </c>
      <c r="AR606" s="33" t="str">
        <f aca="false">IF(A606="","",IF(COUNT(AF606:AJ606)=0,"",SUM(AF606:AJ606)))</f>
        <v/>
      </c>
      <c r="AS606" s="34" t="str">
        <f aca="false">IF(OR(AR606="",N(AO606)=0),"",AR606/AO606)</f>
        <v/>
      </c>
      <c r="AT606" s="34" t="str">
        <f aca="false">IF(OR(AR606="",N(AC606)=0),"",AR606/AC606)</f>
        <v/>
      </c>
      <c r="AU606" s="34" t="str">
        <f aca="false">IF(OR(AR606="",N(S606)=0),"",AR606/S606)</f>
        <v/>
      </c>
      <c r="AV606" s="34" t="str">
        <f aca="false">IF(OR(AJ606="",N(AC606)=0),"",AJ606/AC606)</f>
        <v/>
      </c>
      <c r="AW606" s="34" t="str">
        <f aca="false">IF(OR(AH606="",N(AO606)=0),"",AH606/AO606)</f>
        <v/>
      </c>
      <c r="AX606" s="35" t="str">
        <f aca="false">IF(OR(AR606="",N(AO606)=0),"",(N(AF606)*Settings!$B$6+N(AG606)*Settings!$B$7+N(AH606)*Settings!$B$8+N(AI606)*Settings!$B$9+N(AJ606)*Settings!$B$10)/AO606*1000)</f>
        <v/>
      </c>
      <c r="AY606" s="36" t="str">
        <f aca="false">IF(AS606="","",IFERROR(AS606/AVERAGEIFS('Post Tracker'!$AS$5:$AS$1004,'Post Tracker'!$G$5:$G$1004,G606),""))</f>
        <v/>
      </c>
      <c r="AZ606" s="32"/>
      <c r="BA606" s="32"/>
      <c r="BB606" s="32"/>
      <c r="BC606" s="32"/>
      <c r="BD606" s="33" t="str">
        <f aca="false">IF(A606="","",COUNTIFS('Demo Pipeline'!$Q$5:$Q$504,A606))</f>
        <v/>
      </c>
      <c r="BE606" s="33" t="str">
        <f aca="false">IF(A606="","",COUNTIFS('Demo Pipeline'!$Q$5:$Q$504,A606,'Demo Pipeline'!$W$5:$W$504,"Attended"))</f>
        <v/>
      </c>
      <c r="BF606" s="33" t="str">
        <f aca="false">IF(A606="","",COUNTIFS('Demo Pipeline'!$Q$5:$Q$504,A606,'Demo Pipeline'!$X$5:$X$504,"Yes"))</f>
        <v/>
      </c>
      <c r="BG606" s="33" t="str">
        <f aca="false">IF(A606="","",COUNTIFS('Demo Pipeline'!$Q$5:$Q$504,A606,'Demo Pipeline'!$Y$5:$Y$504,"Closed Won"))</f>
        <v/>
      </c>
      <c r="BH606" s="37" t="str">
        <f aca="false">IF(A606="","",SUMIFS('Demo Pipeline'!$Z$5:$Z$504,'Demo Pipeline'!$Q$5:$Q$504,A606))</f>
        <v/>
      </c>
      <c r="BI606" s="34" t="str">
        <f aca="false">IF(OR(AZ606="",N(AJ606)=0),"",AZ606/AJ606)</f>
        <v/>
      </c>
      <c r="BJ606" s="34" t="str">
        <f aca="false">IF(OR(BB606="",N(AZ606)=0),"",BB606/AZ606)</f>
        <v/>
      </c>
      <c r="BK606" s="34" t="str">
        <f aca="false">IF(OR(A606="",N(BB606)=0),"",BD606/BB606)</f>
        <v/>
      </c>
      <c r="BL606" s="34" t="str">
        <f aca="false">IF(OR(A606="",N(AZ606)=0),"",BD606/AZ606)</f>
        <v/>
      </c>
      <c r="BM606" s="37" t="str">
        <f aca="false">IF(OR(N(Q606)=0,N(BD606)=0),"",Q606/BD606)</f>
        <v/>
      </c>
      <c r="BN606" s="29"/>
      <c r="BO606" s="29"/>
      <c r="BP606" s="33" t="str">
        <f aca="false">IF(OR(AR606="",N(AO606)=0),"",AR606)</f>
        <v/>
      </c>
      <c r="BQ606" s="33" t="str">
        <f aca="false">IF(OR(AR606="",N(S606)=0),"",S606)</f>
        <v/>
      </c>
      <c r="BR606" s="38" t="str">
        <f aca="false">IF(AND(ISNUMBER(B606),B606&gt;=Dashboard!$C$4,B606&lt;=Dashboard!$F$4,ISNUMBER(AU606)),AU606+ROW()/10^9,"")</f>
        <v/>
      </c>
      <c r="BS606" s="38" t="str">
        <f aca="false">IF(AND(ISNUMBER(B606),B606&gt;=Dashboard!$C$4,B606&lt;=Dashboard!$F$4,A606&lt;&gt;""),N(BD606)+N(AU606)/100+ROW()/10^9,"")</f>
        <v/>
      </c>
    </row>
    <row r="607" customFormat="false" ht="15" hidden="false" customHeight="false" outlineLevel="0" collapsed="false">
      <c r="A607" s="24" t="str">
        <f aca="false">IF(OR(B607="",G607="",H607=""),"",IFERROR(INDEX(Settings!$E$5:$E$49,MATCH(G607,Settings!$D$5:$D$49,0))&amp;INDEX(Settings!$H$5:$H$47,MATCH(H607,Settings!$G$5:$G$47,0))&amp;"-"&amp;TEXT(B607,"yymmdd")&amp;"-"&amp;IF(C607="","0000",TEXT(C607,"hhmm")),"CHECK LISTS"))</f>
        <v/>
      </c>
      <c r="B607" s="39"/>
      <c r="C607" s="40"/>
      <c r="D607" s="24" t="str">
        <f aca="false">IF(B607="","",TEXT(B607,"ddd"))</f>
        <v/>
      </c>
      <c r="E607" s="27" t="str">
        <f aca="false">IF(B607="","",B607-WEEKDAY(B607,3))</f>
        <v/>
      </c>
      <c r="F607" s="24" t="str">
        <f aca="false">IF(B607="","",TEXT(B607,"yyyy-mm"))</f>
        <v/>
      </c>
      <c r="G607" s="29"/>
      <c r="H607" s="29"/>
      <c r="I607" s="29"/>
      <c r="J607" s="29"/>
      <c r="K607" s="29"/>
      <c r="L607" s="29"/>
      <c r="M607" s="29"/>
      <c r="N607" s="29"/>
      <c r="O607" s="29"/>
      <c r="P607" s="29"/>
      <c r="Q607" s="30"/>
      <c r="R607" s="29"/>
      <c r="S607" s="32"/>
      <c r="T607" s="29"/>
      <c r="U607" s="29"/>
      <c r="V607" s="24" t="str">
        <f aca="false">IF(A607="","",IFERROR(INDEX(Settings!$F$5:$F$49,MATCH(G607,Settings!$D$5:$D$49,0)),""))</f>
        <v/>
      </c>
      <c r="W607" s="24" t="str">
        <f aca="false">IF(A607="","",IF(OR(P607="",P607="Organic"),"social","paid_social"))</f>
        <v/>
      </c>
      <c r="X607" s="24" t="str">
        <f aca="false">IF(A607="","",IF(K607&lt;&gt;"",IFERROR(INDEX('Case Studies'!$C$5:$C$54,MATCH(K607,'Case Studies'!$B$5:$B$54,0))&amp;"","case-study"),IF(J607&lt;&gt;"",IFERROR(INDEX(Settings!$J$5:$J$55,MATCH(J607,Settings!$I$5:$I$55,0)),"general"),"general")))</f>
        <v/>
      </c>
      <c r="Y607" s="24" t="str">
        <f aca="false">IF(A607="","",LOWER(A607))</f>
        <v/>
      </c>
      <c r="Z607" s="24" t="str">
        <f aca="false">IF(A607="","",IF(T607="",Settings!$B$5,T607)&amp;IF(ISNUMBER(FIND("?",IF(T607="",Settings!$B$5,T607))),"&amp;","?")&amp;"utm_source="&amp;V607&amp;"&amp;utm_medium="&amp;W607&amp;"&amp;utm_campaign="&amp;X607&amp;"&amp;utm_content="&amp;Y607)</f>
        <v/>
      </c>
      <c r="AA607" s="29"/>
      <c r="AB607" s="39"/>
      <c r="AC607" s="32"/>
      <c r="AD607" s="32"/>
      <c r="AE607" s="32"/>
      <c r="AF607" s="32"/>
      <c r="AG607" s="32"/>
      <c r="AH607" s="32"/>
      <c r="AI607" s="32"/>
      <c r="AJ607" s="32"/>
      <c r="AK607" s="32"/>
      <c r="AL607" s="32"/>
      <c r="AM607" s="32"/>
      <c r="AN607" s="32"/>
      <c r="AO607" s="33" t="str">
        <f aca="false">IF(A607="","",IF(AD607&lt;&gt;"",AD607,IF(AC607&lt;&gt;"",AC607,"")))</f>
        <v/>
      </c>
      <c r="AP607" s="24" t="str">
        <f aca="false">IF(AO607="","",IF(AD607&lt;&gt;"","Reported reach","Impressions (proxy)"))</f>
        <v/>
      </c>
      <c r="AQ607" s="34" t="str">
        <f aca="false">IF(OR(AO607="",N(S607)=0),"",AO607/S607)</f>
        <v/>
      </c>
      <c r="AR607" s="33" t="str">
        <f aca="false">IF(A607="","",IF(COUNT(AF607:AJ607)=0,"",SUM(AF607:AJ607)))</f>
        <v/>
      </c>
      <c r="AS607" s="34" t="str">
        <f aca="false">IF(OR(AR607="",N(AO607)=0),"",AR607/AO607)</f>
        <v/>
      </c>
      <c r="AT607" s="34" t="str">
        <f aca="false">IF(OR(AR607="",N(AC607)=0),"",AR607/AC607)</f>
        <v/>
      </c>
      <c r="AU607" s="34" t="str">
        <f aca="false">IF(OR(AR607="",N(S607)=0),"",AR607/S607)</f>
        <v/>
      </c>
      <c r="AV607" s="34" t="str">
        <f aca="false">IF(OR(AJ607="",N(AC607)=0),"",AJ607/AC607)</f>
        <v/>
      </c>
      <c r="AW607" s="34" t="str">
        <f aca="false">IF(OR(AH607="",N(AO607)=0),"",AH607/AO607)</f>
        <v/>
      </c>
      <c r="AX607" s="35" t="str">
        <f aca="false">IF(OR(AR607="",N(AO607)=0),"",(N(AF607)*Settings!$B$6+N(AG607)*Settings!$B$7+N(AH607)*Settings!$B$8+N(AI607)*Settings!$B$9+N(AJ607)*Settings!$B$10)/AO607*1000)</f>
        <v/>
      </c>
      <c r="AY607" s="36" t="str">
        <f aca="false">IF(AS607="","",IFERROR(AS607/AVERAGEIFS('Post Tracker'!$AS$5:$AS$1004,'Post Tracker'!$G$5:$G$1004,G607),""))</f>
        <v/>
      </c>
      <c r="AZ607" s="32"/>
      <c r="BA607" s="32"/>
      <c r="BB607" s="32"/>
      <c r="BC607" s="32"/>
      <c r="BD607" s="33" t="str">
        <f aca="false">IF(A607="","",COUNTIFS('Demo Pipeline'!$Q$5:$Q$504,A607))</f>
        <v/>
      </c>
      <c r="BE607" s="33" t="str">
        <f aca="false">IF(A607="","",COUNTIFS('Demo Pipeline'!$Q$5:$Q$504,A607,'Demo Pipeline'!$W$5:$W$504,"Attended"))</f>
        <v/>
      </c>
      <c r="BF607" s="33" t="str">
        <f aca="false">IF(A607="","",COUNTIFS('Demo Pipeline'!$Q$5:$Q$504,A607,'Demo Pipeline'!$X$5:$X$504,"Yes"))</f>
        <v/>
      </c>
      <c r="BG607" s="33" t="str">
        <f aca="false">IF(A607="","",COUNTIFS('Demo Pipeline'!$Q$5:$Q$504,A607,'Demo Pipeline'!$Y$5:$Y$504,"Closed Won"))</f>
        <v/>
      </c>
      <c r="BH607" s="37" t="str">
        <f aca="false">IF(A607="","",SUMIFS('Demo Pipeline'!$Z$5:$Z$504,'Demo Pipeline'!$Q$5:$Q$504,A607))</f>
        <v/>
      </c>
      <c r="BI607" s="34" t="str">
        <f aca="false">IF(OR(AZ607="",N(AJ607)=0),"",AZ607/AJ607)</f>
        <v/>
      </c>
      <c r="BJ607" s="34" t="str">
        <f aca="false">IF(OR(BB607="",N(AZ607)=0),"",BB607/AZ607)</f>
        <v/>
      </c>
      <c r="BK607" s="34" t="str">
        <f aca="false">IF(OR(A607="",N(BB607)=0),"",BD607/BB607)</f>
        <v/>
      </c>
      <c r="BL607" s="34" t="str">
        <f aca="false">IF(OR(A607="",N(AZ607)=0),"",BD607/AZ607)</f>
        <v/>
      </c>
      <c r="BM607" s="37" t="str">
        <f aca="false">IF(OR(N(Q607)=0,N(BD607)=0),"",Q607/BD607)</f>
        <v/>
      </c>
      <c r="BN607" s="29"/>
      <c r="BO607" s="29"/>
      <c r="BP607" s="33" t="str">
        <f aca="false">IF(OR(AR607="",N(AO607)=0),"",AR607)</f>
        <v/>
      </c>
      <c r="BQ607" s="33" t="str">
        <f aca="false">IF(OR(AR607="",N(S607)=0),"",S607)</f>
        <v/>
      </c>
      <c r="BR607" s="38" t="str">
        <f aca="false">IF(AND(ISNUMBER(B607),B607&gt;=Dashboard!$C$4,B607&lt;=Dashboard!$F$4,ISNUMBER(AU607)),AU607+ROW()/10^9,"")</f>
        <v/>
      </c>
      <c r="BS607" s="38" t="str">
        <f aca="false">IF(AND(ISNUMBER(B607),B607&gt;=Dashboard!$C$4,B607&lt;=Dashboard!$F$4,A607&lt;&gt;""),N(BD607)+N(AU607)/100+ROW()/10^9,"")</f>
        <v/>
      </c>
    </row>
    <row r="608" customFormat="false" ht="15" hidden="false" customHeight="false" outlineLevel="0" collapsed="false">
      <c r="A608" s="24" t="str">
        <f aca="false">IF(OR(B608="",G608="",H608=""),"",IFERROR(INDEX(Settings!$E$5:$E$49,MATCH(G608,Settings!$D$5:$D$49,0))&amp;INDEX(Settings!$H$5:$H$47,MATCH(H608,Settings!$G$5:$G$47,0))&amp;"-"&amp;TEXT(B608,"yymmdd")&amp;"-"&amp;IF(C608="","0000",TEXT(C608,"hhmm")),"CHECK LISTS"))</f>
        <v/>
      </c>
      <c r="B608" s="39"/>
      <c r="C608" s="40"/>
      <c r="D608" s="24" t="str">
        <f aca="false">IF(B608="","",TEXT(B608,"ddd"))</f>
        <v/>
      </c>
      <c r="E608" s="27" t="str">
        <f aca="false">IF(B608="","",B608-WEEKDAY(B608,3))</f>
        <v/>
      </c>
      <c r="F608" s="24" t="str">
        <f aca="false">IF(B608="","",TEXT(B608,"yyyy-mm"))</f>
        <v/>
      </c>
      <c r="G608" s="29"/>
      <c r="H608" s="29"/>
      <c r="I608" s="29"/>
      <c r="J608" s="29"/>
      <c r="K608" s="29"/>
      <c r="L608" s="29"/>
      <c r="M608" s="29"/>
      <c r="N608" s="29"/>
      <c r="O608" s="29"/>
      <c r="P608" s="29"/>
      <c r="Q608" s="30"/>
      <c r="R608" s="29"/>
      <c r="S608" s="32"/>
      <c r="T608" s="29"/>
      <c r="U608" s="29"/>
      <c r="V608" s="24" t="str">
        <f aca="false">IF(A608="","",IFERROR(INDEX(Settings!$F$5:$F$49,MATCH(G608,Settings!$D$5:$D$49,0)),""))</f>
        <v/>
      </c>
      <c r="W608" s="24" t="str">
        <f aca="false">IF(A608="","",IF(OR(P608="",P608="Organic"),"social","paid_social"))</f>
        <v/>
      </c>
      <c r="X608" s="24" t="str">
        <f aca="false">IF(A608="","",IF(K608&lt;&gt;"",IFERROR(INDEX('Case Studies'!$C$5:$C$54,MATCH(K608,'Case Studies'!$B$5:$B$54,0))&amp;"","case-study"),IF(J608&lt;&gt;"",IFERROR(INDEX(Settings!$J$5:$J$55,MATCH(J608,Settings!$I$5:$I$55,0)),"general"),"general")))</f>
        <v/>
      </c>
      <c r="Y608" s="24" t="str">
        <f aca="false">IF(A608="","",LOWER(A608))</f>
        <v/>
      </c>
      <c r="Z608" s="24" t="str">
        <f aca="false">IF(A608="","",IF(T608="",Settings!$B$5,T608)&amp;IF(ISNUMBER(FIND("?",IF(T608="",Settings!$B$5,T608))),"&amp;","?")&amp;"utm_source="&amp;V608&amp;"&amp;utm_medium="&amp;W608&amp;"&amp;utm_campaign="&amp;X608&amp;"&amp;utm_content="&amp;Y608)</f>
        <v/>
      </c>
      <c r="AA608" s="29"/>
      <c r="AB608" s="39"/>
      <c r="AC608" s="32"/>
      <c r="AD608" s="32"/>
      <c r="AE608" s="32"/>
      <c r="AF608" s="32"/>
      <c r="AG608" s="32"/>
      <c r="AH608" s="32"/>
      <c r="AI608" s="32"/>
      <c r="AJ608" s="32"/>
      <c r="AK608" s="32"/>
      <c r="AL608" s="32"/>
      <c r="AM608" s="32"/>
      <c r="AN608" s="32"/>
      <c r="AO608" s="33" t="str">
        <f aca="false">IF(A608="","",IF(AD608&lt;&gt;"",AD608,IF(AC608&lt;&gt;"",AC608,"")))</f>
        <v/>
      </c>
      <c r="AP608" s="24" t="str">
        <f aca="false">IF(AO608="","",IF(AD608&lt;&gt;"","Reported reach","Impressions (proxy)"))</f>
        <v/>
      </c>
      <c r="AQ608" s="34" t="str">
        <f aca="false">IF(OR(AO608="",N(S608)=0),"",AO608/S608)</f>
        <v/>
      </c>
      <c r="AR608" s="33" t="str">
        <f aca="false">IF(A608="","",IF(COUNT(AF608:AJ608)=0,"",SUM(AF608:AJ608)))</f>
        <v/>
      </c>
      <c r="AS608" s="34" t="str">
        <f aca="false">IF(OR(AR608="",N(AO608)=0),"",AR608/AO608)</f>
        <v/>
      </c>
      <c r="AT608" s="34" t="str">
        <f aca="false">IF(OR(AR608="",N(AC608)=0),"",AR608/AC608)</f>
        <v/>
      </c>
      <c r="AU608" s="34" t="str">
        <f aca="false">IF(OR(AR608="",N(S608)=0),"",AR608/S608)</f>
        <v/>
      </c>
      <c r="AV608" s="34" t="str">
        <f aca="false">IF(OR(AJ608="",N(AC608)=0),"",AJ608/AC608)</f>
        <v/>
      </c>
      <c r="AW608" s="34" t="str">
        <f aca="false">IF(OR(AH608="",N(AO608)=0),"",AH608/AO608)</f>
        <v/>
      </c>
      <c r="AX608" s="35" t="str">
        <f aca="false">IF(OR(AR608="",N(AO608)=0),"",(N(AF608)*Settings!$B$6+N(AG608)*Settings!$B$7+N(AH608)*Settings!$B$8+N(AI608)*Settings!$B$9+N(AJ608)*Settings!$B$10)/AO608*1000)</f>
        <v/>
      </c>
      <c r="AY608" s="36" t="str">
        <f aca="false">IF(AS608="","",IFERROR(AS608/AVERAGEIFS('Post Tracker'!$AS$5:$AS$1004,'Post Tracker'!$G$5:$G$1004,G608),""))</f>
        <v/>
      </c>
      <c r="AZ608" s="32"/>
      <c r="BA608" s="32"/>
      <c r="BB608" s="32"/>
      <c r="BC608" s="32"/>
      <c r="BD608" s="33" t="str">
        <f aca="false">IF(A608="","",COUNTIFS('Demo Pipeline'!$Q$5:$Q$504,A608))</f>
        <v/>
      </c>
      <c r="BE608" s="33" t="str">
        <f aca="false">IF(A608="","",COUNTIFS('Demo Pipeline'!$Q$5:$Q$504,A608,'Demo Pipeline'!$W$5:$W$504,"Attended"))</f>
        <v/>
      </c>
      <c r="BF608" s="33" t="str">
        <f aca="false">IF(A608="","",COUNTIFS('Demo Pipeline'!$Q$5:$Q$504,A608,'Demo Pipeline'!$X$5:$X$504,"Yes"))</f>
        <v/>
      </c>
      <c r="BG608" s="33" t="str">
        <f aca="false">IF(A608="","",COUNTIFS('Demo Pipeline'!$Q$5:$Q$504,A608,'Demo Pipeline'!$Y$5:$Y$504,"Closed Won"))</f>
        <v/>
      </c>
      <c r="BH608" s="37" t="str">
        <f aca="false">IF(A608="","",SUMIFS('Demo Pipeline'!$Z$5:$Z$504,'Demo Pipeline'!$Q$5:$Q$504,A608))</f>
        <v/>
      </c>
      <c r="BI608" s="34" t="str">
        <f aca="false">IF(OR(AZ608="",N(AJ608)=0),"",AZ608/AJ608)</f>
        <v/>
      </c>
      <c r="BJ608" s="34" t="str">
        <f aca="false">IF(OR(BB608="",N(AZ608)=0),"",BB608/AZ608)</f>
        <v/>
      </c>
      <c r="BK608" s="34" t="str">
        <f aca="false">IF(OR(A608="",N(BB608)=0),"",BD608/BB608)</f>
        <v/>
      </c>
      <c r="BL608" s="34" t="str">
        <f aca="false">IF(OR(A608="",N(AZ608)=0),"",BD608/AZ608)</f>
        <v/>
      </c>
      <c r="BM608" s="37" t="str">
        <f aca="false">IF(OR(N(Q608)=0,N(BD608)=0),"",Q608/BD608)</f>
        <v/>
      </c>
      <c r="BN608" s="29"/>
      <c r="BO608" s="29"/>
      <c r="BP608" s="33" t="str">
        <f aca="false">IF(OR(AR608="",N(AO608)=0),"",AR608)</f>
        <v/>
      </c>
      <c r="BQ608" s="33" t="str">
        <f aca="false">IF(OR(AR608="",N(S608)=0),"",S608)</f>
        <v/>
      </c>
      <c r="BR608" s="38" t="str">
        <f aca="false">IF(AND(ISNUMBER(B608),B608&gt;=Dashboard!$C$4,B608&lt;=Dashboard!$F$4,ISNUMBER(AU608)),AU608+ROW()/10^9,"")</f>
        <v/>
      </c>
      <c r="BS608" s="38" t="str">
        <f aca="false">IF(AND(ISNUMBER(B608),B608&gt;=Dashboard!$C$4,B608&lt;=Dashboard!$F$4,A608&lt;&gt;""),N(BD608)+N(AU608)/100+ROW()/10^9,"")</f>
        <v/>
      </c>
    </row>
    <row r="609" customFormat="false" ht="15" hidden="false" customHeight="false" outlineLevel="0" collapsed="false">
      <c r="A609" s="24" t="str">
        <f aca="false">IF(OR(B609="",G609="",H609=""),"",IFERROR(INDEX(Settings!$E$5:$E$49,MATCH(G609,Settings!$D$5:$D$49,0))&amp;INDEX(Settings!$H$5:$H$47,MATCH(H609,Settings!$G$5:$G$47,0))&amp;"-"&amp;TEXT(B609,"yymmdd")&amp;"-"&amp;IF(C609="","0000",TEXT(C609,"hhmm")),"CHECK LISTS"))</f>
        <v/>
      </c>
      <c r="B609" s="39"/>
      <c r="C609" s="40"/>
      <c r="D609" s="24" t="str">
        <f aca="false">IF(B609="","",TEXT(B609,"ddd"))</f>
        <v/>
      </c>
      <c r="E609" s="27" t="str">
        <f aca="false">IF(B609="","",B609-WEEKDAY(B609,3))</f>
        <v/>
      </c>
      <c r="F609" s="24" t="str">
        <f aca="false">IF(B609="","",TEXT(B609,"yyyy-mm"))</f>
        <v/>
      </c>
      <c r="G609" s="29"/>
      <c r="H609" s="29"/>
      <c r="I609" s="29"/>
      <c r="J609" s="29"/>
      <c r="K609" s="29"/>
      <c r="L609" s="29"/>
      <c r="M609" s="29"/>
      <c r="N609" s="29"/>
      <c r="O609" s="29"/>
      <c r="P609" s="29"/>
      <c r="Q609" s="30"/>
      <c r="R609" s="29"/>
      <c r="S609" s="32"/>
      <c r="T609" s="29"/>
      <c r="U609" s="29"/>
      <c r="V609" s="24" t="str">
        <f aca="false">IF(A609="","",IFERROR(INDEX(Settings!$F$5:$F$49,MATCH(G609,Settings!$D$5:$D$49,0)),""))</f>
        <v/>
      </c>
      <c r="W609" s="24" t="str">
        <f aca="false">IF(A609="","",IF(OR(P609="",P609="Organic"),"social","paid_social"))</f>
        <v/>
      </c>
      <c r="X609" s="24" t="str">
        <f aca="false">IF(A609="","",IF(K609&lt;&gt;"",IFERROR(INDEX('Case Studies'!$C$5:$C$54,MATCH(K609,'Case Studies'!$B$5:$B$54,0))&amp;"","case-study"),IF(J609&lt;&gt;"",IFERROR(INDEX(Settings!$J$5:$J$55,MATCH(J609,Settings!$I$5:$I$55,0)),"general"),"general")))</f>
        <v/>
      </c>
      <c r="Y609" s="24" t="str">
        <f aca="false">IF(A609="","",LOWER(A609))</f>
        <v/>
      </c>
      <c r="Z609" s="24" t="str">
        <f aca="false">IF(A609="","",IF(T609="",Settings!$B$5,T609)&amp;IF(ISNUMBER(FIND("?",IF(T609="",Settings!$B$5,T609))),"&amp;","?")&amp;"utm_source="&amp;V609&amp;"&amp;utm_medium="&amp;W609&amp;"&amp;utm_campaign="&amp;X609&amp;"&amp;utm_content="&amp;Y609)</f>
        <v/>
      </c>
      <c r="AA609" s="29"/>
      <c r="AB609" s="39"/>
      <c r="AC609" s="32"/>
      <c r="AD609" s="32"/>
      <c r="AE609" s="32"/>
      <c r="AF609" s="32"/>
      <c r="AG609" s="32"/>
      <c r="AH609" s="32"/>
      <c r="AI609" s="32"/>
      <c r="AJ609" s="32"/>
      <c r="AK609" s="32"/>
      <c r="AL609" s="32"/>
      <c r="AM609" s="32"/>
      <c r="AN609" s="32"/>
      <c r="AO609" s="33" t="str">
        <f aca="false">IF(A609="","",IF(AD609&lt;&gt;"",AD609,IF(AC609&lt;&gt;"",AC609,"")))</f>
        <v/>
      </c>
      <c r="AP609" s="24" t="str">
        <f aca="false">IF(AO609="","",IF(AD609&lt;&gt;"","Reported reach","Impressions (proxy)"))</f>
        <v/>
      </c>
      <c r="AQ609" s="34" t="str">
        <f aca="false">IF(OR(AO609="",N(S609)=0),"",AO609/S609)</f>
        <v/>
      </c>
      <c r="AR609" s="33" t="str">
        <f aca="false">IF(A609="","",IF(COUNT(AF609:AJ609)=0,"",SUM(AF609:AJ609)))</f>
        <v/>
      </c>
      <c r="AS609" s="34" t="str">
        <f aca="false">IF(OR(AR609="",N(AO609)=0),"",AR609/AO609)</f>
        <v/>
      </c>
      <c r="AT609" s="34" t="str">
        <f aca="false">IF(OR(AR609="",N(AC609)=0),"",AR609/AC609)</f>
        <v/>
      </c>
      <c r="AU609" s="34" t="str">
        <f aca="false">IF(OR(AR609="",N(S609)=0),"",AR609/S609)</f>
        <v/>
      </c>
      <c r="AV609" s="34" t="str">
        <f aca="false">IF(OR(AJ609="",N(AC609)=0),"",AJ609/AC609)</f>
        <v/>
      </c>
      <c r="AW609" s="34" t="str">
        <f aca="false">IF(OR(AH609="",N(AO609)=0),"",AH609/AO609)</f>
        <v/>
      </c>
      <c r="AX609" s="35" t="str">
        <f aca="false">IF(OR(AR609="",N(AO609)=0),"",(N(AF609)*Settings!$B$6+N(AG609)*Settings!$B$7+N(AH609)*Settings!$B$8+N(AI609)*Settings!$B$9+N(AJ609)*Settings!$B$10)/AO609*1000)</f>
        <v/>
      </c>
      <c r="AY609" s="36" t="str">
        <f aca="false">IF(AS609="","",IFERROR(AS609/AVERAGEIFS('Post Tracker'!$AS$5:$AS$1004,'Post Tracker'!$G$5:$G$1004,G609),""))</f>
        <v/>
      </c>
      <c r="AZ609" s="32"/>
      <c r="BA609" s="32"/>
      <c r="BB609" s="32"/>
      <c r="BC609" s="32"/>
      <c r="BD609" s="33" t="str">
        <f aca="false">IF(A609="","",COUNTIFS('Demo Pipeline'!$Q$5:$Q$504,A609))</f>
        <v/>
      </c>
      <c r="BE609" s="33" t="str">
        <f aca="false">IF(A609="","",COUNTIFS('Demo Pipeline'!$Q$5:$Q$504,A609,'Demo Pipeline'!$W$5:$W$504,"Attended"))</f>
        <v/>
      </c>
      <c r="BF609" s="33" t="str">
        <f aca="false">IF(A609="","",COUNTIFS('Demo Pipeline'!$Q$5:$Q$504,A609,'Demo Pipeline'!$X$5:$X$504,"Yes"))</f>
        <v/>
      </c>
      <c r="BG609" s="33" t="str">
        <f aca="false">IF(A609="","",COUNTIFS('Demo Pipeline'!$Q$5:$Q$504,A609,'Demo Pipeline'!$Y$5:$Y$504,"Closed Won"))</f>
        <v/>
      </c>
      <c r="BH609" s="37" t="str">
        <f aca="false">IF(A609="","",SUMIFS('Demo Pipeline'!$Z$5:$Z$504,'Demo Pipeline'!$Q$5:$Q$504,A609))</f>
        <v/>
      </c>
      <c r="BI609" s="34" t="str">
        <f aca="false">IF(OR(AZ609="",N(AJ609)=0),"",AZ609/AJ609)</f>
        <v/>
      </c>
      <c r="BJ609" s="34" t="str">
        <f aca="false">IF(OR(BB609="",N(AZ609)=0),"",BB609/AZ609)</f>
        <v/>
      </c>
      <c r="BK609" s="34" t="str">
        <f aca="false">IF(OR(A609="",N(BB609)=0),"",BD609/BB609)</f>
        <v/>
      </c>
      <c r="BL609" s="34" t="str">
        <f aca="false">IF(OR(A609="",N(AZ609)=0),"",BD609/AZ609)</f>
        <v/>
      </c>
      <c r="BM609" s="37" t="str">
        <f aca="false">IF(OR(N(Q609)=0,N(BD609)=0),"",Q609/BD609)</f>
        <v/>
      </c>
      <c r="BN609" s="29"/>
      <c r="BO609" s="29"/>
      <c r="BP609" s="33" t="str">
        <f aca="false">IF(OR(AR609="",N(AO609)=0),"",AR609)</f>
        <v/>
      </c>
      <c r="BQ609" s="33" t="str">
        <f aca="false">IF(OR(AR609="",N(S609)=0),"",S609)</f>
        <v/>
      </c>
      <c r="BR609" s="38" t="str">
        <f aca="false">IF(AND(ISNUMBER(B609),B609&gt;=Dashboard!$C$4,B609&lt;=Dashboard!$F$4,ISNUMBER(AU609)),AU609+ROW()/10^9,"")</f>
        <v/>
      </c>
      <c r="BS609" s="38" t="str">
        <f aca="false">IF(AND(ISNUMBER(B609),B609&gt;=Dashboard!$C$4,B609&lt;=Dashboard!$F$4,A609&lt;&gt;""),N(BD609)+N(AU609)/100+ROW()/10^9,"")</f>
        <v/>
      </c>
    </row>
    <row r="610" customFormat="false" ht="15" hidden="false" customHeight="false" outlineLevel="0" collapsed="false">
      <c r="A610" s="24" t="str">
        <f aca="false">IF(OR(B610="",G610="",H610=""),"",IFERROR(INDEX(Settings!$E$5:$E$49,MATCH(G610,Settings!$D$5:$D$49,0))&amp;INDEX(Settings!$H$5:$H$47,MATCH(H610,Settings!$G$5:$G$47,0))&amp;"-"&amp;TEXT(B610,"yymmdd")&amp;"-"&amp;IF(C610="","0000",TEXT(C610,"hhmm")),"CHECK LISTS"))</f>
        <v/>
      </c>
      <c r="B610" s="39"/>
      <c r="C610" s="40"/>
      <c r="D610" s="24" t="str">
        <f aca="false">IF(B610="","",TEXT(B610,"ddd"))</f>
        <v/>
      </c>
      <c r="E610" s="27" t="str">
        <f aca="false">IF(B610="","",B610-WEEKDAY(B610,3))</f>
        <v/>
      </c>
      <c r="F610" s="24" t="str">
        <f aca="false">IF(B610="","",TEXT(B610,"yyyy-mm"))</f>
        <v/>
      </c>
      <c r="G610" s="29"/>
      <c r="H610" s="29"/>
      <c r="I610" s="29"/>
      <c r="J610" s="29"/>
      <c r="K610" s="29"/>
      <c r="L610" s="29"/>
      <c r="M610" s="29"/>
      <c r="N610" s="29"/>
      <c r="O610" s="29"/>
      <c r="P610" s="29"/>
      <c r="Q610" s="30"/>
      <c r="R610" s="29"/>
      <c r="S610" s="32"/>
      <c r="T610" s="29"/>
      <c r="U610" s="29"/>
      <c r="V610" s="24" t="str">
        <f aca="false">IF(A610="","",IFERROR(INDEX(Settings!$F$5:$F$49,MATCH(G610,Settings!$D$5:$D$49,0)),""))</f>
        <v/>
      </c>
      <c r="W610" s="24" t="str">
        <f aca="false">IF(A610="","",IF(OR(P610="",P610="Organic"),"social","paid_social"))</f>
        <v/>
      </c>
      <c r="X610" s="24" t="str">
        <f aca="false">IF(A610="","",IF(K610&lt;&gt;"",IFERROR(INDEX('Case Studies'!$C$5:$C$54,MATCH(K610,'Case Studies'!$B$5:$B$54,0))&amp;"","case-study"),IF(J610&lt;&gt;"",IFERROR(INDEX(Settings!$J$5:$J$55,MATCH(J610,Settings!$I$5:$I$55,0)),"general"),"general")))</f>
        <v/>
      </c>
      <c r="Y610" s="24" t="str">
        <f aca="false">IF(A610="","",LOWER(A610))</f>
        <v/>
      </c>
      <c r="Z610" s="24" t="str">
        <f aca="false">IF(A610="","",IF(T610="",Settings!$B$5,T610)&amp;IF(ISNUMBER(FIND("?",IF(T610="",Settings!$B$5,T610))),"&amp;","?")&amp;"utm_source="&amp;V610&amp;"&amp;utm_medium="&amp;W610&amp;"&amp;utm_campaign="&amp;X610&amp;"&amp;utm_content="&amp;Y610)</f>
        <v/>
      </c>
      <c r="AA610" s="29"/>
      <c r="AB610" s="39"/>
      <c r="AC610" s="32"/>
      <c r="AD610" s="32"/>
      <c r="AE610" s="32"/>
      <c r="AF610" s="32"/>
      <c r="AG610" s="32"/>
      <c r="AH610" s="32"/>
      <c r="AI610" s="32"/>
      <c r="AJ610" s="32"/>
      <c r="AK610" s="32"/>
      <c r="AL610" s="32"/>
      <c r="AM610" s="32"/>
      <c r="AN610" s="32"/>
      <c r="AO610" s="33" t="str">
        <f aca="false">IF(A610="","",IF(AD610&lt;&gt;"",AD610,IF(AC610&lt;&gt;"",AC610,"")))</f>
        <v/>
      </c>
      <c r="AP610" s="24" t="str">
        <f aca="false">IF(AO610="","",IF(AD610&lt;&gt;"","Reported reach","Impressions (proxy)"))</f>
        <v/>
      </c>
      <c r="AQ610" s="34" t="str">
        <f aca="false">IF(OR(AO610="",N(S610)=0),"",AO610/S610)</f>
        <v/>
      </c>
      <c r="AR610" s="33" t="str">
        <f aca="false">IF(A610="","",IF(COUNT(AF610:AJ610)=0,"",SUM(AF610:AJ610)))</f>
        <v/>
      </c>
      <c r="AS610" s="34" t="str">
        <f aca="false">IF(OR(AR610="",N(AO610)=0),"",AR610/AO610)</f>
        <v/>
      </c>
      <c r="AT610" s="34" t="str">
        <f aca="false">IF(OR(AR610="",N(AC610)=0),"",AR610/AC610)</f>
        <v/>
      </c>
      <c r="AU610" s="34" t="str">
        <f aca="false">IF(OR(AR610="",N(S610)=0),"",AR610/S610)</f>
        <v/>
      </c>
      <c r="AV610" s="34" t="str">
        <f aca="false">IF(OR(AJ610="",N(AC610)=0),"",AJ610/AC610)</f>
        <v/>
      </c>
      <c r="AW610" s="34" t="str">
        <f aca="false">IF(OR(AH610="",N(AO610)=0),"",AH610/AO610)</f>
        <v/>
      </c>
      <c r="AX610" s="35" t="str">
        <f aca="false">IF(OR(AR610="",N(AO610)=0),"",(N(AF610)*Settings!$B$6+N(AG610)*Settings!$B$7+N(AH610)*Settings!$B$8+N(AI610)*Settings!$B$9+N(AJ610)*Settings!$B$10)/AO610*1000)</f>
        <v/>
      </c>
      <c r="AY610" s="36" t="str">
        <f aca="false">IF(AS610="","",IFERROR(AS610/AVERAGEIFS('Post Tracker'!$AS$5:$AS$1004,'Post Tracker'!$G$5:$G$1004,G610),""))</f>
        <v/>
      </c>
      <c r="AZ610" s="32"/>
      <c r="BA610" s="32"/>
      <c r="BB610" s="32"/>
      <c r="BC610" s="32"/>
      <c r="BD610" s="33" t="str">
        <f aca="false">IF(A610="","",COUNTIFS('Demo Pipeline'!$Q$5:$Q$504,A610))</f>
        <v/>
      </c>
      <c r="BE610" s="33" t="str">
        <f aca="false">IF(A610="","",COUNTIFS('Demo Pipeline'!$Q$5:$Q$504,A610,'Demo Pipeline'!$W$5:$W$504,"Attended"))</f>
        <v/>
      </c>
      <c r="BF610" s="33" t="str">
        <f aca="false">IF(A610="","",COUNTIFS('Demo Pipeline'!$Q$5:$Q$504,A610,'Demo Pipeline'!$X$5:$X$504,"Yes"))</f>
        <v/>
      </c>
      <c r="BG610" s="33" t="str">
        <f aca="false">IF(A610="","",COUNTIFS('Demo Pipeline'!$Q$5:$Q$504,A610,'Demo Pipeline'!$Y$5:$Y$504,"Closed Won"))</f>
        <v/>
      </c>
      <c r="BH610" s="37" t="str">
        <f aca="false">IF(A610="","",SUMIFS('Demo Pipeline'!$Z$5:$Z$504,'Demo Pipeline'!$Q$5:$Q$504,A610))</f>
        <v/>
      </c>
      <c r="BI610" s="34" t="str">
        <f aca="false">IF(OR(AZ610="",N(AJ610)=0),"",AZ610/AJ610)</f>
        <v/>
      </c>
      <c r="BJ610" s="34" t="str">
        <f aca="false">IF(OR(BB610="",N(AZ610)=0),"",BB610/AZ610)</f>
        <v/>
      </c>
      <c r="BK610" s="34" t="str">
        <f aca="false">IF(OR(A610="",N(BB610)=0),"",BD610/BB610)</f>
        <v/>
      </c>
      <c r="BL610" s="34" t="str">
        <f aca="false">IF(OR(A610="",N(AZ610)=0),"",BD610/AZ610)</f>
        <v/>
      </c>
      <c r="BM610" s="37" t="str">
        <f aca="false">IF(OR(N(Q610)=0,N(BD610)=0),"",Q610/BD610)</f>
        <v/>
      </c>
      <c r="BN610" s="29"/>
      <c r="BO610" s="29"/>
      <c r="BP610" s="33" t="str">
        <f aca="false">IF(OR(AR610="",N(AO610)=0),"",AR610)</f>
        <v/>
      </c>
      <c r="BQ610" s="33" t="str">
        <f aca="false">IF(OR(AR610="",N(S610)=0),"",S610)</f>
        <v/>
      </c>
      <c r="BR610" s="38" t="str">
        <f aca="false">IF(AND(ISNUMBER(B610),B610&gt;=Dashboard!$C$4,B610&lt;=Dashboard!$F$4,ISNUMBER(AU610)),AU610+ROW()/10^9,"")</f>
        <v/>
      </c>
      <c r="BS610" s="38" t="str">
        <f aca="false">IF(AND(ISNUMBER(B610),B610&gt;=Dashboard!$C$4,B610&lt;=Dashboard!$F$4,A610&lt;&gt;""),N(BD610)+N(AU610)/100+ROW()/10^9,"")</f>
        <v/>
      </c>
    </row>
    <row r="611" customFormat="false" ht="15" hidden="false" customHeight="false" outlineLevel="0" collapsed="false">
      <c r="A611" s="24" t="str">
        <f aca="false">IF(OR(B611="",G611="",H611=""),"",IFERROR(INDEX(Settings!$E$5:$E$49,MATCH(G611,Settings!$D$5:$D$49,0))&amp;INDEX(Settings!$H$5:$H$47,MATCH(H611,Settings!$G$5:$G$47,0))&amp;"-"&amp;TEXT(B611,"yymmdd")&amp;"-"&amp;IF(C611="","0000",TEXT(C611,"hhmm")),"CHECK LISTS"))</f>
        <v/>
      </c>
      <c r="B611" s="39"/>
      <c r="C611" s="40"/>
      <c r="D611" s="24" t="str">
        <f aca="false">IF(B611="","",TEXT(B611,"ddd"))</f>
        <v/>
      </c>
      <c r="E611" s="27" t="str">
        <f aca="false">IF(B611="","",B611-WEEKDAY(B611,3))</f>
        <v/>
      </c>
      <c r="F611" s="24" t="str">
        <f aca="false">IF(B611="","",TEXT(B611,"yyyy-mm"))</f>
        <v/>
      </c>
      <c r="G611" s="29"/>
      <c r="H611" s="29"/>
      <c r="I611" s="29"/>
      <c r="J611" s="29"/>
      <c r="K611" s="29"/>
      <c r="L611" s="29"/>
      <c r="M611" s="29"/>
      <c r="N611" s="29"/>
      <c r="O611" s="29"/>
      <c r="P611" s="29"/>
      <c r="Q611" s="30"/>
      <c r="R611" s="29"/>
      <c r="S611" s="32"/>
      <c r="T611" s="29"/>
      <c r="U611" s="29"/>
      <c r="V611" s="24" t="str">
        <f aca="false">IF(A611="","",IFERROR(INDEX(Settings!$F$5:$F$49,MATCH(G611,Settings!$D$5:$D$49,0)),""))</f>
        <v/>
      </c>
      <c r="W611" s="24" t="str">
        <f aca="false">IF(A611="","",IF(OR(P611="",P611="Organic"),"social","paid_social"))</f>
        <v/>
      </c>
      <c r="X611" s="24" t="str">
        <f aca="false">IF(A611="","",IF(K611&lt;&gt;"",IFERROR(INDEX('Case Studies'!$C$5:$C$54,MATCH(K611,'Case Studies'!$B$5:$B$54,0))&amp;"","case-study"),IF(J611&lt;&gt;"",IFERROR(INDEX(Settings!$J$5:$J$55,MATCH(J611,Settings!$I$5:$I$55,0)),"general"),"general")))</f>
        <v/>
      </c>
      <c r="Y611" s="24" t="str">
        <f aca="false">IF(A611="","",LOWER(A611))</f>
        <v/>
      </c>
      <c r="Z611" s="24" t="str">
        <f aca="false">IF(A611="","",IF(T611="",Settings!$B$5,T611)&amp;IF(ISNUMBER(FIND("?",IF(T611="",Settings!$B$5,T611))),"&amp;","?")&amp;"utm_source="&amp;V611&amp;"&amp;utm_medium="&amp;W611&amp;"&amp;utm_campaign="&amp;X611&amp;"&amp;utm_content="&amp;Y611)</f>
        <v/>
      </c>
      <c r="AA611" s="29"/>
      <c r="AB611" s="39"/>
      <c r="AC611" s="32"/>
      <c r="AD611" s="32"/>
      <c r="AE611" s="32"/>
      <c r="AF611" s="32"/>
      <c r="AG611" s="32"/>
      <c r="AH611" s="32"/>
      <c r="AI611" s="32"/>
      <c r="AJ611" s="32"/>
      <c r="AK611" s="32"/>
      <c r="AL611" s="32"/>
      <c r="AM611" s="32"/>
      <c r="AN611" s="32"/>
      <c r="AO611" s="33" t="str">
        <f aca="false">IF(A611="","",IF(AD611&lt;&gt;"",AD611,IF(AC611&lt;&gt;"",AC611,"")))</f>
        <v/>
      </c>
      <c r="AP611" s="24" t="str">
        <f aca="false">IF(AO611="","",IF(AD611&lt;&gt;"","Reported reach","Impressions (proxy)"))</f>
        <v/>
      </c>
      <c r="AQ611" s="34" t="str">
        <f aca="false">IF(OR(AO611="",N(S611)=0),"",AO611/S611)</f>
        <v/>
      </c>
      <c r="AR611" s="33" t="str">
        <f aca="false">IF(A611="","",IF(COUNT(AF611:AJ611)=0,"",SUM(AF611:AJ611)))</f>
        <v/>
      </c>
      <c r="AS611" s="34" t="str">
        <f aca="false">IF(OR(AR611="",N(AO611)=0),"",AR611/AO611)</f>
        <v/>
      </c>
      <c r="AT611" s="34" t="str">
        <f aca="false">IF(OR(AR611="",N(AC611)=0),"",AR611/AC611)</f>
        <v/>
      </c>
      <c r="AU611" s="34" t="str">
        <f aca="false">IF(OR(AR611="",N(S611)=0),"",AR611/S611)</f>
        <v/>
      </c>
      <c r="AV611" s="34" t="str">
        <f aca="false">IF(OR(AJ611="",N(AC611)=0),"",AJ611/AC611)</f>
        <v/>
      </c>
      <c r="AW611" s="34" t="str">
        <f aca="false">IF(OR(AH611="",N(AO611)=0),"",AH611/AO611)</f>
        <v/>
      </c>
      <c r="AX611" s="35" t="str">
        <f aca="false">IF(OR(AR611="",N(AO611)=0),"",(N(AF611)*Settings!$B$6+N(AG611)*Settings!$B$7+N(AH611)*Settings!$B$8+N(AI611)*Settings!$B$9+N(AJ611)*Settings!$B$10)/AO611*1000)</f>
        <v/>
      </c>
      <c r="AY611" s="36" t="str">
        <f aca="false">IF(AS611="","",IFERROR(AS611/AVERAGEIFS('Post Tracker'!$AS$5:$AS$1004,'Post Tracker'!$G$5:$G$1004,G611),""))</f>
        <v/>
      </c>
      <c r="AZ611" s="32"/>
      <c r="BA611" s="32"/>
      <c r="BB611" s="32"/>
      <c r="BC611" s="32"/>
      <c r="BD611" s="33" t="str">
        <f aca="false">IF(A611="","",COUNTIFS('Demo Pipeline'!$Q$5:$Q$504,A611))</f>
        <v/>
      </c>
      <c r="BE611" s="33" t="str">
        <f aca="false">IF(A611="","",COUNTIFS('Demo Pipeline'!$Q$5:$Q$504,A611,'Demo Pipeline'!$W$5:$W$504,"Attended"))</f>
        <v/>
      </c>
      <c r="BF611" s="33" t="str">
        <f aca="false">IF(A611="","",COUNTIFS('Demo Pipeline'!$Q$5:$Q$504,A611,'Demo Pipeline'!$X$5:$X$504,"Yes"))</f>
        <v/>
      </c>
      <c r="BG611" s="33" t="str">
        <f aca="false">IF(A611="","",COUNTIFS('Demo Pipeline'!$Q$5:$Q$504,A611,'Demo Pipeline'!$Y$5:$Y$504,"Closed Won"))</f>
        <v/>
      </c>
      <c r="BH611" s="37" t="str">
        <f aca="false">IF(A611="","",SUMIFS('Demo Pipeline'!$Z$5:$Z$504,'Demo Pipeline'!$Q$5:$Q$504,A611))</f>
        <v/>
      </c>
      <c r="BI611" s="34" t="str">
        <f aca="false">IF(OR(AZ611="",N(AJ611)=0),"",AZ611/AJ611)</f>
        <v/>
      </c>
      <c r="BJ611" s="34" t="str">
        <f aca="false">IF(OR(BB611="",N(AZ611)=0),"",BB611/AZ611)</f>
        <v/>
      </c>
      <c r="BK611" s="34" t="str">
        <f aca="false">IF(OR(A611="",N(BB611)=0),"",BD611/BB611)</f>
        <v/>
      </c>
      <c r="BL611" s="34" t="str">
        <f aca="false">IF(OR(A611="",N(AZ611)=0),"",BD611/AZ611)</f>
        <v/>
      </c>
      <c r="BM611" s="37" t="str">
        <f aca="false">IF(OR(N(Q611)=0,N(BD611)=0),"",Q611/BD611)</f>
        <v/>
      </c>
      <c r="BN611" s="29"/>
      <c r="BO611" s="29"/>
      <c r="BP611" s="33" t="str">
        <f aca="false">IF(OR(AR611="",N(AO611)=0),"",AR611)</f>
        <v/>
      </c>
      <c r="BQ611" s="33" t="str">
        <f aca="false">IF(OR(AR611="",N(S611)=0),"",S611)</f>
        <v/>
      </c>
      <c r="BR611" s="38" t="str">
        <f aca="false">IF(AND(ISNUMBER(B611),B611&gt;=Dashboard!$C$4,B611&lt;=Dashboard!$F$4,ISNUMBER(AU611)),AU611+ROW()/10^9,"")</f>
        <v/>
      </c>
      <c r="BS611" s="38" t="str">
        <f aca="false">IF(AND(ISNUMBER(B611),B611&gt;=Dashboard!$C$4,B611&lt;=Dashboard!$F$4,A611&lt;&gt;""),N(BD611)+N(AU611)/100+ROW()/10^9,"")</f>
        <v/>
      </c>
    </row>
    <row r="612" customFormat="false" ht="15" hidden="false" customHeight="false" outlineLevel="0" collapsed="false">
      <c r="A612" s="24" t="str">
        <f aca="false">IF(OR(B612="",G612="",H612=""),"",IFERROR(INDEX(Settings!$E$5:$E$49,MATCH(G612,Settings!$D$5:$D$49,0))&amp;INDEX(Settings!$H$5:$H$47,MATCH(H612,Settings!$G$5:$G$47,0))&amp;"-"&amp;TEXT(B612,"yymmdd")&amp;"-"&amp;IF(C612="","0000",TEXT(C612,"hhmm")),"CHECK LISTS"))</f>
        <v/>
      </c>
      <c r="B612" s="39"/>
      <c r="C612" s="40"/>
      <c r="D612" s="24" t="str">
        <f aca="false">IF(B612="","",TEXT(B612,"ddd"))</f>
        <v/>
      </c>
      <c r="E612" s="27" t="str">
        <f aca="false">IF(B612="","",B612-WEEKDAY(B612,3))</f>
        <v/>
      </c>
      <c r="F612" s="24" t="str">
        <f aca="false">IF(B612="","",TEXT(B612,"yyyy-mm"))</f>
        <v/>
      </c>
      <c r="G612" s="29"/>
      <c r="H612" s="29"/>
      <c r="I612" s="29"/>
      <c r="J612" s="29"/>
      <c r="K612" s="29"/>
      <c r="L612" s="29"/>
      <c r="M612" s="29"/>
      <c r="N612" s="29"/>
      <c r="O612" s="29"/>
      <c r="P612" s="29"/>
      <c r="Q612" s="30"/>
      <c r="R612" s="29"/>
      <c r="S612" s="32"/>
      <c r="T612" s="29"/>
      <c r="U612" s="29"/>
      <c r="V612" s="24" t="str">
        <f aca="false">IF(A612="","",IFERROR(INDEX(Settings!$F$5:$F$49,MATCH(G612,Settings!$D$5:$D$49,0)),""))</f>
        <v/>
      </c>
      <c r="W612" s="24" t="str">
        <f aca="false">IF(A612="","",IF(OR(P612="",P612="Organic"),"social","paid_social"))</f>
        <v/>
      </c>
      <c r="X612" s="24" t="str">
        <f aca="false">IF(A612="","",IF(K612&lt;&gt;"",IFERROR(INDEX('Case Studies'!$C$5:$C$54,MATCH(K612,'Case Studies'!$B$5:$B$54,0))&amp;"","case-study"),IF(J612&lt;&gt;"",IFERROR(INDEX(Settings!$J$5:$J$55,MATCH(J612,Settings!$I$5:$I$55,0)),"general"),"general")))</f>
        <v/>
      </c>
      <c r="Y612" s="24" t="str">
        <f aca="false">IF(A612="","",LOWER(A612))</f>
        <v/>
      </c>
      <c r="Z612" s="24" t="str">
        <f aca="false">IF(A612="","",IF(T612="",Settings!$B$5,T612)&amp;IF(ISNUMBER(FIND("?",IF(T612="",Settings!$B$5,T612))),"&amp;","?")&amp;"utm_source="&amp;V612&amp;"&amp;utm_medium="&amp;W612&amp;"&amp;utm_campaign="&amp;X612&amp;"&amp;utm_content="&amp;Y612)</f>
        <v/>
      </c>
      <c r="AA612" s="29"/>
      <c r="AB612" s="39"/>
      <c r="AC612" s="32"/>
      <c r="AD612" s="32"/>
      <c r="AE612" s="32"/>
      <c r="AF612" s="32"/>
      <c r="AG612" s="32"/>
      <c r="AH612" s="32"/>
      <c r="AI612" s="32"/>
      <c r="AJ612" s="32"/>
      <c r="AK612" s="32"/>
      <c r="AL612" s="32"/>
      <c r="AM612" s="32"/>
      <c r="AN612" s="32"/>
      <c r="AO612" s="33" t="str">
        <f aca="false">IF(A612="","",IF(AD612&lt;&gt;"",AD612,IF(AC612&lt;&gt;"",AC612,"")))</f>
        <v/>
      </c>
      <c r="AP612" s="24" t="str">
        <f aca="false">IF(AO612="","",IF(AD612&lt;&gt;"","Reported reach","Impressions (proxy)"))</f>
        <v/>
      </c>
      <c r="AQ612" s="34" t="str">
        <f aca="false">IF(OR(AO612="",N(S612)=0),"",AO612/S612)</f>
        <v/>
      </c>
      <c r="AR612" s="33" t="str">
        <f aca="false">IF(A612="","",IF(COUNT(AF612:AJ612)=0,"",SUM(AF612:AJ612)))</f>
        <v/>
      </c>
      <c r="AS612" s="34" t="str">
        <f aca="false">IF(OR(AR612="",N(AO612)=0),"",AR612/AO612)</f>
        <v/>
      </c>
      <c r="AT612" s="34" t="str">
        <f aca="false">IF(OR(AR612="",N(AC612)=0),"",AR612/AC612)</f>
        <v/>
      </c>
      <c r="AU612" s="34" t="str">
        <f aca="false">IF(OR(AR612="",N(S612)=0),"",AR612/S612)</f>
        <v/>
      </c>
      <c r="AV612" s="34" t="str">
        <f aca="false">IF(OR(AJ612="",N(AC612)=0),"",AJ612/AC612)</f>
        <v/>
      </c>
      <c r="AW612" s="34" t="str">
        <f aca="false">IF(OR(AH612="",N(AO612)=0),"",AH612/AO612)</f>
        <v/>
      </c>
      <c r="AX612" s="35" t="str">
        <f aca="false">IF(OR(AR612="",N(AO612)=0),"",(N(AF612)*Settings!$B$6+N(AG612)*Settings!$B$7+N(AH612)*Settings!$B$8+N(AI612)*Settings!$B$9+N(AJ612)*Settings!$B$10)/AO612*1000)</f>
        <v/>
      </c>
      <c r="AY612" s="36" t="str">
        <f aca="false">IF(AS612="","",IFERROR(AS612/AVERAGEIFS('Post Tracker'!$AS$5:$AS$1004,'Post Tracker'!$G$5:$G$1004,G612),""))</f>
        <v/>
      </c>
      <c r="AZ612" s="32"/>
      <c r="BA612" s="32"/>
      <c r="BB612" s="32"/>
      <c r="BC612" s="32"/>
      <c r="BD612" s="33" t="str">
        <f aca="false">IF(A612="","",COUNTIFS('Demo Pipeline'!$Q$5:$Q$504,A612))</f>
        <v/>
      </c>
      <c r="BE612" s="33" t="str">
        <f aca="false">IF(A612="","",COUNTIFS('Demo Pipeline'!$Q$5:$Q$504,A612,'Demo Pipeline'!$W$5:$W$504,"Attended"))</f>
        <v/>
      </c>
      <c r="BF612" s="33" t="str">
        <f aca="false">IF(A612="","",COUNTIFS('Demo Pipeline'!$Q$5:$Q$504,A612,'Demo Pipeline'!$X$5:$X$504,"Yes"))</f>
        <v/>
      </c>
      <c r="BG612" s="33" t="str">
        <f aca="false">IF(A612="","",COUNTIFS('Demo Pipeline'!$Q$5:$Q$504,A612,'Demo Pipeline'!$Y$5:$Y$504,"Closed Won"))</f>
        <v/>
      </c>
      <c r="BH612" s="37" t="str">
        <f aca="false">IF(A612="","",SUMIFS('Demo Pipeline'!$Z$5:$Z$504,'Demo Pipeline'!$Q$5:$Q$504,A612))</f>
        <v/>
      </c>
      <c r="BI612" s="34" t="str">
        <f aca="false">IF(OR(AZ612="",N(AJ612)=0),"",AZ612/AJ612)</f>
        <v/>
      </c>
      <c r="BJ612" s="34" t="str">
        <f aca="false">IF(OR(BB612="",N(AZ612)=0),"",BB612/AZ612)</f>
        <v/>
      </c>
      <c r="BK612" s="34" t="str">
        <f aca="false">IF(OR(A612="",N(BB612)=0),"",BD612/BB612)</f>
        <v/>
      </c>
      <c r="BL612" s="34" t="str">
        <f aca="false">IF(OR(A612="",N(AZ612)=0),"",BD612/AZ612)</f>
        <v/>
      </c>
      <c r="BM612" s="37" t="str">
        <f aca="false">IF(OR(N(Q612)=0,N(BD612)=0),"",Q612/BD612)</f>
        <v/>
      </c>
      <c r="BN612" s="29"/>
      <c r="BO612" s="29"/>
      <c r="BP612" s="33" t="str">
        <f aca="false">IF(OR(AR612="",N(AO612)=0),"",AR612)</f>
        <v/>
      </c>
      <c r="BQ612" s="33" t="str">
        <f aca="false">IF(OR(AR612="",N(S612)=0),"",S612)</f>
        <v/>
      </c>
      <c r="BR612" s="38" t="str">
        <f aca="false">IF(AND(ISNUMBER(B612),B612&gt;=Dashboard!$C$4,B612&lt;=Dashboard!$F$4,ISNUMBER(AU612)),AU612+ROW()/10^9,"")</f>
        <v/>
      </c>
      <c r="BS612" s="38" t="str">
        <f aca="false">IF(AND(ISNUMBER(B612),B612&gt;=Dashboard!$C$4,B612&lt;=Dashboard!$F$4,A612&lt;&gt;""),N(BD612)+N(AU612)/100+ROW()/10^9,"")</f>
        <v/>
      </c>
    </row>
    <row r="613" customFormat="false" ht="15" hidden="false" customHeight="false" outlineLevel="0" collapsed="false">
      <c r="A613" s="24" t="str">
        <f aca="false">IF(OR(B613="",G613="",H613=""),"",IFERROR(INDEX(Settings!$E$5:$E$49,MATCH(G613,Settings!$D$5:$D$49,0))&amp;INDEX(Settings!$H$5:$H$47,MATCH(H613,Settings!$G$5:$G$47,0))&amp;"-"&amp;TEXT(B613,"yymmdd")&amp;"-"&amp;IF(C613="","0000",TEXT(C613,"hhmm")),"CHECK LISTS"))</f>
        <v/>
      </c>
      <c r="B613" s="39"/>
      <c r="C613" s="40"/>
      <c r="D613" s="24" t="str">
        <f aca="false">IF(B613="","",TEXT(B613,"ddd"))</f>
        <v/>
      </c>
      <c r="E613" s="27" t="str">
        <f aca="false">IF(B613="","",B613-WEEKDAY(B613,3))</f>
        <v/>
      </c>
      <c r="F613" s="24" t="str">
        <f aca="false">IF(B613="","",TEXT(B613,"yyyy-mm"))</f>
        <v/>
      </c>
      <c r="G613" s="29"/>
      <c r="H613" s="29"/>
      <c r="I613" s="29"/>
      <c r="J613" s="29"/>
      <c r="K613" s="29"/>
      <c r="L613" s="29"/>
      <c r="M613" s="29"/>
      <c r="N613" s="29"/>
      <c r="O613" s="29"/>
      <c r="P613" s="29"/>
      <c r="Q613" s="30"/>
      <c r="R613" s="29"/>
      <c r="S613" s="32"/>
      <c r="T613" s="29"/>
      <c r="U613" s="29"/>
      <c r="V613" s="24" t="str">
        <f aca="false">IF(A613="","",IFERROR(INDEX(Settings!$F$5:$F$49,MATCH(G613,Settings!$D$5:$D$49,0)),""))</f>
        <v/>
      </c>
      <c r="W613" s="24" t="str">
        <f aca="false">IF(A613="","",IF(OR(P613="",P613="Organic"),"social","paid_social"))</f>
        <v/>
      </c>
      <c r="X613" s="24" t="str">
        <f aca="false">IF(A613="","",IF(K613&lt;&gt;"",IFERROR(INDEX('Case Studies'!$C$5:$C$54,MATCH(K613,'Case Studies'!$B$5:$B$54,0))&amp;"","case-study"),IF(J613&lt;&gt;"",IFERROR(INDEX(Settings!$J$5:$J$55,MATCH(J613,Settings!$I$5:$I$55,0)),"general"),"general")))</f>
        <v/>
      </c>
      <c r="Y613" s="24" t="str">
        <f aca="false">IF(A613="","",LOWER(A613))</f>
        <v/>
      </c>
      <c r="Z613" s="24" t="str">
        <f aca="false">IF(A613="","",IF(T613="",Settings!$B$5,T613)&amp;IF(ISNUMBER(FIND("?",IF(T613="",Settings!$B$5,T613))),"&amp;","?")&amp;"utm_source="&amp;V613&amp;"&amp;utm_medium="&amp;W613&amp;"&amp;utm_campaign="&amp;X613&amp;"&amp;utm_content="&amp;Y613)</f>
        <v/>
      </c>
      <c r="AA613" s="29"/>
      <c r="AB613" s="39"/>
      <c r="AC613" s="32"/>
      <c r="AD613" s="32"/>
      <c r="AE613" s="32"/>
      <c r="AF613" s="32"/>
      <c r="AG613" s="32"/>
      <c r="AH613" s="32"/>
      <c r="AI613" s="32"/>
      <c r="AJ613" s="32"/>
      <c r="AK613" s="32"/>
      <c r="AL613" s="32"/>
      <c r="AM613" s="32"/>
      <c r="AN613" s="32"/>
      <c r="AO613" s="33" t="str">
        <f aca="false">IF(A613="","",IF(AD613&lt;&gt;"",AD613,IF(AC613&lt;&gt;"",AC613,"")))</f>
        <v/>
      </c>
      <c r="AP613" s="24" t="str">
        <f aca="false">IF(AO613="","",IF(AD613&lt;&gt;"","Reported reach","Impressions (proxy)"))</f>
        <v/>
      </c>
      <c r="AQ613" s="34" t="str">
        <f aca="false">IF(OR(AO613="",N(S613)=0),"",AO613/S613)</f>
        <v/>
      </c>
      <c r="AR613" s="33" t="str">
        <f aca="false">IF(A613="","",IF(COUNT(AF613:AJ613)=0,"",SUM(AF613:AJ613)))</f>
        <v/>
      </c>
      <c r="AS613" s="34" t="str">
        <f aca="false">IF(OR(AR613="",N(AO613)=0),"",AR613/AO613)</f>
        <v/>
      </c>
      <c r="AT613" s="34" t="str">
        <f aca="false">IF(OR(AR613="",N(AC613)=0),"",AR613/AC613)</f>
        <v/>
      </c>
      <c r="AU613" s="34" t="str">
        <f aca="false">IF(OR(AR613="",N(S613)=0),"",AR613/S613)</f>
        <v/>
      </c>
      <c r="AV613" s="34" t="str">
        <f aca="false">IF(OR(AJ613="",N(AC613)=0),"",AJ613/AC613)</f>
        <v/>
      </c>
      <c r="AW613" s="34" t="str">
        <f aca="false">IF(OR(AH613="",N(AO613)=0),"",AH613/AO613)</f>
        <v/>
      </c>
      <c r="AX613" s="35" t="str">
        <f aca="false">IF(OR(AR613="",N(AO613)=0),"",(N(AF613)*Settings!$B$6+N(AG613)*Settings!$B$7+N(AH613)*Settings!$B$8+N(AI613)*Settings!$B$9+N(AJ613)*Settings!$B$10)/AO613*1000)</f>
        <v/>
      </c>
      <c r="AY613" s="36" t="str">
        <f aca="false">IF(AS613="","",IFERROR(AS613/AVERAGEIFS('Post Tracker'!$AS$5:$AS$1004,'Post Tracker'!$G$5:$G$1004,G613),""))</f>
        <v/>
      </c>
      <c r="AZ613" s="32"/>
      <c r="BA613" s="32"/>
      <c r="BB613" s="32"/>
      <c r="BC613" s="32"/>
      <c r="BD613" s="33" t="str">
        <f aca="false">IF(A613="","",COUNTIFS('Demo Pipeline'!$Q$5:$Q$504,A613))</f>
        <v/>
      </c>
      <c r="BE613" s="33" t="str">
        <f aca="false">IF(A613="","",COUNTIFS('Demo Pipeline'!$Q$5:$Q$504,A613,'Demo Pipeline'!$W$5:$W$504,"Attended"))</f>
        <v/>
      </c>
      <c r="BF613" s="33" t="str">
        <f aca="false">IF(A613="","",COUNTIFS('Demo Pipeline'!$Q$5:$Q$504,A613,'Demo Pipeline'!$X$5:$X$504,"Yes"))</f>
        <v/>
      </c>
      <c r="BG613" s="33" t="str">
        <f aca="false">IF(A613="","",COUNTIFS('Demo Pipeline'!$Q$5:$Q$504,A613,'Demo Pipeline'!$Y$5:$Y$504,"Closed Won"))</f>
        <v/>
      </c>
      <c r="BH613" s="37" t="str">
        <f aca="false">IF(A613="","",SUMIFS('Demo Pipeline'!$Z$5:$Z$504,'Demo Pipeline'!$Q$5:$Q$504,A613))</f>
        <v/>
      </c>
      <c r="BI613" s="34" t="str">
        <f aca="false">IF(OR(AZ613="",N(AJ613)=0),"",AZ613/AJ613)</f>
        <v/>
      </c>
      <c r="BJ613" s="34" t="str">
        <f aca="false">IF(OR(BB613="",N(AZ613)=0),"",BB613/AZ613)</f>
        <v/>
      </c>
      <c r="BK613" s="34" t="str">
        <f aca="false">IF(OR(A613="",N(BB613)=0),"",BD613/BB613)</f>
        <v/>
      </c>
      <c r="BL613" s="34" t="str">
        <f aca="false">IF(OR(A613="",N(AZ613)=0),"",BD613/AZ613)</f>
        <v/>
      </c>
      <c r="BM613" s="37" t="str">
        <f aca="false">IF(OR(N(Q613)=0,N(BD613)=0),"",Q613/BD613)</f>
        <v/>
      </c>
      <c r="BN613" s="29"/>
      <c r="BO613" s="29"/>
      <c r="BP613" s="33" t="str">
        <f aca="false">IF(OR(AR613="",N(AO613)=0),"",AR613)</f>
        <v/>
      </c>
      <c r="BQ613" s="33" t="str">
        <f aca="false">IF(OR(AR613="",N(S613)=0),"",S613)</f>
        <v/>
      </c>
      <c r="BR613" s="38" t="str">
        <f aca="false">IF(AND(ISNUMBER(B613),B613&gt;=Dashboard!$C$4,B613&lt;=Dashboard!$F$4,ISNUMBER(AU613)),AU613+ROW()/10^9,"")</f>
        <v/>
      </c>
      <c r="BS613" s="38" t="str">
        <f aca="false">IF(AND(ISNUMBER(B613),B613&gt;=Dashboard!$C$4,B613&lt;=Dashboard!$F$4,A613&lt;&gt;""),N(BD613)+N(AU613)/100+ROW()/10^9,"")</f>
        <v/>
      </c>
    </row>
    <row r="614" customFormat="false" ht="15" hidden="false" customHeight="false" outlineLevel="0" collapsed="false">
      <c r="A614" s="24" t="str">
        <f aca="false">IF(OR(B614="",G614="",H614=""),"",IFERROR(INDEX(Settings!$E$5:$E$49,MATCH(G614,Settings!$D$5:$D$49,0))&amp;INDEX(Settings!$H$5:$H$47,MATCH(H614,Settings!$G$5:$G$47,0))&amp;"-"&amp;TEXT(B614,"yymmdd")&amp;"-"&amp;IF(C614="","0000",TEXT(C614,"hhmm")),"CHECK LISTS"))</f>
        <v/>
      </c>
      <c r="B614" s="39"/>
      <c r="C614" s="40"/>
      <c r="D614" s="24" t="str">
        <f aca="false">IF(B614="","",TEXT(B614,"ddd"))</f>
        <v/>
      </c>
      <c r="E614" s="27" t="str">
        <f aca="false">IF(B614="","",B614-WEEKDAY(B614,3))</f>
        <v/>
      </c>
      <c r="F614" s="24" t="str">
        <f aca="false">IF(B614="","",TEXT(B614,"yyyy-mm"))</f>
        <v/>
      </c>
      <c r="G614" s="29"/>
      <c r="H614" s="29"/>
      <c r="I614" s="29"/>
      <c r="J614" s="29"/>
      <c r="K614" s="29"/>
      <c r="L614" s="29"/>
      <c r="M614" s="29"/>
      <c r="N614" s="29"/>
      <c r="O614" s="29"/>
      <c r="P614" s="29"/>
      <c r="Q614" s="30"/>
      <c r="R614" s="29"/>
      <c r="S614" s="32"/>
      <c r="T614" s="29"/>
      <c r="U614" s="29"/>
      <c r="V614" s="24" t="str">
        <f aca="false">IF(A614="","",IFERROR(INDEX(Settings!$F$5:$F$49,MATCH(G614,Settings!$D$5:$D$49,0)),""))</f>
        <v/>
      </c>
      <c r="W614" s="24" t="str">
        <f aca="false">IF(A614="","",IF(OR(P614="",P614="Organic"),"social","paid_social"))</f>
        <v/>
      </c>
      <c r="X614" s="24" t="str">
        <f aca="false">IF(A614="","",IF(K614&lt;&gt;"",IFERROR(INDEX('Case Studies'!$C$5:$C$54,MATCH(K614,'Case Studies'!$B$5:$B$54,0))&amp;"","case-study"),IF(J614&lt;&gt;"",IFERROR(INDEX(Settings!$J$5:$J$55,MATCH(J614,Settings!$I$5:$I$55,0)),"general"),"general")))</f>
        <v/>
      </c>
      <c r="Y614" s="24" t="str">
        <f aca="false">IF(A614="","",LOWER(A614))</f>
        <v/>
      </c>
      <c r="Z614" s="24" t="str">
        <f aca="false">IF(A614="","",IF(T614="",Settings!$B$5,T614)&amp;IF(ISNUMBER(FIND("?",IF(T614="",Settings!$B$5,T614))),"&amp;","?")&amp;"utm_source="&amp;V614&amp;"&amp;utm_medium="&amp;W614&amp;"&amp;utm_campaign="&amp;X614&amp;"&amp;utm_content="&amp;Y614)</f>
        <v/>
      </c>
      <c r="AA614" s="29"/>
      <c r="AB614" s="39"/>
      <c r="AC614" s="32"/>
      <c r="AD614" s="32"/>
      <c r="AE614" s="32"/>
      <c r="AF614" s="32"/>
      <c r="AG614" s="32"/>
      <c r="AH614" s="32"/>
      <c r="AI614" s="32"/>
      <c r="AJ614" s="32"/>
      <c r="AK614" s="32"/>
      <c r="AL614" s="32"/>
      <c r="AM614" s="32"/>
      <c r="AN614" s="32"/>
      <c r="AO614" s="33" t="str">
        <f aca="false">IF(A614="","",IF(AD614&lt;&gt;"",AD614,IF(AC614&lt;&gt;"",AC614,"")))</f>
        <v/>
      </c>
      <c r="AP614" s="24" t="str">
        <f aca="false">IF(AO614="","",IF(AD614&lt;&gt;"","Reported reach","Impressions (proxy)"))</f>
        <v/>
      </c>
      <c r="AQ614" s="34" t="str">
        <f aca="false">IF(OR(AO614="",N(S614)=0),"",AO614/S614)</f>
        <v/>
      </c>
      <c r="AR614" s="33" t="str">
        <f aca="false">IF(A614="","",IF(COUNT(AF614:AJ614)=0,"",SUM(AF614:AJ614)))</f>
        <v/>
      </c>
      <c r="AS614" s="34" t="str">
        <f aca="false">IF(OR(AR614="",N(AO614)=0),"",AR614/AO614)</f>
        <v/>
      </c>
      <c r="AT614" s="34" t="str">
        <f aca="false">IF(OR(AR614="",N(AC614)=0),"",AR614/AC614)</f>
        <v/>
      </c>
      <c r="AU614" s="34" t="str">
        <f aca="false">IF(OR(AR614="",N(S614)=0),"",AR614/S614)</f>
        <v/>
      </c>
      <c r="AV614" s="34" t="str">
        <f aca="false">IF(OR(AJ614="",N(AC614)=0),"",AJ614/AC614)</f>
        <v/>
      </c>
      <c r="AW614" s="34" t="str">
        <f aca="false">IF(OR(AH614="",N(AO614)=0),"",AH614/AO614)</f>
        <v/>
      </c>
      <c r="AX614" s="35" t="str">
        <f aca="false">IF(OR(AR614="",N(AO614)=0),"",(N(AF614)*Settings!$B$6+N(AG614)*Settings!$B$7+N(AH614)*Settings!$B$8+N(AI614)*Settings!$B$9+N(AJ614)*Settings!$B$10)/AO614*1000)</f>
        <v/>
      </c>
      <c r="AY614" s="36" t="str">
        <f aca="false">IF(AS614="","",IFERROR(AS614/AVERAGEIFS('Post Tracker'!$AS$5:$AS$1004,'Post Tracker'!$G$5:$G$1004,G614),""))</f>
        <v/>
      </c>
      <c r="AZ614" s="32"/>
      <c r="BA614" s="32"/>
      <c r="BB614" s="32"/>
      <c r="BC614" s="32"/>
      <c r="BD614" s="33" t="str">
        <f aca="false">IF(A614="","",COUNTIFS('Demo Pipeline'!$Q$5:$Q$504,A614))</f>
        <v/>
      </c>
      <c r="BE614" s="33" t="str">
        <f aca="false">IF(A614="","",COUNTIFS('Demo Pipeline'!$Q$5:$Q$504,A614,'Demo Pipeline'!$W$5:$W$504,"Attended"))</f>
        <v/>
      </c>
      <c r="BF614" s="33" t="str">
        <f aca="false">IF(A614="","",COUNTIFS('Demo Pipeline'!$Q$5:$Q$504,A614,'Demo Pipeline'!$X$5:$X$504,"Yes"))</f>
        <v/>
      </c>
      <c r="BG614" s="33" t="str">
        <f aca="false">IF(A614="","",COUNTIFS('Demo Pipeline'!$Q$5:$Q$504,A614,'Demo Pipeline'!$Y$5:$Y$504,"Closed Won"))</f>
        <v/>
      </c>
      <c r="BH614" s="37" t="str">
        <f aca="false">IF(A614="","",SUMIFS('Demo Pipeline'!$Z$5:$Z$504,'Demo Pipeline'!$Q$5:$Q$504,A614))</f>
        <v/>
      </c>
      <c r="BI614" s="34" t="str">
        <f aca="false">IF(OR(AZ614="",N(AJ614)=0),"",AZ614/AJ614)</f>
        <v/>
      </c>
      <c r="BJ614" s="34" t="str">
        <f aca="false">IF(OR(BB614="",N(AZ614)=0),"",BB614/AZ614)</f>
        <v/>
      </c>
      <c r="BK614" s="34" t="str">
        <f aca="false">IF(OR(A614="",N(BB614)=0),"",BD614/BB614)</f>
        <v/>
      </c>
      <c r="BL614" s="34" t="str">
        <f aca="false">IF(OR(A614="",N(AZ614)=0),"",BD614/AZ614)</f>
        <v/>
      </c>
      <c r="BM614" s="37" t="str">
        <f aca="false">IF(OR(N(Q614)=0,N(BD614)=0),"",Q614/BD614)</f>
        <v/>
      </c>
      <c r="BN614" s="29"/>
      <c r="BO614" s="29"/>
      <c r="BP614" s="33" t="str">
        <f aca="false">IF(OR(AR614="",N(AO614)=0),"",AR614)</f>
        <v/>
      </c>
      <c r="BQ614" s="33" t="str">
        <f aca="false">IF(OR(AR614="",N(S614)=0),"",S614)</f>
        <v/>
      </c>
      <c r="BR614" s="38" t="str">
        <f aca="false">IF(AND(ISNUMBER(B614),B614&gt;=Dashboard!$C$4,B614&lt;=Dashboard!$F$4,ISNUMBER(AU614)),AU614+ROW()/10^9,"")</f>
        <v/>
      </c>
      <c r="BS614" s="38" t="str">
        <f aca="false">IF(AND(ISNUMBER(B614),B614&gt;=Dashboard!$C$4,B614&lt;=Dashboard!$F$4,A614&lt;&gt;""),N(BD614)+N(AU614)/100+ROW()/10^9,"")</f>
        <v/>
      </c>
    </row>
    <row r="615" customFormat="false" ht="15" hidden="false" customHeight="false" outlineLevel="0" collapsed="false">
      <c r="A615" s="24" t="str">
        <f aca="false">IF(OR(B615="",G615="",H615=""),"",IFERROR(INDEX(Settings!$E$5:$E$49,MATCH(G615,Settings!$D$5:$D$49,0))&amp;INDEX(Settings!$H$5:$H$47,MATCH(H615,Settings!$G$5:$G$47,0))&amp;"-"&amp;TEXT(B615,"yymmdd")&amp;"-"&amp;IF(C615="","0000",TEXT(C615,"hhmm")),"CHECK LISTS"))</f>
        <v/>
      </c>
      <c r="B615" s="39"/>
      <c r="C615" s="40"/>
      <c r="D615" s="24" t="str">
        <f aca="false">IF(B615="","",TEXT(B615,"ddd"))</f>
        <v/>
      </c>
      <c r="E615" s="27" t="str">
        <f aca="false">IF(B615="","",B615-WEEKDAY(B615,3))</f>
        <v/>
      </c>
      <c r="F615" s="24" t="str">
        <f aca="false">IF(B615="","",TEXT(B615,"yyyy-mm"))</f>
        <v/>
      </c>
      <c r="G615" s="29"/>
      <c r="H615" s="29"/>
      <c r="I615" s="29"/>
      <c r="J615" s="29"/>
      <c r="K615" s="29"/>
      <c r="L615" s="29"/>
      <c r="M615" s="29"/>
      <c r="N615" s="29"/>
      <c r="O615" s="29"/>
      <c r="P615" s="29"/>
      <c r="Q615" s="30"/>
      <c r="R615" s="29"/>
      <c r="S615" s="32"/>
      <c r="T615" s="29"/>
      <c r="U615" s="29"/>
      <c r="V615" s="24" t="str">
        <f aca="false">IF(A615="","",IFERROR(INDEX(Settings!$F$5:$F$49,MATCH(G615,Settings!$D$5:$D$49,0)),""))</f>
        <v/>
      </c>
      <c r="W615" s="24" t="str">
        <f aca="false">IF(A615="","",IF(OR(P615="",P615="Organic"),"social","paid_social"))</f>
        <v/>
      </c>
      <c r="X615" s="24" t="str">
        <f aca="false">IF(A615="","",IF(K615&lt;&gt;"",IFERROR(INDEX('Case Studies'!$C$5:$C$54,MATCH(K615,'Case Studies'!$B$5:$B$54,0))&amp;"","case-study"),IF(J615&lt;&gt;"",IFERROR(INDEX(Settings!$J$5:$J$55,MATCH(J615,Settings!$I$5:$I$55,0)),"general"),"general")))</f>
        <v/>
      </c>
      <c r="Y615" s="24" t="str">
        <f aca="false">IF(A615="","",LOWER(A615))</f>
        <v/>
      </c>
      <c r="Z615" s="24" t="str">
        <f aca="false">IF(A615="","",IF(T615="",Settings!$B$5,T615)&amp;IF(ISNUMBER(FIND("?",IF(T615="",Settings!$B$5,T615))),"&amp;","?")&amp;"utm_source="&amp;V615&amp;"&amp;utm_medium="&amp;W615&amp;"&amp;utm_campaign="&amp;X615&amp;"&amp;utm_content="&amp;Y615)</f>
        <v/>
      </c>
      <c r="AA615" s="29"/>
      <c r="AB615" s="39"/>
      <c r="AC615" s="32"/>
      <c r="AD615" s="32"/>
      <c r="AE615" s="32"/>
      <c r="AF615" s="32"/>
      <c r="AG615" s="32"/>
      <c r="AH615" s="32"/>
      <c r="AI615" s="32"/>
      <c r="AJ615" s="32"/>
      <c r="AK615" s="32"/>
      <c r="AL615" s="32"/>
      <c r="AM615" s="32"/>
      <c r="AN615" s="32"/>
      <c r="AO615" s="33" t="str">
        <f aca="false">IF(A615="","",IF(AD615&lt;&gt;"",AD615,IF(AC615&lt;&gt;"",AC615,"")))</f>
        <v/>
      </c>
      <c r="AP615" s="24" t="str">
        <f aca="false">IF(AO615="","",IF(AD615&lt;&gt;"","Reported reach","Impressions (proxy)"))</f>
        <v/>
      </c>
      <c r="AQ615" s="34" t="str">
        <f aca="false">IF(OR(AO615="",N(S615)=0),"",AO615/S615)</f>
        <v/>
      </c>
      <c r="AR615" s="33" t="str">
        <f aca="false">IF(A615="","",IF(COUNT(AF615:AJ615)=0,"",SUM(AF615:AJ615)))</f>
        <v/>
      </c>
      <c r="AS615" s="34" t="str">
        <f aca="false">IF(OR(AR615="",N(AO615)=0),"",AR615/AO615)</f>
        <v/>
      </c>
      <c r="AT615" s="34" t="str">
        <f aca="false">IF(OR(AR615="",N(AC615)=0),"",AR615/AC615)</f>
        <v/>
      </c>
      <c r="AU615" s="34" t="str">
        <f aca="false">IF(OR(AR615="",N(S615)=0),"",AR615/S615)</f>
        <v/>
      </c>
      <c r="AV615" s="34" t="str">
        <f aca="false">IF(OR(AJ615="",N(AC615)=0),"",AJ615/AC615)</f>
        <v/>
      </c>
      <c r="AW615" s="34" t="str">
        <f aca="false">IF(OR(AH615="",N(AO615)=0),"",AH615/AO615)</f>
        <v/>
      </c>
      <c r="AX615" s="35" t="str">
        <f aca="false">IF(OR(AR615="",N(AO615)=0),"",(N(AF615)*Settings!$B$6+N(AG615)*Settings!$B$7+N(AH615)*Settings!$B$8+N(AI615)*Settings!$B$9+N(AJ615)*Settings!$B$10)/AO615*1000)</f>
        <v/>
      </c>
      <c r="AY615" s="36" t="str">
        <f aca="false">IF(AS615="","",IFERROR(AS615/AVERAGEIFS('Post Tracker'!$AS$5:$AS$1004,'Post Tracker'!$G$5:$G$1004,G615),""))</f>
        <v/>
      </c>
      <c r="AZ615" s="32"/>
      <c r="BA615" s="32"/>
      <c r="BB615" s="32"/>
      <c r="BC615" s="32"/>
      <c r="BD615" s="33" t="str">
        <f aca="false">IF(A615="","",COUNTIFS('Demo Pipeline'!$Q$5:$Q$504,A615))</f>
        <v/>
      </c>
      <c r="BE615" s="33" t="str">
        <f aca="false">IF(A615="","",COUNTIFS('Demo Pipeline'!$Q$5:$Q$504,A615,'Demo Pipeline'!$W$5:$W$504,"Attended"))</f>
        <v/>
      </c>
      <c r="BF615" s="33" t="str">
        <f aca="false">IF(A615="","",COUNTIFS('Demo Pipeline'!$Q$5:$Q$504,A615,'Demo Pipeline'!$X$5:$X$504,"Yes"))</f>
        <v/>
      </c>
      <c r="BG615" s="33" t="str">
        <f aca="false">IF(A615="","",COUNTIFS('Demo Pipeline'!$Q$5:$Q$504,A615,'Demo Pipeline'!$Y$5:$Y$504,"Closed Won"))</f>
        <v/>
      </c>
      <c r="BH615" s="37" t="str">
        <f aca="false">IF(A615="","",SUMIFS('Demo Pipeline'!$Z$5:$Z$504,'Demo Pipeline'!$Q$5:$Q$504,A615))</f>
        <v/>
      </c>
      <c r="BI615" s="34" t="str">
        <f aca="false">IF(OR(AZ615="",N(AJ615)=0),"",AZ615/AJ615)</f>
        <v/>
      </c>
      <c r="BJ615" s="34" t="str">
        <f aca="false">IF(OR(BB615="",N(AZ615)=0),"",BB615/AZ615)</f>
        <v/>
      </c>
      <c r="BK615" s="34" t="str">
        <f aca="false">IF(OR(A615="",N(BB615)=0),"",BD615/BB615)</f>
        <v/>
      </c>
      <c r="BL615" s="34" t="str">
        <f aca="false">IF(OR(A615="",N(AZ615)=0),"",BD615/AZ615)</f>
        <v/>
      </c>
      <c r="BM615" s="37" t="str">
        <f aca="false">IF(OR(N(Q615)=0,N(BD615)=0),"",Q615/BD615)</f>
        <v/>
      </c>
      <c r="BN615" s="29"/>
      <c r="BO615" s="29"/>
      <c r="BP615" s="33" t="str">
        <f aca="false">IF(OR(AR615="",N(AO615)=0),"",AR615)</f>
        <v/>
      </c>
      <c r="BQ615" s="33" t="str">
        <f aca="false">IF(OR(AR615="",N(S615)=0),"",S615)</f>
        <v/>
      </c>
      <c r="BR615" s="38" t="str">
        <f aca="false">IF(AND(ISNUMBER(B615),B615&gt;=Dashboard!$C$4,B615&lt;=Dashboard!$F$4,ISNUMBER(AU615)),AU615+ROW()/10^9,"")</f>
        <v/>
      </c>
      <c r="BS615" s="38" t="str">
        <f aca="false">IF(AND(ISNUMBER(B615),B615&gt;=Dashboard!$C$4,B615&lt;=Dashboard!$F$4,A615&lt;&gt;""),N(BD615)+N(AU615)/100+ROW()/10^9,"")</f>
        <v/>
      </c>
    </row>
    <row r="616" customFormat="false" ht="15" hidden="false" customHeight="false" outlineLevel="0" collapsed="false">
      <c r="A616" s="24" t="str">
        <f aca="false">IF(OR(B616="",G616="",H616=""),"",IFERROR(INDEX(Settings!$E$5:$E$49,MATCH(G616,Settings!$D$5:$D$49,0))&amp;INDEX(Settings!$H$5:$H$47,MATCH(H616,Settings!$G$5:$G$47,0))&amp;"-"&amp;TEXT(B616,"yymmdd")&amp;"-"&amp;IF(C616="","0000",TEXT(C616,"hhmm")),"CHECK LISTS"))</f>
        <v/>
      </c>
      <c r="B616" s="39"/>
      <c r="C616" s="40"/>
      <c r="D616" s="24" t="str">
        <f aca="false">IF(B616="","",TEXT(B616,"ddd"))</f>
        <v/>
      </c>
      <c r="E616" s="27" t="str">
        <f aca="false">IF(B616="","",B616-WEEKDAY(B616,3))</f>
        <v/>
      </c>
      <c r="F616" s="24" t="str">
        <f aca="false">IF(B616="","",TEXT(B616,"yyyy-mm"))</f>
        <v/>
      </c>
      <c r="G616" s="29"/>
      <c r="H616" s="29"/>
      <c r="I616" s="29"/>
      <c r="J616" s="29"/>
      <c r="K616" s="29"/>
      <c r="L616" s="29"/>
      <c r="M616" s="29"/>
      <c r="N616" s="29"/>
      <c r="O616" s="29"/>
      <c r="P616" s="29"/>
      <c r="Q616" s="30"/>
      <c r="R616" s="29"/>
      <c r="S616" s="32"/>
      <c r="T616" s="29"/>
      <c r="U616" s="29"/>
      <c r="V616" s="24" t="str">
        <f aca="false">IF(A616="","",IFERROR(INDEX(Settings!$F$5:$F$49,MATCH(G616,Settings!$D$5:$D$49,0)),""))</f>
        <v/>
      </c>
      <c r="W616" s="24" t="str">
        <f aca="false">IF(A616="","",IF(OR(P616="",P616="Organic"),"social","paid_social"))</f>
        <v/>
      </c>
      <c r="X616" s="24" t="str">
        <f aca="false">IF(A616="","",IF(K616&lt;&gt;"",IFERROR(INDEX('Case Studies'!$C$5:$C$54,MATCH(K616,'Case Studies'!$B$5:$B$54,0))&amp;"","case-study"),IF(J616&lt;&gt;"",IFERROR(INDEX(Settings!$J$5:$J$55,MATCH(J616,Settings!$I$5:$I$55,0)),"general"),"general")))</f>
        <v/>
      </c>
      <c r="Y616" s="24" t="str">
        <f aca="false">IF(A616="","",LOWER(A616))</f>
        <v/>
      </c>
      <c r="Z616" s="24" t="str">
        <f aca="false">IF(A616="","",IF(T616="",Settings!$B$5,T616)&amp;IF(ISNUMBER(FIND("?",IF(T616="",Settings!$B$5,T616))),"&amp;","?")&amp;"utm_source="&amp;V616&amp;"&amp;utm_medium="&amp;W616&amp;"&amp;utm_campaign="&amp;X616&amp;"&amp;utm_content="&amp;Y616)</f>
        <v/>
      </c>
      <c r="AA616" s="29"/>
      <c r="AB616" s="39"/>
      <c r="AC616" s="32"/>
      <c r="AD616" s="32"/>
      <c r="AE616" s="32"/>
      <c r="AF616" s="32"/>
      <c r="AG616" s="32"/>
      <c r="AH616" s="32"/>
      <c r="AI616" s="32"/>
      <c r="AJ616" s="32"/>
      <c r="AK616" s="32"/>
      <c r="AL616" s="32"/>
      <c r="AM616" s="32"/>
      <c r="AN616" s="32"/>
      <c r="AO616" s="33" t="str">
        <f aca="false">IF(A616="","",IF(AD616&lt;&gt;"",AD616,IF(AC616&lt;&gt;"",AC616,"")))</f>
        <v/>
      </c>
      <c r="AP616" s="24" t="str">
        <f aca="false">IF(AO616="","",IF(AD616&lt;&gt;"","Reported reach","Impressions (proxy)"))</f>
        <v/>
      </c>
      <c r="AQ616" s="34" t="str">
        <f aca="false">IF(OR(AO616="",N(S616)=0),"",AO616/S616)</f>
        <v/>
      </c>
      <c r="AR616" s="33" t="str">
        <f aca="false">IF(A616="","",IF(COUNT(AF616:AJ616)=0,"",SUM(AF616:AJ616)))</f>
        <v/>
      </c>
      <c r="AS616" s="34" t="str">
        <f aca="false">IF(OR(AR616="",N(AO616)=0),"",AR616/AO616)</f>
        <v/>
      </c>
      <c r="AT616" s="34" t="str">
        <f aca="false">IF(OR(AR616="",N(AC616)=0),"",AR616/AC616)</f>
        <v/>
      </c>
      <c r="AU616" s="34" t="str">
        <f aca="false">IF(OR(AR616="",N(S616)=0),"",AR616/S616)</f>
        <v/>
      </c>
      <c r="AV616" s="34" t="str">
        <f aca="false">IF(OR(AJ616="",N(AC616)=0),"",AJ616/AC616)</f>
        <v/>
      </c>
      <c r="AW616" s="34" t="str">
        <f aca="false">IF(OR(AH616="",N(AO616)=0),"",AH616/AO616)</f>
        <v/>
      </c>
      <c r="AX616" s="35" t="str">
        <f aca="false">IF(OR(AR616="",N(AO616)=0),"",(N(AF616)*Settings!$B$6+N(AG616)*Settings!$B$7+N(AH616)*Settings!$B$8+N(AI616)*Settings!$B$9+N(AJ616)*Settings!$B$10)/AO616*1000)</f>
        <v/>
      </c>
      <c r="AY616" s="36" t="str">
        <f aca="false">IF(AS616="","",IFERROR(AS616/AVERAGEIFS('Post Tracker'!$AS$5:$AS$1004,'Post Tracker'!$G$5:$G$1004,G616),""))</f>
        <v/>
      </c>
      <c r="AZ616" s="32"/>
      <c r="BA616" s="32"/>
      <c r="BB616" s="32"/>
      <c r="BC616" s="32"/>
      <c r="BD616" s="33" t="str">
        <f aca="false">IF(A616="","",COUNTIFS('Demo Pipeline'!$Q$5:$Q$504,A616))</f>
        <v/>
      </c>
      <c r="BE616" s="33" t="str">
        <f aca="false">IF(A616="","",COUNTIFS('Demo Pipeline'!$Q$5:$Q$504,A616,'Demo Pipeline'!$W$5:$W$504,"Attended"))</f>
        <v/>
      </c>
      <c r="BF616" s="33" t="str">
        <f aca="false">IF(A616="","",COUNTIFS('Demo Pipeline'!$Q$5:$Q$504,A616,'Demo Pipeline'!$X$5:$X$504,"Yes"))</f>
        <v/>
      </c>
      <c r="BG616" s="33" t="str">
        <f aca="false">IF(A616="","",COUNTIFS('Demo Pipeline'!$Q$5:$Q$504,A616,'Demo Pipeline'!$Y$5:$Y$504,"Closed Won"))</f>
        <v/>
      </c>
      <c r="BH616" s="37" t="str">
        <f aca="false">IF(A616="","",SUMIFS('Demo Pipeline'!$Z$5:$Z$504,'Demo Pipeline'!$Q$5:$Q$504,A616))</f>
        <v/>
      </c>
      <c r="BI616" s="34" t="str">
        <f aca="false">IF(OR(AZ616="",N(AJ616)=0),"",AZ616/AJ616)</f>
        <v/>
      </c>
      <c r="BJ616" s="34" t="str">
        <f aca="false">IF(OR(BB616="",N(AZ616)=0),"",BB616/AZ616)</f>
        <v/>
      </c>
      <c r="BK616" s="34" t="str">
        <f aca="false">IF(OR(A616="",N(BB616)=0),"",BD616/BB616)</f>
        <v/>
      </c>
      <c r="BL616" s="34" t="str">
        <f aca="false">IF(OR(A616="",N(AZ616)=0),"",BD616/AZ616)</f>
        <v/>
      </c>
      <c r="BM616" s="37" t="str">
        <f aca="false">IF(OR(N(Q616)=0,N(BD616)=0),"",Q616/BD616)</f>
        <v/>
      </c>
      <c r="BN616" s="29"/>
      <c r="BO616" s="29"/>
      <c r="BP616" s="33" t="str">
        <f aca="false">IF(OR(AR616="",N(AO616)=0),"",AR616)</f>
        <v/>
      </c>
      <c r="BQ616" s="33" t="str">
        <f aca="false">IF(OR(AR616="",N(S616)=0),"",S616)</f>
        <v/>
      </c>
      <c r="BR616" s="38" t="str">
        <f aca="false">IF(AND(ISNUMBER(B616),B616&gt;=Dashboard!$C$4,B616&lt;=Dashboard!$F$4,ISNUMBER(AU616)),AU616+ROW()/10^9,"")</f>
        <v/>
      </c>
      <c r="BS616" s="38" t="str">
        <f aca="false">IF(AND(ISNUMBER(B616),B616&gt;=Dashboard!$C$4,B616&lt;=Dashboard!$F$4,A616&lt;&gt;""),N(BD616)+N(AU616)/100+ROW()/10^9,"")</f>
        <v/>
      </c>
    </row>
    <row r="617" customFormat="false" ht="15" hidden="false" customHeight="false" outlineLevel="0" collapsed="false">
      <c r="A617" s="24" t="str">
        <f aca="false">IF(OR(B617="",G617="",H617=""),"",IFERROR(INDEX(Settings!$E$5:$E$49,MATCH(G617,Settings!$D$5:$D$49,0))&amp;INDEX(Settings!$H$5:$H$47,MATCH(H617,Settings!$G$5:$G$47,0))&amp;"-"&amp;TEXT(B617,"yymmdd")&amp;"-"&amp;IF(C617="","0000",TEXT(C617,"hhmm")),"CHECK LISTS"))</f>
        <v/>
      </c>
      <c r="B617" s="39"/>
      <c r="C617" s="40"/>
      <c r="D617" s="24" t="str">
        <f aca="false">IF(B617="","",TEXT(B617,"ddd"))</f>
        <v/>
      </c>
      <c r="E617" s="27" t="str">
        <f aca="false">IF(B617="","",B617-WEEKDAY(B617,3))</f>
        <v/>
      </c>
      <c r="F617" s="24" t="str">
        <f aca="false">IF(B617="","",TEXT(B617,"yyyy-mm"))</f>
        <v/>
      </c>
      <c r="G617" s="29"/>
      <c r="H617" s="29"/>
      <c r="I617" s="29"/>
      <c r="J617" s="29"/>
      <c r="K617" s="29"/>
      <c r="L617" s="29"/>
      <c r="M617" s="29"/>
      <c r="N617" s="29"/>
      <c r="O617" s="29"/>
      <c r="P617" s="29"/>
      <c r="Q617" s="30"/>
      <c r="R617" s="29"/>
      <c r="S617" s="32"/>
      <c r="T617" s="29"/>
      <c r="U617" s="29"/>
      <c r="V617" s="24" t="str">
        <f aca="false">IF(A617="","",IFERROR(INDEX(Settings!$F$5:$F$49,MATCH(G617,Settings!$D$5:$D$49,0)),""))</f>
        <v/>
      </c>
      <c r="W617" s="24" t="str">
        <f aca="false">IF(A617="","",IF(OR(P617="",P617="Organic"),"social","paid_social"))</f>
        <v/>
      </c>
      <c r="X617" s="24" t="str">
        <f aca="false">IF(A617="","",IF(K617&lt;&gt;"",IFERROR(INDEX('Case Studies'!$C$5:$C$54,MATCH(K617,'Case Studies'!$B$5:$B$54,0))&amp;"","case-study"),IF(J617&lt;&gt;"",IFERROR(INDEX(Settings!$J$5:$J$55,MATCH(J617,Settings!$I$5:$I$55,0)),"general"),"general")))</f>
        <v/>
      </c>
      <c r="Y617" s="24" t="str">
        <f aca="false">IF(A617="","",LOWER(A617))</f>
        <v/>
      </c>
      <c r="Z617" s="24" t="str">
        <f aca="false">IF(A617="","",IF(T617="",Settings!$B$5,T617)&amp;IF(ISNUMBER(FIND("?",IF(T617="",Settings!$B$5,T617))),"&amp;","?")&amp;"utm_source="&amp;V617&amp;"&amp;utm_medium="&amp;W617&amp;"&amp;utm_campaign="&amp;X617&amp;"&amp;utm_content="&amp;Y617)</f>
        <v/>
      </c>
      <c r="AA617" s="29"/>
      <c r="AB617" s="39"/>
      <c r="AC617" s="32"/>
      <c r="AD617" s="32"/>
      <c r="AE617" s="32"/>
      <c r="AF617" s="32"/>
      <c r="AG617" s="32"/>
      <c r="AH617" s="32"/>
      <c r="AI617" s="32"/>
      <c r="AJ617" s="32"/>
      <c r="AK617" s="32"/>
      <c r="AL617" s="32"/>
      <c r="AM617" s="32"/>
      <c r="AN617" s="32"/>
      <c r="AO617" s="33" t="str">
        <f aca="false">IF(A617="","",IF(AD617&lt;&gt;"",AD617,IF(AC617&lt;&gt;"",AC617,"")))</f>
        <v/>
      </c>
      <c r="AP617" s="24" t="str">
        <f aca="false">IF(AO617="","",IF(AD617&lt;&gt;"","Reported reach","Impressions (proxy)"))</f>
        <v/>
      </c>
      <c r="AQ617" s="34" t="str">
        <f aca="false">IF(OR(AO617="",N(S617)=0),"",AO617/S617)</f>
        <v/>
      </c>
      <c r="AR617" s="33" t="str">
        <f aca="false">IF(A617="","",IF(COUNT(AF617:AJ617)=0,"",SUM(AF617:AJ617)))</f>
        <v/>
      </c>
      <c r="AS617" s="34" t="str">
        <f aca="false">IF(OR(AR617="",N(AO617)=0),"",AR617/AO617)</f>
        <v/>
      </c>
      <c r="AT617" s="34" t="str">
        <f aca="false">IF(OR(AR617="",N(AC617)=0),"",AR617/AC617)</f>
        <v/>
      </c>
      <c r="AU617" s="34" t="str">
        <f aca="false">IF(OR(AR617="",N(S617)=0),"",AR617/S617)</f>
        <v/>
      </c>
      <c r="AV617" s="34" t="str">
        <f aca="false">IF(OR(AJ617="",N(AC617)=0),"",AJ617/AC617)</f>
        <v/>
      </c>
      <c r="AW617" s="34" t="str">
        <f aca="false">IF(OR(AH617="",N(AO617)=0),"",AH617/AO617)</f>
        <v/>
      </c>
      <c r="AX617" s="35" t="str">
        <f aca="false">IF(OR(AR617="",N(AO617)=0),"",(N(AF617)*Settings!$B$6+N(AG617)*Settings!$B$7+N(AH617)*Settings!$B$8+N(AI617)*Settings!$B$9+N(AJ617)*Settings!$B$10)/AO617*1000)</f>
        <v/>
      </c>
      <c r="AY617" s="36" t="str">
        <f aca="false">IF(AS617="","",IFERROR(AS617/AVERAGEIFS('Post Tracker'!$AS$5:$AS$1004,'Post Tracker'!$G$5:$G$1004,G617),""))</f>
        <v/>
      </c>
      <c r="AZ617" s="32"/>
      <c r="BA617" s="32"/>
      <c r="BB617" s="32"/>
      <c r="BC617" s="32"/>
      <c r="BD617" s="33" t="str">
        <f aca="false">IF(A617="","",COUNTIFS('Demo Pipeline'!$Q$5:$Q$504,A617))</f>
        <v/>
      </c>
      <c r="BE617" s="33" t="str">
        <f aca="false">IF(A617="","",COUNTIFS('Demo Pipeline'!$Q$5:$Q$504,A617,'Demo Pipeline'!$W$5:$W$504,"Attended"))</f>
        <v/>
      </c>
      <c r="BF617" s="33" t="str">
        <f aca="false">IF(A617="","",COUNTIFS('Demo Pipeline'!$Q$5:$Q$504,A617,'Demo Pipeline'!$X$5:$X$504,"Yes"))</f>
        <v/>
      </c>
      <c r="BG617" s="33" t="str">
        <f aca="false">IF(A617="","",COUNTIFS('Demo Pipeline'!$Q$5:$Q$504,A617,'Demo Pipeline'!$Y$5:$Y$504,"Closed Won"))</f>
        <v/>
      </c>
      <c r="BH617" s="37" t="str">
        <f aca="false">IF(A617="","",SUMIFS('Demo Pipeline'!$Z$5:$Z$504,'Demo Pipeline'!$Q$5:$Q$504,A617))</f>
        <v/>
      </c>
      <c r="BI617" s="34" t="str">
        <f aca="false">IF(OR(AZ617="",N(AJ617)=0),"",AZ617/AJ617)</f>
        <v/>
      </c>
      <c r="BJ617" s="34" t="str">
        <f aca="false">IF(OR(BB617="",N(AZ617)=0),"",BB617/AZ617)</f>
        <v/>
      </c>
      <c r="BK617" s="34" t="str">
        <f aca="false">IF(OR(A617="",N(BB617)=0),"",BD617/BB617)</f>
        <v/>
      </c>
      <c r="BL617" s="34" t="str">
        <f aca="false">IF(OR(A617="",N(AZ617)=0),"",BD617/AZ617)</f>
        <v/>
      </c>
      <c r="BM617" s="37" t="str">
        <f aca="false">IF(OR(N(Q617)=0,N(BD617)=0),"",Q617/BD617)</f>
        <v/>
      </c>
      <c r="BN617" s="29"/>
      <c r="BO617" s="29"/>
      <c r="BP617" s="33" t="str">
        <f aca="false">IF(OR(AR617="",N(AO617)=0),"",AR617)</f>
        <v/>
      </c>
      <c r="BQ617" s="33" t="str">
        <f aca="false">IF(OR(AR617="",N(S617)=0),"",S617)</f>
        <v/>
      </c>
      <c r="BR617" s="38" t="str">
        <f aca="false">IF(AND(ISNUMBER(B617),B617&gt;=Dashboard!$C$4,B617&lt;=Dashboard!$F$4,ISNUMBER(AU617)),AU617+ROW()/10^9,"")</f>
        <v/>
      </c>
      <c r="BS617" s="38" t="str">
        <f aca="false">IF(AND(ISNUMBER(B617),B617&gt;=Dashboard!$C$4,B617&lt;=Dashboard!$F$4,A617&lt;&gt;""),N(BD617)+N(AU617)/100+ROW()/10^9,"")</f>
        <v/>
      </c>
    </row>
    <row r="618" customFormat="false" ht="15" hidden="false" customHeight="false" outlineLevel="0" collapsed="false">
      <c r="A618" s="24" t="str">
        <f aca="false">IF(OR(B618="",G618="",H618=""),"",IFERROR(INDEX(Settings!$E$5:$E$49,MATCH(G618,Settings!$D$5:$D$49,0))&amp;INDEX(Settings!$H$5:$H$47,MATCH(H618,Settings!$G$5:$G$47,0))&amp;"-"&amp;TEXT(B618,"yymmdd")&amp;"-"&amp;IF(C618="","0000",TEXT(C618,"hhmm")),"CHECK LISTS"))</f>
        <v/>
      </c>
      <c r="B618" s="39"/>
      <c r="C618" s="40"/>
      <c r="D618" s="24" t="str">
        <f aca="false">IF(B618="","",TEXT(B618,"ddd"))</f>
        <v/>
      </c>
      <c r="E618" s="27" t="str">
        <f aca="false">IF(B618="","",B618-WEEKDAY(B618,3))</f>
        <v/>
      </c>
      <c r="F618" s="24" t="str">
        <f aca="false">IF(B618="","",TEXT(B618,"yyyy-mm"))</f>
        <v/>
      </c>
      <c r="G618" s="29"/>
      <c r="H618" s="29"/>
      <c r="I618" s="29"/>
      <c r="J618" s="29"/>
      <c r="K618" s="29"/>
      <c r="L618" s="29"/>
      <c r="M618" s="29"/>
      <c r="N618" s="29"/>
      <c r="O618" s="29"/>
      <c r="P618" s="29"/>
      <c r="Q618" s="30"/>
      <c r="R618" s="29"/>
      <c r="S618" s="32"/>
      <c r="T618" s="29"/>
      <c r="U618" s="29"/>
      <c r="V618" s="24" t="str">
        <f aca="false">IF(A618="","",IFERROR(INDEX(Settings!$F$5:$F$49,MATCH(G618,Settings!$D$5:$D$49,0)),""))</f>
        <v/>
      </c>
      <c r="W618" s="24" t="str">
        <f aca="false">IF(A618="","",IF(OR(P618="",P618="Organic"),"social","paid_social"))</f>
        <v/>
      </c>
      <c r="X618" s="24" t="str">
        <f aca="false">IF(A618="","",IF(K618&lt;&gt;"",IFERROR(INDEX('Case Studies'!$C$5:$C$54,MATCH(K618,'Case Studies'!$B$5:$B$54,0))&amp;"","case-study"),IF(J618&lt;&gt;"",IFERROR(INDEX(Settings!$J$5:$J$55,MATCH(J618,Settings!$I$5:$I$55,0)),"general"),"general")))</f>
        <v/>
      </c>
      <c r="Y618" s="24" t="str">
        <f aca="false">IF(A618="","",LOWER(A618))</f>
        <v/>
      </c>
      <c r="Z618" s="24" t="str">
        <f aca="false">IF(A618="","",IF(T618="",Settings!$B$5,T618)&amp;IF(ISNUMBER(FIND("?",IF(T618="",Settings!$B$5,T618))),"&amp;","?")&amp;"utm_source="&amp;V618&amp;"&amp;utm_medium="&amp;W618&amp;"&amp;utm_campaign="&amp;X618&amp;"&amp;utm_content="&amp;Y618)</f>
        <v/>
      </c>
      <c r="AA618" s="29"/>
      <c r="AB618" s="39"/>
      <c r="AC618" s="32"/>
      <c r="AD618" s="32"/>
      <c r="AE618" s="32"/>
      <c r="AF618" s="32"/>
      <c r="AG618" s="32"/>
      <c r="AH618" s="32"/>
      <c r="AI618" s="32"/>
      <c r="AJ618" s="32"/>
      <c r="AK618" s="32"/>
      <c r="AL618" s="32"/>
      <c r="AM618" s="32"/>
      <c r="AN618" s="32"/>
      <c r="AO618" s="33" t="str">
        <f aca="false">IF(A618="","",IF(AD618&lt;&gt;"",AD618,IF(AC618&lt;&gt;"",AC618,"")))</f>
        <v/>
      </c>
      <c r="AP618" s="24" t="str">
        <f aca="false">IF(AO618="","",IF(AD618&lt;&gt;"","Reported reach","Impressions (proxy)"))</f>
        <v/>
      </c>
      <c r="AQ618" s="34" t="str">
        <f aca="false">IF(OR(AO618="",N(S618)=0),"",AO618/S618)</f>
        <v/>
      </c>
      <c r="AR618" s="33" t="str">
        <f aca="false">IF(A618="","",IF(COUNT(AF618:AJ618)=0,"",SUM(AF618:AJ618)))</f>
        <v/>
      </c>
      <c r="AS618" s="34" t="str">
        <f aca="false">IF(OR(AR618="",N(AO618)=0),"",AR618/AO618)</f>
        <v/>
      </c>
      <c r="AT618" s="34" t="str">
        <f aca="false">IF(OR(AR618="",N(AC618)=0),"",AR618/AC618)</f>
        <v/>
      </c>
      <c r="AU618" s="34" t="str">
        <f aca="false">IF(OR(AR618="",N(S618)=0),"",AR618/S618)</f>
        <v/>
      </c>
      <c r="AV618" s="34" t="str">
        <f aca="false">IF(OR(AJ618="",N(AC618)=0),"",AJ618/AC618)</f>
        <v/>
      </c>
      <c r="AW618" s="34" t="str">
        <f aca="false">IF(OR(AH618="",N(AO618)=0),"",AH618/AO618)</f>
        <v/>
      </c>
      <c r="AX618" s="35" t="str">
        <f aca="false">IF(OR(AR618="",N(AO618)=0),"",(N(AF618)*Settings!$B$6+N(AG618)*Settings!$B$7+N(AH618)*Settings!$B$8+N(AI618)*Settings!$B$9+N(AJ618)*Settings!$B$10)/AO618*1000)</f>
        <v/>
      </c>
      <c r="AY618" s="36" t="str">
        <f aca="false">IF(AS618="","",IFERROR(AS618/AVERAGEIFS('Post Tracker'!$AS$5:$AS$1004,'Post Tracker'!$G$5:$G$1004,G618),""))</f>
        <v/>
      </c>
      <c r="AZ618" s="32"/>
      <c r="BA618" s="32"/>
      <c r="BB618" s="32"/>
      <c r="BC618" s="32"/>
      <c r="BD618" s="33" t="str">
        <f aca="false">IF(A618="","",COUNTIFS('Demo Pipeline'!$Q$5:$Q$504,A618))</f>
        <v/>
      </c>
      <c r="BE618" s="33" t="str">
        <f aca="false">IF(A618="","",COUNTIFS('Demo Pipeline'!$Q$5:$Q$504,A618,'Demo Pipeline'!$W$5:$W$504,"Attended"))</f>
        <v/>
      </c>
      <c r="BF618" s="33" t="str">
        <f aca="false">IF(A618="","",COUNTIFS('Demo Pipeline'!$Q$5:$Q$504,A618,'Demo Pipeline'!$X$5:$X$504,"Yes"))</f>
        <v/>
      </c>
      <c r="BG618" s="33" t="str">
        <f aca="false">IF(A618="","",COUNTIFS('Demo Pipeline'!$Q$5:$Q$504,A618,'Demo Pipeline'!$Y$5:$Y$504,"Closed Won"))</f>
        <v/>
      </c>
      <c r="BH618" s="37" t="str">
        <f aca="false">IF(A618="","",SUMIFS('Demo Pipeline'!$Z$5:$Z$504,'Demo Pipeline'!$Q$5:$Q$504,A618))</f>
        <v/>
      </c>
      <c r="BI618" s="34" t="str">
        <f aca="false">IF(OR(AZ618="",N(AJ618)=0),"",AZ618/AJ618)</f>
        <v/>
      </c>
      <c r="BJ618" s="34" t="str">
        <f aca="false">IF(OR(BB618="",N(AZ618)=0),"",BB618/AZ618)</f>
        <v/>
      </c>
      <c r="BK618" s="34" t="str">
        <f aca="false">IF(OR(A618="",N(BB618)=0),"",BD618/BB618)</f>
        <v/>
      </c>
      <c r="BL618" s="34" t="str">
        <f aca="false">IF(OR(A618="",N(AZ618)=0),"",BD618/AZ618)</f>
        <v/>
      </c>
      <c r="BM618" s="37" t="str">
        <f aca="false">IF(OR(N(Q618)=0,N(BD618)=0),"",Q618/BD618)</f>
        <v/>
      </c>
      <c r="BN618" s="29"/>
      <c r="BO618" s="29"/>
      <c r="BP618" s="33" t="str">
        <f aca="false">IF(OR(AR618="",N(AO618)=0),"",AR618)</f>
        <v/>
      </c>
      <c r="BQ618" s="33" t="str">
        <f aca="false">IF(OR(AR618="",N(S618)=0),"",S618)</f>
        <v/>
      </c>
      <c r="BR618" s="38" t="str">
        <f aca="false">IF(AND(ISNUMBER(B618),B618&gt;=Dashboard!$C$4,B618&lt;=Dashboard!$F$4,ISNUMBER(AU618)),AU618+ROW()/10^9,"")</f>
        <v/>
      </c>
      <c r="BS618" s="38" t="str">
        <f aca="false">IF(AND(ISNUMBER(B618),B618&gt;=Dashboard!$C$4,B618&lt;=Dashboard!$F$4,A618&lt;&gt;""),N(BD618)+N(AU618)/100+ROW()/10^9,"")</f>
        <v/>
      </c>
    </row>
    <row r="619" customFormat="false" ht="15" hidden="false" customHeight="false" outlineLevel="0" collapsed="false">
      <c r="A619" s="24" t="str">
        <f aca="false">IF(OR(B619="",G619="",H619=""),"",IFERROR(INDEX(Settings!$E$5:$E$49,MATCH(G619,Settings!$D$5:$D$49,0))&amp;INDEX(Settings!$H$5:$H$47,MATCH(H619,Settings!$G$5:$G$47,0))&amp;"-"&amp;TEXT(B619,"yymmdd")&amp;"-"&amp;IF(C619="","0000",TEXT(C619,"hhmm")),"CHECK LISTS"))</f>
        <v/>
      </c>
      <c r="B619" s="39"/>
      <c r="C619" s="40"/>
      <c r="D619" s="24" t="str">
        <f aca="false">IF(B619="","",TEXT(B619,"ddd"))</f>
        <v/>
      </c>
      <c r="E619" s="27" t="str">
        <f aca="false">IF(B619="","",B619-WEEKDAY(B619,3))</f>
        <v/>
      </c>
      <c r="F619" s="24" t="str">
        <f aca="false">IF(B619="","",TEXT(B619,"yyyy-mm"))</f>
        <v/>
      </c>
      <c r="G619" s="29"/>
      <c r="H619" s="29"/>
      <c r="I619" s="29"/>
      <c r="J619" s="29"/>
      <c r="K619" s="29"/>
      <c r="L619" s="29"/>
      <c r="M619" s="29"/>
      <c r="N619" s="29"/>
      <c r="O619" s="29"/>
      <c r="P619" s="29"/>
      <c r="Q619" s="30"/>
      <c r="R619" s="29"/>
      <c r="S619" s="32"/>
      <c r="T619" s="29"/>
      <c r="U619" s="29"/>
      <c r="V619" s="24" t="str">
        <f aca="false">IF(A619="","",IFERROR(INDEX(Settings!$F$5:$F$49,MATCH(G619,Settings!$D$5:$D$49,0)),""))</f>
        <v/>
      </c>
      <c r="W619" s="24" t="str">
        <f aca="false">IF(A619="","",IF(OR(P619="",P619="Organic"),"social","paid_social"))</f>
        <v/>
      </c>
      <c r="X619" s="24" t="str">
        <f aca="false">IF(A619="","",IF(K619&lt;&gt;"",IFERROR(INDEX('Case Studies'!$C$5:$C$54,MATCH(K619,'Case Studies'!$B$5:$B$54,0))&amp;"","case-study"),IF(J619&lt;&gt;"",IFERROR(INDEX(Settings!$J$5:$J$55,MATCH(J619,Settings!$I$5:$I$55,0)),"general"),"general")))</f>
        <v/>
      </c>
      <c r="Y619" s="24" t="str">
        <f aca="false">IF(A619="","",LOWER(A619))</f>
        <v/>
      </c>
      <c r="Z619" s="24" t="str">
        <f aca="false">IF(A619="","",IF(T619="",Settings!$B$5,T619)&amp;IF(ISNUMBER(FIND("?",IF(T619="",Settings!$B$5,T619))),"&amp;","?")&amp;"utm_source="&amp;V619&amp;"&amp;utm_medium="&amp;W619&amp;"&amp;utm_campaign="&amp;X619&amp;"&amp;utm_content="&amp;Y619)</f>
        <v/>
      </c>
      <c r="AA619" s="29"/>
      <c r="AB619" s="39"/>
      <c r="AC619" s="32"/>
      <c r="AD619" s="32"/>
      <c r="AE619" s="32"/>
      <c r="AF619" s="32"/>
      <c r="AG619" s="32"/>
      <c r="AH619" s="32"/>
      <c r="AI619" s="32"/>
      <c r="AJ619" s="32"/>
      <c r="AK619" s="32"/>
      <c r="AL619" s="32"/>
      <c r="AM619" s="32"/>
      <c r="AN619" s="32"/>
      <c r="AO619" s="33" t="str">
        <f aca="false">IF(A619="","",IF(AD619&lt;&gt;"",AD619,IF(AC619&lt;&gt;"",AC619,"")))</f>
        <v/>
      </c>
      <c r="AP619" s="24" t="str">
        <f aca="false">IF(AO619="","",IF(AD619&lt;&gt;"","Reported reach","Impressions (proxy)"))</f>
        <v/>
      </c>
      <c r="AQ619" s="34" t="str">
        <f aca="false">IF(OR(AO619="",N(S619)=0),"",AO619/S619)</f>
        <v/>
      </c>
      <c r="AR619" s="33" t="str">
        <f aca="false">IF(A619="","",IF(COUNT(AF619:AJ619)=0,"",SUM(AF619:AJ619)))</f>
        <v/>
      </c>
      <c r="AS619" s="34" t="str">
        <f aca="false">IF(OR(AR619="",N(AO619)=0),"",AR619/AO619)</f>
        <v/>
      </c>
      <c r="AT619" s="34" t="str">
        <f aca="false">IF(OR(AR619="",N(AC619)=0),"",AR619/AC619)</f>
        <v/>
      </c>
      <c r="AU619" s="34" t="str">
        <f aca="false">IF(OR(AR619="",N(S619)=0),"",AR619/S619)</f>
        <v/>
      </c>
      <c r="AV619" s="34" t="str">
        <f aca="false">IF(OR(AJ619="",N(AC619)=0),"",AJ619/AC619)</f>
        <v/>
      </c>
      <c r="AW619" s="34" t="str">
        <f aca="false">IF(OR(AH619="",N(AO619)=0),"",AH619/AO619)</f>
        <v/>
      </c>
      <c r="AX619" s="35" t="str">
        <f aca="false">IF(OR(AR619="",N(AO619)=0),"",(N(AF619)*Settings!$B$6+N(AG619)*Settings!$B$7+N(AH619)*Settings!$B$8+N(AI619)*Settings!$B$9+N(AJ619)*Settings!$B$10)/AO619*1000)</f>
        <v/>
      </c>
      <c r="AY619" s="36" t="str">
        <f aca="false">IF(AS619="","",IFERROR(AS619/AVERAGEIFS('Post Tracker'!$AS$5:$AS$1004,'Post Tracker'!$G$5:$G$1004,G619),""))</f>
        <v/>
      </c>
      <c r="AZ619" s="32"/>
      <c r="BA619" s="32"/>
      <c r="BB619" s="32"/>
      <c r="BC619" s="32"/>
      <c r="BD619" s="33" t="str">
        <f aca="false">IF(A619="","",COUNTIFS('Demo Pipeline'!$Q$5:$Q$504,A619))</f>
        <v/>
      </c>
      <c r="BE619" s="33" t="str">
        <f aca="false">IF(A619="","",COUNTIFS('Demo Pipeline'!$Q$5:$Q$504,A619,'Demo Pipeline'!$W$5:$W$504,"Attended"))</f>
        <v/>
      </c>
      <c r="BF619" s="33" t="str">
        <f aca="false">IF(A619="","",COUNTIFS('Demo Pipeline'!$Q$5:$Q$504,A619,'Demo Pipeline'!$X$5:$X$504,"Yes"))</f>
        <v/>
      </c>
      <c r="BG619" s="33" t="str">
        <f aca="false">IF(A619="","",COUNTIFS('Demo Pipeline'!$Q$5:$Q$504,A619,'Demo Pipeline'!$Y$5:$Y$504,"Closed Won"))</f>
        <v/>
      </c>
      <c r="BH619" s="37" t="str">
        <f aca="false">IF(A619="","",SUMIFS('Demo Pipeline'!$Z$5:$Z$504,'Demo Pipeline'!$Q$5:$Q$504,A619))</f>
        <v/>
      </c>
      <c r="BI619" s="34" t="str">
        <f aca="false">IF(OR(AZ619="",N(AJ619)=0),"",AZ619/AJ619)</f>
        <v/>
      </c>
      <c r="BJ619" s="34" t="str">
        <f aca="false">IF(OR(BB619="",N(AZ619)=0),"",BB619/AZ619)</f>
        <v/>
      </c>
      <c r="BK619" s="34" t="str">
        <f aca="false">IF(OR(A619="",N(BB619)=0),"",BD619/BB619)</f>
        <v/>
      </c>
      <c r="BL619" s="34" t="str">
        <f aca="false">IF(OR(A619="",N(AZ619)=0),"",BD619/AZ619)</f>
        <v/>
      </c>
      <c r="BM619" s="37" t="str">
        <f aca="false">IF(OR(N(Q619)=0,N(BD619)=0),"",Q619/BD619)</f>
        <v/>
      </c>
      <c r="BN619" s="29"/>
      <c r="BO619" s="29"/>
      <c r="BP619" s="33" t="str">
        <f aca="false">IF(OR(AR619="",N(AO619)=0),"",AR619)</f>
        <v/>
      </c>
      <c r="BQ619" s="33" t="str">
        <f aca="false">IF(OR(AR619="",N(S619)=0),"",S619)</f>
        <v/>
      </c>
      <c r="BR619" s="38" t="str">
        <f aca="false">IF(AND(ISNUMBER(B619),B619&gt;=Dashboard!$C$4,B619&lt;=Dashboard!$F$4,ISNUMBER(AU619)),AU619+ROW()/10^9,"")</f>
        <v/>
      </c>
      <c r="BS619" s="38" t="str">
        <f aca="false">IF(AND(ISNUMBER(B619),B619&gt;=Dashboard!$C$4,B619&lt;=Dashboard!$F$4,A619&lt;&gt;""),N(BD619)+N(AU619)/100+ROW()/10^9,"")</f>
        <v/>
      </c>
    </row>
    <row r="620" customFormat="false" ht="15" hidden="false" customHeight="false" outlineLevel="0" collapsed="false">
      <c r="A620" s="24" t="str">
        <f aca="false">IF(OR(B620="",G620="",H620=""),"",IFERROR(INDEX(Settings!$E$5:$E$49,MATCH(G620,Settings!$D$5:$D$49,0))&amp;INDEX(Settings!$H$5:$H$47,MATCH(H620,Settings!$G$5:$G$47,0))&amp;"-"&amp;TEXT(B620,"yymmdd")&amp;"-"&amp;IF(C620="","0000",TEXT(C620,"hhmm")),"CHECK LISTS"))</f>
        <v/>
      </c>
      <c r="B620" s="39"/>
      <c r="C620" s="40"/>
      <c r="D620" s="24" t="str">
        <f aca="false">IF(B620="","",TEXT(B620,"ddd"))</f>
        <v/>
      </c>
      <c r="E620" s="27" t="str">
        <f aca="false">IF(B620="","",B620-WEEKDAY(B620,3))</f>
        <v/>
      </c>
      <c r="F620" s="24" t="str">
        <f aca="false">IF(B620="","",TEXT(B620,"yyyy-mm"))</f>
        <v/>
      </c>
      <c r="G620" s="29"/>
      <c r="H620" s="29"/>
      <c r="I620" s="29"/>
      <c r="J620" s="29"/>
      <c r="K620" s="29"/>
      <c r="L620" s="29"/>
      <c r="M620" s="29"/>
      <c r="N620" s="29"/>
      <c r="O620" s="29"/>
      <c r="P620" s="29"/>
      <c r="Q620" s="30"/>
      <c r="R620" s="29"/>
      <c r="S620" s="32"/>
      <c r="T620" s="29"/>
      <c r="U620" s="29"/>
      <c r="V620" s="24" t="str">
        <f aca="false">IF(A620="","",IFERROR(INDEX(Settings!$F$5:$F$49,MATCH(G620,Settings!$D$5:$D$49,0)),""))</f>
        <v/>
      </c>
      <c r="W620" s="24" t="str">
        <f aca="false">IF(A620="","",IF(OR(P620="",P620="Organic"),"social","paid_social"))</f>
        <v/>
      </c>
      <c r="X620" s="24" t="str">
        <f aca="false">IF(A620="","",IF(K620&lt;&gt;"",IFERROR(INDEX('Case Studies'!$C$5:$C$54,MATCH(K620,'Case Studies'!$B$5:$B$54,0))&amp;"","case-study"),IF(J620&lt;&gt;"",IFERROR(INDEX(Settings!$J$5:$J$55,MATCH(J620,Settings!$I$5:$I$55,0)),"general"),"general")))</f>
        <v/>
      </c>
      <c r="Y620" s="24" t="str">
        <f aca="false">IF(A620="","",LOWER(A620))</f>
        <v/>
      </c>
      <c r="Z620" s="24" t="str">
        <f aca="false">IF(A620="","",IF(T620="",Settings!$B$5,T620)&amp;IF(ISNUMBER(FIND("?",IF(T620="",Settings!$B$5,T620))),"&amp;","?")&amp;"utm_source="&amp;V620&amp;"&amp;utm_medium="&amp;W620&amp;"&amp;utm_campaign="&amp;X620&amp;"&amp;utm_content="&amp;Y620)</f>
        <v/>
      </c>
      <c r="AA620" s="29"/>
      <c r="AB620" s="39"/>
      <c r="AC620" s="32"/>
      <c r="AD620" s="32"/>
      <c r="AE620" s="32"/>
      <c r="AF620" s="32"/>
      <c r="AG620" s="32"/>
      <c r="AH620" s="32"/>
      <c r="AI620" s="32"/>
      <c r="AJ620" s="32"/>
      <c r="AK620" s="32"/>
      <c r="AL620" s="32"/>
      <c r="AM620" s="32"/>
      <c r="AN620" s="32"/>
      <c r="AO620" s="33" t="str">
        <f aca="false">IF(A620="","",IF(AD620&lt;&gt;"",AD620,IF(AC620&lt;&gt;"",AC620,"")))</f>
        <v/>
      </c>
      <c r="AP620" s="24" t="str">
        <f aca="false">IF(AO620="","",IF(AD620&lt;&gt;"","Reported reach","Impressions (proxy)"))</f>
        <v/>
      </c>
      <c r="AQ620" s="34" t="str">
        <f aca="false">IF(OR(AO620="",N(S620)=0),"",AO620/S620)</f>
        <v/>
      </c>
      <c r="AR620" s="33" t="str">
        <f aca="false">IF(A620="","",IF(COUNT(AF620:AJ620)=0,"",SUM(AF620:AJ620)))</f>
        <v/>
      </c>
      <c r="AS620" s="34" t="str">
        <f aca="false">IF(OR(AR620="",N(AO620)=0),"",AR620/AO620)</f>
        <v/>
      </c>
      <c r="AT620" s="34" t="str">
        <f aca="false">IF(OR(AR620="",N(AC620)=0),"",AR620/AC620)</f>
        <v/>
      </c>
      <c r="AU620" s="34" t="str">
        <f aca="false">IF(OR(AR620="",N(S620)=0),"",AR620/S620)</f>
        <v/>
      </c>
      <c r="AV620" s="34" t="str">
        <f aca="false">IF(OR(AJ620="",N(AC620)=0),"",AJ620/AC620)</f>
        <v/>
      </c>
      <c r="AW620" s="34" t="str">
        <f aca="false">IF(OR(AH620="",N(AO620)=0),"",AH620/AO620)</f>
        <v/>
      </c>
      <c r="AX620" s="35" t="str">
        <f aca="false">IF(OR(AR620="",N(AO620)=0),"",(N(AF620)*Settings!$B$6+N(AG620)*Settings!$B$7+N(AH620)*Settings!$B$8+N(AI620)*Settings!$B$9+N(AJ620)*Settings!$B$10)/AO620*1000)</f>
        <v/>
      </c>
      <c r="AY620" s="36" t="str">
        <f aca="false">IF(AS620="","",IFERROR(AS620/AVERAGEIFS('Post Tracker'!$AS$5:$AS$1004,'Post Tracker'!$G$5:$G$1004,G620),""))</f>
        <v/>
      </c>
      <c r="AZ620" s="32"/>
      <c r="BA620" s="32"/>
      <c r="BB620" s="32"/>
      <c r="BC620" s="32"/>
      <c r="BD620" s="33" t="str">
        <f aca="false">IF(A620="","",COUNTIFS('Demo Pipeline'!$Q$5:$Q$504,A620))</f>
        <v/>
      </c>
      <c r="BE620" s="33" t="str">
        <f aca="false">IF(A620="","",COUNTIFS('Demo Pipeline'!$Q$5:$Q$504,A620,'Demo Pipeline'!$W$5:$W$504,"Attended"))</f>
        <v/>
      </c>
      <c r="BF620" s="33" t="str">
        <f aca="false">IF(A620="","",COUNTIFS('Demo Pipeline'!$Q$5:$Q$504,A620,'Demo Pipeline'!$X$5:$X$504,"Yes"))</f>
        <v/>
      </c>
      <c r="BG620" s="33" t="str">
        <f aca="false">IF(A620="","",COUNTIFS('Demo Pipeline'!$Q$5:$Q$504,A620,'Demo Pipeline'!$Y$5:$Y$504,"Closed Won"))</f>
        <v/>
      </c>
      <c r="BH620" s="37" t="str">
        <f aca="false">IF(A620="","",SUMIFS('Demo Pipeline'!$Z$5:$Z$504,'Demo Pipeline'!$Q$5:$Q$504,A620))</f>
        <v/>
      </c>
      <c r="BI620" s="34" t="str">
        <f aca="false">IF(OR(AZ620="",N(AJ620)=0),"",AZ620/AJ620)</f>
        <v/>
      </c>
      <c r="BJ620" s="34" t="str">
        <f aca="false">IF(OR(BB620="",N(AZ620)=0),"",BB620/AZ620)</f>
        <v/>
      </c>
      <c r="BK620" s="34" t="str">
        <f aca="false">IF(OR(A620="",N(BB620)=0),"",BD620/BB620)</f>
        <v/>
      </c>
      <c r="BL620" s="34" t="str">
        <f aca="false">IF(OR(A620="",N(AZ620)=0),"",BD620/AZ620)</f>
        <v/>
      </c>
      <c r="BM620" s="37" t="str">
        <f aca="false">IF(OR(N(Q620)=0,N(BD620)=0),"",Q620/BD620)</f>
        <v/>
      </c>
      <c r="BN620" s="29"/>
      <c r="BO620" s="29"/>
      <c r="BP620" s="33" t="str">
        <f aca="false">IF(OR(AR620="",N(AO620)=0),"",AR620)</f>
        <v/>
      </c>
      <c r="BQ620" s="33" t="str">
        <f aca="false">IF(OR(AR620="",N(S620)=0),"",S620)</f>
        <v/>
      </c>
      <c r="BR620" s="38" t="str">
        <f aca="false">IF(AND(ISNUMBER(B620),B620&gt;=Dashboard!$C$4,B620&lt;=Dashboard!$F$4,ISNUMBER(AU620)),AU620+ROW()/10^9,"")</f>
        <v/>
      </c>
      <c r="BS620" s="38" t="str">
        <f aca="false">IF(AND(ISNUMBER(B620),B620&gt;=Dashboard!$C$4,B620&lt;=Dashboard!$F$4,A620&lt;&gt;""),N(BD620)+N(AU620)/100+ROW()/10^9,"")</f>
        <v/>
      </c>
    </row>
    <row r="621" customFormat="false" ht="15" hidden="false" customHeight="false" outlineLevel="0" collapsed="false">
      <c r="A621" s="24" t="str">
        <f aca="false">IF(OR(B621="",G621="",H621=""),"",IFERROR(INDEX(Settings!$E$5:$E$49,MATCH(G621,Settings!$D$5:$D$49,0))&amp;INDEX(Settings!$H$5:$H$47,MATCH(H621,Settings!$G$5:$G$47,0))&amp;"-"&amp;TEXT(B621,"yymmdd")&amp;"-"&amp;IF(C621="","0000",TEXT(C621,"hhmm")),"CHECK LISTS"))</f>
        <v/>
      </c>
      <c r="B621" s="39"/>
      <c r="C621" s="40"/>
      <c r="D621" s="24" t="str">
        <f aca="false">IF(B621="","",TEXT(B621,"ddd"))</f>
        <v/>
      </c>
      <c r="E621" s="27" t="str">
        <f aca="false">IF(B621="","",B621-WEEKDAY(B621,3))</f>
        <v/>
      </c>
      <c r="F621" s="24" t="str">
        <f aca="false">IF(B621="","",TEXT(B621,"yyyy-mm"))</f>
        <v/>
      </c>
      <c r="G621" s="29"/>
      <c r="H621" s="29"/>
      <c r="I621" s="29"/>
      <c r="J621" s="29"/>
      <c r="K621" s="29"/>
      <c r="L621" s="29"/>
      <c r="M621" s="29"/>
      <c r="N621" s="29"/>
      <c r="O621" s="29"/>
      <c r="P621" s="29"/>
      <c r="Q621" s="30"/>
      <c r="R621" s="29"/>
      <c r="S621" s="32"/>
      <c r="T621" s="29"/>
      <c r="U621" s="29"/>
      <c r="V621" s="24" t="str">
        <f aca="false">IF(A621="","",IFERROR(INDEX(Settings!$F$5:$F$49,MATCH(G621,Settings!$D$5:$D$49,0)),""))</f>
        <v/>
      </c>
      <c r="W621" s="24" t="str">
        <f aca="false">IF(A621="","",IF(OR(P621="",P621="Organic"),"social","paid_social"))</f>
        <v/>
      </c>
      <c r="X621" s="24" t="str">
        <f aca="false">IF(A621="","",IF(K621&lt;&gt;"",IFERROR(INDEX('Case Studies'!$C$5:$C$54,MATCH(K621,'Case Studies'!$B$5:$B$54,0))&amp;"","case-study"),IF(J621&lt;&gt;"",IFERROR(INDEX(Settings!$J$5:$J$55,MATCH(J621,Settings!$I$5:$I$55,0)),"general"),"general")))</f>
        <v/>
      </c>
      <c r="Y621" s="24" t="str">
        <f aca="false">IF(A621="","",LOWER(A621))</f>
        <v/>
      </c>
      <c r="Z621" s="24" t="str">
        <f aca="false">IF(A621="","",IF(T621="",Settings!$B$5,T621)&amp;IF(ISNUMBER(FIND("?",IF(T621="",Settings!$B$5,T621))),"&amp;","?")&amp;"utm_source="&amp;V621&amp;"&amp;utm_medium="&amp;W621&amp;"&amp;utm_campaign="&amp;X621&amp;"&amp;utm_content="&amp;Y621)</f>
        <v/>
      </c>
      <c r="AA621" s="29"/>
      <c r="AB621" s="39"/>
      <c r="AC621" s="32"/>
      <c r="AD621" s="32"/>
      <c r="AE621" s="32"/>
      <c r="AF621" s="32"/>
      <c r="AG621" s="32"/>
      <c r="AH621" s="32"/>
      <c r="AI621" s="32"/>
      <c r="AJ621" s="32"/>
      <c r="AK621" s="32"/>
      <c r="AL621" s="32"/>
      <c r="AM621" s="32"/>
      <c r="AN621" s="32"/>
      <c r="AO621" s="33" t="str">
        <f aca="false">IF(A621="","",IF(AD621&lt;&gt;"",AD621,IF(AC621&lt;&gt;"",AC621,"")))</f>
        <v/>
      </c>
      <c r="AP621" s="24" t="str">
        <f aca="false">IF(AO621="","",IF(AD621&lt;&gt;"","Reported reach","Impressions (proxy)"))</f>
        <v/>
      </c>
      <c r="AQ621" s="34" t="str">
        <f aca="false">IF(OR(AO621="",N(S621)=0),"",AO621/S621)</f>
        <v/>
      </c>
      <c r="AR621" s="33" t="str">
        <f aca="false">IF(A621="","",IF(COUNT(AF621:AJ621)=0,"",SUM(AF621:AJ621)))</f>
        <v/>
      </c>
      <c r="AS621" s="34" t="str">
        <f aca="false">IF(OR(AR621="",N(AO621)=0),"",AR621/AO621)</f>
        <v/>
      </c>
      <c r="AT621" s="34" t="str">
        <f aca="false">IF(OR(AR621="",N(AC621)=0),"",AR621/AC621)</f>
        <v/>
      </c>
      <c r="AU621" s="34" t="str">
        <f aca="false">IF(OR(AR621="",N(S621)=0),"",AR621/S621)</f>
        <v/>
      </c>
      <c r="AV621" s="34" t="str">
        <f aca="false">IF(OR(AJ621="",N(AC621)=0),"",AJ621/AC621)</f>
        <v/>
      </c>
      <c r="AW621" s="34" t="str">
        <f aca="false">IF(OR(AH621="",N(AO621)=0),"",AH621/AO621)</f>
        <v/>
      </c>
      <c r="AX621" s="35" t="str">
        <f aca="false">IF(OR(AR621="",N(AO621)=0),"",(N(AF621)*Settings!$B$6+N(AG621)*Settings!$B$7+N(AH621)*Settings!$B$8+N(AI621)*Settings!$B$9+N(AJ621)*Settings!$B$10)/AO621*1000)</f>
        <v/>
      </c>
      <c r="AY621" s="36" t="str">
        <f aca="false">IF(AS621="","",IFERROR(AS621/AVERAGEIFS('Post Tracker'!$AS$5:$AS$1004,'Post Tracker'!$G$5:$G$1004,G621),""))</f>
        <v/>
      </c>
      <c r="AZ621" s="32"/>
      <c r="BA621" s="32"/>
      <c r="BB621" s="32"/>
      <c r="BC621" s="32"/>
      <c r="BD621" s="33" t="str">
        <f aca="false">IF(A621="","",COUNTIFS('Demo Pipeline'!$Q$5:$Q$504,A621))</f>
        <v/>
      </c>
      <c r="BE621" s="33" t="str">
        <f aca="false">IF(A621="","",COUNTIFS('Demo Pipeline'!$Q$5:$Q$504,A621,'Demo Pipeline'!$W$5:$W$504,"Attended"))</f>
        <v/>
      </c>
      <c r="BF621" s="33" t="str">
        <f aca="false">IF(A621="","",COUNTIFS('Demo Pipeline'!$Q$5:$Q$504,A621,'Demo Pipeline'!$X$5:$X$504,"Yes"))</f>
        <v/>
      </c>
      <c r="BG621" s="33" t="str">
        <f aca="false">IF(A621="","",COUNTIFS('Demo Pipeline'!$Q$5:$Q$504,A621,'Demo Pipeline'!$Y$5:$Y$504,"Closed Won"))</f>
        <v/>
      </c>
      <c r="BH621" s="37" t="str">
        <f aca="false">IF(A621="","",SUMIFS('Demo Pipeline'!$Z$5:$Z$504,'Demo Pipeline'!$Q$5:$Q$504,A621))</f>
        <v/>
      </c>
      <c r="BI621" s="34" t="str">
        <f aca="false">IF(OR(AZ621="",N(AJ621)=0),"",AZ621/AJ621)</f>
        <v/>
      </c>
      <c r="BJ621" s="34" t="str">
        <f aca="false">IF(OR(BB621="",N(AZ621)=0),"",BB621/AZ621)</f>
        <v/>
      </c>
      <c r="BK621" s="34" t="str">
        <f aca="false">IF(OR(A621="",N(BB621)=0),"",BD621/BB621)</f>
        <v/>
      </c>
      <c r="BL621" s="34" t="str">
        <f aca="false">IF(OR(A621="",N(AZ621)=0),"",BD621/AZ621)</f>
        <v/>
      </c>
      <c r="BM621" s="37" t="str">
        <f aca="false">IF(OR(N(Q621)=0,N(BD621)=0),"",Q621/BD621)</f>
        <v/>
      </c>
      <c r="BN621" s="29"/>
      <c r="BO621" s="29"/>
      <c r="BP621" s="33" t="str">
        <f aca="false">IF(OR(AR621="",N(AO621)=0),"",AR621)</f>
        <v/>
      </c>
      <c r="BQ621" s="33" t="str">
        <f aca="false">IF(OR(AR621="",N(S621)=0),"",S621)</f>
        <v/>
      </c>
      <c r="BR621" s="38" t="str">
        <f aca="false">IF(AND(ISNUMBER(B621),B621&gt;=Dashboard!$C$4,B621&lt;=Dashboard!$F$4,ISNUMBER(AU621)),AU621+ROW()/10^9,"")</f>
        <v/>
      </c>
      <c r="BS621" s="38" t="str">
        <f aca="false">IF(AND(ISNUMBER(B621),B621&gt;=Dashboard!$C$4,B621&lt;=Dashboard!$F$4,A621&lt;&gt;""),N(BD621)+N(AU621)/100+ROW()/10^9,"")</f>
        <v/>
      </c>
    </row>
    <row r="622" customFormat="false" ht="15" hidden="false" customHeight="false" outlineLevel="0" collapsed="false">
      <c r="A622" s="24" t="str">
        <f aca="false">IF(OR(B622="",G622="",H622=""),"",IFERROR(INDEX(Settings!$E$5:$E$49,MATCH(G622,Settings!$D$5:$D$49,0))&amp;INDEX(Settings!$H$5:$H$47,MATCH(H622,Settings!$G$5:$G$47,0))&amp;"-"&amp;TEXT(B622,"yymmdd")&amp;"-"&amp;IF(C622="","0000",TEXT(C622,"hhmm")),"CHECK LISTS"))</f>
        <v/>
      </c>
      <c r="B622" s="39"/>
      <c r="C622" s="40"/>
      <c r="D622" s="24" t="str">
        <f aca="false">IF(B622="","",TEXT(B622,"ddd"))</f>
        <v/>
      </c>
      <c r="E622" s="27" t="str">
        <f aca="false">IF(B622="","",B622-WEEKDAY(B622,3))</f>
        <v/>
      </c>
      <c r="F622" s="24" t="str">
        <f aca="false">IF(B622="","",TEXT(B622,"yyyy-mm"))</f>
        <v/>
      </c>
      <c r="G622" s="29"/>
      <c r="H622" s="29"/>
      <c r="I622" s="29"/>
      <c r="J622" s="29"/>
      <c r="K622" s="29"/>
      <c r="L622" s="29"/>
      <c r="M622" s="29"/>
      <c r="N622" s="29"/>
      <c r="O622" s="29"/>
      <c r="P622" s="29"/>
      <c r="Q622" s="30"/>
      <c r="R622" s="29"/>
      <c r="S622" s="32"/>
      <c r="T622" s="29"/>
      <c r="U622" s="29"/>
      <c r="V622" s="24" t="str">
        <f aca="false">IF(A622="","",IFERROR(INDEX(Settings!$F$5:$F$49,MATCH(G622,Settings!$D$5:$D$49,0)),""))</f>
        <v/>
      </c>
      <c r="W622" s="24" t="str">
        <f aca="false">IF(A622="","",IF(OR(P622="",P622="Organic"),"social","paid_social"))</f>
        <v/>
      </c>
      <c r="X622" s="24" t="str">
        <f aca="false">IF(A622="","",IF(K622&lt;&gt;"",IFERROR(INDEX('Case Studies'!$C$5:$C$54,MATCH(K622,'Case Studies'!$B$5:$B$54,0))&amp;"","case-study"),IF(J622&lt;&gt;"",IFERROR(INDEX(Settings!$J$5:$J$55,MATCH(J622,Settings!$I$5:$I$55,0)),"general"),"general")))</f>
        <v/>
      </c>
      <c r="Y622" s="24" t="str">
        <f aca="false">IF(A622="","",LOWER(A622))</f>
        <v/>
      </c>
      <c r="Z622" s="24" t="str">
        <f aca="false">IF(A622="","",IF(T622="",Settings!$B$5,T622)&amp;IF(ISNUMBER(FIND("?",IF(T622="",Settings!$B$5,T622))),"&amp;","?")&amp;"utm_source="&amp;V622&amp;"&amp;utm_medium="&amp;W622&amp;"&amp;utm_campaign="&amp;X622&amp;"&amp;utm_content="&amp;Y622)</f>
        <v/>
      </c>
      <c r="AA622" s="29"/>
      <c r="AB622" s="39"/>
      <c r="AC622" s="32"/>
      <c r="AD622" s="32"/>
      <c r="AE622" s="32"/>
      <c r="AF622" s="32"/>
      <c r="AG622" s="32"/>
      <c r="AH622" s="32"/>
      <c r="AI622" s="32"/>
      <c r="AJ622" s="32"/>
      <c r="AK622" s="32"/>
      <c r="AL622" s="32"/>
      <c r="AM622" s="32"/>
      <c r="AN622" s="32"/>
      <c r="AO622" s="33" t="str">
        <f aca="false">IF(A622="","",IF(AD622&lt;&gt;"",AD622,IF(AC622&lt;&gt;"",AC622,"")))</f>
        <v/>
      </c>
      <c r="AP622" s="24" t="str">
        <f aca="false">IF(AO622="","",IF(AD622&lt;&gt;"","Reported reach","Impressions (proxy)"))</f>
        <v/>
      </c>
      <c r="AQ622" s="34" t="str">
        <f aca="false">IF(OR(AO622="",N(S622)=0),"",AO622/S622)</f>
        <v/>
      </c>
      <c r="AR622" s="33" t="str">
        <f aca="false">IF(A622="","",IF(COUNT(AF622:AJ622)=0,"",SUM(AF622:AJ622)))</f>
        <v/>
      </c>
      <c r="AS622" s="34" t="str">
        <f aca="false">IF(OR(AR622="",N(AO622)=0),"",AR622/AO622)</f>
        <v/>
      </c>
      <c r="AT622" s="34" t="str">
        <f aca="false">IF(OR(AR622="",N(AC622)=0),"",AR622/AC622)</f>
        <v/>
      </c>
      <c r="AU622" s="34" t="str">
        <f aca="false">IF(OR(AR622="",N(S622)=0),"",AR622/S622)</f>
        <v/>
      </c>
      <c r="AV622" s="34" t="str">
        <f aca="false">IF(OR(AJ622="",N(AC622)=0),"",AJ622/AC622)</f>
        <v/>
      </c>
      <c r="AW622" s="34" t="str">
        <f aca="false">IF(OR(AH622="",N(AO622)=0),"",AH622/AO622)</f>
        <v/>
      </c>
      <c r="AX622" s="35" t="str">
        <f aca="false">IF(OR(AR622="",N(AO622)=0),"",(N(AF622)*Settings!$B$6+N(AG622)*Settings!$B$7+N(AH622)*Settings!$B$8+N(AI622)*Settings!$B$9+N(AJ622)*Settings!$B$10)/AO622*1000)</f>
        <v/>
      </c>
      <c r="AY622" s="36" t="str">
        <f aca="false">IF(AS622="","",IFERROR(AS622/AVERAGEIFS('Post Tracker'!$AS$5:$AS$1004,'Post Tracker'!$G$5:$G$1004,G622),""))</f>
        <v/>
      </c>
      <c r="AZ622" s="32"/>
      <c r="BA622" s="32"/>
      <c r="BB622" s="32"/>
      <c r="BC622" s="32"/>
      <c r="BD622" s="33" t="str">
        <f aca="false">IF(A622="","",COUNTIFS('Demo Pipeline'!$Q$5:$Q$504,A622))</f>
        <v/>
      </c>
      <c r="BE622" s="33" t="str">
        <f aca="false">IF(A622="","",COUNTIFS('Demo Pipeline'!$Q$5:$Q$504,A622,'Demo Pipeline'!$W$5:$W$504,"Attended"))</f>
        <v/>
      </c>
      <c r="BF622" s="33" t="str">
        <f aca="false">IF(A622="","",COUNTIFS('Demo Pipeline'!$Q$5:$Q$504,A622,'Demo Pipeline'!$X$5:$X$504,"Yes"))</f>
        <v/>
      </c>
      <c r="BG622" s="33" t="str">
        <f aca="false">IF(A622="","",COUNTIFS('Demo Pipeline'!$Q$5:$Q$504,A622,'Demo Pipeline'!$Y$5:$Y$504,"Closed Won"))</f>
        <v/>
      </c>
      <c r="BH622" s="37" t="str">
        <f aca="false">IF(A622="","",SUMIFS('Demo Pipeline'!$Z$5:$Z$504,'Demo Pipeline'!$Q$5:$Q$504,A622))</f>
        <v/>
      </c>
      <c r="BI622" s="34" t="str">
        <f aca="false">IF(OR(AZ622="",N(AJ622)=0),"",AZ622/AJ622)</f>
        <v/>
      </c>
      <c r="BJ622" s="34" t="str">
        <f aca="false">IF(OR(BB622="",N(AZ622)=0),"",BB622/AZ622)</f>
        <v/>
      </c>
      <c r="BK622" s="34" t="str">
        <f aca="false">IF(OR(A622="",N(BB622)=0),"",BD622/BB622)</f>
        <v/>
      </c>
      <c r="BL622" s="34" t="str">
        <f aca="false">IF(OR(A622="",N(AZ622)=0),"",BD622/AZ622)</f>
        <v/>
      </c>
      <c r="BM622" s="37" t="str">
        <f aca="false">IF(OR(N(Q622)=0,N(BD622)=0),"",Q622/BD622)</f>
        <v/>
      </c>
      <c r="BN622" s="29"/>
      <c r="BO622" s="29"/>
      <c r="BP622" s="33" t="str">
        <f aca="false">IF(OR(AR622="",N(AO622)=0),"",AR622)</f>
        <v/>
      </c>
      <c r="BQ622" s="33" t="str">
        <f aca="false">IF(OR(AR622="",N(S622)=0),"",S622)</f>
        <v/>
      </c>
      <c r="BR622" s="38" t="str">
        <f aca="false">IF(AND(ISNUMBER(B622),B622&gt;=Dashboard!$C$4,B622&lt;=Dashboard!$F$4,ISNUMBER(AU622)),AU622+ROW()/10^9,"")</f>
        <v/>
      </c>
      <c r="BS622" s="38" t="str">
        <f aca="false">IF(AND(ISNUMBER(B622),B622&gt;=Dashboard!$C$4,B622&lt;=Dashboard!$F$4,A622&lt;&gt;""),N(BD622)+N(AU622)/100+ROW()/10^9,"")</f>
        <v/>
      </c>
    </row>
    <row r="623" customFormat="false" ht="15" hidden="false" customHeight="false" outlineLevel="0" collapsed="false">
      <c r="A623" s="24" t="str">
        <f aca="false">IF(OR(B623="",G623="",H623=""),"",IFERROR(INDEX(Settings!$E$5:$E$49,MATCH(G623,Settings!$D$5:$D$49,0))&amp;INDEX(Settings!$H$5:$H$47,MATCH(H623,Settings!$G$5:$G$47,0))&amp;"-"&amp;TEXT(B623,"yymmdd")&amp;"-"&amp;IF(C623="","0000",TEXT(C623,"hhmm")),"CHECK LISTS"))</f>
        <v/>
      </c>
      <c r="B623" s="39"/>
      <c r="C623" s="40"/>
      <c r="D623" s="24" t="str">
        <f aca="false">IF(B623="","",TEXT(B623,"ddd"))</f>
        <v/>
      </c>
      <c r="E623" s="27" t="str">
        <f aca="false">IF(B623="","",B623-WEEKDAY(B623,3))</f>
        <v/>
      </c>
      <c r="F623" s="24" t="str">
        <f aca="false">IF(B623="","",TEXT(B623,"yyyy-mm"))</f>
        <v/>
      </c>
      <c r="G623" s="29"/>
      <c r="H623" s="29"/>
      <c r="I623" s="29"/>
      <c r="J623" s="29"/>
      <c r="K623" s="29"/>
      <c r="L623" s="29"/>
      <c r="M623" s="29"/>
      <c r="N623" s="29"/>
      <c r="O623" s="29"/>
      <c r="P623" s="29"/>
      <c r="Q623" s="30"/>
      <c r="R623" s="29"/>
      <c r="S623" s="32"/>
      <c r="T623" s="29"/>
      <c r="U623" s="29"/>
      <c r="V623" s="24" t="str">
        <f aca="false">IF(A623="","",IFERROR(INDEX(Settings!$F$5:$F$49,MATCH(G623,Settings!$D$5:$D$49,0)),""))</f>
        <v/>
      </c>
      <c r="W623" s="24" t="str">
        <f aca="false">IF(A623="","",IF(OR(P623="",P623="Organic"),"social","paid_social"))</f>
        <v/>
      </c>
      <c r="X623" s="24" t="str">
        <f aca="false">IF(A623="","",IF(K623&lt;&gt;"",IFERROR(INDEX('Case Studies'!$C$5:$C$54,MATCH(K623,'Case Studies'!$B$5:$B$54,0))&amp;"","case-study"),IF(J623&lt;&gt;"",IFERROR(INDEX(Settings!$J$5:$J$55,MATCH(J623,Settings!$I$5:$I$55,0)),"general"),"general")))</f>
        <v/>
      </c>
      <c r="Y623" s="24" t="str">
        <f aca="false">IF(A623="","",LOWER(A623))</f>
        <v/>
      </c>
      <c r="Z623" s="24" t="str">
        <f aca="false">IF(A623="","",IF(T623="",Settings!$B$5,T623)&amp;IF(ISNUMBER(FIND("?",IF(T623="",Settings!$B$5,T623))),"&amp;","?")&amp;"utm_source="&amp;V623&amp;"&amp;utm_medium="&amp;W623&amp;"&amp;utm_campaign="&amp;X623&amp;"&amp;utm_content="&amp;Y623)</f>
        <v/>
      </c>
      <c r="AA623" s="29"/>
      <c r="AB623" s="39"/>
      <c r="AC623" s="32"/>
      <c r="AD623" s="32"/>
      <c r="AE623" s="32"/>
      <c r="AF623" s="32"/>
      <c r="AG623" s="32"/>
      <c r="AH623" s="32"/>
      <c r="AI623" s="32"/>
      <c r="AJ623" s="32"/>
      <c r="AK623" s="32"/>
      <c r="AL623" s="32"/>
      <c r="AM623" s="32"/>
      <c r="AN623" s="32"/>
      <c r="AO623" s="33" t="str">
        <f aca="false">IF(A623="","",IF(AD623&lt;&gt;"",AD623,IF(AC623&lt;&gt;"",AC623,"")))</f>
        <v/>
      </c>
      <c r="AP623" s="24" t="str">
        <f aca="false">IF(AO623="","",IF(AD623&lt;&gt;"","Reported reach","Impressions (proxy)"))</f>
        <v/>
      </c>
      <c r="AQ623" s="34" t="str">
        <f aca="false">IF(OR(AO623="",N(S623)=0),"",AO623/S623)</f>
        <v/>
      </c>
      <c r="AR623" s="33" t="str">
        <f aca="false">IF(A623="","",IF(COUNT(AF623:AJ623)=0,"",SUM(AF623:AJ623)))</f>
        <v/>
      </c>
      <c r="AS623" s="34" t="str">
        <f aca="false">IF(OR(AR623="",N(AO623)=0),"",AR623/AO623)</f>
        <v/>
      </c>
      <c r="AT623" s="34" t="str">
        <f aca="false">IF(OR(AR623="",N(AC623)=0),"",AR623/AC623)</f>
        <v/>
      </c>
      <c r="AU623" s="34" t="str">
        <f aca="false">IF(OR(AR623="",N(S623)=0),"",AR623/S623)</f>
        <v/>
      </c>
      <c r="AV623" s="34" t="str">
        <f aca="false">IF(OR(AJ623="",N(AC623)=0),"",AJ623/AC623)</f>
        <v/>
      </c>
      <c r="AW623" s="34" t="str">
        <f aca="false">IF(OR(AH623="",N(AO623)=0),"",AH623/AO623)</f>
        <v/>
      </c>
      <c r="AX623" s="35" t="str">
        <f aca="false">IF(OR(AR623="",N(AO623)=0),"",(N(AF623)*Settings!$B$6+N(AG623)*Settings!$B$7+N(AH623)*Settings!$B$8+N(AI623)*Settings!$B$9+N(AJ623)*Settings!$B$10)/AO623*1000)</f>
        <v/>
      </c>
      <c r="AY623" s="36" t="str">
        <f aca="false">IF(AS623="","",IFERROR(AS623/AVERAGEIFS('Post Tracker'!$AS$5:$AS$1004,'Post Tracker'!$G$5:$G$1004,G623),""))</f>
        <v/>
      </c>
      <c r="AZ623" s="32"/>
      <c r="BA623" s="32"/>
      <c r="BB623" s="32"/>
      <c r="BC623" s="32"/>
      <c r="BD623" s="33" t="str">
        <f aca="false">IF(A623="","",COUNTIFS('Demo Pipeline'!$Q$5:$Q$504,A623))</f>
        <v/>
      </c>
      <c r="BE623" s="33" t="str">
        <f aca="false">IF(A623="","",COUNTIFS('Demo Pipeline'!$Q$5:$Q$504,A623,'Demo Pipeline'!$W$5:$W$504,"Attended"))</f>
        <v/>
      </c>
      <c r="BF623" s="33" t="str">
        <f aca="false">IF(A623="","",COUNTIFS('Demo Pipeline'!$Q$5:$Q$504,A623,'Demo Pipeline'!$X$5:$X$504,"Yes"))</f>
        <v/>
      </c>
      <c r="BG623" s="33" t="str">
        <f aca="false">IF(A623="","",COUNTIFS('Demo Pipeline'!$Q$5:$Q$504,A623,'Demo Pipeline'!$Y$5:$Y$504,"Closed Won"))</f>
        <v/>
      </c>
      <c r="BH623" s="37" t="str">
        <f aca="false">IF(A623="","",SUMIFS('Demo Pipeline'!$Z$5:$Z$504,'Demo Pipeline'!$Q$5:$Q$504,A623))</f>
        <v/>
      </c>
      <c r="BI623" s="34" t="str">
        <f aca="false">IF(OR(AZ623="",N(AJ623)=0),"",AZ623/AJ623)</f>
        <v/>
      </c>
      <c r="BJ623" s="34" t="str">
        <f aca="false">IF(OR(BB623="",N(AZ623)=0),"",BB623/AZ623)</f>
        <v/>
      </c>
      <c r="BK623" s="34" t="str">
        <f aca="false">IF(OR(A623="",N(BB623)=0),"",BD623/BB623)</f>
        <v/>
      </c>
      <c r="BL623" s="34" t="str">
        <f aca="false">IF(OR(A623="",N(AZ623)=0),"",BD623/AZ623)</f>
        <v/>
      </c>
      <c r="BM623" s="37" t="str">
        <f aca="false">IF(OR(N(Q623)=0,N(BD623)=0),"",Q623/BD623)</f>
        <v/>
      </c>
      <c r="BN623" s="29"/>
      <c r="BO623" s="29"/>
      <c r="BP623" s="33" t="str">
        <f aca="false">IF(OR(AR623="",N(AO623)=0),"",AR623)</f>
        <v/>
      </c>
      <c r="BQ623" s="33" t="str">
        <f aca="false">IF(OR(AR623="",N(S623)=0),"",S623)</f>
        <v/>
      </c>
      <c r="BR623" s="38" t="str">
        <f aca="false">IF(AND(ISNUMBER(B623),B623&gt;=Dashboard!$C$4,B623&lt;=Dashboard!$F$4,ISNUMBER(AU623)),AU623+ROW()/10^9,"")</f>
        <v/>
      </c>
      <c r="BS623" s="38" t="str">
        <f aca="false">IF(AND(ISNUMBER(B623),B623&gt;=Dashboard!$C$4,B623&lt;=Dashboard!$F$4,A623&lt;&gt;""),N(BD623)+N(AU623)/100+ROW()/10^9,"")</f>
        <v/>
      </c>
    </row>
    <row r="624" customFormat="false" ht="15" hidden="false" customHeight="false" outlineLevel="0" collapsed="false">
      <c r="A624" s="24" t="str">
        <f aca="false">IF(OR(B624="",G624="",H624=""),"",IFERROR(INDEX(Settings!$E$5:$E$49,MATCH(G624,Settings!$D$5:$D$49,0))&amp;INDEX(Settings!$H$5:$H$47,MATCH(H624,Settings!$G$5:$G$47,0))&amp;"-"&amp;TEXT(B624,"yymmdd")&amp;"-"&amp;IF(C624="","0000",TEXT(C624,"hhmm")),"CHECK LISTS"))</f>
        <v/>
      </c>
      <c r="B624" s="39"/>
      <c r="C624" s="40"/>
      <c r="D624" s="24" t="str">
        <f aca="false">IF(B624="","",TEXT(B624,"ddd"))</f>
        <v/>
      </c>
      <c r="E624" s="27" t="str">
        <f aca="false">IF(B624="","",B624-WEEKDAY(B624,3))</f>
        <v/>
      </c>
      <c r="F624" s="24" t="str">
        <f aca="false">IF(B624="","",TEXT(B624,"yyyy-mm"))</f>
        <v/>
      </c>
      <c r="G624" s="29"/>
      <c r="H624" s="29"/>
      <c r="I624" s="29"/>
      <c r="J624" s="29"/>
      <c r="K624" s="29"/>
      <c r="L624" s="29"/>
      <c r="M624" s="29"/>
      <c r="N624" s="29"/>
      <c r="O624" s="29"/>
      <c r="P624" s="29"/>
      <c r="Q624" s="30"/>
      <c r="R624" s="29"/>
      <c r="S624" s="32"/>
      <c r="T624" s="29"/>
      <c r="U624" s="29"/>
      <c r="V624" s="24" t="str">
        <f aca="false">IF(A624="","",IFERROR(INDEX(Settings!$F$5:$F$49,MATCH(G624,Settings!$D$5:$D$49,0)),""))</f>
        <v/>
      </c>
      <c r="W624" s="24" t="str">
        <f aca="false">IF(A624="","",IF(OR(P624="",P624="Organic"),"social","paid_social"))</f>
        <v/>
      </c>
      <c r="X624" s="24" t="str">
        <f aca="false">IF(A624="","",IF(K624&lt;&gt;"",IFERROR(INDEX('Case Studies'!$C$5:$C$54,MATCH(K624,'Case Studies'!$B$5:$B$54,0))&amp;"","case-study"),IF(J624&lt;&gt;"",IFERROR(INDEX(Settings!$J$5:$J$55,MATCH(J624,Settings!$I$5:$I$55,0)),"general"),"general")))</f>
        <v/>
      </c>
      <c r="Y624" s="24" t="str">
        <f aca="false">IF(A624="","",LOWER(A624))</f>
        <v/>
      </c>
      <c r="Z624" s="24" t="str">
        <f aca="false">IF(A624="","",IF(T624="",Settings!$B$5,T624)&amp;IF(ISNUMBER(FIND("?",IF(T624="",Settings!$B$5,T624))),"&amp;","?")&amp;"utm_source="&amp;V624&amp;"&amp;utm_medium="&amp;W624&amp;"&amp;utm_campaign="&amp;X624&amp;"&amp;utm_content="&amp;Y624)</f>
        <v/>
      </c>
      <c r="AA624" s="29"/>
      <c r="AB624" s="39"/>
      <c r="AC624" s="32"/>
      <c r="AD624" s="32"/>
      <c r="AE624" s="32"/>
      <c r="AF624" s="32"/>
      <c r="AG624" s="32"/>
      <c r="AH624" s="32"/>
      <c r="AI624" s="32"/>
      <c r="AJ624" s="32"/>
      <c r="AK624" s="32"/>
      <c r="AL624" s="32"/>
      <c r="AM624" s="32"/>
      <c r="AN624" s="32"/>
      <c r="AO624" s="33" t="str">
        <f aca="false">IF(A624="","",IF(AD624&lt;&gt;"",AD624,IF(AC624&lt;&gt;"",AC624,"")))</f>
        <v/>
      </c>
      <c r="AP624" s="24" t="str">
        <f aca="false">IF(AO624="","",IF(AD624&lt;&gt;"","Reported reach","Impressions (proxy)"))</f>
        <v/>
      </c>
      <c r="AQ624" s="34" t="str">
        <f aca="false">IF(OR(AO624="",N(S624)=0),"",AO624/S624)</f>
        <v/>
      </c>
      <c r="AR624" s="33" t="str">
        <f aca="false">IF(A624="","",IF(COUNT(AF624:AJ624)=0,"",SUM(AF624:AJ624)))</f>
        <v/>
      </c>
      <c r="AS624" s="34" t="str">
        <f aca="false">IF(OR(AR624="",N(AO624)=0),"",AR624/AO624)</f>
        <v/>
      </c>
      <c r="AT624" s="34" t="str">
        <f aca="false">IF(OR(AR624="",N(AC624)=0),"",AR624/AC624)</f>
        <v/>
      </c>
      <c r="AU624" s="34" t="str">
        <f aca="false">IF(OR(AR624="",N(S624)=0),"",AR624/S624)</f>
        <v/>
      </c>
      <c r="AV624" s="34" t="str">
        <f aca="false">IF(OR(AJ624="",N(AC624)=0),"",AJ624/AC624)</f>
        <v/>
      </c>
      <c r="AW624" s="34" t="str">
        <f aca="false">IF(OR(AH624="",N(AO624)=0),"",AH624/AO624)</f>
        <v/>
      </c>
      <c r="AX624" s="35" t="str">
        <f aca="false">IF(OR(AR624="",N(AO624)=0),"",(N(AF624)*Settings!$B$6+N(AG624)*Settings!$B$7+N(AH624)*Settings!$B$8+N(AI624)*Settings!$B$9+N(AJ624)*Settings!$B$10)/AO624*1000)</f>
        <v/>
      </c>
      <c r="AY624" s="36" t="str">
        <f aca="false">IF(AS624="","",IFERROR(AS624/AVERAGEIFS('Post Tracker'!$AS$5:$AS$1004,'Post Tracker'!$G$5:$G$1004,G624),""))</f>
        <v/>
      </c>
      <c r="AZ624" s="32"/>
      <c r="BA624" s="32"/>
      <c r="BB624" s="32"/>
      <c r="BC624" s="32"/>
      <c r="BD624" s="33" t="str">
        <f aca="false">IF(A624="","",COUNTIFS('Demo Pipeline'!$Q$5:$Q$504,A624))</f>
        <v/>
      </c>
      <c r="BE624" s="33" t="str">
        <f aca="false">IF(A624="","",COUNTIFS('Demo Pipeline'!$Q$5:$Q$504,A624,'Demo Pipeline'!$W$5:$W$504,"Attended"))</f>
        <v/>
      </c>
      <c r="BF624" s="33" t="str">
        <f aca="false">IF(A624="","",COUNTIFS('Demo Pipeline'!$Q$5:$Q$504,A624,'Demo Pipeline'!$X$5:$X$504,"Yes"))</f>
        <v/>
      </c>
      <c r="BG624" s="33" t="str">
        <f aca="false">IF(A624="","",COUNTIFS('Demo Pipeline'!$Q$5:$Q$504,A624,'Demo Pipeline'!$Y$5:$Y$504,"Closed Won"))</f>
        <v/>
      </c>
      <c r="BH624" s="37" t="str">
        <f aca="false">IF(A624="","",SUMIFS('Demo Pipeline'!$Z$5:$Z$504,'Demo Pipeline'!$Q$5:$Q$504,A624))</f>
        <v/>
      </c>
      <c r="BI624" s="34" t="str">
        <f aca="false">IF(OR(AZ624="",N(AJ624)=0),"",AZ624/AJ624)</f>
        <v/>
      </c>
      <c r="BJ624" s="34" t="str">
        <f aca="false">IF(OR(BB624="",N(AZ624)=0),"",BB624/AZ624)</f>
        <v/>
      </c>
      <c r="BK624" s="34" t="str">
        <f aca="false">IF(OR(A624="",N(BB624)=0),"",BD624/BB624)</f>
        <v/>
      </c>
      <c r="BL624" s="34" t="str">
        <f aca="false">IF(OR(A624="",N(AZ624)=0),"",BD624/AZ624)</f>
        <v/>
      </c>
      <c r="BM624" s="37" t="str">
        <f aca="false">IF(OR(N(Q624)=0,N(BD624)=0),"",Q624/BD624)</f>
        <v/>
      </c>
      <c r="BN624" s="29"/>
      <c r="BO624" s="29"/>
      <c r="BP624" s="33" t="str">
        <f aca="false">IF(OR(AR624="",N(AO624)=0),"",AR624)</f>
        <v/>
      </c>
      <c r="BQ624" s="33" t="str">
        <f aca="false">IF(OR(AR624="",N(S624)=0),"",S624)</f>
        <v/>
      </c>
      <c r="BR624" s="38" t="str">
        <f aca="false">IF(AND(ISNUMBER(B624),B624&gt;=Dashboard!$C$4,B624&lt;=Dashboard!$F$4,ISNUMBER(AU624)),AU624+ROW()/10^9,"")</f>
        <v/>
      </c>
      <c r="BS624" s="38" t="str">
        <f aca="false">IF(AND(ISNUMBER(B624),B624&gt;=Dashboard!$C$4,B624&lt;=Dashboard!$F$4,A624&lt;&gt;""),N(BD624)+N(AU624)/100+ROW()/10^9,"")</f>
        <v/>
      </c>
    </row>
    <row r="625" customFormat="false" ht="15" hidden="false" customHeight="false" outlineLevel="0" collapsed="false">
      <c r="A625" s="24" t="str">
        <f aca="false">IF(OR(B625="",G625="",H625=""),"",IFERROR(INDEX(Settings!$E$5:$E$49,MATCH(G625,Settings!$D$5:$D$49,0))&amp;INDEX(Settings!$H$5:$H$47,MATCH(H625,Settings!$G$5:$G$47,0))&amp;"-"&amp;TEXT(B625,"yymmdd")&amp;"-"&amp;IF(C625="","0000",TEXT(C625,"hhmm")),"CHECK LISTS"))</f>
        <v/>
      </c>
      <c r="B625" s="39"/>
      <c r="C625" s="40"/>
      <c r="D625" s="24" t="str">
        <f aca="false">IF(B625="","",TEXT(B625,"ddd"))</f>
        <v/>
      </c>
      <c r="E625" s="27" t="str">
        <f aca="false">IF(B625="","",B625-WEEKDAY(B625,3))</f>
        <v/>
      </c>
      <c r="F625" s="24" t="str">
        <f aca="false">IF(B625="","",TEXT(B625,"yyyy-mm"))</f>
        <v/>
      </c>
      <c r="G625" s="29"/>
      <c r="H625" s="29"/>
      <c r="I625" s="29"/>
      <c r="J625" s="29"/>
      <c r="K625" s="29"/>
      <c r="L625" s="29"/>
      <c r="M625" s="29"/>
      <c r="N625" s="29"/>
      <c r="O625" s="29"/>
      <c r="P625" s="29"/>
      <c r="Q625" s="30"/>
      <c r="R625" s="29"/>
      <c r="S625" s="32"/>
      <c r="T625" s="29"/>
      <c r="U625" s="29"/>
      <c r="V625" s="24" t="str">
        <f aca="false">IF(A625="","",IFERROR(INDEX(Settings!$F$5:$F$49,MATCH(G625,Settings!$D$5:$D$49,0)),""))</f>
        <v/>
      </c>
      <c r="W625" s="24" t="str">
        <f aca="false">IF(A625="","",IF(OR(P625="",P625="Organic"),"social","paid_social"))</f>
        <v/>
      </c>
      <c r="X625" s="24" t="str">
        <f aca="false">IF(A625="","",IF(K625&lt;&gt;"",IFERROR(INDEX('Case Studies'!$C$5:$C$54,MATCH(K625,'Case Studies'!$B$5:$B$54,0))&amp;"","case-study"),IF(J625&lt;&gt;"",IFERROR(INDEX(Settings!$J$5:$J$55,MATCH(J625,Settings!$I$5:$I$55,0)),"general"),"general")))</f>
        <v/>
      </c>
      <c r="Y625" s="24" t="str">
        <f aca="false">IF(A625="","",LOWER(A625))</f>
        <v/>
      </c>
      <c r="Z625" s="24" t="str">
        <f aca="false">IF(A625="","",IF(T625="",Settings!$B$5,T625)&amp;IF(ISNUMBER(FIND("?",IF(T625="",Settings!$B$5,T625))),"&amp;","?")&amp;"utm_source="&amp;V625&amp;"&amp;utm_medium="&amp;W625&amp;"&amp;utm_campaign="&amp;X625&amp;"&amp;utm_content="&amp;Y625)</f>
        <v/>
      </c>
      <c r="AA625" s="29"/>
      <c r="AB625" s="39"/>
      <c r="AC625" s="32"/>
      <c r="AD625" s="32"/>
      <c r="AE625" s="32"/>
      <c r="AF625" s="32"/>
      <c r="AG625" s="32"/>
      <c r="AH625" s="32"/>
      <c r="AI625" s="32"/>
      <c r="AJ625" s="32"/>
      <c r="AK625" s="32"/>
      <c r="AL625" s="32"/>
      <c r="AM625" s="32"/>
      <c r="AN625" s="32"/>
      <c r="AO625" s="33" t="str">
        <f aca="false">IF(A625="","",IF(AD625&lt;&gt;"",AD625,IF(AC625&lt;&gt;"",AC625,"")))</f>
        <v/>
      </c>
      <c r="AP625" s="24" t="str">
        <f aca="false">IF(AO625="","",IF(AD625&lt;&gt;"","Reported reach","Impressions (proxy)"))</f>
        <v/>
      </c>
      <c r="AQ625" s="34" t="str">
        <f aca="false">IF(OR(AO625="",N(S625)=0),"",AO625/S625)</f>
        <v/>
      </c>
      <c r="AR625" s="33" t="str">
        <f aca="false">IF(A625="","",IF(COUNT(AF625:AJ625)=0,"",SUM(AF625:AJ625)))</f>
        <v/>
      </c>
      <c r="AS625" s="34" t="str">
        <f aca="false">IF(OR(AR625="",N(AO625)=0),"",AR625/AO625)</f>
        <v/>
      </c>
      <c r="AT625" s="34" t="str">
        <f aca="false">IF(OR(AR625="",N(AC625)=0),"",AR625/AC625)</f>
        <v/>
      </c>
      <c r="AU625" s="34" t="str">
        <f aca="false">IF(OR(AR625="",N(S625)=0),"",AR625/S625)</f>
        <v/>
      </c>
      <c r="AV625" s="34" t="str">
        <f aca="false">IF(OR(AJ625="",N(AC625)=0),"",AJ625/AC625)</f>
        <v/>
      </c>
      <c r="AW625" s="34" t="str">
        <f aca="false">IF(OR(AH625="",N(AO625)=0),"",AH625/AO625)</f>
        <v/>
      </c>
      <c r="AX625" s="35" t="str">
        <f aca="false">IF(OR(AR625="",N(AO625)=0),"",(N(AF625)*Settings!$B$6+N(AG625)*Settings!$B$7+N(AH625)*Settings!$B$8+N(AI625)*Settings!$B$9+N(AJ625)*Settings!$B$10)/AO625*1000)</f>
        <v/>
      </c>
      <c r="AY625" s="36" t="str">
        <f aca="false">IF(AS625="","",IFERROR(AS625/AVERAGEIFS('Post Tracker'!$AS$5:$AS$1004,'Post Tracker'!$G$5:$G$1004,G625),""))</f>
        <v/>
      </c>
      <c r="AZ625" s="32"/>
      <c r="BA625" s="32"/>
      <c r="BB625" s="32"/>
      <c r="BC625" s="32"/>
      <c r="BD625" s="33" t="str">
        <f aca="false">IF(A625="","",COUNTIFS('Demo Pipeline'!$Q$5:$Q$504,A625))</f>
        <v/>
      </c>
      <c r="BE625" s="33" t="str">
        <f aca="false">IF(A625="","",COUNTIFS('Demo Pipeline'!$Q$5:$Q$504,A625,'Demo Pipeline'!$W$5:$W$504,"Attended"))</f>
        <v/>
      </c>
      <c r="BF625" s="33" t="str">
        <f aca="false">IF(A625="","",COUNTIFS('Demo Pipeline'!$Q$5:$Q$504,A625,'Demo Pipeline'!$X$5:$X$504,"Yes"))</f>
        <v/>
      </c>
      <c r="BG625" s="33" t="str">
        <f aca="false">IF(A625="","",COUNTIFS('Demo Pipeline'!$Q$5:$Q$504,A625,'Demo Pipeline'!$Y$5:$Y$504,"Closed Won"))</f>
        <v/>
      </c>
      <c r="BH625" s="37" t="str">
        <f aca="false">IF(A625="","",SUMIFS('Demo Pipeline'!$Z$5:$Z$504,'Demo Pipeline'!$Q$5:$Q$504,A625))</f>
        <v/>
      </c>
      <c r="BI625" s="34" t="str">
        <f aca="false">IF(OR(AZ625="",N(AJ625)=0),"",AZ625/AJ625)</f>
        <v/>
      </c>
      <c r="BJ625" s="34" t="str">
        <f aca="false">IF(OR(BB625="",N(AZ625)=0),"",BB625/AZ625)</f>
        <v/>
      </c>
      <c r="BK625" s="34" t="str">
        <f aca="false">IF(OR(A625="",N(BB625)=0),"",BD625/BB625)</f>
        <v/>
      </c>
      <c r="BL625" s="34" t="str">
        <f aca="false">IF(OR(A625="",N(AZ625)=0),"",BD625/AZ625)</f>
        <v/>
      </c>
      <c r="BM625" s="37" t="str">
        <f aca="false">IF(OR(N(Q625)=0,N(BD625)=0),"",Q625/BD625)</f>
        <v/>
      </c>
      <c r="BN625" s="29"/>
      <c r="BO625" s="29"/>
      <c r="BP625" s="33" t="str">
        <f aca="false">IF(OR(AR625="",N(AO625)=0),"",AR625)</f>
        <v/>
      </c>
      <c r="BQ625" s="33" t="str">
        <f aca="false">IF(OR(AR625="",N(S625)=0),"",S625)</f>
        <v/>
      </c>
      <c r="BR625" s="38" t="str">
        <f aca="false">IF(AND(ISNUMBER(B625),B625&gt;=Dashboard!$C$4,B625&lt;=Dashboard!$F$4,ISNUMBER(AU625)),AU625+ROW()/10^9,"")</f>
        <v/>
      </c>
      <c r="BS625" s="38" t="str">
        <f aca="false">IF(AND(ISNUMBER(B625),B625&gt;=Dashboard!$C$4,B625&lt;=Dashboard!$F$4,A625&lt;&gt;""),N(BD625)+N(AU625)/100+ROW()/10^9,"")</f>
        <v/>
      </c>
    </row>
    <row r="626" customFormat="false" ht="15" hidden="false" customHeight="false" outlineLevel="0" collapsed="false">
      <c r="A626" s="24" t="str">
        <f aca="false">IF(OR(B626="",G626="",H626=""),"",IFERROR(INDEX(Settings!$E$5:$E$49,MATCH(G626,Settings!$D$5:$D$49,0))&amp;INDEX(Settings!$H$5:$H$47,MATCH(H626,Settings!$G$5:$G$47,0))&amp;"-"&amp;TEXT(B626,"yymmdd")&amp;"-"&amp;IF(C626="","0000",TEXT(C626,"hhmm")),"CHECK LISTS"))</f>
        <v/>
      </c>
      <c r="B626" s="39"/>
      <c r="C626" s="40"/>
      <c r="D626" s="24" t="str">
        <f aca="false">IF(B626="","",TEXT(B626,"ddd"))</f>
        <v/>
      </c>
      <c r="E626" s="27" t="str">
        <f aca="false">IF(B626="","",B626-WEEKDAY(B626,3))</f>
        <v/>
      </c>
      <c r="F626" s="24" t="str">
        <f aca="false">IF(B626="","",TEXT(B626,"yyyy-mm"))</f>
        <v/>
      </c>
      <c r="G626" s="29"/>
      <c r="H626" s="29"/>
      <c r="I626" s="29"/>
      <c r="J626" s="29"/>
      <c r="K626" s="29"/>
      <c r="L626" s="29"/>
      <c r="M626" s="29"/>
      <c r="N626" s="29"/>
      <c r="O626" s="29"/>
      <c r="P626" s="29"/>
      <c r="Q626" s="30"/>
      <c r="R626" s="29"/>
      <c r="S626" s="32"/>
      <c r="T626" s="29"/>
      <c r="U626" s="29"/>
      <c r="V626" s="24" t="str">
        <f aca="false">IF(A626="","",IFERROR(INDEX(Settings!$F$5:$F$49,MATCH(G626,Settings!$D$5:$D$49,0)),""))</f>
        <v/>
      </c>
      <c r="W626" s="24" t="str">
        <f aca="false">IF(A626="","",IF(OR(P626="",P626="Organic"),"social","paid_social"))</f>
        <v/>
      </c>
      <c r="X626" s="24" t="str">
        <f aca="false">IF(A626="","",IF(K626&lt;&gt;"",IFERROR(INDEX('Case Studies'!$C$5:$C$54,MATCH(K626,'Case Studies'!$B$5:$B$54,0))&amp;"","case-study"),IF(J626&lt;&gt;"",IFERROR(INDEX(Settings!$J$5:$J$55,MATCH(J626,Settings!$I$5:$I$55,0)),"general"),"general")))</f>
        <v/>
      </c>
      <c r="Y626" s="24" t="str">
        <f aca="false">IF(A626="","",LOWER(A626))</f>
        <v/>
      </c>
      <c r="Z626" s="24" t="str">
        <f aca="false">IF(A626="","",IF(T626="",Settings!$B$5,T626)&amp;IF(ISNUMBER(FIND("?",IF(T626="",Settings!$B$5,T626))),"&amp;","?")&amp;"utm_source="&amp;V626&amp;"&amp;utm_medium="&amp;W626&amp;"&amp;utm_campaign="&amp;X626&amp;"&amp;utm_content="&amp;Y626)</f>
        <v/>
      </c>
      <c r="AA626" s="29"/>
      <c r="AB626" s="39"/>
      <c r="AC626" s="32"/>
      <c r="AD626" s="32"/>
      <c r="AE626" s="32"/>
      <c r="AF626" s="32"/>
      <c r="AG626" s="32"/>
      <c r="AH626" s="32"/>
      <c r="AI626" s="32"/>
      <c r="AJ626" s="32"/>
      <c r="AK626" s="32"/>
      <c r="AL626" s="32"/>
      <c r="AM626" s="32"/>
      <c r="AN626" s="32"/>
      <c r="AO626" s="33" t="str">
        <f aca="false">IF(A626="","",IF(AD626&lt;&gt;"",AD626,IF(AC626&lt;&gt;"",AC626,"")))</f>
        <v/>
      </c>
      <c r="AP626" s="24" t="str">
        <f aca="false">IF(AO626="","",IF(AD626&lt;&gt;"","Reported reach","Impressions (proxy)"))</f>
        <v/>
      </c>
      <c r="AQ626" s="34" t="str">
        <f aca="false">IF(OR(AO626="",N(S626)=0),"",AO626/S626)</f>
        <v/>
      </c>
      <c r="AR626" s="33" t="str">
        <f aca="false">IF(A626="","",IF(COUNT(AF626:AJ626)=0,"",SUM(AF626:AJ626)))</f>
        <v/>
      </c>
      <c r="AS626" s="34" t="str">
        <f aca="false">IF(OR(AR626="",N(AO626)=0),"",AR626/AO626)</f>
        <v/>
      </c>
      <c r="AT626" s="34" t="str">
        <f aca="false">IF(OR(AR626="",N(AC626)=0),"",AR626/AC626)</f>
        <v/>
      </c>
      <c r="AU626" s="34" t="str">
        <f aca="false">IF(OR(AR626="",N(S626)=0),"",AR626/S626)</f>
        <v/>
      </c>
      <c r="AV626" s="34" t="str">
        <f aca="false">IF(OR(AJ626="",N(AC626)=0),"",AJ626/AC626)</f>
        <v/>
      </c>
      <c r="AW626" s="34" t="str">
        <f aca="false">IF(OR(AH626="",N(AO626)=0),"",AH626/AO626)</f>
        <v/>
      </c>
      <c r="AX626" s="35" t="str">
        <f aca="false">IF(OR(AR626="",N(AO626)=0),"",(N(AF626)*Settings!$B$6+N(AG626)*Settings!$B$7+N(AH626)*Settings!$B$8+N(AI626)*Settings!$B$9+N(AJ626)*Settings!$B$10)/AO626*1000)</f>
        <v/>
      </c>
      <c r="AY626" s="36" t="str">
        <f aca="false">IF(AS626="","",IFERROR(AS626/AVERAGEIFS('Post Tracker'!$AS$5:$AS$1004,'Post Tracker'!$G$5:$G$1004,G626),""))</f>
        <v/>
      </c>
      <c r="AZ626" s="32"/>
      <c r="BA626" s="32"/>
      <c r="BB626" s="32"/>
      <c r="BC626" s="32"/>
      <c r="BD626" s="33" t="str">
        <f aca="false">IF(A626="","",COUNTIFS('Demo Pipeline'!$Q$5:$Q$504,A626))</f>
        <v/>
      </c>
      <c r="BE626" s="33" t="str">
        <f aca="false">IF(A626="","",COUNTIFS('Demo Pipeline'!$Q$5:$Q$504,A626,'Demo Pipeline'!$W$5:$W$504,"Attended"))</f>
        <v/>
      </c>
      <c r="BF626" s="33" t="str">
        <f aca="false">IF(A626="","",COUNTIFS('Demo Pipeline'!$Q$5:$Q$504,A626,'Demo Pipeline'!$X$5:$X$504,"Yes"))</f>
        <v/>
      </c>
      <c r="BG626" s="33" t="str">
        <f aca="false">IF(A626="","",COUNTIFS('Demo Pipeline'!$Q$5:$Q$504,A626,'Demo Pipeline'!$Y$5:$Y$504,"Closed Won"))</f>
        <v/>
      </c>
      <c r="BH626" s="37" t="str">
        <f aca="false">IF(A626="","",SUMIFS('Demo Pipeline'!$Z$5:$Z$504,'Demo Pipeline'!$Q$5:$Q$504,A626))</f>
        <v/>
      </c>
      <c r="BI626" s="34" t="str">
        <f aca="false">IF(OR(AZ626="",N(AJ626)=0),"",AZ626/AJ626)</f>
        <v/>
      </c>
      <c r="BJ626" s="34" t="str">
        <f aca="false">IF(OR(BB626="",N(AZ626)=0),"",BB626/AZ626)</f>
        <v/>
      </c>
      <c r="BK626" s="34" t="str">
        <f aca="false">IF(OR(A626="",N(BB626)=0),"",BD626/BB626)</f>
        <v/>
      </c>
      <c r="BL626" s="34" t="str">
        <f aca="false">IF(OR(A626="",N(AZ626)=0),"",BD626/AZ626)</f>
        <v/>
      </c>
      <c r="BM626" s="37" t="str">
        <f aca="false">IF(OR(N(Q626)=0,N(BD626)=0),"",Q626/BD626)</f>
        <v/>
      </c>
      <c r="BN626" s="29"/>
      <c r="BO626" s="29"/>
      <c r="BP626" s="33" t="str">
        <f aca="false">IF(OR(AR626="",N(AO626)=0),"",AR626)</f>
        <v/>
      </c>
      <c r="BQ626" s="33" t="str">
        <f aca="false">IF(OR(AR626="",N(S626)=0),"",S626)</f>
        <v/>
      </c>
      <c r="BR626" s="38" t="str">
        <f aca="false">IF(AND(ISNUMBER(B626),B626&gt;=Dashboard!$C$4,B626&lt;=Dashboard!$F$4,ISNUMBER(AU626)),AU626+ROW()/10^9,"")</f>
        <v/>
      </c>
      <c r="BS626" s="38" t="str">
        <f aca="false">IF(AND(ISNUMBER(B626),B626&gt;=Dashboard!$C$4,B626&lt;=Dashboard!$F$4,A626&lt;&gt;""),N(BD626)+N(AU626)/100+ROW()/10^9,"")</f>
        <v/>
      </c>
    </row>
    <row r="627" customFormat="false" ht="15" hidden="false" customHeight="false" outlineLevel="0" collapsed="false">
      <c r="A627" s="24" t="str">
        <f aca="false">IF(OR(B627="",G627="",H627=""),"",IFERROR(INDEX(Settings!$E$5:$E$49,MATCH(G627,Settings!$D$5:$D$49,0))&amp;INDEX(Settings!$H$5:$H$47,MATCH(H627,Settings!$G$5:$G$47,0))&amp;"-"&amp;TEXT(B627,"yymmdd")&amp;"-"&amp;IF(C627="","0000",TEXT(C627,"hhmm")),"CHECK LISTS"))</f>
        <v/>
      </c>
      <c r="B627" s="39"/>
      <c r="C627" s="40"/>
      <c r="D627" s="24" t="str">
        <f aca="false">IF(B627="","",TEXT(B627,"ddd"))</f>
        <v/>
      </c>
      <c r="E627" s="27" t="str">
        <f aca="false">IF(B627="","",B627-WEEKDAY(B627,3))</f>
        <v/>
      </c>
      <c r="F627" s="24" t="str">
        <f aca="false">IF(B627="","",TEXT(B627,"yyyy-mm"))</f>
        <v/>
      </c>
      <c r="G627" s="29"/>
      <c r="H627" s="29"/>
      <c r="I627" s="29"/>
      <c r="J627" s="29"/>
      <c r="K627" s="29"/>
      <c r="L627" s="29"/>
      <c r="M627" s="29"/>
      <c r="N627" s="29"/>
      <c r="O627" s="29"/>
      <c r="P627" s="29"/>
      <c r="Q627" s="30"/>
      <c r="R627" s="29"/>
      <c r="S627" s="32"/>
      <c r="T627" s="29"/>
      <c r="U627" s="29"/>
      <c r="V627" s="24" t="str">
        <f aca="false">IF(A627="","",IFERROR(INDEX(Settings!$F$5:$F$49,MATCH(G627,Settings!$D$5:$D$49,0)),""))</f>
        <v/>
      </c>
      <c r="W627" s="24" t="str">
        <f aca="false">IF(A627="","",IF(OR(P627="",P627="Organic"),"social","paid_social"))</f>
        <v/>
      </c>
      <c r="X627" s="24" t="str">
        <f aca="false">IF(A627="","",IF(K627&lt;&gt;"",IFERROR(INDEX('Case Studies'!$C$5:$C$54,MATCH(K627,'Case Studies'!$B$5:$B$54,0))&amp;"","case-study"),IF(J627&lt;&gt;"",IFERROR(INDEX(Settings!$J$5:$J$55,MATCH(J627,Settings!$I$5:$I$55,0)),"general"),"general")))</f>
        <v/>
      </c>
      <c r="Y627" s="24" t="str">
        <f aca="false">IF(A627="","",LOWER(A627))</f>
        <v/>
      </c>
      <c r="Z627" s="24" t="str">
        <f aca="false">IF(A627="","",IF(T627="",Settings!$B$5,T627)&amp;IF(ISNUMBER(FIND("?",IF(T627="",Settings!$B$5,T627))),"&amp;","?")&amp;"utm_source="&amp;V627&amp;"&amp;utm_medium="&amp;W627&amp;"&amp;utm_campaign="&amp;X627&amp;"&amp;utm_content="&amp;Y627)</f>
        <v/>
      </c>
      <c r="AA627" s="29"/>
      <c r="AB627" s="39"/>
      <c r="AC627" s="32"/>
      <c r="AD627" s="32"/>
      <c r="AE627" s="32"/>
      <c r="AF627" s="32"/>
      <c r="AG627" s="32"/>
      <c r="AH627" s="32"/>
      <c r="AI627" s="32"/>
      <c r="AJ627" s="32"/>
      <c r="AK627" s="32"/>
      <c r="AL627" s="32"/>
      <c r="AM627" s="32"/>
      <c r="AN627" s="32"/>
      <c r="AO627" s="33" t="str">
        <f aca="false">IF(A627="","",IF(AD627&lt;&gt;"",AD627,IF(AC627&lt;&gt;"",AC627,"")))</f>
        <v/>
      </c>
      <c r="AP627" s="24" t="str">
        <f aca="false">IF(AO627="","",IF(AD627&lt;&gt;"","Reported reach","Impressions (proxy)"))</f>
        <v/>
      </c>
      <c r="AQ627" s="34" t="str">
        <f aca="false">IF(OR(AO627="",N(S627)=0),"",AO627/S627)</f>
        <v/>
      </c>
      <c r="AR627" s="33" t="str">
        <f aca="false">IF(A627="","",IF(COUNT(AF627:AJ627)=0,"",SUM(AF627:AJ627)))</f>
        <v/>
      </c>
      <c r="AS627" s="34" t="str">
        <f aca="false">IF(OR(AR627="",N(AO627)=0),"",AR627/AO627)</f>
        <v/>
      </c>
      <c r="AT627" s="34" t="str">
        <f aca="false">IF(OR(AR627="",N(AC627)=0),"",AR627/AC627)</f>
        <v/>
      </c>
      <c r="AU627" s="34" t="str">
        <f aca="false">IF(OR(AR627="",N(S627)=0),"",AR627/S627)</f>
        <v/>
      </c>
      <c r="AV627" s="34" t="str">
        <f aca="false">IF(OR(AJ627="",N(AC627)=0),"",AJ627/AC627)</f>
        <v/>
      </c>
      <c r="AW627" s="34" t="str">
        <f aca="false">IF(OR(AH627="",N(AO627)=0),"",AH627/AO627)</f>
        <v/>
      </c>
      <c r="AX627" s="35" t="str">
        <f aca="false">IF(OR(AR627="",N(AO627)=0),"",(N(AF627)*Settings!$B$6+N(AG627)*Settings!$B$7+N(AH627)*Settings!$B$8+N(AI627)*Settings!$B$9+N(AJ627)*Settings!$B$10)/AO627*1000)</f>
        <v/>
      </c>
      <c r="AY627" s="36" t="str">
        <f aca="false">IF(AS627="","",IFERROR(AS627/AVERAGEIFS('Post Tracker'!$AS$5:$AS$1004,'Post Tracker'!$G$5:$G$1004,G627),""))</f>
        <v/>
      </c>
      <c r="AZ627" s="32"/>
      <c r="BA627" s="32"/>
      <c r="BB627" s="32"/>
      <c r="BC627" s="32"/>
      <c r="BD627" s="33" t="str">
        <f aca="false">IF(A627="","",COUNTIFS('Demo Pipeline'!$Q$5:$Q$504,A627))</f>
        <v/>
      </c>
      <c r="BE627" s="33" t="str">
        <f aca="false">IF(A627="","",COUNTIFS('Demo Pipeline'!$Q$5:$Q$504,A627,'Demo Pipeline'!$W$5:$W$504,"Attended"))</f>
        <v/>
      </c>
      <c r="BF627" s="33" t="str">
        <f aca="false">IF(A627="","",COUNTIFS('Demo Pipeline'!$Q$5:$Q$504,A627,'Demo Pipeline'!$X$5:$X$504,"Yes"))</f>
        <v/>
      </c>
      <c r="BG627" s="33" t="str">
        <f aca="false">IF(A627="","",COUNTIFS('Demo Pipeline'!$Q$5:$Q$504,A627,'Demo Pipeline'!$Y$5:$Y$504,"Closed Won"))</f>
        <v/>
      </c>
      <c r="BH627" s="37" t="str">
        <f aca="false">IF(A627="","",SUMIFS('Demo Pipeline'!$Z$5:$Z$504,'Demo Pipeline'!$Q$5:$Q$504,A627))</f>
        <v/>
      </c>
      <c r="BI627" s="34" t="str">
        <f aca="false">IF(OR(AZ627="",N(AJ627)=0),"",AZ627/AJ627)</f>
        <v/>
      </c>
      <c r="BJ627" s="34" t="str">
        <f aca="false">IF(OR(BB627="",N(AZ627)=0),"",BB627/AZ627)</f>
        <v/>
      </c>
      <c r="BK627" s="34" t="str">
        <f aca="false">IF(OR(A627="",N(BB627)=0),"",BD627/BB627)</f>
        <v/>
      </c>
      <c r="BL627" s="34" t="str">
        <f aca="false">IF(OR(A627="",N(AZ627)=0),"",BD627/AZ627)</f>
        <v/>
      </c>
      <c r="BM627" s="37" t="str">
        <f aca="false">IF(OR(N(Q627)=0,N(BD627)=0),"",Q627/BD627)</f>
        <v/>
      </c>
      <c r="BN627" s="29"/>
      <c r="BO627" s="29"/>
      <c r="BP627" s="33" t="str">
        <f aca="false">IF(OR(AR627="",N(AO627)=0),"",AR627)</f>
        <v/>
      </c>
      <c r="BQ627" s="33" t="str">
        <f aca="false">IF(OR(AR627="",N(S627)=0),"",S627)</f>
        <v/>
      </c>
      <c r="BR627" s="38" t="str">
        <f aca="false">IF(AND(ISNUMBER(B627),B627&gt;=Dashboard!$C$4,B627&lt;=Dashboard!$F$4,ISNUMBER(AU627)),AU627+ROW()/10^9,"")</f>
        <v/>
      </c>
      <c r="BS627" s="38" t="str">
        <f aca="false">IF(AND(ISNUMBER(B627),B627&gt;=Dashboard!$C$4,B627&lt;=Dashboard!$F$4,A627&lt;&gt;""),N(BD627)+N(AU627)/100+ROW()/10^9,"")</f>
        <v/>
      </c>
    </row>
    <row r="628" customFormat="false" ht="15" hidden="false" customHeight="false" outlineLevel="0" collapsed="false">
      <c r="A628" s="24" t="str">
        <f aca="false">IF(OR(B628="",G628="",H628=""),"",IFERROR(INDEX(Settings!$E$5:$E$49,MATCH(G628,Settings!$D$5:$D$49,0))&amp;INDEX(Settings!$H$5:$H$47,MATCH(H628,Settings!$G$5:$G$47,0))&amp;"-"&amp;TEXT(B628,"yymmdd")&amp;"-"&amp;IF(C628="","0000",TEXT(C628,"hhmm")),"CHECK LISTS"))</f>
        <v/>
      </c>
      <c r="B628" s="39"/>
      <c r="C628" s="40"/>
      <c r="D628" s="24" t="str">
        <f aca="false">IF(B628="","",TEXT(B628,"ddd"))</f>
        <v/>
      </c>
      <c r="E628" s="27" t="str">
        <f aca="false">IF(B628="","",B628-WEEKDAY(B628,3))</f>
        <v/>
      </c>
      <c r="F628" s="24" t="str">
        <f aca="false">IF(B628="","",TEXT(B628,"yyyy-mm"))</f>
        <v/>
      </c>
      <c r="G628" s="29"/>
      <c r="H628" s="29"/>
      <c r="I628" s="29"/>
      <c r="J628" s="29"/>
      <c r="K628" s="29"/>
      <c r="L628" s="29"/>
      <c r="M628" s="29"/>
      <c r="N628" s="29"/>
      <c r="O628" s="29"/>
      <c r="P628" s="29"/>
      <c r="Q628" s="30"/>
      <c r="R628" s="29"/>
      <c r="S628" s="32"/>
      <c r="T628" s="29"/>
      <c r="U628" s="29"/>
      <c r="V628" s="24" t="str">
        <f aca="false">IF(A628="","",IFERROR(INDEX(Settings!$F$5:$F$49,MATCH(G628,Settings!$D$5:$D$49,0)),""))</f>
        <v/>
      </c>
      <c r="W628" s="24" t="str">
        <f aca="false">IF(A628="","",IF(OR(P628="",P628="Organic"),"social","paid_social"))</f>
        <v/>
      </c>
      <c r="X628" s="24" t="str">
        <f aca="false">IF(A628="","",IF(K628&lt;&gt;"",IFERROR(INDEX('Case Studies'!$C$5:$C$54,MATCH(K628,'Case Studies'!$B$5:$B$54,0))&amp;"","case-study"),IF(J628&lt;&gt;"",IFERROR(INDEX(Settings!$J$5:$J$55,MATCH(J628,Settings!$I$5:$I$55,0)),"general"),"general")))</f>
        <v/>
      </c>
      <c r="Y628" s="24" t="str">
        <f aca="false">IF(A628="","",LOWER(A628))</f>
        <v/>
      </c>
      <c r="Z628" s="24" t="str">
        <f aca="false">IF(A628="","",IF(T628="",Settings!$B$5,T628)&amp;IF(ISNUMBER(FIND("?",IF(T628="",Settings!$B$5,T628))),"&amp;","?")&amp;"utm_source="&amp;V628&amp;"&amp;utm_medium="&amp;W628&amp;"&amp;utm_campaign="&amp;X628&amp;"&amp;utm_content="&amp;Y628)</f>
        <v/>
      </c>
      <c r="AA628" s="29"/>
      <c r="AB628" s="39"/>
      <c r="AC628" s="32"/>
      <c r="AD628" s="32"/>
      <c r="AE628" s="32"/>
      <c r="AF628" s="32"/>
      <c r="AG628" s="32"/>
      <c r="AH628" s="32"/>
      <c r="AI628" s="32"/>
      <c r="AJ628" s="32"/>
      <c r="AK628" s="32"/>
      <c r="AL628" s="32"/>
      <c r="AM628" s="32"/>
      <c r="AN628" s="32"/>
      <c r="AO628" s="33" t="str">
        <f aca="false">IF(A628="","",IF(AD628&lt;&gt;"",AD628,IF(AC628&lt;&gt;"",AC628,"")))</f>
        <v/>
      </c>
      <c r="AP628" s="24" t="str">
        <f aca="false">IF(AO628="","",IF(AD628&lt;&gt;"","Reported reach","Impressions (proxy)"))</f>
        <v/>
      </c>
      <c r="AQ628" s="34" t="str">
        <f aca="false">IF(OR(AO628="",N(S628)=0),"",AO628/S628)</f>
        <v/>
      </c>
      <c r="AR628" s="33" t="str">
        <f aca="false">IF(A628="","",IF(COUNT(AF628:AJ628)=0,"",SUM(AF628:AJ628)))</f>
        <v/>
      </c>
      <c r="AS628" s="34" t="str">
        <f aca="false">IF(OR(AR628="",N(AO628)=0),"",AR628/AO628)</f>
        <v/>
      </c>
      <c r="AT628" s="34" t="str">
        <f aca="false">IF(OR(AR628="",N(AC628)=0),"",AR628/AC628)</f>
        <v/>
      </c>
      <c r="AU628" s="34" t="str">
        <f aca="false">IF(OR(AR628="",N(S628)=0),"",AR628/S628)</f>
        <v/>
      </c>
      <c r="AV628" s="34" t="str">
        <f aca="false">IF(OR(AJ628="",N(AC628)=0),"",AJ628/AC628)</f>
        <v/>
      </c>
      <c r="AW628" s="34" t="str">
        <f aca="false">IF(OR(AH628="",N(AO628)=0),"",AH628/AO628)</f>
        <v/>
      </c>
      <c r="AX628" s="35" t="str">
        <f aca="false">IF(OR(AR628="",N(AO628)=0),"",(N(AF628)*Settings!$B$6+N(AG628)*Settings!$B$7+N(AH628)*Settings!$B$8+N(AI628)*Settings!$B$9+N(AJ628)*Settings!$B$10)/AO628*1000)</f>
        <v/>
      </c>
      <c r="AY628" s="36" t="str">
        <f aca="false">IF(AS628="","",IFERROR(AS628/AVERAGEIFS('Post Tracker'!$AS$5:$AS$1004,'Post Tracker'!$G$5:$G$1004,G628),""))</f>
        <v/>
      </c>
      <c r="AZ628" s="32"/>
      <c r="BA628" s="32"/>
      <c r="BB628" s="32"/>
      <c r="BC628" s="32"/>
      <c r="BD628" s="33" t="str">
        <f aca="false">IF(A628="","",COUNTIFS('Demo Pipeline'!$Q$5:$Q$504,A628))</f>
        <v/>
      </c>
      <c r="BE628" s="33" t="str">
        <f aca="false">IF(A628="","",COUNTIFS('Demo Pipeline'!$Q$5:$Q$504,A628,'Demo Pipeline'!$W$5:$W$504,"Attended"))</f>
        <v/>
      </c>
      <c r="BF628" s="33" t="str">
        <f aca="false">IF(A628="","",COUNTIFS('Demo Pipeline'!$Q$5:$Q$504,A628,'Demo Pipeline'!$X$5:$X$504,"Yes"))</f>
        <v/>
      </c>
      <c r="BG628" s="33" t="str">
        <f aca="false">IF(A628="","",COUNTIFS('Demo Pipeline'!$Q$5:$Q$504,A628,'Demo Pipeline'!$Y$5:$Y$504,"Closed Won"))</f>
        <v/>
      </c>
      <c r="BH628" s="37" t="str">
        <f aca="false">IF(A628="","",SUMIFS('Demo Pipeline'!$Z$5:$Z$504,'Demo Pipeline'!$Q$5:$Q$504,A628))</f>
        <v/>
      </c>
      <c r="BI628" s="34" t="str">
        <f aca="false">IF(OR(AZ628="",N(AJ628)=0),"",AZ628/AJ628)</f>
        <v/>
      </c>
      <c r="BJ628" s="34" t="str">
        <f aca="false">IF(OR(BB628="",N(AZ628)=0),"",BB628/AZ628)</f>
        <v/>
      </c>
      <c r="BK628" s="34" t="str">
        <f aca="false">IF(OR(A628="",N(BB628)=0),"",BD628/BB628)</f>
        <v/>
      </c>
      <c r="BL628" s="34" t="str">
        <f aca="false">IF(OR(A628="",N(AZ628)=0),"",BD628/AZ628)</f>
        <v/>
      </c>
      <c r="BM628" s="37" t="str">
        <f aca="false">IF(OR(N(Q628)=0,N(BD628)=0),"",Q628/BD628)</f>
        <v/>
      </c>
      <c r="BN628" s="29"/>
      <c r="BO628" s="29"/>
      <c r="BP628" s="33" t="str">
        <f aca="false">IF(OR(AR628="",N(AO628)=0),"",AR628)</f>
        <v/>
      </c>
      <c r="BQ628" s="33" t="str">
        <f aca="false">IF(OR(AR628="",N(S628)=0),"",S628)</f>
        <v/>
      </c>
      <c r="BR628" s="38" t="str">
        <f aca="false">IF(AND(ISNUMBER(B628),B628&gt;=Dashboard!$C$4,B628&lt;=Dashboard!$F$4,ISNUMBER(AU628)),AU628+ROW()/10^9,"")</f>
        <v/>
      </c>
      <c r="BS628" s="38" t="str">
        <f aca="false">IF(AND(ISNUMBER(B628),B628&gt;=Dashboard!$C$4,B628&lt;=Dashboard!$F$4,A628&lt;&gt;""),N(BD628)+N(AU628)/100+ROW()/10^9,"")</f>
        <v/>
      </c>
    </row>
    <row r="629" customFormat="false" ht="15" hidden="false" customHeight="false" outlineLevel="0" collapsed="false">
      <c r="A629" s="24" t="str">
        <f aca="false">IF(OR(B629="",G629="",H629=""),"",IFERROR(INDEX(Settings!$E$5:$E$49,MATCH(G629,Settings!$D$5:$D$49,0))&amp;INDEX(Settings!$H$5:$H$47,MATCH(H629,Settings!$G$5:$G$47,0))&amp;"-"&amp;TEXT(B629,"yymmdd")&amp;"-"&amp;IF(C629="","0000",TEXT(C629,"hhmm")),"CHECK LISTS"))</f>
        <v/>
      </c>
      <c r="B629" s="39"/>
      <c r="C629" s="40"/>
      <c r="D629" s="24" t="str">
        <f aca="false">IF(B629="","",TEXT(B629,"ddd"))</f>
        <v/>
      </c>
      <c r="E629" s="27" t="str">
        <f aca="false">IF(B629="","",B629-WEEKDAY(B629,3))</f>
        <v/>
      </c>
      <c r="F629" s="24" t="str">
        <f aca="false">IF(B629="","",TEXT(B629,"yyyy-mm"))</f>
        <v/>
      </c>
      <c r="G629" s="29"/>
      <c r="H629" s="29"/>
      <c r="I629" s="29"/>
      <c r="J629" s="29"/>
      <c r="K629" s="29"/>
      <c r="L629" s="29"/>
      <c r="M629" s="29"/>
      <c r="N629" s="29"/>
      <c r="O629" s="29"/>
      <c r="P629" s="29"/>
      <c r="Q629" s="30"/>
      <c r="R629" s="29"/>
      <c r="S629" s="32"/>
      <c r="T629" s="29"/>
      <c r="U629" s="29"/>
      <c r="V629" s="24" t="str">
        <f aca="false">IF(A629="","",IFERROR(INDEX(Settings!$F$5:$F$49,MATCH(G629,Settings!$D$5:$D$49,0)),""))</f>
        <v/>
      </c>
      <c r="W629" s="24" t="str">
        <f aca="false">IF(A629="","",IF(OR(P629="",P629="Organic"),"social","paid_social"))</f>
        <v/>
      </c>
      <c r="X629" s="24" t="str">
        <f aca="false">IF(A629="","",IF(K629&lt;&gt;"",IFERROR(INDEX('Case Studies'!$C$5:$C$54,MATCH(K629,'Case Studies'!$B$5:$B$54,0))&amp;"","case-study"),IF(J629&lt;&gt;"",IFERROR(INDEX(Settings!$J$5:$J$55,MATCH(J629,Settings!$I$5:$I$55,0)),"general"),"general")))</f>
        <v/>
      </c>
      <c r="Y629" s="24" t="str">
        <f aca="false">IF(A629="","",LOWER(A629))</f>
        <v/>
      </c>
      <c r="Z629" s="24" t="str">
        <f aca="false">IF(A629="","",IF(T629="",Settings!$B$5,T629)&amp;IF(ISNUMBER(FIND("?",IF(T629="",Settings!$B$5,T629))),"&amp;","?")&amp;"utm_source="&amp;V629&amp;"&amp;utm_medium="&amp;W629&amp;"&amp;utm_campaign="&amp;X629&amp;"&amp;utm_content="&amp;Y629)</f>
        <v/>
      </c>
      <c r="AA629" s="29"/>
      <c r="AB629" s="39"/>
      <c r="AC629" s="32"/>
      <c r="AD629" s="32"/>
      <c r="AE629" s="32"/>
      <c r="AF629" s="32"/>
      <c r="AG629" s="32"/>
      <c r="AH629" s="32"/>
      <c r="AI629" s="32"/>
      <c r="AJ629" s="32"/>
      <c r="AK629" s="32"/>
      <c r="AL629" s="32"/>
      <c r="AM629" s="32"/>
      <c r="AN629" s="32"/>
      <c r="AO629" s="33" t="str">
        <f aca="false">IF(A629="","",IF(AD629&lt;&gt;"",AD629,IF(AC629&lt;&gt;"",AC629,"")))</f>
        <v/>
      </c>
      <c r="AP629" s="24" t="str">
        <f aca="false">IF(AO629="","",IF(AD629&lt;&gt;"","Reported reach","Impressions (proxy)"))</f>
        <v/>
      </c>
      <c r="AQ629" s="34" t="str">
        <f aca="false">IF(OR(AO629="",N(S629)=0),"",AO629/S629)</f>
        <v/>
      </c>
      <c r="AR629" s="33" t="str">
        <f aca="false">IF(A629="","",IF(COUNT(AF629:AJ629)=0,"",SUM(AF629:AJ629)))</f>
        <v/>
      </c>
      <c r="AS629" s="34" t="str">
        <f aca="false">IF(OR(AR629="",N(AO629)=0),"",AR629/AO629)</f>
        <v/>
      </c>
      <c r="AT629" s="34" t="str">
        <f aca="false">IF(OR(AR629="",N(AC629)=0),"",AR629/AC629)</f>
        <v/>
      </c>
      <c r="AU629" s="34" t="str">
        <f aca="false">IF(OR(AR629="",N(S629)=0),"",AR629/S629)</f>
        <v/>
      </c>
      <c r="AV629" s="34" t="str">
        <f aca="false">IF(OR(AJ629="",N(AC629)=0),"",AJ629/AC629)</f>
        <v/>
      </c>
      <c r="AW629" s="34" t="str">
        <f aca="false">IF(OR(AH629="",N(AO629)=0),"",AH629/AO629)</f>
        <v/>
      </c>
      <c r="AX629" s="35" t="str">
        <f aca="false">IF(OR(AR629="",N(AO629)=0),"",(N(AF629)*Settings!$B$6+N(AG629)*Settings!$B$7+N(AH629)*Settings!$B$8+N(AI629)*Settings!$B$9+N(AJ629)*Settings!$B$10)/AO629*1000)</f>
        <v/>
      </c>
      <c r="AY629" s="36" t="str">
        <f aca="false">IF(AS629="","",IFERROR(AS629/AVERAGEIFS('Post Tracker'!$AS$5:$AS$1004,'Post Tracker'!$G$5:$G$1004,G629),""))</f>
        <v/>
      </c>
      <c r="AZ629" s="32"/>
      <c r="BA629" s="32"/>
      <c r="BB629" s="32"/>
      <c r="BC629" s="32"/>
      <c r="BD629" s="33" t="str">
        <f aca="false">IF(A629="","",COUNTIFS('Demo Pipeline'!$Q$5:$Q$504,A629))</f>
        <v/>
      </c>
      <c r="BE629" s="33" t="str">
        <f aca="false">IF(A629="","",COUNTIFS('Demo Pipeline'!$Q$5:$Q$504,A629,'Demo Pipeline'!$W$5:$W$504,"Attended"))</f>
        <v/>
      </c>
      <c r="BF629" s="33" t="str">
        <f aca="false">IF(A629="","",COUNTIFS('Demo Pipeline'!$Q$5:$Q$504,A629,'Demo Pipeline'!$X$5:$X$504,"Yes"))</f>
        <v/>
      </c>
      <c r="BG629" s="33" t="str">
        <f aca="false">IF(A629="","",COUNTIFS('Demo Pipeline'!$Q$5:$Q$504,A629,'Demo Pipeline'!$Y$5:$Y$504,"Closed Won"))</f>
        <v/>
      </c>
      <c r="BH629" s="37" t="str">
        <f aca="false">IF(A629="","",SUMIFS('Demo Pipeline'!$Z$5:$Z$504,'Demo Pipeline'!$Q$5:$Q$504,A629))</f>
        <v/>
      </c>
      <c r="BI629" s="34" t="str">
        <f aca="false">IF(OR(AZ629="",N(AJ629)=0),"",AZ629/AJ629)</f>
        <v/>
      </c>
      <c r="BJ629" s="34" t="str">
        <f aca="false">IF(OR(BB629="",N(AZ629)=0),"",BB629/AZ629)</f>
        <v/>
      </c>
      <c r="BK629" s="34" t="str">
        <f aca="false">IF(OR(A629="",N(BB629)=0),"",BD629/BB629)</f>
        <v/>
      </c>
      <c r="BL629" s="34" t="str">
        <f aca="false">IF(OR(A629="",N(AZ629)=0),"",BD629/AZ629)</f>
        <v/>
      </c>
      <c r="BM629" s="37" t="str">
        <f aca="false">IF(OR(N(Q629)=0,N(BD629)=0),"",Q629/BD629)</f>
        <v/>
      </c>
      <c r="BN629" s="29"/>
      <c r="BO629" s="29"/>
      <c r="BP629" s="33" t="str">
        <f aca="false">IF(OR(AR629="",N(AO629)=0),"",AR629)</f>
        <v/>
      </c>
      <c r="BQ629" s="33" t="str">
        <f aca="false">IF(OR(AR629="",N(S629)=0),"",S629)</f>
        <v/>
      </c>
      <c r="BR629" s="38" t="str">
        <f aca="false">IF(AND(ISNUMBER(B629),B629&gt;=Dashboard!$C$4,B629&lt;=Dashboard!$F$4,ISNUMBER(AU629)),AU629+ROW()/10^9,"")</f>
        <v/>
      </c>
      <c r="BS629" s="38" t="str">
        <f aca="false">IF(AND(ISNUMBER(B629),B629&gt;=Dashboard!$C$4,B629&lt;=Dashboard!$F$4,A629&lt;&gt;""),N(BD629)+N(AU629)/100+ROW()/10^9,"")</f>
        <v/>
      </c>
    </row>
    <row r="630" customFormat="false" ht="15" hidden="false" customHeight="false" outlineLevel="0" collapsed="false">
      <c r="A630" s="24" t="str">
        <f aca="false">IF(OR(B630="",G630="",H630=""),"",IFERROR(INDEX(Settings!$E$5:$E$49,MATCH(G630,Settings!$D$5:$D$49,0))&amp;INDEX(Settings!$H$5:$H$47,MATCH(H630,Settings!$G$5:$G$47,0))&amp;"-"&amp;TEXT(B630,"yymmdd")&amp;"-"&amp;IF(C630="","0000",TEXT(C630,"hhmm")),"CHECK LISTS"))</f>
        <v/>
      </c>
      <c r="B630" s="39"/>
      <c r="C630" s="40"/>
      <c r="D630" s="24" t="str">
        <f aca="false">IF(B630="","",TEXT(B630,"ddd"))</f>
        <v/>
      </c>
      <c r="E630" s="27" t="str">
        <f aca="false">IF(B630="","",B630-WEEKDAY(B630,3))</f>
        <v/>
      </c>
      <c r="F630" s="24" t="str">
        <f aca="false">IF(B630="","",TEXT(B630,"yyyy-mm"))</f>
        <v/>
      </c>
      <c r="G630" s="29"/>
      <c r="H630" s="29"/>
      <c r="I630" s="29"/>
      <c r="J630" s="29"/>
      <c r="K630" s="29"/>
      <c r="L630" s="29"/>
      <c r="M630" s="29"/>
      <c r="N630" s="29"/>
      <c r="O630" s="29"/>
      <c r="P630" s="29"/>
      <c r="Q630" s="30"/>
      <c r="R630" s="29"/>
      <c r="S630" s="32"/>
      <c r="T630" s="29"/>
      <c r="U630" s="29"/>
      <c r="V630" s="24" t="str">
        <f aca="false">IF(A630="","",IFERROR(INDEX(Settings!$F$5:$F$49,MATCH(G630,Settings!$D$5:$D$49,0)),""))</f>
        <v/>
      </c>
      <c r="W630" s="24" t="str">
        <f aca="false">IF(A630="","",IF(OR(P630="",P630="Organic"),"social","paid_social"))</f>
        <v/>
      </c>
      <c r="X630" s="24" t="str">
        <f aca="false">IF(A630="","",IF(K630&lt;&gt;"",IFERROR(INDEX('Case Studies'!$C$5:$C$54,MATCH(K630,'Case Studies'!$B$5:$B$54,0))&amp;"","case-study"),IF(J630&lt;&gt;"",IFERROR(INDEX(Settings!$J$5:$J$55,MATCH(J630,Settings!$I$5:$I$55,0)),"general"),"general")))</f>
        <v/>
      </c>
      <c r="Y630" s="24" t="str">
        <f aca="false">IF(A630="","",LOWER(A630))</f>
        <v/>
      </c>
      <c r="Z630" s="24" t="str">
        <f aca="false">IF(A630="","",IF(T630="",Settings!$B$5,T630)&amp;IF(ISNUMBER(FIND("?",IF(T630="",Settings!$B$5,T630))),"&amp;","?")&amp;"utm_source="&amp;V630&amp;"&amp;utm_medium="&amp;W630&amp;"&amp;utm_campaign="&amp;X630&amp;"&amp;utm_content="&amp;Y630)</f>
        <v/>
      </c>
      <c r="AA630" s="29"/>
      <c r="AB630" s="39"/>
      <c r="AC630" s="32"/>
      <c r="AD630" s="32"/>
      <c r="AE630" s="32"/>
      <c r="AF630" s="32"/>
      <c r="AG630" s="32"/>
      <c r="AH630" s="32"/>
      <c r="AI630" s="32"/>
      <c r="AJ630" s="32"/>
      <c r="AK630" s="32"/>
      <c r="AL630" s="32"/>
      <c r="AM630" s="32"/>
      <c r="AN630" s="32"/>
      <c r="AO630" s="33" t="str">
        <f aca="false">IF(A630="","",IF(AD630&lt;&gt;"",AD630,IF(AC630&lt;&gt;"",AC630,"")))</f>
        <v/>
      </c>
      <c r="AP630" s="24" t="str">
        <f aca="false">IF(AO630="","",IF(AD630&lt;&gt;"","Reported reach","Impressions (proxy)"))</f>
        <v/>
      </c>
      <c r="AQ630" s="34" t="str">
        <f aca="false">IF(OR(AO630="",N(S630)=0),"",AO630/S630)</f>
        <v/>
      </c>
      <c r="AR630" s="33" t="str">
        <f aca="false">IF(A630="","",IF(COUNT(AF630:AJ630)=0,"",SUM(AF630:AJ630)))</f>
        <v/>
      </c>
      <c r="AS630" s="34" t="str">
        <f aca="false">IF(OR(AR630="",N(AO630)=0),"",AR630/AO630)</f>
        <v/>
      </c>
      <c r="AT630" s="34" t="str">
        <f aca="false">IF(OR(AR630="",N(AC630)=0),"",AR630/AC630)</f>
        <v/>
      </c>
      <c r="AU630" s="34" t="str">
        <f aca="false">IF(OR(AR630="",N(S630)=0),"",AR630/S630)</f>
        <v/>
      </c>
      <c r="AV630" s="34" t="str">
        <f aca="false">IF(OR(AJ630="",N(AC630)=0),"",AJ630/AC630)</f>
        <v/>
      </c>
      <c r="AW630" s="34" t="str">
        <f aca="false">IF(OR(AH630="",N(AO630)=0),"",AH630/AO630)</f>
        <v/>
      </c>
      <c r="AX630" s="35" t="str">
        <f aca="false">IF(OR(AR630="",N(AO630)=0),"",(N(AF630)*Settings!$B$6+N(AG630)*Settings!$B$7+N(AH630)*Settings!$B$8+N(AI630)*Settings!$B$9+N(AJ630)*Settings!$B$10)/AO630*1000)</f>
        <v/>
      </c>
      <c r="AY630" s="36" t="str">
        <f aca="false">IF(AS630="","",IFERROR(AS630/AVERAGEIFS('Post Tracker'!$AS$5:$AS$1004,'Post Tracker'!$G$5:$G$1004,G630),""))</f>
        <v/>
      </c>
      <c r="AZ630" s="32"/>
      <c r="BA630" s="32"/>
      <c r="BB630" s="32"/>
      <c r="BC630" s="32"/>
      <c r="BD630" s="33" t="str">
        <f aca="false">IF(A630="","",COUNTIFS('Demo Pipeline'!$Q$5:$Q$504,A630))</f>
        <v/>
      </c>
      <c r="BE630" s="33" t="str">
        <f aca="false">IF(A630="","",COUNTIFS('Demo Pipeline'!$Q$5:$Q$504,A630,'Demo Pipeline'!$W$5:$W$504,"Attended"))</f>
        <v/>
      </c>
      <c r="BF630" s="33" t="str">
        <f aca="false">IF(A630="","",COUNTIFS('Demo Pipeline'!$Q$5:$Q$504,A630,'Demo Pipeline'!$X$5:$X$504,"Yes"))</f>
        <v/>
      </c>
      <c r="BG630" s="33" t="str">
        <f aca="false">IF(A630="","",COUNTIFS('Demo Pipeline'!$Q$5:$Q$504,A630,'Demo Pipeline'!$Y$5:$Y$504,"Closed Won"))</f>
        <v/>
      </c>
      <c r="BH630" s="37" t="str">
        <f aca="false">IF(A630="","",SUMIFS('Demo Pipeline'!$Z$5:$Z$504,'Demo Pipeline'!$Q$5:$Q$504,A630))</f>
        <v/>
      </c>
      <c r="BI630" s="34" t="str">
        <f aca="false">IF(OR(AZ630="",N(AJ630)=0),"",AZ630/AJ630)</f>
        <v/>
      </c>
      <c r="BJ630" s="34" t="str">
        <f aca="false">IF(OR(BB630="",N(AZ630)=0),"",BB630/AZ630)</f>
        <v/>
      </c>
      <c r="BK630" s="34" t="str">
        <f aca="false">IF(OR(A630="",N(BB630)=0),"",BD630/BB630)</f>
        <v/>
      </c>
      <c r="BL630" s="34" t="str">
        <f aca="false">IF(OR(A630="",N(AZ630)=0),"",BD630/AZ630)</f>
        <v/>
      </c>
      <c r="BM630" s="37" t="str">
        <f aca="false">IF(OR(N(Q630)=0,N(BD630)=0),"",Q630/BD630)</f>
        <v/>
      </c>
      <c r="BN630" s="29"/>
      <c r="BO630" s="29"/>
      <c r="BP630" s="33" t="str">
        <f aca="false">IF(OR(AR630="",N(AO630)=0),"",AR630)</f>
        <v/>
      </c>
      <c r="BQ630" s="33" t="str">
        <f aca="false">IF(OR(AR630="",N(S630)=0),"",S630)</f>
        <v/>
      </c>
      <c r="BR630" s="38" t="str">
        <f aca="false">IF(AND(ISNUMBER(B630),B630&gt;=Dashboard!$C$4,B630&lt;=Dashboard!$F$4,ISNUMBER(AU630)),AU630+ROW()/10^9,"")</f>
        <v/>
      </c>
      <c r="BS630" s="38" t="str">
        <f aca="false">IF(AND(ISNUMBER(B630),B630&gt;=Dashboard!$C$4,B630&lt;=Dashboard!$F$4,A630&lt;&gt;""),N(BD630)+N(AU630)/100+ROW()/10^9,"")</f>
        <v/>
      </c>
    </row>
    <row r="631" customFormat="false" ht="15" hidden="false" customHeight="false" outlineLevel="0" collapsed="false">
      <c r="A631" s="24" t="str">
        <f aca="false">IF(OR(B631="",G631="",H631=""),"",IFERROR(INDEX(Settings!$E$5:$E$49,MATCH(G631,Settings!$D$5:$D$49,0))&amp;INDEX(Settings!$H$5:$H$47,MATCH(H631,Settings!$G$5:$G$47,0))&amp;"-"&amp;TEXT(B631,"yymmdd")&amp;"-"&amp;IF(C631="","0000",TEXT(C631,"hhmm")),"CHECK LISTS"))</f>
        <v/>
      </c>
      <c r="B631" s="39"/>
      <c r="C631" s="40"/>
      <c r="D631" s="24" t="str">
        <f aca="false">IF(B631="","",TEXT(B631,"ddd"))</f>
        <v/>
      </c>
      <c r="E631" s="27" t="str">
        <f aca="false">IF(B631="","",B631-WEEKDAY(B631,3))</f>
        <v/>
      </c>
      <c r="F631" s="24" t="str">
        <f aca="false">IF(B631="","",TEXT(B631,"yyyy-mm"))</f>
        <v/>
      </c>
      <c r="G631" s="29"/>
      <c r="H631" s="29"/>
      <c r="I631" s="29"/>
      <c r="J631" s="29"/>
      <c r="K631" s="29"/>
      <c r="L631" s="29"/>
      <c r="M631" s="29"/>
      <c r="N631" s="29"/>
      <c r="O631" s="29"/>
      <c r="P631" s="29"/>
      <c r="Q631" s="30"/>
      <c r="R631" s="29"/>
      <c r="S631" s="32"/>
      <c r="T631" s="29"/>
      <c r="U631" s="29"/>
      <c r="V631" s="24" t="str">
        <f aca="false">IF(A631="","",IFERROR(INDEX(Settings!$F$5:$F$49,MATCH(G631,Settings!$D$5:$D$49,0)),""))</f>
        <v/>
      </c>
      <c r="W631" s="24" t="str">
        <f aca="false">IF(A631="","",IF(OR(P631="",P631="Organic"),"social","paid_social"))</f>
        <v/>
      </c>
      <c r="X631" s="24" t="str">
        <f aca="false">IF(A631="","",IF(K631&lt;&gt;"",IFERROR(INDEX('Case Studies'!$C$5:$C$54,MATCH(K631,'Case Studies'!$B$5:$B$54,0))&amp;"","case-study"),IF(J631&lt;&gt;"",IFERROR(INDEX(Settings!$J$5:$J$55,MATCH(J631,Settings!$I$5:$I$55,0)),"general"),"general")))</f>
        <v/>
      </c>
      <c r="Y631" s="24" t="str">
        <f aca="false">IF(A631="","",LOWER(A631))</f>
        <v/>
      </c>
      <c r="Z631" s="24" t="str">
        <f aca="false">IF(A631="","",IF(T631="",Settings!$B$5,T631)&amp;IF(ISNUMBER(FIND("?",IF(T631="",Settings!$B$5,T631))),"&amp;","?")&amp;"utm_source="&amp;V631&amp;"&amp;utm_medium="&amp;W631&amp;"&amp;utm_campaign="&amp;X631&amp;"&amp;utm_content="&amp;Y631)</f>
        <v/>
      </c>
      <c r="AA631" s="29"/>
      <c r="AB631" s="39"/>
      <c r="AC631" s="32"/>
      <c r="AD631" s="32"/>
      <c r="AE631" s="32"/>
      <c r="AF631" s="32"/>
      <c r="AG631" s="32"/>
      <c r="AH631" s="32"/>
      <c r="AI631" s="32"/>
      <c r="AJ631" s="32"/>
      <c r="AK631" s="32"/>
      <c r="AL631" s="32"/>
      <c r="AM631" s="32"/>
      <c r="AN631" s="32"/>
      <c r="AO631" s="33" t="str">
        <f aca="false">IF(A631="","",IF(AD631&lt;&gt;"",AD631,IF(AC631&lt;&gt;"",AC631,"")))</f>
        <v/>
      </c>
      <c r="AP631" s="24" t="str">
        <f aca="false">IF(AO631="","",IF(AD631&lt;&gt;"","Reported reach","Impressions (proxy)"))</f>
        <v/>
      </c>
      <c r="AQ631" s="34" t="str">
        <f aca="false">IF(OR(AO631="",N(S631)=0),"",AO631/S631)</f>
        <v/>
      </c>
      <c r="AR631" s="33" t="str">
        <f aca="false">IF(A631="","",IF(COUNT(AF631:AJ631)=0,"",SUM(AF631:AJ631)))</f>
        <v/>
      </c>
      <c r="AS631" s="34" t="str">
        <f aca="false">IF(OR(AR631="",N(AO631)=0),"",AR631/AO631)</f>
        <v/>
      </c>
      <c r="AT631" s="34" t="str">
        <f aca="false">IF(OR(AR631="",N(AC631)=0),"",AR631/AC631)</f>
        <v/>
      </c>
      <c r="AU631" s="34" t="str">
        <f aca="false">IF(OR(AR631="",N(S631)=0),"",AR631/S631)</f>
        <v/>
      </c>
      <c r="AV631" s="34" t="str">
        <f aca="false">IF(OR(AJ631="",N(AC631)=0),"",AJ631/AC631)</f>
        <v/>
      </c>
      <c r="AW631" s="34" t="str">
        <f aca="false">IF(OR(AH631="",N(AO631)=0),"",AH631/AO631)</f>
        <v/>
      </c>
      <c r="AX631" s="35" t="str">
        <f aca="false">IF(OR(AR631="",N(AO631)=0),"",(N(AF631)*Settings!$B$6+N(AG631)*Settings!$B$7+N(AH631)*Settings!$B$8+N(AI631)*Settings!$B$9+N(AJ631)*Settings!$B$10)/AO631*1000)</f>
        <v/>
      </c>
      <c r="AY631" s="36" t="str">
        <f aca="false">IF(AS631="","",IFERROR(AS631/AVERAGEIFS('Post Tracker'!$AS$5:$AS$1004,'Post Tracker'!$G$5:$G$1004,G631),""))</f>
        <v/>
      </c>
      <c r="AZ631" s="32"/>
      <c r="BA631" s="32"/>
      <c r="BB631" s="32"/>
      <c r="BC631" s="32"/>
      <c r="BD631" s="33" t="str">
        <f aca="false">IF(A631="","",COUNTIFS('Demo Pipeline'!$Q$5:$Q$504,A631))</f>
        <v/>
      </c>
      <c r="BE631" s="33" t="str">
        <f aca="false">IF(A631="","",COUNTIFS('Demo Pipeline'!$Q$5:$Q$504,A631,'Demo Pipeline'!$W$5:$W$504,"Attended"))</f>
        <v/>
      </c>
      <c r="BF631" s="33" t="str">
        <f aca="false">IF(A631="","",COUNTIFS('Demo Pipeline'!$Q$5:$Q$504,A631,'Demo Pipeline'!$X$5:$X$504,"Yes"))</f>
        <v/>
      </c>
      <c r="BG631" s="33" t="str">
        <f aca="false">IF(A631="","",COUNTIFS('Demo Pipeline'!$Q$5:$Q$504,A631,'Demo Pipeline'!$Y$5:$Y$504,"Closed Won"))</f>
        <v/>
      </c>
      <c r="BH631" s="37" t="str">
        <f aca="false">IF(A631="","",SUMIFS('Demo Pipeline'!$Z$5:$Z$504,'Demo Pipeline'!$Q$5:$Q$504,A631))</f>
        <v/>
      </c>
      <c r="BI631" s="34" t="str">
        <f aca="false">IF(OR(AZ631="",N(AJ631)=0),"",AZ631/AJ631)</f>
        <v/>
      </c>
      <c r="BJ631" s="34" t="str">
        <f aca="false">IF(OR(BB631="",N(AZ631)=0),"",BB631/AZ631)</f>
        <v/>
      </c>
      <c r="BK631" s="34" t="str">
        <f aca="false">IF(OR(A631="",N(BB631)=0),"",BD631/BB631)</f>
        <v/>
      </c>
      <c r="BL631" s="34" t="str">
        <f aca="false">IF(OR(A631="",N(AZ631)=0),"",BD631/AZ631)</f>
        <v/>
      </c>
      <c r="BM631" s="37" t="str">
        <f aca="false">IF(OR(N(Q631)=0,N(BD631)=0),"",Q631/BD631)</f>
        <v/>
      </c>
      <c r="BN631" s="29"/>
      <c r="BO631" s="29"/>
      <c r="BP631" s="33" t="str">
        <f aca="false">IF(OR(AR631="",N(AO631)=0),"",AR631)</f>
        <v/>
      </c>
      <c r="BQ631" s="33" t="str">
        <f aca="false">IF(OR(AR631="",N(S631)=0),"",S631)</f>
        <v/>
      </c>
      <c r="BR631" s="38" t="str">
        <f aca="false">IF(AND(ISNUMBER(B631),B631&gt;=Dashboard!$C$4,B631&lt;=Dashboard!$F$4,ISNUMBER(AU631)),AU631+ROW()/10^9,"")</f>
        <v/>
      </c>
      <c r="BS631" s="38" t="str">
        <f aca="false">IF(AND(ISNUMBER(B631),B631&gt;=Dashboard!$C$4,B631&lt;=Dashboard!$F$4,A631&lt;&gt;""),N(BD631)+N(AU631)/100+ROW()/10^9,"")</f>
        <v/>
      </c>
    </row>
    <row r="632" customFormat="false" ht="15" hidden="false" customHeight="false" outlineLevel="0" collapsed="false">
      <c r="A632" s="24" t="str">
        <f aca="false">IF(OR(B632="",G632="",H632=""),"",IFERROR(INDEX(Settings!$E$5:$E$49,MATCH(G632,Settings!$D$5:$D$49,0))&amp;INDEX(Settings!$H$5:$H$47,MATCH(H632,Settings!$G$5:$G$47,0))&amp;"-"&amp;TEXT(B632,"yymmdd")&amp;"-"&amp;IF(C632="","0000",TEXT(C632,"hhmm")),"CHECK LISTS"))</f>
        <v/>
      </c>
      <c r="B632" s="39"/>
      <c r="C632" s="40"/>
      <c r="D632" s="24" t="str">
        <f aca="false">IF(B632="","",TEXT(B632,"ddd"))</f>
        <v/>
      </c>
      <c r="E632" s="27" t="str">
        <f aca="false">IF(B632="","",B632-WEEKDAY(B632,3))</f>
        <v/>
      </c>
      <c r="F632" s="24" t="str">
        <f aca="false">IF(B632="","",TEXT(B632,"yyyy-mm"))</f>
        <v/>
      </c>
      <c r="G632" s="29"/>
      <c r="H632" s="29"/>
      <c r="I632" s="29"/>
      <c r="J632" s="29"/>
      <c r="K632" s="29"/>
      <c r="L632" s="29"/>
      <c r="M632" s="29"/>
      <c r="N632" s="29"/>
      <c r="O632" s="29"/>
      <c r="P632" s="29"/>
      <c r="Q632" s="30"/>
      <c r="R632" s="29"/>
      <c r="S632" s="32"/>
      <c r="T632" s="29"/>
      <c r="U632" s="29"/>
      <c r="V632" s="24" t="str">
        <f aca="false">IF(A632="","",IFERROR(INDEX(Settings!$F$5:$F$49,MATCH(G632,Settings!$D$5:$D$49,0)),""))</f>
        <v/>
      </c>
      <c r="W632" s="24" t="str">
        <f aca="false">IF(A632="","",IF(OR(P632="",P632="Organic"),"social","paid_social"))</f>
        <v/>
      </c>
      <c r="X632" s="24" t="str">
        <f aca="false">IF(A632="","",IF(K632&lt;&gt;"",IFERROR(INDEX('Case Studies'!$C$5:$C$54,MATCH(K632,'Case Studies'!$B$5:$B$54,0))&amp;"","case-study"),IF(J632&lt;&gt;"",IFERROR(INDEX(Settings!$J$5:$J$55,MATCH(J632,Settings!$I$5:$I$55,0)),"general"),"general")))</f>
        <v/>
      </c>
      <c r="Y632" s="24" t="str">
        <f aca="false">IF(A632="","",LOWER(A632))</f>
        <v/>
      </c>
      <c r="Z632" s="24" t="str">
        <f aca="false">IF(A632="","",IF(T632="",Settings!$B$5,T632)&amp;IF(ISNUMBER(FIND("?",IF(T632="",Settings!$B$5,T632))),"&amp;","?")&amp;"utm_source="&amp;V632&amp;"&amp;utm_medium="&amp;W632&amp;"&amp;utm_campaign="&amp;X632&amp;"&amp;utm_content="&amp;Y632)</f>
        <v/>
      </c>
      <c r="AA632" s="29"/>
      <c r="AB632" s="39"/>
      <c r="AC632" s="32"/>
      <c r="AD632" s="32"/>
      <c r="AE632" s="32"/>
      <c r="AF632" s="32"/>
      <c r="AG632" s="32"/>
      <c r="AH632" s="32"/>
      <c r="AI632" s="32"/>
      <c r="AJ632" s="32"/>
      <c r="AK632" s="32"/>
      <c r="AL632" s="32"/>
      <c r="AM632" s="32"/>
      <c r="AN632" s="32"/>
      <c r="AO632" s="33" t="str">
        <f aca="false">IF(A632="","",IF(AD632&lt;&gt;"",AD632,IF(AC632&lt;&gt;"",AC632,"")))</f>
        <v/>
      </c>
      <c r="AP632" s="24" t="str">
        <f aca="false">IF(AO632="","",IF(AD632&lt;&gt;"","Reported reach","Impressions (proxy)"))</f>
        <v/>
      </c>
      <c r="AQ632" s="34" t="str">
        <f aca="false">IF(OR(AO632="",N(S632)=0),"",AO632/S632)</f>
        <v/>
      </c>
      <c r="AR632" s="33" t="str">
        <f aca="false">IF(A632="","",IF(COUNT(AF632:AJ632)=0,"",SUM(AF632:AJ632)))</f>
        <v/>
      </c>
      <c r="AS632" s="34" t="str">
        <f aca="false">IF(OR(AR632="",N(AO632)=0),"",AR632/AO632)</f>
        <v/>
      </c>
      <c r="AT632" s="34" t="str">
        <f aca="false">IF(OR(AR632="",N(AC632)=0),"",AR632/AC632)</f>
        <v/>
      </c>
      <c r="AU632" s="34" t="str">
        <f aca="false">IF(OR(AR632="",N(S632)=0),"",AR632/S632)</f>
        <v/>
      </c>
      <c r="AV632" s="34" t="str">
        <f aca="false">IF(OR(AJ632="",N(AC632)=0),"",AJ632/AC632)</f>
        <v/>
      </c>
      <c r="AW632" s="34" t="str">
        <f aca="false">IF(OR(AH632="",N(AO632)=0),"",AH632/AO632)</f>
        <v/>
      </c>
      <c r="AX632" s="35" t="str">
        <f aca="false">IF(OR(AR632="",N(AO632)=0),"",(N(AF632)*Settings!$B$6+N(AG632)*Settings!$B$7+N(AH632)*Settings!$B$8+N(AI632)*Settings!$B$9+N(AJ632)*Settings!$B$10)/AO632*1000)</f>
        <v/>
      </c>
      <c r="AY632" s="36" t="str">
        <f aca="false">IF(AS632="","",IFERROR(AS632/AVERAGEIFS('Post Tracker'!$AS$5:$AS$1004,'Post Tracker'!$G$5:$G$1004,G632),""))</f>
        <v/>
      </c>
      <c r="AZ632" s="32"/>
      <c r="BA632" s="32"/>
      <c r="BB632" s="32"/>
      <c r="BC632" s="32"/>
      <c r="BD632" s="33" t="str">
        <f aca="false">IF(A632="","",COUNTIFS('Demo Pipeline'!$Q$5:$Q$504,A632))</f>
        <v/>
      </c>
      <c r="BE632" s="33" t="str">
        <f aca="false">IF(A632="","",COUNTIFS('Demo Pipeline'!$Q$5:$Q$504,A632,'Demo Pipeline'!$W$5:$W$504,"Attended"))</f>
        <v/>
      </c>
      <c r="BF632" s="33" t="str">
        <f aca="false">IF(A632="","",COUNTIFS('Demo Pipeline'!$Q$5:$Q$504,A632,'Demo Pipeline'!$X$5:$X$504,"Yes"))</f>
        <v/>
      </c>
      <c r="BG632" s="33" t="str">
        <f aca="false">IF(A632="","",COUNTIFS('Demo Pipeline'!$Q$5:$Q$504,A632,'Demo Pipeline'!$Y$5:$Y$504,"Closed Won"))</f>
        <v/>
      </c>
      <c r="BH632" s="37" t="str">
        <f aca="false">IF(A632="","",SUMIFS('Demo Pipeline'!$Z$5:$Z$504,'Demo Pipeline'!$Q$5:$Q$504,A632))</f>
        <v/>
      </c>
      <c r="BI632" s="34" t="str">
        <f aca="false">IF(OR(AZ632="",N(AJ632)=0),"",AZ632/AJ632)</f>
        <v/>
      </c>
      <c r="BJ632" s="34" t="str">
        <f aca="false">IF(OR(BB632="",N(AZ632)=0),"",BB632/AZ632)</f>
        <v/>
      </c>
      <c r="BK632" s="34" t="str">
        <f aca="false">IF(OR(A632="",N(BB632)=0),"",BD632/BB632)</f>
        <v/>
      </c>
      <c r="BL632" s="34" t="str">
        <f aca="false">IF(OR(A632="",N(AZ632)=0),"",BD632/AZ632)</f>
        <v/>
      </c>
      <c r="BM632" s="37" t="str">
        <f aca="false">IF(OR(N(Q632)=0,N(BD632)=0),"",Q632/BD632)</f>
        <v/>
      </c>
      <c r="BN632" s="29"/>
      <c r="BO632" s="29"/>
      <c r="BP632" s="33" t="str">
        <f aca="false">IF(OR(AR632="",N(AO632)=0),"",AR632)</f>
        <v/>
      </c>
      <c r="BQ632" s="33" t="str">
        <f aca="false">IF(OR(AR632="",N(S632)=0),"",S632)</f>
        <v/>
      </c>
      <c r="BR632" s="38" t="str">
        <f aca="false">IF(AND(ISNUMBER(B632),B632&gt;=Dashboard!$C$4,B632&lt;=Dashboard!$F$4,ISNUMBER(AU632)),AU632+ROW()/10^9,"")</f>
        <v/>
      </c>
      <c r="BS632" s="38" t="str">
        <f aca="false">IF(AND(ISNUMBER(B632),B632&gt;=Dashboard!$C$4,B632&lt;=Dashboard!$F$4,A632&lt;&gt;""),N(BD632)+N(AU632)/100+ROW()/10^9,"")</f>
        <v/>
      </c>
    </row>
    <row r="633" customFormat="false" ht="15" hidden="false" customHeight="false" outlineLevel="0" collapsed="false">
      <c r="A633" s="24" t="str">
        <f aca="false">IF(OR(B633="",G633="",H633=""),"",IFERROR(INDEX(Settings!$E$5:$E$49,MATCH(G633,Settings!$D$5:$D$49,0))&amp;INDEX(Settings!$H$5:$H$47,MATCH(H633,Settings!$G$5:$G$47,0))&amp;"-"&amp;TEXT(B633,"yymmdd")&amp;"-"&amp;IF(C633="","0000",TEXT(C633,"hhmm")),"CHECK LISTS"))</f>
        <v/>
      </c>
      <c r="B633" s="39"/>
      <c r="C633" s="40"/>
      <c r="D633" s="24" t="str">
        <f aca="false">IF(B633="","",TEXT(B633,"ddd"))</f>
        <v/>
      </c>
      <c r="E633" s="27" t="str">
        <f aca="false">IF(B633="","",B633-WEEKDAY(B633,3))</f>
        <v/>
      </c>
      <c r="F633" s="24" t="str">
        <f aca="false">IF(B633="","",TEXT(B633,"yyyy-mm"))</f>
        <v/>
      </c>
      <c r="G633" s="29"/>
      <c r="H633" s="29"/>
      <c r="I633" s="29"/>
      <c r="J633" s="29"/>
      <c r="K633" s="29"/>
      <c r="L633" s="29"/>
      <c r="M633" s="29"/>
      <c r="N633" s="29"/>
      <c r="O633" s="29"/>
      <c r="P633" s="29"/>
      <c r="Q633" s="30"/>
      <c r="R633" s="29"/>
      <c r="S633" s="32"/>
      <c r="T633" s="29"/>
      <c r="U633" s="29"/>
      <c r="V633" s="24" t="str">
        <f aca="false">IF(A633="","",IFERROR(INDEX(Settings!$F$5:$F$49,MATCH(G633,Settings!$D$5:$D$49,0)),""))</f>
        <v/>
      </c>
      <c r="W633" s="24" t="str">
        <f aca="false">IF(A633="","",IF(OR(P633="",P633="Organic"),"social","paid_social"))</f>
        <v/>
      </c>
      <c r="X633" s="24" t="str">
        <f aca="false">IF(A633="","",IF(K633&lt;&gt;"",IFERROR(INDEX('Case Studies'!$C$5:$C$54,MATCH(K633,'Case Studies'!$B$5:$B$54,0))&amp;"","case-study"),IF(J633&lt;&gt;"",IFERROR(INDEX(Settings!$J$5:$J$55,MATCH(J633,Settings!$I$5:$I$55,0)),"general"),"general")))</f>
        <v/>
      </c>
      <c r="Y633" s="24" t="str">
        <f aca="false">IF(A633="","",LOWER(A633))</f>
        <v/>
      </c>
      <c r="Z633" s="24" t="str">
        <f aca="false">IF(A633="","",IF(T633="",Settings!$B$5,T633)&amp;IF(ISNUMBER(FIND("?",IF(T633="",Settings!$B$5,T633))),"&amp;","?")&amp;"utm_source="&amp;V633&amp;"&amp;utm_medium="&amp;W633&amp;"&amp;utm_campaign="&amp;X633&amp;"&amp;utm_content="&amp;Y633)</f>
        <v/>
      </c>
      <c r="AA633" s="29"/>
      <c r="AB633" s="39"/>
      <c r="AC633" s="32"/>
      <c r="AD633" s="32"/>
      <c r="AE633" s="32"/>
      <c r="AF633" s="32"/>
      <c r="AG633" s="32"/>
      <c r="AH633" s="32"/>
      <c r="AI633" s="32"/>
      <c r="AJ633" s="32"/>
      <c r="AK633" s="32"/>
      <c r="AL633" s="32"/>
      <c r="AM633" s="32"/>
      <c r="AN633" s="32"/>
      <c r="AO633" s="33" t="str">
        <f aca="false">IF(A633="","",IF(AD633&lt;&gt;"",AD633,IF(AC633&lt;&gt;"",AC633,"")))</f>
        <v/>
      </c>
      <c r="AP633" s="24" t="str">
        <f aca="false">IF(AO633="","",IF(AD633&lt;&gt;"","Reported reach","Impressions (proxy)"))</f>
        <v/>
      </c>
      <c r="AQ633" s="34" t="str">
        <f aca="false">IF(OR(AO633="",N(S633)=0),"",AO633/S633)</f>
        <v/>
      </c>
      <c r="AR633" s="33" t="str">
        <f aca="false">IF(A633="","",IF(COUNT(AF633:AJ633)=0,"",SUM(AF633:AJ633)))</f>
        <v/>
      </c>
      <c r="AS633" s="34" t="str">
        <f aca="false">IF(OR(AR633="",N(AO633)=0),"",AR633/AO633)</f>
        <v/>
      </c>
      <c r="AT633" s="34" t="str">
        <f aca="false">IF(OR(AR633="",N(AC633)=0),"",AR633/AC633)</f>
        <v/>
      </c>
      <c r="AU633" s="34" t="str">
        <f aca="false">IF(OR(AR633="",N(S633)=0),"",AR633/S633)</f>
        <v/>
      </c>
      <c r="AV633" s="34" t="str">
        <f aca="false">IF(OR(AJ633="",N(AC633)=0),"",AJ633/AC633)</f>
        <v/>
      </c>
      <c r="AW633" s="34" t="str">
        <f aca="false">IF(OR(AH633="",N(AO633)=0),"",AH633/AO633)</f>
        <v/>
      </c>
      <c r="AX633" s="35" t="str">
        <f aca="false">IF(OR(AR633="",N(AO633)=0),"",(N(AF633)*Settings!$B$6+N(AG633)*Settings!$B$7+N(AH633)*Settings!$B$8+N(AI633)*Settings!$B$9+N(AJ633)*Settings!$B$10)/AO633*1000)</f>
        <v/>
      </c>
      <c r="AY633" s="36" t="str">
        <f aca="false">IF(AS633="","",IFERROR(AS633/AVERAGEIFS('Post Tracker'!$AS$5:$AS$1004,'Post Tracker'!$G$5:$G$1004,G633),""))</f>
        <v/>
      </c>
      <c r="AZ633" s="32"/>
      <c r="BA633" s="32"/>
      <c r="BB633" s="32"/>
      <c r="BC633" s="32"/>
      <c r="BD633" s="33" t="str">
        <f aca="false">IF(A633="","",COUNTIFS('Demo Pipeline'!$Q$5:$Q$504,A633))</f>
        <v/>
      </c>
      <c r="BE633" s="33" t="str">
        <f aca="false">IF(A633="","",COUNTIFS('Demo Pipeline'!$Q$5:$Q$504,A633,'Demo Pipeline'!$W$5:$W$504,"Attended"))</f>
        <v/>
      </c>
      <c r="BF633" s="33" t="str">
        <f aca="false">IF(A633="","",COUNTIFS('Demo Pipeline'!$Q$5:$Q$504,A633,'Demo Pipeline'!$X$5:$X$504,"Yes"))</f>
        <v/>
      </c>
      <c r="BG633" s="33" t="str">
        <f aca="false">IF(A633="","",COUNTIFS('Demo Pipeline'!$Q$5:$Q$504,A633,'Demo Pipeline'!$Y$5:$Y$504,"Closed Won"))</f>
        <v/>
      </c>
      <c r="BH633" s="37" t="str">
        <f aca="false">IF(A633="","",SUMIFS('Demo Pipeline'!$Z$5:$Z$504,'Demo Pipeline'!$Q$5:$Q$504,A633))</f>
        <v/>
      </c>
      <c r="BI633" s="34" t="str">
        <f aca="false">IF(OR(AZ633="",N(AJ633)=0),"",AZ633/AJ633)</f>
        <v/>
      </c>
      <c r="BJ633" s="34" t="str">
        <f aca="false">IF(OR(BB633="",N(AZ633)=0),"",BB633/AZ633)</f>
        <v/>
      </c>
      <c r="BK633" s="34" t="str">
        <f aca="false">IF(OR(A633="",N(BB633)=0),"",BD633/BB633)</f>
        <v/>
      </c>
      <c r="BL633" s="34" t="str">
        <f aca="false">IF(OR(A633="",N(AZ633)=0),"",BD633/AZ633)</f>
        <v/>
      </c>
      <c r="BM633" s="37" t="str">
        <f aca="false">IF(OR(N(Q633)=0,N(BD633)=0),"",Q633/BD633)</f>
        <v/>
      </c>
      <c r="BN633" s="29"/>
      <c r="BO633" s="29"/>
      <c r="BP633" s="33" t="str">
        <f aca="false">IF(OR(AR633="",N(AO633)=0),"",AR633)</f>
        <v/>
      </c>
      <c r="BQ633" s="33" t="str">
        <f aca="false">IF(OR(AR633="",N(S633)=0),"",S633)</f>
        <v/>
      </c>
      <c r="BR633" s="38" t="str">
        <f aca="false">IF(AND(ISNUMBER(B633),B633&gt;=Dashboard!$C$4,B633&lt;=Dashboard!$F$4,ISNUMBER(AU633)),AU633+ROW()/10^9,"")</f>
        <v/>
      </c>
      <c r="BS633" s="38" t="str">
        <f aca="false">IF(AND(ISNUMBER(B633),B633&gt;=Dashboard!$C$4,B633&lt;=Dashboard!$F$4,A633&lt;&gt;""),N(BD633)+N(AU633)/100+ROW()/10^9,"")</f>
        <v/>
      </c>
    </row>
    <row r="634" customFormat="false" ht="15" hidden="false" customHeight="false" outlineLevel="0" collapsed="false">
      <c r="A634" s="24" t="str">
        <f aca="false">IF(OR(B634="",G634="",H634=""),"",IFERROR(INDEX(Settings!$E$5:$E$49,MATCH(G634,Settings!$D$5:$D$49,0))&amp;INDEX(Settings!$H$5:$H$47,MATCH(H634,Settings!$G$5:$G$47,0))&amp;"-"&amp;TEXT(B634,"yymmdd")&amp;"-"&amp;IF(C634="","0000",TEXT(C634,"hhmm")),"CHECK LISTS"))</f>
        <v/>
      </c>
      <c r="B634" s="39"/>
      <c r="C634" s="40"/>
      <c r="D634" s="24" t="str">
        <f aca="false">IF(B634="","",TEXT(B634,"ddd"))</f>
        <v/>
      </c>
      <c r="E634" s="27" t="str">
        <f aca="false">IF(B634="","",B634-WEEKDAY(B634,3))</f>
        <v/>
      </c>
      <c r="F634" s="24" t="str">
        <f aca="false">IF(B634="","",TEXT(B634,"yyyy-mm"))</f>
        <v/>
      </c>
      <c r="G634" s="29"/>
      <c r="H634" s="29"/>
      <c r="I634" s="29"/>
      <c r="J634" s="29"/>
      <c r="K634" s="29"/>
      <c r="L634" s="29"/>
      <c r="M634" s="29"/>
      <c r="N634" s="29"/>
      <c r="O634" s="29"/>
      <c r="P634" s="29"/>
      <c r="Q634" s="30"/>
      <c r="R634" s="29"/>
      <c r="S634" s="32"/>
      <c r="T634" s="29"/>
      <c r="U634" s="29"/>
      <c r="V634" s="24" t="str">
        <f aca="false">IF(A634="","",IFERROR(INDEX(Settings!$F$5:$F$49,MATCH(G634,Settings!$D$5:$D$49,0)),""))</f>
        <v/>
      </c>
      <c r="W634" s="24" t="str">
        <f aca="false">IF(A634="","",IF(OR(P634="",P634="Organic"),"social","paid_social"))</f>
        <v/>
      </c>
      <c r="X634" s="24" t="str">
        <f aca="false">IF(A634="","",IF(K634&lt;&gt;"",IFERROR(INDEX('Case Studies'!$C$5:$C$54,MATCH(K634,'Case Studies'!$B$5:$B$54,0))&amp;"","case-study"),IF(J634&lt;&gt;"",IFERROR(INDEX(Settings!$J$5:$J$55,MATCH(J634,Settings!$I$5:$I$55,0)),"general"),"general")))</f>
        <v/>
      </c>
      <c r="Y634" s="24" t="str">
        <f aca="false">IF(A634="","",LOWER(A634))</f>
        <v/>
      </c>
      <c r="Z634" s="24" t="str">
        <f aca="false">IF(A634="","",IF(T634="",Settings!$B$5,T634)&amp;IF(ISNUMBER(FIND("?",IF(T634="",Settings!$B$5,T634))),"&amp;","?")&amp;"utm_source="&amp;V634&amp;"&amp;utm_medium="&amp;W634&amp;"&amp;utm_campaign="&amp;X634&amp;"&amp;utm_content="&amp;Y634)</f>
        <v/>
      </c>
      <c r="AA634" s="29"/>
      <c r="AB634" s="39"/>
      <c r="AC634" s="32"/>
      <c r="AD634" s="32"/>
      <c r="AE634" s="32"/>
      <c r="AF634" s="32"/>
      <c r="AG634" s="32"/>
      <c r="AH634" s="32"/>
      <c r="AI634" s="32"/>
      <c r="AJ634" s="32"/>
      <c r="AK634" s="32"/>
      <c r="AL634" s="32"/>
      <c r="AM634" s="32"/>
      <c r="AN634" s="32"/>
      <c r="AO634" s="33" t="str">
        <f aca="false">IF(A634="","",IF(AD634&lt;&gt;"",AD634,IF(AC634&lt;&gt;"",AC634,"")))</f>
        <v/>
      </c>
      <c r="AP634" s="24" t="str">
        <f aca="false">IF(AO634="","",IF(AD634&lt;&gt;"","Reported reach","Impressions (proxy)"))</f>
        <v/>
      </c>
      <c r="AQ634" s="34" t="str">
        <f aca="false">IF(OR(AO634="",N(S634)=0),"",AO634/S634)</f>
        <v/>
      </c>
      <c r="AR634" s="33" t="str">
        <f aca="false">IF(A634="","",IF(COUNT(AF634:AJ634)=0,"",SUM(AF634:AJ634)))</f>
        <v/>
      </c>
      <c r="AS634" s="34" t="str">
        <f aca="false">IF(OR(AR634="",N(AO634)=0),"",AR634/AO634)</f>
        <v/>
      </c>
      <c r="AT634" s="34" t="str">
        <f aca="false">IF(OR(AR634="",N(AC634)=0),"",AR634/AC634)</f>
        <v/>
      </c>
      <c r="AU634" s="34" t="str">
        <f aca="false">IF(OR(AR634="",N(S634)=0),"",AR634/S634)</f>
        <v/>
      </c>
      <c r="AV634" s="34" t="str">
        <f aca="false">IF(OR(AJ634="",N(AC634)=0),"",AJ634/AC634)</f>
        <v/>
      </c>
      <c r="AW634" s="34" t="str">
        <f aca="false">IF(OR(AH634="",N(AO634)=0),"",AH634/AO634)</f>
        <v/>
      </c>
      <c r="AX634" s="35" t="str">
        <f aca="false">IF(OR(AR634="",N(AO634)=0),"",(N(AF634)*Settings!$B$6+N(AG634)*Settings!$B$7+N(AH634)*Settings!$B$8+N(AI634)*Settings!$B$9+N(AJ634)*Settings!$B$10)/AO634*1000)</f>
        <v/>
      </c>
      <c r="AY634" s="36" t="str">
        <f aca="false">IF(AS634="","",IFERROR(AS634/AVERAGEIFS('Post Tracker'!$AS$5:$AS$1004,'Post Tracker'!$G$5:$G$1004,G634),""))</f>
        <v/>
      </c>
      <c r="AZ634" s="32"/>
      <c r="BA634" s="32"/>
      <c r="BB634" s="32"/>
      <c r="BC634" s="32"/>
      <c r="BD634" s="33" t="str">
        <f aca="false">IF(A634="","",COUNTIFS('Demo Pipeline'!$Q$5:$Q$504,A634))</f>
        <v/>
      </c>
      <c r="BE634" s="33" t="str">
        <f aca="false">IF(A634="","",COUNTIFS('Demo Pipeline'!$Q$5:$Q$504,A634,'Demo Pipeline'!$W$5:$W$504,"Attended"))</f>
        <v/>
      </c>
      <c r="BF634" s="33" t="str">
        <f aca="false">IF(A634="","",COUNTIFS('Demo Pipeline'!$Q$5:$Q$504,A634,'Demo Pipeline'!$X$5:$X$504,"Yes"))</f>
        <v/>
      </c>
      <c r="BG634" s="33" t="str">
        <f aca="false">IF(A634="","",COUNTIFS('Demo Pipeline'!$Q$5:$Q$504,A634,'Demo Pipeline'!$Y$5:$Y$504,"Closed Won"))</f>
        <v/>
      </c>
      <c r="BH634" s="37" t="str">
        <f aca="false">IF(A634="","",SUMIFS('Demo Pipeline'!$Z$5:$Z$504,'Demo Pipeline'!$Q$5:$Q$504,A634))</f>
        <v/>
      </c>
      <c r="BI634" s="34" t="str">
        <f aca="false">IF(OR(AZ634="",N(AJ634)=0),"",AZ634/AJ634)</f>
        <v/>
      </c>
      <c r="BJ634" s="34" t="str">
        <f aca="false">IF(OR(BB634="",N(AZ634)=0),"",BB634/AZ634)</f>
        <v/>
      </c>
      <c r="BK634" s="34" t="str">
        <f aca="false">IF(OR(A634="",N(BB634)=0),"",BD634/BB634)</f>
        <v/>
      </c>
      <c r="BL634" s="34" t="str">
        <f aca="false">IF(OR(A634="",N(AZ634)=0),"",BD634/AZ634)</f>
        <v/>
      </c>
      <c r="BM634" s="37" t="str">
        <f aca="false">IF(OR(N(Q634)=0,N(BD634)=0),"",Q634/BD634)</f>
        <v/>
      </c>
      <c r="BN634" s="29"/>
      <c r="BO634" s="29"/>
      <c r="BP634" s="33" t="str">
        <f aca="false">IF(OR(AR634="",N(AO634)=0),"",AR634)</f>
        <v/>
      </c>
      <c r="BQ634" s="33" t="str">
        <f aca="false">IF(OR(AR634="",N(S634)=0),"",S634)</f>
        <v/>
      </c>
      <c r="BR634" s="38" t="str">
        <f aca="false">IF(AND(ISNUMBER(B634),B634&gt;=Dashboard!$C$4,B634&lt;=Dashboard!$F$4,ISNUMBER(AU634)),AU634+ROW()/10^9,"")</f>
        <v/>
      </c>
      <c r="BS634" s="38" t="str">
        <f aca="false">IF(AND(ISNUMBER(B634),B634&gt;=Dashboard!$C$4,B634&lt;=Dashboard!$F$4,A634&lt;&gt;""),N(BD634)+N(AU634)/100+ROW()/10^9,"")</f>
        <v/>
      </c>
    </row>
    <row r="635" customFormat="false" ht="15" hidden="false" customHeight="false" outlineLevel="0" collapsed="false">
      <c r="A635" s="24" t="str">
        <f aca="false">IF(OR(B635="",G635="",H635=""),"",IFERROR(INDEX(Settings!$E$5:$E$49,MATCH(G635,Settings!$D$5:$D$49,0))&amp;INDEX(Settings!$H$5:$H$47,MATCH(H635,Settings!$G$5:$G$47,0))&amp;"-"&amp;TEXT(B635,"yymmdd")&amp;"-"&amp;IF(C635="","0000",TEXT(C635,"hhmm")),"CHECK LISTS"))</f>
        <v/>
      </c>
      <c r="B635" s="39"/>
      <c r="C635" s="40"/>
      <c r="D635" s="24" t="str">
        <f aca="false">IF(B635="","",TEXT(B635,"ddd"))</f>
        <v/>
      </c>
      <c r="E635" s="27" t="str">
        <f aca="false">IF(B635="","",B635-WEEKDAY(B635,3))</f>
        <v/>
      </c>
      <c r="F635" s="24" t="str">
        <f aca="false">IF(B635="","",TEXT(B635,"yyyy-mm"))</f>
        <v/>
      </c>
      <c r="G635" s="29"/>
      <c r="H635" s="29"/>
      <c r="I635" s="29"/>
      <c r="J635" s="29"/>
      <c r="K635" s="29"/>
      <c r="L635" s="29"/>
      <c r="M635" s="29"/>
      <c r="N635" s="29"/>
      <c r="O635" s="29"/>
      <c r="P635" s="29"/>
      <c r="Q635" s="30"/>
      <c r="R635" s="29"/>
      <c r="S635" s="32"/>
      <c r="T635" s="29"/>
      <c r="U635" s="29"/>
      <c r="V635" s="24" t="str">
        <f aca="false">IF(A635="","",IFERROR(INDEX(Settings!$F$5:$F$49,MATCH(G635,Settings!$D$5:$D$49,0)),""))</f>
        <v/>
      </c>
      <c r="W635" s="24" t="str">
        <f aca="false">IF(A635="","",IF(OR(P635="",P635="Organic"),"social","paid_social"))</f>
        <v/>
      </c>
      <c r="X635" s="24" t="str">
        <f aca="false">IF(A635="","",IF(K635&lt;&gt;"",IFERROR(INDEX('Case Studies'!$C$5:$C$54,MATCH(K635,'Case Studies'!$B$5:$B$54,0))&amp;"","case-study"),IF(J635&lt;&gt;"",IFERROR(INDEX(Settings!$J$5:$J$55,MATCH(J635,Settings!$I$5:$I$55,0)),"general"),"general")))</f>
        <v/>
      </c>
      <c r="Y635" s="24" t="str">
        <f aca="false">IF(A635="","",LOWER(A635))</f>
        <v/>
      </c>
      <c r="Z635" s="24" t="str">
        <f aca="false">IF(A635="","",IF(T635="",Settings!$B$5,T635)&amp;IF(ISNUMBER(FIND("?",IF(T635="",Settings!$B$5,T635))),"&amp;","?")&amp;"utm_source="&amp;V635&amp;"&amp;utm_medium="&amp;W635&amp;"&amp;utm_campaign="&amp;X635&amp;"&amp;utm_content="&amp;Y635)</f>
        <v/>
      </c>
      <c r="AA635" s="29"/>
      <c r="AB635" s="39"/>
      <c r="AC635" s="32"/>
      <c r="AD635" s="32"/>
      <c r="AE635" s="32"/>
      <c r="AF635" s="32"/>
      <c r="AG635" s="32"/>
      <c r="AH635" s="32"/>
      <c r="AI635" s="32"/>
      <c r="AJ635" s="32"/>
      <c r="AK635" s="32"/>
      <c r="AL635" s="32"/>
      <c r="AM635" s="32"/>
      <c r="AN635" s="32"/>
      <c r="AO635" s="33" t="str">
        <f aca="false">IF(A635="","",IF(AD635&lt;&gt;"",AD635,IF(AC635&lt;&gt;"",AC635,"")))</f>
        <v/>
      </c>
      <c r="AP635" s="24" t="str">
        <f aca="false">IF(AO635="","",IF(AD635&lt;&gt;"","Reported reach","Impressions (proxy)"))</f>
        <v/>
      </c>
      <c r="AQ635" s="34" t="str">
        <f aca="false">IF(OR(AO635="",N(S635)=0),"",AO635/S635)</f>
        <v/>
      </c>
      <c r="AR635" s="33" t="str">
        <f aca="false">IF(A635="","",IF(COUNT(AF635:AJ635)=0,"",SUM(AF635:AJ635)))</f>
        <v/>
      </c>
      <c r="AS635" s="34" t="str">
        <f aca="false">IF(OR(AR635="",N(AO635)=0),"",AR635/AO635)</f>
        <v/>
      </c>
      <c r="AT635" s="34" t="str">
        <f aca="false">IF(OR(AR635="",N(AC635)=0),"",AR635/AC635)</f>
        <v/>
      </c>
      <c r="AU635" s="34" t="str">
        <f aca="false">IF(OR(AR635="",N(S635)=0),"",AR635/S635)</f>
        <v/>
      </c>
      <c r="AV635" s="34" t="str">
        <f aca="false">IF(OR(AJ635="",N(AC635)=0),"",AJ635/AC635)</f>
        <v/>
      </c>
      <c r="AW635" s="34" t="str">
        <f aca="false">IF(OR(AH635="",N(AO635)=0),"",AH635/AO635)</f>
        <v/>
      </c>
      <c r="AX635" s="35" t="str">
        <f aca="false">IF(OR(AR635="",N(AO635)=0),"",(N(AF635)*Settings!$B$6+N(AG635)*Settings!$B$7+N(AH635)*Settings!$B$8+N(AI635)*Settings!$B$9+N(AJ635)*Settings!$B$10)/AO635*1000)</f>
        <v/>
      </c>
      <c r="AY635" s="36" t="str">
        <f aca="false">IF(AS635="","",IFERROR(AS635/AVERAGEIFS('Post Tracker'!$AS$5:$AS$1004,'Post Tracker'!$G$5:$G$1004,G635),""))</f>
        <v/>
      </c>
      <c r="AZ635" s="32"/>
      <c r="BA635" s="32"/>
      <c r="BB635" s="32"/>
      <c r="BC635" s="32"/>
      <c r="BD635" s="33" t="str">
        <f aca="false">IF(A635="","",COUNTIFS('Demo Pipeline'!$Q$5:$Q$504,A635))</f>
        <v/>
      </c>
      <c r="BE635" s="33" t="str">
        <f aca="false">IF(A635="","",COUNTIFS('Demo Pipeline'!$Q$5:$Q$504,A635,'Demo Pipeline'!$W$5:$W$504,"Attended"))</f>
        <v/>
      </c>
      <c r="BF635" s="33" t="str">
        <f aca="false">IF(A635="","",COUNTIFS('Demo Pipeline'!$Q$5:$Q$504,A635,'Demo Pipeline'!$X$5:$X$504,"Yes"))</f>
        <v/>
      </c>
      <c r="BG635" s="33" t="str">
        <f aca="false">IF(A635="","",COUNTIFS('Demo Pipeline'!$Q$5:$Q$504,A635,'Demo Pipeline'!$Y$5:$Y$504,"Closed Won"))</f>
        <v/>
      </c>
      <c r="BH635" s="37" t="str">
        <f aca="false">IF(A635="","",SUMIFS('Demo Pipeline'!$Z$5:$Z$504,'Demo Pipeline'!$Q$5:$Q$504,A635))</f>
        <v/>
      </c>
      <c r="BI635" s="34" t="str">
        <f aca="false">IF(OR(AZ635="",N(AJ635)=0),"",AZ635/AJ635)</f>
        <v/>
      </c>
      <c r="BJ635" s="34" t="str">
        <f aca="false">IF(OR(BB635="",N(AZ635)=0),"",BB635/AZ635)</f>
        <v/>
      </c>
      <c r="BK635" s="34" t="str">
        <f aca="false">IF(OR(A635="",N(BB635)=0),"",BD635/BB635)</f>
        <v/>
      </c>
      <c r="BL635" s="34" t="str">
        <f aca="false">IF(OR(A635="",N(AZ635)=0),"",BD635/AZ635)</f>
        <v/>
      </c>
      <c r="BM635" s="37" t="str">
        <f aca="false">IF(OR(N(Q635)=0,N(BD635)=0),"",Q635/BD635)</f>
        <v/>
      </c>
      <c r="BN635" s="29"/>
      <c r="BO635" s="29"/>
      <c r="BP635" s="33" t="str">
        <f aca="false">IF(OR(AR635="",N(AO635)=0),"",AR635)</f>
        <v/>
      </c>
      <c r="BQ635" s="33" t="str">
        <f aca="false">IF(OR(AR635="",N(S635)=0),"",S635)</f>
        <v/>
      </c>
      <c r="BR635" s="38" t="str">
        <f aca="false">IF(AND(ISNUMBER(B635),B635&gt;=Dashboard!$C$4,B635&lt;=Dashboard!$F$4,ISNUMBER(AU635)),AU635+ROW()/10^9,"")</f>
        <v/>
      </c>
      <c r="BS635" s="38" t="str">
        <f aca="false">IF(AND(ISNUMBER(B635),B635&gt;=Dashboard!$C$4,B635&lt;=Dashboard!$F$4,A635&lt;&gt;""),N(BD635)+N(AU635)/100+ROW()/10^9,"")</f>
        <v/>
      </c>
    </row>
    <row r="636" customFormat="false" ht="15" hidden="false" customHeight="false" outlineLevel="0" collapsed="false">
      <c r="A636" s="24" t="str">
        <f aca="false">IF(OR(B636="",G636="",H636=""),"",IFERROR(INDEX(Settings!$E$5:$E$49,MATCH(G636,Settings!$D$5:$D$49,0))&amp;INDEX(Settings!$H$5:$H$47,MATCH(H636,Settings!$G$5:$G$47,0))&amp;"-"&amp;TEXT(B636,"yymmdd")&amp;"-"&amp;IF(C636="","0000",TEXT(C636,"hhmm")),"CHECK LISTS"))</f>
        <v/>
      </c>
      <c r="B636" s="39"/>
      <c r="C636" s="40"/>
      <c r="D636" s="24" t="str">
        <f aca="false">IF(B636="","",TEXT(B636,"ddd"))</f>
        <v/>
      </c>
      <c r="E636" s="27" t="str">
        <f aca="false">IF(B636="","",B636-WEEKDAY(B636,3))</f>
        <v/>
      </c>
      <c r="F636" s="24" t="str">
        <f aca="false">IF(B636="","",TEXT(B636,"yyyy-mm"))</f>
        <v/>
      </c>
      <c r="G636" s="29"/>
      <c r="H636" s="29"/>
      <c r="I636" s="29"/>
      <c r="J636" s="29"/>
      <c r="K636" s="29"/>
      <c r="L636" s="29"/>
      <c r="M636" s="29"/>
      <c r="N636" s="29"/>
      <c r="O636" s="29"/>
      <c r="P636" s="29"/>
      <c r="Q636" s="30"/>
      <c r="R636" s="29"/>
      <c r="S636" s="32"/>
      <c r="T636" s="29"/>
      <c r="U636" s="29"/>
      <c r="V636" s="24" t="str">
        <f aca="false">IF(A636="","",IFERROR(INDEX(Settings!$F$5:$F$49,MATCH(G636,Settings!$D$5:$D$49,0)),""))</f>
        <v/>
      </c>
      <c r="W636" s="24" t="str">
        <f aca="false">IF(A636="","",IF(OR(P636="",P636="Organic"),"social","paid_social"))</f>
        <v/>
      </c>
      <c r="X636" s="24" t="str">
        <f aca="false">IF(A636="","",IF(K636&lt;&gt;"",IFERROR(INDEX('Case Studies'!$C$5:$C$54,MATCH(K636,'Case Studies'!$B$5:$B$54,0))&amp;"","case-study"),IF(J636&lt;&gt;"",IFERROR(INDEX(Settings!$J$5:$J$55,MATCH(J636,Settings!$I$5:$I$55,0)),"general"),"general")))</f>
        <v/>
      </c>
      <c r="Y636" s="24" t="str">
        <f aca="false">IF(A636="","",LOWER(A636))</f>
        <v/>
      </c>
      <c r="Z636" s="24" t="str">
        <f aca="false">IF(A636="","",IF(T636="",Settings!$B$5,T636)&amp;IF(ISNUMBER(FIND("?",IF(T636="",Settings!$B$5,T636))),"&amp;","?")&amp;"utm_source="&amp;V636&amp;"&amp;utm_medium="&amp;W636&amp;"&amp;utm_campaign="&amp;X636&amp;"&amp;utm_content="&amp;Y636)</f>
        <v/>
      </c>
      <c r="AA636" s="29"/>
      <c r="AB636" s="39"/>
      <c r="AC636" s="32"/>
      <c r="AD636" s="32"/>
      <c r="AE636" s="32"/>
      <c r="AF636" s="32"/>
      <c r="AG636" s="32"/>
      <c r="AH636" s="32"/>
      <c r="AI636" s="32"/>
      <c r="AJ636" s="32"/>
      <c r="AK636" s="32"/>
      <c r="AL636" s="32"/>
      <c r="AM636" s="32"/>
      <c r="AN636" s="32"/>
      <c r="AO636" s="33" t="str">
        <f aca="false">IF(A636="","",IF(AD636&lt;&gt;"",AD636,IF(AC636&lt;&gt;"",AC636,"")))</f>
        <v/>
      </c>
      <c r="AP636" s="24" t="str">
        <f aca="false">IF(AO636="","",IF(AD636&lt;&gt;"","Reported reach","Impressions (proxy)"))</f>
        <v/>
      </c>
      <c r="AQ636" s="34" t="str">
        <f aca="false">IF(OR(AO636="",N(S636)=0),"",AO636/S636)</f>
        <v/>
      </c>
      <c r="AR636" s="33" t="str">
        <f aca="false">IF(A636="","",IF(COUNT(AF636:AJ636)=0,"",SUM(AF636:AJ636)))</f>
        <v/>
      </c>
      <c r="AS636" s="34" t="str">
        <f aca="false">IF(OR(AR636="",N(AO636)=0),"",AR636/AO636)</f>
        <v/>
      </c>
      <c r="AT636" s="34" t="str">
        <f aca="false">IF(OR(AR636="",N(AC636)=0),"",AR636/AC636)</f>
        <v/>
      </c>
      <c r="AU636" s="34" t="str">
        <f aca="false">IF(OR(AR636="",N(S636)=0),"",AR636/S636)</f>
        <v/>
      </c>
      <c r="AV636" s="34" t="str">
        <f aca="false">IF(OR(AJ636="",N(AC636)=0),"",AJ636/AC636)</f>
        <v/>
      </c>
      <c r="AW636" s="34" t="str">
        <f aca="false">IF(OR(AH636="",N(AO636)=0),"",AH636/AO636)</f>
        <v/>
      </c>
      <c r="AX636" s="35" t="str">
        <f aca="false">IF(OR(AR636="",N(AO636)=0),"",(N(AF636)*Settings!$B$6+N(AG636)*Settings!$B$7+N(AH636)*Settings!$B$8+N(AI636)*Settings!$B$9+N(AJ636)*Settings!$B$10)/AO636*1000)</f>
        <v/>
      </c>
      <c r="AY636" s="36" t="str">
        <f aca="false">IF(AS636="","",IFERROR(AS636/AVERAGEIFS('Post Tracker'!$AS$5:$AS$1004,'Post Tracker'!$G$5:$G$1004,G636),""))</f>
        <v/>
      </c>
      <c r="AZ636" s="32"/>
      <c r="BA636" s="32"/>
      <c r="BB636" s="32"/>
      <c r="BC636" s="32"/>
      <c r="BD636" s="33" t="str">
        <f aca="false">IF(A636="","",COUNTIFS('Demo Pipeline'!$Q$5:$Q$504,A636))</f>
        <v/>
      </c>
      <c r="BE636" s="33" t="str">
        <f aca="false">IF(A636="","",COUNTIFS('Demo Pipeline'!$Q$5:$Q$504,A636,'Demo Pipeline'!$W$5:$W$504,"Attended"))</f>
        <v/>
      </c>
      <c r="BF636" s="33" t="str">
        <f aca="false">IF(A636="","",COUNTIFS('Demo Pipeline'!$Q$5:$Q$504,A636,'Demo Pipeline'!$X$5:$X$504,"Yes"))</f>
        <v/>
      </c>
      <c r="BG636" s="33" t="str">
        <f aca="false">IF(A636="","",COUNTIFS('Demo Pipeline'!$Q$5:$Q$504,A636,'Demo Pipeline'!$Y$5:$Y$504,"Closed Won"))</f>
        <v/>
      </c>
      <c r="BH636" s="37" t="str">
        <f aca="false">IF(A636="","",SUMIFS('Demo Pipeline'!$Z$5:$Z$504,'Demo Pipeline'!$Q$5:$Q$504,A636))</f>
        <v/>
      </c>
      <c r="BI636" s="34" t="str">
        <f aca="false">IF(OR(AZ636="",N(AJ636)=0),"",AZ636/AJ636)</f>
        <v/>
      </c>
      <c r="BJ636" s="34" t="str">
        <f aca="false">IF(OR(BB636="",N(AZ636)=0),"",BB636/AZ636)</f>
        <v/>
      </c>
      <c r="BK636" s="34" t="str">
        <f aca="false">IF(OR(A636="",N(BB636)=0),"",BD636/BB636)</f>
        <v/>
      </c>
      <c r="BL636" s="34" t="str">
        <f aca="false">IF(OR(A636="",N(AZ636)=0),"",BD636/AZ636)</f>
        <v/>
      </c>
      <c r="BM636" s="37" t="str">
        <f aca="false">IF(OR(N(Q636)=0,N(BD636)=0),"",Q636/BD636)</f>
        <v/>
      </c>
      <c r="BN636" s="29"/>
      <c r="BO636" s="29"/>
      <c r="BP636" s="33" t="str">
        <f aca="false">IF(OR(AR636="",N(AO636)=0),"",AR636)</f>
        <v/>
      </c>
      <c r="BQ636" s="33" t="str">
        <f aca="false">IF(OR(AR636="",N(S636)=0),"",S636)</f>
        <v/>
      </c>
      <c r="BR636" s="38" t="str">
        <f aca="false">IF(AND(ISNUMBER(B636),B636&gt;=Dashboard!$C$4,B636&lt;=Dashboard!$F$4,ISNUMBER(AU636)),AU636+ROW()/10^9,"")</f>
        <v/>
      </c>
      <c r="BS636" s="38" t="str">
        <f aca="false">IF(AND(ISNUMBER(B636),B636&gt;=Dashboard!$C$4,B636&lt;=Dashboard!$F$4,A636&lt;&gt;""),N(BD636)+N(AU636)/100+ROW()/10^9,"")</f>
        <v/>
      </c>
    </row>
    <row r="637" customFormat="false" ht="15" hidden="false" customHeight="false" outlineLevel="0" collapsed="false">
      <c r="A637" s="24" t="str">
        <f aca="false">IF(OR(B637="",G637="",H637=""),"",IFERROR(INDEX(Settings!$E$5:$E$49,MATCH(G637,Settings!$D$5:$D$49,0))&amp;INDEX(Settings!$H$5:$H$47,MATCH(H637,Settings!$G$5:$G$47,0))&amp;"-"&amp;TEXT(B637,"yymmdd")&amp;"-"&amp;IF(C637="","0000",TEXT(C637,"hhmm")),"CHECK LISTS"))</f>
        <v/>
      </c>
      <c r="B637" s="39"/>
      <c r="C637" s="40"/>
      <c r="D637" s="24" t="str">
        <f aca="false">IF(B637="","",TEXT(B637,"ddd"))</f>
        <v/>
      </c>
      <c r="E637" s="27" t="str">
        <f aca="false">IF(B637="","",B637-WEEKDAY(B637,3))</f>
        <v/>
      </c>
      <c r="F637" s="24" t="str">
        <f aca="false">IF(B637="","",TEXT(B637,"yyyy-mm"))</f>
        <v/>
      </c>
      <c r="G637" s="29"/>
      <c r="H637" s="29"/>
      <c r="I637" s="29"/>
      <c r="J637" s="29"/>
      <c r="K637" s="29"/>
      <c r="L637" s="29"/>
      <c r="M637" s="29"/>
      <c r="N637" s="29"/>
      <c r="O637" s="29"/>
      <c r="P637" s="29"/>
      <c r="Q637" s="30"/>
      <c r="R637" s="29"/>
      <c r="S637" s="32"/>
      <c r="T637" s="29"/>
      <c r="U637" s="29"/>
      <c r="V637" s="24" t="str">
        <f aca="false">IF(A637="","",IFERROR(INDEX(Settings!$F$5:$F$49,MATCH(G637,Settings!$D$5:$D$49,0)),""))</f>
        <v/>
      </c>
      <c r="W637" s="24" t="str">
        <f aca="false">IF(A637="","",IF(OR(P637="",P637="Organic"),"social","paid_social"))</f>
        <v/>
      </c>
      <c r="X637" s="24" t="str">
        <f aca="false">IF(A637="","",IF(K637&lt;&gt;"",IFERROR(INDEX('Case Studies'!$C$5:$C$54,MATCH(K637,'Case Studies'!$B$5:$B$54,0))&amp;"","case-study"),IF(J637&lt;&gt;"",IFERROR(INDEX(Settings!$J$5:$J$55,MATCH(J637,Settings!$I$5:$I$55,0)),"general"),"general")))</f>
        <v/>
      </c>
      <c r="Y637" s="24" t="str">
        <f aca="false">IF(A637="","",LOWER(A637))</f>
        <v/>
      </c>
      <c r="Z637" s="24" t="str">
        <f aca="false">IF(A637="","",IF(T637="",Settings!$B$5,T637)&amp;IF(ISNUMBER(FIND("?",IF(T637="",Settings!$B$5,T637))),"&amp;","?")&amp;"utm_source="&amp;V637&amp;"&amp;utm_medium="&amp;W637&amp;"&amp;utm_campaign="&amp;X637&amp;"&amp;utm_content="&amp;Y637)</f>
        <v/>
      </c>
      <c r="AA637" s="29"/>
      <c r="AB637" s="39"/>
      <c r="AC637" s="32"/>
      <c r="AD637" s="32"/>
      <c r="AE637" s="32"/>
      <c r="AF637" s="32"/>
      <c r="AG637" s="32"/>
      <c r="AH637" s="32"/>
      <c r="AI637" s="32"/>
      <c r="AJ637" s="32"/>
      <c r="AK637" s="32"/>
      <c r="AL637" s="32"/>
      <c r="AM637" s="32"/>
      <c r="AN637" s="32"/>
      <c r="AO637" s="33" t="str">
        <f aca="false">IF(A637="","",IF(AD637&lt;&gt;"",AD637,IF(AC637&lt;&gt;"",AC637,"")))</f>
        <v/>
      </c>
      <c r="AP637" s="24" t="str">
        <f aca="false">IF(AO637="","",IF(AD637&lt;&gt;"","Reported reach","Impressions (proxy)"))</f>
        <v/>
      </c>
      <c r="AQ637" s="34" t="str">
        <f aca="false">IF(OR(AO637="",N(S637)=0),"",AO637/S637)</f>
        <v/>
      </c>
      <c r="AR637" s="33" t="str">
        <f aca="false">IF(A637="","",IF(COUNT(AF637:AJ637)=0,"",SUM(AF637:AJ637)))</f>
        <v/>
      </c>
      <c r="AS637" s="34" t="str">
        <f aca="false">IF(OR(AR637="",N(AO637)=0),"",AR637/AO637)</f>
        <v/>
      </c>
      <c r="AT637" s="34" t="str">
        <f aca="false">IF(OR(AR637="",N(AC637)=0),"",AR637/AC637)</f>
        <v/>
      </c>
      <c r="AU637" s="34" t="str">
        <f aca="false">IF(OR(AR637="",N(S637)=0),"",AR637/S637)</f>
        <v/>
      </c>
      <c r="AV637" s="34" t="str">
        <f aca="false">IF(OR(AJ637="",N(AC637)=0),"",AJ637/AC637)</f>
        <v/>
      </c>
      <c r="AW637" s="34" t="str">
        <f aca="false">IF(OR(AH637="",N(AO637)=0),"",AH637/AO637)</f>
        <v/>
      </c>
      <c r="AX637" s="35" t="str">
        <f aca="false">IF(OR(AR637="",N(AO637)=0),"",(N(AF637)*Settings!$B$6+N(AG637)*Settings!$B$7+N(AH637)*Settings!$B$8+N(AI637)*Settings!$B$9+N(AJ637)*Settings!$B$10)/AO637*1000)</f>
        <v/>
      </c>
      <c r="AY637" s="36" t="str">
        <f aca="false">IF(AS637="","",IFERROR(AS637/AVERAGEIFS('Post Tracker'!$AS$5:$AS$1004,'Post Tracker'!$G$5:$G$1004,G637),""))</f>
        <v/>
      </c>
      <c r="AZ637" s="32"/>
      <c r="BA637" s="32"/>
      <c r="BB637" s="32"/>
      <c r="BC637" s="32"/>
      <c r="BD637" s="33" t="str">
        <f aca="false">IF(A637="","",COUNTIFS('Demo Pipeline'!$Q$5:$Q$504,A637))</f>
        <v/>
      </c>
      <c r="BE637" s="33" t="str">
        <f aca="false">IF(A637="","",COUNTIFS('Demo Pipeline'!$Q$5:$Q$504,A637,'Demo Pipeline'!$W$5:$W$504,"Attended"))</f>
        <v/>
      </c>
      <c r="BF637" s="33" t="str">
        <f aca="false">IF(A637="","",COUNTIFS('Demo Pipeline'!$Q$5:$Q$504,A637,'Demo Pipeline'!$X$5:$X$504,"Yes"))</f>
        <v/>
      </c>
      <c r="BG637" s="33" t="str">
        <f aca="false">IF(A637="","",COUNTIFS('Demo Pipeline'!$Q$5:$Q$504,A637,'Demo Pipeline'!$Y$5:$Y$504,"Closed Won"))</f>
        <v/>
      </c>
      <c r="BH637" s="37" t="str">
        <f aca="false">IF(A637="","",SUMIFS('Demo Pipeline'!$Z$5:$Z$504,'Demo Pipeline'!$Q$5:$Q$504,A637))</f>
        <v/>
      </c>
      <c r="BI637" s="34" t="str">
        <f aca="false">IF(OR(AZ637="",N(AJ637)=0),"",AZ637/AJ637)</f>
        <v/>
      </c>
      <c r="BJ637" s="34" t="str">
        <f aca="false">IF(OR(BB637="",N(AZ637)=0),"",BB637/AZ637)</f>
        <v/>
      </c>
      <c r="BK637" s="34" t="str">
        <f aca="false">IF(OR(A637="",N(BB637)=0),"",BD637/BB637)</f>
        <v/>
      </c>
      <c r="BL637" s="34" t="str">
        <f aca="false">IF(OR(A637="",N(AZ637)=0),"",BD637/AZ637)</f>
        <v/>
      </c>
      <c r="BM637" s="37" t="str">
        <f aca="false">IF(OR(N(Q637)=0,N(BD637)=0),"",Q637/BD637)</f>
        <v/>
      </c>
      <c r="BN637" s="29"/>
      <c r="BO637" s="29"/>
      <c r="BP637" s="33" t="str">
        <f aca="false">IF(OR(AR637="",N(AO637)=0),"",AR637)</f>
        <v/>
      </c>
      <c r="BQ637" s="33" t="str">
        <f aca="false">IF(OR(AR637="",N(S637)=0),"",S637)</f>
        <v/>
      </c>
      <c r="BR637" s="38" t="str">
        <f aca="false">IF(AND(ISNUMBER(B637),B637&gt;=Dashboard!$C$4,B637&lt;=Dashboard!$F$4,ISNUMBER(AU637)),AU637+ROW()/10^9,"")</f>
        <v/>
      </c>
      <c r="BS637" s="38" t="str">
        <f aca="false">IF(AND(ISNUMBER(B637),B637&gt;=Dashboard!$C$4,B637&lt;=Dashboard!$F$4,A637&lt;&gt;""),N(BD637)+N(AU637)/100+ROW()/10^9,"")</f>
        <v/>
      </c>
    </row>
    <row r="638" customFormat="false" ht="15" hidden="false" customHeight="false" outlineLevel="0" collapsed="false">
      <c r="A638" s="24" t="str">
        <f aca="false">IF(OR(B638="",G638="",H638=""),"",IFERROR(INDEX(Settings!$E$5:$E$49,MATCH(G638,Settings!$D$5:$D$49,0))&amp;INDEX(Settings!$H$5:$H$47,MATCH(H638,Settings!$G$5:$G$47,0))&amp;"-"&amp;TEXT(B638,"yymmdd")&amp;"-"&amp;IF(C638="","0000",TEXT(C638,"hhmm")),"CHECK LISTS"))</f>
        <v/>
      </c>
      <c r="B638" s="39"/>
      <c r="C638" s="40"/>
      <c r="D638" s="24" t="str">
        <f aca="false">IF(B638="","",TEXT(B638,"ddd"))</f>
        <v/>
      </c>
      <c r="E638" s="27" t="str">
        <f aca="false">IF(B638="","",B638-WEEKDAY(B638,3))</f>
        <v/>
      </c>
      <c r="F638" s="24" t="str">
        <f aca="false">IF(B638="","",TEXT(B638,"yyyy-mm"))</f>
        <v/>
      </c>
      <c r="G638" s="29"/>
      <c r="H638" s="29"/>
      <c r="I638" s="29"/>
      <c r="J638" s="29"/>
      <c r="K638" s="29"/>
      <c r="L638" s="29"/>
      <c r="M638" s="29"/>
      <c r="N638" s="29"/>
      <c r="O638" s="29"/>
      <c r="P638" s="29"/>
      <c r="Q638" s="30"/>
      <c r="R638" s="29"/>
      <c r="S638" s="32"/>
      <c r="T638" s="29"/>
      <c r="U638" s="29"/>
      <c r="V638" s="24" t="str">
        <f aca="false">IF(A638="","",IFERROR(INDEX(Settings!$F$5:$F$49,MATCH(G638,Settings!$D$5:$D$49,0)),""))</f>
        <v/>
      </c>
      <c r="W638" s="24" t="str">
        <f aca="false">IF(A638="","",IF(OR(P638="",P638="Organic"),"social","paid_social"))</f>
        <v/>
      </c>
      <c r="X638" s="24" t="str">
        <f aca="false">IF(A638="","",IF(K638&lt;&gt;"",IFERROR(INDEX('Case Studies'!$C$5:$C$54,MATCH(K638,'Case Studies'!$B$5:$B$54,0))&amp;"","case-study"),IF(J638&lt;&gt;"",IFERROR(INDEX(Settings!$J$5:$J$55,MATCH(J638,Settings!$I$5:$I$55,0)),"general"),"general")))</f>
        <v/>
      </c>
      <c r="Y638" s="24" t="str">
        <f aca="false">IF(A638="","",LOWER(A638))</f>
        <v/>
      </c>
      <c r="Z638" s="24" t="str">
        <f aca="false">IF(A638="","",IF(T638="",Settings!$B$5,T638)&amp;IF(ISNUMBER(FIND("?",IF(T638="",Settings!$B$5,T638))),"&amp;","?")&amp;"utm_source="&amp;V638&amp;"&amp;utm_medium="&amp;W638&amp;"&amp;utm_campaign="&amp;X638&amp;"&amp;utm_content="&amp;Y638)</f>
        <v/>
      </c>
      <c r="AA638" s="29"/>
      <c r="AB638" s="39"/>
      <c r="AC638" s="32"/>
      <c r="AD638" s="32"/>
      <c r="AE638" s="32"/>
      <c r="AF638" s="32"/>
      <c r="AG638" s="32"/>
      <c r="AH638" s="32"/>
      <c r="AI638" s="32"/>
      <c r="AJ638" s="32"/>
      <c r="AK638" s="32"/>
      <c r="AL638" s="32"/>
      <c r="AM638" s="32"/>
      <c r="AN638" s="32"/>
      <c r="AO638" s="33" t="str">
        <f aca="false">IF(A638="","",IF(AD638&lt;&gt;"",AD638,IF(AC638&lt;&gt;"",AC638,"")))</f>
        <v/>
      </c>
      <c r="AP638" s="24" t="str">
        <f aca="false">IF(AO638="","",IF(AD638&lt;&gt;"","Reported reach","Impressions (proxy)"))</f>
        <v/>
      </c>
      <c r="AQ638" s="34" t="str">
        <f aca="false">IF(OR(AO638="",N(S638)=0),"",AO638/S638)</f>
        <v/>
      </c>
      <c r="AR638" s="33" t="str">
        <f aca="false">IF(A638="","",IF(COUNT(AF638:AJ638)=0,"",SUM(AF638:AJ638)))</f>
        <v/>
      </c>
      <c r="AS638" s="34" t="str">
        <f aca="false">IF(OR(AR638="",N(AO638)=0),"",AR638/AO638)</f>
        <v/>
      </c>
      <c r="AT638" s="34" t="str">
        <f aca="false">IF(OR(AR638="",N(AC638)=0),"",AR638/AC638)</f>
        <v/>
      </c>
      <c r="AU638" s="34" t="str">
        <f aca="false">IF(OR(AR638="",N(S638)=0),"",AR638/S638)</f>
        <v/>
      </c>
      <c r="AV638" s="34" t="str">
        <f aca="false">IF(OR(AJ638="",N(AC638)=0),"",AJ638/AC638)</f>
        <v/>
      </c>
      <c r="AW638" s="34" t="str">
        <f aca="false">IF(OR(AH638="",N(AO638)=0),"",AH638/AO638)</f>
        <v/>
      </c>
      <c r="AX638" s="35" t="str">
        <f aca="false">IF(OR(AR638="",N(AO638)=0),"",(N(AF638)*Settings!$B$6+N(AG638)*Settings!$B$7+N(AH638)*Settings!$B$8+N(AI638)*Settings!$B$9+N(AJ638)*Settings!$B$10)/AO638*1000)</f>
        <v/>
      </c>
      <c r="AY638" s="36" t="str">
        <f aca="false">IF(AS638="","",IFERROR(AS638/AVERAGEIFS('Post Tracker'!$AS$5:$AS$1004,'Post Tracker'!$G$5:$G$1004,G638),""))</f>
        <v/>
      </c>
      <c r="AZ638" s="32"/>
      <c r="BA638" s="32"/>
      <c r="BB638" s="32"/>
      <c r="BC638" s="32"/>
      <c r="BD638" s="33" t="str">
        <f aca="false">IF(A638="","",COUNTIFS('Demo Pipeline'!$Q$5:$Q$504,A638))</f>
        <v/>
      </c>
      <c r="BE638" s="33" t="str">
        <f aca="false">IF(A638="","",COUNTIFS('Demo Pipeline'!$Q$5:$Q$504,A638,'Demo Pipeline'!$W$5:$W$504,"Attended"))</f>
        <v/>
      </c>
      <c r="BF638" s="33" t="str">
        <f aca="false">IF(A638="","",COUNTIFS('Demo Pipeline'!$Q$5:$Q$504,A638,'Demo Pipeline'!$X$5:$X$504,"Yes"))</f>
        <v/>
      </c>
      <c r="BG638" s="33" t="str">
        <f aca="false">IF(A638="","",COUNTIFS('Demo Pipeline'!$Q$5:$Q$504,A638,'Demo Pipeline'!$Y$5:$Y$504,"Closed Won"))</f>
        <v/>
      </c>
      <c r="BH638" s="37" t="str">
        <f aca="false">IF(A638="","",SUMIFS('Demo Pipeline'!$Z$5:$Z$504,'Demo Pipeline'!$Q$5:$Q$504,A638))</f>
        <v/>
      </c>
      <c r="BI638" s="34" t="str">
        <f aca="false">IF(OR(AZ638="",N(AJ638)=0),"",AZ638/AJ638)</f>
        <v/>
      </c>
      <c r="BJ638" s="34" t="str">
        <f aca="false">IF(OR(BB638="",N(AZ638)=0),"",BB638/AZ638)</f>
        <v/>
      </c>
      <c r="BK638" s="34" t="str">
        <f aca="false">IF(OR(A638="",N(BB638)=0),"",BD638/BB638)</f>
        <v/>
      </c>
      <c r="BL638" s="34" t="str">
        <f aca="false">IF(OR(A638="",N(AZ638)=0),"",BD638/AZ638)</f>
        <v/>
      </c>
      <c r="BM638" s="37" t="str">
        <f aca="false">IF(OR(N(Q638)=0,N(BD638)=0),"",Q638/BD638)</f>
        <v/>
      </c>
      <c r="BN638" s="29"/>
      <c r="BO638" s="29"/>
      <c r="BP638" s="33" t="str">
        <f aca="false">IF(OR(AR638="",N(AO638)=0),"",AR638)</f>
        <v/>
      </c>
      <c r="BQ638" s="33" t="str">
        <f aca="false">IF(OR(AR638="",N(S638)=0),"",S638)</f>
        <v/>
      </c>
      <c r="BR638" s="38" t="str">
        <f aca="false">IF(AND(ISNUMBER(B638),B638&gt;=Dashboard!$C$4,B638&lt;=Dashboard!$F$4,ISNUMBER(AU638)),AU638+ROW()/10^9,"")</f>
        <v/>
      </c>
      <c r="BS638" s="38" t="str">
        <f aca="false">IF(AND(ISNUMBER(B638),B638&gt;=Dashboard!$C$4,B638&lt;=Dashboard!$F$4,A638&lt;&gt;""),N(BD638)+N(AU638)/100+ROW()/10^9,"")</f>
        <v/>
      </c>
    </row>
    <row r="639" customFormat="false" ht="15" hidden="false" customHeight="false" outlineLevel="0" collapsed="false">
      <c r="A639" s="24" t="str">
        <f aca="false">IF(OR(B639="",G639="",H639=""),"",IFERROR(INDEX(Settings!$E$5:$E$49,MATCH(G639,Settings!$D$5:$D$49,0))&amp;INDEX(Settings!$H$5:$H$47,MATCH(H639,Settings!$G$5:$G$47,0))&amp;"-"&amp;TEXT(B639,"yymmdd")&amp;"-"&amp;IF(C639="","0000",TEXT(C639,"hhmm")),"CHECK LISTS"))</f>
        <v/>
      </c>
      <c r="B639" s="39"/>
      <c r="C639" s="40"/>
      <c r="D639" s="24" t="str">
        <f aca="false">IF(B639="","",TEXT(B639,"ddd"))</f>
        <v/>
      </c>
      <c r="E639" s="27" t="str">
        <f aca="false">IF(B639="","",B639-WEEKDAY(B639,3))</f>
        <v/>
      </c>
      <c r="F639" s="24" t="str">
        <f aca="false">IF(B639="","",TEXT(B639,"yyyy-mm"))</f>
        <v/>
      </c>
      <c r="G639" s="29"/>
      <c r="H639" s="29"/>
      <c r="I639" s="29"/>
      <c r="J639" s="29"/>
      <c r="K639" s="29"/>
      <c r="L639" s="29"/>
      <c r="M639" s="29"/>
      <c r="N639" s="29"/>
      <c r="O639" s="29"/>
      <c r="P639" s="29"/>
      <c r="Q639" s="30"/>
      <c r="R639" s="29"/>
      <c r="S639" s="32"/>
      <c r="T639" s="29"/>
      <c r="U639" s="29"/>
      <c r="V639" s="24" t="str">
        <f aca="false">IF(A639="","",IFERROR(INDEX(Settings!$F$5:$F$49,MATCH(G639,Settings!$D$5:$D$49,0)),""))</f>
        <v/>
      </c>
      <c r="W639" s="24" t="str">
        <f aca="false">IF(A639="","",IF(OR(P639="",P639="Organic"),"social","paid_social"))</f>
        <v/>
      </c>
      <c r="X639" s="24" t="str">
        <f aca="false">IF(A639="","",IF(K639&lt;&gt;"",IFERROR(INDEX('Case Studies'!$C$5:$C$54,MATCH(K639,'Case Studies'!$B$5:$B$54,0))&amp;"","case-study"),IF(J639&lt;&gt;"",IFERROR(INDEX(Settings!$J$5:$J$55,MATCH(J639,Settings!$I$5:$I$55,0)),"general"),"general")))</f>
        <v/>
      </c>
      <c r="Y639" s="24" t="str">
        <f aca="false">IF(A639="","",LOWER(A639))</f>
        <v/>
      </c>
      <c r="Z639" s="24" t="str">
        <f aca="false">IF(A639="","",IF(T639="",Settings!$B$5,T639)&amp;IF(ISNUMBER(FIND("?",IF(T639="",Settings!$B$5,T639))),"&amp;","?")&amp;"utm_source="&amp;V639&amp;"&amp;utm_medium="&amp;W639&amp;"&amp;utm_campaign="&amp;X639&amp;"&amp;utm_content="&amp;Y639)</f>
        <v/>
      </c>
      <c r="AA639" s="29"/>
      <c r="AB639" s="39"/>
      <c r="AC639" s="32"/>
      <c r="AD639" s="32"/>
      <c r="AE639" s="32"/>
      <c r="AF639" s="32"/>
      <c r="AG639" s="32"/>
      <c r="AH639" s="32"/>
      <c r="AI639" s="32"/>
      <c r="AJ639" s="32"/>
      <c r="AK639" s="32"/>
      <c r="AL639" s="32"/>
      <c r="AM639" s="32"/>
      <c r="AN639" s="32"/>
      <c r="AO639" s="33" t="str">
        <f aca="false">IF(A639="","",IF(AD639&lt;&gt;"",AD639,IF(AC639&lt;&gt;"",AC639,"")))</f>
        <v/>
      </c>
      <c r="AP639" s="24" t="str">
        <f aca="false">IF(AO639="","",IF(AD639&lt;&gt;"","Reported reach","Impressions (proxy)"))</f>
        <v/>
      </c>
      <c r="AQ639" s="34" t="str">
        <f aca="false">IF(OR(AO639="",N(S639)=0),"",AO639/S639)</f>
        <v/>
      </c>
      <c r="AR639" s="33" t="str">
        <f aca="false">IF(A639="","",IF(COUNT(AF639:AJ639)=0,"",SUM(AF639:AJ639)))</f>
        <v/>
      </c>
      <c r="AS639" s="34" t="str">
        <f aca="false">IF(OR(AR639="",N(AO639)=0),"",AR639/AO639)</f>
        <v/>
      </c>
      <c r="AT639" s="34" t="str">
        <f aca="false">IF(OR(AR639="",N(AC639)=0),"",AR639/AC639)</f>
        <v/>
      </c>
      <c r="AU639" s="34" t="str">
        <f aca="false">IF(OR(AR639="",N(S639)=0),"",AR639/S639)</f>
        <v/>
      </c>
      <c r="AV639" s="34" t="str">
        <f aca="false">IF(OR(AJ639="",N(AC639)=0),"",AJ639/AC639)</f>
        <v/>
      </c>
      <c r="AW639" s="34" t="str">
        <f aca="false">IF(OR(AH639="",N(AO639)=0),"",AH639/AO639)</f>
        <v/>
      </c>
      <c r="AX639" s="35" t="str">
        <f aca="false">IF(OR(AR639="",N(AO639)=0),"",(N(AF639)*Settings!$B$6+N(AG639)*Settings!$B$7+N(AH639)*Settings!$B$8+N(AI639)*Settings!$B$9+N(AJ639)*Settings!$B$10)/AO639*1000)</f>
        <v/>
      </c>
      <c r="AY639" s="36" t="str">
        <f aca="false">IF(AS639="","",IFERROR(AS639/AVERAGEIFS('Post Tracker'!$AS$5:$AS$1004,'Post Tracker'!$G$5:$G$1004,G639),""))</f>
        <v/>
      </c>
      <c r="AZ639" s="32"/>
      <c r="BA639" s="32"/>
      <c r="BB639" s="32"/>
      <c r="BC639" s="32"/>
      <c r="BD639" s="33" t="str">
        <f aca="false">IF(A639="","",COUNTIFS('Demo Pipeline'!$Q$5:$Q$504,A639))</f>
        <v/>
      </c>
      <c r="BE639" s="33" t="str">
        <f aca="false">IF(A639="","",COUNTIFS('Demo Pipeline'!$Q$5:$Q$504,A639,'Demo Pipeline'!$W$5:$W$504,"Attended"))</f>
        <v/>
      </c>
      <c r="BF639" s="33" t="str">
        <f aca="false">IF(A639="","",COUNTIFS('Demo Pipeline'!$Q$5:$Q$504,A639,'Demo Pipeline'!$X$5:$X$504,"Yes"))</f>
        <v/>
      </c>
      <c r="BG639" s="33" t="str">
        <f aca="false">IF(A639="","",COUNTIFS('Demo Pipeline'!$Q$5:$Q$504,A639,'Demo Pipeline'!$Y$5:$Y$504,"Closed Won"))</f>
        <v/>
      </c>
      <c r="BH639" s="37" t="str">
        <f aca="false">IF(A639="","",SUMIFS('Demo Pipeline'!$Z$5:$Z$504,'Demo Pipeline'!$Q$5:$Q$504,A639))</f>
        <v/>
      </c>
      <c r="BI639" s="34" t="str">
        <f aca="false">IF(OR(AZ639="",N(AJ639)=0),"",AZ639/AJ639)</f>
        <v/>
      </c>
      <c r="BJ639" s="34" t="str">
        <f aca="false">IF(OR(BB639="",N(AZ639)=0),"",BB639/AZ639)</f>
        <v/>
      </c>
      <c r="BK639" s="34" t="str">
        <f aca="false">IF(OR(A639="",N(BB639)=0),"",BD639/BB639)</f>
        <v/>
      </c>
      <c r="BL639" s="34" t="str">
        <f aca="false">IF(OR(A639="",N(AZ639)=0),"",BD639/AZ639)</f>
        <v/>
      </c>
      <c r="BM639" s="37" t="str">
        <f aca="false">IF(OR(N(Q639)=0,N(BD639)=0),"",Q639/BD639)</f>
        <v/>
      </c>
      <c r="BN639" s="29"/>
      <c r="BO639" s="29"/>
      <c r="BP639" s="33" t="str">
        <f aca="false">IF(OR(AR639="",N(AO639)=0),"",AR639)</f>
        <v/>
      </c>
      <c r="BQ639" s="33" t="str">
        <f aca="false">IF(OR(AR639="",N(S639)=0),"",S639)</f>
        <v/>
      </c>
      <c r="BR639" s="38" t="str">
        <f aca="false">IF(AND(ISNUMBER(B639),B639&gt;=Dashboard!$C$4,B639&lt;=Dashboard!$F$4,ISNUMBER(AU639)),AU639+ROW()/10^9,"")</f>
        <v/>
      </c>
      <c r="BS639" s="38" t="str">
        <f aca="false">IF(AND(ISNUMBER(B639),B639&gt;=Dashboard!$C$4,B639&lt;=Dashboard!$F$4,A639&lt;&gt;""),N(BD639)+N(AU639)/100+ROW()/10^9,"")</f>
        <v/>
      </c>
    </row>
    <row r="640" customFormat="false" ht="15" hidden="false" customHeight="false" outlineLevel="0" collapsed="false">
      <c r="A640" s="24" t="str">
        <f aca="false">IF(OR(B640="",G640="",H640=""),"",IFERROR(INDEX(Settings!$E$5:$E$49,MATCH(G640,Settings!$D$5:$D$49,0))&amp;INDEX(Settings!$H$5:$H$47,MATCH(H640,Settings!$G$5:$G$47,0))&amp;"-"&amp;TEXT(B640,"yymmdd")&amp;"-"&amp;IF(C640="","0000",TEXT(C640,"hhmm")),"CHECK LISTS"))</f>
        <v/>
      </c>
      <c r="B640" s="39"/>
      <c r="C640" s="40"/>
      <c r="D640" s="24" t="str">
        <f aca="false">IF(B640="","",TEXT(B640,"ddd"))</f>
        <v/>
      </c>
      <c r="E640" s="27" t="str">
        <f aca="false">IF(B640="","",B640-WEEKDAY(B640,3))</f>
        <v/>
      </c>
      <c r="F640" s="24" t="str">
        <f aca="false">IF(B640="","",TEXT(B640,"yyyy-mm"))</f>
        <v/>
      </c>
      <c r="G640" s="29"/>
      <c r="H640" s="29"/>
      <c r="I640" s="29"/>
      <c r="J640" s="29"/>
      <c r="K640" s="29"/>
      <c r="L640" s="29"/>
      <c r="M640" s="29"/>
      <c r="N640" s="29"/>
      <c r="O640" s="29"/>
      <c r="P640" s="29"/>
      <c r="Q640" s="30"/>
      <c r="R640" s="29"/>
      <c r="S640" s="32"/>
      <c r="T640" s="29"/>
      <c r="U640" s="29"/>
      <c r="V640" s="24" t="str">
        <f aca="false">IF(A640="","",IFERROR(INDEX(Settings!$F$5:$F$49,MATCH(G640,Settings!$D$5:$D$49,0)),""))</f>
        <v/>
      </c>
      <c r="W640" s="24" t="str">
        <f aca="false">IF(A640="","",IF(OR(P640="",P640="Organic"),"social","paid_social"))</f>
        <v/>
      </c>
      <c r="X640" s="24" t="str">
        <f aca="false">IF(A640="","",IF(K640&lt;&gt;"",IFERROR(INDEX('Case Studies'!$C$5:$C$54,MATCH(K640,'Case Studies'!$B$5:$B$54,0))&amp;"","case-study"),IF(J640&lt;&gt;"",IFERROR(INDEX(Settings!$J$5:$J$55,MATCH(J640,Settings!$I$5:$I$55,0)),"general"),"general")))</f>
        <v/>
      </c>
      <c r="Y640" s="24" t="str">
        <f aca="false">IF(A640="","",LOWER(A640))</f>
        <v/>
      </c>
      <c r="Z640" s="24" t="str">
        <f aca="false">IF(A640="","",IF(T640="",Settings!$B$5,T640)&amp;IF(ISNUMBER(FIND("?",IF(T640="",Settings!$B$5,T640))),"&amp;","?")&amp;"utm_source="&amp;V640&amp;"&amp;utm_medium="&amp;W640&amp;"&amp;utm_campaign="&amp;X640&amp;"&amp;utm_content="&amp;Y640)</f>
        <v/>
      </c>
      <c r="AA640" s="29"/>
      <c r="AB640" s="39"/>
      <c r="AC640" s="32"/>
      <c r="AD640" s="32"/>
      <c r="AE640" s="32"/>
      <c r="AF640" s="32"/>
      <c r="AG640" s="32"/>
      <c r="AH640" s="32"/>
      <c r="AI640" s="32"/>
      <c r="AJ640" s="32"/>
      <c r="AK640" s="32"/>
      <c r="AL640" s="32"/>
      <c r="AM640" s="32"/>
      <c r="AN640" s="32"/>
      <c r="AO640" s="33" t="str">
        <f aca="false">IF(A640="","",IF(AD640&lt;&gt;"",AD640,IF(AC640&lt;&gt;"",AC640,"")))</f>
        <v/>
      </c>
      <c r="AP640" s="24" t="str">
        <f aca="false">IF(AO640="","",IF(AD640&lt;&gt;"","Reported reach","Impressions (proxy)"))</f>
        <v/>
      </c>
      <c r="AQ640" s="34" t="str">
        <f aca="false">IF(OR(AO640="",N(S640)=0),"",AO640/S640)</f>
        <v/>
      </c>
      <c r="AR640" s="33" t="str">
        <f aca="false">IF(A640="","",IF(COUNT(AF640:AJ640)=0,"",SUM(AF640:AJ640)))</f>
        <v/>
      </c>
      <c r="AS640" s="34" t="str">
        <f aca="false">IF(OR(AR640="",N(AO640)=0),"",AR640/AO640)</f>
        <v/>
      </c>
      <c r="AT640" s="34" t="str">
        <f aca="false">IF(OR(AR640="",N(AC640)=0),"",AR640/AC640)</f>
        <v/>
      </c>
      <c r="AU640" s="34" t="str">
        <f aca="false">IF(OR(AR640="",N(S640)=0),"",AR640/S640)</f>
        <v/>
      </c>
      <c r="AV640" s="34" t="str">
        <f aca="false">IF(OR(AJ640="",N(AC640)=0),"",AJ640/AC640)</f>
        <v/>
      </c>
      <c r="AW640" s="34" t="str">
        <f aca="false">IF(OR(AH640="",N(AO640)=0),"",AH640/AO640)</f>
        <v/>
      </c>
      <c r="AX640" s="35" t="str">
        <f aca="false">IF(OR(AR640="",N(AO640)=0),"",(N(AF640)*Settings!$B$6+N(AG640)*Settings!$B$7+N(AH640)*Settings!$B$8+N(AI640)*Settings!$B$9+N(AJ640)*Settings!$B$10)/AO640*1000)</f>
        <v/>
      </c>
      <c r="AY640" s="36" t="str">
        <f aca="false">IF(AS640="","",IFERROR(AS640/AVERAGEIFS('Post Tracker'!$AS$5:$AS$1004,'Post Tracker'!$G$5:$G$1004,G640),""))</f>
        <v/>
      </c>
      <c r="AZ640" s="32"/>
      <c r="BA640" s="32"/>
      <c r="BB640" s="32"/>
      <c r="BC640" s="32"/>
      <c r="BD640" s="33" t="str">
        <f aca="false">IF(A640="","",COUNTIFS('Demo Pipeline'!$Q$5:$Q$504,A640))</f>
        <v/>
      </c>
      <c r="BE640" s="33" t="str">
        <f aca="false">IF(A640="","",COUNTIFS('Demo Pipeline'!$Q$5:$Q$504,A640,'Demo Pipeline'!$W$5:$W$504,"Attended"))</f>
        <v/>
      </c>
      <c r="BF640" s="33" t="str">
        <f aca="false">IF(A640="","",COUNTIFS('Demo Pipeline'!$Q$5:$Q$504,A640,'Demo Pipeline'!$X$5:$X$504,"Yes"))</f>
        <v/>
      </c>
      <c r="BG640" s="33" t="str">
        <f aca="false">IF(A640="","",COUNTIFS('Demo Pipeline'!$Q$5:$Q$504,A640,'Demo Pipeline'!$Y$5:$Y$504,"Closed Won"))</f>
        <v/>
      </c>
      <c r="BH640" s="37" t="str">
        <f aca="false">IF(A640="","",SUMIFS('Demo Pipeline'!$Z$5:$Z$504,'Demo Pipeline'!$Q$5:$Q$504,A640))</f>
        <v/>
      </c>
      <c r="BI640" s="34" t="str">
        <f aca="false">IF(OR(AZ640="",N(AJ640)=0),"",AZ640/AJ640)</f>
        <v/>
      </c>
      <c r="BJ640" s="34" t="str">
        <f aca="false">IF(OR(BB640="",N(AZ640)=0),"",BB640/AZ640)</f>
        <v/>
      </c>
      <c r="BK640" s="34" t="str">
        <f aca="false">IF(OR(A640="",N(BB640)=0),"",BD640/BB640)</f>
        <v/>
      </c>
      <c r="BL640" s="34" t="str">
        <f aca="false">IF(OR(A640="",N(AZ640)=0),"",BD640/AZ640)</f>
        <v/>
      </c>
      <c r="BM640" s="37" t="str">
        <f aca="false">IF(OR(N(Q640)=0,N(BD640)=0),"",Q640/BD640)</f>
        <v/>
      </c>
      <c r="BN640" s="29"/>
      <c r="BO640" s="29"/>
      <c r="BP640" s="33" t="str">
        <f aca="false">IF(OR(AR640="",N(AO640)=0),"",AR640)</f>
        <v/>
      </c>
      <c r="BQ640" s="33" t="str">
        <f aca="false">IF(OR(AR640="",N(S640)=0),"",S640)</f>
        <v/>
      </c>
      <c r="BR640" s="38" t="str">
        <f aca="false">IF(AND(ISNUMBER(B640),B640&gt;=Dashboard!$C$4,B640&lt;=Dashboard!$F$4,ISNUMBER(AU640)),AU640+ROW()/10^9,"")</f>
        <v/>
      </c>
      <c r="BS640" s="38" t="str">
        <f aca="false">IF(AND(ISNUMBER(B640),B640&gt;=Dashboard!$C$4,B640&lt;=Dashboard!$F$4,A640&lt;&gt;""),N(BD640)+N(AU640)/100+ROW()/10^9,"")</f>
        <v/>
      </c>
    </row>
    <row r="641" customFormat="false" ht="15" hidden="false" customHeight="false" outlineLevel="0" collapsed="false">
      <c r="A641" s="24" t="str">
        <f aca="false">IF(OR(B641="",G641="",H641=""),"",IFERROR(INDEX(Settings!$E$5:$E$49,MATCH(G641,Settings!$D$5:$D$49,0))&amp;INDEX(Settings!$H$5:$H$47,MATCH(H641,Settings!$G$5:$G$47,0))&amp;"-"&amp;TEXT(B641,"yymmdd")&amp;"-"&amp;IF(C641="","0000",TEXT(C641,"hhmm")),"CHECK LISTS"))</f>
        <v/>
      </c>
      <c r="B641" s="39"/>
      <c r="C641" s="40"/>
      <c r="D641" s="24" t="str">
        <f aca="false">IF(B641="","",TEXT(B641,"ddd"))</f>
        <v/>
      </c>
      <c r="E641" s="27" t="str">
        <f aca="false">IF(B641="","",B641-WEEKDAY(B641,3))</f>
        <v/>
      </c>
      <c r="F641" s="24" t="str">
        <f aca="false">IF(B641="","",TEXT(B641,"yyyy-mm"))</f>
        <v/>
      </c>
      <c r="G641" s="29"/>
      <c r="H641" s="29"/>
      <c r="I641" s="29"/>
      <c r="J641" s="29"/>
      <c r="K641" s="29"/>
      <c r="L641" s="29"/>
      <c r="M641" s="29"/>
      <c r="N641" s="29"/>
      <c r="O641" s="29"/>
      <c r="P641" s="29"/>
      <c r="Q641" s="30"/>
      <c r="R641" s="29"/>
      <c r="S641" s="32"/>
      <c r="T641" s="29"/>
      <c r="U641" s="29"/>
      <c r="V641" s="24" t="str">
        <f aca="false">IF(A641="","",IFERROR(INDEX(Settings!$F$5:$F$49,MATCH(G641,Settings!$D$5:$D$49,0)),""))</f>
        <v/>
      </c>
      <c r="W641" s="24" t="str">
        <f aca="false">IF(A641="","",IF(OR(P641="",P641="Organic"),"social","paid_social"))</f>
        <v/>
      </c>
      <c r="X641" s="24" t="str">
        <f aca="false">IF(A641="","",IF(K641&lt;&gt;"",IFERROR(INDEX('Case Studies'!$C$5:$C$54,MATCH(K641,'Case Studies'!$B$5:$B$54,0))&amp;"","case-study"),IF(J641&lt;&gt;"",IFERROR(INDEX(Settings!$J$5:$J$55,MATCH(J641,Settings!$I$5:$I$55,0)),"general"),"general")))</f>
        <v/>
      </c>
      <c r="Y641" s="24" t="str">
        <f aca="false">IF(A641="","",LOWER(A641))</f>
        <v/>
      </c>
      <c r="Z641" s="24" t="str">
        <f aca="false">IF(A641="","",IF(T641="",Settings!$B$5,T641)&amp;IF(ISNUMBER(FIND("?",IF(T641="",Settings!$B$5,T641))),"&amp;","?")&amp;"utm_source="&amp;V641&amp;"&amp;utm_medium="&amp;W641&amp;"&amp;utm_campaign="&amp;X641&amp;"&amp;utm_content="&amp;Y641)</f>
        <v/>
      </c>
      <c r="AA641" s="29"/>
      <c r="AB641" s="39"/>
      <c r="AC641" s="32"/>
      <c r="AD641" s="32"/>
      <c r="AE641" s="32"/>
      <c r="AF641" s="32"/>
      <c r="AG641" s="32"/>
      <c r="AH641" s="32"/>
      <c r="AI641" s="32"/>
      <c r="AJ641" s="32"/>
      <c r="AK641" s="32"/>
      <c r="AL641" s="32"/>
      <c r="AM641" s="32"/>
      <c r="AN641" s="32"/>
      <c r="AO641" s="33" t="str">
        <f aca="false">IF(A641="","",IF(AD641&lt;&gt;"",AD641,IF(AC641&lt;&gt;"",AC641,"")))</f>
        <v/>
      </c>
      <c r="AP641" s="24" t="str">
        <f aca="false">IF(AO641="","",IF(AD641&lt;&gt;"","Reported reach","Impressions (proxy)"))</f>
        <v/>
      </c>
      <c r="AQ641" s="34" t="str">
        <f aca="false">IF(OR(AO641="",N(S641)=0),"",AO641/S641)</f>
        <v/>
      </c>
      <c r="AR641" s="33" t="str">
        <f aca="false">IF(A641="","",IF(COUNT(AF641:AJ641)=0,"",SUM(AF641:AJ641)))</f>
        <v/>
      </c>
      <c r="AS641" s="34" t="str">
        <f aca="false">IF(OR(AR641="",N(AO641)=0),"",AR641/AO641)</f>
        <v/>
      </c>
      <c r="AT641" s="34" t="str">
        <f aca="false">IF(OR(AR641="",N(AC641)=0),"",AR641/AC641)</f>
        <v/>
      </c>
      <c r="AU641" s="34" t="str">
        <f aca="false">IF(OR(AR641="",N(S641)=0),"",AR641/S641)</f>
        <v/>
      </c>
      <c r="AV641" s="34" t="str">
        <f aca="false">IF(OR(AJ641="",N(AC641)=0),"",AJ641/AC641)</f>
        <v/>
      </c>
      <c r="AW641" s="34" t="str">
        <f aca="false">IF(OR(AH641="",N(AO641)=0),"",AH641/AO641)</f>
        <v/>
      </c>
      <c r="AX641" s="35" t="str">
        <f aca="false">IF(OR(AR641="",N(AO641)=0),"",(N(AF641)*Settings!$B$6+N(AG641)*Settings!$B$7+N(AH641)*Settings!$B$8+N(AI641)*Settings!$B$9+N(AJ641)*Settings!$B$10)/AO641*1000)</f>
        <v/>
      </c>
      <c r="AY641" s="36" t="str">
        <f aca="false">IF(AS641="","",IFERROR(AS641/AVERAGEIFS('Post Tracker'!$AS$5:$AS$1004,'Post Tracker'!$G$5:$G$1004,G641),""))</f>
        <v/>
      </c>
      <c r="AZ641" s="32"/>
      <c r="BA641" s="32"/>
      <c r="BB641" s="32"/>
      <c r="BC641" s="32"/>
      <c r="BD641" s="33" t="str">
        <f aca="false">IF(A641="","",COUNTIFS('Demo Pipeline'!$Q$5:$Q$504,A641))</f>
        <v/>
      </c>
      <c r="BE641" s="33" t="str">
        <f aca="false">IF(A641="","",COUNTIFS('Demo Pipeline'!$Q$5:$Q$504,A641,'Demo Pipeline'!$W$5:$W$504,"Attended"))</f>
        <v/>
      </c>
      <c r="BF641" s="33" t="str">
        <f aca="false">IF(A641="","",COUNTIFS('Demo Pipeline'!$Q$5:$Q$504,A641,'Demo Pipeline'!$X$5:$X$504,"Yes"))</f>
        <v/>
      </c>
      <c r="BG641" s="33" t="str">
        <f aca="false">IF(A641="","",COUNTIFS('Demo Pipeline'!$Q$5:$Q$504,A641,'Demo Pipeline'!$Y$5:$Y$504,"Closed Won"))</f>
        <v/>
      </c>
      <c r="BH641" s="37" t="str">
        <f aca="false">IF(A641="","",SUMIFS('Demo Pipeline'!$Z$5:$Z$504,'Demo Pipeline'!$Q$5:$Q$504,A641))</f>
        <v/>
      </c>
      <c r="BI641" s="34" t="str">
        <f aca="false">IF(OR(AZ641="",N(AJ641)=0),"",AZ641/AJ641)</f>
        <v/>
      </c>
      <c r="BJ641" s="34" t="str">
        <f aca="false">IF(OR(BB641="",N(AZ641)=0),"",BB641/AZ641)</f>
        <v/>
      </c>
      <c r="BK641" s="34" t="str">
        <f aca="false">IF(OR(A641="",N(BB641)=0),"",BD641/BB641)</f>
        <v/>
      </c>
      <c r="BL641" s="34" t="str">
        <f aca="false">IF(OR(A641="",N(AZ641)=0),"",BD641/AZ641)</f>
        <v/>
      </c>
      <c r="BM641" s="37" t="str">
        <f aca="false">IF(OR(N(Q641)=0,N(BD641)=0),"",Q641/BD641)</f>
        <v/>
      </c>
      <c r="BN641" s="29"/>
      <c r="BO641" s="29"/>
      <c r="BP641" s="33" t="str">
        <f aca="false">IF(OR(AR641="",N(AO641)=0),"",AR641)</f>
        <v/>
      </c>
      <c r="BQ641" s="33" t="str">
        <f aca="false">IF(OR(AR641="",N(S641)=0),"",S641)</f>
        <v/>
      </c>
      <c r="BR641" s="38" t="str">
        <f aca="false">IF(AND(ISNUMBER(B641),B641&gt;=Dashboard!$C$4,B641&lt;=Dashboard!$F$4,ISNUMBER(AU641)),AU641+ROW()/10^9,"")</f>
        <v/>
      </c>
      <c r="BS641" s="38" t="str">
        <f aca="false">IF(AND(ISNUMBER(B641),B641&gt;=Dashboard!$C$4,B641&lt;=Dashboard!$F$4,A641&lt;&gt;""),N(BD641)+N(AU641)/100+ROW()/10^9,"")</f>
        <v/>
      </c>
    </row>
    <row r="642" customFormat="false" ht="15" hidden="false" customHeight="false" outlineLevel="0" collapsed="false">
      <c r="A642" s="24" t="str">
        <f aca="false">IF(OR(B642="",G642="",H642=""),"",IFERROR(INDEX(Settings!$E$5:$E$49,MATCH(G642,Settings!$D$5:$D$49,0))&amp;INDEX(Settings!$H$5:$H$47,MATCH(H642,Settings!$G$5:$G$47,0))&amp;"-"&amp;TEXT(B642,"yymmdd")&amp;"-"&amp;IF(C642="","0000",TEXT(C642,"hhmm")),"CHECK LISTS"))</f>
        <v/>
      </c>
      <c r="B642" s="39"/>
      <c r="C642" s="40"/>
      <c r="D642" s="24" t="str">
        <f aca="false">IF(B642="","",TEXT(B642,"ddd"))</f>
        <v/>
      </c>
      <c r="E642" s="27" t="str">
        <f aca="false">IF(B642="","",B642-WEEKDAY(B642,3))</f>
        <v/>
      </c>
      <c r="F642" s="24" t="str">
        <f aca="false">IF(B642="","",TEXT(B642,"yyyy-mm"))</f>
        <v/>
      </c>
      <c r="G642" s="29"/>
      <c r="H642" s="29"/>
      <c r="I642" s="29"/>
      <c r="J642" s="29"/>
      <c r="K642" s="29"/>
      <c r="L642" s="29"/>
      <c r="M642" s="29"/>
      <c r="N642" s="29"/>
      <c r="O642" s="29"/>
      <c r="P642" s="29"/>
      <c r="Q642" s="30"/>
      <c r="R642" s="29"/>
      <c r="S642" s="32"/>
      <c r="T642" s="29"/>
      <c r="U642" s="29"/>
      <c r="V642" s="24" t="str">
        <f aca="false">IF(A642="","",IFERROR(INDEX(Settings!$F$5:$F$49,MATCH(G642,Settings!$D$5:$D$49,0)),""))</f>
        <v/>
      </c>
      <c r="W642" s="24" t="str">
        <f aca="false">IF(A642="","",IF(OR(P642="",P642="Organic"),"social","paid_social"))</f>
        <v/>
      </c>
      <c r="X642" s="24" t="str">
        <f aca="false">IF(A642="","",IF(K642&lt;&gt;"",IFERROR(INDEX('Case Studies'!$C$5:$C$54,MATCH(K642,'Case Studies'!$B$5:$B$54,0))&amp;"","case-study"),IF(J642&lt;&gt;"",IFERROR(INDEX(Settings!$J$5:$J$55,MATCH(J642,Settings!$I$5:$I$55,0)),"general"),"general")))</f>
        <v/>
      </c>
      <c r="Y642" s="24" t="str">
        <f aca="false">IF(A642="","",LOWER(A642))</f>
        <v/>
      </c>
      <c r="Z642" s="24" t="str">
        <f aca="false">IF(A642="","",IF(T642="",Settings!$B$5,T642)&amp;IF(ISNUMBER(FIND("?",IF(T642="",Settings!$B$5,T642))),"&amp;","?")&amp;"utm_source="&amp;V642&amp;"&amp;utm_medium="&amp;W642&amp;"&amp;utm_campaign="&amp;X642&amp;"&amp;utm_content="&amp;Y642)</f>
        <v/>
      </c>
      <c r="AA642" s="29"/>
      <c r="AB642" s="39"/>
      <c r="AC642" s="32"/>
      <c r="AD642" s="32"/>
      <c r="AE642" s="32"/>
      <c r="AF642" s="32"/>
      <c r="AG642" s="32"/>
      <c r="AH642" s="32"/>
      <c r="AI642" s="32"/>
      <c r="AJ642" s="32"/>
      <c r="AK642" s="32"/>
      <c r="AL642" s="32"/>
      <c r="AM642" s="32"/>
      <c r="AN642" s="32"/>
      <c r="AO642" s="33" t="str">
        <f aca="false">IF(A642="","",IF(AD642&lt;&gt;"",AD642,IF(AC642&lt;&gt;"",AC642,"")))</f>
        <v/>
      </c>
      <c r="AP642" s="24" t="str">
        <f aca="false">IF(AO642="","",IF(AD642&lt;&gt;"","Reported reach","Impressions (proxy)"))</f>
        <v/>
      </c>
      <c r="AQ642" s="34" t="str">
        <f aca="false">IF(OR(AO642="",N(S642)=0),"",AO642/S642)</f>
        <v/>
      </c>
      <c r="AR642" s="33" t="str">
        <f aca="false">IF(A642="","",IF(COUNT(AF642:AJ642)=0,"",SUM(AF642:AJ642)))</f>
        <v/>
      </c>
      <c r="AS642" s="34" t="str">
        <f aca="false">IF(OR(AR642="",N(AO642)=0),"",AR642/AO642)</f>
        <v/>
      </c>
      <c r="AT642" s="34" t="str">
        <f aca="false">IF(OR(AR642="",N(AC642)=0),"",AR642/AC642)</f>
        <v/>
      </c>
      <c r="AU642" s="34" t="str">
        <f aca="false">IF(OR(AR642="",N(S642)=0),"",AR642/S642)</f>
        <v/>
      </c>
      <c r="AV642" s="34" t="str">
        <f aca="false">IF(OR(AJ642="",N(AC642)=0),"",AJ642/AC642)</f>
        <v/>
      </c>
      <c r="AW642" s="34" t="str">
        <f aca="false">IF(OR(AH642="",N(AO642)=0),"",AH642/AO642)</f>
        <v/>
      </c>
      <c r="AX642" s="35" t="str">
        <f aca="false">IF(OR(AR642="",N(AO642)=0),"",(N(AF642)*Settings!$B$6+N(AG642)*Settings!$B$7+N(AH642)*Settings!$B$8+N(AI642)*Settings!$B$9+N(AJ642)*Settings!$B$10)/AO642*1000)</f>
        <v/>
      </c>
      <c r="AY642" s="36" t="str">
        <f aca="false">IF(AS642="","",IFERROR(AS642/AVERAGEIFS('Post Tracker'!$AS$5:$AS$1004,'Post Tracker'!$G$5:$G$1004,G642),""))</f>
        <v/>
      </c>
      <c r="AZ642" s="32"/>
      <c r="BA642" s="32"/>
      <c r="BB642" s="32"/>
      <c r="BC642" s="32"/>
      <c r="BD642" s="33" t="str">
        <f aca="false">IF(A642="","",COUNTIFS('Demo Pipeline'!$Q$5:$Q$504,A642))</f>
        <v/>
      </c>
      <c r="BE642" s="33" t="str">
        <f aca="false">IF(A642="","",COUNTIFS('Demo Pipeline'!$Q$5:$Q$504,A642,'Demo Pipeline'!$W$5:$W$504,"Attended"))</f>
        <v/>
      </c>
      <c r="BF642" s="33" t="str">
        <f aca="false">IF(A642="","",COUNTIFS('Demo Pipeline'!$Q$5:$Q$504,A642,'Demo Pipeline'!$X$5:$X$504,"Yes"))</f>
        <v/>
      </c>
      <c r="BG642" s="33" t="str">
        <f aca="false">IF(A642="","",COUNTIFS('Demo Pipeline'!$Q$5:$Q$504,A642,'Demo Pipeline'!$Y$5:$Y$504,"Closed Won"))</f>
        <v/>
      </c>
      <c r="BH642" s="37" t="str">
        <f aca="false">IF(A642="","",SUMIFS('Demo Pipeline'!$Z$5:$Z$504,'Demo Pipeline'!$Q$5:$Q$504,A642))</f>
        <v/>
      </c>
      <c r="BI642" s="34" t="str">
        <f aca="false">IF(OR(AZ642="",N(AJ642)=0),"",AZ642/AJ642)</f>
        <v/>
      </c>
      <c r="BJ642" s="34" t="str">
        <f aca="false">IF(OR(BB642="",N(AZ642)=0),"",BB642/AZ642)</f>
        <v/>
      </c>
      <c r="BK642" s="34" t="str">
        <f aca="false">IF(OR(A642="",N(BB642)=0),"",BD642/BB642)</f>
        <v/>
      </c>
      <c r="BL642" s="34" t="str">
        <f aca="false">IF(OR(A642="",N(AZ642)=0),"",BD642/AZ642)</f>
        <v/>
      </c>
      <c r="BM642" s="37" t="str">
        <f aca="false">IF(OR(N(Q642)=0,N(BD642)=0),"",Q642/BD642)</f>
        <v/>
      </c>
      <c r="BN642" s="29"/>
      <c r="BO642" s="29"/>
      <c r="BP642" s="33" t="str">
        <f aca="false">IF(OR(AR642="",N(AO642)=0),"",AR642)</f>
        <v/>
      </c>
      <c r="BQ642" s="33" t="str">
        <f aca="false">IF(OR(AR642="",N(S642)=0),"",S642)</f>
        <v/>
      </c>
      <c r="BR642" s="38" t="str">
        <f aca="false">IF(AND(ISNUMBER(B642),B642&gt;=Dashboard!$C$4,B642&lt;=Dashboard!$F$4,ISNUMBER(AU642)),AU642+ROW()/10^9,"")</f>
        <v/>
      </c>
      <c r="BS642" s="38" t="str">
        <f aca="false">IF(AND(ISNUMBER(B642),B642&gt;=Dashboard!$C$4,B642&lt;=Dashboard!$F$4,A642&lt;&gt;""),N(BD642)+N(AU642)/100+ROW()/10^9,"")</f>
        <v/>
      </c>
    </row>
    <row r="643" customFormat="false" ht="15" hidden="false" customHeight="false" outlineLevel="0" collapsed="false">
      <c r="A643" s="24" t="str">
        <f aca="false">IF(OR(B643="",G643="",H643=""),"",IFERROR(INDEX(Settings!$E$5:$E$49,MATCH(G643,Settings!$D$5:$D$49,0))&amp;INDEX(Settings!$H$5:$H$47,MATCH(H643,Settings!$G$5:$G$47,0))&amp;"-"&amp;TEXT(B643,"yymmdd")&amp;"-"&amp;IF(C643="","0000",TEXT(C643,"hhmm")),"CHECK LISTS"))</f>
        <v/>
      </c>
      <c r="B643" s="39"/>
      <c r="C643" s="40"/>
      <c r="D643" s="24" t="str">
        <f aca="false">IF(B643="","",TEXT(B643,"ddd"))</f>
        <v/>
      </c>
      <c r="E643" s="27" t="str">
        <f aca="false">IF(B643="","",B643-WEEKDAY(B643,3))</f>
        <v/>
      </c>
      <c r="F643" s="24" t="str">
        <f aca="false">IF(B643="","",TEXT(B643,"yyyy-mm"))</f>
        <v/>
      </c>
      <c r="G643" s="29"/>
      <c r="H643" s="29"/>
      <c r="I643" s="29"/>
      <c r="J643" s="29"/>
      <c r="K643" s="29"/>
      <c r="L643" s="29"/>
      <c r="M643" s="29"/>
      <c r="N643" s="29"/>
      <c r="O643" s="29"/>
      <c r="P643" s="29"/>
      <c r="Q643" s="30"/>
      <c r="R643" s="29"/>
      <c r="S643" s="32"/>
      <c r="T643" s="29"/>
      <c r="U643" s="29"/>
      <c r="V643" s="24" t="str">
        <f aca="false">IF(A643="","",IFERROR(INDEX(Settings!$F$5:$F$49,MATCH(G643,Settings!$D$5:$D$49,0)),""))</f>
        <v/>
      </c>
      <c r="W643" s="24" t="str">
        <f aca="false">IF(A643="","",IF(OR(P643="",P643="Organic"),"social","paid_social"))</f>
        <v/>
      </c>
      <c r="X643" s="24" t="str">
        <f aca="false">IF(A643="","",IF(K643&lt;&gt;"",IFERROR(INDEX('Case Studies'!$C$5:$C$54,MATCH(K643,'Case Studies'!$B$5:$B$54,0))&amp;"","case-study"),IF(J643&lt;&gt;"",IFERROR(INDEX(Settings!$J$5:$J$55,MATCH(J643,Settings!$I$5:$I$55,0)),"general"),"general")))</f>
        <v/>
      </c>
      <c r="Y643" s="24" t="str">
        <f aca="false">IF(A643="","",LOWER(A643))</f>
        <v/>
      </c>
      <c r="Z643" s="24" t="str">
        <f aca="false">IF(A643="","",IF(T643="",Settings!$B$5,T643)&amp;IF(ISNUMBER(FIND("?",IF(T643="",Settings!$B$5,T643))),"&amp;","?")&amp;"utm_source="&amp;V643&amp;"&amp;utm_medium="&amp;W643&amp;"&amp;utm_campaign="&amp;X643&amp;"&amp;utm_content="&amp;Y643)</f>
        <v/>
      </c>
      <c r="AA643" s="29"/>
      <c r="AB643" s="39"/>
      <c r="AC643" s="32"/>
      <c r="AD643" s="32"/>
      <c r="AE643" s="32"/>
      <c r="AF643" s="32"/>
      <c r="AG643" s="32"/>
      <c r="AH643" s="32"/>
      <c r="AI643" s="32"/>
      <c r="AJ643" s="32"/>
      <c r="AK643" s="32"/>
      <c r="AL643" s="32"/>
      <c r="AM643" s="32"/>
      <c r="AN643" s="32"/>
      <c r="AO643" s="33" t="str">
        <f aca="false">IF(A643="","",IF(AD643&lt;&gt;"",AD643,IF(AC643&lt;&gt;"",AC643,"")))</f>
        <v/>
      </c>
      <c r="AP643" s="24" t="str">
        <f aca="false">IF(AO643="","",IF(AD643&lt;&gt;"","Reported reach","Impressions (proxy)"))</f>
        <v/>
      </c>
      <c r="AQ643" s="34" t="str">
        <f aca="false">IF(OR(AO643="",N(S643)=0),"",AO643/S643)</f>
        <v/>
      </c>
      <c r="AR643" s="33" t="str">
        <f aca="false">IF(A643="","",IF(COUNT(AF643:AJ643)=0,"",SUM(AF643:AJ643)))</f>
        <v/>
      </c>
      <c r="AS643" s="34" t="str">
        <f aca="false">IF(OR(AR643="",N(AO643)=0),"",AR643/AO643)</f>
        <v/>
      </c>
      <c r="AT643" s="34" t="str">
        <f aca="false">IF(OR(AR643="",N(AC643)=0),"",AR643/AC643)</f>
        <v/>
      </c>
      <c r="AU643" s="34" t="str">
        <f aca="false">IF(OR(AR643="",N(S643)=0),"",AR643/S643)</f>
        <v/>
      </c>
      <c r="AV643" s="34" t="str">
        <f aca="false">IF(OR(AJ643="",N(AC643)=0),"",AJ643/AC643)</f>
        <v/>
      </c>
      <c r="AW643" s="34" t="str">
        <f aca="false">IF(OR(AH643="",N(AO643)=0),"",AH643/AO643)</f>
        <v/>
      </c>
      <c r="AX643" s="35" t="str">
        <f aca="false">IF(OR(AR643="",N(AO643)=0),"",(N(AF643)*Settings!$B$6+N(AG643)*Settings!$B$7+N(AH643)*Settings!$B$8+N(AI643)*Settings!$B$9+N(AJ643)*Settings!$B$10)/AO643*1000)</f>
        <v/>
      </c>
      <c r="AY643" s="36" t="str">
        <f aca="false">IF(AS643="","",IFERROR(AS643/AVERAGEIFS('Post Tracker'!$AS$5:$AS$1004,'Post Tracker'!$G$5:$G$1004,G643),""))</f>
        <v/>
      </c>
      <c r="AZ643" s="32"/>
      <c r="BA643" s="32"/>
      <c r="BB643" s="32"/>
      <c r="BC643" s="32"/>
      <c r="BD643" s="33" t="str">
        <f aca="false">IF(A643="","",COUNTIFS('Demo Pipeline'!$Q$5:$Q$504,A643))</f>
        <v/>
      </c>
      <c r="BE643" s="33" t="str">
        <f aca="false">IF(A643="","",COUNTIFS('Demo Pipeline'!$Q$5:$Q$504,A643,'Demo Pipeline'!$W$5:$W$504,"Attended"))</f>
        <v/>
      </c>
      <c r="BF643" s="33" t="str">
        <f aca="false">IF(A643="","",COUNTIFS('Demo Pipeline'!$Q$5:$Q$504,A643,'Demo Pipeline'!$X$5:$X$504,"Yes"))</f>
        <v/>
      </c>
      <c r="BG643" s="33" t="str">
        <f aca="false">IF(A643="","",COUNTIFS('Demo Pipeline'!$Q$5:$Q$504,A643,'Demo Pipeline'!$Y$5:$Y$504,"Closed Won"))</f>
        <v/>
      </c>
      <c r="BH643" s="37" t="str">
        <f aca="false">IF(A643="","",SUMIFS('Demo Pipeline'!$Z$5:$Z$504,'Demo Pipeline'!$Q$5:$Q$504,A643))</f>
        <v/>
      </c>
      <c r="BI643" s="34" t="str">
        <f aca="false">IF(OR(AZ643="",N(AJ643)=0),"",AZ643/AJ643)</f>
        <v/>
      </c>
      <c r="BJ643" s="34" t="str">
        <f aca="false">IF(OR(BB643="",N(AZ643)=0),"",BB643/AZ643)</f>
        <v/>
      </c>
      <c r="BK643" s="34" t="str">
        <f aca="false">IF(OR(A643="",N(BB643)=0),"",BD643/BB643)</f>
        <v/>
      </c>
      <c r="BL643" s="34" t="str">
        <f aca="false">IF(OR(A643="",N(AZ643)=0),"",BD643/AZ643)</f>
        <v/>
      </c>
      <c r="BM643" s="37" t="str">
        <f aca="false">IF(OR(N(Q643)=0,N(BD643)=0),"",Q643/BD643)</f>
        <v/>
      </c>
      <c r="BN643" s="29"/>
      <c r="BO643" s="29"/>
      <c r="BP643" s="33" t="str">
        <f aca="false">IF(OR(AR643="",N(AO643)=0),"",AR643)</f>
        <v/>
      </c>
      <c r="BQ643" s="33" t="str">
        <f aca="false">IF(OR(AR643="",N(S643)=0),"",S643)</f>
        <v/>
      </c>
      <c r="BR643" s="38" t="str">
        <f aca="false">IF(AND(ISNUMBER(B643),B643&gt;=Dashboard!$C$4,B643&lt;=Dashboard!$F$4,ISNUMBER(AU643)),AU643+ROW()/10^9,"")</f>
        <v/>
      </c>
      <c r="BS643" s="38" t="str">
        <f aca="false">IF(AND(ISNUMBER(B643),B643&gt;=Dashboard!$C$4,B643&lt;=Dashboard!$F$4,A643&lt;&gt;""),N(BD643)+N(AU643)/100+ROW()/10^9,"")</f>
        <v/>
      </c>
    </row>
    <row r="644" customFormat="false" ht="15" hidden="false" customHeight="false" outlineLevel="0" collapsed="false">
      <c r="A644" s="24" t="str">
        <f aca="false">IF(OR(B644="",G644="",H644=""),"",IFERROR(INDEX(Settings!$E$5:$E$49,MATCH(G644,Settings!$D$5:$D$49,0))&amp;INDEX(Settings!$H$5:$H$47,MATCH(H644,Settings!$G$5:$G$47,0))&amp;"-"&amp;TEXT(B644,"yymmdd")&amp;"-"&amp;IF(C644="","0000",TEXT(C644,"hhmm")),"CHECK LISTS"))</f>
        <v/>
      </c>
      <c r="B644" s="39"/>
      <c r="C644" s="40"/>
      <c r="D644" s="24" t="str">
        <f aca="false">IF(B644="","",TEXT(B644,"ddd"))</f>
        <v/>
      </c>
      <c r="E644" s="27" t="str">
        <f aca="false">IF(B644="","",B644-WEEKDAY(B644,3))</f>
        <v/>
      </c>
      <c r="F644" s="24" t="str">
        <f aca="false">IF(B644="","",TEXT(B644,"yyyy-mm"))</f>
        <v/>
      </c>
      <c r="G644" s="29"/>
      <c r="H644" s="29"/>
      <c r="I644" s="29"/>
      <c r="J644" s="29"/>
      <c r="K644" s="29"/>
      <c r="L644" s="29"/>
      <c r="M644" s="29"/>
      <c r="N644" s="29"/>
      <c r="O644" s="29"/>
      <c r="P644" s="29"/>
      <c r="Q644" s="30"/>
      <c r="R644" s="29"/>
      <c r="S644" s="32"/>
      <c r="T644" s="29"/>
      <c r="U644" s="29"/>
      <c r="V644" s="24" t="str">
        <f aca="false">IF(A644="","",IFERROR(INDEX(Settings!$F$5:$F$49,MATCH(G644,Settings!$D$5:$D$49,0)),""))</f>
        <v/>
      </c>
      <c r="W644" s="24" t="str">
        <f aca="false">IF(A644="","",IF(OR(P644="",P644="Organic"),"social","paid_social"))</f>
        <v/>
      </c>
      <c r="X644" s="24" t="str">
        <f aca="false">IF(A644="","",IF(K644&lt;&gt;"",IFERROR(INDEX('Case Studies'!$C$5:$C$54,MATCH(K644,'Case Studies'!$B$5:$B$54,0))&amp;"","case-study"),IF(J644&lt;&gt;"",IFERROR(INDEX(Settings!$J$5:$J$55,MATCH(J644,Settings!$I$5:$I$55,0)),"general"),"general")))</f>
        <v/>
      </c>
      <c r="Y644" s="24" t="str">
        <f aca="false">IF(A644="","",LOWER(A644))</f>
        <v/>
      </c>
      <c r="Z644" s="24" t="str">
        <f aca="false">IF(A644="","",IF(T644="",Settings!$B$5,T644)&amp;IF(ISNUMBER(FIND("?",IF(T644="",Settings!$B$5,T644))),"&amp;","?")&amp;"utm_source="&amp;V644&amp;"&amp;utm_medium="&amp;W644&amp;"&amp;utm_campaign="&amp;X644&amp;"&amp;utm_content="&amp;Y644)</f>
        <v/>
      </c>
      <c r="AA644" s="29"/>
      <c r="AB644" s="39"/>
      <c r="AC644" s="32"/>
      <c r="AD644" s="32"/>
      <c r="AE644" s="32"/>
      <c r="AF644" s="32"/>
      <c r="AG644" s="32"/>
      <c r="AH644" s="32"/>
      <c r="AI644" s="32"/>
      <c r="AJ644" s="32"/>
      <c r="AK644" s="32"/>
      <c r="AL644" s="32"/>
      <c r="AM644" s="32"/>
      <c r="AN644" s="32"/>
      <c r="AO644" s="33" t="str">
        <f aca="false">IF(A644="","",IF(AD644&lt;&gt;"",AD644,IF(AC644&lt;&gt;"",AC644,"")))</f>
        <v/>
      </c>
      <c r="AP644" s="24" t="str">
        <f aca="false">IF(AO644="","",IF(AD644&lt;&gt;"","Reported reach","Impressions (proxy)"))</f>
        <v/>
      </c>
      <c r="AQ644" s="34" t="str">
        <f aca="false">IF(OR(AO644="",N(S644)=0),"",AO644/S644)</f>
        <v/>
      </c>
      <c r="AR644" s="33" t="str">
        <f aca="false">IF(A644="","",IF(COUNT(AF644:AJ644)=0,"",SUM(AF644:AJ644)))</f>
        <v/>
      </c>
      <c r="AS644" s="34" t="str">
        <f aca="false">IF(OR(AR644="",N(AO644)=0),"",AR644/AO644)</f>
        <v/>
      </c>
      <c r="AT644" s="34" t="str">
        <f aca="false">IF(OR(AR644="",N(AC644)=0),"",AR644/AC644)</f>
        <v/>
      </c>
      <c r="AU644" s="34" t="str">
        <f aca="false">IF(OR(AR644="",N(S644)=0),"",AR644/S644)</f>
        <v/>
      </c>
      <c r="AV644" s="34" t="str">
        <f aca="false">IF(OR(AJ644="",N(AC644)=0),"",AJ644/AC644)</f>
        <v/>
      </c>
      <c r="AW644" s="34" t="str">
        <f aca="false">IF(OR(AH644="",N(AO644)=0),"",AH644/AO644)</f>
        <v/>
      </c>
      <c r="AX644" s="35" t="str">
        <f aca="false">IF(OR(AR644="",N(AO644)=0),"",(N(AF644)*Settings!$B$6+N(AG644)*Settings!$B$7+N(AH644)*Settings!$B$8+N(AI644)*Settings!$B$9+N(AJ644)*Settings!$B$10)/AO644*1000)</f>
        <v/>
      </c>
      <c r="AY644" s="36" t="str">
        <f aca="false">IF(AS644="","",IFERROR(AS644/AVERAGEIFS('Post Tracker'!$AS$5:$AS$1004,'Post Tracker'!$G$5:$G$1004,G644),""))</f>
        <v/>
      </c>
      <c r="AZ644" s="32"/>
      <c r="BA644" s="32"/>
      <c r="BB644" s="32"/>
      <c r="BC644" s="32"/>
      <c r="BD644" s="33" t="str">
        <f aca="false">IF(A644="","",COUNTIFS('Demo Pipeline'!$Q$5:$Q$504,A644))</f>
        <v/>
      </c>
      <c r="BE644" s="33" t="str">
        <f aca="false">IF(A644="","",COUNTIFS('Demo Pipeline'!$Q$5:$Q$504,A644,'Demo Pipeline'!$W$5:$W$504,"Attended"))</f>
        <v/>
      </c>
      <c r="BF644" s="33" t="str">
        <f aca="false">IF(A644="","",COUNTIFS('Demo Pipeline'!$Q$5:$Q$504,A644,'Demo Pipeline'!$X$5:$X$504,"Yes"))</f>
        <v/>
      </c>
      <c r="BG644" s="33" t="str">
        <f aca="false">IF(A644="","",COUNTIFS('Demo Pipeline'!$Q$5:$Q$504,A644,'Demo Pipeline'!$Y$5:$Y$504,"Closed Won"))</f>
        <v/>
      </c>
      <c r="BH644" s="37" t="str">
        <f aca="false">IF(A644="","",SUMIFS('Demo Pipeline'!$Z$5:$Z$504,'Demo Pipeline'!$Q$5:$Q$504,A644))</f>
        <v/>
      </c>
      <c r="BI644" s="34" t="str">
        <f aca="false">IF(OR(AZ644="",N(AJ644)=0),"",AZ644/AJ644)</f>
        <v/>
      </c>
      <c r="BJ644" s="34" t="str">
        <f aca="false">IF(OR(BB644="",N(AZ644)=0),"",BB644/AZ644)</f>
        <v/>
      </c>
      <c r="BK644" s="34" t="str">
        <f aca="false">IF(OR(A644="",N(BB644)=0),"",BD644/BB644)</f>
        <v/>
      </c>
      <c r="BL644" s="34" t="str">
        <f aca="false">IF(OR(A644="",N(AZ644)=0),"",BD644/AZ644)</f>
        <v/>
      </c>
      <c r="BM644" s="37" t="str">
        <f aca="false">IF(OR(N(Q644)=0,N(BD644)=0),"",Q644/BD644)</f>
        <v/>
      </c>
      <c r="BN644" s="29"/>
      <c r="BO644" s="29"/>
      <c r="BP644" s="33" t="str">
        <f aca="false">IF(OR(AR644="",N(AO644)=0),"",AR644)</f>
        <v/>
      </c>
      <c r="BQ644" s="33" t="str">
        <f aca="false">IF(OR(AR644="",N(S644)=0),"",S644)</f>
        <v/>
      </c>
      <c r="BR644" s="38" t="str">
        <f aca="false">IF(AND(ISNUMBER(B644),B644&gt;=Dashboard!$C$4,B644&lt;=Dashboard!$F$4,ISNUMBER(AU644)),AU644+ROW()/10^9,"")</f>
        <v/>
      </c>
      <c r="BS644" s="38" t="str">
        <f aca="false">IF(AND(ISNUMBER(B644),B644&gt;=Dashboard!$C$4,B644&lt;=Dashboard!$F$4,A644&lt;&gt;""),N(BD644)+N(AU644)/100+ROW()/10^9,"")</f>
        <v/>
      </c>
    </row>
    <row r="645" customFormat="false" ht="15" hidden="false" customHeight="false" outlineLevel="0" collapsed="false">
      <c r="A645" s="24" t="str">
        <f aca="false">IF(OR(B645="",G645="",H645=""),"",IFERROR(INDEX(Settings!$E$5:$E$49,MATCH(G645,Settings!$D$5:$D$49,0))&amp;INDEX(Settings!$H$5:$H$47,MATCH(H645,Settings!$G$5:$G$47,0))&amp;"-"&amp;TEXT(B645,"yymmdd")&amp;"-"&amp;IF(C645="","0000",TEXT(C645,"hhmm")),"CHECK LISTS"))</f>
        <v/>
      </c>
      <c r="B645" s="39"/>
      <c r="C645" s="40"/>
      <c r="D645" s="24" t="str">
        <f aca="false">IF(B645="","",TEXT(B645,"ddd"))</f>
        <v/>
      </c>
      <c r="E645" s="27" t="str">
        <f aca="false">IF(B645="","",B645-WEEKDAY(B645,3))</f>
        <v/>
      </c>
      <c r="F645" s="24" t="str">
        <f aca="false">IF(B645="","",TEXT(B645,"yyyy-mm"))</f>
        <v/>
      </c>
      <c r="G645" s="29"/>
      <c r="H645" s="29"/>
      <c r="I645" s="29"/>
      <c r="J645" s="29"/>
      <c r="K645" s="29"/>
      <c r="L645" s="29"/>
      <c r="M645" s="29"/>
      <c r="N645" s="29"/>
      <c r="O645" s="29"/>
      <c r="P645" s="29"/>
      <c r="Q645" s="30"/>
      <c r="R645" s="29"/>
      <c r="S645" s="32"/>
      <c r="T645" s="29"/>
      <c r="U645" s="29"/>
      <c r="V645" s="24" t="str">
        <f aca="false">IF(A645="","",IFERROR(INDEX(Settings!$F$5:$F$49,MATCH(G645,Settings!$D$5:$D$49,0)),""))</f>
        <v/>
      </c>
      <c r="W645" s="24" t="str">
        <f aca="false">IF(A645="","",IF(OR(P645="",P645="Organic"),"social","paid_social"))</f>
        <v/>
      </c>
      <c r="X645" s="24" t="str">
        <f aca="false">IF(A645="","",IF(K645&lt;&gt;"",IFERROR(INDEX('Case Studies'!$C$5:$C$54,MATCH(K645,'Case Studies'!$B$5:$B$54,0))&amp;"","case-study"),IF(J645&lt;&gt;"",IFERROR(INDEX(Settings!$J$5:$J$55,MATCH(J645,Settings!$I$5:$I$55,0)),"general"),"general")))</f>
        <v/>
      </c>
      <c r="Y645" s="24" t="str">
        <f aca="false">IF(A645="","",LOWER(A645))</f>
        <v/>
      </c>
      <c r="Z645" s="24" t="str">
        <f aca="false">IF(A645="","",IF(T645="",Settings!$B$5,T645)&amp;IF(ISNUMBER(FIND("?",IF(T645="",Settings!$B$5,T645))),"&amp;","?")&amp;"utm_source="&amp;V645&amp;"&amp;utm_medium="&amp;W645&amp;"&amp;utm_campaign="&amp;X645&amp;"&amp;utm_content="&amp;Y645)</f>
        <v/>
      </c>
      <c r="AA645" s="29"/>
      <c r="AB645" s="39"/>
      <c r="AC645" s="32"/>
      <c r="AD645" s="32"/>
      <c r="AE645" s="32"/>
      <c r="AF645" s="32"/>
      <c r="AG645" s="32"/>
      <c r="AH645" s="32"/>
      <c r="AI645" s="32"/>
      <c r="AJ645" s="32"/>
      <c r="AK645" s="32"/>
      <c r="AL645" s="32"/>
      <c r="AM645" s="32"/>
      <c r="AN645" s="32"/>
      <c r="AO645" s="33" t="str">
        <f aca="false">IF(A645="","",IF(AD645&lt;&gt;"",AD645,IF(AC645&lt;&gt;"",AC645,"")))</f>
        <v/>
      </c>
      <c r="AP645" s="24" t="str">
        <f aca="false">IF(AO645="","",IF(AD645&lt;&gt;"","Reported reach","Impressions (proxy)"))</f>
        <v/>
      </c>
      <c r="AQ645" s="34" t="str">
        <f aca="false">IF(OR(AO645="",N(S645)=0),"",AO645/S645)</f>
        <v/>
      </c>
      <c r="AR645" s="33" t="str">
        <f aca="false">IF(A645="","",IF(COUNT(AF645:AJ645)=0,"",SUM(AF645:AJ645)))</f>
        <v/>
      </c>
      <c r="AS645" s="34" t="str">
        <f aca="false">IF(OR(AR645="",N(AO645)=0),"",AR645/AO645)</f>
        <v/>
      </c>
      <c r="AT645" s="34" t="str">
        <f aca="false">IF(OR(AR645="",N(AC645)=0),"",AR645/AC645)</f>
        <v/>
      </c>
      <c r="AU645" s="34" t="str">
        <f aca="false">IF(OR(AR645="",N(S645)=0),"",AR645/S645)</f>
        <v/>
      </c>
      <c r="AV645" s="34" t="str">
        <f aca="false">IF(OR(AJ645="",N(AC645)=0),"",AJ645/AC645)</f>
        <v/>
      </c>
      <c r="AW645" s="34" t="str">
        <f aca="false">IF(OR(AH645="",N(AO645)=0),"",AH645/AO645)</f>
        <v/>
      </c>
      <c r="AX645" s="35" t="str">
        <f aca="false">IF(OR(AR645="",N(AO645)=0),"",(N(AF645)*Settings!$B$6+N(AG645)*Settings!$B$7+N(AH645)*Settings!$B$8+N(AI645)*Settings!$B$9+N(AJ645)*Settings!$B$10)/AO645*1000)</f>
        <v/>
      </c>
      <c r="AY645" s="36" t="str">
        <f aca="false">IF(AS645="","",IFERROR(AS645/AVERAGEIFS('Post Tracker'!$AS$5:$AS$1004,'Post Tracker'!$G$5:$G$1004,G645),""))</f>
        <v/>
      </c>
      <c r="AZ645" s="32"/>
      <c r="BA645" s="32"/>
      <c r="BB645" s="32"/>
      <c r="BC645" s="32"/>
      <c r="BD645" s="33" t="str">
        <f aca="false">IF(A645="","",COUNTIFS('Demo Pipeline'!$Q$5:$Q$504,A645))</f>
        <v/>
      </c>
      <c r="BE645" s="33" t="str">
        <f aca="false">IF(A645="","",COUNTIFS('Demo Pipeline'!$Q$5:$Q$504,A645,'Demo Pipeline'!$W$5:$W$504,"Attended"))</f>
        <v/>
      </c>
      <c r="BF645" s="33" t="str">
        <f aca="false">IF(A645="","",COUNTIFS('Demo Pipeline'!$Q$5:$Q$504,A645,'Demo Pipeline'!$X$5:$X$504,"Yes"))</f>
        <v/>
      </c>
      <c r="BG645" s="33" t="str">
        <f aca="false">IF(A645="","",COUNTIFS('Demo Pipeline'!$Q$5:$Q$504,A645,'Demo Pipeline'!$Y$5:$Y$504,"Closed Won"))</f>
        <v/>
      </c>
      <c r="BH645" s="37" t="str">
        <f aca="false">IF(A645="","",SUMIFS('Demo Pipeline'!$Z$5:$Z$504,'Demo Pipeline'!$Q$5:$Q$504,A645))</f>
        <v/>
      </c>
      <c r="BI645" s="34" t="str">
        <f aca="false">IF(OR(AZ645="",N(AJ645)=0),"",AZ645/AJ645)</f>
        <v/>
      </c>
      <c r="BJ645" s="34" t="str">
        <f aca="false">IF(OR(BB645="",N(AZ645)=0),"",BB645/AZ645)</f>
        <v/>
      </c>
      <c r="BK645" s="34" t="str">
        <f aca="false">IF(OR(A645="",N(BB645)=0),"",BD645/BB645)</f>
        <v/>
      </c>
      <c r="BL645" s="34" t="str">
        <f aca="false">IF(OR(A645="",N(AZ645)=0),"",BD645/AZ645)</f>
        <v/>
      </c>
      <c r="BM645" s="37" t="str">
        <f aca="false">IF(OR(N(Q645)=0,N(BD645)=0),"",Q645/BD645)</f>
        <v/>
      </c>
      <c r="BN645" s="29"/>
      <c r="BO645" s="29"/>
      <c r="BP645" s="33" t="str">
        <f aca="false">IF(OR(AR645="",N(AO645)=0),"",AR645)</f>
        <v/>
      </c>
      <c r="BQ645" s="33" t="str">
        <f aca="false">IF(OR(AR645="",N(S645)=0),"",S645)</f>
        <v/>
      </c>
      <c r="BR645" s="38" t="str">
        <f aca="false">IF(AND(ISNUMBER(B645),B645&gt;=Dashboard!$C$4,B645&lt;=Dashboard!$F$4,ISNUMBER(AU645)),AU645+ROW()/10^9,"")</f>
        <v/>
      </c>
      <c r="BS645" s="38" t="str">
        <f aca="false">IF(AND(ISNUMBER(B645),B645&gt;=Dashboard!$C$4,B645&lt;=Dashboard!$F$4,A645&lt;&gt;""),N(BD645)+N(AU645)/100+ROW()/10^9,"")</f>
        <v/>
      </c>
    </row>
    <row r="646" customFormat="false" ht="15" hidden="false" customHeight="false" outlineLevel="0" collapsed="false">
      <c r="A646" s="24" t="str">
        <f aca="false">IF(OR(B646="",G646="",H646=""),"",IFERROR(INDEX(Settings!$E$5:$E$49,MATCH(G646,Settings!$D$5:$D$49,0))&amp;INDEX(Settings!$H$5:$H$47,MATCH(H646,Settings!$G$5:$G$47,0))&amp;"-"&amp;TEXT(B646,"yymmdd")&amp;"-"&amp;IF(C646="","0000",TEXT(C646,"hhmm")),"CHECK LISTS"))</f>
        <v/>
      </c>
      <c r="B646" s="39"/>
      <c r="C646" s="40"/>
      <c r="D646" s="24" t="str">
        <f aca="false">IF(B646="","",TEXT(B646,"ddd"))</f>
        <v/>
      </c>
      <c r="E646" s="27" t="str">
        <f aca="false">IF(B646="","",B646-WEEKDAY(B646,3))</f>
        <v/>
      </c>
      <c r="F646" s="24" t="str">
        <f aca="false">IF(B646="","",TEXT(B646,"yyyy-mm"))</f>
        <v/>
      </c>
      <c r="G646" s="29"/>
      <c r="H646" s="29"/>
      <c r="I646" s="29"/>
      <c r="J646" s="29"/>
      <c r="K646" s="29"/>
      <c r="L646" s="29"/>
      <c r="M646" s="29"/>
      <c r="N646" s="29"/>
      <c r="O646" s="29"/>
      <c r="P646" s="29"/>
      <c r="Q646" s="30"/>
      <c r="R646" s="29"/>
      <c r="S646" s="32"/>
      <c r="T646" s="29"/>
      <c r="U646" s="29"/>
      <c r="V646" s="24" t="str">
        <f aca="false">IF(A646="","",IFERROR(INDEX(Settings!$F$5:$F$49,MATCH(G646,Settings!$D$5:$D$49,0)),""))</f>
        <v/>
      </c>
      <c r="W646" s="24" t="str">
        <f aca="false">IF(A646="","",IF(OR(P646="",P646="Organic"),"social","paid_social"))</f>
        <v/>
      </c>
      <c r="X646" s="24" t="str">
        <f aca="false">IF(A646="","",IF(K646&lt;&gt;"",IFERROR(INDEX('Case Studies'!$C$5:$C$54,MATCH(K646,'Case Studies'!$B$5:$B$54,0))&amp;"","case-study"),IF(J646&lt;&gt;"",IFERROR(INDEX(Settings!$J$5:$J$55,MATCH(J646,Settings!$I$5:$I$55,0)),"general"),"general")))</f>
        <v/>
      </c>
      <c r="Y646" s="24" t="str">
        <f aca="false">IF(A646="","",LOWER(A646))</f>
        <v/>
      </c>
      <c r="Z646" s="24" t="str">
        <f aca="false">IF(A646="","",IF(T646="",Settings!$B$5,T646)&amp;IF(ISNUMBER(FIND("?",IF(T646="",Settings!$B$5,T646))),"&amp;","?")&amp;"utm_source="&amp;V646&amp;"&amp;utm_medium="&amp;W646&amp;"&amp;utm_campaign="&amp;X646&amp;"&amp;utm_content="&amp;Y646)</f>
        <v/>
      </c>
      <c r="AA646" s="29"/>
      <c r="AB646" s="39"/>
      <c r="AC646" s="32"/>
      <c r="AD646" s="32"/>
      <c r="AE646" s="32"/>
      <c r="AF646" s="32"/>
      <c r="AG646" s="32"/>
      <c r="AH646" s="32"/>
      <c r="AI646" s="32"/>
      <c r="AJ646" s="32"/>
      <c r="AK646" s="32"/>
      <c r="AL646" s="32"/>
      <c r="AM646" s="32"/>
      <c r="AN646" s="32"/>
      <c r="AO646" s="33" t="str">
        <f aca="false">IF(A646="","",IF(AD646&lt;&gt;"",AD646,IF(AC646&lt;&gt;"",AC646,"")))</f>
        <v/>
      </c>
      <c r="AP646" s="24" t="str">
        <f aca="false">IF(AO646="","",IF(AD646&lt;&gt;"","Reported reach","Impressions (proxy)"))</f>
        <v/>
      </c>
      <c r="AQ646" s="34" t="str">
        <f aca="false">IF(OR(AO646="",N(S646)=0),"",AO646/S646)</f>
        <v/>
      </c>
      <c r="AR646" s="33" t="str">
        <f aca="false">IF(A646="","",IF(COUNT(AF646:AJ646)=0,"",SUM(AF646:AJ646)))</f>
        <v/>
      </c>
      <c r="AS646" s="34" t="str">
        <f aca="false">IF(OR(AR646="",N(AO646)=0),"",AR646/AO646)</f>
        <v/>
      </c>
      <c r="AT646" s="34" t="str">
        <f aca="false">IF(OR(AR646="",N(AC646)=0),"",AR646/AC646)</f>
        <v/>
      </c>
      <c r="AU646" s="34" t="str">
        <f aca="false">IF(OR(AR646="",N(S646)=0),"",AR646/S646)</f>
        <v/>
      </c>
      <c r="AV646" s="34" t="str">
        <f aca="false">IF(OR(AJ646="",N(AC646)=0),"",AJ646/AC646)</f>
        <v/>
      </c>
      <c r="AW646" s="34" t="str">
        <f aca="false">IF(OR(AH646="",N(AO646)=0),"",AH646/AO646)</f>
        <v/>
      </c>
      <c r="AX646" s="35" t="str">
        <f aca="false">IF(OR(AR646="",N(AO646)=0),"",(N(AF646)*Settings!$B$6+N(AG646)*Settings!$B$7+N(AH646)*Settings!$B$8+N(AI646)*Settings!$B$9+N(AJ646)*Settings!$B$10)/AO646*1000)</f>
        <v/>
      </c>
      <c r="AY646" s="36" t="str">
        <f aca="false">IF(AS646="","",IFERROR(AS646/AVERAGEIFS('Post Tracker'!$AS$5:$AS$1004,'Post Tracker'!$G$5:$G$1004,G646),""))</f>
        <v/>
      </c>
      <c r="AZ646" s="32"/>
      <c r="BA646" s="32"/>
      <c r="BB646" s="32"/>
      <c r="BC646" s="32"/>
      <c r="BD646" s="33" t="str">
        <f aca="false">IF(A646="","",COUNTIFS('Demo Pipeline'!$Q$5:$Q$504,A646))</f>
        <v/>
      </c>
      <c r="BE646" s="33" t="str">
        <f aca="false">IF(A646="","",COUNTIFS('Demo Pipeline'!$Q$5:$Q$504,A646,'Demo Pipeline'!$W$5:$W$504,"Attended"))</f>
        <v/>
      </c>
      <c r="BF646" s="33" t="str">
        <f aca="false">IF(A646="","",COUNTIFS('Demo Pipeline'!$Q$5:$Q$504,A646,'Demo Pipeline'!$X$5:$X$504,"Yes"))</f>
        <v/>
      </c>
      <c r="BG646" s="33" t="str">
        <f aca="false">IF(A646="","",COUNTIFS('Demo Pipeline'!$Q$5:$Q$504,A646,'Demo Pipeline'!$Y$5:$Y$504,"Closed Won"))</f>
        <v/>
      </c>
      <c r="BH646" s="37" t="str">
        <f aca="false">IF(A646="","",SUMIFS('Demo Pipeline'!$Z$5:$Z$504,'Demo Pipeline'!$Q$5:$Q$504,A646))</f>
        <v/>
      </c>
      <c r="BI646" s="34" t="str">
        <f aca="false">IF(OR(AZ646="",N(AJ646)=0),"",AZ646/AJ646)</f>
        <v/>
      </c>
      <c r="BJ646" s="34" t="str">
        <f aca="false">IF(OR(BB646="",N(AZ646)=0),"",BB646/AZ646)</f>
        <v/>
      </c>
      <c r="BK646" s="34" t="str">
        <f aca="false">IF(OR(A646="",N(BB646)=0),"",BD646/BB646)</f>
        <v/>
      </c>
      <c r="BL646" s="34" t="str">
        <f aca="false">IF(OR(A646="",N(AZ646)=0),"",BD646/AZ646)</f>
        <v/>
      </c>
      <c r="BM646" s="37" t="str">
        <f aca="false">IF(OR(N(Q646)=0,N(BD646)=0),"",Q646/BD646)</f>
        <v/>
      </c>
      <c r="BN646" s="29"/>
      <c r="BO646" s="29"/>
      <c r="BP646" s="33" t="str">
        <f aca="false">IF(OR(AR646="",N(AO646)=0),"",AR646)</f>
        <v/>
      </c>
      <c r="BQ646" s="33" t="str">
        <f aca="false">IF(OR(AR646="",N(S646)=0),"",S646)</f>
        <v/>
      </c>
      <c r="BR646" s="38" t="str">
        <f aca="false">IF(AND(ISNUMBER(B646),B646&gt;=Dashboard!$C$4,B646&lt;=Dashboard!$F$4,ISNUMBER(AU646)),AU646+ROW()/10^9,"")</f>
        <v/>
      </c>
      <c r="BS646" s="38" t="str">
        <f aca="false">IF(AND(ISNUMBER(B646),B646&gt;=Dashboard!$C$4,B646&lt;=Dashboard!$F$4,A646&lt;&gt;""),N(BD646)+N(AU646)/100+ROW()/10^9,"")</f>
        <v/>
      </c>
    </row>
    <row r="647" customFormat="false" ht="15" hidden="false" customHeight="false" outlineLevel="0" collapsed="false">
      <c r="A647" s="24" t="str">
        <f aca="false">IF(OR(B647="",G647="",H647=""),"",IFERROR(INDEX(Settings!$E$5:$E$49,MATCH(G647,Settings!$D$5:$D$49,0))&amp;INDEX(Settings!$H$5:$H$47,MATCH(H647,Settings!$G$5:$G$47,0))&amp;"-"&amp;TEXT(B647,"yymmdd")&amp;"-"&amp;IF(C647="","0000",TEXT(C647,"hhmm")),"CHECK LISTS"))</f>
        <v/>
      </c>
      <c r="B647" s="39"/>
      <c r="C647" s="40"/>
      <c r="D647" s="24" t="str">
        <f aca="false">IF(B647="","",TEXT(B647,"ddd"))</f>
        <v/>
      </c>
      <c r="E647" s="27" t="str">
        <f aca="false">IF(B647="","",B647-WEEKDAY(B647,3))</f>
        <v/>
      </c>
      <c r="F647" s="24" t="str">
        <f aca="false">IF(B647="","",TEXT(B647,"yyyy-mm"))</f>
        <v/>
      </c>
      <c r="G647" s="29"/>
      <c r="H647" s="29"/>
      <c r="I647" s="29"/>
      <c r="J647" s="29"/>
      <c r="K647" s="29"/>
      <c r="L647" s="29"/>
      <c r="M647" s="29"/>
      <c r="N647" s="29"/>
      <c r="O647" s="29"/>
      <c r="P647" s="29"/>
      <c r="Q647" s="30"/>
      <c r="R647" s="29"/>
      <c r="S647" s="32"/>
      <c r="T647" s="29"/>
      <c r="U647" s="29"/>
      <c r="V647" s="24" t="str">
        <f aca="false">IF(A647="","",IFERROR(INDEX(Settings!$F$5:$F$49,MATCH(G647,Settings!$D$5:$D$49,0)),""))</f>
        <v/>
      </c>
      <c r="W647" s="24" t="str">
        <f aca="false">IF(A647="","",IF(OR(P647="",P647="Organic"),"social","paid_social"))</f>
        <v/>
      </c>
      <c r="X647" s="24" t="str">
        <f aca="false">IF(A647="","",IF(K647&lt;&gt;"",IFERROR(INDEX('Case Studies'!$C$5:$C$54,MATCH(K647,'Case Studies'!$B$5:$B$54,0))&amp;"","case-study"),IF(J647&lt;&gt;"",IFERROR(INDEX(Settings!$J$5:$J$55,MATCH(J647,Settings!$I$5:$I$55,0)),"general"),"general")))</f>
        <v/>
      </c>
      <c r="Y647" s="24" t="str">
        <f aca="false">IF(A647="","",LOWER(A647))</f>
        <v/>
      </c>
      <c r="Z647" s="24" t="str">
        <f aca="false">IF(A647="","",IF(T647="",Settings!$B$5,T647)&amp;IF(ISNUMBER(FIND("?",IF(T647="",Settings!$B$5,T647))),"&amp;","?")&amp;"utm_source="&amp;V647&amp;"&amp;utm_medium="&amp;W647&amp;"&amp;utm_campaign="&amp;X647&amp;"&amp;utm_content="&amp;Y647)</f>
        <v/>
      </c>
      <c r="AA647" s="29"/>
      <c r="AB647" s="39"/>
      <c r="AC647" s="32"/>
      <c r="AD647" s="32"/>
      <c r="AE647" s="32"/>
      <c r="AF647" s="32"/>
      <c r="AG647" s="32"/>
      <c r="AH647" s="32"/>
      <c r="AI647" s="32"/>
      <c r="AJ647" s="32"/>
      <c r="AK647" s="32"/>
      <c r="AL647" s="32"/>
      <c r="AM647" s="32"/>
      <c r="AN647" s="32"/>
      <c r="AO647" s="33" t="str">
        <f aca="false">IF(A647="","",IF(AD647&lt;&gt;"",AD647,IF(AC647&lt;&gt;"",AC647,"")))</f>
        <v/>
      </c>
      <c r="AP647" s="24" t="str">
        <f aca="false">IF(AO647="","",IF(AD647&lt;&gt;"","Reported reach","Impressions (proxy)"))</f>
        <v/>
      </c>
      <c r="AQ647" s="34" t="str">
        <f aca="false">IF(OR(AO647="",N(S647)=0),"",AO647/S647)</f>
        <v/>
      </c>
      <c r="AR647" s="33" t="str">
        <f aca="false">IF(A647="","",IF(COUNT(AF647:AJ647)=0,"",SUM(AF647:AJ647)))</f>
        <v/>
      </c>
      <c r="AS647" s="34" t="str">
        <f aca="false">IF(OR(AR647="",N(AO647)=0),"",AR647/AO647)</f>
        <v/>
      </c>
      <c r="AT647" s="34" t="str">
        <f aca="false">IF(OR(AR647="",N(AC647)=0),"",AR647/AC647)</f>
        <v/>
      </c>
      <c r="AU647" s="34" t="str">
        <f aca="false">IF(OR(AR647="",N(S647)=0),"",AR647/S647)</f>
        <v/>
      </c>
      <c r="AV647" s="34" t="str">
        <f aca="false">IF(OR(AJ647="",N(AC647)=0),"",AJ647/AC647)</f>
        <v/>
      </c>
      <c r="AW647" s="34" t="str">
        <f aca="false">IF(OR(AH647="",N(AO647)=0),"",AH647/AO647)</f>
        <v/>
      </c>
      <c r="AX647" s="35" t="str">
        <f aca="false">IF(OR(AR647="",N(AO647)=0),"",(N(AF647)*Settings!$B$6+N(AG647)*Settings!$B$7+N(AH647)*Settings!$B$8+N(AI647)*Settings!$B$9+N(AJ647)*Settings!$B$10)/AO647*1000)</f>
        <v/>
      </c>
      <c r="AY647" s="36" t="str">
        <f aca="false">IF(AS647="","",IFERROR(AS647/AVERAGEIFS('Post Tracker'!$AS$5:$AS$1004,'Post Tracker'!$G$5:$G$1004,G647),""))</f>
        <v/>
      </c>
      <c r="AZ647" s="32"/>
      <c r="BA647" s="32"/>
      <c r="BB647" s="32"/>
      <c r="BC647" s="32"/>
      <c r="BD647" s="33" t="str">
        <f aca="false">IF(A647="","",COUNTIFS('Demo Pipeline'!$Q$5:$Q$504,A647))</f>
        <v/>
      </c>
      <c r="BE647" s="33" t="str">
        <f aca="false">IF(A647="","",COUNTIFS('Demo Pipeline'!$Q$5:$Q$504,A647,'Demo Pipeline'!$W$5:$W$504,"Attended"))</f>
        <v/>
      </c>
      <c r="BF647" s="33" t="str">
        <f aca="false">IF(A647="","",COUNTIFS('Demo Pipeline'!$Q$5:$Q$504,A647,'Demo Pipeline'!$X$5:$X$504,"Yes"))</f>
        <v/>
      </c>
      <c r="BG647" s="33" t="str">
        <f aca="false">IF(A647="","",COUNTIFS('Demo Pipeline'!$Q$5:$Q$504,A647,'Demo Pipeline'!$Y$5:$Y$504,"Closed Won"))</f>
        <v/>
      </c>
      <c r="BH647" s="37" t="str">
        <f aca="false">IF(A647="","",SUMIFS('Demo Pipeline'!$Z$5:$Z$504,'Demo Pipeline'!$Q$5:$Q$504,A647))</f>
        <v/>
      </c>
      <c r="BI647" s="34" t="str">
        <f aca="false">IF(OR(AZ647="",N(AJ647)=0),"",AZ647/AJ647)</f>
        <v/>
      </c>
      <c r="BJ647" s="34" t="str">
        <f aca="false">IF(OR(BB647="",N(AZ647)=0),"",BB647/AZ647)</f>
        <v/>
      </c>
      <c r="BK647" s="34" t="str">
        <f aca="false">IF(OR(A647="",N(BB647)=0),"",BD647/BB647)</f>
        <v/>
      </c>
      <c r="BL647" s="34" t="str">
        <f aca="false">IF(OR(A647="",N(AZ647)=0),"",BD647/AZ647)</f>
        <v/>
      </c>
      <c r="BM647" s="37" t="str">
        <f aca="false">IF(OR(N(Q647)=0,N(BD647)=0),"",Q647/BD647)</f>
        <v/>
      </c>
      <c r="BN647" s="29"/>
      <c r="BO647" s="29"/>
      <c r="BP647" s="33" t="str">
        <f aca="false">IF(OR(AR647="",N(AO647)=0),"",AR647)</f>
        <v/>
      </c>
      <c r="BQ647" s="33" t="str">
        <f aca="false">IF(OR(AR647="",N(S647)=0),"",S647)</f>
        <v/>
      </c>
      <c r="BR647" s="38" t="str">
        <f aca="false">IF(AND(ISNUMBER(B647),B647&gt;=Dashboard!$C$4,B647&lt;=Dashboard!$F$4,ISNUMBER(AU647)),AU647+ROW()/10^9,"")</f>
        <v/>
      </c>
      <c r="BS647" s="38" t="str">
        <f aca="false">IF(AND(ISNUMBER(B647),B647&gt;=Dashboard!$C$4,B647&lt;=Dashboard!$F$4,A647&lt;&gt;""),N(BD647)+N(AU647)/100+ROW()/10^9,"")</f>
        <v/>
      </c>
    </row>
    <row r="648" customFormat="false" ht="15" hidden="false" customHeight="false" outlineLevel="0" collapsed="false">
      <c r="A648" s="24" t="str">
        <f aca="false">IF(OR(B648="",G648="",H648=""),"",IFERROR(INDEX(Settings!$E$5:$E$49,MATCH(G648,Settings!$D$5:$D$49,0))&amp;INDEX(Settings!$H$5:$H$47,MATCH(H648,Settings!$G$5:$G$47,0))&amp;"-"&amp;TEXT(B648,"yymmdd")&amp;"-"&amp;IF(C648="","0000",TEXT(C648,"hhmm")),"CHECK LISTS"))</f>
        <v/>
      </c>
      <c r="B648" s="39"/>
      <c r="C648" s="40"/>
      <c r="D648" s="24" t="str">
        <f aca="false">IF(B648="","",TEXT(B648,"ddd"))</f>
        <v/>
      </c>
      <c r="E648" s="27" t="str">
        <f aca="false">IF(B648="","",B648-WEEKDAY(B648,3))</f>
        <v/>
      </c>
      <c r="F648" s="24" t="str">
        <f aca="false">IF(B648="","",TEXT(B648,"yyyy-mm"))</f>
        <v/>
      </c>
      <c r="G648" s="29"/>
      <c r="H648" s="29"/>
      <c r="I648" s="29"/>
      <c r="J648" s="29"/>
      <c r="K648" s="29"/>
      <c r="L648" s="29"/>
      <c r="M648" s="29"/>
      <c r="N648" s="29"/>
      <c r="O648" s="29"/>
      <c r="P648" s="29"/>
      <c r="Q648" s="30"/>
      <c r="R648" s="29"/>
      <c r="S648" s="32"/>
      <c r="T648" s="29"/>
      <c r="U648" s="29"/>
      <c r="V648" s="24" t="str">
        <f aca="false">IF(A648="","",IFERROR(INDEX(Settings!$F$5:$F$49,MATCH(G648,Settings!$D$5:$D$49,0)),""))</f>
        <v/>
      </c>
      <c r="W648" s="24" t="str">
        <f aca="false">IF(A648="","",IF(OR(P648="",P648="Organic"),"social","paid_social"))</f>
        <v/>
      </c>
      <c r="X648" s="24" t="str">
        <f aca="false">IF(A648="","",IF(K648&lt;&gt;"",IFERROR(INDEX('Case Studies'!$C$5:$C$54,MATCH(K648,'Case Studies'!$B$5:$B$54,0))&amp;"","case-study"),IF(J648&lt;&gt;"",IFERROR(INDEX(Settings!$J$5:$J$55,MATCH(J648,Settings!$I$5:$I$55,0)),"general"),"general")))</f>
        <v/>
      </c>
      <c r="Y648" s="24" t="str">
        <f aca="false">IF(A648="","",LOWER(A648))</f>
        <v/>
      </c>
      <c r="Z648" s="24" t="str">
        <f aca="false">IF(A648="","",IF(T648="",Settings!$B$5,T648)&amp;IF(ISNUMBER(FIND("?",IF(T648="",Settings!$B$5,T648))),"&amp;","?")&amp;"utm_source="&amp;V648&amp;"&amp;utm_medium="&amp;W648&amp;"&amp;utm_campaign="&amp;X648&amp;"&amp;utm_content="&amp;Y648)</f>
        <v/>
      </c>
      <c r="AA648" s="29"/>
      <c r="AB648" s="39"/>
      <c r="AC648" s="32"/>
      <c r="AD648" s="32"/>
      <c r="AE648" s="32"/>
      <c r="AF648" s="32"/>
      <c r="AG648" s="32"/>
      <c r="AH648" s="32"/>
      <c r="AI648" s="32"/>
      <c r="AJ648" s="32"/>
      <c r="AK648" s="32"/>
      <c r="AL648" s="32"/>
      <c r="AM648" s="32"/>
      <c r="AN648" s="32"/>
      <c r="AO648" s="33" t="str">
        <f aca="false">IF(A648="","",IF(AD648&lt;&gt;"",AD648,IF(AC648&lt;&gt;"",AC648,"")))</f>
        <v/>
      </c>
      <c r="AP648" s="24" t="str">
        <f aca="false">IF(AO648="","",IF(AD648&lt;&gt;"","Reported reach","Impressions (proxy)"))</f>
        <v/>
      </c>
      <c r="AQ648" s="34" t="str">
        <f aca="false">IF(OR(AO648="",N(S648)=0),"",AO648/S648)</f>
        <v/>
      </c>
      <c r="AR648" s="33" t="str">
        <f aca="false">IF(A648="","",IF(COUNT(AF648:AJ648)=0,"",SUM(AF648:AJ648)))</f>
        <v/>
      </c>
      <c r="AS648" s="34" t="str">
        <f aca="false">IF(OR(AR648="",N(AO648)=0),"",AR648/AO648)</f>
        <v/>
      </c>
      <c r="AT648" s="34" t="str">
        <f aca="false">IF(OR(AR648="",N(AC648)=0),"",AR648/AC648)</f>
        <v/>
      </c>
      <c r="AU648" s="34" t="str">
        <f aca="false">IF(OR(AR648="",N(S648)=0),"",AR648/S648)</f>
        <v/>
      </c>
      <c r="AV648" s="34" t="str">
        <f aca="false">IF(OR(AJ648="",N(AC648)=0),"",AJ648/AC648)</f>
        <v/>
      </c>
      <c r="AW648" s="34" t="str">
        <f aca="false">IF(OR(AH648="",N(AO648)=0),"",AH648/AO648)</f>
        <v/>
      </c>
      <c r="AX648" s="35" t="str">
        <f aca="false">IF(OR(AR648="",N(AO648)=0),"",(N(AF648)*Settings!$B$6+N(AG648)*Settings!$B$7+N(AH648)*Settings!$B$8+N(AI648)*Settings!$B$9+N(AJ648)*Settings!$B$10)/AO648*1000)</f>
        <v/>
      </c>
      <c r="AY648" s="36" t="str">
        <f aca="false">IF(AS648="","",IFERROR(AS648/AVERAGEIFS('Post Tracker'!$AS$5:$AS$1004,'Post Tracker'!$G$5:$G$1004,G648),""))</f>
        <v/>
      </c>
      <c r="AZ648" s="32"/>
      <c r="BA648" s="32"/>
      <c r="BB648" s="32"/>
      <c r="BC648" s="32"/>
      <c r="BD648" s="33" t="str">
        <f aca="false">IF(A648="","",COUNTIFS('Demo Pipeline'!$Q$5:$Q$504,A648))</f>
        <v/>
      </c>
      <c r="BE648" s="33" t="str">
        <f aca="false">IF(A648="","",COUNTIFS('Demo Pipeline'!$Q$5:$Q$504,A648,'Demo Pipeline'!$W$5:$W$504,"Attended"))</f>
        <v/>
      </c>
      <c r="BF648" s="33" t="str">
        <f aca="false">IF(A648="","",COUNTIFS('Demo Pipeline'!$Q$5:$Q$504,A648,'Demo Pipeline'!$X$5:$X$504,"Yes"))</f>
        <v/>
      </c>
      <c r="BG648" s="33" t="str">
        <f aca="false">IF(A648="","",COUNTIFS('Demo Pipeline'!$Q$5:$Q$504,A648,'Demo Pipeline'!$Y$5:$Y$504,"Closed Won"))</f>
        <v/>
      </c>
      <c r="BH648" s="37" t="str">
        <f aca="false">IF(A648="","",SUMIFS('Demo Pipeline'!$Z$5:$Z$504,'Demo Pipeline'!$Q$5:$Q$504,A648))</f>
        <v/>
      </c>
      <c r="BI648" s="34" t="str">
        <f aca="false">IF(OR(AZ648="",N(AJ648)=0),"",AZ648/AJ648)</f>
        <v/>
      </c>
      <c r="BJ648" s="34" t="str">
        <f aca="false">IF(OR(BB648="",N(AZ648)=0),"",BB648/AZ648)</f>
        <v/>
      </c>
      <c r="BK648" s="34" t="str">
        <f aca="false">IF(OR(A648="",N(BB648)=0),"",BD648/BB648)</f>
        <v/>
      </c>
      <c r="BL648" s="34" t="str">
        <f aca="false">IF(OR(A648="",N(AZ648)=0),"",BD648/AZ648)</f>
        <v/>
      </c>
      <c r="BM648" s="37" t="str">
        <f aca="false">IF(OR(N(Q648)=0,N(BD648)=0),"",Q648/BD648)</f>
        <v/>
      </c>
      <c r="BN648" s="29"/>
      <c r="BO648" s="29"/>
      <c r="BP648" s="33" t="str">
        <f aca="false">IF(OR(AR648="",N(AO648)=0),"",AR648)</f>
        <v/>
      </c>
      <c r="BQ648" s="33" t="str">
        <f aca="false">IF(OR(AR648="",N(S648)=0),"",S648)</f>
        <v/>
      </c>
      <c r="BR648" s="38" t="str">
        <f aca="false">IF(AND(ISNUMBER(B648),B648&gt;=Dashboard!$C$4,B648&lt;=Dashboard!$F$4,ISNUMBER(AU648)),AU648+ROW()/10^9,"")</f>
        <v/>
      </c>
      <c r="BS648" s="38" t="str">
        <f aca="false">IF(AND(ISNUMBER(B648),B648&gt;=Dashboard!$C$4,B648&lt;=Dashboard!$F$4,A648&lt;&gt;""),N(BD648)+N(AU648)/100+ROW()/10^9,"")</f>
        <v/>
      </c>
    </row>
    <row r="649" customFormat="false" ht="15" hidden="false" customHeight="false" outlineLevel="0" collapsed="false">
      <c r="A649" s="24" t="str">
        <f aca="false">IF(OR(B649="",G649="",H649=""),"",IFERROR(INDEX(Settings!$E$5:$E$49,MATCH(G649,Settings!$D$5:$D$49,0))&amp;INDEX(Settings!$H$5:$H$47,MATCH(H649,Settings!$G$5:$G$47,0))&amp;"-"&amp;TEXT(B649,"yymmdd")&amp;"-"&amp;IF(C649="","0000",TEXT(C649,"hhmm")),"CHECK LISTS"))</f>
        <v/>
      </c>
      <c r="B649" s="39"/>
      <c r="C649" s="40"/>
      <c r="D649" s="24" t="str">
        <f aca="false">IF(B649="","",TEXT(B649,"ddd"))</f>
        <v/>
      </c>
      <c r="E649" s="27" t="str">
        <f aca="false">IF(B649="","",B649-WEEKDAY(B649,3))</f>
        <v/>
      </c>
      <c r="F649" s="24" t="str">
        <f aca="false">IF(B649="","",TEXT(B649,"yyyy-mm"))</f>
        <v/>
      </c>
      <c r="G649" s="29"/>
      <c r="H649" s="29"/>
      <c r="I649" s="29"/>
      <c r="J649" s="29"/>
      <c r="K649" s="29"/>
      <c r="L649" s="29"/>
      <c r="M649" s="29"/>
      <c r="N649" s="29"/>
      <c r="O649" s="29"/>
      <c r="P649" s="29"/>
      <c r="Q649" s="30"/>
      <c r="R649" s="29"/>
      <c r="S649" s="32"/>
      <c r="T649" s="29"/>
      <c r="U649" s="29"/>
      <c r="V649" s="24" t="str">
        <f aca="false">IF(A649="","",IFERROR(INDEX(Settings!$F$5:$F$49,MATCH(G649,Settings!$D$5:$D$49,0)),""))</f>
        <v/>
      </c>
      <c r="W649" s="24" t="str">
        <f aca="false">IF(A649="","",IF(OR(P649="",P649="Organic"),"social","paid_social"))</f>
        <v/>
      </c>
      <c r="X649" s="24" t="str">
        <f aca="false">IF(A649="","",IF(K649&lt;&gt;"",IFERROR(INDEX('Case Studies'!$C$5:$C$54,MATCH(K649,'Case Studies'!$B$5:$B$54,0))&amp;"","case-study"),IF(J649&lt;&gt;"",IFERROR(INDEX(Settings!$J$5:$J$55,MATCH(J649,Settings!$I$5:$I$55,0)),"general"),"general")))</f>
        <v/>
      </c>
      <c r="Y649" s="24" t="str">
        <f aca="false">IF(A649="","",LOWER(A649))</f>
        <v/>
      </c>
      <c r="Z649" s="24" t="str">
        <f aca="false">IF(A649="","",IF(T649="",Settings!$B$5,T649)&amp;IF(ISNUMBER(FIND("?",IF(T649="",Settings!$B$5,T649))),"&amp;","?")&amp;"utm_source="&amp;V649&amp;"&amp;utm_medium="&amp;W649&amp;"&amp;utm_campaign="&amp;X649&amp;"&amp;utm_content="&amp;Y649)</f>
        <v/>
      </c>
      <c r="AA649" s="29"/>
      <c r="AB649" s="39"/>
      <c r="AC649" s="32"/>
      <c r="AD649" s="32"/>
      <c r="AE649" s="32"/>
      <c r="AF649" s="32"/>
      <c r="AG649" s="32"/>
      <c r="AH649" s="32"/>
      <c r="AI649" s="32"/>
      <c r="AJ649" s="32"/>
      <c r="AK649" s="32"/>
      <c r="AL649" s="32"/>
      <c r="AM649" s="32"/>
      <c r="AN649" s="32"/>
      <c r="AO649" s="33" t="str">
        <f aca="false">IF(A649="","",IF(AD649&lt;&gt;"",AD649,IF(AC649&lt;&gt;"",AC649,"")))</f>
        <v/>
      </c>
      <c r="AP649" s="24" t="str">
        <f aca="false">IF(AO649="","",IF(AD649&lt;&gt;"","Reported reach","Impressions (proxy)"))</f>
        <v/>
      </c>
      <c r="AQ649" s="34" t="str">
        <f aca="false">IF(OR(AO649="",N(S649)=0),"",AO649/S649)</f>
        <v/>
      </c>
      <c r="AR649" s="33" t="str">
        <f aca="false">IF(A649="","",IF(COUNT(AF649:AJ649)=0,"",SUM(AF649:AJ649)))</f>
        <v/>
      </c>
      <c r="AS649" s="34" t="str">
        <f aca="false">IF(OR(AR649="",N(AO649)=0),"",AR649/AO649)</f>
        <v/>
      </c>
      <c r="AT649" s="34" t="str">
        <f aca="false">IF(OR(AR649="",N(AC649)=0),"",AR649/AC649)</f>
        <v/>
      </c>
      <c r="AU649" s="34" t="str">
        <f aca="false">IF(OR(AR649="",N(S649)=0),"",AR649/S649)</f>
        <v/>
      </c>
      <c r="AV649" s="34" t="str">
        <f aca="false">IF(OR(AJ649="",N(AC649)=0),"",AJ649/AC649)</f>
        <v/>
      </c>
      <c r="AW649" s="34" t="str">
        <f aca="false">IF(OR(AH649="",N(AO649)=0),"",AH649/AO649)</f>
        <v/>
      </c>
      <c r="AX649" s="35" t="str">
        <f aca="false">IF(OR(AR649="",N(AO649)=0),"",(N(AF649)*Settings!$B$6+N(AG649)*Settings!$B$7+N(AH649)*Settings!$B$8+N(AI649)*Settings!$B$9+N(AJ649)*Settings!$B$10)/AO649*1000)</f>
        <v/>
      </c>
      <c r="AY649" s="36" t="str">
        <f aca="false">IF(AS649="","",IFERROR(AS649/AVERAGEIFS('Post Tracker'!$AS$5:$AS$1004,'Post Tracker'!$G$5:$G$1004,G649),""))</f>
        <v/>
      </c>
      <c r="AZ649" s="32"/>
      <c r="BA649" s="32"/>
      <c r="BB649" s="32"/>
      <c r="BC649" s="32"/>
      <c r="BD649" s="33" t="str">
        <f aca="false">IF(A649="","",COUNTIFS('Demo Pipeline'!$Q$5:$Q$504,A649))</f>
        <v/>
      </c>
      <c r="BE649" s="33" t="str">
        <f aca="false">IF(A649="","",COUNTIFS('Demo Pipeline'!$Q$5:$Q$504,A649,'Demo Pipeline'!$W$5:$W$504,"Attended"))</f>
        <v/>
      </c>
      <c r="BF649" s="33" t="str">
        <f aca="false">IF(A649="","",COUNTIFS('Demo Pipeline'!$Q$5:$Q$504,A649,'Demo Pipeline'!$X$5:$X$504,"Yes"))</f>
        <v/>
      </c>
      <c r="BG649" s="33" t="str">
        <f aca="false">IF(A649="","",COUNTIFS('Demo Pipeline'!$Q$5:$Q$504,A649,'Demo Pipeline'!$Y$5:$Y$504,"Closed Won"))</f>
        <v/>
      </c>
      <c r="BH649" s="37" t="str">
        <f aca="false">IF(A649="","",SUMIFS('Demo Pipeline'!$Z$5:$Z$504,'Demo Pipeline'!$Q$5:$Q$504,A649))</f>
        <v/>
      </c>
      <c r="BI649" s="34" t="str">
        <f aca="false">IF(OR(AZ649="",N(AJ649)=0),"",AZ649/AJ649)</f>
        <v/>
      </c>
      <c r="BJ649" s="34" t="str">
        <f aca="false">IF(OR(BB649="",N(AZ649)=0),"",BB649/AZ649)</f>
        <v/>
      </c>
      <c r="BK649" s="34" t="str">
        <f aca="false">IF(OR(A649="",N(BB649)=0),"",BD649/BB649)</f>
        <v/>
      </c>
      <c r="BL649" s="34" t="str">
        <f aca="false">IF(OR(A649="",N(AZ649)=0),"",BD649/AZ649)</f>
        <v/>
      </c>
      <c r="BM649" s="37" t="str">
        <f aca="false">IF(OR(N(Q649)=0,N(BD649)=0),"",Q649/BD649)</f>
        <v/>
      </c>
      <c r="BN649" s="29"/>
      <c r="BO649" s="29"/>
      <c r="BP649" s="33" t="str">
        <f aca="false">IF(OR(AR649="",N(AO649)=0),"",AR649)</f>
        <v/>
      </c>
      <c r="BQ649" s="33" t="str">
        <f aca="false">IF(OR(AR649="",N(S649)=0),"",S649)</f>
        <v/>
      </c>
      <c r="BR649" s="38" t="str">
        <f aca="false">IF(AND(ISNUMBER(B649),B649&gt;=Dashboard!$C$4,B649&lt;=Dashboard!$F$4,ISNUMBER(AU649)),AU649+ROW()/10^9,"")</f>
        <v/>
      </c>
      <c r="BS649" s="38" t="str">
        <f aca="false">IF(AND(ISNUMBER(B649),B649&gt;=Dashboard!$C$4,B649&lt;=Dashboard!$F$4,A649&lt;&gt;""),N(BD649)+N(AU649)/100+ROW()/10^9,"")</f>
        <v/>
      </c>
    </row>
    <row r="650" customFormat="false" ht="15" hidden="false" customHeight="false" outlineLevel="0" collapsed="false">
      <c r="A650" s="24" t="str">
        <f aca="false">IF(OR(B650="",G650="",H650=""),"",IFERROR(INDEX(Settings!$E$5:$E$49,MATCH(G650,Settings!$D$5:$D$49,0))&amp;INDEX(Settings!$H$5:$H$47,MATCH(H650,Settings!$G$5:$G$47,0))&amp;"-"&amp;TEXT(B650,"yymmdd")&amp;"-"&amp;IF(C650="","0000",TEXT(C650,"hhmm")),"CHECK LISTS"))</f>
        <v/>
      </c>
      <c r="B650" s="39"/>
      <c r="C650" s="40"/>
      <c r="D650" s="24" t="str">
        <f aca="false">IF(B650="","",TEXT(B650,"ddd"))</f>
        <v/>
      </c>
      <c r="E650" s="27" t="str">
        <f aca="false">IF(B650="","",B650-WEEKDAY(B650,3))</f>
        <v/>
      </c>
      <c r="F650" s="24" t="str">
        <f aca="false">IF(B650="","",TEXT(B650,"yyyy-mm"))</f>
        <v/>
      </c>
      <c r="G650" s="29"/>
      <c r="H650" s="29"/>
      <c r="I650" s="29"/>
      <c r="J650" s="29"/>
      <c r="K650" s="29"/>
      <c r="L650" s="29"/>
      <c r="M650" s="29"/>
      <c r="N650" s="29"/>
      <c r="O650" s="29"/>
      <c r="P650" s="29"/>
      <c r="Q650" s="30"/>
      <c r="R650" s="29"/>
      <c r="S650" s="32"/>
      <c r="T650" s="29"/>
      <c r="U650" s="29"/>
      <c r="V650" s="24" t="str">
        <f aca="false">IF(A650="","",IFERROR(INDEX(Settings!$F$5:$F$49,MATCH(G650,Settings!$D$5:$D$49,0)),""))</f>
        <v/>
      </c>
      <c r="W650" s="24" t="str">
        <f aca="false">IF(A650="","",IF(OR(P650="",P650="Organic"),"social","paid_social"))</f>
        <v/>
      </c>
      <c r="X650" s="24" t="str">
        <f aca="false">IF(A650="","",IF(K650&lt;&gt;"",IFERROR(INDEX('Case Studies'!$C$5:$C$54,MATCH(K650,'Case Studies'!$B$5:$B$54,0))&amp;"","case-study"),IF(J650&lt;&gt;"",IFERROR(INDEX(Settings!$J$5:$J$55,MATCH(J650,Settings!$I$5:$I$55,0)),"general"),"general")))</f>
        <v/>
      </c>
      <c r="Y650" s="24" t="str">
        <f aca="false">IF(A650="","",LOWER(A650))</f>
        <v/>
      </c>
      <c r="Z650" s="24" t="str">
        <f aca="false">IF(A650="","",IF(T650="",Settings!$B$5,T650)&amp;IF(ISNUMBER(FIND("?",IF(T650="",Settings!$B$5,T650))),"&amp;","?")&amp;"utm_source="&amp;V650&amp;"&amp;utm_medium="&amp;W650&amp;"&amp;utm_campaign="&amp;X650&amp;"&amp;utm_content="&amp;Y650)</f>
        <v/>
      </c>
      <c r="AA650" s="29"/>
      <c r="AB650" s="39"/>
      <c r="AC650" s="32"/>
      <c r="AD650" s="32"/>
      <c r="AE650" s="32"/>
      <c r="AF650" s="32"/>
      <c r="AG650" s="32"/>
      <c r="AH650" s="32"/>
      <c r="AI650" s="32"/>
      <c r="AJ650" s="32"/>
      <c r="AK650" s="32"/>
      <c r="AL650" s="32"/>
      <c r="AM650" s="32"/>
      <c r="AN650" s="32"/>
      <c r="AO650" s="33" t="str">
        <f aca="false">IF(A650="","",IF(AD650&lt;&gt;"",AD650,IF(AC650&lt;&gt;"",AC650,"")))</f>
        <v/>
      </c>
      <c r="AP650" s="24" t="str">
        <f aca="false">IF(AO650="","",IF(AD650&lt;&gt;"","Reported reach","Impressions (proxy)"))</f>
        <v/>
      </c>
      <c r="AQ650" s="34" t="str">
        <f aca="false">IF(OR(AO650="",N(S650)=0),"",AO650/S650)</f>
        <v/>
      </c>
      <c r="AR650" s="33" t="str">
        <f aca="false">IF(A650="","",IF(COUNT(AF650:AJ650)=0,"",SUM(AF650:AJ650)))</f>
        <v/>
      </c>
      <c r="AS650" s="34" t="str">
        <f aca="false">IF(OR(AR650="",N(AO650)=0),"",AR650/AO650)</f>
        <v/>
      </c>
      <c r="AT650" s="34" t="str">
        <f aca="false">IF(OR(AR650="",N(AC650)=0),"",AR650/AC650)</f>
        <v/>
      </c>
      <c r="AU650" s="34" t="str">
        <f aca="false">IF(OR(AR650="",N(S650)=0),"",AR650/S650)</f>
        <v/>
      </c>
      <c r="AV650" s="34" t="str">
        <f aca="false">IF(OR(AJ650="",N(AC650)=0),"",AJ650/AC650)</f>
        <v/>
      </c>
      <c r="AW650" s="34" t="str">
        <f aca="false">IF(OR(AH650="",N(AO650)=0),"",AH650/AO650)</f>
        <v/>
      </c>
      <c r="AX650" s="35" t="str">
        <f aca="false">IF(OR(AR650="",N(AO650)=0),"",(N(AF650)*Settings!$B$6+N(AG650)*Settings!$B$7+N(AH650)*Settings!$B$8+N(AI650)*Settings!$B$9+N(AJ650)*Settings!$B$10)/AO650*1000)</f>
        <v/>
      </c>
      <c r="AY650" s="36" t="str">
        <f aca="false">IF(AS650="","",IFERROR(AS650/AVERAGEIFS('Post Tracker'!$AS$5:$AS$1004,'Post Tracker'!$G$5:$G$1004,G650),""))</f>
        <v/>
      </c>
      <c r="AZ650" s="32"/>
      <c r="BA650" s="32"/>
      <c r="BB650" s="32"/>
      <c r="BC650" s="32"/>
      <c r="BD650" s="33" t="str">
        <f aca="false">IF(A650="","",COUNTIFS('Demo Pipeline'!$Q$5:$Q$504,A650))</f>
        <v/>
      </c>
      <c r="BE650" s="33" t="str">
        <f aca="false">IF(A650="","",COUNTIFS('Demo Pipeline'!$Q$5:$Q$504,A650,'Demo Pipeline'!$W$5:$W$504,"Attended"))</f>
        <v/>
      </c>
      <c r="BF650" s="33" t="str">
        <f aca="false">IF(A650="","",COUNTIFS('Demo Pipeline'!$Q$5:$Q$504,A650,'Demo Pipeline'!$X$5:$X$504,"Yes"))</f>
        <v/>
      </c>
      <c r="BG650" s="33" t="str">
        <f aca="false">IF(A650="","",COUNTIFS('Demo Pipeline'!$Q$5:$Q$504,A650,'Demo Pipeline'!$Y$5:$Y$504,"Closed Won"))</f>
        <v/>
      </c>
      <c r="BH650" s="37" t="str">
        <f aca="false">IF(A650="","",SUMIFS('Demo Pipeline'!$Z$5:$Z$504,'Demo Pipeline'!$Q$5:$Q$504,A650))</f>
        <v/>
      </c>
      <c r="BI650" s="34" t="str">
        <f aca="false">IF(OR(AZ650="",N(AJ650)=0),"",AZ650/AJ650)</f>
        <v/>
      </c>
      <c r="BJ650" s="34" t="str">
        <f aca="false">IF(OR(BB650="",N(AZ650)=0),"",BB650/AZ650)</f>
        <v/>
      </c>
      <c r="BK650" s="34" t="str">
        <f aca="false">IF(OR(A650="",N(BB650)=0),"",BD650/BB650)</f>
        <v/>
      </c>
      <c r="BL650" s="34" t="str">
        <f aca="false">IF(OR(A650="",N(AZ650)=0),"",BD650/AZ650)</f>
        <v/>
      </c>
      <c r="BM650" s="37" t="str">
        <f aca="false">IF(OR(N(Q650)=0,N(BD650)=0),"",Q650/BD650)</f>
        <v/>
      </c>
      <c r="BN650" s="29"/>
      <c r="BO650" s="29"/>
      <c r="BP650" s="33" t="str">
        <f aca="false">IF(OR(AR650="",N(AO650)=0),"",AR650)</f>
        <v/>
      </c>
      <c r="BQ650" s="33" t="str">
        <f aca="false">IF(OR(AR650="",N(S650)=0),"",S650)</f>
        <v/>
      </c>
      <c r="BR650" s="38" t="str">
        <f aca="false">IF(AND(ISNUMBER(B650),B650&gt;=Dashboard!$C$4,B650&lt;=Dashboard!$F$4,ISNUMBER(AU650)),AU650+ROW()/10^9,"")</f>
        <v/>
      </c>
      <c r="BS650" s="38" t="str">
        <f aca="false">IF(AND(ISNUMBER(B650),B650&gt;=Dashboard!$C$4,B650&lt;=Dashboard!$F$4,A650&lt;&gt;""),N(BD650)+N(AU650)/100+ROW()/10^9,"")</f>
        <v/>
      </c>
    </row>
    <row r="651" customFormat="false" ht="15" hidden="false" customHeight="false" outlineLevel="0" collapsed="false">
      <c r="A651" s="24" t="str">
        <f aca="false">IF(OR(B651="",G651="",H651=""),"",IFERROR(INDEX(Settings!$E$5:$E$49,MATCH(G651,Settings!$D$5:$D$49,0))&amp;INDEX(Settings!$H$5:$H$47,MATCH(H651,Settings!$G$5:$G$47,0))&amp;"-"&amp;TEXT(B651,"yymmdd")&amp;"-"&amp;IF(C651="","0000",TEXT(C651,"hhmm")),"CHECK LISTS"))</f>
        <v/>
      </c>
      <c r="B651" s="39"/>
      <c r="C651" s="40"/>
      <c r="D651" s="24" t="str">
        <f aca="false">IF(B651="","",TEXT(B651,"ddd"))</f>
        <v/>
      </c>
      <c r="E651" s="27" t="str">
        <f aca="false">IF(B651="","",B651-WEEKDAY(B651,3))</f>
        <v/>
      </c>
      <c r="F651" s="24" t="str">
        <f aca="false">IF(B651="","",TEXT(B651,"yyyy-mm"))</f>
        <v/>
      </c>
      <c r="G651" s="29"/>
      <c r="H651" s="29"/>
      <c r="I651" s="29"/>
      <c r="J651" s="29"/>
      <c r="K651" s="29"/>
      <c r="L651" s="29"/>
      <c r="M651" s="29"/>
      <c r="N651" s="29"/>
      <c r="O651" s="29"/>
      <c r="P651" s="29"/>
      <c r="Q651" s="30"/>
      <c r="R651" s="29"/>
      <c r="S651" s="32"/>
      <c r="T651" s="29"/>
      <c r="U651" s="29"/>
      <c r="V651" s="24" t="str">
        <f aca="false">IF(A651="","",IFERROR(INDEX(Settings!$F$5:$F$49,MATCH(G651,Settings!$D$5:$D$49,0)),""))</f>
        <v/>
      </c>
      <c r="W651" s="24" t="str">
        <f aca="false">IF(A651="","",IF(OR(P651="",P651="Organic"),"social","paid_social"))</f>
        <v/>
      </c>
      <c r="X651" s="24" t="str">
        <f aca="false">IF(A651="","",IF(K651&lt;&gt;"",IFERROR(INDEX('Case Studies'!$C$5:$C$54,MATCH(K651,'Case Studies'!$B$5:$B$54,0))&amp;"","case-study"),IF(J651&lt;&gt;"",IFERROR(INDEX(Settings!$J$5:$J$55,MATCH(J651,Settings!$I$5:$I$55,0)),"general"),"general")))</f>
        <v/>
      </c>
      <c r="Y651" s="24" t="str">
        <f aca="false">IF(A651="","",LOWER(A651))</f>
        <v/>
      </c>
      <c r="Z651" s="24" t="str">
        <f aca="false">IF(A651="","",IF(T651="",Settings!$B$5,T651)&amp;IF(ISNUMBER(FIND("?",IF(T651="",Settings!$B$5,T651))),"&amp;","?")&amp;"utm_source="&amp;V651&amp;"&amp;utm_medium="&amp;W651&amp;"&amp;utm_campaign="&amp;X651&amp;"&amp;utm_content="&amp;Y651)</f>
        <v/>
      </c>
      <c r="AA651" s="29"/>
      <c r="AB651" s="39"/>
      <c r="AC651" s="32"/>
      <c r="AD651" s="32"/>
      <c r="AE651" s="32"/>
      <c r="AF651" s="32"/>
      <c r="AG651" s="32"/>
      <c r="AH651" s="32"/>
      <c r="AI651" s="32"/>
      <c r="AJ651" s="32"/>
      <c r="AK651" s="32"/>
      <c r="AL651" s="32"/>
      <c r="AM651" s="32"/>
      <c r="AN651" s="32"/>
      <c r="AO651" s="33" t="str">
        <f aca="false">IF(A651="","",IF(AD651&lt;&gt;"",AD651,IF(AC651&lt;&gt;"",AC651,"")))</f>
        <v/>
      </c>
      <c r="AP651" s="24" t="str">
        <f aca="false">IF(AO651="","",IF(AD651&lt;&gt;"","Reported reach","Impressions (proxy)"))</f>
        <v/>
      </c>
      <c r="AQ651" s="34" t="str">
        <f aca="false">IF(OR(AO651="",N(S651)=0),"",AO651/S651)</f>
        <v/>
      </c>
      <c r="AR651" s="33" t="str">
        <f aca="false">IF(A651="","",IF(COUNT(AF651:AJ651)=0,"",SUM(AF651:AJ651)))</f>
        <v/>
      </c>
      <c r="AS651" s="34" t="str">
        <f aca="false">IF(OR(AR651="",N(AO651)=0),"",AR651/AO651)</f>
        <v/>
      </c>
      <c r="AT651" s="34" t="str">
        <f aca="false">IF(OR(AR651="",N(AC651)=0),"",AR651/AC651)</f>
        <v/>
      </c>
      <c r="AU651" s="34" t="str">
        <f aca="false">IF(OR(AR651="",N(S651)=0),"",AR651/S651)</f>
        <v/>
      </c>
      <c r="AV651" s="34" t="str">
        <f aca="false">IF(OR(AJ651="",N(AC651)=0),"",AJ651/AC651)</f>
        <v/>
      </c>
      <c r="AW651" s="34" t="str">
        <f aca="false">IF(OR(AH651="",N(AO651)=0),"",AH651/AO651)</f>
        <v/>
      </c>
      <c r="AX651" s="35" t="str">
        <f aca="false">IF(OR(AR651="",N(AO651)=0),"",(N(AF651)*Settings!$B$6+N(AG651)*Settings!$B$7+N(AH651)*Settings!$B$8+N(AI651)*Settings!$B$9+N(AJ651)*Settings!$B$10)/AO651*1000)</f>
        <v/>
      </c>
      <c r="AY651" s="36" t="str">
        <f aca="false">IF(AS651="","",IFERROR(AS651/AVERAGEIFS('Post Tracker'!$AS$5:$AS$1004,'Post Tracker'!$G$5:$G$1004,G651),""))</f>
        <v/>
      </c>
      <c r="AZ651" s="32"/>
      <c r="BA651" s="32"/>
      <c r="BB651" s="32"/>
      <c r="BC651" s="32"/>
      <c r="BD651" s="33" t="str">
        <f aca="false">IF(A651="","",COUNTIFS('Demo Pipeline'!$Q$5:$Q$504,A651))</f>
        <v/>
      </c>
      <c r="BE651" s="33" t="str">
        <f aca="false">IF(A651="","",COUNTIFS('Demo Pipeline'!$Q$5:$Q$504,A651,'Demo Pipeline'!$W$5:$W$504,"Attended"))</f>
        <v/>
      </c>
      <c r="BF651" s="33" t="str">
        <f aca="false">IF(A651="","",COUNTIFS('Demo Pipeline'!$Q$5:$Q$504,A651,'Demo Pipeline'!$X$5:$X$504,"Yes"))</f>
        <v/>
      </c>
      <c r="BG651" s="33" t="str">
        <f aca="false">IF(A651="","",COUNTIFS('Demo Pipeline'!$Q$5:$Q$504,A651,'Demo Pipeline'!$Y$5:$Y$504,"Closed Won"))</f>
        <v/>
      </c>
      <c r="BH651" s="37" t="str">
        <f aca="false">IF(A651="","",SUMIFS('Demo Pipeline'!$Z$5:$Z$504,'Demo Pipeline'!$Q$5:$Q$504,A651))</f>
        <v/>
      </c>
      <c r="BI651" s="34" t="str">
        <f aca="false">IF(OR(AZ651="",N(AJ651)=0),"",AZ651/AJ651)</f>
        <v/>
      </c>
      <c r="BJ651" s="34" t="str">
        <f aca="false">IF(OR(BB651="",N(AZ651)=0),"",BB651/AZ651)</f>
        <v/>
      </c>
      <c r="BK651" s="34" t="str">
        <f aca="false">IF(OR(A651="",N(BB651)=0),"",BD651/BB651)</f>
        <v/>
      </c>
      <c r="BL651" s="34" t="str">
        <f aca="false">IF(OR(A651="",N(AZ651)=0),"",BD651/AZ651)</f>
        <v/>
      </c>
      <c r="BM651" s="37" t="str">
        <f aca="false">IF(OR(N(Q651)=0,N(BD651)=0),"",Q651/BD651)</f>
        <v/>
      </c>
      <c r="BN651" s="29"/>
      <c r="BO651" s="29"/>
      <c r="BP651" s="33" t="str">
        <f aca="false">IF(OR(AR651="",N(AO651)=0),"",AR651)</f>
        <v/>
      </c>
      <c r="BQ651" s="33" t="str">
        <f aca="false">IF(OR(AR651="",N(S651)=0),"",S651)</f>
        <v/>
      </c>
      <c r="BR651" s="38" t="str">
        <f aca="false">IF(AND(ISNUMBER(B651),B651&gt;=Dashboard!$C$4,B651&lt;=Dashboard!$F$4,ISNUMBER(AU651)),AU651+ROW()/10^9,"")</f>
        <v/>
      </c>
      <c r="BS651" s="38" t="str">
        <f aca="false">IF(AND(ISNUMBER(B651),B651&gt;=Dashboard!$C$4,B651&lt;=Dashboard!$F$4,A651&lt;&gt;""),N(BD651)+N(AU651)/100+ROW()/10^9,"")</f>
        <v/>
      </c>
    </row>
    <row r="652" customFormat="false" ht="15" hidden="false" customHeight="false" outlineLevel="0" collapsed="false">
      <c r="A652" s="24" t="str">
        <f aca="false">IF(OR(B652="",G652="",H652=""),"",IFERROR(INDEX(Settings!$E$5:$E$49,MATCH(G652,Settings!$D$5:$D$49,0))&amp;INDEX(Settings!$H$5:$H$47,MATCH(H652,Settings!$G$5:$G$47,0))&amp;"-"&amp;TEXT(B652,"yymmdd")&amp;"-"&amp;IF(C652="","0000",TEXT(C652,"hhmm")),"CHECK LISTS"))</f>
        <v/>
      </c>
      <c r="B652" s="39"/>
      <c r="C652" s="40"/>
      <c r="D652" s="24" t="str">
        <f aca="false">IF(B652="","",TEXT(B652,"ddd"))</f>
        <v/>
      </c>
      <c r="E652" s="27" t="str">
        <f aca="false">IF(B652="","",B652-WEEKDAY(B652,3))</f>
        <v/>
      </c>
      <c r="F652" s="24" t="str">
        <f aca="false">IF(B652="","",TEXT(B652,"yyyy-mm"))</f>
        <v/>
      </c>
      <c r="G652" s="29"/>
      <c r="H652" s="29"/>
      <c r="I652" s="29"/>
      <c r="J652" s="29"/>
      <c r="K652" s="29"/>
      <c r="L652" s="29"/>
      <c r="M652" s="29"/>
      <c r="N652" s="29"/>
      <c r="O652" s="29"/>
      <c r="P652" s="29"/>
      <c r="Q652" s="30"/>
      <c r="R652" s="29"/>
      <c r="S652" s="32"/>
      <c r="T652" s="29"/>
      <c r="U652" s="29"/>
      <c r="V652" s="24" t="str">
        <f aca="false">IF(A652="","",IFERROR(INDEX(Settings!$F$5:$F$49,MATCH(G652,Settings!$D$5:$D$49,0)),""))</f>
        <v/>
      </c>
      <c r="W652" s="24" t="str">
        <f aca="false">IF(A652="","",IF(OR(P652="",P652="Organic"),"social","paid_social"))</f>
        <v/>
      </c>
      <c r="X652" s="24" t="str">
        <f aca="false">IF(A652="","",IF(K652&lt;&gt;"",IFERROR(INDEX('Case Studies'!$C$5:$C$54,MATCH(K652,'Case Studies'!$B$5:$B$54,0))&amp;"","case-study"),IF(J652&lt;&gt;"",IFERROR(INDEX(Settings!$J$5:$J$55,MATCH(J652,Settings!$I$5:$I$55,0)),"general"),"general")))</f>
        <v/>
      </c>
      <c r="Y652" s="24" t="str">
        <f aca="false">IF(A652="","",LOWER(A652))</f>
        <v/>
      </c>
      <c r="Z652" s="24" t="str">
        <f aca="false">IF(A652="","",IF(T652="",Settings!$B$5,T652)&amp;IF(ISNUMBER(FIND("?",IF(T652="",Settings!$B$5,T652))),"&amp;","?")&amp;"utm_source="&amp;V652&amp;"&amp;utm_medium="&amp;W652&amp;"&amp;utm_campaign="&amp;X652&amp;"&amp;utm_content="&amp;Y652)</f>
        <v/>
      </c>
      <c r="AA652" s="29"/>
      <c r="AB652" s="39"/>
      <c r="AC652" s="32"/>
      <c r="AD652" s="32"/>
      <c r="AE652" s="32"/>
      <c r="AF652" s="32"/>
      <c r="AG652" s="32"/>
      <c r="AH652" s="32"/>
      <c r="AI652" s="32"/>
      <c r="AJ652" s="32"/>
      <c r="AK652" s="32"/>
      <c r="AL652" s="32"/>
      <c r="AM652" s="32"/>
      <c r="AN652" s="32"/>
      <c r="AO652" s="33" t="str">
        <f aca="false">IF(A652="","",IF(AD652&lt;&gt;"",AD652,IF(AC652&lt;&gt;"",AC652,"")))</f>
        <v/>
      </c>
      <c r="AP652" s="24" t="str">
        <f aca="false">IF(AO652="","",IF(AD652&lt;&gt;"","Reported reach","Impressions (proxy)"))</f>
        <v/>
      </c>
      <c r="AQ652" s="34" t="str">
        <f aca="false">IF(OR(AO652="",N(S652)=0),"",AO652/S652)</f>
        <v/>
      </c>
      <c r="AR652" s="33" t="str">
        <f aca="false">IF(A652="","",IF(COUNT(AF652:AJ652)=0,"",SUM(AF652:AJ652)))</f>
        <v/>
      </c>
      <c r="AS652" s="34" t="str">
        <f aca="false">IF(OR(AR652="",N(AO652)=0),"",AR652/AO652)</f>
        <v/>
      </c>
      <c r="AT652" s="34" t="str">
        <f aca="false">IF(OR(AR652="",N(AC652)=0),"",AR652/AC652)</f>
        <v/>
      </c>
      <c r="AU652" s="34" t="str">
        <f aca="false">IF(OR(AR652="",N(S652)=0),"",AR652/S652)</f>
        <v/>
      </c>
      <c r="AV652" s="34" t="str">
        <f aca="false">IF(OR(AJ652="",N(AC652)=0),"",AJ652/AC652)</f>
        <v/>
      </c>
      <c r="AW652" s="34" t="str">
        <f aca="false">IF(OR(AH652="",N(AO652)=0),"",AH652/AO652)</f>
        <v/>
      </c>
      <c r="AX652" s="35" t="str">
        <f aca="false">IF(OR(AR652="",N(AO652)=0),"",(N(AF652)*Settings!$B$6+N(AG652)*Settings!$B$7+N(AH652)*Settings!$B$8+N(AI652)*Settings!$B$9+N(AJ652)*Settings!$B$10)/AO652*1000)</f>
        <v/>
      </c>
      <c r="AY652" s="36" t="str">
        <f aca="false">IF(AS652="","",IFERROR(AS652/AVERAGEIFS('Post Tracker'!$AS$5:$AS$1004,'Post Tracker'!$G$5:$G$1004,G652),""))</f>
        <v/>
      </c>
      <c r="AZ652" s="32"/>
      <c r="BA652" s="32"/>
      <c r="BB652" s="32"/>
      <c r="BC652" s="32"/>
      <c r="BD652" s="33" t="str">
        <f aca="false">IF(A652="","",COUNTIFS('Demo Pipeline'!$Q$5:$Q$504,A652))</f>
        <v/>
      </c>
      <c r="BE652" s="33" t="str">
        <f aca="false">IF(A652="","",COUNTIFS('Demo Pipeline'!$Q$5:$Q$504,A652,'Demo Pipeline'!$W$5:$W$504,"Attended"))</f>
        <v/>
      </c>
      <c r="BF652" s="33" t="str">
        <f aca="false">IF(A652="","",COUNTIFS('Demo Pipeline'!$Q$5:$Q$504,A652,'Demo Pipeline'!$X$5:$X$504,"Yes"))</f>
        <v/>
      </c>
      <c r="BG652" s="33" t="str">
        <f aca="false">IF(A652="","",COUNTIFS('Demo Pipeline'!$Q$5:$Q$504,A652,'Demo Pipeline'!$Y$5:$Y$504,"Closed Won"))</f>
        <v/>
      </c>
      <c r="BH652" s="37" t="str">
        <f aca="false">IF(A652="","",SUMIFS('Demo Pipeline'!$Z$5:$Z$504,'Demo Pipeline'!$Q$5:$Q$504,A652))</f>
        <v/>
      </c>
      <c r="BI652" s="34" t="str">
        <f aca="false">IF(OR(AZ652="",N(AJ652)=0),"",AZ652/AJ652)</f>
        <v/>
      </c>
      <c r="BJ652" s="34" t="str">
        <f aca="false">IF(OR(BB652="",N(AZ652)=0),"",BB652/AZ652)</f>
        <v/>
      </c>
      <c r="BK652" s="34" t="str">
        <f aca="false">IF(OR(A652="",N(BB652)=0),"",BD652/BB652)</f>
        <v/>
      </c>
      <c r="BL652" s="34" t="str">
        <f aca="false">IF(OR(A652="",N(AZ652)=0),"",BD652/AZ652)</f>
        <v/>
      </c>
      <c r="BM652" s="37" t="str">
        <f aca="false">IF(OR(N(Q652)=0,N(BD652)=0),"",Q652/BD652)</f>
        <v/>
      </c>
      <c r="BN652" s="29"/>
      <c r="BO652" s="29"/>
      <c r="BP652" s="33" t="str">
        <f aca="false">IF(OR(AR652="",N(AO652)=0),"",AR652)</f>
        <v/>
      </c>
      <c r="BQ652" s="33" t="str">
        <f aca="false">IF(OR(AR652="",N(S652)=0),"",S652)</f>
        <v/>
      </c>
      <c r="BR652" s="38" t="str">
        <f aca="false">IF(AND(ISNUMBER(B652),B652&gt;=Dashboard!$C$4,B652&lt;=Dashboard!$F$4,ISNUMBER(AU652)),AU652+ROW()/10^9,"")</f>
        <v/>
      </c>
      <c r="BS652" s="38" t="str">
        <f aca="false">IF(AND(ISNUMBER(B652),B652&gt;=Dashboard!$C$4,B652&lt;=Dashboard!$F$4,A652&lt;&gt;""),N(BD652)+N(AU652)/100+ROW()/10^9,"")</f>
        <v/>
      </c>
    </row>
    <row r="653" customFormat="false" ht="15" hidden="false" customHeight="false" outlineLevel="0" collapsed="false">
      <c r="A653" s="24" t="str">
        <f aca="false">IF(OR(B653="",G653="",H653=""),"",IFERROR(INDEX(Settings!$E$5:$E$49,MATCH(G653,Settings!$D$5:$D$49,0))&amp;INDEX(Settings!$H$5:$H$47,MATCH(H653,Settings!$G$5:$G$47,0))&amp;"-"&amp;TEXT(B653,"yymmdd")&amp;"-"&amp;IF(C653="","0000",TEXT(C653,"hhmm")),"CHECK LISTS"))</f>
        <v/>
      </c>
      <c r="B653" s="39"/>
      <c r="C653" s="40"/>
      <c r="D653" s="24" t="str">
        <f aca="false">IF(B653="","",TEXT(B653,"ddd"))</f>
        <v/>
      </c>
      <c r="E653" s="27" t="str">
        <f aca="false">IF(B653="","",B653-WEEKDAY(B653,3))</f>
        <v/>
      </c>
      <c r="F653" s="24" t="str">
        <f aca="false">IF(B653="","",TEXT(B653,"yyyy-mm"))</f>
        <v/>
      </c>
      <c r="G653" s="29"/>
      <c r="H653" s="29"/>
      <c r="I653" s="29"/>
      <c r="J653" s="29"/>
      <c r="K653" s="29"/>
      <c r="L653" s="29"/>
      <c r="M653" s="29"/>
      <c r="N653" s="29"/>
      <c r="O653" s="29"/>
      <c r="P653" s="29"/>
      <c r="Q653" s="30"/>
      <c r="R653" s="29"/>
      <c r="S653" s="32"/>
      <c r="T653" s="29"/>
      <c r="U653" s="29"/>
      <c r="V653" s="24" t="str">
        <f aca="false">IF(A653="","",IFERROR(INDEX(Settings!$F$5:$F$49,MATCH(G653,Settings!$D$5:$D$49,0)),""))</f>
        <v/>
      </c>
      <c r="W653" s="24" t="str">
        <f aca="false">IF(A653="","",IF(OR(P653="",P653="Organic"),"social","paid_social"))</f>
        <v/>
      </c>
      <c r="X653" s="24" t="str">
        <f aca="false">IF(A653="","",IF(K653&lt;&gt;"",IFERROR(INDEX('Case Studies'!$C$5:$C$54,MATCH(K653,'Case Studies'!$B$5:$B$54,0))&amp;"","case-study"),IF(J653&lt;&gt;"",IFERROR(INDEX(Settings!$J$5:$J$55,MATCH(J653,Settings!$I$5:$I$55,0)),"general"),"general")))</f>
        <v/>
      </c>
      <c r="Y653" s="24" t="str">
        <f aca="false">IF(A653="","",LOWER(A653))</f>
        <v/>
      </c>
      <c r="Z653" s="24" t="str">
        <f aca="false">IF(A653="","",IF(T653="",Settings!$B$5,T653)&amp;IF(ISNUMBER(FIND("?",IF(T653="",Settings!$B$5,T653))),"&amp;","?")&amp;"utm_source="&amp;V653&amp;"&amp;utm_medium="&amp;W653&amp;"&amp;utm_campaign="&amp;X653&amp;"&amp;utm_content="&amp;Y653)</f>
        <v/>
      </c>
      <c r="AA653" s="29"/>
      <c r="AB653" s="39"/>
      <c r="AC653" s="32"/>
      <c r="AD653" s="32"/>
      <c r="AE653" s="32"/>
      <c r="AF653" s="32"/>
      <c r="AG653" s="32"/>
      <c r="AH653" s="32"/>
      <c r="AI653" s="32"/>
      <c r="AJ653" s="32"/>
      <c r="AK653" s="32"/>
      <c r="AL653" s="32"/>
      <c r="AM653" s="32"/>
      <c r="AN653" s="32"/>
      <c r="AO653" s="33" t="str">
        <f aca="false">IF(A653="","",IF(AD653&lt;&gt;"",AD653,IF(AC653&lt;&gt;"",AC653,"")))</f>
        <v/>
      </c>
      <c r="AP653" s="24" t="str">
        <f aca="false">IF(AO653="","",IF(AD653&lt;&gt;"","Reported reach","Impressions (proxy)"))</f>
        <v/>
      </c>
      <c r="AQ653" s="34" t="str">
        <f aca="false">IF(OR(AO653="",N(S653)=0),"",AO653/S653)</f>
        <v/>
      </c>
      <c r="AR653" s="33" t="str">
        <f aca="false">IF(A653="","",IF(COUNT(AF653:AJ653)=0,"",SUM(AF653:AJ653)))</f>
        <v/>
      </c>
      <c r="AS653" s="34" t="str">
        <f aca="false">IF(OR(AR653="",N(AO653)=0),"",AR653/AO653)</f>
        <v/>
      </c>
      <c r="AT653" s="34" t="str">
        <f aca="false">IF(OR(AR653="",N(AC653)=0),"",AR653/AC653)</f>
        <v/>
      </c>
      <c r="AU653" s="34" t="str">
        <f aca="false">IF(OR(AR653="",N(S653)=0),"",AR653/S653)</f>
        <v/>
      </c>
      <c r="AV653" s="34" t="str">
        <f aca="false">IF(OR(AJ653="",N(AC653)=0),"",AJ653/AC653)</f>
        <v/>
      </c>
      <c r="AW653" s="34" t="str">
        <f aca="false">IF(OR(AH653="",N(AO653)=0),"",AH653/AO653)</f>
        <v/>
      </c>
      <c r="AX653" s="35" t="str">
        <f aca="false">IF(OR(AR653="",N(AO653)=0),"",(N(AF653)*Settings!$B$6+N(AG653)*Settings!$B$7+N(AH653)*Settings!$B$8+N(AI653)*Settings!$B$9+N(AJ653)*Settings!$B$10)/AO653*1000)</f>
        <v/>
      </c>
      <c r="AY653" s="36" t="str">
        <f aca="false">IF(AS653="","",IFERROR(AS653/AVERAGEIFS('Post Tracker'!$AS$5:$AS$1004,'Post Tracker'!$G$5:$G$1004,G653),""))</f>
        <v/>
      </c>
      <c r="AZ653" s="32"/>
      <c r="BA653" s="32"/>
      <c r="BB653" s="32"/>
      <c r="BC653" s="32"/>
      <c r="BD653" s="33" t="str">
        <f aca="false">IF(A653="","",COUNTIFS('Demo Pipeline'!$Q$5:$Q$504,A653))</f>
        <v/>
      </c>
      <c r="BE653" s="33" t="str">
        <f aca="false">IF(A653="","",COUNTIFS('Demo Pipeline'!$Q$5:$Q$504,A653,'Demo Pipeline'!$W$5:$W$504,"Attended"))</f>
        <v/>
      </c>
      <c r="BF653" s="33" t="str">
        <f aca="false">IF(A653="","",COUNTIFS('Demo Pipeline'!$Q$5:$Q$504,A653,'Demo Pipeline'!$X$5:$X$504,"Yes"))</f>
        <v/>
      </c>
      <c r="BG653" s="33" t="str">
        <f aca="false">IF(A653="","",COUNTIFS('Demo Pipeline'!$Q$5:$Q$504,A653,'Demo Pipeline'!$Y$5:$Y$504,"Closed Won"))</f>
        <v/>
      </c>
      <c r="BH653" s="37" t="str">
        <f aca="false">IF(A653="","",SUMIFS('Demo Pipeline'!$Z$5:$Z$504,'Demo Pipeline'!$Q$5:$Q$504,A653))</f>
        <v/>
      </c>
      <c r="BI653" s="34" t="str">
        <f aca="false">IF(OR(AZ653="",N(AJ653)=0),"",AZ653/AJ653)</f>
        <v/>
      </c>
      <c r="BJ653" s="34" t="str">
        <f aca="false">IF(OR(BB653="",N(AZ653)=0),"",BB653/AZ653)</f>
        <v/>
      </c>
      <c r="BK653" s="34" t="str">
        <f aca="false">IF(OR(A653="",N(BB653)=0),"",BD653/BB653)</f>
        <v/>
      </c>
      <c r="BL653" s="34" t="str">
        <f aca="false">IF(OR(A653="",N(AZ653)=0),"",BD653/AZ653)</f>
        <v/>
      </c>
      <c r="BM653" s="37" t="str">
        <f aca="false">IF(OR(N(Q653)=0,N(BD653)=0),"",Q653/BD653)</f>
        <v/>
      </c>
      <c r="BN653" s="29"/>
      <c r="BO653" s="29"/>
      <c r="BP653" s="33" t="str">
        <f aca="false">IF(OR(AR653="",N(AO653)=0),"",AR653)</f>
        <v/>
      </c>
      <c r="BQ653" s="33" t="str">
        <f aca="false">IF(OR(AR653="",N(S653)=0),"",S653)</f>
        <v/>
      </c>
      <c r="BR653" s="38" t="str">
        <f aca="false">IF(AND(ISNUMBER(B653),B653&gt;=Dashboard!$C$4,B653&lt;=Dashboard!$F$4,ISNUMBER(AU653)),AU653+ROW()/10^9,"")</f>
        <v/>
      </c>
      <c r="BS653" s="38" t="str">
        <f aca="false">IF(AND(ISNUMBER(B653),B653&gt;=Dashboard!$C$4,B653&lt;=Dashboard!$F$4,A653&lt;&gt;""),N(BD653)+N(AU653)/100+ROW()/10^9,"")</f>
        <v/>
      </c>
    </row>
    <row r="654" customFormat="false" ht="15" hidden="false" customHeight="false" outlineLevel="0" collapsed="false">
      <c r="A654" s="24" t="str">
        <f aca="false">IF(OR(B654="",G654="",H654=""),"",IFERROR(INDEX(Settings!$E$5:$E$49,MATCH(G654,Settings!$D$5:$D$49,0))&amp;INDEX(Settings!$H$5:$H$47,MATCH(H654,Settings!$G$5:$G$47,0))&amp;"-"&amp;TEXT(B654,"yymmdd")&amp;"-"&amp;IF(C654="","0000",TEXT(C654,"hhmm")),"CHECK LISTS"))</f>
        <v/>
      </c>
      <c r="B654" s="39"/>
      <c r="C654" s="40"/>
      <c r="D654" s="24" t="str">
        <f aca="false">IF(B654="","",TEXT(B654,"ddd"))</f>
        <v/>
      </c>
      <c r="E654" s="27" t="str">
        <f aca="false">IF(B654="","",B654-WEEKDAY(B654,3))</f>
        <v/>
      </c>
      <c r="F654" s="24" t="str">
        <f aca="false">IF(B654="","",TEXT(B654,"yyyy-mm"))</f>
        <v/>
      </c>
      <c r="G654" s="29"/>
      <c r="H654" s="29"/>
      <c r="I654" s="29"/>
      <c r="J654" s="29"/>
      <c r="K654" s="29"/>
      <c r="L654" s="29"/>
      <c r="M654" s="29"/>
      <c r="N654" s="29"/>
      <c r="O654" s="29"/>
      <c r="P654" s="29"/>
      <c r="Q654" s="30"/>
      <c r="R654" s="29"/>
      <c r="S654" s="32"/>
      <c r="T654" s="29"/>
      <c r="U654" s="29"/>
      <c r="V654" s="24" t="str">
        <f aca="false">IF(A654="","",IFERROR(INDEX(Settings!$F$5:$F$49,MATCH(G654,Settings!$D$5:$D$49,0)),""))</f>
        <v/>
      </c>
      <c r="W654" s="24" t="str">
        <f aca="false">IF(A654="","",IF(OR(P654="",P654="Organic"),"social","paid_social"))</f>
        <v/>
      </c>
      <c r="X654" s="24" t="str">
        <f aca="false">IF(A654="","",IF(K654&lt;&gt;"",IFERROR(INDEX('Case Studies'!$C$5:$C$54,MATCH(K654,'Case Studies'!$B$5:$B$54,0))&amp;"","case-study"),IF(J654&lt;&gt;"",IFERROR(INDEX(Settings!$J$5:$J$55,MATCH(J654,Settings!$I$5:$I$55,0)),"general"),"general")))</f>
        <v/>
      </c>
      <c r="Y654" s="24" t="str">
        <f aca="false">IF(A654="","",LOWER(A654))</f>
        <v/>
      </c>
      <c r="Z654" s="24" t="str">
        <f aca="false">IF(A654="","",IF(T654="",Settings!$B$5,T654)&amp;IF(ISNUMBER(FIND("?",IF(T654="",Settings!$B$5,T654))),"&amp;","?")&amp;"utm_source="&amp;V654&amp;"&amp;utm_medium="&amp;W654&amp;"&amp;utm_campaign="&amp;X654&amp;"&amp;utm_content="&amp;Y654)</f>
        <v/>
      </c>
      <c r="AA654" s="29"/>
      <c r="AB654" s="39"/>
      <c r="AC654" s="32"/>
      <c r="AD654" s="32"/>
      <c r="AE654" s="32"/>
      <c r="AF654" s="32"/>
      <c r="AG654" s="32"/>
      <c r="AH654" s="32"/>
      <c r="AI654" s="32"/>
      <c r="AJ654" s="32"/>
      <c r="AK654" s="32"/>
      <c r="AL654" s="32"/>
      <c r="AM654" s="32"/>
      <c r="AN654" s="32"/>
      <c r="AO654" s="33" t="str">
        <f aca="false">IF(A654="","",IF(AD654&lt;&gt;"",AD654,IF(AC654&lt;&gt;"",AC654,"")))</f>
        <v/>
      </c>
      <c r="AP654" s="24" t="str">
        <f aca="false">IF(AO654="","",IF(AD654&lt;&gt;"","Reported reach","Impressions (proxy)"))</f>
        <v/>
      </c>
      <c r="AQ654" s="34" t="str">
        <f aca="false">IF(OR(AO654="",N(S654)=0),"",AO654/S654)</f>
        <v/>
      </c>
      <c r="AR654" s="33" t="str">
        <f aca="false">IF(A654="","",IF(COUNT(AF654:AJ654)=0,"",SUM(AF654:AJ654)))</f>
        <v/>
      </c>
      <c r="AS654" s="34" t="str">
        <f aca="false">IF(OR(AR654="",N(AO654)=0),"",AR654/AO654)</f>
        <v/>
      </c>
      <c r="AT654" s="34" t="str">
        <f aca="false">IF(OR(AR654="",N(AC654)=0),"",AR654/AC654)</f>
        <v/>
      </c>
      <c r="AU654" s="34" t="str">
        <f aca="false">IF(OR(AR654="",N(S654)=0),"",AR654/S654)</f>
        <v/>
      </c>
      <c r="AV654" s="34" t="str">
        <f aca="false">IF(OR(AJ654="",N(AC654)=0),"",AJ654/AC654)</f>
        <v/>
      </c>
      <c r="AW654" s="34" t="str">
        <f aca="false">IF(OR(AH654="",N(AO654)=0),"",AH654/AO654)</f>
        <v/>
      </c>
      <c r="AX654" s="35" t="str">
        <f aca="false">IF(OR(AR654="",N(AO654)=0),"",(N(AF654)*Settings!$B$6+N(AG654)*Settings!$B$7+N(AH654)*Settings!$B$8+N(AI654)*Settings!$B$9+N(AJ654)*Settings!$B$10)/AO654*1000)</f>
        <v/>
      </c>
      <c r="AY654" s="36" t="str">
        <f aca="false">IF(AS654="","",IFERROR(AS654/AVERAGEIFS('Post Tracker'!$AS$5:$AS$1004,'Post Tracker'!$G$5:$G$1004,G654),""))</f>
        <v/>
      </c>
      <c r="AZ654" s="32"/>
      <c r="BA654" s="32"/>
      <c r="BB654" s="32"/>
      <c r="BC654" s="32"/>
      <c r="BD654" s="33" t="str">
        <f aca="false">IF(A654="","",COUNTIFS('Demo Pipeline'!$Q$5:$Q$504,A654))</f>
        <v/>
      </c>
      <c r="BE654" s="33" t="str">
        <f aca="false">IF(A654="","",COUNTIFS('Demo Pipeline'!$Q$5:$Q$504,A654,'Demo Pipeline'!$W$5:$W$504,"Attended"))</f>
        <v/>
      </c>
      <c r="BF654" s="33" t="str">
        <f aca="false">IF(A654="","",COUNTIFS('Demo Pipeline'!$Q$5:$Q$504,A654,'Demo Pipeline'!$X$5:$X$504,"Yes"))</f>
        <v/>
      </c>
      <c r="BG654" s="33" t="str">
        <f aca="false">IF(A654="","",COUNTIFS('Demo Pipeline'!$Q$5:$Q$504,A654,'Demo Pipeline'!$Y$5:$Y$504,"Closed Won"))</f>
        <v/>
      </c>
      <c r="BH654" s="37" t="str">
        <f aca="false">IF(A654="","",SUMIFS('Demo Pipeline'!$Z$5:$Z$504,'Demo Pipeline'!$Q$5:$Q$504,A654))</f>
        <v/>
      </c>
      <c r="BI654" s="34" t="str">
        <f aca="false">IF(OR(AZ654="",N(AJ654)=0),"",AZ654/AJ654)</f>
        <v/>
      </c>
      <c r="BJ654" s="34" t="str">
        <f aca="false">IF(OR(BB654="",N(AZ654)=0),"",BB654/AZ654)</f>
        <v/>
      </c>
      <c r="BK654" s="34" t="str">
        <f aca="false">IF(OR(A654="",N(BB654)=0),"",BD654/BB654)</f>
        <v/>
      </c>
      <c r="BL654" s="34" t="str">
        <f aca="false">IF(OR(A654="",N(AZ654)=0),"",BD654/AZ654)</f>
        <v/>
      </c>
      <c r="BM654" s="37" t="str">
        <f aca="false">IF(OR(N(Q654)=0,N(BD654)=0),"",Q654/BD654)</f>
        <v/>
      </c>
      <c r="BN654" s="29"/>
      <c r="BO654" s="29"/>
      <c r="BP654" s="33" t="str">
        <f aca="false">IF(OR(AR654="",N(AO654)=0),"",AR654)</f>
        <v/>
      </c>
      <c r="BQ654" s="33" t="str">
        <f aca="false">IF(OR(AR654="",N(S654)=0),"",S654)</f>
        <v/>
      </c>
      <c r="BR654" s="38" t="str">
        <f aca="false">IF(AND(ISNUMBER(B654),B654&gt;=Dashboard!$C$4,B654&lt;=Dashboard!$F$4,ISNUMBER(AU654)),AU654+ROW()/10^9,"")</f>
        <v/>
      </c>
      <c r="BS654" s="38" t="str">
        <f aca="false">IF(AND(ISNUMBER(B654),B654&gt;=Dashboard!$C$4,B654&lt;=Dashboard!$F$4,A654&lt;&gt;""),N(BD654)+N(AU654)/100+ROW()/10^9,"")</f>
        <v/>
      </c>
    </row>
    <row r="655" customFormat="false" ht="15" hidden="false" customHeight="false" outlineLevel="0" collapsed="false">
      <c r="A655" s="24" t="str">
        <f aca="false">IF(OR(B655="",G655="",H655=""),"",IFERROR(INDEX(Settings!$E$5:$E$49,MATCH(G655,Settings!$D$5:$D$49,0))&amp;INDEX(Settings!$H$5:$H$47,MATCH(H655,Settings!$G$5:$G$47,0))&amp;"-"&amp;TEXT(B655,"yymmdd")&amp;"-"&amp;IF(C655="","0000",TEXT(C655,"hhmm")),"CHECK LISTS"))</f>
        <v/>
      </c>
      <c r="B655" s="39"/>
      <c r="C655" s="40"/>
      <c r="D655" s="24" t="str">
        <f aca="false">IF(B655="","",TEXT(B655,"ddd"))</f>
        <v/>
      </c>
      <c r="E655" s="27" t="str">
        <f aca="false">IF(B655="","",B655-WEEKDAY(B655,3))</f>
        <v/>
      </c>
      <c r="F655" s="24" t="str">
        <f aca="false">IF(B655="","",TEXT(B655,"yyyy-mm"))</f>
        <v/>
      </c>
      <c r="G655" s="29"/>
      <c r="H655" s="29"/>
      <c r="I655" s="29"/>
      <c r="J655" s="29"/>
      <c r="K655" s="29"/>
      <c r="L655" s="29"/>
      <c r="M655" s="29"/>
      <c r="N655" s="29"/>
      <c r="O655" s="29"/>
      <c r="P655" s="29"/>
      <c r="Q655" s="30"/>
      <c r="R655" s="29"/>
      <c r="S655" s="32"/>
      <c r="T655" s="29"/>
      <c r="U655" s="29"/>
      <c r="V655" s="24" t="str">
        <f aca="false">IF(A655="","",IFERROR(INDEX(Settings!$F$5:$F$49,MATCH(G655,Settings!$D$5:$D$49,0)),""))</f>
        <v/>
      </c>
      <c r="W655" s="24" t="str">
        <f aca="false">IF(A655="","",IF(OR(P655="",P655="Organic"),"social","paid_social"))</f>
        <v/>
      </c>
      <c r="X655" s="24" t="str">
        <f aca="false">IF(A655="","",IF(K655&lt;&gt;"",IFERROR(INDEX('Case Studies'!$C$5:$C$54,MATCH(K655,'Case Studies'!$B$5:$B$54,0))&amp;"","case-study"),IF(J655&lt;&gt;"",IFERROR(INDEX(Settings!$J$5:$J$55,MATCH(J655,Settings!$I$5:$I$55,0)),"general"),"general")))</f>
        <v/>
      </c>
      <c r="Y655" s="24" t="str">
        <f aca="false">IF(A655="","",LOWER(A655))</f>
        <v/>
      </c>
      <c r="Z655" s="24" t="str">
        <f aca="false">IF(A655="","",IF(T655="",Settings!$B$5,T655)&amp;IF(ISNUMBER(FIND("?",IF(T655="",Settings!$B$5,T655))),"&amp;","?")&amp;"utm_source="&amp;V655&amp;"&amp;utm_medium="&amp;W655&amp;"&amp;utm_campaign="&amp;X655&amp;"&amp;utm_content="&amp;Y655)</f>
        <v/>
      </c>
      <c r="AA655" s="29"/>
      <c r="AB655" s="39"/>
      <c r="AC655" s="32"/>
      <c r="AD655" s="32"/>
      <c r="AE655" s="32"/>
      <c r="AF655" s="32"/>
      <c r="AG655" s="32"/>
      <c r="AH655" s="32"/>
      <c r="AI655" s="32"/>
      <c r="AJ655" s="32"/>
      <c r="AK655" s="32"/>
      <c r="AL655" s="32"/>
      <c r="AM655" s="32"/>
      <c r="AN655" s="32"/>
      <c r="AO655" s="33" t="str">
        <f aca="false">IF(A655="","",IF(AD655&lt;&gt;"",AD655,IF(AC655&lt;&gt;"",AC655,"")))</f>
        <v/>
      </c>
      <c r="AP655" s="24" t="str">
        <f aca="false">IF(AO655="","",IF(AD655&lt;&gt;"","Reported reach","Impressions (proxy)"))</f>
        <v/>
      </c>
      <c r="AQ655" s="34" t="str">
        <f aca="false">IF(OR(AO655="",N(S655)=0),"",AO655/S655)</f>
        <v/>
      </c>
      <c r="AR655" s="33" t="str">
        <f aca="false">IF(A655="","",IF(COUNT(AF655:AJ655)=0,"",SUM(AF655:AJ655)))</f>
        <v/>
      </c>
      <c r="AS655" s="34" t="str">
        <f aca="false">IF(OR(AR655="",N(AO655)=0),"",AR655/AO655)</f>
        <v/>
      </c>
      <c r="AT655" s="34" t="str">
        <f aca="false">IF(OR(AR655="",N(AC655)=0),"",AR655/AC655)</f>
        <v/>
      </c>
      <c r="AU655" s="34" t="str">
        <f aca="false">IF(OR(AR655="",N(S655)=0),"",AR655/S655)</f>
        <v/>
      </c>
      <c r="AV655" s="34" t="str">
        <f aca="false">IF(OR(AJ655="",N(AC655)=0),"",AJ655/AC655)</f>
        <v/>
      </c>
      <c r="AW655" s="34" t="str">
        <f aca="false">IF(OR(AH655="",N(AO655)=0),"",AH655/AO655)</f>
        <v/>
      </c>
      <c r="AX655" s="35" t="str">
        <f aca="false">IF(OR(AR655="",N(AO655)=0),"",(N(AF655)*Settings!$B$6+N(AG655)*Settings!$B$7+N(AH655)*Settings!$B$8+N(AI655)*Settings!$B$9+N(AJ655)*Settings!$B$10)/AO655*1000)</f>
        <v/>
      </c>
      <c r="AY655" s="36" t="str">
        <f aca="false">IF(AS655="","",IFERROR(AS655/AVERAGEIFS('Post Tracker'!$AS$5:$AS$1004,'Post Tracker'!$G$5:$G$1004,G655),""))</f>
        <v/>
      </c>
      <c r="AZ655" s="32"/>
      <c r="BA655" s="32"/>
      <c r="BB655" s="32"/>
      <c r="BC655" s="32"/>
      <c r="BD655" s="33" t="str">
        <f aca="false">IF(A655="","",COUNTIFS('Demo Pipeline'!$Q$5:$Q$504,A655))</f>
        <v/>
      </c>
      <c r="BE655" s="33" t="str">
        <f aca="false">IF(A655="","",COUNTIFS('Demo Pipeline'!$Q$5:$Q$504,A655,'Demo Pipeline'!$W$5:$W$504,"Attended"))</f>
        <v/>
      </c>
      <c r="BF655" s="33" t="str">
        <f aca="false">IF(A655="","",COUNTIFS('Demo Pipeline'!$Q$5:$Q$504,A655,'Demo Pipeline'!$X$5:$X$504,"Yes"))</f>
        <v/>
      </c>
      <c r="BG655" s="33" t="str">
        <f aca="false">IF(A655="","",COUNTIFS('Demo Pipeline'!$Q$5:$Q$504,A655,'Demo Pipeline'!$Y$5:$Y$504,"Closed Won"))</f>
        <v/>
      </c>
      <c r="BH655" s="37" t="str">
        <f aca="false">IF(A655="","",SUMIFS('Demo Pipeline'!$Z$5:$Z$504,'Demo Pipeline'!$Q$5:$Q$504,A655))</f>
        <v/>
      </c>
      <c r="BI655" s="34" t="str">
        <f aca="false">IF(OR(AZ655="",N(AJ655)=0),"",AZ655/AJ655)</f>
        <v/>
      </c>
      <c r="BJ655" s="34" t="str">
        <f aca="false">IF(OR(BB655="",N(AZ655)=0),"",BB655/AZ655)</f>
        <v/>
      </c>
      <c r="BK655" s="34" t="str">
        <f aca="false">IF(OR(A655="",N(BB655)=0),"",BD655/BB655)</f>
        <v/>
      </c>
      <c r="BL655" s="34" t="str">
        <f aca="false">IF(OR(A655="",N(AZ655)=0),"",BD655/AZ655)</f>
        <v/>
      </c>
      <c r="BM655" s="37" t="str">
        <f aca="false">IF(OR(N(Q655)=0,N(BD655)=0),"",Q655/BD655)</f>
        <v/>
      </c>
      <c r="BN655" s="29"/>
      <c r="BO655" s="29"/>
      <c r="BP655" s="33" t="str">
        <f aca="false">IF(OR(AR655="",N(AO655)=0),"",AR655)</f>
        <v/>
      </c>
      <c r="BQ655" s="33" t="str">
        <f aca="false">IF(OR(AR655="",N(S655)=0),"",S655)</f>
        <v/>
      </c>
      <c r="BR655" s="38" t="str">
        <f aca="false">IF(AND(ISNUMBER(B655),B655&gt;=Dashboard!$C$4,B655&lt;=Dashboard!$F$4,ISNUMBER(AU655)),AU655+ROW()/10^9,"")</f>
        <v/>
      </c>
      <c r="BS655" s="38" t="str">
        <f aca="false">IF(AND(ISNUMBER(B655),B655&gt;=Dashboard!$C$4,B655&lt;=Dashboard!$F$4,A655&lt;&gt;""),N(BD655)+N(AU655)/100+ROW()/10^9,"")</f>
        <v/>
      </c>
    </row>
    <row r="656" customFormat="false" ht="15" hidden="false" customHeight="false" outlineLevel="0" collapsed="false">
      <c r="A656" s="24" t="str">
        <f aca="false">IF(OR(B656="",G656="",H656=""),"",IFERROR(INDEX(Settings!$E$5:$E$49,MATCH(G656,Settings!$D$5:$D$49,0))&amp;INDEX(Settings!$H$5:$H$47,MATCH(H656,Settings!$G$5:$G$47,0))&amp;"-"&amp;TEXT(B656,"yymmdd")&amp;"-"&amp;IF(C656="","0000",TEXT(C656,"hhmm")),"CHECK LISTS"))</f>
        <v/>
      </c>
      <c r="B656" s="39"/>
      <c r="C656" s="40"/>
      <c r="D656" s="24" t="str">
        <f aca="false">IF(B656="","",TEXT(B656,"ddd"))</f>
        <v/>
      </c>
      <c r="E656" s="27" t="str">
        <f aca="false">IF(B656="","",B656-WEEKDAY(B656,3))</f>
        <v/>
      </c>
      <c r="F656" s="24" t="str">
        <f aca="false">IF(B656="","",TEXT(B656,"yyyy-mm"))</f>
        <v/>
      </c>
      <c r="G656" s="29"/>
      <c r="H656" s="29"/>
      <c r="I656" s="29"/>
      <c r="J656" s="29"/>
      <c r="K656" s="29"/>
      <c r="L656" s="29"/>
      <c r="M656" s="29"/>
      <c r="N656" s="29"/>
      <c r="O656" s="29"/>
      <c r="P656" s="29"/>
      <c r="Q656" s="30"/>
      <c r="R656" s="29"/>
      <c r="S656" s="32"/>
      <c r="T656" s="29"/>
      <c r="U656" s="29"/>
      <c r="V656" s="24" t="str">
        <f aca="false">IF(A656="","",IFERROR(INDEX(Settings!$F$5:$F$49,MATCH(G656,Settings!$D$5:$D$49,0)),""))</f>
        <v/>
      </c>
      <c r="W656" s="24" t="str">
        <f aca="false">IF(A656="","",IF(OR(P656="",P656="Organic"),"social","paid_social"))</f>
        <v/>
      </c>
      <c r="X656" s="24" t="str">
        <f aca="false">IF(A656="","",IF(K656&lt;&gt;"",IFERROR(INDEX('Case Studies'!$C$5:$C$54,MATCH(K656,'Case Studies'!$B$5:$B$54,0))&amp;"","case-study"),IF(J656&lt;&gt;"",IFERROR(INDEX(Settings!$J$5:$J$55,MATCH(J656,Settings!$I$5:$I$55,0)),"general"),"general")))</f>
        <v/>
      </c>
      <c r="Y656" s="24" t="str">
        <f aca="false">IF(A656="","",LOWER(A656))</f>
        <v/>
      </c>
      <c r="Z656" s="24" t="str">
        <f aca="false">IF(A656="","",IF(T656="",Settings!$B$5,T656)&amp;IF(ISNUMBER(FIND("?",IF(T656="",Settings!$B$5,T656))),"&amp;","?")&amp;"utm_source="&amp;V656&amp;"&amp;utm_medium="&amp;W656&amp;"&amp;utm_campaign="&amp;X656&amp;"&amp;utm_content="&amp;Y656)</f>
        <v/>
      </c>
      <c r="AA656" s="29"/>
      <c r="AB656" s="39"/>
      <c r="AC656" s="32"/>
      <c r="AD656" s="32"/>
      <c r="AE656" s="32"/>
      <c r="AF656" s="32"/>
      <c r="AG656" s="32"/>
      <c r="AH656" s="32"/>
      <c r="AI656" s="32"/>
      <c r="AJ656" s="32"/>
      <c r="AK656" s="32"/>
      <c r="AL656" s="32"/>
      <c r="AM656" s="32"/>
      <c r="AN656" s="32"/>
      <c r="AO656" s="33" t="str">
        <f aca="false">IF(A656="","",IF(AD656&lt;&gt;"",AD656,IF(AC656&lt;&gt;"",AC656,"")))</f>
        <v/>
      </c>
      <c r="AP656" s="24" t="str">
        <f aca="false">IF(AO656="","",IF(AD656&lt;&gt;"","Reported reach","Impressions (proxy)"))</f>
        <v/>
      </c>
      <c r="AQ656" s="34" t="str">
        <f aca="false">IF(OR(AO656="",N(S656)=0),"",AO656/S656)</f>
        <v/>
      </c>
      <c r="AR656" s="33" t="str">
        <f aca="false">IF(A656="","",IF(COUNT(AF656:AJ656)=0,"",SUM(AF656:AJ656)))</f>
        <v/>
      </c>
      <c r="AS656" s="34" t="str">
        <f aca="false">IF(OR(AR656="",N(AO656)=0),"",AR656/AO656)</f>
        <v/>
      </c>
      <c r="AT656" s="34" t="str">
        <f aca="false">IF(OR(AR656="",N(AC656)=0),"",AR656/AC656)</f>
        <v/>
      </c>
      <c r="AU656" s="34" t="str">
        <f aca="false">IF(OR(AR656="",N(S656)=0),"",AR656/S656)</f>
        <v/>
      </c>
      <c r="AV656" s="34" t="str">
        <f aca="false">IF(OR(AJ656="",N(AC656)=0),"",AJ656/AC656)</f>
        <v/>
      </c>
      <c r="AW656" s="34" t="str">
        <f aca="false">IF(OR(AH656="",N(AO656)=0),"",AH656/AO656)</f>
        <v/>
      </c>
      <c r="AX656" s="35" t="str">
        <f aca="false">IF(OR(AR656="",N(AO656)=0),"",(N(AF656)*Settings!$B$6+N(AG656)*Settings!$B$7+N(AH656)*Settings!$B$8+N(AI656)*Settings!$B$9+N(AJ656)*Settings!$B$10)/AO656*1000)</f>
        <v/>
      </c>
      <c r="AY656" s="36" t="str">
        <f aca="false">IF(AS656="","",IFERROR(AS656/AVERAGEIFS('Post Tracker'!$AS$5:$AS$1004,'Post Tracker'!$G$5:$G$1004,G656),""))</f>
        <v/>
      </c>
      <c r="AZ656" s="32"/>
      <c r="BA656" s="32"/>
      <c r="BB656" s="32"/>
      <c r="BC656" s="32"/>
      <c r="BD656" s="33" t="str">
        <f aca="false">IF(A656="","",COUNTIFS('Demo Pipeline'!$Q$5:$Q$504,A656))</f>
        <v/>
      </c>
      <c r="BE656" s="33" t="str">
        <f aca="false">IF(A656="","",COUNTIFS('Demo Pipeline'!$Q$5:$Q$504,A656,'Demo Pipeline'!$W$5:$W$504,"Attended"))</f>
        <v/>
      </c>
      <c r="BF656" s="33" t="str">
        <f aca="false">IF(A656="","",COUNTIFS('Demo Pipeline'!$Q$5:$Q$504,A656,'Demo Pipeline'!$X$5:$X$504,"Yes"))</f>
        <v/>
      </c>
      <c r="BG656" s="33" t="str">
        <f aca="false">IF(A656="","",COUNTIFS('Demo Pipeline'!$Q$5:$Q$504,A656,'Demo Pipeline'!$Y$5:$Y$504,"Closed Won"))</f>
        <v/>
      </c>
      <c r="BH656" s="37" t="str">
        <f aca="false">IF(A656="","",SUMIFS('Demo Pipeline'!$Z$5:$Z$504,'Demo Pipeline'!$Q$5:$Q$504,A656))</f>
        <v/>
      </c>
      <c r="BI656" s="34" t="str">
        <f aca="false">IF(OR(AZ656="",N(AJ656)=0),"",AZ656/AJ656)</f>
        <v/>
      </c>
      <c r="BJ656" s="34" t="str">
        <f aca="false">IF(OR(BB656="",N(AZ656)=0),"",BB656/AZ656)</f>
        <v/>
      </c>
      <c r="BK656" s="34" t="str">
        <f aca="false">IF(OR(A656="",N(BB656)=0),"",BD656/BB656)</f>
        <v/>
      </c>
      <c r="BL656" s="34" t="str">
        <f aca="false">IF(OR(A656="",N(AZ656)=0),"",BD656/AZ656)</f>
        <v/>
      </c>
      <c r="BM656" s="37" t="str">
        <f aca="false">IF(OR(N(Q656)=0,N(BD656)=0),"",Q656/BD656)</f>
        <v/>
      </c>
      <c r="BN656" s="29"/>
      <c r="BO656" s="29"/>
      <c r="BP656" s="33" t="str">
        <f aca="false">IF(OR(AR656="",N(AO656)=0),"",AR656)</f>
        <v/>
      </c>
      <c r="BQ656" s="33" t="str">
        <f aca="false">IF(OR(AR656="",N(S656)=0),"",S656)</f>
        <v/>
      </c>
      <c r="BR656" s="38" t="str">
        <f aca="false">IF(AND(ISNUMBER(B656),B656&gt;=Dashboard!$C$4,B656&lt;=Dashboard!$F$4,ISNUMBER(AU656)),AU656+ROW()/10^9,"")</f>
        <v/>
      </c>
      <c r="BS656" s="38" t="str">
        <f aca="false">IF(AND(ISNUMBER(B656),B656&gt;=Dashboard!$C$4,B656&lt;=Dashboard!$F$4,A656&lt;&gt;""),N(BD656)+N(AU656)/100+ROW()/10^9,"")</f>
        <v/>
      </c>
    </row>
    <row r="657" customFormat="false" ht="15" hidden="false" customHeight="false" outlineLevel="0" collapsed="false">
      <c r="A657" s="24" t="str">
        <f aca="false">IF(OR(B657="",G657="",H657=""),"",IFERROR(INDEX(Settings!$E$5:$E$49,MATCH(G657,Settings!$D$5:$D$49,0))&amp;INDEX(Settings!$H$5:$H$47,MATCH(H657,Settings!$G$5:$G$47,0))&amp;"-"&amp;TEXT(B657,"yymmdd")&amp;"-"&amp;IF(C657="","0000",TEXT(C657,"hhmm")),"CHECK LISTS"))</f>
        <v/>
      </c>
      <c r="B657" s="39"/>
      <c r="C657" s="40"/>
      <c r="D657" s="24" t="str">
        <f aca="false">IF(B657="","",TEXT(B657,"ddd"))</f>
        <v/>
      </c>
      <c r="E657" s="27" t="str">
        <f aca="false">IF(B657="","",B657-WEEKDAY(B657,3))</f>
        <v/>
      </c>
      <c r="F657" s="24" t="str">
        <f aca="false">IF(B657="","",TEXT(B657,"yyyy-mm"))</f>
        <v/>
      </c>
      <c r="G657" s="29"/>
      <c r="H657" s="29"/>
      <c r="I657" s="29"/>
      <c r="J657" s="29"/>
      <c r="K657" s="29"/>
      <c r="L657" s="29"/>
      <c r="M657" s="29"/>
      <c r="N657" s="29"/>
      <c r="O657" s="29"/>
      <c r="P657" s="29"/>
      <c r="Q657" s="30"/>
      <c r="R657" s="29"/>
      <c r="S657" s="32"/>
      <c r="T657" s="29"/>
      <c r="U657" s="29"/>
      <c r="V657" s="24" t="str">
        <f aca="false">IF(A657="","",IFERROR(INDEX(Settings!$F$5:$F$49,MATCH(G657,Settings!$D$5:$D$49,0)),""))</f>
        <v/>
      </c>
      <c r="W657" s="24" t="str">
        <f aca="false">IF(A657="","",IF(OR(P657="",P657="Organic"),"social","paid_social"))</f>
        <v/>
      </c>
      <c r="X657" s="24" t="str">
        <f aca="false">IF(A657="","",IF(K657&lt;&gt;"",IFERROR(INDEX('Case Studies'!$C$5:$C$54,MATCH(K657,'Case Studies'!$B$5:$B$54,0))&amp;"","case-study"),IF(J657&lt;&gt;"",IFERROR(INDEX(Settings!$J$5:$J$55,MATCH(J657,Settings!$I$5:$I$55,0)),"general"),"general")))</f>
        <v/>
      </c>
      <c r="Y657" s="24" t="str">
        <f aca="false">IF(A657="","",LOWER(A657))</f>
        <v/>
      </c>
      <c r="Z657" s="24" t="str">
        <f aca="false">IF(A657="","",IF(T657="",Settings!$B$5,T657)&amp;IF(ISNUMBER(FIND("?",IF(T657="",Settings!$B$5,T657))),"&amp;","?")&amp;"utm_source="&amp;V657&amp;"&amp;utm_medium="&amp;W657&amp;"&amp;utm_campaign="&amp;X657&amp;"&amp;utm_content="&amp;Y657)</f>
        <v/>
      </c>
      <c r="AA657" s="29"/>
      <c r="AB657" s="39"/>
      <c r="AC657" s="32"/>
      <c r="AD657" s="32"/>
      <c r="AE657" s="32"/>
      <c r="AF657" s="32"/>
      <c r="AG657" s="32"/>
      <c r="AH657" s="32"/>
      <c r="AI657" s="32"/>
      <c r="AJ657" s="32"/>
      <c r="AK657" s="32"/>
      <c r="AL657" s="32"/>
      <c r="AM657" s="32"/>
      <c r="AN657" s="32"/>
      <c r="AO657" s="33" t="str">
        <f aca="false">IF(A657="","",IF(AD657&lt;&gt;"",AD657,IF(AC657&lt;&gt;"",AC657,"")))</f>
        <v/>
      </c>
      <c r="AP657" s="24" t="str">
        <f aca="false">IF(AO657="","",IF(AD657&lt;&gt;"","Reported reach","Impressions (proxy)"))</f>
        <v/>
      </c>
      <c r="AQ657" s="34" t="str">
        <f aca="false">IF(OR(AO657="",N(S657)=0),"",AO657/S657)</f>
        <v/>
      </c>
      <c r="AR657" s="33" t="str">
        <f aca="false">IF(A657="","",IF(COUNT(AF657:AJ657)=0,"",SUM(AF657:AJ657)))</f>
        <v/>
      </c>
      <c r="AS657" s="34" t="str">
        <f aca="false">IF(OR(AR657="",N(AO657)=0),"",AR657/AO657)</f>
        <v/>
      </c>
      <c r="AT657" s="34" t="str">
        <f aca="false">IF(OR(AR657="",N(AC657)=0),"",AR657/AC657)</f>
        <v/>
      </c>
      <c r="AU657" s="34" t="str">
        <f aca="false">IF(OR(AR657="",N(S657)=0),"",AR657/S657)</f>
        <v/>
      </c>
      <c r="AV657" s="34" t="str">
        <f aca="false">IF(OR(AJ657="",N(AC657)=0),"",AJ657/AC657)</f>
        <v/>
      </c>
      <c r="AW657" s="34" t="str">
        <f aca="false">IF(OR(AH657="",N(AO657)=0),"",AH657/AO657)</f>
        <v/>
      </c>
      <c r="AX657" s="35" t="str">
        <f aca="false">IF(OR(AR657="",N(AO657)=0),"",(N(AF657)*Settings!$B$6+N(AG657)*Settings!$B$7+N(AH657)*Settings!$B$8+N(AI657)*Settings!$B$9+N(AJ657)*Settings!$B$10)/AO657*1000)</f>
        <v/>
      </c>
      <c r="AY657" s="36" t="str">
        <f aca="false">IF(AS657="","",IFERROR(AS657/AVERAGEIFS('Post Tracker'!$AS$5:$AS$1004,'Post Tracker'!$G$5:$G$1004,G657),""))</f>
        <v/>
      </c>
      <c r="AZ657" s="32"/>
      <c r="BA657" s="32"/>
      <c r="BB657" s="32"/>
      <c r="BC657" s="32"/>
      <c r="BD657" s="33" t="str">
        <f aca="false">IF(A657="","",COUNTIFS('Demo Pipeline'!$Q$5:$Q$504,A657))</f>
        <v/>
      </c>
      <c r="BE657" s="33" t="str">
        <f aca="false">IF(A657="","",COUNTIFS('Demo Pipeline'!$Q$5:$Q$504,A657,'Demo Pipeline'!$W$5:$W$504,"Attended"))</f>
        <v/>
      </c>
      <c r="BF657" s="33" t="str">
        <f aca="false">IF(A657="","",COUNTIFS('Demo Pipeline'!$Q$5:$Q$504,A657,'Demo Pipeline'!$X$5:$X$504,"Yes"))</f>
        <v/>
      </c>
      <c r="BG657" s="33" t="str">
        <f aca="false">IF(A657="","",COUNTIFS('Demo Pipeline'!$Q$5:$Q$504,A657,'Demo Pipeline'!$Y$5:$Y$504,"Closed Won"))</f>
        <v/>
      </c>
      <c r="BH657" s="37" t="str">
        <f aca="false">IF(A657="","",SUMIFS('Demo Pipeline'!$Z$5:$Z$504,'Demo Pipeline'!$Q$5:$Q$504,A657))</f>
        <v/>
      </c>
      <c r="BI657" s="34" t="str">
        <f aca="false">IF(OR(AZ657="",N(AJ657)=0),"",AZ657/AJ657)</f>
        <v/>
      </c>
      <c r="BJ657" s="34" t="str">
        <f aca="false">IF(OR(BB657="",N(AZ657)=0),"",BB657/AZ657)</f>
        <v/>
      </c>
      <c r="BK657" s="34" t="str">
        <f aca="false">IF(OR(A657="",N(BB657)=0),"",BD657/BB657)</f>
        <v/>
      </c>
      <c r="BL657" s="34" t="str">
        <f aca="false">IF(OR(A657="",N(AZ657)=0),"",BD657/AZ657)</f>
        <v/>
      </c>
      <c r="BM657" s="37" t="str">
        <f aca="false">IF(OR(N(Q657)=0,N(BD657)=0),"",Q657/BD657)</f>
        <v/>
      </c>
      <c r="BN657" s="29"/>
      <c r="BO657" s="29"/>
      <c r="BP657" s="33" t="str">
        <f aca="false">IF(OR(AR657="",N(AO657)=0),"",AR657)</f>
        <v/>
      </c>
      <c r="BQ657" s="33" t="str">
        <f aca="false">IF(OR(AR657="",N(S657)=0),"",S657)</f>
        <v/>
      </c>
      <c r="BR657" s="38" t="str">
        <f aca="false">IF(AND(ISNUMBER(B657),B657&gt;=Dashboard!$C$4,B657&lt;=Dashboard!$F$4,ISNUMBER(AU657)),AU657+ROW()/10^9,"")</f>
        <v/>
      </c>
      <c r="BS657" s="38" t="str">
        <f aca="false">IF(AND(ISNUMBER(B657),B657&gt;=Dashboard!$C$4,B657&lt;=Dashboard!$F$4,A657&lt;&gt;""),N(BD657)+N(AU657)/100+ROW()/10^9,"")</f>
        <v/>
      </c>
    </row>
    <row r="658" customFormat="false" ht="15" hidden="false" customHeight="false" outlineLevel="0" collapsed="false">
      <c r="A658" s="24" t="str">
        <f aca="false">IF(OR(B658="",G658="",H658=""),"",IFERROR(INDEX(Settings!$E$5:$E$49,MATCH(G658,Settings!$D$5:$D$49,0))&amp;INDEX(Settings!$H$5:$H$47,MATCH(H658,Settings!$G$5:$G$47,0))&amp;"-"&amp;TEXT(B658,"yymmdd")&amp;"-"&amp;IF(C658="","0000",TEXT(C658,"hhmm")),"CHECK LISTS"))</f>
        <v/>
      </c>
      <c r="B658" s="39"/>
      <c r="C658" s="40"/>
      <c r="D658" s="24" t="str">
        <f aca="false">IF(B658="","",TEXT(B658,"ddd"))</f>
        <v/>
      </c>
      <c r="E658" s="27" t="str">
        <f aca="false">IF(B658="","",B658-WEEKDAY(B658,3))</f>
        <v/>
      </c>
      <c r="F658" s="24" t="str">
        <f aca="false">IF(B658="","",TEXT(B658,"yyyy-mm"))</f>
        <v/>
      </c>
      <c r="G658" s="29"/>
      <c r="H658" s="29"/>
      <c r="I658" s="29"/>
      <c r="J658" s="29"/>
      <c r="K658" s="29"/>
      <c r="L658" s="29"/>
      <c r="M658" s="29"/>
      <c r="N658" s="29"/>
      <c r="O658" s="29"/>
      <c r="P658" s="29"/>
      <c r="Q658" s="30"/>
      <c r="R658" s="29"/>
      <c r="S658" s="32"/>
      <c r="T658" s="29"/>
      <c r="U658" s="29"/>
      <c r="V658" s="24" t="str">
        <f aca="false">IF(A658="","",IFERROR(INDEX(Settings!$F$5:$F$49,MATCH(G658,Settings!$D$5:$D$49,0)),""))</f>
        <v/>
      </c>
      <c r="W658" s="24" t="str">
        <f aca="false">IF(A658="","",IF(OR(P658="",P658="Organic"),"social","paid_social"))</f>
        <v/>
      </c>
      <c r="X658" s="24" t="str">
        <f aca="false">IF(A658="","",IF(K658&lt;&gt;"",IFERROR(INDEX('Case Studies'!$C$5:$C$54,MATCH(K658,'Case Studies'!$B$5:$B$54,0))&amp;"","case-study"),IF(J658&lt;&gt;"",IFERROR(INDEX(Settings!$J$5:$J$55,MATCH(J658,Settings!$I$5:$I$55,0)),"general"),"general")))</f>
        <v/>
      </c>
      <c r="Y658" s="24" t="str">
        <f aca="false">IF(A658="","",LOWER(A658))</f>
        <v/>
      </c>
      <c r="Z658" s="24" t="str">
        <f aca="false">IF(A658="","",IF(T658="",Settings!$B$5,T658)&amp;IF(ISNUMBER(FIND("?",IF(T658="",Settings!$B$5,T658))),"&amp;","?")&amp;"utm_source="&amp;V658&amp;"&amp;utm_medium="&amp;W658&amp;"&amp;utm_campaign="&amp;X658&amp;"&amp;utm_content="&amp;Y658)</f>
        <v/>
      </c>
      <c r="AA658" s="29"/>
      <c r="AB658" s="39"/>
      <c r="AC658" s="32"/>
      <c r="AD658" s="32"/>
      <c r="AE658" s="32"/>
      <c r="AF658" s="32"/>
      <c r="AG658" s="32"/>
      <c r="AH658" s="32"/>
      <c r="AI658" s="32"/>
      <c r="AJ658" s="32"/>
      <c r="AK658" s="32"/>
      <c r="AL658" s="32"/>
      <c r="AM658" s="32"/>
      <c r="AN658" s="32"/>
      <c r="AO658" s="33" t="str">
        <f aca="false">IF(A658="","",IF(AD658&lt;&gt;"",AD658,IF(AC658&lt;&gt;"",AC658,"")))</f>
        <v/>
      </c>
      <c r="AP658" s="24" t="str">
        <f aca="false">IF(AO658="","",IF(AD658&lt;&gt;"","Reported reach","Impressions (proxy)"))</f>
        <v/>
      </c>
      <c r="AQ658" s="34" t="str">
        <f aca="false">IF(OR(AO658="",N(S658)=0),"",AO658/S658)</f>
        <v/>
      </c>
      <c r="AR658" s="33" t="str">
        <f aca="false">IF(A658="","",IF(COUNT(AF658:AJ658)=0,"",SUM(AF658:AJ658)))</f>
        <v/>
      </c>
      <c r="AS658" s="34" t="str">
        <f aca="false">IF(OR(AR658="",N(AO658)=0),"",AR658/AO658)</f>
        <v/>
      </c>
      <c r="AT658" s="34" t="str">
        <f aca="false">IF(OR(AR658="",N(AC658)=0),"",AR658/AC658)</f>
        <v/>
      </c>
      <c r="AU658" s="34" t="str">
        <f aca="false">IF(OR(AR658="",N(S658)=0),"",AR658/S658)</f>
        <v/>
      </c>
      <c r="AV658" s="34" t="str">
        <f aca="false">IF(OR(AJ658="",N(AC658)=0),"",AJ658/AC658)</f>
        <v/>
      </c>
      <c r="AW658" s="34" t="str">
        <f aca="false">IF(OR(AH658="",N(AO658)=0),"",AH658/AO658)</f>
        <v/>
      </c>
      <c r="AX658" s="35" t="str">
        <f aca="false">IF(OR(AR658="",N(AO658)=0),"",(N(AF658)*Settings!$B$6+N(AG658)*Settings!$B$7+N(AH658)*Settings!$B$8+N(AI658)*Settings!$B$9+N(AJ658)*Settings!$B$10)/AO658*1000)</f>
        <v/>
      </c>
      <c r="AY658" s="36" t="str">
        <f aca="false">IF(AS658="","",IFERROR(AS658/AVERAGEIFS('Post Tracker'!$AS$5:$AS$1004,'Post Tracker'!$G$5:$G$1004,G658),""))</f>
        <v/>
      </c>
      <c r="AZ658" s="32"/>
      <c r="BA658" s="32"/>
      <c r="BB658" s="32"/>
      <c r="BC658" s="32"/>
      <c r="BD658" s="33" t="str">
        <f aca="false">IF(A658="","",COUNTIFS('Demo Pipeline'!$Q$5:$Q$504,A658))</f>
        <v/>
      </c>
      <c r="BE658" s="33" t="str">
        <f aca="false">IF(A658="","",COUNTIFS('Demo Pipeline'!$Q$5:$Q$504,A658,'Demo Pipeline'!$W$5:$W$504,"Attended"))</f>
        <v/>
      </c>
      <c r="BF658" s="33" t="str">
        <f aca="false">IF(A658="","",COUNTIFS('Demo Pipeline'!$Q$5:$Q$504,A658,'Demo Pipeline'!$X$5:$X$504,"Yes"))</f>
        <v/>
      </c>
      <c r="BG658" s="33" t="str">
        <f aca="false">IF(A658="","",COUNTIFS('Demo Pipeline'!$Q$5:$Q$504,A658,'Demo Pipeline'!$Y$5:$Y$504,"Closed Won"))</f>
        <v/>
      </c>
      <c r="BH658" s="37" t="str">
        <f aca="false">IF(A658="","",SUMIFS('Demo Pipeline'!$Z$5:$Z$504,'Demo Pipeline'!$Q$5:$Q$504,A658))</f>
        <v/>
      </c>
      <c r="BI658" s="34" t="str">
        <f aca="false">IF(OR(AZ658="",N(AJ658)=0),"",AZ658/AJ658)</f>
        <v/>
      </c>
      <c r="BJ658" s="34" t="str">
        <f aca="false">IF(OR(BB658="",N(AZ658)=0),"",BB658/AZ658)</f>
        <v/>
      </c>
      <c r="BK658" s="34" t="str">
        <f aca="false">IF(OR(A658="",N(BB658)=0),"",BD658/BB658)</f>
        <v/>
      </c>
      <c r="BL658" s="34" t="str">
        <f aca="false">IF(OR(A658="",N(AZ658)=0),"",BD658/AZ658)</f>
        <v/>
      </c>
      <c r="BM658" s="37" t="str">
        <f aca="false">IF(OR(N(Q658)=0,N(BD658)=0),"",Q658/BD658)</f>
        <v/>
      </c>
      <c r="BN658" s="29"/>
      <c r="BO658" s="29"/>
      <c r="BP658" s="33" t="str">
        <f aca="false">IF(OR(AR658="",N(AO658)=0),"",AR658)</f>
        <v/>
      </c>
      <c r="BQ658" s="33" t="str">
        <f aca="false">IF(OR(AR658="",N(S658)=0),"",S658)</f>
        <v/>
      </c>
      <c r="BR658" s="38" t="str">
        <f aca="false">IF(AND(ISNUMBER(B658),B658&gt;=Dashboard!$C$4,B658&lt;=Dashboard!$F$4,ISNUMBER(AU658)),AU658+ROW()/10^9,"")</f>
        <v/>
      </c>
      <c r="BS658" s="38" t="str">
        <f aca="false">IF(AND(ISNUMBER(B658),B658&gt;=Dashboard!$C$4,B658&lt;=Dashboard!$F$4,A658&lt;&gt;""),N(BD658)+N(AU658)/100+ROW()/10^9,"")</f>
        <v/>
      </c>
    </row>
    <row r="659" customFormat="false" ht="15" hidden="false" customHeight="false" outlineLevel="0" collapsed="false">
      <c r="A659" s="24" t="str">
        <f aca="false">IF(OR(B659="",G659="",H659=""),"",IFERROR(INDEX(Settings!$E$5:$E$49,MATCH(G659,Settings!$D$5:$D$49,0))&amp;INDEX(Settings!$H$5:$H$47,MATCH(H659,Settings!$G$5:$G$47,0))&amp;"-"&amp;TEXT(B659,"yymmdd")&amp;"-"&amp;IF(C659="","0000",TEXT(C659,"hhmm")),"CHECK LISTS"))</f>
        <v/>
      </c>
      <c r="B659" s="39"/>
      <c r="C659" s="40"/>
      <c r="D659" s="24" t="str">
        <f aca="false">IF(B659="","",TEXT(B659,"ddd"))</f>
        <v/>
      </c>
      <c r="E659" s="27" t="str">
        <f aca="false">IF(B659="","",B659-WEEKDAY(B659,3))</f>
        <v/>
      </c>
      <c r="F659" s="24" t="str">
        <f aca="false">IF(B659="","",TEXT(B659,"yyyy-mm"))</f>
        <v/>
      </c>
      <c r="G659" s="29"/>
      <c r="H659" s="29"/>
      <c r="I659" s="29"/>
      <c r="J659" s="29"/>
      <c r="K659" s="29"/>
      <c r="L659" s="29"/>
      <c r="M659" s="29"/>
      <c r="N659" s="29"/>
      <c r="O659" s="29"/>
      <c r="P659" s="29"/>
      <c r="Q659" s="30"/>
      <c r="R659" s="29"/>
      <c r="S659" s="32"/>
      <c r="T659" s="29"/>
      <c r="U659" s="29"/>
      <c r="V659" s="24" t="str">
        <f aca="false">IF(A659="","",IFERROR(INDEX(Settings!$F$5:$F$49,MATCH(G659,Settings!$D$5:$D$49,0)),""))</f>
        <v/>
      </c>
      <c r="W659" s="24" t="str">
        <f aca="false">IF(A659="","",IF(OR(P659="",P659="Organic"),"social","paid_social"))</f>
        <v/>
      </c>
      <c r="X659" s="24" t="str">
        <f aca="false">IF(A659="","",IF(K659&lt;&gt;"",IFERROR(INDEX('Case Studies'!$C$5:$C$54,MATCH(K659,'Case Studies'!$B$5:$B$54,0))&amp;"","case-study"),IF(J659&lt;&gt;"",IFERROR(INDEX(Settings!$J$5:$J$55,MATCH(J659,Settings!$I$5:$I$55,0)),"general"),"general")))</f>
        <v/>
      </c>
      <c r="Y659" s="24" t="str">
        <f aca="false">IF(A659="","",LOWER(A659))</f>
        <v/>
      </c>
      <c r="Z659" s="24" t="str">
        <f aca="false">IF(A659="","",IF(T659="",Settings!$B$5,T659)&amp;IF(ISNUMBER(FIND("?",IF(T659="",Settings!$B$5,T659))),"&amp;","?")&amp;"utm_source="&amp;V659&amp;"&amp;utm_medium="&amp;W659&amp;"&amp;utm_campaign="&amp;X659&amp;"&amp;utm_content="&amp;Y659)</f>
        <v/>
      </c>
      <c r="AA659" s="29"/>
      <c r="AB659" s="39"/>
      <c r="AC659" s="32"/>
      <c r="AD659" s="32"/>
      <c r="AE659" s="32"/>
      <c r="AF659" s="32"/>
      <c r="AG659" s="32"/>
      <c r="AH659" s="32"/>
      <c r="AI659" s="32"/>
      <c r="AJ659" s="32"/>
      <c r="AK659" s="32"/>
      <c r="AL659" s="32"/>
      <c r="AM659" s="32"/>
      <c r="AN659" s="32"/>
      <c r="AO659" s="33" t="str">
        <f aca="false">IF(A659="","",IF(AD659&lt;&gt;"",AD659,IF(AC659&lt;&gt;"",AC659,"")))</f>
        <v/>
      </c>
      <c r="AP659" s="24" t="str">
        <f aca="false">IF(AO659="","",IF(AD659&lt;&gt;"","Reported reach","Impressions (proxy)"))</f>
        <v/>
      </c>
      <c r="AQ659" s="34" t="str">
        <f aca="false">IF(OR(AO659="",N(S659)=0),"",AO659/S659)</f>
        <v/>
      </c>
      <c r="AR659" s="33" t="str">
        <f aca="false">IF(A659="","",IF(COUNT(AF659:AJ659)=0,"",SUM(AF659:AJ659)))</f>
        <v/>
      </c>
      <c r="AS659" s="34" t="str">
        <f aca="false">IF(OR(AR659="",N(AO659)=0),"",AR659/AO659)</f>
        <v/>
      </c>
      <c r="AT659" s="34" t="str">
        <f aca="false">IF(OR(AR659="",N(AC659)=0),"",AR659/AC659)</f>
        <v/>
      </c>
      <c r="AU659" s="34" t="str">
        <f aca="false">IF(OR(AR659="",N(S659)=0),"",AR659/S659)</f>
        <v/>
      </c>
      <c r="AV659" s="34" t="str">
        <f aca="false">IF(OR(AJ659="",N(AC659)=0),"",AJ659/AC659)</f>
        <v/>
      </c>
      <c r="AW659" s="34" t="str">
        <f aca="false">IF(OR(AH659="",N(AO659)=0),"",AH659/AO659)</f>
        <v/>
      </c>
      <c r="AX659" s="35" t="str">
        <f aca="false">IF(OR(AR659="",N(AO659)=0),"",(N(AF659)*Settings!$B$6+N(AG659)*Settings!$B$7+N(AH659)*Settings!$B$8+N(AI659)*Settings!$B$9+N(AJ659)*Settings!$B$10)/AO659*1000)</f>
        <v/>
      </c>
      <c r="AY659" s="36" t="str">
        <f aca="false">IF(AS659="","",IFERROR(AS659/AVERAGEIFS('Post Tracker'!$AS$5:$AS$1004,'Post Tracker'!$G$5:$G$1004,G659),""))</f>
        <v/>
      </c>
      <c r="AZ659" s="32"/>
      <c r="BA659" s="32"/>
      <c r="BB659" s="32"/>
      <c r="BC659" s="32"/>
      <c r="BD659" s="33" t="str">
        <f aca="false">IF(A659="","",COUNTIFS('Demo Pipeline'!$Q$5:$Q$504,A659))</f>
        <v/>
      </c>
      <c r="BE659" s="33" t="str">
        <f aca="false">IF(A659="","",COUNTIFS('Demo Pipeline'!$Q$5:$Q$504,A659,'Demo Pipeline'!$W$5:$W$504,"Attended"))</f>
        <v/>
      </c>
      <c r="BF659" s="33" t="str">
        <f aca="false">IF(A659="","",COUNTIFS('Demo Pipeline'!$Q$5:$Q$504,A659,'Demo Pipeline'!$X$5:$X$504,"Yes"))</f>
        <v/>
      </c>
      <c r="BG659" s="33" t="str">
        <f aca="false">IF(A659="","",COUNTIFS('Demo Pipeline'!$Q$5:$Q$504,A659,'Demo Pipeline'!$Y$5:$Y$504,"Closed Won"))</f>
        <v/>
      </c>
      <c r="BH659" s="37" t="str">
        <f aca="false">IF(A659="","",SUMIFS('Demo Pipeline'!$Z$5:$Z$504,'Demo Pipeline'!$Q$5:$Q$504,A659))</f>
        <v/>
      </c>
      <c r="BI659" s="34" t="str">
        <f aca="false">IF(OR(AZ659="",N(AJ659)=0),"",AZ659/AJ659)</f>
        <v/>
      </c>
      <c r="BJ659" s="34" t="str">
        <f aca="false">IF(OR(BB659="",N(AZ659)=0),"",BB659/AZ659)</f>
        <v/>
      </c>
      <c r="BK659" s="34" t="str">
        <f aca="false">IF(OR(A659="",N(BB659)=0),"",BD659/BB659)</f>
        <v/>
      </c>
      <c r="BL659" s="34" t="str">
        <f aca="false">IF(OR(A659="",N(AZ659)=0),"",BD659/AZ659)</f>
        <v/>
      </c>
      <c r="BM659" s="37" t="str">
        <f aca="false">IF(OR(N(Q659)=0,N(BD659)=0),"",Q659/BD659)</f>
        <v/>
      </c>
      <c r="BN659" s="29"/>
      <c r="BO659" s="29"/>
      <c r="BP659" s="33" t="str">
        <f aca="false">IF(OR(AR659="",N(AO659)=0),"",AR659)</f>
        <v/>
      </c>
      <c r="BQ659" s="33" t="str">
        <f aca="false">IF(OR(AR659="",N(S659)=0),"",S659)</f>
        <v/>
      </c>
      <c r="BR659" s="38" t="str">
        <f aca="false">IF(AND(ISNUMBER(B659),B659&gt;=Dashboard!$C$4,B659&lt;=Dashboard!$F$4,ISNUMBER(AU659)),AU659+ROW()/10^9,"")</f>
        <v/>
      </c>
      <c r="BS659" s="38" t="str">
        <f aca="false">IF(AND(ISNUMBER(B659),B659&gt;=Dashboard!$C$4,B659&lt;=Dashboard!$F$4,A659&lt;&gt;""),N(BD659)+N(AU659)/100+ROW()/10^9,"")</f>
        <v/>
      </c>
    </row>
    <row r="660" customFormat="false" ht="15" hidden="false" customHeight="false" outlineLevel="0" collapsed="false">
      <c r="A660" s="24" t="str">
        <f aca="false">IF(OR(B660="",G660="",H660=""),"",IFERROR(INDEX(Settings!$E$5:$E$49,MATCH(G660,Settings!$D$5:$D$49,0))&amp;INDEX(Settings!$H$5:$H$47,MATCH(H660,Settings!$G$5:$G$47,0))&amp;"-"&amp;TEXT(B660,"yymmdd")&amp;"-"&amp;IF(C660="","0000",TEXT(C660,"hhmm")),"CHECK LISTS"))</f>
        <v/>
      </c>
      <c r="B660" s="39"/>
      <c r="C660" s="40"/>
      <c r="D660" s="24" t="str">
        <f aca="false">IF(B660="","",TEXT(B660,"ddd"))</f>
        <v/>
      </c>
      <c r="E660" s="27" t="str">
        <f aca="false">IF(B660="","",B660-WEEKDAY(B660,3))</f>
        <v/>
      </c>
      <c r="F660" s="24" t="str">
        <f aca="false">IF(B660="","",TEXT(B660,"yyyy-mm"))</f>
        <v/>
      </c>
      <c r="G660" s="29"/>
      <c r="H660" s="29"/>
      <c r="I660" s="29"/>
      <c r="J660" s="29"/>
      <c r="K660" s="29"/>
      <c r="L660" s="29"/>
      <c r="M660" s="29"/>
      <c r="N660" s="29"/>
      <c r="O660" s="29"/>
      <c r="P660" s="29"/>
      <c r="Q660" s="30"/>
      <c r="R660" s="29"/>
      <c r="S660" s="32"/>
      <c r="T660" s="29"/>
      <c r="U660" s="29"/>
      <c r="V660" s="24" t="str">
        <f aca="false">IF(A660="","",IFERROR(INDEX(Settings!$F$5:$F$49,MATCH(G660,Settings!$D$5:$D$49,0)),""))</f>
        <v/>
      </c>
      <c r="W660" s="24" t="str">
        <f aca="false">IF(A660="","",IF(OR(P660="",P660="Organic"),"social","paid_social"))</f>
        <v/>
      </c>
      <c r="X660" s="24" t="str">
        <f aca="false">IF(A660="","",IF(K660&lt;&gt;"",IFERROR(INDEX('Case Studies'!$C$5:$C$54,MATCH(K660,'Case Studies'!$B$5:$B$54,0))&amp;"","case-study"),IF(J660&lt;&gt;"",IFERROR(INDEX(Settings!$J$5:$J$55,MATCH(J660,Settings!$I$5:$I$55,0)),"general"),"general")))</f>
        <v/>
      </c>
      <c r="Y660" s="24" t="str">
        <f aca="false">IF(A660="","",LOWER(A660))</f>
        <v/>
      </c>
      <c r="Z660" s="24" t="str">
        <f aca="false">IF(A660="","",IF(T660="",Settings!$B$5,T660)&amp;IF(ISNUMBER(FIND("?",IF(T660="",Settings!$B$5,T660))),"&amp;","?")&amp;"utm_source="&amp;V660&amp;"&amp;utm_medium="&amp;W660&amp;"&amp;utm_campaign="&amp;X660&amp;"&amp;utm_content="&amp;Y660)</f>
        <v/>
      </c>
      <c r="AA660" s="29"/>
      <c r="AB660" s="39"/>
      <c r="AC660" s="32"/>
      <c r="AD660" s="32"/>
      <c r="AE660" s="32"/>
      <c r="AF660" s="32"/>
      <c r="AG660" s="32"/>
      <c r="AH660" s="32"/>
      <c r="AI660" s="32"/>
      <c r="AJ660" s="32"/>
      <c r="AK660" s="32"/>
      <c r="AL660" s="32"/>
      <c r="AM660" s="32"/>
      <c r="AN660" s="32"/>
      <c r="AO660" s="33" t="str">
        <f aca="false">IF(A660="","",IF(AD660&lt;&gt;"",AD660,IF(AC660&lt;&gt;"",AC660,"")))</f>
        <v/>
      </c>
      <c r="AP660" s="24" t="str">
        <f aca="false">IF(AO660="","",IF(AD660&lt;&gt;"","Reported reach","Impressions (proxy)"))</f>
        <v/>
      </c>
      <c r="AQ660" s="34" t="str">
        <f aca="false">IF(OR(AO660="",N(S660)=0),"",AO660/S660)</f>
        <v/>
      </c>
      <c r="AR660" s="33" t="str">
        <f aca="false">IF(A660="","",IF(COUNT(AF660:AJ660)=0,"",SUM(AF660:AJ660)))</f>
        <v/>
      </c>
      <c r="AS660" s="34" t="str">
        <f aca="false">IF(OR(AR660="",N(AO660)=0),"",AR660/AO660)</f>
        <v/>
      </c>
      <c r="AT660" s="34" t="str">
        <f aca="false">IF(OR(AR660="",N(AC660)=0),"",AR660/AC660)</f>
        <v/>
      </c>
      <c r="AU660" s="34" t="str">
        <f aca="false">IF(OR(AR660="",N(S660)=0),"",AR660/S660)</f>
        <v/>
      </c>
      <c r="AV660" s="34" t="str">
        <f aca="false">IF(OR(AJ660="",N(AC660)=0),"",AJ660/AC660)</f>
        <v/>
      </c>
      <c r="AW660" s="34" t="str">
        <f aca="false">IF(OR(AH660="",N(AO660)=0),"",AH660/AO660)</f>
        <v/>
      </c>
      <c r="AX660" s="35" t="str">
        <f aca="false">IF(OR(AR660="",N(AO660)=0),"",(N(AF660)*Settings!$B$6+N(AG660)*Settings!$B$7+N(AH660)*Settings!$B$8+N(AI660)*Settings!$B$9+N(AJ660)*Settings!$B$10)/AO660*1000)</f>
        <v/>
      </c>
      <c r="AY660" s="36" t="str">
        <f aca="false">IF(AS660="","",IFERROR(AS660/AVERAGEIFS('Post Tracker'!$AS$5:$AS$1004,'Post Tracker'!$G$5:$G$1004,G660),""))</f>
        <v/>
      </c>
      <c r="AZ660" s="32"/>
      <c r="BA660" s="32"/>
      <c r="BB660" s="32"/>
      <c r="BC660" s="32"/>
      <c r="BD660" s="33" t="str">
        <f aca="false">IF(A660="","",COUNTIFS('Demo Pipeline'!$Q$5:$Q$504,A660))</f>
        <v/>
      </c>
      <c r="BE660" s="33" t="str">
        <f aca="false">IF(A660="","",COUNTIFS('Demo Pipeline'!$Q$5:$Q$504,A660,'Demo Pipeline'!$W$5:$W$504,"Attended"))</f>
        <v/>
      </c>
      <c r="BF660" s="33" t="str">
        <f aca="false">IF(A660="","",COUNTIFS('Demo Pipeline'!$Q$5:$Q$504,A660,'Demo Pipeline'!$X$5:$X$504,"Yes"))</f>
        <v/>
      </c>
      <c r="BG660" s="33" t="str">
        <f aca="false">IF(A660="","",COUNTIFS('Demo Pipeline'!$Q$5:$Q$504,A660,'Demo Pipeline'!$Y$5:$Y$504,"Closed Won"))</f>
        <v/>
      </c>
      <c r="BH660" s="37" t="str">
        <f aca="false">IF(A660="","",SUMIFS('Demo Pipeline'!$Z$5:$Z$504,'Demo Pipeline'!$Q$5:$Q$504,A660))</f>
        <v/>
      </c>
      <c r="BI660" s="34" t="str">
        <f aca="false">IF(OR(AZ660="",N(AJ660)=0),"",AZ660/AJ660)</f>
        <v/>
      </c>
      <c r="BJ660" s="34" t="str">
        <f aca="false">IF(OR(BB660="",N(AZ660)=0),"",BB660/AZ660)</f>
        <v/>
      </c>
      <c r="BK660" s="34" t="str">
        <f aca="false">IF(OR(A660="",N(BB660)=0),"",BD660/BB660)</f>
        <v/>
      </c>
      <c r="BL660" s="34" t="str">
        <f aca="false">IF(OR(A660="",N(AZ660)=0),"",BD660/AZ660)</f>
        <v/>
      </c>
      <c r="BM660" s="37" t="str">
        <f aca="false">IF(OR(N(Q660)=0,N(BD660)=0),"",Q660/BD660)</f>
        <v/>
      </c>
      <c r="BN660" s="29"/>
      <c r="BO660" s="29"/>
      <c r="BP660" s="33" t="str">
        <f aca="false">IF(OR(AR660="",N(AO660)=0),"",AR660)</f>
        <v/>
      </c>
      <c r="BQ660" s="33" t="str">
        <f aca="false">IF(OR(AR660="",N(S660)=0),"",S660)</f>
        <v/>
      </c>
      <c r="BR660" s="38" t="str">
        <f aca="false">IF(AND(ISNUMBER(B660),B660&gt;=Dashboard!$C$4,B660&lt;=Dashboard!$F$4,ISNUMBER(AU660)),AU660+ROW()/10^9,"")</f>
        <v/>
      </c>
      <c r="BS660" s="38" t="str">
        <f aca="false">IF(AND(ISNUMBER(B660),B660&gt;=Dashboard!$C$4,B660&lt;=Dashboard!$F$4,A660&lt;&gt;""),N(BD660)+N(AU660)/100+ROW()/10^9,"")</f>
        <v/>
      </c>
    </row>
    <row r="661" customFormat="false" ht="15" hidden="false" customHeight="false" outlineLevel="0" collapsed="false">
      <c r="A661" s="24" t="str">
        <f aca="false">IF(OR(B661="",G661="",H661=""),"",IFERROR(INDEX(Settings!$E$5:$E$49,MATCH(G661,Settings!$D$5:$D$49,0))&amp;INDEX(Settings!$H$5:$H$47,MATCH(H661,Settings!$G$5:$G$47,0))&amp;"-"&amp;TEXT(B661,"yymmdd")&amp;"-"&amp;IF(C661="","0000",TEXT(C661,"hhmm")),"CHECK LISTS"))</f>
        <v/>
      </c>
      <c r="B661" s="39"/>
      <c r="C661" s="40"/>
      <c r="D661" s="24" t="str">
        <f aca="false">IF(B661="","",TEXT(B661,"ddd"))</f>
        <v/>
      </c>
      <c r="E661" s="27" t="str">
        <f aca="false">IF(B661="","",B661-WEEKDAY(B661,3))</f>
        <v/>
      </c>
      <c r="F661" s="24" t="str">
        <f aca="false">IF(B661="","",TEXT(B661,"yyyy-mm"))</f>
        <v/>
      </c>
      <c r="G661" s="29"/>
      <c r="H661" s="29"/>
      <c r="I661" s="29"/>
      <c r="J661" s="29"/>
      <c r="K661" s="29"/>
      <c r="L661" s="29"/>
      <c r="M661" s="29"/>
      <c r="N661" s="29"/>
      <c r="O661" s="29"/>
      <c r="P661" s="29"/>
      <c r="Q661" s="30"/>
      <c r="R661" s="29"/>
      <c r="S661" s="32"/>
      <c r="T661" s="29"/>
      <c r="U661" s="29"/>
      <c r="V661" s="24" t="str">
        <f aca="false">IF(A661="","",IFERROR(INDEX(Settings!$F$5:$F$49,MATCH(G661,Settings!$D$5:$D$49,0)),""))</f>
        <v/>
      </c>
      <c r="W661" s="24" t="str">
        <f aca="false">IF(A661="","",IF(OR(P661="",P661="Organic"),"social","paid_social"))</f>
        <v/>
      </c>
      <c r="X661" s="24" t="str">
        <f aca="false">IF(A661="","",IF(K661&lt;&gt;"",IFERROR(INDEX('Case Studies'!$C$5:$C$54,MATCH(K661,'Case Studies'!$B$5:$B$54,0))&amp;"","case-study"),IF(J661&lt;&gt;"",IFERROR(INDEX(Settings!$J$5:$J$55,MATCH(J661,Settings!$I$5:$I$55,0)),"general"),"general")))</f>
        <v/>
      </c>
      <c r="Y661" s="24" t="str">
        <f aca="false">IF(A661="","",LOWER(A661))</f>
        <v/>
      </c>
      <c r="Z661" s="24" t="str">
        <f aca="false">IF(A661="","",IF(T661="",Settings!$B$5,T661)&amp;IF(ISNUMBER(FIND("?",IF(T661="",Settings!$B$5,T661))),"&amp;","?")&amp;"utm_source="&amp;V661&amp;"&amp;utm_medium="&amp;W661&amp;"&amp;utm_campaign="&amp;X661&amp;"&amp;utm_content="&amp;Y661)</f>
        <v/>
      </c>
      <c r="AA661" s="29"/>
      <c r="AB661" s="39"/>
      <c r="AC661" s="32"/>
      <c r="AD661" s="32"/>
      <c r="AE661" s="32"/>
      <c r="AF661" s="32"/>
      <c r="AG661" s="32"/>
      <c r="AH661" s="32"/>
      <c r="AI661" s="32"/>
      <c r="AJ661" s="32"/>
      <c r="AK661" s="32"/>
      <c r="AL661" s="32"/>
      <c r="AM661" s="32"/>
      <c r="AN661" s="32"/>
      <c r="AO661" s="33" t="str">
        <f aca="false">IF(A661="","",IF(AD661&lt;&gt;"",AD661,IF(AC661&lt;&gt;"",AC661,"")))</f>
        <v/>
      </c>
      <c r="AP661" s="24" t="str">
        <f aca="false">IF(AO661="","",IF(AD661&lt;&gt;"","Reported reach","Impressions (proxy)"))</f>
        <v/>
      </c>
      <c r="AQ661" s="34" t="str">
        <f aca="false">IF(OR(AO661="",N(S661)=0),"",AO661/S661)</f>
        <v/>
      </c>
      <c r="AR661" s="33" t="str">
        <f aca="false">IF(A661="","",IF(COUNT(AF661:AJ661)=0,"",SUM(AF661:AJ661)))</f>
        <v/>
      </c>
      <c r="AS661" s="34" t="str">
        <f aca="false">IF(OR(AR661="",N(AO661)=0),"",AR661/AO661)</f>
        <v/>
      </c>
      <c r="AT661" s="34" t="str">
        <f aca="false">IF(OR(AR661="",N(AC661)=0),"",AR661/AC661)</f>
        <v/>
      </c>
      <c r="AU661" s="34" t="str">
        <f aca="false">IF(OR(AR661="",N(S661)=0),"",AR661/S661)</f>
        <v/>
      </c>
      <c r="AV661" s="34" t="str">
        <f aca="false">IF(OR(AJ661="",N(AC661)=0),"",AJ661/AC661)</f>
        <v/>
      </c>
      <c r="AW661" s="34" t="str">
        <f aca="false">IF(OR(AH661="",N(AO661)=0),"",AH661/AO661)</f>
        <v/>
      </c>
      <c r="AX661" s="35" t="str">
        <f aca="false">IF(OR(AR661="",N(AO661)=0),"",(N(AF661)*Settings!$B$6+N(AG661)*Settings!$B$7+N(AH661)*Settings!$B$8+N(AI661)*Settings!$B$9+N(AJ661)*Settings!$B$10)/AO661*1000)</f>
        <v/>
      </c>
      <c r="AY661" s="36" t="str">
        <f aca="false">IF(AS661="","",IFERROR(AS661/AVERAGEIFS('Post Tracker'!$AS$5:$AS$1004,'Post Tracker'!$G$5:$G$1004,G661),""))</f>
        <v/>
      </c>
      <c r="AZ661" s="32"/>
      <c r="BA661" s="32"/>
      <c r="BB661" s="32"/>
      <c r="BC661" s="32"/>
      <c r="BD661" s="33" t="str">
        <f aca="false">IF(A661="","",COUNTIFS('Demo Pipeline'!$Q$5:$Q$504,A661))</f>
        <v/>
      </c>
      <c r="BE661" s="33" t="str">
        <f aca="false">IF(A661="","",COUNTIFS('Demo Pipeline'!$Q$5:$Q$504,A661,'Demo Pipeline'!$W$5:$W$504,"Attended"))</f>
        <v/>
      </c>
      <c r="BF661" s="33" t="str">
        <f aca="false">IF(A661="","",COUNTIFS('Demo Pipeline'!$Q$5:$Q$504,A661,'Demo Pipeline'!$X$5:$X$504,"Yes"))</f>
        <v/>
      </c>
      <c r="BG661" s="33" t="str">
        <f aca="false">IF(A661="","",COUNTIFS('Demo Pipeline'!$Q$5:$Q$504,A661,'Demo Pipeline'!$Y$5:$Y$504,"Closed Won"))</f>
        <v/>
      </c>
      <c r="BH661" s="37" t="str">
        <f aca="false">IF(A661="","",SUMIFS('Demo Pipeline'!$Z$5:$Z$504,'Demo Pipeline'!$Q$5:$Q$504,A661))</f>
        <v/>
      </c>
      <c r="BI661" s="34" t="str">
        <f aca="false">IF(OR(AZ661="",N(AJ661)=0),"",AZ661/AJ661)</f>
        <v/>
      </c>
      <c r="BJ661" s="34" t="str">
        <f aca="false">IF(OR(BB661="",N(AZ661)=0),"",BB661/AZ661)</f>
        <v/>
      </c>
      <c r="BK661" s="34" t="str">
        <f aca="false">IF(OR(A661="",N(BB661)=0),"",BD661/BB661)</f>
        <v/>
      </c>
      <c r="BL661" s="34" t="str">
        <f aca="false">IF(OR(A661="",N(AZ661)=0),"",BD661/AZ661)</f>
        <v/>
      </c>
      <c r="BM661" s="37" t="str">
        <f aca="false">IF(OR(N(Q661)=0,N(BD661)=0),"",Q661/BD661)</f>
        <v/>
      </c>
      <c r="BN661" s="29"/>
      <c r="BO661" s="29"/>
      <c r="BP661" s="33" t="str">
        <f aca="false">IF(OR(AR661="",N(AO661)=0),"",AR661)</f>
        <v/>
      </c>
      <c r="BQ661" s="33" t="str">
        <f aca="false">IF(OR(AR661="",N(S661)=0),"",S661)</f>
        <v/>
      </c>
      <c r="BR661" s="38" t="str">
        <f aca="false">IF(AND(ISNUMBER(B661),B661&gt;=Dashboard!$C$4,B661&lt;=Dashboard!$F$4,ISNUMBER(AU661)),AU661+ROW()/10^9,"")</f>
        <v/>
      </c>
      <c r="BS661" s="38" t="str">
        <f aca="false">IF(AND(ISNUMBER(B661),B661&gt;=Dashboard!$C$4,B661&lt;=Dashboard!$F$4,A661&lt;&gt;""),N(BD661)+N(AU661)/100+ROW()/10^9,"")</f>
        <v/>
      </c>
    </row>
    <row r="662" customFormat="false" ht="15" hidden="false" customHeight="false" outlineLevel="0" collapsed="false">
      <c r="A662" s="24" t="str">
        <f aca="false">IF(OR(B662="",G662="",H662=""),"",IFERROR(INDEX(Settings!$E$5:$E$49,MATCH(G662,Settings!$D$5:$D$49,0))&amp;INDEX(Settings!$H$5:$H$47,MATCH(H662,Settings!$G$5:$G$47,0))&amp;"-"&amp;TEXT(B662,"yymmdd")&amp;"-"&amp;IF(C662="","0000",TEXT(C662,"hhmm")),"CHECK LISTS"))</f>
        <v/>
      </c>
      <c r="B662" s="39"/>
      <c r="C662" s="40"/>
      <c r="D662" s="24" t="str">
        <f aca="false">IF(B662="","",TEXT(B662,"ddd"))</f>
        <v/>
      </c>
      <c r="E662" s="27" t="str">
        <f aca="false">IF(B662="","",B662-WEEKDAY(B662,3))</f>
        <v/>
      </c>
      <c r="F662" s="24" t="str">
        <f aca="false">IF(B662="","",TEXT(B662,"yyyy-mm"))</f>
        <v/>
      </c>
      <c r="G662" s="29"/>
      <c r="H662" s="29"/>
      <c r="I662" s="29"/>
      <c r="J662" s="29"/>
      <c r="K662" s="29"/>
      <c r="L662" s="29"/>
      <c r="M662" s="29"/>
      <c r="N662" s="29"/>
      <c r="O662" s="29"/>
      <c r="P662" s="29"/>
      <c r="Q662" s="30"/>
      <c r="R662" s="29"/>
      <c r="S662" s="32"/>
      <c r="T662" s="29"/>
      <c r="U662" s="29"/>
      <c r="V662" s="24" t="str">
        <f aca="false">IF(A662="","",IFERROR(INDEX(Settings!$F$5:$F$49,MATCH(G662,Settings!$D$5:$D$49,0)),""))</f>
        <v/>
      </c>
      <c r="W662" s="24" t="str">
        <f aca="false">IF(A662="","",IF(OR(P662="",P662="Organic"),"social","paid_social"))</f>
        <v/>
      </c>
      <c r="X662" s="24" t="str">
        <f aca="false">IF(A662="","",IF(K662&lt;&gt;"",IFERROR(INDEX('Case Studies'!$C$5:$C$54,MATCH(K662,'Case Studies'!$B$5:$B$54,0))&amp;"","case-study"),IF(J662&lt;&gt;"",IFERROR(INDEX(Settings!$J$5:$J$55,MATCH(J662,Settings!$I$5:$I$55,0)),"general"),"general")))</f>
        <v/>
      </c>
      <c r="Y662" s="24" t="str">
        <f aca="false">IF(A662="","",LOWER(A662))</f>
        <v/>
      </c>
      <c r="Z662" s="24" t="str">
        <f aca="false">IF(A662="","",IF(T662="",Settings!$B$5,T662)&amp;IF(ISNUMBER(FIND("?",IF(T662="",Settings!$B$5,T662))),"&amp;","?")&amp;"utm_source="&amp;V662&amp;"&amp;utm_medium="&amp;W662&amp;"&amp;utm_campaign="&amp;X662&amp;"&amp;utm_content="&amp;Y662)</f>
        <v/>
      </c>
      <c r="AA662" s="29"/>
      <c r="AB662" s="39"/>
      <c r="AC662" s="32"/>
      <c r="AD662" s="32"/>
      <c r="AE662" s="32"/>
      <c r="AF662" s="32"/>
      <c r="AG662" s="32"/>
      <c r="AH662" s="32"/>
      <c r="AI662" s="32"/>
      <c r="AJ662" s="32"/>
      <c r="AK662" s="32"/>
      <c r="AL662" s="32"/>
      <c r="AM662" s="32"/>
      <c r="AN662" s="32"/>
      <c r="AO662" s="33" t="str">
        <f aca="false">IF(A662="","",IF(AD662&lt;&gt;"",AD662,IF(AC662&lt;&gt;"",AC662,"")))</f>
        <v/>
      </c>
      <c r="AP662" s="24" t="str">
        <f aca="false">IF(AO662="","",IF(AD662&lt;&gt;"","Reported reach","Impressions (proxy)"))</f>
        <v/>
      </c>
      <c r="AQ662" s="34" t="str">
        <f aca="false">IF(OR(AO662="",N(S662)=0),"",AO662/S662)</f>
        <v/>
      </c>
      <c r="AR662" s="33" t="str">
        <f aca="false">IF(A662="","",IF(COUNT(AF662:AJ662)=0,"",SUM(AF662:AJ662)))</f>
        <v/>
      </c>
      <c r="AS662" s="34" t="str">
        <f aca="false">IF(OR(AR662="",N(AO662)=0),"",AR662/AO662)</f>
        <v/>
      </c>
      <c r="AT662" s="34" t="str">
        <f aca="false">IF(OR(AR662="",N(AC662)=0),"",AR662/AC662)</f>
        <v/>
      </c>
      <c r="AU662" s="34" t="str">
        <f aca="false">IF(OR(AR662="",N(S662)=0),"",AR662/S662)</f>
        <v/>
      </c>
      <c r="AV662" s="34" t="str">
        <f aca="false">IF(OR(AJ662="",N(AC662)=0),"",AJ662/AC662)</f>
        <v/>
      </c>
      <c r="AW662" s="34" t="str">
        <f aca="false">IF(OR(AH662="",N(AO662)=0),"",AH662/AO662)</f>
        <v/>
      </c>
      <c r="AX662" s="35" t="str">
        <f aca="false">IF(OR(AR662="",N(AO662)=0),"",(N(AF662)*Settings!$B$6+N(AG662)*Settings!$B$7+N(AH662)*Settings!$B$8+N(AI662)*Settings!$B$9+N(AJ662)*Settings!$B$10)/AO662*1000)</f>
        <v/>
      </c>
      <c r="AY662" s="36" t="str">
        <f aca="false">IF(AS662="","",IFERROR(AS662/AVERAGEIFS('Post Tracker'!$AS$5:$AS$1004,'Post Tracker'!$G$5:$G$1004,G662),""))</f>
        <v/>
      </c>
      <c r="AZ662" s="32"/>
      <c r="BA662" s="32"/>
      <c r="BB662" s="32"/>
      <c r="BC662" s="32"/>
      <c r="BD662" s="33" t="str">
        <f aca="false">IF(A662="","",COUNTIFS('Demo Pipeline'!$Q$5:$Q$504,A662))</f>
        <v/>
      </c>
      <c r="BE662" s="33" t="str">
        <f aca="false">IF(A662="","",COUNTIFS('Demo Pipeline'!$Q$5:$Q$504,A662,'Demo Pipeline'!$W$5:$W$504,"Attended"))</f>
        <v/>
      </c>
      <c r="BF662" s="33" t="str">
        <f aca="false">IF(A662="","",COUNTIFS('Demo Pipeline'!$Q$5:$Q$504,A662,'Demo Pipeline'!$X$5:$X$504,"Yes"))</f>
        <v/>
      </c>
      <c r="BG662" s="33" t="str">
        <f aca="false">IF(A662="","",COUNTIFS('Demo Pipeline'!$Q$5:$Q$504,A662,'Demo Pipeline'!$Y$5:$Y$504,"Closed Won"))</f>
        <v/>
      </c>
      <c r="BH662" s="37" t="str">
        <f aca="false">IF(A662="","",SUMIFS('Demo Pipeline'!$Z$5:$Z$504,'Demo Pipeline'!$Q$5:$Q$504,A662))</f>
        <v/>
      </c>
      <c r="BI662" s="34" t="str">
        <f aca="false">IF(OR(AZ662="",N(AJ662)=0),"",AZ662/AJ662)</f>
        <v/>
      </c>
      <c r="BJ662" s="34" t="str">
        <f aca="false">IF(OR(BB662="",N(AZ662)=0),"",BB662/AZ662)</f>
        <v/>
      </c>
      <c r="BK662" s="34" t="str">
        <f aca="false">IF(OR(A662="",N(BB662)=0),"",BD662/BB662)</f>
        <v/>
      </c>
      <c r="BL662" s="34" t="str">
        <f aca="false">IF(OR(A662="",N(AZ662)=0),"",BD662/AZ662)</f>
        <v/>
      </c>
      <c r="BM662" s="37" t="str">
        <f aca="false">IF(OR(N(Q662)=0,N(BD662)=0),"",Q662/BD662)</f>
        <v/>
      </c>
      <c r="BN662" s="29"/>
      <c r="BO662" s="29"/>
      <c r="BP662" s="33" t="str">
        <f aca="false">IF(OR(AR662="",N(AO662)=0),"",AR662)</f>
        <v/>
      </c>
      <c r="BQ662" s="33" t="str">
        <f aca="false">IF(OR(AR662="",N(S662)=0),"",S662)</f>
        <v/>
      </c>
      <c r="BR662" s="38" t="str">
        <f aca="false">IF(AND(ISNUMBER(B662),B662&gt;=Dashboard!$C$4,B662&lt;=Dashboard!$F$4,ISNUMBER(AU662)),AU662+ROW()/10^9,"")</f>
        <v/>
      </c>
      <c r="BS662" s="38" t="str">
        <f aca="false">IF(AND(ISNUMBER(B662),B662&gt;=Dashboard!$C$4,B662&lt;=Dashboard!$F$4,A662&lt;&gt;""),N(BD662)+N(AU662)/100+ROW()/10^9,"")</f>
        <v/>
      </c>
    </row>
    <row r="663" customFormat="false" ht="15" hidden="false" customHeight="false" outlineLevel="0" collapsed="false">
      <c r="A663" s="24" t="str">
        <f aca="false">IF(OR(B663="",G663="",H663=""),"",IFERROR(INDEX(Settings!$E$5:$E$49,MATCH(G663,Settings!$D$5:$D$49,0))&amp;INDEX(Settings!$H$5:$H$47,MATCH(H663,Settings!$G$5:$G$47,0))&amp;"-"&amp;TEXT(B663,"yymmdd")&amp;"-"&amp;IF(C663="","0000",TEXT(C663,"hhmm")),"CHECK LISTS"))</f>
        <v/>
      </c>
      <c r="B663" s="39"/>
      <c r="C663" s="40"/>
      <c r="D663" s="24" t="str">
        <f aca="false">IF(B663="","",TEXT(B663,"ddd"))</f>
        <v/>
      </c>
      <c r="E663" s="27" t="str">
        <f aca="false">IF(B663="","",B663-WEEKDAY(B663,3))</f>
        <v/>
      </c>
      <c r="F663" s="24" t="str">
        <f aca="false">IF(B663="","",TEXT(B663,"yyyy-mm"))</f>
        <v/>
      </c>
      <c r="G663" s="29"/>
      <c r="H663" s="29"/>
      <c r="I663" s="29"/>
      <c r="J663" s="29"/>
      <c r="K663" s="29"/>
      <c r="L663" s="29"/>
      <c r="M663" s="29"/>
      <c r="N663" s="29"/>
      <c r="O663" s="29"/>
      <c r="P663" s="29"/>
      <c r="Q663" s="30"/>
      <c r="R663" s="29"/>
      <c r="S663" s="32"/>
      <c r="T663" s="29"/>
      <c r="U663" s="29"/>
      <c r="V663" s="24" t="str">
        <f aca="false">IF(A663="","",IFERROR(INDEX(Settings!$F$5:$F$49,MATCH(G663,Settings!$D$5:$D$49,0)),""))</f>
        <v/>
      </c>
      <c r="W663" s="24" t="str">
        <f aca="false">IF(A663="","",IF(OR(P663="",P663="Organic"),"social","paid_social"))</f>
        <v/>
      </c>
      <c r="X663" s="24" t="str">
        <f aca="false">IF(A663="","",IF(K663&lt;&gt;"",IFERROR(INDEX('Case Studies'!$C$5:$C$54,MATCH(K663,'Case Studies'!$B$5:$B$54,0))&amp;"","case-study"),IF(J663&lt;&gt;"",IFERROR(INDEX(Settings!$J$5:$J$55,MATCH(J663,Settings!$I$5:$I$55,0)),"general"),"general")))</f>
        <v/>
      </c>
      <c r="Y663" s="24" t="str">
        <f aca="false">IF(A663="","",LOWER(A663))</f>
        <v/>
      </c>
      <c r="Z663" s="24" t="str">
        <f aca="false">IF(A663="","",IF(T663="",Settings!$B$5,T663)&amp;IF(ISNUMBER(FIND("?",IF(T663="",Settings!$B$5,T663))),"&amp;","?")&amp;"utm_source="&amp;V663&amp;"&amp;utm_medium="&amp;W663&amp;"&amp;utm_campaign="&amp;X663&amp;"&amp;utm_content="&amp;Y663)</f>
        <v/>
      </c>
      <c r="AA663" s="29"/>
      <c r="AB663" s="39"/>
      <c r="AC663" s="32"/>
      <c r="AD663" s="32"/>
      <c r="AE663" s="32"/>
      <c r="AF663" s="32"/>
      <c r="AG663" s="32"/>
      <c r="AH663" s="32"/>
      <c r="AI663" s="32"/>
      <c r="AJ663" s="32"/>
      <c r="AK663" s="32"/>
      <c r="AL663" s="32"/>
      <c r="AM663" s="32"/>
      <c r="AN663" s="32"/>
      <c r="AO663" s="33" t="str">
        <f aca="false">IF(A663="","",IF(AD663&lt;&gt;"",AD663,IF(AC663&lt;&gt;"",AC663,"")))</f>
        <v/>
      </c>
      <c r="AP663" s="24" t="str">
        <f aca="false">IF(AO663="","",IF(AD663&lt;&gt;"","Reported reach","Impressions (proxy)"))</f>
        <v/>
      </c>
      <c r="AQ663" s="34" t="str">
        <f aca="false">IF(OR(AO663="",N(S663)=0),"",AO663/S663)</f>
        <v/>
      </c>
      <c r="AR663" s="33" t="str">
        <f aca="false">IF(A663="","",IF(COUNT(AF663:AJ663)=0,"",SUM(AF663:AJ663)))</f>
        <v/>
      </c>
      <c r="AS663" s="34" t="str">
        <f aca="false">IF(OR(AR663="",N(AO663)=0),"",AR663/AO663)</f>
        <v/>
      </c>
      <c r="AT663" s="34" t="str">
        <f aca="false">IF(OR(AR663="",N(AC663)=0),"",AR663/AC663)</f>
        <v/>
      </c>
      <c r="AU663" s="34" t="str">
        <f aca="false">IF(OR(AR663="",N(S663)=0),"",AR663/S663)</f>
        <v/>
      </c>
      <c r="AV663" s="34" t="str">
        <f aca="false">IF(OR(AJ663="",N(AC663)=0),"",AJ663/AC663)</f>
        <v/>
      </c>
      <c r="AW663" s="34" t="str">
        <f aca="false">IF(OR(AH663="",N(AO663)=0),"",AH663/AO663)</f>
        <v/>
      </c>
      <c r="AX663" s="35" t="str">
        <f aca="false">IF(OR(AR663="",N(AO663)=0),"",(N(AF663)*Settings!$B$6+N(AG663)*Settings!$B$7+N(AH663)*Settings!$B$8+N(AI663)*Settings!$B$9+N(AJ663)*Settings!$B$10)/AO663*1000)</f>
        <v/>
      </c>
      <c r="AY663" s="36" t="str">
        <f aca="false">IF(AS663="","",IFERROR(AS663/AVERAGEIFS('Post Tracker'!$AS$5:$AS$1004,'Post Tracker'!$G$5:$G$1004,G663),""))</f>
        <v/>
      </c>
      <c r="AZ663" s="32"/>
      <c r="BA663" s="32"/>
      <c r="BB663" s="32"/>
      <c r="BC663" s="32"/>
      <c r="BD663" s="33" t="str">
        <f aca="false">IF(A663="","",COUNTIFS('Demo Pipeline'!$Q$5:$Q$504,A663))</f>
        <v/>
      </c>
      <c r="BE663" s="33" t="str">
        <f aca="false">IF(A663="","",COUNTIFS('Demo Pipeline'!$Q$5:$Q$504,A663,'Demo Pipeline'!$W$5:$W$504,"Attended"))</f>
        <v/>
      </c>
      <c r="BF663" s="33" t="str">
        <f aca="false">IF(A663="","",COUNTIFS('Demo Pipeline'!$Q$5:$Q$504,A663,'Demo Pipeline'!$X$5:$X$504,"Yes"))</f>
        <v/>
      </c>
      <c r="BG663" s="33" t="str">
        <f aca="false">IF(A663="","",COUNTIFS('Demo Pipeline'!$Q$5:$Q$504,A663,'Demo Pipeline'!$Y$5:$Y$504,"Closed Won"))</f>
        <v/>
      </c>
      <c r="BH663" s="37" t="str">
        <f aca="false">IF(A663="","",SUMIFS('Demo Pipeline'!$Z$5:$Z$504,'Demo Pipeline'!$Q$5:$Q$504,A663))</f>
        <v/>
      </c>
      <c r="BI663" s="34" t="str">
        <f aca="false">IF(OR(AZ663="",N(AJ663)=0),"",AZ663/AJ663)</f>
        <v/>
      </c>
      <c r="BJ663" s="34" t="str">
        <f aca="false">IF(OR(BB663="",N(AZ663)=0),"",BB663/AZ663)</f>
        <v/>
      </c>
      <c r="BK663" s="34" t="str">
        <f aca="false">IF(OR(A663="",N(BB663)=0),"",BD663/BB663)</f>
        <v/>
      </c>
      <c r="BL663" s="34" t="str">
        <f aca="false">IF(OR(A663="",N(AZ663)=0),"",BD663/AZ663)</f>
        <v/>
      </c>
      <c r="BM663" s="37" t="str">
        <f aca="false">IF(OR(N(Q663)=0,N(BD663)=0),"",Q663/BD663)</f>
        <v/>
      </c>
      <c r="BN663" s="29"/>
      <c r="BO663" s="29"/>
      <c r="BP663" s="33" t="str">
        <f aca="false">IF(OR(AR663="",N(AO663)=0),"",AR663)</f>
        <v/>
      </c>
      <c r="BQ663" s="33" t="str">
        <f aca="false">IF(OR(AR663="",N(S663)=0),"",S663)</f>
        <v/>
      </c>
      <c r="BR663" s="38" t="str">
        <f aca="false">IF(AND(ISNUMBER(B663),B663&gt;=Dashboard!$C$4,B663&lt;=Dashboard!$F$4,ISNUMBER(AU663)),AU663+ROW()/10^9,"")</f>
        <v/>
      </c>
      <c r="BS663" s="38" t="str">
        <f aca="false">IF(AND(ISNUMBER(B663),B663&gt;=Dashboard!$C$4,B663&lt;=Dashboard!$F$4,A663&lt;&gt;""),N(BD663)+N(AU663)/100+ROW()/10^9,"")</f>
        <v/>
      </c>
    </row>
    <row r="664" customFormat="false" ht="15" hidden="false" customHeight="false" outlineLevel="0" collapsed="false">
      <c r="A664" s="24" t="str">
        <f aca="false">IF(OR(B664="",G664="",H664=""),"",IFERROR(INDEX(Settings!$E$5:$E$49,MATCH(G664,Settings!$D$5:$D$49,0))&amp;INDEX(Settings!$H$5:$H$47,MATCH(H664,Settings!$G$5:$G$47,0))&amp;"-"&amp;TEXT(B664,"yymmdd")&amp;"-"&amp;IF(C664="","0000",TEXT(C664,"hhmm")),"CHECK LISTS"))</f>
        <v/>
      </c>
      <c r="B664" s="39"/>
      <c r="C664" s="40"/>
      <c r="D664" s="24" t="str">
        <f aca="false">IF(B664="","",TEXT(B664,"ddd"))</f>
        <v/>
      </c>
      <c r="E664" s="27" t="str">
        <f aca="false">IF(B664="","",B664-WEEKDAY(B664,3))</f>
        <v/>
      </c>
      <c r="F664" s="24" t="str">
        <f aca="false">IF(B664="","",TEXT(B664,"yyyy-mm"))</f>
        <v/>
      </c>
      <c r="G664" s="29"/>
      <c r="H664" s="29"/>
      <c r="I664" s="29"/>
      <c r="J664" s="29"/>
      <c r="K664" s="29"/>
      <c r="L664" s="29"/>
      <c r="M664" s="29"/>
      <c r="N664" s="29"/>
      <c r="O664" s="29"/>
      <c r="P664" s="29"/>
      <c r="Q664" s="30"/>
      <c r="R664" s="29"/>
      <c r="S664" s="32"/>
      <c r="T664" s="29"/>
      <c r="U664" s="29"/>
      <c r="V664" s="24" t="str">
        <f aca="false">IF(A664="","",IFERROR(INDEX(Settings!$F$5:$F$49,MATCH(G664,Settings!$D$5:$D$49,0)),""))</f>
        <v/>
      </c>
      <c r="W664" s="24" t="str">
        <f aca="false">IF(A664="","",IF(OR(P664="",P664="Organic"),"social","paid_social"))</f>
        <v/>
      </c>
      <c r="X664" s="24" t="str">
        <f aca="false">IF(A664="","",IF(K664&lt;&gt;"",IFERROR(INDEX('Case Studies'!$C$5:$C$54,MATCH(K664,'Case Studies'!$B$5:$B$54,0))&amp;"","case-study"),IF(J664&lt;&gt;"",IFERROR(INDEX(Settings!$J$5:$J$55,MATCH(J664,Settings!$I$5:$I$55,0)),"general"),"general")))</f>
        <v/>
      </c>
      <c r="Y664" s="24" t="str">
        <f aca="false">IF(A664="","",LOWER(A664))</f>
        <v/>
      </c>
      <c r="Z664" s="24" t="str">
        <f aca="false">IF(A664="","",IF(T664="",Settings!$B$5,T664)&amp;IF(ISNUMBER(FIND("?",IF(T664="",Settings!$B$5,T664))),"&amp;","?")&amp;"utm_source="&amp;V664&amp;"&amp;utm_medium="&amp;W664&amp;"&amp;utm_campaign="&amp;X664&amp;"&amp;utm_content="&amp;Y664)</f>
        <v/>
      </c>
      <c r="AA664" s="29"/>
      <c r="AB664" s="39"/>
      <c r="AC664" s="32"/>
      <c r="AD664" s="32"/>
      <c r="AE664" s="32"/>
      <c r="AF664" s="32"/>
      <c r="AG664" s="32"/>
      <c r="AH664" s="32"/>
      <c r="AI664" s="32"/>
      <c r="AJ664" s="32"/>
      <c r="AK664" s="32"/>
      <c r="AL664" s="32"/>
      <c r="AM664" s="32"/>
      <c r="AN664" s="32"/>
      <c r="AO664" s="33" t="str">
        <f aca="false">IF(A664="","",IF(AD664&lt;&gt;"",AD664,IF(AC664&lt;&gt;"",AC664,"")))</f>
        <v/>
      </c>
      <c r="AP664" s="24" t="str">
        <f aca="false">IF(AO664="","",IF(AD664&lt;&gt;"","Reported reach","Impressions (proxy)"))</f>
        <v/>
      </c>
      <c r="AQ664" s="34" t="str">
        <f aca="false">IF(OR(AO664="",N(S664)=0),"",AO664/S664)</f>
        <v/>
      </c>
      <c r="AR664" s="33" t="str">
        <f aca="false">IF(A664="","",IF(COUNT(AF664:AJ664)=0,"",SUM(AF664:AJ664)))</f>
        <v/>
      </c>
      <c r="AS664" s="34" t="str">
        <f aca="false">IF(OR(AR664="",N(AO664)=0),"",AR664/AO664)</f>
        <v/>
      </c>
      <c r="AT664" s="34" t="str">
        <f aca="false">IF(OR(AR664="",N(AC664)=0),"",AR664/AC664)</f>
        <v/>
      </c>
      <c r="AU664" s="34" t="str">
        <f aca="false">IF(OR(AR664="",N(S664)=0),"",AR664/S664)</f>
        <v/>
      </c>
      <c r="AV664" s="34" t="str">
        <f aca="false">IF(OR(AJ664="",N(AC664)=0),"",AJ664/AC664)</f>
        <v/>
      </c>
      <c r="AW664" s="34" t="str">
        <f aca="false">IF(OR(AH664="",N(AO664)=0),"",AH664/AO664)</f>
        <v/>
      </c>
      <c r="AX664" s="35" t="str">
        <f aca="false">IF(OR(AR664="",N(AO664)=0),"",(N(AF664)*Settings!$B$6+N(AG664)*Settings!$B$7+N(AH664)*Settings!$B$8+N(AI664)*Settings!$B$9+N(AJ664)*Settings!$B$10)/AO664*1000)</f>
        <v/>
      </c>
      <c r="AY664" s="36" t="str">
        <f aca="false">IF(AS664="","",IFERROR(AS664/AVERAGEIFS('Post Tracker'!$AS$5:$AS$1004,'Post Tracker'!$G$5:$G$1004,G664),""))</f>
        <v/>
      </c>
      <c r="AZ664" s="32"/>
      <c r="BA664" s="32"/>
      <c r="BB664" s="32"/>
      <c r="BC664" s="32"/>
      <c r="BD664" s="33" t="str">
        <f aca="false">IF(A664="","",COUNTIFS('Demo Pipeline'!$Q$5:$Q$504,A664))</f>
        <v/>
      </c>
      <c r="BE664" s="33" t="str">
        <f aca="false">IF(A664="","",COUNTIFS('Demo Pipeline'!$Q$5:$Q$504,A664,'Demo Pipeline'!$W$5:$W$504,"Attended"))</f>
        <v/>
      </c>
      <c r="BF664" s="33" t="str">
        <f aca="false">IF(A664="","",COUNTIFS('Demo Pipeline'!$Q$5:$Q$504,A664,'Demo Pipeline'!$X$5:$X$504,"Yes"))</f>
        <v/>
      </c>
      <c r="BG664" s="33" t="str">
        <f aca="false">IF(A664="","",COUNTIFS('Demo Pipeline'!$Q$5:$Q$504,A664,'Demo Pipeline'!$Y$5:$Y$504,"Closed Won"))</f>
        <v/>
      </c>
      <c r="BH664" s="37" t="str">
        <f aca="false">IF(A664="","",SUMIFS('Demo Pipeline'!$Z$5:$Z$504,'Demo Pipeline'!$Q$5:$Q$504,A664))</f>
        <v/>
      </c>
      <c r="BI664" s="34" t="str">
        <f aca="false">IF(OR(AZ664="",N(AJ664)=0),"",AZ664/AJ664)</f>
        <v/>
      </c>
      <c r="BJ664" s="34" t="str">
        <f aca="false">IF(OR(BB664="",N(AZ664)=0),"",BB664/AZ664)</f>
        <v/>
      </c>
      <c r="BK664" s="34" t="str">
        <f aca="false">IF(OR(A664="",N(BB664)=0),"",BD664/BB664)</f>
        <v/>
      </c>
      <c r="BL664" s="34" t="str">
        <f aca="false">IF(OR(A664="",N(AZ664)=0),"",BD664/AZ664)</f>
        <v/>
      </c>
      <c r="BM664" s="37" t="str">
        <f aca="false">IF(OR(N(Q664)=0,N(BD664)=0),"",Q664/BD664)</f>
        <v/>
      </c>
      <c r="BN664" s="29"/>
      <c r="BO664" s="29"/>
      <c r="BP664" s="33" t="str">
        <f aca="false">IF(OR(AR664="",N(AO664)=0),"",AR664)</f>
        <v/>
      </c>
      <c r="BQ664" s="33" t="str">
        <f aca="false">IF(OR(AR664="",N(S664)=0),"",S664)</f>
        <v/>
      </c>
      <c r="BR664" s="38" t="str">
        <f aca="false">IF(AND(ISNUMBER(B664),B664&gt;=Dashboard!$C$4,B664&lt;=Dashboard!$F$4,ISNUMBER(AU664)),AU664+ROW()/10^9,"")</f>
        <v/>
      </c>
      <c r="BS664" s="38" t="str">
        <f aca="false">IF(AND(ISNUMBER(B664),B664&gt;=Dashboard!$C$4,B664&lt;=Dashboard!$F$4,A664&lt;&gt;""),N(BD664)+N(AU664)/100+ROW()/10^9,"")</f>
        <v/>
      </c>
    </row>
    <row r="665" customFormat="false" ht="15" hidden="false" customHeight="false" outlineLevel="0" collapsed="false">
      <c r="A665" s="24" t="str">
        <f aca="false">IF(OR(B665="",G665="",H665=""),"",IFERROR(INDEX(Settings!$E$5:$E$49,MATCH(G665,Settings!$D$5:$D$49,0))&amp;INDEX(Settings!$H$5:$H$47,MATCH(H665,Settings!$G$5:$G$47,0))&amp;"-"&amp;TEXT(B665,"yymmdd")&amp;"-"&amp;IF(C665="","0000",TEXT(C665,"hhmm")),"CHECK LISTS"))</f>
        <v/>
      </c>
      <c r="B665" s="39"/>
      <c r="C665" s="40"/>
      <c r="D665" s="24" t="str">
        <f aca="false">IF(B665="","",TEXT(B665,"ddd"))</f>
        <v/>
      </c>
      <c r="E665" s="27" t="str">
        <f aca="false">IF(B665="","",B665-WEEKDAY(B665,3))</f>
        <v/>
      </c>
      <c r="F665" s="24" t="str">
        <f aca="false">IF(B665="","",TEXT(B665,"yyyy-mm"))</f>
        <v/>
      </c>
      <c r="G665" s="29"/>
      <c r="H665" s="29"/>
      <c r="I665" s="29"/>
      <c r="J665" s="29"/>
      <c r="K665" s="29"/>
      <c r="L665" s="29"/>
      <c r="M665" s="29"/>
      <c r="N665" s="29"/>
      <c r="O665" s="29"/>
      <c r="P665" s="29"/>
      <c r="Q665" s="30"/>
      <c r="R665" s="29"/>
      <c r="S665" s="32"/>
      <c r="T665" s="29"/>
      <c r="U665" s="29"/>
      <c r="V665" s="24" t="str">
        <f aca="false">IF(A665="","",IFERROR(INDEX(Settings!$F$5:$F$49,MATCH(G665,Settings!$D$5:$D$49,0)),""))</f>
        <v/>
      </c>
      <c r="W665" s="24" t="str">
        <f aca="false">IF(A665="","",IF(OR(P665="",P665="Organic"),"social","paid_social"))</f>
        <v/>
      </c>
      <c r="X665" s="24" t="str">
        <f aca="false">IF(A665="","",IF(K665&lt;&gt;"",IFERROR(INDEX('Case Studies'!$C$5:$C$54,MATCH(K665,'Case Studies'!$B$5:$B$54,0))&amp;"","case-study"),IF(J665&lt;&gt;"",IFERROR(INDEX(Settings!$J$5:$J$55,MATCH(J665,Settings!$I$5:$I$55,0)),"general"),"general")))</f>
        <v/>
      </c>
      <c r="Y665" s="24" t="str">
        <f aca="false">IF(A665="","",LOWER(A665))</f>
        <v/>
      </c>
      <c r="Z665" s="24" t="str">
        <f aca="false">IF(A665="","",IF(T665="",Settings!$B$5,T665)&amp;IF(ISNUMBER(FIND("?",IF(T665="",Settings!$B$5,T665))),"&amp;","?")&amp;"utm_source="&amp;V665&amp;"&amp;utm_medium="&amp;W665&amp;"&amp;utm_campaign="&amp;X665&amp;"&amp;utm_content="&amp;Y665)</f>
        <v/>
      </c>
      <c r="AA665" s="29"/>
      <c r="AB665" s="39"/>
      <c r="AC665" s="32"/>
      <c r="AD665" s="32"/>
      <c r="AE665" s="32"/>
      <c r="AF665" s="32"/>
      <c r="AG665" s="32"/>
      <c r="AH665" s="32"/>
      <c r="AI665" s="32"/>
      <c r="AJ665" s="32"/>
      <c r="AK665" s="32"/>
      <c r="AL665" s="32"/>
      <c r="AM665" s="32"/>
      <c r="AN665" s="32"/>
      <c r="AO665" s="33" t="str">
        <f aca="false">IF(A665="","",IF(AD665&lt;&gt;"",AD665,IF(AC665&lt;&gt;"",AC665,"")))</f>
        <v/>
      </c>
      <c r="AP665" s="24" t="str">
        <f aca="false">IF(AO665="","",IF(AD665&lt;&gt;"","Reported reach","Impressions (proxy)"))</f>
        <v/>
      </c>
      <c r="AQ665" s="34" t="str">
        <f aca="false">IF(OR(AO665="",N(S665)=0),"",AO665/S665)</f>
        <v/>
      </c>
      <c r="AR665" s="33" t="str">
        <f aca="false">IF(A665="","",IF(COUNT(AF665:AJ665)=0,"",SUM(AF665:AJ665)))</f>
        <v/>
      </c>
      <c r="AS665" s="34" t="str">
        <f aca="false">IF(OR(AR665="",N(AO665)=0),"",AR665/AO665)</f>
        <v/>
      </c>
      <c r="AT665" s="34" t="str">
        <f aca="false">IF(OR(AR665="",N(AC665)=0),"",AR665/AC665)</f>
        <v/>
      </c>
      <c r="AU665" s="34" t="str">
        <f aca="false">IF(OR(AR665="",N(S665)=0),"",AR665/S665)</f>
        <v/>
      </c>
      <c r="AV665" s="34" t="str">
        <f aca="false">IF(OR(AJ665="",N(AC665)=0),"",AJ665/AC665)</f>
        <v/>
      </c>
      <c r="AW665" s="34" t="str">
        <f aca="false">IF(OR(AH665="",N(AO665)=0),"",AH665/AO665)</f>
        <v/>
      </c>
      <c r="AX665" s="35" t="str">
        <f aca="false">IF(OR(AR665="",N(AO665)=0),"",(N(AF665)*Settings!$B$6+N(AG665)*Settings!$B$7+N(AH665)*Settings!$B$8+N(AI665)*Settings!$B$9+N(AJ665)*Settings!$B$10)/AO665*1000)</f>
        <v/>
      </c>
      <c r="AY665" s="36" t="str">
        <f aca="false">IF(AS665="","",IFERROR(AS665/AVERAGEIFS('Post Tracker'!$AS$5:$AS$1004,'Post Tracker'!$G$5:$G$1004,G665),""))</f>
        <v/>
      </c>
      <c r="AZ665" s="32"/>
      <c r="BA665" s="32"/>
      <c r="BB665" s="32"/>
      <c r="BC665" s="32"/>
      <c r="BD665" s="33" t="str">
        <f aca="false">IF(A665="","",COUNTIFS('Demo Pipeline'!$Q$5:$Q$504,A665))</f>
        <v/>
      </c>
      <c r="BE665" s="33" t="str">
        <f aca="false">IF(A665="","",COUNTIFS('Demo Pipeline'!$Q$5:$Q$504,A665,'Demo Pipeline'!$W$5:$W$504,"Attended"))</f>
        <v/>
      </c>
      <c r="BF665" s="33" t="str">
        <f aca="false">IF(A665="","",COUNTIFS('Demo Pipeline'!$Q$5:$Q$504,A665,'Demo Pipeline'!$X$5:$X$504,"Yes"))</f>
        <v/>
      </c>
      <c r="BG665" s="33" t="str">
        <f aca="false">IF(A665="","",COUNTIFS('Demo Pipeline'!$Q$5:$Q$504,A665,'Demo Pipeline'!$Y$5:$Y$504,"Closed Won"))</f>
        <v/>
      </c>
      <c r="BH665" s="37" t="str">
        <f aca="false">IF(A665="","",SUMIFS('Demo Pipeline'!$Z$5:$Z$504,'Demo Pipeline'!$Q$5:$Q$504,A665))</f>
        <v/>
      </c>
      <c r="BI665" s="34" t="str">
        <f aca="false">IF(OR(AZ665="",N(AJ665)=0),"",AZ665/AJ665)</f>
        <v/>
      </c>
      <c r="BJ665" s="34" t="str">
        <f aca="false">IF(OR(BB665="",N(AZ665)=0),"",BB665/AZ665)</f>
        <v/>
      </c>
      <c r="BK665" s="34" t="str">
        <f aca="false">IF(OR(A665="",N(BB665)=0),"",BD665/BB665)</f>
        <v/>
      </c>
      <c r="BL665" s="34" t="str">
        <f aca="false">IF(OR(A665="",N(AZ665)=0),"",BD665/AZ665)</f>
        <v/>
      </c>
      <c r="BM665" s="37" t="str">
        <f aca="false">IF(OR(N(Q665)=0,N(BD665)=0),"",Q665/BD665)</f>
        <v/>
      </c>
      <c r="BN665" s="29"/>
      <c r="BO665" s="29"/>
      <c r="BP665" s="33" t="str">
        <f aca="false">IF(OR(AR665="",N(AO665)=0),"",AR665)</f>
        <v/>
      </c>
      <c r="BQ665" s="33" t="str">
        <f aca="false">IF(OR(AR665="",N(S665)=0),"",S665)</f>
        <v/>
      </c>
      <c r="BR665" s="38" t="str">
        <f aca="false">IF(AND(ISNUMBER(B665),B665&gt;=Dashboard!$C$4,B665&lt;=Dashboard!$F$4,ISNUMBER(AU665)),AU665+ROW()/10^9,"")</f>
        <v/>
      </c>
      <c r="BS665" s="38" t="str">
        <f aca="false">IF(AND(ISNUMBER(B665),B665&gt;=Dashboard!$C$4,B665&lt;=Dashboard!$F$4,A665&lt;&gt;""),N(BD665)+N(AU665)/100+ROW()/10^9,"")</f>
        <v/>
      </c>
    </row>
    <row r="666" customFormat="false" ht="15" hidden="false" customHeight="false" outlineLevel="0" collapsed="false">
      <c r="A666" s="24" t="str">
        <f aca="false">IF(OR(B666="",G666="",H666=""),"",IFERROR(INDEX(Settings!$E$5:$E$49,MATCH(G666,Settings!$D$5:$D$49,0))&amp;INDEX(Settings!$H$5:$H$47,MATCH(H666,Settings!$G$5:$G$47,0))&amp;"-"&amp;TEXT(B666,"yymmdd")&amp;"-"&amp;IF(C666="","0000",TEXT(C666,"hhmm")),"CHECK LISTS"))</f>
        <v/>
      </c>
      <c r="B666" s="39"/>
      <c r="C666" s="40"/>
      <c r="D666" s="24" t="str">
        <f aca="false">IF(B666="","",TEXT(B666,"ddd"))</f>
        <v/>
      </c>
      <c r="E666" s="27" t="str">
        <f aca="false">IF(B666="","",B666-WEEKDAY(B666,3))</f>
        <v/>
      </c>
      <c r="F666" s="24" t="str">
        <f aca="false">IF(B666="","",TEXT(B666,"yyyy-mm"))</f>
        <v/>
      </c>
      <c r="G666" s="29"/>
      <c r="H666" s="29"/>
      <c r="I666" s="29"/>
      <c r="J666" s="29"/>
      <c r="K666" s="29"/>
      <c r="L666" s="29"/>
      <c r="M666" s="29"/>
      <c r="N666" s="29"/>
      <c r="O666" s="29"/>
      <c r="P666" s="29"/>
      <c r="Q666" s="30"/>
      <c r="R666" s="29"/>
      <c r="S666" s="32"/>
      <c r="T666" s="29"/>
      <c r="U666" s="29"/>
      <c r="V666" s="24" t="str">
        <f aca="false">IF(A666="","",IFERROR(INDEX(Settings!$F$5:$F$49,MATCH(G666,Settings!$D$5:$D$49,0)),""))</f>
        <v/>
      </c>
      <c r="W666" s="24" t="str">
        <f aca="false">IF(A666="","",IF(OR(P666="",P666="Organic"),"social","paid_social"))</f>
        <v/>
      </c>
      <c r="X666" s="24" t="str">
        <f aca="false">IF(A666="","",IF(K666&lt;&gt;"",IFERROR(INDEX('Case Studies'!$C$5:$C$54,MATCH(K666,'Case Studies'!$B$5:$B$54,0))&amp;"","case-study"),IF(J666&lt;&gt;"",IFERROR(INDEX(Settings!$J$5:$J$55,MATCH(J666,Settings!$I$5:$I$55,0)),"general"),"general")))</f>
        <v/>
      </c>
      <c r="Y666" s="24" t="str">
        <f aca="false">IF(A666="","",LOWER(A666))</f>
        <v/>
      </c>
      <c r="Z666" s="24" t="str">
        <f aca="false">IF(A666="","",IF(T666="",Settings!$B$5,T666)&amp;IF(ISNUMBER(FIND("?",IF(T666="",Settings!$B$5,T666))),"&amp;","?")&amp;"utm_source="&amp;V666&amp;"&amp;utm_medium="&amp;W666&amp;"&amp;utm_campaign="&amp;X666&amp;"&amp;utm_content="&amp;Y666)</f>
        <v/>
      </c>
      <c r="AA666" s="29"/>
      <c r="AB666" s="39"/>
      <c r="AC666" s="32"/>
      <c r="AD666" s="32"/>
      <c r="AE666" s="32"/>
      <c r="AF666" s="32"/>
      <c r="AG666" s="32"/>
      <c r="AH666" s="32"/>
      <c r="AI666" s="32"/>
      <c r="AJ666" s="32"/>
      <c r="AK666" s="32"/>
      <c r="AL666" s="32"/>
      <c r="AM666" s="32"/>
      <c r="AN666" s="32"/>
      <c r="AO666" s="33" t="str">
        <f aca="false">IF(A666="","",IF(AD666&lt;&gt;"",AD666,IF(AC666&lt;&gt;"",AC666,"")))</f>
        <v/>
      </c>
      <c r="AP666" s="24" t="str">
        <f aca="false">IF(AO666="","",IF(AD666&lt;&gt;"","Reported reach","Impressions (proxy)"))</f>
        <v/>
      </c>
      <c r="AQ666" s="34" t="str">
        <f aca="false">IF(OR(AO666="",N(S666)=0),"",AO666/S666)</f>
        <v/>
      </c>
      <c r="AR666" s="33" t="str">
        <f aca="false">IF(A666="","",IF(COUNT(AF666:AJ666)=0,"",SUM(AF666:AJ666)))</f>
        <v/>
      </c>
      <c r="AS666" s="34" t="str">
        <f aca="false">IF(OR(AR666="",N(AO666)=0),"",AR666/AO666)</f>
        <v/>
      </c>
      <c r="AT666" s="34" t="str">
        <f aca="false">IF(OR(AR666="",N(AC666)=0),"",AR666/AC666)</f>
        <v/>
      </c>
      <c r="AU666" s="34" t="str">
        <f aca="false">IF(OR(AR666="",N(S666)=0),"",AR666/S666)</f>
        <v/>
      </c>
      <c r="AV666" s="34" t="str">
        <f aca="false">IF(OR(AJ666="",N(AC666)=0),"",AJ666/AC666)</f>
        <v/>
      </c>
      <c r="AW666" s="34" t="str">
        <f aca="false">IF(OR(AH666="",N(AO666)=0),"",AH666/AO666)</f>
        <v/>
      </c>
      <c r="AX666" s="35" t="str">
        <f aca="false">IF(OR(AR666="",N(AO666)=0),"",(N(AF666)*Settings!$B$6+N(AG666)*Settings!$B$7+N(AH666)*Settings!$B$8+N(AI666)*Settings!$B$9+N(AJ666)*Settings!$B$10)/AO666*1000)</f>
        <v/>
      </c>
      <c r="AY666" s="36" t="str">
        <f aca="false">IF(AS666="","",IFERROR(AS666/AVERAGEIFS('Post Tracker'!$AS$5:$AS$1004,'Post Tracker'!$G$5:$G$1004,G666),""))</f>
        <v/>
      </c>
      <c r="AZ666" s="32"/>
      <c r="BA666" s="32"/>
      <c r="BB666" s="32"/>
      <c r="BC666" s="32"/>
      <c r="BD666" s="33" t="str">
        <f aca="false">IF(A666="","",COUNTIFS('Demo Pipeline'!$Q$5:$Q$504,A666))</f>
        <v/>
      </c>
      <c r="BE666" s="33" t="str">
        <f aca="false">IF(A666="","",COUNTIFS('Demo Pipeline'!$Q$5:$Q$504,A666,'Demo Pipeline'!$W$5:$W$504,"Attended"))</f>
        <v/>
      </c>
      <c r="BF666" s="33" t="str">
        <f aca="false">IF(A666="","",COUNTIFS('Demo Pipeline'!$Q$5:$Q$504,A666,'Demo Pipeline'!$X$5:$X$504,"Yes"))</f>
        <v/>
      </c>
      <c r="BG666" s="33" t="str">
        <f aca="false">IF(A666="","",COUNTIFS('Demo Pipeline'!$Q$5:$Q$504,A666,'Demo Pipeline'!$Y$5:$Y$504,"Closed Won"))</f>
        <v/>
      </c>
      <c r="BH666" s="37" t="str">
        <f aca="false">IF(A666="","",SUMIFS('Demo Pipeline'!$Z$5:$Z$504,'Demo Pipeline'!$Q$5:$Q$504,A666))</f>
        <v/>
      </c>
      <c r="BI666" s="34" t="str">
        <f aca="false">IF(OR(AZ666="",N(AJ666)=0),"",AZ666/AJ666)</f>
        <v/>
      </c>
      <c r="BJ666" s="34" t="str">
        <f aca="false">IF(OR(BB666="",N(AZ666)=0),"",BB666/AZ666)</f>
        <v/>
      </c>
      <c r="BK666" s="34" t="str">
        <f aca="false">IF(OR(A666="",N(BB666)=0),"",BD666/BB666)</f>
        <v/>
      </c>
      <c r="BL666" s="34" t="str">
        <f aca="false">IF(OR(A666="",N(AZ666)=0),"",BD666/AZ666)</f>
        <v/>
      </c>
      <c r="BM666" s="37" t="str">
        <f aca="false">IF(OR(N(Q666)=0,N(BD666)=0),"",Q666/BD666)</f>
        <v/>
      </c>
      <c r="BN666" s="29"/>
      <c r="BO666" s="29"/>
      <c r="BP666" s="33" t="str">
        <f aca="false">IF(OR(AR666="",N(AO666)=0),"",AR666)</f>
        <v/>
      </c>
      <c r="BQ666" s="33" t="str">
        <f aca="false">IF(OR(AR666="",N(S666)=0),"",S666)</f>
        <v/>
      </c>
      <c r="BR666" s="38" t="str">
        <f aca="false">IF(AND(ISNUMBER(B666),B666&gt;=Dashboard!$C$4,B666&lt;=Dashboard!$F$4,ISNUMBER(AU666)),AU666+ROW()/10^9,"")</f>
        <v/>
      </c>
      <c r="BS666" s="38" t="str">
        <f aca="false">IF(AND(ISNUMBER(B666),B666&gt;=Dashboard!$C$4,B666&lt;=Dashboard!$F$4,A666&lt;&gt;""),N(BD666)+N(AU666)/100+ROW()/10^9,"")</f>
        <v/>
      </c>
    </row>
    <row r="667" customFormat="false" ht="15" hidden="false" customHeight="false" outlineLevel="0" collapsed="false">
      <c r="A667" s="24" t="str">
        <f aca="false">IF(OR(B667="",G667="",H667=""),"",IFERROR(INDEX(Settings!$E$5:$E$49,MATCH(G667,Settings!$D$5:$D$49,0))&amp;INDEX(Settings!$H$5:$H$47,MATCH(H667,Settings!$G$5:$G$47,0))&amp;"-"&amp;TEXT(B667,"yymmdd")&amp;"-"&amp;IF(C667="","0000",TEXT(C667,"hhmm")),"CHECK LISTS"))</f>
        <v/>
      </c>
      <c r="B667" s="39"/>
      <c r="C667" s="40"/>
      <c r="D667" s="24" t="str">
        <f aca="false">IF(B667="","",TEXT(B667,"ddd"))</f>
        <v/>
      </c>
      <c r="E667" s="27" t="str">
        <f aca="false">IF(B667="","",B667-WEEKDAY(B667,3))</f>
        <v/>
      </c>
      <c r="F667" s="24" t="str">
        <f aca="false">IF(B667="","",TEXT(B667,"yyyy-mm"))</f>
        <v/>
      </c>
      <c r="G667" s="29"/>
      <c r="H667" s="29"/>
      <c r="I667" s="29"/>
      <c r="J667" s="29"/>
      <c r="K667" s="29"/>
      <c r="L667" s="29"/>
      <c r="M667" s="29"/>
      <c r="N667" s="29"/>
      <c r="O667" s="29"/>
      <c r="P667" s="29"/>
      <c r="Q667" s="30"/>
      <c r="R667" s="29"/>
      <c r="S667" s="32"/>
      <c r="T667" s="29"/>
      <c r="U667" s="29"/>
      <c r="V667" s="24" t="str">
        <f aca="false">IF(A667="","",IFERROR(INDEX(Settings!$F$5:$F$49,MATCH(G667,Settings!$D$5:$D$49,0)),""))</f>
        <v/>
      </c>
      <c r="W667" s="24" t="str">
        <f aca="false">IF(A667="","",IF(OR(P667="",P667="Organic"),"social","paid_social"))</f>
        <v/>
      </c>
      <c r="X667" s="24" t="str">
        <f aca="false">IF(A667="","",IF(K667&lt;&gt;"",IFERROR(INDEX('Case Studies'!$C$5:$C$54,MATCH(K667,'Case Studies'!$B$5:$B$54,0))&amp;"","case-study"),IF(J667&lt;&gt;"",IFERROR(INDEX(Settings!$J$5:$J$55,MATCH(J667,Settings!$I$5:$I$55,0)),"general"),"general")))</f>
        <v/>
      </c>
      <c r="Y667" s="24" t="str">
        <f aca="false">IF(A667="","",LOWER(A667))</f>
        <v/>
      </c>
      <c r="Z667" s="24" t="str">
        <f aca="false">IF(A667="","",IF(T667="",Settings!$B$5,T667)&amp;IF(ISNUMBER(FIND("?",IF(T667="",Settings!$B$5,T667))),"&amp;","?")&amp;"utm_source="&amp;V667&amp;"&amp;utm_medium="&amp;W667&amp;"&amp;utm_campaign="&amp;X667&amp;"&amp;utm_content="&amp;Y667)</f>
        <v/>
      </c>
      <c r="AA667" s="29"/>
      <c r="AB667" s="39"/>
      <c r="AC667" s="32"/>
      <c r="AD667" s="32"/>
      <c r="AE667" s="32"/>
      <c r="AF667" s="32"/>
      <c r="AG667" s="32"/>
      <c r="AH667" s="32"/>
      <c r="AI667" s="32"/>
      <c r="AJ667" s="32"/>
      <c r="AK667" s="32"/>
      <c r="AL667" s="32"/>
      <c r="AM667" s="32"/>
      <c r="AN667" s="32"/>
      <c r="AO667" s="33" t="str">
        <f aca="false">IF(A667="","",IF(AD667&lt;&gt;"",AD667,IF(AC667&lt;&gt;"",AC667,"")))</f>
        <v/>
      </c>
      <c r="AP667" s="24" t="str">
        <f aca="false">IF(AO667="","",IF(AD667&lt;&gt;"","Reported reach","Impressions (proxy)"))</f>
        <v/>
      </c>
      <c r="AQ667" s="34" t="str">
        <f aca="false">IF(OR(AO667="",N(S667)=0),"",AO667/S667)</f>
        <v/>
      </c>
      <c r="AR667" s="33" t="str">
        <f aca="false">IF(A667="","",IF(COUNT(AF667:AJ667)=0,"",SUM(AF667:AJ667)))</f>
        <v/>
      </c>
      <c r="AS667" s="34" t="str">
        <f aca="false">IF(OR(AR667="",N(AO667)=0),"",AR667/AO667)</f>
        <v/>
      </c>
      <c r="AT667" s="34" t="str">
        <f aca="false">IF(OR(AR667="",N(AC667)=0),"",AR667/AC667)</f>
        <v/>
      </c>
      <c r="AU667" s="34" t="str">
        <f aca="false">IF(OR(AR667="",N(S667)=0),"",AR667/S667)</f>
        <v/>
      </c>
      <c r="AV667" s="34" t="str">
        <f aca="false">IF(OR(AJ667="",N(AC667)=0),"",AJ667/AC667)</f>
        <v/>
      </c>
      <c r="AW667" s="34" t="str">
        <f aca="false">IF(OR(AH667="",N(AO667)=0),"",AH667/AO667)</f>
        <v/>
      </c>
      <c r="AX667" s="35" t="str">
        <f aca="false">IF(OR(AR667="",N(AO667)=0),"",(N(AF667)*Settings!$B$6+N(AG667)*Settings!$B$7+N(AH667)*Settings!$B$8+N(AI667)*Settings!$B$9+N(AJ667)*Settings!$B$10)/AO667*1000)</f>
        <v/>
      </c>
      <c r="AY667" s="36" t="str">
        <f aca="false">IF(AS667="","",IFERROR(AS667/AVERAGEIFS('Post Tracker'!$AS$5:$AS$1004,'Post Tracker'!$G$5:$G$1004,G667),""))</f>
        <v/>
      </c>
      <c r="AZ667" s="32"/>
      <c r="BA667" s="32"/>
      <c r="BB667" s="32"/>
      <c r="BC667" s="32"/>
      <c r="BD667" s="33" t="str">
        <f aca="false">IF(A667="","",COUNTIFS('Demo Pipeline'!$Q$5:$Q$504,A667))</f>
        <v/>
      </c>
      <c r="BE667" s="33" t="str">
        <f aca="false">IF(A667="","",COUNTIFS('Demo Pipeline'!$Q$5:$Q$504,A667,'Demo Pipeline'!$W$5:$W$504,"Attended"))</f>
        <v/>
      </c>
      <c r="BF667" s="33" t="str">
        <f aca="false">IF(A667="","",COUNTIFS('Demo Pipeline'!$Q$5:$Q$504,A667,'Demo Pipeline'!$X$5:$X$504,"Yes"))</f>
        <v/>
      </c>
      <c r="BG667" s="33" t="str">
        <f aca="false">IF(A667="","",COUNTIFS('Demo Pipeline'!$Q$5:$Q$504,A667,'Demo Pipeline'!$Y$5:$Y$504,"Closed Won"))</f>
        <v/>
      </c>
      <c r="BH667" s="37" t="str">
        <f aca="false">IF(A667="","",SUMIFS('Demo Pipeline'!$Z$5:$Z$504,'Demo Pipeline'!$Q$5:$Q$504,A667))</f>
        <v/>
      </c>
      <c r="BI667" s="34" t="str">
        <f aca="false">IF(OR(AZ667="",N(AJ667)=0),"",AZ667/AJ667)</f>
        <v/>
      </c>
      <c r="BJ667" s="34" t="str">
        <f aca="false">IF(OR(BB667="",N(AZ667)=0),"",BB667/AZ667)</f>
        <v/>
      </c>
      <c r="BK667" s="34" t="str">
        <f aca="false">IF(OR(A667="",N(BB667)=0),"",BD667/BB667)</f>
        <v/>
      </c>
      <c r="BL667" s="34" t="str">
        <f aca="false">IF(OR(A667="",N(AZ667)=0),"",BD667/AZ667)</f>
        <v/>
      </c>
      <c r="BM667" s="37" t="str">
        <f aca="false">IF(OR(N(Q667)=0,N(BD667)=0),"",Q667/BD667)</f>
        <v/>
      </c>
      <c r="BN667" s="29"/>
      <c r="BO667" s="29"/>
      <c r="BP667" s="33" t="str">
        <f aca="false">IF(OR(AR667="",N(AO667)=0),"",AR667)</f>
        <v/>
      </c>
      <c r="BQ667" s="33" t="str">
        <f aca="false">IF(OR(AR667="",N(S667)=0),"",S667)</f>
        <v/>
      </c>
      <c r="BR667" s="38" t="str">
        <f aca="false">IF(AND(ISNUMBER(B667),B667&gt;=Dashboard!$C$4,B667&lt;=Dashboard!$F$4,ISNUMBER(AU667)),AU667+ROW()/10^9,"")</f>
        <v/>
      </c>
      <c r="BS667" s="38" t="str">
        <f aca="false">IF(AND(ISNUMBER(B667),B667&gt;=Dashboard!$C$4,B667&lt;=Dashboard!$F$4,A667&lt;&gt;""),N(BD667)+N(AU667)/100+ROW()/10^9,"")</f>
        <v/>
      </c>
    </row>
    <row r="668" customFormat="false" ht="15" hidden="false" customHeight="false" outlineLevel="0" collapsed="false">
      <c r="A668" s="24" t="str">
        <f aca="false">IF(OR(B668="",G668="",H668=""),"",IFERROR(INDEX(Settings!$E$5:$E$49,MATCH(G668,Settings!$D$5:$D$49,0))&amp;INDEX(Settings!$H$5:$H$47,MATCH(H668,Settings!$G$5:$G$47,0))&amp;"-"&amp;TEXT(B668,"yymmdd")&amp;"-"&amp;IF(C668="","0000",TEXT(C668,"hhmm")),"CHECK LISTS"))</f>
        <v/>
      </c>
      <c r="B668" s="39"/>
      <c r="C668" s="40"/>
      <c r="D668" s="24" t="str">
        <f aca="false">IF(B668="","",TEXT(B668,"ddd"))</f>
        <v/>
      </c>
      <c r="E668" s="27" t="str">
        <f aca="false">IF(B668="","",B668-WEEKDAY(B668,3))</f>
        <v/>
      </c>
      <c r="F668" s="24" t="str">
        <f aca="false">IF(B668="","",TEXT(B668,"yyyy-mm"))</f>
        <v/>
      </c>
      <c r="G668" s="29"/>
      <c r="H668" s="29"/>
      <c r="I668" s="29"/>
      <c r="J668" s="29"/>
      <c r="K668" s="29"/>
      <c r="L668" s="29"/>
      <c r="M668" s="29"/>
      <c r="N668" s="29"/>
      <c r="O668" s="29"/>
      <c r="P668" s="29"/>
      <c r="Q668" s="30"/>
      <c r="R668" s="29"/>
      <c r="S668" s="32"/>
      <c r="T668" s="29"/>
      <c r="U668" s="29"/>
      <c r="V668" s="24" t="str">
        <f aca="false">IF(A668="","",IFERROR(INDEX(Settings!$F$5:$F$49,MATCH(G668,Settings!$D$5:$D$49,0)),""))</f>
        <v/>
      </c>
      <c r="W668" s="24" t="str">
        <f aca="false">IF(A668="","",IF(OR(P668="",P668="Organic"),"social","paid_social"))</f>
        <v/>
      </c>
      <c r="X668" s="24" t="str">
        <f aca="false">IF(A668="","",IF(K668&lt;&gt;"",IFERROR(INDEX('Case Studies'!$C$5:$C$54,MATCH(K668,'Case Studies'!$B$5:$B$54,0))&amp;"","case-study"),IF(J668&lt;&gt;"",IFERROR(INDEX(Settings!$J$5:$J$55,MATCH(J668,Settings!$I$5:$I$55,0)),"general"),"general")))</f>
        <v/>
      </c>
      <c r="Y668" s="24" t="str">
        <f aca="false">IF(A668="","",LOWER(A668))</f>
        <v/>
      </c>
      <c r="Z668" s="24" t="str">
        <f aca="false">IF(A668="","",IF(T668="",Settings!$B$5,T668)&amp;IF(ISNUMBER(FIND("?",IF(T668="",Settings!$B$5,T668))),"&amp;","?")&amp;"utm_source="&amp;V668&amp;"&amp;utm_medium="&amp;W668&amp;"&amp;utm_campaign="&amp;X668&amp;"&amp;utm_content="&amp;Y668)</f>
        <v/>
      </c>
      <c r="AA668" s="29"/>
      <c r="AB668" s="39"/>
      <c r="AC668" s="32"/>
      <c r="AD668" s="32"/>
      <c r="AE668" s="32"/>
      <c r="AF668" s="32"/>
      <c r="AG668" s="32"/>
      <c r="AH668" s="32"/>
      <c r="AI668" s="32"/>
      <c r="AJ668" s="32"/>
      <c r="AK668" s="32"/>
      <c r="AL668" s="32"/>
      <c r="AM668" s="32"/>
      <c r="AN668" s="32"/>
      <c r="AO668" s="33" t="str">
        <f aca="false">IF(A668="","",IF(AD668&lt;&gt;"",AD668,IF(AC668&lt;&gt;"",AC668,"")))</f>
        <v/>
      </c>
      <c r="AP668" s="24" t="str">
        <f aca="false">IF(AO668="","",IF(AD668&lt;&gt;"","Reported reach","Impressions (proxy)"))</f>
        <v/>
      </c>
      <c r="AQ668" s="34" t="str">
        <f aca="false">IF(OR(AO668="",N(S668)=0),"",AO668/S668)</f>
        <v/>
      </c>
      <c r="AR668" s="33" t="str">
        <f aca="false">IF(A668="","",IF(COUNT(AF668:AJ668)=0,"",SUM(AF668:AJ668)))</f>
        <v/>
      </c>
      <c r="AS668" s="34" t="str">
        <f aca="false">IF(OR(AR668="",N(AO668)=0),"",AR668/AO668)</f>
        <v/>
      </c>
      <c r="AT668" s="34" t="str">
        <f aca="false">IF(OR(AR668="",N(AC668)=0),"",AR668/AC668)</f>
        <v/>
      </c>
      <c r="AU668" s="34" t="str">
        <f aca="false">IF(OR(AR668="",N(S668)=0),"",AR668/S668)</f>
        <v/>
      </c>
      <c r="AV668" s="34" t="str">
        <f aca="false">IF(OR(AJ668="",N(AC668)=0),"",AJ668/AC668)</f>
        <v/>
      </c>
      <c r="AW668" s="34" t="str">
        <f aca="false">IF(OR(AH668="",N(AO668)=0),"",AH668/AO668)</f>
        <v/>
      </c>
      <c r="AX668" s="35" t="str">
        <f aca="false">IF(OR(AR668="",N(AO668)=0),"",(N(AF668)*Settings!$B$6+N(AG668)*Settings!$B$7+N(AH668)*Settings!$B$8+N(AI668)*Settings!$B$9+N(AJ668)*Settings!$B$10)/AO668*1000)</f>
        <v/>
      </c>
      <c r="AY668" s="36" t="str">
        <f aca="false">IF(AS668="","",IFERROR(AS668/AVERAGEIFS('Post Tracker'!$AS$5:$AS$1004,'Post Tracker'!$G$5:$G$1004,G668),""))</f>
        <v/>
      </c>
      <c r="AZ668" s="32"/>
      <c r="BA668" s="32"/>
      <c r="BB668" s="32"/>
      <c r="BC668" s="32"/>
      <c r="BD668" s="33" t="str">
        <f aca="false">IF(A668="","",COUNTIFS('Demo Pipeline'!$Q$5:$Q$504,A668))</f>
        <v/>
      </c>
      <c r="BE668" s="33" t="str">
        <f aca="false">IF(A668="","",COUNTIFS('Demo Pipeline'!$Q$5:$Q$504,A668,'Demo Pipeline'!$W$5:$W$504,"Attended"))</f>
        <v/>
      </c>
      <c r="BF668" s="33" t="str">
        <f aca="false">IF(A668="","",COUNTIFS('Demo Pipeline'!$Q$5:$Q$504,A668,'Demo Pipeline'!$X$5:$X$504,"Yes"))</f>
        <v/>
      </c>
      <c r="BG668" s="33" t="str">
        <f aca="false">IF(A668="","",COUNTIFS('Demo Pipeline'!$Q$5:$Q$504,A668,'Demo Pipeline'!$Y$5:$Y$504,"Closed Won"))</f>
        <v/>
      </c>
      <c r="BH668" s="37" t="str">
        <f aca="false">IF(A668="","",SUMIFS('Demo Pipeline'!$Z$5:$Z$504,'Demo Pipeline'!$Q$5:$Q$504,A668))</f>
        <v/>
      </c>
      <c r="BI668" s="34" t="str">
        <f aca="false">IF(OR(AZ668="",N(AJ668)=0),"",AZ668/AJ668)</f>
        <v/>
      </c>
      <c r="BJ668" s="34" t="str">
        <f aca="false">IF(OR(BB668="",N(AZ668)=0),"",BB668/AZ668)</f>
        <v/>
      </c>
      <c r="BK668" s="34" t="str">
        <f aca="false">IF(OR(A668="",N(BB668)=0),"",BD668/BB668)</f>
        <v/>
      </c>
      <c r="BL668" s="34" t="str">
        <f aca="false">IF(OR(A668="",N(AZ668)=0),"",BD668/AZ668)</f>
        <v/>
      </c>
      <c r="BM668" s="37" t="str">
        <f aca="false">IF(OR(N(Q668)=0,N(BD668)=0),"",Q668/BD668)</f>
        <v/>
      </c>
      <c r="BN668" s="29"/>
      <c r="BO668" s="29"/>
      <c r="BP668" s="33" t="str">
        <f aca="false">IF(OR(AR668="",N(AO668)=0),"",AR668)</f>
        <v/>
      </c>
      <c r="BQ668" s="33" t="str">
        <f aca="false">IF(OR(AR668="",N(S668)=0),"",S668)</f>
        <v/>
      </c>
      <c r="BR668" s="38" t="str">
        <f aca="false">IF(AND(ISNUMBER(B668),B668&gt;=Dashboard!$C$4,B668&lt;=Dashboard!$F$4,ISNUMBER(AU668)),AU668+ROW()/10^9,"")</f>
        <v/>
      </c>
      <c r="BS668" s="38" t="str">
        <f aca="false">IF(AND(ISNUMBER(B668),B668&gt;=Dashboard!$C$4,B668&lt;=Dashboard!$F$4,A668&lt;&gt;""),N(BD668)+N(AU668)/100+ROW()/10^9,"")</f>
        <v/>
      </c>
    </row>
    <row r="669" customFormat="false" ht="15" hidden="false" customHeight="false" outlineLevel="0" collapsed="false">
      <c r="A669" s="24" t="str">
        <f aca="false">IF(OR(B669="",G669="",H669=""),"",IFERROR(INDEX(Settings!$E$5:$E$49,MATCH(G669,Settings!$D$5:$D$49,0))&amp;INDEX(Settings!$H$5:$H$47,MATCH(H669,Settings!$G$5:$G$47,0))&amp;"-"&amp;TEXT(B669,"yymmdd")&amp;"-"&amp;IF(C669="","0000",TEXT(C669,"hhmm")),"CHECK LISTS"))</f>
        <v/>
      </c>
      <c r="B669" s="39"/>
      <c r="C669" s="40"/>
      <c r="D669" s="24" t="str">
        <f aca="false">IF(B669="","",TEXT(B669,"ddd"))</f>
        <v/>
      </c>
      <c r="E669" s="27" t="str">
        <f aca="false">IF(B669="","",B669-WEEKDAY(B669,3))</f>
        <v/>
      </c>
      <c r="F669" s="24" t="str">
        <f aca="false">IF(B669="","",TEXT(B669,"yyyy-mm"))</f>
        <v/>
      </c>
      <c r="G669" s="29"/>
      <c r="H669" s="29"/>
      <c r="I669" s="29"/>
      <c r="J669" s="29"/>
      <c r="K669" s="29"/>
      <c r="L669" s="29"/>
      <c r="M669" s="29"/>
      <c r="N669" s="29"/>
      <c r="O669" s="29"/>
      <c r="P669" s="29"/>
      <c r="Q669" s="30"/>
      <c r="R669" s="29"/>
      <c r="S669" s="32"/>
      <c r="T669" s="29"/>
      <c r="U669" s="29"/>
      <c r="V669" s="24" t="str">
        <f aca="false">IF(A669="","",IFERROR(INDEX(Settings!$F$5:$F$49,MATCH(G669,Settings!$D$5:$D$49,0)),""))</f>
        <v/>
      </c>
      <c r="W669" s="24" t="str">
        <f aca="false">IF(A669="","",IF(OR(P669="",P669="Organic"),"social","paid_social"))</f>
        <v/>
      </c>
      <c r="X669" s="24" t="str">
        <f aca="false">IF(A669="","",IF(K669&lt;&gt;"",IFERROR(INDEX('Case Studies'!$C$5:$C$54,MATCH(K669,'Case Studies'!$B$5:$B$54,0))&amp;"","case-study"),IF(J669&lt;&gt;"",IFERROR(INDEX(Settings!$J$5:$J$55,MATCH(J669,Settings!$I$5:$I$55,0)),"general"),"general")))</f>
        <v/>
      </c>
      <c r="Y669" s="24" t="str">
        <f aca="false">IF(A669="","",LOWER(A669))</f>
        <v/>
      </c>
      <c r="Z669" s="24" t="str">
        <f aca="false">IF(A669="","",IF(T669="",Settings!$B$5,T669)&amp;IF(ISNUMBER(FIND("?",IF(T669="",Settings!$B$5,T669))),"&amp;","?")&amp;"utm_source="&amp;V669&amp;"&amp;utm_medium="&amp;W669&amp;"&amp;utm_campaign="&amp;X669&amp;"&amp;utm_content="&amp;Y669)</f>
        <v/>
      </c>
      <c r="AA669" s="29"/>
      <c r="AB669" s="39"/>
      <c r="AC669" s="32"/>
      <c r="AD669" s="32"/>
      <c r="AE669" s="32"/>
      <c r="AF669" s="32"/>
      <c r="AG669" s="32"/>
      <c r="AH669" s="32"/>
      <c r="AI669" s="32"/>
      <c r="AJ669" s="32"/>
      <c r="AK669" s="32"/>
      <c r="AL669" s="32"/>
      <c r="AM669" s="32"/>
      <c r="AN669" s="32"/>
      <c r="AO669" s="33" t="str">
        <f aca="false">IF(A669="","",IF(AD669&lt;&gt;"",AD669,IF(AC669&lt;&gt;"",AC669,"")))</f>
        <v/>
      </c>
      <c r="AP669" s="24" t="str">
        <f aca="false">IF(AO669="","",IF(AD669&lt;&gt;"","Reported reach","Impressions (proxy)"))</f>
        <v/>
      </c>
      <c r="AQ669" s="34" t="str">
        <f aca="false">IF(OR(AO669="",N(S669)=0),"",AO669/S669)</f>
        <v/>
      </c>
      <c r="AR669" s="33" t="str">
        <f aca="false">IF(A669="","",IF(COUNT(AF669:AJ669)=0,"",SUM(AF669:AJ669)))</f>
        <v/>
      </c>
      <c r="AS669" s="34" t="str">
        <f aca="false">IF(OR(AR669="",N(AO669)=0),"",AR669/AO669)</f>
        <v/>
      </c>
      <c r="AT669" s="34" t="str">
        <f aca="false">IF(OR(AR669="",N(AC669)=0),"",AR669/AC669)</f>
        <v/>
      </c>
      <c r="AU669" s="34" t="str">
        <f aca="false">IF(OR(AR669="",N(S669)=0),"",AR669/S669)</f>
        <v/>
      </c>
      <c r="AV669" s="34" t="str">
        <f aca="false">IF(OR(AJ669="",N(AC669)=0),"",AJ669/AC669)</f>
        <v/>
      </c>
      <c r="AW669" s="34" t="str">
        <f aca="false">IF(OR(AH669="",N(AO669)=0),"",AH669/AO669)</f>
        <v/>
      </c>
      <c r="AX669" s="35" t="str">
        <f aca="false">IF(OR(AR669="",N(AO669)=0),"",(N(AF669)*Settings!$B$6+N(AG669)*Settings!$B$7+N(AH669)*Settings!$B$8+N(AI669)*Settings!$B$9+N(AJ669)*Settings!$B$10)/AO669*1000)</f>
        <v/>
      </c>
      <c r="AY669" s="36" t="str">
        <f aca="false">IF(AS669="","",IFERROR(AS669/AVERAGEIFS('Post Tracker'!$AS$5:$AS$1004,'Post Tracker'!$G$5:$G$1004,G669),""))</f>
        <v/>
      </c>
      <c r="AZ669" s="32"/>
      <c r="BA669" s="32"/>
      <c r="BB669" s="32"/>
      <c r="BC669" s="32"/>
      <c r="BD669" s="33" t="str">
        <f aca="false">IF(A669="","",COUNTIFS('Demo Pipeline'!$Q$5:$Q$504,A669))</f>
        <v/>
      </c>
      <c r="BE669" s="33" t="str">
        <f aca="false">IF(A669="","",COUNTIFS('Demo Pipeline'!$Q$5:$Q$504,A669,'Demo Pipeline'!$W$5:$W$504,"Attended"))</f>
        <v/>
      </c>
      <c r="BF669" s="33" t="str">
        <f aca="false">IF(A669="","",COUNTIFS('Demo Pipeline'!$Q$5:$Q$504,A669,'Demo Pipeline'!$X$5:$X$504,"Yes"))</f>
        <v/>
      </c>
      <c r="BG669" s="33" t="str">
        <f aca="false">IF(A669="","",COUNTIFS('Demo Pipeline'!$Q$5:$Q$504,A669,'Demo Pipeline'!$Y$5:$Y$504,"Closed Won"))</f>
        <v/>
      </c>
      <c r="BH669" s="37" t="str">
        <f aca="false">IF(A669="","",SUMIFS('Demo Pipeline'!$Z$5:$Z$504,'Demo Pipeline'!$Q$5:$Q$504,A669))</f>
        <v/>
      </c>
      <c r="BI669" s="34" t="str">
        <f aca="false">IF(OR(AZ669="",N(AJ669)=0),"",AZ669/AJ669)</f>
        <v/>
      </c>
      <c r="BJ669" s="34" t="str">
        <f aca="false">IF(OR(BB669="",N(AZ669)=0),"",BB669/AZ669)</f>
        <v/>
      </c>
      <c r="BK669" s="34" t="str">
        <f aca="false">IF(OR(A669="",N(BB669)=0),"",BD669/BB669)</f>
        <v/>
      </c>
      <c r="BL669" s="34" t="str">
        <f aca="false">IF(OR(A669="",N(AZ669)=0),"",BD669/AZ669)</f>
        <v/>
      </c>
      <c r="BM669" s="37" t="str">
        <f aca="false">IF(OR(N(Q669)=0,N(BD669)=0),"",Q669/BD669)</f>
        <v/>
      </c>
      <c r="BN669" s="29"/>
      <c r="BO669" s="29"/>
      <c r="BP669" s="33" t="str">
        <f aca="false">IF(OR(AR669="",N(AO669)=0),"",AR669)</f>
        <v/>
      </c>
      <c r="BQ669" s="33" t="str">
        <f aca="false">IF(OR(AR669="",N(S669)=0),"",S669)</f>
        <v/>
      </c>
      <c r="BR669" s="38" t="str">
        <f aca="false">IF(AND(ISNUMBER(B669),B669&gt;=Dashboard!$C$4,B669&lt;=Dashboard!$F$4,ISNUMBER(AU669)),AU669+ROW()/10^9,"")</f>
        <v/>
      </c>
      <c r="BS669" s="38" t="str">
        <f aca="false">IF(AND(ISNUMBER(B669),B669&gt;=Dashboard!$C$4,B669&lt;=Dashboard!$F$4,A669&lt;&gt;""),N(BD669)+N(AU669)/100+ROW()/10^9,"")</f>
        <v/>
      </c>
    </row>
    <row r="670" customFormat="false" ht="15" hidden="false" customHeight="false" outlineLevel="0" collapsed="false">
      <c r="A670" s="24" t="str">
        <f aca="false">IF(OR(B670="",G670="",H670=""),"",IFERROR(INDEX(Settings!$E$5:$E$49,MATCH(G670,Settings!$D$5:$D$49,0))&amp;INDEX(Settings!$H$5:$H$47,MATCH(H670,Settings!$G$5:$G$47,0))&amp;"-"&amp;TEXT(B670,"yymmdd")&amp;"-"&amp;IF(C670="","0000",TEXT(C670,"hhmm")),"CHECK LISTS"))</f>
        <v/>
      </c>
      <c r="B670" s="39"/>
      <c r="C670" s="40"/>
      <c r="D670" s="24" t="str">
        <f aca="false">IF(B670="","",TEXT(B670,"ddd"))</f>
        <v/>
      </c>
      <c r="E670" s="27" t="str">
        <f aca="false">IF(B670="","",B670-WEEKDAY(B670,3))</f>
        <v/>
      </c>
      <c r="F670" s="24" t="str">
        <f aca="false">IF(B670="","",TEXT(B670,"yyyy-mm"))</f>
        <v/>
      </c>
      <c r="G670" s="29"/>
      <c r="H670" s="29"/>
      <c r="I670" s="29"/>
      <c r="J670" s="29"/>
      <c r="K670" s="29"/>
      <c r="L670" s="29"/>
      <c r="M670" s="29"/>
      <c r="N670" s="29"/>
      <c r="O670" s="29"/>
      <c r="P670" s="29"/>
      <c r="Q670" s="30"/>
      <c r="R670" s="29"/>
      <c r="S670" s="32"/>
      <c r="T670" s="29"/>
      <c r="U670" s="29"/>
      <c r="V670" s="24" t="str">
        <f aca="false">IF(A670="","",IFERROR(INDEX(Settings!$F$5:$F$49,MATCH(G670,Settings!$D$5:$D$49,0)),""))</f>
        <v/>
      </c>
      <c r="W670" s="24" t="str">
        <f aca="false">IF(A670="","",IF(OR(P670="",P670="Organic"),"social","paid_social"))</f>
        <v/>
      </c>
      <c r="X670" s="24" t="str">
        <f aca="false">IF(A670="","",IF(K670&lt;&gt;"",IFERROR(INDEX('Case Studies'!$C$5:$C$54,MATCH(K670,'Case Studies'!$B$5:$B$54,0))&amp;"","case-study"),IF(J670&lt;&gt;"",IFERROR(INDEX(Settings!$J$5:$J$55,MATCH(J670,Settings!$I$5:$I$55,0)),"general"),"general")))</f>
        <v/>
      </c>
      <c r="Y670" s="24" t="str">
        <f aca="false">IF(A670="","",LOWER(A670))</f>
        <v/>
      </c>
      <c r="Z670" s="24" t="str">
        <f aca="false">IF(A670="","",IF(T670="",Settings!$B$5,T670)&amp;IF(ISNUMBER(FIND("?",IF(T670="",Settings!$B$5,T670))),"&amp;","?")&amp;"utm_source="&amp;V670&amp;"&amp;utm_medium="&amp;W670&amp;"&amp;utm_campaign="&amp;X670&amp;"&amp;utm_content="&amp;Y670)</f>
        <v/>
      </c>
      <c r="AA670" s="29"/>
      <c r="AB670" s="39"/>
      <c r="AC670" s="32"/>
      <c r="AD670" s="32"/>
      <c r="AE670" s="32"/>
      <c r="AF670" s="32"/>
      <c r="AG670" s="32"/>
      <c r="AH670" s="32"/>
      <c r="AI670" s="32"/>
      <c r="AJ670" s="32"/>
      <c r="AK670" s="32"/>
      <c r="AL670" s="32"/>
      <c r="AM670" s="32"/>
      <c r="AN670" s="32"/>
      <c r="AO670" s="33" t="str">
        <f aca="false">IF(A670="","",IF(AD670&lt;&gt;"",AD670,IF(AC670&lt;&gt;"",AC670,"")))</f>
        <v/>
      </c>
      <c r="AP670" s="24" t="str">
        <f aca="false">IF(AO670="","",IF(AD670&lt;&gt;"","Reported reach","Impressions (proxy)"))</f>
        <v/>
      </c>
      <c r="AQ670" s="34" t="str">
        <f aca="false">IF(OR(AO670="",N(S670)=0),"",AO670/S670)</f>
        <v/>
      </c>
      <c r="AR670" s="33" t="str">
        <f aca="false">IF(A670="","",IF(COUNT(AF670:AJ670)=0,"",SUM(AF670:AJ670)))</f>
        <v/>
      </c>
      <c r="AS670" s="34" t="str">
        <f aca="false">IF(OR(AR670="",N(AO670)=0),"",AR670/AO670)</f>
        <v/>
      </c>
      <c r="AT670" s="34" t="str">
        <f aca="false">IF(OR(AR670="",N(AC670)=0),"",AR670/AC670)</f>
        <v/>
      </c>
      <c r="AU670" s="34" t="str">
        <f aca="false">IF(OR(AR670="",N(S670)=0),"",AR670/S670)</f>
        <v/>
      </c>
      <c r="AV670" s="34" t="str">
        <f aca="false">IF(OR(AJ670="",N(AC670)=0),"",AJ670/AC670)</f>
        <v/>
      </c>
      <c r="AW670" s="34" t="str">
        <f aca="false">IF(OR(AH670="",N(AO670)=0),"",AH670/AO670)</f>
        <v/>
      </c>
      <c r="AX670" s="35" t="str">
        <f aca="false">IF(OR(AR670="",N(AO670)=0),"",(N(AF670)*Settings!$B$6+N(AG670)*Settings!$B$7+N(AH670)*Settings!$B$8+N(AI670)*Settings!$B$9+N(AJ670)*Settings!$B$10)/AO670*1000)</f>
        <v/>
      </c>
      <c r="AY670" s="36" t="str">
        <f aca="false">IF(AS670="","",IFERROR(AS670/AVERAGEIFS('Post Tracker'!$AS$5:$AS$1004,'Post Tracker'!$G$5:$G$1004,G670),""))</f>
        <v/>
      </c>
      <c r="AZ670" s="32"/>
      <c r="BA670" s="32"/>
      <c r="BB670" s="32"/>
      <c r="BC670" s="32"/>
      <c r="BD670" s="33" t="str">
        <f aca="false">IF(A670="","",COUNTIFS('Demo Pipeline'!$Q$5:$Q$504,A670))</f>
        <v/>
      </c>
      <c r="BE670" s="33" t="str">
        <f aca="false">IF(A670="","",COUNTIFS('Demo Pipeline'!$Q$5:$Q$504,A670,'Demo Pipeline'!$W$5:$W$504,"Attended"))</f>
        <v/>
      </c>
      <c r="BF670" s="33" t="str">
        <f aca="false">IF(A670="","",COUNTIFS('Demo Pipeline'!$Q$5:$Q$504,A670,'Demo Pipeline'!$X$5:$X$504,"Yes"))</f>
        <v/>
      </c>
      <c r="BG670" s="33" t="str">
        <f aca="false">IF(A670="","",COUNTIFS('Demo Pipeline'!$Q$5:$Q$504,A670,'Demo Pipeline'!$Y$5:$Y$504,"Closed Won"))</f>
        <v/>
      </c>
      <c r="BH670" s="37" t="str">
        <f aca="false">IF(A670="","",SUMIFS('Demo Pipeline'!$Z$5:$Z$504,'Demo Pipeline'!$Q$5:$Q$504,A670))</f>
        <v/>
      </c>
      <c r="BI670" s="34" t="str">
        <f aca="false">IF(OR(AZ670="",N(AJ670)=0),"",AZ670/AJ670)</f>
        <v/>
      </c>
      <c r="BJ670" s="34" t="str">
        <f aca="false">IF(OR(BB670="",N(AZ670)=0),"",BB670/AZ670)</f>
        <v/>
      </c>
      <c r="BK670" s="34" t="str">
        <f aca="false">IF(OR(A670="",N(BB670)=0),"",BD670/BB670)</f>
        <v/>
      </c>
      <c r="BL670" s="34" t="str">
        <f aca="false">IF(OR(A670="",N(AZ670)=0),"",BD670/AZ670)</f>
        <v/>
      </c>
      <c r="BM670" s="37" t="str">
        <f aca="false">IF(OR(N(Q670)=0,N(BD670)=0),"",Q670/BD670)</f>
        <v/>
      </c>
      <c r="BN670" s="29"/>
      <c r="BO670" s="29"/>
      <c r="BP670" s="33" t="str">
        <f aca="false">IF(OR(AR670="",N(AO670)=0),"",AR670)</f>
        <v/>
      </c>
      <c r="BQ670" s="33" t="str">
        <f aca="false">IF(OR(AR670="",N(S670)=0),"",S670)</f>
        <v/>
      </c>
      <c r="BR670" s="38" t="str">
        <f aca="false">IF(AND(ISNUMBER(B670),B670&gt;=Dashboard!$C$4,B670&lt;=Dashboard!$F$4,ISNUMBER(AU670)),AU670+ROW()/10^9,"")</f>
        <v/>
      </c>
      <c r="BS670" s="38" t="str">
        <f aca="false">IF(AND(ISNUMBER(B670),B670&gt;=Dashboard!$C$4,B670&lt;=Dashboard!$F$4,A670&lt;&gt;""),N(BD670)+N(AU670)/100+ROW()/10^9,"")</f>
        <v/>
      </c>
    </row>
    <row r="671" customFormat="false" ht="15" hidden="false" customHeight="false" outlineLevel="0" collapsed="false">
      <c r="A671" s="24" t="str">
        <f aca="false">IF(OR(B671="",G671="",H671=""),"",IFERROR(INDEX(Settings!$E$5:$E$49,MATCH(G671,Settings!$D$5:$D$49,0))&amp;INDEX(Settings!$H$5:$H$47,MATCH(H671,Settings!$G$5:$G$47,0))&amp;"-"&amp;TEXT(B671,"yymmdd")&amp;"-"&amp;IF(C671="","0000",TEXT(C671,"hhmm")),"CHECK LISTS"))</f>
        <v/>
      </c>
      <c r="B671" s="39"/>
      <c r="C671" s="40"/>
      <c r="D671" s="24" t="str">
        <f aca="false">IF(B671="","",TEXT(B671,"ddd"))</f>
        <v/>
      </c>
      <c r="E671" s="27" t="str">
        <f aca="false">IF(B671="","",B671-WEEKDAY(B671,3))</f>
        <v/>
      </c>
      <c r="F671" s="24" t="str">
        <f aca="false">IF(B671="","",TEXT(B671,"yyyy-mm"))</f>
        <v/>
      </c>
      <c r="G671" s="29"/>
      <c r="H671" s="29"/>
      <c r="I671" s="29"/>
      <c r="J671" s="29"/>
      <c r="K671" s="29"/>
      <c r="L671" s="29"/>
      <c r="M671" s="29"/>
      <c r="N671" s="29"/>
      <c r="O671" s="29"/>
      <c r="P671" s="29"/>
      <c r="Q671" s="30"/>
      <c r="R671" s="29"/>
      <c r="S671" s="32"/>
      <c r="T671" s="29"/>
      <c r="U671" s="29"/>
      <c r="V671" s="24" t="str">
        <f aca="false">IF(A671="","",IFERROR(INDEX(Settings!$F$5:$F$49,MATCH(G671,Settings!$D$5:$D$49,0)),""))</f>
        <v/>
      </c>
      <c r="W671" s="24" t="str">
        <f aca="false">IF(A671="","",IF(OR(P671="",P671="Organic"),"social","paid_social"))</f>
        <v/>
      </c>
      <c r="X671" s="24" t="str">
        <f aca="false">IF(A671="","",IF(K671&lt;&gt;"",IFERROR(INDEX('Case Studies'!$C$5:$C$54,MATCH(K671,'Case Studies'!$B$5:$B$54,0))&amp;"","case-study"),IF(J671&lt;&gt;"",IFERROR(INDEX(Settings!$J$5:$J$55,MATCH(J671,Settings!$I$5:$I$55,0)),"general"),"general")))</f>
        <v/>
      </c>
      <c r="Y671" s="24" t="str">
        <f aca="false">IF(A671="","",LOWER(A671))</f>
        <v/>
      </c>
      <c r="Z671" s="24" t="str">
        <f aca="false">IF(A671="","",IF(T671="",Settings!$B$5,T671)&amp;IF(ISNUMBER(FIND("?",IF(T671="",Settings!$B$5,T671))),"&amp;","?")&amp;"utm_source="&amp;V671&amp;"&amp;utm_medium="&amp;W671&amp;"&amp;utm_campaign="&amp;X671&amp;"&amp;utm_content="&amp;Y671)</f>
        <v/>
      </c>
      <c r="AA671" s="29"/>
      <c r="AB671" s="39"/>
      <c r="AC671" s="32"/>
      <c r="AD671" s="32"/>
      <c r="AE671" s="32"/>
      <c r="AF671" s="32"/>
      <c r="AG671" s="32"/>
      <c r="AH671" s="32"/>
      <c r="AI671" s="32"/>
      <c r="AJ671" s="32"/>
      <c r="AK671" s="32"/>
      <c r="AL671" s="32"/>
      <c r="AM671" s="32"/>
      <c r="AN671" s="32"/>
      <c r="AO671" s="33" t="str">
        <f aca="false">IF(A671="","",IF(AD671&lt;&gt;"",AD671,IF(AC671&lt;&gt;"",AC671,"")))</f>
        <v/>
      </c>
      <c r="AP671" s="24" t="str">
        <f aca="false">IF(AO671="","",IF(AD671&lt;&gt;"","Reported reach","Impressions (proxy)"))</f>
        <v/>
      </c>
      <c r="AQ671" s="34" t="str">
        <f aca="false">IF(OR(AO671="",N(S671)=0),"",AO671/S671)</f>
        <v/>
      </c>
      <c r="AR671" s="33" t="str">
        <f aca="false">IF(A671="","",IF(COUNT(AF671:AJ671)=0,"",SUM(AF671:AJ671)))</f>
        <v/>
      </c>
      <c r="AS671" s="34" t="str">
        <f aca="false">IF(OR(AR671="",N(AO671)=0),"",AR671/AO671)</f>
        <v/>
      </c>
      <c r="AT671" s="34" t="str">
        <f aca="false">IF(OR(AR671="",N(AC671)=0),"",AR671/AC671)</f>
        <v/>
      </c>
      <c r="AU671" s="34" t="str">
        <f aca="false">IF(OR(AR671="",N(S671)=0),"",AR671/S671)</f>
        <v/>
      </c>
      <c r="AV671" s="34" t="str">
        <f aca="false">IF(OR(AJ671="",N(AC671)=0),"",AJ671/AC671)</f>
        <v/>
      </c>
      <c r="AW671" s="34" t="str">
        <f aca="false">IF(OR(AH671="",N(AO671)=0),"",AH671/AO671)</f>
        <v/>
      </c>
      <c r="AX671" s="35" t="str">
        <f aca="false">IF(OR(AR671="",N(AO671)=0),"",(N(AF671)*Settings!$B$6+N(AG671)*Settings!$B$7+N(AH671)*Settings!$B$8+N(AI671)*Settings!$B$9+N(AJ671)*Settings!$B$10)/AO671*1000)</f>
        <v/>
      </c>
      <c r="AY671" s="36" t="str">
        <f aca="false">IF(AS671="","",IFERROR(AS671/AVERAGEIFS('Post Tracker'!$AS$5:$AS$1004,'Post Tracker'!$G$5:$G$1004,G671),""))</f>
        <v/>
      </c>
      <c r="AZ671" s="32"/>
      <c r="BA671" s="32"/>
      <c r="BB671" s="32"/>
      <c r="BC671" s="32"/>
      <c r="BD671" s="33" t="str">
        <f aca="false">IF(A671="","",COUNTIFS('Demo Pipeline'!$Q$5:$Q$504,A671))</f>
        <v/>
      </c>
      <c r="BE671" s="33" t="str">
        <f aca="false">IF(A671="","",COUNTIFS('Demo Pipeline'!$Q$5:$Q$504,A671,'Demo Pipeline'!$W$5:$W$504,"Attended"))</f>
        <v/>
      </c>
      <c r="BF671" s="33" t="str">
        <f aca="false">IF(A671="","",COUNTIFS('Demo Pipeline'!$Q$5:$Q$504,A671,'Demo Pipeline'!$X$5:$X$504,"Yes"))</f>
        <v/>
      </c>
      <c r="BG671" s="33" t="str">
        <f aca="false">IF(A671="","",COUNTIFS('Demo Pipeline'!$Q$5:$Q$504,A671,'Demo Pipeline'!$Y$5:$Y$504,"Closed Won"))</f>
        <v/>
      </c>
      <c r="BH671" s="37" t="str">
        <f aca="false">IF(A671="","",SUMIFS('Demo Pipeline'!$Z$5:$Z$504,'Demo Pipeline'!$Q$5:$Q$504,A671))</f>
        <v/>
      </c>
      <c r="BI671" s="34" t="str">
        <f aca="false">IF(OR(AZ671="",N(AJ671)=0),"",AZ671/AJ671)</f>
        <v/>
      </c>
      <c r="BJ671" s="34" t="str">
        <f aca="false">IF(OR(BB671="",N(AZ671)=0),"",BB671/AZ671)</f>
        <v/>
      </c>
      <c r="BK671" s="34" t="str">
        <f aca="false">IF(OR(A671="",N(BB671)=0),"",BD671/BB671)</f>
        <v/>
      </c>
      <c r="BL671" s="34" t="str">
        <f aca="false">IF(OR(A671="",N(AZ671)=0),"",BD671/AZ671)</f>
        <v/>
      </c>
      <c r="BM671" s="37" t="str">
        <f aca="false">IF(OR(N(Q671)=0,N(BD671)=0),"",Q671/BD671)</f>
        <v/>
      </c>
      <c r="BN671" s="29"/>
      <c r="BO671" s="29"/>
      <c r="BP671" s="33" t="str">
        <f aca="false">IF(OR(AR671="",N(AO671)=0),"",AR671)</f>
        <v/>
      </c>
      <c r="BQ671" s="33" t="str">
        <f aca="false">IF(OR(AR671="",N(S671)=0),"",S671)</f>
        <v/>
      </c>
      <c r="BR671" s="38" t="str">
        <f aca="false">IF(AND(ISNUMBER(B671),B671&gt;=Dashboard!$C$4,B671&lt;=Dashboard!$F$4,ISNUMBER(AU671)),AU671+ROW()/10^9,"")</f>
        <v/>
      </c>
      <c r="BS671" s="38" t="str">
        <f aca="false">IF(AND(ISNUMBER(B671),B671&gt;=Dashboard!$C$4,B671&lt;=Dashboard!$F$4,A671&lt;&gt;""),N(BD671)+N(AU671)/100+ROW()/10^9,"")</f>
        <v/>
      </c>
    </row>
    <row r="672" customFormat="false" ht="15" hidden="false" customHeight="false" outlineLevel="0" collapsed="false">
      <c r="A672" s="24" t="str">
        <f aca="false">IF(OR(B672="",G672="",H672=""),"",IFERROR(INDEX(Settings!$E$5:$E$49,MATCH(G672,Settings!$D$5:$D$49,0))&amp;INDEX(Settings!$H$5:$H$47,MATCH(H672,Settings!$G$5:$G$47,0))&amp;"-"&amp;TEXT(B672,"yymmdd")&amp;"-"&amp;IF(C672="","0000",TEXT(C672,"hhmm")),"CHECK LISTS"))</f>
        <v/>
      </c>
      <c r="B672" s="39"/>
      <c r="C672" s="40"/>
      <c r="D672" s="24" t="str">
        <f aca="false">IF(B672="","",TEXT(B672,"ddd"))</f>
        <v/>
      </c>
      <c r="E672" s="27" t="str">
        <f aca="false">IF(B672="","",B672-WEEKDAY(B672,3))</f>
        <v/>
      </c>
      <c r="F672" s="24" t="str">
        <f aca="false">IF(B672="","",TEXT(B672,"yyyy-mm"))</f>
        <v/>
      </c>
      <c r="G672" s="29"/>
      <c r="H672" s="29"/>
      <c r="I672" s="29"/>
      <c r="J672" s="29"/>
      <c r="K672" s="29"/>
      <c r="L672" s="29"/>
      <c r="M672" s="29"/>
      <c r="N672" s="29"/>
      <c r="O672" s="29"/>
      <c r="P672" s="29"/>
      <c r="Q672" s="30"/>
      <c r="R672" s="29"/>
      <c r="S672" s="32"/>
      <c r="T672" s="29"/>
      <c r="U672" s="29"/>
      <c r="V672" s="24" t="str">
        <f aca="false">IF(A672="","",IFERROR(INDEX(Settings!$F$5:$F$49,MATCH(G672,Settings!$D$5:$D$49,0)),""))</f>
        <v/>
      </c>
      <c r="W672" s="24" t="str">
        <f aca="false">IF(A672="","",IF(OR(P672="",P672="Organic"),"social","paid_social"))</f>
        <v/>
      </c>
      <c r="X672" s="24" t="str">
        <f aca="false">IF(A672="","",IF(K672&lt;&gt;"",IFERROR(INDEX('Case Studies'!$C$5:$C$54,MATCH(K672,'Case Studies'!$B$5:$B$54,0))&amp;"","case-study"),IF(J672&lt;&gt;"",IFERROR(INDEX(Settings!$J$5:$J$55,MATCH(J672,Settings!$I$5:$I$55,0)),"general"),"general")))</f>
        <v/>
      </c>
      <c r="Y672" s="24" t="str">
        <f aca="false">IF(A672="","",LOWER(A672))</f>
        <v/>
      </c>
      <c r="Z672" s="24" t="str">
        <f aca="false">IF(A672="","",IF(T672="",Settings!$B$5,T672)&amp;IF(ISNUMBER(FIND("?",IF(T672="",Settings!$B$5,T672))),"&amp;","?")&amp;"utm_source="&amp;V672&amp;"&amp;utm_medium="&amp;W672&amp;"&amp;utm_campaign="&amp;X672&amp;"&amp;utm_content="&amp;Y672)</f>
        <v/>
      </c>
      <c r="AA672" s="29"/>
      <c r="AB672" s="39"/>
      <c r="AC672" s="32"/>
      <c r="AD672" s="32"/>
      <c r="AE672" s="32"/>
      <c r="AF672" s="32"/>
      <c r="AG672" s="32"/>
      <c r="AH672" s="32"/>
      <c r="AI672" s="32"/>
      <c r="AJ672" s="32"/>
      <c r="AK672" s="32"/>
      <c r="AL672" s="32"/>
      <c r="AM672" s="32"/>
      <c r="AN672" s="32"/>
      <c r="AO672" s="33" t="str">
        <f aca="false">IF(A672="","",IF(AD672&lt;&gt;"",AD672,IF(AC672&lt;&gt;"",AC672,"")))</f>
        <v/>
      </c>
      <c r="AP672" s="24" t="str">
        <f aca="false">IF(AO672="","",IF(AD672&lt;&gt;"","Reported reach","Impressions (proxy)"))</f>
        <v/>
      </c>
      <c r="AQ672" s="34" t="str">
        <f aca="false">IF(OR(AO672="",N(S672)=0),"",AO672/S672)</f>
        <v/>
      </c>
      <c r="AR672" s="33" t="str">
        <f aca="false">IF(A672="","",IF(COUNT(AF672:AJ672)=0,"",SUM(AF672:AJ672)))</f>
        <v/>
      </c>
      <c r="AS672" s="34" t="str">
        <f aca="false">IF(OR(AR672="",N(AO672)=0),"",AR672/AO672)</f>
        <v/>
      </c>
      <c r="AT672" s="34" t="str">
        <f aca="false">IF(OR(AR672="",N(AC672)=0),"",AR672/AC672)</f>
        <v/>
      </c>
      <c r="AU672" s="34" t="str">
        <f aca="false">IF(OR(AR672="",N(S672)=0),"",AR672/S672)</f>
        <v/>
      </c>
      <c r="AV672" s="34" t="str">
        <f aca="false">IF(OR(AJ672="",N(AC672)=0),"",AJ672/AC672)</f>
        <v/>
      </c>
      <c r="AW672" s="34" t="str">
        <f aca="false">IF(OR(AH672="",N(AO672)=0),"",AH672/AO672)</f>
        <v/>
      </c>
      <c r="AX672" s="35" t="str">
        <f aca="false">IF(OR(AR672="",N(AO672)=0),"",(N(AF672)*Settings!$B$6+N(AG672)*Settings!$B$7+N(AH672)*Settings!$B$8+N(AI672)*Settings!$B$9+N(AJ672)*Settings!$B$10)/AO672*1000)</f>
        <v/>
      </c>
      <c r="AY672" s="36" t="str">
        <f aca="false">IF(AS672="","",IFERROR(AS672/AVERAGEIFS('Post Tracker'!$AS$5:$AS$1004,'Post Tracker'!$G$5:$G$1004,G672),""))</f>
        <v/>
      </c>
      <c r="AZ672" s="32"/>
      <c r="BA672" s="32"/>
      <c r="BB672" s="32"/>
      <c r="BC672" s="32"/>
      <c r="BD672" s="33" t="str">
        <f aca="false">IF(A672="","",COUNTIFS('Demo Pipeline'!$Q$5:$Q$504,A672))</f>
        <v/>
      </c>
      <c r="BE672" s="33" t="str">
        <f aca="false">IF(A672="","",COUNTIFS('Demo Pipeline'!$Q$5:$Q$504,A672,'Demo Pipeline'!$W$5:$W$504,"Attended"))</f>
        <v/>
      </c>
      <c r="BF672" s="33" t="str">
        <f aca="false">IF(A672="","",COUNTIFS('Demo Pipeline'!$Q$5:$Q$504,A672,'Demo Pipeline'!$X$5:$X$504,"Yes"))</f>
        <v/>
      </c>
      <c r="BG672" s="33" t="str">
        <f aca="false">IF(A672="","",COUNTIFS('Demo Pipeline'!$Q$5:$Q$504,A672,'Demo Pipeline'!$Y$5:$Y$504,"Closed Won"))</f>
        <v/>
      </c>
      <c r="BH672" s="37" t="str">
        <f aca="false">IF(A672="","",SUMIFS('Demo Pipeline'!$Z$5:$Z$504,'Demo Pipeline'!$Q$5:$Q$504,A672))</f>
        <v/>
      </c>
      <c r="BI672" s="34" t="str">
        <f aca="false">IF(OR(AZ672="",N(AJ672)=0),"",AZ672/AJ672)</f>
        <v/>
      </c>
      <c r="BJ672" s="34" t="str">
        <f aca="false">IF(OR(BB672="",N(AZ672)=0),"",BB672/AZ672)</f>
        <v/>
      </c>
      <c r="BK672" s="34" t="str">
        <f aca="false">IF(OR(A672="",N(BB672)=0),"",BD672/BB672)</f>
        <v/>
      </c>
      <c r="BL672" s="34" t="str">
        <f aca="false">IF(OR(A672="",N(AZ672)=0),"",BD672/AZ672)</f>
        <v/>
      </c>
      <c r="BM672" s="37" t="str">
        <f aca="false">IF(OR(N(Q672)=0,N(BD672)=0),"",Q672/BD672)</f>
        <v/>
      </c>
      <c r="BN672" s="29"/>
      <c r="BO672" s="29"/>
      <c r="BP672" s="33" t="str">
        <f aca="false">IF(OR(AR672="",N(AO672)=0),"",AR672)</f>
        <v/>
      </c>
      <c r="BQ672" s="33" t="str">
        <f aca="false">IF(OR(AR672="",N(S672)=0),"",S672)</f>
        <v/>
      </c>
      <c r="BR672" s="38" t="str">
        <f aca="false">IF(AND(ISNUMBER(B672),B672&gt;=Dashboard!$C$4,B672&lt;=Dashboard!$F$4,ISNUMBER(AU672)),AU672+ROW()/10^9,"")</f>
        <v/>
      </c>
      <c r="BS672" s="38" t="str">
        <f aca="false">IF(AND(ISNUMBER(B672),B672&gt;=Dashboard!$C$4,B672&lt;=Dashboard!$F$4,A672&lt;&gt;""),N(BD672)+N(AU672)/100+ROW()/10^9,"")</f>
        <v/>
      </c>
    </row>
    <row r="673" customFormat="false" ht="15" hidden="false" customHeight="false" outlineLevel="0" collapsed="false">
      <c r="A673" s="24" t="str">
        <f aca="false">IF(OR(B673="",G673="",H673=""),"",IFERROR(INDEX(Settings!$E$5:$E$49,MATCH(G673,Settings!$D$5:$D$49,0))&amp;INDEX(Settings!$H$5:$H$47,MATCH(H673,Settings!$G$5:$G$47,0))&amp;"-"&amp;TEXT(B673,"yymmdd")&amp;"-"&amp;IF(C673="","0000",TEXT(C673,"hhmm")),"CHECK LISTS"))</f>
        <v/>
      </c>
      <c r="B673" s="39"/>
      <c r="C673" s="40"/>
      <c r="D673" s="24" t="str">
        <f aca="false">IF(B673="","",TEXT(B673,"ddd"))</f>
        <v/>
      </c>
      <c r="E673" s="27" t="str">
        <f aca="false">IF(B673="","",B673-WEEKDAY(B673,3))</f>
        <v/>
      </c>
      <c r="F673" s="24" t="str">
        <f aca="false">IF(B673="","",TEXT(B673,"yyyy-mm"))</f>
        <v/>
      </c>
      <c r="G673" s="29"/>
      <c r="H673" s="29"/>
      <c r="I673" s="29"/>
      <c r="J673" s="29"/>
      <c r="K673" s="29"/>
      <c r="L673" s="29"/>
      <c r="M673" s="29"/>
      <c r="N673" s="29"/>
      <c r="O673" s="29"/>
      <c r="P673" s="29"/>
      <c r="Q673" s="30"/>
      <c r="R673" s="29"/>
      <c r="S673" s="32"/>
      <c r="T673" s="29"/>
      <c r="U673" s="29"/>
      <c r="V673" s="24" t="str">
        <f aca="false">IF(A673="","",IFERROR(INDEX(Settings!$F$5:$F$49,MATCH(G673,Settings!$D$5:$D$49,0)),""))</f>
        <v/>
      </c>
      <c r="W673" s="24" t="str">
        <f aca="false">IF(A673="","",IF(OR(P673="",P673="Organic"),"social","paid_social"))</f>
        <v/>
      </c>
      <c r="X673" s="24" t="str">
        <f aca="false">IF(A673="","",IF(K673&lt;&gt;"",IFERROR(INDEX('Case Studies'!$C$5:$C$54,MATCH(K673,'Case Studies'!$B$5:$B$54,0))&amp;"","case-study"),IF(J673&lt;&gt;"",IFERROR(INDEX(Settings!$J$5:$J$55,MATCH(J673,Settings!$I$5:$I$55,0)),"general"),"general")))</f>
        <v/>
      </c>
      <c r="Y673" s="24" t="str">
        <f aca="false">IF(A673="","",LOWER(A673))</f>
        <v/>
      </c>
      <c r="Z673" s="24" t="str">
        <f aca="false">IF(A673="","",IF(T673="",Settings!$B$5,T673)&amp;IF(ISNUMBER(FIND("?",IF(T673="",Settings!$B$5,T673))),"&amp;","?")&amp;"utm_source="&amp;V673&amp;"&amp;utm_medium="&amp;W673&amp;"&amp;utm_campaign="&amp;X673&amp;"&amp;utm_content="&amp;Y673)</f>
        <v/>
      </c>
      <c r="AA673" s="29"/>
      <c r="AB673" s="39"/>
      <c r="AC673" s="32"/>
      <c r="AD673" s="32"/>
      <c r="AE673" s="32"/>
      <c r="AF673" s="32"/>
      <c r="AG673" s="32"/>
      <c r="AH673" s="32"/>
      <c r="AI673" s="32"/>
      <c r="AJ673" s="32"/>
      <c r="AK673" s="32"/>
      <c r="AL673" s="32"/>
      <c r="AM673" s="32"/>
      <c r="AN673" s="32"/>
      <c r="AO673" s="33" t="str">
        <f aca="false">IF(A673="","",IF(AD673&lt;&gt;"",AD673,IF(AC673&lt;&gt;"",AC673,"")))</f>
        <v/>
      </c>
      <c r="AP673" s="24" t="str">
        <f aca="false">IF(AO673="","",IF(AD673&lt;&gt;"","Reported reach","Impressions (proxy)"))</f>
        <v/>
      </c>
      <c r="AQ673" s="34" t="str">
        <f aca="false">IF(OR(AO673="",N(S673)=0),"",AO673/S673)</f>
        <v/>
      </c>
      <c r="AR673" s="33" t="str">
        <f aca="false">IF(A673="","",IF(COUNT(AF673:AJ673)=0,"",SUM(AF673:AJ673)))</f>
        <v/>
      </c>
      <c r="AS673" s="34" t="str">
        <f aca="false">IF(OR(AR673="",N(AO673)=0),"",AR673/AO673)</f>
        <v/>
      </c>
      <c r="AT673" s="34" t="str">
        <f aca="false">IF(OR(AR673="",N(AC673)=0),"",AR673/AC673)</f>
        <v/>
      </c>
      <c r="AU673" s="34" t="str">
        <f aca="false">IF(OR(AR673="",N(S673)=0),"",AR673/S673)</f>
        <v/>
      </c>
      <c r="AV673" s="34" t="str">
        <f aca="false">IF(OR(AJ673="",N(AC673)=0),"",AJ673/AC673)</f>
        <v/>
      </c>
      <c r="AW673" s="34" t="str">
        <f aca="false">IF(OR(AH673="",N(AO673)=0),"",AH673/AO673)</f>
        <v/>
      </c>
      <c r="AX673" s="35" t="str">
        <f aca="false">IF(OR(AR673="",N(AO673)=0),"",(N(AF673)*Settings!$B$6+N(AG673)*Settings!$B$7+N(AH673)*Settings!$B$8+N(AI673)*Settings!$B$9+N(AJ673)*Settings!$B$10)/AO673*1000)</f>
        <v/>
      </c>
      <c r="AY673" s="36" t="str">
        <f aca="false">IF(AS673="","",IFERROR(AS673/AVERAGEIFS('Post Tracker'!$AS$5:$AS$1004,'Post Tracker'!$G$5:$G$1004,G673),""))</f>
        <v/>
      </c>
      <c r="AZ673" s="32"/>
      <c r="BA673" s="32"/>
      <c r="BB673" s="32"/>
      <c r="BC673" s="32"/>
      <c r="BD673" s="33" t="str">
        <f aca="false">IF(A673="","",COUNTIFS('Demo Pipeline'!$Q$5:$Q$504,A673))</f>
        <v/>
      </c>
      <c r="BE673" s="33" t="str">
        <f aca="false">IF(A673="","",COUNTIFS('Demo Pipeline'!$Q$5:$Q$504,A673,'Demo Pipeline'!$W$5:$W$504,"Attended"))</f>
        <v/>
      </c>
      <c r="BF673" s="33" t="str">
        <f aca="false">IF(A673="","",COUNTIFS('Demo Pipeline'!$Q$5:$Q$504,A673,'Demo Pipeline'!$X$5:$X$504,"Yes"))</f>
        <v/>
      </c>
      <c r="BG673" s="33" t="str">
        <f aca="false">IF(A673="","",COUNTIFS('Demo Pipeline'!$Q$5:$Q$504,A673,'Demo Pipeline'!$Y$5:$Y$504,"Closed Won"))</f>
        <v/>
      </c>
      <c r="BH673" s="37" t="str">
        <f aca="false">IF(A673="","",SUMIFS('Demo Pipeline'!$Z$5:$Z$504,'Demo Pipeline'!$Q$5:$Q$504,A673))</f>
        <v/>
      </c>
      <c r="BI673" s="34" t="str">
        <f aca="false">IF(OR(AZ673="",N(AJ673)=0),"",AZ673/AJ673)</f>
        <v/>
      </c>
      <c r="BJ673" s="34" t="str">
        <f aca="false">IF(OR(BB673="",N(AZ673)=0),"",BB673/AZ673)</f>
        <v/>
      </c>
      <c r="BK673" s="34" t="str">
        <f aca="false">IF(OR(A673="",N(BB673)=0),"",BD673/BB673)</f>
        <v/>
      </c>
      <c r="BL673" s="34" t="str">
        <f aca="false">IF(OR(A673="",N(AZ673)=0),"",BD673/AZ673)</f>
        <v/>
      </c>
      <c r="BM673" s="37" t="str">
        <f aca="false">IF(OR(N(Q673)=0,N(BD673)=0),"",Q673/BD673)</f>
        <v/>
      </c>
      <c r="BN673" s="29"/>
      <c r="BO673" s="29"/>
      <c r="BP673" s="33" t="str">
        <f aca="false">IF(OR(AR673="",N(AO673)=0),"",AR673)</f>
        <v/>
      </c>
      <c r="BQ673" s="33" t="str">
        <f aca="false">IF(OR(AR673="",N(S673)=0),"",S673)</f>
        <v/>
      </c>
      <c r="BR673" s="38" t="str">
        <f aca="false">IF(AND(ISNUMBER(B673),B673&gt;=Dashboard!$C$4,B673&lt;=Dashboard!$F$4,ISNUMBER(AU673)),AU673+ROW()/10^9,"")</f>
        <v/>
      </c>
      <c r="BS673" s="38" t="str">
        <f aca="false">IF(AND(ISNUMBER(B673),B673&gt;=Dashboard!$C$4,B673&lt;=Dashboard!$F$4,A673&lt;&gt;""),N(BD673)+N(AU673)/100+ROW()/10^9,"")</f>
        <v/>
      </c>
    </row>
    <row r="674" customFormat="false" ht="15" hidden="false" customHeight="false" outlineLevel="0" collapsed="false">
      <c r="A674" s="24" t="str">
        <f aca="false">IF(OR(B674="",G674="",H674=""),"",IFERROR(INDEX(Settings!$E$5:$E$49,MATCH(G674,Settings!$D$5:$D$49,0))&amp;INDEX(Settings!$H$5:$H$47,MATCH(H674,Settings!$G$5:$G$47,0))&amp;"-"&amp;TEXT(B674,"yymmdd")&amp;"-"&amp;IF(C674="","0000",TEXT(C674,"hhmm")),"CHECK LISTS"))</f>
        <v/>
      </c>
      <c r="B674" s="39"/>
      <c r="C674" s="40"/>
      <c r="D674" s="24" t="str">
        <f aca="false">IF(B674="","",TEXT(B674,"ddd"))</f>
        <v/>
      </c>
      <c r="E674" s="27" t="str">
        <f aca="false">IF(B674="","",B674-WEEKDAY(B674,3))</f>
        <v/>
      </c>
      <c r="F674" s="24" t="str">
        <f aca="false">IF(B674="","",TEXT(B674,"yyyy-mm"))</f>
        <v/>
      </c>
      <c r="G674" s="29"/>
      <c r="H674" s="29"/>
      <c r="I674" s="29"/>
      <c r="J674" s="29"/>
      <c r="K674" s="29"/>
      <c r="L674" s="29"/>
      <c r="M674" s="29"/>
      <c r="N674" s="29"/>
      <c r="O674" s="29"/>
      <c r="P674" s="29"/>
      <c r="Q674" s="30"/>
      <c r="R674" s="29"/>
      <c r="S674" s="32"/>
      <c r="T674" s="29"/>
      <c r="U674" s="29"/>
      <c r="V674" s="24" t="str">
        <f aca="false">IF(A674="","",IFERROR(INDEX(Settings!$F$5:$F$49,MATCH(G674,Settings!$D$5:$D$49,0)),""))</f>
        <v/>
      </c>
      <c r="W674" s="24" t="str">
        <f aca="false">IF(A674="","",IF(OR(P674="",P674="Organic"),"social","paid_social"))</f>
        <v/>
      </c>
      <c r="X674" s="24" t="str">
        <f aca="false">IF(A674="","",IF(K674&lt;&gt;"",IFERROR(INDEX('Case Studies'!$C$5:$C$54,MATCH(K674,'Case Studies'!$B$5:$B$54,0))&amp;"","case-study"),IF(J674&lt;&gt;"",IFERROR(INDEX(Settings!$J$5:$J$55,MATCH(J674,Settings!$I$5:$I$55,0)),"general"),"general")))</f>
        <v/>
      </c>
      <c r="Y674" s="24" t="str">
        <f aca="false">IF(A674="","",LOWER(A674))</f>
        <v/>
      </c>
      <c r="Z674" s="24" t="str">
        <f aca="false">IF(A674="","",IF(T674="",Settings!$B$5,T674)&amp;IF(ISNUMBER(FIND("?",IF(T674="",Settings!$B$5,T674))),"&amp;","?")&amp;"utm_source="&amp;V674&amp;"&amp;utm_medium="&amp;W674&amp;"&amp;utm_campaign="&amp;X674&amp;"&amp;utm_content="&amp;Y674)</f>
        <v/>
      </c>
      <c r="AA674" s="29"/>
      <c r="AB674" s="39"/>
      <c r="AC674" s="32"/>
      <c r="AD674" s="32"/>
      <c r="AE674" s="32"/>
      <c r="AF674" s="32"/>
      <c r="AG674" s="32"/>
      <c r="AH674" s="32"/>
      <c r="AI674" s="32"/>
      <c r="AJ674" s="32"/>
      <c r="AK674" s="32"/>
      <c r="AL674" s="32"/>
      <c r="AM674" s="32"/>
      <c r="AN674" s="32"/>
      <c r="AO674" s="33" t="str">
        <f aca="false">IF(A674="","",IF(AD674&lt;&gt;"",AD674,IF(AC674&lt;&gt;"",AC674,"")))</f>
        <v/>
      </c>
      <c r="AP674" s="24" t="str">
        <f aca="false">IF(AO674="","",IF(AD674&lt;&gt;"","Reported reach","Impressions (proxy)"))</f>
        <v/>
      </c>
      <c r="AQ674" s="34" t="str">
        <f aca="false">IF(OR(AO674="",N(S674)=0),"",AO674/S674)</f>
        <v/>
      </c>
      <c r="AR674" s="33" t="str">
        <f aca="false">IF(A674="","",IF(COUNT(AF674:AJ674)=0,"",SUM(AF674:AJ674)))</f>
        <v/>
      </c>
      <c r="AS674" s="34" t="str">
        <f aca="false">IF(OR(AR674="",N(AO674)=0),"",AR674/AO674)</f>
        <v/>
      </c>
      <c r="AT674" s="34" t="str">
        <f aca="false">IF(OR(AR674="",N(AC674)=0),"",AR674/AC674)</f>
        <v/>
      </c>
      <c r="AU674" s="34" t="str">
        <f aca="false">IF(OR(AR674="",N(S674)=0),"",AR674/S674)</f>
        <v/>
      </c>
      <c r="AV674" s="34" t="str">
        <f aca="false">IF(OR(AJ674="",N(AC674)=0),"",AJ674/AC674)</f>
        <v/>
      </c>
      <c r="AW674" s="34" t="str">
        <f aca="false">IF(OR(AH674="",N(AO674)=0),"",AH674/AO674)</f>
        <v/>
      </c>
      <c r="AX674" s="35" t="str">
        <f aca="false">IF(OR(AR674="",N(AO674)=0),"",(N(AF674)*Settings!$B$6+N(AG674)*Settings!$B$7+N(AH674)*Settings!$B$8+N(AI674)*Settings!$B$9+N(AJ674)*Settings!$B$10)/AO674*1000)</f>
        <v/>
      </c>
      <c r="AY674" s="36" t="str">
        <f aca="false">IF(AS674="","",IFERROR(AS674/AVERAGEIFS('Post Tracker'!$AS$5:$AS$1004,'Post Tracker'!$G$5:$G$1004,G674),""))</f>
        <v/>
      </c>
      <c r="AZ674" s="32"/>
      <c r="BA674" s="32"/>
      <c r="BB674" s="32"/>
      <c r="BC674" s="32"/>
      <c r="BD674" s="33" t="str">
        <f aca="false">IF(A674="","",COUNTIFS('Demo Pipeline'!$Q$5:$Q$504,A674))</f>
        <v/>
      </c>
      <c r="BE674" s="33" t="str">
        <f aca="false">IF(A674="","",COUNTIFS('Demo Pipeline'!$Q$5:$Q$504,A674,'Demo Pipeline'!$W$5:$W$504,"Attended"))</f>
        <v/>
      </c>
      <c r="BF674" s="33" t="str">
        <f aca="false">IF(A674="","",COUNTIFS('Demo Pipeline'!$Q$5:$Q$504,A674,'Demo Pipeline'!$X$5:$X$504,"Yes"))</f>
        <v/>
      </c>
      <c r="BG674" s="33" t="str">
        <f aca="false">IF(A674="","",COUNTIFS('Demo Pipeline'!$Q$5:$Q$504,A674,'Demo Pipeline'!$Y$5:$Y$504,"Closed Won"))</f>
        <v/>
      </c>
      <c r="BH674" s="37" t="str">
        <f aca="false">IF(A674="","",SUMIFS('Demo Pipeline'!$Z$5:$Z$504,'Demo Pipeline'!$Q$5:$Q$504,A674))</f>
        <v/>
      </c>
      <c r="BI674" s="34" t="str">
        <f aca="false">IF(OR(AZ674="",N(AJ674)=0),"",AZ674/AJ674)</f>
        <v/>
      </c>
      <c r="BJ674" s="34" t="str">
        <f aca="false">IF(OR(BB674="",N(AZ674)=0),"",BB674/AZ674)</f>
        <v/>
      </c>
      <c r="BK674" s="34" t="str">
        <f aca="false">IF(OR(A674="",N(BB674)=0),"",BD674/BB674)</f>
        <v/>
      </c>
      <c r="BL674" s="34" t="str">
        <f aca="false">IF(OR(A674="",N(AZ674)=0),"",BD674/AZ674)</f>
        <v/>
      </c>
      <c r="BM674" s="37" t="str">
        <f aca="false">IF(OR(N(Q674)=0,N(BD674)=0),"",Q674/BD674)</f>
        <v/>
      </c>
      <c r="BN674" s="29"/>
      <c r="BO674" s="29"/>
      <c r="BP674" s="33" t="str">
        <f aca="false">IF(OR(AR674="",N(AO674)=0),"",AR674)</f>
        <v/>
      </c>
      <c r="BQ674" s="33" t="str">
        <f aca="false">IF(OR(AR674="",N(S674)=0),"",S674)</f>
        <v/>
      </c>
      <c r="BR674" s="38" t="str">
        <f aca="false">IF(AND(ISNUMBER(B674),B674&gt;=Dashboard!$C$4,B674&lt;=Dashboard!$F$4,ISNUMBER(AU674)),AU674+ROW()/10^9,"")</f>
        <v/>
      </c>
      <c r="BS674" s="38" t="str">
        <f aca="false">IF(AND(ISNUMBER(B674),B674&gt;=Dashboard!$C$4,B674&lt;=Dashboard!$F$4,A674&lt;&gt;""),N(BD674)+N(AU674)/100+ROW()/10^9,"")</f>
        <v/>
      </c>
    </row>
    <row r="675" customFormat="false" ht="15" hidden="false" customHeight="false" outlineLevel="0" collapsed="false">
      <c r="A675" s="24" t="str">
        <f aca="false">IF(OR(B675="",G675="",H675=""),"",IFERROR(INDEX(Settings!$E$5:$E$49,MATCH(G675,Settings!$D$5:$D$49,0))&amp;INDEX(Settings!$H$5:$H$47,MATCH(H675,Settings!$G$5:$G$47,0))&amp;"-"&amp;TEXT(B675,"yymmdd")&amp;"-"&amp;IF(C675="","0000",TEXT(C675,"hhmm")),"CHECK LISTS"))</f>
        <v/>
      </c>
      <c r="B675" s="39"/>
      <c r="C675" s="40"/>
      <c r="D675" s="24" t="str">
        <f aca="false">IF(B675="","",TEXT(B675,"ddd"))</f>
        <v/>
      </c>
      <c r="E675" s="27" t="str">
        <f aca="false">IF(B675="","",B675-WEEKDAY(B675,3))</f>
        <v/>
      </c>
      <c r="F675" s="24" t="str">
        <f aca="false">IF(B675="","",TEXT(B675,"yyyy-mm"))</f>
        <v/>
      </c>
      <c r="G675" s="29"/>
      <c r="H675" s="29"/>
      <c r="I675" s="29"/>
      <c r="J675" s="29"/>
      <c r="K675" s="29"/>
      <c r="L675" s="29"/>
      <c r="M675" s="29"/>
      <c r="N675" s="29"/>
      <c r="O675" s="29"/>
      <c r="P675" s="29"/>
      <c r="Q675" s="30"/>
      <c r="R675" s="29"/>
      <c r="S675" s="32"/>
      <c r="T675" s="29"/>
      <c r="U675" s="29"/>
      <c r="V675" s="24" t="str">
        <f aca="false">IF(A675="","",IFERROR(INDEX(Settings!$F$5:$F$49,MATCH(G675,Settings!$D$5:$D$49,0)),""))</f>
        <v/>
      </c>
      <c r="W675" s="24" t="str">
        <f aca="false">IF(A675="","",IF(OR(P675="",P675="Organic"),"social","paid_social"))</f>
        <v/>
      </c>
      <c r="X675" s="24" t="str">
        <f aca="false">IF(A675="","",IF(K675&lt;&gt;"",IFERROR(INDEX('Case Studies'!$C$5:$C$54,MATCH(K675,'Case Studies'!$B$5:$B$54,0))&amp;"","case-study"),IF(J675&lt;&gt;"",IFERROR(INDEX(Settings!$J$5:$J$55,MATCH(J675,Settings!$I$5:$I$55,0)),"general"),"general")))</f>
        <v/>
      </c>
      <c r="Y675" s="24" t="str">
        <f aca="false">IF(A675="","",LOWER(A675))</f>
        <v/>
      </c>
      <c r="Z675" s="24" t="str">
        <f aca="false">IF(A675="","",IF(T675="",Settings!$B$5,T675)&amp;IF(ISNUMBER(FIND("?",IF(T675="",Settings!$B$5,T675))),"&amp;","?")&amp;"utm_source="&amp;V675&amp;"&amp;utm_medium="&amp;W675&amp;"&amp;utm_campaign="&amp;X675&amp;"&amp;utm_content="&amp;Y675)</f>
        <v/>
      </c>
      <c r="AA675" s="29"/>
      <c r="AB675" s="39"/>
      <c r="AC675" s="32"/>
      <c r="AD675" s="32"/>
      <c r="AE675" s="32"/>
      <c r="AF675" s="32"/>
      <c r="AG675" s="32"/>
      <c r="AH675" s="32"/>
      <c r="AI675" s="32"/>
      <c r="AJ675" s="32"/>
      <c r="AK675" s="32"/>
      <c r="AL675" s="32"/>
      <c r="AM675" s="32"/>
      <c r="AN675" s="32"/>
      <c r="AO675" s="33" t="str">
        <f aca="false">IF(A675="","",IF(AD675&lt;&gt;"",AD675,IF(AC675&lt;&gt;"",AC675,"")))</f>
        <v/>
      </c>
      <c r="AP675" s="24" t="str">
        <f aca="false">IF(AO675="","",IF(AD675&lt;&gt;"","Reported reach","Impressions (proxy)"))</f>
        <v/>
      </c>
      <c r="AQ675" s="34" t="str">
        <f aca="false">IF(OR(AO675="",N(S675)=0),"",AO675/S675)</f>
        <v/>
      </c>
      <c r="AR675" s="33" t="str">
        <f aca="false">IF(A675="","",IF(COUNT(AF675:AJ675)=0,"",SUM(AF675:AJ675)))</f>
        <v/>
      </c>
      <c r="AS675" s="34" t="str">
        <f aca="false">IF(OR(AR675="",N(AO675)=0),"",AR675/AO675)</f>
        <v/>
      </c>
      <c r="AT675" s="34" t="str">
        <f aca="false">IF(OR(AR675="",N(AC675)=0),"",AR675/AC675)</f>
        <v/>
      </c>
      <c r="AU675" s="34" t="str">
        <f aca="false">IF(OR(AR675="",N(S675)=0),"",AR675/S675)</f>
        <v/>
      </c>
      <c r="AV675" s="34" t="str">
        <f aca="false">IF(OR(AJ675="",N(AC675)=0),"",AJ675/AC675)</f>
        <v/>
      </c>
      <c r="AW675" s="34" t="str">
        <f aca="false">IF(OR(AH675="",N(AO675)=0),"",AH675/AO675)</f>
        <v/>
      </c>
      <c r="AX675" s="35" t="str">
        <f aca="false">IF(OR(AR675="",N(AO675)=0),"",(N(AF675)*Settings!$B$6+N(AG675)*Settings!$B$7+N(AH675)*Settings!$B$8+N(AI675)*Settings!$B$9+N(AJ675)*Settings!$B$10)/AO675*1000)</f>
        <v/>
      </c>
      <c r="AY675" s="36" t="str">
        <f aca="false">IF(AS675="","",IFERROR(AS675/AVERAGEIFS('Post Tracker'!$AS$5:$AS$1004,'Post Tracker'!$G$5:$G$1004,G675),""))</f>
        <v/>
      </c>
      <c r="AZ675" s="32"/>
      <c r="BA675" s="32"/>
      <c r="BB675" s="32"/>
      <c r="BC675" s="32"/>
      <c r="BD675" s="33" t="str">
        <f aca="false">IF(A675="","",COUNTIFS('Demo Pipeline'!$Q$5:$Q$504,A675))</f>
        <v/>
      </c>
      <c r="BE675" s="33" t="str">
        <f aca="false">IF(A675="","",COUNTIFS('Demo Pipeline'!$Q$5:$Q$504,A675,'Demo Pipeline'!$W$5:$W$504,"Attended"))</f>
        <v/>
      </c>
      <c r="BF675" s="33" t="str">
        <f aca="false">IF(A675="","",COUNTIFS('Demo Pipeline'!$Q$5:$Q$504,A675,'Demo Pipeline'!$X$5:$X$504,"Yes"))</f>
        <v/>
      </c>
      <c r="BG675" s="33" t="str">
        <f aca="false">IF(A675="","",COUNTIFS('Demo Pipeline'!$Q$5:$Q$504,A675,'Demo Pipeline'!$Y$5:$Y$504,"Closed Won"))</f>
        <v/>
      </c>
      <c r="BH675" s="37" t="str">
        <f aca="false">IF(A675="","",SUMIFS('Demo Pipeline'!$Z$5:$Z$504,'Demo Pipeline'!$Q$5:$Q$504,A675))</f>
        <v/>
      </c>
      <c r="BI675" s="34" t="str">
        <f aca="false">IF(OR(AZ675="",N(AJ675)=0),"",AZ675/AJ675)</f>
        <v/>
      </c>
      <c r="BJ675" s="34" t="str">
        <f aca="false">IF(OR(BB675="",N(AZ675)=0),"",BB675/AZ675)</f>
        <v/>
      </c>
      <c r="BK675" s="34" t="str">
        <f aca="false">IF(OR(A675="",N(BB675)=0),"",BD675/BB675)</f>
        <v/>
      </c>
      <c r="BL675" s="34" t="str">
        <f aca="false">IF(OR(A675="",N(AZ675)=0),"",BD675/AZ675)</f>
        <v/>
      </c>
      <c r="BM675" s="37" t="str">
        <f aca="false">IF(OR(N(Q675)=0,N(BD675)=0),"",Q675/BD675)</f>
        <v/>
      </c>
      <c r="BN675" s="29"/>
      <c r="BO675" s="29"/>
      <c r="BP675" s="33" t="str">
        <f aca="false">IF(OR(AR675="",N(AO675)=0),"",AR675)</f>
        <v/>
      </c>
      <c r="BQ675" s="33" t="str">
        <f aca="false">IF(OR(AR675="",N(S675)=0),"",S675)</f>
        <v/>
      </c>
      <c r="BR675" s="38" t="str">
        <f aca="false">IF(AND(ISNUMBER(B675),B675&gt;=Dashboard!$C$4,B675&lt;=Dashboard!$F$4,ISNUMBER(AU675)),AU675+ROW()/10^9,"")</f>
        <v/>
      </c>
      <c r="BS675" s="38" t="str">
        <f aca="false">IF(AND(ISNUMBER(B675),B675&gt;=Dashboard!$C$4,B675&lt;=Dashboard!$F$4,A675&lt;&gt;""),N(BD675)+N(AU675)/100+ROW()/10^9,"")</f>
        <v/>
      </c>
    </row>
    <row r="676" customFormat="false" ht="15" hidden="false" customHeight="false" outlineLevel="0" collapsed="false">
      <c r="A676" s="24" t="str">
        <f aca="false">IF(OR(B676="",G676="",H676=""),"",IFERROR(INDEX(Settings!$E$5:$E$49,MATCH(G676,Settings!$D$5:$D$49,0))&amp;INDEX(Settings!$H$5:$H$47,MATCH(H676,Settings!$G$5:$G$47,0))&amp;"-"&amp;TEXT(B676,"yymmdd")&amp;"-"&amp;IF(C676="","0000",TEXT(C676,"hhmm")),"CHECK LISTS"))</f>
        <v/>
      </c>
      <c r="B676" s="39"/>
      <c r="C676" s="40"/>
      <c r="D676" s="24" t="str">
        <f aca="false">IF(B676="","",TEXT(B676,"ddd"))</f>
        <v/>
      </c>
      <c r="E676" s="27" t="str">
        <f aca="false">IF(B676="","",B676-WEEKDAY(B676,3))</f>
        <v/>
      </c>
      <c r="F676" s="24" t="str">
        <f aca="false">IF(B676="","",TEXT(B676,"yyyy-mm"))</f>
        <v/>
      </c>
      <c r="G676" s="29"/>
      <c r="H676" s="29"/>
      <c r="I676" s="29"/>
      <c r="J676" s="29"/>
      <c r="K676" s="29"/>
      <c r="L676" s="29"/>
      <c r="M676" s="29"/>
      <c r="N676" s="29"/>
      <c r="O676" s="29"/>
      <c r="P676" s="29"/>
      <c r="Q676" s="30"/>
      <c r="R676" s="29"/>
      <c r="S676" s="32"/>
      <c r="T676" s="29"/>
      <c r="U676" s="29"/>
      <c r="V676" s="24" t="str">
        <f aca="false">IF(A676="","",IFERROR(INDEX(Settings!$F$5:$F$49,MATCH(G676,Settings!$D$5:$D$49,0)),""))</f>
        <v/>
      </c>
      <c r="W676" s="24" t="str">
        <f aca="false">IF(A676="","",IF(OR(P676="",P676="Organic"),"social","paid_social"))</f>
        <v/>
      </c>
      <c r="X676" s="24" t="str">
        <f aca="false">IF(A676="","",IF(K676&lt;&gt;"",IFERROR(INDEX('Case Studies'!$C$5:$C$54,MATCH(K676,'Case Studies'!$B$5:$B$54,0))&amp;"","case-study"),IF(J676&lt;&gt;"",IFERROR(INDEX(Settings!$J$5:$J$55,MATCH(J676,Settings!$I$5:$I$55,0)),"general"),"general")))</f>
        <v/>
      </c>
      <c r="Y676" s="24" t="str">
        <f aca="false">IF(A676="","",LOWER(A676))</f>
        <v/>
      </c>
      <c r="Z676" s="24" t="str">
        <f aca="false">IF(A676="","",IF(T676="",Settings!$B$5,T676)&amp;IF(ISNUMBER(FIND("?",IF(T676="",Settings!$B$5,T676))),"&amp;","?")&amp;"utm_source="&amp;V676&amp;"&amp;utm_medium="&amp;W676&amp;"&amp;utm_campaign="&amp;X676&amp;"&amp;utm_content="&amp;Y676)</f>
        <v/>
      </c>
      <c r="AA676" s="29"/>
      <c r="AB676" s="39"/>
      <c r="AC676" s="32"/>
      <c r="AD676" s="32"/>
      <c r="AE676" s="32"/>
      <c r="AF676" s="32"/>
      <c r="AG676" s="32"/>
      <c r="AH676" s="32"/>
      <c r="AI676" s="32"/>
      <c r="AJ676" s="32"/>
      <c r="AK676" s="32"/>
      <c r="AL676" s="32"/>
      <c r="AM676" s="32"/>
      <c r="AN676" s="32"/>
      <c r="AO676" s="33" t="str">
        <f aca="false">IF(A676="","",IF(AD676&lt;&gt;"",AD676,IF(AC676&lt;&gt;"",AC676,"")))</f>
        <v/>
      </c>
      <c r="AP676" s="24" t="str">
        <f aca="false">IF(AO676="","",IF(AD676&lt;&gt;"","Reported reach","Impressions (proxy)"))</f>
        <v/>
      </c>
      <c r="AQ676" s="34" t="str">
        <f aca="false">IF(OR(AO676="",N(S676)=0),"",AO676/S676)</f>
        <v/>
      </c>
      <c r="AR676" s="33" t="str">
        <f aca="false">IF(A676="","",IF(COUNT(AF676:AJ676)=0,"",SUM(AF676:AJ676)))</f>
        <v/>
      </c>
      <c r="AS676" s="34" t="str">
        <f aca="false">IF(OR(AR676="",N(AO676)=0),"",AR676/AO676)</f>
        <v/>
      </c>
      <c r="AT676" s="34" t="str">
        <f aca="false">IF(OR(AR676="",N(AC676)=0),"",AR676/AC676)</f>
        <v/>
      </c>
      <c r="AU676" s="34" t="str">
        <f aca="false">IF(OR(AR676="",N(S676)=0),"",AR676/S676)</f>
        <v/>
      </c>
      <c r="AV676" s="34" t="str">
        <f aca="false">IF(OR(AJ676="",N(AC676)=0),"",AJ676/AC676)</f>
        <v/>
      </c>
      <c r="AW676" s="34" t="str">
        <f aca="false">IF(OR(AH676="",N(AO676)=0),"",AH676/AO676)</f>
        <v/>
      </c>
      <c r="AX676" s="35" t="str">
        <f aca="false">IF(OR(AR676="",N(AO676)=0),"",(N(AF676)*Settings!$B$6+N(AG676)*Settings!$B$7+N(AH676)*Settings!$B$8+N(AI676)*Settings!$B$9+N(AJ676)*Settings!$B$10)/AO676*1000)</f>
        <v/>
      </c>
      <c r="AY676" s="36" t="str">
        <f aca="false">IF(AS676="","",IFERROR(AS676/AVERAGEIFS('Post Tracker'!$AS$5:$AS$1004,'Post Tracker'!$G$5:$G$1004,G676),""))</f>
        <v/>
      </c>
      <c r="AZ676" s="32"/>
      <c r="BA676" s="32"/>
      <c r="BB676" s="32"/>
      <c r="BC676" s="32"/>
      <c r="BD676" s="33" t="str">
        <f aca="false">IF(A676="","",COUNTIFS('Demo Pipeline'!$Q$5:$Q$504,A676))</f>
        <v/>
      </c>
      <c r="BE676" s="33" t="str">
        <f aca="false">IF(A676="","",COUNTIFS('Demo Pipeline'!$Q$5:$Q$504,A676,'Demo Pipeline'!$W$5:$W$504,"Attended"))</f>
        <v/>
      </c>
      <c r="BF676" s="33" t="str">
        <f aca="false">IF(A676="","",COUNTIFS('Demo Pipeline'!$Q$5:$Q$504,A676,'Demo Pipeline'!$X$5:$X$504,"Yes"))</f>
        <v/>
      </c>
      <c r="BG676" s="33" t="str">
        <f aca="false">IF(A676="","",COUNTIFS('Demo Pipeline'!$Q$5:$Q$504,A676,'Demo Pipeline'!$Y$5:$Y$504,"Closed Won"))</f>
        <v/>
      </c>
      <c r="BH676" s="37" t="str">
        <f aca="false">IF(A676="","",SUMIFS('Demo Pipeline'!$Z$5:$Z$504,'Demo Pipeline'!$Q$5:$Q$504,A676))</f>
        <v/>
      </c>
      <c r="BI676" s="34" t="str">
        <f aca="false">IF(OR(AZ676="",N(AJ676)=0),"",AZ676/AJ676)</f>
        <v/>
      </c>
      <c r="BJ676" s="34" t="str">
        <f aca="false">IF(OR(BB676="",N(AZ676)=0),"",BB676/AZ676)</f>
        <v/>
      </c>
      <c r="BK676" s="34" t="str">
        <f aca="false">IF(OR(A676="",N(BB676)=0),"",BD676/BB676)</f>
        <v/>
      </c>
      <c r="BL676" s="34" t="str">
        <f aca="false">IF(OR(A676="",N(AZ676)=0),"",BD676/AZ676)</f>
        <v/>
      </c>
      <c r="BM676" s="37" t="str">
        <f aca="false">IF(OR(N(Q676)=0,N(BD676)=0),"",Q676/BD676)</f>
        <v/>
      </c>
      <c r="BN676" s="29"/>
      <c r="BO676" s="29"/>
      <c r="BP676" s="33" t="str">
        <f aca="false">IF(OR(AR676="",N(AO676)=0),"",AR676)</f>
        <v/>
      </c>
      <c r="BQ676" s="33" t="str">
        <f aca="false">IF(OR(AR676="",N(S676)=0),"",S676)</f>
        <v/>
      </c>
      <c r="BR676" s="38" t="str">
        <f aca="false">IF(AND(ISNUMBER(B676),B676&gt;=Dashboard!$C$4,B676&lt;=Dashboard!$F$4,ISNUMBER(AU676)),AU676+ROW()/10^9,"")</f>
        <v/>
      </c>
      <c r="BS676" s="38" t="str">
        <f aca="false">IF(AND(ISNUMBER(B676),B676&gt;=Dashboard!$C$4,B676&lt;=Dashboard!$F$4,A676&lt;&gt;""),N(BD676)+N(AU676)/100+ROW()/10^9,"")</f>
        <v/>
      </c>
    </row>
    <row r="677" customFormat="false" ht="15" hidden="false" customHeight="false" outlineLevel="0" collapsed="false">
      <c r="A677" s="24" t="str">
        <f aca="false">IF(OR(B677="",G677="",H677=""),"",IFERROR(INDEX(Settings!$E$5:$E$49,MATCH(G677,Settings!$D$5:$D$49,0))&amp;INDEX(Settings!$H$5:$H$47,MATCH(H677,Settings!$G$5:$G$47,0))&amp;"-"&amp;TEXT(B677,"yymmdd")&amp;"-"&amp;IF(C677="","0000",TEXT(C677,"hhmm")),"CHECK LISTS"))</f>
        <v/>
      </c>
      <c r="B677" s="39"/>
      <c r="C677" s="40"/>
      <c r="D677" s="24" t="str">
        <f aca="false">IF(B677="","",TEXT(B677,"ddd"))</f>
        <v/>
      </c>
      <c r="E677" s="27" t="str">
        <f aca="false">IF(B677="","",B677-WEEKDAY(B677,3))</f>
        <v/>
      </c>
      <c r="F677" s="24" t="str">
        <f aca="false">IF(B677="","",TEXT(B677,"yyyy-mm"))</f>
        <v/>
      </c>
      <c r="G677" s="29"/>
      <c r="H677" s="29"/>
      <c r="I677" s="29"/>
      <c r="J677" s="29"/>
      <c r="K677" s="29"/>
      <c r="L677" s="29"/>
      <c r="M677" s="29"/>
      <c r="N677" s="29"/>
      <c r="O677" s="29"/>
      <c r="P677" s="29"/>
      <c r="Q677" s="30"/>
      <c r="R677" s="29"/>
      <c r="S677" s="32"/>
      <c r="T677" s="29"/>
      <c r="U677" s="29"/>
      <c r="V677" s="24" t="str">
        <f aca="false">IF(A677="","",IFERROR(INDEX(Settings!$F$5:$F$49,MATCH(G677,Settings!$D$5:$D$49,0)),""))</f>
        <v/>
      </c>
      <c r="W677" s="24" t="str">
        <f aca="false">IF(A677="","",IF(OR(P677="",P677="Organic"),"social","paid_social"))</f>
        <v/>
      </c>
      <c r="X677" s="24" t="str">
        <f aca="false">IF(A677="","",IF(K677&lt;&gt;"",IFERROR(INDEX('Case Studies'!$C$5:$C$54,MATCH(K677,'Case Studies'!$B$5:$B$54,0))&amp;"","case-study"),IF(J677&lt;&gt;"",IFERROR(INDEX(Settings!$J$5:$J$55,MATCH(J677,Settings!$I$5:$I$55,0)),"general"),"general")))</f>
        <v/>
      </c>
      <c r="Y677" s="24" t="str">
        <f aca="false">IF(A677="","",LOWER(A677))</f>
        <v/>
      </c>
      <c r="Z677" s="24" t="str">
        <f aca="false">IF(A677="","",IF(T677="",Settings!$B$5,T677)&amp;IF(ISNUMBER(FIND("?",IF(T677="",Settings!$B$5,T677))),"&amp;","?")&amp;"utm_source="&amp;V677&amp;"&amp;utm_medium="&amp;W677&amp;"&amp;utm_campaign="&amp;X677&amp;"&amp;utm_content="&amp;Y677)</f>
        <v/>
      </c>
      <c r="AA677" s="29"/>
      <c r="AB677" s="39"/>
      <c r="AC677" s="32"/>
      <c r="AD677" s="32"/>
      <c r="AE677" s="32"/>
      <c r="AF677" s="32"/>
      <c r="AG677" s="32"/>
      <c r="AH677" s="32"/>
      <c r="AI677" s="32"/>
      <c r="AJ677" s="32"/>
      <c r="AK677" s="32"/>
      <c r="AL677" s="32"/>
      <c r="AM677" s="32"/>
      <c r="AN677" s="32"/>
      <c r="AO677" s="33" t="str">
        <f aca="false">IF(A677="","",IF(AD677&lt;&gt;"",AD677,IF(AC677&lt;&gt;"",AC677,"")))</f>
        <v/>
      </c>
      <c r="AP677" s="24" t="str">
        <f aca="false">IF(AO677="","",IF(AD677&lt;&gt;"","Reported reach","Impressions (proxy)"))</f>
        <v/>
      </c>
      <c r="AQ677" s="34" t="str">
        <f aca="false">IF(OR(AO677="",N(S677)=0),"",AO677/S677)</f>
        <v/>
      </c>
      <c r="AR677" s="33" t="str">
        <f aca="false">IF(A677="","",IF(COUNT(AF677:AJ677)=0,"",SUM(AF677:AJ677)))</f>
        <v/>
      </c>
      <c r="AS677" s="34" t="str">
        <f aca="false">IF(OR(AR677="",N(AO677)=0),"",AR677/AO677)</f>
        <v/>
      </c>
      <c r="AT677" s="34" t="str">
        <f aca="false">IF(OR(AR677="",N(AC677)=0),"",AR677/AC677)</f>
        <v/>
      </c>
      <c r="AU677" s="34" t="str">
        <f aca="false">IF(OR(AR677="",N(S677)=0),"",AR677/S677)</f>
        <v/>
      </c>
      <c r="AV677" s="34" t="str">
        <f aca="false">IF(OR(AJ677="",N(AC677)=0),"",AJ677/AC677)</f>
        <v/>
      </c>
      <c r="AW677" s="34" t="str">
        <f aca="false">IF(OR(AH677="",N(AO677)=0),"",AH677/AO677)</f>
        <v/>
      </c>
      <c r="AX677" s="35" t="str">
        <f aca="false">IF(OR(AR677="",N(AO677)=0),"",(N(AF677)*Settings!$B$6+N(AG677)*Settings!$B$7+N(AH677)*Settings!$B$8+N(AI677)*Settings!$B$9+N(AJ677)*Settings!$B$10)/AO677*1000)</f>
        <v/>
      </c>
      <c r="AY677" s="36" t="str">
        <f aca="false">IF(AS677="","",IFERROR(AS677/AVERAGEIFS('Post Tracker'!$AS$5:$AS$1004,'Post Tracker'!$G$5:$G$1004,G677),""))</f>
        <v/>
      </c>
      <c r="AZ677" s="32"/>
      <c r="BA677" s="32"/>
      <c r="BB677" s="32"/>
      <c r="BC677" s="32"/>
      <c r="BD677" s="33" t="str">
        <f aca="false">IF(A677="","",COUNTIFS('Demo Pipeline'!$Q$5:$Q$504,A677))</f>
        <v/>
      </c>
      <c r="BE677" s="33" t="str">
        <f aca="false">IF(A677="","",COUNTIFS('Demo Pipeline'!$Q$5:$Q$504,A677,'Demo Pipeline'!$W$5:$W$504,"Attended"))</f>
        <v/>
      </c>
      <c r="BF677" s="33" t="str">
        <f aca="false">IF(A677="","",COUNTIFS('Demo Pipeline'!$Q$5:$Q$504,A677,'Demo Pipeline'!$X$5:$X$504,"Yes"))</f>
        <v/>
      </c>
      <c r="BG677" s="33" t="str">
        <f aca="false">IF(A677="","",COUNTIFS('Demo Pipeline'!$Q$5:$Q$504,A677,'Demo Pipeline'!$Y$5:$Y$504,"Closed Won"))</f>
        <v/>
      </c>
      <c r="BH677" s="37" t="str">
        <f aca="false">IF(A677="","",SUMIFS('Demo Pipeline'!$Z$5:$Z$504,'Demo Pipeline'!$Q$5:$Q$504,A677))</f>
        <v/>
      </c>
      <c r="BI677" s="34" t="str">
        <f aca="false">IF(OR(AZ677="",N(AJ677)=0),"",AZ677/AJ677)</f>
        <v/>
      </c>
      <c r="BJ677" s="34" t="str">
        <f aca="false">IF(OR(BB677="",N(AZ677)=0),"",BB677/AZ677)</f>
        <v/>
      </c>
      <c r="BK677" s="34" t="str">
        <f aca="false">IF(OR(A677="",N(BB677)=0),"",BD677/BB677)</f>
        <v/>
      </c>
      <c r="BL677" s="34" t="str">
        <f aca="false">IF(OR(A677="",N(AZ677)=0),"",BD677/AZ677)</f>
        <v/>
      </c>
      <c r="BM677" s="37" t="str">
        <f aca="false">IF(OR(N(Q677)=0,N(BD677)=0),"",Q677/BD677)</f>
        <v/>
      </c>
      <c r="BN677" s="29"/>
      <c r="BO677" s="29"/>
      <c r="BP677" s="33" t="str">
        <f aca="false">IF(OR(AR677="",N(AO677)=0),"",AR677)</f>
        <v/>
      </c>
      <c r="BQ677" s="33" t="str">
        <f aca="false">IF(OR(AR677="",N(S677)=0),"",S677)</f>
        <v/>
      </c>
      <c r="BR677" s="38" t="str">
        <f aca="false">IF(AND(ISNUMBER(B677),B677&gt;=Dashboard!$C$4,B677&lt;=Dashboard!$F$4,ISNUMBER(AU677)),AU677+ROW()/10^9,"")</f>
        <v/>
      </c>
      <c r="BS677" s="38" t="str">
        <f aca="false">IF(AND(ISNUMBER(B677),B677&gt;=Dashboard!$C$4,B677&lt;=Dashboard!$F$4,A677&lt;&gt;""),N(BD677)+N(AU677)/100+ROW()/10^9,"")</f>
        <v/>
      </c>
    </row>
    <row r="678" customFormat="false" ht="15" hidden="false" customHeight="false" outlineLevel="0" collapsed="false">
      <c r="A678" s="24" t="str">
        <f aca="false">IF(OR(B678="",G678="",H678=""),"",IFERROR(INDEX(Settings!$E$5:$E$49,MATCH(G678,Settings!$D$5:$D$49,0))&amp;INDEX(Settings!$H$5:$H$47,MATCH(H678,Settings!$G$5:$G$47,0))&amp;"-"&amp;TEXT(B678,"yymmdd")&amp;"-"&amp;IF(C678="","0000",TEXT(C678,"hhmm")),"CHECK LISTS"))</f>
        <v/>
      </c>
      <c r="B678" s="39"/>
      <c r="C678" s="40"/>
      <c r="D678" s="24" t="str">
        <f aca="false">IF(B678="","",TEXT(B678,"ddd"))</f>
        <v/>
      </c>
      <c r="E678" s="27" t="str">
        <f aca="false">IF(B678="","",B678-WEEKDAY(B678,3))</f>
        <v/>
      </c>
      <c r="F678" s="24" t="str">
        <f aca="false">IF(B678="","",TEXT(B678,"yyyy-mm"))</f>
        <v/>
      </c>
      <c r="G678" s="29"/>
      <c r="H678" s="29"/>
      <c r="I678" s="29"/>
      <c r="J678" s="29"/>
      <c r="K678" s="29"/>
      <c r="L678" s="29"/>
      <c r="M678" s="29"/>
      <c r="N678" s="29"/>
      <c r="O678" s="29"/>
      <c r="P678" s="29"/>
      <c r="Q678" s="30"/>
      <c r="R678" s="29"/>
      <c r="S678" s="32"/>
      <c r="T678" s="29"/>
      <c r="U678" s="29"/>
      <c r="V678" s="24" t="str">
        <f aca="false">IF(A678="","",IFERROR(INDEX(Settings!$F$5:$F$49,MATCH(G678,Settings!$D$5:$D$49,0)),""))</f>
        <v/>
      </c>
      <c r="W678" s="24" t="str">
        <f aca="false">IF(A678="","",IF(OR(P678="",P678="Organic"),"social","paid_social"))</f>
        <v/>
      </c>
      <c r="X678" s="24" t="str">
        <f aca="false">IF(A678="","",IF(K678&lt;&gt;"",IFERROR(INDEX('Case Studies'!$C$5:$C$54,MATCH(K678,'Case Studies'!$B$5:$B$54,0))&amp;"","case-study"),IF(J678&lt;&gt;"",IFERROR(INDEX(Settings!$J$5:$J$55,MATCH(J678,Settings!$I$5:$I$55,0)),"general"),"general")))</f>
        <v/>
      </c>
      <c r="Y678" s="24" t="str">
        <f aca="false">IF(A678="","",LOWER(A678))</f>
        <v/>
      </c>
      <c r="Z678" s="24" t="str">
        <f aca="false">IF(A678="","",IF(T678="",Settings!$B$5,T678)&amp;IF(ISNUMBER(FIND("?",IF(T678="",Settings!$B$5,T678))),"&amp;","?")&amp;"utm_source="&amp;V678&amp;"&amp;utm_medium="&amp;W678&amp;"&amp;utm_campaign="&amp;X678&amp;"&amp;utm_content="&amp;Y678)</f>
        <v/>
      </c>
      <c r="AA678" s="29"/>
      <c r="AB678" s="39"/>
      <c r="AC678" s="32"/>
      <c r="AD678" s="32"/>
      <c r="AE678" s="32"/>
      <c r="AF678" s="32"/>
      <c r="AG678" s="32"/>
      <c r="AH678" s="32"/>
      <c r="AI678" s="32"/>
      <c r="AJ678" s="32"/>
      <c r="AK678" s="32"/>
      <c r="AL678" s="32"/>
      <c r="AM678" s="32"/>
      <c r="AN678" s="32"/>
      <c r="AO678" s="33" t="str">
        <f aca="false">IF(A678="","",IF(AD678&lt;&gt;"",AD678,IF(AC678&lt;&gt;"",AC678,"")))</f>
        <v/>
      </c>
      <c r="AP678" s="24" t="str">
        <f aca="false">IF(AO678="","",IF(AD678&lt;&gt;"","Reported reach","Impressions (proxy)"))</f>
        <v/>
      </c>
      <c r="AQ678" s="34" t="str">
        <f aca="false">IF(OR(AO678="",N(S678)=0),"",AO678/S678)</f>
        <v/>
      </c>
      <c r="AR678" s="33" t="str">
        <f aca="false">IF(A678="","",IF(COUNT(AF678:AJ678)=0,"",SUM(AF678:AJ678)))</f>
        <v/>
      </c>
      <c r="AS678" s="34" t="str">
        <f aca="false">IF(OR(AR678="",N(AO678)=0),"",AR678/AO678)</f>
        <v/>
      </c>
      <c r="AT678" s="34" t="str">
        <f aca="false">IF(OR(AR678="",N(AC678)=0),"",AR678/AC678)</f>
        <v/>
      </c>
      <c r="AU678" s="34" t="str">
        <f aca="false">IF(OR(AR678="",N(S678)=0),"",AR678/S678)</f>
        <v/>
      </c>
      <c r="AV678" s="34" t="str">
        <f aca="false">IF(OR(AJ678="",N(AC678)=0),"",AJ678/AC678)</f>
        <v/>
      </c>
      <c r="AW678" s="34" t="str">
        <f aca="false">IF(OR(AH678="",N(AO678)=0),"",AH678/AO678)</f>
        <v/>
      </c>
      <c r="AX678" s="35" t="str">
        <f aca="false">IF(OR(AR678="",N(AO678)=0),"",(N(AF678)*Settings!$B$6+N(AG678)*Settings!$B$7+N(AH678)*Settings!$B$8+N(AI678)*Settings!$B$9+N(AJ678)*Settings!$B$10)/AO678*1000)</f>
        <v/>
      </c>
      <c r="AY678" s="36" t="str">
        <f aca="false">IF(AS678="","",IFERROR(AS678/AVERAGEIFS('Post Tracker'!$AS$5:$AS$1004,'Post Tracker'!$G$5:$G$1004,G678),""))</f>
        <v/>
      </c>
      <c r="AZ678" s="32"/>
      <c r="BA678" s="32"/>
      <c r="BB678" s="32"/>
      <c r="BC678" s="32"/>
      <c r="BD678" s="33" t="str">
        <f aca="false">IF(A678="","",COUNTIFS('Demo Pipeline'!$Q$5:$Q$504,A678))</f>
        <v/>
      </c>
      <c r="BE678" s="33" t="str">
        <f aca="false">IF(A678="","",COUNTIFS('Demo Pipeline'!$Q$5:$Q$504,A678,'Demo Pipeline'!$W$5:$W$504,"Attended"))</f>
        <v/>
      </c>
      <c r="BF678" s="33" t="str">
        <f aca="false">IF(A678="","",COUNTIFS('Demo Pipeline'!$Q$5:$Q$504,A678,'Demo Pipeline'!$X$5:$X$504,"Yes"))</f>
        <v/>
      </c>
      <c r="BG678" s="33" t="str">
        <f aca="false">IF(A678="","",COUNTIFS('Demo Pipeline'!$Q$5:$Q$504,A678,'Demo Pipeline'!$Y$5:$Y$504,"Closed Won"))</f>
        <v/>
      </c>
      <c r="BH678" s="37" t="str">
        <f aca="false">IF(A678="","",SUMIFS('Demo Pipeline'!$Z$5:$Z$504,'Demo Pipeline'!$Q$5:$Q$504,A678))</f>
        <v/>
      </c>
      <c r="BI678" s="34" t="str">
        <f aca="false">IF(OR(AZ678="",N(AJ678)=0),"",AZ678/AJ678)</f>
        <v/>
      </c>
      <c r="BJ678" s="34" t="str">
        <f aca="false">IF(OR(BB678="",N(AZ678)=0),"",BB678/AZ678)</f>
        <v/>
      </c>
      <c r="BK678" s="34" t="str">
        <f aca="false">IF(OR(A678="",N(BB678)=0),"",BD678/BB678)</f>
        <v/>
      </c>
      <c r="BL678" s="34" t="str">
        <f aca="false">IF(OR(A678="",N(AZ678)=0),"",BD678/AZ678)</f>
        <v/>
      </c>
      <c r="BM678" s="37" t="str">
        <f aca="false">IF(OR(N(Q678)=0,N(BD678)=0),"",Q678/BD678)</f>
        <v/>
      </c>
      <c r="BN678" s="29"/>
      <c r="BO678" s="29"/>
      <c r="BP678" s="33" t="str">
        <f aca="false">IF(OR(AR678="",N(AO678)=0),"",AR678)</f>
        <v/>
      </c>
      <c r="BQ678" s="33" t="str">
        <f aca="false">IF(OR(AR678="",N(S678)=0),"",S678)</f>
        <v/>
      </c>
      <c r="BR678" s="38" t="str">
        <f aca="false">IF(AND(ISNUMBER(B678),B678&gt;=Dashboard!$C$4,B678&lt;=Dashboard!$F$4,ISNUMBER(AU678)),AU678+ROW()/10^9,"")</f>
        <v/>
      </c>
      <c r="BS678" s="38" t="str">
        <f aca="false">IF(AND(ISNUMBER(B678),B678&gt;=Dashboard!$C$4,B678&lt;=Dashboard!$F$4,A678&lt;&gt;""),N(BD678)+N(AU678)/100+ROW()/10^9,"")</f>
        <v/>
      </c>
    </row>
    <row r="679" customFormat="false" ht="15" hidden="false" customHeight="false" outlineLevel="0" collapsed="false">
      <c r="A679" s="24" t="str">
        <f aca="false">IF(OR(B679="",G679="",H679=""),"",IFERROR(INDEX(Settings!$E$5:$E$49,MATCH(G679,Settings!$D$5:$D$49,0))&amp;INDEX(Settings!$H$5:$H$47,MATCH(H679,Settings!$G$5:$G$47,0))&amp;"-"&amp;TEXT(B679,"yymmdd")&amp;"-"&amp;IF(C679="","0000",TEXT(C679,"hhmm")),"CHECK LISTS"))</f>
        <v/>
      </c>
      <c r="B679" s="39"/>
      <c r="C679" s="40"/>
      <c r="D679" s="24" t="str">
        <f aca="false">IF(B679="","",TEXT(B679,"ddd"))</f>
        <v/>
      </c>
      <c r="E679" s="27" t="str">
        <f aca="false">IF(B679="","",B679-WEEKDAY(B679,3))</f>
        <v/>
      </c>
      <c r="F679" s="24" t="str">
        <f aca="false">IF(B679="","",TEXT(B679,"yyyy-mm"))</f>
        <v/>
      </c>
      <c r="G679" s="29"/>
      <c r="H679" s="29"/>
      <c r="I679" s="29"/>
      <c r="J679" s="29"/>
      <c r="K679" s="29"/>
      <c r="L679" s="29"/>
      <c r="M679" s="29"/>
      <c r="N679" s="29"/>
      <c r="O679" s="29"/>
      <c r="P679" s="29"/>
      <c r="Q679" s="30"/>
      <c r="R679" s="29"/>
      <c r="S679" s="32"/>
      <c r="T679" s="29"/>
      <c r="U679" s="29"/>
      <c r="V679" s="24" t="str">
        <f aca="false">IF(A679="","",IFERROR(INDEX(Settings!$F$5:$F$49,MATCH(G679,Settings!$D$5:$D$49,0)),""))</f>
        <v/>
      </c>
      <c r="W679" s="24" t="str">
        <f aca="false">IF(A679="","",IF(OR(P679="",P679="Organic"),"social","paid_social"))</f>
        <v/>
      </c>
      <c r="X679" s="24" t="str">
        <f aca="false">IF(A679="","",IF(K679&lt;&gt;"",IFERROR(INDEX('Case Studies'!$C$5:$C$54,MATCH(K679,'Case Studies'!$B$5:$B$54,0))&amp;"","case-study"),IF(J679&lt;&gt;"",IFERROR(INDEX(Settings!$J$5:$J$55,MATCH(J679,Settings!$I$5:$I$55,0)),"general"),"general")))</f>
        <v/>
      </c>
      <c r="Y679" s="24" t="str">
        <f aca="false">IF(A679="","",LOWER(A679))</f>
        <v/>
      </c>
      <c r="Z679" s="24" t="str">
        <f aca="false">IF(A679="","",IF(T679="",Settings!$B$5,T679)&amp;IF(ISNUMBER(FIND("?",IF(T679="",Settings!$B$5,T679))),"&amp;","?")&amp;"utm_source="&amp;V679&amp;"&amp;utm_medium="&amp;W679&amp;"&amp;utm_campaign="&amp;X679&amp;"&amp;utm_content="&amp;Y679)</f>
        <v/>
      </c>
      <c r="AA679" s="29"/>
      <c r="AB679" s="39"/>
      <c r="AC679" s="32"/>
      <c r="AD679" s="32"/>
      <c r="AE679" s="32"/>
      <c r="AF679" s="32"/>
      <c r="AG679" s="32"/>
      <c r="AH679" s="32"/>
      <c r="AI679" s="32"/>
      <c r="AJ679" s="32"/>
      <c r="AK679" s="32"/>
      <c r="AL679" s="32"/>
      <c r="AM679" s="32"/>
      <c r="AN679" s="32"/>
      <c r="AO679" s="33" t="str">
        <f aca="false">IF(A679="","",IF(AD679&lt;&gt;"",AD679,IF(AC679&lt;&gt;"",AC679,"")))</f>
        <v/>
      </c>
      <c r="AP679" s="24" t="str">
        <f aca="false">IF(AO679="","",IF(AD679&lt;&gt;"","Reported reach","Impressions (proxy)"))</f>
        <v/>
      </c>
      <c r="AQ679" s="34" t="str">
        <f aca="false">IF(OR(AO679="",N(S679)=0),"",AO679/S679)</f>
        <v/>
      </c>
      <c r="AR679" s="33" t="str">
        <f aca="false">IF(A679="","",IF(COUNT(AF679:AJ679)=0,"",SUM(AF679:AJ679)))</f>
        <v/>
      </c>
      <c r="AS679" s="34" t="str">
        <f aca="false">IF(OR(AR679="",N(AO679)=0),"",AR679/AO679)</f>
        <v/>
      </c>
      <c r="AT679" s="34" t="str">
        <f aca="false">IF(OR(AR679="",N(AC679)=0),"",AR679/AC679)</f>
        <v/>
      </c>
      <c r="AU679" s="34" t="str">
        <f aca="false">IF(OR(AR679="",N(S679)=0),"",AR679/S679)</f>
        <v/>
      </c>
      <c r="AV679" s="34" t="str">
        <f aca="false">IF(OR(AJ679="",N(AC679)=0),"",AJ679/AC679)</f>
        <v/>
      </c>
      <c r="AW679" s="34" t="str">
        <f aca="false">IF(OR(AH679="",N(AO679)=0),"",AH679/AO679)</f>
        <v/>
      </c>
      <c r="AX679" s="35" t="str">
        <f aca="false">IF(OR(AR679="",N(AO679)=0),"",(N(AF679)*Settings!$B$6+N(AG679)*Settings!$B$7+N(AH679)*Settings!$B$8+N(AI679)*Settings!$B$9+N(AJ679)*Settings!$B$10)/AO679*1000)</f>
        <v/>
      </c>
      <c r="AY679" s="36" t="str">
        <f aca="false">IF(AS679="","",IFERROR(AS679/AVERAGEIFS('Post Tracker'!$AS$5:$AS$1004,'Post Tracker'!$G$5:$G$1004,G679),""))</f>
        <v/>
      </c>
      <c r="AZ679" s="32"/>
      <c r="BA679" s="32"/>
      <c r="BB679" s="32"/>
      <c r="BC679" s="32"/>
      <c r="BD679" s="33" t="str">
        <f aca="false">IF(A679="","",COUNTIFS('Demo Pipeline'!$Q$5:$Q$504,A679))</f>
        <v/>
      </c>
      <c r="BE679" s="33" t="str">
        <f aca="false">IF(A679="","",COUNTIFS('Demo Pipeline'!$Q$5:$Q$504,A679,'Demo Pipeline'!$W$5:$W$504,"Attended"))</f>
        <v/>
      </c>
      <c r="BF679" s="33" t="str">
        <f aca="false">IF(A679="","",COUNTIFS('Demo Pipeline'!$Q$5:$Q$504,A679,'Demo Pipeline'!$X$5:$X$504,"Yes"))</f>
        <v/>
      </c>
      <c r="BG679" s="33" t="str">
        <f aca="false">IF(A679="","",COUNTIFS('Demo Pipeline'!$Q$5:$Q$504,A679,'Demo Pipeline'!$Y$5:$Y$504,"Closed Won"))</f>
        <v/>
      </c>
      <c r="BH679" s="37" t="str">
        <f aca="false">IF(A679="","",SUMIFS('Demo Pipeline'!$Z$5:$Z$504,'Demo Pipeline'!$Q$5:$Q$504,A679))</f>
        <v/>
      </c>
      <c r="BI679" s="34" t="str">
        <f aca="false">IF(OR(AZ679="",N(AJ679)=0),"",AZ679/AJ679)</f>
        <v/>
      </c>
      <c r="BJ679" s="34" t="str">
        <f aca="false">IF(OR(BB679="",N(AZ679)=0),"",BB679/AZ679)</f>
        <v/>
      </c>
      <c r="BK679" s="34" t="str">
        <f aca="false">IF(OR(A679="",N(BB679)=0),"",BD679/BB679)</f>
        <v/>
      </c>
      <c r="BL679" s="34" t="str">
        <f aca="false">IF(OR(A679="",N(AZ679)=0),"",BD679/AZ679)</f>
        <v/>
      </c>
      <c r="BM679" s="37" t="str">
        <f aca="false">IF(OR(N(Q679)=0,N(BD679)=0),"",Q679/BD679)</f>
        <v/>
      </c>
      <c r="BN679" s="29"/>
      <c r="BO679" s="29"/>
      <c r="BP679" s="33" t="str">
        <f aca="false">IF(OR(AR679="",N(AO679)=0),"",AR679)</f>
        <v/>
      </c>
      <c r="BQ679" s="33" t="str">
        <f aca="false">IF(OR(AR679="",N(S679)=0),"",S679)</f>
        <v/>
      </c>
      <c r="BR679" s="38" t="str">
        <f aca="false">IF(AND(ISNUMBER(B679),B679&gt;=Dashboard!$C$4,B679&lt;=Dashboard!$F$4,ISNUMBER(AU679)),AU679+ROW()/10^9,"")</f>
        <v/>
      </c>
      <c r="BS679" s="38" t="str">
        <f aca="false">IF(AND(ISNUMBER(B679),B679&gt;=Dashboard!$C$4,B679&lt;=Dashboard!$F$4,A679&lt;&gt;""),N(BD679)+N(AU679)/100+ROW()/10^9,"")</f>
        <v/>
      </c>
    </row>
    <row r="680" customFormat="false" ht="15" hidden="false" customHeight="false" outlineLevel="0" collapsed="false">
      <c r="A680" s="24" t="str">
        <f aca="false">IF(OR(B680="",G680="",H680=""),"",IFERROR(INDEX(Settings!$E$5:$E$49,MATCH(G680,Settings!$D$5:$D$49,0))&amp;INDEX(Settings!$H$5:$H$47,MATCH(H680,Settings!$G$5:$G$47,0))&amp;"-"&amp;TEXT(B680,"yymmdd")&amp;"-"&amp;IF(C680="","0000",TEXT(C680,"hhmm")),"CHECK LISTS"))</f>
        <v/>
      </c>
      <c r="B680" s="39"/>
      <c r="C680" s="40"/>
      <c r="D680" s="24" t="str">
        <f aca="false">IF(B680="","",TEXT(B680,"ddd"))</f>
        <v/>
      </c>
      <c r="E680" s="27" t="str">
        <f aca="false">IF(B680="","",B680-WEEKDAY(B680,3))</f>
        <v/>
      </c>
      <c r="F680" s="24" t="str">
        <f aca="false">IF(B680="","",TEXT(B680,"yyyy-mm"))</f>
        <v/>
      </c>
      <c r="G680" s="29"/>
      <c r="H680" s="29"/>
      <c r="I680" s="29"/>
      <c r="J680" s="29"/>
      <c r="K680" s="29"/>
      <c r="L680" s="29"/>
      <c r="M680" s="29"/>
      <c r="N680" s="29"/>
      <c r="O680" s="29"/>
      <c r="P680" s="29"/>
      <c r="Q680" s="30"/>
      <c r="R680" s="29"/>
      <c r="S680" s="32"/>
      <c r="T680" s="29"/>
      <c r="U680" s="29"/>
      <c r="V680" s="24" t="str">
        <f aca="false">IF(A680="","",IFERROR(INDEX(Settings!$F$5:$F$49,MATCH(G680,Settings!$D$5:$D$49,0)),""))</f>
        <v/>
      </c>
      <c r="W680" s="24" t="str">
        <f aca="false">IF(A680="","",IF(OR(P680="",P680="Organic"),"social","paid_social"))</f>
        <v/>
      </c>
      <c r="X680" s="24" t="str">
        <f aca="false">IF(A680="","",IF(K680&lt;&gt;"",IFERROR(INDEX('Case Studies'!$C$5:$C$54,MATCH(K680,'Case Studies'!$B$5:$B$54,0))&amp;"","case-study"),IF(J680&lt;&gt;"",IFERROR(INDEX(Settings!$J$5:$J$55,MATCH(J680,Settings!$I$5:$I$55,0)),"general"),"general")))</f>
        <v/>
      </c>
      <c r="Y680" s="24" t="str">
        <f aca="false">IF(A680="","",LOWER(A680))</f>
        <v/>
      </c>
      <c r="Z680" s="24" t="str">
        <f aca="false">IF(A680="","",IF(T680="",Settings!$B$5,T680)&amp;IF(ISNUMBER(FIND("?",IF(T680="",Settings!$B$5,T680))),"&amp;","?")&amp;"utm_source="&amp;V680&amp;"&amp;utm_medium="&amp;W680&amp;"&amp;utm_campaign="&amp;X680&amp;"&amp;utm_content="&amp;Y680)</f>
        <v/>
      </c>
      <c r="AA680" s="29"/>
      <c r="AB680" s="39"/>
      <c r="AC680" s="32"/>
      <c r="AD680" s="32"/>
      <c r="AE680" s="32"/>
      <c r="AF680" s="32"/>
      <c r="AG680" s="32"/>
      <c r="AH680" s="32"/>
      <c r="AI680" s="32"/>
      <c r="AJ680" s="32"/>
      <c r="AK680" s="32"/>
      <c r="AL680" s="32"/>
      <c r="AM680" s="32"/>
      <c r="AN680" s="32"/>
      <c r="AO680" s="33" t="str">
        <f aca="false">IF(A680="","",IF(AD680&lt;&gt;"",AD680,IF(AC680&lt;&gt;"",AC680,"")))</f>
        <v/>
      </c>
      <c r="AP680" s="24" t="str">
        <f aca="false">IF(AO680="","",IF(AD680&lt;&gt;"","Reported reach","Impressions (proxy)"))</f>
        <v/>
      </c>
      <c r="AQ680" s="34" t="str">
        <f aca="false">IF(OR(AO680="",N(S680)=0),"",AO680/S680)</f>
        <v/>
      </c>
      <c r="AR680" s="33" t="str">
        <f aca="false">IF(A680="","",IF(COUNT(AF680:AJ680)=0,"",SUM(AF680:AJ680)))</f>
        <v/>
      </c>
      <c r="AS680" s="34" t="str">
        <f aca="false">IF(OR(AR680="",N(AO680)=0),"",AR680/AO680)</f>
        <v/>
      </c>
      <c r="AT680" s="34" t="str">
        <f aca="false">IF(OR(AR680="",N(AC680)=0),"",AR680/AC680)</f>
        <v/>
      </c>
      <c r="AU680" s="34" t="str">
        <f aca="false">IF(OR(AR680="",N(S680)=0),"",AR680/S680)</f>
        <v/>
      </c>
      <c r="AV680" s="34" t="str">
        <f aca="false">IF(OR(AJ680="",N(AC680)=0),"",AJ680/AC680)</f>
        <v/>
      </c>
      <c r="AW680" s="34" t="str">
        <f aca="false">IF(OR(AH680="",N(AO680)=0),"",AH680/AO680)</f>
        <v/>
      </c>
      <c r="AX680" s="35" t="str">
        <f aca="false">IF(OR(AR680="",N(AO680)=0),"",(N(AF680)*Settings!$B$6+N(AG680)*Settings!$B$7+N(AH680)*Settings!$B$8+N(AI680)*Settings!$B$9+N(AJ680)*Settings!$B$10)/AO680*1000)</f>
        <v/>
      </c>
      <c r="AY680" s="36" t="str">
        <f aca="false">IF(AS680="","",IFERROR(AS680/AVERAGEIFS('Post Tracker'!$AS$5:$AS$1004,'Post Tracker'!$G$5:$G$1004,G680),""))</f>
        <v/>
      </c>
      <c r="AZ680" s="32"/>
      <c r="BA680" s="32"/>
      <c r="BB680" s="32"/>
      <c r="BC680" s="32"/>
      <c r="BD680" s="33" t="str">
        <f aca="false">IF(A680="","",COUNTIFS('Demo Pipeline'!$Q$5:$Q$504,A680))</f>
        <v/>
      </c>
      <c r="BE680" s="33" t="str">
        <f aca="false">IF(A680="","",COUNTIFS('Demo Pipeline'!$Q$5:$Q$504,A680,'Demo Pipeline'!$W$5:$W$504,"Attended"))</f>
        <v/>
      </c>
      <c r="BF680" s="33" t="str">
        <f aca="false">IF(A680="","",COUNTIFS('Demo Pipeline'!$Q$5:$Q$504,A680,'Demo Pipeline'!$X$5:$X$504,"Yes"))</f>
        <v/>
      </c>
      <c r="BG680" s="33" t="str">
        <f aca="false">IF(A680="","",COUNTIFS('Demo Pipeline'!$Q$5:$Q$504,A680,'Demo Pipeline'!$Y$5:$Y$504,"Closed Won"))</f>
        <v/>
      </c>
      <c r="BH680" s="37" t="str">
        <f aca="false">IF(A680="","",SUMIFS('Demo Pipeline'!$Z$5:$Z$504,'Demo Pipeline'!$Q$5:$Q$504,A680))</f>
        <v/>
      </c>
      <c r="BI680" s="34" t="str">
        <f aca="false">IF(OR(AZ680="",N(AJ680)=0),"",AZ680/AJ680)</f>
        <v/>
      </c>
      <c r="BJ680" s="34" t="str">
        <f aca="false">IF(OR(BB680="",N(AZ680)=0),"",BB680/AZ680)</f>
        <v/>
      </c>
      <c r="BK680" s="34" t="str">
        <f aca="false">IF(OR(A680="",N(BB680)=0),"",BD680/BB680)</f>
        <v/>
      </c>
      <c r="BL680" s="34" t="str">
        <f aca="false">IF(OR(A680="",N(AZ680)=0),"",BD680/AZ680)</f>
        <v/>
      </c>
      <c r="BM680" s="37" t="str">
        <f aca="false">IF(OR(N(Q680)=0,N(BD680)=0),"",Q680/BD680)</f>
        <v/>
      </c>
      <c r="BN680" s="29"/>
      <c r="BO680" s="29"/>
      <c r="BP680" s="33" t="str">
        <f aca="false">IF(OR(AR680="",N(AO680)=0),"",AR680)</f>
        <v/>
      </c>
      <c r="BQ680" s="33" t="str">
        <f aca="false">IF(OR(AR680="",N(S680)=0),"",S680)</f>
        <v/>
      </c>
      <c r="BR680" s="38" t="str">
        <f aca="false">IF(AND(ISNUMBER(B680),B680&gt;=Dashboard!$C$4,B680&lt;=Dashboard!$F$4,ISNUMBER(AU680)),AU680+ROW()/10^9,"")</f>
        <v/>
      </c>
      <c r="BS680" s="38" t="str">
        <f aca="false">IF(AND(ISNUMBER(B680),B680&gt;=Dashboard!$C$4,B680&lt;=Dashboard!$F$4,A680&lt;&gt;""),N(BD680)+N(AU680)/100+ROW()/10^9,"")</f>
        <v/>
      </c>
    </row>
    <row r="681" customFormat="false" ht="15" hidden="false" customHeight="false" outlineLevel="0" collapsed="false">
      <c r="A681" s="24" t="str">
        <f aca="false">IF(OR(B681="",G681="",H681=""),"",IFERROR(INDEX(Settings!$E$5:$E$49,MATCH(G681,Settings!$D$5:$D$49,0))&amp;INDEX(Settings!$H$5:$H$47,MATCH(H681,Settings!$G$5:$G$47,0))&amp;"-"&amp;TEXT(B681,"yymmdd")&amp;"-"&amp;IF(C681="","0000",TEXT(C681,"hhmm")),"CHECK LISTS"))</f>
        <v/>
      </c>
      <c r="B681" s="39"/>
      <c r="C681" s="40"/>
      <c r="D681" s="24" t="str">
        <f aca="false">IF(B681="","",TEXT(B681,"ddd"))</f>
        <v/>
      </c>
      <c r="E681" s="27" t="str">
        <f aca="false">IF(B681="","",B681-WEEKDAY(B681,3))</f>
        <v/>
      </c>
      <c r="F681" s="24" t="str">
        <f aca="false">IF(B681="","",TEXT(B681,"yyyy-mm"))</f>
        <v/>
      </c>
      <c r="G681" s="29"/>
      <c r="H681" s="29"/>
      <c r="I681" s="29"/>
      <c r="J681" s="29"/>
      <c r="K681" s="29"/>
      <c r="L681" s="29"/>
      <c r="M681" s="29"/>
      <c r="N681" s="29"/>
      <c r="O681" s="29"/>
      <c r="P681" s="29"/>
      <c r="Q681" s="30"/>
      <c r="R681" s="29"/>
      <c r="S681" s="32"/>
      <c r="T681" s="29"/>
      <c r="U681" s="29"/>
      <c r="V681" s="24" t="str">
        <f aca="false">IF(A681="","",IFERROR(INDEX(Settings!$F$5:$F$49,MATCH(G681,Settings!$D$5:$D$49,0)),""))</f>
        <v/>
      </c>
      <c r="W681" s="24" t="str">
        <f aca="false">IF(A681="","",IF(OR(P681="",P681="Organic"),"social","paid_social"))</f>
        <v/>
      </c>
      <c r="X681" s="24" t="str">
        <f aca="false">IF(A681="","",IF(K681&lt;&gt;"",IFERROR(INDEX('Case Studies'!$C$5:$C$54,MATCH(K681,'Case Studies'!$B$5:$B$54,0))&amp;"","case-study"),IF(J681&lt;&gt;"",IFERROR(INDEX(Settings!$J$5:$J$55,MATCH(J681,Settings!$I$5:$I$55,0)),"general"),"general")))</f>
        <v/>
      </c>
      <c r="Y681" s="24" t="str">
        <f aca="false">IF(A681="","",LOWER(A681))</f>
        <v/>
      </c>
      <c r="Z681" s="24" t="str">
        <f aca="false">IF(A681="","",IF(T681="",Settings!$B$5,T681)&amp;IF(ISNUMBER(FIND("?",IF(T681="",Settings!$B$5,T681))),"&amp;","?")&amp;"utm_source="&amp;V681&amp;"&amp;utm_medium="&amp;W681&amp;"&amp;utm_campaign="&amp;X681&amp;"&amp;utm_content="&amp;Y681)</f>
        <v/>
      </c>
      <c r="AA681" s="29"/>
      <c r="AB681" s="39"/>
      <c r="AC681" s="32"/>
      <c r="AD681" s="32"/>
      <c r="AE681" s="32"/>
      <c r="AF681" s="32"/>
      <c r="AG681" s="32"/>
      <c r="AH681" s="32"/>
      <c r="AI681" s="32"/>
      <c r="AJ681" s="32"/>
      <c r="AK681" s="32"/>
      <c r="AL681" s="32"/>
      <c r="AM681" s="32"/>
      <c r="AN681" s="32"/>
      <c r="AO681" s="33" t="str">
        <f aca="false">IF(A681="","",IF(AD681&lt;&gt;"",AD681,IF(AC681&lt;&gt;"",AC681,"")))</f>
        <v/>
      </c>
      <c r="AP681" s="24" t="str">
        <f aca="false">IF(AO681="","",IF(AD681&lt;&gt;"","Reported reach","Impressions (proxy)"))</f>
        <v/>
      </c>
      <c r="AQ681" s="34" t="str">
        <f aca="false">IF(OR(AO681="",N(S681)=0),"",AO681/S681)</f>
        <v/>
      </c>
      <c r="AR681" s="33" t="str">
        <f aca="false">IF(A681="","",IF(COUNT(AF681:AJ681)=0,"",SUM(AF681:AJ681)))</f>
        <v/>
      </c>
      <c r="AS681" s="34" t="str">
        <f aca="false">IF(OR(AR681="",N(AO681)=0),"",AR681/AO681)</f>
        <v/>
      </c>
      <c r="AT681" s="34" t="str">
        <f aca="false">IF(OR(AR681="",N(AC681)=0),"",AR681/AC681)</f>
        <v/>
      </c>
      <c r="AU681" s="34" t="str">
        <f aca="false">IF(OR(AR681="",N(S681)=0),"",AR681/S681)</f>
        <v/>
      </c>
      <c r="AV681" s="34" t="str">
        <f aca="false">IF(OR(AJ681="",N(AC681)=0),"",AJ681/AC681)</f>
        <v/>
      </c>
      <c r="AW681" s="34" t="str">
        <f aca="false">IF(OR(AH681="",N(AO681)=0),"",AH681/AO681)</f>
        <v/>
      </c>
      <c r="AX681" s="35" t="str">
        <f aca="false">IF(OR(AR681="",N(AO681)=0),"",(N(AF681)*Settings!$B$6+N(AG681)*Settings!$B$7+N(AH681)*Settings!$B$8+N(AI681)*Settings!$B$9+N(AJ681)*Settings!$B$10)/AO681*1000)</f>
        <v/>
      </c>
      <c r="AY681" s="36" t="str">
        <f aca="false">IF(AS681="","",IFERROR(AS681/AVERAGEIFS('Post Tracker'!$AS$5:$AS$1004,'Post Tracker'!$G$5:$G$1004,G681),""))</f>
        <v/>
      </c>
      <c r="AZ681" s="32"/>
      <c r="BA681" s="32"/>
      <c r="BB681" s="32"/>
      <c r="BC681" s="32"/>
      <c r="BD681" s="33" t="str">
        <f aca="false">IF(A681="","",COUNTIFS('Demo Pipeline'!$Q$5:$Q$504,A681))</f>
        <v/>
      </c>
      <c r="BE681" s="33" t="str">
        <f aca="false">IF(A681="","",COUNTIFS('Demo Pipeline'!$Q$5:$Q$504,A681,'Demo Pipeline'!$W$5:$W$504,"Attended"))</f>
        <v/>
      </c>
      <c r="BF681" s="33" t="str">
        <f aca="false">IF(A681="","",COUNTIFS('Demo Pipeline'!$Q$5:$Q$504,A681,'Demo Pipeline'!$X$5:$X$504,"Yes"))</f>
        <v/>
      </c>
      <c r="BG681" s="33" t="str">
        <f aca="false">IF(A681="","",COUNTIFS('Demo Pipeline'!$Q$5:$Q$504,A681,'Demo Pipeline'!$Y$5:$Y$504,"Closed Won"))</f>
        <v/>
      </c>
      <c r="BH681" s="37" t="str">
        <f aca="false">IF(A681="","",SUMIFS('Demo Pipeline'!$Z$5:$Z$504,'Demo Pipeline'!$Q$5:$Q$504,A681))</f>
        <v/>
      </c>
      <c r="BI681" s="34" t="str">
        <f aca="false">IF(OR(AZ681="",N(AJ681)=0),"",AZ681/AJ681)</f>
        <v/>
      </c>
      <c r="BJ681" s="34" t="str">
        <f aca="false">IF(OR(BB681="",N(AZ681)=0),"",BB681/AZ681)</f>
        <v/>
      </c>
      <c r="BK681" s="34" t="str">
        <f aca="false">IF(OR(A681="",N(BB681)=0),"",BD681/BB681)</f>
        <v/>
      </c>
      <c r="BL681" s="34" t="str">
        <f aca="false">IF(OR(A681="",N(AZ681)=0),"",BD681/AZ681)</f>
        <v/>
      </c>
      <c r="BM681" s="37" t="str">
        <f aca="false">IF(OR(N(Q681)=0,N(BD681)=0),"",Q681/BD681)</f>
        <v/>
      </c>
      <c r="BN681" s="29"/>
      <c r="BO681" s="29"/>
      <c r="BP681" s="33" t="str">
        <f aca="false">IF(OR(AR681="",N(AO681)=0),"",AR681)</f>
        <v/>
      </c>
      <c r="BQ681" s="33" t="str">
        <f aca="false">IF(OR(AR681="",N(S681)=0),"",S681)</f>
        <v/>
      </c>
      <c r="BR681" s="38" t="str">
        <f aca="false">IF(AND(ISNUMBER(B681),B681&gt;=Dashboard!$C$4,B681&lt;=Dashboard!$F$4,ISNUMBER(AU681)),AU681+ROW()/10^9,"")</f>
        <v/>
      </c>
      <c r="BS681" s="38" t="str">
        <f aca="false">IF(AND(ISNUMBER(B681),B681&gt;=Dashboard!$C$4,B681&lt;=Dashboard!$F$4,A681&lt;&gt;""),N(BD681)+N(AU681)/100+ROW()/10^9,"")</f>
        <v/>
      </c>
    </row>
    <row r="682" customFormat="false" ht="15" hidden="false" customHeight="false" outlineLevel="0" collapsed="false">
      <c r="A682" s="24" t="str">
        <f aca="false">IF(OR(B682="",G682="",H682=""),"",IFERROR(INDEX(Settings!$E$5:$E$49,MATCH(G682,Settings!$D$5:$D$49,0))&amp;INDEX(Settings!$H$5:$H$47,MATCH(H682,Settings!$G$5:$G$47,0))&amp;"-"&amp;TEXT(B682,"yymmdd")&amp;"-"&amp;IF(C682="","0000",TEXT(C682,"hhmm")),"CHECK LISTS"))</f>
        <v/>
      </c>
      <c r="B682" s="39"/>
      <c r="C682" s="40"/>
      <c r="D682" s="24" t="str">
        <f aca="false">IF(B682="","",TEXT(B682,"ddd"))</f>
        <v/>
      </c>
      <c r="E682" s="27" t="str">
        <f aca="false">IF(B682="","",B682-WEEKDAY(B682,3))</f>
        <v/>
      </c>
      <c r="F682" s="24" t="str">
        <f aca="false">IF(B682="","",TEXT(B682,"yyyy-mm"))</f>
        <v/>
      </c>
      <c r="G682" s="29"/>
      <c r="H682" s="29"/>
      <c r="I682" s="29"/>
      <c r="J682" s="29"/>
      <c r="K682" s="29"/>
      <c r="L682" s="29"/>
      <c r="M682" s="29"/>
      <c r="N682" s="29"/>
      <c r="O682" s="29"/>
      <c r="P682" s="29"/>
      <c r="Q682" s="30"/>
      <c r="R682" s="29"/>
      <c r="S682" s="32"/>
      <c r="T682" s="29"/>
      <c r="U682" s="29"/>
      <c r="V682" s="24" t="str">
        <f aca="false">IF(A682="","",IFERROR(INDEX(Settings!$F$5:$F$49,MATCH(G682,Settings!$D$5:$D$49,0)),""))</f>
        <v/>
      </c>
      <c r="W682" s="24" t="str">
        <f aca="false">IF(A682="","",IF(OR(P682="",P682="Organic"),"social","paid_social"))</f>
        <v/>
      </c>
      <c r="X682" s="24" t="str">
        <f aca="false">IF(A682="","",IF(K682&lt;&gt;"",IFERROR(INDEX('Case Studies'!$C$5:$C$54,MATCH(K682,'Case Studies'!$B$5:$B$54,0))&amp;"","case-study"),IF(J682&lt;&gt;"",IFERROR(INDEX(Settings!$J$5:$J$55,MATCH(J682,Settings!$I$5:$I$55,0)),"general"),"general")))</f>
        <v/>
      </c>
      <c r="Y682" s="24" t="str">
        <f aca="false">IF(A682="","",LOWER(A682))</f>
        <v/>
      </c>
      <c r="Z682" s="24" t="str">
        <f aca="false">IF(A682="","",IF(T682="",Settings!$B$5,T682)&amp;IF(ISNUMBER(FIND("?",IF(T682="",Settings!$B$5,T682))),"&amp;","?")&amp;"utm_source="&amp;V682&amp;"&amp;utm_medium="&amp;W682&amp;"&amp;utm_campaign="&amp;X682&amp;"&amp;utm_content="&amp;Y682)</f>
        <v/>
      </c>
      <c r="AA682" s="29"/>
      <c r="AB682" s="39"/>
      <c r="AC682" s="32"/>
      <c r="AD682" s="32"/>
      <c r="AE682" s="32"/>
      <c r="AF682" s="32"/>
      <c r="AG682" s="32"/>
      <c r="AH682" s="32"/>
      <c r="AI682" s="32"/>
      <c r="AJ682" s="32"/>
      <c r="AK682" s="32"/>
      <c r="AL682" s="32"/>
      <c r="AM682" s="32"/>
      <c r="AN682" s="32"/>
      <c r="AO682" s="33" t="str">
        <f aca="false">IF(A682="","",IF(AD682&lt;&gt;"",AD682,IF(AC682&lt;&gt;"",AC682,"")))</f>
        <v/>
      </c>
      <c r="AP682" s="24" t="str">
        <f aca="false">IF(AO682="","",IF(AD682&lt;&gt;"","Reported reach","Impressions (proxy)"))</f>
        <v/>
      </c>
      <c r="AQ682" s="34" t="str">
        <f aca="false">IF(OR(AO682="",N(S682)=0),"",AO682/S682)</f>
        <v/>
      </c>
      <c r="AR682" s="33" t="str">
        <f aca="false">IF(A682="","",IF(COUNT(AF682:AJ682)=0,"",SUM(AF682:AJ682)))</f>
        <v/>
      </c>
      <c r="AS682" s="34" t="str">
        <f aca="false">IF(OR(AR682="",N(AO682)=0),"",AR682/AO682)</f>
        <v/>
      </c>
      <c r="AT682" s="34" t="str">
        <f aca="false">IF(OR(AR682="",N(AC682)=0),"",AR682/AC682)</f>
        <v/>
      </c>
      <c r="AU682" s="34" t="str">
        <f aca="false">IF(OR(AR682="",N(S682)=0),"",AR682/S682)</f>
        <v/>
      </c>
      <c r="AV682" s="34" t="str">
        <f aca="false">IF(OR(AJ682="",N(AC682)=0),"",AJ682/AC682)</f>
        <v/>
      </c>
      <c r="AW682" s="34" t="str">
        <f aca="false">IF(OR(AH682="",N(AO682)=0),"",AH682/AO682)</f>
        <v/>
      </c>
      <c r="AX682" s="35" t="str">
        <f aca="false">IF(OR(AR682="",N(AO682)=0),"",(N(AF682)*Settings!$B$6+N(AG682)*Settings!$B$7+N(AH682)*Settings!$B$8+N(AI682)*Settings!$B$9+N(AJ682)*Settings!$B$10)/AO682*1000)</f>
        <v/>
      </c>
      <c r="AY682" s="36" t="str">
        <f aca="false">IF(AS682="","",IFERROR(AS682/AVERAGEIFS('Post Tracker'!$AS$5:$AS$1004,'Post Tracker'!$G$5:$G$1004,G682),""))</f>
        <v/>
      </c>
      <c r="AZ682" s="32"/>
      <c r="BA682" s="32"/>
      <c r="BB682" s="32"/>
      <c r="BC682" s="32"/>
      <c r="BD682" s="33" t="str">
        <f aca="false">IF(A682="","",COUNTIFS('Demo Pipeline'!$Q$5:$Q$504,A682))</f>
        <v/>
      </c>
      <c r="BE682" s="33" t="str">
        <f aca="false">IF(A682="","",COUNTIFS('Demo Pipeline'!$Q$5:$Q$504,A682,'Demo Pipeline'!$W$5:$W$504,"Attended"))</f>
        <v/>
      </c>
      <c r="BF682" s="33" t="str">
        <f aca="false">IF(A682="","",COUNTIFS('Demo Pipeline'!$Q$5:$Q$504,A682,'Demo Pipeline'!$X$5:$X$504,"Yes"))</f>
        <v/>
      </c>
      <c r="BG682" s="33" t="str">
        <f aca="false">IF(A682="","",COUNTIFS('Demo Pipeline'!$Q$5:$Q$504,A682,'Demo Pipeline'!$Y$5:$Y$504,"Closed Won"))</f>
        <v/>
      </c>
      <c r="BH682" s="37" t="str">
        <f aca="false">IF(A682="","",SUMIFS('Demo Pipeline'!$Z$5:$Z$504,'Demo Pipeline'!$Q$5:$Q$504,A682))</f>
        <v/>
      </c>
      <c r="BI682" s="34" t="str">
        <f aca="false">IF(OR(AZ682="",N(AJ682)=0),"",AZ682/AJ682)</f>
        <v/>
      </c>
      <c r="BJ682" s="34" t="str">
        <f aca="false">IF(OR(BB682="",N(AZ682)=0),"",BB682/AZ682)</f>
        <v/>
      </c>
      <c r="BK682" s="34" t="str">
        <f aca="false">IF(OR(A682="",N(BB682)=0),"",BD682/BB682)</f>
        <v/>
      </c>
      <c r="BL682" s="34" t="str">
        <f aca="false">IF(OR(A682="",N(AZ682)=0),"",BD682/AZ682)</f>
        <v/>
      </c>
      <c r="BM682" s="37" t="str">
        <f aca="false">IF(OR(N(Q682)=0,N(BD682)=0),"",Q682/BD682)</f>
        <v/>
      </c>
      <c r="BN682" s="29"/>
      <c r="BO682" s="29"/>
      <c r="BP682" s="33" t="str">
        <f aca="false">IF(OR(AR682="",N(AO682)=0),"",AR682)</f>
        <v/>
      </c>
      <c r="BQ682" s="33" t="str">
        <f aca="false">IF(OR(AR682="",N(S682)=0),"",S682)</f>
        <v/>
      </c>
      <c r="BR682" s="38" t="str">
        <f aca="false">IF(AND(ISNUMBER(B682),B682&gt;=Dashboard!$C$4,B682&lt;=Dashboard!$F$4,ISNUMBER(AU682)),AU682+ROW()/10^9,"")</f>
        <v/>
      </c>
      <c r="BS682" s="38" t="str">
        <f aca="false">IF(AND(ISNUMBER(B682),B682&gt;=Dashboard!$C$4,B682&lt;=Dashboard!$F$4,A682&lt;&gt;""),N(BD682)+N(AU682)/100+ROW()/10^9,"")</f>
        <v/>
      </c>
    </row>
    <row r="683" customFormat="false" ht="15" hidden="false" customHeight="false" outlineLevel="0" collapsed="false">
      <c r="A683" s="24" t="str">
        <f aca="false">IF(OR(B683="",G683="",H683=""),"",IFERROR(INDEX(Settings!$E$5:$E$49,MATCH(G683,Settings!$D$5:$D$49,0))&amp;INDEX(Settings!$H$5:$H$47,MATCH(H683,Settings!$G$5:$G$47,0))&amp;"-"&amp;TEXT(B683,"yymmdd")&amp;"-"&amp;IF(C683="","0000",TEXT(C683,"hhmm")),"CHECK LISTS"))</f>
        <v/>
      </c>
      <c r="B683" s="39"/>
      <c r="C683" s="40"/>
      <c r="D683" s="24" t="str">
        <f aca="false">IF(B683="","",TEXT(B683,"ddd"))</f>
        <v/>
      </c>
      <c r="E683" s="27" t="str">
        <f aca="false">IF(B683="","",B683-WEEKDAY(B683,3))</f>
        <v/>
      </c>
      <c r="F683" s="24" t="str">
        <f aca="false">IF(B683="","",TEXT(B683,"yyyy-mm"))</f>
        <v/>
      </c>
      <c r="G683" s="29"/>
      <c r="H683" s="29"/>
      <c r="I683" s="29"/>
      <c r="J683" s="29"/>
      <c r="K683" s="29"/>
      <c r="L683" s="29"/>
      <c r="M683" s="29"/>
      <c r="N683" s="29"/>
      <c r="O683" s="29"/>
      <c r="P683" s="29"/>
      <c r="Q683" s="30"/>
      <c r="R683" s="29"/>
      <c r="S683" s="32"/>
      <c r="T683" s="29"/>
      <c r="U683" s="29"/>
      <c r="V683" s="24" t="str">
        <f aca="false">IF(A683="","",IFERROR(INDEX(Settings!$F$5:$F$49,MATCH(G683,Settings!$D$5:$D$49,0)),""))</f>
        <v/>
      </c>
      <c r="W683" s="24" t="str">
        <f aca="false">IF(A683="","",IF(OR(P683="",P683="Organic"),"social","paid_social"))</f>
        <v/>
      </c>
      <c r="X683" s="24" t="str">
        <f aca="false">IF(A683="","",IF(K683&lt;&gt;"",IFERROR(INDEX('Case Studies'!$C$5:$C$54,MATCH(K683,'Case Studies'!$B$5:$B$54,0))&amp;"","case-study"),IF(J683&lt;&gt;"",IFERROR(INDEX(Settings!$J$5:$J$55,MATCH(J683,Settings!$I$5:$I$55,0)),"general"),"general")))</f>
        <v/>
      </c>
      <c r="Y683" s="24" t="str">
        <f aca="false">IF(A683="","",LOWER(A683))</f>
        <v/>
      </c>
      <c r="Z683" s="24" t="str">
        <f aca="false">IF(A683="","",IF(T683="",Settings!$B$5,T683)&amp;IF(ISNUMBER(FIND("?",IF(T683="",Settings!$B$5,T683))),"&amp;","?")&amp;"utm_source="&amp;V683&amp;"&amp;utm_medium="&amp;W683&amp;"&amp;utm_campaign="&amp;X683&amp;"&amp;utm_content="&amp;Y683)</f>
        <v/>
      </c>
      <c r="AA683" s="29"/>
      <c r="AB683" s="39"/>
      <c r="AC683" s="32"/>
      <c r="AD683" s="32"/>
      <c r="AE683" s="32"/>
      <c r="AF683" s="32"/>
      <c r="AG683" s="32"/>
      <c r="AH683" s="32"/>
      <c r="AI683" s="32"/>
      <c r="AJ683" s="32"/>
      <c r="AK683" s="32"/>
      <c r="AL683" s="32"/>
      <c r="AM683" s="32"/>
      <c r="AN683" s="32"/>
      <c r="AO683" s="33" t="str">
        <f aca="false">IF(A683="","",IF(AD683&lt;&gt;"",AD683,IF(AC683&lt;&gt;"",AC683,"")))</f>
        <v/>
      </c>
      <c r="AP683" s="24" t="str">
        <f aca="false">IF(AO683="","",IF(AD683&lt;&gt;"","Reported reach","Impressions (proxy)"))</f>
        <v/>
      </c>
      <c r="AQ683" s="34" t="str">
        <f aca="false">IF(OR(AO683="",N(S683)=0),"",AO683/S683)</f>
        <v/>
      </c>
      <c r="AR683" s="33" t="str">
        <f aca="false">IF(A683="","",IF(COUNT(AF683:AJ683)=0,"",SUM(AF683:AJ683)))</f>
        <v/>
      </c>
      <c r="AS683" s="34" t="str">
        <f aca="false">IF(OR(AR683="",N(AO683)=0),"",AR683/AO683)</f>
        <v/>
      </c>
      <c r="AT683" s="34" t="str">
        <f aca="false">IF(OR(AR683="",N(AC683)=0),"",AR683/AC683)</f>
        <v/>
      </c>
      <c r="AU683" s="34" t="str">
        <f aca="false">IF(OR(AR683="",N(S683)=0),"",AR683/S683)</f>
        <v/>
      </c>
      <c r="AV683" s="34" t="str">
        <f aca="false">IF(OR(AJ683="",N(AC683)=0),"",AJ683/AC683)</f>
        <v/>
      </c>
      <c r="AW683" s="34" t="str">
        <f aca="false">IF(OR(AH683="",N(AO683)=0),"",AH683/AO683)</f>
        <v/>
      </c>
      <c r="AX683" s="35" t="str">
        <f aca="false">IF(OR(AR683="",N(AO683)=0),"",(N(AF683)*Settings!$B$6+N(AG683)*Settings!$B$7+N(AH683)*Settings!$B$8+N(AI683)*Settings!$B$9+N(AJ683)*Settings!$B$10)/AO683*1000)</f>
        <v/>
      </c>
      <c r="AY683" s="36" t="str">
        <f aca="false">IF(AS683="","",IFERROR(AS683/AVERAGEIFS('Post Tracker'!$AS$5:$AS$1004,'Post Tracker'!$G$5:$G$1004,G683),""))</f>
        <v/>
      </c>
      <c r="AZ683" s="32"/>
      <c r="BA683" s="32"/>
      <c r="BB683" s="32"/>
      <c r="BC683" s="32"/>
      <c r="BD683" s="33" t="str">
        <f aca="false">IF(A683="","",COUNTIFS('Demo Pipeline'!$Q$5:$Q$504,A683))</f>
        <v/>
      </c>
      <c r="BE683" s="33" t="str">
        <f aca="false">IF(A683="","",COUNTIFS('Demo Pipeline'!$Q$5:$Q$504,A683,'Demo Pipeline'!$W$5:$W$504,"Attended"))</f>
        <v/>
      </c>
      <c r="BF683" s="33" t="str">
        <f aca="false">IF(A683="","",COUNTIFS('Demo Pipeline'!$Q$5:$Q$504,A683,'Demo Pipeline'!$X$5:$X$504,"Yes"))</f>
        <v/>
      </c>
      <c r="BG683" s="33" t="str">
        <f aca="false">IF(A683="","",COUNTIFS('Demo Pipeline'!$Q$5:$Q$504,A683,'Demo Pipeline'!$Y$5:$Y$504,"Closed Won"))</f>
        <v/>
      </c>
      <c r="BH683" s="37" t="str">
        <f aca="false">IF(A683="","",SUMIFS('Demo Pipeline'!$Z$5:$Z$504,'Demo Pipeline'!$Q$5:$Q$504,A683))</f>
        <v/>
      </c>
      <c r="BI683" s="34" t="str">
        <f aca="false">IF(OR(AZ683="",N(AJ683)=0),"",AZ683/AJ683)</f>
        <v/>
      </c>
      <c r="BJ683" s="34" t="str">
        <f aca="false">IF(OR(BB683="",N(AZ683)=0),"",BB683/AZ683)</f>
        <v/>
      </c>
      <c r="BK683" s="34" t="str">
        <f aca="false">IF(OR(A683="",N(BB683)=0),"",BD683/BB683)</f>
        <v/>
      </c>
      <c r="BL683" s="34" t="str">
        <f aca="false">IF(OR(A683="",N(AZ683)=0),"",BD683/AZ683)</f>
        <v/>
      </c>
      <c r="BM683" s="37" t="str">
        <f aca="false">IF(OR(N(Q683)=0,N(BD683)=0),"",Q683/BD683)</f>
        <v/>
      </c>
      <c r="BN683" s="29"/>
      <c r="BO683" s="29"/>
      <c r="BP683" s="33" t="str">
        <f aca="false">IF(OR(AR683="",N(AO683)=0),"",AR683)</f>
        <v/>
      </c>
      <c r="BQ683" s="33" t="str">
        <f aca="false">IF(OR(AR683="",N(S683)=0),"",S683)</f>
        <v/>
      </c>
      <c r="BR683" s="38" t="str">
        <f aca="false">IF(AND(ISNUMBER(B683),B683&gt;=Dashboard!$C$4,B683&lt;=Dashboard!$F$4,ISNUMBER(AU683)),AU683+ROW()/10^9,"")</f>
        <v/>
      </c>
      <c r="BS683" s="38" t="str">
        <f aca="false">IF(AND(ISNUMBER(B683),B683&gt;=Dashboard!$C$4,B683&lt;=Dashboard!$F$4,A683&lt;&gt;""),N(BD683)+N(AU683)/100+ROW()/10^9,"")</f>
        <v/>
      </c>
    </row>
    <row r="684" customFormat="false" ht="15" hidden="false" customHeight="false" outlineLevel="0" collapsed="false">
      <c r="A684" s="24" t="str">
        <f aca="false">IF(OR(B684="",G684="",H684=""),"",IFERROR(INDEX(Settings!$E$5:$E$49,MATCH(G684,Settings!$D$5:$D$49,0))&amp;INDEX(Settings!$H$5:$H$47,MATCH(H684,Settings!$G$5:$G$47,0))&amp;"-"&amp;TEXT(B684,"yymmdd")&amp;"-"&amp;IF(C684="","0000",TEXT(C684,"hhmm")),"CHECK LISTS"))</f>
        <v/>
      </c>
      <c r="B684" s="39"/>
      <c r="C684" s="40"/>
      <c r="D684" s="24" t="str">
        <f aca="false">IF(B684="","",TEXT(B684,"ddd"))</f>
        <v/>
      </c>
      <c r="E684" s="27" t="str">
        <f aca="false">IF(B684="","",B684-WEEKDAY(B684,3))</f>
        <v/>
      </c>
      <c r="F684" s="24" t="str">
        <f aca="false">IF(B684="","",TEXT(B684,"yyyy-mm"))</f>
        <v/>
      </c>
      <c r="G684" s="29"/>
      <c r="H684" s="29"/>
      <c r="I684" s="29"/>
      <c r="J684" s="29"/>
      <c r="K684" s="29"/>
      <c r="L684" s="29"/>
      <c r="M684" s="29"/>
      <c r="N684" s="29"/>
      <c r="O684" s="29"/>
      <c r="P684" s="29"/>
      <c r="Q684" s="30"/>
      <c r="R684" s="29"/>
      <c r="S684" s="32"/>
      <c r="T684" s="29"/>
      <c r="U684" s="29"/>
      <c r="V684" s="24" t="str">
        <f aca="false">IF(A684="","",IFERROR(INDEX(Settings!$F$5:$F$49,MATCH(G684,Settings!$D$5:$D$49,0)),""))</f>
        <v/>
      </c>
      <c r="W684" s="24" t="str">
        <f aca="false">IF(A684="","",IF(OR(P684="",P684="Organic"),"social","paid_social"))</f>
        <v/>
      </c>
      <c r="X684" s="24" t="str">
        <f aca="false">IF(A684="","",IF(K684&lt;&gt;"",IFERROR(INDEX('Case Studies'!$C$5:$C$54,MATCH(K684,'Case Studies'!$B$5:$B$54,0))&amp;"","case-study"),IF(J684&lt;&gt;"",IFERROR(INDEX(Settings!$J$5:$J$55,MATCH(J684,Settings!$I$5:$I$55,0)),"general"),"general")))</f>
        <v/>
      </c>
      <c r="Y684" s="24" t="str">
        <f aca="false">IF(A684="","",LOWER(A684))</f>
        <v/>
      </c>
      <c r="Z684" s="24" t="str">
        <f aca="false">IF(A684="","",IF(T684="",Settings!$B$5,T684)&amp;IF(ISNUMBER(FIND("?",IF(T684="",Settings!$B$5,T684))),"&amp;","?")&amp;"utm_source="&amp;V684&amp;"&amp;utm_medium="&amp;W684&amp;"&amp;utm_campaign="&amp;X684&amp;"&amp;utm_content="&amp;Y684)</f>
        <v/>
      </c>
      <c r="AA684" s="29"/>
      <c r="AB684" s="39"/>
      <c r="AC684" s="32"/>
      <c r="AD684" s="32"/>
      <c r="AE684" s="32"/>
      <c r="AF684" s="32"/>
      <c r="AG684" s="32"/>
      <c r="AH684" s="32"/>
      <c r="AI684" s="32"/>
      <c r="AJ684" s="32"/>
      <c r="AK684" s="32"/>
      <c r="AL684" s="32"/>
      <c r="AM684" s="32"/>
      <c r="AN684" s="32"/>
      <c r="AO684" s="33" t="str">
        <f aca="false">IF(A684="","",IF(AD684&lt;&gt;"",AD684,IF(AC684&lt;&gt;"",AC684,"")))</f>
        <v/>
      </c>
      <c r="AP684" s="24" t="str">
        <f aca="false">IF(AO684="","",IF(AD684&lt;&gt;"","Reported reach","Impressions (proxy)"))</f>
        <v/>
      </c>
      <c r="AQ684" s="34" t="str">
        <f aca="false">IF(OR(AO684="",N(S684)=0),"",AO684/S684)</f>
        <v/>
      </c>
      <c r="AR684" s="33" t="str">
        <f aca="false">IF(A684="","",IF(COUNT(AF684:AJ684)=0,"",SUM(AF684:AJ684)))</f>
        <v/>
      </c>
      <c r="AS684" s="34" t="str">
        <f aca="false">IF(OR(AR684="",N(AO684)=0),"",AR684/AO684)</f>
        <v/>
      </c>
      <c r="AT684" s="34" t="str">
        <f aca="false">IF(OR(AR684="",N(AC684)=0),"",AR684/AC684)</f>
        <v/>
      </c>
      <c r="AU684" s="34" t="str">
        <f aca="false">IF(OR(AR684="",N(S684)=0),"",AR684/S684)</f>
        <v/>
      </c>
      <c r="AV684" s="34" t="str">
        <f aca="false">IF(OR(AJ684="",N(AC684)=0),"",AJ684/AC684)</f>
        <v/>
      </c>
      <c r="AW684" s="34" t="str">
        <f aca="false">IF(OR(AH684="",N(AO684)=0),"",AH684/AO684)</f>
        <v/>
      </c>
      <c r="AX684" s="35" t="str">
        <f aca="false">IF(OR(AR684="",N(AO684)=0),"",(N(AF684)*Settings!$B$6+N(AG684)*Settings!$B$7+N(AH684)*Settings!$B$8+N(AI684)*Settings!$B$9+N(AJ684)*Settings!$B$10)/AO684*1000)</f>
        <v/>
      </c>
      <c r="AY684" s="36" t="str">
        <f aca="false">IF(AS684="","",IFERROR(AS684/AVERAGEIFS('Post Tracker'!$AS$5:$AS$1004,'Post Tracker'!$G$5:$G$1004,G684),""))</f>
        <v/>
      </c>
      <c r="AZ684" s="32"/>
      <c r="BA684" s="32"/>
      <c r="BB684" s="32"/>
      <c r="BC684" s="32"/>
      <c r="BD684" s="33" t="str">
        <f aca="false">IF(A684="","",COUNTIFS('Demo Pipeline'!$Q$5:$Q$504,A684))</f>
        <v/>
      </c>
      <c r="BE684" s="33" t="str">
        <f aca="false">IF(A684="","",COUNTIFS('Demo Pipeline'!$Q$5:$Q$504,A684,'Demo Pipeline'!$W$5:$W$504,"Attended"))</f>
        <v/>
      </c>
      <c r="BF684" s="33" t="str">
        <f aca="false">IF(A684="","",COUNTIFS('Demo Pipeline'!$Q$5:$Q$504,A684,'Demo Pipeline'!$X$5:$X$504,"Yes"))</f>
        <v/>
      </c>
      <c r="BG684" s="33" t="str">
        <f aca="false">IF(A684="","",COUNTIFS('Demo Pipeline'!$Q$5:$Q$504,A684,'Demo Pipeline'!$Y$5:$Y$504,"Closed Won"))</f>
        <v/>
      </c>
      <c r="BH684" s="37" t="str">
        <f aca="false">IF(A684="","",SUMIFS('Demo Pipeline'!$Z$5:$Z$504,'Demo Pipeline'!$Q$5:$Q$504,A684))</f>
        <v/>
      </c>
      <c r="BI684" s="34" t="str">
        <f aca="false">IF(OR(AZ684="",N(AJ684)=0),"",AZ684/AJ684)</f>
        <v/>
      </c>
      <c r="BJ684" s="34" t="str">
        <f aca="false">IF(OR(BB684="",N(AZ684)=0),"",BB684/AZ684)</f>
        <v/>
      </c>
      <c r="BK684" s="34" t="str">
        <f aca="false">IF(OR(A684="",N(BB684)=0),"",BD684/BB684)</f>
        <v/>
      </c>
      <c r="BL684" s="34" t="str">
        <f aca="false">IF(OR(A684="",N(AZ684)=0),"",BD684/AZ684)</f>
        <v/>
      </c>
      <c r="BM684" s="37" t="str">
        <f aca="false">IF(OR(N(Q684)=0,N(BD684)=0),"",Q684/BD684)</f>
        <v/>
      </c>
      <c r="BN684" s="29"/>
      <c r="BO684" s="29"/>
      <c r="BP684" s="33" t="str">
        <f aca="false">IF(OR(AR684="",N(AO684)=0),"",AR684)</f>
        <v/>
      </c>
      <c r="BQ684" s="33" t="str">
        <f aca="false">IF(OR(AR684="",N(S684)=0),"",S684)</f>
        <v/>
      </c>
      <c r="BR684" s="38" t="str">
        <f aca="false">IF(AND(ISNUMBER(B684),B684&gt;=Dashboard!$C$4,B684&lt;=Dashboard!$F$4,ISNUMBER(AU684)),AU684+ROW()/10^9,"")</f>
        <v/>
      </c>
      <c r="BS684" s="38" t="str">
        <f aca="false">IF(AND(ISNUMBER(B684),B684&gt;=Dashboard!$C$4,B684&lt;=Dashboard!$F$4,A684&lt;&gt;""),N(BD684)+N(AU684)/100+ROW()/10^9,"")</f>
        <v/>
      </c>
    </row>
    <row r="685" customFormat="false" ht="15" hidden="false" customHeight="false" outlineLevel="0" collapsed="false">
      <c r="A685" s="24" t="str">
        <f aca="false">IF(OR(B685="",G685="",H685=""),"",IFERROR(INDEX(Settings!$E$5:$E$49,MATCH(G685,Settings!$D$5:$D$49,0))&amp;INDEX(Settings!$H$5:$H$47,MATCH(H685,Settings!$G$5:$G$47,0))&amp;"-"&amp;TEXT(B685,"yymmdd")&amp;"-"&amp;IF(C685="","0000",TEXT(C685,"hhmm")),"CHECK LISTS"))</f>
        <v/>
      </c>
      <c r="B685" s="39"/>
      <c r="C685" s="40"/>
      <c r="D685" s="24" t="str">
        <f aca="false">IF(B685="","",TEXT(B685,"ddd"))</f>
        <v/>
      </c>
      <c r="E685" s="27" t="str">
        <f aca="false">IF(B685="","",B685-WEEKDAY(B685,3))</f>
        <v/>
      </c>
      <c r="F685" s="24" t="str">
        <f aca="false">IF(B685="","",TEXT(B685,"yyyy-mm"))</f>
        <v/>
      </c>
      <c r="G685" s="29"/>
      <c r="H685" s="29"/>
      <c r="I685" s="29"/>
      <c r="J685" s="29"/>
      <c r="K685" s="29"/>
      <c r="L685" s="29"/>
      <c r="M685" s="29"/>
      <c r="N685" s="29"/>
      <c r="O685" s="29"/>
      <c r="P685" s="29"/>
      <c r="Q685" s="30"/>
      <c r="R685" s="29"/>
      <c r="S685" s="32"/>
      <c r="T685" s="29"/>
      <c r="U685" s="29"/>
      <c r="V685" s="24" t="str">
        <f aca="false">IF(A685="","",IFERROR(INDEX(Settings!$F$5:$F$49,MATCH(G685,Settings!$D$5:$D$49,0)),""))</f>
        <v/>
      </c>
      <c r="W685" s="24" t="str">
        <f aca="false">IF(A685="","",IF(OR(P685="",P685="Organic"),"social","paid_social"))</f>
        <v/>
      </c>
      <c r="X685" s="24" t="str">
        <f aca="false">IF(A685="","",IF(K685&lt;&gt;"",IFERROR(INDEX('Case Studies'!$C$5:$C$54,MATCH(K685,'Case Studies'!$B$5:$B$54,0))&amp;"","case-study"),IF(J685&lt;&gt;"",IFERROR(INDEX(Settings!$J$5:$J$55,MATCH(J685,Settings!$I$5:$I$55,0)),"general"),"general")))</f>
        <v/>
      </c>
      <c r="Y685" s="24" t="str">
        <f aca="false">IF(A685="","",LOWER(A685))</f>
        <v/>
      </c>
      <c r="Z685" s="24" t="str">
        <f aca="false">IF(A685="","",IF(T685="",Settings!$B$5,T685)&amp;IF(ISNUMBER(FIND("?",IF(T685="",Settings!$B$5,T685))),"&amp;","?")&amp;"utm_source="&amp;V685&amp;"&amp;utm_medium="&amp;W685&amp;"&amp;utm_campaign="&amp;X685&amp;"&amp;utm_content="&amp;Y685)</f>
        <v/>
      </c>
      <c r="AA685" s="29"/>
      <c r="AB685" s="39"/>
      <c r="AC685" s="32"/>
      <c r="AD685" s="32"/>
      <c r="AE685" s="32"/>
      <c r="AF685" s="32"/>
      <c r="AG685" s="32"/>
      <c r="AH685" s="32"/>
      <c r="AI685" s="32"/>
      <c r="AJ685" s="32"/>
      <c r="AK685" s="32"/>
      <c r="AL685" s="32"/>
      <c r="AM685" s="32"/>
      <c r="AN685" s="32"/>
      <c r="AO685" s="33" t="str">
        <f aca="false">IF(A685="","",IF(AD685&lt;&gt;"",AD685,IF(AC685&lt;&gt;"",AC685,"")))</f>
        <v/>
      </c>
      <c r="AP685" s="24" t="str">
        <f aca="false">IF(AO685="","",IF(AD685&lt;&gt;"","Reported reach","Impressions (proxy)"))</f>
        <v/>
      </c>
      <c r="AQ685" s="34" t="str">
        <f aca="false">IF(OR(AO685="",N(S685)=0),"",AO685/S685)</f>
        <v/>
      </c>
      <c r="AR685" s="33" t="str">
        <f aca="false">IF(A685="","",IF(COUNT(AF685:AJ685)=0,"",SUM(AF685:AJ685)))</f>
        <v/>
      </c>
      <c r="AS685" s="34" t="str">
        <f aca="false">IF(OR(AR685="",N(AO685)=0),"",AR685/AO685)</f>
        <v/>
      </c>
      <c r="AT685" s="34" t="str">
        <f aca="false">IF(OR(AR685="",N(AC685)=0),"",AR685/AC685)</f>
        <v/>
      </c>
      <c r="AU685" s="34" t="str">
        <f aca="false">IF(OR(AR685="",N(S685)=0),"",AR685/S685)</f>
        <v/>
      </c>
      <c r="AV685" s="34" t="str">
        <f aca="false">IF(OR(AJ685="",N(AC685)=0),"",AJ685/AC685)</f>
        <v/>
      </c>
      <c r="AW685" s="34" t="str">
        <f aca="false">IF(OR(AH685="",N(AO685)=0),"",AH685/AO685)</f>
        <v/>
      </c>
      <c r="AX685" s="35" t="str">
        <f aca="false">IF(OR(AR685="",N(AO685)=0),"",(N(AF685)*Settings!$B$6+N(AG685)*Settings!$B$7+N(AH685)*Settings!$B$8+N(AI685)*Settings!$B$9+N(AJ685)*Settings!$B$10)/AO685*1000)</f>
        <v/>
      </c>
      <c r="AY685" s="36" t="str">
        <f aca="false">IF(AS685="","",IFERROR(AS685/AVERAGEIFS('Post Tracker'!$AS$5:$AS$1004,'Post Tracker'!$G$5:$G$1004,G685),""))</f>
        <v/>
      </c>
      <c r="AZ685" s="32"/>
      <c r="BA685" s="32"/>
      <c r="BB685" s="32"/>
      <c r="BC685" s="32"/>
      <c r="BD685" s="33" t="str">
        <f aca="false">IF(A685="","",COUNTIFS('Demo Pipeline'!$Q$5:$Q$504,A685))</f>
        <v/>
      </c>
      <c r="BE685" s="33" t="str">
        <f aca="false">IF(A685="","",COUNTIFS('Demo Pipeline'!$Q$5:$Q$504,A685,'Demo Pipeline'!$W$5:$W$504,"Attended"))</f>
        <v/>
      </c>
      <c r="BF685" s="33" t="str">
        <f aca="false">IF(A685="","",COUNTIFS('Demo Pipeline'!$Q$5:$Q$504,A685,'Demo Pipeline'!$X$5:$X$504,"Yes"))</f>
        <v/>
      </c>
      <c r="BG685" s="33" t="str">
        <f aca="false">IF(A685="","",COUNTIFS('Demo Pipeline'!$Q$5:$Q$504,A685,'Demo Pipeline'!$Y$5:$Y$504,"Closed Won"))</f>
        <v/>
      </c>
      <c r="BH685" s="37" t="str">
        <f aca="false">IF(A685="","",SUMIFS('Demo Pipeline'!$Z$5:$Z$504,'Demo Pipeline'!$Q$5:$Q$504,A685))</f>
        <v/>
      </c>
      <c r="BI685" s="34" t="str">
        <f aca="false">IF(OR(AZ685="",N(AJ685)=0),"",AZ685/AJ685)</f>
        <v/>
      </c>
      <c r="BJ685" s="34" t="str">
        <f aca="false">IF(OR(BB685="",N(AZ685)=0),"",BB685/AZ685)</f>
        <v/>
      </c>
      <c r="BK685" s="34" t="str">
        <f aca="false">IF(OR(A685="",N(BB685)=0),"",BD685/BB685)</f>
        <v/>
      </c>
      <c r="BL685" s="34" t="str">
        <f aca="false">IF(OR(A685="",N(AZ685)=0),"",BD685/AZ685)</f>
        <v/>
      </c>
      <c r="BM685" s="37" t="str">
        <f aca="false">IF(OR(N(Q685)=0,N(BD685)=0),"",Q685/BD685)</f>
        <v/>
      </c>
      <c r="BN685" s="29"/>
      <c r="BO685" s="29"/>
      <c r="BP685" s="33" t="str">
        <f aca="false">IF(OR(AR685="",N(AO685)=0),"",AR685)</f>
        <v/>
      </c>
      <c r="BQ685" s="33" t="str">
        <f aca="false">IF(OR(AR685="",N(S685)=0),"",S685)</f>
        <v/>
      </c>
      <c r="BR685" s="38" t="str">
        <f aca="false">IF(AND(ISNUMBER(B685),B685&gt;=Dashboard!$C$4,B685&lt;=Dashboard!$F$4,ISNUMBER(AU685)),AU685+ROW()/10^9,"")</f>
        <v/>
      </c>
      <c r="BS685" s="38" t="str">
        <f aca="false">IF(AND(ISNUMBER(B685),B685&gt;=Dashboard!$C$4,B685&lt;=Dashboard!$F$4,A685&lt;&gt;""),N(BD685)+N(AU685)/100+ROW()/10^9,"")</f>
        <v/>
      </c>
    </row>
    <row r="686" customFormat="false" ht="15" hidden="false" customHeight="false" outlineLevel="0" collapsed="false">
      <c r="A686" s="24" t="str">
        <f aca="false">IF(OR(B686="",G686="",H686=""),"",IFERROR(INDEX(Settings!$E$5:$E$49,MATCH(G686,Settings!$D$5:$D$49,0))&amp;INDEX(Settings!$H$5:$H$47,MATCH(H686,Settings!$G$5:$G$47,0))&amp;"-"&amp;TEXT(B686,"yymmdd")&amp;"-"&amp;IF(C686="","0000",TEXT(C686,"hhmm")),"CHECK LISTS"))</f>
        <v/>
      </c>
      <c r="B686" s="39"/>
      <c r="C686" s="40"/>
      <c r="D686" s="24" t="str">
        <f aca="false">IF(B686="","",TEXT(B686,"ddd"))</f>
        <v/>
      </c>
      <c r="E686" s="27" t="str">
        <f aca="false">IF(B686="","",B686-WEEKDAY(B686,3))</f>
        <v/>
      </c>
      <c r="F686" s="24" t="str">
        <f aca="false">IF(B686="","",TEXT(B686,"yyyy-mm"))</f>
        <v/>
      </c>
      <c r="G686" s="29"/>
      <c r="H686" s="29"/>
      <c r="I686" s="29"/>
      <c r="J686" s="29"/>
      <c r="K686" s="29"/>
      <c r="L686" s="29"/>
      <c r="M686" s="29"/>
      <c r="N686" s="29"/>
      <c r="O686" s="29"/>
      <c r="P686" s="29"/>
      <c r="Q686" s="30"/>
      <c r="R686" s="29"/>
      <c r="S686" s="32"/>
      <c r="T686" s="29"/>
      <c r="U686" s="29"/>
      <c r="V686" s="24" t="str">
        <f aca="false">IF(A686="","",IFERROR(INDEX(Settings!$F$5:$F$49,MATCH(G686,Settings!$D$5:$D$49,0)),""))</f>
        <v/>
      </c>
      <c r="W686" s="24" t="str">
        <f aca="false">IF(A686="","",IF(OR(P686="",P686="Organic"),"social","paid_social"))</f>
        <v/>
      </c>
      <c r="X686" s="24" t="str">
        <f aca="false">IF(A686="","",IF(K686&lt;&gt;"",IFERROR(INDEX('Case Studies'!$C$5:$C$54,MATCH(K686,'Case Studies'!$B$5:$B$54,0))&amp;"","case-study"),IF(J686&lt;&gt;"",IFERROR(INDEX(Settings!$J$5:$J$55,MATCH(J686,Settings!$I$5:$I$55,0)),"general"),"general")))</f>
        <v/>
      </c>
      <c r="Y686" s="24" t="str">
        <f aca="false">IF(A686="","",LOWER(A686))</f>
        <v/>
      </c>
      <c r="Z686" s="24" t="str">
        <f aca="false">IF(A686="","",IF(T686="",Settings!$B$5,T686)&amp;IF(ISNUMBER(FIND("?",IF(T686="",Settings!$B$5,T686))),"&amp;","?")&amp;"utm_source="&amp;V686&amp;"&amp;utm_medium="&amp;W686&amp;"&amp;utm_campaign="&amp;X686&amp;"&amp;utm_content="&amp;Y686)</f>
        <v/>
      </c>
      <c r="AA686" s="29"/>
      <c r="AB686" s="39"/>
      <c r="AC686" s="32"/>
      <c r="AD686" s="32"/>
      <c r="AE686" s="32"/>
      <c r="AF686" s="32"/>
      <c r="AG686" s="32"/>
      <c r="AH686" s="32"/>
      <c r="AI686" s="32"/>
      <c r="AJ686" s="32"/>
      <c r="AK686" s="32"/>
      <c r="AL686" s="32"/>
      <c r="AM686" s="32"/>
      <c r="AN686" s="32"/>
      <c r="AO686" s="33" t="str">
        <f aca="false">IF(A686="","",IF(AD686&lt;&gt;"",AD686,IF(AC686&lt;&gt;"",AC686,"")))</f>
        <v/>
      </c>
      <c r="AP686" s="24" t="str">
        <f aca="false">IF(AO686="","",IF(AD686&lt;&gt;"","Reported reach","Impressions (proxy)"))</f>
        <v/>
      </c>
      <c r="AQ686" s="34" t="str">
        <f aca="false">IF(OR(AO686="",N(S686)=0),"",AO686/S686)</f>
        <v/>
      </c>
      <c r="AR686" s="33" t="str">
        <f aca="false">IF(A686="","",IF(COUNT(AF686:AJ686)=0,"",SUM(AF686:AJ686)))</f>
        <v/>
      </c>
      <c r="AS686" s="34" t="str">
        <f aca="false">IF(OR(AR686="",N(AO686)=0),"",AR686/AO686)</f>
        <v/>
      </c>
      <c r="AT686" s="34" t="str">
        <f aca="false">IF(OR(AR686="",N(AC686)=0),"",AR686/AC686)</f>
        <v/>
      </c>
      <c r="AU686" s="34" t="str">
        <f aca="false">IF(OR(AR686="",N(S686)=0),"",AR686/S686)</f>
        <v/>
      </c>
      <c r="AV686" s="34" t="str">
        <f aca="false">IF(OR(AJ686="",N(AC686)=0),"",AJ686/AC686)</f>
        <v/>
      </c>
      <c r="AW686" s="34" t="str">
        <f aca="false">IF(OR(AH686="",N(AO686)=0),"",AH686/AO686)</f>
        <v/>
      </c>
      <c r="AX686" s="35" t="str">
        <f aca="false">IF(OR(AR686="",N(AO686)=0),"",(N(AF686)*Settings!$B$6+N(AG686)*Settings!$B$7+N(AH686)*Settings!$B$8+N(AI686)*Settings!$B$9+N(AJ686)*Settings!$B$10)/AO686*1000)</f>
        <v/>
      </c>
      <c r="AY686" s="36" t="str">
        <f aca="false">IF(AS686="","",IFERROR(AS686/AVERAGEIFS('Post Tracker'!$AS$5:$AS$1004,'Post Tracker'!$G$5:$G$1004,G686),""))</f>
        <v/>
      </c>
      <c r="AZ686" s="32"/>
      <c r="BA686" s="32"/>
      <c r="BB686" s="32"/>
      <c r="BC686" s="32"/>
      <c r="BD686" s="33" t="str">
        <f aca="false">IF(A686="","",COUNTIFS('Demo Pipeline'!$Q$5:$Q$504,A686))</f>
        <v/>
      </c>
      <c r="BE686" s="33" t="str">
        <f aca="false">IF(A686="","",COUNTIFS('Demo Pipeline'!$Q$5:$Q$504,A686,'Demo Pipeline'!$W$5:$W$504,"Attended"))</f>
        <v/>
      </c>
      <c r="BF686" s="33" t="str">
        <f aca="false">IF(A686="","",COUNTIFS('Demo Pipeline'!$Q$5:$Q$504,A686,'Demo Pipeline'!$X$5:$X$504,"Yes"))</f>
        <v/>
      </c>
      <c r="BG686" s="33" t="str">
        <f aca="false">IF(A686="","",COUNTIFS('Demo Pipeline'!$Q$5:$Q$504,A686,'Demo Pipeline'!$Y$5:$Y$504,"Closed Won"))</f>
        <v/>
      </c>
      <c r="BH686" s="37" t="str">
        <f aca="false">IF(A686="","",SUMIFS('Demo Pipeline'!$Z$5:$Z$504,'Demo Pipeline'!$Q$5:$Q$504,A686))</f>
        <v/>
      </c>
      <c r="BI686" s="34" t="str">
        <f aca="false">IF(OR(AZ686="",N(AJ686)=0),"",AZ686/AJ686)</f>
        <v/>
      </c>
      <c r="BJ686" s="34" t="str">
        <f aca="false">IF(OR(BB686="",N(AZ686)=0),"",BB686/AZ686)</f>
        <v/>
      </c>
      <c r="BK686" s="34" t="str">
        <f aca="false">IF(OR(A686="",N(BB686)=0),"",BD686/BB686)</f>
        <v/>
      </c>
      <c r="BL686" s="34" t="str">
        <f aca="false">IF(OR(A686="",N(AZ686)=0),"",BD686/AZ686)</f>
        <v/>
      </c>
      <c r="BM686" s="37" t="str">
        <f aca="false">IF(OR(N(Q686)=0,N(BD686)=0),"",Q686/BD686)</f>
        <v/>
      </c>
      <c r="BN686" s="29"/>
      <c r="BO686" s="29"/>
      <c r="BP686" s="33" t="str">
        <f aca="false">IF(OR(AR686="",N(AO686)=0),"",AR686)</f>
        <v/>
      </c>
      <c r="BQ686" s="33" t="str">
        <f aca="false">IF(OR(AR686="",N(S686)=0),"",S686)</f>
        <v/>
      </c>
      <c r="BR686" s="38" t="str">
        <f aca="false">IF(AND(ISNUMBER(B686),B686&gt;=Dashboard!$C$4,B686&lt;=Dashboard!$F$4,ISNUMBER(AU686)),AU686+ROW()/10^9,"")</f>
        <v/>
      </c>
      <c r="BS686" s="38" t="str">
        <f aca="false">IF(AND(ISNUMBER(B686),B686&gt;=Dashboard!$C$4,B686&lt;=Dashboard!$F$4,A686&lt;&gt;""),N(BD686)+N(AU686)/100+ROW()/10^9,"")</f>
        <v/>
      </c>
    </row>
    <row r="687" customFormat="false" ht="15" hidden="false" customHeight="false" outlineLevel="0" collapsed="false">
      <c r="A687" s="24" t="str">
        <f aca="false">IF(OR(B687="",G687="",H687=""),"",IFERROR(INDEX(Settings!$E$5:$E$49,MATCH(G687,Settings!$D$5:$D$49,0))&amp;INDEX(Settings!$H$5:$H$47,MATCH(H687,Settings!$G$5:$G$47,0))&amp;"-"&amp;TEXT(B687,"yymmdd")&amp;"-"&amp;IF(C687="","0000",TEXT(C687,"hhmm")),"CHECK LISTS"))</f>
        <v/>
      </c>
      <c r="B687" s="39"/>
      <c r="C687" s="40"/>
      <c r="D687" s="24" t="str">
        <f aca="false">IF(B687="","",TEXT(B687,"ddd"))</f>
        <v/>
      </c>
      <c r="E687" s="27" t="str">
        <f aca="false">IF(B687="","",B687-WEEKDAY(B687,3))</f>
        <v/>
      </c>
      <c r="F687" s="24" t="str">
        <f aca="false">IF(B687="","",TEXT(B687,"yyyy-mm"))</f>
        <v/>
      </c>
      <c r="G687" s="29"/>
      <c r="H687" s="29"/>
      <c r="I687" s="29"/>
      <c r="J687" s="29"/>
      <c r="K687" s="29"/>
      <c r="L687" s="29"/>
      <c r="M687" s="29"/>
      <c r="N687" s="29"/>
      <c r="O687" s="29"/>
      <c r="P687" s="29"/>
      <c r="Q687" s="30"/>
      <c r="R687" s="29"/>
      <c r="S687" s="32"/>
      <c r="T687" s="29"/>
      <c r="U687" s="29"/>
      <c r="V687" s="24" t="str">
        <f aca="false">IF(A687="","",IFERROR(INDEX(Settings!$F$5:$F$49,MATCH(G687,Settings!$D$5:$D$49,0)),""))</f>
        <v/>
      </c>
      <c r="W687" s="24" t="str">
        <f aca="false">IF(A687="","",IF(OR(P687="",P687="Organic"),"social","paid_social"))</f>
        <v/>
      </c>
      <c r="X687" s="24" t="str">
        <f aca="false">IF(A687="","",IF(K687&lt;&gt;"",IFERROR(INDEX('Case Studies'!$C$5:$C$54,MATCH(K687,'Case Studies'!$B$5:$B$54,0))&amp;"","case-study"),IF(J687&lt;&gt;"",IFERROR(INDEX(Settings!$J$5:$J$55,MATCH(J687,Settings!$I$5:$I$55,0)),"general"),"general")))</f>
        <v/>
      </c>
      <c r="Y687" s="24" t="str">
        <f aca="false">IF(A687="","",LOWER(A687))</f>
        <v/>
      </c>
      <c r="Z687" s="24" t="str">
        <f aca="false">IF(A687="","",IF(T687="",Settings!$B$5,T687)&amp;IF(ISNUMBER(FIND("?",IF(T687="",Settings!$B$5,T687))),"&amp;","?")&amp;"utm_source="&amp;V687&amp;"&amp;utm_medium="&amp;W687&amp;"&amp;utm_campaign="&amp;X687&amp;"&amp;utm_content="&amp;Y687)</f>
        <v/>
      </c>
      <c r="AA687" s="29"/>
      <c r="AB687" s="39"/>
      <c r="AC687" s="32"/>
      <c r="AD687" s="32"/>
      <c r="AE687" s="32"/>
      <c r="AF687" s="32"/>
      <c r="AG687" s="32"/>
      <c r="AH687" s="32"/>
      <c r="AI687" s="32"/>
      <c r="AJ687" s="32"/>
      <c r="AK687" s="32"/>
      <c r="AL687" s="32"/>
      <c r="AM687" s="32"/>
      <c r="AN687" s="32"/>
      <c r="AO687" s="33" t="str">
        <f aca="false">IF(A687="","",IF(AD687&lt;&gt;"",AD687,IF(AC687&lt;&gt;"",AC687,"")))</f>
        <v/>
      </c>
      <c r="AP687" s="24" t="str">
        <f aca="false">IF(AO687="","",IF(AD687&lt;&gt;"","Reported reach","Impressions (proxy)"))</f>
        <v/>
      </c>
      <c r="AQ687" s="34" t="str">
        <f aca="false">IF(OR(AO687="",N(S687)=0),"",AO687/S687)</f>
        <v/>
      </c>
      <c r="AR687" s="33" t="str">
        <f aca="false">IF(A687="","",IF(COUNT(AF687:AJ687)=0,"",SUM(AF687:AJ687)))</f>
        <v/>
      </c>
      <c r="AS687" s="34" t="str">
        <f aca="false">IF(OR(AR687="",N(AO687)=0),"",AR687/AO687)</f>
        <v/>
      </c>
      <c r="AT687" s="34" t="str">
        <f aca="false">IF(OR(AR687="",N(AC687)=0),"",AR687/AC687)</f>
        <v/>
      </c>
      <c r="AU687" s="34" t="str">
        <f aca="false">IF(OR(AR687="",N(S687)=0),"",AR687/S687)</f>
        <v/>
      </c>
      <c r="AV687" s="34" t="str">
        <f aca="false">IF(OR(AJ687="",N(AC687)=0),"",AJ687/AC687)</f>
        <v/>
      </c>
      <c r="AW687" s="34" t="str">
        <f aca="false">IF(OR(AH687="",N(AO687)=0),"",AH687/AO687)</f>
        <v/>
      </c>
      <c r="AX687" s="35" t="str">
        <f aca="false">IF(OR(AR687="",N(AO687)=0),"",(N(AF687)*Settings!$B$6+N(AG687)*Settings!$B$7+N(AH687)*Settings!$B$8+N(AI687)*Settings!$B$9+N(AJ687)*Settings!$B$10)/AO687*1000)</f>
        <v/>
      </c>
      <c r="AY687" s="36" t="str">
        <f aca="false">IF(AS687="","",IFERROR(AS687/AVERAGEIFS('Post Tracker'!$AS$5:$AS$1004,'Post Tracker'!$G$5:$G$1004,G687),""))</f>
        <v/>
      </c>
      <c r="AZ687" s="32"/>
      <c r="BA687" s="32"/>
      <c r="BB687" s="32"/>
      <c r="BC687" s="32"/>
      <c r="BD687" s="33" t="str">
        <f aca="false">IF(A687="","",COUNTIFS('Demo Pipeline'!$Q$5:$Q$504,A687))</f>
        <v/>
      </c>
      <c r="BE687" s="33" t="str">
        <f aca="false">IF(A687="","",COUNTIFS('Demo Pipeline'!$Q$5:$Q$504,A687,'Demo Pipeline'!$W$5:$W$504,"Attended"))</f>
        <v/>
      </c>
      <c r="BF687" s="33" t="str">
        <f aca="false">IF(A687="","",COUNTIFS('Demo Pipeline'!$Q$5:$Q$504,A687,'Demo Pipeline'!$X$5:$X$504,"Yes"))</f>
        <v/>
      </c>
      <c r="BG687" s="33" t="str">
        <f aca="false">IF(A687="","",COUNTIFS('Demo Pipeline'!$Q$5:$Q$504,A687,'Demo Pipeline'!$Y$5:$Y$504,"Closed Won"))</f>
        <v/>
      </c>
      <c r="BH687" s="37" t="str">
        <f aca="false">IF(A687="","",SUMIFS('Demo Pipeline'!$Z$5:$Z$504,'Demo Pipeline'!$Q$5:$Q$504,A687))</f>
        <v/>
      </c>
      <c r="BI687" s="34" t="str">
        <f aca="false">IF(OR(AZ687="",N(AJ687)=0),"",AZ687/AJ687)</f>
        <v/>
      </c>
      <c r="BJ687" s="34" t="str">
        <f aca="false">IF(OR(BB687="",N(AZ687)=0),"",BB687/AZ687)</f>
        <v/>
      </c>
      <c r="BK687" s="34" t="str">
        <f aca="false">IF(OR(A687="",N(BB687)=0),"",BD687/BB687)</f>
        <v/>
      </c>
      <c r="BL687" s="34" t="str">
        <f aca="false">IF(OR(A687="",N(AZ687)=0),"",BD687/AZ687)</f>
        <v/>
      </c>
      <c r="BM687" s="37" t="str">
        <f aca="false">IF(OR(N(Q687)=0,N(BD687)=0),"",Q687/BD687)</f>
        <v/>
      </c>
      <c r="BN687" s="29"/>
      <c r="BO687" s="29"/>
      <c r="BP687" s="33" t="str">
        <f aca="false">IF(OR(AR687="",N(AO687)=0),"",AR687)</f>
        <v/>
      </c>
      <c r="BQ687" s="33" t="str">
        <f aca="false">IF(OR(AR687="",N(S687)=0),"",S687)</f>
        <v/>
      </c>
      <c r="BR687" s="38" t="str">
        <f aca="false">IF(AND(ISNUMBER(B687),B687&gt;=Dashboard!$C$4,B687&lt;=Dashboard!$F$4,ISNUMBER(AU687)),AU687+ROW()/10^9,"")</f>
        <v/>
      </c>
      <c r="BS687" s="38" t="str">
        <f aca="false">IF(AND(ISNUMBER(B687),B687&gt;=Dashboard!$C$4,B687&lt;=Dashboard!$F$4,A687&lt;&gt;""),N(BD687)+N(AU687)/100+ROW()/10^9,"")</f>
        <v/>
      </c>
    </row>
    <row r="688" customFormat="false" ht="15" hidden="false" customHeight="false" outlineLevel="0" collapsed="false">
      <c r="A688" s="24" t="str">
        <f aca="false">IF(OR(B688="",G688="",H688=""),"",IFERROR(INDEX(Settings!$E$5:$E$49,MATCH(G688,Settings!$D$5:$D$49,0))&amp;INDEX(Settings!$H$5:$H$47,MATCH(H688,Settings!$G$5:$G$47,0))&amp;"-"&amp;TEXT(B688,"yymmdd")&amp;"-"&amp;IF(C688="","0000",TEXT(C688,"hhmm")),"CHECK LISTS"))</f>
        <v/>
      </c>
      <c r="B688" s="39"/>
      <c r="C688" s="40"/>
      <c r="D688" s="24" t="str">
        <f aca="false">IF(B688="","",TEXT(B688,"ddd"))</f>
        <v/>
      </c>
      <c r="E688" s="27" t="str">
        <f aca="false">IF(B688="","",B688-WEEKDAY(B688,3))</f>
        <v/>
      </c>
      <c r="F688" s="24" t="str">
        <f aca="false">IF(B688="","",TEXT(B688,"yyyy-mm"))</f>
        <v/>
      </c>
      <c r="G688" s="29"/>
      <c r="H688" s="29"/>
      <c r="I688" s="29"/>
      <c r="J688" s="29"/>
      <c r="K688" s="29"/>
      <c r="L688" s="29"/>
      <c r="M688" s="29"/>
      <c r="N688" s="29"/>
      <c r="O688" s="29"/>
      <c r="P688" s="29"/>
      <c r="Q688" s="30"/>
      <c r="R688" s="29"/>
      <c r="S688" s="32"/>
      <c r="T688" s="29"/>
      <c r="U688" s="29"/>
      <c r="V688" s="24" t="str">
        <f aca="false">IF(A688="","",IFERROR(INDEX(Settings!$F$5:$F$49,MATCH(G688,Settings!$D$5:$D$49,0)),""))</f>
        <v/>
      </c>
      <c r="W688" s="24" t="str">
        <f aca="false">IF(A688="","",IF(OR(P688="",P688="Organic"),"social","paid_social"))</f>
        <v/>
      </c>
      <c r="X688" s="24" t="str">
        <f aca="false">IF(A688="","",IF(K688&lt;&gt;"",IFERROR(INDEX('Case Studies'!$C$5:$C$54,MATCH(K688,'Case Studies'!$B$5:$B$54,0))&amp;"","case-study"),IF(J688&lt;&gt;"",IFERROR(INDEX(Settings!$J$5:$J$55,MATCH(J688,Settings!$I$5:$I$55,0)),"general"),"general")))</f>
        <v/>
      </c>
      <c r="Y688" s="24" t="str">
        <f aca="false">IF(A688="","",LOWER(A688))</f>
        <v/>
      </c>
      <c r="Z688" s="24" t="str">
        <f aca="false">IF(A688="","",IF(T688="",Settings!$B$5,T688)&amp;IF(ISNUMBER(FIND("?",IF(T688="",Settings!$B$5,T688))),"&amp;","?")&amp;"utm_source="&amp;V688&amp;"&amp;utm_medium="&amp;W688&amp;"&amp;utm_campaign="&amp;X688&amp;"&amp;utm_content="&amp;Y688)</f>
        <v/>
      </c>
      <c r="AA688" s="29"/>
      <c r="AB688" s="39"/>
      <c r="AC688" s="32"/>
      <c r="AD688" s="32"/>
      <c r="AE688" s="32"/>
      <c r="AF688" s="32"/>
      <c r="AG688" s="32"/>
      <c r="AH688" s="32"/>
      <c r="AI688" s="32"/>
      <c r="AJ688" s="32"/>
      <c r="AK688" s="32"/>
      <c r="AL688" s="32"/>
      <c r="AM688" s="32"/>
      <c r="AN688" s="32"/>
      <c r="AO688" s="33" t="str">
        <f aca="false">IF(A688="","",IF(AD688&lt;&gt;"",AD688,IF(AC688&lt;&gt;"",AC688,"")))</f>
        <v/>
      </c>
      <c r="AP688" s="24" t="str">
        <f aca="false">IF(AO688="","",IF(AD688&lt;&gt;"","Reported reach","Impressions (proxy)"))</f>
        <v/>
      </c>
      <c r="AQ688" s="34" t="str">
        <f aca="false">IF(OR(AO688="",N(S688)=0),"",AO688/S688)</f>
        <v/>
      </c>
      <c r="AR688" s="33" t="str">
        <f aca="false">IF(A688="","",IF(COUNT(AF688:AJ688)=0,"",SUM(AF688:AJ688)))</f>
        <v/>
      </c>
      <c r="AS688" s="34" t="str">
        <f aca="false">IF(OR(AR688="",N(AO688)=0),"",AR688/AO688)</f>
        <v/>
      </c>
      <c r="AT688" s="34" t="str">
        <f aca="false">IF(OR(AR688="",N(AC688)=0),"",AR688/AC688)</f>
        <v/>
      </c>
      <c r="AU688" s="34" t="str">
        <f aca="false">IF(OR(AR688="",N(S688)=0),"",AR688/S688)</f>
        <v/>
      </c>
      <c r="AV688" s="34" t="str">
        <f aca="false">IF(OR(AJ688="",N(AC688)=0),"",AJ688/AC688)</f>
        <v/>
      </c>
      <c r="AW688" s="34" t="str">
        <f aca="false">IF(OR(AH688="",N(AO688)=0),"",AH688/AO688)</f>
        <v/>
      </c>
      <c r="AX688" s="35" t="str">
        <f aca="false">IF(OR(AR688="",N(AO688)=0),"",(N(AF688)*Settings!$B$6+N(AG688)*Settings!$B$7+N(AH688)*Settings!$B$8+N(AI688)*Settings!$B$9+N(AJ688)*Settings!$B$10)/AO688*1000)</f>
        <v/>
      </c>
      <c r="AY688" s="36" t="str">
        <f aca="false">IF(AS688="","",IFERROR(AS688/AVERAGEIFS('Post Tracker'!$AS$5:$AS$1004,'Post Tracker'!$G$5:$G$1004,G688),""))</f>
        <v/>
      </c>
      <c r="AZ688" s="32"/>
      <c r="BA688" s="32"/>
      <c r="BB688" s="32"/>
      <c r="BC688" s="32"/>
      <c r="BD688" s="33" t="str">
        <f aca="false">IF(A688="","",COUNTIFS('Demo Pipeline'!$Q$5:$Q$504,A688))</f>
        <v/>
      </c>
      <c r="BE688" s="33" t="str">
        <f aca="false">IF(A688="","",COUNTIFS('Demo Pipeline'!$Q$5:$Q$504,A688,'Demo Pipeline'!$W$5:$W$504,"Attended"))</f>
        <v/>
      </c>
      <c r="BF688" s="33" t="str">
        <f aca="false">IF(A688="","",COUNTIFS('Demo Pipeline'!$Q$5:$Q$504,A688,'Demo Pipeline'!$X$5:$X$504,"Yes"))</f>
        <v/>
      </c>
      <c r="BG688" s="33" t="str">
        <f aca="false">IF(A688="","",COUNTIFS('Demo Pipeline'!$Q$5:$Q$504,A688,'Demo Pipeline'!$Y$5:$Y$504,"Closed Won"))</f>
        <v/>
      </c>
      <c r="BH688" s="37" t="str">
        <f aca="false">IF(A688="","",SUMIFS('Demo Pipeline'!$Z$5:$Z$504,'Demo Pipeline'!$Q$5:$Q$504,A688))</f>
        <v/>
      </c>
      <c r="BI688" s="34" t="str">
        <f aca="false">IF(OR(AZ688="",N(AJ688)=0),"",AZ688/AJ688)</f>
        <v/>
      </c>
      <c r="BJ688" s="34" t="str">
        <f aca="false">IF(OR(BB688="",N(AZ688)=0),"",BB688/AZ688)</f>
        <v/>
      </c>
      <c r="BK688" s="34" t="str">
        <f aca="false">IF(OR(A688="",N(BB688)=0),"",BD688/BB688)</f>
        <v/>
      </c>
      <c r="BL688" s="34" t="str">
        <f aca="false">IF(OR(A688="",N(AZ688)=0),"",BD688/AZ688)</f>
        <v/>
      </c>
      <c r="BM688" s="37" t="str">
        <f aca="false">IF(OR(N(Q688)=0,N(BD688)=0),"",Q688/BD688)</f>
        <v/>
      </c>
      <c r="BN688" s="29"/>
      <c r="BO688" s="29"/>
      <c r="BP688" s="33" t="str">
        <f aca="false">IF(OR(AR688="",N(AO688)=0),"",AR688)</f>
        <v/>
      </c>
      <c r="BQ688" s="33" t="str">
        <f aca="false">IF(OR(AR688="",N(S688)=0),"",S688)</f>
        <v/>
      </c>
      <c r="BR688" s="38" t="str">
        <f aca="false">IF(AND(ISNUMBER(B688),B688&gt;=Dashboard!$C$4,B688&lt;=Dashboard!$F$4,ISNUMBER(AU688)),AU688+ROW()/10^9,"")</f>
        <v/>
      </c>
      <c r="BS688" s="38" t="str">
        <f aca="false">IF(AND(ISNUMBER(B688),B688&gt;=Dashboard!$C$4,B688&lt;=Dashboard!$F$4,A688&lt;&gt;""),N(BD688)+N(AU688)/100+ROW()/10^9,"")</f>
        <v/>
      </c>
    </row>
    <row r="689" customFormat="false" ht="15" hidden="false" customHeight="false" outlineLevel="0" collapsed="false">
      <c r="A689" s="24" t="str">
        <f aca="false">IF(OR(B689="",G689="",H689=""),"",IFERROR(INDEX(Settings!$E$5:$E$49,MATCH(G689,Settings!$D$5:$D$49,0))&amp;INDEX(Settings!$H$5:$H$47,MATCH(H689,Settings!$G$5:$G$47,0))&amp;"-"&amp;TEXT(B689,"yymmdd")&amp;"-"&amp;IF(C689="","0000",TEXT(C689,"hhmm")),"CHECK LISTS"))</f>
        <v/>
      </c>
      <c r="B689" s="39"/>
      <c r="C689" s="40"/>
      <c r="D689" s="24" t="str">
        <f aca="false">IF(B689="","",TEXT(B689,"ddd"))</f>
        <v/>
      </c>
      <c r="E689" s="27" t="str">
        <f aca="false">IF(B689="","",B689-WEEKDAY(B689,3))</f>
        <v/>
      </c>
      <c r="F689" s="24" t="str">
        <f aca="false">IF(B689="","",TEXT(B689,"yyyy-mm"))</f>
        <v/>
      </c>
      <c r="G689" s="29"/>
      <c r="H689" s="29"/>
      <c r="I689" s="29"/>
      <c r="J689" s="29"/>
      <c r="K689" s="29"/>
      <c r="L689" s="29"/>
      <c r="M689" s="29"/>
      <c r="N689" s="29"/>
      <c r="O689" s="29"/>
      <c r="P689" s="29"/>
      <c r="Q689" s="30"/>
      <c r="R689" s="29"/>
      <c r="S689" s="32"/>
      <c r="T689" s="29"/>
      <c r="U689" s="29"/>
      <c r="V689" s="24" t="str">
        <f aca="false">IF(A689="","",IFERROR(INDEX(Settings!$F$5:$F$49,MATCH(G689,Settings!$D$5:$D$49,0)),""))</f>
        <v/>
      </c>
      <c r="W689" s="24" t="str">
        <f aca="false">IF(A689="","",IF(OR(P689="",P689="Organic"),"social","paid_social"))</f>
        <v/>
      </c>
      <c r="X689" s="24" t="str">
        <f aca="false">IF(A689="","",IF(K689&lt;&gt;"",IFERROR(INDEX('Case Studies'!$C$5:$C$54,MATCH(K689,'Case Studies'!$B$5:$B$54,0))&amp;"","case-study"),IF(J689&lt;&gt;"",IFERROR(INDEX(Settings!$J$5:$J$55,MATCH(J689,Settings!$I$5:$I$55,0)),"general"),"general")))</f>
        <v/>
      </c>
      <c r="Y689" s="24" t="str">
        <f aca="false">IF(A689="","",LOWER(A689))</f>
        <v/>
      </c>
      <c r="Z689" s="24" t="str">
        <f aca="false">IF(A689="","",IF(T689="",Settings!$B$5,T689)&amp;IF(ISNUMBER(FIND("?",IF(T689="",Settings!$B$5,T689))),"&amp;","?")&amp;"utm_source="&amp;V689&amp;"&amp;utm_medium="&amp;W689&amp;"&amp;utm_campaign="&amp;X689&amp;"&amp;utm_content="&amp;Y689)</f>
        <v/>
      </c>
      <c r="AA689" s="29"/>
      <c r="AB689" s="39"/>
      <c r="AC689" s="32"/>
      <c r="AD689" s="32"/>
      <c r="AE689" s="32"/>
      <c r="AF689" s="32"/>
      <c r="AG689" s="32"/>
      <c r="AH689" s="32"/>
      <c r="AI689" s="32"/>
      <c r="AJ689" s="32"/>
      <c r="AK689" s="32"/>
      <c r="AL689" s="32"/>
      <c r="AM689" s="32"/>
      <c r="AN689" s="32"/>
      <c r="AO689" s="33" t="str">
        <f aca="false">IF(A689="","",IF(AD689&lt;&gt;"",AD689,IF(AC689&lt;&gt;"",AC689,"")))</f>
        <v/>
      </c>
      <c r="AP689" s="24" t="str">
        <f aca="false">IF(AO689="","",IF(AD689&lt;&gt;"","Reported reach","Impressions (proxy)"))</f>
        <v/>
      </c>
      <c r="AQ689" s="34" t="str">
        <f aca="false">IF(OR(AO689="",N(S689)=0),"",AO689/S689)</f>
        <v/>
      </c>
      <c r="AR689" s="33" t="str">
        <f aca="false">IF(A689="","",IF(COUNT(AF689:AJ689)=0,"",SUM(AF689:AJ689)))</f>
        <v/>
      </c>
      <c r="AS689" s="34" t="str">
        <f aca="false">IF(OR(AR689="",N(AO689)=0),"",AR689/AO689)</f>
        <v/>
      </c>
      <c r="AT689" s="34" t="str">
        <f aca="false">IF(OR(AR689="",N(AC689)=0),"",AR689/AC689)</f>
        <v/>
      </c>
      <c r="AU689" s="34" t="str">
        <f aca="false">IF(OR(AR689="",N(S689)=0),"",AR689/S689)</f>
        <v/>
      </c>
      <c r="AV689" s="34" t="str">
        <f aca="false">IF(OR(AJ689="",N(AC689)=0),"",AJ689/AC689)</f>
        <v/>
      </c>
      <c r="AW689" s="34" t="str">
        <f aca="false">IF(OR(AH689="",N(AO689)=0),"",AH689/AO689)</f>
        <v/>
      </c>
      <c r="AX689" s="35" t="str">
        <f aca="false">IF(OR(AR689="",N(AO689)=0),"",(N(AF689)*Settings!$B$6+N(AG689)*Settings!$B$7+N(AH689)*Settings!$B$8+N(AI689)*Settings!$B$9+N(AJ689)*Settings!$B$10)/AO689*1000)</f>
        <v/>
      </c>
      <c r="AY689" s="36" t="str">
        <f aca="false">IF(AS689="","",IFERROR(AS689/AVERAGEIFS('Post Tracker'!$AS$5:$AS$1004,'Post Tracker'!$G$5:$G$1004,G689),""))</f>
        <v/>
      </c>
      <c r="AZ689" s="32"/>
      <c r="BA689" s="32"/>
      <c r="BB689" s="32"/>
      <c r="BC689" s="32"/>
      <c r="BD689" s="33" t="str">
        <f aca="false">IF(A689="","",COUNTIFS('Demo Pipeline'!$Q$5:$Q$504,A689))</f>
        <v/>
      </c>
      <c r="BE689" s="33" t="str">
        <f aca="false">IF(A689="","",COUNTIFS('Demo Pipeline'!$Q$5:$Q$504,A689,'Demo Pipeline'!$W$5:$W$504,"Attended"))</f>
        <v/>
      </c>
      <c r="BF689" s="33" t="str">
        <f aca="false">IF(A689="","",COUNTIFS('Demo Pipeline'!$Q$5:$Q$504,A689,'Demo Pipeline'!$X$5:$X$504,"Yes"))</f>
        <v/>
      </c>
      <c r="BG689" s="33" t="str">
        <f aca="false">IF(A689="","",COUNTIFS('Demo Pipeline'!$Q$5:$Q$504,A689,'Demo Pipeline'!$Y$5:$Y$504,"Closed Won"))</f>
        <v/>
      </c>
      <c r="BH689" s="37" t="str">
        <f aca="false">IF(A689="","",SUMIFS('Demo Pipeline'!$Z$5:$Z$504,'Demo Pipeline'!$Q$5:$Q$504,A689))</f>
        <v/>
      </c>
      <c r="BI689" s="34" t="str">
        <f aca="false">IF(OR(AZ689="",N(AJ689)=0),"",AZ689/AJ689)</f>
        <v/>
      </c>
      <c r="BJ689" s="34" t="str">
        <f aca="false">IF(OR(BB689="",N(AZ689)=0),"",BB689/AZ689)</f>
        <v/>
      </c>
      <c r="BK689" s="34" t="str">
        <f aca="false">IF(OR(A689="",N(BB689)=0),"",BD689/BB689)</f>
        <v/>
      </c>
      <c r="BL689" s="34" t="str">
        <f aca="false">IF(OR(A689="",N(AZ689)=0),"",BD689/AZ689)</f>
        <v/>
      </c>
      <c r="BM689" s="37" t="str">
        <f aca="false">IF(OR(N(Q689)=0,N(BD689)=0),"",Q689/BD689)</f>
        <v/>
      </c>
      <c r="BN689" s="29"/>
      <c r="BO689" s="29"/>
      <c r="BP689" s="33" t="str">
        <f aca="false">IF(OR(AR689="",N(AO689)=0),"",AR689)</f>
        <v/>
      </c>
      <c r="BQ689" s="33" t="str">
        <f aca="false">IF(OR(AR689="",N(S689)=0),"",S689)</f>
        <v/>
      </c>
      <c r="BR689" s="38" t="str">
        <f aca="false">IF(AND(ISNUMBER(B689),B689&gt;=Dashboard!$C$4,B689&lt;=Dashboard!$F$4,ISNUMBER(AU689)),AU689+ROW()/10^9,"")</f>
        <v/>
      </c>
      <c r="BS689" s="38" t="str">
        <f aca="false">IF(AND(ISNUMBER(B689),B689&gt;=Dashboard!$C$4,B689&lt;=Dashboard!$F$4,A689&lt;&gt;""),N(BD689)+N(AU689)/100+ROW()/10^9,"")</f>
        <v/>
      </c>
    </row>
    <row r="690" customFormat="false" ht="15" hidden="false" customHeight="false" outlineLevel="0" collapsed="false">
      <c r="A690" s="24" t="str">
        <f aca="false">IF(OR(B690="",G690="",H690=""),"",IFERROR(INDEX(Settings!$E$5:$E$49,MATCH(G690,Settings!$D$5:$D$49,0))&amp;INDEX(Settings!$H$5:$H$47,MATCH(H690,Settings!$G$5:$G$47,0))&amp;"-"&amp;TEXT(B690,"yymmdd")&amp;"-"&amp;IF(C690="","0000",TEXT(C690,"hhmm")),"CHECK LISTS"))</f>
        <v/>
      </c>
      <c r="B690" s="39"/>
      <c r="C690" s="40"/>
      <c r="D690" s="24" t="str">
        <f aca="false">IF(B690="","",TEXT(B690,"ddd"))</f>
        <v/>
      </c>
      <c r="E690" s="27" t="str">
        <f aca="false">IF(B690="","",B690-WEEKDAY(B690,3))</f>
        <v/>
      </c>
      <c r="F690" s="24" t="str">
        <f aca="false">IF(B690="","",TEXT(B690,"yyyy-mm"))</f>
        <v/>
      </c>
      <c r="G690" s="29"/>
      <c r="H690" s="29"/>
      <c r="I690" s="29"/>
      <c r="J690" s="29"/>
      <c r="K690" s="29"/>
      <c r="L690" s="29"/>
      <c r="M690" s="29"/>
      <c r="N690" s="29"/>
      <c r="O690" s="29"/>
      <c r="P690" s="29"/>
      <c r="Q690" s="30"/>
      <c r="R690" s="29"/>
      <c r="S690" s="32"/>
      <c r="T690" s="29"/>
      <c r="U690" s="29"/>
      <c r="V690" s="24" t="str">
        <f aca="false">IF(A690="","",IFERROR(INDEX(Settings!$F$5:$F$49,MATCH(G690,Settings!$D$5:$D$49,0)),""))</f>
        <v/>
      </c>
      <c r="W690" s="24" t="str">
        <f aca="false">IF(A690="","",IF(OR(P690="",P690="Organic"),"social","paid_social"))</f>
        <v/>
      </c>
      <c r="X690" s="24" t="str">
        <f aca="false">IF(A690="","",IF(K690&lt;&gt;"",IFERROR(INDEX('Case Studies'!$C$5:$C$54,MATCH(K690,'Case Studies'!$B$5:$B$54,0))&amp;"","case-study"),IF(J690&lt;&gt;"",IFERROR(INDEX(Settings!$J$5:$J$55,MATCH(J690,Settings!$I$5:$I$55,0)),"general"),"general")))</f>
        <v/>
      </c>
      <c r="Y690" s="24" t="str">
        <f aca="false">IF(A690="","",LOWER(A690))</f>
        <v/>
      </c>
      <c r="Z690" s="24" t="str">
        <f aca="false">IF(A690="","",IF(T690="",Settings!$B$5,T690)&amp;IF(ISNUMBER(FIND("?",IF(T690="",Settings!$B$5,T690))),"&amp;","?")&amp;"utm_source="&amp;V690&amp;"&amp;utm_medium="&amp;W690&amp;"&amp;utm_campaign="&amp;X690&amp;"&amp;utm_content="&amp;Y690)</f>
        <v/>
      </c>
      <c r="AA690" s="29"/>
      <c r="AB690" s="39"/>
      <c r="AC690" s="32"/>
      <c r="AD690" s="32"/>
      <c r="AE690" s="32"/>
      <c r="AF690" s="32"/>
      <c r="AG690" s="32"/>
      <c r="AH690" s="32"/>
      <c r="AI690" s="32"/>
      <c r="AJ690" s="32"/>
      <c r="AK690" s="32"/>
      <c r="AL690" s="32"/>
      <c r="AM690" s="32"/>
      <c r="AN690" s="32"/>
      <c r="AO690" s="33" t="str">
        <f aca="false">IF(A690="","",IF(AD690&lt;&gt;"",AD690,IF(AC690&lt;&gt;"",AC690,"")))</f>
        <v/>
      </c>
      <c r="AP690" s="24" t="str">
        <f aca="false">IF(AO690="","",IF(AD690&lt;&gt;"","Reported reach","Impressions (proxy)"))</f>
        <v/>
      </c>
      <c r="AQ690" s="34" t="str">
        <f aca="false">IF(OR(AO690="",N(S690)=0),"",AO690/S690)</f>
        <v/>
      </c>
      <c r="AR690" s="33" t="str">
        <f aca="false">IF(A690="","",IF(COUNT(AF690:AJ690)=0,"",SUM(AF690:AJ690)))</f>
        <v/>
      </c>
      <c r="AS690" s="34" t="str">
        <f aca="false">IF(OR(AR690="",N(AO690)=0),"",AR690/AO690)</f>
        <v/>
      </c>
      <c r="AT690" s="34" t="str">
        <f aca="false">IF(OR(AR690="",N(AC690)=0),"",AR690/AC690)</f>
        <v/>
      </c>
      <c r="AU690" s="34" t="str">
        <f aca="false">IF(OR(AR690="",N(S690)=0),"",AR690/S690)</f>
        <v/>
      </c>
      <c r="AV690" s="34" t="str">
        <f aca="false">IF(OR(AJ690="",N(AC690)=0),"",AJ690/AC690)</f>
        <v/>
      </c>
      <c r="AW690" s="34" t="str">
        <f aca="false">IF(OR(AH690="",N(AO690)=0),"",AH690/AO690)</f>
        <v/>
      </c>
      <c r="AX690" s="35" t="str">
        <f aca="false">IF(OR(AR690="",N(AO690)=0),"",(N(AF690)*Settings!$B$6+N(AG690)*Settings!$B$7+N(AH690)*Settings!$B$8+N(AI690)*Settings!$B$9+N(AJ690)*Settings!$B$10)/AO690*1000)</f>
        <v/>
      </c>
      <c r="AY690" s="36" t="str">
        <f aca="false">IF(AS690="","",IFERROR(AS690/AVERAGEIFS('Post Tracker'!$AS$5:$AS$1004,'Post Tracker'!$G$5:$G$1004,G690),""))</f>
        <v/>
      </c>
      <c r="AZ690" s="32"/>
      <c r="BA690" s="32"/>
      <c r="BB690" s="32"/>
      <c r="BC690" s="32"/>
      <c r="BD690" s="33" t="str">
        <f aca="false">IF(A690="","",COUNTIFS('Demo Pipeline'!$Q$5:$Q$504,A690))</f>
        <v/>
      </c>
      <c r="BE690" s="33" t="str">
        <f aca="false">IF(A690="","",COUNTIFS('Demo Pipeline'!$Q$5:$Q$504,A690,'Demo Pipeline'!$W$5:$W$504,"Attended"))</f>
        <v/>
      </c>
      <c r="BF690" s="33" t="str">
        <f aca="false">IF(A690="","",COUNTIFS('Demo Pipeline'!$Q$5:$Q$504,A690,'Demo Pipeline'!$X$5:$X$504,"Yes"))</f>
        <v/>
      </c>
      <c r="BG690" s="33" t="str">
        <f aca="false">IF(A690="","",COUNTIFS('Demo Pipeline'!$Q$5:$Q$504,A690,'Demo Pipeline'!$Y$5:$Y$504,"Closed Won"))</f>
        <v/>
      </c>
      <c r="BH690" s="37" t="str">
        <f aca="false">IF(A690="","",SUMIFS('Demo Pipeline'!$Z$5:$Z$504,'Demo Pipeline'!$Q$5:$Q$504,A690))</f>
        <v/>
      </c>
      <c r="BI690" s="34" t="str">
        <f aca="false">IF(OR(AZ690="",N(AJ690)=0),"",AZ690/AJ690)</f>
        <v/>
      </c>
      <c r="BJ690" s="34" t="str">
        <f aca="false">IF(OR(BB690="",N(AZ690)=0),"",BB690/AZ690)</f>
        <v/>
      </c>
      <c r="BK690" s="34" t="str">
        <f aca="false">IF(OR(A690="",N(BB690)=0),"",BD690/BB690)</f>
        <v/>
      </c>
      <c r="BL690" s="34" t="str">
        <f aca="false">IF(OR(A690="",N(AZ690)=0),"",BD690/AZ690)</f>
        <v/>
      </c>
      <c r="BM690" s="37" t="str">
        <f aca="false">IF(OR(N(Q690)=0,N(BD690)=0),"",Q690/BD690)</f>
        <v/>
      </c>
      <c r="BN690" s="29"/>
      <c r="BO690" s="29"/>
      <c r="BP690" s="33" t="str">
        <f aca="false">IF(OR(AR690="",N(AO690)=0),"",AR690)</f>
        <v/>
      </c>
      <c r="BQ690" s="33" t="str">
        <f aca="false">IF(OR(AR690="",N(S690)=0),"",S690)</f>
        <v/>
      </c>
      <c r="BR690" s="38" t="str">
        <f aca="false">IF(AND(ISNUMBER(B690),B690&gt;=Dashboard!$C$4,B690&lt;=Dashboard!$F$4,ISNUMBER(AU690)),AU690+ROW()/10^9,"")</f>
        <v/>
      </c>
      <c r="BS690" s="38" t="str">
        <f aca="false">IF(AND(ISNUMBER(B690),B690&gt;=Dashboard!$C$4,B690&lt;=Dashboard!$F$4,A690&lt;&gt;""),N(BD690)+N(AU690)/100+ROW()/10^9,"")</f>
        <v/>
      </c>
    </row>
    <row r="691" customFormat="false" ht="15" hidden="false" customHeight="false" outlineLevel="0" collapsed="false">
      <c r="A691" s="24" t="str">
        <f aca="false">IF(OR(B691="",G691="",H691=""),"",IFERROR(INDEX(Settings!$E$5:$E$49,MATCH(G691,Settings!$D$5:$D$49,0))&amp;INDEX(Settings!$H$5:$H$47,MATCH(H691,Settings!$G$5:$G$47,0))&amp;"-"&amp;TEXT(B691,"yymmdd")&amp;"-"&amp;IF(C691="","0000",TEXT(C691,"hhmm")),"CHECK LISTS"))</f>
        <v/>
      </c>
      <c r="B691" s="39"/>
      <c r="C691" s="40"/>
      <c r="D691" s="24" t="str">
        <f aca="false">IF(B691="","",TEXT(B691,"ddd"))</f>
        <v/>
      </c>
      <c r="E691" s="27" t="str">
        <f aca="false">IF(B691="","",B691-WEEKDAY(B691,3))</f>
        <v/>
      </c>
      <c r="F691" s="24" t="str">
        <f aca="false">IF(B691="","",TEXT(B691,"yyyy-mm"))</f>
        <v/>
      </c>
      <c r="G691" s="29"/>
      <c r="H691" s="29"/>
      <c r="I691" s="29"/>
      <c r="J691" s="29"/>
      <c r="K691" s="29"/>
      <c r="L691" s="29"/>
      <c r="M691" s="29"/>
      <c r="N691" s="29"/>
      <c r="O691" s="29"/>
      <c r="P691" s="29"/>
      <c r="Q691" s="30"/>
      <c r="R691" s="29"/>
      <c r="S691" s="32"/>
      <c r="T691" s="29"/>
      <c r="U691" s="29"/>
      <c r="V691" s="24" t="str">
        <f aca="false">IF(A691="","",IFERROR(INDEX(Settings!$F$5:$F$49,MATCH(G691,Settings!$D$5:$D$49,0)),""))</f>
        <v/>
      </c>
      <c r="W691" s="24" t="str">
        <f aca="false">IF(A691="","",IF(OR(P691="",P691="Organic"),"social","paid_social"))</f>
        <v/>
      </c>
      <c r="X691" s="24" t="str">
        <f aca="false">IF(A691="","",IF(K691&lt;&gt;"",IFERROR(INDEX('Case Studies'!$C$5:$C$54,MATCH(K691,'Case Studies'!$B$5:$B$54,0))&amp;"","case-study"),IF(J691&lt;&gt;"",IFERROR(INDEX(Settings!$J$5:$J$55,MATCH(J691,Settings!$I$5:$I$55,0)),"general"),"general")))</f>
        <v/>
      </c>
      <c r="Y691" s="24" t="str">
        <f aca="false">IF(A691="","",LOWER(A691))</f>
        <v/>
      </c>
      <c r="Z691" s="24" t="str">
        <f aca="false">IF(A691="","",IF(T691="",Settings!$B$5,T691)&amp;IF(ISNUMBER(FIND("?",IF(T691="",Settings!$B$5,T691))),"&amp;","?")&amp;"utm_source="&amp;V691&amp;"&amp;utm_medium="&amp;W691&amp;"&amp;utm_campaign="&amp;X691&amp;"&amp;utm_content="&amp;Y691)</f>
        <v/>
      </c>
      <c r="AA691" s="29"/>
      <c r="AB691" s="39"/>
      <c r="AC691" s="32"/>
      <c r="AD691" s="32"/>
      <c r="AE691" s="32"/>
      <c r="AF691" s="32"/>
      <c r="AG691" s="32"/>
      <c r="AH691" s="32"/>
      <c r="AI691" s="32"/>
      <c r="AJ691" s="32"/>
      <c r="AK691" s="32"/>
      <c r="AL691" s="32"/>
      <c r="AM691" s="32"/>
      <c r="AN691" s="32"/>
      <c r="AO691" s="33" t="str">
        <f aca="false">IF(A691="","",IF(AD691&lt;&gt;"",AD691,IF(AC691&lt;&gt;"",AC691,"")))</f>
        <v/>
      </c>
      <c r="AP691" s="24" t="str">
        <f aca="false">IF(AO691="","",IF(AD691&lt;&gt;"","Reported reach","Impressions (proxy)"))</f>
        <v/>
      </c>
      <c r="AQ691" s="34" t="str">
        <f aca="false">IF(OR(AO691="",N(S691)=0),"",AO691/S691)</f>
        <v/>
      </c>
      <c r="AR691" s="33" t="str">
        <f aca="false">IF(A691="","",IF(COUNT(AF691:AJ691)=0,"",SUM(AF691:AJ691)))</f>
        <v/>
      </c>
      <c r="AS691" s="34" t="str">
        <f aca="false">IF(OR(AR691="",N(AO691)=0),"",AR691/AO691)</f>
        <v/>
      </c>
      <c r="AT691" s="34" t="str">
        <f aca="false">IF(OR(AR691="",N(AC691)=0),"",AR691/AC691)</f>
        <v/>
      </c>
      <c r="AU691" s="34" t="str">
        <f aca="false">IF(OR(AR691="",N(S691)=0),"",AR691/S691)</f>
        <v/>
      </c>
      <c r="AV691" s="34" t="str">
        <f aca="false">IF(OR(AJ691="",N(AC691)=0),"",AJ691/AC691)</f>
        <v/>
      </c>
      <c r="AW691" s="34" t="str">
        <f aca="false">IF(OR(AH691="",N(AO691)=0),"",AH691/AO691)</f>
        <v/>
      </c>
      <c r="AX691" s="35" t="str">
        <f aca="false">IF(OR(AR691="",N(AO691)=0),"",(N(AF691)*Settings!$B$6+N(AG691)*Settings!$B$7+N(AH691)*Settings!$B$8+N(AI691)*Settings!$B$9+N(AJ691)*Settings!$B$10)/AO691*1000)</f>
        <v/>
      </c>
      <c r="AY691" s="36" t="str">
        <f aca="false">IF(AS691="","",IFERROR(AS691/AVERAGEIFS('Post Tracker'!$AS$5:$AS$1004,'Post Tracker'!$G$5:$G$1004,G691),""))</f>
        <v/>
      </c>
      <c r="AZ691" s="32"/>
      <c r="BA691" s="32"/>
      <c r="BB691" s="32"/>
      <c r="BC691" s="32"/>
      <c r="BD691" s="33" t="str">
        <f aca="false">IF(A691="","",COUNTIFS('Demo Pipeline'!$Q$5:$Q$504,A691))</f>
        <v/>
      </c>
      <c r="BE691" s="33" t="str">
        <f aca="false">IF(A691="","",COUNTIFS('Demo Pipeline'!$Q$5:$Q$504,A691,'Demo Pipeline'!$W$5:$W$504,"Attended"))</f>
        <v/>
      </c>
      <c r="BF691" s="33" t="str">
        <f aca="false">IF(A691="","",COUNTIFS('Demo Pipeline'!$Q$5:$Q$504,A691,'Demo Pipeline'!$X$5:$X$504,"Yes"))</f>
        <v/>
      </c>
      <c r="BG691" s="33" t="str">
        <f aca="false">IF(A691="","",COUNTIFS('Demo Pipeline'!$Q$5:$Q$504,A691,'Demo Pipeline'!$Y$5:$Y$504,"Closed Won"))</f>
        <v/>
      </c>
      <c r="BH691" s="37" t="str">
        <f aca="false">IF(A691="","",SUMIFS('Demo Pipeline'!$Z$5:$Z$504,'Demo Pipeline'!$Q$5:$Q$504,A691))</f>
        <v/>
      </c>
      <c r="BI691" s="34" t="str">
        <f aca="false">IF(OR(AZ691="",N(AJ691)=0),"",AZ691/AJ691)</f>
        <v/>
      </c>
      <c r="BJ691" s="34" t="str">
        <f aca="false">IF(OR(BB691="",N(AZ691)=0),"",BB691/AZ691)</f>
        <v/>
      </c>
      <c r="BK691" s="34" t="str">
        <f aca="false">IF(OR(A691="",N(BB691)=0),"",BD691/BB691)</f>
        <v/>
      </c>
      <c r="BL691" s="34" t="str">
        <f aca="false">IF(OR(A691="",N(AZ691)=0),"",BD691/AZ691)</f>
        <v/>
      </c>
      <c r="BM691" s="37" t="str">
        <f aca="false">IF(OR(N(Q691)=0,N(BD691)=0),"",Q691/BD691)</f>
        <v/>
      </c>
      <c r="BN691" s="29"/>
      <c r="BO691" s="29"/>
      <c r="BP691" s="33" t="str">
        <f aca="false">IF(OR(AR691="",N(AO691)=0),"",AR691)</f>
        <v/>
      </c>
      <c r="BQ691" s="33" t="str">
        <f aca="false">IF(OR(AR691="",N(S691)=0),"",S691)</f>
        <v/>
      </c>
      <c r="BR691" s="38" t="str">
        <f aca="false">IF(AND(ISNUMBER(B691),B691&gt;=Dashboard!$C$4,B691&lt;=Dashboard!$F$4,ISNUMBER(AU691)),AU691+ROW()/10^9,"")</f>
        <v/>
      </c>
      <c r="BS691" s="38" t="str">
        <f aca="false">IF(AND(ISNUMBER(B691),B691&gt;=Dashboard!$C$4,B691&lt;=Dashboard!$F$4,A691&lt;&gt;""),N(BD691)+N(AU691)/100+ROW()/10^9,"")</f>
        <v/>
      </c>
    </row>
    <row r="692" customFormat="false" ht="15" hidden="false" customHeight="false" outlineLevel="0" collapsed="false">
      <c r="A692" s="24" t="str">
        <f aca="false">IF(OR(B692="",G692="",H692=""),"",IFERROR(INDEX(Settings!$E$5:$E$49,MATCH(G692,Settings!$D$5:$D$49,0))&amp;INDEX(Settings!$H$5:$H$47,MATCH(H692,Settings!$G$5:$G$47,0))&amp;"-"&amp;TEXT(B692,"yymmdd")&amp;"-"&amp;IF(C692="","0000",TEXT(C692,"hhmm")),"CHECK LISTS"))</f>
        <v/>
      </c>
      <c r="B692" s="39"/>
      <c r="C692" s="40"/>
      <c r="D692" s="24" t="str">
        <f aca="false">IF(B692="","",TEXT(B692,"ddd"))</f>
        <v/>
      </c>
      <c r="E692" s="27" t="str">
        <f aca="false">IF(B692="","",B692-WEEKDAY(B692,3))</f>
        <v/>
      </c>
      <c r="F692" s="24" t="str">
        <f aca="false">IF(B692="","",TEXT(B692,"yyyy-mm"))</f>
        <v/>
      </c>
      <c r="G692" s="29"/>
      <c r="H692" s="29"/>
      <c r="I692" s="29"/>
      <c r="J692" s="29"/>
      <c r="K692" s="29"/>
      <c r="L692" s="29"/>
      <c r="M692" s="29"/>
      <c r="N692" s="29"/>
      <c r="O692" s="29"/>
      <c r="P692" s="29"/>
      <c r="Q692" s="30"/>
      <c r="R692" s="29"/>
      <c r="S692" s="32"/>
      <c r="T692" s="29"/>
      <c r="U692" s="29"/>
      <c r="V692" s="24" t="str">
        <f aca="false">IF(A692="","",IFERROR(INDEX(Settings!$F$5:$F$49,MATCH(G692,Settings!$D$5:$D$49,0)),""))</f>
        <v/>
      </c>
      <c r="W692" s="24" t="str">
        <f aca="false">IF(A692="","",IF(OR(P692="",P692="Organic"),"social","paid_social"))</f>
        <v/>
      </c>
      <c r="X692" s="24" t="str">
        <f aca="false">IF(A692="","",IF(K692&lt;&gt;"",IFERROR(INDEX('Case Studies'!$C$5:$C$54,MATCH(K692,'Case Studies'!$B$5:$B$54,0))&amp;"","case-study"),IF(J692&lt;&gt;"",IFERROR(INDEX(Settings!$J$5:$J$55,MATCH(J692,Settings!$I$5:$I$55,0)),"general"),"general")))</f>
        <v/>
      </c>
      <c r="Y692" s="24" t="str">
        <f aca="false">IF(A692="","",LOWER(A692))</f>
        <v/>
      </c>
      <c r="Z692" s="24" t="str">
        <f aca="false">IF(A692="","",IF(T692="",Settings!$B$5,T692)&amp;IF(ISNUMBER(FIND("?",IF(T692="",Settings!$B$5,T692))),"&amp;","?")&amp;"utm_source="&amp;V692&amp;"&amp;utm_medium="&amp;W692&amp;"&amp;utm_campaign="&amp;X692&amp;"&amp;utm_content="&amp;Y692)</f>
        <v/>
      </c>
      <c r="AA692" s="29"/>
      <c r="AB692" s="39"/>
      <c r="AC692" s="32"/>
      <c r="AD692" s="32"/>
      <c r="AE692" s="32"/>
      <c r="AF692" s="32"/>
      <c r="AG692" s="32"/>
      <c r="AH692" s="32"/>
      <c r="AI692" s="32"/>
      <c r="AJ692" s="32"/>
      <c r="AK692" s="32"/>
      <c r="AL692" s="32"/>
      <c r="AM692" s="32"/>
      <c r="AN692" s="32"/>
      <c r="AO692" s="33" t="str">
        <f aca="false">IF(A692="","",IF(AD692&lt;&gt;"",AD692,IF(AC692&lt;&gt;"",AC692,"")))</f>
        <v/>
      </c>
      <c r="AP692" s="24" t="str">
        <f aca="false">IF(AO692="","",IF(AD692&lt;&gt;"","Reported reach","Impressions (proxy)"))</f>
        <v/>
      </c>
      <c r="AQ692" s="34" t="str">
        <f aca="false">IF(OR(AO692="",N(S692)=0),"",AO692/S692)</f>
        <v/>
      </c>
      <c r="AR692" s="33" t="str">
        <f aca="false">IF(A692="","",IF(COUNT(AF692:AJ692)=0,"",SUM(AF692:AJ692)))</f>
        <v/>
      </c>
      <c r="AS692" s="34" t="str">
        <f aca="false">IF(OR(AR692="",N(AO692)=0),"",AR692/AO692)</f>
        <v/>
      </c>
      <c r="AT692" s="34" t="str">
        <f aca="false">IF(OR(AR692="",N(AC692)=0),"",AR692/AC692)</f>
        <v/>
      </c>
      <c r="AU692" s="34" t="str">
        <f aca="false">IF(OR(AR692="",N(S692)=0),"",AR692/S692)</f>
        <v/>
      </c>
      <c r="AV692" s="34" t="str">
        <f aca="false">IF(OR(AJ692="",N(AC692)=0),"",AJ692/AC692)</f>
        <v/>
      </c>
      <c r="AW692" s="34" t="str">
        <f aca="false">IF(OR(AH692="",N(AO692)=0),"",AH692/AO692)</f>
        <v/>
      </c>
      <c r="AX692" s="35" t="str">
        <f aca="false">IF(OR(AR692="",N(AO692)=0),"",(N(AF692)*Settings!$B$6+N(AG692)*Settings!$B$7+N(AH692)*Settings!$B$8+N(AI692)*Settings!$B$9+N(AJ692)*Settings!$B$10)/AO692*1000)</f>
        <v/>
      </c>
      <c r="AY692" s="36" t="str">
        <f aca="false">IF(AS692="","",IFERROR(AS692/AVERAGEIFS('Post Tracker'!$AS$5:$AS$1004,'Post Tracker'!$G$5:$G$1004,G692),""))</f>
        <v/>
      </c>
      <c r="AZ692" s="32"/>
      <c r="BA692" s="32"/>
      <c r="BB692" s="32"/>
      <c r="BC692" s="32"/>
      <c r="BD692" s="33" t="str">
        <f aca="false">IF(A692="","",COUNTIFS('Demo Pipeline'!$Q$5:$Q$504,A692))</f>
        <v/>
      </c>
      <c r="BE692" s="33" t="str">
        <f aca="false">IF(A692="","",COUNTIFS('Demo Pipeline'!$Q$5:$Q$504,A692,'Demo Pipeline'!$W$5:$W$504,"Attended"))</f>
        <v/>
      </c>
      <c r="BF692" s="33" t="str">
        <f aca="false">IF(A692="","",COUNTIFS('Demo Pipeline'!$Q$5:$Q$504,A692,'Demo Pipeline'!$X$5:$X$504,"Yes"))</f>
        <v/>
      </c>
      <c r="BG692" s="33" t="str">
        <f aca="false">IF(A692="","",COUNTIFS('Demo Pipeline'!$Q$5:$Q$504,A692,'Demo Pipeline'!$Y$5:$Y$504,"Closed Won"))</f>
        <v/>
      </c>
      <c r="BH692" s="37" t="str">
        <f aca="false">IF(A692="","",SUMIFS('Demo Pipeline'!$Z$5:$Z$504,'Demo Pipeline'!$Q$5:$Q$504,A692))</f>
        <v/>
      </c>
      <c r="BI692" s="34" t="str">
        <f aca="false">IF(OR(AZ692="",N(AJ692)=0),"",AZ692/AJ692)</f>
        <v/>
      </c>
      <c r="BJ692" s="34" t="str">
        <f aca="false">IF(OR(BB692="",N(AZ692)=0),"",BB692/AZ692)</f>
        <v/>
      </c>
      <c r="BK692" s="34" t="str">
        <f aca="false">IF(OR(A692="",N(BB692)=0),"",BD692/BB692)</f>
        <v/>
      </c>
      <c r="BL692" s="34" t="str">
        <f aca="false">IF(OR(A692="",N(AZ692)=0),"",BD692/AZ692)</f>
        <v/>
      </c>
      <c r="BM692" s="37" t="str">
        <f aca="false">IF(OR(N(Q692)=0,N(BD692)=0),"",Q692/BD692)</f>
        <v/>
      </c>
      <c r="BN692" s="29"/>
      <c r="BO692" s="29"/>
      <c r="BP692" s="33" t="str">
        <f aca="false">IF(OR(AR692="",N(AO692)=0),"",AR692)</f>
        <v/>
      </c>
      <c r="BQ692" s="33" t="str">
        <f aca="false">IF(OR(AR692="",N(S692)=0),"",S692)</f>
        <v/>
      </c>
      <c r="BR692" s="38" t="str">
        <f aca="false">IF(AND(ISNUMBER(B692),B692&gt;=Dashboard!$C$4,B692&lt;=Dashboard!$F$4,ISNUMBER(AU692)),AU692+ROW()/10^9,"")</f>
        <v/>
      </c>
      <c r="BS692" s="38" t="str">
        <f aca="false">IF(AND(ISNUMBER(B692),B692&gt;=Dashboard!$C$4,B692&lt;=Dashboard!$F$4,A692&lt;&gt;""),N(BD692)+N(AU692)/100+ROW()/10^9,"")</f>
        <v/>
      </c>
    </row>
    <row r="693" customFormat="false" ht="15" hidden="false" customHeight="false" outlineLevel="0" collapsed="false">
      <c r="A693" s="24" t="str">
        <f aca="false">IF(OR(B693="",G693="",H693=""),"",IFERROR(INDEX(Settings!$E$5:$E$49,MATCH(G693,Settings!$D$5:$D$49,0))&amp;INDEX(Settings!$H$5:$H$47,MATCH(H693,Settings!$G$5:$G$47,0))&amp;"-"&amp;TEXT(B693,"yymmdd")&amp;"-"&amp;IF(C693="","0000",TEXT(C693,"hhmm")),"CHECK LISTS"))</f>
        <v/>
      </c>
      <c r="B693" s="39"/>
      <c r="C693" s="40"/>
      <c r="D693" s="24" t="str">
        <f aca="false">IF(B693="","",TEXT(B693,"ddd"))</f>
        <v/>
      </c>
      <c r="E693" s="27" t="str">
        <f aca="false">IF(B693="","",B693-WEEKDAY(B693,3))</f>
        <v/>
      </c>
      <c r="F693" s="24" t="str">
        <f aca="false">IF(B693="","",TEXT(B693,"yyyy-mm"))</f>
        <v/>
      </c>
      <c r="G693" s="29"/>
      <c r="H693" s="29"/>
      <c r="I693" s="29"/>
      <c r="J693" s="29"/>
      <c r="K693" s="29"/>
      <c r="L693" s="29"/>
      <c r="M693" s="29"/>
      <c r="N693" s="29"/>
      <c r="O693" s="29"/>
      <c r="P693" s="29"/>
      <c r="Q693" s="30"/>
      <c r="R693" s="29"/>
      <c r="S693" s="32"/>
      <c r="T693" s="29"/>
      <c r="U693" s="29"/>
      <c r="V693" s="24" t="str">
        <f aca="false">IF(A693="","",IFERROR(INDEX(Settings!$F$5:$F$49,MATCH(G693,Settings!$D$5:$D$49,0)),""))</f>
        <v/>
      </c>
      <c r="W693" s="24" t="str">
        <f aca="false">IF(A693="","",IF(OR(P693="",P693="Organic"),"social","paid_social"))</f>
        <v/>
      </c>
      <c r="X693" s="24" t="str">
        <f aca="false">IF(A693="","",IF(K693&lt;&gt;"",IFERROR(INDEX('Case Studies'!$C$5:$C$54,MATCH(K693,'Case Studies'!$B$5:$B$54,0))&amp;"","case-study"),IF(J693&lt;&gt;"",IFERROR(INDEX(Settings!$J$5:$J$55,MATCH(J693,Settings!$I$5:$I$55,0)),"general"),"general")))</f>
        <v/>
      </c>
      <c r="Y693" s="24" t="str">
        <f aca="false">IF(A693="","",LOWER(A693))</f>
        <v/>
      </c>
      <c r="Z693" s="24" t="str">
        <f aca="false">IF(A693="","",IF(T693="",Settings!$B$5,T693)&amp;IF(ISNUMBER(FIND("?",IF(T693="",Settings!$B$5,T693))),"&amp;","?")&amp;"utm_source="&amp;V693&amp;"&amp;utm_medium="&amp;W693&amp;"&amp;utm_campaign="&amp;X693&amp;"&amp;utm_content="&amp;Y693)</f>
        <v/>
      </c>
      <c r="AA693" s="29"/>
      <c r="AB693" s="39"/>
      <c r="AC693" s="32"/>
      <c r="AD693" s="32"/>
      <c r="AE693" s="32"/>
      <c r="AF693" s="32"/>
      <c r="AG693" s="32"/>
      <c r="AH693" s="32"/>
      <c r="AI693" s="32"/>
      <c r="AJ693" s="32"/>
      <c r="AK693" s="32"/>
      <c r="AL693" s="32"/>
      <c r="AM693" s="32"/>
      <c r="AN693" s="32"/>
      <c r="AO693" s="33" t="str">
        <f aca="false">IF(A693="","",IF(AD693&lt;&gt;"",AD693,IF(AC693&lt;&gt;"",AC693,"")))</f>
        <v/>
      </c>
      <c r="AP693" s="24" t="str">
        <f aca="false">IF(AO693="","",IF(AD693&lt;&gt;"","Reported reach","Impressions (proxy)"))</f>
        <v/>
      </c>
      <c r="AQ693" s="34" t="str">
        <f aca="false">IF(OR(AO693="",N(S693)=0),"",AO693/S693)</f>
        <v/>
      </c>
      <c r="AR693" s="33" t="str">
        <f aca="false">IF(A693="","",IF(COUNT(AF693:AJ693)=0,"",SUM(AF693:AJ693)))</f>
        <v/>
      </c>
      <c r="AS693" s="34" t="str">
        <f aca="false">IF(OR(AR693="",N(AO693)=0),"",AR693/AO693)</f>
        <v/>
      </c>
      <c r="AT693" s="34" t="str">
        <f aca="false">IF(OR(AR693="",N(AC693)=0),"",AR693/AC693)</f>
        <v/>
      </c>
      <c r="AU693" s="34" t="str">
        <f aca="false">IF(OR(AR693="",N(S693)=0),"",AR693/S693)</f>
        <v/>
      </c>
      <c r="AV693" s="34" t="str">
        <f aca="false">IF(OR(AJ693="",N(AC693)=0),"",AJ693/AC693)</f>
        <v/>
      </c>
      <c r="AW693" s="34" t="str">
        <f aca="false">IF(OR(AH693="",N(AO693)=0),"",AH693/AO693)</f>
        <v/>
      </c>
      <c r="AX693" s="35" t="str">
        <f aca="false">IF(OR(AR693="",N(AO693)=0),"",(N(AF693)*Settings!$B$6+N(AG693)*Settings!$B$7+N(AH693)*Settings!$B$8+N(AI693)*Settings!$B$9+N(AJ693)*Settings!$B$10)/AO693*1000)</f>
        <v/>
      </c>
      <c r="AY693" s="36" t="str">
        <f aca="false">IF(AS693="","",IFERROR(AS693/AVERAGEIFS('Post Tracker'!$AS$5:$AS$1004,'Post Tracker'!$G$5:$G$1004,G693),""))</f>
        <v/>
      </c>
      <c r="AZ693" s="32"/>
      <c r="BA693" s="32"/>
      <c r="BB693" s="32"/>
      <c r="BC693" s="32"/>
      <c r="BD693" s="33" t="str">
        <f aca="false">IF(A693="","",COUNTIFS('Demo Pipeline'!$Q$5:$Q$504,A693))</f>
        <v/>
      </c>
      <c r="BE693" s="33" t="str">
        <f aca="false">IF(A693="","",COUNTIFS('Demo Pipeline'!$Q$5:$Q$504,A693,'Demo Pipeline'!$W$5:$W$504,"Attended"))</f>
        <v/>
      </c>
      <c r="BF693" s="33" t="str">
        <f aca="false">IF(A693="","",COUNTIFS('Demo Pipeline'!$Q$5:$Q$504,A693,'Demo Pipeline'!$X$5:$X$504,"Yes"))</f>
        <v/>
      </c>
      <c r="BG693" s="33" t="str">
        <f aca="false">IF(A693="","",COUNTIFS('Demo Pipeline'!$Q$5:$Q$504,A693,'Demo Pipeline'!$Y$5:$Y$504,"Closed Won"))</f>
        <v/>
      </c>
      <c r="BH693" s="37" t="str">
        <f aca="false">IF(A693="","",SUMIFS('Demo Pipeline'!$Z$5:$Z$504,'Demo Pipeline'!$Q$5:$Q$504,A693))</f>
        <v/>
      </c>
      <c r="BI693" s="34" t="str">
        <f aca="false">IF(OR(AZ693="",N(AJ693)=0),"",AZ693/AJ693)</f>
        <v/>
      </c>
      <c r="BJ693" s="34" t="str">
        <f aca="false">IF(OR(BB693="",N(AZ693)=0),"",BB693/AZ693)</f>
        <v/>
      </c>
      <c r="BK693" s="34" t="str">
        <f aca="false">IF(OR(A693="",N(BB693)=0),"",BD693/BB693)</f>
        <v/>
      </c>
      <c r="BL693" s="34" t="str">
        <f aca="false">IF(OR(A693="",N(AZ693)=0),"",BD693/AZ693)</f>
        <v/>
      </c>
      <c r="BM693" s="37" t="str">
        <f aca="false">IF(OR(N(Q693)=0,N(BD693)=0),"",Q693/BD693)</f>
        <v/>
      </c>
      <c r="BN693" s="29"/>
      <c r="BO693" s="29"/>
      <c r="BP693" s="33" t="str">
        <f aca="false">IF(OR(AR693="",N(AO693)=0),"",AR693)</f>
        <v/>
      </c>
      <c r="BQ693" s="33" t="str">
        <f aca="false">IF(OR(AR693="",N(S693)=0),"",S693)</f>
        <v/>
      </c>
      <c r="BR693" s="38" t="str">
        <f aca="false">IF(AND(ISNUMBER(B693),B693&gt;=Dashboard!$C$4,B693&lt;=Dashboard!$F$4,ISNUMBER(AU693)),AU693+ROW()/10^9,"")</f>
        <v/>
      </c>
      <c r="BS693" s="38" t="str">
        <f aca="false">IF(AND(ISNUMBER(B693),B693&gt;=Dashboard!$C$4,B693&lt;=Dashboard!$F$4,A693&lt;&gt;""),N(BD693)+N(AU693)/100+ROW()/10^9,"")</f>
        <v/>
      </c>
    </row>
    <row r="694" customFormat="false" ht="15" hidden="false" customHeight="false" outlineLevel="0" collapsed="false">
      <c r="A694" s="24" t="str">
        <f aca="false">IF(OR(B694="",G694="",H694=""),"",IFERROR(INDEX(Settings!$E$5:$E$49,MATCH(G694,Settings!$D$5:$D$49,0))&amp;INDEX(Settings!$H$5:$H$47,MATCH(H694,Settings!$G$5:$G$47,0))&amp;"-"&amp;TEXT(B694,"yymmdd")&amp;"-"&amp;IF(C694="","0000",TEXT(C694,"hhmm")),"CHECK LISTS"))</f>
        <v/>
      </c>
      <c r="B694" s="39"/>
      <c r="C694" s="40"/>
      <c r="D694" s="24" t="str">
        <f aca="false">IF(B694="","",TEXT(B694,"ddd"))</f>
        <v/>
      </c>
      <c r="E694" s="27" t="str">
        <f aca="false">IF(B694="","",B694-WEEKDAY(B694,3))</f>
        <v/>
      </c>
      <c r="F694" s="24" t="str">
        <f aca="false">IF(B694="","",TEXT(B694,"yyyy-mm"))</f>
        <v/>
      </c>
      <c r="G694" s="29"/>
      <c r="H694" s="29"/>
      <c r="I694" s="29"/>
      <c r="J694" s="29"/>
      <c r="K694" s="29"/>
      <c r="L694" s="29"/>
      <c r="M694" s="29"/>
      <c r="N694" s="29"/>
      <c r="O694" s="29"/>
      <c r="P694" s="29"/>
      <c r="Q694" s="30"/>
      <c r="R694" s="29"/>
      <c r="S694" s="32"/>
      <c r="T694" s="29"/>
      <c r="U694" s="29"/>
      <c r="V694" s="24" t="str">
        <f aca="false">IF(A694="","",IFERROR(INDEX(Settings!$F$5:$F$49,MATCH(G694,Settings!$D$5:$D$49,0)),""))</f>
        <v/>
      </c>
      <c r="W694" s="24" t="str">
        <f aca="false">IF(A694="","",IF(OR(P694="",P694="Organic"),"social","paid_social"))</f>
        <v/>
      </c>
      <c r="X694" s="24" t="str">
        <f aca="false">IF(A694="","",IF(K694&lt;&gt;"",IFERROR(INDEX('Case Studies'!$C$5:$C$54,MATCH(K694,'Case Studies'!$B$5:$B$54,0))&amp;"","case-study"),IF(J694&lt;&gt;"",IFERROR(INDEX(Settings!$J$5:$J$55,MATCH(J694,Settings!$I$5:$I$55,0)),"general"),"general")))</f>
        <v/>
      </c>
      <c r="Y694" s="24" t="str">
        <f aca="false">IF(A694="","",LOWER(A694))</f>
        <v/>
      </c>
      <c r="Z694" s="24" t="str">
        <f aca="false">IF(A694="","",IF(T694="",Settings!$B$5,T694)&amp;IF(ISNUMBER(FIND("?",IF(T694="",Settings!$B$5,T694))),"&amp;","?")&amp;"utm_source="&amp;V694&amp;"&amp;utm_medium="&amp;W694&amp;"&amp;utm_campaign="&amp;X694&amp;"&amp;utm_content="&amp;Y694)</f>
        <v/>
      </c>
      <c r="AA694" s="29"/>
      <c r="AB694" s="39"/>
      <c r="AC694" s="32"/>
      <c r="AD694" s="32"/>
      <c r="AE694" s="32"/>
      <c r="AF694" s="32"/>
      <c r="AG694" s="32"/>
      <c r="AH694" s="32"/>
      <c r="AI694" s="32"/>
      <c r="AJ694" s="32"/>
      <c r="AK694" s="32"/>
      <c r="AL694" s="32"/>
      <c r="AM694" s="32"/>
      <c r="AN694" s="32"/>
      <c r="AO694" s="33" t="str">
        <f aca="false">IF(A694="","",IF(AD694&lt;&gt;"",AD694,IF(AC694&lt;&gt;"",AC694,"")))</f>
        <v/>
      </c>
      <c r="AP694" s="24" t="str">
        <f aca="false">IF(AO694="","",IF(AD694&lt;&gt;"","Reported reach","Impressions (proxy)"))</f>
        <v/>
      </c>
      <c r="AQ694" s="34" t="str">
        <f aca="false">IF(OR(AO694="",N(S694)=0),"",AO694/S694)</f>
        <v/>
      </c>
      <c r="AR694" s="33" t="str">
        <f aca="false">IF(A694="","",IF(COUNT(AF694:AJ694)=0,"",SUM(AF694:AJ694)))</f>
        <v/>
      </c>
      <c r="AS694" s="34" t="str">
        <f aca="false">IF(OR(AR694="",N(AO694)=0),"",AR694/AO694)</f>
        <v/>
      </c>
      <c r="AT694" s="34" t="str">
        <f aca="false">IF(OR(AR694="",N(AC694)=0),"",AR694/AC694)</f>
        <v/>
      </c>
      <c r="AU694" s="34" t="str">
        <f aca="false">IF(OR(AR694="",N(S694)=0),"",AR694/S694)</f>
        <v/>
      </c>
      <c r="AV694" s="34" t="str">
        <f aca="false">IF(OR(AJ694="",N(AC694)=0),"",AJ694/AC694)</f>
        <v/>
      </c>
      <c r="AW694" s="34" t="str">
        <f aca="false">IF(OR(AH694="",N(AO694)=0),"",AH694/AO694)</f>
        <v/>
      </c>
      <c r="AX694" s="35" t="str">
        <f aca="false">IF(OR(AR694="",N(AO694)=0),"",(N(AF694)*Settings!$B$6+N(AG694)*Settings!$B$7+N(AH694)*Settings!$B$8+N(AI694)*Settings!$B$9+N(AJ694)*Settings!$B$10)/AO694*1000)</f>
        <v/>
      </c>
      <c r="AY694" s="36" t="str">
        <f aca="false">IF(AS694="","",IFERROR(AS694/AVERAGEIFS('Post Tracker'!$AS$5:$AS$1004,'Post Tracker'!$G$5:$G$1004,G694),""))</f>
        <v/>
      </c>
      <c r="AZ694" s="32"/>
      <c r="BA694" s="32"/>
      <c r="BB694" s="32"/>
      <c r="BC694" s="32"/>
      <c r="BD694" s="33" t="str">
        <f aca="false">IF(A694="","",COUNTIFS('Demo Pipeline'!$Q$5:$Q$504,A694))</f>
        <v/>
      </c>
      <c r="BE694" s="33" t="str">
        <f aca="false">IF(A694="","",COUNTIFS('Demo Pipeline'!$Q$5:$Q$504,A694,'Demo Pipeline'!$W$5:$W$504,"Attended"))</f>
        <v/>
      </c>
      <c r="BF694" s="33" t="str">
        <f aca="false">IF(A694="","",COUNTIFS('Demo Pipeline'!$Q$5:$Q$504,A694,'Demo Pipeline'!$X$5:$X$504,"Yes"))</f>
        <v/>
      </c>
      <c r="BG694" s="33" t="str">
        <f aca="false">IF(A694="","",COUNTIFS('Demo Pipeline'!$Q$5:$Q$504,A694,'Demo Pipeline'!$Y$5:$Y$504,"Closed Won"))</f>
        <v/>
      </c>
      <c r="BH694" s="37" t="str">
        <f aca="false">IF(A694="","",SUMIFS('Demo Pipeline'!$Z$5:$Z$504,'Demo Pipeline'!$Q$5:$Q$504,A694))</f>
        <v/>
      </c>
      <c r="BI694" s="34" t="str">
        <f aca="false">IF(OR(AZ694="",N(AJ694)=0),"",AZ694/AJ694)</f>
        <v/>
      </c>
      <c r="BJ694" s="34" t="str">
        <f aca="false">IF(OR(BB694="",N(AZ694)=0),"",BB694/AZ694)</f>
        <v/>
      </c>
      <c r="BK694" s="34" t="str">
        <f aca="false">IF(OR(A694="",N(BB694)=0),"",BD694/BB694)</f>
        <v/>
      </c>
      <c r="BL694" s="34" t="str">
        <f aca="false">IF(OR(A694="",N(AZ694)=0),"",BD694/AZ694)</f>
        <v/>
      </c>
      <c r="BM694" s="37" t="str">
        <f aca="false">IF(OR(N(Q694)=0,N(BD694)=0),"",Q694/BD694)</f>
        <v/>
      </c>
      <c r="BN694" s="29"/>
      <c r="BO694" s="29"/>
      <c r="BP694" s="33" t="str">
        <f aca="false">IF(OR(AR694="",N(AO694)=0),"",AR694)</f>
        <v/>
      </c>
      <c r="BQ694" s="33" t="str">
        <f aca="false">IF(OR(AR694="",N(S694)=0),"",S694)</f>
        <v/>
      </c>
      <c r="BR694" s="38" t="str">
        <f aca="false">IF(AND(ISNUMBER(B694),B694&gt;=Dashboard!$C$4,B694&lt;=Dashboard!$F$4,ISNUMBER(AU694)),AU694+ROW()/10^9,"")</f>
        <v/>
      </c>
      <c r="BS694" s="38" t="str">
        <f aca="false">IF(AND(ISNUMBER(B694),B694&gt;=Dashboard!$C$4,B694&lt;=Dashboard!$F$4,A694&lt;&gt;""),N(BD694)+N(AU694)/100+ROW()/10^9,"")</f>
        <v/>
      </c>
    </row>
    <row r="695" customFormat="false" ht="15" hidden="false" customHeight="false" outlineLevel="0" collapsed="false">
      <c r="A695" s="24" t="str">
        <f aca="false">IF(OR(B695="",G695="",H695=""),"",IFERROR(INDEX(Settings!$E$5:$E$49,MATCH(G695,Settings!$D$5:$D$49,0))&amp;INDEX(Settings!$H$5:$H$47,MATCH(H695,Settings!$G$5:$G$47,0))&amp;"-"&amp;TEXT(B695,"yymmdd")&amp;"-"&amp;IF(C695="","0000",TEXT(C695,"hhmm")),"CHECK LISTS"))</f>
        <v/>
      </c>
      <c r="B695" s="39"/>
      <c r="C695" s="40"/>
      <c r="D695" s="24" t="str">
        <f aca="false">IF(B695="","",TEXT(B695,"ddd"))</f>
        <v/>
      </c>
      <c r="E695" s="27" t="str">
        <f aca="false">IF(B695="","",B695-WEEKDAY(B695,3))</f>
        <v/>
      </c>
      <c r="F695" s="24" t="str">
        <f aca="false">IF(B695="","",TEXT(B695,"yyyy-mm"))</f>
        <v/>
      </c>
      <c r="G695" s="29"/>
      <c r="H695" s="29"/>
      <c r="I695" s="29"/>
      <c r="J695" s="29"/>
      <c r="K695" s="29"/>
      <c r="L695" s="29"/>
      <c r="M695" s="29"/>
      <c r="N695" s="29"/>
      <c r="O695" s="29"/>
      <c r="P695" s="29"/>
      <c r="Q695" s="30"/>
      <c r="R695" s="29"/>
      <c r="S695" s="32"/>
      <c r="T695" s="29"/>
      <c r="U695" s="29"/>
      <c r="V695" s="24" t="str">
        <f aca="false">IF(A695="","",IFERROR(INDEX(Settings!$F$5:$F$49,MATCH(G695,Settings!$D$5:$D$49,0)),""))</f>
        <v/>
      </c>
      <c r="W695" s="24" t="str">
        <f aca="false">IF(A695="","",IF(OR(P695="",P695="Organic"),"social","paid_social"))</f>
        <v/>
      </c>
      <c r="X695" s="24" t="str">
        <f aca="false">IF(A695="","",IF(K695&lt;&gt;"",IFERROR(INDEX('Case Studies'!$C$5:$C$54,MATCH(K695,'Case Studies'!$B$5:$B$54,0))&amp;"","case-study"),IF(J695&lt;&gt;"",IFERROR(INDEX(Settings!$J$5:$J$55,MATCH(J695,Settings!$I$5:$I$55,0)),"general"),"general")))</f>
        <v/>
      </c>
      <c r="Y695" s="24" t="str">
        <f aca="false">IF(A695="","",LOWER(A695))</f>
        <v/>
      </c>
      <c r="Z695" s="24" t="str">
        <f aca="false">IF(A695="","",IF(T695="",Settings!$B$5,T695)&amp;IF(ISNUMBER(FIND("?",IF(T695="",Settings!$B$5,T695))),"&amp;","?")&amp;"utm_source="&amp;V695&amp;"&amp;utm_medium="&amp;W695&amp;"&amp;utm_campaign="&amp;X695&amp;"&amp;utm_content="&amp;Y695)</f>
        <v/>
      </c>
      <c r="AA695" s="29"/>
      <c r="AB695" s="39"/>
      <c r="AC695" s="32"/>
      <c r="AD695" s="32"/>
      <c r="AE695" s="32"/>
      <c r="AF695" s="32"/>
      <c r="AG695" s="32"/>
      <c r="AH695" s="32"/>
      <c r="AI695" s="32"/>
      <c r="AJ695" s="32"/>
      <c r="AK695" s="32"/>
      <c r="AL695" s="32"/>
      <c r="AM695" s="32"/>
      <c r="AN695" s="32"/>
      <c r="AO695" s="33" t="str">
        <f aca="false">IF(A695="","",IF(AD695&lt;&gt;"",AD695,IF(AC695&lt;&gt;"",AC695,"")))</f>
        <v/>
      </c>
      <c r="AP695" s="24" t="str">
        <f aca="false">IF(AO695="","",IF(AD695&lt;&gt;"","Reported reach","Impressions (proxy)"))</f>
        <v/>
      </c>
      <c r="AQ695" s="34" t="str">
        <f aca="false">IF(OR(AO695="",N(S695)=0),"",AO695/S695)</f>
        <v/>
      </c>
      <c r="AR695" s="33" t="str">
        <f aca="false">IF(A695="","",IF(COUNT(AF695:AJ695)=0,"",SUM(AF695:AJ695)))</f>
        <v/>
      </c>
      <c r="AS695" s="34" t="str">
        <f aca="false">IF(OR(AR695="",N(AO695)=0),"",AR695/AO695)</f>
        <v/>
      </c>
      <c r="AT695" s="34" t="str">
        <f aca="false">IF(OR(AR695="",N(AC695)=0),"",AR695/AC695)</f>
        <v/>
      </c>
      <c r="AU695" s="34" t="str">
        <f aca="false">IF(OR(AR695="",N(S695)=0),"",AR695/S695)</f>
        <v/>
      </c>
      <c r="AV695" s="34" t="str">
        <f aca="false">IF(OR(AJ695="",N(AC695)=0),"",AJ695/AC695)</f>
        <v/>
      </c>
      <c r="AW695" s="34" t="str">
        <f aca="false">IF(OR(AH695="",N(AO695)=0),"",AH695/AO695)</f>
        <v/>
      </c>
      <c r="AX695" s="35" t="str">
        <f aca="false">IF(OR(AR695="",N(AO695)=0),"",(N(AF695)*Settings!$B$6+N(AG695)*Settings!$B$7+N(AH695)*Settings!$B$8+N(AI695)*Settings!$B$9+N(AJ695)*Settings!$B$10)/AO695*1000)</f>
        <v/>
      </c>
      <c r="AY695" s="36" t="str">
        <f aca="false">IF(AS695="","",IFERROR(AS695/AVERAGEIFS('Post Tracker'!$AS$5:$AS$1004,'Post Tracker'!$G$5:$G$1004,G695),""))</f>
        <v/>
      </c>
      <c r="AZ695" s="32"/>
      <c r="BA695" s="32"/>
      <c r="BB695" s="32"/>
      <c r="BC695" s="32"/>
      <c r="BD695" s="33" t="str">
        <f aca="false">IF(A695="","",COUNTIFS('Demo Pipeline'!$Q$5:$Q$504,A695))</f>
        <v/>
      </c>
      <c r="BE695" s="33" t="str">
        <f aca="false">IF(A695="","",COUNTIFS('Demo Pipeline'!$Q$5:$Q$504,A695,'Demo Pipeline'!$W$5:$W$504,"Attended"))</f>
        <v/>
      </c>
      <c r="BF695" s="33" t="str">
        <f aca="false">IF(A695="","",COUNTIFS('Demo Pipeline'!$Q$5:$Q$504,A695,'Demo Pipeline'!$X$5:$X$504,"Yes"))</f>
        <v/>
      </c>
      <c r="BG695" s="33" t="str">
        <f aca="false">IF(A695="","",COUNTIFS('Demo Pipeline'!$Q$5:$Q$504,A695,'Demo Pipeline'!$Y$5:$Y$504,"Closed Won"))</f>
        <v/>
      </c>
      <c r="BH695" s="37" t="str">
        <f aca="false">IF(A695="","",SUMIFS('Demo Pipeline'!$Z$5:$Z$504,'Demo Pipeline'!$Q$5:$Q$504,A695))</f>
        <v/>
      </c>
      <c r="BI695" s="34" t="str">
        <f aca="false">IF(OR(AZ695="",N(AJ695)=0),"",AZ695/AJ695)</f>
        <v/>
      </c>
      <c r="BJ695" s="34" t="str">
        <f aca="false">IF(OR(BB695="",N(AZ695)=0),"",BB695/AZ695)</f>
        <v/>
      </c>
      <c r="BK695" s="34" t="str">
        <f aca="false">IF(OR(A695="",N(BB695)=0),"",BD695/BB695)</f>
        <v/>
      </c>
      <c r="BL695" s="34" t="str">
        <f aca="false">IF(OR(A695="",N(AZ695)=0),"",BD695/AZ695)</f>
        <v/>
      </c>
      <c r="BM695" s="37" t="str">
        <f aca="false">IF(OR(N(Q695)=0,N(BD695)=0),"",Q695/BD695)</f>
        <v/>
      </c>
      <c r="BN695" s="29"/>
      <c r="BO695" s="29"/>
      <c r="BP695" s="33" t="str">
        <f aca="false">IF(OR(AR695="",N(AO695)=0),"",AR695)</f>
        <v/>
      </c>
      <c r="BQ695" s="33" t="str">
        <f aca="false">IF(OR(AR695="",N(S695)=0),"",S695)</f>
        <v/>
      </c>
      <c r="BR695" s="38" t="str">
        <f aca="false">IF(AND(ISNUMBER(B695),B695&gt;=Dashboard!$C$4,B695&lt;=Dashboard!$F$4,ISNUMBER(AU695)),AU695+ROW()/10^9,"")</f>
        <v/>
      </c>
      <c r="BS695" s="38" t="str">
        <f aca="false">IF(AND(ISNUMBER(B695),B695&gt;=Dashboard!$C$4,B695&lt;=Dashboard!$F$4,A695&lt;&gt;""),N(BD695)+N(AU695)/100+ROW()/10^9,"")</f>
        <v/>
      </c>
    </row>
    <row r="696" customFormat="false" ht="15" hidden="false" customHeight="false" outlineLevel="0" collapsed="false">
      <c r="A696" s="24" t="str">
        <f aca="false">IF(OR(B696="",G696="",H696=""),"",IFERROR(INDEX(Settings!$E$5:$E$49,MATCH(G696,Settings!$D$5:$D$49,0))&amp;INDEX(Settings!$H$5:$H$47,MATCH(H696,Settings!$G$5:$G$47,0))&amp;"-"&amp;TEXT(B696,"yymmdd")&amp;"-"&amp;IF(C696="","0000",TEXT(C696,"hhmm")),"CHECK LISTS"))</f>
        <v/>
      </c>
      <c r="B696" s="39"/>
      <c r="C696" s="40"/>
      <c r="D696" s="24" t="str">
        <f aca="false">IF(B696="","",TEXT(B696,"ddd"))</f>
        <v/>
      </c>
      <c r="E696" s="27" t="str">
        <f aca="false">IF(B696="","",B696-WEEKDAY(B696,3))</f>
        <v/>
      </c>
      <c r="F696" s="24" t="str">
        <f aca="false">IF(B696="","",TEXT(B696,"yyyy-mm"))</f>
        <v/>
      </c>
      <c r="G696" s="29"/>
      <c r="H696" s="29"/>
      <c r="I696" s="29"/>
      <c r="J696" s="29"/>
      <c r="K696" s="29"/>
      <c r="L696" s="29"/>
      <c r="M696" s="29"/>
      <c r="N696" s="29"/>
      <c r="O696" s="29"/>
      <c r="P696" s="29"/>
      <c r="Q696" s="30"/>
      <c r="R696" s="29"/>
      <c r="S696" s="32"/>
      <c r="T696" s="29"/>
      <c r="U696" s="29"/>
      <c r="V696" s="24" t="str">
        <f aca="false">IF(A696="","",IFERROR(INDEX(Settings!$F$5:$F$49,MATCH(G696,Settings!$D$5:$D$49,0)),""))</f>
        <v/>
      </c>
      <c r="W696" s="24" t="str">
        <f aca="false">IF(A696="","",IF(OR(P696="",P696="Organic"),"social","paid_social"))</f>
        <v/>
      </c>
      <c r="X696" s="24" t="str">
        <f aca="false">IF(A696="","",IF(K696&lt;&gt;"",IFERROR(INDEX('Case Studies'!$C$5:$C$54,MATCH(K696,'Case Studies'!$B$5:$B$54,0))&amp;"","case-study"),IF(J696&lt;&gt;"",IFERROR(INDEX(Settings!$J$5:$J$55,MATCH(J696,Settings!$I$5:$I$55,0)),"general"),"general")))</f>
        <v/>
      </c>
      <c r="Y696" s="24" t="str">
        <f aca="false">IF(A696="","",LOWER(A696))</f>
        <v/>
      </c>
      <c r="Z696" s="24" t="str">
        <f aca="false">IF(A696="","",IF(T696="",Settings!$B$5,T696)&amp;IF(ISNUMBER(FIND("?",IF(T696="",Settings!$B$5,T696))),"&amp;","?")&amp;"utm_source="&amp;V696&amp;"&amp;utm_medium="&amp;W696&amp;"&amp;utm_campaign="&amp;X696&amp;"&amp;utm_content="&amp;Y696)</f>
        <v/>
      </c>
      <c r="AA696" s="29"/>
      <c r="AB696" s="39"/>
      <c r="AC696" s="32"/>
      <c r="AD696" s="32"/>
      <c r="AE696" s="32"/>
      <c r="AF696" s="32"/>
      <c r="AG696" s="32"/>
      <c r="AH696" s="32"/>
      <c r="AI696" s="32"/>
      <c r="AJ696" s="32"/>
      <c r="AK696" s="32"/>
      <c r="AL696" s="32"/>
      <c r="AM696" s="32"/>
      <c r="AN696" s="32"/>
      <c r="AO696" s="33" t="str">
        <f aca="false">IF(A696="","",IF(AD696&lt;&gt;"",AD696,IF(AC696&lt;&gt;"",AC696,"")))</f>
        <v/>
      </c>
      <c r="AP696" s="24" t="str">
        <f aca="false">IF(AO696="","",IF(AD696&lt;&gt;"","Reported reach","Impressions (proxy)"))</f>
        <v/>
      </c>
      <c r="AQ696" s="34" t="str">
        <f aca="false">IF(OR(AO696="",N(S696)=0),"",AO696/S696)</f>
        <v/>
      </c>
      <c r="AR696" s="33" t="str">
        <f aca="false">IF(A696="","",IF(COUNT(AF696:AJ696)=0,"",SUM(AF696:AJ696)))</f>
        <v/>
      </c>
      <c r="AS696" s="34" t="str">
        <f aca="false">IF(OR(AR696="",N(AO696)=0),"",AR696/AO696)</f>
        <v/>
      </c>
      <c r="AT696" s="34" t="str">
        <f aca="false">IF(OR(AR696="",N(AC696)=0),"",AR696/AC696)</f>
        <v/>
      </c>
      <c r="AU696" s="34" t="str">
        <f aca="false">IF(OR(AR696="",N(S696)=0),"",AR696/S696)</f>
        <v/>
      </c>
      <c r="AV696" s="34" t="str">
        <f aca="false">IF(OR(AJ696="",N(AC696)=0),"",AJ696/AC696)</f>
        <v/>
      </c>
      <c r="AW696" s="34" t="str">
        <f aca="false">IF(OR(AH696="",N(AO696)=0),"",AH696/AO696)</f>
        <v/>
      </c>
      <c r="AX696" s="35" t="str">
        <f aca="false">IF(OR(AR696="",N(AO696)=0),"",(N(AF696)*Settings!$B$6+N(AG696)*Settings!$B$7+N(AH696)*Settings!$B$8+N(AI696)*Settings!$B$9+N(AJ696)*Settings!$B$10)/AO696*1000)</f>
        <v/>
      </c>
      <c r="AY696" s="36" t="str">
        <f aca="false">IF(AS696="","",IFERROR(AS696/AVERAGEIFS('Post Tracker'!$AS$5:$AS$1004,'Post Tracker'!$G$5:$G$1004,G696),""))</f>
        <v/>
      </c>
      <c r="AZ696" s="32"/>
      <c r="BA696" s="32"/>
      <c r="BB696" s="32"/>
      <c r="BC696" s="32"/>
      <c r="BD696" s="33" t="str">
        <f aca="false">IF(A696="","",COUNTIFS('Demo Pipeline'!$Q$5:$Q$504,A696))</f>
        <v/>
      </c>
      <c r="BE696" s="33" t="str">
        <f aca="false">IF(A696="","",COUNTIFS('Demo Pipeline'!$Q$5:$Q$504,A696,'Demo Pipeline'!$W$5:$W$504,"Attended"))</f>
        <v/>
      </c>
      <c r="BF696" s="33" t="str">
        <f aca="false">IF(A696="","",COUNTIFS('Demo Pipeline'!$Q$5:$Q$504,A696,'Demo Pipeline'!$X$5:$X$504,"Yes"))</f>
        <v/>
      </c>
      <c r="BG696" s="33" t="str">
        <f aca="false">IF(A696="","",COUNTIFS('Demo Pipeline'!$Q$5:$Q$504,A696,'Demo Pipeline'!$Y$5:$Y$504,"Closed Won"))</f>
        <v/>
      </c>
      <c r="BH696" s="37" t="str">
        <f aca="false">IF(A696="","",SUMIFS('Demo Pipeline'!$Z$5:$Z$504,'Demo Pipeline'!$Q$5:$Q$504,A696))</f>
        <v/>
      </c>
      <c r="BI696" s="34" t="str">
        <f aca="false">IF(OR(AZ696="",N(AJ696)=0),"",AZ696/AJ696)</f>
        <v/>
      </c>
      <c r="BJ696" s="34" t="str">
        <f aca="false">IF(OR(BB696="",N(AZ696)=0),"",BB696/AZ696)</f>
        <v/>
      </c>
      <c r="BK696" s="34" t="str">
        <f aca="false">IF(OR(A696="",N(BB696)=0),"",BD696/BB696)</f>
        <v/>
      </c>
      <c r="BL696" s="34" t="str">
        <f aca="false">IF(OR(A696="",N(AZ696)=0),"",BD696/AZ696)</f>
        <v/>
      </c>
      <c r="BM696" s="37" t="str">
        <f aca="false">IF(OR(N(Q696)=0,N(BD696)=0),"",Q696/BD696)</f>
        <v/>
      </c>
      <c r="BN696" s="29"/>
      <c r="BO696" s="29"/>
      <c r="BP696" s="33" t="str">
        <f aca="false">IF(OR(AR696="",N(AO696)=0),"",AR696)</f>
        <v/>
      </c>
      <c r="BQ696" s="33" t="str">
        <f aca="false">IF(OR(AR696="",N(S696)=0),"",S696)</f>
        <v/>
      </c>
      <c r="BR696" s="38" t="str">
        <f aca="false">IF(AND(ISNUMBER(B696),B696&gt;=Dashboard!$C$4,B696&lt;=Dashboard!$F$4,ISNUMBER(AU696)),AU696+ROW()/10^9,"")</f>
        <v/>
      </c>
      <c r="BS696" s="38" t="str">
        <f aca="false">IF(AND(ISNUMBER(B696),B696&gt;=Dashboard!$C$4,B696&lt;=Dashboard!$F$4,A696&lt;&gt;""),N(BD696)+N(AU696)/100+ROW()/10^9,"")</f>
        <v/>
      </c>
    </row>
    <row r="697" customFormat="false" ht="15" hidden="false" customHeight="false" outlineLevel="0" collapsed="false">
      <c r="A697" s="24" t="str">
        <f aca="false">IF(OR(B697="",G697="",H697=""),"",IFERROR(INDEX(Settings!$E$5:$E$49,MATCH(G697,Settings!$D$5:$D$49,0))&amp;INDEX(Settings!$H$5:$H$47,MATCH(H697,Settings!$G$5:$G$47,0))&amp;"-"&amp;TEXT(B697,"yymmdd")&amp;"-"&amp;IF(C697="","0000",TEXT(C697,"hhmm")),"CHECK LISTS"))</f>
        <v/>
      </c>
      <c r="B697" s="39"/>
      <c r="C697" s="40"/>
      <c r="D697" s="24" t="str">
        <f aca="false">IF(B697="","",TEXT(B697,"ddd"))</f>
        <v/>
      </c>
      <c r="E697" s="27" t="str">
        <f aca="false">IF(B697="","",B697-WEEKDAY(B697,3))</f>
        <v/>
      </c>
      <c r="F697" s="24" t="str">
        <f aca="false">IF(B697="","",TEXT(B697,"yyyy-mm"))</f>
        <v/>
      </c>
      <c r="G697" s="29"/>
      <c r="H697" s="29"/>
      <c r="I697" s="29"/>
      <c r="J697" s="29"/>
      <c r="K697" s="29"/>
      <c r="L697" s="29"/>
      <c r="M697" s="29"/>
      <c r="N697" s="29"/>
      <c r="O697" s="29"/>
      <c r="P697" s="29"/>
      <c r="Q697" s="30"/>
      <c r="R697" s="29"/>
      <c r="S697" s="32"/>
      <c r="T697" s="29"/>
      <c r="U697" s="29"/>
      <c r="V697" s="24" t="str">
        <f aca="false">IF(A697="","",IFERROR(INDEX(Settings!$F$5:$F$49,MATCH(G697,Settings!$D$5:$D$49,0)),""))</f>
        <v/>
      </c>
      <c r="W697" s="24" t="str">
        <f aca="false">IF(A697="","",IF(OR(P697="",P697="Organic"),"social","paid_social"))</f>
        <v/>
      </c>
      <c r="X697" s="24" t="str">
        <f aca="false">IF(A697="","",IF(K697&lt;&gt;"",IFERROR(INDEX('Case Studies'!$C$5:$C$54,MATCH(K697,'Case Studies'!$B$5:$B$54,0))&amp;"","case-study"),IF(J697&lt;&gt;"",IFERROR(INDEX(Settings!$J$5:$J$55,MATCH(J697,Settings!$I$5:$I$55,0)),"general"),"general")))</f>
        <v/>
      </c>
      <c r="Y697" s="24" t="str">
        <f aca="false">IF(A697="","",LOWER(A697))</f>
        <v/>
      </c>
      <c r="Z697" s="24" t="str">
        <f aca="false">IF(A697="","",IF(T697="",Settings!$B$5,T697)&amp;IF(ISNUMBER(FIND("?",IF(T697="",Settings!$B$5,T697))),"&amp;","?")&amp;"utm_source="&amp;V697&amp;"&amp;utm_medium="&amp;W697&amp;"&amp;utm_campaign="&amp;X697&amp;"&amp;utm_content="&amp;Y697)</f>
        <v/>
      </c>
      <c r="AA697" s="29"/>
      <c r="AB697" s="39"/>
      <c r="AC697" s="32"/>
      <c r="AD697" s="32"/>
      <c r="AE697" s="32"/>
      <c r="AF697" s="32"/>
      <c r="AG697" s="32"/>
      <c r="AH697" s="32"/>
      <c r="AI697" s="32"/>
      <c r="AJ697" s="32"/>
      <c r="AK697" s="32"/>
      <c r="AL697" s="32"/>
      <c r="AM697" s="32"/>
      <c r="AN697" s="32"/>
      <c r="AO697" s="33" t="str">
        <f aca="false">IF(A697="","",IF(AD697&lt;&gt;"",AD697,IF(AC697&lt;&gt;"",AC697,"")))</f>
        <v/>
      </c>
      <c r="AP697" s="24" t="str">
        <f aca="false">IF(AO697="","",IF(AD697&lt;&gt;"","Reported reach","Impressions (proxy)"))</f>
        <v/>
      </c>
      <c r="AQ697" s="34" t="str">
        <f aca="false">IF(OR(AO697="",N(S697)=0),"",AO697/S697)</f>
        <v/>
      </c>
      <c r="AR697" s="33" t="str">
        <f aca="false">IF(A697="","",IF(COUNT(AF697:AJ697)=0,"",SUM(AF697:AJ697)))</f>
        <v/>
      </c>
      <c r="AS697" s="34" t="str">
        <f aca="false">IF(OR(AR697="",N(AO697)=0),"",AR697/AO697)</f>
        <v/>
      </c>
      <c r="AT697" s="34" t="str">
        <f aca="false">IF(OR(AR697="",N(AC697)=0),"",AR697/AC697)</f>
        <v/>
      </c>
      <c r="AU697" s="34" t="str">
        <f aca="false">IF(OR(AR697="",N(S697)=0),"",AR697/S697)</f>
        <v/>
      </c>
      <c r="AV697" s="34" t="str">
        <f aca="false">IF(OR(AJ697="",N(AC697)=0),"",AJ697/AC697)</f>
        <v/>
      </c>
      <c r="AW697" s="34" t="str">
        <f aca="false">IF(OR(AH697="",N(AO697)=0),"",AH697/AO697)</f>
        <v/>
      </c>
      <c r="AX697" s="35" t="str">
        <f aca="false">IF(OR(AR697="",N(AO697)=0),"",(N(AF697)*Settings!$B$6+N(AG697)*Settings!$B$7+N(AH697)*Settings!$B$8+N(AI697)*Settings!$B$9+N(AJ697)*Settings!$B$10)/AO697*1000)</f>
        <v/>
      </c>
      <c r="AY697" s="36" t="str">
        <f aca="false">IF(AS697="","",IFERROR(AS697/AVERAGEIFS('Post Tracker'!$AS$5:$AS$1004,'Post Tracker'!$G$5:$G$1004,G697),""))</f>
        <v/>
      </c>
      <c r="AZ697" s="32"/>
      <c r="BA697" s="32"/>
      <c r="BB697" s="32"/>
      <c r="BC697" s="32"/>
      <c r="BD697" s="33" t="str">
        <f aca="false">IF(A697="","",COUNTIFS('Demo Pipeline'!$Q$5:$Q$504,A697))</f>
        <v/>
      </c>
      <c r="BE697" s="33" t="str">
        <f aca="false">IF(A697="","",COUNTIFS('Demo Pipeline'!$Q$5:$Q$504,A697,'Demo Pipeline'!$W$5:$W$504,"Attended"))</f>
        <v/>
      </c>
      <c r="BF697" s="33" t="str">
        <f aca="false">IF(A697="","",COUNTIFS('Demo Pipeline'!$Q$5:$Q$504,A697,'Demo Pipeline'!$X$5:$X$504,"Yes"))</f>
        <v/>
      </c>
      <c r="BG697" s="33" t="str">
        <f aca="false">IF(A697="","",COUNTIFS('Demo Pipeline'!$Q$5:$Q$504,A697,'Demo Pipeline'!$Y$5:$Y$504,"Closed Won"))</f>
        <v/>
      </c>
      <c r="BH697" s="37" t="str">
        <f aca="false">IF(A697="","",SUMIFS('Demo Pipeline'!$Z$5:$Z$504,'Demo Pipeline'!$Q$5:$Q$504,A697))</f>
        <v/>
      </c>
      <c r="BI697" s="34" t="str">
        <f aca="false">IF(OR(AZ697="",N(AJ697)=0),"",AZ697/AJ697)</f>
        <v/>
      </c>
      <c r="BJ697" s="34" t="str">
        <f aca="false">IF(OR(BB697="",N(AZ697)=0),"",BB697/AZ697)</f>
        <v/>
      </c>
      <c r="BK697" s="34" t="str">
        <f aca="false">IF(OR(A697="",N(BB697)=0),"",BD697/BB697)</f>
        <v/>
      </c>
      <c r="BL697" s="34" t="str">
        <f aca="false">IF(OR(A697="",N(AZ697)=0),"",BD697/AZ697)</f>
        <v/>
      </c>
      <c r="BM697" s="37" t="str">
        <f aca="false">IF(OR(N(Q697)=0,N(BD697)=0),"",Q697/BD697)</f>
        <v/>
      </c>
      <c r="BN697" s="29"/>
      <c r="BO697" s="29"/>
      <c r="BP697" s="33" t="str">
        <f aca="false">IF(OR(AR697="",N(AO697)=0),"",AR697)</f>
        <v/>
      </c>
      <c r="BQ697" s="33" t="str">
        <f aca="false">IF(OR(AR697="",N(S697)=0),"",S697)</f>
        <v/>
      </c>
      <c r="BR697" s="38" t="str">
        <f aca="false">IF(AND(ISNUMBER(B697),B697&gt;=Dashboard!$C$4,B697&lt;=Dashboard!$F$4,ISNUMBER(AU697)),AU697+ROW()/10^9,"")</f>
        <v/>
      </c>
      <c r="BS697" s="38" t="str">
        <f aca="false">IF(AND(ISNUMBER(B697),B697&gt;=Dashboard!$C$4,B697&lt;=Dashboard!$F$4,A697&lt;&gt;""),N(BD697)+N(AU697)/100+ROW()/10^9,"")</f>
        <v/>
      </c>
    </row>
    <row r="698" customFormat="false" ht="15" hidden="false" customHeight="false" outlineLevel="0" collapsed="false">
      <c r="A698" s="24" t="str">
        <f aca="false">IF(OR(B698="",G698="",H698=""),"",IFERROR(INDEX(Settings!$E$5:$E$49,MATCH(G698,Settings!$D$5:$D$49,0))&amp;INDEX(Settings!$H$5:$H$47,MATCH(H698,Settings!$G$5:$G$47,0))&amp;"-"&amp;TEXT(B698,"yymmdd")&amp;"-"&amp;IF(C698="","0000",TEXT(C698,"hhmm")),"CHECK LISTS"))</f>
        <v/>
      </c>
      <c r="B698" s="39"/>
      <c r="C698" s="40"/>
      <c r="D698" s="24" t="str">
        <f aca="false">IF(B698="","",TEXT(B698,"ddd"))</f>
        <v/>
      </c>
      <c r="E698" s="27" t="str">
        <f aca="false">IF(B698="","",B698-WEEKDAY(B698,3))</f>
        <v/>
      </c>
      <c r="F698" s="24" t="str">
        <f aca="false">IF(B698="","",TEXT(B698,"yyyy-mm"))</f>
        <v/>
      </c>
      <c r="G698" s="29"/>
      <c r="H698" s="29"/>
      <c r="I698" s="29"/>
      <c r="J698" s="29"/>
      <c r="K698" s="29"/>
      <c r="L698" s="29"/>
      <c r="M698" s="29"/>
      <c r="N698" s="29"/>
      <c r="O698" s="29"/>
      <c r="P698" s="29"/>
      <c r="Q698" s="30"/>
      <c r="R698" s="29"/>
      <c r="S698" s="32"/>
      <c r="T698" s="29"/>
      <c r="U698" s="29"/>
      <c r="V698" s="24" t="str">
        <f aca="false">IF(A698="","",IFERROR(INDEX(Settings!$F$5:$F$49,MATCH(G698,Settings!$D$5:$D$49,0)),""))</f>
        <v/>
      </c>
      <c r="W698" s="24" t="str">
        <f aca="false">IF(A698="","",IF(OR(P698="",P698="Organic"),"social","paid_social"))</f>
        <v/>
      </c>
      <c r="X698" s="24" t="str">
        <f aca="false">IF(A698="","",IF(K698&lt;&gt;"",IFERROR(INDEX('Case Studies'!$C$5:$C$54,MATCH(K698,'Case Studies'!$B$5:$B$54,0))&amp;"","case-study"),IF(J698&lt;&gt;"",IFERROR(INDEX(Settings!$J$5:$J$55,MATCH(J698,Settings!$I$5:$I$55,0)),"general"),"general")))</f>
        <v/>
      </c>
      <c r="Y698" s="24" t="str">
        <f aca="false">IF(A698="","",LOWER(A698))</f>
        <v/>
      </c>
      <c r="Z698" s="24" t="str">
        <f aca="false">IF(A698="","",IF(T698="",Settings!$B$5,T698)&amp;IF(ISNUMBER(FIND("?",IF(T698="",Settings!$B$5,T698))),"&amp;","?")&amp;"utm_source="&amp;V698&amp;"&amp;utm_medium="&amp;W698&amp;"&amp;utm_campaign="&amp;X698&amp;"&amp;utm_content="&amp;Y698)</f>
        <v/>
      </c>
      <c r="AA698" s="29"/>
      <c r="AB698" s="39"/>
      <c r="AC698" s="32"/>
      <c r="AD698" s="32"/>
      <c r="AE698" s="32"/>
      <c r="AF698" s="32"/>
      <c r="AG698" s="32"/>
      <c r="AH698" s="32"/>
      <c r="AI698" s="32"/>
      <c r="AJ698" s="32"/>
      <c r="AK698" s="32"/>
      <c r="AL698" s="32"/>
      <c r="AM698" s="32"/>
      <c r="AN698" s="32"/>
      <c r="AO698" s="33" t="str">
        <f aca="false">IF(A698="","",IF(AD698&lt;&gt;"",AD698,IF(AC698&lt;&gt;"",AC698,"")))</f>
        <v/>
      </c>
      <c r="AP698" s="24" t="str">
        <f aca="false">IF(AO698="","",IF(AD698&lt;&gt;"","Reported reach","Impressions (proxy)"))</f>
        <v/>
      </c>
      <c r="AQ698" s="34" t="str">
        <f aca="false">IF(OR(AO698="",N(S698)=0),"",AO698/S698)</f>
        <v/>
      </c>
      <c r="AR698" s="33" t="str">
        <f aca="false">IF(A698="","",IF(COUNT(AF698:AJ698)=0,"",SUM(AF698:AJ698)))</f>
        <v/>
      </c>
      <c r="AS698" s="34" t="str">
        <f aca="false">IF(OR(AR698="",N(AO698)=0),"",AR698/AO698)</f>
        <v/>
      </c>
      <c r="AT698" s="34" t="str">
        <f aca="false">IF(OR(AR698="",N(AC698)=0),"",AR698/AC698)</f>
        <v/>
      </c>
      <c r="AU698" s="34" t="str">
        <f aca="false">IF(OR(AR698="",N(S698)=0),"",AR698/S698)</f>
        <v/>
      </c>
      <c r="AV698" s="34" t="str">
        <f aca="false">IF(OR(AJ698="",N(AC698)=0),"",AJ698/AC698)</f>
        <v/>
      </c>
      <c r="AW698" s="34" t="str">
        <f aca="false">IF(OR(AH698="",N(AO698)=0),"",AH698/AO698)</f>
        <v/>
      </c>
      <c r="AX698" s="35" t="str">
        <f aca="false">IF(OR(AR698="",N(AO698)=0),"",(N(AF698)*Settings!$B$6+N(AG698)*Settings!$B$7+N(AH698)*Settings!$B$8+N(AI698)*Settings!$B$9+N(AJ698)*Settings!$B$10)/AO698*1000)</f>
        <v/>
      </c>
      <c r="AY698" s="36" t="str">
        <f aca="false">IF(AS698="","",IFERROR(AS698/AVERAGEIFS('Post Tracker'!$AS$5:$AS$1004,'Post Tracker'!$G$5:$G$1004,G698),""))</f>
        <v/>
      </c>
      <c r="AZ698" s="32"/>
      <c r="BA698" s="32"/>
      <c r="BB698" s="32"/>
      <c r="BC698" s="32"/>
      <c r="BD698" s="33" t="str">
        <f aca="false">IF(A698="","",COUNTIFS('Demo Pipeline'!$Q$5:$Q$504,A698))</f>
        <v/>
      </c>
      <c r="BE698" s="33" t="str">
        <f aca="false">IF(A698="","",COUNTIFS('Demo Pipeline'!$Q$5:$Q$504,A698,'Demo Pipeline'!$W$5:$W$504,"Attended"))</f>
        <v/>
      </c>
      <c r="BF698" s="33" t="str">
        <f aca="false">IF(A698="","",COUNTIFS('Demo Pipeline'!$Q$5:$Q$504,A698,'Demo Pipeline'!$X$5:$X$504,"Yes"))</f>
        <v/>
      </c>
      <c r="BG698" s="33" t="str">
        <f aca="false">IF(A698="","",COUNTIFS('Demo Pipeline'!$Q$5:$Q$504,A698,'Demo Pipeline'!$Y$5:$Y$504,"Closed Won"))</f>
        <v/>
      </c>
      <c r="BH698" s="37" t="str">
        <f aca="false">IF(A698="","",SUMIFS('Demo Pipeline'!$Z$5:$Z$504,'Demo Pipeline'!$Q$5:$Q$504,A698))</f>
        <v/>
      </c>
      <c r="BI698" s="34" t="str">
        <f aca="false">IF(OR(AZ698="",N(AJ698)=0),"",AZ698/AJ698)</f>
        <v/>
      </c>
      <c r="BJ698" s="34" t="str">
        <f aca="false">IF(OR(BB698="",N(AZ698)=0),"",BB698/AZ698)</f>
        <v/>
      </c>
      <c r="BK698" s="34" t="str">
        <f aca="false">IF(OR(A698="",N(BB698)=0),"",BD698/BB698)</f>
        <v/>
      </c>
      <c r="BL698" s="34" t="str">
        <f aca="false">IF(OR(A698="",N(AZ698)=0),"",BD698/AZ698)</f>
        <v/>
      </c>
      <c r="BM698" s="37" t="str">
        <f aca="false">IF(OR(N(Q698)=0,N(BD698)=0),"",Q698/BD698)</f>
        <v/>
      </c>
      <c r="BN698" s="29"/>
      <c r="BO698" s="29"/>
      <c r="BP698" s="33" t="str">
        <f aca="false">IF(OR(AR698="",N(AO698)=0),"",AR698)</f>
        <v/>
      </c>
      <c r="BQ698" s="33" t="str">
        <f aca="false">IF(OR(AR698="",N(S698)=0),"",S698)</f>
        <v/>
      </c>
      <c r="BR698" s="38" t="str">
        <f aca="false">IF(AND(ISNUMBER(B698),B698&gt;=Dashboard!$C$4,B698&lt;=Dashboard!$F$4,ISNUMBER(AU698)),AU698+ROW()/10^9,"")</f>
        <v/>
      </c>
      <c r="BS698" s="38" t="str">
        <f aca="false">IF(AND(ISNUMBER(B698),B698&gt;=Dashboard!$C$4,B698&lt;=Dashboard!$F$4,A698&lt;&gt;""),N(BD698)+N(AU698)/100+ROW()/10^9,"")</f>
        <v/>
      </c>
    </row>
    <row r="699" customFormat="false" ht="15" hidden="false" customHeight="false" outlineLevel="0" collapsed="false">
      <c r="A699" s="24" t="str">
        <f aca="false">IF(OR(B699="",G699="",H699=""),"",IFERROR(INDEX(Settings!$E$5:$E$49,MATCH(G699,Settings!$D$5:$D$49,0))&amp;INDEX(Settings!$H$5:$H$47,MATCH(H699,Settings!$G$5:$G$47,0))&amp;"-"&amp;TEXT(B699,"yymmdd")&amp;"-"&amp;IF(C699="","0000",TEXT(C699,"hhmm")),"CHECK LISTS"))</f>
        <v/>
      </c>
      <c r="B699" s="39"/>
      <c r="C699" s="40"/>
      <c r="D699" s="24" t="str">
        <f aca="false">IF(B699="","",TEXT(B699,"ddd"))</f>
        <v/>
      </c>
      <c r="E699" s="27" t="str">
        <f aca="false">IF(B699="","",B699-WEEKDAY(B699,3))</f>
        <v/>
      </c>
      <c r="F699" s="24" t="str">
        <f aca="false">IF(B699="","",TEXT(B699,"yyyy-mm"))</f>
        <v/>
      </c>
      <c r="G699" s="29"/>
      <c r="H699" s="29"/>
      <c r="I699" s="29"/>
      <c r="J699" s="29"/>
      <c r="K699" s="29"/>
      <c r="L699" s="29"/>
      <c r="M699" s="29"/>
      <c r="N699" s="29"/>
      <c r="O699" s="29"/>
      <c r="P699" s="29"/>
      <c r="Q699" s="30"/>
      <c r="R699" s="29"/>
      <c r="S699" s="32"/>
      <c r="T699" s="29"/>
      <c r="U699" s="29"/>
      <c r="V699" s="24" t="str">
        <f aca="false">IF(A699="","",IFERROR(INDEX(Settings!$F$5:$F$49,MATCH(G699,Settings!$D$5:$D$49,0)),""))</f>
        <v/>
      </c>
      <c r="W699" s="24" t="str">
        <f aca="false">IF(A699="","",IF(OR(P699="",P699="Organic"),"social","paid_social"))</f>
        <v/>
      </c>
      <c r="X699" s="24" t="str">
        <f aca="false">IF(A699="","",IF(K699&lt;&gt;"",IFERROR(INDEX('Case Studies'!$C$5:$C$54,MATCH(K699,'Case Studies'!$B$5:$B$54,0))&amp;"","case-study"),IF(J699&lt;&gt;"",IFERROR(INDEX(Settings!$J$5:$J$55,MATCH(J699,Settings!$I$5:$I$55,0)),"general"),"general")))</f>
        <v/>
      </c>
      <c r="Y699" s="24" t="str">
        <f aca="false">IF(A699="","",LOWER(A699))</f>
        <v/>
      </c>
      <c r="Z699" s="24" t="str">
        <f aca="false">IF(A699="","",IF(T699="",Settings!$B$5,T699)&amp;IF(ISNUMBER(FIND("?",IF(T699="",Settings!$B$5,T699))),"&amp;","?")&amp;"utm_source="&amp;V699&amp;"&amp;utm_medium="&amp;W699&amp;"&amp;utm_campaign="&amp;X699&amp;"&amp;utm_content="&amp;Y699)</f>
        <v/>
      </c>
      <c r="AA699" s="29"/>
      <c r="AB699" s="39"/>
      <c r="AC699" s="32"/>
      <c r="AD699" s="32"/>
      <c r="AE699" s="32"/>
      <c r="AF699" s="32"/>
      <c r="AG699" s="32"/>
      <c r="AH699" s="32"/>
      <c r="AI699" s="32"/>
      <c r="AJ699" s="32"/>
      <c r="AK699" s="32"/>
      <c r="AL699" s="32"/>
      <c r="AM699" s="32"/>
      <c r="AN699" s="32"/>
      <c r="AO699" s="33" t="str">
        <f aca="false">IF(A699="","",IF(AD699&lt;&gt;"",AD699,IF(AC699&lt;&gt;"",AC699,"")))</f>
        <v/>
      </c>
      <c r="AP699" s="24" t="str">
        <f aca="false">IF(AO699="","",IF(AD699&lt;&gt;"","Reported reach","Impressions (proxy)"))</f>
        <v/>
      </c>
      <c r="AQ699" s="34" t="str">
        <f aca="false">IF(OR(AO699="",N(S699)=0),"",AO699/S699)</f>
        <v/>
      </c>
      <c r="AR699" s="33" t="str">
        <f aca="false">IF(A699="","",IF(COUNT(AF699:AJ699)=0,"",SUM(AF699:AJ699)))</f>
        <v/>
      </c>
      <c r="AS699" s="34" t="str">
        <f aca="false">IF(OR(AR699="",N(AO699)=0),"",AR699/AO699)</f>
        <v/>
      </c>
      <c r="AT699" s="34" t="str">
        <f aca="false">IF(OR(AR699="",N(AC699)=0),"",AR699/AC699)</f>
        <v/>
      </c>
      <c r="AU699" s="34" t="str">
        <f aca="false">IF(OR(AR699="",N(S699)=0),"",AR699/S699)</f>
        <v/>
      </c>
      <c r="AV699" s="34" t="str">
        <f aca="false">IF(OR(AJ699="",N(AC699)=0),"",AJ699/AC699)</f>
        <v/>
      </c>
      <c r="AW699" s="34" t="str">
        <f aca="false">IF(OR(AH699="",N(AO699)=0),"",AH699/AO699)</f>
        <v/>
      </c>
      <c r="AX699" s="35" t="str">
        <f aca="false">IF(OR(AR699="",N(AO699)=0),"",(N(AF699)*Settings!$B$6+N(AG699)*Settings!$B$7+N(AH699)*Settings!$B$8+N(AI699)*Settings!$B$9+N(AJ699)*Settings!$B$10)/AO699*1000)</f>
        <v/>
      </c>
      <c r="AY699" s="36" t="str">
        <f aca="false">IF(AS699="","",IFERROR(AS699/AVERAGEIFS('Post Tracker'!$AS$5:$AS$1004,'Post Tracker'!$G$5:$G$1004,G699),""))</f>
        <v/>
      </c>
      <c r="AZ699" s="32"/>
      <c r="BA699" s="32"/>
      <c r="BB699" s="32"/>
      <c r="BC699" s="32"/>
      <c r="BD699" s="33" t="str">
        <f aca="false">IF(A699="","",COUNTIFS('Demo Pipeline'!$Q$5:$Q$504,A699))</f>
        <v/>
      </c>
      <c r="BE699" s="33" t="str">
        <f aca="false">IF(A699="","",COUNTIFS('Demo Pipeline'!$Q$5:$Q$504,A699,'Demo Pipeline'!$W$5:$W$504,"Attended"))</f>
        <v/>
      </c>
      <c r="BF699" s="33" t="str">
        <f aca="false">IF(A699="","",COUNTIFS('Demo Pipeline'!$Q$5:$Q$504,A699,'Demo Pipeline'!$X$5:$X$504,"Yes"))</f>
        <v/>
      </c>
      <c r="BG699" s="33" t="str">
        <f aca="false">IF(A699="","",COUNTIFS('Demo Pipeline'!$Q$5:$Q$504,A699,'Demo Pipeline'!$Y$5:$Y$504,"Closed Won"))</f>
        <v/>
      </c>
      <c r="BH699" s="37" t="str">
        <f aca="false">IF(A699="","",SUMIFS('Demo Pipeline'!$Z$5:$Z$504,'Demo Pipeline'!$Q$5:$Q$504,A699))</f>
        <v/>
      </c>
      <c r="BI699" s="34" t="str">
        <f aca="false">IF(OR(AZ699="",N(AJ699)=0),"",AZ699/AJ699)</f>
        <v/>
      </c>
      <c r="BJ699" s="34" t="str">
        <f aca="false">IF(OR(BB699="",N(AZ699)=0),"",BB699/AZ699)</f>
        <v/>
      </c>
      <c r="BK699" s="34" t="str">
        <f aca="false">IF(OR(A699="",N(BB699)=0),"",BD699/BB699)</f>
        <v/>
      </c>
      <c r="BL699" s="34" t="str">
        <f aca="false">IF(OR(A699="",N(AZ699)=0),"",BD699/AZ699)</f>
        <v/>
      </c>
      <c r="BM699" s="37" t="str">
        <f aca="false">IF(OR(N(Q699)=0,N(BD699)=0),"",Q699/BD699)</f>
        <v/>
      </c>
      <c r="BN699" s="29"/>
      <c r="BO699" s="29"/>
      <c r="BP699" s="33" t="str">
        <f aca="false">IF(OR(AR699="",N(AO699)=0),"",AR699)</f>
        <v/>
      </c>
      <c r="BQ699" s="33" t="str">
        <f aca="false">IF(OR(AR699="",N(S699)=0),"",S699)</f>
        <v/>
      </c>
      <c r="BR699" s="38" t="str">
        <f aca="false">IF(AND(ISNUMBER(B699),B699&gt;=Dashboard!$C$4,B699&lt;=Dashboard!$F$4,ISNUMBER(AU699)),AU699+ROW()/10^9,"")</f>
        <v/>
      </c>
      <c r="BS699" s="38" t="str">
        <f aca="false">IF(AND(ISNUMBER(B699),B699&gt;=Dashboard!$C$4,B699&lt;=Dashboard!$F$4,A699&lt;&gt;""),N(BD699)+N(AU699)/100+ROW()/10^9,"")</f>
        <v/>
      </c>
    </row>
    <row r="700" customFormat="false" ht="15" hidden="false" customHeight="false" outlineLevel="0" collapsed="false">
      <c r="A700" s="24" t="str">
        <f aca="false">IF(OR(B700="",G700="",H700=""),"",IFERROR(INDEX(Settings!$E$5:$E$49,MATCH(G700,Settings!$D$5:$D$49,0))&amp;INDEX(Settings!$H$5:$H$47,MATCH(H700,Settings!$G$5:$G$47,0))&amp;"-"&amp;TEXT(B700,"yymmdd")&amp;"-"&amp;IF(C700="","0000",TEXT(C700,"hhmm")),"CHECK LISTS"))</f>
        <v/>
      </c>
      <c r="B700" s="39"/>
      <c r="C700" s="40"/>
      <c r="D700" s="24" t="str">
        <f aca="false">IF(B700="","",TEXT(B700,"ddd"))</f>
        <v/>
      </c>
      <c r="E700" s="27" t="str">
        <f aca="false">IF(B700="","",B700-WEEKDAY(B700,3))</f>
        <v/>
      </c>
      <c r="F700" s="24" t="str">
        <f aca="false">IF(B700="","",TEXT(B700,"yyyy-mm"))</f>
        <v/>
      </c>
      <c r="G700" s="29"/>
      <c r="H700" s="29"/>
      <c r="I700" s="29"/>
      <c r="J700" s="29"/>
      <c r="K700" s="29"/>
      <c r="L700" s="29"/>
      <c r="M700" s="29"/>
      <c r="N700" s="29"/>
      <c r="O700" s="29"/>
      <c r="P700" s="29"/>
      <c r="Q700" s="30"/>
      <c r="R700" s="29"/>
      <c r="S700" s="32"/>
      <c r="T700" s="29"/>
      <c r="U700" s="29"/>
      <c r="V700" s="24" t="str">
        <f aca="false">IF(A700="","",IFERROR(INDEX(Settings!$F$5:$F$49,MATCH(G700,Settings!$D$5:$D$49,0)),""))</f>
        <v/>
      </c>
      <c r="W700" s="24" t="str">
        <f aca="false">IF(A700="","",IF(OR(P700="",P700="Organic"),"social","paid_social"))</f>
        <v/>
      </c>
      <c r="X700" s="24" t="str">
        <f aca="false">IF(A700="","",IF(K700&lt;&gt;"",IFERROR(INDEX('Case Studies'!$C$5:$C$54,MATCH(K700,'Case Studies'!$B$5:$B$54,0))&amp;"","case-study"),IF(J700&lt;&gt;"",IFERROR(INDEX(Settings!$J$5:$J$55,MATCH(J700,Settings!$I$5:$I$55,0)),"general"),"general")))</f>
        <v/>
      </c>
      <c r="Y700" s="24" t="str">
        <f aca="false">IF(A700="","",LOWER(A700))</f>
        <v/>
      </c>
      <c r="Z700" s="24" t="str">
        <f aca="false">IF(A700="","",IF(T700="",Settings!$B$5,T700)&amp;IF(ISNUMBER(FIND("?",IF(T700="",Settings!$B$5,T700))),"&amp;","?")&amp;"utm_source="&amp;V700&amp;"&amp;utm_medium="&amp;W700&amp;"&amp;utm_campaign="&amp;X700&amp;"&amp;utm_content="&amp;Y700)</f>
        <v/>
      </c>
      <c r="AA700" s="29"/>
      <c r="AB700" s="39"/>
      <c r="AC700" s="32"/>
      <c r="AD700" s="32"/>
      <c r="AE700" s="32"/>
      <c r="AF700" s="32"/>
      <c r="AG700" s="32"/>
      <c r="AH700" s="32"/>
      <c r="AI700" s="32"/>
      <c r="AJ700" s="32"/>
      <c r="AK700" s="32"/>
      <c r="AL700" s="32"/>
      <c r="AM700" s="32"/>
      <c r="AN700" s="32"/>
      <c r="AO700" s="33" t="str">
        <f aca="false">IF(A700="","",IF(AD700&lt;&gt;"",AD700,IF(AC700&lt;&gt;"",AC700,"")))</f>
        <v/>
      </c>
      <c r="AP700" s="24" t="str">
        <f aca="false">IF(AO700="","",IF(AD700&lt;&gt;"","Reported reach","Impressions (proxy)"))</f>
        <v/>
      </c>
      <c r="AQ700" s="34" t="str">
        <f aca="false">IF(OR(AO700="",N(S700)=0),"",AO700/S700)</f>
        <v/>
      </c>
      <c r="AR700" s="33" t="str">
        <f aca="false">IF(A700="","",IF(COUNT(AF700:AJ700)=0,"",SUM(AF700:AJ700)))</f>
        <v/>
      </c>
      <c r="AS700" s="34" t="str">
        <f aca="false">IF(OR(AR700="",N(AO700)=0),"",AR700/AO700)</f>
        <v/>
      </c>
      <c r="AT700" s="34" t="str">
        <f aca="false">IF(OR(AR700="",N(AC700)=0),"",AR700/AC700)</f>
        <v/>
      </c>
      <c r="AU700" s="34" t="str">
        <f aca="false">IF(OR(AR700="",N(S700)=0),"",AR700/S700)</f>
        <v/>
      </c>
      <c r="AV700" s="34" t="str">
        <f aca="false">IF(OR(AJ700="",N(AC700)=0),"",AJ700/AC700)</f>
        <v/>
      </c>
      <c r="AW700" s="34" t="str">
        <f aca="false">IF(OR(AH700="",N(AO700)=0),"",AH700/AO700)</f>
        <v/>
      </c>
      <c r="AX700" s="35" t="str">
        <f aca="false">IF(OR(AR700="",N(AO700)=0),"",(N(AF700)*Settings!$B$6+N(AG700)*Settings!$B$7+N(AH700)*Settings!$B$8+N(AI700)*Settings!$B$9+N(AJ700)*Settings!$B$10)/AO700*1000)</f>
        <v/>
      </c>
      <c r="AY700" s="36" t="str">
        <f aca="false">IF(AS700="","",IFERROR(AS700/AVERAGEIFS('Post Tracker'!$AS$5:$AS$1004,'Post Tracker'!$G$5:$G$1004,G700),""))</f>
        <v/>
      </c>
      <c r="AZ700" s="32"/>
      <c r="BA700" s="32"/>
      <c r="BB700" s="32"/>
      <c r="BC700" s="32"/>
      <c r="BD700" s="33" t="str">
        <f aca="false">IF(A700="","",COUNTIFS('Demo Pipeline'!$Q$5:$Q$504,A700))</f>
        <v/>
      </c>
      <c r="BE700" s="33" t="str">
        <f aca="false">IF(A700="","",COUNTIFS('Demo Pipeline'!$Q$5:$Q$504,A700,'Demo Pipeline'!$W$5:$W$504,"Attended"))</f>
        <v/>
      </c>
      <c r="BF700" s="33" t="str">
        <f aca="false">IF(A700="","",COUNTIFS('Demo Pipeline'!$Q$5:$Q$504,A700,'Demo Pipeline'!$X$5:$X$504,"Yes"))</f>
        <v/>
      </c>
      <c r="BG700" s="33" t="str">
        <f aca="false">IF(A700="","",COUNTIFS('Demo Pipeline'!$Q$5:$Q$504,A700,'Demo Pipeline'!$Y$5:$Y$504,"Closed Won"))</f>
        <v/>
      </c>
      <c r="BH700" s="37" t="str">
        <f aca="false">IF(A700="","",SUMIFS('Demo Pipeline'!$Z$5:$Z$504,'Demo Pipeline'!$Q$5:$Q$504,A700))</f>
        <v/>
      </c>
      <c r="BI700" s="34" t="str">
        <f aca="false">IF(OR(AZ700="",N(AJ700)=0),"",AZ700/AJ700)</f>
        <v/>
      </c>
      <c r="BJ700" s="34" t="str">
        <f aca="false">IF(OR(BB700="",N(AZ700)=0),"",BB700/AZ700)</f>
        <v/>
      </c>
      <c r="BK700" s="34" t="str">
        <f aca="false">IF(OR(A700="",N(BB700)=0),"",BD700/BB700)</f>
        <v/>
      </c>
      <c r="BL700" s="34" t="str">
        <f aca="false">IF(OR(A700="",N(AZ700)=0),"",BD700/AZ700)</f>
        <v/>
      </c>
      <c r="BM700" s="37" t="str">
        <f aca="false">IF(OR(N(Q700)=0,N(BD700)=0),"",Q700/BD700)</f>
        <v/>
      </c>
      <c r="BN700" s="29"/>
      <c r="BO700" s="29"/>
      <c r="BP700" s="33" t="str">
        <f aca="false">IF(OR(AR700="",N(AO700)=0),"",AR700)</f>
        <v/>
      </c>
      <c r="BQ700" s="33" t="str">
        <f aca="false">IF(OR(AR700="",N(S700)=0),"",S700)</f>
        <v/>
      </c>
      <c r="BR700" s="38" t="str">
        <f aca="false">IF(AND(ISNUMBER(B700),B700&gt;=Dashboard!$C$4,B700&lt;=Dashboard!$F$4,ISNUMBER(AU700)),AU700+ROW()/10^9,"")</f>
        <v/>
      </c>
      <c r="BS700" s="38" t="str">
        <f aca="false">IF(AND(ISNUMBER(B700),B700&gt;=Dashboard!$C$4,B700&lt;=Dashboard!$F$4,A700&lt;&gt;""),N(BD700)+N(AU700)/100+ROW()/10^9,"")</f>
        <v/>
      </c>
    </row>
    <row r="701" customFormat="false" ht="15" hidden="false" customHeight="false" outlineLevel="0" collapsed="false">
      <c r="A701" s="24" t="str">
        <f aca="false">IF(OR(B701="",G701="",H701=""),"",IFERROR(INDEX(Settings!$E$5:$E$49,MATCH(G701,Settings!$D$5:$D$49,0))&amp;INDEX(Settings!$H$5:$H$47,MATCH(H701,Settings!$G$5:$G$47,0))&amp;"-"&amp;TEXT(B701,"yymmdd")&amp;"-"&amp;IF(C701="","0000",TEXT(C701,"hhmm")),"CHECK LISTS"))</f>
        <v/>
      </c>
      <c r="B701" s="39"/>
      <c r="C701" s="40"/>
      <c r="D701" s="24" t="str">
        <f aca="false">IF(B701="","",TEXT(B701,"ddd"))</f>
        <v/>
      </c>
      <c r="E701" s="27" t="str">
        <f aca="false">IF(B701="","",B701-WEEKDAY(B701,3))</f>
        <v/>
      </c>
      <c r="F701" s="24" t="str">
        <f aca="false">IF(B701="","",TEXT(B701,"yyyy-mm"))</f>
        <v/>
      </c>
      <c r="G701" s="29"/>
      <c r="H701" s="29"/>
      <c r="I701" s="29"/>
      <c r="J701" s="29"/>
      <c r="K701" s="29"/>
      <c r="L701" s="29"/>
      <c r="M701" s="29"/>
      <c r="N701" s="29"/>
      <c r="O701" s="29"/>
      <c r="P701" s="29"/>
      <c r="Q701" s="30"/>
      <c r="R701" s="29"/>
      <c r="S701" s="32"/>
      <c r="T701" s="29"/>
      <c r="U701" s="29"/>
      <c r="V701" s="24" t="str">
        <f aca="false">IF(A701="","",IFERROR(INDEX(Settings!$F$5:$F$49,MATCH(G701,Settings!$D$5:$D$49,0)),""))</f>
        <v/>
      </c>
      <c r="W701" s="24" t="str">
        <f aca="false">IF(A701="","",IF(OR(P701="",P701="Organic"),"social","paid_social"))</f>
        <v/>
      </c>
      <c r="X701" s="24" t="str">
        <f aca="false">IF(A701="","",IF(K701&lt;&gt;"",IFERROR(INDEX('Case Studies'!$C$5:$C$54,MATCH(K701,'Case Studies'!$B$5:$B$54,0))&amp;"","case-study"),IF(J701&lt;&gt;"",IFERROR(INDEX(Settings!$J$5:$J$55,MATCH(J701,Settings!$I$5:$I$55,0)),"general"),"general")))</f>
        <v/>
      </c>
      <c r="Y701" s="24" t="str">
        <f aca="false">IF(A701="","",LOWER(A701))</f>
        <v/>
      </c>
      <c r="Z701" s="24" t="str">
        <f aca="false">IF(A701="","",IF(T701="",Settings!$B$5,T701)&amp;IF(ISNUMBER(FIND("?",IF(T701="",Settings!$B$5,T701))),"&amp;","?")&amp;"utm_source="&amp;V701&amp;"&amp;utm_medium="&amp;W701&amp;"&amp;utm_campaign="&amp;X701&amp;"&amp;utm_content="&amp;Y701)</f>
        <v/>
      </c>
      <c r="AA701" s="29"/>
      <c r="AB701" s="39"/>
      <c r="AC701" s="32"/>
      <c r="AD701" s="32"/>
      <c r="AE701" s="32"/>
      <c r="AF701" s="32"/>
      <c r="AG701" s="32"/>
      <c r="AH701" s="32"/>
      <c r="AI701" s="32"/>
      <c r="AJ701" s="32"/>
      <c r="AK701" s="32"/>
      <c r="AL701" s="32"/>
      <c r="AM701" s="32"/>
      <c r="AN701" s="32"/>
      <c r="AO701" s="33" t="str">
        <f aca="false">IF(A701="","",IF(AD701&lt;&gt;"",AD701,IF(AC701&lt;&gt;"",AC701,"")))</f>
        <v/>
      </c>
      <c r="AP701" s="24" t="str">
        <f aca="false">IF(AO701="","",IF(AD701&lt;&gt;"","Reported reach","Impressions (proxy)"))</f>
        <v/>
      </c>
      <c r="AQ701" s="34" t="str">
        <f aca="false">IF(OR(AO701="",N(S701)=0),"",AO701/S701)</f>
        <v/>
      </c>
      <c r="AR701" s="33" t="str">
        <f aca="false">IF(A701="","",IF(COUNT(AF701:AJ701)=0,"",SUM(AF701:AJ701)))</f>
        <v/>
      </c>
      <c r="AS701" s="34" t="str">
        <f aca="false">IF(OR(AR701="",N(AO701)=0),"",AR701/AO701)</f>
        <v/>
      </c>
      <c r="AT701" s="34" t="str">
        <f aca="false">IF(OR(AR701="",N(AC701)=0),"",AR701/AC701)</f>
        <v/>
      </c>
      <c r="AU701" s="34" t="str">
        <f aca="false">IF(OR(AR701="",N(S701)=0),"",AR701/S701)</f>
        <v/>
      </c>
      <c r="AV701" s="34" t="str">
        <f aca="false">IF(OR(AJ701="",N(AC701)=0),"",AJ701/AC701)</f>
        <v/>
      </c>
      <c r="AW701" s="34" t="str">
        <f aca="false">IF(OR(AH701="",N(AO701)=0),"",AH701/AO701)</f>
        <v/>
      </c>
      <c r="AX701" s="35" t="str">
        <f aca="false">IF(OR(AR701="",N(AO701)=0),"",(N(AF701)*Settings!$B$6+N(AG701)*Settings!$B$7+N(AH701)*Settings!$B$8+N(AI701)*Settings!$B$9+N(AJ701)*Settings!$B$10)/AO701*1000)</f>
        <v/>
      </c>
      <c r="AY701" s="36" t="str">
        <f aca="false">IF(AS701="","",IFERROR(AS701/AVERAGEIFS('Post Tracker'!$AS$5:$AS$1004,'Post Tracker'!$G$5:$G$1004,G701),""))</f>
        <v/>
      </c>
      <c r="AZ701" s="32"/>
      <c r="BA701" s="32"/>
      <c r="BB701" s="32"/>
      <c r="BC701" s="32"/>
      <c r="BD701" s="33" t="str">
        <f aca="false">IF(A701="","",COUNTIFS('Demo Pipeline'!$Q$5:$Q$504,A701))</f>
        <v/>
      </c>
      <c r="BE701" s="33" t="str">
        <f aca="false">IF(A701="","",COUNTIFS('Demo Pipeline'!$Q$5:$Q$504,A701,'Demo Pipeline'!$W$5:$W$504,"Attended"))</f>
        <v/>
      </c>
      <c r="BF701" s="33" t="str">
        <f aca="false">IF(A701="","",COUNTIFS('Demo Pipeline'!$Q$5:$Q$504,A701,'Demo Pipeline'!$X$5:$X$504,"Yes"))</f>
        <v/>
      </c>
      <c r="BG701" s="33" t="str">
        <f aca="false">IF(A701="","",COUNTIFS('Demo Pipeline'!$Q$5:$Q$504,A701,'Demo Pipeline'!$Y$5:$Y$504,"Closed Won"))</f>
        <v/>
      </c>
      <c r="BH701" s="37" t="str">
        <f aca="false">IF(A701="","",SUMIFS('Demo Pipeline'!$Z$5:$Z$504,'Demo Pipeline'!$Q$5:$Q$504,A701))</f>
        <v/>
      </c>
      <c r="BI701" s="34" t="str">
        <f aca="false">IF(OR(AZ701="",N(AJ701)=0),"",AZ701/AJ701)</f>
        <v/>
      </c>
      <c r="BJ701" s="34" t="str">
        <f aca="false">IF(OR(BB701="",N(AZ701)=0),"",BB701/AZ701)</f>
        <v/>
      </c>
      <c r="BK701" s="34" t="str">
        <f aca="false">IF(OR(A701="",N(BB701)=0),"",BD701/BB701)</f>
        <v/>
      </c>
      <c r="BL701" s="34" t="str">
        <f aca="false">IF(OR(A701="",N(AZ701)=0),"",BD701/AZ701)</f>
        <v/>
      </c>
      <c r="BM701" s="37" t="str">
        <f aca="false">IF(OR(N(Q701)=0,N(BD701)=0),"",Q701/BD701)</f>
        <v/>
      </c>
      <c r="BN701" s="29"/>
      <c r="BO701" s="29"/>
      <c r="BP701" s="33" t="str">
        <f aca="false">IF(OR(AR701="",N(AO701)=0),"",AR701)</f>
        <v/>
      </c>
      <c r="BQ701" s="33" t="str">
        <f aca="false">IF(OR(AR701="",N(S701)=0),"",S701)</f>
        <v/>
      </c>
      <c r="BR701" s="38" t="str">
        <f aca="false">IF(AND(ISNUMBER(B701),B701&gt;=Dashboard!$C$4,B701&lt;=Dashboard!$F$4,ISNUMBER(AU701)),AU701+ROW()/10^9,"")</f>
        <v/>
      </c>
      <c r="BS701" s="38" t="str">
        <f aca="false">IF(AND(ISNUMBER(B701),B701&gt;=Dashboard!$C$4,B701&lt;=Dashboard!$F$4,A701&lt;&gt;""),N(BD701)+N(AU701)/100+ROW()/10^9,"")</f>
        <v/>
      </c>
    </row>
    <row r="702" customFormat="false" ht="15" hidden="false" customHeight="false" outlineLevel="0" collapsed="false">
      <c r="A702" s="24" t="str">
        <f aca="false">IF(OR(B702="",G702="",H702=""),"",IFERROR(INDEX(Settings!$E$5:$E$49,MATCH(G702,Settings!$D$5:$D$49,0))&amp;INDEX(Settings!$H$5:$H$47,MATCH(H702,Settings!$G$5:$G$47,0))&amp;"-"&amp;TEXT(B702,"yymmdd")&amp;"-"&amp;IF(C702="","0000",TEXT(C702,"hhmm")),"CHECK LISTS"))</f>
        <v/>
      </c>
      <c r="B702" s="39"/>
      <c r="C702" s="40"/>
      <c r="D702" s="24" t="str">
        <f aca="false">IF(B702="","",TEXT(B702,"ddd"))</f>
        <v/>
      </c>
      <c r="E702" s="27" t="str">
        <f aca="false">IF(B702="","",B702-WEEKDAY(B702,3))</f>
        <v/>
      </c>
      <c r="F702" s="24" t="str">
        <f aca="false">IF(B702="","",TEXT(B702,"yyyy-mm"))</f>
        <v/>
      </c>
      <c r="G702" s="29"/>
      <c r="H702" s="29"/>
      <c r="I702" s="29"/>
      <c r="J702" s="29"/>
      <c r="K702" s="29"/>
      <c r="L702" s="29"/>
      <c r="M702" s="29"/>
      <c r="N702" s="29"/>
      <c r="O702" s="29"/>
      <c r="P702" s="29"/>
      <c r="Q702" s="30"/>
      <c r="R702" s="29"/>
      <c r="S702" s="32"/>
      <c r="T702" s="29"/>
      <c r="U702" s="29"/>
      <c r="V702" s="24" t="str">
        <f aca="false">IF(A702="","",IFERROR(INDEX(Settings!$F$5:$F$49,MATCH(G702,Settings!$D$5:$D$49,0)),""))</f>
        <v/>
      </c>
      <c r="W702" s="24" t="str">
        <f aca="false">IF(A702="","",IF(OR(P702="",P702="Organic"),"social","paid_social"))</f>
        <v/>
      </c>
      <c r="X702" s="24" t="str">
        <f aca="false">IF(A702="","",IF(K702&lt;&gt;"",IFERROR(INDEX('Case Studies'!$C$5:$C$54,MATCH(K702,'Case Studies'!$B$5:$B$54,0))&amp;"","case-study"),IF(J702&lt;&gt;"",IFERROR(INDEX(Settings!$J$5:$J$55,MATCH(J702,Settings!$I$5:$I$55,0)),"general"),"general")))</f>
        <v/>
      </c>
      <c r="Y702" s="24" t="str">
        <f aca="false">IF(A702="","",LOWER(A702))</f>
        <v/>
      </c>
      <c r="Z702" s="24" t="str">
        <f aca="false">IF(A702="","",IF(T702="",Settings!$B$5,T702)&amp;IF(ISNUMBER(FIND("?",IF(T702="",Settings!$B$5,T702))),"&amp;","?")&amp;"utm_source="&amp;V702&amp;"&amp;utm_medium="&amp;W702&amp;"&amp;utm_campaign="&amp;X702&amp;"&amp;utm_content="&amp;Y702)</f>
        <v/>
      </c>
      <c r="AA702" s="29"/>
      <c r="AB702" s="39"/>
      <c r="AC702" s="32"/>
      <c r="AD702" s="32"/>
      <c r="AE702" s="32"/>
      <c r="AF702" s="32"/>
      <c r="AG702" s="32"/>
      <c r="AH702" s="32"/>
      <c r="AI702" s="32"/>
      <c r="AJ702" s="32"/>
      <c r="AK702" s="32"/>
      <c r="AL702" s="32"/>
      <c r="AM702" s="32"/>
      <c r="AN702" s="32"/>
      <c r="AO702" s="33" t="str">
        <f aca="false">IF(A702="","",IF(AD702&lt;&gt;"",AD702,IF(AC702&lt;&gt;"",AC702,"")))</f>
        <v/>
      </c>
      <c r="AP702" s="24" t="str">
        <f aca="false">IF(AO702="","",IF(AD702&lt;&gt;"","Reported reach","Impressions (proxy)"))</f>
        <v/>
      </c>
      <c r="AQ702" s="34" t="str">
        <f aca="false">IF(OR(AO702="",N(S702)=0),"",AO702/S702)</f>
        <v/>
      </c>
      <c r="AR702" s="33" t="str">
        <f aca="false">IF(A702="","",IF(COUNT(AF702:AJ702)=0,"",SUM(AF702:AJ702)))</f>
        <v/>
      </c>
      <c r="AS702" s="34" t="str">
        <f aca="false">IF(OR(AR702="",N(AO702)=0),"",AR702/AO702)</f>
        <v/>
      </c>
      <c r="AT702" s="34" t="str">
        <f aca="false">IF(OR(AR702="",N(AC702)=0),"",AR702/AC702)</f>
        <v/>
      </c>
      <c r="AU702" s="34" t="str">
        <f aca="false">IF(OR(AR702="",N(S702)=0),"",AR702/S702)</f>
        <v/>
      </c>
      <c r="AV702" s="34" t="str">
        <f aca="false">IF(OR(AJ702="",N(AC702)=0),"",AJ702/AC702)</f>
        <v/>
      </c>
      <c r="AW702" s="34" t="str">
        <f aca="false">IF(OR(AH702="",N(AO702)=0),"",AH702/AO702)</f>
        <v/>
      </c>
      <c r="AX702" s="35" t="str">
        <f aca="false">IF(OR(AR702="",N(AO702)=0),"",(N(AF702)*Settings!$B$6+N(AG702)*Settings!$B$7+N(AH702)*Settings!$B$8+N(AI702)*Settings!$B$9+N(AJ702)*Settings!$B$10)/AO702*1000)</f>
        <v/>
      </c>
      <c r="AY702" s="36" t="str">
        <f aca="false">IF(AS702="","",IFERROR(AS702/AVERAGEIFS('Post Tracker'!$AS$5:$AS$1004,'Post Tracker'!$G$5:$G$1004,G702),""))</f>
        <v/>
      </c>
      <c r="AZ702" s="32"/>
      <c r="BA702" s="32"/>
      <c r="BB702" s="32"/>
      <c r="BC702" s="32"/>
      <c r="BD702" s="33" t="str">
        <f aca="false">IF(A702="","",COUNTIFS('Demo Pipeline'!$Q$5:$Q$504,A702))</f>
        <v/>
      </c>
      <c r="BE702" s="33" t="str">
        <f aca="false">IF(A702="","",COUNTIFS('Demo Pipeline'!$Q$5:$Q$504,A702,'Demo Pipeline'!$W$5:$W$504,"Attended"))</f>
        <v/>
      </c>
      <c r="BF702" s="33" t="str">
        <f aca="false">IF(A702="","",COUNTIFS('Demo Pipeline'!$Q$5:$Q$504,A702,'Demo Pipeline'!$X$5:$X$504,"Yes"))</f>
        <v/>
      </c>
      <c r="BG702" s="33" t="str">
        <f aca="false">IF(A702="","",COUNTIFS('Demo Pipeline'!$Q$5:$Q$504,A702,'Demo Pipeline'!$Y$5:$Y$504,"Closed Won"))</f>
        <v/>
      </c>
      <c r="BH702" s="37" t="str">
        <f aca="false">IF(A702="","",SUMIFS('Demo Pipeline'!$Z$5:$Z$504,'Demo Pipeline'!$Q$5:$Q$504,A702))</f>
        <v/>
      </c>
      <c r="BI702" s="34" t="str">
        <f aca="false">IF(OR(AZ702="",N(AJ702)=0),"",AZ702/AJ702)</f>
        <v/>
      </c>
      <c r="BJ702" s="34" t="str">
        <f aca="false">IF(OR(BB702="",N(AZ702)=0),"",BB702/AZ702)</f>
        <v/>
      </c>
      <c r="BK702" s="34" t="str">
        <f aca="false">IF(OR(A702="",N(BB702)=0),"",BD702/BB702)</f>
        <v/>
      </c>
      <c r="BL702" s="34" t="str">
        <f aca="false">IF(OR(A702="",N(AZ702)=0),"",BD702/AZ702)</f>
        <v/>
      </c>
      <c r="BM702" s="37" t="str">
        <f aca="false">IF(OR(N(Q702)=0,N(BD702)=0),"",Q702/BD702)</f>
        <v/>
      </c>
      <c r="BN702" s="29"/>
      <c r="BO702" s="29"/>
      <c r="BP702" s="33" t="str">
        <f aca="false">IF(OR(AR702="",N(AO702)=0),"",AR702)</f>
        <v/>
      </c>
      <c r="BQ702" s="33" t="str">
        <f aca="false">IF(OR(AR702="",N(S702)=0),"",S702)</f>
        <v/>
      </c>
      <c r="BR702" s="38" t="str">
        <f aca="false">IF(AND(ISNUMBER(B702),B702&gt;=Dashboard!$C$4,B702&lt;=Dashboard!$F$4,ISNUMBER(AU702)),AU702+ROW()/10^9,"")</f>
        <v/>
      </c>
      <c r="BS702" s="38" t="str">
        <f aca="false">IF(AND(ISNUMBER(B702),B702&gt;=Dashboard!$C$4,B702&lt;=Dashboard!$F$4,A702&lt;&gt;""),N(BD702)+N(AU702)/100+ROW()/10^9,"")</f>
        <v/>
      </c>
    </row>
    <row r="703" customFormat="false" ht="15" hidden="false" customHeight="false" outlineLevel="0" collapsed="false">
      <c r="A703" s="24" t="str">
        <f aca="false">IF(OR(B703="",G703="",H703=""),"",IFERROR(INDEX(Settings!$E$5:$E$49,MATCH(G703,Settings!$D$5:$D$49,0))&amp;INDEX(Settings!$H$5:$H$47,MATCH(H703,Settings!$G$5:$G$47,0))&amp;"-"&amp;TEXT(B703,"yymmdd")&amp;"-"&amp;IF(C703="","0000",TEXT(C703,"hhmm")),"CHECK LISTS"))</f>
        <v/>
      </c>
      <c r="B703" s="39"/>
      <c r="C703" s="40"/>
      <c r="D703" s="24" t="str">
        <f aca="false">IF(B703="","",TEXT(B703,"ddd"))</f>
        <v/>
      </c>
      <c r="E703" s="27" t="str">
        <f aca="false">IF(B703="","",B703-WEEKDAY(B703,3))</f>
        <v/>
      </c>
      <c r="F703" s="24" t="str">
        <f aca="false">IF(B703="","",TEXT(B703,"yyyy-mm"))</f>
        <v/>
      </c>
      <c r="G703" s="29"/>
      <c r="H703" s="29"/>
      <c r="I703" s="29"/>
      <c r="J703" s="29"/>
      <c r="K703" s="29"/>
      <c r="L703" s="29"/>
      <c r="M703" s="29"/>
      <c r="N703" s="29"/>
      <c r="O703" s="29"/>
      <c r="P703" s="29"/>
      <c r="Q703" s="30"/>
      <c r="R703" s="29"/>
      <c r="S703" s="32"/>
      <c r="T703" s="29"/>
      <c r="U703" s="29"/>
      <c r="V703" s="24" t="str">
        <f aca="false">IF(A703="","",IFERROR(INDEX(Settings!$F$5:$F$49,MATCH(G703,Settings!$D$5:$D$49,0)),""))</f>
        <v/>
      </c>
      <c r="W703" s="24" t="str">
        <f aca="false">IF(A703="","",IF(OR(P703="",P703="Organic"),"social","paid_social"))</f>
        <v/>
      </c>
      <c r="X703" s="24" t="str">
        <f aca="false">IF(A703="","",IF(K703&lt;&gt;"",IFERROR(INDEX('Case Studies'!$C$5:$C$54,MATCH(K703,'Case Studies'!$B$5:$B$54,0))&amp;"","case-study"),IF(J703&lt;&gt;"",IFERROR(INDEX(Settings!$J$5:$J$55,MATCH(J703,Settings!$I$5:$I$55,0)),"general"),"general")))</f>
        <v/>
      </c>
      <c r="Y703" s="24" t="str">
        <f aca="false">IF(A703="","",LOWER(A703))</f>
        <v/>
      </c>
      <c r="Z703" s="24" t="str">
        <f aca="false">IF(A703="","",IF(T703="",Settings!$B$5,T703)&amp;IF(ISNUMBER(FIND("?",IF(T703="",Settings!$B$5,T703))),"&amp;","?")&amp;"utm_source="&amp;V703&amp;"&amp;utm_medium="&amp;W703&amp;"&amp;utm_campaign="&amp;X703&amp;"&amp;utm_content="&amp;Y703)</f>
        <v/>
      </c>
      <c r="AA703" s="29"/>
      <c r="AB703" s="39"/>
      <c r="AC703" s="32"/>
      <c r="AD703" s="32"/>
      <c r="AE703" s="32"/>
      <c r="AF703" s="32"/>
      <c r="AG703" s="32"/>
      <c r="AH703" s="32"/>
      <c r="AI703" s="32"/>
      <c r="AJ703" s="32"/>
      <c r="AK703" s="32"/>
      <c r="AL703" s="32"/>
      <c r="AM703" s="32"/>
      <c r="AN703" s="32"/>
      <c r="AO703" s="33" t="str">
        <f aca="false">IF(A703="","",IF(AD703&lt;&gt;"",AD703,IF(AC703&lt;&gt;"",AC703,"")))</f>
        <v/>
      </c>
      <c r="AP703" s="24" t="str">
        <f aca="false">IF(AO703="","",IF(AD703&lt;&gt;"","Reported reach","Impressions (proxy)"))</f>
        <v/>
      </c>
      <c r="AQ703" s="34" t="str">
        <f aca="false">IF(OR(AO703="",N(S703)=0),"",AO703/S703)</f>
        <v/>
      </c>
      <c r="AR703" s="33" t="str">
        <f aca="false">IF(A703="","",IF(COUNT(AF703:AJ703)=0,"",SUM(AF703:AJ703)))</f>
        <v/>
      </c>
      <c r="AS703" s="34" t="str">
        <f aca="false">IF(OR(AR703="",N(AO703)=0),"",AR703/AO703)</f>
        <v/>
      </c>
      <c r="AT703" s="34" t="str">
        <f aca="false">IF(OR(AR703="",N(AC703)=0),"",AR703/AC703)</f>
        <v/>
      </c>
      <c r="AU703" s="34" t="str">
        <f aca="false">IF(OR(AR703="",N(S703)=0),"",AR703/S703)</f>
        <v/>
      </c>
      <c r="AV703" s="34" t="str">
        <f aca="false">IF(OR(AJ703="",N(AC703)=0),"",AJ703/AC703)</f>
        <v/>
      </c>
      <c r="AW703" s="34" t="str">
        <f aca="false">IF(OR(AH703="",N(AO703)=0),"",AH703/AO703)</f>
        <v/>
      </c>
      <c r="AX703" s="35" t="str">
        <f aca="false">IF(OR(AR703="",N(AO703)=0),"",(N(AF703)*Settings!$B$6+N(AG703)*Settings!$B$7+N(AH703)*Settings!$B$8+N(AI703)*Settings!$B$9+N(AJ703)*Settings!$B$10)/AO703*1000)</f>
        <v/>
      </c>
      <c r="AY703" s="36" t="str">
        <f aca="false">IF(AS703="","",IFERROR(AS703/AVERAGEIFS('Post Tracker'!$AS$5:$AS$1004,'Post Tracker'!$G$5:$G$1004,G703),""))</f>
        <v/>
      </c>
      <c r="AZ703" s="32"/>
      <c r="BA703" s="32"/>
      <c r="BB703" s="32"/>
      <c r="BC703" s="32"/>
      <c r="BD703" s="33" t="str">
        <f aca="false">IF(A703="","",COUNTIFS('Demo Pipeline'!$Q$5:$Q$504,A703))</f>
        <v/>
      </c>
      <c r="BE703" s="33" t="str">
        <f aca="false">IF(A703="","",COUNTIFS('Demo Pipeline'!$Q$5:$Q$504,A703,'Demo Pipeline'!$W$5:$W$504,"Attended"))</f>
        <v/>
      </c>
      <c r="BF703" s="33" t="str">
        <f aca="false">IF(A703="","",COUNTIFS('Demo Pipeline'!$Q$5:$Q$504,A703,'Demo Pipeline'!$X$5:$X$504,"Yes"))</f>
        <v/>
      </c>
      <c r="BG703" s="33" t="str">
        <f aca="false">IF(A703="","",COUNTIFS('Demo Pipeline'!$Q$5:$Q$504,A703,'Demo Pipeline'!$Y$5:$Y$504,"Closed Won"))</f>
        <v/>
      </c>
      <c r="BH703" s="37" t="str">
        <f aca="false">IF(A703="","",SUMIFS('Demo Pipeline'!$Z$5:$Z$504,'Demo Pipeline'!$Q$5:$Q$504,A703))</f>
        <v/>
      </c>
      <c r="BI703" s="34" t="str">
        <f aca="false">IF(OR(AZ703="",N(AJ703)=0),"",AZ703/AJ703)</f>
        <v/>
      </c>
      <c r="BJ703" s="34" t="str">
        <f aca="false">IF(OR(BB703="",N(AZ703)=0),"",BB703/AZ703)</f>
        <v/>
      </c>
      <c r="BK703" s="34" t="str">
        <f aca="false">IF(OR(A703="",N(BB703)=0),"",BD703/BB703)</f>
        <v/>
      </c>
      <c r="BL703" s="34" t="str">
        <f aca="false">IF(OR(A703="",N(AZ703)=0),"",BD703/AZ703)</f>
        <v/>
      </c>
      <c r="BM703" s="37" t="str">
        <f aca="false">IF(OR(N(Q703)=0,N(BD703)=0),"",Q703/BD703)</f>
        <v/>
      </c>
      <c r="BN703" s="29"/>
      <c r="BO703" s="29"/>
      <c r="BP703" s="33" t="str">
        <f aca="false">IF(OR(AR703="",N(AO703)=0),"",AR703)</f>
        <v/>
      </c>
      <c r="BQ703" s="33" t="str">
        <f aca="false">IF(OR(AR703="",N(S703)=0),"",S703)</f>
        <v/>
      </c>
      <c r="BR703" s="38" t="str">
        <f aca="false">IF(AND(ISNUMBER(B703),B703&gt;=Dashboard!$C$4,B703&lt;=Dashboard!$F$4,ISNUMBER(AU703)),AU703+ROW()/10^9,"")</f>
        <v/>
      </c>
      <c r="BS703" s="38" t="str">
        <f aca="false">IF(AND(ISNUMBER(B703),B703&gt;=Dashboard!$C$4,B703&lt;=Dashboard!$F$4,A703&lt;&gt;""),N(BD703)+N(AU703)/100+ROW()/10^9,"")</f>
        <v/>
      </c>
    </row>
    <row r="704" customFormat="false" ht="15" hidden="false" customHeight="false" outlineLevel="0" collapsed="false">
      <c r="A704" s="24" t="str">
        <f aca="false">IF(OR(B704="",G704="",H704=""),"",IFERROR(INDEX(Settings!$E$5:$E$49,MATCH(G704,Settings!$D$5:$D$49,0))&amp;INDEX(Settings!$H$5:$H$47,MATCH(H704,Settings!$G$5:$G$47,0))&amp;"-"&amp;TEXT(B704,"yymmdd")&amp;"-"&amp;IF(C704="","0000",TEXT(C704,"hhmm")),"CHECK LISTS"))</f>
        <v/>
      </c>
      <c r="B704" s="39"/>
      <c r="C704" s="40"/>
      <c r="D704" s="24" t="str">
        <f aca="false">IF(B704="","",TEXT(B704,"ddd"))</f>
        <v/>
      </c>
      <c r="E704" s="27" t="str">
        <f aca="false">IF(B704="","",B704-WEEKDAY(B704,3))</f>
        <v/>
      </c>
      <c r="F704" s="24" t="str">
        <f aca="false">IF(B704="","",TEXT(B704,"yyyy-mm"))</f>
        <v/>
      </c>
      <c r="G704" s="29"/>
      <c r="H704" s="29"/>
      <c r="I704" s="29"/>
      <c r="J704" s="29"/>
      <c r="K704" s="29"/>
      <c r="L704" s="29"/>
      <c r="M704" s="29"/>
      <c r="N704" s="29"/>
      <c r="O704" s="29"/>
      <c r="P704" s="29"/>
      <c r="Q704" s="30"/>
      <c r="R704" s="29"/>
      <c r="S704" s="32"/>
      <c r="T704" s="29"/>
      <c r="U704" s="29"/>
      <c r="V704" s="24" t="str">
        <f aca="false">IF(A704="","",IFERROR(INDEX(Settings!$F$5:$F$49,MATCH(G704,Settings!$D$5:$D$49,0)),""))</f>
        <v/>
      </c>
      <c r="W704" s="24" t="str">
        <f aca="false">IF(A704="","",IF(OR(P704="",P704="Organic"),"social","paid_social"))</f>
        <v/>
      </c>
      <c r="X704" s="24" t="str">
        <f aca="false">IF(A704="","",IF(K704&lt;&gt;"",IFERROR(INDEX('Case Studies'!$C$5:$C$54,MATCH(K704,'Case Studies'!$B$5:$B$54,0))&amp;"","case-study"),IF(J704&lt;&gt;"",IFERROR(INDEX(Settings!$J$5:$J$55,MATCH(J704,Settings!$I$5:$I$55,0)),"general"),"general")))</f>
        <v/>
      </c>
      <c r="Y704" s="24" t="str">
        <f aca="false">IF(A704="","",LOWER(A704))</f>
        <v/>
      </c>
      <c r="Z704" s="24" t="str">
        <f aca="false">IF(A704="","",IF(T704="",Settings!$B$5,T704)&amp;IF(ISNUMBER(FIND("?",IF(T704="",Settings!$B$5,T704))),"&amp;","?")&amp;"utm_source="&amp;V704&amp;"&amp;utm_medium="&amp;W704&amp;"&amp;utm_campaign="&amp;X704&amp;"&amp;utm_content="&amp;Y704)</f>
        <v/>
      </c>
      <c r="AA704" s="29"/>
      <c r="AB704" s="39"/>
      <c r="AC704" s="32"/>
      <c r="AD704" s="32"/>
      <c r="AE704" s="32"/>
      <c r="AF704" s="32"/>
      <c r="AG704" s="32"/>
      <c r="AH704" s="32"/>
      <c r="AI704" s="32"/>
      <c r="AJ704" s="32"/>
      <c r="AK704" s="32"/>
      <c r="AL704" s="32"/>
      <c r="AM704" s="32"/>
      <c r="AN704" s="32"/>
      <c r="AO704" s="33" t="str">
        <f aca="false">IF(A704="","",IF(AD704&lt;&gt;"",AD704,IF(AC704&lt;&gt;"",AC704,"")))</f>
        <v/>
      </c>
      <c r="AP704" s="24" t="str">
        <f aca="false">IF(AO704="","",IF(AD704&lt;&gt;"","Reported reach","Impressions (proxy)"))</f>
        <v/>
      </c>
      <c r="AQ704" s="34" t="str">
        <f aca="false">IF(OR(AO704="",N(S704)=0),"",AO704/S704)</f>
        <v/>
      </c>
      <c r="AR704" s="33" t="str">
        <f aca="false">IF(A704="","",IF(COUNT(AF704:AJ704)=0,"",SUM(AF704:AJ704)))</f>
        <v/>
      </c>
      <c r="AS704" s="34" t="str">
        <f aca="false">IF(OR(AR704="",N(AO704)=0),"",AR704/AO704)</f>
        <v/>
      </c>
      <c r="AT704" s="34" t="str">
        <f aca="false">IF(OR(AR704="",N(AC704)=0),"",AR704/AC704)</f>
        <v/>
      </c>
      <c r="AU704" s="34" t="str">
        <f aca="false">IF(OR(AR704="",N(S704)=0),"",AR704/S704)</f>
        <v/>
      </c>
      <c r="AV704" s="34" t="str">
        <f aca="false">IF(OR(AJ704="",N(AC704)=0),"",AJ704/AC704)</f>
        <v/>
      </c>
      <c r="AW704" s="34" t="str">
        <f aca="false">IF(OR(AH704="",N(AO704)=0),"",AH704/AO704)</f>
        <v/>
      </c>
      <c r="AX704" s="35" t="str">
        <f aca="false">IF(OR(AR704="",N(AO704)=0),"",(N(AF704)*Settings!$B$6+N(AG704)*Settings!$B$7+N(AH704)*Settings!$B$8+N(AI704)*Settings!$B$9+N(AJ704)*Settings!$B$10)/AO704*1000)</f>
        <v/>
      </c>
      <c r="AY704" s="36" t="str">
        <f aca="false">IF(AS704="","",IFERROR(AS704/AVERAGEIFS('Post Tracker'!$AS$5:$AS$1004,'Post Tracker'!$G$5:$G$1004,G704),""))</f>
        <v/>
      </c>
      <c r="AZ704" s="32"/>
      <c r="BA704" s="32"/>
      <c r="BB704" s="32"/>
      <c r="BC704" s="32"/>
      <c r="BD704" s="33" t="str">
        <f aca="false">IF(A704="","",COUNTIFS('Demo Pipeline'!$Q$5:$Q$504,A704))</f>
        <v/>
      </c>
      <c r="BE704" s="33" t="str">
        <f aca="false">IF(A704="","",COUNTIFS('Demo Pipeline'!$Q$5:$Q$504,A704,'Demo Pipeline'!$W$5:$W$504,"Attended"))</f>
        <v/>
      </c>
      <c r="BF704" s="33" t="str">
        <f aca="false">IF(A704="","",COUNTIFS('Demo Pipeline'!$Q$5:$Q$504,A704,'Demo Pipeline'!$X$5:$X$504,"Yes"))</f>
        <v/>
      </c>
      <c r="BG704" s="33" t="str">
        <f aca="false">IF(A704="","",COUNTIFS('Demo Pipeline'!$Q$5:$Q$504,A704,'Demo Pipeline'!$Y$5:$Y$504,"Closed Won"))</f>
        <v/>
      </c>
      <c r="BH704" s="37" t="str">
        <f aca="false">IF(A704="","",SUMIFS('Demo Pipeline'!$Z$5:$Z$504,'Demo Pipeline'!$Q$5:$Q$504,A704))</f>
        <v/>
      </c>
      <c r="BI704" s="34" t="str">
        <f aca="false">IF(OR(AZ704="",N(AJ704)=0),"",AZ704/AJ704)</f>
        <v/>
      </c>
      <c r="BJ704" s="34" t="str">
        <f aca="false">IF(OR(BB704="",N(AZ704)=0),"",BB704/AZ704)</f>
        <v/>
      </c>
      <c r="BK704" s="34" t="str">
        <f aca="false">IF(OR(A704="",N(BB704)=0),"",BD704/BB704)</f>
        <v/>
      </c>
      <c r="BL704" s="34" t="str">
        <f aca="false">IF(OR(A704="",N(AZ704)=0),"",BD704/AZ704)</f>
        <v/>
      </c>
      <c r="BM704" s="37" t="str">
        <f aca="false">IF(OR(N(Q704)=0,N(BD704)=0),"",Q704/BD704)</f>
        <v/>
      </c>
      <c r="BN704" s="29"/>
      <c r="BO704" s="29"/>
      <c r="BP704" s="33" t="str">
        <f aca="false">IF(OR(AR704="",N(AO704)=0),"",AR704)</f>
        <v/>
      </c>
      <c r="BQ704" s="33" t="str">
        <f aca="false">IF(OR(AR704="",N(S704)=0),"",S704)</f>
        <v/>
      </c>
      <c r="BR704" s="38" t="str">
        <f aca="false">IF(AND(ISNUMBER(B704),B704&gt;=Dashboard!$C$4,B704&lt;=Dashboard!$F$4,ISNUMBER(AU704)),AU704+ROW()/10^9,"")</f>
        <v/>
      </c>
      <c r="BS704" s="38" t="str">
        <f aca="false">IF(AND(ISNUMBER(B704),B704&gt;=Dashboard!$C$4,B704&lt;=Dashboard!$F$4,A704&lt;&gt;""),N(BD704)+N(AU704)/100+ROW()/10^9,"")</f>
        <v/>
      </c>
    </row>
    <row r="705" customFormat="false" ht="15" hidden="false" customHeight="false" outlineLevel="0" collapsed="false">
      <c r="A705" s="24" t="str">
        <f aca="false">IF(OR(B705="",G705="",H705=""),"",IFERROR(INDEX(Settings!$E$5:$E$49,MATCH(G705,Settings!$D$5:$D$49,0))&amp;INDEX(Settings!$H$5:$H$47,MATCH(H705,Settings!$G$5:$G$47,0))&amp;"-"&amp;TEXT(B705,"yymmdd")&amp;"-"&amp;IF(C705="","0000",TEXT(C705,"hhmm")),"CHECK LISTS"))</f>
        <v/>
      </c>
      <c r="B705" s="39"/>
      <c r="C705" s="40"/>
      <c r="D705" s="24" t="str">
        <f aca="false">IF(B705="","",TEXT(B705,"ddd"))</f>
        <v/>
      </c>
      <c r="E705" s="27" t="str">
        <f aca="false">IF(B705="","",B705-WEEKDAY(B705,3))</f>
        <v/>
      </c>
      <c r="F705" s="24" t="str">
        <f aca="false">IF(B705="","",TEXT(B705,"yyyy-mm"))</f>
        <v/>
      </c>
      <c r="G705" s="29"/>
      <c r="H705" s="29"/>
      <c r="I705" s="29"/>
      <c r="J705" s="29"/>
      <c r="K705" s="29"/>
      <c r="L705" s="29"/>
      <c r="M705" s="29"/>
      <c r="N705" s="29"/>
      <c r="O705" s="29"/>
      <c r="P705" s="29"/>
      <c r="Q705" s="30"/>
      <c r="R705" s="29"/>
      <c r="S705" s="32"/>
      <c r="T705" s="29"/>
      <c r="U705" s="29"/>
      <c r="V705" s="24" t="str">
        <f aca="false">IF(A705="","",IFERROR(INDEX(Settings!$F$5:$F$49,MATCH(G705,Settings!$D$5:$D$49,0)),""))</f>
        <v/>
      </c>
      <c r="W705" s="24" t="str">
        <f aca="false">IF(A705="","",IF(OR(P705="",P705="Organic"),"social","paid_social"))</f>
        <v/>
      </c>
      <c r="X705" s="24" t="str">
        <f aca="false">IF(A705="","",IF(K705&lt;&gt;"",IFERROR(INDEX('Case Studies'!$C$5:$C$54,MATCH(K705,'Case Studies'!$B$5:$B$54,0))&amp;"","case-study"),IF(J705&lt;&gt;"",IFERROR(INDEX(Settings!$J$5:$J$55,MATCH(J705,Settings!$I$5:$I$55,0)),"general"),"general")))</f>
        <v/>
      </c>
      <c r="Y705" s="24" t="str">
        <f aca="false">IF(A705="","",LOWER(A705))</f>
        <v/>
      </c>
      <c r="Z705" s="24" t="str">
        <f aca="false">IF(A705="","",IF(T705="",Settings!$B$5,T705)&amp;IF(ISNUMBER(FIND("?",IF(T705="",Settings!$B$5,T705))),"&amp;","?")&amp;"utm_source="&amp;V705&amp;"&amp;utm_medium="&amp;W705&amp;"&amp;utm_campaign="&amp;X705&amp;"&amp;utm_content="&amp;Y705)</f>
        <v/>
      </c>
      <c r="AA705" s="29"/>
      <c r="AB705" s="39"/>
      <c r="AC705" s="32"/>
      <c r="AD705" s="32"/>
      <c r="AE705" s="32"/>
      <c r="AF705" s="32"/>
      <c r="AG705" s="32"/>
      <c r="AH705" s="32"/>
      <c r="AI705" s="32"/>
      <c r="AJ705" s="32"/>
      <c r="AK705" s="32"/>
      <c r="AL705" s="32"/>
      <c r="AM705" s="32"/>
      <c r="AN705" s="32"/>
      <c r="AO705" s="33" t="str">
        <f aca="false">IF(A705="","",IF(AD705&lt;&gt;"",AD705,IF(AC705&lt;&gt;"",AC705,"")))</f>
        <v/>
      </c>
      <c r="AP705" s="24" t="str">
        <f aca="false">IF(AO705="","",IF(AD705&lt;&gt;"","Reported reach","Impressions (proxy)"))</f>
        <v/>
      </c>
      <c r="AQ705" s="34" t="str">
        <f aca="false">IF(OR(AO705="",N(S705)=0),"",AO705/S705)</f>
        <v/>
      </c>
      <c r="AR705" s="33" t="str">
        <f aca="false">IF(A705="","",IF(COUNT(AF705:AJ705)=0,"",SUM(AF705:AJ705)))</f>
        <v/>
      </c>
      <c r="AS705" s="34" t="str">
        <f aca="false">IF(OR(AR705="",N(AO705)=0),"",AR705/AO705)</f>
        <v/>
      </c>
      <c r="AT705" s="34" t="str">
        <f aca="false">IF(OR(AR705="",N(AC705)=0),"",AR705/AC705)</f>
        <v/>
      </c>
      <c r="AU705" s="34" t="str">
        <f aca="false">IF(OR(AR705="",N(S705)=0),"",AR705/S705)</f>
        <v/>
      </c>
      <c r="AV705" s="34" t="str">
        <f aca="false">IF(OR(AJ705="",N(AC705)=0),"",AJ705/AC705)</f>
        <v/>
      </c>
      <c r="AW705" s="34" t="str">
        <f aca="false">IF(OR(AH705="",N(AO705)=0),"",AH705/AO705)</f>
        <v/>
      </c>
      <c r="AX705" s="35" t="str">
        <f aca="false">IF(OR(AR705="",N(AO705)=0),"",(N(AF705)*Settings!$B$6+N(AG705)*Settings!$B$7+N(AH705)*Settings!$B$8+N(AI705)*Settings!$B$9+N(AJ705)*Settings!$B$10)/AO705*1000)</f>
        <v/>
      </c>
      <c r="AY705" s="36" t="str">
        <f aca="false">IF(AS705="","",IFERROR(AS705/AVERAGEIFS('Post Tracker'!$AS$5:$AS$1004,'Post Tracker'!$G$5:$G$1004,G705),""))</f>
        <v/>
      </c>
      <c r="AZ705" s="32"/>
      <c r="BA705" s="32"/>
      <c r="BB705" s="32"/>
      <c r="BC705" s="32"/>
      <c r="BD705" s="33" t="str">
        <f aca="false">IF(A705="","",COUNTIFS('Demo Pipeline'!$Q$5:$Q$504,A705))</f>
        <v/>
      </c>
      <c r="BE705" s="33" t="str">
        <f aca="false">IF(A705="","",COUNTIFS('Demo Pipeline'!$Q$5:$Q$504,A705,'Demo Pipeline'!$W$5:$W$504,"Attended"))</f>
        <v/>
      </c>
      <c r="BF705" s="33" t="str">
        <f aca="false">IF(A705="","",COUNTIFS('Demo Pipeline'!$Q$5:$Q$504,A705,'Demo Pipeline'!$X$5:$X$504,"Yes"))</f>
        <v/>
      </c>
      <c r="BG705" s="33" t="str">
        <f aca="false">IF(A705="","",COUNTIFS('Demo Pipeline'!$Q$5:$Q$504,A705,'Demo Pipeline'!$Y$5:$Y$504,"Closed Won"))</f>
        <v/>
      </c>
      <c r="BH705" s="37" t="str">
        <f aca="false">IF(A705="","",SUMIFS('Demo Pipeline'!$Z$5:$Z$504,'Demo Pipeline'!$Q$5:$Q$504,A705))</f>
        <v/>
      </c>
      <c r="BI705" s="34" t="str">
        <f aca="false">IF(OR(AZ705="",N(AJ705)=0),"",AZ705/AJ705)</f>
        <v/>
      </c>
      <c r="BJ705" s="34" t="str">
        <f aca="false">IF(OR(BB705="",N(AZ705)=0),"",BB705/AZ705)</f>
        <v/>
      </c>
      <c r="BK705" s="34" t="str">
        <f aca="false">IF(OR(A705="",N(BB705)=0),"",BD705/BB705)</f>
        <v/>
      </c>
      <c r="BL705" s="34" t="str">
        <f aca="false">IF(OR(A705="",N(AZ705)=0),"",BD705/AZ705)</f>
        <v/>
      </c>
      <c r="BM705" s="37" t="str">
        <f aca="false">IF(OR(N(Q705)=0,N(BD705)=0),"",Q705/BD705)</f>
        <v/>
      </c>
      <c r="BN705" s="29"/>
      <c r="BO705" s="29"/>
      <c r="BP705" s="33" t="str">
        <f aca="false">IF(OR(AR705="",N(AO705)=0),"",AR705)</f>
        <v/>
      </c>
      <c r="BQ705" s="33" t="str">
        <f aca="false">IF(OR(AR705="",N(S705)=0),"",S705)</f>
        <v/>
      </c>
      <c r="BR705" s="38" t="str">
        <f aca="false">IF(AND(ISNUMBER(B705),B705&gt;=Dashboard!$C$4,B705&lt;=Dashboard!$F$4,ISNUMBER(AU705)),AU705+ROW()/10^9,"")</f>
        <v/>
      </c>
      <c r="BS705" s="38" t="str">
        <f aca="false">IF(AND(ISNUMBER(B705),B705&gt;=Dashboard!$C$4,B705&lt;=Dashboard!$F$4,A705&lt;&gt;""),N(BD705)+N(AU705)/100+ROW()/10^9,"")</f>
        <v/>
      </c>
    </row>
    <row r="706" customFormat="false" ht="15" hidden="false" customHeight="false" outlineLevel="0" collapsed="false">
      <c r="A706" s="24" t="str">
        <f aca="false">IF(OR(B706="",G706="",H706=""),"",IFERROR(INDEX(Settings!$E$5:$E$49,MATCH(G706,Settings!$D$5:$D$49,0))&amp;INDEX(Settings!$H$5:$H$47,MATCH(H706,Settings!$G$5:$G$47,0))&amp;"-"&amp;TEXT(B706,"yymmdd")&amp;"-"&amp;IF(C706="","0000",TEXT(C706,"hhmm")),"CHECK LISTS"))</f>
        <v/>
      </c>
      <c r="B706" s="39"/>
      <c r="C706" s="40"/>
      <c r="D706" s="24" t="str">
        <f aca="false">IF(B706="","",TEXT(B706,"ddd"))</f>
        <v/>
      </c>
      <c r="E706" s="27" t="str">
        <f aca="false">IF(B706="","",B706-WEEKDAY(B706,3))</f>
        <v/>
      </c>
      <c r="F706" s="24" t="str">
        <f aca="false">IF(B706="","",TEXT(B706,"yyyy-mm"))</f>
        <v/>
      </c>
      <c r="G706" s="29"/>
      <c r="H706" s="29"/>
      <c r="I706" s="29"/>
      <c r="J706" s="29"/>
      <c r="K706" s="29"/>
      <c r="L706" s="29"/>
      <c r="M706" s="29"/>
      <c r="N706" s="29"/>
      <c r="O706" s="29"/>
      <c r="P706" s="29"/>
      <c r="Q706" s="30"/>
      <c r="R706" s="29"/>
      <c r="S706" s="32"/>
      <c r="T706" s="29"/>
      <c r="U706" s="29"/>
      <c r="V706" s="24" t="str">
        <f aca="false">IF(A706="","",IFERROR(INDEX(Settings!$F$5:$F$49,MATCH(G706,Settings!$D$5:$D$49,0)),""))</f>
        <v/>
      </c>
      <c r="W706" s="24" t="str">
        <f aca="false">IF(A706="","",IF(OR(P706="",P706="Organic"),"social","paid_social"))</f>
        <v/>
      </c>
      <c r="X706" s="24" t="str">
        <f aca="false">IF(A706="","",IF(K706&lt;&gt;"",IFERROR(INDEX('Case Studies'!$C$5:$C$54,MATCH(K706,'Case Studies'!$B$5:$B$54,0))&amp;"","case-study"),IF(J706&lt;&gt;"",IFERROR(INDEX(Settings!$J$5:$J$55,MATCH(J706,Settings!$I$5:$I$55,0)),"general"),"general")))</f>
        <v/>
      </c>
      <c r="Y706" s="24" t="str">
        <f aca="false">IF(A706="","",LOWER(A706))</f>
        <v/>
      </c>
      <c r="Z706" s="24" t="str">
        <f aca="false">IF(A706="","",IF(T706="",Settings!$B$5,T706)&amp;IF(ISNUMBER(FIND("?",IF(T706="",Settings!$B$5,T706))),"&amp;","?")&amp;"utm_source="&amp;V706&amp;"&amp;utm_medium="&amp;W706&amp;"&amp;utm_campaign="&amp;X706&amp;"&amp;utm_content="&amp;Y706)</f>
        <v/>
      </c>
      <c r="AA706" s="29"/>
      <c r="AB706" s="39"/>
      <c r="AC706" s="32"/>
      <c r="AD706" s="32"/>
      <c r="AE706" s="32"/>
      <c r="AF706" s="32"/>
      <c r="AG706" s="32"/>
      <c r="AH706" s="32"/>
      <c r="AI706" s="32"/>
      <c r="AJ706" s="32"/>
      <c r="AK706" s="32"/>
      <c r="AL706" s="32"/>
      <c r="AM706" s="32"/>
      <c r="AN706" s="32"/>
      <c r="AO706" s="33" t="str">
        <f aca="false">IF(A706="","",IF(AD706&lt;&gt;"",AD706,IF(AC706&lt;&gt;"",AC706,"")))</f>
        <v/>
      </c>
      <c r="AP706" s="24" t="str">
        <f aca="false">IF(AO706="","",IF(AD706&lt;&gt;"","Reported reach","Impressions (proxy)"))</f>
        <v/>
      </c>
      <c r="AQ706" s="34" t="str">
        <f aca="false">IF(OR(AO706="",N(S706)=0),"",AO706/S706)</f>
        <v/>
      </c>
      <c r="AR706" s="33" t="str">
        <f aca="false">IF(A706="","",IF(COUNT(AF706:AJ706)=0,"",SUM(AF706:AJ706)))</f>
        <v/>
      </c>
      <c r="AS706" s="34" t="str">
        <f aca="false">IF(OR(AR706="",N(AO706)=0),"",AR706/AO706)</f>
        <v/>
      </c>
      <c r="AT706" s="34" t="str">
        <f aca="false">IF(OR(AR706="",N(AC706)=0),"",AR706/AC706)</f>
        <v/>
      </c>
      <c r="AU706" s="34" t="str">
        <f aca="false">IF(OR(AR706="",N(S706)=0),"",AR706/S706)</f>
        <v/>
      </c>
      <c r="AV706" s="34" t="str">
        <f aca="false">IF(OR(AJ706="",N(AC706)=0),"",AJ706/AC706)</f>
        <v/>
      </c>
      <c r="AW706" s="34" t="str">
        <f aca="false">IF(OR(AH706="",N(AO706)=0),"",AH706/AO706)</f>
        <v/>
      </c>
      <c r="AX706" s="35" t="str">
        <f aca="false">IF(OR(AR706="",N(AO706)=0),"",(N(AF706)*Settings!$B$6+N(AG706)*Settings!$B$7+N(AH706)*Settings!$B$8+N(AI706)*Settings!$B$9+N(AJ706)*Settings!$B$10)/AO706*1000)</f>
        <v/>
      </c>
      <c r="AY706" s="36" t="str">
        <f aca="false">IF(AS706="","",IFERROR(AS706/AVERAGEIFS('Post Tracker'!$AS$5:$AS$1004,'Post Tracker'!$G$5:$G$1004,G706),""))</f>
        <v/>
      </c>
      <c r="AZ706" s="32"/>
      <c r="BA706" s="32"/>
      <c r="BB706" s="32"/>
      <c r="BC706" s="32"/>
      <c r="BD706" s="33" t="str">
        <f aca="false">IF(A706="","",COUNTIFS('Demo Pipeline'!$Q$5:$Q$504,A706))</f>
        <v/>
      </c>
      <c r="BE706" s="33" t="str">
        <f aca="false">IF(A706="","",COUNTIFS('Demo Pipeline'!$Q$5:$Q$504,A706,'Demo Pipeline'!$W$5:$W$504,"Attended"))</f>
        <v/>
      </c>
      <c r="BF706" s="33" t="str">
        <f aca="false">IF(A706="","",COUNTIFS('Demo Pipeline'!$Q$5:$Q$504,A706,'Demo Pipeline'!$X$5:$X$504,"Yes"))</f>
        <v/>
      </c>
      <c r="BG706" s="33" t="str">
        <f aca="false">IF(A706="","",COUNTIFS('Demo Pipeline'!$Q$5:$Q$504,A706,'Demo Pipeline'!$Y$5:$Y$504,"Closed Won"))</f>
        <v/>
      </c>
      <c r="BH706" s="37" t="str">
        <f aca="false">IF(A706="","",SUMIFS('Demo Pipeline'!$Z$5:$Z$504,'Demo Pipeline'!$Q$5:$Q$504,A706))</f>
        <v/>
      </c>
      <c r="BI706" s="34" t="str">
        <f aca="false">IF(OR(AZ706="",N(AJ706)=0),"",AZ706/AJ706)</f>
        <v/>
      </c>
      <c r="BJ706" s="34" t="str">
        <f aca="false">IF(OR(BB706="",N(AZ706)=0),"",BB706/AZ706)</f>
        <v/>
      </c>
      <c r="BK706" s="34" t="str">
        <f aca="false">IF(OR(A706="",N(BB706)=0),"",BD706/BB706)</f>
        <v/>
      </c>
      <c r="BL706" s="34" t="str">
        <f aca="false">IF(OR(A706="",N(AZ706)=0),"",BD706/AZ706)</f>
        <v/>
      </c>
      <c r="BM706" s="37" t="str">
        <f aca="false">IF(OR(N(Q706)=0,N(BD706)=0),"",Q706/BD706)</f>
        <v/>
      </c>
      <c r="BN706" s="29"/>
      <c r="BO706" s="29"/>
      <c r="BP706" s="33" t="str">
        <f aca="false">IF(OR(AR706="",N(AO706)=0),"",AR706)</f>
        <v/>
      </c>
      <c r="BQ706" s="33" t="str">
        <f aca="false">IF(OR(AR706="",N(S706)=0),"",S706)</f>
        <v/>
      </c>
      <c r="BR706" s="38" t="str">
        <f aca="false">IF(AND(ISNUMBER(B706),B706&gt;=Dashboard!$C$4,B706&lt;=Dashboard!$F$4,ISNUMBER(AU706)),AU706+ROW()/10^9,"")</f>
        <v/>
      </c>
      <c r="BS706" s="38" t="str">
        <f aca="false">IF(AND(ISNUMBER(B706),B706&gt;=Dashboard!$C$4,B706&lt;=Dashboard!$F$4,A706&lt;&gt;""),N(BD706)+N(AU706)/100+ROW()/10^9,"")</f>
        <v/>
      </c>
    </row>
    <row r="707" customFormat="false" ht="15" hidden="false" customHeight="false" outlineLevel="0" collapsed="false">
      <c r="A707" s="24" t="str">
        <f aca="false">IF(OR(B707="",G707="",H707=""),"",IFERROR(INDEX(Settings!$E$5:$E$49,MATCH(G707,Settings!$D$5:$D$49,0))&amp;INDEX(Settings!$H$5:$H$47,MATCH(H707,Settings!$G$5:$G$47,0))&amp;"-"&amp;TEXT(B707,"yymmdd")&amp;"-"&amp;IF(C707="","0000",TEXT(C707,"hhmm")),"CHECK LISTS"))</f>
        <v/>
      </c>
      <c r="B707" s="39"/>
      <c r="C707" s="40"/>
      <c r="D707" s="24" t="str">
        <f aca="false">IF(B707="","",TEXT(B707,"ddd"))</f>
        <v/>
      </c>
      <c r="E707" s="27" t="str">
        <f aca="false">IF(B707="","",B707-WEEKDAY(B707,3))</f>
        <v/>
      </c>
      <c r="F707" s="24" t="str">
        <f aca="false">IF(B707="","",TEXT(B707,"yyyy-mm"))</f>
        <v/>
      </c>
      <c r="G707" s="29"/>
      <c r="H707" s="29"/>
      <c r="I707" s="29"/>
      <c r="J707" s="29"/>
      <c r="K707" s="29"/>
      <c r="L707" s="29"/>
      <c r="M707" s="29"/>
      <c r="N707" s="29"/>
      <c r="O707" s="29"/>
      <c r="P707" s="29"/>
      <c r="Q707" s="30"/>
      <c r="R707" s="29"/>
      <c r="S707" s="32"/>
      <c r="T707" s="29"/>
      <c r="U707" s="29"/>
      <c r="V707" s="24" t="str">
        <f aca="false">IF(A707="","",IFERROR(INDEX(Settings!$F$5:$F$49,MATCH(G707,Settings!$D$5:$D$49,0)),""))</f>
        <v/>
      </c>
      <c r="W707" s="24" t="str">
        <f aca="false">IF(A707="","",IF(OR(P707="",P707="Organic"),"social","paid_social"))</f>
        <v/>
      </c>
      <c r="X707" s="24" t="str">
        <f aca="false">IF(A707="","",IF(K707&lt;&gt;"",IFERROR(INDEX('Case Studies'!$C$5:$C$54,MATCH(K707,'Case Studies'!$B$5:$B$54,0))&amp;"","case-study"),IF(J707&lt;&gt;"",IFERROR(INDEX(Settings!$J$5:$J$55,MATCH(J707,Settings!$I$5:$I$55,0)),"general"),"general")))</f>
        <v/>
      </c>
      <c r="Y707" s="24" t="str">
        <f aca="false">IF(A707="","",LOWER(A707))</f>
        <v/>
      </c>
      <c r="Z707" s="24" t="str">
        <f aca="false">IF(A707="","",IF(T707="",Settings!$B$5,T707)&amp;IF(ISNUMBER(FIND("?",IF(T707="",Settings!$B$5,T707))),"&amp;","?")&amp;"utm_source="&amp;V707&amp;"&amp;utm_medium="&amp;W707&amp;"&amp;utm_campaign="&amp;X707&amp;"&amp;utm_content="&amp;Y707)</f>
        <v/>
      </c>
      <c r="AA707" s="29"/>
      <c r="AB707" s="39"/>
      <c r="AC707" s="32"/>
      <c r="AD707" s="32"/>
      <c r="AE707" s="32"/>
      <c r="AF707" s="32"/>
      <c r="AG707" s="32"/>
      <c r="AH707" s="32"/>
      <c r="AI707" s="32"/>
      <c r="AJ707" s="32"/>
      <c r="AK707" s="32"/>
      <c r="AL707" s="32"/>
      <c r="AM707" s="32"/>
      <c r="AN707" s="32"/>
      <c r="AO707" s="33" t="str">
        <f aca="false">IF(A707="","",IF(AD707&lt;&gt;"",AD707,IF(AC707&lt;&gt;"",AC707,"")))</f>
        <v/>
      </c>
      <c r="AP707" s="24" t="str">
        <f aca="false">IF(AO707="","",IF(AD707&lt;&gt;"","Reported reach","Impressions (proxy)"))</f>
        <v/>
      </c>
      <c r="AQ707" s="34" t="str">
        <f aca="false">IF(OR(AO707="",N(S707)=0),"",AO707/S707)</f>
        <v/>
      </c>
      <c r="AR707" s="33" t="str">
        <f aca="false">IF(A707="","",IF(COUNT(AF707:AJ707)=0,"",SUM(AF707:AJ707)))</f>
        <v/>
      </c>
      <c r="AS707" s="34" t="str">
        <f aca="false">IF(OR(AR707="",N(AO707)=0),"",AR707/AO707)</f>
        <v/>
      </c>
      <c r="AT707" s="34" t="str">
        <f aca="false">IF(OR(AR707="",N(AC707)=0),"",AR707/AC707)</f>
        <v/>
      </c>
      <c r="AU707" s="34" t="str">
        <f aca="false">IF(OR(AR707="",N(S707)=0),"",AR707/S707)</f>
        <v/>
      </c>
      <c r="AV707" s="34" t="str">
        <f aca="false">IF(OR(AJ707="",N(AC707)=0),"",AJ707/AC707)</f>
        <v/>
      </c>
      <c r="AW707" s="34" t="str">
        <f aca="false">IF(OR(AH707="",N(AO707)=0),"",AH707/AO707)</f>
        <v/>
      </c>
      <c r="AX707" s="35" t="str">
        <f aca="false">IF(OR(AR707="",N(AO707)=0),"",(N(AF707)*Settings!$B$6+N(AG707)*Settings!$B$7+N(AH707)*Settings!$B$8+N(AI707)*Settings!$B$9+N(AJ707)*Settings!$B$10)/AO707*1000)</f>
        <v/>
      </c>
      <c r="AY707" s="36" t="str">
        <f aca="false">IF(AS707="","",IFERROR(AS707/AVERAGEIFS('Post Tracker'!$AS$5:$AS$1004,'Post Tracker'!$G$5:$G$1004,G707),""))</f>
        <v/>
      </c>
      <c r="AZ707" s="32"/>
      <c r="BA707" s="32"/>
      <c r="BB707" s="32"/>
      <c r="BC707" s="32"/>
      <c r="BD707" s="33" t="str">
        <f aca="false">IF(A707="","",COUNTIFS('Demo Pipeline'!$Q$5:$Q$504,A707))</f>
        <v/>
      </c>
      <c r="BE707" s="33" t="str">
        <f aca="false">IF(A707="","",COUNTIFS('Demo Pipeline'!$Q$5:$Q$504,A707,'Demo Pipeline'!$W$5:$W$504,"Attended"))</f>
        <v/>
      </c>
      <c r="BF707" s="33" t="str">
        <f aca="false">IF(A707="","",COUNTIFS('Demo Pipeline'!$Q$5:$Q$504,A707,'Demo Pipeline'!$X$5:$X$504,"Yes"))</f>
        <v/>
      </c>
      <c r="BG707" s="33" t="str">
        <f aca="false">IF(A707="","",COUNTIFS('Demo Pipeline'!$Q$5:$Q$504,A707,'Demo Pipeline'!$Y$5:$Y$504,"Closed Won"))</f>
        <v/>
      </c>
      <c r="BH707" s="37" t="str">
        <f aca="false">IF(A707="","",SUMIFS('Demo Pipeline'!$Z$5:$Z$504,'Demo Pipeline'!$Q$5:$Q$504,A707))</f>
        <v/>
      </c>
      <c r="BI707" s="34" t="str">
        <f aca="false">IF(OR(AZ707="",N(AJ707)=0),"",AZ707/AJ707)</f>
        <v/>
      </c>
      <c r="BJ707" s="34" t="str">
        <f aca="false">IF(OR(BB707="",N(AZ707)=0),"",BB707/AZ707)</f>
        <v/>
      </c>
      <c r="BK707" s="34" t="str">
        <f aca="false">IF(OR(A707="",N(BB707)=0),"",BD707/BB707)</f>
        <v/>
      </c>
      <c r="BL707" s="34" t="str">
        <f aca="false">IF(OR(A707="",N(AZ707)=0),"",BD707/AZ707)</f>
        <v/>
      </c>
      <c r="BM707" s="37" t="str">
        <f aca="false">IF(OR(N(Q707)=0,N(BD707)=0),"",Q707/BD707)</f>
        <v/>
      </c>
      <c r="BN707" s="29"/>
      <c r="BO707" s="29"/>
      <c r="BP707" s="33" t="str">
        <f aca="false">IF(OR(AR707="",N(AO707)=0),"",AR707)</f>
        <v/>
      </c>
      <c r="BQ707" s="33" t="str">
        <f aca="false">IF(OR(AR707="",N(S707)=0),"",S707)</f>
        <v/>
      </c>
      <c r="BR707" s="38" t="str">
        <f aca="false">IF(AND(ISNUMBER(B707),B707&gt;=Dashboard!$C$4,B707&lt;=Dashboard!$F$4,ISNUMBER(AU707)),AU707+ROW()/10^9,"")</f>
        <v/>
      </c>
      <c r="BS707" s="38" t="str">
        <f aca="false">IF(AND(ISNUMBER(B707),B707&gt;=Dashboard!$C$4,B707&lt;=Dashboard!$F$4,A707&lt;&gt;""),N(BD707)+N(AU707)/100+ROW()/10^9,"")</f>
        <v/>
      </c>
    </row>
    <row r="708" customFormat="false" ht="15" hidden="false" customHeight="false" outlineLevel="0" collapsed="false">
      <c r="A708" s="24" t="str">
        <f aca="false">IF(OR(B708="",G708="",H708=""),"",IFERROR(INDEX(Settings!$E$5:$E$49,MATCH(G708,Settings!$D$5:$D$49,0))&amp;INDEX(Settings!$H$5:$H$47,MATCH(H708,Settings!$G$5:$G$47,0))&amp;"-"&amp;TEXT(B708,"yymmdd")&amp;"-"&amp;IF(C708="","0000",TEXT(C708,"hhmm")),"CHECK LISTS"))</f>
        <v/>
      </c>
      <c r="B708" s="39"/>
      <c r="C708" s="40"/>
      <c r="D708" s="24" t="str">
        <f aca="false">IF(B708="","",TEXT(B708,"ddd"))</f>
        <v/>
      </c>
      <c r="E708" s="27" t="str">
        <f aca="false">IF(B708="","",B708-WEEKDAY(B708,3))</f>
        <v/>
      </c>
      <c r="F708" s="24" t="str">
        <f aca="false">IF(B708="","",TEXT(B708,"yyyy-mm"))</f>
        <v/>
      </c>
      <c r="G708" s="29"/>
      <c r="H708" s="29"/>
      <c r="I708" s="29"/>
      <c r="J708" s="29"/>
      <c r="K708" s="29"/>
      <c r="L708" s="29"/>
      <c r="M708" s="29"/>
      <c r="N708" s="29"/>
      <c r="O708" s="29"/>
      <c r="P708" s="29"/>
      <c r="Q708" s="30"/>
      <c r="R708" s="29"/>
      <c r="S708" s="32"/>
      <c r="T708" s="29"/>
      <c r="U708" s="29"/>
      <c r="V708" s="24" t="str">
        <f aca="false">IF(A708="","",IFERROR(INDEX(Settings!$F$5:$F$49,MATCH(G708,Settings!$D$5:$D$49,0)),""))</f>
        <v/>
      </c>
      <c r="W708" s="24" t="str">
        <f aca="false">IF(A708="","",IF(OR(P708="",P708="Organic"),"social","paid_social"))</f>
        <v/>
      </c>
      <c r="X708" s="24" t="str">
        <f aca="false">IF(A708="","",IF(K708&lt;&gt;"",IFERROR(INDEX('Case Studies'!$C$5:$C$54,MATCH(K708,'Case Studies'!$B$5:$B$54,0))&amp;"","case-study"),IF(J708&lt;&gt;"",IFERROR(INDEX(Settings!$J$5:$J$55,MATCH(J708,Settings!$I$5:$I$55,0)),"general"),"general")))</f>
        <v/>
      </c>
      <c r="Y708" s="24" t="str">
        <f aca="false">IF(A708="","",LOWER(A708))</f>
        <v/>
      </c>
      <c r="Z708" s="24" t="str">
        <f aca="false">IF(A708="","",IF(T708="",Settings!$B$5,T708)&amp;IF(ISNUMBER(FIND("?",IF(T708="",Settings!$B$5,T708))),"&amp;","?")&amp;"utm_source="&amp;V708&amp;"&amp;utm_medium="&amp;W708&amp;"&amp;utm_campaign="&amp;X708&amp;"&amp;utm_content="&amp;Y708)</f>
        <v/>
      </c>
      <c r="AA708" s="29"/>
      <c r="AB708" s="39"/>
      <c r="AC708" s="32"/>
      <c r="AD708" s="32"/>
      <c r="AE708" s="32"/>
      <c r="AF708" s="32"/>
      <c r="AG708" s="32"/>
      <c r="AH708" s="32"/>
      <c r="AI708" s="32"/>
      <c r="AJ708" s="32"/>
      <c r="AK708" s="32"/>
      <c r="AL708" s="32"/>
      <c r="AM708" s="32"/>
      <c r="AN708" s="32"/>
      <c r="AO708" s="33" t="str">
        <f aca="false">IF(A708="","",IF(AD708&lt;&gt;"",AD708,IF(AC708&lt;&gt;"",AC708,"")))</f>
        <v/>
      </c>
      <c r="AP708" s="24" t="str">
        <f aca="false">IF(AO708="","",IF(AD708&lt;&gt;"","Reported reach","Impressions (proxy)"))</f>
        <v/>
      </c>
      <c r="AQ708" s="34" t="str">
        <f aca="false">IF(OR(AO708="",N(S708)=0),"",AO708/S708)</f>
        <v/>
      </c>
      <c r="AR708" s="33" t="str">
        <f aca="false">IF(A708="","",IF(COUNT(AF708:AJ708)=0,"",SUM(AF708:AJ708)))</f>
        <v/>
      </c>
      <c r="AS708" s="34" t="str">
        <f aca="false">IF(OR(AR708="",N(AO708)=0),"",AR708/AO708)</f>
        <v/>
      </c>
      <c r="AT708" s="34" t="str">
        <f aca="false">IF(OR(AR708="",N(AC708)=0),"",AR708/AC708)</f>
        <v/>
      </c>
      <c r="AU708" s="34" t="str">
        <f aca="false">IF(OR(AR708="",N(S708)=0),"",AR708/S708)</f>
        <v/>
      </c>
      <c r="AV708" s="34" t="str">
        <f aca="false">IF(OR(AJ708="",N(AC708)=0),"",AJ708/AC708)</f>
        <v/>
      </c>
      <c r="AW708" s="34" t="str">
        <f aca="false">IF(OR(AH708="",N(AO708)=0),"",AH708/AO708)</f>
        <v/>
      </c>
      <c r="AX708" s="35" t="str">
        <f aca="false">IF(OR(AR708="",N(AO708)=0),"",(N(AF708)*Settings!$B$6+N(AG708)*Settings!$B$7+N(AH708)*Settings!$B$8+N(AI708)*Settings!$B$9+N(AJ708)*Settings!$B$10)/AO708*1000)</f>
        <v/>
      </c>
      <c r="AY708" s="36" t="str">
        <f aca="false">IF(AS708="","",IFERROR(AS708/AVERAGEIFS('Post Tracker'!$AS$5:$AS$1004,'Post Tracker'!$G$5:$G$1004,G708),""))</f>
        <v/>
      </c>
      <c r="AZ708" s="32"/>
      <c r="BA708" s="32"/>
      <c r="BB708" s="32"/>
      <c r="BC708" s="32"/>
      <c r="BD708" s="33" t="str">
        <f aca="false">IF(A708="","",COUNTIFS('Demo Pipeline'!$Q$5:$Q$504,A708))</f>
        <v/>
      </c>
      <c r="BE708" s="33" t="str">
        <f aca="false">IF(A708="","",COUNTIFS('Demo Pipeline'!$Q$5:$Q$504,A708,'Demo Pipeline'!$W$5:$W$504,"Attended"))</f>
        <v/>
      </c>
      <c r="BF708" s="33" t="str">
        <f aca="false">IF(A708="","",COUNTIFS('Demo Pipeline'!$Q$5:$Q$504,A708,'Demo Pipeline'!$X$5:$X$504,"Yes"))</f>
        <v/>
      </c>
      <c r="BG708" s="33" t="str">
        <f aca="false">IF(A708="","",COUNTIFS('Demo Pipeline'!$Q$5:$Q$504,A708,'Demo Pipeline'!$Y$5:$Y$504,"Closed Won"))</f>
        <v/>
      </c>
      <c r="BH708" s="37" t="str">
        <f aca="false">IF(A708="","",SUMIFS('Demo Pipeline'!$Z$5:$Z$504,'Demo Pipeline'!$Q$5:$Q$504,A708))</f>
        <v/>
      </c>
      <c r="BI708" s="34" t="str">
        <f aca="false">IF(OR(AZ708="",N(AJ708)=0),"",AZ708/AJ708)</f>
        <v/>
      </c>
      <c r="BJ708" s="34" t="str">
        <f aca="false">IF(OR(BB708="",N(AZ708)=0),"",BB708/AZ708)</f>
        <v/>
      </c>
      <c r="BK708" s="34" t="str">
        <f aca="false">IF(OR(A708="",N(BB708)=0),"",BD708/BB708)</f>
        <v/>
      </c>
      <c r="BL708" s="34" t="str">
        <f aca="false">IF(OR(A708="",N(AZ708)=0),"",BD708/AZ708)</f>
        <v/>
      </c>
      <c r="BM708" s="37" t="str">
        <f aca="false">IF(OR(N(Q708)=0,N(BD708)=0),"",Q708/BD708)</f>
        <v/>
      </c>
      <c r="BN708" s="29"/>
      <c r="BO708" s="29"/>
      <c r="BP708" s="33" t="str">
        <f aca="false">IF(OR(AR708="",N(AO708)=0),"",AR708)</f>
        <v/>
      </c>
      <c r="BQ708" s="33" t="str">
        <f aca="false">IF(OR(AR708="",N(S708)=0),"",S708)</f>
        <v/>
      </c>
      <c r="BR708" s="38" t="str">
        <f aca="false">IF(AND(ISNUMBER(B708),B708&gt;=Dashboard!$C$4,B708&lt;=Dashboard!$F$4,ISNUMBER(AU708)),AU708+ROW()/10^9,"")</f>
        <v/>
      </c>
      <c r="BS708" s="38" t="str">
        <f aca="false">IF(AND(ISNUMBER(B708),B708&gt;=Dashboard!$C$4,B708&lt;=Dashboard!$F$4,A708&lt;&gt;""),N(BD708)+N(AU708)/100+ROW()/10^9,"")</f>
        <v/>
      </c>
    </row>
    <row r="709" customFormat="false" ht="15" hidden="false" customHeight="false" outlineLevel="0" collapsed="false">
      <c r="A709" s="24" t="str">
        <f aca="false">IF(OR(B709="",G709="",H709=""),"",IFERROR(INDEX(Settings!$E$5:$E$49,MATCH(G709,Settings!$D$5:$D$49,0))&amp;INDEX(Settings!$H$5:$H$47,MATCH(H709,Settings!$G$5:$G$47,0))&amp;"-"&amp;TEXT(B709,"yymmdd")&amp;"-"&amp;IF(C709="","0000",TEXT(C709,"hhmm")),"CHECK LISTS"))</f>
        <v/>
      </c>
      <c r="B709" s="39"/>
      <c r="C709" s="40"/>
      <c r="D709" s="24" t="str">
        <f aca="false">IF(B709="","",TEXT(B709,"ddd"))</f>
        <v/>
      </c>
      <c r="E709" s="27" t="str">
        <f aca="false">IF(B709="","",B709-WEEKDAY(B709,3))</f>
        <v/>
      </c>
      <c r="F709" s="24" t="str">
        <f aca="false">IF(B709="","",TEXT(B709,"yyyy-mm"))</f>
        <v/>
      </c>
      <c r="G709" s="29"/>
      <c r="H709" s="29"/>
      <c r="I709" s="29"/>
      <c r="J709" s="29"/>
      <c r="K709" s="29"/>
      <c r="L709" s="29"/>
      <c r="M709" s="29"/>
      <c r="N709" s="29"/>
      <c r="O709" s="29"/>
      <c r="P709" s="29"/>
      <c r="Q709" s="30"/>
      <c r="R709" s="29"/>
      <c r="S709" s="32"/>
      <c r="T709" s="29"/>
      <c r="U709" s="29"/>
      <c r="V709" s="24" t="str">
        <f aca="false">IF(A709="","",IFERROR(INDEX(Settings!$F$5:$F$49,MATCH(G709,Settings!$D$5:$D$49,0)),""))</f>
        <v/>
      </c>
      <c r="W709" s="24" t="str">
        <f aca="false">IF(A709="","",IF(OR(P709="",P709="Organic"),"social","paid_social"))</f>
        <v/>
      </c>
      <c r="X709" s="24" t="str">
        <f aca="false">IF(A709="","",IF(K709&lt;&gt;"",IFERROR(INDEX('Case Studies'!$C$5:$C$54,MATCH(K709,'Case Studies'!$B$5:$B$54,0))&amp;"","case-study"),IF(J709&lt;&gt;"",IFERROR(INDEX(Settings!$J$5:$J$55,MATCH(J709,Settings!$I$5:$I$55,0)),"general"),"general")))</f>
        <v/>
      </c>
      <c r="Y709" s="24" t="str">
        <f aca="false">IF(A709="","",LOWER(A709))</f>
        <v/>
      </c>
      <c r="Z709" s="24" t="str">
        <f aca="false">IF(A709="","",IF(T709="",Settings!$B$5,T709)&amp;IF(ISNUMBER(FIND("?",IF(T709="",Settings!$B$5,T709))),"&amp;","?")&amp;"utm_source="&amp;V709&amp;"&amp;utm_medium="&amp;W709&amp;"&amp;utm_campaign="&amp;X709&amp;"&amp;utm_content="&amp;Y709)</f>
        <v/>
      </c>
      <c r="AA709" s="29"/>
      <c r="AB709" s="39"/>
      <c r="AC709" s="32"/>
      <c r="AD709" s="32"/>
      <c r="AE709" s="32"/>
      <c r="AF709" s="32"/>
      <c r="AG709" s="32"/>
      <c r="AH709" s="32"/>
      <c r="AI709" s="32"/>
      <c r="AJ709" s="32"/>
      <c r="AK709" s="32"/>
      <c r="AL709" s="32"/>
      <c r="AM709" s="32"/>
      <c r="AN709" s="32"/>
      <c r="AO709" s="33" t="str">
        <f aca="false">IF(A709="","",IF(AD709&lt;&gt;"",AD709,IF(AC709&lt;&gt;"",AC709,"")))</f>
        <v/>
      </c>
      <c r="AP709" s="24" t="str">
        <f aca="false">IF(AO709="","",IF(AD709&lt;&gt;"","Reported reach","Impressions (proxy)"))</f>
        <v/>
      </c>
      <c r="AQ709" s="34" t="str">
        <f aca="false">IF(OR(AO709="",N(S709)=0),"",AO709/S709)</f>
        <v/>
      </c>
      <c r="AR709" s="33" t="str">
        <f aca="false">IF(A709="","",IF(COUNT(AF709:AJ709)=0,"",SUM(AF709:AJ709)))</f>
        <v/>
      </c>
      <c r="AS709" s="34" t="str">
        <f aca="false">IF(OR(AR709="",N(AO709)=0),"",AR709/AO709)</f>
        <v/>
      </c>
      <c r="AT709" s="34" t="str">
        <f aca="false">IF(OR(AR709="",N(AC709)=0),"",AR709/AC709)</f>
        <v/>
      </c>
      <c r="AU709" s="34" t="str">
        <f aca="false">IF(OR(AR709="",N(S709)=0),"",AR709/S709)</f>
        <v/>
      </c>
      <c r="AV709" s="34" t="str">
        <f aca="false">IF(OR(AJ709="",N(AC709)=0),"",AJ709/AC709)</f>
        <v/>
      </c>
      <c r="AW709" s="34" t="str">
        <f aca="false">IF(OR(AH709="",N(AO709)=0),"",AH709/AO709)</f>
        <v/>
      </c>
      <c r="AX709" s="35" t="str">
        <f aca="false">IF(OR(AR709="",N(AO709)=0),"",(N(AF709)*Settings!$B$6+N(AG709)*Settings!$B$7+N(AH709)*Settings!$B$8+N(AI709)*Settings!$B$9+N(AJ709)*Settings!$B$10)/AO709*1000)</f>
        <v/>
      </c>
      <c r="AY709" s="36" t="str">
        <f aca="false">IF(AS709="","",IFERROR(AS709/AVERAGEIFS('Post Tracker'!$AS$5:$AS$1004,'Post Tracker'!$G$5:$G$1004,G709),""))</f>
        <v/>
      </c>
      <c r="AZ709" s="32"/>
      <c r="BA709" s="32"/>
      <c r="BB709" s="32"/>
      <c r="BC709" s="32"/>
      <c r="BD709" s="33" t="str">
        <f aca="false">IF(A709="","",COUNTIFS('Demo Pipeline'!$Q$5:$Q$504,A709))</f>
        <v/>
      </c>
      <c r="BE709" s="33" t="str">
        <f aca="false">IF(A709="","",COUNTIFS('Demo Pipeline'!$Q$5:$Q$504,A709,'Demo Pipeline'!$W$5:$W$504,"Attended"))</f>
        <v/>
      </c>
      <c r="BF709" s="33" t="str">
        <f aca="false">IF(A709="","",COUNTIFS('Demo Pipeline'!$Q$5:$Q$504,A709,'Demo Pipeline'!$X$5:$X$504,"Yes"))</f>
        <v/>
      </c>
      <c r="BG709" s="33" t="str">
        <f aca="false">IF(A709="","",COUNTIFS('Demo Pipeline'!$Q$5:$Q$504,A709,'Demo Pipeline'!$Y$5:$Y$504,"Closed Won"))</f>
        <v/>
      </c>
      <c r="BH709" s="37" t="str">
        <f aca="false">IF(A709="","",SUMIFS('Demo Pipeline'!$Z$5:$Z$504,'Demo Pipeline'!$Q$5:$Q$504,A709))</f>
        <v/>
      </c>
      <c r="BI709" s="34" t="str">
        <f aca="false">IF(OR(AZ709="",N(AJ709)=0),"",AZ709/AJ709)</f>
        <v/>
      </c>
      <c r="BJ709" s="34" t="str">
        <f aca="false">IF(OR(BB709="",N(AZ709)=0),"",BB709/AZ709)</f>
        <v/>
      </c>
      <c r="BK709" s="34" t="str">
        <f aca="false">IF(OR(A709="",N(BB709)=0),"",BD709/BB709)</f>
        <v/>
      </c>
      <c r="BL709" s="34" t="str">
        <f aca="false">IF(OR(A709="",N(AZ709)=0),"",BD709/AZ709)</f>
        <v/>
      </c>
      <c r="BM709" s="37" t="str">
        <f aca="false">IF(OR(N(Q709)=0,N(BD709)=0),"",Q709/BD709)</f>
        <v/>
      </c>
      <c r="BN709" s="29"/>
      <c r="BO709" s="29"/>
      <c r="BP709" s="33" t="str">
        <f aca="false">IF(OR(AR709="",N(AO709)=0),"",AR709)</f>
        <v/>
      </c>
      <c r="BQ709" s="33" t="str">
        <f aca="false">IF(OR(AR709="",N(S709)=0),"",S709)</f>
        <v/>
      </c>
      <c r="BR709" s="38" t="str">
        <f aca="false">IF(AND(ISNUMBER(B709),B709&gt;=Dashboard!$C$4,B709&lt;=Dashboard!$F$4,ISNUMBER(AU709)),AU709+ROW()/10^9,"")</f>
        <v/>
      </c>
      <c r="BS709" s="38" t="str">
        <f aca="false">IF(AND(ISNUMBER(B709),B709&gt;=Dashboard!$C$4,B709&lt;=Dashboard!$F$4,A709&lt;&gt;""),N(BD709)+N(AU709)/100+ROW()/10^9,"")</f>
        <v/>
      </c>
    </row>
    <row r="710" customFormat="false" ht="15" hidden="false" customHeight="false" outlineLevel="0" collapsed="false">
      <c r="A710" s="24" t="str">
        <f aca="false">IF(OR(B710="",G710="",H710=""),"",IFERROR(INDEX(Settings!$E$5:$E$49,MATCH(G710,Settings!$D$5:$D$49,0))&amp;INDEX(Settings!$H$5:$H$47,MATCH(H710,Settings!$G$5:$G$47,0))&amp;"-"&amp;TEXT(B710,"yymmdd")&amp;"-"&amp;IF(C710="","0000",TEXT(C710,"hhmm")),"CHECK LISTS"))</f>
        <v/>
      </c>
      <c r="B710" s="39"/>
      <c r="C710" s="40"/>
      <c r="D710" s="24" t="str">
        <f aca="false">IF(B710="","",TEXT(B710,"ddd"))</f>
        <v/>
      </c>
      <c r="E710" s="27" t="str">
        <f aca="false">IF(B710="","",B710-WEEKDAY(B710,3))</f>
        <v/>
      </c>
      <c r="F710" s="24" t="str">
        <f aca="false">IF(B710="","",TEXT(B710,"yyyy-mm"))</f>
        <v/>
      </c>
      <c r="G710" s="29"/>
      <c r="H710" s="29"/>
      <c r="I710" s="29"/>
      <c r="J710" s="29"/>
      <c r="K710" s="29"/>
      <c r="L710" s="29"/>
      <c r="M710" s="29"/>
      <c r="N710" s="29"/>
      <c r="O710" s="29"/>
      <c r="P710" s="29"/>
      <c r="Q710" s="30"/>
      <c r="R710" s="29"/>
      <c r="S710" s="32"/>
      <c r="T710" s="29"/>
      <c r="U710" s="29"/>
      <c r="V710" s="24" t="str">
        <f aca="false">IF(A710="","",IFERROR(INDEX(Settings!$F$5:$F$49,MATCH(G710,Settings!$D$5:$D$49,0)),""))</f>
        <v/>
      </c>
      <c r="W710" s="24" t="str">
        <f aca="false">IF(A710="","",IF(OR(P710="",P710="Organic"),"social","paid_social"))</f>
        <v/>
      </c>
      <c r="X710" s="24" t="str">
        <f aca="false">IF(A710="","",IF(K710&lt;&gt;"",IFERROR(INDEX('Case Studies'!$C$5:$C$54,MATCH(K710,'Case Studies'!$B$5:$B$54,0))&amp;"","case-study"),IF(J710&lt;&gt;"",IFERROR(INDEX(Settings!$J$5:$J$55,MATCH(J710,Settings!$I$5:$I$55,0)),"general"),"general")))</f>
        <v/>
      </c>
      <c r="Y710" s="24" t="str">
        <f aca="false">IF(A710="","",LOWER(A710))</f>
        <v/>
      </c>
      <c r="Z710" s="24" t="str">
        <f aca="false">IF(A710="","",IF(T710="",Settings!$B$5,T710)&amp;IF(ISNUMBER(FIND("?",IF(T710="",Settings!$B$5,T710))),"&amp;","?")&amp;"utm_source="&amp;V710&amp;"&amp;utm_medium="&amp;W710&amp;"&amp;utm_campaign="&amp;X710&amp;"&amp;utm_content="&amp;Y710)</f>
        <v/>
      </c>
      <c r="AA710" s="29"/>
      <c r="AB710" s="39"/>
      <c r="AC710" s="32"/>
      <c r="AD710" s="32"/>
      <c r="AE710" s="32"/>
      <c r="AF710" s="32"/>
      <c r="AG710" s="32"/>
      <c r="AH710" s="32"/>
      <c r="AI710" s="32"/>
      <c r="AJ710" s="32"/>
      <c r="AK710" s="32"/>
      <c r="AL710" s="32"/>
      <c r="AM710" s="32"/>
      <c r="AN710" s="32"/>
      <c r="AO710" s="33" t="str">
        <f aca="false">IF(A710="","",IF(AD710&lt;&gt;"",AD710,IF(AC710&lt;&gt;"",AC710,"")))</f>
        <v/>
      </c>
      <c r="AP710" s="24" t="str">
        <f aca="false">IF(AO710="","",IF(AD710&lt;&gt;"","Reported reach","Impressions (proxy)"))</f>
        <v/>
      </c>
      <c r="AQ710" s="34" t="str">
        <f aca="false">IF(OR(AO710="",N(S710)=0),"",AO710/S710)</f>
        <v/>
      </c>
      <c r="AR710" s="33" t="str">
        <f aca="false">IF(A710="","",IF(COUNT(AF710:AJ710)=0,"",SUM(AF710:AJ710)))</f>
        <v/>
      </c>
      <c r="AS710" s="34" t="str">
        <f aca="false">IF(OR(AR710="",N(AO710)=0),"",AR710/AO710)</f>
        <v/>
      </c>
      <c r="AT710" s="34" t="str">
        <f aca="false">IF(OR(AR710="",N(AC710)=0),"",AR710/AC710)</f>
        <v/>
      </c>
      <c r="AU710" s="34" t="str">
        <f aca="false">IF(OR(AR710="",N(S710)=0),"",AR710/S710)</f>
        <v/>
      </c>
      <c r="AV710" s="34" t="str">
        <f aca="false">IF(OR(AJ710="",N(AC710)=0),"",AJ710/AC710)</f>
        <v/>
      </c>
      <c r="AW710" s="34" t="str">
        <f aca="false">IF(OR(AH710="",N(AO710)=0),"",AH710/AO710)</f>
        <v/>
      </c>
      <c r="AX710" s="35" t="str">
        <f aca="false">IF(OR(AR710="",N(AO710)=0),"",(N(AF710)*Settings!$B$6+N(AG710)*Settings!$B$7+N(AH710)*Settings!$B$8+N(AI710)*Settings!$B$9+N(AJ710)*Settings!$B$10)/AO710*1000)</f>
        <v/>
      </c>
      <c r="AY710" s="36" t="str">
        <f aca="false">IF(AS710="","",IFERROR(AS710/AVERAGEIFS('Post Tracker'!$AS$5:$AS$1004,'Post Tracker'!$G$5:$G$1004,G710),""))</f>
        <v/>
      </c>
      <c r="AZ710" s="32"/>
      <c r="BA710" s="32"/>
      <c r="BB710" s="32"/>
      <c r="BC710" s="32"/>
      <c r="BD710" s="33" t="str">
        <f aca="false">IF(A710="","",COUNTIFS('Demo Pipeline'!$Q$5:$Q$504,A710))</f>
        <v/>
      </c>
      <c r="BE710" s="33" t="str">
        <f aca="false">IF(A710="","",COUNTIFS('Demo Pipeline'!$Q$5:$Q$504,A710,'Demo Pipeline'!$W$5:$W$504,"Attended"))</f>
        <v/>
      </c>
      <c r="BF710" s="33" t="str">
        <f aca="false">IF(A710="","",COUNTIFS('Demo Pipeline'!$Q$5:$Q$504,A710,'Demo Pipeline'!$X$5:$X$504,"Yes"))</f>
        <v/>
      </c>
      <c r="BG710" s="33" t="str">
        <f aca="false">IF(A710="","",COUNTIFS('Demo Pipeline'!$Q$5:$Q$504,A710,'Demo Pipeline'!$Y$5:$Y$504,"Closed Won"))</f>
        <v/>
      </c>
      <c r="BH710" s="37" t="str">
        <f aca="false">IF(A710="","",SUMIFS('Demo Pipeline'!$Z$5:$Z$504,'Demo Pipeline'!$Q$5:$Q$504,A710))</f>
        <v/>
      </c>
      <c r="BI710" s="34" t="str">
        <f aca="false">IF(OR(AZ710="",N(AJ710)=0),"",AZ710/AJ710)</f>
        <v/>
      </c>
      <c r="BJ710" s="34" t="str">
        <f aca="false">IF(OR(BB710="",N(AZ710)=0),"",BB710/AZ710)</f>
        <v/>
      </c>
      <c r="BK710" s="34" t="str">
        <f aca="false">IF(OR(A710="",N(BB710)=0),"",BD710/BB710)</f>
        <v/>
      </c>
      <c r="BL710" s="34" t="str">
        <f aca="false">IF(OR(A710="",N(AZ710)=0),"",BD710/AZ710)</f>
        <v/>
      </c>
      <c r="BM710" s="37" t="str">
        <f aca="false">IF(OR(N(Q710)=0,N(BD710)=0),"",Q710/BD710)</f>
        <v/>
      </c>
      <c r="BN710" s="29"/>
      <c r="BO710" s="29"/>
      <c r="BP710" s="33" t="str">
        <f aca="false">IF(OR(AR710="",N(AO710)=0),"",AR710)</f>
        <v/>
      </c>
      <c r="BQ710" s="33" t="str">
        <f aca="false">IF(OR(AR710="",N(S710)=0),"",S710)</f>
        <v/>
      </c>
      <c r="BR710" s="38" t="str">
        <f aca="false">IF(AND(ISNUMBER(B710),B710&gt;=Dashboard!$C$4,B710&lt;=Dashboard!$F$4,ISNUMBER(AU710)),AU710+ROW()/10^9,"")</f>
        <v/>
      </c>
      <c r="BS710" s="38" t="str">
        <f aca="false">IF(AND(ISNUMBER(B710),B710&gt;=Dashboard!$C$4,B710&lt;=Dashboard!$F$4,A710&lt;&gt;""),N(BD710)+N(AU710)/100+ROW()/10^9,"")</f>
        <v/>
      </c>
    </row>
    <row r="711" customFormat="false" ht="15" hidden="false" customHeight="false" outlineLevel="0" collapsed="false">
      <c r="A711" s="24" t="str">
        <f aca="false">IF(OR(B711="",G711="",H711=""),"",IFERROR(INDEX(Settings!$E$5:$E$49,MATCH(G711,Settings!$D$5:$D$49,0))&amp;INDEX(Settings!$H$5:$H$47,MATCH(H711,Settings!$G$5:$G$47,0))&amp;"-"&amp;TEXT(B711,"yymmdd")&amp;"-"&amp;IF(C711="","0000",TEXT(C711,"hhmm")),"CHECK LISTS"))</f>
        <v/>
      </c>
      <c r="B711" s="39"/>
      <c r="C711" s="40"/>
      <c r="D711" s="24" t="str">
        <f aca="false">IF(B711="","",TEXT(B711,"ddd"))</f>
        <v/>
      </c>
      <c r="E711" s="27" t="str">
        <f aca="false">IF(B711="","",B711-WEEKDAY(B711,3))</f>
        <v/>
      </c>
      <c r="F711" s="24" t="str">
        <f aca="false">IF(B711="","",TEXT(B711,"yyyy-mm"))</f>
        <v/>
      </c>
      <c r="G711" s="29"/>
      <c r="H711" s="29"/>
      <c r="I711" s="29"/>
      <c r="J711" s="29"/>
      <c r="K711" s="29"/>
      <c r="L711" s="29"/>
      <c r="M711" s="29"/>
      <c r="N711" s="29"/>
      <c r="O711" s="29"/>
      <c r="P711" s="29"/>
      <c r="Q711" s="30"/>
      <c r="R711" s="29"/>
      <c r="S711" s="32"/>
      <c r="T711" s="29"/>
      <c r="U711" s="29"/>
      <c r="V711" s="24" t="str">
        <f aca="false">IF(A711="","",IFERROR(INDEX(Settings!$F$5:$F$49,MATCH(G711,Settings!$D$5:$D$49,0)),""))</f>
        <v/>
      </c>
      <c r="W711" s="24" t="str">
        <f aca="false">IF(A711="","",IF(OR(P711="",P711="Organic"),"social","paid_social"))</f>
        <v/>
      </c>
      <c r="X711" s="24" t="str">
        <f aca="false">IF(A711="","",IF(K711&lt;&gt;"",IFERROR(INDEX('Case Studies'!$C$5:$C$54,MATCH(K711,'Case Studies'!$B$5:$B$54,0))&amp;"","case-study"),IF(J711&lt;&gt;"",IFERROR(INDEX(Settings!$J$5:$J$55,MATCH(J711,Settings!$I$5:$I$55,0)),"general"),"general")))</f>
        <v/>
      </c>
      <c r="Y711" s="24" t="str">
        <f aca="false">IF(A711="","",LOWER(A711))</f>
        <v/>
      </c>
      <c r="Z711" s="24" t="str">
        <f aca="false">IF(A711="","",IF(T711="",Settings!$B$5,T711)&amp;IF(ISNUMBER(FIND("?",IF(T711="",Settings!$B$5,T711))),"&amp;","?")&amp;"utm_source="&amp;V711&amp;"&amp;utm_medium="&amp;W711&amp;"&amp;utm_campaign="&amp;X711&amp;"&amp;utm_content="&amp;Y711)</f>
        <v/>
      </c>
      <c r="AA711" s="29"/>
      <c r="AB711" s="39"/>
      <c r="AC711" s="32"/>
      <c r="AD711" s="32"/>
      <c r="AE711" s="32"/>
      <c r="AF711" s="32"/>
      <c r="AG711" s="32"/>
      <c r="AH711" s="32"/>
      <c r="AI711" s="32"/>
      <c r="AJ711" s="32"/>
      <c r="AK711" s="32"/>
      <c r="AL711" s="32"/>
      <c r="AM711" s="32"/>
      <c r="AN711" s="32"/>
      <c r="AO711" s="33" t="str">
        <f aca="false">IF(A711="","",IF(AD711&lt;&gt;"",AD711,IF(AC711&lt;&gt;"",AC711,"")))</f>
        <v/>
      </c>
      <c r="AP711" s="24" t="str">
        <f aca="false">IF(AO711="","",IF(AD711&lt;&gt;"","Reported reach","Impressions (proxy)"))</f>
        <v/>
      </c>
      <c r="AQ711" s="34" t="str">
        <f aca="false">IF(OR(AO711="",N(S711)=0),"",AO711/S711)</f>
        <v/>
      </c>
      <c r="AR711" s="33" t="str">
        <f aca="false">IF(A711="","",IF(COUNT(AF711:AJ711)=0,"",SUM(AF711:AJ711)))</f>
        <v/>
      </c>
      <c r="AS711" s="34" t="str">
        <f aca="false">IF(OR(AR711="",N(AO711)=0),"",AR711/AO711)</f>
        <v/>
      </c>
      <c r="AT711" s="34" t="str">
        <f aca="false">IF(OR(AR711="",N(AC711)=0),"",AR711/AC711)</f>
        <v/>
      </c>
      <c r="AU711" s="34" t="str">
        <f aca="false">IF(OR(AR711="",N(S711)=0),"",AR711/S711)</f>
        <v/>
      </c>
      <c r="AV711" s="34" t="str">
        <f aca="false">IF(OR(AJ711="",N(AC711)=0),"",AJ711/AC711)</f>
        <v/>
      </c>
      <c r="AW711" s="34" t="str">
        <f aca="false">IF(OR(AH711="",N(AO711)=0),"",AH711/AO711)</f>
        <v/>
      </c>
      <c r="AX711" s="35" t="str">
        <f aca="false">IF(OR(AR711="",N(AO711)=0),"",(N(AF711)*Settings!$B$6+N(AG711)*Settings!$B$7+N(AH711)*Settings!$B$8+N(AI711)*Settings!$B$9+N(AJ711)*Settings!$B$10)/AO711*1000)</f>
        <v/>
      </c>
      <c r="AY711" s="36" t="str">
        <f aca="false">IF(AS711="","",IFERROR(AS711/AVERAGEIFS('Post Tracker'!$AS$5:$AS$1004,'Post Tracker'!$G$5:$G$1004,G711),""))</f>
        <v/>
      </c>
      <c r="AZ711" s="32"/>
      <c r="BA711" s="32"/>
      <c r="BB711" s="32"/>
      <c r="BC711" s="32"/>
      <c r="BD711" s="33" t="str">
        <f aca="false">IF(A711="","",COUNTIFS('Demo Pipeline'!$Q$5:$Q$504,A711))</f>
        <v/>
      </c>
      <c r="BE711" s="33" t="str">
        <f aca="false">IF(A711="","",COUNTIFS('Demo Pipeline'!$Q$5:$Q$504,A711,'Demo Pipeline'!$W$5:$W$504,"Attended"))</f>
        <v/>
      </c>
      <c r="BF711" s="33" t="str">
        <f aca="false">IF(A711="","",COUNTIFS('Demo Pipeline'!$Q$5:$Q$504,A711,'Demo Pipeline'!$X$5:$X$504,"Yes"))</f>
        <v/>
      </c>
      <c r="BG711" s="33" t="str">
        <f aca="false">IF(A711="","",COUNTIFS('Demo Pipeline'!$Q$5:$Q$504,A711,'Demo Pipeline'!$Y$5:$Y$504,"Closed Won"))</f>
        <v/>
      </c>
      <c r="BH711" s="37" t="str">
        <f aca="false">IF(A711="","",SUMIFS('Demo Pipeline'!$Z$5:$Z$504,'Demo Pipeline'!$Q$5:$Q$504,A711))</f>
        <v/>
      </c>
      <c r="BI711" s="34" t="str">
        <f aca="false">IF(OR(AZ711="",N(AJ711)=0),"",AZ711/AJ711)</f>
        <v/>
      </c>
      <c r="BJ711" s="34" t="str">
        <f aca="false">IF(OR(BB711="",N(AZ711)=0),"",BB711/AZ711)</f>
        <v/>
      </c>
      <c r="BK711" s="34" t="str">
        <f aca="false">IF(OR(A711="",N(BB711)=0),"",BD711/BB711)</f>
        <v/>
      </c>
      <c r="BL711" s="34" t="str">
        <f aca="false">IF(OR(A711="",N(AZ711)=0),"",BD711/AZ711)</f>
        <v/>
      </c>
      <c r="BM711" s="37" t="str">
        <f aca="false">IF(OR(N(Q711)=0,N(BD711)=0),"",Q711/BD711)</f>
        <v/>
      </c>
      <c r="BN711" s="29"/>
      <c r="BO711" s="29"/>
      <c r="BP711" s="33" t="str">
        <f aca="false">IF(OR(AR711="",N(AO711)=0),"",AR711)</f>
        <v/>
      </c>
      <c r="BQ711" s="33" t="str">
        <f aca="false">IF(OR(AR711="",N(S711)=0),"",S711)</f>
        <v/>
      </c>
      <c r="BR711" s="38" t="str">
        <f aca="false">IF(AND(ISNUMBER(B711),B711&gt;=Dashboard!$C$4,B711&lt;=Dashboard!$F$4,ISNUMBER(AU711)),AU711+ROW()/10^9,"")</f>
        <v/>
      </c>
      <c r="BS711" s="38" t="str">
        <f aca="false">IF(AND(ISNUMBER(B711),B711&gt;=Dashboard!$C$4,B711&lt;=Dashboard!$F$4,A711&lt;&gt;""),N(BD711)+N(AU711)/100+ROW()/10^9,"")</f>
        <v/>
      </c>
    </row>
    <row r="712" customFormat="false" ht="15" hidden="false" customHeight="false" outlineLevel="0" collapsed="false">
      <c r="A712" s="24" t="str">
        <f aca="false">IF(OR(B712="",G712="",H712=""),"",IFERROR(INDEX(Settings!$E$5:$E$49,MATCH(G712,Settings!$D$5:$D$49,0))&amp;INDEX(Settings!$H$5:$H$47,MATCH(H712,Settings!$G$5:$G$47,0))&amp;"-"&amp;TEXT(B712,"yymmdd")&amp;"-"&amp;IF(C712="","0000",TEXT(C712,"hhmm")),"CHECK LISTS"))</f>
        <v/>
      </c>
      <c r="B712" s="39"/>
      <c r="C712" s="40"/>
      <c r="D712" s="24" t="str">
        <f aca="false">IF(B712="","",TEXT(B712,"ddd"))</f>
        <v/>
      </c>
      <c r="E712" s="27" t="str">
        <f aca="false">IF(B712="","",B712-WEEKDAY(B712,3))</f>
        <v/>
      </c>
      <c r="F712" s="24" t="str">
        <f aca="false">IF(B712="","",TEXT(B712,"yyyy-mm"))</f>
        <v/>
      </c>
      <c r="G712" s="29"/>
      <c r="H712" s="29"/>
      <c r="I712" s="29"/>
      <c r="J712" s="29"/>
      <c r="K712" s="29"/>
      <c r="L712" s="29"/>
      <c r="M712" s="29"/>
      <c r="N712" s="29"/>
      <c r="O712" s="29"/>
      <c r="P712" s="29"/>
      <c r="Q712" s="30"/>
      <c r="R712" s="29"/>
      <c r="S712" s="32"/>
      <c r="T712" s="29"/>
      <c r="U712" s="29"/>
      <c r="V712" s="24" t="str">
        <f aca="false">IF(A712="","",IFERROR(INDEX(Settings!$F$5:$F$49,MATCH(G712,Settings!$D$5:$D$49,0)),""))</f>
        <v/>
      </c>
      <c r="W712" s="24" t="str">
        <f aca="false">IF(A712="","",IF(OR(P712="",P712="Organic"),"social","paid_social"))</f>
        <v/>
      </c>
      <c r="X712" s="24" t="str">
        <f aca="false">IF(A712="","",IF(K712&lt;&gt;"",IFERROR(INDEX('Case Studies'!$C$5:$C$54,MATCH(K712,'Case Studies'!$B$5:$B$54,0))&amp;"","case-study"),IF(J712&lt;&gt;"",IFERROR(INDEX(Settings!$J$5:$J$55,MATCH(J712,Settings!$I$5:$I$55,0)),"general"),"general")))</f>
        <v/>
      </c>
      <c r="Y712" s="24" t="str">
        <f aca="false">IF(A712="","",LOWER(A712))</f>
        <v/>
      </c>
      <c r="Z712" s="24" t="str">
        <f aca="false">IF(A712="","",IF(T712="",Settings!$B$5,T712)&amp;IF(ISNUMBER(FIND("?",IF(T712="",Settings!$B$5,T712))),"&amp;","?")&amp;"utm_source="&amp;V712&amp;"&amp;utm_medium="&amp;W712&amp;"&amp;utm_campaign="&amp;X712&amp;"&amp;utm_content="&amp;Y712)</f>
        <v/>
      </c>
      <c r="AA712" s="29"/>
      <c r="AB712" s="39"/>
      <c r="AC712" s="32"/>
      <c r="AD712" s="32"/>
      <c r="AE712" s="32"/>
      <c r="AF712" s="32"/>
      <c r="AG712" s="32"/>
      <c r="AH712" s="32"/>
      <c r="AI712" s="32"/>
      <c r="AJ712" s="32"/>
      <c r="AK712" s="32"/>
      <c r="AL712" s="32"/>
      <c r="AM712" s="32"/>
      <c r="AN712" s="32"/>
      <c r="AO712" s="33" t="str">
        <f aca="false">IF(A712="","",IF(AD712&lt;&gt;"",AD712,IF(AC712&lt;&gt;"",AC712,"")))</f>
        <v/>
      </c>
      <c r="AP712" s="24" t="str">
        <f aca="false">IF(AO712="","",IF(AD712&lt;&gt;"","Reported reach","Impressions (proxy)"))</f>
        <v/>
      </c>
      <c r="AQ712" s="34" t="str">
        <f aca="false">IF(OR(AO712="",N(S712)=0),"",AO712/S712)</f>
        <v/>
      </c>
      <c r="AR712" s="33" t="str">
        <f aca="false">IF(A712="","",IF(COUNT(AF712:AJ712)=0,"",SUM(AF712:AJ712)))</f>
        <v/>
      </c>
      <c r="AS712" s="34" t="str">
        <f aca="false">IF(OR(AR712="",N(AO712)=0),"",AR712/AO712)</f>
        <v/>
      </c>
      <c r="AT712" s="34" t="str">
        <f aca="false">IF(OR(AR712="",N(AC712)=0),"",AR712/AC712)</f>
        <v/>
      </c>
      <c r="AU712" s="34" t="str">
        <f aca="false">IF(OR(AR712="",N(S712)=0),"",AR712/S712)</f>
        <v/>
      </c>
      <c r="AV712" s="34" t="str">
        <f aca="false">IF(OR(AJ712="",N(AC712)=0),"",AJ712/AC712)</f>
        <v/>
      </c>
      <c r="AW712" s="34" t="str">
        <f aca="false">IF(OR(AH712="",N(AO712)=0),"",AH712/AO712)</f>
        <v/>
      </c>
      <c r="AX712" s="35" t="str">
        <f aca="false">IF(OR(AR712="",N(AO712)=0),"",(N(AF712)*Settings!$B$6+N(AG712)*Settings!$B$7+N(AH712)*Settings!$B$8+N(AI712)*Settings!$B$9+N(AJ712)*Settings!$B$10)/AO712*1000)</f>
        <v/>
      </c>
      <c r="AY712" s="36" t="str">
        <f aca="false">IF(AS712="","",IFERROR(AS712/AVERAGEIFS('Post Tracker'!$AS$5:$AS$1004,'Post Tracker'!$G$5:$G$1004,G712),""))</f>
        <v/>
      </c>
      <c r="AZ712" s="32"/>
      <c r="BA712" s="32"/>
      <c r="BB712" s="32"/>
      <c r="BC712" s="32"/>
      <c r="BD712" s="33" t="str">
        <f aca="false">IF(A712="","",COUNTIFS('Demo Pipeline'!$Q$5:$Q$504,A712))</f>
        <v/>
      </c>
      <c r="BE712" s="33" t="str">
        <f aca="false">IF(A712="","",COUNTIFS('Demo Pipeline'!$Q$5:$Q$504,A712,'Demo Pipeline'!$W$5:$W$504,"Attended"))</f>
        <v/>
      </c>
      <c r="BF712" s="33" t="str">
        <f aca="false">IF(A712="","",COUNTIFS('Demo Pipeline'!$Q$5:$Q$504,A712,'Demo Pipeline'!$X$5:$X$504,"Yes"))</f>
        <v/>
      </c>
      <c r="BG712" s="33" t="str">
        <f aca="false">IF(A712="","",COUNTIFS('Demo Pipeline'!$Q$5:$Q$504,A712,'Demo Pipeline'!$Y$5:$Y$504,"Closed Won"))</f>
        <v/>
      </c>
      <c r="BH712" s="37" t="str">
        <f aca="false">IF(A712="","",SUMIFS('Demo Pipeline'!$Z$5:$Z$504,'Demo Pipeline'!$Q$5:$Q$504,A712))</f>
        <v/>
      </c>
      <c r="BI712" s="34" t="str">
        <f aca="false">IF(OR(AZ712="",N(AJ712)=0),"",AZ712/AJ712)</f>
        <v/>
      </c>
      <c r="BJ712" s="34" t="str">
        <f aca="false">IF(OR(BB712="",N(AZ712)=0),"",BB712/AZ712)</f>
        <v/>
      </c>
      <c r="BK712" s="34" t="str">
        <f aca="false">IF(OR(A712="",N(BB712)=0),"",BD712/BB712)</f>
        <v/>
      </c>
      <c r="BL712" s="34" t="str">
        <f aca="false">IF(OR(A712="",N(AZ712)=0),"",BD712/AZ712)</f>
        <v/>
      </c>
      <c r="BM712" s="37" t="str">
        <f aca="false">IF(OR(N(Q712)=0,N(BD712)=0),"",Q712/BD712)</f>
        <v/>
      </c>
      <c r="BN712" s="29"/>
      <c r="BO712" s="29"/>
      <c r="BP712" s="33" t="str">
        <f aca="false">IF(OR(AR712="",N(AO712)=0),"",AR712)</f>
        <v/>
      </c>
      <c r="BQ712" s="33" t="str">
        <f aca="false">IF(OR(AR712="",N(S712)=0),"",S712)</f>
        <v/>
      </c>
      <c r="BR712" s="38" t="str">
        <f aca="false">IF(AND(ISNUMBER(B712),B712&gt;=Dashboard!$C$4,B712&lt;=Dashboard!$F$4,ISNUMBER(AU712)),AU712+ROW()/10^9,"")</f>
        <v/>
      </c>
      <c r="BS712" s="38" t="str">
        <f aca="false">IF(AND(ISNUMBER(B712),B712&gt;=Dashboard!$C$4,B712&lt;=Dashboard!$F$4,A712&lt;&gt;""),N(BD712)+N(AU712)/100+ROW()/10^9,"")</f>
        <v/>
      </c>
    </row>
    <row r="713" customFormat="false" ht="15" hidden="false" customHeight="false" outlineLevel="0" collapsed="false">
      <c r="A713" s="24" t="str">
        <f aca="false">IF(OR(B713="",G713="",H713=""),"",IFERROR(INDEX(Settings!$E$5:$E$49,MATCH(G713,Settings!$D$5:$D$49,0))&amp;INDEX(Settings!$H$5:$H$47,MATCH(H713,Settings!$G$5:$G$47,0))&amp;"-"&amp;TEXT(B713,"yymmdd")&amp;"-"&amp;IF(C713="","0000",TEXT(C713,"hhmm")),"CHECK LISTS"))</f>
        <v/>
      </c>
      <c r="B713" s="39"/>
      <c r="C713" s="40"/>
      <c r="D713" s="24" t="str">
        <f aca="false">IF(B713="","",TEXT(B713,"ddd"))</f>
        <v/>
      </c>
      <c r="E713" s="27" t="str">
        <f aca="false">IF(B713="","",B713-WEEKDAY(B713,3))</f>
        <v/>
      </c>
      <c r="F713" s="24" t="str">
        <f aca="false">IF(B713="","",TEXT(B713,"yyyy-mm"))</f>
        <v/>
      </c>
      <c r="G713" s="29"/>
      <c r="H713" s="29"/>
      <c r="I713" s="29"/>
      <c r="J713" s="29"/>
      <c r="K713" s="29"/>
      <c r="L713" s="29"/>
      <c r="M713" s="29"/>
      <c r="N713" s="29"/>
      <c r="O713" s="29"/>
      <c r="P713" s="29"/>
      <c r="Q713" s="30"/>
      <c r="R713" s="29"/>
      <c r="S713" s="32"/>
      <c r="T713" s="29"/>
      <c r="U713" s="29"/>
      <c r="V713" s="24" t="str">
        <f aca="false">IF(A713="","",IFERROR(INDEX(Settings!$F$5:$F$49,MATCH(G713,Settings!$D$5:$D$49,0)),""))</f>
        <v/>
      </c>
      <c r="W713" s="24" t="str">
        <f aca="false">IF(A713="","",IF(OR(P713="",P713="Organic"),"social","paid_social"))</f>
        <v/>
      </c>
      <c r="X713" s="24" t="str">
        <f aca="false">IF(A713="","",IF(K713&lt;&gt;"",IFERROR(INDEX('Case Studies'!$C$5:$C$54,MATCH(K713,'Case Studies'!$B$5:$B$54,0))&amp;"","case-study"),IF(J713&lt;&gt;"",IFERROR(INDEX(Settings!$J$5:$J$55,MATCH(J713,Settings!$I$5:$I$55,0)),"general"),"general")))</f>
        <v/>
      </c>
      <c r="Y713" s="24" t="str">
        <f aca="false">IF(A713="","",LOWER(A713))</f>
        <v/>
      </c>
      <c r="Z713" s="24" t="str">
        <f aca="false">IF(A713="","",IF(T713="",Settings!$B$5,T713)&amp;IF(ISNUMBER(FIND("?",IF(T713="",Settings!$B$5,T713))),"&amp;","?")&amp;"utm_source="&amp;V713&amp;"&amp;utm_medium="&amp;W713&amp;"&amp;utm_campaign="&amp;X713&amp;"&amp;utm_content="&amp;Y713)</f>
        <v/>
      </c>
      <c r="AA713" s="29"/>
      <c r="AB713" s="39"/>
      <c r="AC713" s="32"/>
      <c r="AD713" s="32"/>
      <c r="AE713" s="32"/>
      <c r="AF713" s="32"/>
      <c r="AG713" s="32"/>
      <c r="AH713" s="32"/>
      <c r="AI713" s="32"/>
      <c r="AJ713" s="32"/>
      <c r="AK713" s="32"/>
      <c r="AL713" s="32"/>
      <c r="AM713" s="32"/>
      <c r="AN713" s="32"/>
      <c r="AO713" s="33" t="str">
        <f aca="false">IF(A713="","",IF(AD713&lt;&gt;"",AD713,IF(AC713&lt;&gt;"",AC713,"")))</f>
        <v/>
      </c>
      <c r="AP713" s="24" t="str">
        <f aca="false">IF(AO713="","",IF(AD713&lt;&gt;"","Reported reach","Impressions (proxy)"))</f>
        <v/>
      </c>
      <c r="AQ713" s="34" t="str">
        <f aca="false">IF(OR(AO713="",N(S713)=0),"",AO713/S713)</f>
        <v/>
      </c>
      <c r="AR713" s="33" t="str">
        <f aca="false">IF(A713="","",IF(COUNT(AF713:AJ713)=0,"",SUM(AF713:AJ713)))</f>
        <v/>
      </c>
      <c r="AS713" s="34" t="str">
        <f aca="false">IF(OR(AR713="",N(AO713)=0),"",AR713/AO713)</f>
        <v/>
      </c>
      <c r="AT713" s="34" t="str">
        <f aca="false">IF(OR(AR713="",N(AC713)=0),"",AR713/AC713)</f>
        <v/>
      </c>
      <c r="AU713" s="34" t="str">
        <f aca="false">IF(OR(AR713="",N(S713)=0),"",AR713/S713)</f>
        <v/>
      </c>
      <c r="AV713" s="34" t="str">
        <f aca="false">IF(OR(AJ713="",N(AC713)=0),"",AJ713/AC713)</f>
        <v/>
      </c>
      <c r="AW713" s="34" t="str">
        <f aca="false">IF(OR(AH713="",N(AO713)=0),"",AH713/AO713)</f>
        <v/>
      </c>
      <c r="AX713" s="35" t="str">
        <f aca="false">IF(OR(AR713="",N(AO713)=0),"",(N(AF713)*Settings!$B$6+N(AG713)*Settings!$B$7+N(AH713)*Settings!$B$8+N(AI713)*Settings!$B$9+N(AJ713)*Settings!$B$10)/AO713*1000)</f>
        <v/>
      </c>
      <c r="AY713" s="36" t="str">
        <f aca="false">IF(AS713="","",IFERROR(AS713/AVERAGEIFS('Post Tracker'!$AS$5:$AS$1004,'Post Tracker'!$G$5:$G$1004,G713),""))</f>
        <v/>
      </c>
      <c r="AZ713" s="32"/>
      <c r="BA713" s="32"/>
      <c r="BB713" s="32"/>
      <c r="BC713" s="32"/>
      <c r="BD713" s="33" t="str">
        <f aca="false">IF(A713="","",COUNTIFS('Demo Pipeline'!$Q$5:$Q$504,A713))</f>
        <v/>
      </c>
      <c r="BE713" s="33" t="str">
        <f aca="false">IF(A713="","",COUNTIFS('Demo Pipeline'!$Q$5:$Q$504,A713,'Demo Pipeline'!$W$5:$W$504,"Attended"))</f>
        <v/>
      </c>
      <c r="BF713" s="33" t="str">
        <f aca="false">IF(A713="","",COUNTIFS('Demo Pipeline'!$Q$5:$Q$504,A713,'Demo Pipeline'!$X$5:$X$504,"Yes"))</f>
        <v/>
      </c>
      <c r="BG713" s="33" t="str">
        <f aca="false">IF(A713="","",COUNTIFS('Demo Pipeline'!$Q$5:$Q$504,A713,'Demo Pipeline'!$Y$5:$Y$504,"Closed Won"))</f>
        <v/>
      </c>
      <c r="BH713" s="37" t="str">
        <f aca="false">IF(A713="","",SUMIFS('Demo Pipeline'!$Z$5:$Z$504,'Demo Pipeline'!$Q$5:$Q$504,A713))</f>
        <v/>
      </c>
      <c r="BI713" s="34" t="str">
        <f aca="false">IF(OR(AZ713="",N(AJ713)=0),"",AZ713/AJ713)</f>
        <v/>
      </c>
      <c r="BJ713" s="34" t="str">
        <f aca="false">IF(OR(BB713="",N(AZ713)=0),"",BB713/AZ713)</f>
        <v/>
      </c>
      <c r="BK713" s="34" t="str">
        <f aca="false">IF(OR(A713="",N(BB713)=0),"",BD713/BB713)</f>
        <v/>
      </c>
      <c r="BL713" s="34" t="str">
        <f aca="false">IF(OR(A713="",N(AZ713)=0),"",BD713/AZ713)</f>
        <v/>
      </c>
      <c r="BM713" s="37" t="str">
        <f aca="false">IF(OR(N(Q713)=0,N(BD713)=0),"",Q713/BD713)</f>
        <v/>
      </c>
      <c r="BN713" s="29"/>
      <c r="BO713" s="29"/>
      <c r="BP713" s="33" t="str">
        <f aca="false">IF(OR(AR713="",N(AO713)=0),"",AR713)</f>
        <v/>
      </c>
      <c r="BQ713" s="33" t="str">
        <f aca="false">IF(OR(AR713="",N(S713)=0),"",S713)</f>
        <v/>
      </c>
      <c r="BR713" s="38" t="str">
        <f aca="false">IF(AND(ISNUMBER(B713),B713&gt;=Dashboard!$C$4,B713&lt;=Dashboard!$F$4,ISNUMBER(AU713)),AU713+ROW()/10^9,"")</f>
        <v/>
      </c>
      <c r="BS713" s="38" t="str">
        <f aca="false">IF(AND(ISNUMBER(B713),B713&gt;=Dashboard!$C$4,B713&lt;=Dashboard!$F$4,A713&lt;&gt;""),N(BD713)+N(AU713)/100+ROW()/10^9,"")</f>
        <v/>
      </c>
    </row>
    <row r="714" customFormat="false" ht="15" hidden="false" customHeight="false" outlineLevel="0" collapsed="false">
      <c r="A714" s="24" t="str">
        <f aca="false">IF(OR(B714="",G714="",H714=""),"",IFERROR(INDEX(Settings!$E$5:$E$49,MATCH(G714,Settings!$D$5:$D$49,0))&amp;INDEX(Settings!$H$5:$H$47,MATCH(H714,Settings!$G$5:$G$47,0))&amp;"-"&amp;TEXT(B714,"yymmdd")&amp;"-"&amp;IF(C714="","0000",TEXT(C714,"hhmm")),"CHECK LISTS"))</f>
        <v/>
      </c>
      <c r="B714" s="39"/>
      <c r="C714" s="40"/>
      <c r="D714" s="24" t="str">
        <f aca="false">IF(B714="","",TEXT(B714,"ddd"))</f>
        <v/>
      </c>
      <c r="E714" s="27" t="str">
        <f aca="false">IF(B714="","",B714-WEEKDAY(B714,3))</f>
        <v/>
      </c>
      <c r="F714" s="24" t="str">
        <f aca="false">IF(B714="","",TEXT(B714,"yyyy-mm"))</f>
        <v/>
      </c>
      <c r="G714" s="29"/>
      <c r="H714" s="29"/>
      <c r="I714" s="29"/>
      <c r="J714" s="29"/>
      <c r="K714" s="29"/>
      <c r="L714" s="29"/>
      <c r="M714" s="29"/>
      <c r="N714" s="29"/>
      <c r="O714" s="29"/>
      <c r="P714" s="29"/>
      <c r="Q714" s="30"/>
      <c r="R714" s="29"/>
      <c r="S714" s="32"/>
      <c r="T714" s="29"/>
      <c r="U714" s="29"/>
      <c r="V714" s="24" t="str">
        <f aca="false">IF(A714="","",IFERROR(INDEX(Settings!$F$5:$F$49,MATCH(G714,Settings!$D$5:$D$49,0)),""))</f>
        <v/>
      </c>
      <c r="W714" s="24" t="str">
        <f aca="false">IF(A714="","",IF(OR(P714="",P714="Organic"),"social","paid_social"))</f>
        <v/>
      </c>
      <c r="X714" s="24" t="str">
        <f aca="false">IF(A714="","",IF(K714&lt;&gt;"",IFERROR(INDEX('Case Studies'!$C$5:$C$54,MATCH(K714,'Case Studies'!$B$5:$B$54,0))&amp;"","case-study"),IF(J714&lt;&gt;"",IFERROR(INDEX(Settings!$J$5:$J$55,MATCH(J714,Settings!$I$5:$I$55,0)),"general"),"general")))</f>
        <v/>
      </c>
      <c r="Y714" s="24" t="str">
        <f aca="false">IF(A714="","",LOWER(A714))</f>
        <v/>
      </c>
      <c r="Z714" s="24" t="str">
        <f aca="false">IF(A714="","",IF(T714="",Settings!$B$5,T714)&amp;IF(ISNUMBER(FIND("?",IF(T714="",Settings!$B$5,T714))),"&amp;","?")&amp;"utm_source="&amp;V714&amp;"&amp;utm_medium="&amp;W714&amp;"&amp;utm_campaign="&amp;X714&amp;"&amp;utm_content="&amp;Y714)</f>
        <v/>
      </c>
      <c r="AA714" s="29"/>
      <c r="AB714" s="39"/>
      <c r="AC714" s="32"/>
      <c r="AD714" s="32"/>
      <c r="AE714" s="32"/>
      <c r="AF714" s="32"/>
      <c r="AG714" s="32"/>
      <c r="AH714" s="32"/>
      <c r="AI714" s="32"/>
      <c r="AJ714" s="32"/>
      <c r="AK714" s="32"/>
      <c r="AL714" s="32"/>
      <c r="AM714" s="32"/>
      <c r="AN714" s="32"/>
      <c r="AO714" s="33" t="str">
        <f aca="false">IF(A714="","",IF(AD714&lt;&gt;"",AD714,IF(AC714&lt;&gt;"",AC714,"")))</f>
        <v/>
      </c>
      <c r="AP714" s="24" t="str">
        <f aca="false">IF(AO714="","",IF(AD714&lt;&gt;"","Reported reach","Impressions (proxy)"))</f>
        <v/>
      </c>
      <c r="AQ714" s="34" t="str">
        <f aca="false">IF(OR(AO714="",N(S714)=0),"",AO714/S714)</f>
        <v/>
      </c>
      <c r="AR714" s="33" t="str">
        <f aca="false">IF(A714="","",IF(COUNT(AF714:AJ714)=0,"",SUM(AF714:AJ714)))</f>
        <v/>
      </c>
      <c r="AS714" s="34" t="str">
        <f aca="false">IF(OR(AR714="",N(AO714)=0),"",AR714/AO714)</f>
        <v/>
      </c>
      <c r="AT714" s="34" t="str">
        <f aca="false">IF(OR(AR714="",N(AC714)=0),"",AR714/AC714)</f>
        <v/>
      </c>
      <c r="AU714" s="34" t="str">
        <f aca="false">IF(OR(AR714="",N(S714)=0),"",AR714/S714)</f>
        <v/>
      </c>
      <c r="AV714" s="34" t="str">
        <f aca="false">IF(OR(AJ714="",N(AC714)=0),"",AJ714/AC714)</f>
        <v/>
      </c>
      <c r="AW714" s="34" t="str">
        <f aca="false">IF(OR(AH714="",N(AO714)=0),"",AH714/AO714)</f>
        <v/>
      </c>
      <c r="AX714" s="35" t="str">
        <f aca="false">IF(OR(AR714="",N(AO714)=0),"",(N(AF714)*Settings!$B$6+N(AG714)*Settings!$B$7+N(AH714)*Settings!$B$8+N(AI714)*Settings!$B$9+N(AJ714)*Settings!$B$10)/AO714*1000)</f>
        <v/>
      </c>
      <c r="AY714" s="36" t="str">
        <f aca="false">IF(AS714="","",IFERROR(AS714/AVERAGEIFS('Post Tracker'!$AS$5:$AS$1004,'Post Tracker'!$G$5:$G$1004,G714),""))</f>
        <v/>
      </c>
      <c r="AZ714" s="32"/>
      <c r="BA714" s="32"/>
      <c r="BB714" s="32"/>
      <c r="BC714" s="32"/>
      <c r="BD714" s="33" t="str">
        <f aca="false">IF(A714="","",COUNTIFS('Demo Pipeline'!$Q$5:$Q$504,A714))</f>
        <v/>
      </c>
      <c r="BE714" s="33" t="str">
        <f aca="false">IF(A714="","",COUNTIFS('Demo Pipeline'!$Q$5:$Q$504,A714,'Demo Pipeline'!$W$5:$W$504,"Attended"))</f>
        <v/>
      </c>
      <c r="BF714" s="33" t="str">
        <f aca="false">IF(A714="","",COUNTIFS('Demo Pipeline'!$Q$5:$Q$504,A714,'Demo Pipeline'!$X$5:$X$504,"Yes"))</f>
        <v/>
      </c>
      <c r="BG714" s="33" t="str">
        <f aca="false">IF(A714="","",COUNTIFS('Demo Pipeline'!$Q$5:$Q$504,A714,'Demo Pipeline'!$Y$5:$Y$504,"Closed Won"))</f>
        <v/>
      </c>
      <c r="BH714" s="37" t="str">
        <f aca="false">IF(A714="","",SUMIFS('Demo Pipeline'!$Z$5:$Z$504,'Demo Pipeline'!$Q$5:$Q$504,A714))</f>
        <v/>
      </c>
      <c r="BI714" s="34" t="str">
        <f aca="false">IF(OR(AZ714="",N(AJ714)=0),"",AZ714/AJ714)</f>
        <v/>
      </c>
      <c r="BJ714" s="34" t="str">
        <f aca="false">IF(OR(BB714="",N(AZ714)=0),"",BB714/AZ714)</f>
        <v/>
      </c>
      <c r="BK714" s="34" t="str">
        <f aca="false">IF(OR(A714="",N(BB714)=0),"",BD714/BB714)</f>
        <v/>
      </c>
      <c r="BL714" s="34" t="str">
        <f aca="false">IF(OR(A714="",N(AZ714)=0),"",BD714/AZ714)</f>
        <v/>
      </c>
      <c r="BM714" s="37" t="str">
        <f aca="false">IF(OR(N(Q714)=0,N(BD714)=0),"",Q714/BD714)</f>
        <v/>
      </c>
      <c r="BN714" s="29"/>
      <c r="BO714" s="29"/>
      <c r="BP714" s="33" t="str">
        <f aca="false">IF(OR(AR714="",N(AO714)=0),"",AR714)</f>
        <v/>
      </c>
      <c r="BQ714" s="33" t="str">
        <f aca="false">IF(OR(AR714="",N(S714)=0),"",S714)</f>
        <v/>
      </c>
      <c r="BR714" s="38" t="str">
        <f aca="false">IF(AND(ISNUMBER(B714),B714&gt;=Dashboard!$C$4,B714&lt;=Dashboard!$F$4,ISNUMBER(AU714)),AU714+ROW()/10^9,"")</f>
        <v/>
      </c>
      <c r="BS714" s="38" t="str">
        <f aca="false">IF(AND(ISNUMBER(B714),B714&gt;=Dashboard!$C$4,B714&lt;=Dashboard!$F$4,A714&lt;&gt;""),N(BD714)+N(AU714)/100+ROW()/10^9,"")</f>
        <v/>
      </c>
    </row>
    <row r="715" customFormat="false" ht="15" hidden="false" customHeight="false" outlineLevel="0" collapsed="false">
      <c r="A715" s="24" t="str">
        <f aca="false">IF(OR(B715="",G715="",H715=""),"",IFERROR(INDEX(Settings!$E$5:$E$49,MATCH(G715,Settings!$D$5:$D$49,0))&amp;INDEX(Settings!$H$5:$H$47,MATCH(H715,Settings!$G$5:$G$47,0))&amp;"-"&amp;TEXT(B715,"yymmdd")&amp;"-"&amp;IF(C715="","0000",TEXT(C715,"hhmm")),"CHECK LISTS"))</f>
        <v/>
      </c>
      <c r="B715" s="39"/>
      <c r="C715" s="40"/>
      <c r="D715" s="24" t="str">
        <f aca="false">IF(B715="","",TEXT(B715,"ddd"))</f>
        <v/>
      </c>
      <c r="E715" s="27" t="str">
        <f aca="false">IF(B715="","",B715-WEEKDAY(B715,3))</f>
        <v/>
      </c>
      <c r="F715" s="24" t="str">
        <f aca="false">IF(B715="","",TEXT(B715,"yyyy-mm"))</f>
        <v/>
      </c>
      <c r="G715" s="29"/>
      <c r="H715" s="29"/>
      <c r="I715" s="29"/>
      <c r="J715" s="29"/>
      <c r="K715" s="29"/>
      <c r="L715" s="29"/>
      <c r="M715" s="29"/>
      <c r="N715" s="29"/>
      <c r="O715" s="29"/>
      <c r="P715" s="29"/>
      <c r="Q715" s="30"/>
      <c r="R715" s="29"/>
      <c r="S715" s="32"/>
      <c r="T715" s="29"/>
      <c r="U715" s="29"/>
      <c r="V715" s="24" t="str">
        <f aca="false">IF(A715="","",IFERROR(INDEX(Settings!$F$5:$F$49,MATCH(G715,Settings!$D$5:$D$49,0)),""))</f>
        <v/>
      </c>
      <c r="W715" s="24" t="str">
        <f aca="false">IF(A715="","",IF(OR(P715="",P715="Organic"),"social","paid_social"))</f>
        <v/>
      </c>
      <c r="X715" s="24" t="str">
        <f aca="false">IF(A715="","",IF(K715&lt;&gt;"",IFERROR(INDEX('Case Studies'!$C$5:$C$54,MATCH(K715,'Case Studies'!$B$5:$B$54,0))&amp;"","case-study"),IF(J715&lt;&gt;"",IFERROR(INDEX(Settings!$J$5:$J$55,MATCH(J715,Settings!$I$5:$I$55,0)),"general"),"general")))</f>
        <v/>
      </c>
      <c r="Y715" s="24" t="str">
        <f aca="false">IF(A715="","",LOWER(A715))</f>
        <v/>
      </c>
      <c r="Z715" s="24" t="str">
        <f aca="false">IF(A715="","",IF(T715="",Settings!$B$5,T715)&amp;IF(ISNUMBER(FIND("?",IF(T715="",Settings!$B$5,T715))),"&amp;","?")&amp;"utm_source="&amp;V715&amp;"&amp;utm_medium="&amp;W715&amp;"&amp;utm_campaign="&amp;X715&amp;"&amp;utm_content="&amp;Y715)</f>
        <v/>
      </c>
      <c r="AA715" s="29"/>
      <c r="AB715" s="39"/>
      <c r="AC715" s="32"/>
      <c r="AD715" s="32"/>
      <c r="AE715" s="32"/>
      <c r="AF715" s="32"/>
      <c r="AG715" s="32"/>
      <c r="AH715" s="32"/>
      <c r="AI715" s="32"/>
      <c r="AJ715" s="32"/>
      <c r="AK715" s="32"/>
      <c r="AL715" s="32"/>
      <c r="AM715" s="32"/>
      <c r="AN715" s="32"/>
      <c r="AO715" s="33" t="str">
        <f aca="false">IF(A715="","",IF(AD715&lt;&gt;"",AD715,IF(AC715&lt;&gt;"",AC715,"")))</f>
        <v/>
      </c>
      <c r="AP715" s="24" t="str">
        <f aca="false">IF(AO715="","",IF(AD715&lt;&gt;"","Reported reach","Impressions (proxy)"))</f>
        <v/>
      </c>
      <c r="AQ715" s="34" t="str">
        <f aca="false">IF(OR(AO715="",N(S715)=0),"",AO715/S715)</f>
        <v/>
      </c>
      <c r="AR715" s="33" t="str">
        <f aca="false">IF(A715="","",IF(COUNT(AF715:AJ715)=0,"",SUM(AF715:AJ715)))</f>
        <v/>
      </c>
      <c r="AS715" s="34" t="str">
        <f aca="false">IF(OR(AR715="",N(AO715)=0),"",AR715/AO715)</f>
        <v/>
      </c>
      <c r="AT715" s="34" t="str">
        <f aca="false">IF(OR(AR715="",N(AC715)=0),"",AR715/AC715)</f>
        <v/>
      </c>
      <c r="AU715" s="34" t="str">
        <f aca="false">IF(OR(AR715="",N(S715)=0),"",AR715/S715)</f>
        <v/>
      </c>
      <c r="AV715" s="34" t="str">
        <f aca="false">IF(OR(AJ715="",N(AC715)=0),"",AJ715/AC715)</f>
        <v/>
      </c>
      <c r="AW715" s="34" t="str">
        <f aca="false">IF(OR(AH715="",N(AO715)=0),"",AH715/AO715)</f>
        <v/>
      </c>
      <c r="AX715" s="35" t="str">
        <f aca="false">IF(OR(AR715="",N(AO715)=0),"",(N(AF715)*Settings!$B$6+N(AG715)*Settings!$B$7+N(AH715)*Settings!$B$8+N(AI715)*Settings!$B$9+N(AJ715)*Settings!$B$10)/AO715*1000)</f>
        <v/>
      </c>
      <c r="AY715" s="36" t="str">
        <f aca="false">IF(AS715="","",IFERROR(AS715/AVERAGEIFS('Post Tracker'!$AS$5:$AS$1004,'Post Tracker'!$G$5:$G$1004,G715),""))</f>
        <v/>
      </c>
      <c r="AZ715" s="32"/>
      <c r="BA715" s="32"/>
      <c r="BB715" s="32"/>
      <c r="BC715" s="32"/>
      <c r="BD715" s="33" t="str">
        <f aca="false">IF(A715="","",COUNTIFS('Demo Pipeline'!$Q$5:$Q$504,A715))</f>
        <v/>
      </c>
      <c r="BE715" s="33" t="str">
        <f aca="false">IF(A715="","",COUNTIFS('Demo Pipeline'!$Q$5:$Q$504,A715,'Demo Pipeline'!$W$5:$W$504,"Attended"))</f>
        <v/>
      </c>
      <c r="BF715" s="33" t="str">
        <f aca="false">IF(A715="","",COUNTIFS('Demo Pipeline'!$Q$5:$Q$504,A715,'Demo Pipeline'!$X$5:$X$504,"Yes"))</f>
        <v/>
      </c>
      <c r="BG715" s="33" t="str">
        <f aca="false">IF(A715="","",COUNTIFS('Demo Pipeline'!$Q$5:$Q$504,A715,'Demo Pipeline'!$Y$5:$Y$504,"Closed Won"))</f>
        <v/>
      </c>
      <c r="BH715" s="37" t="str">
        <f aca="false">IF(A715="","",SUMIFS('Demo Pipeline'!$Z$5:$Z$504,'Demo Pipeline'!$Q$5:$Q$504,A715))</f>
        <v/>
      </c>
      <c r="BI715" s="34" t="str">
        <f aca="false">IF(OR(AZ715="",N(AJ715)=0),"",AZ715/AJ715)</f>
        <v/>
      </c>
      <c r="BJ715" s="34" t="str">
        <f aca="false">IF(OR(BB715="",N(AZ715)=0),"",BB715/AZ715)</f>
        <v/>
      </c>
      <c r="BK715" s="34" t="str">
        <f aca="false">IF(OR(A715="",N(BB715)=0),"",BD715/BB715)</f>
        <v/>
      </c>
      <c r="BL715" s="34" t="str">
        <f aca="false">IF(OR(A715="",N(AZ715)=0),"",BD715/AZ715)</f>
        <v/>
      </c>
      <c r="BM715" s="37" t="str">
        <f aca="false">IF(OR(N(Q715)=0,N(BD715)=0),"",Q715/BD715)</f>
        <v/>
      </c>
      <c r="BN715" s="29"/>
      <c r="BO715" s="29"/>
      <c r="BP715" s="33" t="str">
        <f aca="false">IF(OR(AR715="",N(AO715)=0),"",AR715)</f>
        <v/>
      </c>
      <c r="BQ715" s="33" t="str">
        <f aca="false">IF(OR(AR715="",N(S715)=0),"",S715)</f>
        <v/>
      </c>
      <c r="BR715" s="38" t="str">
        <f aca="false">IF(AND(ISNUMBER(B715),B715&gt;=Dashboard!$C$4,B715&lt;=Dashboard!$F$4,ISNUMBER(AU715)),AU715+ROW()/10^9,"")</f>
        <v/>
      </c>
      <c r="BS715" s="38" t="str">
        <f aca="false">IF(AND(ISNUMBER(B715),B715&gt;=Dashboard!$C$4,B715&lt;=Dashboard!$F$4,A715&lt;&gt;""),N(BD715)+N(AU715)/100+ROW()/10^9,"")</f>
        <v/>
      </c>
    </row>
    <row r="716" customFormat="false" ht="15" hidden="false" customHeight="false" outlineLevel="0" collapsed="false">
      <c r="A716" s="24" t="str">
        <f aca="false">IF(OR(B716="",G716="",H716=""),"",IFERROR(INDEX(Settings!$E$5:$E$49,MATCH(G716,Settings!$D$5:$D$49,0))&amp;INDEX(Settings!$H$5:$H$47,MATCH(H716,Settings!$G$5:$G$47,0))&amp;"-"&amp;TEXT(B716,"yymmdd")&amp;"-"&amp;IF(C716="","0000",TEXT(C716,"hhmm")),"CHECK LISTS"))</f>
        <v/>
      </c>
      <c r="B716" s="39"/>
      <c r="C716" s="40"/>
      <c r="D716" s="24" t="str">
        <f aca="false">IF(B716="","",TEXT(B716,"ddd"))</f>
        <v/>
      </c>
      <c r="E716" s="27" t="str">
        <f aca="false">IF(B716="","",B716-WEEKDAY(B716,3))</f>
        <v/>
      </c>
      <c r="F716" s="24" t="str">
        <f aca="false">IF(B716="","",TEXT(B716,"yyyy-mm"))</f>
        <v/>
      </c>
      <c r="G716" s="29"/>
      <c r="H716" s="29"/>
      <c r="I716" s="29"/>
      <c r="J716" s="29"/>
      <c r="K716" s="29"/>
      <c r="L716" s="29"/>
      <c r="M716" s="29"/>
      <c r="N716" s="29"/>
      <c r="O716" s="29"/>
      <c r="P716" s="29"/>
      <c r="Q716" s="30"/>
      <c r="R716" s="29"/>
      <c r="S716" s="32"/>
      <c r="T716" s="29"/>
      <c r="U716" s="29"/>
      <c r="V716" s="24" t="str">
        <f aca="false">IF(A716="","",IFERROR(INDEX(Settings!$F$5:$F$49,MATCH(G716,Settings!$D$5:$D$49,0)),""))</f>
        <v/>
      </c>
      <c r="W716" s="24" t="str">
        <f aca="false">IF(A716="","",IF(OR(P716="",P716="Organic"),"social","paid_social"))</f>
        <v/>
      </c>
      <c r="X716" s="24" t="str">
        <f aca="false">IF(A716="","",IF(K716&lt;&gt;"",IFERROR(INDEX('Case Studies'!$C$5:$C$54,MATCH(K716,'Case Studies'!$B$5:$B$54,0))&amp;"","case-study"),IF(J716&lt;&gt;"",IFERROR(INDEX(Settings!$J$5:$J$55,MATCH(J716,Settings!$I$5:$I$55,0)),"general"),"general")))</f>
        <v/>
      </c>
      <c r="Y716" s="24" t="str">
        <f aca="false">IF(A716="","",LOWER(A716))</f>
        <v/>
      </c>
      <c r="Z716" s="24" t="str">
        <f aca="false">IF(A716="","",IF(T716="",Settings!$B$5,T716)&amp;IF(ISNUMBER(FIND("?",IF(T716="",Settings!$B$5,T716))),"&amp;","?")&amp;"utm_source="&amp;V716&amp;"&amp;utm_medium="&amp;W716&amp;"&amp;utm_campaign="&amp;X716&amp;"&amp;utm_content="&amp;Y716)</f>
        <v/>
      </c>
      <c r="AA716" s="29"/>
      <c r="AB716" s="39"/>
      <c r="AC716" s="32"/>
      <c r="AD716" s="32"/>
      <c r="AE716" s="32"/>
      <c r="AF716" s="32"/>
      <c r="AG716" s="32"/>
      <c r="AH716" s="32"/>
      <c r="AI716" s="32"/>
      <c r="AJ716" s="32"/>
      <c r="AK716" s="32"/>
      <c r="AL716" s="32"/>
      <c r="AM716" s="32"/>
      <c r="AN716" s="32"/>
      <c r="AO716" s="33" t="str">
        <f aca="false">IF(A716="","",IF(AD716&lt;&gt;"",AD716,IF(AC716&lt;&gt;"",AC716,"")))</f>
        <v/>
      </c>
      <c r="AP716" s="24" t="str">
        <f aca="false">IF(AO716="","",IF(AD716&lt;&gt;"","Reported reach","Impressions (proxy)"))</f>
        <v/>
      </c>
      <c r="AQ716" s="34" t="str">
        <f aca="false">IF(OR(AO716="",N(S716)=0),"",AO716/S716)</f>
        <v/>
      </c>
      <c r="AR716" s="33" t="str">
        <f aca="false">IF(A716="","",IF(COUNT(AF716:AJ716)=0,"",SUM(AF716:AJ716)))</f>
        <v/>
      </c>
      <c r="AS716" s="34" t="str">
        <f aca="false">IF(OR(AR716="",N(AO716)=0),"",AR716/AO716)</f>
        <v/>
      </c>
      <c r="AT716" s="34" t="str">
        <f aca="false">IF(OR(AR716="",N(AC716)=0),"",AR716/AC716)</f>
        <v/>
      </c>
      <c r="AU716" s="34" t="str">
        <f aca="false">IF(OR(AR716="",N(S716)=0),"",AR716/S716)</f>
        <v/>
      </c>
      <c r="AV716" s="34" t="str">
        <f aca="false">IF(OR(AJ716="",N(AC716)=0),"",AJ716/AC716)</f>
        <v/>
      </c>
      <c r="AW716" s="34" t="str">
        <f aca="false">IF(OR(AH716="",N(AO716)=0),"",AH716/AO716)</f>
        <v/>
      </c>
      <c r="AX716" s="35" t="str">
        <f aca="false">IF(OR(AR716="",N(AO716)=0),"",(N(AF716)*Settings!$B$6+N(AG716)*Settings!$B$7+N(AH716)*Settings!$B$8+N(AI716)*Settings!$B$9+N(AJ716)*Settings!$B$10)/AO716*1000)</f>
        <v/>
      </c>
      <c r="AY716" s="36" t="str">
        <f aca="false">IF(AS716="","",IFERROR(AS716/AVERAGEIFS('Post Tracker'!$AS$5:$AS$1004,'Post Tracker'!$G$5:$G$1004,G716),""))</f>
        <v/>
      </c>
      <c r="AZ716" s="32"/>
      <c r="BA716" s="32"/>
      <c r="BB716" s="32"/>
      <c r="BC716" s="32"/>
      <c r="BD716" s="33" t="str">
        <f aca="false">IF(A716="","",COUNTIFS('Demo Pipeline'!$Q$5:$Q$504,A716))</f>
        <v/>
      </c>
      <c r="BE716" s="33" t="str">
        <f aca="false">IF(A716="","",COUNTIFS('Demo Pipeline'!$Q$5:$Q$504,A716,'Demo Pipeline'!$W$5:$W$504,"Attended"))</f>
        <v/>
      </c>
      <c r="BF716" s="33" t="str">
        <f aca="false">IF(A716="","",COUNTIFS('Demo Pipeline'!$Q$5:$Q$504,A716,'Demo Pipeline'!$X$5:$X$504,"Yes"))</f>
        <v/>
      </c>
      <c r="BG716" s="33" t="str">
        <f aca="false">IF(A716="","",COUNTIFS('Demo Pipeline'!$Q$5:$Q$504,A716,'Demo Pipeline'!$Y$5:$Y$504,"Closed Won"))</f>
        <v/>
      </c>
      <c r="BH716" s="37" t="str">
        <f aca="false">IF(A716="","",SUMIFS('Demo Pipeline'!$Z$5:$Z$504,'Demo Pipeline'!$Q$5:$Q$504,A716))</f>
        <v/>
      </c>
      <c r="BI716" s="34" t="str">
        <f aca="false">IF(OR(AZ716="",N(AJ716)=0),"",AZ716/AJ716)</f>
        <v/>
      </c>
      <c r="BJ716" s="34" t="str">
        <f aca="false">IF(OR(BB716="",N(AZ716)=0),"",BB716/AZ716)</f>
        <v/>
      </c>
      <c r="BK716" s="34" t="str">
        <f aca="false">IF(OR(A716="",N(BB716)=0),"",BD716/BB716)</f>
        <v/>
      </c>
      <c r="BL716" s="34" t="str">
        <f aca="false">IF(OR(A716="",N(AZ716)=0),"",BD716/AZ716)</f>
        <v/>
      </c>
      <c r="BM716" s="37" t="str">
        <f aca="false">IF(OR(N(Q716)=0,N(BD716)=0),"",Q716/BD716)</f>
        <v/>
      </c>
      <c r="BN716" s="29"/>
      <c r="BO716" s="29"/>
      <c r="BP716" s="33" t="str">
        <f aca="false">IF(OR(AR716="",N(AO716)=0),"",AR716)</f>
        <v/>
      </c>
      <c r="BQ716" s="33" t="str">
        <f aca="false">IF(OR(AR716="",N(S716)=0),"",S716)</f>
        <v/>
      </c>
      <c r="BR716" s="38" t="str">
        <f aca="false">IF(AND(ISNUMBER(B716),B716&gt;=Dashboard!$C$4,B716&lt;=Dashboard!$F$4,ISNUMBER(AU716)),AU716+ROW()/10^9,"")</f>
        <v/>
      </c>
      <c r="BS716" s="38" t="str">
        <f aca="false">IF(AND(ISNUMBER(B716),B716&gt;=Dashboard!$C$4,B716&lt;=Dashboard!$F$4,A716&lt;&gt;""),N(BD716)+N(AU716)/100+ROW()/10^9,"")</f>
        <v/>
      </c>
    </row>
    <row r="717" customFormat="false" ht="15" hidden="false" customHeight="false" outlineLevel="0" collapsed="false">
      <c r="A717" s="24" t="str">
        <f aca="false">IF(OR(B717="",G717="",H717=""),"",IFERROR(INDEX(Settings!$E$5:$E$49,MATCH(G717,Settings!$D$5:$D$49,0))&amp;INDEX(Settings!$H$5:$H$47,MATCH(H717,Settings!$G$5:$G$47,0))&amp;"-"&amp;TEXT(B717,"yymmdd")&amp;"-"&amp;IF(C717="","0000",TEXT(C717,"hhmm")),"CHECK LISTS"))</f>
        <v/>
      </c>
      <c r="B717" s="39"/>
      <c r="C717" s="40"/>
      <c r="D717" s="24" t="str">
        <f aca="false">IF(B717="","",TEXT(B717,"ddd"))</f>
        <v/>
      </c>
      <c r="E717" s="27" t="str">
        <f aca="false">IF(B717="","",B717-WEEKDAY(B717,3))</f>
        <v/>
      </c>
      <c r="F717" s="24" t="str">
        <f aca="false">IF(B717="","",TEXT(B717,"yyyy-mm"))</f>
        <v/>
      </c>
      <c r="G717" s="29"/>
      <c r="H717" s="29"/>
      <c r="I717" s="29"/>
      <c r="J717" s="29"/>
      <c r="K717" s="29"/>
      <c r="L717" s="29"/>
      <c r="M717" s="29"/>
      <c r="N717" s="29"/>
      <c r="O717" s="29"/>
      <c r="P717" s="29"/>
      <c r="Q717" s="30"/>
      <c r="R717" s="29"/>
      <c r="S717" s="32"/>
      <c r="T717" s="29"/>
      <c r="U717" s="29"/>
      <c r="V717" s="24" t="str">
        <f aca="false">IF(A717="","",IFERROR(INDEX(Settings!$F$5:$F$49,MATCH(G717,Settings!$D$5:$D$49,0)),""))</f>
        <v/>
      </c>
      <c r="W717" s="24" t="str">
        <f aca="false">IF(A717="","",IF(OR(P717="",P717="Organic"),"social","paid_social"))</f>
        <v/>
      </c>
      <c r="X717" s="24" t="str">
        <f aca="false">IF(A717="","",IF(K717&lt;&gt;"",IFERROR(INDEX('Case Studies'!$C$5:$C$54,MATCH(K717,'Case Studies'!$B$5:$B$54,0))&amp;"","case-study"),IF(J717&lt;&gt;"",IFERROR(INDEX(Settings!$J$5:$J$55,MATCH(J717,Settings!$I$5:$I$55,0)),"general"),"general")))</f>
        <v/>
      </c>
      <c r="Y717" s="24" t="str">
        <f aca="false">IF(A717="","",LOWER(A717))</f>
        <v/>
      </c>
      <c r="Z717" s="24" t="str">
        <f aca="false">IF(A717="","",IF(T717="",Settings!$B$5,T717)&amp;IF(ISNUMBER(FIND("?",IF(T717="",Settings!$B$5,T717))),"&amp;","?")&amp;"utm_source="&amp;V717&amp;"&amp;utm_medium="&amp;W717&amp;"&amp;utm_campaign="&amp;X717&amp;"&amp;utm_content="&amp;Y717)</f>
        <v/>
      </c>
      <c r="AA717" s="29"/>
      <c r="AB717" s="39"/>
      <c r="AC717" s="32"/>
      <c r="AD717" s="32"/>
      <c r="AE717" s="32"/>
      <c r="AF717" s="32"/>
      <c r="AG717" s="32"/>
      <c r="AH717" s="32"/>
      <c r="AI717" s="32"/>
      <c r="AJ717" s="32"/>
      <c r="AK717" s="32"/>
      <c r="AL717" s="32"/>
      <c r="AM717" s="32"/>
      <c r="AN717" s="32"/>
      <c r="AO717" s="33" t="str">
        <f aca="false">IF(A717="","",IF(AD717&lt;&gt;"",AD717,IF(AC717&lt;&gt;"",AC717,"")))</f>
        <v/>
      </c>
      <c r="AP717" s="24" t="str">
        <f aca="false">IF(AO717="","",IF(AD717&lt;&gt;"","Reported reach","Impressions (proxy)"))</f>
        <v/>
      </c>
      <c r="AQ717" s="34" t="str">
        <f aca="false">IF(OR(AO717="",N(S717)=0),"",AO717/S717)</f>
        <v/>
      </c>
      <c r="AR717" s="33" t="str">
        <f aca="false">IF(A717="","",IF(COUNT(AF717:AJ717)=0,"",SUM(AF717:AJ717)))</f>
        <v/>
      </c>
      <c r="AS717" s="34" t="str">
        <f aca="false">IF(OR(AR717="",N(AO717)=0),"",AR717/AO717)</f>
        <v/>
      </c>
      <c r="AT717" s="34" t="str">
        <f aca="false">IF(OR(AR717="",N(AC717)=0),"",AR717/AC717)</f>
        <v/>
      </c>
      <c r="AU717" s="34" t="str">
        <f aca="false">IF(OR(AR717="",N(S717)=0),"",AR717/S717)</f>
        <v/>
      </c>
      <c r="AV717" s="34" t="str">
        <f aca="false">IF(OR(AJ717="",N(AC717)=0),"",AJ717/AC717)</f>
        <v/>
      </c>
      <c r="AW717" s="34" t="str">
        <f aca="false">IF(OR(AH717="",N(AO717)=0),"",AH717/AO717)</f>
        <v/>
      </c>
      <c r="AX717" s="35" t="str">
        <f aca="false">IF(OR(AR717="",N(AO717)=0),"",(N(AF717)*Settings!$B$6+N(AG717)*Settings!$B$7+N(AH717)*Settings!$B$8+N(AI717)*Settings!$B$9+N(AJ717)*Settings!$B$10)/AO717*1000)</f>
        <v/>
      </c>
      <c r="AY717" s="36" t="str">
        <f aca="false">IF(AS717="","",IFERROR(AS717/AVERAGEIFS('Post Tracker'!$AS$5:$AS$1004,'Post Tracker'!$G$5:$G$1004,G717),""))</f>
        <v/>
      </c>
      <c r="AZ717" s="32"/>
      <c r="BA717" s="32"/>
      <c r="BB717" s="32"/>
      <c r="BC717" s="32"/>
      <c r="BD717" s="33" t="str">
        <f aca="false">IF(A717="","",COUNTIFS('Demo Pipeline'!$Q$5:$Q$504,A717))</f>
        <v/>
      </c>
      <c r="BE717" s="33" t="str">
        <f aca="false">IF(A717="","",COUNTIFS('Demo Pipeline'!$Q$5:$Q$504,A717,'Demo Pipeline'!$W$5:$W$504,"Attended"))</f>
        <v/>
      </c>
      <c r="BF717" s="33" t="str">
        <f aca="false">IF(A717="","",COUNTIFS('Demo Pipeline'!$Q$5:$Q$504,A717,'Demo Pipeline'!$X$5:$X$504,"Yes"))</f>
        <v/>
      </c>
      <c r="BG717" s="33" t="str">
        <f aca="false">IF(A717="","",COUNTIFS('Demo Pipeline'!$Q$5:$Q$504,A717,'Demo Pipeline'!$Y$5:$Y$504,"Closed Won"))</f>
        <v/>
      </c>
      <c r="BH717" s="37" t="str">
        <f aca="false">IF(A717="","",SUMIFS('Demo Pipeline'!$Z$5:$Z$504,'Demo Pipeline'!$Q$5:$Q$504,A717))</f>
        <v/>
      </c>
      <c r="BI717" s="34" t="str">
        <f aca="false">IF(OR(AZ717="",N(AJ717)=0),"",AZ717/AJ717)</f>
        <v/>
      </c>
      <c r="BJ717" s="34" t="str">
        <f aca="false">IF(OR(BB717="",N(AZ717)=0),"",BB717/AZ717)</f>
        <v/>
      </c>
      <c r="BK717" s="34" t="str">
        <f aca="false">IF(OR(A717="",N(BB717)=0),"",BD717/BB717)</f>
        <v/>
      </c>
      <c r="BL717" s="34" t="str">
        <f aca="false">IF(OR(A717="",N(AZ717)=0),"",BD717/AZ717)</f>
        <v/>
      </c>
      <c r="BM717" s="37" t="str">
        <f aca="false">IF(OR(N(Q717)=0,N(BD717)=0),"",Q717/BD717)</f>
        <v/>
      </c>
      <c r="BN717" s="29"/>
      <c r="BO717" s="29"/>
      <c r="BP717" s="33" t="str">
        <f aca="false">IF(OR(AR717="",N(AO717)=0),"",AR717)</f>
        <v/>
      </c>
      <c r="BQ717" s="33" t="str">
        <f aca="false">IF(OR(AR717="",N(S717)=0),"",S717)</f>
        <v/>
      </c>
      <c r="BR717" s="38" t="str">
        <f aca="false">IF(AND(ISNUMBER(B717),B717&gt;=Dashboard!$C$4,B717&lt;=Dashboard!$F$4,ISNUMBER(AU717)),AU717+ROW()/10^9,"")</f>
        <v/>
      </c>
      <c r="BS717" s="38" t="str">
        <f aca="false">IF(AND(ISNUMBER(B717),B717&gt;=Dashboard!$C$4,B717&lt;=Dashboard!$F$4,A717&lt;&gt;""),N(BD717)+N(AU717)/100+ROW()/10^9,"")</f>
        <v/>
      </c>
    </row>
    <row r="718" customFormat="false" ht="15" hidden="false" customHeight="false" outlineLevel="0" collapsed="false">
      <c r="A718" s="24" t="str">
        <f aca="false">IF(OR(B718="",G718="",H718=""),"",IFERROR(INDEX(Settings!$E$5:$E$49,MATCH(G718,Settings!$D$5:$D$49,0))&amp;INDEX(Settings!$H$5:$H$47,MATCH(H718,Settings!$G$5:$G$47,0))&amp;"-"&amp;TEXT(B718,"yymmdd")&amp;"-"&amp;IF(C718="","0000",TEXT(C718,"hhmm")),"CHECK LISTS"))</f>
        <v/>
      </c>
      <c r="B718" s="39"/>
      <c r="C718" s="40"/>
      <c r="D718" s="24" t="str">
        <f aca="false">IF(B718="","",TEXT(B718,"ddd"))</f>
        <v/>
      </c>
      <c r="E718" s="27" t="str">
        <f aca="false">IF(B718="","",B718-WEEKDAY(B718,3))</f>
        <v/>
      </c>
      <c r="F718" s="24" t="str">
        <f aca="false">IF(B718="","",TEXT(B718,"yyyy-mm"))</f>
        <v/>
      </c>
      <c r="G718" s="29"/>
      <c r="H718" s="29"/>
      <c r="I718" s="29"/>
      <c r="J718" s="29"/>
      <c r="K718" s="29"/>
      <c r="L718" s="29"/>
      <c r="M718" s="29"/>
      <c r="N718" s="29"/>
      <c r="O718" s="29"/>
      <c r="P718" s="29"/>
      <c r="Q718" s="30"/>
      <c r="R718" s="29"/>
      <c r="S718" s="32"/>
      <c r="T718" s="29"/>
      <c r="U718" s="29"/>
      <c r="V718" s="24" t="str">
        <f aca="false">IF(A718="","",IFERROR(INDEX(Settings!$F$5:$F$49,MATCH(G718,Settings!$D$5:$D$49,0)),""))</f>
        <v/>
      </c>
      <c r="W718" s="24" t="str">
        <f aca="false">IF(A718="","",IF(OR(P718="",P718="Organic"),"social","paid_social"))</f>
        <v/>
      </c>
      <c r="X718" s="24" t="str">
        <f aca="false">IF(A718="","",IF(K718&lt;&gt;"",IFERROR(INDEX('Case Studies'!$C$5:$C$54,MATCH(K718,'Case Studies'!$B$5:$B$54,0))&amp;"","case-study"),IF(J718&lt;&gt;"",IFERROR(INDEX(Settings!$J$5:$J$55,MATCH(J718,Settings!$I$5:$I$55,0)),"general"),"general")))</f>
        <v/>
      </c>
      <c r="Y718" s="24" t="str">
        <f aca="false">IF(A718="","",LOWER(A718))</f>
        <v/>
      </c>
      <c r="Z718" s="24" t="str">
        <f aca="false">IF(A718="","",IF(T718="",Settings!$B$5,T718)&amp;IF(ISNUMBER(FIND("?",IF(T718="",Settings!$B$5,T718))),"&amp;","?")&amp;"utm_source="&amp;V718&amp;"&amp;utm_medium="&amp;W718&amp;"&amp;utm_campaign="&amp;X718&amp;"&amp;utm_content="&amp;Y718)</f>
        <v/>
      </c>
      <c r="AA718" s="29"/>
      <c r="AB718" s="39"/>
      <c r="AC718" s="32"/>
      <c r="AD718" s="32"/>
      <c r="AE718" s="32"/>
      <c r="AF718" s="32"/>
      <c r="AG718" s="32"/>
      <c r="AH718" s="32"/>
      <c r="AI718" s="32"/>
      <c r="AJ718" s="32"/>
      <c r="AK718" s="32"/>
      <c r="AL718" s="32"/>
      <c r="AM718" s="32"/>
      <c r="AN718" s="32"/>
      <c r="AO718" s="33" t="str">
        <f aca="false">IF(A718="","",IF(AD718&lt;&gt;"",AD718,IF(AC718&lt;&gt;"",AC718,"")))</f>
        <v/>
      </c>
      <c r="AP718" s="24" t="str">
        <f aca="false">IF(AO718="","",IF(AD718&lt;&gt;"","Reported reach","Impressions (proxy)"))</f>
        <v/>
      </c>
      <c r="AQ718" s="34" t="str">
        <f aca="false">IF(OR(AO718="",N(S718)=0),"",AO718/S718)</f>
        <v/>
      </c>
      <c r="AR718" s="33" t="str">
        <f aca="false">IF(A718="","",IF(COUNT(AF718:AJ718)=0,"",SUM(AF718:AJ718)))</f>
        <v/>
      </c>
      <c r="AS718" s="34" t="str">
        <f aca="false">IF(OR(AR718="",N(AO718)=0),"",AR718/AO718)</f>
        <v/>
      </c>
      <c r="AT718" s="34" t="str">
        <f aca="false">IF(OR(AR718="",N(AC718)=0),"",AR718/AC718)</f>
        <v/>
      </c>
      <c r="AU718" s="34" t="str">
        <f aca="false">IF(OR(AR718="",N(S718)=0),"",AR718/S718)</f>
        <v/>
      </c>
      <c r="AV718" s="34" t="str">
        <f aca="false">IF(OR(AJ718="",N(AC718)=0),"",AJ718/AC718)</f>
        <v/>
      </c>
      <c r="AW718" s="34" t="str">
        <f aca="false">IF(OR(AH718="",N(AO718)=0),"",AH718/AO718)</f>
        <v/>
      </c>
      <c r="AX718" s="35" t="str">
        <f aca="false">IF(OR(AR718="",N(AO718)=0),"",(N(AF718)*Settings!$B$6+N(AG718)*Settings!$B$7+N(AH718)*Settings!$B$8+N(AI718)*Settings!$B$9+N(AJ718)*Settings!$B$10)/AO718*1000)</f>
        <v/>
      </c>
      <c r="AY718" s="36" t="str">
        <f aca="false">IF(AS718="","",IFERROR(AS718/AVERAGEIFS('Post Tracker'!$AS$5:$AS$1004,'Post Tracker'!$G$5:$G$1004,G718),""))</f>
        <v/>
      </c>
      <c r="AZ718" s="32"/>
      <c r="BA718" s="32"/>
      <c r="BB718" s="32"/>
      <c r="BC718" s="32"/>
      <c r="BD718" s="33" t="str">
        <f aca="false">IF(A718="","",COUNTIFS('Demo Pipeline'!$Q$5:$Q$504,A718))</f>
        <v/>
      </c>
      <c r="BE718" s="33" t="str">
        <f aca="false">IF(A718="","",COUNTIFS('Demo Pipeline'!$Q$5:$Q$504,A718,'Demo Pipeline'!$W$5:$W$504,"Attended"))</f>
        <v/>
      </c>
      <c r="BF718" s="33" t="str">
        <f aca="false">IF(A718="","",COUNTIFS('Demo Pipeline'!$Q$5:$Q$504,A718,'Demo Pipeline'!$X$5:$X$504,"Yes"))</f>
        <v/>
      </c>
      <c r="BG718" s="33" t="str">
        <f aca="false">IF(A718="","",COUNTIFS('Demo Pipeline'!$Q$5:$Q$504,A718,'Demo Pipeline'!$Y$5:$Y$504,"Closed Won"))</f>
        <v/>
      </c>
      <c r="BH718" s="37" t="str">
        <f aca="false">IF(A718="","",SUMIFS('Demo Pipeline'!$Z$5:$Z$504,'Demo Pipeline'!$Q$5:$Q$504,A718))</f>
        <v/>
      </c>
      <c r="BI718" s="34" t="str">
        <f aca="false">IF(OR(AZ718="",N(AJ718)=0),"",AZ718/AJ718)</f>
        <v/>
      </c>
      <c r="BJ718" s="34" t="str">
        <f aca="false">IF(OR(BB718="",N(AZ718)=0),"",BB718/AZ718)</f>
        <v/>
      </c>
      <c r="BK718" s="34" t="str">
        <f aca="false">IF(OR(A718="",N(BB718)=0),"",BD718/BB718)</f>
        <v/>
      </c>
      <c r="BL718" s="34" t="str">
        <f aca="false">IF(OR(A718="",N(AZ718)=0),"",BD718/AZ718)</f>
        <v/>
      </c>
      <c r="BM718" s="37" t="str">
        <f aca="false">IF(OR(N(Q718)=0,N(BD718)=0),"",Q718/BD718)</f>
        <v/>
      </c>
      <c r="BN718" s="29"/>
      <c r="BO718" s="29"/>
      <c r="BP718" s="33" t="str">
        <f aca="false">IF(OR(AR718="",N(AO718)=0),"",AR718)</f>
        <v/>
      </c>
      <c r="BQ718" s="33" t="str">
        <f aca="false">IF(OR(AR718="",N(S718)=0),"",S718)</f>
        <v/>
      </c>
      <c r="BR718" s="38" t="str">
        <f aca="false">IF(AND(ISNUMBER(B718),B718&gt;=Dashboard!$C$4,B718&lt;=Dashboard!$F$4,ISNUMBER(AU718)),AU718+ROW()/10^9,"")</f>
        <v/>
      </c>
      <c r="BS718" s="38" t="str">
        <f aca="false">IF(AND(ISNUMBER(B718),B718&gt;=Dashboard!$C$4,B718&lt;=Dashboard!$F$4,A718&lt;&gt;""),N(BD718)+N(AU718)/100+ROW()/10^9,"")</f>
        <v/>
      </c>
    </row>
    <row r="719" customFormat="false" ht="15" hidden="false" customHeight="false" outlineLevel="0" collapsed="false">
      <c r="A719" s="24" t="str">
        <f aca="false">IF(OR(B719="",G719="",H719=""),"",IFERROR(INDEX(Settings!$E$5:$E$49,MATCH(G719,Settings!$D$5:$D$49,0))&amp;INDEX(Settings!$H$5:$H$47,MATCH(H719,Settings!$G$5:$G$47,0))&amp;"-"&amp;TEXT(B719,"yymmdd")&amp;"-"&amp;IF(C719="","0000",TEXT(C719,"hhmm")),"CHECK LISTS"))</f>
        <v/>
      </c>
      <c r="B719" s="39"/>
      <c r="C719" s="40"/>
      <c r="D719" s="24" t="str">
        <f aca="false">IF(B719="","",TEXT(B719,"ddd"))</f>
        <v/>
      </c>
      <c r="E719" s="27" t="str">
        <f aca="false">IF(B719="","",B719-WEEKDAY(B719,3))</f>
        <v/>
      </c>
      <c r="F719" s="24" t="str">
        <f aca="false">IF(B719="","",TEXT(B719,"yyyy-mm"))</f>
        <v/>
      </c>
      <c r="G719" s="29"/>
      <c r="H719" s="29"/>
      <c r="I719" s="29"/>
      <c r="J719" s="29"/>
      <c r="K719" s="29"/>
      <c r="L719" s="29"/>
      <c r="M719" s="29"/>
      <c r="N719" s="29"/>
      <c r="O719" s="29"/>
      <c r="P719" s="29"/>
      <c r="Q719" s="30"/>
      <c r="R719" s="29"/>
      <c r="S719" s="32"/>
      <c r="T719" s="29"/>
      <c r="U719" s="29"/>
      <c r="V719" s="24" t="str">
        <f aca="false">IF(A719="","",IFERROR(INDEX(Settings!$F$5:$F$49,MATCH(G719,Settings!$D$5:$D$49,0)),""))</f>
        <v/>
      </c>
      <c r="W719" s="24" t="str">
        <f aca="false">IF(A719="","",IF(OR(P719="",P719="Organic"),"social","paid_social"))</f>
        <v/>
      </c>
      <c r="X719" s="24" t="str">
        <f aca="false">IF(A719="","",IF(K719&lt;&gt;"",IFERROR(INDEX('Case Studies'!$C$5:$C$54,MATCH(K719,'Case Studies'!$B$5:$B$54,0))&amp;"","case-study"),IF(J719&lt;&gt;"",IFERROR(INDEX(Settings!$J$5:$J$55,MATCH(J719,Settings!$I$5:$I$55,0)),"general"),"general")))</f>
        <v/>
      </c>
      <c r="Y719" s="24" t="str">
        <f aca="false">IF(A719="","",LOWER(A719))</f>
        <v/>
      </c>
      <c r="Z719" s="24" t="str">
        <f aca="false">IF(A719="","",IF(T719="",Settings!$B$5,T719)&amp;IF(ISNUMBER(FIND("?",IF(T719="",Settings!$B$5,T719))),"&amp;","?")&amp;"utm_source="&amp;V719&amp;"&amp;utm_medium="&amp;W719&amp;"&amp;utm_campaign="&amp;X719&amp;"&amp;utm_content="&amp;Y719)</f>
        <v/>
      </c>
      <c r="AA719" s="29"/>
      <c r="AB719" s="39"/>
      <c r="AC719" s="32"/>
      <c r="AD719" s="32"/>
      <c r="AE719" s="32"/>
      <c r="AF719" s="32"/>
      <c r="AG719" s="32"/>
      <c r="AH719" s="32"/>
      <c r="AI719" s="32"/>
      <c r="AJ719" s="32"/>
      <c r="AK719" s="32"/>
      <c r="AL719" s="32"/>
      <c r="AM719" s="32"/>
      <c r="AN719" s="32"/>
      <c r="AO719" s="33" t="str">
        <f aca="false">IF(A719="","",IF(AD719&lt;&gt;"",AD719,IF(AC719&lt;&gt;"",AC719,"")))</f>
        <v/>
      </c>
      <c r="AP719" s="24" t="str">
        <f aca="false">IF(AO719="","",IF(AD719&lt;&gt;"","Reported reach","Impressions (proxy)"))</f>
        <v/>
      </c>
      <c r="AQ719" s="34" t="str">
        <f aca="false">IF(OR(AO719="",N(S719)=0),"",AO719/S719)</f>
        <v/>
      </c>
      <c r="AR719" s="33" t="str">
        <f aca="false">IF(A719="","",IF(COUNT(AF719:AJ719)=0,"",SUM(AF719:AJ719)))</f>
        <v/>
      </c>
      <c r="AS719" s="34" t="str">
        <f aca="false">IF(OR(AR719="",N(AO719)=0),"",AR719/AO719)</f>
        <v/>
      </c>
      <c r="AT719" s="34" t="str">
        <f aca="false">IF(OR(AR719="",N(AC719)=0),"",AR719/AC719)</f>
        <v/>
      </c>
      <c r="AU719" s="34" t="str">
        <f aca="false">IF(OR(AR719="",N(S719)=0),"",AR719/S719)</f>
        <v/>
      </c>
      <c r="AV719" s="34" t="str">
        <f aca="false">IF(OR(AJ719="",N(AC719)=0),"",AJ719/AC719)</f>
        <v/>
      </c>
      <c r="AW719" s="34" t="str">
        <f aca="false">IF(OR(AH719="",N(AO719)=0),"",AH719/AO719)</f>
        <v/>
      </c>
      <c r="AX719" s="35" t="str">
        <f aca="false">IF(OR(AR719="",N(AO719)=0),"",(N(AF719)*Settings!$B$6+N(AG719)*Settings!$B$7+N(AH719)*Settings!$B$8+N(AI719)*Settings!$B$9+N(AJ719)*Settings!$B$10)/AO719*1000)</f>
        <v/>
      </c>
      <c r="AY719" s="36" t="str">
        <f aca="false">IF(AS719="","",IFERROR(AS719/AVERAGEIFS('Post Tracker'!$AS$5:$AS$1004,'Post Tracker'!$G$5:$G$1004,G719),""))</f>
        <v/>
      </c>
      <c r="AZ719" s="32"/>
      <c r="BA719" s="32"/>
      <c r="BB719" s="32"/>
      <c r="BC719" s="32"/>
      <c r="BD719" s="33" t="str">
        <f aca="false">IF(A719="","",COUNTIFS('Demo Pipeline'!$Q$5:$Q$504,A719))</f>
        <v/>
      </c>
      <c r="BE719" s="33" t="str">
        <f aca="false">IF(A719="","",COUNTIFS('Demo Pipeline'!$Q$5:$Q$504,A719,'Demo Pipeline'!$W$5:$W$504,"Attended"))</f>
        <v/>
      </c>
      <c r="BF719" s="33" t="str">
        <f aca="false">IF(A719="","",COUNTIFS('Demo Pipeline'!$Q$5:$Q$504,A719,'Demo Pipeline'!$X$5:$X$504,"Yes"))</f>
        <v/>
      </c>
      <c r="BG719" s="33" t="str">
        <f aca="false">IF(A719="","",COUNTIFS('Demo Pipeline'!$Q$5:$Q$504,A719,'Demo Pipeline'!$Y$5:$Y$504,"Closed Won"))</f>
        <v/>
      </c>
      <c r="BH719" s="37" t="str">
        <f aca="false">IF(A719="","",SUMIFS('Demo Pipeline'!$Z$5:$Z$504,'Demo Pipeline'!$Q$5:$Q$504,A719))</f>
        <v/>
      </c>
      <c r="BI719" s="34" t="str">
        <f aca="false">IF(OR(AZ719="",N(AJ719)=0),"",AZ719/AJ719)</f>
        <v/>
      </c>
      <c r="BJ719" s="34" t="str">
        <f aca="false">IF(OR(BB719="",N(AZ719)=0),"",BB719/AZ719)</f>
        <v/>
      </c>
      <c r="BK719" s="34" t="str">
        <f aca="false">IF(OR(A719="",N(BB719)=0),"",BD719/BB719)</f>
        <v/>
      </c>
      <c r="BL719" s="34" t="str">
        <f aca="false">IF(OR(A719="",N(AZ719)=0),"",BD719/AZ719)</f>
        <v/>
      </c>
      <c r="BM719" s="37" t="str">
        <f aca="false">IF(OR(N(Q719)=0,N(BD719)=0),"",Q719/BD719)</f>
        <v/>
      </c>
      <c r="BN719" s="29"/>
      <c r="BO719" s="29"/>
      <c r="BP719" s="33" t="str">
        <f aca="false">IF(OR(AR719="",N(AO719)=0),"",AR719)</f>
        <v/>
      </c>
      <c r="BQ719" s="33" t="str">
        <f aca="false">IF(OR(AR719="",N(S719)=0),"",S719)</f>
        <v/>
      </c>
      <c r="BR719" s="38" t="str">
        <f aca="false">IF(AND(ISNUMBER(B719),B719&gt;=Dashboard!$C$4,B719&lt;=Dashboard!$F$4,ISNUMBER(AU719)),AU719+ROW()/10^9,"")</f>
        <v/>
      </c>
      <c r="BS719" s="38" t="str">
        <f aca="false">IF(AND(ISNUMBER(B719),B719&gt;=Dashboard!$C$4,B719&lt;=Dashboard!$F$4,A719&lt;&gt;""),N(BD719)+N(AU719)/100+ROW()/10^9,"")</f>
        <v/>
      </c>
    </row>
    <row r="720" customFormat="false" ht="15" hidden="false" customHeight="false" outlineLevel="0" collapsed="false">
      <c r="A720" s="24" t="str">
        <f aca="false">IF(OR(B720="",G720="",H720=""),"",IFERROR(INDEX(Settings!$E$5:$E$49,MATCH(G720,Settings!$D$5:$D$49,0))&amp;INDEX(Settings!$H$5:$H$47,MATCH(H720,Settings!$G$5:$G$47,0))&amp;"-"&amp;TEXT(B720,"yymmdd")&amp;"-"&amp;IF(C720="","0000",TEXT(C720,"hhmm")),"CHECK LISTS"))</f>
        <v/>
      </c>
      <c r="B720" s="39"/>
      <c r="C720" s="40"/>
      <c r="D720" s="24" t="str">
        <f aca="false">IF(B720="","",TEXT(B720,"ddd"))</f>
        <v/>
      </c>
      <c r="E720" s="27" t="str">
        <f aca="false">IF(B720="","",B720-WEEKDAY(B720,3))</f>
        <v/>
      </c>
      <c r="F720" s="24" t="str">
        <f aca="false">IF(B720="","",TEXT(B720,"yyyy-mm"))</f>
        <v/>
      </c>
      <c r="G720" s="29"/>
      <c r="H720" s="29"/>
      <c r="I720" s="29"/>
      <c r="J720" s="29"/>
      <c r="K720" s="29"/>
      <c r="L720" s="29"/>
      <c r="M720" s="29"/>
      <c r="N720" s="29"/>
      <c r="O720" s="29"/>
      <c r="P720" s="29"/>
      <c r="Q720" s="30"/>
      <c r="R720" s="29"/>
      <c r="S720" s="32"/>
      <c r="T720" s="29"/>
      <c r="U720" s="29"/>
      <c r="V720" s="24" t="str">
        <f aca="false">IF(A720="","",IFERROR(INDEX(Settings!$F$5:$F$49,MATCH(G720,Settings!$D$5:$D$49,0)),""))</f>
        <v/>
      </c>
      <c r="W720" s="24" t="str">
        <f aca="false">IF(A720="","",IF(OR(P720="",P720="Organic"),"social","paid_social"))</f>
        <v/>
      </c>
      <c r="X720" s="24" t="str">
        <f aca="false">IF(A720="","",IF(K720&lt;&gt;"",IFERROR(INDEX('Case Studies'!$C$5:$C$54,MATCH(K720,'Case Studies'!$B$5:$B$54,0))&amp;"","case-study"),IF(J720&lt;&gt;"",IFERROR(INDEX(Settings!$J$5:$J$55,MATCH(J720,Settings!$I$5:$I$55,0)),"general"),"general")))</f>
        <v/>
      </c>
      <c r="Y720" s="24" t="str">
        <f aca="false">IF(A720="","",LOWER(A720))</f>
        <v/>
      </c>
      <c r="Z720" s="24" t="str">
        <f aca="false">IF(A720="","",IF(T720="",Settings!$B$5,T720)&amp;IF(ISNUMBER(FIND("?",IF(T720="",Settings!$B$5,T720))),"&amp;","?")&amp;"utm_source="&amp;V720&amp;"&amp;utm_medium="&amp;W720&amp;"&amp;utm_campaign="&amp;X720&amp;"&amp;utm_content="&amp;Y720)</f>
        <v/>
      </c>
      <c r="AA720" s="29"/>
      <c r="AB720" s="39"/>
      <c r="AC720" s="32"/>
      <c r="AD720" s="32"/>
      <c r="AE720" s="32"/>
      <c r="AF720" s="32"/>
      <c r="AG720" s="32"/>
      <c r="AH720" s="32"/>
      <c r="AI720" s="32"/>
      <c r="AJ720" s="32"/>
      <c r="AK720" s="32"/>
      <c r="AL720" s="32"/>
      <c r="AM720" s="32"/>
      <c r="AN720" s="32"/>
      <c r="AO720" s="33" t="str">
        <f aca="false">IF(A720="","",IF(AD720&lt;&gt;"",AD720,IF(AC720&lt;&gt;"",AC720,"")))</f>
        <v/>
      </c>
      <c r="AP720" s="24" t="str">
        <f aca="false">IF(AO720="","",IF(AD720&lt;&gt;"","Reported reach","Impressions (proxy)"))</f>
        <v/>
      </c>
      <c r="AQ720" s="34" t="str">
        <f aca="false">IF(OR(AO720="",N(S720)=0),"",AO720/S720)</f>
        <v/>
      </c>
      <c r="AR720" s="33" t="str">
        <f aca="false">IF(A720="","",IF(COUNT(AF720:AJ720)=0,"",SUM(AF720:AJ720)))</f>
        <v/>
      </c>
      <c r="AS720" s="34" t="str">
        <f aca="false">IF(OR(AR720="",N(AO720)=0),"",AR720/AO720)</f>
        <v/>
      </c>
      <c r="AT720" s="34" t="str">
        <f aca="false">IF(OR(AR720="",N(AC720)=0),"",AR720/AC720)</f>
        <v/>
      </c>
      <c r="AU720" s="34" t="str">
        <f aca="false">IF(OR(AR720="",N(S720)=0),"",AR720/S720)</f>
        <v/>
      </c>
      <c r="AV720" s="34" t="str">
        <f aca="false">IF(OR(AJ720="",N(AC720)=0),"",AJ720/AC720)</f>
        <v/>
      </c>
      <c r="AW720" s="34" t="str">
        <f aca="false">IF(OR(AH720="",N(AO720)=0),"",AH720/AO720)</f>
        <v/>
      </c>
      <c r="AX720" s="35" t="str">
        <f aca="false">IF(OR(AR720="",N(AO720)=0),"",(N(AF720)*Settings!$B$6+N(AG720)*Settings!$B$7+N(AH720)*Settings!$B$8+N(AI720)*Settings!$B$9+N(AJ720)*Settings!$B$10)/AO720*1000)</f>
        <v/>
      </c>
      <c r="AY720" s="36" t="str">
        <f aca="false">IF(AS720="","",IFERROR(AS720/AVERAGEIFS('Post Tracker'!$AS$5:$AS$1004,'Post Tracker'!$G$5:$G$1004,G720),""))</f>
        <v/>
      </c>
      <c r="AZ720" s="32"/>
      <c r="BA720" s="32"/>
      <c r="BB720" s="32"/>
      <c r="BC720" s="32"/>
      <c r="BD720" s="33" t="str">
        <f aca="false">IF(A720="","",COUNTIFS('Demo Pipeline'!$Q$5:$Q$504,A720))</f>
        <v/>
      </c>
      <c r="BE720" s="33" t="str">
        <f aca="false">IF(A720="","",COUNTIFS('Demo Pipeline'!$Q$5:$Q$504,A720,'Demo Pipeline'!$W$5:$W$504,"Attended"))</f>
        <v/>
      </c>
      <c r="BF720" s="33" t="str">
        <f aca="false">IF(A720="","",COUNTIFS('Demo Pipeline'!$Q$5:$Q$504,A720,'Demo Pipeline'!$X$5:$X$504,"Yes"))</f>
        <v/>
      </c>
      <c r="BG720" s="33" t="str">
        <f aca="false">IF(A720="","",COUNTIFS('Demo Pipeline'!$Q$5:$Q$504,A720,'Demo Pipeline'!$Y$5:$Y$504,"Closed Won"))</f>
        <v/>
      </c>
      <c r="BH720" s="37" t="str">
        <f aca="false">IF(A720="","",SUMIFS('Demo Pipeline'!$Z$5:$Z$504,'Demo Pipeline'!$Q$5:$Q$504,A720))</f>
        <v/>
      </c>
      <c r="BI720" s="34" t="str">
        <f aca="false">IF(OR(AZ720="",N(AJ720)=0),"",AZ720/AJ720)</f>
        <v/>
      </c>
      <c r="BJ720" s="34" t="str">
        <f aca="false">IF(OR(BB720="",N(AZ720)=0),"",BB720/AZ720)</f>
        <v/>
      </c>
      <c r="BK720" s="34" t="str">
        <f aca="false">IF(OR(A720="",N(BB720)=0),"",BD720/BB720)</f>
        <v/>
      </c>
      <c r="BL720" s="34" t="str">
        <f aca="false">IF(OR(A720="",N(AZ720)=0),"",BD720/AZ720)</f>
        <v/>
      </c>
      <c r="BM720" s="37" t="str">
        <f aca="false">IF(OR(N(Q720)=0,N(BD720)=0),"",Q720/BD720)</f>
        <v/>
      </c>
      <c r="BN720" s="29"/>
      <c r="BO720" s="29"/>
      <c r="BP720" s="33" t="str">
        <f aca="false">IF(OR(AR720="",N(AO720)=0),"",AR720)</f>
        <v/>
      </c>
      <c r="BQ720" s="33" t="str">
        <f aca="false">IF(OR(AR720="",N(S720)=0),"",S720)</f>
        <v/>
      </c>
      <c r="BR720" s="38" t="str">
        <f aca="false">IF(AND(ISNUMBER(B720),B720&gt;=Dashboard!$C$4,B720&lt;=Dashboard!$F$4,ISNUMBER(AU720)),AU720+ROW()/10^9,"")</f>
        <v/>
      </c>
      <c r="BS720" s="38" t="str">
        <f aca="false">IF(AND(ISNUMBER(B720),B720&gt;=Dashboard!$C$4,B720&lt;=Dashboard!$F$4,A720&lt;&gt;""),N(BD720)+N(AU720)/100+ROW()/10^9,"")</f>
        <v/>
      </c>
    </row>
    <row r="721" customFormat="false" ht="15" hidden="false" customHeight="false" outlineLevel="0" collapsed="false">
      <c r="A721" s="24" t="str">
        <f aca="false">IF(OR(B721="",G721="",H721=""),"",IFERROR(INDEX(Settings!$E$5:$E$49,MATCH(G721,Settings!$D$5:$D$49,0))&amp;INDEX(Settings!$H$5:$H$47,MATCH(H721,Settings!$G$5:$G$47,0))&amp;"-"&amp;TEXT(B721,"yymmdd")&amp;"-"&amp;IF(C721="","0000",TEXT(C721,"hhmm")),"CHECK LISTS"))</f>
        <v/>
      </c>
      <c r="B721" s="39"/>
      <c r="C721" s="40"/>
      <c r="D721" s="24" t="str">
        <f aca="false">IF(B721="","",TEXT(B721,"ddd"))</f>
        <v/>
      </c>
      <c r="E721" s="27" t="str">
        <f aca="false">IF(B721="","",B721-WEEKDAY(B721,3))</f>
        <v/>
      </c>
      <c r="F721" s="24" t="str">
        <f aca="false">IF(B721="","",TEXT(B721,"yyyy-mm"))</f>
        <v/>
      </c>
      <c r="G721" s="29"/>
      <c r="H721" s="29"/>
      <c r="I721" s="29"/>
      <c r="J721" s="29"/>
      <c r="K721" s="29"/>
      <c r="L721" s="29"/>
      <c r="M721" s="29"/>
      <c r="N721" s="29"/>
      <c r="O721" s="29"/>
      <c r="P721" s="29"/>
      <c r="Q721" s="30"/>
      <c r="R721" s="29"/>
      <c r="S721" s="32"/>
      <c r="T721" s="29"/>
      <c r="U721" s="29"/>
      <c r="V721" s="24" t="str">
        <f aca="false">IF(A721="","",IFERROR(INDEX(Settings!$F$5:$F$49,MATCH(G721,Settings!$D$5:$D$49,0)),""))</f>
        <v/>
      </c>
      <c r="W721" s="24" t="str">
        <f aca="false">IF(A721="","",IF(OR(P721="",P721="Organic"),"social","paid_social"))</f>
        <v/>
      </c>
      <c r="X721" s="24" t="str">
        <f aca="false">IF(A721="","",IF(K721&lt;&gt;"",IFERROR(INDEX('Case Studies'!$C$5:$C$54,MATCH(K721,'Case Studies'!$B$5:$B$54,0))&amp;"","case-study"),IF(J721&lt;&gt;"",IFERROR(INDEX(Settings!$J$5:$J$55,MATCH(J721,Settings!$I$5:$I$55,0)),"general"),"general")))</f>
        <v/>
      </c>
      <c r="Y721" s="24" t="str">
        <f aca="false">IF(A721="","",LOWER(A721))</f>
        <v/>
      </c>
      <c r="Z721" s="24" t="str">
        <f aca="false">IF(A721="","",IF(T721="",Settings!$B$5,T721)&amp;IF(ISNUMBER(FIND("?",IF(T721="",Settings!$B$5,T721))),"&amp;","?")&amp;"utm_source="&amp;V721&amp;"&amp;utm_medium="&amp;W721&amp;"&amp;utm_campaign="&amp;X721&amp;"&amp;utm_content="&amp;Y721)</f>
        <v/>
      </c>
      <c r="AA721" s="29"/>
      <c r="AB721" s="39"/>
      <c r="AC721" s="32"/>
      <c r="AD721" s="32"/>
      <c r="AE721" s="32"/>
      <c r="AF721" s="32"/>
      <c r="AG721" s="32"/>
      <c r="AH721" s="32"/>
      <c r="AI721" s="32"/>
      <c r="AJ721" s="32"/>
      <c r="AK721" s="32"/>
      <c r="AL721" s="32"/>
      <c r="AM721" s="32"/>
      <c r="AN721" s="32"/>
      <c r="AO721" s="33" t="str">
        <f aca="false">IF(A721="","",IF(AD721&lt;&gt;"",AD721,IF(AC721&lt;&gt;"",AC721,"")))</f>
        <v/>
      </c>
      <c r="AP721" s="24" t="str">
        <f aca="false">IF(AO721="","",IF(AD721&lt;&gt;"","Reported reach","Impressions (proxy)"))</f>
        <v/>
      </c>
      <c r="AQ721" s="34" t="str">
        <f aca="false">IF(OR(AO721="",N(S721)=0),"",AO721/S721)</f>
        <v/>
      </c>
      <c r="AR721" s="33" t="str">
        <f aca="false">IF(A721="","",IF(COUNT(AF721:AJ721)=0,"",SUM(AF721:AJ721)))</f>
        <v/>
      </c>
      <c r="AS721" s="34" t="str">
        <f aca="false">IF(OR(AR721="",N(AO721)=0),"",AR721/AO721)</f>
        <v/>
      </c>
      <c r="AT721" s="34" t="str">
        <f aca="false">IF(OR(AR721="",N(AC721)=0),"",AR721/AC721)</f>
        <v/>
      </c>
      <c r="AU721" s="34" t="str">
        <f aca="false">IF(OR(AR721="",N(S721)=0),"",AR721/S721)</f>
        <v/>
      </c>
      <c r="AV721" s="34" t="str">
        <f aca="false">IF(OR(AJ721="",N(AC721)=0),"",AJ721/AC721)</f>
        <v/>
      </c>
      <c r="AW721" s="34" t="str">
        <f aca="false">IF(OR(AH721="",N(AO721)=0),"",AH721/AO721)</f>
        <v/>
      </c>
      <c r="AX721" s="35" t="str">
        <f aca="false">IF(OR(AR721="",N(AO721)=0),"",(N(AF721)*Settings!$B$6+N(AG721)*Settings!$B$7+N(AH721)*Settings!$B$8+N(AI721)*Settings!$B$9+N(AJ721)*Settings!$B$10)/AO721*1000)</f>
        <v/>
      </c>
      <c r="AY721" s="36" t="str">
        <f aca="false">IF(AS721="","",IFERROR(AS721/AVERAGEIFS('Post Tracker'!$AS$5:$AS$1004,'Post Tracker'!$G$5:$G$1004,G721),""))</f>
        <v/>
      </c>
      <c r="AZ721" s="32"/>
      <c r="BA721" s="32"/>
      <c r="BB721" s="32"/>
      <c r="BC721" s="32"/>
      <c r="BD721" s="33" t="str">
        <f aca="false">IF(A721="","",COUNTIFS('Demo Pipeline'!$Q$5:$Q$504,A721))</f>
        <v/>
      </c>
      <c r="BE721" s="33" t="str">
        <f aca="false">IF(A721="","",COUNTIFS('Demo Pipeline'!$Q$5:$Q$504,A721,'Demo Pipeline'!$W$5:$W$504,"Attended"))</f>
        <v/>
      </c>
      <c r="BF721" s="33" t="str">
        <f aca="false">IF(A721="","",COUNTIFS('Demo Pipeline'!$Q$5:$Q$504,A721,'Demo Pipeline'!$X$5:$X$504,"Yes"))</f>
        <v/>
      </c>
      <c r="BG721" s="33" t="str">
        <f aca="false">IF(A721="","",COUNTIFS('Demo Pipeline'!$Q$5:$Q$504,A721,'Demo Pipeline'!$Y$5:$Y$504,"Closed Won"))</f>
        <v/>
      </c>
      <c r="BH721" s="37" t="str">
        <f aca="false">IF(A721="","",SUMIFS('Demo Pipeline'!$Z$5:$Z$504,'Demo Pipeline'!$Q$5:$Q$504,A721))</f>
        <v/>
      </c>
      <c r="BI721" s="34" t="str">
        <f aca="false">IF(OR(AZ721="",N(AJ721)=0),"",AZ721/AJ721)</f>
        <v/>
      </c>
      <c r="BJ721" s="34" t="str">
        <f aca="false">IF(OR(BB721="",N(AZ721)=0),"",BB721/AZ721)</f>
        <v/>
      </c>
      <c r="BK721" s="34" t="str">
        <f aca="false">IF(OR(A721="",N(BB721)=0),"",BD721/BB721)</f>
        <v/>
      </c>
      <c r="BL721" s="34" t="str">
        <f aca="false">IF(OR(A721="",N(AZ721)=0),"",BD721/AZ721)</f>
        <v/>
      </c>
      <c r="BM721" s="37" t="str">
        <f aca="false">IF(OR(N(Q721)=0,N(BD721)=0),"",Q721/BD721)</f>
        <v/>
      </c>
      <c r="BN721" s="29"/>
      <c r="BO721" s="29"/>
      <c r="BP721" s="33" t="str">
        <f aca="false">IF(OR(AR721="",N(AO721)=0),"",AR721)</f>
        <v/>
      </c>
      <c r="BQ721" s="33" t="str">
        <f aca="false">IF(OR(AR721="",N(S721)=0),"",S721)</f>
        <v/>
      </c>
      <c r="BR721" s="38" t="str">
        <f aca="false">IF(AND(ISNUMBER(B721),B721&gt;=Dashboard!$C$4,B721&lt;=Dashboard!$F$4,ISNUMBER(AU721)),AU721+ROW()/10^9,"")</f>
        <v/>
      </c>
      <c r="BS721" s="38" t="str">
        <f aca="false">IF(AND(ISNUMBER(B721),B721&gt;=Dashboard!$C$4,B721&lt;=Dashboard!$F$4,A721&lt;&gt;""),N(BD721)+N(AU721)/100+ROW()/10^9,"")</f>
        <v/>
      </c>
    </row>
    <row r="722" customFormat="false" ht="15" hidden="false" customHeight="false" outlineLevel="0" collapsed="false">
      <c r="A722" s="24" t="str">
        <f aca="false">IF(OR(B722="",G722="",H722=""),"",IFERROR(INDEX(Settings!$E$5:$E$49,MATCH(G722,Settings!$D$5:$D$49,0))&amp;INDEX(Settings!$H$5:$H$47,MATCH(H722,Settings!$G$5:$G$47,0))&amp;"-"&amp;TEXT(B722,"yymmdd")&amp;"-"&amp;IF(C722="","0000",TEXT(C722,"hhmm")),"CHECK LISTS"))</f>
        <v/>
      </c>
      <c r="B722" s="39"/>
      <c r="C722" s="40"/>
      <c r="D722" s="24" t="str">
        <f aca="false">IF(B722="","",TEXT(B722,"ddd"))</f>
        <v/>
      </c>
      <c r="E722" s="27" t="str">
        <f aca="false">IF(B722="","",B722-WEEKDAY(B722,3))</f>
        <v/>
      </c>
      <c r="F722" s="24" t="str">
        <f aca="false">IF(B722="","",TEXT(B722,"yyyy-mm"))</f>
        <v/>
      </c>
      <c r="G722" s="29"/>
      <c r="H722" s="29"/>
      <c r="I722" s="29"/>
      <c r="J722" s="29"/>
      <c r="K722" s="29"/>
      <c r="L722" s="29"/>
      <c r="M722" s="29"/>
      <c r="N722" s="29"/>
      <c r="O722" s="29"/>
      <c r="P722" s="29"/>
      <c r="Q722" s="30"/>
      <c r="R722" s="29"/>
      <c r="S722" s="32"/>
      <c r="T722" s="29"/>
      <c r="U722" s="29"/>
      <c r="V722" s="24" t="str">
        <f aca="false">IF(A722="","",IFERROR(INDEX(Settings!$F$5:$F$49,MATCH(G722,Settings!$D$5:$D$49,0)),""))</f>
        <v/>
      </c>
      <c r="W722" s="24" t="str">
        <f aca="false">IF(A722="","",IF(OR(P722="",P722="Organic"),"social","paid_social"))</f>
        <v/>
      </c>
      <c r="X722" s="24" t="str">
        <f aca="false">IF(A722="","",IF(K722&lt;&gt;"",IFERROR(INDEX('Case Studies'!$C$5:$C$54,MATCH(K722,'Case Studies'!$B$5:$B$54,0))&amp;"","case-study"),IF(J722&lt;&gt;"",IFERROR(INDEX(Settings!$J$5:$J$55,MATCH(J722,Settings!$I$5:$I$55,0)),"general"),"general")))</f>
        <v/>
      </c>
      <c r="Y722" s="24" t="str">
        <f aca="false">IF(A722="","",LOWER(A722))</f>
        <v/>
      </c>
      <c r="Z722" s="24" t="str">
        <f aca="false">IF(A722="","",IF(T722="",Settings!$B$5,T722)&amp;IF(ISNUMBER(FIND("?",IF(T722="",Settings!$B$5,T722))),"&amp;","?")&amp;"utm_source="&amp;V722&amp;"&amp;utm_medium="&amp;W722&amp;"&amp;utm_campaign="&amp;X722&amp;"&amp;utm_content="&amp;Y722)</f>
        <v/>
      </c>
      <c r="AA722" s="29"/>
      <c r="AB722" s="39"/>
      <c r="AC722" s="32"/>
      <c r="AD722" s="32"/>
      <c r="AE722" s="32"/>
      <c r="AF722" s="32"/>
      <c r="AG722" s="32"/>
      <c r="AH722" s="32"/>
      <c r="AI722" s="32"/>
      <c r="AJ722" s="32"/>
      <c r="AK722" s="32"/>
      <c r="AL722" s="32"/>
      <c r="AM722" s="32"/>
      <c r="AN722" s="32"/>
      <c r="AO722" s="33" t="str">
        <f aca="false">IF(A722="","",IF(AD722&lt;&gt;"",AD722,IF(AC722&lt;&gt;"",AC722,"")))</f>
        <v/>
      </c>
      <c r="AP722" s="24" t="str">
        <f aca="false">IF(AO722="","",IF(AD722&lt;&gt;"","Reported reach","Impressions (proxy)"))</f>
        <v/>
      </c>
      <c r="AQ722" s="34" t="str">
        <f aca="false">IF(OR(AO722="",N(S722)=0),"",AO722/S722)</f>
        <v/>
      </c>
      <c r="AR722" s="33" t="str">
        <f aca="false">IF(A722="","",IF(COUNT(AF722:AJ722)=0,"",SUM(AF722:AJ722)))</f>
        <v/>
      </c>
      <c r="AS722" s="34" t="str">
        <f aca="false">IF(OR(AR722="",N(AO722)=0),"",AR722/AO722)</f>
        <v/>
      </c>
      <c r="AT722" s="34" t="str">
        <f aca="false">IF(OR(AR722="",N(AC722)=0),"",AR722/AC722)</f>
        <v/>
      </c>
      <c r="AU722" s="34" t="str">
        <f aca="false">IF(OR(AR722="",N(S722)=0),"",AR722/S722)</f>
        <v/>
      </c>
      <c r="AV722" s="34" t="str">
        <f aca="false">IF(OR(AJ722="",N(AC722)=0),"",AJ722/AC722)</f>
        <v/>
      </c>
      <c r="AW722" s="34" t="str">
        <f aca="false">IF(OR(AH722="",N(AO722)=0),"",AH722/AO722)</f>
        <v/>
      </c>
      <c r="AX722" s="35" t="str">
        <f aca="false">IF(OR(AR722="",N(AO722)=0),"",(N(AF722)*Settings!$B$6+N(AG722)*Settings!$B$7+N(AH722)*Settings!$B$8+N(AI722)*Settings!$B$9+N(AJ722)*Settings!$B$10)/AO722*1000)</f>
        <v/>
      </c>
      <c r="AY722" s="36" t="str">
        <f aca="false">IF(AS722="","",IFERROR(AS722/AVERAGEIFS('Post Tracker'!$AS$5:$AS$1004,'Post Tracker'!$G$5:$G$1004,G722),""))</f>
        <v/>
      </c>
      <c r="AZ722" s="32"/>
      <c r="BA722" s="32"/>
      <c r="BB722" s="32"/>
      <c r="BC722" s="32"/>
      <c r="BD722" s="33" t="str">
        <f aca="false">IF(A722="","",COUNTIFS('Demo Pipeline'!$Q$5:$Q$504,A722))</f>
        <v/>
      </c>
      <c r="BE722" s="33" t="str">
        <f aca="false">IF(A722="","",COUNTIFS('Demo Pipeline'!$Q$5:$Q$504,A722,'Demo Pipeline'!$W$5:$W$504,"Attended"))</f>
        <v/>
      </c>
      <c r="BF722" s="33" t="str">
        <f aca="false">IF(A722="","",COUNTIFS('Demo Pipeline'!$Q$5:$Q$504,A722,'Demo Pipeline'!$X$5:$X$504,"Yes"))</f>
        <v/>
      </c>
      <c r="BG722" s="33" t="str">
        <f aca="false">IF(A722="","",COUNTIFS('Demo Pipeline'!$Q$5:$Q$504,A722,'Demo Pipeline'!$Y$5:$Y$504,"Closed Won"))</f>
        <v/>
      </c>
      <c r="BH722" s="37" t="str">
        <f aca="false">IF(A722="","",SUMIFS('Demo Pipeline'!$Z$5:$Z$504,'Demo Pipeline'!$Q$5:$Q$504,A722))</f>
        <v/>
      </c>
      <c r="BI722" s="34" t="str">
        <f aca="false">IF(OR(AZ722="",N(AJ722)=0),"",AZ722/AJ722)</f>
        <v/>
      </c>
      <c r="BJ722" s="34" t="str">
        <f aca="false">IF(OR(BB722="",N(AZ722)=0),"",BB722/AZ722)</f>
        <v/>
      </c>
      <c r="BK722" s="34" t="str">
        <f aca="false">IF(OR(A722="",N(BB722)=0),"",BD722/BB722)</f>
        <v/>
      </c>
      <c r="BL722" s="34" t="str">
        <f aca="false">IF(OR(A722="",N(AZ722)=0),"",BD722/AZ722)</f>
        <v/>
      </c>
      <c r="BM722" s="37" t="str">
        <f aca="false">IF(OR(N(Q722)=0,N(BD722)=0),"",Q722/BD722)</f>
        <v/>
      </c>
      <c r="BN722" s="29"/>
      <c r="BO722" s="29"/>
      <c r="BP722" s="33" t="str">
        <f aca="false">IF(OR(AR722="",N(AO722)=0),"",AR722)</f>
        <v/>
      </c>
      <c r="BQ722" s="33" t="str">
        <f aca="false">IF(OR(AR722="",N(S722)=0),"",S722)</f>
        <v/>
      </c>
      <c r="BR722" s="38" t="str">
        <f aca="false">IF(AND(ISNUMBER(B722),B722&gt;=Dashboard!$C$4,B722&lt;=Dashboard!$F$4,ISNUMBER(AU722)),AU722+ROW()/10^9,"")</f>
        <v/>
      </c>
      <c r="BS722" s="38" t="str">
        <f aca="false">IF(AND(ISNUMBER(B722),B722&gt;=Dashboard!$C$4,B722&lt;=Dashboard!$F$4,A722&lt;&gt;""),N(BD722)+N(AU722)/100+ROW()/10^9,"")</f>
        <v/>
      </c>
    </row>
    <row r="723" customFormat="false" ht="15" hidden="false" customHeight="false" outlineLevel="0" collapsed="false">
      <c r="A723" s="24" t="str">
        <f aca="false">IF(OR(B723="",G723="",H723=""),"",IFERROR(INDEX(Settings!$E$5:$E$49,MATCH(G723,Settings!$D$5:$D$49,0))&amp;INDEX(Settings!$H$5:$H$47,MATCH(H723,Settings!$G$5:$G$47,0))&amp;"-"&amp;TEXT(B723,"yymmdd")&amp;"-"&amp;IF(C723="","0000",TEXT(C723,"hhmm")),"CHECK LISTS"))</f>
        <v/>
      </c>
      <c r="B723" s="39"/>
      <c r="C723" s="40"/>
      <c r="D723" s="24" t="str">
        <f aca="false">IF(B723="","",TEXT(B723,"ddd"))</f>
        <v/>
      </c>
      <c r="E723" s="27" t="str">
        <f aca="false">IF(B723="","",B723-WEEKDAY(B723,3))</f>
        <v/>
      </c>
      <c r="F723" s="24" t="str">
        <f aca="false">IF(B723="","",TEXT(B723,"yyyy-mm"))</f>
        <v/>
      </c>
      <c r="G723" s="29"/>
      <c r="H723" s="29"/>
      <c r="I723" s="29"/>
      <c r="J723" s="29"/>
      <c r="K723" s="29"/>
      <c r="L723" s="29"/>
      <c r="M723" s="29"/>
      <c r="N723" s="29"/>
      <c r="O723" s="29"/>
      <c r="P723" s="29"/>
      <c r="Q723" s="30"/>
      <c r="R723" s="29"/>
      <c r="S723" s="32"/>
      <c r="T723" s="29"/>
      <c r="U723" s="29"/>
      <c r="V723" s="24" t="str">
        <f aca="false">IF(A723="","",IFERROR(INDEX(Settings!$F$5:$F$49,MATCH(G723,Settings!$D$5:$D$49,0)),""))</f>
        <v/>
      </c>
      <c r="W723" s="24" t="str">
        <f aca="false">IF(A723="","",IF(OR(P723="",P723="Organic"),"social","paid_social"))</f>
        <v/>
      </c>
      <c r="X723" s="24" t="str">
        <f aca="false">IF(A723="","",IF(K723&lt;&gt;"",IFERROR(INDEX('Case Studies'!$C$5:$C$54,MATCH(K723,'Case Studies'!$B$5:$B$54,0))&amp;"","case-study"),IF(J723&lt;&gt;"",IFERROR(INDEX(Settings!$J$5:$J$55,MATCH(J723,Settings!$I$5:$I$55,0)),"general"),"general")))</f>
        <v/>
      </c>
      <c r="Y723" s="24" t="str">
        <f aca="false">IF(A723="","",LOWER(A723))</f>
        <v/>
      </c>
      <c r="Z723" s="24" t="str">
        <f aca="false">IF(A723="","",IF(T723="",Settings!$B$5,T723)&amp;IF(ISNUMBER(FIND("?",IF(T723="",Settings!$B$5,T723))),"&amp;","?")&amp;"utm_source="&amp;V723&amp;"&amp;utm_medium="&amp;W723&amp;"&amp;utm_campaign="&amp;X723&amp;"&amp;utm_content="&amp;Y723)</f>
        <v/>
      </c>
      <c r="AA723" s="29"/>
      <c r="AB723" s="39"/>
      <c r="AC723" s="32"/>
      <c r="AD723" s="32"/>
      <c r="AE723" s="32"/>
      <c r="AF723" s="32"/>
      <c r="AG723" s="32"/>
      <c r="AH723" s="32"/>
      <c r="AI723" s="32"/>
      <c r="AJ723" s="32"/>
      <c r="AK723" s="32"/>
      <c r="AL723" s="32"/>
      <c r="AM723" s="32"/>
      <c r="AN723" s="32"/>
      <c r="AO723" s="33" t="str">
        <f aca="false">IF(A723="","",IF(AD723&lt;&gt;"",AD723,IF(AC723&lt;&gt;"",AC723,"")))</f>
        <v/>
      </c>
      <c r="AP723" s="24" t="str">
        <f aca="false">IF(AO723="","",IF(AD723&lt;&gt;"","Reported reach","Impressions (proxy)"))</f>
        <v/>
      </c>
      <c r="AQ723" s="34" t="str">
        <f aca="false">IF(OR(AO723="",N(S723)=0),"",AO723/S723)</f>
        <v/>
      </c>
      <c r="AR723" s="33" t="str">
        <f aca="false">IF(A723="","",IF(COUNT(AF723:AJ723)=0,"",SUM(AF723:AJ723)))</f>
        <v/>
      </c>
      <c r="AS723" s="34" t="str">
        <f aca="false">IF(OR(AR723="",N(AO723)=0),"",AR723/AO723)</f>
        <v/>
      </c>
      <c r="AT723" s="34" t="str">
        <f aca="false">IF(OR(AR723="",N(AC723)=0),"",AR723/AC723)</f>
        <v/>
      </c>
      <c r="AU723" s="34" t="str">
        <f aca="false">IF(OR(AR723="",N(S723)=0),"",AR723/S723)</f>
        <v/>
      </c>
      <c r="AV723" s="34" t="str">
        <f aca="false">IF(OR(AJ723="",N(AC723)=0),"",AJ723/AC723)</f>
        <v/>
      </c>
      <c r="AW723" s="34" t="str">
        <f aca="false">IF(OR(AH723="",N(AO723)=0),"",AH723/AO723)</f>
        <v/>
      </c>
      <c r="AX723" s="35" t="str">
        <f aca="false">IF(OR(AR723="",N(AO723)=0),"",(N(AF723)*Settings!$B$6+N(AG723)*Settings!$B$7+N(AH723)*Settings!$B$8+N(AI723)*Settings!$B$9+N(AJ723)*Settings!$B$10)/AO723*1000)</f>
        <v/>
      </c>
      <c r="AY723" s="36" t="str">
        <f aca="false">IF(AS723="","",IFERROR(AS723/AVERAGEIFS('Post Tracker'!$AS$5:$AS$1004,'Post Tracker'!$G$5:$G$1004,G723),""))</f>
        <v/>
      </c>
      <c r="AZ723" s="32"/>
      <c r="BA723" s="32"/>
      <c r="BB723" s="32"/>
      <c r="BC723" s="32"/>
      <c r="BD723" s="33" t="str">
        <f aca="false">IF(A723="","",COUNTIFS('Demo Pipeline'!$Q$5:$Q$504,A723))</f>
        <v/>
      </c>
      <c r="BE723" s="33" t="str">
        <f aca="false">IF(A723="","",COUNTIFS('Demo Pipeline'!$Q$5:$Q$504,A723,'Demo Pipeline'!$W$5:$W$504,"Attended"))</f>
        <v/>
      </c>
      <c r="BF723" s="33" t="str">
        <f aca="false">IF(A723="","",COUNTIFS('Demo Pipeline'!$Q$5:$Q$504,A723,'Demo Pipeline'!$X$5:$X$504,"Yes"))</f>
        <v/>
      </c>
      <c r="BG723" s="33" t="str">
        <f aca="false">IF(A723="","",COUNTIFS('Demo Pipeline'!$Q$5:$Q$504,A723,'Demo Pipeline'!$Y$5:$Y$504,"Closed Won"))</f>
        <v/>
      </c>
      <c r="BH723" s="37" t="str">
        <f aca="false">IF(A723="","",SUMIFS('Demo Pipeline'!$Z$5:$Z$504,'Demo Pipeline'!$Q$5:$Q$504,A723))</f>
        <v/>
      </c>
      <c r="BI723" s="34" t="str">
        <f aca="false">IF(OR(AZ723="",N(AJ723)=0),"",AZ723/AJ723)</f>
        <v/>
      </c>
      <c r="BJ723" s="34" t="str">
        <f aca="false">IF(OR(BB723="",N(AZ723)=0),"",BB723/AZ723)</f>
        <v/>
      </c>
      <c r="BK723" s="34" t="str">
        <f aca="false">IF(OR(A723="",N(BB723)=0),"",BD723/BB723)</f>
        <v/>
      </c>
      <c r="BL723" s="34" t="str">
        <f aca="false">IF(OR(A723="",N(AZ723)=0),"",BD723/AZ723)</f>
        <v/>
      </c>
      <c r="BM723" s="37" t="str">
        <f aca="false">IF(OR(N(Q723)=0,N(BD723)=0),"",Q723/BD723)</f>
        <v/>
      </c>
      <c r="BN723" s="29"/>
      <c r="BO723" s="29"/>
      <c r="BP723" s="33" t="str">
        <f aca="false">IF(OR(AR723="",N(AO723)=0),"",AR723)</f>
        <v/>
      </c>
      <c r="BQ723" s="33" t="str">
        <f aca="false">IF(OR(AR723="",N(S723)=0),"",S723)</f>
        <v/>
      </c>
      <c r="BR723" s="38" t="str">
        <f aca="false">IF(AND(ISNUMBER(B723),B723&gt;=Dashboard!$C$4,B723&lt;=Dashboard!$F$4,ISNUMBER(AU723)),AU723+ROW()/10^9,"")</f>
        <v/>
      </c>
      <c r="BS723" s="38" t="str">
        <f aca="false">IF(AND(ISNUMBER(B723),B723&gt;=Dashboard!$C$4,B723&lt;=Dashboard!$F$4,A723&lt;&gt;""),N(BD723)+N(AU723)/100+ROW()/10^9,"")</f>
        <v/>
      </c>
    </row>
    <row r="724" customFormat="false" ht="15" hidden="false" customHeight="false" outlineLevel="0" collapsed="false">
      <c r="A724" s="24" t="str">
        <f aca="false">IF(OR(B724="",G724="",H724=""),"",IFERROR(INDEX(Settings!$E$5:$E$49,MATCH(G724,Settings!$D$5:$D$49,0))&amp;INDEX(Settings!$H$5:$H$47,MATCH(H724,Settings!$G$5:$G$47,0))&amp;"-"&amp;TEXT(B724,"yymmdd")&amp;"-"&amp;IF(C724="","0000",TEXT(C724,"hhmm")),"CHECK LISTS"))</f>
        <v/>
      </c>
      <c r="B724" s="39"/>
      <c r="C724" s="40"/>
      <c r="D724" s="24" t="str">
        <f aca="false">IF(B724="","",TEXT(B724,"ddd"))</f>
        <v/>
      </c>
      <c r="E724" s="27" t="str">
        <f aca="false">IF(B724="","",B724-WEEKDAY(B724,3))</f>
        <v/>
      </c>
      <c r="F724" s="24" t="str">
        <f aca="false">IF(B724="","",TEXT(B724,"yyyy-mm"))</f>
        <v/>
      </c>
      <c r="G724" s="29"/>
      <c r="H724" s="29"/>
      <c r="I724" s="29"/>
      <c r="J724" s="29"/>
      <c r="K724" s="29"/>
      <c r="L724" s="29"/>
      <c r="M724" s="29"/>
      <c r="N724" s="29"/>
      <c r="O724" s="29"/>
      <c r="P724" s="29"/>
      <c r="Q724" s="30"/>
      <c r="R724" s="29"/>
      <c r="S724" s="32"/>
      <c r="T724" s="29"/>
      <c r="U724" s="29"/>
      <c r="V724" s="24" t="str">
        <f aca="false">IF(A724="","",IFERROR(INDEX(Settings!$F$5:$F$49,MATCH(G724,Settings!$D$5:$D$49,0)),""))</f>
        <v/>
      </c>
      <c r="W724" s="24" t="str">
        <f aca="false">IF(A724="","",IF(OR(P724="",P724="Organic"),"social","paid_social"))</f>
        <v/>
      </c>
      <c r="X724" s="24" t="str">
        <f aca="false">IF(A724="","",IF(K724&lt;&gt;"",IFERROR(INDEX('Case Studies'!$C$5:$C$54,MATCH(K724,'Case Studies'!$B$5:$B$54,0))&amp;"","case-study"),IF(J724&lt;&gt;"",IFERROR(INDEX(Settings!$J$5:$J$55,MATCH(J724,Settings!$I$5:$I$55,0)),"general"),"general")))</f>
        <v/>
      </c>
      <c r="Y724" s="24" t="str">
        <f aca="false">IF(A724="","",LOWER(A724))</f>
        <v/>
      </c>
      <c r="Z724" s="24" t="str">
        <f aca="false">IF(A724="","",IF(T724="",Settings!$B$5,T724)&amp;IF(ISNUMBER(FIND("?",IF(T724="",Settings!$B$5,T724))),"&amp;","?")&amp;"utm_source="&amp;V724&amp;"&amp;utm_medium="&amp;W724&amp;"&amp;utm_campaign="&amp;X724&amp;"&amp;utm_content="&amp;Y724)</f>
        <v/>
      </c>
      <c r="AA724" s="29"/>
      <c r="AB724" s="39"/>
      <c r="AC724" s="32"/>
      <c r="AD724" s="32"/>
      <c r="AE724" s="32"/>
      <c r="AF724" s="32"/>
      <c r="AG724" s="32"/>
      <c r="AH724" s="32"/>
      <c r="AI724" s="32"/>
      <c r="AJ724" s="32"/>
      <c r="AK724" s="32"/>
      <c r="AL724" s="32"/>
      <c r="AM724" s="32"/>
      <c r="AN724" s="32"/>
      <c r="AO724" s="33" t="str">
        <f aca="false">IF(A724="","",IF(AD724&lt;&gt;"",AD724,IF(AC724&lt;&gt;"",AC724,"")))</f>
        <v/>
      </c>
      <c r="AP724" s="24" t="str">
        <f aca="false">IF(AO724="","",IF(AD724&lt;&gt;"","Reported reach","Impressions (proxy)"))</f>
        <v/>
      </c>
      <c r="AQ724" s="34" t="str">
        <f aca="false">IF(OR(AO724="",N(S724)=0),"",AO724/S724)</f>
        <v/>
      </c>
      <c r="AR724" s="33" t="str">
        <f aca="false">IF(A724="","",IF(COUNT(AF724:AJ724)=0,"",SUM(AF724:AJ724)))</f>
        <v/>
      </c>
      <c r="AS724" s="34" t="str">
        <f aca="false">IF(OR(AR724="",N(AO724)=0),"",AR724/AO724)</f>
        <v/>
      </c>
      <c r="AT724" s="34" t="str">
        <f aca="false">IF(OR(AR724="",N(AC724)=0),"",AR724/AC724)</f>
        <v/>
      </c>
      <c r="AU724" s="34" t="str">
        <f aca="false">IF(OR(AR724="",N(S724)=0),"",AR724/S724)</f>
        <v/>
      </c>
      <c r="AV724" s="34" t="str">
        <f aca="false">IF(OR(AJ724="",N(AC724)=0),"",AJ724/AC724)</f>
        <v/>
      </c>
      <c r="AW724" s="34" t="str">
        <f aca="false">IF(OR(AH724="",N(AO724)=0),"",AH724/AO724)</f>
        <v/>
      </c>
      <c r="AX724" s="35" t="str">
        <f aca="false">IF(OR(AR724="",N(AO724)=0),"",(N(AF724)*Settings!$B$6+N(AG724)*Settings!$B$7+N(AH724)*Settings!$B$8+N(AI724)*Settings!$B$9+N(AJ724)*Settings!$B$10)/AO724*1000)</f>
        <v/>
      </c>
      <c r="AY724" s="36" t="str">
        <f aca="false">IF(AS724="","",IFERROR(AS724/AVERAGEIFS('Post Tracker'!$AS$5:$AS$1004,'Post Tracker'!$G$5:$G$1004,G724),""))</f>
        <v/>
      </c>
      <c r="AZ724" s="32"/>
      <c r="BA724" s="32"/>
      <c r="BB724" s="32"/>
      <c r="BC724" s="32"/>
      <c r="BD724" s="33" t="str">
        <f aca="false">IF(A724="","",COUNTIFS('Demo Pipeline'!$Q$5:$Q$504,A724))</f>
        <v/>
      </c>
      <c r="BE724" s="33" t="str">
        <f aca="false">IF(A724="","",COUNTIFS('Demo Pipeline'!$Q$5:$Q$504,A724,'Demo Pipeline'!$W$5:$W$504,"Attended"))</f>
        <v/>
      </c>
      <c r="BF724" s="33" t="str">
        <f aca="false">IF(A724="","",COUNTIFS('Demo Pipeline'!$Q$5:$Q$504,A724,'Demo Pipeline'!$X$5:$X$504,"Yes"))</f>
        <v/>
      </c>
      <c r="BG724" s="33" t="str">
        <f aca="false">IF(A724="","",COUNTIFS('Demo Pipeline'!$Q$5:$Q$504,A724,'Demo Pipeline'!$Y$5:$Y$504,"Closed Won"))</f>
        <v/>
      </c>
      <c r="BH724" s="37" t="str">
        <f aca="false">IF(A724="","",SUMIFS('Demo Pipeline'!$Z$5:$Z$504,'Demo Pipeline'!$Q$5:$Q$504,A724))</f>
        <v/>
      </c>
      <c r="BI724" s="34" t="str">
        <f aca="false">IF(OR(AZ724="",N(AJ724)=0),"",AZ724/AJ724)</f>
        <v/>
      </c>
      <c r="BJ724" s="34" t="str">
        <f aca="false">IF(OR(BB724="",N(AZ724)=0),"",BB724/AZ724)</f>
        <v/>
      </c>
      <c r="BK724" s="34" t="str">
        <f aca="false">IF(OR(A724="",N(BB724)=0),"",BD724/BB724)</f>
        <v/>
      </c>
      <c r="BL724" s="34" t="str">
        <f aca="false">IF(OR(A724="",N(AZ724)=0),"",BD724/AZ724)</f>
        <v/>
      </c>
      <c r="BM724" s="37" t="str">
        <f aca="false">IF(OR(N(Q724)=0,N(BD724)=0),"",Q724/BD724)</f>
        <v/>
      </c>
      <c r="BN724" s="29"/>
      <c r="BO724" s="29"/>
      <c r="BP724" s="33" t="str">
        <f aca="false">IF(OR(AR724="",N(AO724)=0),"",AR724)</f>
        <v/>
      </c>
      <c r="BQ724" s="33" t="str">
        <f aca="false">IF(OR(AR724="",N(S724)=0),"",S724)</f>
        <v/>
      </c>
      <c r="BR724" s="38" t="str">
        <f aca="false">IF(AND(ISNUMBER(B724),B724&gt;=Dashboard!$C$4,B724&lt;=Dashboard!$F$4,ISNUMBER(AU724)),AU724+ROW()/10^9,"")</f>
        <v/>
      </c>
      <c r="BS724" s="38" t="str">
        <f aca="false">IF(AND(ISNUMBER(B724),B724&gt;=Dashboard!$C$4,B724&lt;=Dashboard!$F$4,A724&lt;&gt;""),N(BD724)+N(AU724)/100+ROW()/10^9,"")</f>
        <v/>
      </c>
    </row>
    <row r="725" customFormat="false" ht="15" hidden="false" customHeight="false" outlineLevel="0" collapsed="false">
      <c r="A725" s="24" t="str">
        <f aca="false">IF(OR(B725="",G725="",H725=""),"",IFERROR(INDEX(Settings!$E$5:$E$49,MATCH(G725,Settings!$D$5:$D$49,0))&amp;INDEX(Settings!$H$5:$H$47,MATCH(H725,Settings!$G$5:$G$47,0))&amp;"-"&amp;TEXT(B725,"yymmdd")&amp;"-"&amp;IF(C725="","0000",TEXT(C725,"hhmm")),"CHECK LISTS"))</f>
        <v/>
      </c>
      <c r="B725" s="39"/>
      <c r="C725" s="40"/>
      <c r="D725" s="24" t="str">
        <f aca="false">IF(B725="","",TEXT(B725,"ddd"))</f>
        <v/>
      </c>
      <c r="E725" s="27" t="str">
        <f aca="false">IF(B725="","",B725-WEEKDAY(B725,3))</f>
        <v/>
      </c>
      <c r="F725" s="24" t="str">
        <f aca="false">IF(B725="","",TEXT(B725,"yyyy-mm"))</f>
        <v/>
      </c>
      <c r="G725" s="29"/>
      <c r="H725" s="29"/>
      <c r="I725" s="29"/>
      <c r="J725" s="29"/>
      <c r="K725" s="29"/>
      <c r="L725" s="29"/>
      <c r="M725" s="29"/>
      <c r="N725" s="29"/>
      <c r="O725" s="29"/>
      <c r="P725" s="29"/>
      <c r="Q725" s="30"/>
      <c r="R725" s="29"/>
      <c r="S725" s="32"/>
      <c r="T725" s="29"/>
      <c r="U725" s="29"/>
      <c r="V725" s="24" t="str">
        <f aca="false">IF(A725="","",IFERROR(INDEX(Settings!$F$5:$F$49,MATCH(G725,Settings!$D$5:$D$49,0)),""))</f>
        <v/>
      </c>
      <c r="W725" s="24" t="str">
        <f aca="false">IF(A725="","",IF(OR(P725="",P725="Organic"),"social","paid_social"))</f>
        <v/>
      </c>
      <c r="X725" s="24" t="str">
        <f aca="false">IF(A725="","",IF(K725&lt;&gt;"",IFERROR(INDEX('Case Studies'!$C$5:$C$54,MATCH(K725,'Case Studies'!$B$5:$B$54,0))&amp;"","case-study"),IF(J725&lt;&gt;"",IFERROR(INDEX(Settings!$J$5:$J$55,MATCH(J725,Settings!$I$5:$I$55,0)),"general"),"general")))</f>
        <v/>
      </c>
      <c r="Y725" s="24" t="str">
        <f aca="false">IF(A725="","",LOWER(A725))</f>
        <v/>
      </c>
      <c r="Z725" s="24" t="str">
        <f aca="false">IF(A725="","",IF(T725="",Settings!$B$5,T725)&amp;IF(ISNUMBER(FIND("?",IF(T725="",Settings!$B$5,T725))),"&amp;","?")&amp;"utm_source="&amp;V725&amp;"&amp;utm_medium="&amp;W725&amp;"&amp;utm_campaign="&amp;X725&amp;"&amp;utm_content="&amp;Y725)</f>
        <v/>
      </c>
      <c r="AA725" s="29"/>
      <c r="AB725" s="39"/>
      <c r="AC725" s="32"/>
      <c r="AD725" s="32"/>
      <c r="AE725" s="32"/>
      <c r="AF725" s="32"/>
      <c r="AG725" s="32"/>
      <c r="AH725" s="32"/>
      <c r="AI725" s="32"/>
      <c r="AJ725" s="32"/>
      <c r="AK725" s="32"/>
      <c r="AL725" s="32"/>
      <c r="AM725" s="32"/>
      <c r="AN725" s="32"/>
      <c r="AO725" s="33" t="str">
        <f aca="false">IF(A725="","",IF(AD725&lt;&gt;"",AD725,IF(AC725&lt;&gt;"",AC725,"")))</f>
        <v/>
      </c>
      <c r="AP725" s="24" t="str">
        <f aca="false">IF(AO725="","",IF(AD725&lt;&gt;"","Reported reach","Impressions (proxy)"))</f>
        <v/>
      </c>
      <c r="AQ725" s="34" t="str">
        <f aca="false">IF(OR(AO725="",N(S725)=0),"",AO725/S725)</f>
        <v/>
      </c>
      <c r="AR725" s="33" t="str">
        <f aca="false">IF(A725="","",IF(COUNT(AF725:AJ725)=0,"",SUM(AF725:AJ725)))</f>
        <v/>
      </c>
      <c r="AS725" s="34" t="str">
        <f aca="false">IF(OR(AR725="",N(AO725)=0),"",AR725/AO725)</f>
        <v/>
      </c>
      <c r="AT725" s="34" t="str">
        <f aca="false">IF(OR(AR725="",N(AC725)=0),"",AR725/AC725)</f>
        <v/>
      </c>
      <c r="AU725" s="34" t="str">
        <f aca="false">IF(OR(AR725="",N(S725)=0),"",AR725/S725)</f>
        <v/>
      </c>
      <c r="AV725" s="34" t="str">
        <f aca="false">IF(OR(AJ725="",N(AC725)=0),"",AJ725/AC725)</f>
        <v/>
      </c>
      <c r="AW725" s="34" t="str">
        <f aca="false">IF(OR(AH725="",N(AO725)=0),"",AH725/AO725)</f>
        <v/>
      </c>
      <c r="AX725" s="35" t="str">
        <f aca="false">IF(OR(AR725="",N(AO725)=0),"",(N(AF725)*Settings!$B$6+N(AG725)*Settings!$B$7+N(AH725)*Settings!$B$8+N(AI725)*Settings!$B$9+N(AJ725)*Settings!$B$10)/AO725*1000)</f>
        <v/>
      </c>
      <c r="AY725" s="36" t="str">
        <f aca="false">IF(AS725="","",IFERROR(AS725/AVERAGEIFS('Post Tracker'!$AS$5:$AS$1004,'Post Tracker'!$G$5:$G$1004,G725),""))</f>
        <v/>
      </c>
      <c r="AZ725" s="32"/>
      <c r="BA725" s="32"/>
      <c r="BB725" s="32"/>
      <c r="BC725" s="32"/>
      <c r="BD725" s="33" t="str">
        <f aca="false">IF(A725="","",COUNTIFS('Demo Pipeline'!$Q$5:$Q$504,A725))</f>
        <v/>
      </c>
      <c r="BE725" s="33" t="str">
        <f aca="false">IF(A725="","",COUNTIFS('Demo Pipeline'!$Q$5:$Q$504,A725,'Demo Pipeline'!$W$5:$W$504,"Attended"))</f>
        <v/>
      </c>
      <c r="BF725" s="33" t="str">
        <f aca="false">IF(A725="","",COUNTIFS('Demo Pipeline'!$Q$5:$Q$504,A725,'Demo Pipeline'!$X$5:$X$504,"Yes"))</f>
        <v/>
      </c>
      <c r="BG725" s="33" t="str">
        <f aca="false">IF(A725="","",COUNTIFS('Demo Pipeline'!$Q$5:$Q$504,A725,'Demo Pipeline'!$Y$5:$Y$504,"Closed Won"))</f>
        <v/>
      </c>
      <c r="BH725" s="37" t="str">
        <f aca="false">IF(A725="","",SUMIFS('Demo Pipeline'!$Z$5:$Z$504,'Demo Pipeline'!$Q$5:$Q$504,A725))</f>
        <v/>
      </c>
      <c r="BI725" s="34" t="str">
        <f aca="false">IF(OR(AZ725="",N(AJ725)=0),"",AZ725/AJ725)</f>
        <v/>
      </c>
      <c r="BJ725" s="34" t="str">
        <f aca="false">IF(OR(BB725="",N(AZ725)=0),"",BB725/AZ725)</f>
        <v/>
      </c>
      <c r="BK725" s="34" t="str">
        <f aca="false">IF(OR(A725="",N(BB725)=0),"",BD725/BB725)</f>
        <v/>
      </c>
      <c r="BL725" s="34" t="str">
        <f aca="false">IF(OR(A725="",N(AZ725)=0),"",BD725/AZ725)</f>
        <v/>
      </c>
      <c r="BM725" s="37" t="str">
        <f aca="false">IF(OR(N(Q725)=0,N(BD725)=0),"",Q725/BD725)</f>
        <v/>
      </c>
      <c r="BN725" s="29"/>
      <c r="BO725" s="29"/>
      <c r="BP725" s="33" t="str">
        <f aca="false">IF(OR(AR725="",N(AO725)=0),"",AR725)</f>
        <v/>
      </c>
      <c r="BQ725" s="33" t="str">
        <f aca="false">IF(OR(AR725="",N(S725)=0),"",S725)</f>
        <v/>
      </c>
      <c r="BR725" s="38" t="str">
        <f aca="false">IF(AND(ISNUMBER(B725),B725&gt;=Dashboard!$C$4,B725&lt;=Dashboard!$F$4,ISNUMBER(AU725)),AU725+ROW()/10^9,"")</f>
        <v/>
      </c>
      <c r="BS725" s="38" t="str">
        <f aca="false">IF(AND(ISNUMBER(B725),B725&gt;=Dashboard!$C$4,B725&lt;=Dashboard!$F$4,A725&lt;&gt;""),N(BD725)+N(AU725)/100+ROW()/10^9,"")</f>
        <v/>
      </c>
    </row>
    <row r="726" customFormat="false" ht="15" hidden="false" customHeight="false" outlineLevel="0" collapsed="false">
      <c r="A726" s="24" t="str">
        <f aca="false">IF(OR(B726="",G726="",H726=""),"",IFERROR(INDEX(Settings!$E$5:$E$49,MATCH(G726,Settings!$D$5:$D$49,0))&amp;INDEX(Settings!$H$5:$H$47,MATCH(H726,Settings!$G$5:$G$47,0))&amp;"-"&amp;TEXT(B726,"yymmdd")&amp;"-"&amp;IF(C726="","0000",TEXT(C726,"hhmm")),"CHECK LISTS"))</f>
        <v/>
      </c>
      <c r="B726" s="39"/>
      <c r="C726" s="40"/>
      <c r="D726" s="24" t="str">
        <f aca="false">IF(B726="","",TEXT(B726,"ddd"))</f>
        <v/>
      </c>
      <c r="E726" s="27" t="str">
        <f aca="false">IF(B726="","",B726-WEEKDAY(B726,3))</f>
        <v/>
      </c>
      <c r="F726" s="24" t="str">
        <f aca="false">IF(B726="","",TEXT(B726,"yyyy-mm"))</f>
        <v/>
      </c>
      <c r="G726" s="29"/>
      <c r="H726" s="29"/>
      <c r="I726" s="29"/>
      <c r="J726" s="29"/>
      <c r="K726" s="29"/>
      <c r="L726" s="29"/>
      <c r="M726" s="29"/>
      <c r="N726" s="29"/>
      <c r="O726" s="29"/>
      <c r="P726" s="29"/>
      <c r="Q726" s="30"/>
      <c r="R726" s="29"/>
      <c r="S726" s="32"/>
      <c r="T726" s="29"/>
      <c r="U726" s="29"/>
      <c r="V726" s="24" t="str">
        <f aca="false">IF(A726="","",IFERROR(INDEX(Settings!$F$5:$F$49,MATCH(G726,Settings!$D$5:$D$49,0)),""))</f>
        <v/>
      </c>
      <c r="W726" s="24" t="str">
        <f aca="false">IF(A726="","",IF(OR(P726="",P726="Organic"),"social","paid_social"))</f>
        <v/>
      </c>
      <c r="X726" s="24" t="str">
        <f aca="false">IF(A726="","",IF(K726&lt;&gt;"",IFERROR(INDEX('Case Studies'!$C$5:$C$54,MATCH(K726,'Case Studies'!$B$5:$B$54,0))&amp;"","case-study"),IF(J726&lt;&gt;"",IFERROR(INDEX(Settings!$J$5:$J$55,MATCH(J726,Settings!$I$5:$I$55,0)),"general"),"general")))</f>
        <v/>
      </c>
      <c r="Y726" s="24" t="str">
        <f aca="false">IF(A726="","",LOWER(A726))</f>
        <v/>
      </c>
      <c r="Z726" s="24" t="str">
        <f aca="false">IF(A726="","",IF(T726="",Settings!$B$5,T726)&amp;IF(ISNUMBER(FIND("?",IF(T726="",Settings!$B$5,T726))),"&amp;","?")&amp;"utm_source="&amp;V726&amp;"&amp;utm_medium="&amp;W726&amp;"&amp;utm_campaign="&amp;X726&amp;"&amp;utm_content="&amp;Y726)</f>
        <v/>
      </c>
      <c r="AA726" s="29"/>
      <c r="AB726" s="39"/>
      <c r="AC726" s="32"/>
      <c r="AD726" s="32"/>
      <c r="AE726" s="32"/>
      <c r="AF726" s="32"/>
      <c r="AG726" s="32"/>
      <c r="AH726" s="32"/>
      <c r="AI726" s="32"/>
      <c r="AJ726" s="32"/>
      <c r="AK726" s="32"/>
      <c r="AL726" s="32"/>
      <c r="AM726" s="32"/>
      <c r="AN726" s="32"/>
      <c r="AO726" s="33" t="str">
        <f aca="false">IF(A726="","",IF(AD726&lt;&gt;"",AD726,IF(AC726&lt;&gt;"",AC726,"")))</f>
        <v/>
      </c>
      <c r="AP726" s="24" t="str">
        <f aca="false">IF(AO726="","",IF(AD726&lt;&gt;"","Reported reach","Impressions (proxy)"))</f>
        <v/>
      </c>
      <c r="AQ726" s="34" t="str">
        <f aca="false">IF(OR(AO726="",N(S726)=0),"",AO726/S726)</f>
        <v/>
      </c>
      <c r="AR726" s="33" t="str">
        <f aca="false">IF(A726="","",IF(COUNT(AF726:AJ726)=0,"",SUM(AF726:AJ726)))</f>
        <v/>
      </c>
      <c r="AS726" s="34" t="str">
        <f aca="false">IF(OR(AR726="",N(AO726)=0),"",AR726/AO726)</f>
        <v/>
      </c>
      <c r="AT726" s="34" t="str">
        <f aca="false">IF(OR(AR726="",N(AC726)=0),"",AR726/AC726)</f>
        <v/>
      </c>
      <c r="AU726" s="34" t="str">
        <f aca="false">IF(OR(AR726="",N(S726)=0),"",AR726/S726)</f>
        <v/>
      </c>
      <c r="AV726" s="34" t="str">
        <f aca="false">IF(OR(AJ726="",N(AC726)=0),"",AJ726/AC726)</f>
        <v/>
      </c>
      <c r="AW726" s="34" t="str">
        <f aca="false">IF(OR(AH726="",N(AO726)=0),"",AH726/AO726)</f>
        <v/>
      </c>
      <c r="AX726" s="35" t="str">
        <f aca="false">IF(OR(AR726="",N(AO726)=0),"",(N(AF726)*Settings!$B$6+N(AG726)*Settings!$B$7+N(AH726)*Settings!$B$8+N(AI726)*Settings!$B$9+N(AJ726)*Settings!$B$10)/AO726*1000)</f>
        <v/>
      </c>
      <c r="AY726" s="36" t="str">
        <f aca="false">IF(AS726="","",IFERROR(AS726/AVERAGEIFS('Post Tracker'!$AS$5:$AS$1004,'Post Tracker'!$G$5:$G$1004,G726),""))</f>
        <v/>
      </c>
      <c r="AZ726" s="32"/>
      <c r="BA726" s="32"/>
      <c r="BB726" s="32"/>
      <c r="BC726" s="32"/>
      <c r="BD726" s="33" t="str">
        <f aca="false">IF(A726="","",COUNTIFS('Demo Pipeline'!$Q$5:$Q$504,A726))</f>
        <v/>
      </c>
      <c r="BE726" s="33" t="str">
        <f aca="false">IF(A726="","",COUNTIFS('Demo Pipeline'!$Q$5:$Q$504,A726,'Demo Pipeline'!$W$5:$W$504,"Attended"))</f>
        <v/>
      </c>
      <c r="BF726" s="33" t="str">
        <f aca="false">IF(A726="","",COUNTIFS('Demo Pipeline'!$Q$5:$Q$504,A726,'Demo Pipeline'!$X$5:$X$504,"Yes"))</f>
        <v/>
      </c>
      <c r="BG726" s="33" t="str">
        <f aca="false">IF(A726="","",COUNTIFS('Demo Pipeline'!$Q$5:$Q$504,A726,'Demo Pipeline'!$Y$5:$Y$504,"Closed Won"))</f>
        <v/>
      </c>
      <c r="BH726" s="37" t="str">
        <f aca="false">IF(A726="","",SUMIFS('Demo Pipeline'!$Z$5:$Z$504,'Demo Pipeline'!$Q$5:$Q$504,A726))</f>
        <v/>
      </c>
      <c r="BI726" s="34" t="str">
        <f aca="false">IF(OR(AZ726="",N(AJ726)=0),"",AZ726/AJ726)</f>
        <v/>
      </c>
      <c r="BJ726" s="34" t="str">
        <f aca="false">IF(OR(BB726="",N(AZ726)=0),"",BB726/AZ726)</f>
        <v/>
      </c>
      <c r="BK726" s="34" t="str">
        <f aca="false">IF(OR(A726="",N(BB726)=0),"",BD726/BB726)</f>
        <v/>
      </c>
      <c r="BL726" s="34" t="str">
        <f aca="false">IF(OR(A726="",N(AZ726)=0),"",BD726/AZ726)</f>
        <v/>
      </c>
      <c r="BM726" s="37" t="str">
        <f aca="false">IF(OR(N(Q726)=0,N(BD726)=0),"",Q726/BD726)</f>
        <v/>
      </c>
      <c r="BN726" s="29"/>
      <c r="BO726" s="29"/>
      <c r="BP726" s="33" t="str">
        <f aca="false">IF(OR(AR726="",N(AO726)=0),"",AR726)</f>
        <v/>
      </c>
      <c r="BQ726" s="33" t="str">
        <f aca="false">IF(OR(AR726="",N(S726)=0),"",S726)</f>
        <v/>
      </c>
      <c r="BR726" s="38" t="str">
        <f aca="false">IF(AND(ISNUMBER(B726),B726&gt;=Dashboard!$C$4,B726&lt;=Dashboard!$F$4,ISNUMBER(AU726)),AU726+ROW()/10^9,"")</f>
        <v/>
      </c>
      <c r="BS726" s="38" t="str">
        <f aca="false">IF(AND(ISNUMBER(B726),B726&gt;=Dashboard!$C$4,B726&lt;=Dashboard!$F$4,A726&lt;&gt;""),N(BD726)+N(AU726)/100+ROW()/10^9,"")</f>
        <v/>
      </c>
    </row>
    <row r="727" customFormat="false" ht="15" hidden="false" customHeight="false" outlineLevel="0" collapsed="false">
      <c r="A727" s="24" t="str">
        <f aca="false">IF(OR(B727="",G727="",H727=""),"",IFERROR(INDEX(Settings!$E$5:$E$49,MATCH(G727,Settings!$D$5:$D$49,0))&amp;INDEX(Settings!$H$5:$H$47,MATCH(H727,Settings!$G$5:$G$47,0))&amp;"-"&amp;TEXT(B727,"yymmdd")&amp;"-"&amp;IF(C727="","0000",TEXT(C727,"hhmm")),"CHECK LISTS"))</f>
        <v/>
      </c>
      <c r="B727" s="39"/>
      <c r="C727" s="40"/>
      <c r="D727" s="24" t="str">
        <f aca="false">IF(B727="","",TEXT(B727,"ddd"))</f>
        <v/>
      </c>
      <c r="E727" s="27" t="str">
        <f aca="false">IF(B727="","",B727-WEEKDAY(B727,3))</f>
        <v/>
      </c>
      <c r="F727" s="24" t="str">
        <f aca="false">IF(B727="","",TEXT(B727,"yyyy-mm"))</f>
        <v/>
      </c>
      <c r="G727" s="29"/>
      <c r="H727" s="29"/>
      <c r="I727" s="29"/>
      <c r="J727" s="29"/>
      <c r="K727" s="29"/>
      <c r="L727" s="29"/>
      <c r="M727" s="29"/>
      <c r="N727" s="29"/>
      <c r="O727" s="29"/>
      <c r="P727" s="29"/>
      <c r="Q727" s="30"/>
      <c r="R727" s="29"/>
      <c r="S727" s="32"/>
      <c r="T727" s="29"/>
      <c r="U727" s="29"/>
      <c r="V727" s="24" t="str">
        <f aca="false">IF(A727="","",IFERROR(INDEX(Settings!$F$5:$F$49,MATCH(G727,Settings!$D$5:$D$49,0)),""))</f>
        <v/>
      </c>
      <c r="W727" s="24" t="str">
        <f aca="false">IF(A727="","",IF(OR(P727="",P727="Organic"),"social","paid_social"))</f>
        <v/>
      </c>
      <c r="X727" s="24" t="str">
        <f aca="false">IF(A727="","",IF(K727&lt;&gt;"",IFERROR(INDEX('Case Studies'!$C$5:$C$54,MATCH(K727,'Case Studies'!$B$5:$B$54,0))&amp;"","case-study"),IF(J727&lt;&gt;"",IFERROR(INDEX(Settings!$J$5:$J$55,MATCH(J727,Settings!$I$5:$I$55,0)),"general"),"general")))</f>
        <v/>
      </c>
      <c r="Y727" s="24" t="str">
        <f aca="false">IF(A727="","",LOWER(A727))</f>
        <v/>
      </c>
      <c r="Z727" s="24" t="str">
        <f aca="false">IF(A727="","",IF(T727="",Settings!$B$5,T727)&amp;IF(ISNUMBER(FIND("?",IF(T727="",Settings!$B$5,T727))),"&amp;","?")&amp;"utm_source="&amp;V727&amp;"&amp;utm_medium="&amp;W727&amp;"&amp;utm_campaign="&amp;X727&amp;"&amp;utm_content="&amp;Y727)</f>
        <v/>
      </c>
      <c r="AA727" s="29"/>
      <c r="AB727" s="39"/>
      <c r="AC727" s="32"/>
      <c r="AD727" s="32"/>
      <c r="AE727" s="32"/>
      <c r="AF727" s="32"/>
      <c r="AG727" s="32"/>
      <c r="AH727" s="32"/>
      <c r="AI727" s="32"/>
      <c r="AJ727" s="32"/>
      <c r="AK727" s="32"/>
      <c r="AL727" s="32"/>
      <c r="AM727" s="32"/>
      <c r="AN727" s="32"/>
      <c r="AO727" s="33" t="str">
        <f aca="false">IF(A727="","",IF(AD727&lt;&gt;"",AD727,IF(AC727&lt;&gt;"",AC727,"")))</f>
        <v/>
      </c>
      <c r="AP727" s="24" t="str">
        <f aca="false">IF(AO727="","",IF(AD727&lt;&gt;"","Reported reach","Impressions (proxy)"))</f>
        <v/>
      </c>
      <c r="AQ727" s="34" t="str">
        <f aca="false">IF(OR(AO727="",N(S727)=0),"",AO727/S727)</f>
        <v/>
      </c>
      <c r="AR727" s="33" t="str">
        <f aca="false">IF(A727="","",IF(COUNT(AF727:AJ727)=0,"",SUM(AF727:AJ727)))</f>
        <v/>
      </c>
      <c r="AS727" s="34" t="str">
        <f aca="false">IF(OR(AR727="",N(AO727)=0),"",AR727/AO727)</f>
        <v/>
      </c>
      <c r="AT727" s="34" t="str">
        <f aca="false">IF(OR(AR727="",N(AC727)=0),"",AR727/AC727)</f>
        <v/>
      </c>
      <c r="AU727" s="34" t="str">
        <f aca="false">IF(OR(AR727="",N(S727)=0),"",AR727/S727)</f>
        <v/>
      </c>
      <c r="AV727" s="34" t="str">
        <f aca="false">IF(OR(AJ727="",N(AC727)=0),"",AJ727/AC727)</f>
        <v/>
      </c>
      <c r="AW727" s="34" t="str">
        <f aca="false">IF(OR(AH727="",N(AO727)=0),"",AH727/AO727)</f>
        <v/>
      </c>
      <c r="AX727" s="35" t="str">
        <f aca="false">IF(OR(AR727="",N(AO727)=0),"",(N(AF727)*Settings!$B$6+N(AG727)*Settings!$B$7+N(AH727)*Settings!$B$8+N(AI727)*Settings!$B$9+N(AJ727)*Settings!$B$10)/AO727*1000)</f>
        <v/>
      </c>
      <c r="AY727" s="36" t="str">
        <f aca="false">IF(AS727="","",IFERROR(AS727/AVERAGEIFS('Post Tracker'!$AS$5:$AS$1004,'Post Tracker'!$G$5:$G$1004,G727),""))</f>
        <v/>
      </c>
      <c r="AZ727" s="32"/>
      <c r="BA727" s="32"/>
      <c r="BB727" s="32"/>
      <c r="BC727" s="32"/>
      <c r="BD727" s="33" t="str">
        <f aca="false">IF(A727="","",COUNTIFS('Demo Pipeline'!$Q$5:$Q$504,A727))</f>
        <v/>
      </c>
      <c r="BE727" s="33" t="str">
        <f aca="false">IF(A727="","",COUNTIFS('Demo Pipeline'!$Q$5:$Q$504,A727,'Demo Pipeline'!$W$5:$W$504,"Attended"))</f>
        <v/>
      </c>
      <c r="BF727" s="33" t="str">
        <f aca="false">IF(A727="","",COUNTIFS('Demo Pipeline'!$Q$5:$Q$504,A727,'Demo Pipeline'!$X$5:$X$504,"Yes"))</f>
        <v/>
      </c>
      <c r="BG727" s="33" t="str">
        <f aca="false">IF(A727="","",COUNTIFS('Demo Pipeline'!$Q$5:$Q$504,A727,'Demo Pipeline'!$Y$5:$Y$504,"Closed Won"))</f>
        <v/>
      </c>
      <c r="BH727" s="37" t="str">
        <f aca="false">IF(A727="","",SUMIFS('Demo Pipeline'!$Z$5:$Z$504,'Demo Pipeline'!$Q$5:$Q$504,A727))</f>
        <v/>
      </c>
      <c r="BI727" s="34" t="str">
        <f aca="false">IF(OR(AZ727="",N(AJ727)=0),"",AZ727/AJ727)</f>
        <v/>
      </c>
      <c r="BJ727" s="34" t="str">
        <f aca="false">IF(OR(BB727="",N(AZ727)=0),"",BB727/AZ727)</f>
        <v/>
      </c>
      <c r="BK727" s="34" t="str">
        <f aca="false">IF(OR(A727="",N(BB727)=0),"",BD727/BB727)</f>
        <v/>
      </c>
      <c r="BL727" s="34" t="str">
        <f aca="false">IF(OR(A727="",N(AZ727)=0),"",BD727/AZ727)</f>
        <v/>
      </c>
      <c r="BM727" s="37" t="str">
        <f aca="false">IF(OR(N(Q727)=0,N(BD727)=0),"",Q727/BD727)</f>
        <v/>
      </c>
      <c r="BN727" s="29"/>
      <c r="BO727" s="29"/>
      <c r="BP727" s="33" t="str">
        <f aca="false">IF(OR(AR727="",N(AO727)=0),"",AR727)</f>
        <v/>
      </c>
      <c r="BQ727" s="33" t="str">
        <f aca="false">IF(OR(AR727="",N(S727)=0),"",S727)</f>
        <v/>
      </c>
      <c r="BR727" s="38" t="str">
        <f aca="false">IF(AND(ISNUMBER(B727),B727&gt;=Dashboard!$C$4,B727&lt;=Dashboard!$F$4,ISNUMBER(AU727)),AU727+ROW()/10^9,"")</f>
        <v/>
      </c>
      <c r="BS727" s="38" t="str">
        <f aca="false">IF(AND(ISNUMBER(B727),B727&gt;=Dashboard!$C$4,B727&lt;=Dashboard!$F$4,A727&lt;&gt;""),N(BD727)+N(AU727)/100+ROW()/10^9,"")</f>
        <v/>
      </c>
    </row>
    <row r="728" customFormat="false" ht="15" hidden="false" customHeight="false" outlineLevel="0" collapsed="false">
      <c r="A728" s="24" t="str">
        <f aca="false">IF(OR(B728="",G728="",H728=""),"",IFERROR(INDEX(Settings!$E$5:$E$49,MATCH(G728,Settings!$D$5:$D$49,0))&amp;INDEX(Settings!$H$5:$H$47,MATCH(H728,Settings!$G$5:$G$47,0))&amp;"-"&amp;TEXT(B728,"yymmdd")&amp;"-"&amp;IF(C728="","0000",TEXT(C728,"hhmm")),"CHECK LISTS"))</f>
        <v/>
      </c>
      <c r="B728" s="39"/>
      <c r="C728" s="40"/>
      <c r="D728" s="24" t="str">
        <f aca="false">IF(B728="","",TEXT(B728,"ddd"))</f>
        <v/>
      </c>
      <c r="E728" s="27" t="str">
        <f aca="false">IF(B728="","",B728-WEEKDAY(B728,3))</f>
        <v/>
      </c>
      <c r="F728" s="24" t="str">
        <f aca="false">IF(B728="","",TEXT(B728,"yyyy-mm"))</f>
        <v/>
      </c>
      <c r="G728" s="29"/>
      <c r="H728" s="29"/>
      <c r="I728" s="29"/>
      <c r="J728" s="29"/>
      <c r="K728" s="29"/>
      <c r="L728" s="29"/>
      <c r="M728" s="29"/>
      <c r="N728" s="29"/>
      <c r="O728" s="29"/>
      <c r="P728" s="29"/>
      <c r="Q728" s="30"/>
      <c r="R728" s="29"/>
      <c r="S728" s="32"/>
      <c r="T728" s="29"/>
      <c r="U728" s="29"/>
      <c r="V728" s="24" t="str">
        <f aca="false">IF(A728="","",IFERROR(INDEX(Settings!$F$5:$F$49,MATCH(G728,Settings!$D$5:$D$49,0)),""))</f>
        <v/>
      </c>
      <c r="W728" s="24" t="str">
        <f aca="false">IF(A728="","",IF(OR(P728="",P728="Organic"),"social","paid_social"))</f>
        <v/>
      </c>
      <c r="X728" s="24" t="str">
        <f aca="false">IF(A728="","",IF(K728&lt;&gt;"",IFERROR(INDEX('Case Studies'!$C$5:$C$54,MATCH(K728,'Case Studies'!$B$5:$B$54,0))&amp;"","case-study"),IF(J728&lt;&gt;"",IFERROR(INDEX(Settings!$J$5:$J$55,MATCH(J728,Settings!$I$5:$I$55,0)),"general"),"general")))</f>
        <v/>
      </c>
      <c r="Y728" s="24" t="str">
        <f aca="false">IF(A728="","",LOWER(A728))</f>
        <v/>
      </c>
      <c r="Z728" s="24" t="str">
        <f aca="false">IF(A728="","",IF(T728="",Settings!$B$5,T728)&amp;IF(ISNUMBER(FIND("?",IF(T728="",Settings!$B$5,T728))),"&amp;","?")&amp;"utm_source="&amp;V728&amp;"&amp;utm_medium="&amp;W728&amp;"&amp;utm_campaign="&amp;X728&amp;"&amp;utm_content="&amp;Y728)</f>
        <v/>
      </c>
      <c r="AA728" s="29"/>
      <c r="AB728" s="39"/>
      <c r="AC728" s="32"/>
      <c r="AD728" s="32"/>
      <c r="AE728" s="32"/>
      <c r="AF728" s="32"/>
      <c r="AG728" s="32"/>
      <c r="AH728" s="32"/>
      <c r="AI728" s="32"/>
      <c r="AJ728" s="32"/>
      <c r="AK728" s="32"/>
      <c r="AL728" s="32"/>
      <c r="AM728" s="32"/>
      <c r="AN728" s="32"/>
      <c r="AO728" s="33" t="str">
        <f aca="false">IF(A728="","",IF(AD728&lt;&gt;"",AD728,IF(AC728&lt;&gt;"",AC728,"")))</f>
        <v/>
      </c>
      <c r="AP728" s="24" t="str">
        <f aca="false">IF(AO728="","",IF(AD728&lt;&gt;"","Reported reach","Impressions (proxy)"))</f>
        <v/>
      </c>
      <c r="AQ728" s="34" t="str">
        <f aca="false">IF(OR(AO728="",N(S728)=0),"",AO728/S728)</f>
        <v/>
      </c>
      <c r="AR728" s="33" t="str">
        <f aca="false">IF(A728="","",IF(COUNT(AF728:AJ728)=0,"",SUM(AF728:AJ728)))</f>
        <v/>
      </c>
      <c r="AS728" s="34" t="str">
        <f aca="false">IF(OR(AR728="",N(AO728)=0),"",AR728/AO728)</f>
        <v/>
      </c>
      <c r="AT728" s="34" t="str">
        <f aca="false">IF(OR(AR728="",N(AC728)=0),"",AR728/AC728)</f>
        <v/>
      </c>
      <c r="AU728" s="34" t="str">
        <f aca="false">IF(OR(AR728="",N(S728)=0),"",AR728/S728)</f>
        <v/>
      </c>
      <c r="AV728" s="34" t="str">
        <f aca="false">IF(OR(AJ728="",N(AC728)=0),"",AJ728/AC728)</f>
        <v/>
      </c>
      <c r="AW728" s="34" t="str">
        <f aca="false">IF(OR(AH728="",N(AO728)=0),"",AH728/AO728)</f>
        <v/>
      </c>
      <c r="AX728" s="35" t="str">
        <f aca="false">IF(OR(AR728="",N(AO728)=0),"",(N(AF728)*Settings!$B$6+N(AG728)*Settings!$B$7+N(AH728)*Settings!$B$8+N(AI728)*Settings!$B$9+N(AJ728)*Settings!$B$10)/AO728*1000)</f>
        <v/>
      </c>
      <c r="AY728" s="36" t="str">
        <f aca="false">IF(AS728="","",IFERROR(AS728/AVERAGEIFS('Post Tracker'!$AS$5:$AS$1004,'Post Tracker'!$G$5:$G$1004,G728),""))</f>
        <v/>
      </c>
      <c r="AZ728" s="32"/>
      <c r="BA728" s="32"/>
      <c r="BB728" s="32"/>
      <c r="BC728" s="32"/>
      <c r="BD728" s="33" t="str">
        <f aca="false">IF(A728="","",COUNTIFS('Demo Pipeline'!$Q$5:$Q$504,A728))</f>
        <v/>
      </c>
      <c r="BE728" s="33" t="str">
        <f aca="false">IF(A728="","",COUNTIFS('Demo Pipeline'!$Q$5:$Q$504,A728,'Demo Pipeline'!$W$5:$W$504,"Attended"))</f>
        <v/>
      </c>
      <c r="BF728" s="33" t="str">
        <f aca="false">IF(A728="","",COUNTIFS('Demo Pipeline'!$Q$5:$Q$504,A728,'Demo Pipeline'!$X$5:$X$504,"Yes"))</f>
        <v/>
      </c>
      <c r="BG728" s="33" t="str">
        <f aca="false">IF(A728="","",COUNTIFS('Demo Pipeline'!$Q$5:$Q$504,A728,'Demo Pipeline'!$Y$5:$Y$504,"Closed Won"))</f>
        <v/>
      </c>
      <c r="BH728" s="37" t="str">
        <f aca="false">IF(A728="","",SUMIFS('Demo Pipeline'!$Z$5:$Z$504,'Demo Pipeline'!$Q$5:$Q$504,A728))</f>
        <v/>
      </c>
      <c r="BI728" s="34" t="str">
        <f aca="false">IF(OR(AZ728="",N(AJ728)=0),"",AZ728/AJ728)</f>
        <v/>
      </c>
      <c r="BJ728" s="34" t="str">
        <f aca="false">IF(OR(BB728="",N(AZ728)=0),"",BB728/AZ728)</f>
        <v/>
      </c>
      <c r="BK728" s="34" t="str">
        <f aca="false">IF(OR(A728="",N(BB728)=0),"",BD728/BB728)</f>
        <v/>
      </c>
      <c r="BL728" s="34" t="str">
        <f aca="false">IF(OR(A728="",N(AZ728)=0),"",BD728/AZ728)</f>
        <v/>
      </c>
      <c r="BM728" s="37" t="str">
        <f aca="false">IF(OR(N(Q728)=0,N(BD728)=0),"",Q728/BD728)</f>
        <v/>
      </c>
      <c r="BN728" s="29"/>
      <c r="BO728" s="29"/>
      <c r="BP728" s="33" t="str">
        <f aca="false">IF(OR(AR728="",N(AO728)=0),"",AR728)</f>
        <v/>
      </c>
      <c r="BQ728" s="33" t="str">
        <f aca="false">IF(OR(AR728="",N(S728)=0),"",S728)</f>
        <v/>
      </c>
      <c r="BR728" s="38" t="str">
        <f aca="false">IF(AND(ISNUMBER(B728),B728&gt;=Dashboard!$C$4,B728&lt;=Dashboard!$F$4,ISNUMBER(AU728)),AU728+ROW()/10^9,"")</f>
        <v/>
      </c>
      <c r="BS728" s="38" t="str">
        <f aca="false">IF(AND(ISNUMBER(B728),B728&gt;=Dashboard!$C$4,B728&lt;=Dashboard!$F$4,A728&lt;&gt;""),N(BD728)+N(AU728)/100+ROW()/10^9,"")</f>
        <v/>
      </c>
    </row>
    <row r="729" customFormat="false" ht="15" hidden="false" customHeight="false" outlineLevel="0" collapsed="false">
      <c r="A729" s="24" t="str">
        <f aca="false">IF(OR(B729="",G729="",H729=""),"",IFERROR(INDEX(Settings!$E$5:$E$49,MATCH(G729,Settings!$D$5:$D$49,0))&amp;INDEX(Settings!$H$5:$H$47,MATCH(H729,Settings!$G$5:$G$47,0))&amp;"-"&amp;TEXT(B729,"yymmdd")&amp;"-"&amp;IF(C729="","0000",TEXT(C729,"hhmm")),"CHECK LISTS"))</f>
        <v/>
      </c>
      <c r="B729" s="39"/>
      <c r="C729" s="40"/>
      <c r="D729" s="24" t="str">
        <f aca="false">IF(B729="","",TEXT(B729,"ddd"))</f>
        <v/>
      </c>
      <c r="E729" s="27" t="str">
        <f aca="false">IF(B729="","",B729-WEEKDAY(B729,3))</f>
        <v/>
      </c>
      <c r="F729" s="24" t="str">
        <f aca="false">IF(B729="","",TEXT(B729,"yyyy-mm"))</f>
        <v/>
      </c>
      <c r="G729" s="29"/>
      <c r="H729" s="29"/>
      <c r="I729" s="29"/>
      <c r="J729" s="29"/>
      <c r="K729" s="29"/>
      <c r="L729" s="29"/>
      <c r="M729" s="29"/>
      <c r="N729" s="29"/>
      <c r="O729" s="29"/>
      <c r="P729" s="29"/>
      <c r="Q729" s="30"/>
      <c r="R729" s="29"/>
      <c r="S729" s="32"/>
      <c r="T729" s="29"/>
      <c r="U729" s="29"/>
      <c r="V729" s="24" t="str">
        <f aca="false">IF(A729="","",IFERROR(INDEX(Settings!$F$5:$F$49,MATCH(G729,Settings!$D$5:$D$49,0)),""))</f>
        <v/>
      </c>
      <c r="W729" s="24" t="str">
        <f aca="false">IF(A729="","",IF(OR(P729="",P729="Organic"),"social","paid_social"))</f>
        <v/>
      </c>
      <c r="X729" s="24" t="str">
        <f aca="false">IF(A729="","",IF(K729&lt;&gt;"",IFERROR(INDEX('Case Studies'!$C$5:$C$54,MATCH(K729,'Case Studies'!$B$5:$B$54,0))&amp;"","case-study"),IF(J729&lt;&gt;"",IFERROR(INDEX(Settings!$J$5:$J$55,MATCH(J729,Settings!$I$5:$I$55,0)),"general"),"general")))</f>
        <v/>
      </c>
      <c r="Y729" s="24" t="str">
        <f aca="false">IF(A729="","",LOWER(A729))</f>
        <v/>
      </c>
      <c r="Z729" s="24" t="str">
        <f aca="false">IF(A729="","",IF(T729="",Settings!$B$5,T729)&amp;IF(ISNUMBER(FIND("?",IF(T729="",Settings!$B$5,T729))),"&amp;","?")&amp;"utm_source="&amp;V729&amp;"&amp;utm_medium="&amp;W729&amp;"&amp;utm_campaign="&amp;X729&amp;"&amp;utm_content="&amp;Y729)</f>
        <v/>
      </c>
      <c r="AA729" s="29"/>
      <c r="AB729" s="39"/>
      <c r="AC729" s="32"/>
      <c r="AD729" s="32"/>
      <c r="AE729" s="32"/>
      <c r="AF729" s="32"/>
      <c r="AG729" s="32"/>
      <c r="AH729" s="32"/>
      <c r="AI729" s="32"/>
      <c r="AJ729" s="32"/>
      <c r="AK729" s="32"/>
      <c r="AL729" s="32"/>
      <c r="AM729" s="32"/>
      <c r="AN729" s="32"/>
      <c r="AO729" s="33" t="str">
        <f aca="false">IF(A729="","",IF(AD729&lt;&gt;"",AD729,IF(AC729&lt;&gt;"",AC729,"")))</f>
        <v/>
      </c>
      <c r="AP729" s="24" t="str">
        <f aca="false">IF(AO729="","",IF(AD729&lt;&gt;"","Reported reach","Impressions (proxy)"))</f>
        <v/>
      </c>
      <c r="AQ729" s="34" t="str">
        <f aca="false">IF(OR(AO729="",N(S729)=0),"",AO729/S729)</f>
        <v/>
      </c>
      <c r="AR729" s="33" t="str">
        <f aca="false">IF(A729="","",IF(COUNT(AF729:AJ729)=0,"",SUM(AF729:AJ729)))</f>
        <v/>
      </c>
      <c r="AS729" s="34" t="str">
        <f aca="false">IF(OR(AR729="",N(AO729)=0),"",AR729/AO729)</f>
        <v/>
      </c>
      <c r="AT729" s="34" t="str">
        <f aca="false">IF(OR(AR729="",N(AC729)=0),"",AR729/AC729)</f>
        <v/>
      </c>
      <c r="AU729" s="34" t="str">
        <f aca="false">IF(OR(AR729="",N(S729)=0),"",AR729/S729)</f>
        <v/>
      </c>
      <c r="AV729" s="34" t="str">
        <f aca="false">IF(OR(AJ729="",N(AC729)=0),"",AJ729/AC729)</f>
        <v/>
      </c>
      <c r="AW729" s="34" t="str">
        <f aca="false">IF(OR(AH729="",N(AO729)=0),"",AH729/AO729)</f>
        <v/>
      </c>
      <c r="AX729" s="35" t="str">
        <f aca="false">IF(OR(AR729="",N(AO729)=0),"",(N(AF729)*Settings!$B$6+N(AG729)*Settings!$B$7+N(AH729)*Settings!$B$8+N(AI729)*Settings!$B$9+N(AJ729)*Settings!$B$10)/AO729*1000)</f>
        <v/>
      </c>
      <c r="AY729" s="36" t="str">
        <f aca="false">IF(AS729="","",IFERROR(AS729/AVERAGEIFS('Post Tracker'!$AS$5:$AS$1004,'Post Tracker'!$G$5:$G$1004,G729),""))</f>
        <v/>
      </c>
      <c r="AZ729" s="32"/>
      <c r="BA729" s="32"/>
      <c r="BB729" s="32"/>
      <c r="BC729" s="32"/>
      <c r="BD729" s="33" t="str">
        <f aca="false">IF(A729="","",COUNTIFS('Demo Pipeline'!$Q$5:$Q$504,A729))</f>
        <v/>
      </c>
      <c r="BE729" s="33" t="str">
        <f aca="false">IF(A729="","",COUNTIFS('Demo Pipeline'!$Q$5:$Q$504,A729,'Demo Pipeline'!$W$5:$W$504,"Attended"))</f>
        <v/>
      </c>
      <c r="BF729" s="33" t="str">
        <f aca="false">IF(A729="","",COUNTIFS('Demo Pipeline'!$Q$5:$Q$504,A729,'Demo Pipeline'!$X$5:$X$504,"Yes"))</f>
        <v/>
      </c>
      <c r="BG729" s="33" t="str">
        <f aca="false">IF(A729="","",COUNTIFS('Demo Pipeline'!$Q$5:$Q$504,A729,'Demo Pipeline'!$Y$5:$Y$504,"Closed Won"))</f>
        <v/>
      </c>
      <c r="BH729" s="37" t="str">
        <f aca="false">IF(A729="","",SUMIFS('Demo Pipeline'!$Z$5:$Z$504,'Demo Pipeline'!$Q$5:$Q$504,A729))</f>
        <v/>
      </c>
      <c r="BI729" s="34" t="str">
        <f aca="false">IF(OR(AZ729="",N(AJ729)=0),"",AZ729/AJ729)</f>
        <v/>
      </c>
      <c r="BJ729" s="34" t="str">
        <f aca="false">IF(OR(BB729="",N(AZ729)=0),"",BB729/AZ729)</f>
        <v/>
      </c>
      <c r="BK729" s="34" t="str">
        <f aca="false">IF(OR(A729="",N(BB729)=0),"",BD729/BB729)</f>
        <v/>
      </c>
      <c r="BL729" s="34" t="str">
        <f aca="false">IF(OR(A729="",N(AZ729)=0),"",BD729/AZ729)</f>
        <v/>
      </c>
      <c r="BM729" s="37" t="str">
        <f aca="false">IF(OR(N(Q729)=0,N(BD729)=0),"",Q729/BD729)</f>
        <v/>
      </c>
      <c r="BN729" s="29"/>
      <c r="BO729" s="29"/>
      <c r="BP729" s="33" t="str">
        <f aca="false">IF(OR(AR729="",N(AO729)=0),"",AR729)</f>
        <v/>
      </c>
      <c r="BQ729" s="33" t="str">
        <f aca="false">IF(OR(AR729="",N(S729)=0),"",S729)</f>
        <v/>
      </c>
      <c r="BR729" s="38" t="str">
        <f aca="false">IF(AND(ISNUMBER(B729),B729&gt;=Dashboard!$C$4,B729&lt;=Dashboard!$F$4,ISNUMBER(AU729)),AU729+ROW()/10^9,"")</f>
        <v/>
      </c>
      <c r="BS729" s="38" t="str">
        <f aca="false">IF(AND(ISNUMBER(B729),B729&gt;=Dashboard!$C$4,B729&lt;=Dashboard!$F$4,A729&lt;&gt;""),N(BD729)+N(AU729)/100+ROW()/10^9,"")</f>
        <v/>
      </c>
    </row>
    <row r="730" customFormat="false" ht="15" hidden="false" customHeight="false" outlineLevel="0" collapsed="false">
      <c r="A730" s="24" t="str">
        <f aca="false">IF(OR(B730="",G730="",H730=""),"",IFERROR(INDEX(Settings!$E$5:$E$49,MATCH(G730,Settings!$D$5:$D$49,0))&amp;INDEX(Settings!$H$5:$H$47,MATCH(H730,Settings!$G$5:$G$47,0))&amp;"-"&amp;TEXT(B730,"yymmdd")&amp;"-"&amp;IF(C730="","0000",TEXT(C730,"hhmm")),"CHECK LISTS"))</f>
        <v/>
      </c>
      <c r="B730" s="39"/>
      <c r="C730" s="40"/>
      <c r="D730" s="24" t="str">
        <f aca="false">IF(B730="","",TEXT(B730,"ddd"))</f>
        <v/>
      </c>
      <c r="E730" s="27" t="str">
        <f aca="false">IF(B730="","",B730-WEEKDAY(B730,3))</f>
        <v/>
      </c>
      <c r="F730" s="24" t="str">
        <f aca="false">IF(B730="","",TEXT(B730,"yyyy-mm"))</f>
        <v/>
      </c>
      <c r="G730" s="29"/>
      <c r="H730" s="29"/>
      <c r="I730" s="29"/>
      <c r="J730" s="29"/>
      <c r="K730" s="29"/>
      <c r="L730" s="29"/>
      <c r="M730" s="29"/>
      <c r="N730" s="29"/>
      <c r="O730" s="29"/>
      <c r="P730" s="29"/>
      <c r="Q730" s="30"/>
      <c r="R730" s="29"/>
      <c r="S730" s="32"/>
      <c r="T730" s="29"/>
      <c r="U730" s="29"/>
      <c r="V730" s="24" t="str">
        <f aca="false">IF(A730="","",IFERROR(INDEX(Settings!$F$5:$F$49,MATCH(G730,Settings!$D$5:$D$49,0)),""))</f>
        <v/>
      </c>
      <c r="W730" s="24" t="str">
        <f aca="false">IF(A730="","",IF(OR(P730="",P730="Organic"),"social","paid_social"))</f>
        <v/>
      </c>
      <c r="X730" s="24" t="str">
        <f aca="false">IF(A730="","",IF(K730&lt;&gt;"",IFERROR(INDEX('Case Studies'!$C$5:$C$54,MATCH(K730,'Case Studies'!$B$5:$B$54,0))&amp;"","case-study"),IF(J730&lt;&gt;"",IFERROR(INDEX(Settings!$J$5:$J$55,MATCH(J730,Settings!$I$5:$I$55,0)),"general"),"general")))</f>
        <v/>
      </c>
      <c r="Y730" s="24" t="str">
        <f aca="false">IF(A730="","",LOWER(A730))</f>
        <v/>
      </c>
      <c r="Z730" s="24" t="str">
        <f aca="false">IF(A730="","",IF(T730="",Settings!$B$5,T730)&amp;IF(ISNUMBER(FIND("?",IF(T730="",Settings!$B$5,T730))),"&amp;","?")&amp;"utm_source="&amp;V730&amp;"&amp;utm_medium="&amp;W730&amp;"&amp;utm_campaign="&amp;X730&amp;"&amp;utm_content="&amp;Y730)</f>
        <v/>
      </c>
      <c r="AA730" s="29"/>
      <c r="AB730" s="39"/>
      <c r="AC730" s="32"/>
      <c r="AD730" s="32"/>
      <c r="AE730" s="32"/>
      <c r="AF730" s="32"/>
      <c r="AG730" s="32"/>
      <c r="AH730" s="32"/>
      <c r="AI730" s="32"/>
      <c r="AJ730" s="32"/>
      <c r="AK730" s="32"/>
      <c r="AL730" s="32"/>
      <c r="AM730" s="32"/>
      <c r="AN730" s="32"/>
      <c r="AO730" s="33" t="str">
        <f aca="false">IF(A730="","",IF(AD730&lt;&gt;"",AD730,IF(AC730&lt;&gt;"",AC730,"")))</f>
        <v/>
      </c>
      <c r="AP730" s="24" t="str">
        <f aca="false">IF(AO730="","",IF(AD730&lt;&gt;"","Reported reach","Impressions (proxy)"))</f>
        <v/>
      </c>
      <c r="AQ730" s="34" t="str">
        <f aca="false">IF(OR(AO730="",N(S730)=0),"",AO730/S730)</f>
        <v/>
      </c>
      <c r="AR730" s="33" t="str">
        <f aca="false">IF(A730="","",IF(COUNT(AF730:AJ730)=0,"",SUM(AF730:AJ730)))</f>
        <v/>
      </c>
      <c r="AS730" s="34" t="str">
        <f aca="false">IF(OR(AR730="",N(AO730)=0),"",AR730/AO730)</f>
        <v/>
      </c>
      <c r="AT730" s="34" t="str">
        <f aca="false">IF(OR(AR730="",N(AC730)=0),"",AR730/AC730)</f>
        <v/>
      </c>
      <c r="AU730" s="34" t="str">
        <f aca="false">IF(OR(AR730="",N(S730)=0),"",AR730/S730)</f>
        <v/>
      </c>
      <c r="AV730" s="34" t="str">
        <f aca="false">IF(OR(AJ730="",N(AC730)=0),"",AJ730/AC730)</f>
        <v/>
      </c>
      <c r="AW730" s="34" t="str">
        <f aca="false">IF(OR(AH730="",N(AO730)=0),"",AH730/AO730)</f>
        <v/>
      </c>
      <c r="AX730" s="35" t="str">
        <f aca="false">IF(OR(AR730="",N(AO730)=0),"",(N(AF730)*Settings!$B$6+N(AG730)*Settings!$B$7+N(AH730)*Settings!$B$8+N(AI730)*Settings!$B$9+N(AJ730)*Settings!$B$10)/AO730*1000)</f>
        <v/>
      </c>
      <c r="AY730" s="36" t="str">
        <f aca="false">IF(AS730="","",IFERROR(AS730/AVERAGEIFS('Post Tracker'!$AS$5:$AS$1004,'Post Tracker'!$G$5:$G$1004,G730),""))</f>
        <v/>
      </c>
      <c r="AZ730" s="32"/>
      <c r="BA730" s="32"/>
      <c r="BB730" s="32"/>
      <c r="BC730" s="32"/>
      <c r="BD730" s="33" t="str">
        <f aca="false">IF(A730="","",COUNTIFS('Demo Pipeline'!$Q$5:$Q$504,A730))</f>
        <v/>
      </c>
      <c r="BE730" s="33" t="str">
        <f aca="false">IF(A730="","",COUNTIFS('Demo Pipeline'!$Q$5:$Q$504,A730,'Demo Pipeline'!$W$5:$W$504,"Attended"))</f>
        <v/>
      </c>
      <c r="BF730" s="33" t="str">
        <f aca="false">IF(A730="","",COUNTIFS('Demo Pipeline'!$Q$5:$Q$504,A730,'Demo Pipeline'!$X$5:$X$504,"Yes"))</f>
        <v/>
      </c>
      <c r="BG730" s="33" t="str">
        <f aca="false">IF(A730="","",COUNTIFS('Demo Pipeline'!$Q$5:$Q$504,A730,'Demo Pipeline'!$Y$5:$Y$504,"Closed Won"))</f>
        <v/>
      </c>
      <c r="BH730" s="37" t="str">
        <f aca="false">IF(A730="","",SUMIFS('Demo Pipeline'!$Z$5:$Z$504,'Demo Pipeline'!$Q$5:$Q$504,A730))</f>
        <v/>
      </c>
      <c r="BI730" s="34" t="str">
        <f aca="false">IF(OR(AZ730="",N(AJ730)=0),"",AZ730/AJ730)</f>
        <v/>
      </c>
      <c r="BJ730" s="34" t="str">
        <f aca="false">IF(OR(BB730="",N(AZ730)=0),"",BB730/AZ730)</f>
        <v/>
      </c>
      <c r="BK730" s="34" t="str">
        <f aca="false">IF(OR(A730="",N(BB730)=0),"",BD730/BB730)</f>
        <v/>
      </c>
      <c r="BL730" s="34" t="str">
        <f aca="false">IF(OR(A730="",N(AZ730)=0),"",BD730/AZ730)</f>
        <v/>
      </c>
      <c r="BM730" s="37" t="str">
        <f aca="false">IF(OR(N(Q730)=0,N(BD730)=0),"",Q730/BD730)</f>
        <v/>
      </c>
      <c r="BN730" s="29"/>
      <c r="BO730" s="29"/>
      <c r="BP730" s="33" t="str">
        <f aca="false">IF(OR(AR730="",N(AO730)=0),"",AR730)</f>
        <v/>
      </c>
      <c r="BQ730" s="33" t="str">
        <f aca="false">IF(OR(AR730="",N(S730)=0),"",S730)</f>
        <v/>
      </c>
      <c r="BR730" s="38" t="str">
        <f aca="false">IF(AND(ISNUMBER(B730),B730&gt;=Dashboard!$C$4,B730&lt;=Dashboard!$F$4,ISNUMBER(AU730)),AU730+ROW()/10^9,"")</f>
        <v/>
      </c>
      <c r="BS730" s="38" t="str">
        <f aca="false">IF(AND(ISNUMBER(B730),B730&gt;=Dashboard!$C$4,B730&lt;=Dashboard!$F$4,A730&lt;&gt;""),N(BD730)+N(AU730)/100+ROW()/10^9,"")</f>
        <v/>
      </c>
    </row>
    <row r="731" customFormat="false" ht="15" hidden="false" customHeight="false" outlineLevel="0" collapsed="false">
      <c r="A731" s="24" t="str">
        <f aca="false">IF(OR(B731="",G731="",H731=""),"",IFERROR(INDEX(Settings!$E$5:$E$49,MATCH(G731,Settings!$D$5:$D$49,0))&amp;INDEX(Settings!$H$5:$H$47,MATCH(H731,Settings!$G$5:$G$47,0))&amp;"-"&amp;TEXT(B731,"yymmdd")&amp;"-"&amp;IF(C731="","0000",TEXT(C731,"hhmm")),"CHECK LISTS"))</f>
        <v/>
      </c>
      <c r="B731" s="39"/>
      <c r="C731" s="40"/>
      <c r="D731" s="24" t="str">
        <f aca="false">IF(B731="","",TEXT(B731,"ddd"))</f>
        <v/>
      </c>
      <c r="E731" s="27" t="str">
        <f aca="false">IF(B731="","",B731-WEEKDAY(B731,3))</f>
        <v/>
      </c>
      <c r="F731" s="24" t="str">
        <f aca="false">IF(B731="","",TEXT(B731,"yyyy-mm"))</f>
        <v/>
      </c>
      <c r="G731" s="29"/>
      <c r="H731" s="29"/>
      <c r="I731" s="29"/>
      <c r="J731" s="29"/>
      <c r="K731" s="29"/>
      <c r="L731" s="29"/>
      <c r="M731" s="29"/>
      <c r="N731" s="29"/>
      <c r="O731" s="29"/>
      <c r="P731" s="29"/>
      <c r="Q731" s="30"/>
      <c r="R731" s="29"/>
      <c r="S731" s="32"/>
      <c r="T731" s="29"/>
      <c r="U731" s="29"/>
      <c r="V731" s="24" t="str">
        <f aca="false">IF(A731="","",IFERROR(INDEX(Settings!$F$5:$F$49,MATCH(G731,Settings!$D$5:$D$49,0)),""))</f>
        <v/>
      </c>
      <c r="W731" s="24" t="str">
        <f aca="false">IF(A731="","",IF(OR(P731="",P731="Organic"),"social","paid_social"))</f>
        <v/>
      </c>
      <c r="X731" s="24" t="str">
        <f aca="false">IF(A731="","",IF(K731&lt;&gt;"",IFERROR(INDEX('Case Studies'!$C$5:$C$54,MATCH(K731,'Case Studies'!$B$5:$B$54,0))&amp;"","case-study"),IF(J731&lt;&gt;"",IFERROR(INDEX(Settings!$J$5:$J$55,MATCH(J731,Settings!$I$5:$I$55,0)),"general"),"general")))</f>
        <v/>
      </c>
      <c r="Y731" s="24" t="str">
        <f aca="false">IF(A731="","",LOWER(A731))</f>
        <v/>
      </c>
      <c r="Z731" s="24" t="str">
        <f aca="false">IF(A731="","",IF(T731="",Settings!$B$5,T731)&amp;IF(ISNUMBER(FIND("?",IF(T731="",Settings!$B$5,T731))),"&amp;","?")&amp;"utm_source="&amp;V731&amp;"&amp;utm_medium="&amp;W731&amp;"&amp;utm_campaign="&amp;X731&amp;"&amp;utm_content="&amp;Y731)</f>
        <v/>
      </c>
      <c r="AA731" s="29"/>
      <c r="AB731" s="39"/>
      <c r="AC731" s="32"/>
      <c r="AD731" s="32"/>
      <c r="AE731" s="32"/>
      <c r="AF731" s="32"/>
      <c r="AG731" s="32"/>
      <c r="AH731" s="32"/>
      <c r="AI731" s="32"/>
      <c r="AJ731" s="32"/>
      <c r="AK731" s="32"/>
      <c r="AL731" s="32"/>
      <c r="AM731" s="32"/>
      <c r="AN731" s="32"/>
      <c r="AO731" s="33" t="str">
        <f aca="false">IF(A731="","",IF(AD731&lt;&gt;"",AD731,IF(AC731&lt;&gt;"",AC731,"")))</f>
        <v/>
      </c>
      <c r="AP731" s="24" t="str">
        <f aca="false">IF(AO731="","",IF(AD731&lt;&gt;"","Reported reach","Impressions (proxy)"))</f>
        <v/>
      </c>
      <c r="AQ731" s="34" t="str">
        <f aca="false">IF(OR(AO731="",N(S731)=0),"",AO731/S731)</f>
        <v/>
      </c>
      <c r="AR731" s="33" t="str">
        <f aca="false">IF(A731="","",IF(COUNT(AF731:AJ731)=0,"",SUM(AF731:AJ731)))</f>
        <v/>
      </c>
      <c r="AS731" s="34" t="str">
        <f aca="false">IF(OR(AR731="",N(AO731)=0),"",AR731/AO731)</f>
        <v/>
      </c>
      <c r="AT731" s="34" t="str">
        <f aca="false">IF(OR(AR731="",N(AC731)=0),"",AR731/AC731)</f>
        <v/>
      </c>
      <c r="AU731" s="34" t="str">
        <f aca="false">IF(OR(AR731="",N(S731)=0),"",AR731/S731)</f>
        <v/>
      </c>
      <c r="AV731" s="34" t="str">
        <f aca="false">IF(OR(AJ731="",N(AC731)=0),"",AJ731/AC731)</f>
        <v/>
      </c>
      <c r="AW731" s="34" t="str">
        <f aca="false">IF(OR(AH731="",N(AO731)=0),"",AH731/AO731)</f>
        <v/>
      </c>
      <c r="AX731" s="35" t="str">
        <f aca="false">IF(OR(AR731="",N(AO731)=0),"",(N(AF731)*Settings!$B$6+N(AG731)*Settings!$B$7+N(AH731)*Settings!$B$8+N(AI731)*Settings!$B$9+N(AJ731)*Settings!$B$10)/AO731*1000)</f>
        <v/>
      </c>
      <c r="AY731" s="36" t="str">
        <f aca="false">IF(AS731="","",IFERROR(AS731/AVERAGEIFS('Post Tracker'!$AS$5:$AS$1004,'Post Tracker'!$G$5:$G$1004,G731),""))</f>
        <v/>
      </c>
      <c r="AZ731" s="32"/>
      <c r="BA731" s="32"/>
      <c r="BB731" s="32"/>
      <c r="BC731" s="32"/>
      <c r="BD731" s="33" t="str">
        <f aca="false">IF(A731="","",COUNTIFS('Demo Pipeline'!$Q$5:$Q$504,A731))</f>
        <v/>
      </c>
      <c r="BE731" s="33" t="str">
        <f aca="false">IF(A731="","",COUNTIFS('Demo Pipeline'!$Q$5:$Q$504,A731,'Demo Pipeline'!$W$5:$W$504,"Attended"))</f>
        <v/>
      </c>
      <c r="BF731" s="33" t="str">
        <f aca="false">IF(A731="","",COUNTIFS('Demo Pipeline'!$Q$5:$Q$504,A731,'Demo Pipeline'!$X$5:$X$504,"Yes"))</f>
        <v/>
      </c>
      <c r="BG731" s="33" t="str">
        <f aca="false">IF(A731="","",COUNTIFS('Demo Pipeline'!$Q$5:$Q$504,A731,'Demo Pipeline'!$Y$5:$Y$504,"Closed Won"))</f>
        <v/>
      </c>
      <c r="BH731" s="37" t="str">
        <f aca="false">IF(A731="","",SUMIFS('Demo Pipeline'!$Z$5:$Z$504,'Demo Pipeline'!$Q$5:$Q$504,A731))</f>
        <v/>
      </c>
      <c r="BI731" s="34" t="str">
        <f aca="false">IF(OR(AZ731="",N(AJ731)=0),"",AZ731/AJ731)</f>
        <v/>
      </c>
      <c r="BJ731" s="34" t="str">
        <f aca="false">IF(OR(BB731="",N(AZ731)=0),"",BB731/AZ731)</f>
        <v/>
      </c>
      <c r="BK731" s="34" t="str">
        <f aca="false">IF(OR(A731="",N(BB731)=0),"",BD731/BB731)</f>
        <v/>
      </c>
      <c r="BL731" s="34" t="str">
        <f aca="false">IF(OR(A731="",N(AZ731)=0),"",BD731/AZ731)</f>
        <v/>
      </c>
      <c r="BM731" s="37" t="str">
        <f aca="false">IF(OR(N(Q731)=0,N(BD731)=0),"",Q731/BD731)</f>
        <v/>
      </c>
      <c r="BN731" s="29"/>
      <c r="BO731" s="29"/>
      <c r="BP731" s="33" t="str">
        <f aca="false">IF(OR(AR731="",N(AO731)=0),"",AR731)</f>
        <v/>
      </c>
      <c r="BQ731" s="33" t="str">
        <f aca="false">IF(OR(AR731="",N(S731)=0),"",S731)</f>
        <v/>
      </c>
      <c r="BR731" s="38" t="str">
        <f aca="false">IF(AND(ISNUMBER(B731),B731&gt;=Dashboard!$C$4,B731&lt;=Dashboard!$F$4,ISNUMBER(AU731)),AU731+ROW()/10^9,"")</f>
        <v/>
      </c>
      <c r="BS731" s="38" t="str">
        <f aca="false">IF(AND(ISNUMBER(B731),B731&gt;=Dashboard!$C$4,B731&lt;=Dashboard!$F$4,A731&lt;&gt;""),N(BD731)+N(AU731)/100+ROW()/10^9,"")</f>
        <v/>
      </c>
    </row>
    <row r="732" customFormat="false" ht="15" hidden="false" customHeight="false" outlineLevel="0" collapsed="false">
      <c r="A732" s="24" t="str">
        <f aca="false">IF(OR(B732="",G732="",H732=""),"",IFERROR(INDEX(Settings!$E$5:$E$49,MATCH(G732,Settings!$D$5:$D$49,0))&amp;INDEX(Settings!$H$5:$H$47,MATCH(H732,Settings!$G$5:$G$47,0))&amp;"-"&amp;TEXT(B732,"yymmdd")&amp;"-"&amp;IF(C732="","0000",TEXT(C732,"hhmm")),"CHECK LISTS"))</f>
        <v/>
      </c>
      <c r="B732" s="39"/>
      <c r="C732" s="40"/>
      <c r="D732" s="24" t="str">
        <f aca="false">IF(B732="","",TEXT(B732,"ddd"))</f>
        <v/>
      </c>
      <c r="E732" s="27" t="str">
        <f aca="false">IF(B732="","",B732-WEEKDAY(B732,3))</f>
        <v/>
      </c>
      <c r="F732" s="24" t="str">
        <f aca="false">IF(B732="","",TEXT(B732,"yyyy-mm"))</f>
        <v/>
      </c>
      <c r="G732" s="29"/>
      <c r="H732" s="29"/>
      <c r="I732" s="29"/>
      <c r="J732" s="29"/>
      <c r="K732" s="29"/>
      <c r="L732" s="29"/>
      <c r="M732" s="29"/>
      <c r="N732" s="29"/>
      <c r="O732" s="29"/>
      <c r="P732" s="29"/>
      <c r="Q732" s="30"/>
      <c r="R732" s="29"/>
      <c r="S732" s="32"/>
      <c r="T732" s="29"/>
      <c r="U732" s="29"/>
      <c r="V732" s="24" t="str">
        <f aca="false">IF(A732="","",IFERROR(INDEX(Settings!$F$5:$F$49,MATCH(G732,Settings!$D$5:$D$49,0)),""))</f>
        <v/>
      </c>
      <c r="W732" s="24" t="str">
        <f aca="false">IF(A732="","",IF(OR(P732="",P732="Organic"),"social","paid_social"))</f>
        <v/>
      </c>
      <c r="X732" s="24" t="str">
        <f aca="false">IF(A732="","",IF(K732&lt;&gt;"",IFERROR(INDEX('Case Studies'!$C$5:$C$54,MATCH(K732,'Case Studies'!$B$5:$B$54,0))&amp;"","case-study"),IF(J732&lt;&gt;"",IFERROR(INDEX(Settings!$J$5:$J$55,MATCH(J732,Settings!$I$5:$I$55,0)),"general"),"general")))</f>
        <v/>
      </c>
      <c r="Y732" s="24" t="str">
        <f aca="false">IF(A732="","",LOWER(A732))</f>
        <v/>
      </c>
      <c r="Z732" s="24" t="str">
        <f aca="false">IF(A732="","",IF(T732="",Settings!$B$5,T732)&amp;IF(ISNUMBER(FIND("?",IF(T732="",Settings!$B$5,T732))),"&amp;","?")&amp;"utm_source="&amp;V732&amp;"&amp;utm_medium="&amp;W732&amp;"&amp;utm_campaign="&amp;X732&amp;"&amp;utm_content="&amp;Y732)</f>
        <v/>
      </c>
      <c r="AA732" s="29"/>
      <c r="AB732" s="39"/>
      <c r="AC732" s="32"/>
      <c r="AD732" s="32"/>
      <c r="AE732" s="32"/>
      <c r="AF732" s="32"/>
      <c r="AG732" s="32"/>
      <c r="AH732" s="32"/>
      <c r="AI732" s="32"/>
      <c r="AJ732" s="32"/>
      <c r="AK732" s="32"/>
      <c r="AL732" s="32"/>
      <c r="AM732" s="32"/>
      <c r="AN732" s="32"/>
      <c r="AO732" s="33" t="str">
        <f aca="false">IF(A732="","",IF(AD732&lt;&gt;"",AD732,IF(AC732&lt;&gt;"",AC732,"")))</f>
        <v/>
      </c>
      <c r="AP732" s="24" t="str">
        <f aca="false">IF(AO732="","",IF(AD732&lt;&gt;"","Reported reach","Impressions (proxy)"))</f>
        <v/>
      </c>
      <c r="AQ732" s="34" t="str">
        <f aca="false">IF(OR(AO732="",N(S732)=0),"",AO732/S732)</f>
        <v/>
      </c>
      <c r="AR732" s="33" t="str">
        <f aca="false">IF(A732="","",IF(COUNT(AF732:AJ732)=0,"",SUM(AF732:AJ732)))</f>
        <v/>
      </c>
      <c r="AS732" s="34" t="str">
        <f aca="false">IF(OR(AR732="",N(AO732)=0),"",AR732/AO732)</f>
        <v/>
      </c>
      <c r="AT732" s="34" t="str">
        <f aca="false">IF(OR(AR732="",N(AC732)=0),"",AR732/AC732)</f>
        <v/>
      </c>
      <c r="AU732" s="34" t="str">
        <f aca="false">IF(OR(AR732="",N(S732)=0),"",AR732/S732)</f>
        <v/>
      </c>
      <c r="AV732" s="34" t="str">
        <f aca="false">IF(OR(AJ732="",N(AC732)=0),"",AJ732/AC732)</f>
        <v/>
      </c>
      <c r="AW732" s="34" t="str">
        <f aca="false">IF(OR(AH732="",N(AO732)=0),"",AH732/AO732)</f>
        <v/>
      </c>
      <c r="AX732" s="35" t="str">
        <f aca="false">IF(OR(AR732="",N(AO732)=0),"",(N(AF732)*Settings!$B$6+N(AG732)*Settings!$B$7+N(AH732)*Settings!$B$8+N(AI732)*Settings!$B$9+N(AJ732)*Settings!$B$10)/AO732*1000)</f>
        <v/>
      </c>
      <c r="AY732" s="36" t="str">
        <f aca="false">IF(AS732="","",IFERROR(AS732/AVERAGEIFS('Post Tracker'!$AS$5:$AS$1004,'Post Tracker'!$G$5:$G$1004,G732),""))</f>
        <v/>
      </c>
      <c r="AZ732" s="32"/>
      <c r="BA732" s="32"/>
      <c r="BB732" s="32"/>
      <c r="BC732" s="32"/>
      <c r="BD732" s="33" t="str">
        <f aca="false">IF(A732="","",COUNTIFS('Demo Pipeline'!$Q$5:$Q$504,A732))</f>
        <v/>
      </c>
      <c r="BE732" s="33" t="str">
        <f aca="false">IF(A732="","",COUNTIFS('Demo Pipeline'!$Q$5:$Q$504,A732,'Demo Pipeline'!$W$5:$W$504,"Attended"))</f>
        <v/>
      </c>
      <c r="BF732" s="33" t="str">
        <f aca="false">IF(A732="","",COUNTIFS('Demo Pipeline'!$Q$5:$Q$504,A732,'Demo Pipeline'!$X$5:$X$504,"Yes"))</f>
        <v/>
      </c>
      <c r="BG732" s="33" t="str">
        <f aca="false">IF(A732="","",COUNTIFS('Demo Pipeline'!$Q$5:$Q$504,A732,'Demo Pipeline'!$Y$5:$Y$504,"Closed Won"))</f>
        <v/>
      </c>
      <c r="BH732" s="37" t="str">
        <f aca="false">IF(A732="","",SUMIFS('Demo Pipeline'!$Z$5:$Z$504,'Demo Pipeline'!$Q$5:$Q$504,A732))</f>
        <v/>
      </c>
      <c r="BI732" s="34" t="str">
        <f aca="false">IF(OR(AZ732="",N(AJ732)=0),"",AZ732/AJ732)</f>
        <v/>
      </c>
      <c r="BJ732" s="34" t="str">
        <f aca="false">IF(OR(BB732="",N(AZ732)=0),"",BB732/AZ732)</f>
        <v/>
      </c>
      <c r="BK732" s="34" t="str">
        <f aca="false">IF(OR(A732="",N(BB732)=0),"",BD732/BB732)</f>
        <v/>
      </c>
      <c r="BL732" s="34" t="str">
        <f aca="false">IF(OR(A732="",N(AZ732)=0),"",BD732/AZ732)</f>
        <v/>
      </c>
      <c r="BM732" s="37" t="str">
        <f aca="false">IF(OR(N(Q732)=0,N(BD732)=0),"",Q732/BD732)</f>
        <v/>
      </c>
      <c r="BN732" s="29"/>
      <c r="BO732" s="29"/>
      <c r="BP732" s="33" t="str">
        <f aca="false">IF(OR(AR732="",N(AO732)=0),"",AR732)</f>
        <v/>
      </c>
      <c r="BQ732" s="33" t="str">
        <f aca="false">IF(OR(AR732="",N(S732)=0),"",S732)</f>
        <v/>
      </c>
      <c r="BR732" s="38" t="str">
        <f aca="false">IF(AND(ISNUMBER(B732),B732&gt;=Dashboard!$C$4,B732&lt;=Dashboard!$F$4,ISNUMBER(AU732)),AU732+ROW()/10^9,"")</f>
        <v/>
      </c>
      <c r="BS732" s="38" t="str">
        <f aca="false">IF(AND(ISNUMBER(B732),B732&gt;=Dashboard!$C$4,B732&lt;=Dashboard!$F$4,A732&lt;&gt;""),N(BD732)+N(AU732)/100+ROW()/10^9,"")</f>
        <v/>
      </c>
    </row>
    <row r="733" customFormat="false" ht="15" hidden="false" customHeight="false" outlineLevel="0" collapsed="false">
      <c r="A733" s="24" t="str">
        <f aca="false">IF(OR(B733="",G733="",H733=""),"",IFERROR(INDEX(Settings!$E$5:$E$49,MATCH(G733,Settings!$D$5:$D$49,0))&amp;INDEX(Settings!$H$5:$H$47,MATCH(H733,Settings!$G$5:$G$47,0))&amp;"-"&amp;TEXT(B733,"yymmdd")&amp;"-"&amp;IF(C733="","0000",TEXT(C733,"hhmm")),"CHECK LISTS"))</f>
        <v/>
      </c>
      <c r="B733" s="39"/>
      <c r="C733" s="40"/>
      <c r="D733" s="24" t="str">
        <f aca="false">IF(B733="","",TEXT(B733,"ddd"))</f>
        <v/>
      </c>
      <c r="E733" s="27" t="str">
        <f aca="false">IF(B733="","",B733-WEEKDAY(B733,3))</f>
        <v/>
      </c>
      <c r="F733" s="24" t="str">
        <f aca="false">IF(B733="","",TEXT(B733,"yyyy-mm"))</f>
        <v/>
      </c>
      <c r="G733" s="29"/>
      <c r="H733" s="29"/>
      <c r="I733" s="29"/>
      <c r="J733" s="29"/>
      <c r="K733" s="29"/>
      <c r="L733" s="29"/>
      <c r="M733" s="29"/>
      <c r="N733" s="29"/>
      <c r="O733" s="29"/>
      <c r="P733" s="29"/>
      <c r="Q733" s="30"/>
      <c r="R733" s="29"/>
      <c r="S733" s="32"/>
      <c r="T733" s="29"/>
      <c r="U733" s="29"/>
      <c r="V733" s="24" t="str">
        <f aca="false">IF(A733="","",IFERROR(INDEX(Settings!$F$5:$F$49,MATCH(G733,Settings!$D$5:$D$49,0)),""))</f>
        <v/>
      </c>
      <c r="W733" s="24" t="str">
        <f aca="false">IF(A733="","",IF(OR(P733="",P733="Organic"),"social","paid_social"))</f>
        <v/>
      </c>
      <c r="X733" s="24" t="str">
        <f aca="false">IF(A733="","",IF(K733&lt;&gt;"",IFERROR(INDEX('Case Studies'!$C$5:$C$54,MATCH(K733,'Case Studies'!$B$5:$B$54,0))&amp;"","case-study"),IF(J733&lt;&gt;"",IFERROR(INDEX(Settings!$J$5:$J$55,MATCH(J733,Settings!$I$5:$I$55,0)),"general"),"general")))</f>
        <v/>
      </c>
      <c r="Y733" s="24" t="str">
        <f aca="false">IF(A733="","",LOWER(A733))</f>
        <v/>
      </c>
      <c r="Z733" s="24" t="str">
        <f aca="false">IF(A733="","",IF(T733="",Settings!$B$5,T733)&amp;IF(ISNUMBER(FIND("?",IF(T733="",Settings!$B$5,T733))),"&amp;","?")&amp;"utm_source="&amp;V733&amp;"&amp;utm_medium="&amp;W733&amp;"&amp;utm_campaign="&amp;X733&amp;"&amp;utm_content="&amp;Y733)</f>
        <v/>
      </c>
      <c r="AA733" s="29"/>
      <c r="AB733" s="39"/>
      <c r="AC733" s="32"/>
      <c r="AD733" s="32"/>
      <c r="AE733" s="32"/>
      <c r="AF733" s="32"/>
      <c r="AG733" s="32"/>
      <c r="AH733" s="32"/>
      <c r="AI733" s="32"/>
      <c r="AJ733" s="32"/>
      <c r="AK733" s="32"/>
      <c r="AL733" s="32"/>
      <c r="AM733" s="32"/>
      <c r="AN733" s="32"/>
      <c r="AO733" s="33" t="str">
        <f aca="false">IF(A733="","",IF(AD733&lt;&gt;"",AD733,IF(AC733&lt;&gt;"",AC733,"")))</f>
        <v/>
      </c>
      <c r="AP733" s="24" t="str">
        <f aca="false">IF(AO733="","",IF(AD733&lt;&gt;"","Reported reach","Impressions (proxy)"))</f>
        <v/>
      </c>
      <c r="AQ733" s="34" t="str">
        <f aca="false">IF(OR(AO733="",N(S733)=0),"",AO733/S733)</f>
        <v/>
      </c>
      <c r="AR733" s="33" t="str">
        <f aca="false">IF(A733="","",IF(COUNT(AF733:AJ733)=0,"",SUM(AF733:AJ733)))</f>
        <v/>
      </c>
      <c r="AS733" s="34" t="str">
        <f aca="false">IF(OR(AR733="",N(AO733)=0),"",AR733/AO733)</f>
        <v/>
      </c>
      <c r="AT733" s="34" t="str">
        <f aca="false">IF(OR(AR733="",N(AC733)=0),"",AR733/AC733)</f>
        <v/>
      </c>
      <c r="AU733" s="34" t="str">
        <f aca="false">IF(OR(AR733="",N(S733)=0),"",AR733/S733)</f>
        <v/>
      </c>
      <c r="AV733" s="34" t="str">
        <f aca="false">IF(OR(AJ733="",N(AC733)=0),"",AJ733/AC733)</f>
        <v/>
      </c>
      <c r="AW733" s="34" t="str">
        <f aca="false">IF(OR(AH733="",N(AO733)=0),"",AH733/AO733)</f>
        <v/>
      </c>
      <c r="AX733" s="35" t="str">
        <f aca="false">IF(OR(AR733="",N(AO733)=0),"",(N(AF733)*Settings!$B$6+N(AG733)*Settings!$B$7+N(AH733)*Settings!$B$8+N(AI733)*Settings!$B$9+N(AJ733)*Settings!$B$10)/AO733*1000)</f>
        <v/>
      </c>
      <c r="AY733" s="36" t="str">
        <f aca="false">IF(AS733="","",IFERROR(AS733/AVERAGEIFS('Post Tracker'!$AS$5:$AS$1004,'Post Tracker'!$G$5:$G$1004,G733),""))</f>
        <v/>
      </c>
      <c r="AZ733" s="32"/>
      <c r="BA733" s="32"/>
      <c r="BB733" s="32"/>
      <c r="BC733" s="32"/>
      <c r="BD733" s="33" t="str">
        <f aca="false">IF(A733="","",COUNTIFS('Demo Pipeline'!$Q$5:$Q$504,A733))</f>
        <v/>
      </c>
      <c r="BE733" s="33" t="str">
        <f aca="false">IF(A733="","",COUNTIFS('Demo Pipeline'!$Q$5:$Q$504,A733,'Demo Pipeline'!$W$5:$W$504,"Attended"))</f>
        <v/>
      </c>
      <c r="BF733" s="33" t="str">
        <f aca="false">IF(A733="","",COUNTIFS('Demo Pipeline'!$Q$5:$Q$504,A733,'Demo Pipeline'!$X$5:$X$504,"Yes"))</f>
        <v/>
      </c>
      <c r="BG733" s="33" t="str">
        <f aca="false">IF(A733="","",COUNTIFS('Demo Pipeline'!$Q$5:$Q$504,A733,'Demo Pipeline'!$Y$5:$Y$504,"Closed Won"))</f>
        <v/>
      </c>
      <c r="BH733" s="37" t="str">
        <f aca="false">IF(A733="","",SUMIFS('Demo Pipeline'!$Z$5:$Z$504,'Demo Pipeline'!$Q$5:$Q$504,A733))</f>
        <v/>
      </c>
      <c r="BI733" s="34" t="str">
        <f aca="false">IF(OR(AZ733="",N(AJ733)=0),"",AZ733/AJ733)</f>
        <v/>
      </c>
      <c r="BJ733" s="34" t="str">
        <f aca="false">IF(OR(BB733="",N(AZ733)=0),"",BB733/AZ733)</f>
        <v/>
      </c>
      <c r="BK733" s="34" t="str">
        <f aca="false">IF(OR(A733="",N(BB733)=0),"",BD733/BB733)</f>
        <v/>
      </c>
      <c r="BL733" s="34" t="str">
        <f aca="false">IF(OR(A733="",N(AZ733)=0),"",BD733/AZ733)</f>
        <v/>
      </c>
      <c r="BM733" s="37" t="str">
        <f aca="false">IF(OR(N(Q733)=0,N(BD733)=0),"",Q733/BD733)</f>
        <v/>
      </c>
      <c r="BN733" s="29"/>
      <c r="BO733" s="29"/>
      <c r="BP733" s="33" t="str">
        <f aca="false">IF(OR(AR733="",N(AO733)=0),"",AR733)</f>
        <v/>
      </c>
      <c r="BQ733" s="33" t="str">
        <f aca="false">IF(OR(AR733="",N(S733)=0),"",S733)</f>
        <v/>
      </c>
      <c r="BR733" s="38" t="str">
        <f aca="false">IF(AND(ISNUMBER(B733),B733&gt;=Dashboard!$C$4,B733&lt;=Dashboard!$F$4,ISNUMBER(AU733)),AU733+ROW()/10^9,"")</f>
        <v/>
      </c>
      <c r="BS733" s="38" t="str">
        <f aca="false">IF(AND(ISNUMBER(B733),B733&gt;=Dashboard!$C$4,B733&lt;=Dashboard!$F$4,A733&lt;&gt;""),N(BD733)+N(AU733)/100+ROW()/10^9,"")</f>
        <v/>
      </c>
    </row>
    <row r="734" customFormat="false" ht="15" hidden="false" customHeight="false" outlineLevel="0" collapsed="false">
      <c r="A734" s="24" t="str">
        <f aca="false">IF(OR(B734="",G734="",H734=""),"",IFERROR(INDEX(Settings!$E$5:$E$49,MATCH(G734,Settings!$D$5:$D$49,0))&amp;INDEX(Settings!$H$5:$H$47,MATCH(H734,Settings!$G$5:$G$47,0))&amp;"-"&amp;TEXT(B734,"yymmdd")&amp;"-"&amp;IF(C734="","0000",TEXT(C734,"hhmm")),"CHECK LISTS"))</f>
        <v/>
      </c>
      <c r="B734" s="39"/>
      <c r="C734" s="40"/>
      <c r="D734" s="24" t="str">
        <f aca="false">IF(B734="","",TEXT(B734,"ddd"))</f>
        <v/>
      </c>
      <c r="E734" s="27" t="str">
        <f aca="false">IF(B734="","",B734-WEEKDAY(B734,3))</f>
        <v/>
      </c>
      <c r="F734" s="24" t="str">
        <f aca="false">IF(B734="","",TEXT(B734,"yyyy-mm"))</f>
        <v/>
      </c>
      <c r="G734" s="29"/>
      <c r="H734" s="29"/>
      <c r="I734" s="29"/>
      <c r="J734" s="29"/>
      <c r="K734" s="29"/>
      <c r="L734" s="29"/>
      <c r="M734" s="29"/>
      <c r="N734" s="29"/>
      <c r="O734" s="29"/>
      <c r="P734" s="29"/>
      <c r="Q734" s="30"/>
      <c r="R734" s="29"/>
      <c r="S734" s="32"/>
      <c r="T734" s="29"/>
      <c r="U734" s="29"/>
      <c r="V734" s="24" t="str">
        <f aca="false">IF(A734="","",IFERROR(INDEX(Settings!$F$5:$F$49,MATCH(G734,Settings!$D$5:$D$49,0)),""))</f>
        <v/>
      </c>
      <c r="W734" s="24" t="str">
        <f aca="false">IF(A734="","",IF(OR(P734="",P734="Organic"),"social","paid_social"))</f>
        <v/>
      </c>
      <c r="X734" s="24" t="str">
        <f aca="false">IF(A734="","",IF(K734&lt;&gt;"",IFERROR(INDEX('Case Studies'!$C$5:$C$54,MATCH(K734,'Case Studies'!$B$5:$B$54,0))&amp;"","case-study"),IF(J734&lt;&gt;"",IFERROR(INDEX(Settings!$J$5:$J$55,MATCH(J734,Settings!$I$5:$I$55,0)),"general"),"general")))</f>
        <v/>
      </c>
      <c r="Y734" s="24" t="str">
        <f aca="false">IF(A734="","",LOWER(A734))</f>
        <v/>
      </c>
      <c r="Z734" s="24" t="str">
        <f aca="false">IF(A734="","",IF(T734="",Settings!$B$5,T734)&amp;IF(ISNUMBER(FIND("?",IF(T734="",Settings!$B$5,T734))),"&amp;","?")&amp;"utm_source="&amp;V734&amp;"&amp;utm_medium="&amp;W734&amp;"&amp;utm_campaign="&amp;X734&amp;"&amp;utm_content="&amp;Y734)</f>
        <v/>
      </c>
      <c r="AA734" s="29"/>
      <c r="AB734" s="39"/>
      <c r="AC734" s="32"/>
      <c r="AD734" s="32"/>
      <c r="AE734" s="32"/>
      <c r="AF734" s="32"/>
      <c r="AG734" s="32"/>
      <c r="AH734" s="32"/>
      <c r="AI734" s="32"/>
      <c r="AJ734" s="32"/>
      <c r="AK734" s="32"/>
      <c r="AL734" s="32"/>
      <c r="AM734" s="32"/>
      <c r="AN734" s="32"/>
      <c r="AO734" s="33" t="str">
        <f aca="false">IF(A734="","",IF(AD734&lt;&gt;"",AD734,IF(AC734&lt;&gt;"",AC734,"")))</f>
        <v/>
      </c>
      <c r="AP734" s="24" t="str">
        <f aca="false">IF(AO734="","",IF(AD734&lt;&gt;"","Reported reach","Impressions (proxy)"))</f>
        <v/>
      </c>
      <c r="AQ734" s="34" t="str">
        <f aca="false">IF(OR(AO734="",N(S734)=0),"",AO734/S734)</f>
        <v/>
      </c>
      <c r="AR734" s="33" t="str">
        <f aca="false">IF(A734="","",IF(COUNT(AF734:AJ734)=0,"",SUM(AF734:AJ734)))</f>
        <v/>
      </c>
      <c r="AS734" s="34" t="str">
        <f aca="false">IF(OR(AR734="",N(AO734)=0),"",AR734/AO734)</f>
        <v/>
      </c>
      <c r="AT734" s="34" t="str">
        <f aca="false">IF(OR(AR734="",N(AC734)=0),"",AR734/AC734)</f>
        <v/>
      </c>
      <c r="AU734" s="34" t="str">
        <f aca="false">IF(OR(AR734="",N(S734)=0),"",AR734/S734)</f>
        <v/>
      </c>
      <c r="AV734" s="34" t="str">
        <f aca="false">IF(OR(AJ734="",N(AC734)=0),"",AJ734/AC734)</f>
        <v/>
      </c>
      <c r="AW734" s="34" t="str">
        <f aca="false">IF(OR(AH734="",N(AO734)=0),"",AH734/AO734)</f>
        <v/>
      </c>
      <c r="AX734" s="35" t="str">
        <f aca="false">IF(OR(AR734="",N(AO734)=0),"",(N(AF734)*Settings!$B$6+N(AG734)*Settings!$B$7+N(AH734)*Settings!$B$8+N(AI734)*Settings!$B$9+N(AJ734)*Settings!$B$10)/AO734*1000)</f>
        <v/>
      </c>
      <c r="AY734" s="36" t="str">
        <f aca="false">IF(AS734="","",IFERROR(AS734/AVERAGEIFS('Post Tracker'!$AS$5:$AS$1004,'Post Tracker'!$G$5:$G$1004,G734),""))</f>
        <v/>
      </c>
      <c r="AZ734" s="32"/>
      <c r="BA734" s="32"/>
      <c r="BB734" s="32"/>
      <c r="BC734" s="32"/>
      <c r="BD734" s="33" t="str">
        <f aca="false">IF(A734="","",COUNTIFS('Demo Pipeline'!$Q$5:$Q$504,A734))</f>
        <v/>
      </c>
      <c r="BE734" s="33" t="str">
        <f aca="false">IF(A734="","",COUNTIFS('Demo Pipeline'!$Q$5:$Q$504,A734,'Demo Pipeline'!$W$5:$W$504,"Attended"))</f>
        <v/>
      </c>
      <c r="BF734" s="33" t="str">
        <f aca="false">IF(A734="","",COUNTIFS('Demo Pipeline'!$Q$5:$Q$504,A734,'Demo Pipeline'!$X$5:$X$504,"Yes"))</f>
        <v/>
      </c>
      <c r="BG734" s="33" t="str">
        <f aca="false">IF(A734="","",COUNTIFS('Demo Pipeline'!$Q$5:$Q$504,A734,'Demo Pipeline'!$Y$5:$Y$504,"Closed Won"))</f>
        <v/>
      </c>
      <c r="BH734" s="37" t="str">
        <f aca="false">IF(A734="","",SUMIFS('Demo Pipeline'!$Z$5:$Z$504,'Demo Pipeline'!$Q$5:$Q$504,A734))</f>
        <v/>
      </c>
      <c r="BI734" s="34" t="str">
        <f aca="false">IF(OR(AZ734="",N(AJ734)=0),"",AZ734/AJ734)</f>
        <v/>
      </c>
      <c r="BJ734" s="34" t="str">
        <f aca="false">IF(OR(BB734="",N(AZ734)=0),"",BB734/AZ734)</f>
        <v/>
      </c>
      <c r="BK734" s="34" t="str">
        <f aca="false">IF(OR(A734="",N(BB734)=0),"",BD734/BB734)</f>
        <v/>
      </c>
      <c r="BL734" s="34" t="str">
        <f aca="false">IF(OR(A734="",N(AZ734)=0),"",BD734/AZ734)</f>
        <v/>
      </c>
      <c r="BM734" s="37" t="str">
        <f aca="false">IF(OR(N(Q734)=0,N(BD734)=0),"",Q734/BD734)</f>
        <v/>
      </c>
      <c r="BN734" s="29"/>
      <c r="BO734" s="29"/>
      <c r="BP734" s="33" t="str">
        <f aca="false">IF(OR(AR734="",N(AO734)=0),"",AR734)</f>
        <v/>
      </c>
      <c r="BQ734" s="33" t="str">
        <f aca="false">IF(OR(AR734="",N(S734)=0),"",S734)</f>
        <v/>
      </c>
      <c r="BR734" s="38" t="str">
        <f aca="false">IF(AND(ISNUMBER(B734),B734&gt;=Dashboard!$C$4,B734&lt;=Dashboard!$F$4,ISNUMBER(AU734)),AU734+ROW()/10^9,"")</f>
        <v/>
      </c>
      <c r="BS734" s="38" t="str">
        <f aca="false">IF(AND(ISNUMBER(B734),B734&gt;=Dashboard!$C$4,B734&lt;=Dashboard!$F$4,A734&lt;&gt;""),N(BD734)+N(AU734)/100+ROW()/10^9,"")</f>
        <v/>
      </c>
    </row>
    <row r="735" customFormat="false" ht="15" hidden="false" customHeight="false" outlineLevel="0" collapsed="false">
      <c r="A735" s="24" t="str">
        <f aca="false">IF(OR(B735="",G735="",H735=""),"",IFERROR(INDEX(Settings!$E$5:$E$49,MATCH(G735,Settings!$D$5:$D$49,0))&amp;INDEX(Settings!$H$5:$H$47,MATCH(H735,Settings!$G$5:$G$47,0))&amp;"-"&amp;TEXT(B735,"yymmdd")&amp;"-"&amp;IF(C735="","0000",TEXT(C735,"hhmm")),"CHECK LISTS"))</f>
        <v/>
      </c>
      <c r="B735" s="39"/>
      <c r="C735" s="40"/>
      <c r="D735" s="24" t="str">
        <f aca="false">IF(B735="","",TEXT(B735,"ddd"))</f>
        <v/>
      </c>
      <c r="E735" s="27" t="str">
        <f aca="false">IF(B735="","",B735-WEEKDAY(B735,3))</f>
        <v/>
      </c>
      <c r="F735" s="24" t="str">
        <f aca="false">IF(B735="","",TEXT(B735,"yyyy-mm"))</f>
        <v/>
      </c>
      <c r="G735" s="29"/>
      <c r="H735" s="29"/>
      <c r="I735" s="29"/>
      <c r="J735" s="29"/>
      <c r="K735" s="29"/>
      <c r="L735" s="29"/>
      <c r="M735" s="29"/>
      <c r="N735" s="29"/>
      <c r="O735" s="29"/>
      <c r="P735" s="29"/>
      <c r="Q735" s="30"/>
      <c r="R735" s="29"/>
      <c r="S735" s="32"/>
      <c r="T735" s="29"/>
      <c r="U735" s="29"/>
      <c r="V735" s="24" t="str">
        <f aca="false">IF(A735="","",IFERROR(INDEX(Settings!$F$5:$F$49,MATCH(G735,Settings!$D$5:$D$49,0)),""))</f>
        <v/>
      </c>
      <c r="W735" s="24" t="str">
        <f aca="false">IF(A735="","",IF(OR(P735="",P735="Organic"),"social","paid_social"))</f>
        <v/>
      </c>
      <c r="X735" s="24" t="str">
        <f aca="false">IF(A735="","",IF(K735&lt;&gt;"",IFERROR(INDEX('Case Studies'!$C$5:$C$54,MATCH(K735,'Case Studies'!$B$5:$B$54,0))&amp;"","case-study"),IF(J735&lt;&gt;"",IFERROR(INDEX(Settings!$J$5:$J$55,MATCH(J735,Settings!$I$5:$I$55,0)),"general"),"general")))</f>
        <v/>
      </c>
      <c r="Y735" s="24" t="str">
        <f aca="false">IF(A735="","",LOWER(A735))</f>
        <v/>
      </c>
      <c r="Z735" s="24" t="str">
        <f aca="false">IF(A735="","",IF(T735="",Settings!$B$5,T735)&amp;IF(ISNUMBER(FIND("?",IF(T735="",Settings!$B$5,T735))),"&amp;","?")&amp;"utm_source="&amp;V735&amp;"&amp;utm_medium="&amp;W735&amp;"&amp;utm_campaign="&amp;X735&amp;"&amp;utm_content="&amp;Y735)</f>
        <v/>
      </c>
      <c r="AA735" s="29"/>
      <c r="AB735" s="39"/>
      <c r="AC735" s="32"/>
      <c r="AD735" s="32"/>
      <c r="AE735" s="32"/>
      <c r="AF735" s="32"/>
      <c r="AG735" s="32"/>
      <c r="AH735" s="32"/>
      <c r="AI735" s="32"/>
      <c r="AJ735" s="32"/>
      <c r="AK735" s="32"/>
      <c r="AL735" s="32"/>
      <c r="AM735" s="32"/>
      <c r="AN735" s="32"/>
      <c r="AO735" s="33" t="str">
        <f aca="false">IF(A735="","",IF(AD735&lt;&gt;"",AD735,IF(AC735&lt;&gt;"",AC735,"")))</f>
        <v/>
      </c>
      <c r="AP735" s="24" t="str">
        <f aca="false">IF(AO735="","",IF(AD735&lt;&gt;"","Reported reach","Impressions (proxy)"))</f>
        <v/>
      </c>
      <c r="AQ735" s="34" t="str">
        <f aca="false">IF(OR(AO735="",N(S735)=0),"",AO735/S735)</f>
        <v/>
      </c>
      <c r="AR735" s="33" t="str">
        <f aca="false">IF(A735="","",IF(COUNT(AF735:AJ735)=0,"",SUM(AF735:AJ735)))</f>
        <v/>
      </c>
      <c r="AS735" s="34" t="str">
        <f aca="false">IF(OR(AR735="",N(AO735)=0),"",AR735/AO735)</f>
        <v/>
      </c>
      <c r="AT735" s="34" t="str">
        <f aca="false">IF(OR(AR735="",N(AC735)=0),"",AR735/AC735)</f>
        <v/>
      </c>
      <c r="AU735" s="34" t="str">
        <f aca="false">IF(OR(AR735="",N(S735)=0),"",AR735/S735)</f>
        <v/>
      </c>
      <c r="AV735" s="34" t="str">
        <f aca="false">IF(OR(AJ735="",N(AC735)=0),"",AJ735/AC735)</f>
        <v/>
      </c>
      <c r="AW735" s="34" t="str">
        <f aca="false">IF(OR(AH735="",N(AO735)=0),"",AH735/AO735)</f>
        <v/>
      </c>
      <c r="AX735" s="35" t="str">
        <f aca="false">IF(OR(AR735="",N(AO735)=0),"",(N(AF735)*Settings!$B$6+N(AG735)*Settings!$B$7+N(AH735)*Settings!$B$8+N(AI735)*Settings!$B$9+N(AJ735)*Settings!$B$10)/AO735*1000)</f>
        <v/>
      </c>
      <c r="AY735" s="36" t="str">
        <f aca="false">IF(AS735="","",IFERROR(AS735/AVERAGEIFS('Post Tracker'!$AS$5:$AS$1004,'Post Tracker'!$G$5:$G$1004,G735),""))</f>
        <v/>
      </c>
      <c r="AZ735" s="32"/>
      <c r="BA735" s="32"/>
      <c r="BB735" s="32"/>
      <c r="BC735" s="32"/>
      <c r="BD735" s="33" t="str">
        <f aca="false">IF(A735="","",COUNTIFS('Demo Pipeline'!$Q$5:$Q$504,A735))</f>
        <v/>
      </c>
      <c r="BE735" s="33" t="str">
        <f aca="false">IF(A735="","",COUNTIFS('Demo Pipeline'!$Q$5:$Q$504,A735,'Demo Pipeline'!$W$5:$W$504,"Attended"))</f>
        <v/>
      </c>
      <c r="BF735" s="33" t="str">
        <f aca="false">IF(A735="","",COUNTIFS('Demo Pipeline'!$Q$5:$Q$504,A735,'Demo Pipeline'!$X$5:$X$504,"Yes"))</f>
        <v/>
      </c>
      <c r="BG735" s="33" t="str">
        <f aca="false">IF(A735="","",COUNTIFS('Demo Pipeline'!$Q$5:$Q$504,A735,'Demo Pipeline'!$Y$5:$Y$504,"Closed Won"))</f>
        <v/>
      </c>
      <c r="BH735" s="37" t="str">
        <f aca="false">IF(A735="","",SUMIFS('Demo Pipeline'!$Z$5:$Z$504,'Demo Pipeline'!$Q$5:$Q$504,A735))</f>
        <v/>
      </c>
      <c r="BI735" s="34" t="str">
        <f aca="false">IF(OR(AZ735="",N(AJ735)=0),"",AZ735/AJ735)</f>
        <v/>
      </c>
      <c r="BJ735" s="34" t="str">
        <f aca="false">IF(OR(BB735="",N(AZ735)=0),"",BB735/AZ735)</f>
        <v/>
      </c>
      <c r="BK735" s="34" t="str">
        <f aca="false">IF(OR(A735="",N(BB735)=0),"",BD735/BB735)</f>
        <v/>
      </c>
      <c r="BL735" s="34" t="str">
        <f aca="false">IF(OR(A735="",N(AZ735)=0),"",BD735/AZ735)</f>
        <v/>
      </c>
      <c r="BM735" s="37" t="str">
        <f aca="false">IF(OR(N(Q735)=0,N(BD735)=0),"",Q735/BD735)</f>
        <v/>
      </c>
      <c r="BN735" s="29"/>
      <c r="BO735" s="29"/>
      <c r="BP735" s="33" t="str">
        <f aca="false">IF(OR(AR735="",N(AO735)=0),"",AR735)</f>
        <v/>
      </c>
      <c r="BQ735" s="33" t="str">
        <f aca="false">IF(OR(AR735="",N(S735)=0),"",S735)</f>
        <v/>
      </c>
      <c r="BR735" s="38" t="str">
        <f aca="false">IF(AND(ISNUMBER(B735),B735&gt;=Dashboard!$C$4,B735&lt;=Dashboard!$F$4,ISNUMBER(AU735)),AU735+ROW()/10^9,"")</f>
        <v/>
      </c>
      <c r="BS735" s="38" t="str">
        <f aca="false">IF(AND(ISNUMBER(B735),B735&gt;=Dashboard!$C$4,B735&lt;=Dashboard!$F$4,A735&lt;&gt;""),N(BD735)+N(AU735)/100+ROW()/10^9,"")</f>
        <v/>
      </c>
    </row>
    <row r="736" customFormat="false" ht="15" hidden="false" customHeight="false" outlineLevel="0" collapsed="false">
      <c r="A736" s="24" t="str">
        <f aca="false">IF(OR(B736="",G736="",H736=""),"",IFERROR(INDEX(Settings!$E$5:$E$49,MATCH(G736,Settings!$D$5:$D$49,0))&amp;INDEX(Settings!$H$5:$H$47,MATCH(H736,Settings!$G$5:$G$47,0))&amp;"-"&amp;TEXT(B736,"yymmdd")&amp;"-"&amp;IF(C736="","0000",TEXT(C736,"hhmm")),"CHECK LISTS"))</f>
        <v/>
      </c>
      <c r="B736" s="39"/>
      <c r="C736" s="40"/>
      <c r="D736" s="24" t="str">
        <f aca="false">IF(B736="","",TEXT(B736,"ddd"))</f>
        <v/>
      </c>
      <c r="E736" s="27" t="str">
        <f aca="false">IF(B736="","",B736-WEEKDAY(B736,3))</f>
        <v/>
      </c>
      <c r="F736" s="24" t="str">
        <f aca="false">IF(B736="","",TEXT(B736,"yyyy-mm"))</f>
        <v/>
      </c>
      <c r="G736" s="29"/>
      <c r="H736" s="29"/>
      <c r="I736" s="29"/>
      <c r="J736" s="29"/>
      <c r="K736" s="29"/>
      <c r="L736" s="29"/>
      <c r="M736" s="29"/>
      <c r="N736" s="29"/>
      <c r="O736" s="29"/>
      <c r="P736" s="29"/>
      <c r="Q736" s="30"/>
      <c r="R736" s="29"/>
      <c r="S736" s="32"/>
      <c r="T736" s="29"/>
      <c r="U736" s="29"/>
      <c r="V736" s="24" t="str">
        <f aca="false">IF(A736="","",IFERROR(INDEX(Settings!$F$5:$F$49,MATCH(G736,Settings!$D$5:$D$49,0)),""))</f>
        <v/>
      </c>
      <c r="W736" s="24" t="str">
        <f aca="false">IF(A736="","",IF(OR(P736="",P736="Organic"),"social","paid_social"))</f>
        <v/>
      </c>
      <c r="X736" s="24" t="str">
        <f aca="false">IF(A736="","",IF(K736&lt;&gt;"",IFERROR(INDEX('Case Studies'!$C$5:$C$54,MATCH(K736,'Case Studies'!$B$5:$B$54,0))&amp;"","case-study"),IF(J736&lt;&gt;"",IFERROR(INDEX(Settings!$J$5:$J$55,MATCH(J736,Settings!$I$5:$I$55,0)),"general"),"general")))</f>
        <v/>
      </c>
      <c r="Y736" s="24" t="str">
        <f aca="false">IF(A736="","",LOWER(A736))</f>
        <v/>
      </c>
      <c r="Z736" s="24" t="str">
        <f aca="false">IF(A736="","",IF(T736="",Settings!$B$5,T736)&amp;IF(ISNUMBER(FIND("?",IF(T736="",Settings!$B$5,T736))),"&amp;","?")&amp;"utm_source="&amp;V736&amp;"&amp;utm_medium="&amp;W736&amp;"&amp;utm_campaign="&amp;X736&amp;"&amp;utm_content="&amp;Y736)</f>
        <v/>
      </c>
      <c r="AA736" s="29"/>
      <c r="AB736" s="39"/>
      <c r="AC736" s="32"/>
      <c r="AD736" s="32"/>
      <c r="AE736" s="32"/>
      <c r="AF736" s="32"/>
      <c r="AG736" s="32"/>
      <c r="AH736" s="32"/>
      <c r="AI736" s="32"/>
      <c r="AJ736" s="32"/>
      <c r="AK736" s="32"/>
      <c r="AL736" s="32"/>
      <c r="AM736" s="32"/>
      <c r="AN736" s="32"/>
      <c r="AO736" s="33" t="str">
        <f aca="false">IF(A736="","",IF(AD736&lt;&gt;"",AD736,IF(AC736&lt;&gt;"",AC736,"")))</f>
        <v/>
      </c>
      <c r="AP736" s="24" t="str">
        <f aca="false">IF(AO736="","",IF(AD736&lt;&gt;"","Reported reach","Impressions (proxy)"))</f>
        <v/>
      </c>
      <c r="AQ736" s="34" t="str">
        <f aca="false">IF(OR(AO736="",N(S736)=0),"",AO736/S736)</f>
        <v/>
      </c>
      <c r="AR736" s="33" t="str">
        <f aca="false">IF(A736="","",IF(COUNT(AF736:AJ736)=0,"",SUM(AF736:AJ736)))</f>
        <v/>
      </c>
      <c r="AS736" s="34" t="str">
        <f aca="false">IF(OR(AR736="",N(AO736)=0),"",AR736/AO736)</f>
        <v/>
      </c>
      <c r="AT736" s="34" t="str">
        <f aca="false">IF(OR(AR736="",N(AC736)=0),"",AR736/AC736)</f>
        <v/>
      </c>
      <c r="AU736" s="34" t="str">
        <f aca="false">IF(OR(AR736="",N(S736)=0),"",AR736/S736)</f>
        <v/>
      </c>
      <c r="AV736" s="34" t="str">
        <f aca="false">IF(OR(AJ736="",N(AC736)=0),"",AJ736/AC736)</f>
        <v/>
      </c>
      <c r="AW736" s="34" t="str">
        <f aca="false">IF(OR(AH736="",N(AO736)=0),"",AH736/AO736)</f>
        <v/>
      </c>
      <c r="AX736" s="35" t="str">
        <f aca="false">IF(OR(AR736="",N(AO736)=0),"",(N(AF736)*Settings!$B$6+N(AG736)*Settings!$B$7+N(AH736)*Settings!$B$8+N(AI736)*Settings!$B$9+N(AJ736)*Settings!$B$10)/AO736*1000)</f>
        <v/>
      </c>
      <c r="AY736" s="36" t="str">
        <f aca="false">IF(AS736="","",IFERROR(AS736/AVERAGEIFS('Post Tracker'!$AS$5:$AS$1004,'Post Tracker'!$G$5:$G$1004,G736),""))</f>
        <v/>
      </c>
      <c r="AZ736" s="32"/>
      <c r="BA736" s="32"/>
      <c r="BB736" s="32"/>
      <c r="BC736" s="32"/>
      <c r="BD736" s="33" t="str">
        <f aca="false">IF(A736="","",COUNTIFS('Demo Pipeline'!$Q$5:$Q$504,A736))</f>
        <v/>
      </c>
      <c r="BE736" s="33" t="str">
        <f aca="false">IF(A736="","",COUNTIFS('Demo Pipeline'!$Q$5:$Q$504,A736,'Demo Pipeline'!$W$5:$W$504,"Attended"))</f>
        <v/>
      </c>
      <c r="BF736" s="33" t="str">
        <f aca="false">IF(A736="","",COUNTIFS('Demo Pipeline'!$Q$5:$Q$504,A736,'Demo Pipeline'!$X$5:$X$504,"Yes"))</f>
        <v/>
      </c>
      <c r="BG736" s="33" t="str">
        <f aca="false">IF(A736="","",COUNTIFS('Demo Pipeline'!$Q$5:$Q$504,A736,'Demo Pipeline'!$Y$5:$Y$504,"Closed Won"))</f>
        <v/>
      </c>
      <c r="BH736" s="37" t="str">
        <f aca="false">IF(A736="","",SUMIFS('Demo Pipeline'!$Z$5:$Z$504,'Demo Pipeline'!$Q$5:$Q$504,A736))</f>
        <v/>
      </c>
      <c r="BI736" s="34" t="str">
        <f aca="false">IF(OR(AZ736="",N(AJ736)=0),"",AZ736/AJ736)</f>
        <v/>
      </c>
      <c r="BJ736" s="34" t="str">
        <f aca="false">IF(OR(BB736="",N(AZ736)=0),"",BB736/AZ736)</f>
        <v/>
      </c>
      <c r="BK736" s="34" t="str">
        <f aca="false">IF(OR(A736="",N(BB736)=0),"",BD736/BB736)</f>
        <v/>
      </c>
      <c r="BL736" s="34" t="str">
        <f aca="false">IF(OR(A736="",N(AZ736)=0),"",BD736/AZ736)</f>
        <v/>
      </c>
      <c r="BM736" s="37" t="str">
        <f aca="false">IF(OR(N(Q736)=0,N(BD736)=0),"",Q736/BD736)</f>
        <v/>
      </c>
      <c r="BN736" s="29"/>
      <c r="BO736" s="29"/>
      <c r="BP736" s="33" t="str">
        <f aca="false">IF(OR(AR736="",N(AO736)=0),"",AR736)</f>
        <v/>
      </c>
      <c r="BQ736" s="33" t="str">
        <f aca="false">IF(OR(AR736="",N(S736)=0),"",S736)</f>
        <v/>
      </c>
      <c r="BR736" s="38" t="str">
        <f aca="false">IF(AND(ISNUMBER(B736),B736&gt;=Dashboard!$C$4,B736&lt;=Dashboard!$F$4,ISNUMBER(AU736)),AU736+ROW()/10^9,"")</f>
        <v/>
      </c>
      <c r="BS736" s="38" t="str">
        <f aca="false">IF(AND(ISNUMBER(B736),B736&gt;=Dashboard!$C$4,B736&lt;=Dashboard!$F$4,A736&lt;&gt;""),N(BD736)+N(AU736)/100+ROW()/10^9,"")</f>
        <v/>
      </c>
    </row>
    <row r="737" customFormat="false" ht="15" hidden="false" customHeight="false" outlineLevel="0" collapsed="false">
      <c r="A737" s="24" t="str">
        <f aca="false">IF(OR(B737="",G737="",H737=""),"",IFERROR(INDEX(Settings!$E$5:$E$49,MATCH(G737,Settings!$D$5:$D$49,0))&amp;INDEX(Settings!$H$5:$H$47,MATCH(H737,Settings!$G$5:$G$47,0))&amp;"-"&amp;TEXT(B737,"yymmdd")&amp;"-"&amp;IF(C737="","0000",TEXT(C737,"hhmm")),"CHECK LISTS"))</f>
        <v/>
      </c>
      <c r="B737" s="39"/>
      <c r="C737" s="40"/>
      <c r="D737" s="24" t="str">
        <f aca="false">IF(B737="","",TEXT(B737,"ddd"))</f>
        <v/>
      </c>
      <c r="E737" s="27" t="str">
        <f aca="false">IF(B737="","",B737-WEEKDAY(B737,3))</f>
        <v/>
      </c>
      <c r="F737" s="24" t="str">
        <f aca="false">IF(B737="","",TEXT(B737,"yyyy-mm"))</f>
        <v/>
      </c>
      <c r="G737" s="29"/>
      <c r="H737" s="29"/>
      <c r="I737" s="29"/>
      <c r="J737" s="29"/>
      <c r="K737" s="29"/>
      <c r="L737" s="29"/>
      <c r="M737" s="29"/>
      <c r="N737" s="29"/>
      <c r="O737" s="29"/>
      <c r="P737" s="29"/>
      <c r="Q737" s="30"/>
      <c r="R737" s="29"/>
      <c r="S737" s="32"/>
      <c r="T737" s="29"/>
      <c r="U737" s="29"/>
      <c r="V737" s="24" t="str">
        <f aca="false">IF(A737="","",IFERROR(INDEX(Settings!$F$5:$F$49,MATCH(G737,Settings!$D$5:$D$49,0)),""))</f>
        <v/>
      </c>
      <c r="W737" s="24" t="str">
        <f aca="false">IF(A737="","",IF(OR(P737="",P737="Organic"),"social","paid_social"))</f>
        <v/>
      </c>
      <c r="X737" s="24" t="str">
        <f aca="false">IF(A737="","",IF(K737&lt;&gt;"",IFERROR(INDEX('Case Studies'!$C$5:$C$54,MATCH(K737,'Case Studies'!$B$5:$B$54,0))&amp;"","case-study"),IF(J737&lt;&gt;"",IFERROR(INDEX(Settings!$J$5:$J$55,MATCH(J737,Settings!$I$5:$I$55,0)),"general"),"general")))</f>
        <v/>
      </c>
      <c r="Y737" s="24" t="str">
        <f aca="false">IF(A737="","",LOWER(A737))</f>
        <v/>
      </c>
      <c r="Z737" s="24" t="str">
        <f aca="false">IF(A737="","",IF(T737="",Settings!$B$5,T737)&amp;IF(ISNUMBER(FIND("?",IF(T737="",Settings!$B$5,T737))),"&amp;","?")&amp;"utm_source="&amp;V737&amp;"&amp;utm_medium="&amp;W737&amp;"&amp;utm_campaign="&amp;X737&amp;"&amp;utm_content="&amp;Y737)</f>
        <v/>
      </c>
      <c r="AA737" s="29"/>
      <c r="AB737" s="39"/>
      <c r="AC737" s="32"/>
      <c r="AD737" s="32"/>
      <c r="AE737" s="32"/>
      <c r="AF737" s="32"/>
      <c r="AG737" s="32"/>
      <c r="AH737" s="32"/>
      <c r="AI737" s="32"/>
      <c r="AJ737" s="32"/>
      <c r="AK737" s="32"/>
      <c r="AL737" s="32"/>
      <c r="AM737" s="32"/>
      <c r="AN737" s="32"/>
      <c r="AO737" s="33" t="str">
        <f aca="false">IF(A737="","",IF(AD737&lt;&gt;"",AD737,IF(AC737&lt;&gt;"",AC737,"")))</f>
        <v/>
      </c>
      <c r="AP737" s="24" t="str">
        <f aca="false">IF(AO737="","",IF(AD737&lt;&gt;"","Reported reach","Impressions (proxy)"))</f>
        <v/>
      </c>
      <c r="AQ737" s="34" t="str">
        <f aca="false">IF(OR(AO737="",N(S737)=0),"",AO737/S737)</f>
        <v/>
      </c>
      <c r="AR737" s="33" t="str">
        <f aca="false">IF(A737="","",IF(COUNT(AF737:AJ737)=0,"",SUM(AF737:AJ737)))</f>
        <v/>
      </c>
      <c r="AS737" s="34" t="str">
        <f aca="false">IF(OR(AR737="",N(AO737)=0),"",AR737/AO737)</f>
        <v/>
      </c>
      <c r="AT737" s="34" t="str">
        <f aca="false">IF(OR(AR737="",N(AC737)=0),"",AR737/AC737)</f>
        <v/>
      </c>
      <c r="AU737" s="34" t="str">
        <f aca="false">IF(OR(AR737="",N(S737)=0),"",AR737/S737)</f>
        <v/>
      </c>
      <c r="AV737" s="34" t="str">
        <f aca="false">IF(OR(AJ737="",N(AC737)=0),"",AJ737/AC737)</f>
        <v/>
      </c>
      <c r="AW737" s="34" t="str">
        <f aca="false">IF(OR(AH737="",N(AO737)=0),"",AH737/AO737)</f>
        <v/>
      </c>
      <c r="AX737" s="35" t="str">
        <f aca="false">IF(OR(AR737="",N(AO737)=0),"",(N(AF737)*Settings!$B$6+N(AG737)*Settings!$B$7+N(AH737)*Settings!$B$8+N(AI737)*Settings!$B$9+N(AJ737)*Settings!$B$10)/AO737*1000)</f>
        <v/>
      </c>
      <c r="AY737" s="36" t="str">
        <f aca="false">IF(AS737="","",IFERROR(AS737/AVERAGEIFS('Post Tracker'!$AS$5:$AS$1004,'Post Tracker'!$G$5:$G$1004,G737),""))</f>
        <v/>
      </c>
      <c r="AZ737" s="32"/>
      <c r="BA737" s="32"/>
      <c r="BB737" s="32"/>
      <c r="BC737" s="32"/>
      <c r="BD737" s="33" t="str">
        <f aca="false">IF(A737="","",COUNTIFS('Demo Pipeline'!$Q$5:$Q$504,A737))</f>
        <v/>
      </c>
      <c r="BE737" s="33" t="str">
        <f aca="false">IF(A737="","",COUNTIFS('Demo Pipeline'!$Q$5:$Q$504,A737,'Demo Pipeline'!$W$5:$W$504,"Attended"))</f>
        <v/>
      </c>
      <c r="BF737" s="33" t="str">
        <f aca="false">IF(A737="","",COUNTIFS('Demo Pipeline'!$Q$5:$Q$504,A737,'Demo Pipeline'!$X$5:$X$504,"Yes"))</f>
        <v/>
      </c>
      <c r="BG737" s="33" t="str">
        <f aca="false">IF(A737="","",COUNTIFS('Demo Pipeline'!$Q$5:$Q$504,A737,'Demo Pipeline'!$Y$5:$Y$504,"Closed Won"))</f>
        <v/>
      </c>
      <c r="BH737" s="37" t="str">
        <f aca="false">IF(A737="","",SUMIFS('Demo Pipeline'!$Z$5:$Z$504,'Demo Pipeline'!$Q$5:$Q$504,A737))</f>
        <v/>
      </c>
      <c r="BI737" s="34" t="str">
        <f aca="false">IF(OR(AZ737="",N(AJ737)=0),"",AZ737/AJ737)</f>
        <v/>
      </c>
      <c r="BJ737" s="34" t="str">
        <f aca="false">IF(OR(BB737="",N(AZ737)=0),"",BB737/AZ737)</f>
        <v/>
      </c>
      <c r="BK737" s="34" t="str">
        <f aca="false">IF(OR(A737="",N(BB737)=0),"",BD737/BB737)</f>
        <v/>
      </c>
      <c r="BL737" s="34" t="str">
        <f aca="false">IF(OR(A737="",N(AZ737)=0),"",BD737/AZ737)</f>
        <v/>
      </c>
      <c r="BM737" s="37" t="str">
        <f aca="false">IF(OR(N(Q737)=0,N(BD737)=0),"",Q737/BD737)</f>
        <v/>
      </c>
      <c r="BN737" s="29"/>
      <c r="BO737" s="29"/>
      <c r="BP737" s="33" t="str">
        <f aca="false">IF(OR(AR737="",N(AO737)=0),"",AR737)</f>
        <v/>
      </c>
      <c r="BQ737" s="33" t="str">
        <f aca="false">IF(OR(AR737="",N(S737)=0),"",S737)</f>
        <v/>
      </c>
      <c r="BR737" s="38" t="str">
        <f aca="false">IF(AND(ISNUMBER(B737),B737&gt;=Dashboard!$C$4,B737&lt;=Dashboard!$F$4,ISNUMBER(AU737)),AU737+ROW()/10^9,"")</f>
        <v/>
      </c>
      <c r="BS737" s="38" t="str">
        <f aca="false">IF(AND(ISNUMBER(B737),B737&gt;=Dashboard!$C$4,B737&lt;=Dashboard!$F$4,A737&lt;&gt;""),N(BD737)+N(AU737)/100+ROW()/10^9,"")</f>
        <v/>
      </c>
    </row>
    <row r="738" customFormat="false" ht="15" hidden="false" customHeight="false" outlineLevel="0" collapsed="false">
      <c r="A738" s="24" t="str">
        <f aca="false">IF(OR(B738="",G738="",H738=""),"",IFERROR(INDEX(Settings!$E$5:$E$49,MATCH(G738,Settings!$D$5:$D$49,0))&amp;INDEX(Settings!$H$5:$H$47,MATCH(H738,Settings!$G$5:$G$47,0))&amp;"-"&amp;TEXT(B738,"yymmdd")&amp;"-"&amp;IF(C738="","0000",TEXT(C738,"hhmm")),"CHECK LISTS"))</f>
        <v/>
      </c>
      <c r="B738" s="39"/>
      <c r="C738" s="40"/>
      <c r="D738" s="24" t="str">
        <f aca="false">IF(B738="","",TEXT(B738,"ddd"))</f>
        <v/>
      </c>
      <c r="E738" s="27" t="str">
        <f aca="false">IF(B738="","",B738-WEEKDAY(B738,3))</f>
        <v/>
      </c>
      <c r="F738" s="24" t="str">
        <f aca="false">IF(B738="","",TEXT(B738,"yyyy-mm"))</f>
        <v/>
      </c>
      <c r="G738" s="29"/>
      <c r="H738" s="29"/>
      <c r="I738" s="29"/>
      <c r="J738" s="29"/>
      <c r="K738" s="29"/>
      <c r="L738" s="29"/>
      <c r="M738" s="29"/>
      <c r="N738" s="29"/>
      <c r="O738" s="29"/>
      <c r="P738" s="29"/>
      <c r="Q738" s="30"/>
      <c r="R738" s="29"/>
      <c r="S738" s="32"/>
      <c r="T738" s="29"/>
      <c r="U738" s="29"/>
      <c r="V738" s="24" t="str">
        <f aca="false">IF(A738="","",IFERROR(INDEX(Settings!$F$5:$F$49,MATCH(G738,Settings!$D$5:$D$49,0)),""))</f>
        <v/>
      </c>
      <c r="W738" s="24" t="str">
        <f aca="false">IF(A738="","",IF(OR(P738="",P738="Organic"),"social","paid_social"))</f>
        <v/>
      </c>
      <c r="X738" s="24" t="str">
        <f aca="false">IF(A738="","",IF(K738&lt;&gt;"",IFERROR(INDEX('Case Studies'!$C$5:$C$54,MATCH(K738,'Case Studies'!$B$5:$B$54,0))&amp;"","case-study"),IF(J738&lt;&gt;"",IFERROR(INDEX(Settings!$J$5:$J$55,MATCH(J738,Settings!$I$5:$I$55,0)),"general"),"general")))</f>
        <v/>
      </c>
      <c r="Y738" s="24" t="str">
        <f aca="false">IF(A738="","",LOWER(A738))</f>
        <v/>
      </c>
      <c r="Z738" s="24" t="str">
        <f aca="false">IF(A738="","",IF(T738="",Settings!$B$5,T738)&amp;IF(ISNUMBER(FIND("?",IF(T738="",Settings!$B$5,T738))),"&amp;","?")&amp;"utm_source="&amp;V738&amp;"&amp;utm_medium="&amp;W738&amp;"&amp;utm_campaign="&amp;X738&amp;"&amp;utm_content="&amp;Y738)</f>
        <v/>
      </c>
      <c r="AA738" s="29"/>
      <c r="AB738" s="39"/>
      <c r="AC738" s="32"/>
      <c r="AD738" s="32"/>
      <c r="AE738" s="32"/>
      <c r="AF738" s="32"/>
      <c r="AG738" s="32"/>
      <c r="AH738" s="32"/>
      <c r="AI738" s="32"/>
      <c r="AJ738" s="32"/>
      <c r="AK738" s="32"/>
      <c r="AL738" s="32"/>
      <c r="AM738" s="32"/>
      <c r="AN738" s="32"/>
      <c r="AO738" s="33" t="str">
        <f aca="false">IF(A738="","",IF(AD738&lt;&gt;"",AD738,IF(AC738&lt;&gt;"",AC738,"")))</f>
        <v/>
      </c>
      <c r="AP738" s="24" t="str">
        <f aca="false">IF(AO738="","",IF(AD738&lt;&gt;"","Reported reach","Impressions (proxy)"))</f>
        <v/>
      </c>
      <c r="AQ738" s="34" t="str">
        <f aca="false">IF(OR(AO738="",N(S738)=0),"",AO738/S738)</f>
        <v/>
      </c>
      <c r="AR738" s="33" t="str">
        <f aca="false">IF(A738="","",IF(COUNT(AF738:AJ738)=0,"",SUM(AF738:AJ738)))</f>
        <v/>
      </c>
      <c r="AS738" s="34" t="str">
        <f aca="false">IF(OR(AR738="",N(AO738)=0),"",AR738/AO738)</f>
        <v/>
      </c>
      <c r="AT738" s="34" t="str">
        <f aca="false">IF(OR(AR738="",N(AC738)=0),"",AR738/AC738)</f>
        <v/>
      </c>
      <c r="AU738" s="34" t="str">
        <f aca="false">IF(OR(AR738="",N(S738)=0),"",AR738/S738)</f>
        <v/>
      </c>
      <c r="AV738" s="34" t="str">
        <f aca="false">IF(OR(AJ738="",N(AC738)=0),"",AJ738/AC738)</f>
        <v/>
      </c>
      <c r="AW738" s="34" t="str">
        <f aca="false">IF(OR(AH738="",N(AO738)=0),"",AH738/AO738)</f>
        <v/>
      </c>
      <c r="AX738" s="35" t="str">
        <f aca="false">IF(OR(AR738="",N(AO738)=0),"",(N(AF738)*Settings!$B$6+N(AG738)*Settings!$B$7+N(AH738)*Settings!$B$8+N(AI738)*Settings!$B$9+N(AJ738)*Settings!$B$10)/AO738*1000)</f>
        <v/>
      </c>
      <c r="AY738" s="36" t="str">
        <f aca="false">IF(AS738="","",IFERROR(AS738/AVERAGEIFS('Post Tracker'!$AS$5:$AS$1004,'Post Tracker'!$G$5:$G$1004,G738),""))</f>
        <v/>
      </c>
      <c r="AZ738" s="32"/>
      <c r="BA738" s="32"/>
      <c r="BB738" s="32"/>
      <c r="BC738" s="32"/>
      <c r="BD738" s="33" t="str">
        <f aca="false">IF(A738="","",COUNTIFS('Demo Pipeline'!$Q$5:$Q$504,A738))</f>
        <v/>
      </c>
      <c r="BE738" s="33" t="str">
        <f aca="false">IF(A738="","",COUNTIFS('Demo Pipeline'!$Q$5:$Q$504,A738,'Demo Pipeline'!$W$5:$W$504,"Attended"))</f>
        <v/>
      </c>
      <c r="BF738" s="33" t="str">
        <f aca="false">IF(A738="","",COUNTIFS('Demo Pipeline'!$Q$5:$Q$504,A738,'Demo Pipeline'!$X$5:$X$504,"Yes"))</f>
        <v/>
      </c>
      <c r="BG738" s="33" t="str">
        <f aca="false">IF(A738="","",COUNTIFS('Demo Pipeline'!$Q$5:$Q$504,A738,'Demo Pipeline'!$Y$5:$Y$504,"Closed Won"))</f>
        <v/>
      </c>
      <c r="BH738" s="37" t="str">
        <f aca="false">IF(A738="","",SUMIFS('Demo Pipeline'!$Z$5:$Z$504,'Demo Pipeline'!$Q$5:$Q$504,A738))</f>
        <v/>
      </c>
      <c r="BI738" s="34" t="str">
        <f aca="false">IF(OR(AZ738="",N(AJ738)=0),"",AZ738/AJ738)</f>
        <v/>
      </c>
      <c r="BJ738" s="34" t="str">
        <f aca="false">IF(OR(BB738="",N(AZ738)=0),"",BB738/AZ738)</f>
        <v/>
      </c>
      <c r="BK738" s="34" t="str">
        <f aca="false">IF(OR(A738="",N(BB738)=0),"",BD738/BB738)</f>
        <v/>
      </c>
      <c r="BL738" s="34" t="str">
        <f aca="false">IF(OR(A738="",N(AZ738)=0),"",BD738/AZ738)</f>
        <v/>
      </c>
      <c r="BM738" s="37" t="str">
        <f aca="false">IF(OR(N(Q738)=0,N(BD738)=0),"",Q738/BD738)</f>
        <v/>
      </c>
      <c r="BN738" s="29"/>
      <c r="BO738" s="29"/>
      <c r="BP738" s="33" t="str">
        <f aca="false">IF(OR(AR738="",N(AO738)=0),"",AR738)</f>
        <v/>
      </c>
      <c r="BQ738" s="33" t="str">
        <f aca="false">IF(OR(AR738="",N(S738)=0),"",S738)</f>
        <v/>
      </c>
      <c r="BR738" s="38" t="str">
        <f aca="false">IF(AND(ISNUMBER(B738),B738&gt;=Dashboard!$C$4,B738&lt;=Dashboard!$F$4,ISNUMBER(AU738)),AU738+ROW()/10^9,"")</f>
        <v/>
      </c>
      <c r="BS738" s="38" t="str">
        <f aca="false">IF(AND(ISNUMBER(B738),B738&gt;=Dashboard!$C$4,B738&lt;=Dashboard!$F$4,A738&lt;&gt;""),N(BD738)+N(AU738)/100+ROW()/10^9,"")</f>
        <v/>
      </c>
    </row>
    <row r="739" customFormat="false" ht="15" hidden="false" customHeight="false" outlineLevel="0" collapsed="false">
      <c r="A739" s="24" t="str">
        <f aca="false">IF(OR(B739="",G739="",H739=""),"",IFERROR(INDEX(Settings!$E$5:$E$49,MATCH(G739,Settings!$D$5:$D$49,0))&amp;INDEX(Settings!$H$5:$H$47,MATCH(H739,Settings!$G$5:$G$47,0))&amp;"-"&amp;TEXT(B739,"yymmdd")&amp;"-"&amp;IF(C739="","0000",TEXT(C739,"hhmm")),"CHECK LISTS"))</f>
        <v/>
      </c>
      <c r="B739" s="39"/>
      <c r="C739" s="40"/>
      <c r="D739" s="24" t="str">
        <f aca="false">IF(B739="","",TEXT(B739,"ddd"))</f>
        <v/>
      </c>
      <c r="E739" s="27" t="str">
        <f aca="false">IF(B739="","",B739-WEEKDAY(B739,3))</f>
        <v/>
      </c>
      <c r="F739" s="24" t="str">
        <f aca="false">IF(B739="","",TEXT(B739,"yyyy-mm"))</f>
        <v/>
      </c>
      <c r="G739" s="29"/>
      <c r="H739" s="29"/>
      <c r="I739" s="29"/>
      <c r="J739" s="29"/>
      <c r="K739" s="29"/>
      <c r="L739" s="29"/>
      <c r="M739" s="29"/>
      <c r="N739" s="29"/>
      <c r="O739" s="29"/>
      <c r="P739" s="29"/>
      <c r="Q739" s="30"/>
      <c r="R739" s="29"/>
      <c r="S739" s="32"/>
      <c r="T739" s="29"/>
      <c r="U739" s="29"/>
      <c r="V739" s="24" t="str">
        <f aca="false">IF(A739="","",IFERROR(INDEX(Settings!$F$5:$F$49,MATCH(G739,Settings!$D$5:$D$49,0)),""))</f>
        <v/>
      </c>
      <c r="W739" s="24" t="str">
        <f aca="false">IF(A739="","",IF(OR(P739="",P739="Organic"),"social","paid_social"))</f>
        <v/>
      </c>
      <c r="X739" s="24" t="str">
        <f aca="false">IF(A739="","",IF(K739&lt;&gt;"",IFERROR(INDEX('Case Studies'!$C$5:$C$54,MATCH(K739,'Case Studies'!$B$5:$B$54,0))&amp;"","case-study"),IF(J739&lt;&gt;"",IFERROR(INDEX(Settings!$J$5:$J$55,MATCH(J739,Settings!$I$5:$I$55,0)),"general"),"general")))</f>
        <v/>
      </c>
      <c r="Y739" s="24" t="str">
        <f aca="false">IF(A739="","",LOWER(A739))</f>
        <v/>
      </c>
      <c r="Z739" s="24" t="str">
        <f aca="false">IF(A739="","",IF(T739="",Settings!$B$5,T739)&amp;IF(ISNUMBER(FIND("?",IF(T739="",Settings!$B$5,T739))),"&amp;","?")&amp;"utm_source="&amp;V739&amp;"&amp;utm_medium="&amp;W739&amp;"&amp;utm_campaign="&amp;X739&amp;"&amp;utm_content="&amp;Y739)</f>
        <v/>
      </c>
      <c r="AA739" s="29"/>
      <c r="AB739" s="39"/>
      <c r="AC739" s="32"/>
      <c r="AD739" s="32"/>
      <c r="AE739" s="32"/>
      <c r="AF739" s="32"/>
      <c r="AG739" s="32"/>
      <c r="AH739" s="32"/>
      <c r="AI739" s="32"/>
      <c r="AJ739" s="32"/>
      <c r="AK739" s="32"/>
      <c r="AL739" s="32"/>
      <c r="AM739" s="32"/>
      <c r="AN739" s="32"/>
      <c r="AO739" s="33" t="str">
        <f aca="false">IF(A739="","",IF(AD739&lt;&gt;"",AD739,IF(AC739&lt;&gt;"",AC739,"")))</f>
        <v/>
      </c>
      <c r="AP739" s="24" t="str">
        <f aca="false">IF(AO739="","",IF(AD739&lt;&gt;"","Reported reach","Impressions (proxy)"))</f>
        <v/>
      </c>
      <c r="AQ739" s="34" t="str">
        <f aca="false">IF(OR(AO739="",N(S739)=0),"",AO739/S739)</f>
        <v/>
      </c>
      <c r="AR739" s="33" t="str">
        <f aca="false">IF(A739="","",IF(COUNT(AF739:AJ739)=0,"",SUM(AF739:AJ739)))</f>
        <v/>
      </c>
      <c r="AS739" s="34" t="str">
        <f aca="false">IF(OR(AR739="",N(AO739)=0),"",AR739/AO739)</f>
        <v/>
      </c>
      <c r="AT739" s="34" t="str">
        <f aca="false">IF(OR(AR739="",N(AC739)=0),"",AR739/AC739)</f>
        <v/>
      </c>
      <c r="AU739" s="34" t="str">
        <f aca="false">IF(OR(AR739="",N(S739)=0),"",AR739/S739)</f>
        <v/>
      </c>
      <c r="AV739" s="34" t="str">
        <f aca="false">IF(OR(AJ739="",N(AC739)=0),"",AJ739/AC739)</f>
        <v/>
      </c>
      <c r="AW739" s="34" t="str">
        <f aca="false">IF(OR(AH739="",N(AO739)=0),"",AH739/AO739)</f>
        <v/>
      </c>
      <c r="AX739" s="35" t="str">
        <f aca="false">IF(OR(AR739="",N(AO739)=0),"",(N(AF739)*Settings!$B$6+N(AG739)*Settings!$B$7+N(AH739)*Settings!$B$8+N(AI739)*Settings!$B$9+N(AJ739)*Settings!$B$10)/AO739*1000)</f>
        <v/>
      </c>
      <c r="AY739" s="36" t="str">
        <f aca="false">IF(AS739="","",IFERROR(AS739/AVERAGEIFS('Post Tracker'!$AS$5:$AS$1004,'Post Tracker'!$G$5:$G$1004,G739),""))</f>
        <v/>
      </c>
      <c r="AZ739" s="32"/>
      <c r="BA739" s="32"/>
      <c r="BB739" s="32"/>
      <c r="BC739" s="32"/>
      <c r="BD739" s="33" t="str">
        <f aca="false">IF(A739="","",COUNTIFS('Demo Pipeline'!$Q$5:$Q$504,A739))</f>
        <v/>
      </c>
      <c r="BE739" s="33" t="str">
        <f aca="false">IF(A739="","",COUNTIFS('Demo Pipeline'!$Q$5:$Q$504,A739,'Demo Pipeline'!$W$5:$W$504,"Attended"))</f>
        <v/>
      </c>
      <c r="BF739" s="33" t="str">
        <f aca="false">IF(A739="","",COUNTIFS('Demo Pipeline'!$Q$5:$Q$504,A739,'Demo Pipeline'!$X$5:$X$504,"Yes"))</f>
        <v/>
      </c>
      <c r="BG739" s="33" t="str">
        <f aca="false">IF(A739="","",COUNTIFS('Demo Pipeline'!$Q$5:$Q$504,A739,'Demo Pipeline'!$Y$5:$Y$504,"Closed Won"))</f>
        <v/>
      </c>
      <c r="BH739" s="37" t="str">
        <f aca="false">IF(A739="","",SUMIFS('Demo Pipeline'!$Z$5:$Z$504,'Demo Pipeline'!$Q$5:$Q$504,A739))</f>
        <v/>
      </c>
      <c r="BI739" s="34" t="str">
        <f aca="false">IF(OR(AZ739="",N(AJ739)=0),"",AZ739/AJ739)</f>
        <v/>
      </c>
      <c r="BJ739" s="34" t="str">
        <f aca="false">IF(OR(BB739="",N(AZ739)=0),"",BB739/AZ739)</f>
        <v/>
      </c>
      <c r="BK739" s="34" t="str">
        <f aca="false">IF(OR(A739="",N(BB739)=0),"",BD739/BB739)</f>
        <v/>
      </c>
      <c r="BL739" s="34" t="str">
        <f aca="false">IF(OR(A739="",N(AZ739)=0),"",BD739/AZ739)</f>
        <v/>
      </c>
      <c r="BM739" s="37" t="str">
        <f aca="false">IF(OR(N(Q739)=0,N(BD739)=0),"",Q739/BD739)</f>
        <v/>
      </c>
      <c r="BN739" s="29"/>
      <c r="BO739" s="29"/>
      <c r="BP739" s="33" t="str">
        <f aca="false">IF(OR(AR739="",N(AO739)=0),"",AR739)</f>
        <v/>
      </c>
      <c r="BQ739" s="33" t="str">
        <f aca="false">IF(OR(AR739="",N(S739)=0),"",S739)</f>
        <v/>
      </c>
      <c r="BR739" s="38" t="str">
        <f aca="false">IF(AND(ISNUMBER(B739),B739&gt;=Dashboard!$C$4,B739&lt;=Dashboard!$F$4,ISNUMBER(AU739)),AU739+ROW()/10^9,"")</f>
        <v/>
      </c>
      <c r="BS739" s="38" t="str">
        <f aca="false">IF(AND(ISNUMBER(B739),B739&gt;=Dashboard!$C$4,B739&lt;=Dashboard!$F$4,A739&lt;&gt;""),N(BD739)+N(AU739)/100+ROW()/10^9,"")</f>
        <v/>
      </c>
    </row>
    <row r="740" customFormat="false" ht="15" hidden="false" customHeight="false" outlineLevel="0" collapsed="false">
      <c r="A740" s="24" t="str">
        <f aca="false">IF(OR(B740="",G740="",H740=""),"",IFERROR(INDEX(Settings!$E$5:$E$49,MATCH(G740,Settings!$D$5:$D$49,0))&amp;INDEX(Settings!$H$5:$H$47,MATCH(H740,Settings!$G$5:$G$47,0))&amp;"-"&amp;TEXT(B740,"yymmdd")&amp;"-"&amp;IF(C740="","0000",TEXT(C740,"hhmm")),"CHECK LISTS"))</f>
        <v/>
      </c>
      <c r="B740" s="39"/>
      <c r="C740" s="40"/>
      <c r="D740" s="24" t="str">
        <f aca="false">IF(B740="","",TEXT(B740,"ddd"))</f>
        <v/>
      </c>
      <c r="E740" s="27" t="str">
        <f aca="false">IF(B740="","",B740-WEEKDAY(B740,3))</f>
        <v/>
      </c>
      <c r="F740" s="24" t="str">
        <f aca="false">IF(B740="","",TEXT(B740,"yyyy-mm"))</f>
        <v/>
      </c>
      <c r="G740" s="29"/>
      <c r="H740" s="29"/>
      <c r="I740" s="29"/>
      <c r="J740" s="29"/>
      <c r="K740" s="29"/>
      <c r="L740" s="29"/>
      <c r="M740" s="29"/>
      <c r="N740" s="29"/>
      <c r="O740" s="29"/>
      <c r="P740" s="29"/>
      <c r="Q740" s="30"/>
      <c r="R740" s="29"/>
      <c r="S740" s="32"/>
      <c r="T740" s="29"/>
      <c r="U740" s="29"/>
      <c r="V740" s="24" t="str">
        <f aca="false">IF(A740="","",IFERROR(INDEX(Settings!$F$5:$F$49,MATCH(G740,Settings!$D$5:$D$49,0)),""))</f>
        <v/>
      </c>
      <c r="W740" s="24" t="str">
        <f aca="false">IF(A740="","",IF(OR(P740="",P740="Organic"),"social","paid_social"))</f>
        <v/>
      </c>
      <c r="X740" s="24" t="str">
        <f aca="false">IF(A740="","",IF(K740&lt;&gt;"",IFERROR(INDEX('Case Studies'!$C$5:$C$54,MATCH(K740,'Case Studies'!$B$5:$B$54,0))&amp;"","case-study"),IF(J740&lt;&gt;"",IFERROR(INDEX(Settings!$J$5:$J$55,MATCH(J740,Settings!$I$5:$I$55,0)),"general"),"general")))</f>
        <v/>
      </c>
      <c r="Y740" s="24" t="str">
        <f aca="false">IF(A740="","",LOWER(A740))</f>
        <v/>
      </c>
      <c r="Z740" s="24" t="str">
        <f aca="false">IF(A740="","",IF(T740="",Settings!$B$5,T740)&amp;IF(ISNUMBER(FIND("?",IF(T740="",Settings!$B$5,T740))),"&amp;","?")&amp;"utm_source="&amp;V740&amp;"&amp;utm_medium="&amp;W740&amp;"&amp;utm_campaign="&amp;X740&amp;"&amp;utm_content="&amp;Y740)</f>
        <v/>
      </c>
      <c r="AA740" s="29"/>
      <c r="AB740" s="39"/>
      <c r="AC740" s="32"/>
      <c r="AD740" s="32"/>
      <c r="AE740" s="32"/>
      <c r="AF740" s="32"/>
      <c r="AG740" s="32"/>
      <c r="AH740" s="32"/>
      <c r="AI740" s="32"/>
      <c r="AJ740" s="32"/>
      <c r="AK740" s="32"/>
      <c r="AL740" s="32"/>
      <c r="AM740" s="32"/>
      <c r="AN740" s="32"/>
      <c r="AO740" s="33" t="str">
        <f aca="false">IF(A740="","",IF(AD740&lt;&gt;"",AD740,IF(AC740&lt;&gt;"",AC740,"")))</f>
        <v/>
      </c>
      <c r="AP740" s="24" t="str">
        <f aca="false">IF(AO740="","",IF(AD740&lt;&gt;"","Reported reach","Impressions (proxy)"))</f>
        <v/>
      </c>
      <c r="AQ740" s="34" t="str">
        <f aca="false">IF(OR(AO740="",N(S740)=0),"",AO740/S740)</f>
        <v/>
      </c>
      <c r="AR740" s="33" t="str">
        <f aca="false">IF(A740="","",IF(COUNT(AF740:AJ740)=0,"",SUM(AF740:AJ740)))</f>
        <v/>
      </c>
      <c r="AS740" s="34" t="str">
        <f aca="false">IF(OR(AR740="",N(AO740)=0),"",AR740/AO740)</f>
        <v/>
      </c>
      <c r="AT740" s="34" t="str">
        <f aca="false">IF(OR(AR740="",N(AC740)=0),"",AR740/AC740)</f>
        <v/>
      </c>
      <c r="AU740" s="34" t="str">
        <f aca="false">IF(OR(AR740="",N(S740)=0),"",AR740/S740)</f>
        <v/>
      </c>
      <c r="AV740" s="34" t="str">
        <f aca="false">IF(OR(AJ740="",N(AC740)=0),"",AJ740/AC740)</f>
        <v/>
      </c>
      <c r="AW740" s="34" t="str">
        <f aca="false">IF(OR(AH740="",N(AO740)=0),"",AH740/AO740)</f>
        <v/>
      </c>
      <c r="AX740" s="35" t="str">
        <f aca="false">IF(OR(AR740="",N(AO740)=0),"",(N(AF740)*Settings!$B$6+N(AG740)*Settings!$B$7+N(AH740)*Settings!$B$8+N(AI740)*Settings!$B$9+N(AJ740)*Settings!$B$10)/AO740*1000)</f>
        <v/>
      </c>
      <c r="AY740" s="36" t="str">
        <f aca="false">IF(AS740="","",IFERROR(AS740/AVERAGEIFS('Post Tracker'!$AS$5:$AS$1004,'Post Tracker'!$G$5:$G$1004,G740),""))</f>
        <v/>
      </c>
      <c r="AZ740" s="32"/>
      <c r="BA740" s="32"/>
      <c r="BB740" s="32"/>
      <c r="BC740" s="32"/>
      <c r="BD740" s="33" t="str">
        <f aca="false">IF(A740="","",COUNTIFS('Demo Pipeline'!$Q$5:$Q$504,A740))</f>
        <v/>
      </c>
      <c r="BE740" s="33" t="str">
        <f aca="false">IF(A740="","",COUNTIFS('Demo Pipeline'!$Q$5:$Q$504,A740,'Demo Pipeline'!$W$5:$W$504,"Attended"))</f>
        <v/>
      </c>
      <c r="BF740" s="33" t="str">
        <f aca="false">IF(A740="","",COUNTIFS('Demo Pipeline'!$Q$5:$Q$504,A740,'Demo Pipeline'!$X$5:$X$504,"Yes"))</f>
        <v/>
      </c>
      <c r="BG740" s="33" t="str">
        <f aca="false">IF(A740="","",COUNTIFS('Demo Pipeline'!$Q$5:$Q$504,A740,'Demo Pipeline'!$Y$5:$Y$504,"Closed Won"))</f>
        <v/>
      </c>
      <c r="BH740" s="37" t="str">
        <f aca="false">IF(A740="","",SUMIFS('Demo Pipeline'!$Z$5:$Z$504,'Demo Pipeline'!$Q$5:$Q$504,A740))</f>
        <v/>
      </c>
      <c r="BI740" s="34" t="str">
        <f aca="false">IF(OR(AZ740="",N(AJ740)=0),"",AZ740/AJ740)</f>
        <v/>
      </c>
      <c r="BJ740" s="34" t="str">
        <f aca="false">IF(OR(BB740="",N(AZ740)=0),"",BB740/AZ740)</f>
        <v/>
      </c>
      <c r="BK740" s="34" t="str">
        <f aca="false">IF(OR(A740="",N(BB740)=0),"",BD740/BB740)</f>
        <v/>
      </c>
      <c r="BL740" s="34" t="str">
        <f aca="false">IF(OR(A740="",N(AZ740)=0),"",BD740/AZ740)</f>
        <v/>
      </c>
      <c r="BM740" s="37" t="str">
        <f aca="false">IF(OR(N(Q740)=0,N(BD740)=0),"",Q740/BD740)</f>
        <v/>
      </c>
      <c r="BN740" s="29"/>
      <c r="BO740" s="29"/>
      <c r="BP740" s="33" t="str">
        <f aca="false">IF(OR(AR740="",N(AO740)=0),"",AR740)</f>
        <v/>
      </c>
      <c r="BQ740" s="33" t="str">
        <f aca="false">IF(OR(AR740="",N(S740)=0),"",S740)</f>
        <v/>
      </c>
      <c r="BR740" s="38" t="str">
        <f aca="false">IF(AND(ISNUMBER(B740),B740&gt;=Dashboard!$C$4,B740&lt;=Dashboard!$F$4,ISNUMBER(AU740)),AU740+ROW()/10^9,"")</f>
        <v/>
      </c>
      <c r="BS740" s="38" t="str">
        <f aca="false">IF(AND(ISNUMBER(B740),B740&gt;=Dashboard!$C$4,B740&lt;=Dashboard!$F$4,A740&lt;&gt;""),N(BD740)+N(AU740)/100+ROW()/10^9,"")</f>
        <v/>
      </c>
    </row>
    <row r="741" customFormat="false" ht="15" hidden="false" customHeight="false" outlineLevel="0" collapsed="false">
      <c r="A741" s="24" t="str">
        <f aca="false">IF(OR(B741="",G741="",H741=""),"",IFERROR(INDEX(Settings!$E$5:$E$49,MATCH(G741,Settings!$D$5:$D$49,0))&amp;INDEX(Settings!$H$5:$H$47,MATCH(H741,Settings!$G$5:$G$47,0))&amp;"-"&amp;TEXT(B741,"yymmdd")&amp;"-"&amp;IF(C741="","0000",TEXT(C741,"hhmm")),"CHECK LISTS"))</f>
        <v/>
      </c>
      <c r="B741" s="39"/>
      <c r="C741" s="40"/>
      <c r="D741" s="24" t="str">
        <f aca="false">IF(B741="","",TEXT(B741,"ddd"))</f>
        <v/>
      </c>
      <c r="E741" s="27" t="str">
        <f aca="false">IF(B741="","",B741-WEEKDAY(B741,3))</f>
        <v/>
      </c>
      <c r="F741" s="24" t="str">
        <f aca="false">IF(B741="","",TEXT(B741,"yyyy-mm"))</f>
        <v/>
      </c>
      <c r="G741" s="29"/>
      <c r="H741" s="29"/>
      <c r="I741" s="29"/>
      <c r="J741" s="29"/>
      <c r="K741" s="29"/>
      <c r="L741" s="29"/>
      <c r="M741" s="29"/>
      <c r="N741" s="29"/>
      <c r="O741" s="29"/>
      <c r="P741" s="29"/>
      <c r="Q741" s="30"/>
      <c r="R741" s="29"/>
      <c r="S741" s="32"/>
      <c r="T741" s="29"/>
      <c r="U741" s="29"/>
      <c r="V741" s="24" t="str">
        <f aca="false">IF(A741="","",IFERROR(INDEX(Settings!$F$5:$F$49,MATCH(G741,Settings!$D$5:$D$49,0)),""))</f>
        <v/>
      </c>
      <c r="W741" s="24" t="str">
        <f aca="false">IF(A741="","",IF(OR(P741="",P741="Organic"),"social","paid_social"))</f>
        <v/>
      </c>
      <c r="X741" s="24" t="str">
        <f aca="false">IF(A741="","",IF(K741&lt;&gt;"",IFERROR(INDEX('Case Studies'!$C$5:$C$54,MATCH(K741,'Case Studies'!$B$5:$B$54,0))&amp;"","case-study"),IF(J741&lt;&gt;"",IFERROR(INDEX(Settings!$J$5:$J$55,MATCH(J741,Settings!$I$5:$I$55,0)),"general"),"general")))</f>
        <v/>
      </c>
      <c r="Y741" s="24" t="str">
        <f aca="false">IF(A741="","",LOWER(A741))</f>
        <v/>
      </c>
      <c r="Z741" s="24" t="str">
        <f aca="false">IF(A741="","",IF(T741="",Settings!$B$5,T741)&amp;IF(ISNUMBER(FIND("?",IF(T741="",Settings!$B$5,T741))),"&amp;","?")&amp;"utm_source="&amp;V741&amp;"&amp;utm_medium="&amp;W741&amp;"&amp;utm_campaign="&amp;X741&amp;"&amp;utm_content="&amp;Y741)</f>
        <v/>
      </c>
      <c r="AA741" s="29"/>
      <c r="AB741" s="39"/>
      <c r="AC741" s="32"/>
      <c r="AD741" s="32"/>
      <c r="AE741" s="32"/>
      <c r="AF741" s="32"/>
      <c r="AG741" s="32"/>
      <c r="AH741" s="32"/>
      <c r="AI741" s="32"/>
      <c r="AJ741" s="32"/>
      <c r="AK741" s="32"/>
      <c r="AL741" s="32"/>
      <c r="AM741" s="32"/>
      <c r="AN741" s="32"/>
      <c r="AO741" s="33" t="str">
        <f aca="false">IF(A741="","",IF(AD741&lt;&gt;"",AD741,IF(AC741&lt;&gt;"",AC741,"")))</f>
        <v/>
      </c>
      <c r="AP741" s="24" t="str">
        <f aca="false">IF(AO741="","",IF(AD741&lt;&gt;"","Reported reach","Impressions (proxy)"))</f>
        <v/>
      </c>
      <c r="AQ741" s="34" t="str">
        <f aca="false">IF(OR(AO741="",N(S741)=0),"",AO741/S741)</f>
        <v/>
      </c>
      <c r="AR741" s="33" t="str">
        <f aca="false">IF(A741="","",IF(COUNT(AF741:AJ741)=0,"",SUM(AF741:AJ741)))</f>
        <v/>
      </c>
      <c r="AS741" s="34" t="str">
        <f aca="false">IF(OR(AR741="",N(AO741)=0),"",AR741/AO741)</f>
        <v/>
      </c>
      <c r="AT741" s="34" t="str">
        <f aca="false">IF(OR(AR741="",N(AC741)=0),"",AR741/AC741)</f>
        <v/>
      </c>
      <c r="AU741" s="34" t="str">
        <f aca="false">IF(OR(AR741="",N(S741)=0),"",AR741/S741)</f>
        <v/>
      </c>
      <c r="AV741" s="34" t="str">
        <f aca="false">IF(OR(AJ741="",N(AC741)=0),"",AJ741/AC741)</f>
        <v/>
      </c>
      <c r="AW741" s="34" t="str">
        <f aca="false">IF(OR(AH741="",N(AO741)=0),"",AH741/AO741)</f>
        <v/>
      </c>
      <c r="AX741" s="35" t="str">
        <f aca="false">IF(OR(AR741="",N(AO741)=0),"",(N(AF741)*Settings!$B$6+N(AG741)*Settings!$B$7+N(AH741)*Settings!$B$8+N(AI741)*Settings!$B$9+N(AJ741)*Settings!$B$10)/AO741*1000)</f>
        <v/>
      </c>
      <c r="AY741" s="36" t="str">
        <f aca="false">IF(AS741="","",IFERROR(AS741/AVERAGEIFS('Post Tracker'!$AS$5:$AS$1004,'Post Tracker'!$G$5:$G$1004,G741),""))</f>
        <v/>
      </c>
      <c r="AZ741" s="32"/>
      <c r="BA741" s="32"/>
      <c r="BB741" s="32"/>
      <c r="BC741" s="32"/>
      <c r="BD741" s="33" t="str">
        <f aca="false">IF(A741="","",COUNTIFS('Demo Pipeline'!$Q$5:$Q$504,A741))</f>
        <v/>
      </c>
      <c r="BE741" s="33" t="str">
        <f aca="false">IF(A741="","",COUNTIFS('Demo Pipeline'!$Q$5:$Q$504,A741,'Demo Pipeline'!$W$5:$W$504,"Attended"))</f>
        <v/>
      </c>
      <c r="BF741" s="33" t="str">
        <f aca="false">IF(A741="","",COUNTIFS('Demo Pipeline'!$Q$5:$Q$504,A741,'Demo Pipeline'!$X$5:$X$504,"Yes"))</f>
        <v/>
      </c>
      <c r="BG741" s="33" t="str">
        <f aca="false">IF(A741="","",COUNTIFS('Demo Pipeline'!$Q$5:$Q$504,A741,'Demo Pipeline'!$Y$5:$Y$504,"Closed Won"))</f>
        <v/>
      </c>
      <c r="BH741" s="37" t="str">
        <f aca="false">IF(A741="","",SUMIFS('Demo Pipeline'!$Z$5:$Z$504,'Demo Pipeline'!$Q$5:$Q$504,A741))</f>
        <v/>
      </c>
      <c r="BI741" s="34" t="str">
        <f aca="false">IF(OR(AZ741="",N(AJ741)=0),"",AZ741/AJ741)</f>
        <v/>
      </c>
      <c r="BJ741" s="34" t="str">
        <f aca="false">IF(OR(BB741="",N(AZ741)=0),"",BB741/AZ741)</f>
        <v/>
      </c>
      <c r="BK741" s="34" t="str">
        <f aca="false">IF(OR(A741="",N(BB741)=0),"",BD741/BB741)</f>
        <v/>
      </c>
      <c r="BL741" s="34" t="str">
        <f aca="false">IF(OR(A741="",N(AZ741)=0),"",BD741/AZ741)</f>
        <v/>
      </c>
      <c r="BM741" s="37" t="str">
        <f aca="false">IF(OR(N(Q741)=0,N(BD741)=0),"",Q741/BD741)</f>
        <v/>
      </c>
      <c r="BN741" s="29"/>
      <c r="BO741" s="29"/>
      <c r="BP741" s="33" t="str">
        <f aca="false">IF(OR(AR741="",N(AO741)=0),"",AR741)</f>
        <v/>
      </c>
      <c r="BQ741" s="33" t="str">
        <f aca="false">IF(OR(AR741="",N(S741)=0),"",S741)</f>
        <v/>
      </c>
      <c r="BR741" s="38" t="str">
        <f aca="false">IF(AND(ISNUMBER(B741),B741&gt;=Dashboard!$C$4,B741&lt;=Dashboard!$F$4,ISNUMBER(AU741)),AU741+ROW()/10^9,"")</f>
        <v/>
      </c>
      <c r="BS741" s="38" t="str">
        <f aca="false">IF(AND(ISNUMBER(B741),B741&gt;=Dashboard!$C$4,B741&lt;=Dashboard!$F$4,A741&lt;&gt;""),N(BD741)+N(AU741)/100+ROW()/10^9,"")</f>
        <v/>
      </c>
    </row>
    <row r="742" customFormat="false" ht="15" hidden="false" customHeight="false" outlineLevel="0" collapsed="false">
      <c r="A742" s="24" t="str">
        <f aca="false">IF(OR(B742="",G742="",H742=""),"",IFERROR(INDEX(Settings!$E$5:$E$49,MATCH(G742,Settings!$D$5:$D$49,0))&amp;INDEX(Settings!$H$5:$H$47,MATCH(H742,Settings!$G$5:$G$47,0))&amp;"-"&amp;TEXT(B742,"yymmdd")&amp;"-"&amp;IF(C742="","0000",TEXT(C742,"hhmm")),"CHECK LISTS"))</f>
        <v/>
      </c>
      <c r="B742" s="39"/>
      <c r="C742" s="40"/>
      <c r="D742" s="24" t="str">
        <f aca="false">IF(B742="","",TEXT(B742,"ddd"))</f>
        <v/>
      </c>
      <c r="E742" s="27" t="str">
        <f aca="false">IF(B742="","",B742-WEEKDAY(B742,3))</f>
        <v/>
      </c>
      <c r="F742" s="24" t="str">
        <f aca="false">IF(B742="","",TEXT(B742,"yyyy-mm"))</f>
        <v/>
      </c>
      <c r="G742" s="29"/>
      <c r="H742" s="29"/>
      <c r="I742" s="29"/>
      <c r="J742" s="29"/>
      <c r="K742" s="29"/>
      <c r="L742" s="29"/>
      <c r="M742" s="29"/>
      <c r="N742" s="29"/>
      <c r="O742" s="29"/>
      <c r="P742" s="29"/>
      <c r="Q742" s="30"/>
      <c r="R742" s="29"/>
      <c r="S742" s="32"/>
      <c r="T742" s="29"/>
      <c r="U742" s="29"/>
      <c r="V742" s="24" t="str">
        <f aca="false">IF(A742="","",IFERROR(INDEX(Settings!$F$5:$F$49,MATCH(G742,Settings!$D$5:$D$49,0)),""))</f>
        <v/>
      </c>
      <c r="W742" s="24" t="str">
        <f aca="false">IF(A742="","",IF(OR(P742="",P742="Organic"),"social","paid_social"))</f>
        <v/>
      </c>
      <c r="X742" s="24" t="str">
        <f aca="false">IF(A742="","",IF(K742&lt;&gt;"",IFERROR(INDEX('Case Studies'!$C$5:$C$54,MATCH(K742,'Case Studies'!$B$5:$B$54,0))&amp;"","case-study"),IF(J742&lt;&gt;"",IFERROR(INDEX(Settings!$J$5:$J$55,MATCH(J742,Settings!$I$5:$I$55,0)),"general"),"general")))</f>
        <v/>
      </c>
      <c r="Y742" s="24" t="str">
        <f aca="false">IF(A742="","",LOWER(A742))</f>
        <v/>
      </c>
      <c r="Z742" s="24" t="str">
        <f aca="false">IF(A742="","",IF(T742="",Settings!$B$5,T742)&amp;IF(ISNUMBER(FIND("?",IF(T742="",Settings!$B$5,T742))),"&amp;","?")&amp;"utm_source="&amp;V742&amp;"&amp;utm_medium="&amp;W742&amp;"&amp;utm_campaign="&amp;X742&amp;"&amp;utm_content="&amp;Y742)</f>
        <v/>
      </c>
      <c r="AA742" s="29"/>
      <c r="AB742" s="39"/>
      <c r="AC742" s="32"/>
      <c r="AD742" s="32"/>
      <c r="AE742" s="32"/>
      <c r="AF742" s="32"/>
      <c r="AG742" s="32"/>
      <c r="AH742" s="32"/>
      <c r="AI742" s="32"/>
      <c r="AJ742" s="32"/>
      <c r="AK742" s="32"/>
      <c r="AL742" s="32"/>
      <c r="AM742" s="32"/>
      <c r="AN742" s="32"/>
      <c r="AO742" s="33" t="str">
        <f aca="false">IF(A742="","",IF(AD742&lt;&gt;"",AD742,IF(AC742&lt;&gt;"",AC742,"")))</f>
        <v/>
      </c>
      <c r="AP742" s="24" t="str">
        <f aca="false">IF(AO742="","",IF(AD742&lt;&gt;"","Reported reach","Impressions (proxy)"))</f>
        <v/>
      </c>
      <c r="AQ742" s="34" t="str">
        <f aca="false">IF(OR(AO742="",N(S742)=0),"",AO742/S742)</f>
        <v/>
      </c>
      <c r="AR742" s="33" t="str">
        <f aca="false">IF(A742="","",IF(COUNT(AF742:AJ742)=0,"",SUM(AF742:AJ742)))</f>
        <v/>
      </c>
      <c r="AS742" s="34" t="str">
        <f aca="false">IF(OR(AR742="",N(AO742)=0),"",AR742/AO742)</f>
        <v/>
      </c>
      <c r="AT742" s="34" t="str">
        <f aca="false">IF(OR(AR742="",N(AC742)=0),"",AR742/AC742)</f>
        <v/>
      </c>
      <c r="AU742" s="34" t="str">
        <f aca="false">IF(OR(AR742="",N(S742)=0),"",AR742/S742)</f>
        <v/>
      </c>
      <c r="AV742" s="34" t="str">
        <f aca="false">IF(OR(AJ742="",N(AC742)=0),"",AJ742/AC742)</f>
        <v/>
      </c>
      <c r="AW742" s="34" t="str">
        <f aca="false">IF(OR(AH742="",N(AO742)=0),"",AH742/AO742)</f>
        <v/>
      </c>
      <c r="AX742" s="35" t="str">
        <f aca="false">IF(OR(AR742="",N(AO742)=0),"",(N(AF742)*Settings!$B$6+N(AG742)*Settings!$B$7+N(AH742)*Settings!$B$8+N(AI742)*Settings!$B$9+N(AJ742)*Settings!$B$10)/AO742*1000)</f>
        <v/>
      </c>
      <c r="AY742" s="36" t="str">
        <f aca="false">IF(AS742="","",IFERROR(AS742/AVERAGEIFS('Post Tracker'!$AS$5:$AS$1004,'Post Tracker'!$G$5:$G$1004,G742),""))</f>
        <v/>
      </c>
      <c r="AZ742" s="32"/>
      <c r="BA742" s="32"/>
      <c r="BB742" s="32"/>
      <c r="BC742" s="32"/>
      <c r="BD742" s="33" t="str">
        <f aca="false">IF(A742="","",COUNTIFS('Demo Pipeline'!$Q$5:$Q$504,A742))</f>
        <v/>
      </c>
      <c r="BE742" s="33" t="str">
        <f aca="false">IF(A742="","",COUNTIFS('Demo Pipeline'!$Q$5:$Q$504,A742,'Demo Pipeline'!$W$5:$W$504,"Attended"))</f>
        <v/>
      </c>
      <c r="BF742" s="33" t="str">
        <f aca="false">IF(A742="","",COUNTIFS('Demo Pipeline'!$Q$5:$Q$504,A742,'Demo Pipeline'!$X$5:$X$504,"Yes"))</f>
        <v/>
      </c>
      <c r="BG742" s="33" t="str">
        <f aca="false">IF(A742="","",COUNTIFS('Demo Pipeline'!$Q$5:$Q$504,A742,'Demo Pipeline'!$Y$5:$Y$504,"Closed Won"))</f>
        <v/>
      </c>
      <c r="BH742" s="37" t="str">
        <f aca="false">IF(A742="","",SUMIFS('Demo Pipeline'!$Z$5:$Z$504,'Demo Pipeline'!$Q$5:$Q$504,A742))</f>
        <v/>
      </c>
      <c r="BI742" s="34" t="str">
        <f aca="false">IF(OR(AZ742="",N(AJ742)=0),"",AZ742/AJ742)</f>
        <v/>
      </c>
      <c r="BJ742" s="34" t="str">
        <f aca="false">IF(OR(BB742="",N(AZ742)=0),"",BB742/AZ742)</f>
        <v/>
      </c>
      <c r="BK742" s="34" t="str">
        <f aca="false">IF(OR(A742="",N(BB742)=0),"",BD742/BB742)</f>
        <v/>
      </c>
      <c r="BL742" s="34" t="str">
        <f aca="false">IF(OR(A742="",N(AZ742)=0),"",BD742/AZ742)</f>
        <v/>
      </c>
      <c r="BM742" s="37" t="str">
        <f aca="false">IF(OR(N(Q742)=0,N(BD742)=0),"",Q742/BD742)</f>
        <v/>
      </c>
      <c r="BN742" s="29"/>
      <c r="BO742" s="29"/>
      <c r="BP742" s="33" t="str">
        <f aca="false">IF(OR(AR742="",N(AO742)=0),"",AR742)</f>
        <v/>
      </c>
      <c r="BQ742" s="33" t="str">
        <f aca="false">IF(OR(AR742="",N(S742)=0),"",S742)</f>
        <v/>
      </c>
      <c r="BR742" s="38" t="str">
        <f aca="false">IF(AND(ISNUMBER(B742),B742&gt;=Dashboard!$C$4,B742&lt;=Dashboard!$F$4,ISNUMBER(AU742)),AU742+ROW()/10^9,"")</f>
        <v/>
      </c>
      <c r="BS742" s="38" t="str">
        <f aca="false">IF(AND(ISNUMBER(B742),B742&gt;=Dashboard!$C$4,B742&lt;=Dashboard!$F$4,A742&lt;&gt;""),N(BD742)+N(AU742)/100+ROW()/10^9,"")</f>
        <v/>
      </c>
    </row>
    <row r="743" customFormat="false" ht="15" hidden="false" customHeight="false" outlineLevel="0" collapsed="false">
      <c r="A743" s="24" t="str">
        <f aca="false">IF(OR(B743="",G743="",H743=""),"",IFERROR(INDEX(Settings!$E$5:$E$49,MATCH(G743,Settings!$D$5:$D$49,0))&amp;INDEX(Settings!$H$5:$H$47,MATCH(H743,Settings!$G$5:$G$47,0))&amp;"-"&amp;TEXT(B743,"yymmdd")&amp;"-"&amp;IF(C743="","0000",TEXT(C743,"hhmm")),"CHECK LISTS"))</f>
        <v/>
      </c>
      <c r="B743" s="39"/>
      <c r="C743" s="40"/>
      <c r="D743" s="24" t="str">
        <f aca="false">IF(B743="","",TEXT(B743,"ddd"))</f>
        <v/>
      </c>
      <c r="E743" s="27" t="str">
        <f aca="false">IF(B743="","",B743-WEEKDAY(B743,3))</f>
        <v/>
      </c>
      <c r="F743" s="24" t="str">
        <f aca="false">IF(B743="","",TEXT(B743,"yyyy-mm"))</f>
        <v/>
      </c>
      <c r="G743" s="29"/>
      <c r="H743" s="29"/>
      <c r="I743" s="29"/>
      <c r="J743" s="29"/>
      <c r="K743" s="29"/>
      <c r="L743" s="29"/>
      <c r="M743" s="29"/>
      <c r="N743" s="29"/>
      <c r="O743" s="29"/>
      <c r="P743" s="29"/>
      <c r="Q743" s="30"/>
      <c r="R743" s="29"/>
      <c r="S743" s="32"/>
      <c r="T743" s="29"/>
      <c r="U743" s="29"/>
      <c r="V743" s="24" t="str">
        <f aca="false">IF(A743="","",IFERROR(INDEX(Settings!$F$5:$F$49,MATCH(G743,Settings!$D$5:$D$49,0)),""))</f>
        <v/>
      </c>
      <c r="W743" s="24" t="str">
        <f aca="false">IF(A743="","",IF(OR(P743="",P743="Organic"),"social","paid_social"))</f>
        <v/>
      </c>
      <c r="X743" s="24" t="str">
        <f aca="false">IF(A743="","",IF(K743&lt;&gt;"",IFERROR(INDEX('Case Studies'!$C$5:$C$54,MATCH(K743,'Case Studies'!$B$5:$B$54,0))&amp;"","case-study"),IF(J743&lt;&gt;"",IFERROR(INDEX(Settings!$J$5:$J$55,MATCH(J743,Settings!$I$5:$I$55,0)),"general"),"general")))</f>
        <v/>
      </c>
      <c r="Y743" s="24" t="str">
        <f aca="false">IF(A743="","",LOWER(A743))</f>
        <v/>
      </c>
      <c r="Z743" s="24" t="str">
        <f aca="false">IF(A743="","",IF(T743="",Settings!$B$5,T743)&amp;IF(ISNUMBER(FIND("?",IF(T743="",Settings!$B$5,T743))),"&amp;","?")&amp;"utm_source="&amp;V743&amp;"&amp;utm_medium="&amp;W743&amp;"&amp;utm_campaign="&amp;X743&amp;"&amp;utm_content="&amp;Y743)</f>
        <v/>
      </c>
      <c r="AA743" s="29"/>
      <c r="AB743" s="39"/>
      <c r="AC743" s="32"/>
      <c r="AD743" s="32"/>
      <c r="AE743" s="32"/>
      <c r="AF743" s="32"/>
      <c r="AG743" s="32"/>
      <c r="AH743" s="32"/>
      <c r="AI743" s="32"/>
      <c r="AJ743" s="32"/>
      <c r="AK743" s="32"/>
      <c r="AL743" s="32"/>
      <c r="AM743" s="32"/>
      <c r="AN743" s="32"/>
      <c r="AO743" s="33" t="str">
        <f aca="false">IF(A743="","",IF(AD743&lt;&gt;"",AD743,IF(AC743&lt;&gt;"",AC743,"")))</f>
        <v/>
      </c>
      <c r="AP743" s="24" t="str">
        <f aca="false">IF(AO743="","",IF(AD743&lt;&gt;"","Reported reach","Impressions (proxy)"))</f>
        <v/>
      </c>
      <c r="AQ743" s="34" t="str">
        <f aca="false">IF(OR(AO743="",N(S743)=0),"",AO743/S743)</f>
        <v/>
      </c>
      <c r="AR743" s="33" t="str">
        <f aca="false">IF(A743="","",IF(COUNT(AF743:AJ743)=0,"",SUM(AF743:AJ743)))</f>
        <v/>
      </c>
      <c r="AS743" s="34" t="str">
        <f aca="false">IF(OR(AR743="",N(AO743)=0),"",AR743/AO743)</f>
        <v/>
      </c>
      <c r="AT743" s="34" t="str">
        <f aca="false">IF(OR(AR743="",N(AC743)=0),"",AR743/AC743)</f>
        <v/>
      </c>
      <c r="AU743" s="34" t="str">
        <f aca="false">IF(OR(AR743="",N(S743)=0),"",AR743/S743)</f>
        <v/>
      </c>
      <c r="AV743" s="34" t="str">
        <f aca="false">IF(OR(AJ743="",N(AC743)=0),"",AJ743/AC743)</f>
        <v/>
      </c>
      <c r="AW743" s="34" t="str">
        <f aca="false">IF(OR(AH743="",N(AO743)=0),"",AH743/AO743)</f>
        <v/>
      </c>
      <c r="AX743" s="35" t="str">
        <f aca="false">IF(OR(AR743="",N(AO743)=0),"",(N(AF743)*Settings!$B$6+N(AG743)*Settings!$B$7+N(AH743)*Settings!$B$8+N(AI743)*Settings!$B$9+N(AJ743)*Settings!$B$10)/AO743*1000)</f>
        <v/>
      </c>
      <c r="AY743" s="36" t="str">
        <f aca="false">IF(AS743="","",IFERROR(AS743/AVERAGEIFS('Post Tracker'!$AS$5:$AS$1004,'Post Tracker'!$G$5:$G$1004,G743),""))</f>
        <v/>
      </c>
      <c r="AZ743" s="32"/>
      <c r="BA743" s="32"/>
      <c r="BB743" s="32"/>
      <c r="BC743" s="32"/>
      <c r="BD743" s="33" t="str">
        <f aca="false">IF(A743="","",COUNTIFS('Demo Pipeline'!$Q$5:$Q$504,A743))</f>
        <v/>
      </c>
      <c r="BE743" s="33" t="str">
        <f aca="false">IF(A743="","",COUNTIFS('Demo Pipeline'!$Q$5:$Q$504,A743,'Demo Pipeline'!$W$5:$W$504,"Attended"))</f>
        <v/>
      </c>
      <c r="BF743" s="33" t="str">
        <f aca="false">IF(A743="","",COUNTIFS('Demo Pipeline'!$Q$5:$Q$504,A743,'Demo Pipeline'!$X$5:$X$504,"Yes"))</f>
        <v/>
      </c>
      <c r="BG743" s="33" t="str">
        <f aca="false">IF(A743="","",COUNTIFS('Demo Pipeline'!$Q$5:$Q$504,A743,'Demo Pipeline'!$Y$5:$Y$504,"Closed Won"))</f>
        <v/>
      </c>
      <c r="BH743" s="37" t="str">
        <f aca="false">IF(A743="","",SUMIFS('Demo Pipeline'!$Z$5:$Z$504,'Demo Pipeline'!$Q$5:$Q$504,A743))</f>
        <v/>
      </c>
      <c r="BI743" s="34" t="str">
        <f aca="false">IF(OR(AZ743="",N(AJ743)=0),"",AZ743/AJ743)</f>
        <v/>
      </c>
      <c r="BJ743" s="34" t="str">
        <f aca="false">IF(OR(BB743="",N(AZ743)=0),"",BB743/AZ743)</f>
        <v/>
      </c>
      <c r="BK743" s="34" t="str">
        <f aca="false">IF(OR(A743="",N(BB743)=0),"",BD743/BB743)</f>
        <v/>
      </c>
      <c r="BL743" s="34" t="str">
        <f aca="false">IF(OR(A743="",N(AZ743)=0),"",BD743/AZ743)</f>
        <v/>
      </c>
      <c r="BM743" s="37" t="str">
        <f aca="false">IF(OR(N(Q743)=0,N(BD743)=0),"",Q743/BD743)</f>
        <v/>
      </c>
      <c r="BN743" s="29"/>
      <c r="BO743" s="29"/>
      <c r="BP743" s="33" t="str">
        <f aca="false">IF(OR(AR743="",N(AO743)=0),"",AR743)</f>
        <v/>
      </c>
      <c r="BQ743" s="33" t="str">
        <f aca="false">IF(OR(AR743="",N(S743)=0),"",S743)</f>
        <v/>
      </c>
      <c r="BR743" s="38" t="str">
        <f aca="false">IF(AND(ISNUMBER(B743),B743&gt;=Dashboard!$C$4,B743&lt;=Dashboard!$F$4,ISNUMBER(AU743)),AU743+ROW()/10^9,"")</f>
        <v/>
      </c>
      <c r="BS743" s="38" t="str">
        <f aca="false">IF(AND(ISNUMBER(B743),B743&gt;=Dashboard!$C$4,B743&lt;=Dashboard!$F$4,A743&lt;&gt;""),N(BD743)+N(AU743)/100+ROW()/10^9,"")</f>
        <v/>
      </c>
    </row>
    <row r="744" customFormat="false" ht="15" hidden="false" customHeight="false" outlineLevel="0" collapsed="false">
      <c r="A744" s="24" t="str">
        <f aca="false">IF(OR(B744="",G744="",H744=""),"",IFERROR(INDEX(Settings!$E$5:$E$49,MATCH(G744,Settings!$D$5:$D$49,0))&amp;INDEX(Settings!$H$5:$H$47,MATCH(H744,Settings!$G$5:$G$47,0))&amp;"-"&amp;TEXT(B744,"yymmdd")&amp;"-"&amp;IF(C744="","0000",TEXT(C744,"hhmm")),"CHECK LISTS"))</f>
        <v/>
      </c>
      <c r="B744" s="39"/>
      <c r="C744" s="40"/>
      <c r="D744" s="24" t="str">
        <f aca="false">IF(B744="","",TEXT(B744,"ddd"))</f>
        <v/>
      </c>
      <c r="E744" s="27" t="str">
        <f aca="false">IF(B744="","",B744-WEEKDAY(B744,3))</f>
        <v/>
      </c>
      <c r="F744" s="24" t="str">
        <f aca="false">IF(B744="","",TEXT(B744,"yyyy-mm"))</f>
        <v/>
      </c>
      <c r="G744" s="29"/>
      <c r="H744" s="29"/>
      <c r="I744" s="29"/>
      <c r="J744" s="29"/>
      <c r="K744" s="29"/>
      <c r="L744" s="29"/>
      <c r="M744" s="29"/>
      <c r="N744" s="29"/>
      <c r="O744" s="29"/>
      <c r="P744" s="29"/>
      <c r="Q744" s="30"/>
      <c r="R744" s="29"/>
      <c r="S744" s="32"/>
      <c r="T744" s="29"/>
      <c r="U744" s="29"/>
      <c r="V744" s="24" t="str">
        <f aca="false">IF(A744="","",IFERROR(INDEX(Settings!$F$5:$F$49,MATCH(G744,Settings!$D$5:$D$49,0)),""))</f>
        <v/>
      </c>
      <c r="W744" s="24" t="str">
        <f aca="false">IF(A744="","",IF(OR(P744="",P744="Organic"),"social","paid_social"))</f>
        <v/>
      </c>
      <c r="X744" s="24" t="str">
        <f aca="false">IF(A744="","",IF(K744&lt;&gt;"",IFERROR(INDEX('Case Studies'!$C$5:$C$54,MATCH(K744,'Case Studies'!$B$5:$B$54,0))&amp;"","case-study"),IF(J744&lt;&gt;"",IFERROR(INDEX(Settings!$J$5:$J$55,MATCH(J744,Settings!$I$5:$I$55,0)),"general"),"general")))</f>
        <v/>
      </c>
      <c r="Y744" s="24" t="str">
        <f aca="false">IF(A744="","",LOWER(A744))</f>
        <v/>
      </c>
      <c r="Z744" s="24" t="str">
        <f aca="false">IF(A744="","",IF(T744="",Settings!$B$5,T744)&amp;IF(ISNUMBER(FIND("?",IF(T744="",Settings!$B$5,T744))),"&amp;","?")&amp;"utm_source="&amp;V744&amp;"&amp;utm_medium="&amp;W744&amp;"&amp;utm_campaign="&amp;X744&amp;"&amp;utm_content="&amp;Y744)</f>
        <v/>
      </c>
      <c r="AA744" s="29"/>
      <c r="AB744" s="39"/>
      <c r="AC744" s="32"/>
      <c r="AD744" s="32"/>
      <c r="AE744" s="32"/>
      <c r="AF744" s="32"/>
      <c r="AG744" s="32"/>
      <c r="AH744" s="32"/>
      <c r="AI744" s="32"/>
      <c r="AJ744" s="32"/>
      <c r="AK744" s="32"/>
      <c r="AL744" s="32"/>
      <c r="AM744" s="32"/>
      <c r="AN744" s="32"/>
      <c r="AO744" s="33" t="str">
        <f aca="false">IF(A744="","",IF(AD744&lt;&gt;"",AD744,IF(AC744&lt;&gt;"",AC744,"")))</f>
        <v/>
      </c>
      <c r="AP744" s="24" t="str">
        <f aca="false">IF(AO744="","",IF(AD744&lt;&gt;"","Reported reach","Impressions (proxy)"))</f>
        <v/>
      </c>
      <c r="AQ744" s="34" t="str">
        <f aca="false">IF(OR(AO744="",N(S744)=0),"",AO744/S744)</f>
        <v/>
      </c>
      <c r="AR744" s="33" t="str">
        <f aca="false">IF(A744="","",IF(COUNT(AF744:AJ744)=0,"",SUM(AF744:AJ744)))</f>
        <v/>
      </c>
      <c r="AS744" s="34" t="str">
        <f aca="false">IF(OR(AR744="",N(AO744)=0),"",AR744/AO744)</f>
        <v/>
      </c>
      <c r="AT744" s="34" t="str">
        <f aca="false">IF(OR(AR744="",N(AC744)=0),"",AR744/AC744)</f>
        <v/>
      </c>
      <c r="AU744" s="34" t="str">
        <f aca="false">IF(OR(AR744="",N(S744)=0),"",AR744/S744)</f>
        <v/>
      </c>
      <c r="AV744" s="34" t="str">
        <f aca="false">IF(OR(AJ744="",N(AC744)=0),"",AJ744/AC744)</f>
        <v/>
      </c>
      <c r="AW744" s="34" t="str">
        <f aca="false">IF(OR(AH744="",N(AO744)=0),"",AH744/AO744)</f>
        <v/>
      </c>
      <c r="AX744" s="35" t="str">
        <f aca="false">IF(OR(AR744="",N(AO744)=0),"",(N(AF744)*Settings!$B$6+N(AG744)*Settings!$B$7+N(AH744)*Settings!$B$8+N(AI744)*Settings!$B$9+N(AJ744)*Settings!$B$10)/AO744*1000)</f>
        <v/>
      </c>
      <c r="AY744" s="36" t="str">
        <f aca="false">IF(AS744="","",IFERROR(AS744/AVERAGEIFS('Post Tracker'!$AS$5:$AS$1004,'Post Tracker'!$G$5:$G$1004,G744),""))</f>
        <v/>
      </c>
      <c r="AZ744" s="32"/>
      <c r="BA744" s="32"/>
      <c r="BB744" s="32"/>
      <c r="BC744" s="32"/>
      <c r="BD744" s="33" t="str">
        <f aca="false">IF(A744="","",COUNTIFS('Demo Pipeline'!$Q$5:$Q$504,A744))</f>
        <v/>
      </c>
      <c r="BE744" s="33" t="str">
        <f aca="false">IF(A744="","",COUNTIFS('Demo Pipeline'!$Q$5:$Q$504,A744,'Demo Pipeline'!$W$5:$W$504,"Attended"))</f>
        <v/>
      </c>
      <c r="BF744" s="33" t="str">
        <f aca="false">IF(A744="","",COUNTIFS('Demo Pipeline'!$Q$5:$Q$504,A744,'Demo Pipeline'!$X$5:$X$504,"Yes"))</f>
        <v/>
      </c>
      <c r="BG744" s="33" t="str">
        <f aca="false">IF(A744="","",COUNTIFS('Demo Pipeline'!$Q$5:$Q$504,A744,'Demo Pipeline'!$Y$5:$Y$504,"Closed Won"))</f>
        <v/>
      </c>
      <c r="BH744" s="37" t="str">
        <f aca="false">IF(A744="","",SUMIFS('Demo Pipeline'!$Z$5:$Z$504,'Demo Pipeline'!$Q$5:$Q$504,A744))</f>
        <v/>
      </c>
      <c r="BI744" s="34" t="str">
        <f aca="false">IF(OR(AZ744="",N(AJ744)=0),"",AZ744/AJ744)</f>
        <v/>
      </c>
      <c r="BJ744" s="34" t="str">
        <f aca="false">IF(OR(BB744="",N(AZ744)=0),"",BB744/AZ744)</f>
        <v/>
      </c>
      <c r="BK744" s="34" t="str">
        <f aca="false">IF(OR(A744="",N(BB744)=0),"",BD744/BB744)</f>
        <v/>
      </c>
      <c r="BL744" s="34" t="str">
        <f aca="false">IF(OR(A744="",N(AZ744)=0),"",BD744/AZ744)</f>
        <v/>
      </c>
      <c r="BM744" s="37" t="str">
        <f aca="false">IF(OR(N(Q744)=0,N(BD744)=0),"",Q744/BD744)</f>
        <v/>
      </c>
      <c r="BN744" s="29"/>
      <c r="BO744" s="29"/>
      <c r="BP744" s="33" t="str">
        <f aca="false">IF(OR(AR744="",N(AO744)=0),"",AR744)</f>
        <v/>
      </c>
      <c r="BQ744" s="33" t="str">
        <f aca="false">IF(OR(AR744="",N(S744)=0),"",S744)</f>
        <v/>
      </c>
      <c r="BR744" s="38" t="str">
        <f aca="false">IF(AND(ISNUMBER(B744),B744&gt;=Dashboard!$C$4,B744&lt;=Dashboard!$F$4,ISNUMBER(AU744)),AU744+ROW()/10^9,"")</f>
        <v/>
      </c>
      <c r="BS744" s="38" t="str">
        <f aca="false">IF(AND(ISNUMBER(B744),B744&gt;=Dashboard!$C$4,B744&lt;=Dashboard!$F$4,A744&lt;&gt;""),N(BD744)+N(AU744)/100+ROW()/10^9,"")</f>
        <v/>
      </c>
    </row>
    <row r="745" customFormat="false" ht="15" hidden="false" customHeight="false" outlineLevel="0" collapsed="false">
      <c r="A745" s="24" t="str">
        <f aca="false">IF(OR(B745="",G745="",H745=""),"",IFERROR(INDEX(Settings!$E$5:$E$49,MATCH(G745,Settings!$D$5:$D$49,0))&amp;INDEX(Settings!$H$5:$H$47,MATCH(H745,Settings!$G$5:$G$47,0))&amp;"-"&amp;TEXT(B745,"yymmdd")&amp;"-"&amp;IF(C745="","0000",TEXT(C745,"hhmm")),"CHECK LISTS"))</f>
        <v/>
      </c>
      <c r="B745" s="39"/>
      <c r="C745" s="40"/>
      <c r="D745" s="24" t="str">
        <f aca="false">IF(B745="","",TEXT(B745,"ddd"))</f>
        <v/>
      </c>
      <c r="E745" s="27" t="str">
        <f aca="false">IF(B745="","",B745-WEEKDAY(B745,3))</f>
        <v/>
      </c>
      <c r="F745" s="24" t="str">
        <f aca="false">IF(B745="","",TEXT(B745,"yyyy-mm"))</f>
        <v/>
      </c>
      <c r="G745" s="29"/>
      <c r="H745" s="29"/>
      <c r="I745" s="29"/>
      <c r="J745" s="29"/>
      <c r="K745" s="29"/>
      <c r="L745" s="29"/>
      <c r="M745" s="29"/>
      <c r="N745" s="29"/>
      <c r="O745" s="29"/>
      <c r="P745" s="29"/>
      <c r="Q745" s="30"/>
      <c r="R745" s="29"/>
      <c r="S745" s="32"/>
      <c r="T745" s="29"/>
      <c r="U745" s="29"/>
      <c r="V745" s="24" t="str">
        <f aca="false">IF(A745="","",IFERROR(INDEX(Settings!$F$5:$F$49,MATCH(G745,Settings!$D$5:$D$49,0)),""))</f>
        <v/>
      </c>
      <c r="W745" s="24" t="str">
        <f aca="false">IF(A745="","",IF(OR(P745="",P745="Organic"),"social","paid_social"))</f>
        <v/>
      </c>
      <c r="X745" s="24" t="str">
        <f aca="false">IF(A745="","",IF(K745&lt;&gt;"",IFERROR(INDEX('Case Studies'!$C$5:$C$54,MATCH(K745,'Case Studies'!$B$5:$B$54,0))&amp;"","case-study"),IF(J745&lt;&gt;"",IFERROR(INDEX(Settings!$J$5:$J$55,MATCH(J745,Settings!$I$5:$I$55,0)),"general"),"general")))</f>
        <v/>
      </c>
      <c r="Y745" s="24" t="str">
        <f aca="false">IF(A745="","",LOWER(A745))</f>
        <v/>
      </c>
      <c r="Z745" s="24" t="str">
        <f aca="false">IF(A745="","",IF(T745="",Settings!$B$5,T745)&amp;IF(ISNUMBER(FIND("?",IF(T745="",Settings!$B$5,T745))),"&amp;","?")&amp;"utm_source="&amp;V745&amp;"&amp;utm_medium="&amp;W745&amp;"&amp;utm_campaign="&amp;X745&amp;"&amp;utm_content="&amp;Y745)</f>
        <v/>
      </c>
      <c r="AA745" s="29"/>
      <c r="AB745" s="39"/>
      <c r="AC745" s="32"/>
      <c r="AD745" s="32"/>
      <c r="AE745" s="32"/>
      <c r="AF745" s="32"/>
      <c r="AG745" s="32"/>
      <c r="AH745" s="32"/>
      <c r="AI745" s="32"/>
      <c r="AJ745" s="32"/>
      <c r="AK745" s="32"/>
      <c r="AL745" s="32"/>
      <c r="AM745" s="32"/>
      <c r="AN745" s="32"/>
      <c r="AO745" s="33" t="str">
        <f aca="false">IF(A745="","",IF(AD745&lt;&gt;"",AD745,IF(AC745&lt;&gt;"",AC745,"")))</f>
        <v/>
      </c>
      <c r="AP745" s="24" t="str">
        <f aca="false">IF(AO745="","",IF(AD745&lt;&gt;"","Reported reach","Impressions (proxy)"))</f>
        <v/>
      </c>
      <c r="AQ745" s="34" t="str">
        <f aca="false">IF(OR(AO745="",N(S745)=0),"",AO745/S745)</f>
        <v/>
      </c>
      <c r="AR745" s="33" t="str">
        <f aca="false">IF(A745="","",IF(COUNT(AF745:AJ745)=0,"",SUM(AF745:AJ745)))</f>
        <v/>
      </c>
      <c r="AS745" s="34" t="str">
        <f aca="false">IF(OR(AR745="",N(AO745)=0),"",AR745/AO745)</f>
        <v/>
      </c>
      <c r="AT745" s="34" t="str">
        <f aca="false">IF(OR(AR745="",N(AC745)=0),"",AR745/AC745)</f>
        <v/>
      </c>
      <c r="AU745" s="34" t="str">
        <f aca="false">IF(OR(AR745="",N(S745)=0),"",AR745/S745)</f>
        <v/>
      </c>
      <c r="AV745" s="34" t="str">
        <f aca="false">IF(OR(AJ745="",N(AC745)=0),"",AJ745/AC745)</f>
        <v/>
      </c>
      <c r="AW745" s="34" t="str">
        <f aca="false">IF(OR(AH745="",N(AO745)=0),"",AH745/AO745)</f>
        <v/>
      </c>
      <c r="AX745" s="35" t="str">
        <f aca="false">IF(OR(AR745="",N(AO745)=0),"",(N(AF745)*Settings!$B$6+N(AG745)*Settings!$B$7+N(AH745)*Settings!$B$8+N(AI745)*Settings!$B$9+N(AJ745)*Settings!$B$10)/AO745*1000)</f>
        <v/>
      </c>
      <c r="AY745" s="36" t="str">
        <f aca="false">IF(AS745="","",IFERROR(AS745/AVERAGEIFS('Post Tracker'!$AS$5:$AS$1004,'Post Tracker'!$G$5:$G$1004,G745),""))</f>
        <v/>
      </c>
      <c r="AZ745" s="32"/>
      <c r="BA745" s="32"/>
      <c r="BB745" s="32"/>
      <c r="BC745" s="32"/>
      <c r="BD745" s="33" t="str">
        <f aca="false">IF(A745="","",COUNTIFS('Demo Pipeline'!$Q$5:$Q$504,A745))</f>
        <v/>
      </c>
      <c r="BE745" s="33" t="str">
        <f aca="false">IF(A745="","",COUNTIFS('Demo Pipeline'!$Q$5:$Q$504,A745,'Demo Pipeline'!$W$5:$W$504,"Attended"))</f>
        <v/>
      </c>
      <c r="BF745" s="33" t="str">
        <f aca="false">IF(A745="","",COUNTIFS('Demo Pipeline'!$Q$5:$Q$504,A745,'Demo Pipeline'!$X$5:$X$504,"Yes"))</f>
        <v/>
      </c>
      <c r="BG745" s="33" t="str">
        <f aca="false">IF(A745="","",COUNTIFS('Demo Pipeline'!$Q$5:$Q$504,A745,'Demo Pipeline'!$Y$5:$Y$504,"Closed Won"))</f>
        <v/>
      </c>
      <c r="BH745" s="37" t="str">
        <f aca="false">IF(A745="","",SUMIFS('Demo Pipeline'!$Z$5:$Z$504,'Demo Pipeline'!$Q$5:$Q$504,A745))</f>
        <v/>
      </c>
      <c r="BI745" s="34" t="str">
        <f aca="false">IF(OR(AZ745="",N(AJ745)=0),"",AZ745/AJ745)</f>
        <v/>
      </c>
      <c r="BJ745" s="34" t="str">
        <f aca="false">IF(OR(BB745="",N(AZ745)=0),"",BB745/AZ745)</f>
        <v/>
      </c>
      <c r="BK745" s="34" t="str">
        <f aca="false">IF(OR(A745="",N(BB745)=0),"",BD745/BB745)</f>
        <v/>
      </c>
      <c r="BL745" s="34" t="str">
        <f aca="false">IF(OR(A745="",N(AZ745)=0),"",BD745/AZ745)</f>
        <v/>
      </c>
      <c r="BM745" s="37" t="str">
        <f aca="false">IF(OR(N(Q745)=0,N(BD745)=0),"",Q745/BD745)</f>
        <v/>
      </c>
      <c r="BN745" s="29"/>
      <c r="BO745" s="29"/>
      <c r="BP745" s="33" t="str">
        <f aca="false">IF(OR(AR745="",N(AO745)=0),"",AR745)</f>
        <v/>
      </c>
      <c r="BQ745" s="33" t="str">
        <f aca="false">IF(OR(AR745="",N(S745)=0),"",S745)</f>
        <v/>
      </c>
      <c r="BR745" s="38" t="str">
        <f aca="false">IF(AND(ISNUMBER(B745),B745&gt;=Dashboard!$C$4,B745&lt;=Dashboard!$F$4,ISNUMBER(AU745)),AU745+ROW()/10^9,"")</f>
        <v/>
      </c>
      <c r="BS745" s="38" t="str">
        <f aca="false">IF(AND(ISNUMBER(B745),B745&gt;=Dashboard!$C$4,B745&lt;=Dashboard!$F$4,A745&lt;&gt;""),N(BD745)+N(AU745)/100+ROW()/10^9,"")</f>
        <v/>
      </c>
    </row>
    <row r="746" customFormat="false" ht="15" hidden="false" customHeight="false" outlineLevel="0" collapsed="false">
      <c r="A746" s="24" t="str">
        <f aca="false">IF(OR(B746="",G746="",H746=""),"",IFERROR(INDEX(Settings!$E$5:$E$49,MATCH(G746,Settings!$D$5:$D$49,0))&amp;INDEX(Settings!$H$5:$H$47,MATCH(H746,Settings!$G$5:$G$47,0))&amp;"-"&amp;TEXT(B746,"yymmdd")&amp;"-"&amp;IF(C746="","0000",TEXT(C746,"hhmm")),"CHECK LISTS"))</f>
        <v/>
      </c>
      <c r="B746" s="39"/>
      <c r="C746" s="40"/>
      <c r="D746" s="24" t="str">
        <f aca="false">IF(B746="","",TEXT(B746,"ddd"))</f>
        <v/>
      </c>
      <c r="E746" s="27" t="str">
        <f aca="false">IF(B746="","",B746-WEEKDAY(B746,3))</f>
        <v/>
      </c>
      <c r="F746" s="24" t="str">
        <f aca="false">IF(B746="","",TEXT(B746,"yyyy-mm"))</f>
        <v/>
      </c>
      <c r="G746" s="29"/>
      <c r="H746" s="29"/>
      <c r="I746" s="29"/>
      <c r="J746" s="29"/>
      <c r="K746" s="29"/>
      <c r="L746" s="29"/>
      <c r="M746" s="29"/>
      <c r="N746" s="29"/>
      <c r="O746" s="29"/>
      <c r="P746" s="29"/>
      <c r="Q746" s="30"/>
      <c r="R746" s="29"/>
      <c r="S746" s="32"/>
      <c r="T746" s="29"/>
      <c r="U746" s="29"/>
      <c r="V746" s="24" t="str">
        <f aca="false">IF(A746="","",IFERROR(INDEX(Settings!$F$5:$F$49,MATCH(G746,Settings!$D$5:$D$49,0)),""))</f>
        <v/>
      </c>
      <c r="W746" s="24" t="str">
        <f aca="false">IF(A746="","",IF(OR(P746="",P746="Organic"),"social","paid_social"))</f>
        <v/>
      </c>
      <c r="X746" s="24" t="str">
        <f aca="false">IF(A746="","",IF(K746&lt;&gt;"",IFERROR(INDEX('Case Studies'!$C$5:$C$54,MATCH(K746,'Case Studies'!$B$5:$B$54,0))&amp;"","case-study"),IF(J746&lt;&gt;"",IFERROR(INDEX(Settings!$J$5:$J$55,MATCH(J746,Settings!$I$5:$I$55,0)),"general"),"general")))</f>
        <v/>
      </c>
      <c r="Y746" s="24" t="str">
        <f aca="false">IF(A746="","",LOWER(A746))</f>
        <v/>
      </c>
      <c r="Z746" s="24" t="str">
        <f aca="false">IF(A746="","",IF(T746="",Settings!$B$5,T746)&amp;IF(ISNUMBER(FIND("?",IF(T746="",Settings!$B$5,T746))),"&amp;","?")&amp;"utm_source="&amp;V746&amp;"&amp;utm_medium="&amp;W746&amp;"&amp;utm_campaign="&amp;X746&amp;"&amp;utm_content="&amp;Y746)</f>
        <v/>
      </c>
      <c r="AA746" s="29"/>
      <c r="AB746" s="39"/>
      <c r="AC746" s="32"/>
      <c r="AD746" s="32"/>
      <c r="AE746" s="32"/>
      <c r="AF746" s="32"/>
      <c r="AG746" s="32"/>
      <c r="AH746" s="32"/>
      <c r="AI746" s="32"/>
      <c r="AJ746" s="32"/>
      <c r="AK746" s="32"/>
      <c r="AL746" s="32"/>
      <c r="AM746" s="32"/>
      <c r="AN746" s="32"/>
      <c r="AO746" s="33" t="str">
        <f aca="false">IF(A746="","",IF(AD746&lt;&gt;"",AD746,IF(AC746&lt;&gt;"",AC746,"")))</f>
        <v/>
      </c>
      <c r="AP746" s="24" t="str">
        <f aca="false">IF(AO746="","",IF(AD746&lt;&gt;"","Reported reach","Impressions (proxy)"))</f>
        <v/>
      </c>
      <c r="AQ746" s="34" t="str">
        <f aca="false">IF(OR(AO746="",N(S746)=0),"",AO746/S746)</f>
        <v/>
      </c>
      <c r="AR746" s="33" t="str">
        <f aca="false">IF(A746="","",IF(COUNT(AF746:AJ746)=0,"",SUM(AF746:AJ746)))</f>
        <v/>
      </c>
      <c r="AS746" s="34" t="str">
        <f aca="false">IF(OR(AR746="",N(AO746)=0),"",AR746/AO746)</f>
        <v/>
      </c>
      <c r="AT746" s="34" t="str">
        <f aca="false">IF(OR(AR746="",N(AC746)=0),"",AR746/AC746)</f>
        <v/>
      </c>
      <c r="AU746" s="34" t="str">
        <f aca="false">IF(OR(AR746="",N(S746)=0),"",AR746/S746)</f>
        <v/>
      </c>
      <c r="AV746" s="34" t="str">
        <f aca="false">IF(OR(AJ746="",N(AC746)=0),"",AJ746/AC746)</f>
        <v/>
      </c>
      <c r="AW746" s="34" t="str">
        <f aca="false">IF(OR(AH746="",N(AO746)=0),"",AH746/AO746)</f>
        <v/>
      </c>
      <c r="AX746" s="35" t="str">
        <f aca="false">IF(OR(AR746="",N(AO746)=0),"",(N(AF746)*Settings!$B$6+N(AG746)*Settings!$B$7+N(AH746)*Settings!$B$8+N(AI746)*Settings!$B$9+N(AJ746)*Settings!$B$10)/AO746*1000)</f>
        <v/>
      </c>
      <c r="AY746" s="36" t="str">
        <f aca="false">IF(AS746="","",IFERROR(AS746/AVERAGEIFS('Post Tracker'!$AS$5:$AS$1004,'Post Tracker'!$G$5:$G$1004,G746),""))</f>
        <v/>
      </c>
      <c r="AZ746" s="32"/>
      <c r="BA746" s="32"/>
      <c r="BB746" s="32"/>
      <c r="BC746" s="32"/>
      <c r="BD746" s="33" t="str">
        <f aca="false">IF(A746="","",COUNTIFS('Demo Pipeline'!$Q$5:$Q$504,A746))</f>
        <v/>
      </c>
      <c r="BE746" s="33" t="str">
        <f aca="false">IF(A746="","",COUNTIFS('Demo Pipeline'!$Q$5:$Q$504,A746,'Demo Pipeline'!$W$5:$W$504,"Attended"))</f>
        <v/>
      </c>
      <c r="BF746" s="33" t="str">
        <f aca="false">IF(A746="","",COUNTIFS('Demo Pipeline'!$Q$5:$Q$504,A746,'Demo Pipeline'!$X$5:$X$504,"Yes"))</f>
        <v/>
      </c>
      <c r="BG746" s="33" t="str">
        <f aca="false">IF(A746="","",COUNTIFS('Demo Pipeline'!$Q$5:$Q$504,A746,'Demo Pipeline'!$Y$5:$Y$504,"Closed Won"))</f>
        <v/>
      </c>
      <c r="BH746" s="37" t="str">
        <f aca="false">IF(A746="","",SUMIFS('Demo Pipeline'!$Z$5:$Z$504,'Demo Pipeline'!$Q$5:$Q$504,A746))</f>
        <v/>
      </c>
      <c r="BI746" s="34" t="str">
        <f aca="false">IF(OR(AZ746="",N(AJ746)=0),"",AZ746/AJ746)</f>
        <v/>
      </c>
      <c r="BJ746" s="34" t="str">
        <f aca="false">IF(OR(BB746="",N(AZ746)=0),"",BB746/AZ746)</f>
        <v/>
      </c>
      <c r="BK746" s="34" t="str">
        <f aca="false">IF(OR(A746="",N(BB746)=0),"",BD746/BB746)</f>
        <v/>
      </c>
      <c r="BL746" s="34" t="str">
        <f aca="false">IF(OR(A746="",N(AZ746)=0),"",BD746/AZ746)</f>
        <v/>
      </c>
      <c r="BM746" s="37" t="str">
        <f aca="false">IF(OR(N(Q746)=0,N(BD746)=0),"",Q746/BD746)</f>
        <v/>
      </c>
      <c r="BN746" s="29"/>
      <c r="BO746" s="29"/>
      <c r="BP746" s="33" t="str">
        <f aca="false">IF(OR(AR746="",N(AO746)=0),"",AR746)</f>
        <v/>
      </c>
      <c r="BQ746" s="33" t="str">
        <f aca="false">IF(OR(AR746="",N(S746)=0),"",S746)</f>
        <v/>
      </c>
      <c r="BR746" s="38" t="str">
        <f aca="false">IF(AND(ISNUMBER(B746),B746&gt;=Dashboard!$C$4,B746&lt;=Dashboard!$F$4,ISNUMBER(AU746)),AU746+ROW()/10^9,"")</f>
        <v/>
      </c>
      <c r="BS746" s="38" t="str">
        <f aca="false">IF(AND(ISNUMBER(B746),B746&gt;=Dashboard!$C$4,B746&lt;=Dashboard!$F$4,A746&lt;&gt;""),N(BD746)+N(AU746)/100+ROW()/10^9,"")</f>
        <v/>
      </c>
    </row>
    <row r="747" customFormat="false" ht="15" hidden="false" customHeight="false" outlineLevel="0" collapsed="false">
      <c r="A747" s="24" t="str">
        <f aca="false">IF(OR(B747="",G747="",H747=""),"",IFERROR(INDEX(Settings!$E$5:$E$49,MATCH(G747,Settings!$D$5:$D$49,0))&amp;INDEX(Settings!$H$5:$H$47,MATCH(H747,Settings!$G$5:$G$47,0))&amp;"-"&amp;TEXT(B747,"yymmdd")&amp;"-"&amp;IF(C747="","0000",TEXT(C747,"hhmm")),"CHECK LISTS"))</f>
        <v/>
      </c>
      <c r="B747" s="39"/>
      <c r="C747" s="40"/>
      <c r="D747" s="24" t="str">
        <f aca="false">IF(B747="","",TEXT(B747,"ddd"))</f>
        <v/>
      </c>
      <c r="E747" s="27" t="str">
        <f aca="false">IF(B747="","",B747-WEEKDAY(B747,3))</f>
        <v/>
      </c>
      <c r="F747" s="24" t="str">
        <f aca="false">IF(B747="","",TEXT(B747,"yyyy-mm"))</f>
        <v/>
      </c>
      <c r="G747" s="29"/>
      <c r="H747" s="29"/>
      <c r="I747" s="29"/>
      <c r="J747" s="29"/>
      <c r="K747" s="29"/>
      <c r="L747" s="29"/>
      <c r="M747" s="29"/>
      <c r="N747" s="29"/>
      <c r="O747" s="29"/>
      <c r="P747" s="29"/>
      <c r="Q747" s="30"/>
      <c r="R747" s="29"/>
      <c r="S747" s="32"/>
      <c r="T747" s="29"/>
      <c r="U747" s="29"/>
      <c r="V747" s="24" t="str">
        <f aca="false">IF(A747="","",IFERROR(INDEX(Settings!$F$5:$F$49,MATCH(G747,Settings!$D$5:$D$49,0)),""))</f>
        <v/>
      </c>
      <c r="W747" s="24" t="str">
        <f aca="false">IF(A747="","",IF(OR(P747="",P747="Organic"),"social","paid_social"))</f>
        <v/>
      </c>
      <c r="X747" s="24" t="str">
        <f aca="false">IF(A747="","",IF(K747&lt;&gt;"",IFERROR(INDEX('Case Studies'!$C$5:$C$54,MATCH(K747,'Case Studies'!$B$5:$B$54,0))&amp;"","case-study"),IF(J747&lt;&gt;"",IFERROR(INDEX(Settings!$J$5:$J$55,MATCH(J747,Settings!$I$5:$I$55,0)),"general"),"general")))</f>
        <v/>
      </c>
      <c r="Y747" s="24" t="str">
        <f aca="false">IF(A747="","",LOWER(A747))</f>
        <v/>
      </c>
      <c r="Z747" s="24" t="str">
        <f aca="false">IF(A747="","",IF(T747="",Settings!$B$5,T747)&amp;IF(ISNUMBER(FIND("?",IF(T747="",Settings!$B$5,T747))),"&amp;","?")&amp;"utm_source="&amp;V747&amp;"&amp;utm_medium="&amp;W747&amp;"&amp;utm_campaign="&amp;X747&amp;"&amp;utm_content="&amp;Y747)</f>
        <v/>
      </c>
      <c r="AA747" s="29"/>
      <c r="AB747" s="39"/>
      <c r="AC747" s="32"/>
      <c r="AD747" s="32"/>
      <c r="AE747" s="32"/>
      <c r="AF747" s="32"/>
      <c r="AG747" s="32"/>
      <c r="AH747" s="32"/>
      <c r="AI747" s="32"/>
      <c r="AJ747" s="32"/>
      <c r="AK747" s="32"/>
      <c r="AL747" s="32"/>
      <c r="AM747" s="32"/>
      <c r="AN747" s="32"/>
      <c r="AO747" s="33" t="str">
        <f aca="false">IF(A747="","",IF(AD747&lt;&gt;"",AD747,IF(AC747&lt;&gt;"",AC747,"")))</f>
        <v/>
      </c>
      <c r="AP747" s="24" t="str">
        <f aca="false">IF(AO747="","",IF(AD747&lt;&gt;"","Reported reach","Impressions (proxy)"))</f>
        <v/>
      </c>
      <c r="AQ747" s="34" t="str">
        <f aca="false">IF(OR(AO747="",N(S747)=0),"",AO747/S747)</f>
        <v/>
      </c>
      <c r="AR747" s="33" t="str">
        <f aca="false">IF(A747="","",IF(COUNT(AF747:AJ747)=0,"",SUM(AF747:AJ747)))</f>
        <v/>
      </c>
      <c r="AS747" s="34" t="str">
        <f aca="false">IF(OR(AR747="",N(AO747)=0),"",AR747/AO747)</f>
        <v/>
      </c>
      <c r="AT747" s="34" t="str">
        <f aca="false">IF(OR(AR747="",N(AC747)=0),"",AR747/AC747)</f>
        <v/>
      </c>
      <c r="AU747" s="34" t="str">
        <f aca="false">IF(OR(AR747="",N(S747)=0),"",AR747/S747)</f>
        <v/>
      </c>
      <c r="AV747" s="34" t="str">
        <f aca="false">IF(OR(AJ747="",N(AC747)=0),"",AJ747/AC747)</f>
        <v/>
      </c>
      <c r="AW747" s="34" t="str">
        <f aca="false">IF(OR(AH747="",N(AO747)=0),"",AH747/AO747)</f>
        <v/>
      </c>
      <c r="AX747" s="35" t="str">
        <f aca="false">IF(OR(AR747="",N(AO747)=0),"",(N(AF747)*Settings!$B$6+N(AG747)*Settings!$B$7+N(AH747)*Settings!$B$8+N(AI747)*Settings!$B$9+N(AJ747)*Settings!$B$10)/AO747*1000)</f>
        <v/>
      </c>
      <c r="AY747" s="36" t="str">
        <f aca="false">IF(AS747="","",IFERROR(AS747/AVERAGEIFS('Post Tracker'!$AS$5:$AS$1004,'Post Tracker'!$G$5:$G$1004,G747),""))</f>
        <v/>
      </c>
      <c r="AZ747" s="32"/>
      <c r="BA747" s="32"/>
      <c r="BB747" s="32"/>
      <c r="BC747" s="32"/>
      <c r="BD747" s="33" t="str">
        <f aca="false">IF(A747="","",COUNTIFS('Demo Pipeline'!$Q$5:$Q$504,A747))</f>
        <v/>
      </c>
      <c r="BE747" s="33" t="str">
        <f aca="false">IF(A747="","",COUNTIFS('Demo Pipeline'!$Q$5:$Q$504,A747,'Demo Pipeline'!$W$5:$W$504,"Attended"))</f>
        <v/>
      </c>
      <c r="BF747" s="33" t="str">
        <f aca="false">IF(A747="","",COUNTIFS('Demo Pipeline'!$Q$5:$Q$504,A747,'Demo Pipeline'!$X$5:$X$504,"Yes"))</f>
        <v/>
      </c>
      <c r="BG747" s="33" t="str">
        <f aca="false">IF(A747="","",COUNTIFS('Demo Pipeline'!$Q$5:$Q$504,A747,'Demo Pipeline'!$Y$5:$Y$504,"Closed Won"))</f>
        <v/>
      </c>
      <c r="BH747" s="37" t="str">
        <f aca="false">IF(A747="","",SUMIFS('Demo Pipeline'!$Z$5:$Z$504,'Demo Pipeline'!$Q$5:$Q$504,A747))</f>
        <v/>
      </c>
      <c r="BI747" s="34" t="str">
        <f aca="false">IF(OR(AZ747="",N(AJ747)=0),"",AZ747/AJ747)</f>
        <v/>
      </c>
      <c r="BJ747" s="34" t="str">
        <f aca="false">IF(OR(BB747="",N(AZ747)=0),"",BB747/AZ747)</f>
        <v/>
      </c>
      <c r="BK747" s="34" t="str">
        <f aca="false">IF(OR(A747="",N(BB747)=0),"",BD747/BB747)</f>
        <v/>
      </c>
      <c r="BL747" s="34" t="str">
        <f aca="false">IF(OR(A747="",N(AZ747)=0),"",BD747/AZ747)</f>
        <v/>
      </c>
      <c r="BM747" s="37" t="str">
        <f aca="false">IF(OR(N(Q747)=0,N(BD747)=0),"",Q747/BD747)</f>
        <v/>
      </c>
      <c r="BN747" s="29"/>
      <c r="BO747" s="29"/>
      <c r="BP747" s="33" t="str">
        <f aca="false">IF(OR(AR747="",N(AO747)=0),"",AR747)</f>
        <v/>
      </c>
      <c r="BQ747" s="33" t="str">
        <f aca="false">IF(OR(AR747="",N(S747)=0),"",S747)</f>
        <v/>
      </c>
      <c r="BR747" s="38" t="str">
        <f aca="false">IF(AND(ISNUMBER(B747),B747&gt;=Dashboard!$C$4,B747&lt;=Dashboard!$F$4,ISNUMBER(AU747)),AU747+ROW()/10^9,"")</f>
        <v/>
      </c>
      <c r="BS747" s="38" t="str">
        <f aca="false">IF(AND(ISNUMBER(B747),B747&gt;=Dashboard!$C$4,B747&lt;=Dashboard!$F$4,A747&lt;&gt;""),N(BD747)+N(AU747)/100+ROW()/10^9,"")</f>
        <v/>
      </c>
    </row>
    <row r="748" customFormat="false" ht="15" hidden="false" customHeight="false" outlineLevel="0" collapsed="false">
      <c r="A748" s="24" t="str">
        <f aca="false">IF(OR(B748="",G748="",H748=""),"",IFERROR(INDEX(Settings!$E$5:$E$49,MATCH(G748,Settings!$D$5:$D$49,0))&amp;INDEX(Settings!$H$5:$H$47,MATCH(H748,Settings!$G$5:$G$47,0))&amp;"-"&amp;TEXT(B748,"yymmdd")&amp;"-"&amp;IF(C748="","0000",TEXT(C748,"hhmm")),"CHECK LISTS"))</f>
        <v/>
      </c>
      <c r="B748" s="39"/>
      <c r="C748" s="40"/>
      <c r="D748" s="24" t="str">
        <f aca="false">IF(B748="","",TEXT(B748,"ddd"))</f>
        <v/>
      </c>
      <c r="E748" s="27" t="str">
        <f aca="false">IF(B748="","",B748-WEEKDAY(B748,3))</f>
        <v/>
      </c>
      <c r="F748" s="24" t="str">
        <f aca="false">IF(B748="","",TEXT(B748,"yyyy-mm"))</f>
        <v/>
      </c>
      <c r="G748" s="29"/>
      <c r="H748" s="29"/>
      <c r="I748" s="29"/>
      <c r="J748" s="29"/>
      <c r="K748" s="29"/>
      <c r="L748" s="29"/>
      <c r="M748" s="29"/>
      <c r="N748" s="29"/>
      <c r="O748" s="29"/>
      <c r="P748" s="29"/>
      <c r="Q748" s="30"/>
      <c r="R748" s="29"/>
      <c r="S748" s="32"/>
      <c r="T748" s="29"/>
      <c r="U748" s="29"/>
      <c r="V748" s="24" t="str">
        <f aca="false">IF(A748="","",IFERROR(INDEX(Settings!$F$5:$F$49,MATCH(G748,Settings!$D$5:$D$49,0)),""))</f>
        <v/>
      </c>
      <c r="W748" s="24" t="str">
        <f aca="false">IF(A748="","",IF(OR(P748="",P748="Organic"),"social","paid_social"))</f>
        <v/>
      </c>
      <c r="X748" s="24" t="str">
        <f aca="false">IF(A748="","",IF(K748&lt;&gt;"",IFERROR(INDEX('Case Studies'!$C$5:$C$54,MATCH(K748,'Case Studies'!$B$5:$B$54,0))&amp;"","case-study"),IF(J748&lt;&gt;"",IFERROR(INDEX(Settings!$J$5:$J$55,MATCH(J748,Settings!$I$5:$I$55,0)),"general"),"general")))</f>
        <v/>
      </c>
      <c r="Y748" s="24" t="str">
        <f aca="false">IF(A748="","",LOWER(A748))</f>
        <v/>
      </c>
      <c r="Z748" s="24" t="str">
        <f aca="false">IF(A748="","",IF(T748="",Settings!$B$5,T748)&amp;IF(ISNUMBER(FIND("?",IF(T748="",Settings!$B$5,T748))),"&amp;","?")&amp;"utm_source="&amp;V748&amp;"&amp;utm_medium="&amp;W748&amp;"&amp;utm_campaign="&amp;X748&amp;"&amp;utm_content="&amp;Y748)</f>
        <v/>
      </c>
      <c r="AA748" s="29"/>
      <c r="AB748" s="39"/>
      <c r="AC748" s="32"/>
      <c r="AD748" s="32"/>
      <c r="AE748" s="32"/>
      <c r="AF748" s="32"/>
      <c r="AG748" s="32"/>
      <c r="AH748" s="32"/>
      <c r="AI748" s="32"/>
      <c r="AJ748" s="32"/>
      <c r="AK748" s="32"/>
      <c r="AL748" s="32"/>
      <c r="AM748" s="32"/>
      <c r="AN748" s="32"/>
      <c r="AO748" s="33" t="str">
        <f aca="false">IF(A748="","",IF(AD748&lt;&gt;"",AD748,IF(AC748&lt;&gt;"",AC748,"")))</f>
        <v/>
      </c>
      <c r="AP748" s="24" t="str">
        <f aca="false">IF(AO748="","",IF(AD748&lt;&gt;"","Reported reach","Impressions (proxy)"))</f>
        <v/>
      </c>
      <c r="AQ748" s="34" t="str">
        <f aca="false">IF(OR(AO748="",N(S748)=0),"",AO748/S748)</f>
        <v/>
      </c>
      <c r="AR748" s="33" t="str">
        <f aca="false">IF(A748="","",IF(COUNT(AF748:AJ748)=0,"",SUM(AF748:AJ748)))</f>
        <v/>
      </c>
      <c r="AS748" s="34" t="str">
        <f aca="false">IF(OR(AR748="",N(AO748)=0),"",AR748/AO748)</f>
        <v/>
      </c>
      <c r="AT748" s="34" t="str">
        <f aca="false">IF(OR(AR748="",N(AC748)=0),"",AR748/AC748)</f>
        <v/>
      </c>
      <c r="AU748" s="34" t="str">
        <f aca="false">IF(OR(AR748="",N(S748)=0),"",AR748/S748)</f>
        <v/>
      </c>
      <c r="AV748" s="34" t="str">
        <f aca="false">IF(OR(AJ748="",N(AC748)=0),"",AJ748/AC748)</f>
        <v/>
      </c>
      <c r="AW748" s="34" t="str">
        <f aca="false">IF(OR(AH748="",N(AO748)=0),"",AH748/AO748)</f>
        <v/>
      </c>
      <c r="AX748" s="35" t="str">
        <f aca="false">IF(OR(AR748="",N(AO748)=0),"",(N(AF748)*Settings!$B$6+N(AG748)*Settings!$B$7+N(AH748)*Settings!$B$8+N(AI748)*Settings!$B$9+N(AJ748)*Settings!$B$10)/AO748*1000)</f>
        <v/>
      </c>
      <c r="AY748" s="36" t="str">
        <f aca="false">IF(AS748="","",IFERROR(AS748/AVERAGEIFS('Post Tracker'!$AS$5:$AS$1004,'Post Tracker'!$G$5:$G$1004,G748),""))</f>
        <v/>
      </c>
      <c r="AZ748" s="32"/>
      <c r="BA748" s="32"/>
      <c r="BB748" s="32"/>
      <c r="BC748" s="32"/>
      <c r="BD748" s="33" t="str">
        <f aca="false">IF(A748="","",COUNTIFS('Demo Pipeline'!$Q$5:$Q$504,A748))</f>
        <v/>
      </c>
      <c r="BE748" s="33" t="str">
        <f aca="false">IF(A748="","",COUNTIFS('Demo Pipeline'!$Q$5:$Q$504,A748,'Demo Pipeline'!$W$5:$W$504,"Attended"))</f>
        <v/>
      </c>
      <c r="BF748" s="33" t="str">
        <f aca="false">IF(A748="","",COUNTIFS('Demo Pipeline'!$Q$5:$Q$504,A748,'Demo Pipeline'!$X$5:$X$504,"Yes"))</f>
        <v/>
      </c>
      <c r="BG748" s="33" t="str">
        <f aca="false">IF(A748="","",COUNTIFS('Demo Pipeline'!$Q$5:$Q$504,A748,'Demo Pipeline'!$Y$5:$Y$504,"Closed Won"))</f>
        <v/>
      </c>
      <c r="BH748" s="37" t="str">
        <f aca="false">IF(A748="","",SUMIFS('Demo Pipeline'!$Z$5:$Z$504,'Demo Pipeline'!$Q$5:$Q$504,A748))</f>
        <v/>
      </c>
      <c r="BI748" s="34" t="str">
        <f aca="false">IF(OR(AZ748="",N(AJ748)=0),"",AZ748/AJ748)</f>
        <v/>
      </c>
      <c r="BJ748" s="34" t="str">
        <f aca="false">IF(OR(BB748="",N(AZ748)=0),"",BB748/AZ748)</f>
        <v/>
      </c>
      <c r="BK748" s="34" t="str">
        <f aca="false">IF(OR(A748="",N(BB748)=0),"",BD748/BB748)</f>
        <v/>
      </c>
      <c r="BL748" s="34" t="str">
        <f aca="false">IF(OR(A748="",N(AZ748)=0),"",BD748/AZ748)</f>
        <v/>
      </c>
      <c r="BM748" s="37" t="str">
        <f aca="false">IF(OR(N(Q748)=0,N(BD748)=0),"",Q748/BD748)</f>
        <v/>
      </c>
      <c r="BN748" s="29"/>
      <c r="BO748" s="29"/>
      <c r="BP748" s="33" t="str">
        <f aca="false">IF(OR(AR748="",N(AO748)=0),"",AR748)</f>
        <v/>
      </c>
      <c r="BQ748" s="33" t="str">
        <f aca="false">IF(OR(AR748="",N(S748)=0),"",S748)</f>
        <v/>
      </c>
      <c r="BR748" s="38" t="str">
        <f aca="false">IF(AND(ISNUMBER(B748),B748&gt;=Dashboard!$C$4,B748&lt;=Dashboard!$F$4,ISNUMBER(AU748)),AU748+ROW()/10^9,"")</f>
        <v/>
      </c>
      <c r="BS748" s="38" t="str">
        <f aca="false">IF(AND(ISNUMBER(B748),B748&gt;=Dashboard!$C$4,B748&lt;=Dashboard!$F$4,A748&lt;&gt;""),N(BD748)+N(AU748)/100+ROW()/10^9,"")</f>
        <v/>
      </c>
    </row>
    <row r="749" customFormat="false" ht="15" hidden="false" customHeight="false" outlineLevel="0" collapsed="false">
      <c r="A749" s="24" t="str">
        <f aca="false">IF(OR(B749="",G749="",H749=""),"",IFERROR(INDEX(Settings!$E$5:$E$49,MATCH(G749,Settings!$D$5:$D$49,0))&amp;INDEX(Settings!$H$5:$H$47,MATCH(H749,Settings!$G$5:$G$47,0))&amp;"-"&amp;TEXT(B749,"yymmdd")&amp;"-"&amp;IF(C749="","0000",TEXT(C749,"hhmm")),"CHECK LISTS"))</f>
        <v/>
      </c>
      <c r="B749" s="39"/>
      <c r="C749" s="40"/>
      <c r="D749" s="24" t="str">
        <f aca="false">IF(B749="","",TEXT(B749,"ddd"))</f>
        <v/>
      </c>
      <c r="E749" s="27" t="str">
        <f aca="false">IF(B749="","",B749-WEEKDAY(B749,3))</f>
        <v/>
      </c>
      <c r="F749" s="24" t="str">
        <f aca="false">IF(B749="","",TEXT(B749,"yyyy-mm"))</f>
        <v/>
      </c>
      <c r="G749" s="29"/>
      <c r="H749" s="29"/>
      <c r="I749" s="29"/>
      <c r="J749" s="29"/>
      <c r="K749" s="29"/>
      <c r="L749" s="29"/>
      <c r="M749" s="29"/>
      <c r="N749" s="29"/>
      <c r="O749" s="29"/>
      <c r="P749" s="29"/>
      <c r="Q749" s="30"/>
      <c r="R749" s="29"/>
      <c r="S749" s="32"/>
      <c r="T749" s="29"/>
      <c r="U749" s="29"/>
      <c r="V749" s="24" t="str">
        <f aca="false">IF(A749="","",IFERROR(INDEX(Settings!$F$5:$F$49,MATCH(G749,Settings!$D$5:$D$49,0)),""))</f>
        <v/>
      </c>
      <c r="W749" s="24" t="str">
        <f aca="false">IF(A749="","",IF(OR(P749="",P749="Organic"),"social","paid_social"))</f>
        <v/>
      </c>
      <c r="X749" s="24" t="str">
        <f aca="false">IF(A749="","",IF(K749&lt;&gt;"",IFERROR(INDEX('Case Studies'!$C$5:$C$54,MATCH(K749,'Case Studies'!$B$5:$B$54,0))&amp;"","case-study"),IF(J749&lt;&gt;"",IFERROR(INDEX(Settings!$J$5:$J$55,MATCH(J749,Settings!$I$5:$I$55,0)),"general"),"general")))</f>
        <v/>
      </c>
      <c r="Y749" s="24" t="str">
        <f aca="false">IF(A749="","",LOWER(A749))</f>
        <v/>
      </c>
      <c r="Z749" s="24" t="str">
        <f aca="false">IF(A749="","",IF(T749="",Settings!$B$5,T749)&amp;IF(ISNUMBER(FIND("?",IF(T749="",Settings!$B$5,T749))),"&amp;","?")&amp;"utm_source="&amp;V749&amp;"&amp;utm_medium="&amp;W749&amp;"&amp;utm_campaign="&amp;X749&amp;"&amp;utm_content="&amp;Y749)</f>
        <v/>
      </c>
      <c r="AA749" s="29"/>
      <c r="AB749" s="39"/>
      <c r="AC749" s="32"/>
      <c r="AD749" s="32"/>
      <c r="AE749" s="32"/>
      <c r="AF749" s="32"/>
      <c r="AG749" s="32"/>
      <c r="AH749" s="32"/>
      <c r="AI749" s="32"/>
      <c r="AJ749" s="32"/>
      <c r="AK749" s="32"/>
      <c r="AL749" s="32"/>
      <c r="AM749" s="32"/>
      <c r="AN749" s="32"/>
      <c r="AO749" s="33" t="str">
        <f aca="false">IF(A749="","",IF(AD749&lt;&gt;"",AD749,IF(AC749&lt;&gt;"",AC749,"")))</f>
        <v/>
      </c>
      <c r="AP749" s="24" t="str">
        <f aca="false">IF(AO749="","",IF(AD749&lt;&gt;"","Reported reach","Impressions (proxy)"))</f>
        <v/>
      </c>
      <c r="AQ749" s="34" t="str">
        <f aca="false">IF(OR(AO749="",N(S749)=0),"",AO749/S749)</f>
        <v/>
      </c>
      <c r="AR749" s="33" t="str">
        <f aca="false">IF(A749="","",IF(COUNT(AF749:AJ749)=0,"",SUM(AF749:AJ749)))</f>
        <v/>
      </c>
      <c r="AS749" s="34" t="str">
        <f aca="false">IF(OR(AR749="",N(AO749)=0),"",AR749/AO749)</f>
        <v/>
      </c>
      <c r="AT749" s="34" t="str">
        <f aca="false">IF(OR(AR749="",N(AC749)=0),"",AR749/AC749)</f>
        <v/>
      </c>
      <c r="AU749" s="34" t="str">
        <f aca="false">IF(OR(AR749="",N(S749)=0),"",AR749/S749)</f>
        <v/>
      </c>
      <c r="AV749" s="34" t="str">
        <f aca="false">IF(OR(AJ749="",N(AC749)=0),"",AJ749/AC749)</f>
        <v/>
      </c>
      <c r="AW749" s="34" t="str">
        <f aca="false">IF(OR(AH749="",N(AO749)=0),"",AH749/AO749)</f>
        <v/>
      </c>
      <c r="AX749" s="35" t="str">
        <f aca="false">IF(OR(AR749="",N(AO749)=0),"",(N(AF749)*Settings!$B$6+N(AG749)*Settings!$B$7+N(AH749)*Settings!$B$8+N(AI749)*Settings!$B$9+N(AJ749)*Settings!$B$10)/AO749*1000)</f>
        <v/>
      </c>
      <c r="AY749" s="36" t="str">
        <f aca="false">IF(AS749="","",IFERROR(AS749/AVERAGEIFS('Post Tracker'!$AS$5:$AS$1004,'Post Tracker'!$G$5:$G$1004,G749),""))</f>
        <v/>
      </c>
      <c r="AZ749" s="32"/>
      <c r="BA749" s="32"/>
      <c r="BB749" s="32"/>
      <c r="BC749" s="32"/>
      <c r="BD749" s="33" t="str">
        <f aca="false">IF(A749="","",COUNTIFS('Demo Pipeline'!$Q$5:$Q$504,A749))</f>
        <v/>
      </c>
      <c r="BE749" s="33" t="str">
        <f aca="false">IF(A749="","",COUNTIFS('Demo Pipeline'!$Q$5:$Q$504,A749,'Demo Pipeline'!$W$5:$W$504,"Attended"))</f>
        <v/>
      </c>
      <c r="BF749" s="33" t="str">
        <f aca="false">IF(A749="","",COUNTIFS('Demo Pipeline'!$Q$5:$Q$504,A749,'Demo Pipeline'!$X$5:$X$504,"Yes"))</f>
        <v/>
      </c>
      <c r="BG749" s="33" t="str">
        <f aca="false">IF(A749="","",COUNTIFS('Demo Pipeline'!$Q$5:$Q$504,A749,'Demo Pipeline'!$Y$5:$Y$504,"Closed Won"))</f>
        <v/>
      </c>
      <c r="BH749" s="37" t="str">
        <f aca="false">IF(A749="","",SUMIFS('Demo Pipeline'!$Z$5:$Z$504,'Demo Pipeline'!$Q$5:$Q$504,A749))</f>
        <v/>
      </c>
      <c r="BI749" s="34" t="str">
        <f aca="false">IF(OR(AZ749="",N(AJ749)=0),"",AZ749/AJ749)</f>
        <v/>
      </c>
      <c r="BJ749" s="34" t="str">
        <f aca="false">IF(OR(BB749="",N(AZ749)=0),"",BB749/AZ749)</f>
        <v/>
      </c>
      <c r="BK749" s="34" t="str">
        <f aca="false">IF(OR(A749="",N(BB749)=0),"",BD749/BB749)</f>
        <v/>
      </c>
      <c r="BL749" s="34" t="str">
        <f aca="false">IF(OR(A749="",N(AZ749)=0),"",BD749/AZ749)</f>
        <v/>
      </c>
      <c r="BM749" s="37" t="str">
        <f aca="false">IF(OR(N(Q749)=0,N(BD749)=0),"",Q749/BD749)</f>
        <v/>
      </c>
      <c r="BN749" s="29"/>
      <c r="BO749" s="29"/>
      <c r="BP749" s="33" t="str">
        <f aca="false">IF(OR(AR749="",N(AO749)=0),"",AR749)</f>
        <v/>
      </c>
      <c r="BQ749" s="33" t="str">
        <f aca="false">IF(OR(AR749="",N(S749)=0),"",S749)</f>
        <v/>
      </c>
      <c r="BR749" s="38" t="str">
        <f aca="false">IF(AND(ISNUMBER(B749),B749&gt;=Dashboard!$C$4,B749&lt;=Dashboard!$F$4,ISNUMBER(AU749)),AU749+ROW()/10^9,"")</f>
        <v/>
      </c>
      <c r="BS749" s="38" t="str">
        <f aca="false">IF(AND(ISNUMBER(B749),B749&gt;=Dashboard!$C$4,B749&lt;=Dashboard!$F$4,A749&lt;&gt;""),N(BD749)+N(AU749)/100+ROW()/10^9,"")</f>
        <v/>
      </c>
    </row>
    <row r="750" customFormat="false" ht="15" hidden="false" customHeight="false" outlineLevel="0" collapsed="false">
      <c r="A750" s="24" t="str">
        <f aca="false">IF(OR(B750="",G750="",H750=""),"",IFERROR(INDEX(Settings!$E$5:$E$49,MATCH(G750,Settings!$D$5:$D$49,0))&amp;INDEX(Settings!$H$5:$H$47,MATCH(H750,Settings!$G$5:$G$47,0))&amp;"-"&amp;TEXT(B750,"yymmdd")&amp;"-"&amp;IF(C750="","0000",TEXT(C750,"hhmm")),"CHECK LISTS"))</f>
        <v/>
      </c>
      <c r="B750" s="39"/>
      <c r="C750" s="40"/>
      <c r="D750" s="24" t="str">
        <f aca="false">IF(B750="","",TEXT(B750,"ddd"))</f>
        <v/>
      </c>
      <c r="E750" s="27" t="str">
        <f aca="false">IF(B750="","",B750-WEEKDAY(B750,3))</f>
        <v/>
      </c>
      <c r="F750" s="24" t="str">
        <f aca="false">IF(B750="","",TEXT(B750,"yyyy-mm"))</f>
        <v/>
      </c>
      <c r="G750" s="29"/>
      <c r="H750" s="29"/>
      <c r="I750" s="29"/>
      <c r="J750" s="29"/>
      <c r="K750" s="29"/>
      <c r="L750" s="29"/>
      <c r="M750" s="29"/>
      <c r="N750" s="29"/>
      <c r="O750" s="29"/>
      <c r="P750" s="29"/>
      <c r="Q750" s="30"/>
      <c r="R750" s="29"/>
      <c r="S750" s="32"/>
      <c r="T750" s="29"/>
      <c r="U750" s="29"/>
      <c r="V750" s="24" t="str">
        <f aca="false">IF(A750="","",IFERROR(INDEX(Settings!$F$5:$F$49,MATCH(G750,Settings!$D$5:$D$49,0)),""))</f>
        <v/>
      </c>
      <c r="W750" s="24" t="str">
        <f aca="false">IF(A750="","",IF(OR(P750="",P750="Organic"),"social","paid_social"))</f>
        <v/>
      </c>
      <c r="X750" s="24" t="str">
        <f aca="false">IF(A750="","",IF(K750&lt;&gt;"",IFERROR(INDEX('Case Studies'!$C$5:$C$54,MATCH(K750,'Case Studies'!$B$5:$B$54,0))&amp;"","case-study"),IF(J750&lt;&gt;"",IFERROR(INDEX(Settings!$J$5:$J$55,MATCH(J750,Settings!$I$5:$I$55,0)),"general"),"general")))</f>
        <v/>
      </c>
      <c r="Y750" s="24" t="str">
        <f aca="false">IF(A750="","",LOWER(A750))</f>
        <v/>
      </c>
      <c r="Z750" s="24" t="str">
        <f aca="false">IF(A750="","",IF(T750="",Settings!$B$5,T750)&amp;IF(ISNUMBER(FIND("?",IF(T750="",Settings!$B$5,T750))),"&amp;","?")&amp;"utm_source="&amp;V750&amp;"&amp;utm_medium="&amp;W750&amp;"&amp;utm_campaign="&amp;X750&amp;"&amp;utm_content="&amp;Y750)</f>
        <v/>
      </c>
      <c r="AA750" s="29"/>
      <c r="AB750" s="39"/>
      <c r="AC750" s="32"/>
      <c r="AD750" s="32"/>
      <c r="AE750" s="32"/>
      <c r="AF750" s="32"/>
      <c r="AG750" s="32"/>
      <c r="AH750" s="32"/>
      <c r="AI750" s="32"/>
      <c r="AJ750" s="32"/>
      <c r="AK750" s="32"/>
      <c r="AL750" s="32"/>
      <c r="AM750" s="32"/>
      <c r="AN750" s="32"/>
      <c r="AO750" s="33" t="str">
        <f aca="false">IF(A750="","",IF(AD750&lt;&gt;"",AD750,IF(AC750&lt;&gt;"",AC750,"")))</f>
        <v/>
      </c>
      <c r="AP750" s="24" t="str">
        <f aca="false">IF(AO750="","",IF(AD750&lt;&gt;"","Reported reach","Impressions (proxy)"))</f>
        <v/>
      </c>
      <c r="AQ750" s="34" t="str">
        <f aca="false">IF(OR(AO750="",N(S750)=0),"",AO750/S750)</f>
        <v/>
      </c>
      <c r="AR750" s="33" t="str">
        <f aca="false">IF(A750="","",IF(COUNT(AF750:AJ750)=0,"",SUM(AF750:AJ750)))</f>
        <v/>
      </c>
      <c r="AS750" s="34" t="str">
        <f aca="false">IF(OR(AR750="",N(AO750)=0),"",AR750/AO750)</f>
        <v/>
      </c>
      <c r="AT750" s="34" t="str">
        <f aca="false">IF(OR(AR750="",N(AC750)=0),"",AR750/AC750)</f>
        <v/>
      </c>
      <c r="AU750" s="34" t="str">
        <f aca="false">IF(OR(AR750="",N(S750)=0),"",AR750/S750)</f>
        <v/>
      </c>
      <c r="AV750" s="34" t="str">
        <f aca="false">IF(OR(AJ750="",N(AC750)=0),"",AJ750/AC750)</f>
        <v/>
      </c>
      <c r="AW750" s="34" t="str">
        <f aca="false">IF(OR(AH750="",N(AO750)=0),"",AH750/AO750)</f>
        <v/>
      </c>
      <c r="AX750" s="35" t="str">
        <f aca="false">IF(OR(AR750="",N(AO750)=0),"",(N(AF750)*Settings!$B$6+N(AG750)*Settings!$B$7+N(AH750)*Settings!$B$8+N(AI750)*Settings!$B$9+N(AJ750)*Settings!$B$10)/AO750*1000)</f>
        <v/>
      </c>
      <c r="AY750" s="36" t="str">
        <f aca="false">IF(AS750="","",IFERROR(AS750/AVERAGEIFS('Post Tracker'!$AS$5:$AS$1004,'Post Tracker'!$G$5:$G$1004,G750),""))</f>
        <v/>
      </c>
      <c r="AZ750" s="32"/>
      <c r="BA750" s="32"/>
      <c r="BB750" s="32"/>
      <c r="BC750" s="32"/>
      <c r="BD750" s="33" t="str">
        <f aca="false">IF(A750="","",COUNTIFS('Demo Pipeline'!$Q$5:$Q$504,A750))</f>
        <v/>
      </c>
      <c r="BE750" s="33" t="str">
        <f aca="false">IF(A750="","",COUNTIFS('Demo Pipeline'!$Q$5:$Q$504,A750,'Demo Pipeline'!$W$5:$W$504,"Attended"))</f>
        <v/>
      </c>
      <c r="BF750" s="33" t="str">
        <f aca="false">IF(A750="","",COUNTIFS('Demo Pipeline'!$Q$5:$Q$504,A750,'Demo Pipeline'!$X$5:$X$504,"Yes"))</f>
        <v/>
      </c>
      <c r="BG750" s="33" t="str">
        <f aca="false">IF(A750="","",COUNTIFS('Demo Pipeline'!$Q$5:$Q$504,A750,'Demo Pipeline'!$Y$5:$Y$504,"Closed Won"))</f>
        <v/>
      </c>
      <c r="BH750" s="37" t="str">
        <f aca="false">IF(A750="","",SUMIFS('Demo Pipeline'!$Z$5:$Z$504,'Demo Pipeline'!$Q$5:$Q$504,A750))</f>
        <v/>
      </c>
      <c r="BI750" s="34" t="str">
        <f aca="false">IF(OR(AZ750="",N(AJ750)=0),"",AZ750/AJ750)</f>
        <v/>
      </c>
      <c r="BJ750" s="34" t="str">
        <f aca="false">IF(OR(BB750="",N(AZ750)=0),"",BB750/AZ750)</f>
        <v/>
      </c>
      <c r="BK750" s="34" t="str">
        <f aca="false">IF(OR(A750="",N(BB750)=0),"",BD750/BB750)</f>
        <v/>
      </c>
      <c r="BL750" s="34" t="str">
        <f aca="false">IF(OR(A750="",N(AZ750)=0),"",BD750/AZ750)</f>
        <v/>
      </c>
      <c r="BM750" s="37" t="str">
        <f aca="false">IF(OR(N(Q750)=0,N(BD750)=0),"",Q750/BD750)</f>
        <v/>
      </c>
      <c r="BN750" s="29"/>
      <c r="BO750" s="29"/>
      <c r="BP750" s="33" t="str">
        <f aca="false">IF(OR(AR750="",N(AO750)=0),"",AR750)</f>
        <v/>
      </c>
      <c r="BQ750" s="33" t="str">
        <f aca="false">IF(OR(AR750="",N(S750)=0),"",S750)</f>
        <v/>
      </c>
      <c r="BR750" s="38" t="str">
        <f aca="false">IF(AND(ISNUMBER(B750),B750&gt;=Dashboard!$C$4,B750&lt;=Dashboard!$F$4,ISNUMBER(AU750)),AU750+ROW()/10^9,"")</f>
        <v/>
      </c>
      <c r="BS750" s="38" t="str">
        <f aca="false">IF(AND(ISNUMBER(B750),B750&gt;=Dashboard!$C$4,B750&lt;=Dashboard!$F$4,A750&lt;&gt;""),N(BD750)+N(AU750)/100+ROW()/10^9,"")</f>
        <v/>
      </c>
    </row>
    <row r="751" customFormat="false" ht="15" hidden="false" customHeight="false" outlineLevel="0" collapsed="false">
      <c r="A751" s="24" t="str">
        <f aca="false">IF(OR(B751="",G751="",H751=""),"",IFERROR(INDEX(Settings!$E$5:$E$49,MATCH(G751,Settings!$D$5:$D$49,0))&amp;INDEX(Settings!$H$5:$H$47,MATCH(H751,Settings!$G$5:$G$47,0))&amp;"-"&amp;TEXT(B751,"yymmdd")&amp;"-"&amp;IF(C751="","0000",TEXT(C751,"hhmm")),"CHECK LISTS"))</f>
        <v/>
      </c>
      <c r="B751" s="39"/>
      <c r="C751" s="40"/>
      <c r="D751" s="24" t="str">
        <f aca="false">IF(B751="","",TEXT(B751,"ddd"))</f>
        <v/>
      </c>
      <c r="E751" s="27" t="str">
        <f aca="false">IF(B751="","",B751-WEEKDAY(B751,3))</f>
        <v/>
      </c>
      <c r="F751" s="24" t="str">
        <f aca="false">IF(B751="","",TEXT(B751,"yyyy-mm"))</f>
        <v/>
      </c>
      <c r="G751" s="29"/>
      <c r="H751" s="29"/>
      <c r="I751" s="29"/>
      <c r="J751" s="29"/>
      <c r="K751" s="29"/>
      <c r="L751" s="29"/>
      <c r="M751" s="29"/>
      <c r="N751" s="29"/>
      <c r="O751" s="29"/>
      <c r="P751" s="29"/>
      <c r="Q751" s="30"/>
      <c r="R751" s="29"/>
      <c r="S751" s="32"/>
      <c r="T751" s="29"/>
      <c r="U751" s="29"/>
      <c r="V751" s="24" t="str">
        <f aca="false">IF(A751="","",IFERROR(INDEX(Settings!$F$5:$F$49,MATCH(G751,Settings!$D$5:$D$49,0)),""))</f>
        <v/>
      </c>
      <c r="W751" s="24" t="str">
        <f aca="false">IF(A751="","",IF(OR(P751="",P751="Organic"),"social","paid_social"))</f>
        <v/>
      </c>
      <c r="X751" s="24" t="str">
        <f aca="false">IF(A751="","",IF(K751&lt;&gt;"",IFERROR(INDEX('Case Studies'!$C$5:$C$54,MATCH(K751,'Case Studies'!$B$5:$B$54,0))&amp;"","case-study"),IF(J751&lt;&gt;"",IFERROR(INDEX(Settings!$J$5:$J$55,MATCH(J751,Settings!$I$5:$I$55,0)),"general"),"general")))</f>
        <v/>
      </c>
      <c r="Y751" s="24" t="str">
        <f aca="false">IF(A751="","",LOWER(A751))</f>
        <v/>
      </c>
      <c r="Z751" s="24" t="str">
        <f aca="false">IF(A751="","",IF(T751="",Settings!$B$5,T751)&amp;IF(ISNUMBER(FIND("?",IF(T751="",Settings!$B$5,T751))),"&amp;","?")&amp;"utm_source="&amp;V751&amp;"&amp;utm_medium="&amp;W751&amp;"&amp;utm_campaign="&amp;X751&amp;"&amp;utm_content="&amp;Y751)</f>
        <v/>
      </c>
      <c r="AA751" s="29"/>
      <c r="AB751" s="39"/>
      <c r="AC751" s="32"/>
      <c r="AD751" s="32"/>
      <c r="AE751" s="32"/>
      <c r="AF751" s="32"/>
      <c r="AG751" s="32"/>
      <c r="AH751" s="32"/>
      <c r="AI751" s="32"/>
      <c r="AJ751" s="32"/>
      <c r="AK751" s="32"/>
      <c r="AL751" s="32"/>
      <c r="AM751" s="32"/>
      <c r="AN751" s="32"/>
      <c r="AO751" s="33" t="str">
        <f aca="false">IF(A751="","",IF(AD751&lt;&gt;"",AD751,IF(AC751&lt;&gt;"",AC751,"")))</f>
        <v/>
      </c>
      <c r="AP751" s="24" t="str">
        <f aca="false">IF(AO751="","",IF(AD751&lt;&gt;"","Reported reach","Impressions (proxy)"))</f>
        <v/>
      </c>
      <c r="AQ751" s="34" t="str">
        <f aca="false">IF(OR(AO751="",N(S751)=0),"",AO751/S751)</f>
        <v/>
      </c>
      <c r="AR751" s="33" t="str">
        <f aca="false">IF(A751="","",IF(COUNT(AF751:AJ751)=0,"",SUM(AF751:AJ751)))</f>
        <v/>
      </c>
      <c r="AS751" s="34" t="str">
        <f aca="false">IF(OR(AR751="",N(AO751)=0),"",AR751/AO751)</f>
        <v/>
      </c>
      <c r="AT751" s="34" t="str">
        <f aca="false">IF(OR(AR751="",N(AC751)=0),"",AR751/AC751)</f>
        <v/>
      </c>
      <c r="AU751" s="34" t="str">
        <f aca="false">IF(OR(AR751="",N(S751)=0),"",AR751/S751)</f>
        <v/>
      </c>
      <c r="AV751" s="34" t="str">
        <f aca="false">IF(OR(AJ751="",N(AC751)=0),"",AJ751/AC751)</f>
        <v/>
      </c>
      <c r="AW751" s="34" t="str">
        <f aca="false">IF(OR(AH751="",N(AO751)=0),"",AH751/AO751)</f>
        <v/>
      </c>
      <c r="AX751" s="35" t="str">
        <f aca="false">IF(OR(AR751="",N(AO751)=0),"",(N(AF751)*Settings!$B$6+N(AG751)*Settings!$B$7+N(AH751)*Settings!$B$8+N(AI751)*Settings!$B$9+N(AJ751)*Settings!$B$10)/AO751*1000)</f>
        <v/>
      </c>
      <c r="AY751" s="36" t="str">
        <f aca="false">IF(AS751="","",IFERROR(AS751/AVERAGEIFS('Post Tracker'!$AS$5:$AS$1004,'Post Tracker'!$G$5:$G$1004,G751),""))</f>
        <v/>
      </c>
      <c r="AZ751" s="32"/>
      <c r="BA751" s="32"/>
      <c r="BB751" s="32"/>
      <c r="BC751" s="32"/>
      <c r="BD751" s="33" t="str">
        <f aca="false">IF(A751="","",COUNTIFS('Demo Pipeline'!$Q$5:$Q$504,A751))</f>
        <v/>
      </c>
      <c r="BE751" s="33" t="str">
        <f aca="false">IF(A751="","",COUNTIFS('Demo Pipeline'!$Q$5:$Q$504,A751,'Demo Pipeline'!$W$5:$W$504,"Attended"))</f>
        <v/>
      </c>
      <c r="BF751" s="33" t="str">
        <f aca="false">IF(A751="","",COUNTIFS('Demo Pipeline'!$Q$5:$Q$504,A751,'Demo Pipeline'!$X$5:$X$504,"Yes"))</f>
        <v/>
      </c>
      <c r="BG751" s="33" t="str">
        <f aca="false">IF(A751="","",COUNTIFS('Demo Pipeline'!$Q$5:$Q$504,A751,'Demo Pipeline'!$Y$5:$Y$504,"Closed Won"))</f>
        <v/>
      </c>
      <c r="BH751" s="37" t="str">
        <f aca="false">IF(A751="","",SUMIFS('Demo Pipeline'!$Z$5:$Z$504,'Demo Pipeline'!$Q$5:$Q$504,A751))</f>
        <v/>
      </c>
      <c r="BI751" s="34" t="str">
        <f aca="false">IF(OR(AZ751="",N(AJ751)=0),"",AZ751/AJ751)</f>
        <v/>
      </c>
      <c r="BJ751" s="34" t="str">
        <f aca="false">IF(OR(BB751="",N(AZ751)=0),"",BB751/AZ751)</f>
        <v/>
      </c>
      <c r="BK751" s="34" t="str">
        <f aca="false">IF(OR(A751="",N(BB751)=0),"",BD751/BB751)</f>
        <v/>
      </c>
      <c r="BL751" s="34" t="str">
        <f aca="false">IF(OR(A751="",N(AZ751)=0),"",BD751/AZ751)</f>
        <v/>
      </c>
      <c r="BM751" s="37" t="str">
        <f aca="false">IF(OR(N(Q751)=0,N(BD751)=0),"",Q751/BD751)</f>
        <v/>
      </c>
      <c r="BN751" s="29"/>
      <c r="BO751" s="29"/>
      <c r="BP751" s="33" t="str">
        <f aca="false">IF(OR(AR751="",N(AO751)=0),"",AR751)</f>
        <v/>
      </c>
      <c r="BQ751" s="33" t="str">
        <f aca="false">IF(OR(AR751="",N(S751)=0),"",S751)</f>
        <v/>
      </c>
      <c r="BR751" s="38" t="str">
        <f aca="false">IF(AND(ISNUMBER(B751),B751&gt;=Dashboard!$C$4,B751&lt;=Dashboard!$F$4,ISNUMBER(AU751)),AU751+ROW()/10^9,"")</f>
        <v/>
      </c>
      <c r="BS751" s="38" t="str">
        <f aca="false">IF(AND(ISNUMBER(B751),B751&gt;=Dashboard!$C$4,B751&lt;=Dashboard!$F$4,A751&lt;&gt;""),N(BD751)+N(AU751)/100+ROW()/10^9,"")</f>
        <v/>
      </c>
    </row>
    <row r="752" customFormat="false" ht="15" hidden="false" customHeight="false" outlineLevel="0" collapsed="false">
      <c r="A752" s="24" t="str">
        <f aca="false">IF(OR(B752="",G752="",H752=""),"",IFERROR(INDEX(Settings!$E$5:$E$49,MATCH(G752,Settings!$D$5:$D$49,0))&amp;INDEX(Settings!$H$5:$H$47,MATCH(H752,Settings!$G$5:$G$47,0))&amp;"-"&amp;TEXT(B752,"yymmdd")&amp;"-"&amp;IF(C752="","0000",TEXT(C752,"hhmm")),"CHECK LISTS"))</f>
        <v/>
      </c>
      <c r="B752" s="39"/>
      <c r="C752" s="40"/>
      <c r="D752" s="24" t="str">
        <f aca="false">IF(B752="","",TEXT(B752,"ddd"))</f>
        <v/>
      </c>
      <c r="E752" s="27" t="str">
        <f aca="false">IF(B752="","",B752-WEEKDAY(B752,3))</f>
        <v/>
      </c>
      <c r="F752" s="24" t="str">
        <f aca="false">IF(B752="","",TEXT(B752,"yyyy-mm"))</f>
        <v/>
      </c>
      <c r="G752" s="29"/>
      <c r="H752" s="29"/>
      <c r="I752" s="29"/>
      <c r="J752" s="29"/>
      <c r="K752" s="29"/>
      <c r="L752" s="29"/>
      <c r="M752" s="29"/>
      <c r="N752" s="29"/>
      <c r="O752" s="29"/>
      <c r="P752" s="29"/>
      <c r="Q752" s="30"/>
      <c r="R752" s="29"/>
      <c r="S752" s="32"/>
      <c r="T752" s="29"/>
      <c r="U752" s="29"/>
      <c r="V752" s="24" t="str">
        <f aca="false">IF(A752="","",IFERROR(INDEX(Settings!$F$5:$F$49,MATCH(G752,Settings!$D$5:$D$49,0)),""))</f>
        <v/>
      </c>
      <c r="W752" s="24" t="str">
        <f aca="false">IF(A752="","",IF(OR(P752="",P752="Organic"),"social","paid_social"))</f>
        <v/>
      </c>
      <c r="X752" s="24" t="str">
        <f aca="false">IF(A752="","",IF(K752&lt;&gt;"",IFERROR(INDEX('Case Studies'!$C$5:$C$54,MATCH(K752,'Case Studies'!$B$5:$B$54,0))&amp;"","case-study"),IF(J752&lt;&gt;"",IFERROR(INDEX(Settings!$J$5:$J$55,MATCH(J752,Settings!$I$5:$I$55,0)),"general"),"general")))</f>
        <v/>
      </c>
      <c r="Y752" s="24" t="str">
        <f aca="false">IF(A752="","",LOWER(A752))</f>
        <v/>
      </c>
      <c r="Z752" s="24" t="str">
        <f aca="false">IF(A752="","",IF(T752="",Settings!$B$5,T752)&amp;IF(ISNUMBER(FIND("?",IF(T752="",Settings!$B$5,T752))),"&amp;","?")&amp;"utm_source="&amp;V752&amp;"&amp;utm_medium="&amp;W752&amp;"&amp;utm_campaign="&amp;X752&amp;"&amp;utm_content="&amp;Y752)</f>
        <v/>
      </c>
      <c r="AA752" s="29"/>
      <c r="AB752" s="39"/>
      <c r="AC752" s="32"/>
      <c r="AD752" s="32"/>
      <c r="AE752" s="32"/>
      <c r="AF752" s="32"/>
      <c r="AG752" s="32"/>
      <c r="AH752" s="32"/>
      <c r="AI752" s="32"/>
      <c r="AJ752" s="32"/>
      <c r="AK752" s="32"/>
      <c r="AL752" s="32"/>
      <c r="AM752" s="32"/>
      <c r="AN752" s="32"/>
      <c r="AO752" s="33" t="str">
        <f aca="false">IF(A752="","",IF(AD752&lt;&gt;"",AD752,IF(AC752&lt;&gt;"",AC752,"")))</f>
        <v/>
      </c>
      <c r="AP752" s="24" t="str">
        <f aca="false">IF(AO752="","",IF(AD752&lt;&gt;"","Reported reach","Impressions (proxy)"))</f>
        <v/>
      </c>
      <c r="AQ752" s="34" t="str">
        <f aca="false">IF(OR(AO752="",N(S752)=0),"",AO752/S752)</f>
        <v/>
      </c>
      <c r="AR752" s="33" t="str">
        <f aca="false">IF(A752="","",IF(COUNT(AF752:AJ752)=0,"",SUM(AF752:AJ752)))</f>
        <v/>
      </c>
      <c r="AS752" s="34" t="str">
        <f aca="false">IF(OR(AR752="",N(AO752)=0),"",AR752/AO752)</f>
        <v/>
      </c>
      <c r="AT752" s="34" t="str">
        <f aca="false">IF(OR(AR752="",N(AC752)=0),"",AR752/AC752)</f>
        <v/>
      </c>
      <c r="AU752" s="34" t="str">
        <f aca="false">IF(OR(AR752="",N(S752)=0),"",AR752/S752)</f>
        <v/>
      </c>
      <c r="AV752" s="34" t="str">
        <f aca="false">IF(OR(AJ752="",N(AC752)=0),"",AJ752/AC752)</f>
        <v/>
      </c>
      <c r="AW752" s="34" t="str">
        <f aca="false">IF(OR(AH752="",N(AO752)=0),"",AH752/AO752)</f>
        <v/>
      </c>
      <c r="AX752" s="35" t="str">
        <f aca="false">IF(OR(AR752="",N(AO752)=0),"",(N(AF752)*Settings!$B$6+N(AG752)*Settings!$B$7+N(AH752)*Settings!$B$8+N(AI752)*Settings!$B$9+N(AJ752)*Settings!$B$10)/AO752*1000)</f>
        <v/>
      </c>
      <c r="AY752" s="36" t="str">
        <f aca="false">IF(AS752="","",IFERROR(AS752/AVERAGEIFS('Post Tracker'!$AS$5:$AS$1004,'Post Tracker'!$G$5:$G$1004,G752),""))</f>
        <v/>
      </c>
      <c r="AZ752" s="32"/>
      <c r="BA752" s="32"/>
      <c r="BB752" s="32"/>
      <c r="BC752" s="32"/>
      <c r="BD752" s="33" t="str">
        <f aca="false">IF(A752="","",COUNTIFS('Demo Pipeline'!$Q$5:$Q$504,A752))</f>
        <v/>
      </c>
      <c r="BE752" s="33" t="str">
        <f aca="false">IF(A752="","",COUNTIFS('Demo Pipeline'!$Q$5:$Q$504,A752,'Demo Pipeline'!$W$5:$W$504,"Attended"))</f>
        <v/>
      </c>
      <c r="BF752" s="33" t="str">
        <f aca="false">IF(A752="","",COUNTIFS('Demo Pipeline'!$Q$5:$Q$504,A752,'Demo Pipeline'!$X$5:$X$504,"Yes"))</f>
        <v/>
      </c>
      <c r="BG752" s="33" t="str">
        <f aca="false">IF(A752="","",COUNTIFS('Demo Pipeline'!$Q$5:$Q$504,A752,'Demo Pipeline'!$Y$5:$Y$504,"Closed Won"))</f>
        <v/>
      </c>
      <c r="BH752" s="37" t="str">
        <f aca="false">IF(A752="","",SUMIFS('Demo Pipeline'!$Z$5:$Z$504,'Demo Pipeline'!$Q$5:$Q$504,A752))</f>
        <v/>
      </c>
      <c r="BI752" s="34" t="str">
        <f aca="false">IF(OR(AZ752="",N(AJ752)=0),"",AZ752/AJ752)</f>
        <v/>
      </c>
      <c r="BJ752" s="34" t="str">
        <f aca="false">IF(OR(BB752="",N(AZ752)=0),"",BB752/AZ752)</f>
        <v/>
      </c>
      <c r="BK752" s="34" t="str">
        <f aca="false">IF(OR(A752="",N(BB752)=0),"",BD752/BB752)</f>
        <v/>
      </c>
      <c r="BL752" s="34" t="str">
        <f aca="false">IF(OR(A752="",N(AZ752)=0),"",BD752/AZ752)</f>
        <v/>
      </c>
      <c r="BM752" s="37" t="str">
        <f aca="false">IF(OR(N(Q752)=0,N(BD752)=0),"",Q752/BD752)</f>
        <v/>
      </c>
      <c r="BN752" s="29"/>
      <c r="BO752" s="29"/>
      <c r="BP752" s="33" t="str">
        <f aca="false">IF(OR(AR752="",N(AO752)=0),"",AR752)</f>
        <v/>
      </c>
      <c r="BQ752" s="33" t="str">
        <f aca="false">IF(OR(AR752="",N(S752)=0),"",S752)</f>
        <v/>
      </c>
      <c r="BR752" s="38" t="str">
        <f aca="false">IF(AND(ISNUMBER(B752),B752&gt;=Dashboard!$C$4,B752&lt;=Dashboard!$F$4,ISNUMBER(AU752)),AU752+ROW()/10^9,"")</f>
        <v/>
      </c>
      <c r="BS752" s="38" t="str">
        <f aca="false">IF(AND(ISNUMBER(B752),B752&gt;=Dashboard!$C$4,B752&lt;=Dashboard!$F$4,A752&lt;&gt;""),N(BD752)+N(AU752)/100+ROW()/10^9,"")</f>
        <v/>
      </c>
    </row>
    <row r="753" customFormat="false" ht="15" hidden="false" customHeight="false" outlineLevel="0" collapsed="false">
      <c r="A753" s="24" t="str">
        <f aca="false">IF(OR(B753="",G753="",H753=""),"",IFERROR(INDEX(Settings!$E$5:$E$49,MATCH(G753,Settings!$D$5:$D$49,0))&amp;INDEX(Settings!$H$5:$H$47,MATCH(H753,Settings!$G$5:$G$47,0))&amp;"-"&amp;TEXT(B753,"yymmdd")&amp;"-"&amp;IF(C753="","0000",TEXT(C753,"hhmm")),"CHECK LISTS"))</f>
        <v/>
      </c>
      <c r="B753" s="39"/>
      <c r="C753" s="40"/>
      <c r="D753" s="24" t="str">
        <f aca="false">IF(B753="","",TEXT(B753,"ddd"))</f>
        <v/>
      </c>
      <c r="E753" s="27" t="str">
        <f aca="false">IF(B753="","",B753-WEEKDAY(B753,3))</f>
        <v/>
      </c>
      <c r="F753" s="24" t="str">
        <f aca="false">IF(B753="","",TEXT(B753,"yyyy-mm"))</f>
        <v/>
      </c>
      <c r="G753" s="29"/>
      <c r="H753" s="29"/>
      <c r="I753" s="29"/>
      <c r="J753" s="29"/>
      <c r="K753" s="29"/>
      <c r="L753" s="29"/>
      <c r="M753" s="29"/>
      <c r="N753" s="29"/>
      <c r="O753" s="29"/>
      <c r="P753" s="29"/>
      <c r="Q753" s="30"/>
      <c r="R753" s="29"/>
      <c r="S753" s="32"/>
      <c r="T753" s="29"/>
      <c r="U753" s="29"/>
      <c r="V753" s="24" t="str">
        <f aca="false">IF(A753="","",IFERROR(INDEX(Settings!$F$5:$F$49,MATCH(G753,Settings!$D$5:$D$49,0)),""))</f>
        <v/>
      </c>
      <c r="W753" s="24" t="str">
        <f aca="false">IF(A753="","",IF(OR(P753="",P753="Organic"),"social","paid_social"))</f>
        <v/>
      </c>
      <c r="X753" s="24" t="str">
        <f aca="false">IF(A753="","",IF(K753&lt;&gt;"",IFERROR(INDEX('Case Studies'!$C$5:$C$54,MATCH(K753,'Case Studies'!$B$5:$B$54,0))&amp;"","case-study"),IF(J753&lt;&gt;"",IFERROR(INDEX(Settings!$J$5:$J$55,MATCH(J753,Settings!$I$5:$I$55,0)),"general"),"general")))</f>
        <v/>
      </c>
      <c r="Y753" s="24" t="str">
        <f aca="false">IF(A753="","",LOWER(A753))</f>
        <v/>
      </c>
      <c r="Z753" s="24" t="str">
        <f aca="false">IF(A753="","",IF(T753="",Settings!$B$5,T753)&amp;IF(ISNUMBER(FIND("?",IF(T753="",Settings!$B$5,T753))),"&amp;","?")&amp;"utm_source="&amp;V753&amp;"&amp;utm_medium="&amp;W753&amp;"&amp;utm_campaign="&amp;X753&amp;"&amp;utm_content="&amp;Y753)</f>
        <v/>
      </c>
      <c r="AA753" s="29"/>
      <c r="AB753" s="39"/>
      <c r="AC753" s="32"/>
      <c r="AD753" s="32"/>
      <c r="AE753" s="32"/>
      <c r="AF753" s="32"/>
      <c r="AG753" s="32"/>
      <c r="AH753" s="32"/>
      <c r="AI753" s="32"/>
      <c r="AJ753" s="32"/>
      <c r="AK753" s="32"/>
      <c r="AL753" s="32"/>
      <c r="AM753" s="32"/>
      <c r="AN753" s="32"/>
      <c r="AO753" s="33" t="str">
        <f aca="false">IF(A753="","",IF(AD753&lt;&gt;"",AD753,IF(AC753&lt;&gt;"",AC753,"")))</f>
        <v/>
      </c>
      <c r="AP753" s="24" t="str">
        <f aca="false">IF(AO753="","",IF(AD753&lt;&gt;"","Reported reach","Impressions (proxy)"))</f>
        <v/>
      </c>
      <c r="AQ753" s="34" t="str">
        <f aca="false">IF(OR(AO753="",N(S753)=0),"",AO753/S753)</f>
        <v/>
      </c>
      <c r="AR753" s="33" t="str">
        <f aca="false">IF(A753="","",IF(COUNT(AF753:AJ753)=0,"",SUM(AF753:AJ753)))</f>
        <v/>
      </c>
      <c r="AS753" s="34" t="str">
        <f aca="false">IF(OR(AR753="",N(AO753)=0),"",AR753/AO753)</f>
        <v/>
      </c>
      <c r="AT753" s="34" t="str">
        <f aca="false">IF(OR(AR753="",N(AC753)=0),"",AR753/AC753)</f>
        <v/>
      </c>
      <c r="AU753" s="34" t="str">
        <f aca="false">IF(OR(AR753="",N(S753)=0),"",AR753/S753)</f>
        <v/>
      </c>
      <c r="AV753" s="34" t="str">
        <f aca="false">IF(OR(AJ753="",N(AC753)=0),"",AJ753/AC753)</f>
        <v/>
      </c>
      <c r="AW753" s="34" t="str">
        <f aca="false">IF(OR(AH753="",N(AO753)=0),"",AH753/AO753)</f>
        <v/>
      </c>
      <c r="AX753" s="35" t="str">
        <f aca="false">IF(OR(AR753="",N(AO753)=0),"",(N(AF753)*Settings!$B$6+N(AG753)*Settings!$B$7+N(AH753)*Settings!$B$8+N(AI753)*Settings!$B$9+N(AJ753)*Settings!$B$10)/AO753*1000)</f>
        <v/>
      </c>
      <c r="AY753" s="36" t="str">
        <f aca="false">IF(AS753="","",IFERROR(AS753/AVERAGEIFS('Post Tracker'!$AS$5:$AS$1004,'Post Tracker'!$G$5:$G$1004,G753),""))</f>
        <v/>
      </c>
      <c r="AZ753" s="32"/>
      <c r="BA753" s="32"/>
      <c r="BB753" s="32"/>
      <c r="BC753" s="32"/>
      <c r="BD753" s="33" t="str">
        <f aca="false">IF(A753="","",COUNTIFS('Demo Pipeline'!$Q$5:$Q$504,A753))</f>
        <v/>
      </c>
      <c r="BE753" s="33" t="str">
        <f aca="false">IF(A753="","",COUNTIFS('Demo Pipeline'!$Q$5:$Q$504,A753,'Demo Pipeline'!$W$5:$W$504,"Attended"))</f>
        <v/>
      </c>
      <c r="BF753" s="33" t="str">
        <f aca="false">IF(A753="","",COUNTIFS('Demo Pipeline'!$Q$5:$Q$504,A753,'Demo Pipeline'!$X$5:$X$504,"Yes"))</f>
        <v/>
      </c>
      <c r="BG753" s="33" t="str">
        <f aca="false">IF(A753="","",COUNTIFS('Demo Pipeline'!$Q$5:$Q$504,A753,'Demo Pipeline'!$Y$5:$Y$504,"Closed Won"))</f>
        <v/>
      </c>
      <c r="BH753" s="37" t="str">
        <f aca="false">IF(A753="","",SUMIFS('Demo Pipeline'!$Z$5:$Z$504,'Demo Pipeline'!$Q$5:$Q$504,A753))</f>
        <v/>
      </c>
      <c r="BI753" s="34" t="str">
        <f aca="false">IF(OR(AZ753="",N(AJ753)=0),"",AZ753/AJ753)</f>
        <v/>
      </c>
      <c r="BJ753" s="34" t="str">
        <f aca="false">IF(OR(BB753="",N(AZ753)=0),"",BB753/AZ753)</f>
        <v/>
      </c>
      <c r="BK753" s="34" t="str">
        <f aca="false">IF(OR(A753="",N(BB753)=0),"",BD753/BB753)</f>
        <v/>
      </c>
      <c r="BL753" s="34" t="str">
        <f aca="false">IF(OR(A753="",N(AZ753)=0),"",BD753/AZ753)</f>
        <v/>
      </c>
      <c r="BM753" s="37" t="str">
        <f aca="false">IF(OR(N(Q753)=0,N(BD753)=0),"",Q753/BD753)</f>
        <v/>
      </c>
      <c r="BN753" s="29"/>
      <c r="BO753" s="29"/>
      <c r="BP753" s="33" t="str">
        <f aca="false">IF(OR(AR753="",N(AO753)=0),"",AR753)</f>
        <v/>
      </c>
      <c r="BQ753" s="33" t="str">
        <f aca="false">IF(OR(AR753="",N(S753)=0),"",S753)</f>
        <v/>
      </c>
      <c r="BR753" s="38" t="str">
        <f aca="false">IF(AND(ISNUMBER(B753),B753&gt;=Dashboard!$C$4,B753&lt;=Dashboard!$F$4,ISNUMBER(AU753)),AU753+ROW()/10^9,"")</f>
        <v/>
      </c>
      <c r="BS753" s="38" t="str">
        <f aca="false">IF(AND(ISNUMBER(B753),B753&gt;=Dashboard!$C$4,B753&lt;=Dashboard!$F$4,A753&lt;&gt;""),N(BD753)+N(AU753)/100+ROW()/10^9,"")</f>
        <v/>
      </c>
    </row>
    <row r="754" customFormat="false" ht="15" hidden="false" customHeight="false" outlineLevel="0" collapsed="false">
      <c r="A754" s="24" t="str">
        <f aca="false">IF(OR(B754="",G754="",H754=""),"",IFERROR(INDEX(Settings!$E$5:$E$49,MATCH(G754,Settings!$D$5:$D$49,0))&amp;INDEX(Settings!$H$5:$H$47,MATCH(H754,Settings!$G$5:$G$47,0))&amp;"-"&amp;TEXT(B754,"yymmdd")&amp;"-"&amp;IF(C754="","0000",TEXT(C754,"hhmm")),"CHECK LISTS"))</f>
        <v/>
      </c>
      <c r="B754" s="39"/>
      <c r="C754" s="40"/>
      <c r="D754" s="24" t="str">
        <f aca="false">IF(B754="","",TEXT(B754,"ddd"))</f>
        <v/>
      </c>
      <c r="E754" s="27" t="str">
        <f aca="false">IF(B754="","",B754-WEEKDAY(B754,3))</f>
        <v/>
      </c>
      <c r="F754" s="24" t="str">
        <f aca="false">IF(B754="","",TEXT(B754,"yyyy-mm"))</f>
        <v/>
      </c>
      <c r="G754" s="29"/>
      <c r="H754" s="29"/>
      <c r="I754" s="29"/>
      <c r="J754" s="29"/>
      <c r="K754" s="29"/>
      <c r="L754" s="29"/>
      <c r="M754" s="29"/>
      <c r="N754" s="29"/>
      <c r="O754" s="29"/>
      <c r="P754" s="29"/>
      <c r="Q754" s="30"/>
      <c r="R754" s="29"/>
      <c r="S754" s="32"/>
      <c r="T754" s="29"/>
      <c r="U754" s="29"/>
      <c r="V754" s="24" t="str">
        <f aca="false">IF(A754="","",IFERROR(INDEX(Settings!$F$5:$F$49,MATCH(G754,Settings!$D$5:$D$49,0)),""))</f>
        <v/>
      </c>
      <c r="W754" s="24" t="str">
        <f aca="false">IF(A754="","",IF(OR(P754="",P754="Organic"),"social","paid_social"))</f>
        <v/>
      </c>
      <c r="X754" s="24" t="str">
        <f aca="false">IF(A754="","",IF(K754&lt;&gt;"",IFERROR(INDEX('Case Studies'!$C$5:$C$54,MATCH(K754,'Case Studies'!$B$5:$B$54,0))&amp;"","case-study"),IF(J754&lt;&gt;"",IFERROR(INDEX(Settings!$J$5:$J$55,MATCH(J754,Settings!$I$5:$I$55,0)),"general"),"general")))</f>
        <v/>
      </c>
      <c r="Y754" s="24" t="str">
        <f aca="false">IF(A754="","",LOWER(A754))</f>
        <v/>
      </c>
      <c r="Z754" s="24" t="str">
        <f aca="false">IF(A754="","",IF(T754="",Settings!$B$5,T754)&amp;IF(ISNUMBER(FIND("?",IF(T754="",Settings!$B$5,T754))),"&amp;","?")&amp;"utm_source="&amp;V754&amp;"&amp;utm_medium="&amp;W754&amp;"&amp;utm_campaign="&amp;X754&amp;"&amp;utm_content="&amp;Y754)</f>
        <v/>
      </c>
      <c r="AA754" s="29"/>
      <c r="AB754" s="39"/>
      <c r="AC754" s="32"/>
      <c r="AD754" s="32"/>
      <c r="AE754" s="32"/>
      <c r="AF754" s="32"/>
      <c r="AG754" s="32"/>
      <c r="AH754" s="32"/>
      <c r="AI754" s="32"/>
      <c r="AJ754" s="32"/>
      <c r="AK754" s="32"/>
      <c r="AL754" s="32"/>
      <c r="AM754" s="32"/>
      <c r="AN754" s="32"/>
      <c r="AO754" s="33" t="str">
        <f aca="false">IF(A754="","",IF(AD754&lt;&gt;"",AD754,IF(AC754&lt;&gt;"",AC754,"")))</f>
        <v/>
      </c>
      <c r="AP754" s="24" t="str">
        <f aca="false">IF(AO754="","",IF(AD754&lt;&gt;"","Reported reach","Impressions (proxy)"))</f>
        <v/>
      </c>
      <c r="AQ754" s="34" t="str">
        <f aca="false">IF(OR(AO754="",N(S754)=0),"",AO754/S754)</f>
        <v/>
      </c>
      <c r="AR754" s="33" t="str">
        <f aca="false">IF(A754="","",IF(COUNT(AF754:AJ754)=0,"",SUM(AF754:AJ754)))</f>
        <v/>
      </c>
      <c r="AS754" s="34" t="str">
        <f aca="false">IF(OR(AR754="",N(AO754)=0),"",AR754/AO754)</f>
        <v/>
      </c>
      <c r="AT754" s="34" t="str">
        <f aca="false">IF(OR(AR754="",N(AC754)=0),"",AR754/AC754)</f>
        <v/>
      </c>
      <c r="AU754" s="34" t="str">
        <f aca="false">IF(OR(AR754="",N(S754)=0),"",AR754/S754)</f>
        <v/>
      </c>
      <c r="AV754" s="34" t="str">
        <f aca="false">IF(OR(AJ754="",N(AC754)=0),"",AJ754/AC754)</f>
        <v/>
      </c>
      <c r="AW754" s="34" t="str">
        <f aca="false">IF(OR(AH754="",N(AO754)=0),"",AH754/AO754)</f>
        <v/>
      </c>
      <c r="AX754" s="35" t="str">
        <f aca="false">IF(OR(AR754="",N(AO754)=0),"",(N(AF754)*Settings!$B$6+N(AG754)*Settings!$B$7+N(AH754)*Settings!$B$8+N(AI754)*Settings!$B$9+N(AJ754)*Settings!$B$10)/AO754*1000)</f>
        <v/>
      </c>
      <c r="AY754" s="36" t="str">
        <f aca="false">IF(AS754="","",IFERROR(AS754/AVERAGEIFS('Post Tracker'!$AS$5:$AS$1004,'Post Tracker'!$G$5:$G$1004,G754),""))</f>
        <v/>
      </c>
      <c r="AZ754" s="32"/>
      <c r="BA754" s="32"/>
      <c r="BB754" s="32"/>
      <c r="BC754" s="32"/>
      <c r="BD754" s="33" t="str">
        <f aca="false">IF(A754="","",COUNTIFS('Demo Pipeline'!$Q$5:$Q$504,A754))</f>
        <v/>
      </c>
      <c r="BE754" s="33" t="str">
        <f aca="false">IF(A754="","",COUNTIFS('Demo Pipeline'!$Q$5:$Q$504,A754,'Demo Pipeline'!$W$5:$W$504,"Attended"))</f>
        <v/>
      </c>
      <c r="BF754" s="33" t="str">
        <f aca="false">IF(A754="","",COUNTIFS('Demo Pipeline'!$Q$5:$Q$504,A754,'Demo Pipeline'!$X$5:$X$504,"Yes"))</f>
        <v/>
      </c>
      <c r="BG754" s="33" t="str">
        <f aca="false">IF(A754="","",COUNTIFS('Demo Pipeline'!$Q$5:$Q$504,A754,'Demo Pipeline'!$Y$5:$Y$504,"Closed Won"))</f>
        <v/>
      </c>
      <c r="BH754" s="37" t="str">
        <f aca="false">IF(A754="","",SUMIFS('Demo Pipeline'!$Z$5:$Z$504,'Demo Pipeline'!$Q$5:$Q$504,A754))</f>
        <v/>
      </c>
      <c r="BI754" s="34" t="str">
        <f aca="false">IF(OR(AZ754="",N(AJ754)=0),"",AZ754/AJ754)</f>
        <v/>
      </c>
      <c r="BJ754" s="34" t="str">
        <f aca="false">IF(OR(BB754="",N(AZ754)=0),"",BB754/AZ754)</f>
        <v/>
      </c>
      <c r="BK754" s="34" t="str">
        <f aca="false">IF(OR(A754="",N(BB754)=0),"",BD754/BB754)</f>
        <v/>
      </c>
      <c r="BL754" s="34" t="str">
        <f aca="false">IF(OR(A754="",N(AZ754)=0),"",BD754/AZ754)</f>
        <v/>
      </c>
      <c r="BM754" s="37" t="str">
        <f aca="false">IF(OR(N(Q754)=0,N(BD754)=0),"",Q754/BD754)</f>
        <v/>
      </c>
      <c r="BN754" s="29"/>
      <c r="BO754" s="29"/>
      <c r="BP754" s="33" t="str">
        <f aca="false">IF(OR(AR754="",N(AO754)=0),"",AR754)</f>
        <v/>
      </c>
      <c r="BQ754" s="33" t="str">
        <f aca="false">IF(OR(AR754="",N(S754)=0),"",S754)</f>
        <v/>
      </c>
      <c r="BR754" s="38" t="str">
        <f aca="false">IF(AND(ISNUMBER(B754),B754&gt;=Dashboard!$C$4,B754&lt;=Dashboard!$F$4,ISNUMBER(AU754)),AU754+ROW()/10^9,"")</f>
        <v/>
      </c>
      <c r="BS754" s="38" t="str">
        <f aca="false">IF(AND(ISNUMBER(B754),B754&gt;=Dashboard!$C$4,B754&lt;=Dashboard!$F$4,A754&lt;&gt;""),N(BD754)+N(AU754)/100+ROW()/10^9,"")</f>
        <v/>
      </c>
    </row>
    <row r="755" customFormat="false" ht="15" hidden="false" customHeight="false" outlineLevel="0" collapsed="false">
      <c r="A755" s="24" t="str">
        <f aca="false">IF(OR(B755="",G755="",H755=""),"",IFERROR(INDEX(Settings!$E$5:$E$49,MATCH(G755,Settings!$D$5:$D$49,0))&amp;INDEX(Settings!$H$5:$H$47,MATCH(H755,Settings!$G$5:$G$47,0))&amp;"-"&amp;TEXT(B755,"yymmdd")&amp;"-"&amp;IF(C755="","0000",TEXT(C755,"hhmm")),"CHECK LISTS"))</f>
        <v/>
      </c>
      <c r="B755" s="39"/>
      <c r="C755" s="40"/>
      <c r="D755" s="24" t="str">
        <f aca="false">IF(B755="","",TEXT(B755,"ddd"))</f>
        <v/>
      </c>
      <c r="E755" s="27" t="str">
        <f aca="false">IF(B755="","",B755-WEEKDAY(B755,3))</f>
        <v/>
      </c>
      <c r="F755" s="24" t="str">
        <f aca="false">IF(B755="","",TEXT(B755,"yyyy-mm"))</f>
        <v/>
      </c>
      <c r="G755" s="29"/>
      <c r="H755" s="29"/>
      <c r="I755" s="29"/>
      <c r="J755" s="29"/>
      <c r="K755" s="29"/>
      <c r="L755" s="29"/>
      <c r="M755" s="29"/>
      <c r="N755" s="29"/>
      <c r="O755" s="29"/>
      <c r="P755" s="29"/>
      <c r="Q755" s="30"/>
      <c r="R755" s="29"/>
      <c r="S755" s="32"/>
      <c r="T755" s="29"/>
      <c r="U755" s="29"/>
      <c r="V755" s="24" t="str">
        <f aca="false">IF(A755="","",IFERROR(INDEX(Settings!$F$5:$F$49,MATCH(G755,Settings!$D$5:$D$49,0)),""))</f>
        <v/>
      </c>
      <c r="W755" s="24" t="str">
        <f aca="false">IF(A755="","",IF(OR(P755="",P755="Organic"),"social","paid_social"))</f>
        <v/>
      </c>
      <c r="X755" s="24" t="str">
        <f aca="false">IF(A755="","",IF(K755&lt;&gt;"",IFERROR(INDEX('Case Studies'!$C$5:$C$54,MATCH(K755,'Case Studies'!$B$5:$B$54,0))&amp;"","case-study"),IF(J755&lt;&gt;"",IFERROR(INDEX(Settings!$J$5:$J$55,MATCH(J755,Settings!$I$5:$I$55,0)),"general"),"general")))</f>
        <v/>
      </c>
      <c r="Y755" s="24" t="str">
        <f aca="false">IF(A755="","",LOWER(A755))</f>
        <v/>
      </c>
      <c r="Z755" s="24" t="str">
        <f aca="false">IF(A755="","",IF(T755="",Settings!$B$5,T755)&amp;IF(ISNUMBER(FIND("?",IF(T755="",Settings!$B$5,T755))),"&amp;","?")&amp;"utm_source="&amp;V755&amp;"&amp;utm_medium="&amp;W755&amp;"&amp;utm_campaign="&amp;X755&amp;"&amp;utm_content="&amp;Y755)</f>
        <v/>
      </c>
      <c r="AA755" s="29"/>
      <c r="AB755" s="39"/>
      <c r="AC755" s="32"/>
      <c r="AD755" s="32"/>
      <c r="AE755" s="32"/>
      <c r="AF755" s="32"/>
      <c r="AG755" s="32"/>
      <c r="AH755" s="32"/>
      <c r="AI755" s="32"/>
      <c r="AJ755" s="32"/>
      <c r="AK755" s="32"/>
      <c r="AL755" s="32"/>
      <c r="AM755" s="32"/>
      <c r="AN755" s="32"/>
      <c r="AO755" s="33" t="str">
        <f aca="false">IF(A755="","",IF(AD755&lt;&gt;"",AD755,IF(AC755&lt;&gt;"",AC755,"")))</f>
        <v/>
      </c>
      <c r="AP755" s="24" t="str">
        <f aca="false">IF(AO755="","",IF(AD755&lt;&gt;"","Reported reach","Impressions (proxy)"))</f>
        <v/>
      </c>
      <c r="AQ755" s="34" t="str">
        <f aca="false">IF(OR(AO755="",N(S755)=0),"",AO755/S755)</f>
        <v/>
      </c>
      <c r="AR755" s="33" t="str">
        <f aca="false">IF(A755="","",IF(COUNT(AF755:AJ755)=0,"",SUM(AF755:AJ755)))</f>
        <v/>
      </c>
      <c r="AS755" s="34" t="str">
        <f aca="false">IF(OR(AR755="",N(AO755)=0),"",AR755/AO755)</f>
        <v/>
      </c>
      <c r="AT755" s="34" t="str">
        <f aca="false">IF(OR(AR755="",N(AC755)=0),"",AR755/AC755)</f>
        <v/>
      </c>
      <c r="AU755" s="34" t="str">
        <f aca="false">IF(OR(AR755="",N(S755)=0),"",AR755/S755)</f>
        <v/>
      </c>
      <c r="AV755" s="34" t="str">
        <f aca="false">IF(OR(AJ755="",N(AC755)=0),"",AJ755/AC755)</f>
        <v/>
      </c>
      <c r="AW755" s="34" t="str">
        <f aca="false">IF(OR(AH755="",N(AO755)=0),"",AH755/AO755)</f>
        <v/>
      </c>
      <c r="AX755" s="35" t="str">
        <f aca="false">IF(OR(AR755="",N(AO755)=0),"",(N(AF755)*Settings!$B$6+N(AG755)*Settings!$B$7+N(AH755)*Settings!$B$8+N(AI755)*Settings!$B$9+N(AJ755)*Settings!$B$10)/AO755*1000)</f>
        <v/>
      </c>
      <c r="AY755" s="36" t="str">
        <f aca="false">IF(AS755="","",IFERROR(AS755/AVERAGEIFS('Post Tracker'!$AS$5:$AS$1004,'Post Tracker'!$G$5:$G$1004,G755),""))</f>
        <v/>
      </c>
      <c r="AZ755" s="32"/>
      <c r="BA755" s="32"/>
      <c r="BB755" s="32"/>
      <c r="BC755" s="32"/>
      <c r="BD755" s="33" t="str">
        <f aca="false">IF(A755="","",COUNTIFS('Demo Pipeline'!$Q$5:$Q$504,A755))</f>
        <v/>
      </c>
      <c r="BE755" s="33" t="str">
        <f aca="false">IF(A755="","",COUNTIFS('Demo Pipeline'!$Q$5:$Q$504,A755,'Demo Pipeline'!$W$5:$W$504,"Attended"))</f>
        <v/>
      </c>
      <c r="BF755" s="33" t="str">
        <f aca="false">IF(A755="","",COUNTIFS('Demo Pipeline'!$Q$5:$Q$504,A755,'Demo Pipeline'!$X$5:$X$504,"Yes"))</f>
        <v/>
      </c>
      <c r="BG755" s="33" t="str">
        <f aca="false">IF(A755="","",COUNTIFS('Demo Pipeline'!$Q$5:$Q$504,A755,'Demo Pipeline'!$Y$5:$Y$504,"Closed Won"))</f>
        <v/>
      </c>
      <c r="BH755" s="37" t="str">
        <f aca="false">IF(A755="","",SUMIFS('Demo Pipeline'!$Z$5:$Z$504,'Demo Pipeline'!$Q$5:$Q$504,A755))</f>
        <v/>
      </c>
      <c r="BI755" s="34" t="str">
        <f aca="false">IF(OR(AZ755="",N(AJ755)=0),"",AZ755/AJ755)</f>
        <v/>
      </c>
      <c r="BJ755" s="34" t="str">
        <f aca="false">IF(OR(BB755="",N(AZ755)=0),"",BB755/AZ755)</f>
        <v/>
      </c>
      <c r="BK755" s="34" t="str">
        <f aca="false">IF(OR(A755="",N(BB755)=0),"",BD755/BB755)</f>
        <v/>
      </c>
      <c r="BL755" s="34" t="str">
        <f aca="false">IF(OR(A755="",N(AZ755)=0),"",BD755/AZ755)</f>
        <v/>
      </c>
      <c r="BM755" s="37" t="str">
        <f aca="false">IF(OR(N(Q755)=0,N(BD755)=0),"",Q755/BD755)</f>
        <v/>
      </c>
      <c r="BN755" s="29"/>
      <c r="BO755" s="29"/>
      <c r="BP755" s="33" t="str">
        <f aca="false">IF(OR(AR755="",N(AO755)=0),"",AR755)</f>
        <v/>
      </c>
      <c r="BQ755" s="33" t="str">
        <f aca="false">IF(OR(AR755="",N(S755)=0),"",S755)</f>
        <v/>
      </c>
      <c r="BR755" s="38" t="str">
        <f aca="false">IF(AND(ISNUMBER(B755),B755&gt;=Dashboard!$C$4,B755&lt;=Dashboard!$F$4,ISNUMBER(AU755)),AU755+ROW()/10^9,"")</f>
        <v/>
      </c>
      <c r="BS755" s="38" t="str">
        <f aca="false">IF(AND(ISNUMBER(B755),B755&gt;=Dashboard!$C$4,B755&lt;=Dashboard!$F$4,A755&lt;&gt;""),N(BD755)+N(AU755)/100+ROW()/10^9,"")</f>
        <v/>
      </c>
    </row>
    <row r="756" customFormat="false" ht="15" hidden="false" customHeight="false" outlineLevel="0" collapsed="false">
      <c r="A756" s="24" t="str">
        <f aca="false">IF(OR(B756="",G756="",H756=""),"",IFERROR(INDEX(Settings!$E$5:$E$49,MATCH(G756,Settings!$D$5:$D$49,0))&amp;INDEX(Settings!$H$5:$H$47,MATCH(H756,Settings!$G$5:$G$47,0))&amp;"-"&amp;TEXT(B756,"yymmdd")&amp;"-"&amp;IF(C756="","0000",TEXT(C756,"hhmm")),"CHECK LISTS"))</f>
        <v/>
      </c>
      <c r="B756" s="39"/>
      <c r="C756" s="40"/>
      <c r="D756" s="24" t="str">
        <f aca="false">IF(B756="","",TEXT(B756,"ddd"))</f>
        <v/>
      </c>
      <c r="E756" s="27" t="str">
        <f aca="false">IF(B756="","",B756-WEEKDAY(B756,3))</f>
        <v/>
      </c>
      <c r="F756" s="24" t="str">
        <f aca="false">IF(B756="","",TEXT(B756,"yyyy-mm"))</f>
        <v/>
      </c>
      <c r="G756" s="29"/>
      <c r="H756" s="29"/>
      <c r="I756" s="29"/>
      <c r="J756" s="29"/>
      <c r="K756" s="29"/>
      <c r="L756" s="29"/>
      <c r="M756" s="29"/>
      <c r="N756" s="29"/>
      <c r="O756" s="29"/>
      <c r="P756" s="29"/>
      <c r="Q756" s="30"/>
      <c r="R756" s="29"/>
      <c r="S756" s="32"/>
      <c r="T756" s="29"/>
      <c r="U756" s="29"/>
      <c r="V756" s="24" t="str">
        <f aca="false">IF(A756="","",IFERROR(INDEX(Settings!$F$5:$F$49,MATCH(G756,Settings!$D$5:$D$49,0)),""))</f>
        <v/>
      </c>
      <c r="W756" s="24" t="str">
        <f aca="false">IF(A756="","",IF(OR(P756="",P756="Organic"),"social","paid_social"))</f>
        <v/>
      </c>
      <c r="X756" s="24" t="str">
        <f aca="false">IF(A756="","",IF(K756&lt;&gt;"",IFERROR(INDEX('Case Studies'!$C$5:$C$54,MATCH(K756,'Case Studies'!$B$5:$B$54,0))&amp;"","case-study"),IF(J756&lt;&gt;"",IFERROR(INDEX(Settings!$J$5:$J$55,MATCH(J756,Settings!$I$5:$I$55,0)),"general"),"general")))</f>
        <v/>
      </c>
      <c r="Y756" s="24" t="str">
        <f aca="false">IF(A756="","",LOWER(A756))</f>
        <v/>
      </c>
      <c r="Z756" s="24" t="str">
        <f aca="false">IF(A756="","",IF(T756="",Settings!$B$5,T756)&amp;IF(ISNUMBER(FIND("?",IF(T756="",Settings!$B$5,T756))),"&amp;","?")&amp;"utm_source="&amp;V756&amp;"&amp;utm_medium="&amp;W756&amp;"&amp;utm_campaign="&amp;X756&amp;"&amp;utm_content="&amp;Y756)</f>
        <v/>
      </c>
      <c r="AA756" s="29"/>
      <c r="AB756" s="39"/>
      <c r="AC756" s="32"/>
      <c r="AD756" s="32"/>
      <c r="AE756" s="32"/>
      <c r="AF756" s="32"/>
      <c r="AG756" s="32"/>
      <c r="AH756" s="32"/>
      <c r="AI756" s="32"/>
      <c r="AJ756" s="32"/>
      <c r="AK756" s="32"/>
      <c r="AL756" s="32"/>
      <c r="AM756" s="32"/>
      <c r="AN756" s="32"/>
      <c r="AO756" s="33" t="str">
        <f aca="false">IF(A756="","",IF(AD756&lt;&gt;"",AD756,IF(AC756&lt;&gt;"",AC756,"")))</f>
        <v/>
      </c>
      <c r="AP756" s="24" t="str">
        <f aca="false">IF(AO756="","",IF(AD756&lt;&gt;"","Reported reach","Impressions (proxy)"))</f>
        <v/>
      </c>
      <c r="AQ756" s="34" t="str">
        <f aca="false">IF(OR(AO756="",N(S756)=0),"",AO756/S756)</f>
        <v/>
      </c>
      <c r="AR756" s="33" t="str">
        <f aca="false">IF(A756="","",IF(COUNT(AF756:AJ756)=0,"",SUM(AF756:AJ756)))</f>
        <v/>
      </c>
      <c r="AS756" s="34" t="str">
        <f aca="false">IF(OR(AR756="",N(AO756)=0),"",AR756/AO756)</f>
        <v/>
      </c>
      <c r="AT756" s="34" t="str">
        <f aca="false">IF(OR(AR756="",N(AC756)=0),"",AR756/AC756)</f>
        <v/>
      </c>
      <c r="AU756" s="34" t="str">
        <f aca="false">IF(OR(AR756="",N(S756)=0),"",AR756/S756)</f>
        <v/>
      </c>
      <c r="AV756" s="34" t="str">
        <f aca="false">IF(OR(AJ756="",N(AC756)=0),"",AJ756/AC756)</f>
        <v/>
      </c>
      <c r="AW756" s="34" t="str">
        <f aca="false">IF(OR(AH756="",N(AO756)=0),"",AH756/AO756)</f>
        <v/>
      </c>
      <c r="AX756" s="35" t="str">
        <f aca="false">IF(OR(AR756="",N(AO756)=0),"",(N(AF756)*Settings!$B$6+N(AG756)*Settings!$B$7+N(AH756)*Settings!$B$8+N(AI756)*Settings!$B$9+N(AJ756)*Settings!$B$10)/AO756*1000)</f>
        <v/>
      </c>
      <c r="AY756" s="36" t="str">
        <f aca="false">IF(AS756="","",IFERROR(AS756/AVERAGEIFS('Post Tracker'!$AS$5:$AS$1004,'Post Tracker'!$G$5:$G$1004,G756),""))</f>
        <v/>
      </c>
      <c r="AZ756" s="32"/>
      <c r="BA756" s="32"/>
      <c r="BB756" s="32"/>
      <c r="BC756" s="32"/>
      <c r="BD756" s="33" t="str">
        <f aca="false">IF(A756="","",COUNTIFS('Demo Pipeline'!$Q$5:$Q$504,A756))</f>
        <v/>
      </c>
      <c r="BE756" s="33" t="str">
        <f aca="false">IF(A756="","",COUNTIFS('Demo Pipeline'!$Q$5:$Q$504,A756,'Demo Pipeline'!$W$5:$W$504,"Attended"))</f>
        <v/>
      </c>
      <c r="BF756" s="33" t="str">
        <f aca="false">IF(A756="","",COUNTIFS('Demo Pipeline'!$Q$5:$Q$504,A756,'Demo Pipeline'!$X$5:$X$504,"Yes"))</f>
        <v/>
      </c>
      <c r="BG756" s="33" t="str">
        <f aca="false">IF(A756="","",COUNTIFS('Demo Pipeline'!$Q$5:$Q$504,A756,'Demo Pipeline'!$Y$5:$Y$504,"Closed Won"))</f>
        <v/>
      </c>
      <c r="BH756" s="37" t="str">
        <f aca="false">IF(A756="","",SUMIFS('Demo Pipeline'!$Z$5:$Z$504,'Demo Pipeline'!$Q$5:$Q$504,A756))</f>
        <v/>
      </c>
      <c r="BI756" s="34" t="str">
        <f aca="false">IF(OR(AZ756="",N(AJ756)=0),"",AZ756/AJ756)</f>
        <v/>
      </c>
      <c r="BJ756" s="34" t="str">
        <f aca="false">IF(OR(BB756="",N(AZ756)=0),"",BB756/AZ756)</f>
        <v/>
      </c>
      <c r="BK756" s="34" t="str">
        <f aca="false">IF(OR(A756="",N(BB756)=0),"",BD756/BB756)</f>
        <v/>
      </c>
      <c r="BL756" s="34" t="str">
        <f aca="false">IF(OR(A756="",N(AZ756)=0),"",BD756/AZ756)</f>
        <v/>
      </c>
      <c r="BM756" s="37" t="str">
        <f aca="false">IF(OR(N(Q756)=0,N(BD756)=0),"",Q756/BD756)</f>
        <v/>
      </c>
      <c r="BN756" s="29"/>
      <c r="BO756" s="29"/>
      <c r="BP756" s="33" t="str">
        <f aca="false">IF(OR(AR756="",N(AO756)=0),"",AR756)</f>
        <v/>
      </c>
      <c r="BQ756" s="33" t="str">
        <f aca="false">IF(OR(AR756="",N(S756)=0),"",S756)</f>
        <v/>
      </c>
      <c r="BR756" s="38" t="str">
        <f aca="false">IF(AND(ISNUMBER(B756),B756&gt;=Dashboard!$C$4,B756&lt;=Dashboard!$F$4,ISNUMBER(AU756)),AU756+ROW()/10^9,"")</f>
        <v/>
      </c>
      <c r="BS756" s="38" t="str">
        <f aca="false">IF(AND(ISNUMBER(B756),B756&gt;=Dashboard!$C$4,B756&lt;=Dashboard!$F$4,A756&lt;&gt;""),N(BD756)+N(AU756)/100+ROW()/10^9,"")</f>
        <v/>
      </c>
    </row>
    <row r="757" customFormat="false" ht="15" hidden="false" customHeight="false" outlineLevel="0" collapsed="false">
      <c r="A757" s="24" t="str">
        <f aca="false">IF(OR(B757="",G757="",H757=""),"",IFERROR(INDEX(Settings!$E$5:$E$49,MATCH(G757,Settings!$D$5:$D$49,0))&amp;INDEX(Settings!$H$5:$H$47,MATCH(H757,Settings!$G$5:$G$47,0))&amp;"-"&amp;TEXT(B757,"yymmdd")&amp;"-"&amp;IF(C757="","0000",TEXT(C757,"hhmm")),"CHECK LISTS"))</f>
        <v/>
      </c>
      <c r="B757" s="39"/>
      <c r="C757" s="40"/>
      <c r="D757" s="24" t="str">
        <f aca="false">IF(B757="","",TEXT(B757,"ddd"))</f>
        <v/>
      </c>
      <c r="E757" s="27" t="str">
        <f aca="false">IF(B757="","",B757-WEEKDAY(B757,3))</f>
        <v/>
      </c>
      <c r="F757" s="24" t="str">
        <f aca="false">IF(B757="","",TEXT(B757,"yyyy-mm"))</f>
        <v/>
      </c>
      <c r="G757" s="29"/>
      <c r="H757" s="29"/>
      <c r="I757" s="29"/>
      <c r="J757" s="29"/>
      <c r="K757" s="29"/>
      <c r="L757" s="29"/>
      <c r="M757" s="29"/>
      <c r="N757" s="29"/>
      <c r="O757" s="29"/>
      <c r="P757" s="29"/>
      <c r="Q757" s="30"/>
      <c r="R757" s="29"/>
      <c r="S757" s="32"/>
      <c r="T757" s="29"/>
      <c r="U757" s="29"/>
      <c r="V757" s="24" t="str">
        <f aca="false">IF(A757="","",IFERROR(INDEX(Settings!$F$5:$F$49,MATCH(G757,Settings!$D$5:$D$49,0)),""))</f>
        <v/>
      </c>
      <c r="W757" s="24" t="str">
        <f aca="false">IF(A757="","",IF(OR(P757="",P757="Organic"),"social","paid_social"))</f>
        <v/>
      </c>
      <c r="X757" s="24" t="str">
        <f aca="false">IF(A757="","",IF(K757&lt;&gt;"",IFERROR(INDEX('Case Studies'!$C$5:$C$54,MATCH(K757,'Case Studies'!$B$5:$B$54,0))&amp;"","case-study"),IF(J757&lt;&gt;"",IFERROR(INDEX(Settings!$J$5:$J$55,MATCH(J757,Settings!$I$5:$I$55,0)),"general"),"general")))</f>
        <v/>
      </c>
      <c r="Y757" s="24" t="str">
        <f aca="false">IF(A757="","",LOWER(A757))</f>
        <v/>
      </c>
      <c r="Z757" s="24" t="str">
        <f aca="false">IF(A757="","",IF(T757="",Settings!$B$5,T757)&amp;IF(ISNUMBER(FIND("?",IF(T757="",Settings!$B$5,T757))),"&amp;","?")&amp;"utm_source="&amp;V757&amp;"&amp;utm_medium="&amp;W757&amp;"&amp;utm_campaign="&amp;X757&amp;"&amp;utm_content="&amp;Y757)</f>
        <v/>
      </c>
      <c r="AA757" s="29"/>
      <c r="AB757" s="39"/>
      <c r="AC757" s="32"/>
      <c r="AD757" s="32"/>
      <c r="AE757" s="32"/>
      <c r="AF757" s="32"/>
      <c r="AG757" s="32"/>
      <c r="AH757" s="32"/>
      <c r="AI757" s="32"/>
      <c r="AJ757" s="32"/>
      <c r="AK757" s="32"/>
      <c r="AL757" s="32"/>
      <c r="AM757" s="32"/>
      <c r="AN757" s="32"/>
      <c r="AO757" s="33" t="str">
        <f aca="false">IF(A757="","",IF(AD757&lt;&gt;"",AD757,IF(AC757&lt;&gt;"",AC757,"")))</f>
        <v/>
      </c>
      <c r="AP757" s="24" t="str">
        <f aca="false">IF(AO757="","",IF(AD757&lt;&gt;"","Reported reach","Impressions (proxy)"))</f>
        <v/>
      </c>
      <c r="AQ757" s="34" t="str">
        <f aca="false">IF(OR(AO757="",N(S757)=0),"",AO757/S757)</f>
        <v/>
      </c>
      <c r="AR757" s="33" t="str">
        <f aca="false">IF(A757="","",IF(COUNT(AF757:AJ757)=0,"",SUM(AF757:AJ757)))</f>
        <v/>
      </c>
      <c r="AS757" s="34" t="str">
        <f aca="false">IF(OR(AR757="",N(AO757)=0),"",AR757/AO757)</f>
        <v/>
      </c>
      <c r="AT757" s="34" t="str">
        <f aca="false">IF(OR(AR757="",N(AC757)=0),"",AR757/AC757)</f>
        <v/>
      </c>
      <c r="AU757" s="34" t="str">
        <f aca="false">IF(OR(AR757="",N(S757)=0),"",AR757/S757)</f>
        <v/>
      </c>
      <c r="AV757" s="34" t="str">
        <f aca="false">IF(OR(AJ757="",N(AC757)=0),"",AJ757/AC757)</f>
        <v/>
      </c>
      <c r="AW757" s="34" t="str">
        <f aca="false">IF(OR(AH757="",N(AO757)=0),"",AH757/AO757)</f>
        <v/>
      </c>
      <c r="AX757" s="35" t="str">
        <f aca="false">IF(OR(AR757="",N(AO757)=0),"",(N(AF757)*Settings!$B$6+N(AG757)*Settings!$B$7+N(AH757)*Settings!$B$8+N(AI757)*Settings!$B$9+N(AJ757)*Settings!$B$10)/AO757*1000)</f>
        <v/>
      </c>
      <c r="AY757" s="36" t="str">
        <f aca="false">IF(AS757="","",IFERROR(AS757/AVERAGEIFS('Post Tracker'!$AS$5:$AS$1004,'Post Tracker'!$G$5:$G$1004,G757),""))</f>
        <v/>
      </c>
      <c r="AZ757" s="32"/>
      <c r="BA757" s="32"/>
      <c r="BB757" s="32"/>
      <c r="BC757" s="32"/>
      <c r="BD757" s="33" t="str">
        <f aca="false">IF(A757="","",COUNTIFS('Demo Pipeline'!$Q$5:$Q$504,A757))</f>
        <v/>
      </c>
      <c r="BE757" s="33" t="str">
        <f aca="false">IF(A757="","",COUNTIFS('Demo Pipeline'!$Q$5:$Q$504,A757,'Demo Pipeline'!$W$5:$W$504,"Attended"))</f>
        <v/>
      </c>
      <c r="BF757" s="33" t="str">
        <f aca="false">IF(A757="","",COUNTIFS('Demo Pipeline'!$Q$5:$Q$504,A757,'Demo Pipeline'!$X$5:$X$504,"Yes"))</f>
        <v/>
      </c>
      <c r="BG757" s="33" t="str">
        <f aca="false">IF(A757="","",COUNTIFS('Demo Pipeline'!$Q$5:$Q$504,A757,'Demo Pipeline'!$Y$5:$Y$504,"Closed Won"))</f>
        <v/>
      </c>
      <c r="BH757" s="37" t="str">
        <f aca="false">IF(A757="","",SUMIFS('Demo Pipeline'!$Z$5:$Z$504,'Demo Pipeline'!$Q$5:$Q$504,A757))</f>
        <v/>
      </c>
      <c r="BI757" s="34" t="str">
        <f aca="false">IF(OR(AZ757="",N(AJ757)=0),"",AZ757/AJ757)</f>
        <v/>
      </c>
      <c r="BJ757" s="34" t="str">
        <f aca="false">IF(OR(BB757="",N(AZ757)=0),"",BB757/AZ757)</f>
        <v/>
      </c>
      <c r="BK757" s="34" t="str">
        <f aca="false">IF(OR(A757="",N(BB757)=0),"",BD757/BB757)</f>
        <v/>
      </c>
      <c r="BL757" s="34" t="str">
        <f aca="false">IF(OR(A757="",N(AZ757)=0),"",BD757/AZ757)</f>
        <v/>
      </c>
      <c r="BM757" s="37" t="str">
        <f aca="false">IF(OR(N(Q757)=0,N(BD757)=0),"",Q757/BD757)</f>
        <v/>
      </c>
      <c r="BN757" s="29"/>
      <c r="BO757" s="29"/>
      <c r="BP757" s="33" t="str">
        <f aca="false">IF(OR(AR757="",N(AO757)=0),"",AR757)</f>
        <v/>
      </c>
      <c r="BQ757" s="33" t="str">
        <f aca="false">IF(OR(AR757="",N(S757)=0),"",S757)</f>
        <v/>
      </c>
      <c r="BR757" s="38" t="str">
        <f aca="false">IF(AND(ISNUMBER(B757),B757&gt;=Dashboard!$C$4,B757&lt;=Dashboard!$F$4,ISNUMBER(AU757)),AU757+ROW()/10^9,"")</f>
        <v/>
      </c>
      <c r="BS757" s="38" t="str">
        <f aca="false">IF(AND(ISNUMBER(B757),B757&gt;=Dashboard!$C$4,B757&lt;=Dashboard!$F$4,A757&lt;&gt;""),N(BD757)+N(AU757)/100+ROW()/10^9,"")</f>
        <v/>
      </c>
    </row>
    <row r="758" customFormat="false" ht="15" hidden="false" customHeight="false" outlineLevel="0" collapsed="false">
      <c r="A758" s="24" t="str">
        <f aca="false">IF(OR(B758="",G758="",H758=""),"",IFERROR(INDEX(Settings!$E$5:$E$49,MATCH(G758,Settings!$D$5:$D$49,0))&amp;INDEX(Settings!$H$5:$H$47,MATCH(H758,Settings!$G$5:$G$47,0))&amp;"-"&amp;TEXT(B758,"yymmdd")&amp;"-"&amp;IF(C758="","0000",TEXT(C758,"hhmm")),"CHECK LISTS"))</f>
        <v/>
      </c>
      <c r="B758" s="39"/>
      <c r="C758" s="40"/>
      <c r="D758" s="24" t="str">
        <f aca="false">IF(B758="","",TEXT(B758,"ddd"))</f>
        <v/>
      </c>
      <c r="E758" s="27" t="str">
        <f aca="false">IF(B758="","",B758-WEEKDAY(B758,3))</f>
        <v/>
      </c>
      <c r="F758" s="24" t="str">
        <f aca="false">IF(B758="","",TEXT(B758,"yyyy-mm"))</f>
        <v/>
      </c>
      <c r="G758" s="29"/>
      <c r="H758" s="29"/>
      <c r="I758" s="29"/>
      <c r="J758" s="29"/>
      <c r="K758" s="29"/>
      <c r="L758" s="29"/>
      <c r="M758" s="29"/>
      <c r="N758" s="29"/>
      <c r="O758" s="29"/>
      <c r="P758" s="29"/>
      <c r="Q758" s="30"/>
      <c r="R758" s="29"/>
      <c r="S758" s="32"/>
      <c r="T758" s="29"/>
      <c r="U758" s="29"/>
      <c r="V758" s="24" t="str">
        <f aca="false">IF(A758="","",IFERROR(INDEX(Settings!$F$5:$F$49,MATCH(G758,Settings!$D$5:$D$49,0)),""))</f>
        <v/>
      </c>
      <c r="W758" s="24" t="str">
        <f aca="false">IF(A758="","",IF(OR(P758="",P758="Organic"),"social","paid_social"))</f>
        <v/>
      </c>
      <c r="X758" s="24" t="str">
        <f aca="false">IF(A758="","",IF(K758&lt;&gt;"",IFERROR(INDEX('Case Studies'!$C$5:$C$54,MATCH(K758,'Case Studies'!$B$5:$B$54,0))&amp;"","case-study"),IF(J758&lt;&gt;"",IFERROR(INDEX(Settings!$J$5:$J$55,MATCH(J758,Settings!$I$5:$I$55,0)),"general"),"general")))</f>
        <v/>
      </c>
      <c r="Y758" s="24" t="str">
        <f aca="false">IF(A758="","",LOWER(A758))</f>
        <v/>
      </c>
      <c r="Z758" s="24" t="str">
        <f aca="false">IF(A758="","",IF(T758="",Settings!$B$5,T758)&amp;IF(ISNUMBER(FIND("?",IF(T758="",Settings!$B$5,T758))),"&amp;","?")&amp;"utm_source="&amp;V758&amp;"&amp;utm_medium="&amp;W758&amp;"&amp;utm_campaign="&amp;X758&amp;"&amp;utm_content="&amp;Y758)</f>
        <v/>
      </c>
      <c r="AA758" s="29"/>
      <c r="AB758" s="39"/>
      <c r="AC758" s="32"/>
      <c r="AD758" s="32"/>
      <c r="AE758" s="32"/>
      <c r="AF758" s="32"/>
      <c r="AG758" s="32"/>
      <c r="AH758" s="32"/>
      <c r="AI758" s="32"/>
      <c r="AJ758" s="32"/>
      <c r="AK758" s="32"/>
      <c r="AL758" s="32"/>
      <c r="AM758" s="32"/>
      <c r="AN758" s="32"/>
      <c r="AO758" s="33" t="str">
        <f aca="false">IF(A758="","",IF(AD758&lt;&gt;"",AD758,IF(AC758&lt;&gt;"",AC758,"")))</f>
        <v/>
      </c>
      <c r="AP758" s="24" t="str">
        <f aca="false">IF(AO758="","",IF(AD758&lt;&gt;"","Reported reach","Impressions (proxy)"))</f>
        <v/>
      </c>
      <c r="AQ758" s="34" t="str">
        <f aca="false">IF(OR(AO758="",N(S758)=0),"",AO758/S758)</f>
        <v/>
      </c>
      <c r="AR758" s="33" t="str">
        <f aca="false">IF(A758="","",IF(COUNT(AF758:AJ758)=0,"",SUM(AF758:AJ758)))</f>
        <v/>
      </c>
      <c r="AS758" s="34" t="str">
        <f aca="false">IF(OR(AR758="",N(AO758)=0),"",AR758/AO758)</f>
        <v/>
      </c>
      <c r="AT758" s="34" t="str">
        <f aca="false">IF(OR(AR758="",N(AC758)=0),"",AR758/AC758)</f>
        <v/>
      </c>
      <c r="AU758" s="34" t="str">
        <f aca="false">IF(OR(AR758="",N(S758)=0),"",AR758/S758)</f>
        <v/>
      </c>
      <c r="AV758" s="34" t="str">
        <f aca="false">IF(OR(AJ758="",N(AC758)=0),"",AJ758/AC758)</f>
        <v/>
      </c>
      <c r="AW758" s="34" t="str">
        <f aca="false">IF(OR(AH758="",N(AO758)=0),"",AH758/AO758)</f>
        <v/>
      </c>
      <c r="AX758" s="35" t="str">
        <f aca="false">IF(OR(AR758="",N(AO758)=0),"",(N(AF758)*Settings!$B$6+N(AG758)*Settings!$B$7+N(AH758)*Settings!$B$8+N(AI758)*Settings!$B$9+N(AJ758)*Settings!$B$10)/AO758*1000)</f>
        <v/>
      </c>
      <c r="AY758" s="36" t="str">
        <f aca="false">IF(AS758="","",IFERROR(AS758/AVERAGEIFS('Post Tracker'!$AS$5:$AS$1004,'Post Tracker'!$G$5:$G$1004,G758),""))</f>
        <v/>
      </c>
      <c r="AZ758" s="32"/>
      <c r="BA758" s="32"/>
      <c r="BB758" s="32"/>
      <c r="BC758" s="32"/>
      <c r="BD758" s="33" t="str">
        <f aca="false">IF(A758="","",COUNTIFS('Demo Pipeline'!$Q$5:$Q$504,A758))</f>
        <v/>
      </c>
      <c r="BE758" s="33" t="str">
        <f aca="false">IF(A758="","",COUNTIFS('Demo Pipeline'!$Q$5:$Q$504,A758,'Demo Pipeline'!$W$5:$W$504,"Attended"))</f>
        <v/>
      </c>
      <c r="BF758" s="33" t="str">
        <f aca="false">IF(A758="","",COUNTIFS('Demo Pipeline'!$Q$5:$Q$504,A758,'Demo Pipeline'!$X$5:$X$504,"Yes"))</f>
        <v/>
      </c>
      <c r="BG758" s="33" t="str">
        <f aca="false">IF(A758="","",COUNTIFS('Demo Pipeline'!$Q$5:$Q$504,A758,'Demo Pipeline'!$Y$5:$Y$504,"Closed Won"))</f>
        <v/>
      </c>
      <c r="BH758" s="37" t="str">
        <f aca="false">IF(A758="","",SUMIFS('Demo Pipeline'!$Z$5:$Z$504,'Demo Pipeline'!$Q$5:$Q$504,A758))</f>
        <v/>
      </c>
      <c r="BI758" s="34" t="str">
        <f aca="false">IF(OR(AZ758="",N(AJ758)=0),"",AZ758/AJ758)</f>
        <v/>
      </c>
      <c r="BJ758" s="34" t="str">
        <f aca="false">IF(OR(BB758="",N(AZ758)=0),"",BB758/AZ758)</f>
        <v/>
      </c>
      <c r="BK758" s="34" t="str">
        <f aca="false">IF(OR(A758="",N(BB758)=0),"",BD758/BB758)</f>
        <v/>
      </c>
      <c r="BL758" s="34" t="str">
        <f aca="false">IF(OR(A758="",N(AZ758)=0),"",BD758/AZ758)</f>
        <v/>
      </c>
      <c r="BM758" s="37" t="str">
        <f aca="false">IF(OR(N(Q758)=0,N(BD758)=0),"",Q758/BD758)</f>
        <v/>
      </c>
      <c r="BN758" s="29"/>
      <c r="BO758" s="29"/>
      <c r="BP758" s="33" t="str">
        <f aca="false">IF(OR(AR758="",N(AO758)=0),"",AR758)</f>
        <v/>
      </c>
      <c r="BQ758" s="33" t="str">
        <f aca="false">IF(OR(AR758="",N(S758)=0),"",S758)</f>
        <v/>
      </c>
      <c r="BR758" s="38" t="str">
        <f aca="false">IF(AND(ISNUMBER(B758),B758&gt;=Dashboard!$C$4,B758&lt;=Dashboard!$F$4,ISNUMBER(AU758)),AU758+ROW()/10^9,"")</f>
        <v/>
      </c>
      <c r="BS758" s="38" t="str">
        <f aca="false">IF(AND(ISNUMBER(B758),B758&gt;=Dashboard!$C$4,B758&lt;=Dashboard!$F$4,A758&lt;&gt;""),N(BD758)+N(AU758)/100+ROW()/10^9,"")</f>
        <v/>
      </c>
    </row>
    <row r="759" customFormat="false" ht="15" hidden="false" customHeight="false" outlineLevel="0" collapsed="false">
      <c r="A759" s="24" t="str">
        <f aca="false">IF(OR(B759="",G759="",H759=""),"",IFERROR(INDEX(Settings!$E$5:$E$49,MATCH(G759,Settings!$D$5:$D$49,0))&amp;INDEX(Settings!$H$5:$H$47,MATCH(H759,Settings!$G$5:$G$47,0))&amp;"-"&amp;TEXT(B759,"yymmdd")&amp;"-"&amp;IF(C759="","0000",TEXT(C759,"hhmm")),"CHECK LISTS"))</f>
        <v/>
      </c>
      <c r="B759" s="39"/>
      <c r="C759" s="40"/>
      <c r="D759" s="24" t="str">
        <f aca="false">IF(B759="","",TEXT(B759,"ddd"))</f>
        <v/>
      </c>
      <c r="E759" s="27" t="str">
        <f aca="false">IF(B759="","",B759-WEEKDAY(B759,3))</f>
        <v/>
      </c>
      <c r="F759" s="24" t="str">
        <f aca="false">IF(B759="","",TEXT(B759,"yyyy-mm"))</f>
        <v/>
      </c>
      <c r="G759" s="29"/>
      <c r="H759" s="29"/>
      <c r="I759" s="29"/>
      <c r="J759" s="29"/>
      <c r="K759" s="29"/>
      <c r="L759" s="29"/>
      <c r="M759" s="29"/>
      <c r="N759" s="29"/>
      <c r="O759" s="29"/>
      <c r="P759" s="29"/>
      <c r="Q759" s="30"/>
      <c r="R759" s="29"/>
      <c r="S759" s="32"/>
      <c r="T759" s="29"/>
      <c r="U759" s="29"/>
      <c r="V759" s="24" t="str">
        <f aca="false">IF(A759="","",IFERROR(INDEX(Settings!$F$5:$F$49,MATCH(G759,Settings!$D$5:$D$49,0)),""))</f>
        <v/>
      </c>
      <c r="W759" s="24" t="str">
        <f aca="false">IF(A759="","",IF(OR(P759="",P759="Organic"),"social","paid_social"))</f>
        <v/>
      </c>
      <c r="X759" s="24" t="str">
        <f aca="false">IF(A759="","",IF(K759&lt;&gt;"",IFERROR(INDEX('Case Studies'!$C$5:$C$54,MATCH(K759,'Case Studies'!$B$5:$B$54,0))&amp;"","case-study"),IF(J759&lt;&gt;"",IFERROR(INDEX(Settings!$J$5:$J$55,MATCH(J759,Settings!$I$5:$I$55,0)),"general"),"general")))</f>
        <v/>
      </c>
      <c r="Y759" s="24" t="str">
        <f aca="false">IF(A759="","",LOWER(A759))</f>
        <v/>
      </c>
      <c r="Z759" s="24" t="str">
        <f aca="false">IF(A759="","",IF(T759="",Settings!$B$5,T759)&amp;IF(ISNUMBER(FIND("?",IF(T759="",Settings!$B$5,T759))),"&amp;","?")&amp;"utm_source="&amp;V759&amp;"&amp;utm_medium="&amp;W759&amp;"&amp;utm_campaign="&amp;X759&amp;"&amp;utm_content="&amp;Y759)</f>
        <v/>
      </c>
      <c r="AA759" s="29"/>
      <c r="AB759" s="39"/>
      <c r="AC759" s="32"/>
      <c r="AD759" s="32"/>
      <c r="AE759" s="32"/>
      <c r="AF759" s="32"/>
      <c r="AG759" s="32"/>
      <c r="AH759" s="32"/>
      <c r="AI759" s="32"/>
      <c r="AJ759" s="32"/>
      <c r="AK759" s="32"/>
      <c r="AL759" s="32"/>
      <c r="AM759" s="32"/>
      <c r="AN759" s="32"/>
      <c r="AO759" s="33" t="str">
        <f aca="false">IF(A759="","",IF(AD759&lt;&gt;"",AD759,IF(AC759&lt;&gt;"",AC759,"")))</f>
        <v/>
      </c>
      <c r="AP759" s="24" t="str">
        <f aca="false">IF(AO759="","",IF(AD759&lt;&gt;"","Reported reach","Impressions (proxy)"))</f>
        <v/>
      </c>
      <c r="AQ759" s="34" t="str">
        <f aca="false">IF(OR(AO759="",N(S759)=0),"",AO759/S759)</f>
        <v/>
      </c>
      <c r="AR759" s="33" t="str">
        <f aca="false">IF(A759="","",IF(COUNT(AF759:AJ759)=0,"",SUM(AF759:AJ759)))</f>
        <v/>
      </c>
      <c r="AS759" s="34" t="str">
        <f aca="false">IF(OR(AR759="",N(AO759)=0),"",AR759/AO759)</f>
        <v/>
      </c>
      <c r="AT759" s="34" t="str">
        <f aca="false">IF(OR(AR759="",N(AC759)=0),"",AR759/AC759)</f>
        <v/>
      </c>
      <c r="AU759" s="34" t="str">
        <f aca="false">IF(OR(AR759="",N(S759)=0),"",AR759/S759)</f>
        <v/>
      </c>
      <c r="AV759" s="34" t="str">
        <f aca="false">IF(OR(AJ759="",N(AC759)=0),"",AJ759/AC759)</f>
        <v/>
      </c>
      <c r="AW759" s="34" t="str">
        <f aca="false">IF(OR(AH759="",N(AO759)=0),"",AH759/AO759)</f>
        <v/>
      </c>
      <c r="AX759" s="35" t="str">
        <f aca="false">IF(OR(AR759="",N(AO759)=0),"",(N(AF759)*Settings!$B$6+N(AG759)*Settings!$B$7+N(AH759)*Settings!$B$8+N(AI759)*Settings!$B$9+N(AJ759)*Settings!$B$10)/AO759*1000)</f>
        <v/>
      </c>
      <c r="AY759" s="36" t="str">
        <f aca="false">IF(AS759="","",IFERROR(AS759/AVERAGEIFS('Post Tracker'!$AS$5:$AS$1004,'Post Tracker'!$G$5:$G$1004,G759),""))</f>
        <v/>
      </c>
      <c r="AZ759" s="32"/>
      <c r="BA759" s="32"/>
      <c r="BB759" s="32"/>
      <c r="BC759" s="32"/>
      <c r="BD759" s="33" t="str">
        <f aca="false">IF(A759="","",COUNTIFS('Demo Pipeline'!$Q$5:$Q$504,A759))</f>
        <v/>
      </c>
      <c r="BE759" s="33" t="str">
        <f aca="false">IF(A759="","",COUNTIFS('Demo Pipeline'!$Q$5:$Q$504,A759,'Demo Pipeline'!$W$5:$W$504,"Attended"))</f>
        <v/>
      </c>
      <c r="BF759" s="33" t="str">
        <f aca="false">IF(A759="","",COUNTIFS('Demo Pipeline'!$Q$5:$Q$504,A759,'Demo Pipeline'!$X$5:$X$504,"Yes"))</f>
        <v/>
      </c>
      <c r="BG759" s="33" t="str">
        <f aca="false">IF(A759="","",COUNTIFS('Demo Pipeline'!$Q$5:$Q$504,A759,'Demo Pipeline'!$Y$5:$Y$504,"Closed Won"))</f>
        <v/>
      </c>
      <c r="BH759" s="37" t="str">
        <f aca="false">IF(A759="","",SUMIFS('Demo Pipeline'!$Z$5:$Z$504,'Demo Pipeline'!$Q$5:$Q$504,A759))</f>
        <v/>
      </c>
      <c r="BI759" s="34" t="str">
        <f aca="false">IF(OR(AZ759="",N(AJ759)=0),"",AZ759/AJ759)</f>
        <v/>
      </c>
      <c r="BJ759" s="34" t="str">
        <f aca="false">IF(OR(BB759="",N(AZ759)=0),"",BB759/AZ759)</f>
        <v/>
      </c>
      <c r="BK759" s="34" t="str">
        <f aca="false">IF(OR(A759="",N(BB759)=0),"",BD759/BB759)</f>
        <v/>
      </c>
      <c r="BL759" s="34" t="str">
        <f aca="false">IF(OR(A759="",N(AZ759)=0),"",BD759/AZ759)</f>
        <v/>
      </c>
      <c r="BM759" s="37" t="str">
        <f aca="false">IF(OR(N(Q759)=0,N(BD759)=0),"",Q759/BD759)</f>
        <v/>
      </c>
      <c r="BN759" s="29"/>
      <c r="BO759" s="29"/>
      <c r="BP759" s="33" t="str">
        <f aca="false">IF(OR(AR759="",N(AO759)=0),"",AR759)</f>
        <v/>
      </c>
      <c r="BQ759" s="33" t="str">
        <f aca="false">IF(OR(AR759="",N(S759)=0),"",S759)</f>
        <v/>
      </c>
      <c r="BR759" s="38" t="str">
        <f aca="false">IF(AND(ISNUMBER(B759),B759&gt;=Dashboard!$C$4,B759&lt;=Dashboard!$F$4,ISNUMBER(AU759)),AU759+ROW()/10^9,"")</f>
        <v/>
      </c>
      <c r="BS759" s="38" t="str">
        <f aca="false">IF(AND(ISNUMBER(B759),B759&gt;=Dashboard!$C$4,B759&lt;=Dashboard!$F$4,A759&lt;&gt;""),N(BD759)+N(AU759)/100+ROW()/10^9,"")</f>
        <v/>
      </c>
    </row>
    <row r="760" customFormat="false" ht="15" hidden="false" customHeight="false" outlineLevel="0" collapsed="false">
      <c r="A760" s="24" t="str">
        <f aca="false">IF(OR(B760="",G760="",H760=""),"",IFERROR(INDEX(Settings!$E$5:$E$49,MATCH(G760,Settings!$D$5:$D$49,0))&amp;INDEX(Settings!$H$5:$H$47,MATCH(H760,Settings!$G$5:$G$47,0))&amp;"-"&amp;TEXT(B760,"yymmdd")&amp;"-"&amp;IF(C760="","0000",TEXT(C760,"hhmm")),"CHECK LISTS"))</f>
        <v/>
      </c>
      <c r="B760" s="39"/>
      <c r="C760" s="40"/>
      <c r="D760" s="24" t="str">
        <f aca="false">IF(B760="","",TEXT(B760,"ddd"))</f>
        <v/>
      </c>
      <c r="E760" s="27" t="str">
        <f aca="false">IF(B760="","",B760-WEEKDAY(B760,3))</f>
        <v/>
      </c>
      <c r="F760" s="24" t="str">
        <f aca="false">IF(B760="","",TEXT(B760,"yyyy-mm"))</f>
        <v/>
      </c>
      <c r="G760" s="29"/>
      <c r="H760" s="29"/>
      <c r="I760" s="29"/>
      <c r="J760" s="29"/>
      <c r="K760" s="29"/>
      <c r="L760" s="29"/>
      <c r="M760" s="29"/>
      <c r="N760" s="29"/>
      <c r="O760" s="29"/>
      <c r="P760" s="29"/>
      <c r="Q760" s="30"/>
      <c r="R760" s="29"/>
      <c r="S760" s="32"/>
      <c r="T760" s="29"/>
      <c r="U760" s="29"/>
      <c r="V760" s="24" t="str">
        <f aca="false">IF(A760="","",IFERROR(INDEX(Settings!$F$5:$F$49,MATCH(G760,Settings!$D$5:$D$49,0)),""))</f>
        <v/>
      </c>
      <c r="W760" s="24" t="str">
        <f aca="false">IF(A760="","",IF(OR(P760="",P760="Organic"),"social","paid_social"))</f>
        <v/>
      </c>
      <c r="X760" s="24" t="str">
        <f aca="false">IF(A760="","",IF(K760&lt;&gt;"",IFERROR(INDEX('Case Studies'!$C$5:$C$54,MATCH(K760,'Case Studies'!$B$5:$B$54,0))&amp;"","case-study"),IF(J760&lt;&gt;"",IFERROR(INDEX(Settings!$J$5:$J$55,MATCH(J760,Settings!$I$5:$I$55,0)),"general"),"general")))</f>
        <v/>
      </c>
      <c r="Y760" s="24" t="str">
        <f aca="false">IF(A760="","",LOWER(A760))</f>
        <v/>
      </c>
      <c r="Z760" s="24" t="str">
        <f aca="false">IF(A760="","",IF(T760="",Settings!$B$5,T760)&amp;IF(ISNUMBER(FIND("?",IF(T760="",Settings!$B$5,T760))),"&amp;","?")&amp;"utm_source="&amp;V760&amp;"&amp;utm_medium="&amp;W760&amp;"&amp;utm_campaign="&amp;X760&amp;"&amp;utm_content="&amp;Y760)</f>
        <v/>
      </c>
      <c r="AA760" s="29"/>
      <c r="AB760" s="39"/>
      <c r="AC760" s="32"/>
      <c r="AD760" s="32"/>
      <c r="AE760" s="32"/>
      <c r="AF760" s="32"/>
      <c r="AG760" s="32"/>
      <c r="AH760" s="32"/>
      <c r="AI760" s="32"/>
      <c r="AJ760" s="32"/>
      <c r="AK760" s="32"/>
      <c r="AL760" s="32"/>
      <c r="AM760" s="32"/>
      <c r="AN760" s="32"/>
      <c r="AO760" s="33" t="str">
        <f aca="false">IF(A760="","",IF(AD760&lt;&gt;"",AD760,IF(AC760&lt;&gt;"",AC760,"")))</f>
        <v/>
      </c>
      <c r="AP760" s="24" t="str">
        <f aca="false">IF(AO760="","",IF(AD760&lt;&gt;"","Reported reach","Impressions (proxy)"))</f>
        <v/>
      </c>
      <c r="AQ760" s="34" t="str">
        <f aca="false">IF(OR(AO760="",N(S760)=0),"",AO760/S760)</f>
        <v/>
      </c>
      <c r="AR760" s="33" t="str">
        <f aca="false">IF(A760="","",IF(COUNT(AF760:AJ760)=0,"",SUM(AF760:AJ760)))</f>
        <v/>
      </c>
      <c r="AS760" s="34" t="str">
        <f aca="false">IF(OR(AR760="",N(AO760)=0),"",AR760/AO760)</f>
        <v/>
      </c>
      <c r="AT760" s="34" t="str">
        <f aca="false">IF(OR(AR760="",N(AC760)=0),"",AR760/AC760)</f>
        <v/>
      </c>
      <c r="AU760" s="34" t="str">
        <f aca="false">IF(OR(AR760="",N(S760)=0),"",AR760/S760)</f>
        <v/>
      </c>
      <c r="AV760" s="34" t="str">
        <f aca="false">IF(OR(AJ760="",N(AC760)=0),"",AJ760/AC760)</f>
        <v/>
      </c>
      <c r="AW760" s="34" t="str">
        <f aca="false">IF(OR(AH760="",N(AO760)=0),"",AH760/AO760)</f>
        <v/>
      </c>
      <c r="AX760" s="35" t="str">
        <f aca="false">IF(OR(AR760="",N(AO760)=0),"",(N(AF760)*Settings!$B$6+N(AG760)*Settings!$B$7+N(AH760)*Settings!$B$8+N(AI760)*Settings!$B$9+N(AJ760)*Settings!$B$10)/AO760*1000)</f>
        <v/>
      </c>
      <c r="AY760" s="36" t="str">
        <f aca="false">IF(AS760="","",IFERROR(AS760/AVERAGEIFS('Post Tracker'!$AS$5:$AS$1004,'Post Tracker'!$G$5:$G$1004,G760),""))</f>
        <v/>
      </c>
      <c r="AZ760" s="32"/>
      <c r="BA760" s="32"/>
      <c r="BB760" s="32"/>
      <c r="BC760" s="32"/>
      <c r="BD760" s="33" t="str">
        <f aca="false">IF(A760="","",COUNTIFS('Demo Pipeline'!$Q$5:$Q$504,A760))</f>
        <v/>
      </c>
      <c r="BE760" s="33" t="str">
        <f aca="false">IF(A760="","",COUNTIFS('Demo Pipeline'!$Q$5:$Q$504,A760,'Demo Pipeline'!$W$5:$W$504,"Attended"))</f>
        <v/>
      </c>
      <c r="BF760" s="33" t="str">
        <f aca="false">IF(A760="","",COUNTIFS('Demo Pipeline'!$Q$5:$Q$504,A760,'Demo Pipeline'!$X$5:$X$504,"Yes"))</f>
        <v/>
      </c>
      <c r="BG760" s="33" t="str">
        <f aca="false">IF(A760="","",COUNTIFS('Demo Pipeline'!$Q$5:$Q$504,A760,'Demo Pipeline'!$Y$5:$Y$504,"Closed Won"))</f>
        <v/>
      </c>
      <c r="BH760" s="37" t="str">
        <f aca="false">IF(A760="","",SUMIFS('Demo Pipeline'!$Z$5:$Z$504,'Demo Pipeline'!$Q$5:$Q$504,A760))</f>
        <v/>
      </c>
      <c r="BI760" s="34" t="str">
        <f aca="false">IF(OR(AZ760="",N(AJ760)=0),"",AZ760/AJ760)</f>
        <v/>
      </c>
      <c r="BJ760" s="34" t="str">
        <f aca="false">IF(OR(BB760="",N(AZ760)=0),"",BB760/AZ760)</f>
        <v/>
      </c>
      <c r="BK760" s="34" t="str">
        <f aca="false">IF(OR(A760="",N(BB760)=0),"",BD760/BB760)</f>
        <v/>
      </c>
      <c r="BL760" s="34" t="str">
        <f aca="false">IF(OR(A760="",N(AZ760)=0),"",BD760/AZ760)</f>
        <v/>
      </c>
      <c r="BM760" s="37" t="str">
        <f aca="false">IF(OR(N(Q760)=0,N(BD760)=0),"",Q760/BD760)</f>
        <v/>
      </c>
      <c r="BN760" s="29"/>
      <c r="BO760" s="29"/>
      <c r="BP760" s="33" t="str">
        <f aca="false">IF(OR(AR760="",N(AO760)=0),"",AR760)</f>
        <v/>
      </c>
      <c r="BQ760" s="33" t="str">
        <f aca="false">IF(OR(AR760="",N(S760)=0),"",S760)</f>
        <v/>
      </c>
      <c r="BR760" s="38" t="str">
        <f aca="false">IF(AND(ISNUMBER(B760),B760&gt;=Dashboard!$C$4,B760&lt;=Dashboard!$F$4,ISNUMBER(AU760)),AU760+ROW()/10^9,"")</f>
        <v/>
      </c>
      <c r="BS760" s="38" t="str">
        <f aca="false">IF(AND(ISNUMBER(B760),B760&gt;=Dashboard!$C$4,B760&lt;=Dashboard!$F$4,A760&lt;&gt;""),N(BD760)+N(AU760)/100+ROW()/10^9,"")</f>
        <v/>
      </c>
    </row>
    <row r="761" customFormat="false" ht="15" hidden="false" customHeight="false" outlineLevel="0" collapsed="false">
      <c r="A761" s="24" t="str">
        <f aca="false">IF(OR(B761="",G761="",H761=""),"",IFERROR(INDEX(Settings!$E$5:$E$49,MATCH(G761,Settings!$D$5:$D$49,0))&amp;INDEX(Settings!$H$5:$H$47,MATCH(H761,Settings!$G$5:$G$47,0))&amp;"-"&amp;TEXT(B761,"yymmdd")&amp;"-"&amp;IF(C761="","0000",TEXT(C761,"hhmm")),"CHECK LISTS"))</f>
        <v/>
      </c>
      <c r="B761" s="39"/>
      <c r="C761" s="40"/>
      <c r="D761" s="24" t="str">
        <f aca="false">IF(B761="","",TEXT(B761,"ddd"))</f>
        <v/>
      </c>
      <c r="E761" s="27" t="str">
        <f aca="false">IF(B761="","",B761-WEEKDAY(B761,3))</f>
        <v/>
      </c>
      <c r="F761" s="24" t="str">
        <f aca="false">IF(B761="","",TEXT(B761,"yyyy-mm"))</f>
        <v/>
      </c>
      <c r="G761" s="29"/>
      <c r="H761" s="29"/>
      <c r="I761" s="29"/>
      <c r="J761" s="29"/>
      <c r="K761" s="29"/>
      <c r="L761" s="29"/>
      <c r="M761" s="29"/>
      <c r="N761" s="29"/>
      <c r="O761" s="29"/>
      <c r="P761" s="29"/>
      <c r="Q761" s="30"/>
      <c r="R761" s="29"/>
      <c r="S761" s="32"/>
      <c r="T761" s="29"/>
      <c r="U761" s="29"/>
      <c r="V761" s="24" t="str">
        <f aca="false">IF(A761="","",IFERROR(INDEX(Settings!$F$5:$F$49,MATCH(G761,Settings!$D$5:$D$49,0)),""))</f>
        <v/>
      </c>
      <c r="W761" s="24" t="str">
        <f aca="false">IF(A761="","",IF(OR(P761="",P761="Organic"),"social","paid_social"))</f>
        <v/>
      </c>
      <c r="X761" s="24" t="str">
        <f aca="false">IF(A761="","",IF(K761&lt;&gt;"",IFERROR(INDEX('Case Studies'!$C$5:$C$54,MATCH(K761,'Case Studies'!$B$5:$B$54,0))&amp;"","case-study"),IF(J761&lt;&gt;"",IFERROR(INDEX(Settings!$J$5:$J$55,MATCH(J761,Settings!$I$5:$I$55,0)),"general"),"general")))</f>
        <v/>
      </c>
      <c r="Y761" s="24" t="str">
        <f aca="false">IF(A761="","",LOWER(A761))</f>
        <v/>
      </c>
      <c r="Z761" s="24" t="str">
        <f aca="false">IF(A761="","",IF(T761="",Settings!$B$5,T761)&amp;IF(ISNUMBER(FIND("?",IF(T761="",Settings!$B$5,T761))),"&amp;","?")&amp;"utm_source="&amp;V761&amp;"&amp;utm_medium="&amp;W761&amp;"&amp;utm_campaign="&amp;X761&amp;"&amp;utm_content="&amp;Y761)</f>
        <v/>
      </c>
      <c r="AA761" s="29"/>
      <c r="AB761" s="39"/>
      <c r="AC761" s="32"/>
      <c r="AD761" s="32"/>
      <c r="AE761" s="32"/>
      <c r="AF761" s="32"/>
      <c r="AG761" s="32"/>
      <c r="AH761" s="32"/>
      <c r="AI761" s="32"/>
      <c r="AJ761" s="32"/>
      <c r="AK761" s="32"/>
      <c r="AL761" s="32"/>
      <c r="AM761" s="32"/>
      <c r="AN761" s="32"/>
      <c r="AO761" s="33" t="str">
        <f aca="false">IF(A761="","",IF(AD761&lt;&gt;"",AD761,IF(AC761&lt;&gt;"",AC761,"")))</f>
        <v/>
      </c>
      <c r="AP761" s="24" t="str">
        <f aca="false">IF(AO761="","",IF(AD761&lt;&gt;"","Reported reach","Impressions (proxy)"))</f>
        <v/>
      </c>
      <c r="AQ761" s="34" t="str">
        <f aca="false">IF(OR(AO761="",N(S761)=0),"",AO761/S761)</f>
        <v/>
      </c>
      <c r="AR761" s="33" t="str">
        <f aca="false">IF(A761="","",IF(COUNT(AF761:AJ761)=0,"",SUM(AF761:AJ761)))</f>
        <v/>
      </c>
      <c r="AS761" s="34" t="str">
        <f aca="false">IF(OR(AR761="",N(AO761)=0),"",AR761/AO761)</f>
        <v/>
      </c>
      <c r="AT761" s="34" t="str">
        <f aca="false">IF(OR(AR761="",N(AC761)=0),"",AR761/AC761)</f>
        <v/>
      </c>
      <c r="AU761" s="34" t="str">
        <f aca="false">IF(OR(AR761="",N(S761)=0),"",AR761/S761)</f>
        <v/>
      </c>
      <c r="AV761" s="34" t="str">
        <f aca="false">IF(OR(AJ761="",N(AC761)=0),"",AJ761/AC761)</f>
        <v/>
      </c>
      <c r="AW761" s="34" t="str">
        <f aca="false">IF(OR(AH761="",N(AO761)=0),"",AH761/AO761)</f>
        <v/>
      </c>
      <c r="AX761" s="35" t="str">
        <f aca="false">IF(OR(AR761="",N(AO761)=0),"",(N(AF761)*Settings!$B$6+N(AG761)*Settings!$B$7+N(AH761)*Settings!$B$8+N(AI761)*Settings!$B$9+N(AJ761)*Settings!$B$10)/AO761*1000)</f>
        <v/>
      </c>
      <c r="AY761" s="36" t="str">
        <f aca="false">IF(AS761="","",IFERROR(AS761/AVERAGEIFS('Post Tracker'!$AS$5:$AS$1004,'Post Tracker'!$G$5:$G$1004,G761),""))</f>
        <v/>
      </c>
      <c r="AZ761" s="32"/>
      <c r="BA761" s="32"/>
      <c r="BB761" s="32"/>
      <c r="BC761" s="32"/>
      <c r="BD761" s="33" t="str">
        <f aca="false">IF(A761="","",COUNTIFS('Demo Pipeline'!$Q$5:$Q$504,A761))</f>
        <v/>
      </c>
      <c r="BE761" s="33" t="str">
        <f aca="false">IF(A761="","",COUNTIFS('Demo Pipeline'!$Q$5:$Q$504,A761,'Demo Pipeline'!$W$5:$W$504,"Attended"))</f>
        <v/>
      </c>
      <c r="BF761" s="33" t="str">
        <f aca="false">IF(A761="","",COUNTIFS('Demo Pipeline'!$Q$5:$Q$504,A761,'Demo Pipeline'!$X$5:$X$504,"Yes"))</f>
        <v/>
      </c>
      <c r="BG761" s="33" t="str">
        <f aca="false">IF(A761="","",COUNTIFS('Demo Pipeline'!$Q$5:$Q$504,A761,'Demo Pipeline'!$Y$5:$Y$504,"Closed Won"))</f>
        <v/>
      </c>
      <c r="BH761" s="37" t="str">
        <f aca="false">IF(A761="","",SUMIFS('Demo Pipeline'!$Z$5:$Z$504,'Demo Pipeline'!$Q$5:$Q$504,A761))</f>
        <v/>
      </c>
      <c r="BI761" s="34" t="str">
        <f aca="false">IF(OR(AZ761="",N(AJ761)=0),"",AZ761/AJ761)</f>
        <v/>
      </c>
      <c r="BJ761" s="34" t="str">
        <f aca="false">IF(OR(BB761="",N(AZ761)=0),"",BB761/AZ761)</f>
        <v/>
      </c>
      <c r="BK761" s="34" t="str">
        <f aca="false">IF(OR(A761="",N(BB761)=0),"",BD761/BB761)</f>
        <v/>
      </c>
      <c r="BL761" s="34" t="str">
        <f aca="false">IF(OR(A761="",N(AZ761)=0),"",BD761/AZ761)</f>
        <v/>
      </c>
      <c r="BM761" s="37" t="str">
        <f aca="false">IF(OR(N(Q761)=0,N(BD761)=0),"",Q761/BD761)</f>
        <v/>
      </c>
      <c r="BN761" s="29"/>
      <c r="BO761" s="29"/>
      <c r="BP761" s="33" t="str">
        <f aca="false">IF(OR(AR761="",N(AO761)=0),"",AR761)</f>
        <v/>
      </c>
      <c r="BQ761" s="33" t="str">
        <f aca="false">IF(OR(AR761="",N(S761)=0),"",S761)</f>
        <v/>
      </c>
      <c r="BR761" s="38" t="str">
        <f aca="false">IF(AND(ISNUMBER(B761),B761&gt;=Dashboard!$C$4,B761&lt;=Dashboard!$F$4,ISNUMBER(AU761)),AU761+ROW()/10^9,"")</f>
        <v/>
      </c>
      <c r="BS761" s="38" t="str">
        <f aca="false">IF(AND(ISNUMBER(B761),B761&gt;=Dashboard!$C$4,B761&lt;=Dashboard!$F$4,A761&lt;&gt;""),N(BD761)+N(AU761)/100+ROW()/10^9,"")</f>
        <v/>
      </c>
    </row>
    <row r="762" customFormat="false" ht="15" hidden="false" customHeight="false" outlineLevel="0" collapsed="false">
      <c r="A762" s="24" t="str">
        <f aca="false">IF(OR(B762="",G762="",H762=""),"",IFERROR(INDEX(Settings!$E$5:$E$49,MATCH(G762,Settings!$D$5:$D$49,0))&amp;INDEX(Settings!$H$5:$H$47,MATCH(H762,Settings!$G$5:$G$47,0))&amp;"-"&amp;TEXT(B762,"yymmdd")&amp;"-"&amp;IF(C762="","0000",TEXT(C762,"hhmm")),"CHECK LISTS"))</f>
        <v/>
      </c>
      <c r="B762" s="39"/>
      <c r="C762" s="40"/>
      <c r="D762" s="24" t="str">
        <f aca="false">IF(B762="","",TEXT(B762,"ddd"))</f>
        <v/>
      </c>
      <c r="E762" s="27" t="str">
        <f aca="false">IF(B762="","",B762-WEEKDAY(B762,3))</f>
        <v/>
      </c>
      <c r="F762" s="24" t="str">
        <f aca="false">IF(B762="","",TEXT(B762,"yyyy-mm"))</f>
        <v/>
      </c>
      <c r="G762" s="29"/>
      <c r="H762" s="29"/>
      <c r="I762" s="29"/>
      <c r="J762" s="29"/>
      <c r="K762" s="29"/>
      <c r="L762" s="29"/>
      <c r="M762" s="29"/>
      <c r="N762" s="29"/>
      <c r="O762" s="29"/>
      <c r="P762" s="29"/>
      <c r="Q762" s="30"/>
      <c r="R762" s="29"/>
      <c r="S762" s="32"/>
      <c r="T762" s="29"/>
      <c r="U762" s="29"/>
      <c r="V762" s="24" t="str">
        <f aca="false">IF(A762="","",IFERROR(INDEX(Settings!$F$5:$F$49,MATCH(G762,Settings!$D$5:$D$49,0)),""))</f>
        <v/>
      </c>
      <c r="W762" s="24" t="str">
        <f aca="false">IF(A762="","",IF(OR(P762="",P762="Organic"),"social","paid_social"))</f>
        <v/>
      </c>
      <c r="X762" s="24" t="str">
        <f aca="false">IF(A762="","",IF(K762&lt;&gt;"",IFERROR(INDEX('Case Studies'!$C$5:$C$54,MATCH(K762,'Case Studies'!$B$5:$B$54,0))&amp;"","case-study"),IF(J762&lt;&gt;"",IFERROR(INDEX(Settings!$J$5:$J$55,MATCH(J762,Settings!$I$5:$I$55,0)),"general"),"general")))</f>
        <v/>
      </c>
      <c r="Y762" s="24" t="str">
        <f aca="false">IF(A762="","",LOWER(A762))</f>
        <v/>
      </c>
      <c r="Z762" s="24" t="str">
        <f aca="false">IF(A762="","",IF(T762="",Settings!$B$5,T762)&amp;IF(ISNUMBER(FIND("?",IF(T762="",Settings!$B$5,T762))),"&amp;","?")&amp;"utm_source="&amp;V762&amp;"&amp;utm_medium="&amp;W762&amp;"&amp;utm_campaign="&amp;X762&amp;"&amp;utm_content="&amp;Y762)</f>
        <v/>
      </c>
      <c r="AA762" s="29"/>
      <c r="AB762" s="39"/>
      <c r="AC762" s="32"/>
      <c r="AD762" s="32"/>
      <c r="AE762" s="32"/>
      <c r="AF762" s="32"/>
      <c r="AG762" s="32"/>
      <c r="AH762" s="32"/>
      <c r="AI762" s="32"/>
      <c r="AJ762" s="32"/>
      <c r="AK762" s="32"/>
      <c r="AL762" s="32"/>
      <c r="AM762" s="32"/>
      <c r="AN762" s="32"/>
      <c r="AO762" s="33" t="str">
        <f aca="false">IF(A762="","",IF(AD762&lt;&gt;"",AD762,IF(AC762&lt;&gt;"",AC762,"")))</f>
        <v/>
      </c>
      <c r="AP762" s="24" t="str">
        <f aca="false">IF(AO762="","",IF(AD762&lt;&gt;"","Reported reach","Impressions (proxy)"))</f>
        <v/>
      </c>
      <c r="AQ762" s="34" t="str">
        <f aca="false">IF(OR(AO762="",N(S762)=0),"",AO762/S762)</f>
        <v/>
      </c>
      <c r="AR762" s="33" t="str">
        <f aca="false">IF(A762="","",IF(COUNT(AF762:AJ762)=0,"",SUM(AF762:AJ762)))</f>
        <v/>
      </c>
      <c r="AS762" s="34" t="str">
        <f aca="false">IF(OR(AR762="",N(AO762)=0),"",AR762/AO762)</f>
        <v/>
      </c>
      <c r="AT762" s="34" t="str">
        <f aca="false">IF(OR(AR762="",N(AC762)=0),"",AR762/AC762)</f>
        <v/>
      </c>
      <c r="AU762" s="34" t="str">
        <f aca="false">IF(OR(AR762="",N(S762)=0),"",AR762/S762)</f>
        <v/>
      </c>
      <c r="AV762" s="34" t="str">
        <f aca="false">IF(OR(AJ762="",N(AC762)=0),"",AJ762/AC762)</f>
        <v/>
      </c>
      <c r="AW762" s="34" t="str">
        <f aca="false">IF(OR(AH762="",N(AO762)=0),"",AH762/AO762)</f>
        <v/>
      </c>
      <c r="AX762" s="35" t="str">
        <f aca="false">IF(OR(AR762="",N(AO762)=0),"",(N(AF762)*Settings!$B$6+N(AG762)*Settings!$B$7+N(AH762)*Settings!$B$8+N(AI762)*Settings!$B$9+N(AJ762)*Settings!$B$10)/AO762*1000)</f>
        <v/>
      </c>
      <c r="AY762" s="36" t="str">
        <f aca="false">IF(AS762="","",IFERROR(AS762/AVERAGEIFS('Post Tracker'!$AS$5:$AS$1004,'Post Tracker'!$G$5:$G$1004,G762),""))</f>
        <v/>
      </c>
      <c r="AZ762" s="32"/>
      <c r="BA762" s="32"/>
      <c r="BB762" s="32"/>
      <c r="BC762" s="32"/>
      <c r="BD762" s="33" t="str">
        <f aca="false">IF(A762="","",COUNTIFS('Demo Pipeline'!$Q$5:$Q$504,A762))</f>
        <v/>
      </c>
      <c r="BE762" s="33" t="str">
        <f aca="false">IF(A762="","",COUNTIFS('Demo Pipeline'!$Q$5:$Q$504,A762,'Demo Pipeline'!$W$5:$W$504,"Attended"))</f>
        <v/>
      </c>
      <c r="BF762" s="33" t="str">
        <f aca="false">IF(A762="","",COUNTIFS('Demo Pipeline'!$Q$5:$Q$504,A762,'Demo Pipeline'!$X$5:$X$504,"Yes"))</f>
        <v/>
      </c>
      <c r="BG762" s="33" t="str">
        <f aca="false">IF(A762="","",COUNTIFS('Demo Pipeline'!$Q$5:$Q$504,A762,'Demo Pipeline'!$Y$5:$Y$504,"Closed Won"))</f>
        <v/>
      </c>
      <c r="BH762" s="37" t="str">
        <f aca="false">IF(A762="","",SUMIFS('Demo Pipeline'!$Z$5:$Z$504,'Demo Pipeline'!$Q$5:$Q$504,A762))</f>
        <v/>
      </c>
      <c r="BI762" s="34" t="str">
        <f aca="false">IF(OR(AZ762="",N(AJ762)=0),"",AZ762/AJ762)</f>
        <v/>
      </c>
      <c r="BJ762" s="34" t="str">
        <f aca="false">IF(OR(BB762="",N(AZ762)=0),"",BB762/AZ762)</f>
        <v/>
      </c>
      <c r="BK762" s="34" t="str">
        <f aca="false">IF(OR(A762="",N(BB762)=0),"",BD762/BB762)</f>
        <v/>
      </c>
      <c r="BL762" s="34" t="str">
        <f aca="false">IF(OR(A762="",N(AZ762)=0),"",BD762/AZ762)</f>
        <v/>
      </c>
      <c r="BM762" s="37" t="str">
        <f aca="false">IF(OR(N(Q762)=0,N(BD762)=0),"",Q762/BD762)</f>
        <v/>
      </c>
      <c r="BN762" s="29"/>
      <c r="BO762" s="29"/>
      <c r="BP762" s="33" t="str">
        <f aca="false">IF(OR(AR762="",N(AO762)=0),"",AR762)</f>
        <v/>
      </c>
      <c r="BQ762" s="33" t="str">
        <f aca="false">IF(OR(AR762="",N(S762)=0),"",S762)</f>
        <v/>
      </c>
      <c r="BR762" s="38" t="str">
        <f aca="false">IF(AND(ISNUMBER(B762),B762&gt;=Dashboard!$C$4,B762&lt;=Dashboard!$F$4,ISNUMBER(AU762)),AU762+ROW()/10^9,"")</f>
        <v/>
      </c>
      <c r="BS762" s="38" t="str">
        <f aca="false">IF(AND(ISNUMBER(B762),B762&gt;=Dashboard!$C$4,B762&lt;=Dashboard!$F$4,A762&lt;&gt;""),N(BD762)+N(AU762)/100+ROW()/10^9,"")</f>
        <v/>
      </c>
    </row>
    <row r="763" customFormat="false" ht="15" hidden="false" customHeight="false" outlineLevel="0" collapsed="false">
      <c r="A763" s="24" t="str">
        <f aca="false">IF(OR(B763="",G763="",H763=""),"",IFERROR(INDEX(Settings!$E$5:$E$49,MATCH(G763,Settings!$D$5:$D$49,0))&amp;INDEX(Settings!$H$5:$H$47,MATCH(H763,Settings!$G$5:$G$47,0))&amp;"-"&amp;TEXT(B763,"yymmdd")&amp;"-"&amp;IF(C763="","0000",TEXT(C763,"hhmm")),"CHECK LISTS"))</f>
        <v/>
      </c>
      <c r="B763" s="39"/>
      <c r="C763" s="40"/>
      <c r="D763" s="24" t="str">
        <f aca="false">IF(B763="","",TEXT(B763,"ddd"))</f>
        <v/>
      </c>
      <c r="E763" s="27" t="str">
        <f aca="false">IF(B763="","",B763-WEEKDAY(B763,3))</f>
        <v/>
      </c>
      <c r="F763" s="24" t="str">
        <f aca="false">IF(B763="","",TEXT(B763,"yyyy-mm"))</f>
        <v/>
      </c>
      <c r="G763" s="29"/>
      <c r="H763" s="29"/>
      <c r="I763" s="29"/>
      <c r="J763" s="29"/>
      <c r="K763" s="29"/>
      <c r="L763" s="29"/>
      <c r="M763" s="29"/>
      <c r="N763" s="29"/>
      <c r="O763" s="29"/>
      <c r="P763" s="29"/>
      <c r="Q763" s="30"/>
      <c r="R763" s="29"/>
      <c r="S763" s="32"/>
      <c r="T763" s="29"/>
      <c r="U763" s="29"/>
      <c r="V763" s="24" t="str">
        <f aca="false">IF(A763="","",IFERROR(INDEX(Settings!$F$5:$F$49,MATCH(G763,Settings!$D$5:$D$49,0)),""))</f>
        <v/>
      </c>
      <c r="W763" s="24" t="str">
        <f aca="false">IF(A763="","",IF(OR(P763="",P763="Organic"),"social","paid_social"))</f>
        <v/>
      </c>
      <c r="X763" s="24" t="str">
        <f aca="false">IF(A763="","",IF(K763&lt;&gt;"",IFERROR(INDEX('Case Studies'!$C$5:$C$54,MATCH(K763,'Case Studies'!$B$5:$B$54,0))&amp;"","case-study"),IF(J763&lt;&gt;"",IFERROR(INDEX(Settings!$J$5:$J$55,MATCH(J763,Settings!$I$5:$I$55,0)),"general"),"general")))</f>
        <v/>
      </c>
      <c r="Y763" s="24" t="str">
        <f aca="false">IF(A763="","",LOWER(A763))</f>
        <v/>
      </c>
      <c r="Z763" s="24" t="str">
        <f aca="false">IF(A763="","",IF(T763="",Settings!$B$5,T763)&amp;IF(ISNUMBER(FIND("?",IF(T763="",Settings!$B$5,T763))),"&amp;","?")&amp;"utm_source="&amp;V763&amp;"&amp;utm_medium="&amp;W763&amp;"&amp;utm_campaign="&amp;X763&amp;"&amp;utm_content="&amp;Y763)</f>
        <v/>
      </c>
      <c r="AA763" s="29"/>
      <c r="AB763" s="39"/>
      <c r="AC763" s="32"/>
      <c r="AD763" s="32"/>
      <c r="AE763" s="32"/>
      <c r="AF763" s="32"/>
      <c r="AG763" s="32"/>
      <c r="AH763" s="32"/>
      <c r="AI763" s="32"/>
      <c r="AJ763" s="32"/>
      <c r="AK763" s="32"/>
      <c r="AL763" s="32"/>
      <c r="AM763" s="32"/>
      <c r="AN763" s="32"/>
      <c r="AO763" s="33" t="str">
        <f aca="false">IF(A763="","",IF(AD763&lt;&gt;"",AD763,IF(AC763&lt;&gt;"",AC763,"")))</f>
        <v/>
      </c>
      <c r="AP763" s="24" t="str">
        <f aca="false">IF(AO763="","",IF(AD763&lt;&gt;"","Reported reach","Impressions (proxy)"))</f>
        <v/>
      </c>
      <c r="AQ763" s="34" t="str">
        <f aca="false">IF(OR(AO763="",N(S763)=0),"",AO763/S763)</f>
        <v/>
      </c>
      <c r="AR763" s="33" t="str">
        <f aca="false">IF(A763="","",IF(COUNT(AF763:AJ763)=0,"",SUM(AF763:AJ763)))</f>
        <v/>
      </c>
      <c r="AS763" s="34" t="str">
        <f aca="false">IF(OR(AR763="",N(AO763)=0),"",AR763/AO763)</f>
        <v/>
      </c>
      <c r="AT763" s="34" t="str">
        <f aca="false">IF(OR(AR763="",N(AC763)=0),"",AR763/AC763)</f>
        <v/>
      </c>
      <c r="AU763" s="34" t="str">
        <f aca="false">IF(OR(AR763="",N(S763)=0),"",AR763/S763)</f>
        <v/>
      </c>
      <c r="AV763" s="34" t="str">
        <f aca="false">IF(OR(AJ763="",N(AC763)=0),"",AJ763/AC763)</f>
        <v/>
      </c>
      <c r="AW763" s="34" t="str">
        <f aca="false">IF(OR(AH763="",N(AO763)=0),"",AH763/AO763)</f>
        <v/>
      </c>
      <c r="AX763" s="35" t="str">
        <f aca="false">IF(OR(AR763="",N(AO763)=0),"",(N(AF763)*Settings!$B$6+N(AG763)*Settings!$B$7+N(AH763)*Settings!$B$8+N(AI763)*Settings!$B$9+N(AJ763)*Settings!$B$10)/AO763*1000)</f>
        <v/>
      </c>
      <c r="AY763" s="36" t="str">
        <f aca="false">IF(AS763="","",IFERROR(AS763/AVERAGEIFS('Post Tracker'!$AS$5:$AS$1004,'Post Tracker'!$G$5:$G$1004,G763),""))</f>
        <v/>
      </c>
      <c r="AZ763" s="32"/>
      <c r="BA763" s="32"/>
      <c r="BB763" s="32"/>
      <c r="BC763" s="32"/>
      <c r="BD763" s="33" t="str">
        <f aca="false">IF(A763="","",COUNTIFS('Demo Pipeline'!$Q$5:$Q$504,A763))</f>
        <v/>
      </c>
      <c r="BE763" s="33" t="str">
        <f aca="false">IF(A763="","",COUNTIFS('Demo Pipeline'!$Q$5:$Q$504,A763,'Demo Pipeline'!$W$5:$W$504,"Attended"))</f>
        <v/>
      </c>
      <c r="BF763" s="33" t="str">
        <f aca="false">IF(A763="","",COUNTIFS('Demo Pipeline'!$Q$5:$Q$504,A763,'Demo Pipeline'!$X$5:$X$504,"Yes"))</f>
        <v/>
      </c>
      <c r="BG763" s="33" t="str">
        <f aca="false">IF(A763="","",COUNTIFS('Demo Pipeline'!$Q$5:$Q$504,A763,'Demo Pipeline'!$Y$5:$Y$504,"Closed Won"))</f>
        <v/>
      </c>
      <c r="BH763" s="37" t="str">
        <f aca="false">IF(A763="","",SUMIFS('Demo Pipeline'!$Z$5:$Z$504,'Demo Pipeline'!$Q$5:$Q$504,A763))</f>
        <v/>
      </c>
      <c r="BI763" s="34" t="str">
        <f aca="false">IF(OR(AZ763="",N(AJ763)=0),"",AZ763/AJ763)</f>
        <v/>
      </c>
      <c r="BJ763" s="34" t="str">
        <f aca="false">IF(OR(BB763="",N(AZ763)=0),"",BB763/AZ763)</f>
        <v/>
      </c>
      <c r="BK763" s="34" t="str">
        <f aca="false">IF(OR(A763="",N(BB763)=0),"",BD763/BB763)</f>
        <v/>
      </c>
      <c r="BL763" s="34" t="str">
        <f aca="false">IF(OR(A763="",N(AZ763)=0),"",BD763/AZ763)</f>
        <v/>
      </c>
      <c r="BM763" s="37" t="str">
        <f aca="false">IF(OR(N(Q763)=0,N(BD763)=0),"",Q763/BD763)</f>
        <v/>
      </c>
      <c r="BN763" s="29"/>
      <c r="BO763" s="29"/>
      <c r="BP763" s="33" t="str">
        <f aca="false">IF(OR(AR763="",N(AO763)=0),"",AR763)</f>
        <v/>
      </c>
      <c r="BQ763" s="33" t="str">
        <f aca="false">IF(OR(AR763="",N(S763)=0),"",S763)</f>
        <v/>
      </c>
      <c r="BR763" s="38" t="str">
        <f aca="false">IF(AND(ISNUMBER(B763),B763&gt;=Dashboard!$C$4,B763&lt;=Dashboard!$F$4,ISNUMBER(AU763)),AU763+ROW()/10^9,"")</f>
        <v/>
      </c>
      <c r="BS763" s="38" t="str">
        <f aca="false">IF(AND(ISNUMBER(B763),B763&gt;=Dashboard!$C$4,B763&lt;=Dashboard!$F$4,A763&lt;&gt;""),N(BD763)+N(AU763)/100+ROW()/10^9,"")</f>
        <v/>
      </c>
    </row>
    <row r="764" customFormat="false" ht="15" hidden="false" customHeight="false" outlineLevel="0" collapsed="false">
      <c r="A764" s="24" t="str">
        <f aca="false">IF(OR(B764="",G764="",H764=""),"",IFERROR(INDEX(Settings!$E$5:$E$49,MATCH(G764,Settings!$D$5:$D$49,0))&amp;INDEX(Settings!$H$5:$H$47,MATCH(H764,Settings!$G$5:$G$47,0))&amp;"-"&amp;TEXT(B764,"yymmdd")&amp;"-"&amp;IF(C764="","0000",TEXT(C764,"hhmm")),"CHECK LISTS"))</f>
        <v/>
      </c>
      <c r="B764" s="39"/>
      <c r="C764" s="40"/>
      <c r="D764" s="24" t="str">
        <f aca="false">IF(B764="","",TEXT(B764,"ddd"))</f>
        <v/>
      </c>
      <c r="E764" s="27" t="str">
        <f aca="false">IF(B764="","",B764-WEEKDAY(B764,3))</f>
        <v/>
      </c>
      <c r="F764" s="24" t="str">
        <f aca="false">IF(B764="","",TEXT(B764,"yyyy-mm"))</f>
        <v/>
      </c>
      <c r="G764" s="29"/>
      <c r="H764" s="29"/>
      <c r="I764" s="29"/>
      <c r="J764" s="29"/>
      <c r="K764" s="29"/>
      <c r="L764" s="29"/>
      <c r="M764" s="29"/>
      <c r="N764" s="29"/>
      <c r="O764" s="29"/>
      <c r="P764" s="29"/>
      <c r="Q764" s="30"/>
      <c r="R764" s="29"/>
      <c r="S764" s="32"/>
      <c r="T764" s="29"/>
      <c r="U764" s="29"/>
      <c r="V764" s="24" t="str">
        <f aca="false">IF(A764="","",IFERROR(INDEX(Settings!$F$5:$F$49,MATCH(G764,Settings!$D$5:$D$49,0)),""))</f>
        <v/>
      </c>
      <c r="W764" s="24" t="str">
        <f aca="false">IF(A764="","",IF(OR(P764="",P764="Organic"),"social","paid_social"))</f>
        <v/>
      </c>
      <c r="X764" s="24" t="str">
        <f aca="false">IF(A764="","",IF(K764&lt;&gt;"",IFERROR(INDEX('Case Studies'!$C$5:$C$54,MATCH(K764,'Case Studies'!$B$5:$B$54,0))&amp;"","case-study"),IF(J764&lt;&gt;"",IFERROR(INDEX(Settings!$J$5:$J$55,MATCH(J764,Settings!$I$5:$I$55,0)),"general"),"general")))</f>
        <v/>
      </c>
      <c r="Y764" s="24" t="str">
        <f aca="false">IF(A764="","",LOWER(A764))</f>
        <v/>
      </c>
      <c r="Z764" s="24" t="str">
        <f aca="false">IF(A764="","",IF(T764="",Settings!$B$5,T764)&amp;IF(ISNUMBER(FIND("?",IF(T764="",Settings!$B$5,T764))),"&amp;","?")&amp;"utm_source="&amp;V764&amp;"&amp;utm_medium="&amp;W764&amp;"&amp;utm_campaign="&amp;X764&amp;"&amp;utm_content="&amp;Y764)</f>
        <v/>
      </c>
      <c r="AA764" s="29"/>
      <c r="AB764" s="39"/>
      <c r="AC764" s="32"/>
      <c r="AD764" s="32"/>
      <c r="AE764" s="32"/>
      <c r="AF764" s="32"/>
      <c r="AG764" s="32"/>
      <c r="AH764" s="32"/>
      <c r="AI764" s="32"/>
      <c r="AJ764" s="32"/>
      <c r="AK764" s="32"/>
      <c r="AL764" s="32"/>
      <c r="AM764" s="32"/>
      <c r="AN764" s="32"/>
      <c r="AO764" s="33" t="str">
        <f aca="false">IF(A764="","",IF(AD764&lt;&gt;"",AD764,IF(AC764&lt;&gt;"",AC764,"")))</f>
        <v/>
      </c>
      <c r="AP764" s="24" t="str">
        <f aca="false">IF(AO764="","",IF(AD764&lt;&gt;"","Reported reach","Impressions (proxy)"))</f>
        <v/>
      </c>
      <c r="AQ764" s="34" t="str">
        <f aca="false">IF(OR(AO764="",N(S764)=0),"",AO764/S764)</f>
        <v/>
      </c>
      <c r="AR764" s="33" t="str">
        <f aca="false">IF(A764="","",IF(COUNT(AF764:AJ764)=0,"",SUM(AF764:AJ764)))</f>
        <v/>
      </c>
      <c r="AS764" s="34" t="str">
        <f aca="false">IF(OR(AR764="",N(AO764)=0),"",AR764/AO764)</f>
        <v/>
      </c>
      <c r="AT764" s="34" t="str">
        <f aca="false">IF(OR(AR764="",N(AC764)=0),"",AR764/AC764)</f>
        <v/>
      </c>
      <c r="AU764" s="34" t="str">
        <f aca="false">IF(OR(AR764="",N(S764)=0),"",AR764/S764)</f>
        <v/>
      </c>
      <c r="AV764" s="34" t="str">
        <f aca="false">IF(OR(AJ764="",N(AC764)=0),"",AJ764/AC764)</f>
        <v/>
      </c>
      <c r="AW764" s="34" t="str">
        <f aca="false">IF(OR(AH764="",N(AO764)=0),"",AH764/AO764)</f>
        <v/>
      </c>
      <c r="AX764" s="35" t="str">
        <f aca="false">IF(OR(AR764="",N(AO764)=0),"",(N(AF764)*Settings!$B$6+N(AG764)*Settings!$B$7+N(AH764)*Settings!$B$8+N(AI764)*Settings!$B$9+N(AJ764)*Settings!$B$10)/AO764*1000)</f>
        <v/>
      </c>
      <c r="AY764" s="36" t="str">
        <f aca="false">IF(AS764="","",IFERROR(AS764/AVERAGEIFS('Post Tracker'!$AS$5:$AS$1004,'Post Tracker'!$G$5:$G$1004,G764),""))</f>
        <v/>
      </c>
      <c r="AZ764" s="32"/>
      <c r="BA764" s="32"/>
      <c r="BB764" s="32"/>
      <c r="BC764" s="32"/>
      <c r="BD764" s="33" t="str">
        <f aca="false">IF(A764="","",COUNTIFS('Demo Pipeline'!$Q$5:$Q$504,A764))</f>
        <v/>
      </c>
      <c r="BE764" s="33" t="str">
        <f aca="false">IF(A764="","",COUNTIFS('Demo Pipeline'!$Q$5:$Q$504,A764,'Demo Pipeline'!$W$5:$W$504,"Attended"))</f>
        <v/>
      </c>
      <c r="BF764" s="33" t="str">
        <f aca="false">IF(A764="","",COUNTIFS('Demo Pipeline'!$Q$5:$Q$504,A764,'Demo Pipeline'!$X$5:$X$504,"Yes"))</f>
        <v/>
      </c>
      <c r="BG764" s="33" t="str">
        <f aca="false">IF(A764="","",COUNTIFS('Demo Pipeline'!$Q$5:$Q$504,A764,'Demo Pipeline'!$Y$5:$Y$504,"Closed Won"))</f>
        <v/>
      </c>
      <c r="BH764" s="37" t="str">
        <f aca="false">IF(A764="","",SUMIFS('Demo Pipeline'!$Z$5:$Z$504,'Demo Pipeline'!$Q$5:$Q$504,A764))</f>
        <v/>
      </c>
      <c r="BI764" s="34" t="str">
        <f aca="false">IF(OR(AZ764="",N(AJ764)=0),"",AZ764/AJ764)</f>
        <v/>
      </c>
      <c r="BJ764" s="34" t="str">
        <f aca="false">IF(OR(BB764="",N(AZ764)=0),"",BB764/AZ764)</f>
        <v/>
      </c>
      <c r="BK764" s="34" t="str">
        <f aca="false">IF(OR(A764="",N(BB764)=0),"",BD764/BB764)</f>
        <v/>
      </c>
      <c r="BL764" s="34" t="str">
        <f aca="false">IF(OR(A764="",N(AZ764)=0),"",BD764/AZ764)</f>
        <v/>
      </c>
      <c r="BM764" s="37" t="str">
        <f aca="false">IF(OR(N(Q764)=0,N(BD764)=0),"",Q764/BD764)</f>
        <v/>
      </c>
      <c r="BN764" s="29"/>
      <c r="BO764" s="29"/>
      <c r="BP764" s="33" t="str">
        <f aca="false">IF(OR(AR764="",N(AO764)=0),"",AR764)</f>
        <v/>
      </c>
      <c r="BQ764" s="33" t="str">
        <f aca="false">IF(OR(AR764="",N(S764)=0),"",S764)</f>
        <v/>
      </c>
      <c r="BR764" s="38" t="str">
        <f aca="false">IF(AND(ISNUMBER(B764),B764&gt;=Dashboard!$C$4,B764&lt;=Dashboard!$F$4,ISNUMBER(AU764)),AU764+ROW()/10^9,"")</f>
        <v/>
      </c>
      <c r="BS764" s="38" t="str">
        <f aca="false">IF(AND(ISNUMBER(B764),B764&gt;=Dashboard!$C$4,B764&lt;=Dashboard!$F$4,A764&lt;&gt;""),N(BD764)+N(AU764)/100+ROW()/10^9,"")</f>
        <v/>
      </c>
    </row>
    <row r="765" customFormat="false" ht="15" hidden="false" customHeight="false" outlineLevel="0" collapsed="false">
      <c r="A765" s="24" t="str">
        <f aca="false">IF(OR(B765="",G765="",H765=""),"",IFERROR(INDEX(Settings!$E$5:$E$49,MATCH(G765,Settings!$D$5:$D$49,0))&amp;INDEX(Settings!$H$5:$H$47,MATCH(H765,Settings!$G$5:$G$47,0))&amp;"-"&amp;TEXT(B765,"yymmdd")&amp;"-"&amp;IF(C765="","0000",TEXT(C765,"hhmm")),"CHECK LISTS"))</f>
        <v/>
      </c>
      <c r="B765" s="39"/>
      <c r="C765" s="40"/>
      <c r="D765" s="24" t="str">
        <f aca="false">IF(B765="","",TEXT(B765,"ddd"))</f>
        <v/>
      </c>
      <c r="E765" s="27" t="str">
        <f aca="false">IF(B765="","",B765-WEEKDAY(B765,3))</f>
        <v/>
      </c>
      <c r="F765" s="24" t="str">
        <f aca="false">IF(B765="","",TEXT(B765,"yyyy-mm"))</f>
        <v/>
      </c>
      <c r="G765" s="29"/>
      <c r="H765" s="29"/>
      <c r="I765" s="29"/>
      <c r="J765" s="29"/>
      <c r="K765" s="29"/>
      <c r="L765" s="29"/>
      <c r="M765" s="29"/>
      <c r="N765" s="29"/>
      <c r="O765" s="29"/>
      <c r="P765" s="29"/>
      <c r="Q765" s="30"/>
      <c r="R765" s="29"/>
      <c r="S765" s="32"/>
      <c r="T765" s="29"/>
      <c r="U765" s="29"/>
      <c r="V765" s="24" t="str">
        <f aca="false">IF(A765="","",IFERROR(INDEX(Settings!$F$5:$F$49,MATCH(G765,Settings!$D$5:$D$49,0)),""))</f>
        <v/>
      </c>
      <c r="W765" s="24" t="str">
        <f aca="false">IF(A765="","",IF(OR(P765="",P765="Organic"),"social","paid_social"))</f>
        <v/>
      </c>
      <c r="X765" s="24" t="str">
        <f aca="false">IF(A765="","",IF(K765&lt;&gt;"",IFERROR(INDEX('Case Studies'!$C$5:$C$54,MATCH(K765,'Case Studies'!$B$5:$B$54,0))&amp;"","case-study"),IF(J765&lt;&gt;"",IFERROR(INDEX(Settings!$J$5:$J$55,MATCH(J765,Settings!$I$5:$I$55,0)),"general"),"general")))</f>
        <v/>
      </c>
      <c r="Y765" s="24" t="str">
        <f aca="false">IF(A765="","",LOWER(A765))</f>
        <v/>
      </c>
      <c r="Z765" s="24" t="str">
        <f aca="false">IF(A765="","",IF(T765="",Settings!$B$5,T765)&amp;IF(ISNUMBER(FIND("?",IF(T765="",Settings!$B$5,T765))),"&amp;","?")&amp;"utm_source="&amp;V765&amp;"&amp;utm_medium="&amp;W765&amp;"&amp;utm_campaign="&amp;X765&amp;"&amp;utm_content="&amp;Y765)</f>
        <v/>
      </c>
      <c r="AA765" s="29"/>
      <c r="AB765" s="39"/>
      <c r="AC765" s="32"/>
      <c r="AD765" s="32"/>
      <c r="AE765" s="32"/>
      <c r="AF765" s="32"/>
      <c r="AG765" s="32"/>
      <c r="AH765" s="32"/>
      <c r="AI765" s="32"/>
      <c r="AJ765" s="32"/>
      <c r="AK765" s="32"/>
      <c r="AL765" s="32"/>
      <c r="AM765" s="32"/>
      <c r="AN765" s="32"/>
      <c r="AO765" s="33" t="str">
        <f aca="false">IF(A765="","",IF(AD765&lt;&gt;"",AD765,IF(AC765&lt;&gt;"",AC765,"")))</f>
        <v/>
      </c>
      <c r="AP765" s="24" t="str">
        <f aca="false">IF(AO765="","",IF(AD765&lt;&gt;"","Reported reach","Impressions (proxy)"))</f>
        <v/>
      </c>
      <c r="AQ765" s="34" t="str">
        <f aca="false">IF(OR(AO765="",N(S765)=0),"",AO765/S765)</f>
        <v/>
      </c>
      <c r="AR765" s="33" t="str">
        <f aca="false">IF(A765="","",IF(COUNT(AF765:AJ765)=0,"",SUM(AF765:AJ765)))</f>
        <v/>
      </c>
      <c r="AS765" s="34" t="str">
        <f aca="false">IF(OR(AR765="",N(AO765)=0),"",AR765/AO765)</f>
        <v/>
      </c>
      <c r="AT765" s="34" t="str">
        <f aca="false">IF(OR(AR765="",N(AC765)=0),"",AR765/AC765)</f>
        <v/>
      </c>
      <c r="AU765" s="34" t="str">
        <f aca="false">IF(OR(AR765="",N(S765)=0),"",AR765/S765)</f>
        <v/>
      </c>
      <c r="AV765" s="34" t="str">
        <f aca="false">IF(OR(AJ765="",N(AC765)=0),"",AJ765/AC765)</f>
        <v/>
      </c>
      <c r="AW765" s="34" t="str">
        <f aca="false">IF(OR(AH765="",N(AO765)=0),"",AH765/AO765)</f>
        <v/>
      </c>
      <c r="AX765" s="35" t="str">
        <f aca="false">IF(OR(AR765="",N(AO765)=0),"",(N(AF765)*Settings!$B$6+N(AG765)*Settings!$B$7+N(AH765)*Settings!$B$8+N(AI765)*Settings!$B$9+N(AJ765)*Settings!$B$10)/AO765*1000)</f>
        <v/>
      </c>
      <c r="AY765" s="36" t="str">
        <f aca="false">IF(AS765="","",IFERROR(AS765/AVERAGEIFS('Post Tracker'!$AS$5:$AS$1004,'Post Tracker'!$G$5:$G$1004,G765),""))</f>
        <v/>
      </c>
      <c r="AZ765" s="32"/>
      <c r="BA765" s="32"/>
      <c r="BB765" s="32"/>
      <c r="BC765" s="32"/>
      <c r="BD765" s="33" t="str">
        <f aca="false">IF(A765="","",COUNTIFS('Demo Pipeline'!$Q$5:$Q$504,A765))</f>
        <v/>
      </c>
      <c r="BE765" s="33" t="str">
        <f aca="false">IF(A765="","",COUNTIFS('Demo Pipeline'!$Q$5:$Q$504,A765,'Demo Pipeline'!$W$5:$W$504,"Attended"))</f>
        <v/>
      </c>
      <c r="BF765" s="33" t="str">
        <f aca="false">IF(A765="","",COUNTIFS('Demo Pipeline'!$Q$5:$Q$504,A765,'Demo Pipeline'!$X$5:$X$504,"Yes"))</f>
        <v/>
      </c>
      <c r="BG765" s="33" t="str">
        <f aca="false">IF(A765="","",COUNTIFS('Demo Pipeline'!$Q$5:$Q$504,A765,'Demo Pipeline'!$Y$5:$Y$504,"Closed Won"))</f>
        <v/>
      </c>
      <c r="BH765" s="37" t="str">
        <f aca="false">IF(A765="","",SUMIFS('Demo Pipeline'!$Z$5:$Z$504,'Demo Pipeline'!$Q$5:$Q$504,A765))</f>
        <v/>
      </c>
      <c r="BI765" s="34" t="str">
        <f aca="false">IF(OR(AZ765="",N(AJ765)=0),"",AZ765/AJ765)</f>
        <v/>
      </c>
      <c r="BJ765" s="34" t="str">
        <f aca="false">IF(OR(BB765="",N(AZ765)=0),"",BB765/AZ765)</f>
        <v/>
      </c>
      <c r="BK765" s="34" t="str">
        <f aca="false">IF(OR(A765="",N(BB765)=0),"",BD765/BB765)</f>
        <v/>
      </c>
      <c r="BL765" s="34" t="str">
        <f aca="false">IF(OR(A765="",N(AZ765)=0),"",BD765/AZ765)</f>
        <v/>
      </c>
      <c r="BM765" s="37" t="str">
        <f aca="false">IF(OR(N(Q765)=0,N(BD765)=0),"",Q765/BD765)</f>
        <v/>
      </c>
      <c r="BN765" s="29"/>
      <c r="BO765" s="29"/>
      <c r="BP765" s="33" t="str">
        <f aca="false">IF(OR(AR765="",N(AO765)=0),"",AR765)</f>
        <v/>
      </c>
      <c r="BQ765" s="33" t="str">
        <f aca="false">IF(OR(AR765="",N(S765)=0),"",S765)</f>
        <v/>
      </c>
      <c r="BR765" s="38" t="str">
        <f aca="false">IF(AND(ISNUMBER(B765),B765&gt;=Dashboard!$C$4,B765&lt;=Dashboard!$F$4,ISNUMBER(AU765)),AU765+ROW()/10^9,"")</f>
        <v/>
      </c>
      <c r="BS765" s="38" t="str">
        <f aca="false">IF(AND(ISNUMBER(B765),B765&gt;=Dashboard!$C$4,B765&lt;=Dashboard!$F$4,A765&lt;&gt;""),N(BD765)+N(AU765)/100+ROW()/10^9,"")</f>
        <v/>
      </c>
    </row>
    <row r="766" customFormat="false" ht="15" hidden="false" customHeight="false" outlineLevel="0" collapsed="false">
      <c r="A766" s="24" t="str">
        <f aca="false">IF(OR(B766="",G766="",H766=""),"",IFERROR(INDEX(Settings!$E$5:$E$49,MATCH(G766,Settings!$D$5:$D$49,0))&amp;INDEX(Settings!$H$5:$H$47,MATCH(H766,Settings!$G$5:$G$47,0))&amp;"-"&amp;TEXT(B766,"yymmdd")&amp;"-"&amp;IF(C766="","0000",TEXT(C766,"hhmm")),"CHECK LISTS"))</f>
        <v/>
      </c>
      <c r="B766" s="39"/>
      <c r="C766" s="40"/>
      <c r="D766" s="24" t="str">
        <f aca="false">IF(B766="","",TEXT(B766,"ddd"))</f>
        <v/>
      </c>
      <c r="E766" s="27" t="str">
        <f aca="false">IF(B766="","",B766-WEEKDAY(B766,3))</f>
        <v/>
      </c>
      <c r="F766" s="24" t="str">
        <f aca="false">IF(B766="","",TEXT(B766,"yyyy-mm"))</f>
        <v/>
      </c>
      <c r="G766" s="29"/>
      <c r="H766" s="29"/>
      <c r="I766" s="29"/>
      <c r="J766" s="29"/>
      <c r="K766" s="29"/>
      <c r="L766" s="29"/>
      <c r="M766" s="29"/>
      <c r="N766" s="29"/>
      <c r="O766" s="29"/>
      <c r="P766" s="29"/>
      <c r="Q766" s="30"/>
      <c r="R766" s="29"/>
      <c r="S766" s="32"/>
      <c r="T766" s="29"/>
      <c r="U766" s="29"/>
      <c r="V766" s="24" t="str">
        <f aca="false">IF(A766="","",IFERROR(INDEX(Settings!$F$5:$F$49,MATCH(G766,Settings!$D$5:$D$49,0)),""))</f>
        <v/>
      </c>
      <c r="W766" s="24" t="str">
        <f aca="false">IF(A766="","",IF(OR(P766="",P766="Organic"),"social","paid_social"))</f>
        <v/>
      </c>
      <c r="X766" s="24" t="str">
        <f aca="false">IF(A766="","",IF(K766&lt;&gt;"",IFERROR(INDEX('Case Studies'!$C$5:$C$54,MATCH(K766,'Case Studies'!$B$5:$B$54,0))&amp;"","case-study"),IF(J766&lt;&gt;"",IFERROR(INDEX(Settings!$J$5:$J$55,MATCH(J766,Settings!$I$5:$I$55,0)),"general"),"general")))</f>
        <v/>
      </c>
      <c r="Y766" s="24" t="str">
        <f aca="false">IF(A766="","",LOWER(A766))</f>
        <v/>
      </c>
      <c r="Z766" s="24" t="str">
        <f aca="false">IF(A766="","",IF(T766="",Settings!$B$5,T766)&amp;IF(ISNUMBER(FIND("?",IF(T766="",Settings!$B$5,T766))),"&amp;","?")&amp;"utm_source="&amp;V766&amp;"&amp;utm_medium="&amp;W766&amp;"&amp;utm_campaign="&amp;X766&amp;"&amp;utm_content="&amp;Y766)</f>
        <v/>
      </c>
      <c r="AA766" s="29"/>
      <c r="AB766" s="39"/>
      <c r="AC766" s="32"/>
      <c r="AD766" s="32"/>
      <c r="AE766" s="32"/>
      <c r="AF766" s="32"/>
      <c r="AG766" s="32"/>
      <c r="AH766" s="32"/>
      <c r="AI766" s="32"/>
      <c r="AJ766" s="32"/>
      <c r="AK766" s="32"/>
      <c r="AL766" s="32"/>
      <c r="AM766" s="32"/>
      <c r="AN766" s="32"/>
      <c r="AO766" s="33" t="str">
        <f aca="false">IF(A766="","",IF(AD766&lt;&gt;"",AD766,IF(AC766&lt;&gt;"",AC766,"")))</f>
        <v/>
      </c>
      <c r="AP766" s="24" t="str">
        <f aca="false">IF(AO766="","",IF(AD766&lt;&gt;"","Reported reach","Impressions (proxy)"))</f>
        <v/>
      </c>
      <c r="AQ766" s="34" t="str">
        <f aca="false">IF(OR(AO766="",N(S766)=0),"",AO766/S766)</f>
        <v/>
      </c>
      <c r="AR766" s="33" t="str">
        <f aca="false">IF(A766="","",IF(COUNT(AF766:AJ766)=0,"",SUM(AF766:AJ766)))</f>
        <v/>
      </c>
      <c r="AS766" s="34" t="str">
        <f aca="false">IF(OR(AR766="",N(AO766)=0),"",AR766/AO766)</f>
        <v/>
      </c>
      <c r="AT766" s="34" t="str">
        <f aca="false">IF(OR(AR766="",N(AC766)=0),"",AR766/AC766)</f>
        <v/>
      </c>
      <c r="AU766" s="34" t="str">
        <f aca="false">IF(OR(AR766="",N(S766)=0),"",AR766/S766)</f>
        <v/>
      </c>
      <c r="AV766" s="34" t="str">
        <f aca="false">IF(OR(AJ766="",N(AC766)=0),"",AJ766/AC766)</f>
        <v/>
      </c>
      <c r="AW766" s="34" t="str">
        <f aca="false">IF(OR(AH766="",N(AO766)=0),"",AH766/AO766)</f>
        <v/>
      </c>
      <c r="AX766" s="35" t="str">
        <f aca="false">IF(OR(AR766="",N(AO766)=0),"",(N(AF766)*Settings!$B$6+N(AG766)*Settings!$B$7+N(AH766)*Settings!$B$8+N(AI766)*Settings!$B$9+N(AJ766)*Settings!$B$10)/AO766*1000)</f>
        <v/>
      </c>
      <c r="AY766" s="36" t="str">
        <f aca="false">IF(AS766="","",IFERROR(AS766/AVERAGEIFS('Post Tracker'!$AS$5:$AS$1004,'Post Tracker'!$G$5:$G$1004,G766),""))</f>
        <v/>
      </c>
      <c r="AZ766" s="32"/>
      <c r="BA766" s="32"/>
      <c r="BB766" s="32"/>
      <c r="BC766" s="32"/>
      <c r="BD766" s="33" t="str">
        <f aca="false">IF(A766="","",COUNTIFS('Demo Pipeline'!$Q$5:$Q$504,A766))</f>
        <v/>
      </c>
      <c r="BE766" s="33" t="str">
        <f aca="false">IF(A766="","",COUNTIFS('Demo Pipeline'!$Q$5:$Q$504,A766,'Demo Pipeline'!$W$5:$W$504,"Attended"))</f>
        <v/>
      </c>
      <c r="BF766" s="33" t="str">
        <f aca="false">IF(A766="","",COUNTIFS('Demo Pipeline'!$Q$5:$Q$504,A766,'Demo Pipeline'!$X$5:$X$504,"Yes"))</f>
        <v/>
      </c>
      <c r="BG766" s="33" t="str">
        <f aca="false">IF(A766="","",COUNTIFS('Demo Pipeline'!$Q$5:$Q$504,A766,'Demo Pipeline'!$Y$5:$Y$504,"Closed Won"))</f>
        <v/>
      </c>
      <c r="BH766" s="37" t="str">
        <f aca="false">IF(A766="","",SUMIFS('Demo Pipeline'!$Z$5:$Z$504,'Demo Pipeline'!$Q$5:$Q$504,A766))</f>
        <v/>
      </c>
      <c r="BI766" s="34" t="str">
        <f aca="false">IF(OR(AZ766="",N(AJ766)=0),"",AZ766/AJ766)</f>
        <v/>
      </c>
      <c r="BJ766" s="34" t="str">
        <f aca="false">IF(OR(BB766="",N(AZ766)=0),"",BB766/AZ766)</f>
        <v/>
      </c>
      <c r="BK766" s="34" t="str">
        <f aca="false">IF(OR(A766="",N(BB766)=0),"",BD766/BB766)</f>
        <v/>
      </c>
      <c r="BL766" s="34" t="str">
        <f aca="false">IF(OR(A766="",N(AZ766)=0),"",BD766/AZ766)</f>
        <v/>
      </c>
      <c r="BM766" s="37" t="str">
        <f aca="false">IF(OR(N(Q766)=0,N(BD766)=0),"",Q766/BD766)</f>
        <v/>
      </c>
      <c r="BN766" s="29"/>
      <c r="BO766" s="29"/>
      <c r="BP766" s="33" t="str">
        <f aca="false">IF(OR(AR766="",N(AO766)=0),"",AR766)</f>
        <v/>
      </c>
      <c r="BQ766" s="33" t="str">
        <f aca="false">IF(OR(AR766="",N(S766)=0),"",S766)</f>
        <v/>
      </c>
      <c r="BR766" s="38" t="str">
        <f aca="false">IF(AND(ISNUMBER(B766),B766&gt;=Dashboard!$C$4,B766&lt;=Dashboard!$F$4,ISNUMBER(AU766)),AU766+ROW()/10^9,"")</f>
        <v/>
      </c>
      <c r="BS766" s="38" t="str">
        <f aca="false">IF(AND(ISNUMBER(B766),B766&gt;=Dashboard!$C$4,B766&lt;=Dashboard!$F$4,A766&lt;&gt;""),N(BD766)+N(AU766)/100+ROW()/10^9,"")</f>
        <v/>
      </c>
    </row>
    <row r="767" customFormat="false" ht="15" hidden="false" customHeight="false" outlineLevel="0" collapsed="false">
      <c r="A767" s="24" t="str">
        <f aca="false">IF(OR(B767="",G767="",H767=""),"",IFERROR(INDEX(Settings!$E$5:$E$49,MATCH(G767,Settings!$D$5:$D$49,0))&amp;INDEX(Settings!$H$5:$H$47,MATCH(H767,Settings!$G$5:$G$47,0))&amp;"-"&amp;TEXT(B767,"yymmdd")&amp;"-"&amp;IF(C767="","0000",TEXT(C767,"hhmm")),"CHECK LISTS"))</f>
        <v/>
      </c>
      <c r="B767" s="39"/>
      <c r="C767" s="40"/>
      <c r="D767" s="24" t="str">
        <f aca="false">IF(B767="","",TEXT(B767,"ddd"))</f>
        <v/>
      </c>
      <c r="E767" s="27" t="str">
        <f aca="false">IF(B767="","",B767-WEEKDAY(B767,3))</f>
        <v/>
      </c>
      <c r="F767" s="24" t="str">
        <f aca="false">IF(B767="","",TEXT(B767,"yyyy-mm"))</f>
        <v/>
      </c>
      <c r="G767" s="29"/>
      <c r="H767" s="29"/>
      <c r="I767" s="29"/>
      <c r="J767" s="29"/>
      <c r="K767" s="29"/>
      <c r="L767" s="29"/>
      <c r="M767" s="29"/>
      <c r="N767" s="29"/>
      <c r="O767" s="29"/>
      <c r="P767" s="29"/>
      <c r="Q767" s="30"/>
      <c r="R767" s="29"/>
      <c r="S767" s="32"/>
      <c r="T767" s="29"/>
      <c r="U767" s="29"/>
      <c r="V767" s="24" t="str">
        <f aca="false">IF(A767="","",IFERROR(INDEX(Settings!$F$5:$F$49,MATCH(G767,Settings!$D$5:$D$49,0)),""))</f>
        <v/>
      </c>
      <c r="W767" s="24" t="str">
        <f aca="false">IF(A767="","",IF(OR(P767="",P767="Organic"),"social","paid_social"))</f>
        <v/>
      </c>
      <c r="X767" s="24" t="str">
        <f aca="false">IF(A767="","",IF(K767&lt;&gt;"",IFERROR(INDEX('Case Studies'!$C$5:$C$54,MATCH(K767,'Case Studies'!$B$5:$B$54,0))&amp;"","case-study"),IF(J767&lt;&gt;"",IFERROR(INDEX(Settings!$J$5:$J$55,MATCH(J767,Settings!$I$5:$I$55,0)),"general"),"general")))</f>
        <v/>
      </c>
      <c r="Y767" s="24" t="str">
        <f aca="false">IF(A767="","",LOWER(A767))</f>
        <v/>
      </c>
      <c r="Z767" s="24" t="str">
        <f aca="false">IF(A767="","",IF(T767="",Settings!$B$5,T767)&amp;IF(ISNUMBER(FIND("?",IF(T767="",Settings!$B$5,T767))),"&amp;","?")&amp;"utm_source="&amp;V767&amp;"&amp;utm_medium="&amp;W767&amp;"&amp;utm_campaign="&amp;X767&amp;"&amp;utm_content="&amp;Y767)</f>
        <v/>
      </c>
      <c r="AA767" s="29"/>
      <c r="AB767" s="39"/>
      <c r="AC767" s="32"/>
      <c r="AD767" s="32"/>
      <c r="AE767" s="32"/>
      <c r="AF767" s="32"/>
      <c r="AG767" s="32"/>
      <c r="AH767" s="32"/>
      <c r="AI767" s="32"/>
      <c r="AJ767" s="32"/>
      <c r="AK767" s="32"/>
      <c r="AL767" s="32"/>
      <c r="AM767" s="32"/>
      <c r="AN767" s="32"/>
      <c r="AO767" s="33" t="str">
        <f aca="false">IF(A767="","",IF(AD767&lt;&gt;"",AD767,IF(AC767&lt;&gt;"",AC767,"")))</f>
        <v/>
      </c>
      <c r="AP767" s="24" t="str">
        <f aca="false">IF(AO767="","",IF(AD767&lt;&gt;"","Reported reach","Impressions (proxy)"))</f>
        <v/>
      </c>
      <c r="AQ767" s="34" t="str">
        <f aca="false">IF(OR(AO767="",N(S767)=0),"",AO767/S767)</f>
        <v/>
      </c>
      <c r="AR767" s="33" t="str">
        <f aca="false">IF(A767="","",IF(COUNT(AF767:AJ767)=0,"",SUM(AF767:AJ767)))</f>
        <v/>
      </c>
      <c r="AS767" s="34" t="str">
        <f aca="false">IF(OR(AR767="",N(AO767)=0),"",AR767/AO767)</f>
        <v/>
      </c>
      <c r="AT767" s="34" t="str">
        <f aca="false">IF(OR(AR767="",N(AC767)=0),"",AR767/AC767)</f>
        <v/>
      </c>
      <c r="AU767" s="34" t="str">
        <f aca="false">IF(OR(AR767="",N(S767)=0),"",AR767/S767)</f>
        <v/>
      </c>
      <c r="AV767" s="34" t="str">
        <f aca="false">IF(OR(AJ767="",N(AC767)=0),"",AJ767/AC767)</f>
        <v/>
      </c>
      <c r="AW767" s="34" t="str">
        <f aca="false">IF(OR(AH767="",N(AO767)=0),"",AH767/AO767)</f>
        <v/>
      </c>
      <c r="AX767" s="35" t="str">
        <f aca="false">IF(OR(AR767="",N(AO767)=0),"",(N(AF767)*Settings!$B$6+N(AG767)*Settings!$B$7+N(AH767)*Settings!$B$8+N(AI767)*Settings!$B$9+N(AJ767)*Settings!$B$10)/AO767*1000)</f>
        <v/>
      </c>
      <c r="AY767" s="36" t="str">
        <f aca="false">IF(AS767="","",IFERROR(AS767/AVERAGEIFS('Post Tracker'!$AS$5:$AS$1004,'Post Tracker'!$G$5:$G$1004,G767),""))</f>
        <v/>
      </c>
      <c r="AZ767" s="32"/>
      <c r="BA767" s="32"/>
      <c r="BB767" s="32"/>
      <c r="BC767" s="32"/>
      <c r="BD767" s="33" t="str">
        <f aca="false">IF(A767="","",COUNTIFS('Demo Pipeline'!$Q$5:$Q$504,A767))</f>
        <v/>
      </c>
      <c r="BE767" s="33" t="str">
        <f aca="false">IF(A767="","",COUNTIFS('Demo Pipeline'!$Q$5:$Q$504,A767,'Demo Pipeline'!$W$5:$W$504,"Attended"))</f>
        <v/>
      </c>
      <c r="BF767" s="33" t="str">
        <f aca="false">IF(A767="","",COUNTIFS('Demo Pipeline'!$Q$5:$Q$504,A767,'Demo Pipeline'!$X$5:$X$504,"Yes"))</f>
        <v/>
      </c>
      <c r="BG767" s="33" t="str">
        <f aca="false">IF(A767="","",COUNTIFS('Demo Pipeline'!$Q$5:$Q$504,A767,'Demo Pipeline'!$Y$5:$Y$504,"Closed Won"))</f>
        <v/>
      </c>
      <c r="BH767" s="37" t="str">
        <f aca="false">IF(A767="","",SUMIFS('Demo Pipeline'!$Z$5:$Z$504,'Demo Pipeline'!$Q$5:$Q$504,A767))</f>
        <v/>
      </c>
      <c r="BI767" s="34" t="str">
        <f aca="false">IF(OR(AZ767="",N(AJ767)=0),"",AZ767/AJ767)</f>
        <v/>
      </c>
      <c r="BJ767" s="34" t="str">
        <f aca="false">IF(OR(BB767="",N(AZ767)=0),"",BB767/AZ767)</f>
        <v/>
      </c>
      <c r="BK767" s="34" t="str">
        <f aca="false">IF(OR(A767="",N(BB767)=0),"",BD767/BB767)</f>
        <v/>
      </c>
      <c r="BL767" s="34" t="str">
        <f aca="false">IF(OR(A767="",N(AZ767)=0),"",BD767/AZ767)</f>
        <v/>
      </c>
      <c r="BM767" s="37" t="str">
        <f aca="false">IF(OR(N(Q767)=0,N(BD767)=0),"",Q767/BD767)</f>
        <v/>
      </c>
      <c r="BN767" s="29"/>
      <c r="BO767" s="29"/>
      <c r="BP767" s="33" t="str">
        <f aca="false">IF(OR(AR767="",N(AO767)=0),"",AR767)</f>
        <v/>
      </c>
      <c r="BQ767" s="33" t="str">
        <f aca="false">IF(OR(AR767="",N(S767)=0),"",S767)</f>
        <v/>
      </c>
      <c r="BR767" s="38" t="str">
        <f aca="false">IF(AND(ISNUMBER(B767),B767&gt;=Dashboard!$C$4,B767&lt;=Dashboard!$F$4,ISNUMBER(AU767)),AU767+ROW()/10^9,"")</f>
        <v/>
      </c>
      <c r="BS767" s="38" t="str">
        <f aca="false">IF(AND(ISNUMBER(B767),B767&gt;=Dashboard!$C$4,B767&lt;=Dashboard!$F$4,A767&lt;&gt;""),N(BD767)+N(AU767)/100+ROW()/10^9,"")</f>
        <v/>
      </c>
    </row>
    <row r="768" customFormat="false" ht="15" hidden="false" customHeight="false" outlineLevel="0" collapsed="false">
      <c r="A768" s="24" t="str">
        <f aca="false">IF(OR(B768="",G768="",H768=""),"",IFERROR(INDEX(Settings!$E$5:$E$49,MATCH(G768,Settings!$D$5:$D$49,0))&amp;INDEX(Settings!$H$5:$H$47,MATCH(H768,Settings!$G$5:$G$47,0))&amp;"-"&amp;TEXT(B768,"yymmdd")&amp;"-"&amp;IF(C768="","0000",TEXT(C768,"hhmm")),"CHECK LISTS"))</f>
        <v/>
      </c>
      <c r="B768" s="39"/>
      <c r="C768" s="40"/>
      <c r="D768" s="24" t="str">
        <f aca="false">IF(B768="","",TEXT(B768,"ddd"))</f>
        <v/>
      </c>
      <c r="E768" s="27" t="str">
        <f aca="false">IF(B768="","",B768-WEEKDAY(B768,3))</f>
        <v/>
      </c>
      <c r="F768" s="24" t="str">
        <f aca="false">IF(B768="","",TEXT(B768,"yyyy-mm"))</f>
        <v/>
      </c>
      <c r="G768" s="29"/>
      <c r="H768" s="29"/>
      <c r="I768" s="29"/>
      <c r="J768" s="29"/>
      <c r="K768" s="29"/>
      <c r="L768" s="29"/>
      <c r="M768" s="29"/>
      <c r="N768" s="29"/>
      <c r="O768" s="29"/>
      <c r="P768" s="29"/>
      <c r="Q768" s="30"/>
      <c r="R768" s="29"/>
      <c r="S768" s="32"/>
      <c r="T768" s="29"/>
      <c r="U768" s="29"/>
      <c r="V768" s="24" t="str">
        <f aca="false">IF(A768="","",IFERROR(INDEX(Settings!$F$5:$F$49,MATCH(G768,Settings!$D$5:$D$49,0)),""))</f>
        <v/>
      </c>
      <c r="W768" s="24" t="str">
        <f aca="false">IF(A768="","",IF(OR(P768="",P768="Organic"),"social","paid_social"))</f>
        <v/>
      </c>
      <c r="X768" s="24" t="str">
        <f aca="false">IF(A768="","",IF(K768&lt;&gt;"",IFERROR(INDEX('Case Studies'!$C$5:$C$54,MATCH(K768,'Case Studies'!$B$5:$B$54,0))&amp;"","case-study"),IF(J768&lt;&gt;"",IFERROR(INDEX(Settings!$J$5:$J$55,MATCH(J768,Settings!$I$5:$I$55,0)),"general"),"general")))</f>
        <v/>
      </c>
      <c r="Y768" s="24" t="str">
        <f aca="false">IF(A768="","",LOWER(A768))</f>
        <v/>
      </c>
      <c r="Z768" s="24" t="str">
        <f aca="false">IF(A768="","",IF(T768="",Settings!$B$5,T768)&amp;IF(ISNUMBER(FIND("?",IF(T768="",Settings!$B$5,T768))),"&amp;","?")&amp;"utm_source="&amp;V768&amp;"&amp;utm_medium="&amp;W768&amp;"&amp;utm_campaign="&amp;X768&amp;"&amp;utm_content="&amp;Y768)</f>
        <v/>
      </c>
      <c r="AA768" s="29"/>
      <c r="AB768" s="39"/>
      <c r="AC768" s="32"/>
      <c r="AD768" s="32"/>
      <c r="AE768" s="32"/>
      <c r="AF768" s="32"/>
      <c r="AG768" s="32"/>
      <c r="AH768" s="32"/>
      <c r="AI768" s="32"/>
      <c r="AJ768" s="32"/>
      <c r="AK768" s="32"/>
      <c r="AL768" s="32"/>
      <c r="AM768" s="32"/>
      <c r="AN768" s="32"/>
      <c r="AO768" s="33" t="str">
        <f aca="false">IF(A768="","",IF(AD768&lt;&gt;"",AD768,IF(AC768&lt;&gt;"",AC768,"")))</f>
        <v/>
      </c>
      <c r="AP768" s="24" t="str">
        <f aca="false">IF(AO768="","",IF(AD768&lt;&gt;"","Reported reach","Impressions (proxy)"))</f>
        <v/>
      </c>
      <c r="AQ768" s="34" t="str">
        <f aca="false">IF(OR(AO768="",N(S768)=0),"",AO768/S768)</f>
        <v/>
      </c>
      <c r="AR768" s="33" t="str">
        <f aca="false">IF(A768="","",IF(COUNT(AF768:AJ768)=0,"",SUM(AF768:AJ768)))</f>
        <v/>
      </c>
      <c r="AS768" s="34" t="str">
        <f aca="false">IF(OR(AR768="",N(AO768)=0),"",AR768/AO768)</f>
        <v/>
      </c>
      <c r="AT768" s="34" t="str">
        <f aca="false">IF(OR(AR768="",N(AC768)=0),"",AR768/AC768)</f>
        <v/>
      </c>
      <c r="AU768" s="34" t="str">
        <f aca="false">IF(OR(AR768="",N(S768)=0),"",AR768/S768)</f>
        <v/>
      </c>
      <c r="AV768" s="34" t="str">
        <f aca="false">IF(OR(AJ768="",N(AC768)=0),"",AJ768/AC768)</f>
        <v/>
      </c>
      <c r="AW768" s="34" t="str">
        <f aca="false">IF(OR(AH768="",N(AO768)=0),"",AH768/AO768)</f>
        <v/>
      </c>
      <c r="AX768" s="35" t="str">
        <f aca="false">IF(OR(AR768="",N(AO768)=0),"",(N(AF768)*Settings!$B$6+N(AG768)*Settings!$B$7+N(AH768)*Settings!$B$8+N(AI768)*Settings!$B$9+N(AJ768)*Settings!$B$10)/AO768*1000)</f>
        <v/>
      </c>
      <c r="AY768" s="36" t="str">
        <f aca="false">IF(AS768="","",IFERROR(AS768/AVERAGEIFS('Post Tracker'!$AS$5:$AS$1004,'Post Tracker'!$G$5:$G$1004,G768),""))</f>
        <v/>
      </c>
      <c r="AZ768" s="32"/>
      <c r="BA768" s="32"/>
      <c r="BB768" s="32"/>
      <c r="BC768" s="32"/>
      <c r="BD768" s="33" t="str">
        <f aca="false">IF(A768="","",COUNTIFS('Demo Pipeline'!$Q$5:$Q$504,A768))</f>
        <v/>
      </c>
      <c r="BE768" s="33" t="str">
        <f aca="false">IF(A768="","",COUNTIFS('Demo Pipeline'!$Q$5:$Q$504,A768,'Demo Pipeline'!$W$5:$W$504,"Attended"))</f>
        <v/>
      </c>
      <c r="BF768" s="33" t="str">
        <f aca="false">IF(A768="","",COUNTIFS('Demo Pipeline'!$Q$5:$Q$504,A768,'Demo Pipeline'!$X$5:$X$504,"Yes"))</f>
        <v/>
      </c>
      <c r="BG768" s="33" t="str">
        <f aca="false">IF(A768="","",COUNTIFS('Demo Pipeline'!$Q$5:$Q$504,A768,'Demo Pipeline'!$Y$5:$Y$504,"Closed Won"))</f>
        <v/>
      </c>
      <c r="BH768" s="37" t="str">
        <f aca="false">IF(A768="","",SUMIFS('Demo Pipeline'!$Z$5:$Z$504,'Demo Pipeline'!$Q$5:$Q$504,A768))</f>
        <v/>
      </c>
      <c r="BI768" s="34" t="str">
        <f aca="false">IF(OR(AZ768="",N(AJ768)=0),"",AZ768/AJ768)</f>
        <v/>
      </c>
      <c r="BJ768" s="34" t="str">
        <f aca="false">IF(OR(BB768="",N(AZ768)=0),"",BB768/AZ768)</f>
        <v/>
      </c>
      <c r="BK768" s="34" t="str">
        <f aca="false">IF(OR(A768="",N(BB768)=0),"",BD768/BB768)</f>
        <v/>
      </c>
      <c r="BL768" s="34" t="str">
        <f aca="false">IF(OR(A768="",N(AZ768)=0),"",BD768/AZ768)</f>
        <v/>
      </c>
      <c r="BM768" s="37" t="str">
        <f aca="false">IF(OR(N(Q768)=0,N(BD768)=0),"",Q768/BD768)</f>
        <v/>
      </c>
      <c r="BN768" s="29"/>
      <c r="BO768" s="29"/>
      <c r="BP768" s="33" t="str">
        <f aca="false">IF(OR(AR768="",N(AO768)=0),"",AR768)</f>
        <v/>
      </c>
      <c r="BQ768" s="33" t="str">
        <f aca="false">IF(OR(AR768="",N(S768)=0),"",S768)</f>
        <v/>
      </c>
      <c r="BR768" s="38" t="str">
        <f aca="false">IF(AND(ISNUMBER(B768),B768&gt;=Dashboard!$C$4,B768&lt;=Dashboard!$F$4,ISNUMBER(AU768)),AU768+ROW()/10^9,"")</f>
        <v/>
      </c>
      <c r="BS768" s="38" t="str">
        <f aca="false">IF(AND(ISNUMBER(B768),B768&gt;=Dashboard!$C$4,B768&lt;=Dashboard!$F$4,A768&lt;&gt;""),N(BD768)+N(AU768)/100+ROW()/10^9,"")</f>
        <v/>
      </c>
    </row>
    <row r="769" customFormat="false" ht="15" hidden="false" customHeight="false" outlineLevel="0" collapsed="false">
      <c r="A769" s="24" t="str">
        <f aca="false">IF(OR(B769="",G769="",H769=""),"",IFERROR(INDEX(Settings!$E$5:$E$49,MATCH(G769,Settings!$D$5:$D$49,0))&amp;INDEX(Settings!$H$5:$H$47,MATCH(H769,Settings!$G$5:$G$47,0))&amp;"-"&amp;TEXT(B769,"yymmdd")&amp;"-"&amp;IF(C769="","0000",TEXT(C769,"hhmm")),"CHECK LISTS"))</f>
        <v/>
      </c>
      <c r="B769" s="39"/>
      <c r="C769" s="40"/>
      <c r="D769" s="24" t="str">
        <f aca="false">IF(B769="","",TEXT(B769,"ddd"))</f>
        <v/>
      </c>
      <c r="E769" s="27" t="str">
        <f aca="false">IF(B769="","",B769-WEEKDAY(B769,3))</f>
        <v/>
      </c>
      <c r="F769" s="24" t="str">
        <f aca="false">IF(B769="","",TEXT(B769,"yyyy-mm"))</f>
        <v/>
      </c>
      <c r="G769" s="29"/>
      <c r="H769" s="29"/>
      <c r="I769" s="29"/>
      <c r="J769" s="29"/>
      <c r="K769" s="29"/>
      <c r="L769" s="29"/>
      <c r="M769" s="29"/>
      <c r="N769" s="29"/>
      <c r="O769" s="29"/>
      <c r="P769" s="29"/>
      <c r="Q769" s="30"/>
      <c r="R769" s="29"/>
      <c r="S769" s="32"/>
      <c r="T769" s="29"/>
      <c r="U769" s="29"/>
      <c r="V769" s="24" t="str">
        <f aca="false">IF(A769="","",IFERROR(INDEX(Settings!$F$5:$F$49,MATCH(G769,Settings!$D$5:$D$49,0)),""))</f>
        <v/>
      </c>
      <c r="W769" s="24" t="str">
        <f aca="false">IF(A769="","",IF(OR(P769="",P769="Organic"),"social","paid_social"))</f>
        <v/>
      </c>
      <c r="X769" s="24" t="str">
        <f aca="false">IF(A769="","",IF(K769&lt;&gt;"",IFERROR(INDEX('Case Studies'!$C$5:$C$54,MATCH(K769,'Case Studies'!$B$5:$B$54,0))&amp;"","case-study"),IF(J769&lt;&gt;"",IFERROR(INDEX(Settings!$J$5:$J$55,MATCH(J769,Settings!$I$5:$I$55,0)),"general"),"general")))</f>
        <v/>
      </c>
      <c r="Y769" s="24" t="str">
        <f aca="false">IF(A769="","",LOWER(A769))</f>
        <v/>
      </c>
      <c r="Z769" s="24" t="str">
        <f aca="false">IF(A769="","",IF(T769="",Settings!$B$5,T769)&amp;IF(ISNUMBER(FIND("?",IF(T769="",Settings!$B$5,T769))),"&amp;","?")&amp;"utm_source="&amp;V769&amp;"&amp;utm_medium="&amp;W769&amp;"&amp;utm_campaign="&amp;X769&amp;"&amp;utm_content="&amp;Y769)</f>
        <v/>
      </c>
      <c r="AA769" s="29"/>
      <c r="AB769" s="39"/>
      <c r="AC769" s="32"/>
      <c r="AD769" s="32"/>
      <c r="AE769" s="32"/>
      <c r="AF769" s="32"/>
      <c r="AG769" s="32"/>
      <c r="AH769" s="32"/>
      <c r="AI769" s="32"/>
      <c r="AJ769" s="32"/>
      <c r="AK769" s="32"/>
      <c r="AL769" s="32"/>
      <c r="AM769" s="32"/>
      <c r="AN769" s="32"/>
      <c r="AO769" s="33" t="str">
        <f aca="false">IF(A769="","",IF(AD769&lt;&gt;"",AD769,IF(AC769&lt;&gt;"",AC769,"")))</f>
        <v/>
      </c>
      <c r="AP769" s="24" t="str">
        <f aca="false">IF(AO769="","",IF(AD769&lt;&gt;"","Reported reach","Impressions (proxy)"))</f>
        <v/>
      </c>
      <c r="AQ769" s="34" t="str">
        <f aca="false">IF(OR(AO769="",N(S769)=0),"",AO769/S769)</f>
        <v/>
      </c>
      <c r="AR769" s="33" t="str">
        <f aca="false">IF(A769="","",IF(COUNT(AF769:AJ769)=0,"",SUM(AF769:AJ769)))</f>
        <v/>
      </c>
      <c r="AS769" s="34" t="str">
        <f aca="false">IF(OR(AR769="",N(AO769)=0),"",AR769/AO769)</f>
        <v/>
      </c>
      <c r="AT769" s="34" t="str">
        <f aca="false">IF(OR(AR769="",N(AC769)=0),"",AR769/AC769)</f>
        <v/>
      </c>
      <c r="AU769" s="34" t="str">
        <f aca="false">IF(OR(AR769="",N(S769)=0),"",AR769/S769)</f>
        <v/>
      </c>
      <c r="AV769" s="34" t="str">
        <f aca="false">IF(OR(AJ769="",N(AC769)=0),"",AJ769/AC769)</f>
        <v/>
      </c>
      <c r="AW769" s="34" t="str">
        <f aca="false">IF(OR(AH769="",N(AO769)=0),"",AH769/AO769)</f>
        <v/>
      </c>
      <c r="AX769" s="35" t="str">
        <f aca="false">IF(OR(AR769="",N(AO769)=0),"",(N(AF769)*Settings!$B$6+N(AG769)*Settings!$B$7+N(AH769)*Settings!$B$8+N(AI769)*Settings!$B$9+N(AJ769)*Settings!$B$10)/AO769*1000)</f>
        <v/>
      </c>
      <c r="AY769" s="36" t="str">
        <f aca="false">IF(AS769="","",IFERROR(AS769/AVERAGEIFS('Post Tracker'!$AS$5:$AS$1004,'Post Tracker'!$G$5:$G$1004,G769),""))</f>
        <v/>
      </c>
      <c r="AZ769" s="32"/>
      <c r="BA769" s="32"/>
      <c r="BB769" s="32"/>
      <c r="BC769" s="32"/>
      <c r="BD769" s="33" t="str">
        <f aca="false">IF(A769="","",COUNTIFS('Demo Pipeline'!$Q$5:$Q$504,A769))</f>
        <v/>
      </c>
      <c r="BE769" s="33" t="str">
        <f aca="false">IF(A769="","",COUNTIFS('Demo Pipeline'!$Q$5:$Q$504,A769,'Demo Pipeline'!$W$5:$W$504,"Attended"))</f>
        <v/>
      </c>
      <c r="BF769" s="33" t="str">
        <f aca="false">IF(A769="","",COUNTIFS('Demo Pipeline'!$Q$5:$Q$504,A769,'Demo Pipeline'!$X$5:$X$504,"Yes"))</f>
        <v/>
      </c>
      <c r="BG769" s="33" t="str">
        <f aca="false">IF(A769="","",COUNTIFS('Demo Pipeline'!$Q$5:$Q$504,A769,'Demo Pipeline'!$Y$5:$Y$504,"Closed Won"))</f>
        <v/>
      </c>
      <c r="BH769" s="37" t="str">
        <f aca="false">IF(A769="","",SUMIFS('Demo Pipeline'!$Z$5:$Z$504,'Demo Pipeline'!$Q$5:$Q$504,A769))</f>
        <v/>
      </c>
      <c r="BI769" s="34" t="str">
        <f aca="false">IF(OR(AZ769="",N(AJ769)=0),"",AZ769/AJ769)</f>
        <v/>
      </c>
      <c r="BJ769" s="34" t="str">
        <f aca="false">IF(OR(BB769="",N(AZ769)=0),"",BB769/AZ769)</f>
        <v/>
      </c>
      <c r="BK769" s="34" t="str">
        <f aca="false">IF(OR(A769="",N(BB769)=0),"",BD769/BB769)</f>
        <v/>
      </c>
      <c r="BL769" s="34" t="str">
        <f aca="false">IF(OR(A769="",N(AZ769)=0),"",BD769/AZ769)</f>
        <v/>
      </c>
      <c r="BM769" s="37" t="str">
        <f aca="false">IF(OR(N(Q769)=0,N(BD769)=0),"",Q769/BD769)</f>
        <v/>
      </c>
      <c r="BN769" s="29"/>
      <c r="BO769" s="29"/>
      <c r="BP769" s="33" t="str">
        <f aca="false">IF(OR(AR769="",N(AO769)=0),"",AR769)</f>
        <v/>
      </c>
      <c r="BQ769" s="33" t="str">
        <f aca="false">IF(OR(AR769="",N(S769)=0),"",S769)</f>
        <v/>
      </c>
      <c r="BR769" s="38" t="str">
        <f aca="false">IF(AND(ISNUMBER(B769),B769&gt;=Dashboard!$C$4,B769&lt;=Dashboard!$F$4,ISNUMBER(AU769)),AU769+ROW()/10^9,"")</f>
        <v/>
      </c>
      <c r="BS769" s="38" t="str">
        <f aca="false">IF(AND(ISNUMBER(B769),B769&gt;=Dashboard!$C$4,B769&lt;=Dashboard!$F$4,A769&lt;&gt;""),N(BD769)+N(AU769)/100+ROW()/10^9,"")</f>
        <v/>
      </c>
    </row>
    <row r="770" customFormat="false" ht="15" hidden="false" customHeight="false" outlineLevel="0" collapsed="false">
      <c r="A770" s="24" t="str">
        <f aca="false">IF(OR(B770="",G770="",H770=""),"",IFERROR(INDEX(Settings!$E$5:$E$49,MATCH(G770,Settings!$D$5:$D$49,0))&amp;INDEX(Settings!$H$5:$H$47,MATCH(H770,Settings!$G$5:$G$47,0))&amp;"-"&amp;TEXT(B770,"yymmdd")&amp;"-"&amp;IF(C770="","0000",TEXT(C770,"hhmm")),"CHECK LISTS"))</f>
        <v/>
      </c>
      <c r="B770" s="39"/>
      <c r="C770" s="40"/>
      <c r="D770" s="24" t="str">
        <f aca="false">IF(B770="","",TEXT(B770,"ddd"))</f>
        <v/>
      </c>
      <c r="E770" s="27" t="str">
        <f aca="false">IF(B770="","",B770-WEEKDAY(B770,3))</f>
        <v/>
      </c>
      <c r="F770" s="24" t="str">
        <f aca="false">IF(B770="","",TEXT(B770,"yyyy-mm"))</f>
        <v/>
      </c>
      <c r="G770" s="29"/>
      <c r="H770" s="29"/>
      <c r="I770" s="29"/>
      <c r="J770" s="29"/>
      <c r="K770" s="29"/>
      <c r="L770" s="29"/>
      <c r="M770" s="29"/>
      <c r="N770" s="29"/>
      <c r="O770" s="29"/>
      <c r="P770" s="29"/>
      <c r="Q770" s="30"/>
      <c r="R770" s="29"/>
      <c r="S770" s="32"/>
      <c r="T770" s="29"/>
      <c r="U770" s="29"/>
      <c r="V770" s="24" t="str">
        <f aca="false">IF(A770="","",IFERROR(INDEX(Settings!$F$5:$F$49,MATCH(G770,Settings!$D$5:$D$49,0)),""))</f>
        <v/>
      </c>
      <c r="W770" s="24" t="str">
        <f aca="false">IF(A770="","",IF(OR(P770="",P770="Organic"),"social","paid_social"))</f>
        <v/>
      </c>
      <c r="X770" s="24" t="str">
        <f aca="false">IF(A770="","",IF(K770&lt;&gt;"",IFERROR(INDEX('Case Studies'!$C$5:$C$54,MATCH(K770,'Case Studies'!$B$5:$B$54,0))&amp;"","case-study"),IF(J770&lt;&gt;"",IFERROR(INDEX(Settings!$J$5:$J$55,MATCH(J770,Settings!$I$5:$I$55,0)),"general"),"general")))</f>
        <v/>
      </c>
      <c r="Y770" s="24" t="str">
        <f aca="false">IF(A770="","",LOWER(A770))</f>
        <v/>
      </c>
      <c r="Z770" s="24" t="str">
        <f aca="false">IF(A770="","",IF(T770="",Settings!$B$5,T770)&amp;IF(ISNUMBER(FIND("?",IF(T770="",Settings!$B$5,T770))),"&amp;","?")&amp;"utm_source="&amp;V770&amp;"&amp;utm_medium="&amp;W770&amp;"&amp;utm_campaign="&amp;X770&amp;"&amp;utm_content="&amp;Y770)</f>
        <v/>
      </c>
      <c r="AA770" s="29"/>
      <c r="AB770" s="39"/>
      <c r="AC770" s="32"/>
      <c r="AD770" s="32"/>
      <c r="AE770" s="32"/>
      <c r="AF770" s="32"/>
      <c r="AG770" s="32"/>
      <c r="AH770" s="32"/>
      <c r="AI770" s="32"/>
      <c r="AJ770" s="32"/>
      <c r="AK770" s="32"/>
      <c r="AL770" s="32"/>
      <c r="AM770" s="32"/>
      <c r="AN770" s="32"/>
      <c r="AO770" s="33" t="str">
        <f aca="false">IF(A770="","",IF(AD770&lt;&gt;"",AD770,IF(AC770&lt;&gt;"",AC770,"")))</f>
        <v/>
      </c>
      <c r="AP770" s="24" t="str">
        <f aca="false">IF(AO770="","",IF(AD770&lt;&gt;"","Reported reach","Impressions (proxy)"))</f>
        <v/>
      </c>
      <c r="AQ770" s="34" t="str">
        <f aca="false">IF(OR(AO770="",N(S770)=0),"",AO770/S770)</f>
        <v/>
      </c>
      <c r="AR770" s="33" t="str">
        <f aca="false">IF(A770="","",IF(COUNT(AF770:AJ770)=0,"",SUM(AF770:AJ770)))</f>
        <v/>
      </c>
      <c r="AS770" s="34" t="str">
        <f aca="false">IF(OR(AR770="",N(AO770)=0),"",AR770/AO770)</f>
        <v/>
      </c>
      <c r="AT770" s="34" t="str">
        <f aca="false">IF(OR(AR770="",N(AC770)=0),"",AR770/AC770)</f>
        <v/>
      </c>
      <c r="AU770" s="34" t="str">
        <f aca="false">IF(OR(AR770="",N(S770)=0),"",AR770/S770)</f>
        <v/>
      </c>
      <c r="AV770" s="34" t="str">
        <f aca="false">IF(OR(AJ770="",N(AC770)=0),"",AJ770/AC770)</f>
        <v/>
      </c>
      <c r="AW770" s="34" t="str">
        <f aca="false">IF(OR(AH770="",N(AO770)=0),"",AH770/AO770)</f>
        <v/>
      </c>
      <c r="AX770" s="35" t="str">
        <f aca="false">IF(OR(AR770="",N(AO770)=0),"",(N(AF770)*Settings!$B$6+N(AG770)*Settings!$B$7+N(AH770)*Settings!$B$8+N(AI770)*Settings!$B$9+N(AJ770)*Settings!$B$10)/AO770*1000)</f>
        <v/>
      </c>
      <c r="AY770" s="36" t="str">
        <f aca="false">IF(AS770="","",IFERROR(AS770/AVERAGEIFS('Post Tracker'!$AS$5:$AS$1004,'Post Tracker'!$G$5:$G$1004,G770),""))</f>
        <v/>
      </c>
      <c r="AZ770" s="32"/>
      <c r="BA770" s="32"/>
      <c r="BB770" s="32"/>
      <c r="BC770" s="32"/>
      <c r="BD770" s="33" t="str">
        <f aca="false">IF(A770="","",COUNTIFS('Demo Pipeline'!$Q$5:$Q$504,A770))</f>
        <v/>
      </c>
      <c r="BE770" s="33" t="str">
        <f aca="false">IF(A770="","",COUNTIFS('Demo Pipeline'!$Q$5:$Q$504,A770,'Demo Pipeline'!$W$5:$W$504,"Attended"))</f>
        <v/>
      </c>
      <c r="BF770" s="33" t="str">
        <f aca="false">IF(A770="","",COUNTIFS('Demo Pipeline'!$Q$5:$Q$504,A770,'Demo Pipeline'!$X$5:$X$504,"Yes"))</f>
        <v/>
      </c>
      <c r="BG770" s="33" t="str">
        <f aca="false">IF(A770="","",COUNTIFS('Demo Pipeline'!$Q$5:$Q$504,A770,'Demo Pipeline'!$Y$5:$Y$504,"Closed Won"))</f>
        <v/>
      </c>
      <c r="BH770" s="37" t="str">
        <f aca="false">IF(A770="","",SUMIFS('Demo Pipeline'!$Z$5:$Z$504,'Demo Pipeline'!$Q$5:$Q$504,A770))</f>
        <v/>
      </c>
      <c r="BI770" s="34" t="str">
        <f aca="false">IF(OR(AZ770="",N(AJ770)=0),"",AZ770/AJ770)</f>
        <v/>
      </c>
      <c r="BJ770" s="34" t="str">
        <f aca="false">IF(OR(BB770="",N(AZ770)=0),"",BB770/AZ770)</f>
        <v/>
      </c>
      <c r="BK770" s="34" t="str">
        <f aca="false">IF(OR(A770="",N(BB770)=0),"",BD770/BB770)</f>
        <v/>
      </c>
      <c r="BL770" s="34" t="str">
        <f aca="false">IF(OR(A770="",N(AZ770)=0),"",BD770/AZ770)</f>
        <v/>
      </c>
      <c r="BM770" s="37" t="str">
        <f aca="false">IF(OR(N(Q770)=0,N(BD770)=0),"",Q770/BD770)</f>
        <v/>
      </c>
      <c r="BN770" s="29"/>
      <c r="BO770" s="29"/>
      <c r="BP770" s="33" t="str">
        <f aca="false">IF(OR(AR770="",N(AO770)=0),"",AR770)</f>
        <v/>
      </c>
      <c r="BQ770" s="33" t="str">
        <f aca="false">IF(OR(AR770="",N(S770)=0),"",S770)</f>
        <v/>
      </c>
      <c r="BR770" s="38" t="str">
        <f aca="false">IF(AND(ISNUMBER(B770),B770&gt;=Dashboard!$C$4,B770&lt;=Dashboard!$F$4,ISNUMBER(AU770)),AU770+ROW()/10^9,"")</f>
        <v/>
      </c>
      <c r="BS770" s="38" t="str">
        <f aca="false">IF(AND(ISNUMBER(B770),B770&gt;=Dashboard!$C$4,B770&lt;=Dashboard!$F$4,A770&lt;&gt;""),N(BD770)+N(AU770)/100+ROW()/10^9,"")</f>
        <v/>
      </c>
    </row>
    <row r="771" customFormat="false" ht="15" hidden="false" customHeight="false" outlineLevel="0" collapsed="false">
      <c r="A771" s="24" t="str">
        <f aca="false">IF(OR(B771="",G771="",H771=""),"",IFERROR(INDEX(Settings!$E$5:$E$49,MATCH(G771,Settings!$D$5:$D$49,0))&amp;INDEX(Settings!$H$5:$H$47,MATCH(H771,Settings!$G$5:$G$47,0))&amp;"-"&amp;TEXT(B771,"yymmdd")&amp;"-"&amp;IF(C771="","0000",TEXT(C771,"hhmm")),"CHECK LISTS"))</f>
        <v/>
      </c>
      <c r="B771" s="39"/>
      <c r="C771" s="40"/>
      <c r="D771" s="24" t="str">
        <f aca="false">IF(B771="","",TEXT(B771,"ddd"))</f>
        <v/>
      </c>
      <c r="E771" s="27" t="str">
        <f aca="false">IF(B771="","",B771-WEEKDAY(B771,3))</f>
        <v/>
      </c>
      <c r="F771" s="24" t="str">
        <f aca="false">IF(B771="","",TEXT(B771,"yyyy-mm"))</f>
        <v/>
      </c>
      <c r="G771" s="29"/>
      <c r="H771" s="29"/>
      <c r="I771" s="29"/>
      <c r="J771" s="29"/>
      <c r="K771" s="29"/>
      <c r="L771" s="29"/>
      <c r="M771" s="29"/>
      <c r="N771" s="29"/>
      <c r="O771" s="29"/>
      <c r="P771" s="29"/>
      <c r="Q771" s="30"/>
      <c r="R771" s="29"/>
      <c r="S771" s="32"/>
      <c r="T771" s="29"/>
      <c r="U771" s="29"/>
      <c r="V771" s="24" t="str">
        <f aca="false">IF(A771="","",IFERROR(INDEX(Settings!$F$5:$F$49,MATCH(G771,Settings!$D$5:$D$49,0)),""))</f>
        <v/>
      </c>
      <c r="W771" s="24" t="str">
        <f aca="false">IF(A771="","",IF(OR(P771="",P771="Organic"),"social","paid_social"))</f>
        <v/>
      </c>
      <c r="X771" s="24" t="str">
        <f aca="false">IF(A771="","",IF(K771&lt;&gt;"",IFERROR(INDEX('Case Studies'!$C$5:$C$54,MATCH(K771,'Case Studies'!$B$5:$B$54,0))&amp;"","case-study"),IF(J771&lt;&gt;"",IFERROR(INDEX(Settings!$J$5:$J$55,MATCH(J771,Settings!$I$5:$I$55,0)),"general"),"general")))</f>
        <v/>
      </c>
      <c r="Y771" s="24" t="str">
        <f aca="false">IF(A771="","",LOWER(A771))</f>
        <v/>
      </c>
      <c r="Z771" s="24" t="str">
        <f aca="false">IF(A771="","",IF(T771="",Settings!$B$5,T771)&amp;IF(ISNUMBER(FIND("?",IF(T771="",Settings!$B$5,T771))),"&amp;","?")&amp;"utm_source="&amp;V771&amp;"&amp;utm_medium="&amp;W771&amp;"&amp;utm_campaign="&amp;X771&amp;"&amp;utm_content="&amp;Y771)</f>
        <v/>
      </c>
      <c r="AA771" s="29"/>
      <c r="AB771" s="39"/>
      <c r="AC771" s="32"/>
      <c r="AD771" s="32"/>
      <c r="AE771" s="32"/>
      <c r="AF771" s="32"/>
      <c r="AG771" s="32"/>
      <c r="AH771" s="32"/>
      <c r="AI771" s="32"/>
      <c r="AJ771" s="32"/>
      <c r="AK771" s="32"/>
      <c r="AL771" s="32"/>
      <c r="AM771" s="32"/>
      <c r="AN771" s="32"/>
      <c r="AO771" s="33" t="str">
        <f aca="false">IF(A771="","",IF(AD771&lt;&gt;"",AD771,IF(AC771&lt;&gt;"",AC771,"")))</f>
        <v/>
      </c>
      <c r="AP771" s="24" t="str">
        <f aca="false">IF(AO771="","",IF(AD771&lt;&gt;"","Reported reach","Impressions (proxy)"))</f>
        <v/>
      </c>
      <c r="AQ771" s="34" t="str">
        <f aca="false">IF(OR(AO771="",N(S771)=0),"",AO771/S771)</f>
        <v/>
      </c>
      <c r="AR771" s="33" t="str">
        <f aca="false">IF(A771="","",IF(COUNT(AF771:AJ771)=0,"",SUM(AF771:AJ771)))</f>
        <v/>
      </c>
      <c r="AS771" s="34" t="str">
        <f aca="false">IF(OR(AR771="",N(AO771)=0),"",AR771/AO771)</f>
        <v/>
      </c>
      <c r="AT771" s="34" t="str">
        <f aca="false">IF(OR(AR771="",N(AC771)=0),"",AR771/AC771)</f>
        <v/>
      </c>
      <c r="AU771" s="34" t="str">
        <f aca="false">IF(OR(AR771="",N(S771)=0),"",AR771/S771)</f>
        <v/>
      </c>
      <c r="AV771" s="34" t="str">
        <f aca="false">IF(OR(AJ771="",N(AC771)=0),"",AJ771/AC771)</f>
        <v/>
      </c>
      <c r="AW771" s="34" t="str">
        <f aca="false">IF(OR(AH771="",N(AO771)=0),"",AH771/AO771)</f>
        <v/>
      </c>
      <c r="AX771" s="35" t="str">
        <f aca="false">IF(OR(AR771="",N(AO771)=0),"",(N(AF771)*Settings!$B$6+N(AG771)*Settings!$B$7+N(AH771)*Settings!$B$8+N(AI771)*Settings!$B$9+N(AJ771)*Settings!$B$10)/AO771*1000)</f>
        <v/>
      </c>
      <c r="AY771" s="36" t="str">
        <f aca="false">IF(AS771="","",IFERROR(AS771/AVERAGEIFS('Post Tracker'!$AS$5:$AS$1004,'Post Tracker'!$G$5:$G$1004,G771),""))</f>
        <v/>
      </c>
      <c r="AZ771" s="32"/>
      <c r="BA771" s="32"/>
      <c r="BB771" s="32"/>
      <c r="BC771" s="32"/>
      <c r="BD771" s="33" t="str">
        <f aca="false">IF(A771="","",COUNTIFS('Demo Pipeline'!$Q$5:$Q$504,A771))</f>
        <v/>
      </c>
      <c r="BE771" s="33" t="str">
        <f aca="false">IF(A771="","",COUNTIFS('Demo Pipeline'!$Q$5:$Q$504,A771,'Demo Pipeline'!$W$5:$W$504,"Attended"))</f>
        <v/>
      </c>
      <c r="BF771" s="33" t="str">
        <f aca="false">IF(A771="","",COUNTIFS('Demo Pipeline'!$Q$5:$Q$504,A771,'Demo Pipeline'!$X$5:$X$504,"Yes"))</f>
        <v/>
      </c>
      <c r="BG771" s="33" t="str">
        <f aca="false">IF(A771="","",COUNTIFS('Demo Pipeline'!$Q$5:$Q$504,A771,'Demo Pipeline'!$Y$5:$Y$504,"Closed Won"))</f>
        <v/>
      </c>
      <c r="BH771" s="37" t="str">
        <f aca="false">IF(A771="","",SUMIFS('Demo Pipeline'!$Z$5:$Z$504,'Demo Pipeline'!$Q$5:$Q$504,A771))</f>
        <v/>
      </c>
      <c r="BI771" s="34" t="str">
        <f aca="false">IF(OR(AZ771="",N(AJ771)=0),"",AZ771/AJ771)</f>
        <v/>
      </c>
      <c r="BJ771" s="34" t="str">
        <f aca="false">IF(OR(BB771="",N(AZ771)=0),"",BB771/AZ771)</f>
        <v/>
      </c>
      <c r="BK771" s="34" t="str">
        <f aca="false">IF(OR(A771="",N(BB771)=0),"",BD771/BB771)</f>
        <v/>
      </c>
      <c r="BL771" s="34" t="str">
        <f aca="false">IF(OR(A771="",N(AZ771)=0),"",BD771/AZ771)</f>
        <v/>
      </c>
      <c r="BM771" s="37" t="str">
        <f aca="false">IF(OR(N(Q771)=0,N(BD771)=0),"",Q771/BD771)</f>
        <v/>
      </c>
      <c r="BN771" s="29"/>
      <c r="BO771" s="29"/>
      <c r="BP771" s="33" t="str">
        <f aca="false">IF(OR(AR771="",N(AO771)=0),"",AR771)</f>
        <v/>
      </c>
      <c r="BQ771" s="33" t="str">
        <f aca="false">IF(OR(AR771="",N(S771)=0),"",S771)</f>
        <v/>
      </c>
      <c r="BR771" s="38" t="str">
        <f aca="false">IF(AND(ISNUMBER(B771),B771&gt;=Dashboard!$C$4,B771&lt;=Dashboard!$F$4,ISNUMBER(AU771)),AU771+ROW()/10^9,"")</f>
        <v/>
      </c>
      <c r="BS771" s="38" t="str">
        <f aca="false">IF(AND(ISNUMBER(B771),B771&gt;=Dashboard!$C$4,B771&lt;=Dashboard!$F$4,A771&lt;&gt;""),N(BD771)+N(AU771)/100+ROW()/10^9,"")</f>
        <v/>
      </c>
    </row>
    <row r="772" customFormat="false" ht="15" hidden="false" customHeight="false" outlineLevel="0" collapsed="false">
      <c r="A772" s="24" t="str">
        <f aca="false">IF(OR(B772="",G772="",H772=""),"",IFERROR(INDEX(Settings!$E$5:$E$49,MATCH(G772,Settings!$D$5:$D$49,0))&amp;INDEX(Settings!$H$5:$H$47,MATCH(H772,Settings!$G$5:$G$47,0))&amp;"-"&amp;TEXT(B772,"yymmdd")&amp;"-"&amp;IF(C772="","0000",TEXT(C772,"hhmm")),"CHECK LISTS"))</f>
        <v/>
      </c>
      <c r="B772" s="39"/>
      <c r="C772" s="40"/>
      <c r="D772" s="24" t="str">
        <f aca="false">IF(B772="","",TEXT(B772,"ddd"))</f>
        <v/>
      </c>
      <c r="E772" s="27" t="str">
        <f aca="false">IF(B772="","",B772-WEEKDAY(B772,3))</f>
        <v/>
      </c>
      <c r="F772" s="24" t="str">
        <f aca="false">IF(B772="","",TEXT(B772,"yyyy-mm"))</f>
        <v/>
      </c>
      <c r="G772" s="29"/>
      <c r="H772" s="29"/>
      <c r="I772" s="29"/>
      <c r="J772" s="29"/>
      <c r="K772" s="29"/>
      <c r="L772" s="29"/>
      <c r="M772" s="29"/>
      <c r="N772" s="29"/>
      <c r="O772" s="29"/>
      <c r="P772" s="29"/>
      <c r="Q772" s="30"/>
      <c r="R772" s="29"/>
      <c r="S772" s="32"/>
      <c r="T772" s="29"/>
      <c r="U772" s="29"/>
      <c r="V772" s="24" t="str">
        <f aca="false">IF(A772="","",IFERROR(INDEX(Settings!$F$5:$F$49,MATCH(G772,Settings!$D$5:$D$49,0)),""))</f>
        <v/>
      </c>
      <c r="W772" s="24" t="str">
        <f aca="false">IF(A772="","",IF(OR(P772="",P772="Organic"),"social","paid_social"))</f>
        <v/>
      </c>
      <c r="X772" s="24" t="str">
        <f aca="false">IF(A772="","",IF(K772&lt;&gt;"",IFERROR(INDEX('Case Studies'!$C$5:$C$54,MATCH(K772,'Case Studies'!$B$5:$B$54,0))&amp;"","case-study"),IF(J772&lt;&gt;"",IFERROR(INDEX(Settings!$J$5:$J$55,MATCH(J772,Settings!$I$5:$I$55,0)),"general"),"general")))</f>
        <v/>
      </c>
      <c r="Y772" s="24" t="str">
        <f aca="false">IF(A772="","",LOWER(A772))</f>
        <v/>
      </c>
      <c r="Z772" s="24" t="str">
        <f aca="false">IF(A772="","",IF(T772="",Settings!$B$5,T772)&amp;IF(ISNUMBER(FIND("?",IF(T772="",Settings!$B$5,T772))),"&amp;","?")&amp;"utm_source="&amp;V772&amp;"&amp;utm_medium="&amp;W772&amp;"&amp;utm_campaign="&amp;X772&amp;"&amp;utm_content="&amp;Y772)</f>
        <v/>
      </c>
      <c r="AA772" s="29"/>
      <c r="AB772" s="39"/>
      <c r="AC772" s="32"/>
      <c r="AD772" s="32"/>
      <c r="AE772" s="32"/>
      <c r="AF772" s="32"/>
      <c r="AG772" s="32"/>
      <c r="AH772" s="32"/>
      <c r="AI772" s="32"/>
      <c r="AJ772" s="32"/>
      <c r="AK772" s="32"/>
      <c r="AL772" s="32"/>
      <c r="AM772" s="32"/>
      <c r="AN772" s="32"/>
      <c r="AO772" s="33" t="str">
        <f aca="false">IF(A772="","",IF(AD772&lt;&gt;"",AD772,IF(AC772&lt;&gt;"",AC772,"")))</f>
        <v/>
      </c>
      <c r="AP772" s="24" t="str">
        <f aca="false">IF(AO772="","",IF(AD772&lt;&gt;"","Reported reach","Impressions (proxy)"))</f>
        <v/>
      </c>
      <c r="AQ772" s="34" t="str">
        <f aca="false">IF(OR(AO772="",N(S772)=0),"",AO772/S772)</f>
        <v/>
      </c>
      <c r="AR772" s="33" t="str">
        <f aca="false">IF(A772="","",IF(COUNT(AF772:AJ772)=0,"",SUM(AF772:AJ772)))</f>
        <v/>
      </c>
      <c r="AS772" s="34" t="str">
        <f aca="false">IF(OR(AR772="",N(AO772)=0),"",AR772/AO772)</f>
        <v/>
      </c>
      <c r="AT772" s="34" t="str">
        <f aca="false">IF(OR(AR772="",N(AC772)=0),"",AR772/AC772)</f>
        <v/>
      </c>
      <c r="AU772" s="34" t="str">
        <f aca="false">IF(OR(AR772="",N(S772)=0),"",AR772/S772)</f>
        <v/>
      </c>
      <c r="AV772" s="34" t="str">
        <f aca="false">IF(OR(AJ772="",N(AC772)=0),"",AJ772/AC772)</f>
        <v/>
      </c>
      <c r="AW772" s="34" t="str">
        <f aca="false">IF(OR(AH772="",N(AO772)=0),"",AH772/AO772)</f>
        <v/>
      </c>
      <c r="AX772" s="35" t="str">
        <f aca="false">IF(OR(AR772="",N(AO772)=0),"",(N(AF772)*Settings!$B$6+N(AG772)*Settings!$B$7+N(AH772)*Settings!$B$8+N(AI772)*Settings!$B$9+N(AJ772)*Settings!$B$10)/AO772*1000)</f>
        <v/>
      </c>
      <c r="AY772" s="36" t="str">
        <f aca="false">IF(AS772="","",IFERROR(AS772/AVERAGEIFS('Post Tracker'!$AS$5:$AS$1004,'Post Tracker'!$G$5:$G$1004,G772),""))</f>
        <v/>
      </c>
      <c r="AZ772" s="32"/>
      <c r="BA772" s="32"/>
      <c r="BB772" s="32"/>
      <c r="BC772" s="32"/>
      <c r="BD772" s="33" t="str">
        <f aca="false">IF(A772="","",COUNTIFS('Demo Pipeline'!$Q$5:$Q$504,A772))</f>
        <v/>
      </c>
      <c r="BE772" s="33" t="str">
        <f aca="false">IF(A772="","",COUNTIFS('Demo Pipeline'!$Q$5:$Q$504,A772,'Demo Pipeline'!$W$5:$W$504,"Attended"))</f>
        <v/>
      </c>
      <c r="BF772" s="33" t="str">
        <f aca="false">IF(A772="","",COUNTIFS('Demo Pipeline'!$Q$5:$Q$504,A772,'Demo Pipeline'!$X$5:$X$504,"Yes"))</f>
        <v/>
      </c>
      <c r="BG772" s="33" t="str">
        <f aca="false">IF(A772="","",COUNTIFS('Demo Pipeline'!$Q$5:$Q$504,A772,'Demo Pipeline'!$Y$5:$Y$504,"Closed Won"))</f>
        <v/>
      </c>
      <c r="BH772" s="37" t="str">
        <f aca="false">IF(A772="","",SUMIFS('Demo Pipeline'!$Z$5:$Z$504,'Demo Pipeline'!$Q$5:$Q$504,A772))</f>
        <v/>
      </c>
      <c r="BI772" s="34" t="str">
        <f aca="false">IF(OR(AZ772="",N(AJ772)=0),"",AZ772/AJ772)</f>
        <v/>
      </c>
      <c r="BJ772" s="34" t="str">
        <f aca="false">IF(OR(BB772="",N(AZ772)=0),"",BB772/AZ772)</f>
        <v/>
      </c>
      <c r="BK772" s="34" t="str">
        <f aca="false">IF(OR(A772="",N(BB772)=0),"",BD772/BB772)</f>
        <v/>
      </c>
      <c r="BL772" s="34" t="str">
        <f aca="false">IF(OR(A772="",N(AZ772)=0),"",BD772/AZ772)</f>
        <v/>
      </c>
      <c r="BM772" s="37" t="str">
        <f aca="false">IF(OR(N(Q772)=0,N(BD772)=0),"",Q772/BD772)</f>
        <v/>
      </c>
      <c r="BN772" s="29"/>
      <c r="BO772" s="29"/>
      <c r="BP772" s="33" t="str">
        <f aca="false">IF(OR(AR772="",N(AO772)=0),"",AR772)</f>
        <v/>
      </c>
      <c r="BQ772" s="33" t="str">
        <f aca="false">IF(OR(AR772="",N(S772)=0),"",S772)</f>
        <v/>
      </c>
      <c r="BR772" s="38" t="str">
        <f aca="false">IF(AND(ISNUMBER(B772),B772&gt;=Dashboard!$C$4,B772&lt;=Dashboard!$F$4,ISNUMBER(AU772)),AU772+ROW()/10^9,"")</f>
        <v/>
      </c>
      <c r="BS772" s="38" t="str">
        <f aca="false">IF(AND(ISNUMBER(B772),B772&gt;=Dashboard!$C$4,B772&lt;=Dashboard!$F$4,A772&lt;&gt;""),N(BD772)+N(AU772)/100+ROW()/10^9,"")</f>
        <v/>
      </c>
    </row>
    <row r="773" customFormat="false" ht="15" hidden="false" customHeight="false" outlineLevel="0" collapsed="false">
      <c r="A773" s="24" t="str">
        <f aca="false">IF(OR(B773="",G773="",H773=""),"",IFERROR(INDEX(Settings!$E$5:$E$49,MATCH(G773,Settings!$D$5:$D$49,0))&amp;INDEX(Settings!$H$5:$H$47,MATCH(H773,Settings!$G$5:$G$47,0))&amp;"-"&amp;TEXT(B773,"yymmdd")&amp;"-"&amp;IF(C773="","0000",TEXT(C773,"hhmm")),"CHECK LISTS"))</f>
        <v/>
      </c>
      <c r="B773" s="39"/>
      <c r="C773" s="40"/>
      <c r="D773" s="24" t="str">
        <f aca="false">IF(B773="","",TEXT(B773,"ddd"))</f>
        <v/>
      </c>
      <c r="E773" s="27" t="str">
        <f aca="false">IF(B773="","",B773-WEEKDAY(B773,3))</f>
        <v/>
      </c>
      <c r="F773" s="24" t="str">
        <f aca="false">IF(B773="","",TEXT(B773,"yyyy-mm"))</f>
        <v/>
      </c>
      <c r="G773" s="29"/>
      <c r="H773" s="29"/>
      <c r="I773" s="29"/>
      <c r="J773" s="29"/>
      <c r="K773" s="29"/>
      <c r="L773" s="29"/>
      <c r="M773" s="29"/>
      <c r="N773" s="29"/>
      <c r="O773" s="29"/>
      <c r="P773" s="29"/>
      <c r="Q773" s="30"/>
      <c r="R773" s="29"/>
      <c r="S773" s="32"/>
      <c r="T773" s="29"/>
      <c r="U773" s="29"/>
      <c r="V773" s="24" t="str">
        <f aca="false">IF(A773="","",IFERROR(INDEX(Settings!$F$5:$F$49,MATCH(G773,Settings!$D$5:$D$49,0)),""))</f>
        <v/>
      </c>
      <c r="W773" s="24" t="str">
        <f aca="false">IF(A773="","",IF(OR(P773="",P773="Organic"),"social","paid_social"))</f>
        <v/>
      </c>
      <c r="X773" s="24" t="str">
        <f aca="false">IF(A773="","",IF(K773&lt;&gt;"",IFERROR(INDEX('Case Studies'!$C$5:$C$54,MATCH(K773,'Case Studies'!$B$5:$B$54,0))&amp;"","case-study"),IF(J773&lt;&gt;"",IFERROR(INDEX(Settings!$J$5:$J$55,MATCH(J773,Settings!$I$5:$I$55,0)),"general"),"general")))</f>
        <v/>
      </c>
      <c r="Y773" s="24" t="str">
        <f aca="false">IF(A773="","",LOWER(A773))</f>
        <v/>
      </c>
      <c r="Z773" s="24" t="str">
        <f aca="false">IF(A773="","",IF(T773="",Settings!$B$5,T773)&amp;IF(ISNUMBER(FIND("?",IF(T773="",Settings!$B$5,T773))),"&amp;","?")&amp;"utm_source="&amp;V773&amp;"&amp;utm_medium="&amp;W773&amp;"&amp;utm_campaign="&amp;X773&amp;"&amp;utm_content="&amp;Y773)</f>
        <v/>
      </c>
      <c r="AA773" s="29"/>
      <c r="AB773" s="39"/>
      <c r="AC773" s="32"/>
      <c r="AD773" s="32"/>
      <c r="AE773" s="32"/>
      <c r="AF773" s="32"/>
      <c r="AG773" s="32"/>
      <c r="AH773" s="32"/>
      <c r="AI773" s="32"/>
      <c r="AJ773" s="32"/>
      <c r="AK773" s="32"/>
      <c r="AL773" s="32"/>
      <c r="AM773" s="32"/>
      <c r="AN773" s="32"/>
      <c r="AO773" s="33" t="str">
        <f aca="false">IF(A773="","",IF(AD773&lt;&gt;"",AD773,IF(AC773&lt;&gt;"",AC773,"")))</f>
        <v/>
      </c>
      <c r="AP773" s="24" t="str">
        <f aca="false">IF(AO773="","",IF(AD773&lt;&gt;"","Reported reach","Impressions (proxy)"))</f>
        <v/>
      </c>
      <c r="AQ773" s="34" t="str">
        <f aca="false">IF(OR(AO773="",N(S773)=0),"",AO773/S773)</f>
        <v/>
      </c>
      <c r="AR773" s="33" t="str">
        <f aca="false">IF(A773="","",IF(COUNT(AF773:AJ773)=0,"",SUM(AF773:AJ773)))</f>
        <v/>
      </c>
      <c r="AS773" s="34" t="str">
        <f aca="false">IF(OR(AR773="",N(AO773)=0),"",AR773/AO773)</f>
        <v/>
      </c>
      <c r="AT773" s="34" t="str">
        <f aca="false">IF(OR(AR773="",N(AC773)=0),"",AR773/AC773)</f>
        <v/>
      </c>
      <c r="AU773" s="34" t="str">
        <f aca="false">IF(OR(AR773="",N(S773)=0),"",AR773/S773)</f>
        <v/>
      </c>
      <c r="AV773" s="34" t="str">
        <f aca="false">IF(OR(AJ773="",N(AC773)=0),"",AJ773/AC773)</f>
        <v/>
      </c>
      <c r="AW773" s="34" t="str">
        <f aca="false">IF(OR(AH773="",N(AO773)=0),"",AH773/AO773)</f>
        <v/>
      </c>
      <c r="AX773" s="35" t="str">
        <f aca="false">IF(OR(AR773="",N(AO773)=0),"",(N(AF773)*Settings!$B$6+N(AG773)*Settings!$B$7+N(AH773)*Settings!$B$8+N(AI773)*Settings!$B$9+N(AJ773)*Settings!$B$10)/AO773*1000)</f>
        <v/>
      </c>
      <c r="AY773" s="36" t="str">
        <f aca="false">IF(AS773="","",IFERROR(AS773/AVERAGEIFS('Post Tracker'!$AS$5:$AS$1004,'Post Tracker'!$G$5:$G$1004,G773),""))</f>
        <v/>
      </c>
      <c r="AZ773" s="32"/>
      <c r="BA773" s="32"/>
      <c r="BB773" s="32"/>
      <c r="BC773" s="32"/>
      <c r="BD773" s="33" t="str">
        <f aca="false">IF(A773="","",COUNTIFS('Demo Pipeline'!$Q$5:$Q$504,A773))</f>
        <v/>
      </c>
      <c r="BE773" s="33" t="str">
        <f aca="false">IF(A773="","",COUNTIFS('Demo Pipeline'!$Q$5:$Q$504,A773,'Demo Pipeline'!$W$5:$W$504,"Attended"))</f>
        <v/>
      </c>
      <c r="BF773" s="33" t="str">
        <f aca="false">IF(A773="","",COUNTIFS('Demo Pipeline'!$Q$5:$Q$504,A773,'Demo Pipeline'!$X$5:$X$504,"Yes"))</f>
        <v/>
      </c>
      <c r="BG773" s="33" t="str">
        <f aca="false">IF(A773="","",COUNTIFS('Demo Pipeline'!$Q$5:$Q$504,A773,'Demo Pipeline'!$Y$5:$Y$504,"Closed Won"))</f>
        <v/>
      </c>
      <c r="BH773" s="37" t="str">
        <f aca="false">IF(A773="","",SUMIFS('Demo Pipeline'!$Z$5:$Z$504,'Demo Pipeline'!$Q$5:$Q$504,A773))</f>
        <v/>
      </c>
      <c r="BI773" s="34" t="str">
        <f aca="false">IF(OR(AZ773="",N(AJ773)=0),"",AZ773/AJ773)</f>
        <v/>
      </c>
      <c r="BJ773" s="34" t="str">
        <f aca="false">IF(OR(BB773="",N(AZ773)=0),"",BB773/AZ773)</f>
        <v/>
      </c>
      <c r="BK773" s="34" t="str">
        <f aca="false">IF(OR(A773="",N(BB773)=0),"",BD773/BB773)</f>
        <v/>
      </c>
      <c r="BL773" s="34" t="str">
        <f aca="false">IF(OR(A773="",N(AZ773)=0),"",BD773/AZ773)</f>
        <v/>
      </c>
      <c r="BM773" s="37" t="str">
        <f aca="false">IF(OR(N(Q773)=0,N(BD773)=0),"",Q773/BD773)</f>
        <v/>
      </c>
      <c r="BN773" s="29"/>
      <c r="BO773" s="29"/>
      <c r="BP773" s="33" t="str">
        <f aca="false">IF(OR(AR773="",N(AO773)=0),"",AR773)</f>
        <v/>
      </c>
      <c r="BQ773" s="33" t="str">
        <f aca="false">IF(OR(AR773="",N(S773)=0),"",S773)</f>
        <v/>
      </c>
      <c r="BR773" s="38" t="str">
        <f aca="false">IF(AND(ISNUMBER(B773),B773&gt;=Dashboard!$C$4,B773&lt;=Dashboard!$F$4,ISNUMBER(AU773)),AU773+ROW()/10^9,"")</f>
        <v/>
      </c>
      <c r="BS773" s="38" t="str">
        <f aca="false">IF(AND(ISNUMBER(B773),B773&gt;=Dashboard!$C$4,B773&lt;=Dashboard!$F$4,A773&lt;&gt;""),N(BD773)+N(AU773)/100+ROW()/10^9,"")</f>
        <v/>
      </c>
    </row>
    <row r="774" customFormat="false" ht="15" hidden="false" customHeight="false" outlineLevel="0" collapsed="false">
      <c r="A774" s="24" t="str">
        <f aca="false">IF(OR(B774="",G774="",H774=""),"",IFERROR(INDEX(Settings!$E$5:$E$49,MATCH(G774,Settings!$D$5:$D$49,0))&amp;INDEX(Settings!$H$5:$H$47,MATCH(H774,Settings!$G$5:$G$47,0))&amp;"-"&amp;TEXT(B774,"yymmdd")&amp;"-"&amp;IF(C774="","0000",TEXT(C774,"hhmm")),"CHECK LISTS"))</f>
        <v/>
      </c>
      <c r="B774" s="39"/>
      <c r="C774" s="40"/>
      <c r="D774" s="24" t="str">
        <f aca="false">IF(B774="","",TEXT(B774,"ddd"))</f>
        <v/>
      </c>
      <c r="E774" s="27" t="str">
        <f aca="false">IF(B774="","",B774-WEEKDAY(B774,3))</f>
        <v/>
      </c>
      <c r="F774" s="24" t="str">
        <f aca="false">IF(B774="","",TEXT(B774,"yyyy-mm"))</f>
        <v/>
      </c>
      <c r="G774" s="29"/>
      <c r="H774" s="29"/>
      <c r="I774" s="29"/>
      <c r="J774" s="29"/>
      <c r="K774" s="29"/>
      <c r="L774" s="29"/>
      <c r="M774" s="29"/>
      <c r="N774" s="29"/>
      <c r="O774" s="29"/>
      <c r="P774" s="29"/>
      <c r="Q774" s="30"/>
      <c r="R774" s="29"/>
      <c r="S774" s="32"/>
      <c r="T774" s="29"/>
      <c r="U774" s="29"/>
      <c r="V774" s="24" t="str">
        <f aca="false">IF(A774="","",IFERROR(INDEX(Settings!$F$5:$F$49,MATCH(G774,Settings!$D$5:$D$49,0)),""))</f>
        <v/>
      </c>
      <c r="W774" s="24" t="str">
        <f aca="false">IF(A774="","",IF(OR(P774="",P774="Organic"),"social","paid_social"))</f>
        <v/>
      </c>
      <c r="X774" s="24" t="str">
        <f aca="false">IF(A774="","",IF(K774&lt;&gt;"",IFERROR(INDEX('Case Studies'!$C$5:$C$54,MATCH(K774,'Case Studies'!$B$5:$B$54,0))&amp;"","case-study"),IF(J774&lt;&gt;"",IFERROR(INDEX(Settings!$J$5:$J$55,MATCH(J774,Settings!$I$5:$I$55,0)),"general"),"general")))</f>
        <v/>
      </c>
      <c r="Y774" s="24" t="str">
        <f aca="false">IF(A774="","",LOWER(A774))</f>
        <v/>
      </c>
      <c r="Z774" s="24" t="str">
        <f aca="false">IF(A774="","",IF(T774="",Settings!$B$5,T774)&amp;IF(ISNUMBER(FIND("?",IF(T774="",Settings!$B$5,T774))),"&amp;","?")&amp;"utm_source="&amp;V774&amp;"&amp;utm_medium="&amp;W774&amp;"&amp;utm_campaign="&amp;X774&amp;"&amp;utm_content="&amp;Y774)</f>
        <v/>
      </c>
      <c r="AA774" s="29"/>
      <c r="AB774" s="39"/>
      <c r="AC774" s="32"/>
      <c r="AD774" s="32"/>
      <c r="AE774" s="32"/>
      <c r="AF774" s="32"/>
      <c r="AG774" s="32"/>
      <c r="AH774" s="32"/>
      <c r="AI774" s="32"/>
      <c r="AJ774" s="32"/>
      <c r="AK774" s="32"/>
      <c r="AL774" s="32"/>
      <c r="AM774" s="32"/>
      <c r="AN774" s="32"/>
      <c r="AO774" s="33" t="str">
        <f aca="false">IF(A774="","",IF(AD774&lt;&gt;"",AD774,IF(AC774&lt;&gt;"",AC774,"")))</f>
        <v/>
      </c>
      <c r="AP774" s="24" t="str">
        <f aca="false">IF(AO774="","",IF(AD774&lt;&gt;"","Reported reach","Impressions (proxy)"))</f>
        <v/>
      </c>
      <c r="AQ774" s="34" t="str">
        <f aca="false">IF(OR(AO774="",N(S774)=0),"",AO774/S774)</f>
        <v/>
      </c>
      <c r="AR774" s="33" t="str">
        <f aca="false">IF(A774="","",IF(COUNT(AF774:AJ774)=0,"",SUM(AF774:AJ774)))</f>
        <v/>
      </c>
      <c r="AS774" s="34" t="str">
        <f aca="false">IF(OR(AR774="",N(AO774)=0),"",AR774/AO774)</f>
        <v/>
      </c>
      <c r="AT774" s="34" t="str">
        <f aca="false">IF(OR(AR774="",N(AC774)=0),"",AR774/AC774)</f>
        <v/>
      </c>
      <c r="AU774" s="34" t="str">
        <f aca="false">IF(OR(AR774="",N(S774)=0),"",AR774/S774)</f>
        <v/>
      </c>
      <c r="AV774" s="34" t="str">
        <f aca="false">IF(OR(AJ774="",N(AC774)=0),"",AJ774/AC774)</f>
        <v/>
      </c>
      <c r="AW774" s="34" t="str">
        <f aca="false">IF(OR(AH774="",N(AO774)=0),"",AH774/AO774)</f>
        <v/>
      </c>
      <c r="AX774" s="35" t="str">
        <f aca="false">IF(OR(AR774="",N(AO774)=0),"",(N(AF774)*Settings!$B$6+N(AG774)*Settings!$B$7+N(AH774)*Settings!$B$8+N(AI774)*Settings!$B$9+N(AJ774)*Settings!$B$10)/AO774*1000)</f>
        <v/>
      </c>
      <c r="AY774" s="36" t="str">
        <f aca="false">IF(AS774="","",IFERROR(AS774/AVERAGEIFS('Post Tracker'!$AS$5:$AS$1004,'Post Tracker'!$G$5:$G$1004,G774),""))</f>
        <v/>
      </c>
      <c r="AZ774" s="32"/>
      <c r="BA774" s="32"/>
      <c r="BB774" s="32"/>
      <c r="BC774" s="32"/>
      <c r="BD774" s="33" t="str">
        <f aca="false">IF(A774="","",COUNTIFS('Demo Pipeline'!$Q$5:$Q$504,A774))</f>
        <v/>
      </c>
      <c r="BE774" s="33" t="str">
        <f aca="false">IF(A774="","",COUNTIFS('Demo Pipeline'!$Q$5:$Q$504,A774,'Demo Pipeline'!$W$5:$W$504,"Attended"))</f>
        <v/>
      </c>
      <c r="BF774" s="33" t="str">
        <f aca="false">IF(A774="","",COUNTIFS('Demo Pipeline'!$Q$5:$Q$504,A774,'Demo Pipeline'!$X$5:$X$504,"Yes"))</f>
        <v/>
      </c>
      <c r="BG774" s="33" t="str">
        <f aca="false">IF(A774="","",COUNTIFS('Demo Pipeline'!$Q$5:$Q$504,A774,'Demo Pipeline'!$Y$5:$Y$504,"Closed Won"))</f>
        <v/>
      </c>
      <c r="BH774" s="37" t="str">
        <f aca="false">IF(A774="","",SUMIFS('Demo Pipeline'!$Z$5:$Z$504,'Demo Pipeline'!$Q$5:$Q$504,A774))</f>
        <v/>
      </c>
      <c r="BI774" s="34" t="str">
        <f aca="false">IF(OR(AZ774="",N(AJ774)=0),"",AZ774/AJ774)</f>
        <v/>
      </c>
      <c r="BJ774" s="34" t="str">
        <f aca="false">IF(OR(BB774="",N(AZ774)=0),"",BB774/AZ774)</f>
        <v/>
      </c>
      <c r="BK774" s="34" t="str">
        <f aca="false">IF(OR(A774="",N(BB774)=0),"",BD774/BB774)</f>
        <v/>
      </c>
      <c r="BL774" s="34" t="str">
        <f aca="false">IF(OR(A774="",N(AZ774)=0),"",BD774/AZ774)</f>
        <v/>
      </c>
      <c r="BM774" s="37" t="str">
        <f aca="false">IF(OR(N(Q774)=0,N(BD774)=0),"",Q774/BD774)</f>
        <v/>
      </c>
      <c r="BN774" s="29"/>
      <c r="BO774" s="29"/>
      <c r="BP774" s="33" t="str">
        <f aca="false">IF(OR(AR774="",N(AO774)=0),"",AR774)</f>
        <v/>
      </c>
      <c r="BQ774" s="33" t="str">
        <f aca="false">IF(OR(AR774="",N(S774)=0),"",S774)</f>
        <v/>
      </c>
      <c r="BR774" s="38" t="str">
        <f aca="false">IF(AND(ISNUMBER(B774),B774&gt;=Dashboard!$C$4,B774&lt;=Dashboard!$F$4,ISNUMBER(AU774)),AU774+ROW()/10^9,"")</f>
        <v/>
      </c>
      <c r="BS774" s="38" t="str">
        <f aca="false">IF(AND(ISNUMBER(B774),B774&gt;=Dashboard!$C$4,B774&lt;=Dashboard!$F$4,A774&lt;&gt;""),N(BD774)+N(AU774)/100+ROW()/10^9,"")</f>
        <v/>
      </c>
    </row>
    <row r="775" customFormat="false" ht="15" hidden="false" customHeight="false" outlineLevel="0" collapsed="false">
      <c r="A775" s="24" t="str">
        <f aca="false">IF(OR(B775="",G775="",H775=""),"",IFERROR(INDEX(Settings!$E$5:$E$49,MATCH(G775,Settings!$D$5:$D$49,0))&amp;INDEX(Settings!$H$5:$H$47,MATCH(H775,Settings!$G$5:$G$47,0))&amp;"-"&amp;TEXT(B775,"yymmdd")&amp;"-"&amp;IF(C775="","0000",TEXT(C775,"hhmm")),"CHECK LISTS"))</f>
        <v/>
      </c>
      <c r="B775" s="39"/>
      <c r="C775" s="40"/>
      <c r="D775" s="24" t="str">
        <f aca="false">IF(B775="","",TEXT(B775,"ddd"))</f>
        <v/>
      </c>
      <c r="E775" s="27" t="str">
        <f aca="false">IF(B775="","",B775-WEEKDAY(B775,3))</f>
        <v/>
      </c>
      <c r="F775" s="24" t="str">
        <f aca="false">IF(B775="","",TEXT(B775,"yyyy-mm"))</f>
        <v/>
      </c>
      <c r="G775" s="29"/>
      <c r="H775" s="29"/>
      <c r="I775" s="29"/>
      <c r="J775" s="29"/>
      <c r="K775" s="29"/>
      <c r="L775" s="29"/>
      <c r="M775" s="29"/>
      <c r="N775" s="29"/>
      <c r="O775" s="29"/>
      <c r="P775" s="29"/>
      <c r="Q775" s="30"/>
      <c r="R775" s="29"/>
      <c r="S775" s="32"/>
      <c r="T775" s="29"/>
      <c r="U775" s="29"/>
      <c r="V775" s="24" t="str">
        <f aca="false">IF(A775="","",IFERROR(INDEX(Settings!$F$5:$F$49,MATCH(G775,Settings!$D$5:$D$49,0)),""))</f>
        <v/>
      </c>
      <c r="W775" s="24" t="str">
        <f aca="false">IF(A775="","",IF(OR(P775="",P775="Organic"),"social","paid_social"))</f>
        <v/>
      </c>
      <c r="X775" s="24" t="str">
        <f aca="false">IF(A775="","",IF(K775&lt;&gt;"",IFERROR(INDEX('Case Studies'!$C$5:$C$54,MATCH(K775,'Case Studies'!$B$5:$B$54,0))&amp;"","case-study"),IF(J775&lt;&gt;"",IFERROR(INDEX(Settings!$J$5:$J$55,MATCH(J775,Settings!$I$5:$I$55,0)),"general"),"general")))</f>
        <v/>
      </c>
      <c r="Y775" s="24" t="str">
        <f aca="false">IF(A775="","",LOWER(A775))</f>
        <v/>
      </c>
      <c r="Z775" s="24" t="str">
        <f aca="false">IF(A775="","",IF(T775="",Settings!$B$5,T775)&amp;IF(ISNUMBER(FIND("?",IF(T775="",Settings!$B$5,T775))),"&amp;","?")&amp;"utm_source="&amp;V775&amp;"&amp;utm_medium="&amp;W775&amp;"&amp;utm_campaign="&amp;X775&amp;"&amp;utm_content="&amp;Y775)</f>
        <v/>
      </c>
      <c r="AA775" s="29"/>
      <c r="AB775" s="39"/>
      <c r="AC775" s="32"/>
      <c r="AD775" s="32"/>
      <c r="AE775" s="32"/>
      <c r="AF775" s="32"/>
      <c r="AG775" s="32"/>
      <c r="AH775" s="32"/>
      <c r="AI775" s="32"/>
      <c r="AJ775" s="32"/>
      <c r="AK775" s="32"/>
      <c r="AL775" s="32"/>
      <c r="AM775" s="32"/>
      <c r="AN775" s="32"/>
      <c r="AO775" s="33" t="str">
        <f aca="false">IF(A775="","",IF(AD775&lt;&gt;"",AD775,IF(AC775&lt;&gt;"",AC775,"")))</f>
        <v/>
      </c>
      <c r="AP775" s="24" t="str">
        <f aca="false">IF(AO775="","",IF(AD775&lt;&gt;"","Reported reach","Impressions (proxy)"))</f>
        <v/>
      </c>
      <c r="AQ775" s="34" t="str">
        <f aca="false">IF(OR(AO775="",N(S775)=0),"",AO775/S775)</f>
        <v/>
      </c>
      <c r="AR775" s="33" t="str">
        <f aca="false">IF(A775="","",IF(COUNT(AF775:AJ775)=0,"",SUM(AF775:AJ775)))</f>
        <v/>
      </c>
      <c r="AS775" s="34" t="str">
        <f aca="false">IF(OR(AR775="",N(AO775)=0),"",AR775/AO775)</f>
        <v/>
      </c>
      <c r="AT775" s="34" t="str">
        <f aca="false">IF(OR(AR775="",N(AC775)=0),"",AR775/AC775)</f>
        <v/>
      </c>
      <c r="AU775" s="34" t="str">
        <f aca="false">IF(OR(AR775="",N(S775)=0),"",AR775/S775)</f>
        <v/>
      </c>
      <c r="AV775" s="34" t="str">
        <f aca="false">IF(OR(AJ775="",N(AC775)=0),"",AJ775/AC775)</f>
        <v/>
      </c>
      <c r="AW775" s="34" t="str">
        <f aca="false">IF(OR(AH775="",N(AO775)=0),"",AH775/AO775)</f>
        <v/>
      </c>
      <c r="AX775" s="35" t="str">
        <f aca="false">IF(OR(AR775="",N(AO775)=0),"",(N(AF775)*Settings!$B$6+N(AG775)*Settings!$B$7+N(AH775)*Settings!$B$8+N(AI775)*Settings!$B$9+N(AJ775)*Settings!$B$10)/AO775*1000)</f>
        <v/>
      </c>
      <c r="AY775" s="36" t="str">
        <f aca="false">IF(AS775="","",IFERROR(AS775/AVERAGEIFS('Post Tracker'!$AS$5:$AS$1004,'Post Tracker'!$G$5:$G$1004,G775),""))</f>
        <v/>
      </c>
      <c r="AZ775" s="32"/>
      <c r="BA775" s="32"/>
      <c r="BB775" s="32"/>
      <c r="BC775" s="32"/>
      <c r="BD775" s="33" t="str">
        <f aca="false">IF(A775="","",COUNTIFS('Demo Pipeline'!$Q$5:$Q$504,A775))</f>
        <v/>
      </c>
      <c r="BE775" s="33" t="str">
        <f aca="false">IF(A775="","",COUNTIFS('Demo Pipeline'!$Q$5:$Q$504,A775,'Demo Pipeline'!$W$5:$W$504,"Attended"))</f>
        <v/>
      </c>
      <c r="BF775" s="33" t="str">
        <f aca="false">IF(A775="","",COUNTIFS('Demo Pipeline'!$Q$5:$Q$504,A775,'Demo Pipeline'!$X$5:$X$504,"Yes"))</f>
        <v/>
      </c>
      <c r="BG775" s="33" t="str">
        <f aca="false">IF(A775="","",COUNTIFS('Demo Pipeline'!$Q$5:$Q$504,A775,'Demo Pipeline'!$Y$5:$Y$504,"Closed Won"))</f>
        <v/>
      </c>
      <c r="BH775" s="37" t="str">
        <f aca="false">IF(A775="","",SUMIFS('Demo Pipeline'!$Z$5:$Z$504,'Demo Pipeline'!$Q$5:$Q$504,A775))</f>
        <v/>
      </c>
      <c r="BI775" s="34" t="str">
        <f aca="false">IF(OR(AZ775="",N(AJ775)=0),"",AZ775/AJ775)</f>
        <v/>
      </c>
      <c r="BJ775" s="34" t="str">
        <f aca="false">IF(OR(BB775="",N(AZ775)=0),"",BB775/AZ775)</f>
        <v/>
      </c>
      <c r="BK775" s="34" t="str">
        <f aca="false">IF(OR(A775="",N(BB775)=0),"",BD775/BB775)</f>
        <v/>
      </c>
      <c r="BL775" s="34" t="str">
        <f aca="false">IF(OR(A775="",N(AZ775)=0),"",BD775/AZ775)</f>
        <v/>
      </c>
      <c r="BM775" s="37" t="str">
        <f aca="false">IF(OR(N(Q775)=0,N(BD775)=0),"",Q775/BD775)</f>
        <v/>
      </c>
      <c r="BN775" s="29"/>
      <c r="BO775" s="29"/>
      <c r="BP775" s="33" t="str">
        <f aca="false">IF(OR(AR775="",N(AO775)=0),"",AR775)</f>
        <v/>
      </c>
      <c r="BQ775" s="33" t="str">
        <f aca="false">IF(OR(AR775="",N(S775)=0),"",S775)</f>
        <v/>
      </c>
      <c r="BR775" s="38" t="str">
        <f aca="false">IF(AND(ISNUMBER(B775),B775&gt;=Dashboard!$C$4,B775&lt;=Dashboard!$F$4,ISNUMBER(AU775)),AU775+ROW()/10^9,"")</f>
        <v/>
      </c>
      <c r="BS775" s="38" t="str">
        <f aca="false">IF(AND(ISNUMBER(B775),B775&gt;=Dashboard!$C$4,B775&lt;=Dashboard!$F$4,A775&lt;&gt;""),N(BD775)+N(AU775)/100+ROW()/10^9,"")</f>
        <v/>
      </c>
    </row>
    <row r="776" customFormat="false" ht="15" hidden="false" customHeight="false" outlineLevel="0" collapsed="false">
      <c r="A776" s="24" t="str">
        <f aca="false">IF(OR(B776="",G776="",H776=""),"",IFERROR(INDEX(Settings!$E$5:$E$49,MATCH(G776,Settings!$D$5:$D$49,0))&amp;INDEX(Settings!$H$5:$H$47,MATCH(H776,Settings!$G$5:$G$47,0))&amp;"-"&amp;TEXT(B776,"yymmdd")&amp;"-"&amp;IF(C776="","0000",TEXT(C776,"hhmm")),"CHECK LISTS"))</f>
        <v/>
      </c>
      <c r="B776" s="39"/>
      <c r="C776" s="40"/>
      <c r="D776" s="24" t="str">
        <f aca="false">IF(B776="","",TEXT(B776,"ddd"))</f>
        <v/>
      </c>
      <c r="E776" s="27" t="str">
        <f aca="false">IF(B776="","",B776-WEEKDAY(B776,3))</f>
        <v/>
      </c>
      <c r="F776" s="24" t="str">
        <f aca="false">IF(B776="","",TEXT(B776,"yyyy-mm"))</f>
        <v/>
      </c>
      <c r="G776" s="29"/>
      <c r="H776" s="29"/>
      <c r="I776" s="29"/>
      <c r="J776" s="29"/>
      <c r="K776" s="29"/>
      <c r="L776" s="29"/>
      <c r="M776" s="29"/>
      <c r="N776" s="29"/>
      <c r="O776" s="29"/>
      <c r="P776" s="29"/>
      <c r="Q776" s="30"/>
      <c r="R776" s="29"/>
      <c r="S776" s="32"/>
      <c r="T776" s="29"/>
      <c r="U776" s="29"/>
      <c r="V776" s="24" t="str">
        <f aca="false">IF(A776="","",IFERROR(INDEX(Settings!$F$5:$F$49,MATCH(G776,Settings!$D$5:$D$49,0)),""))</f>
        <v/>
      </c>
      <c r="W776" s="24" t="str">
        <f aca="false">IF(A776="","",IF(OR(P776="",P776="Organic"),"social","paid_social"))</f>
        <v/>
      </c>
      <c r="X776" s="24" t="str">
        <f aca="false">IF(A776="","",IF(K776&lt;&gt;"",IFERROR(INDEX('Case Studies'!$C$5:$C$54,MATCH(K776,'Case Studies'!$B$5:$B$54,0))&amp;"","case-study"),IF(J776&lt;&gt;"",IFERROR(INDEX(Settings!$J$5:$J$55,MATCH(J776,Settings!$I$5:$I$55,0)),"general"),"general")))</f>
        <v/>
      </c>
      <c r="Y776" s="24" t="str">
        <f aca="false">IF(A776="","",LOWER(A776))</f>
        <v/>
      </c>
      <c r="Z776" s="24" t="str">
        <f aca="false">IF(A776="","",IF(T776="",Settings!$B$5,T776)&amp;IF(ISNUMBER(FIND("?",IF(T776="",Settings!$B$5,T776))),"&amp;","?")&amp;"utm_source="&amp;V776&amp;"&amp;utm_medium="&amp;W776&amp;"&amp;utm_campaign="&amp;X776&amp;"&amp;utm_content="&amp;Y776)</f>
        <v/>
      </c>
      <c r="AA776" s="29"/>
      <c r="AB776" s="39"/>
      <c r="AC776" s="32"/>
      <c r="AD776" s="32"/>
      <c r="AE776" s="32"/>
      <c r="AF776" s="32"/>
      <c r="AG776" s="32"/>
      <c r="AH776" s="32"/>
      <c r="AI776" s="32"/>
      <c r="AJ776" s="32"/>
      <c r="AK776" s="32"/>
      <c r="AL776" s="32"/>
      <c r="AM776" s="32"/>
      <c r="AN776" s="32"/>
      <c r="AO776" s="33" t="str">
        <f aca="false">IF(A776="","",IF(AD776&lt;&gt;"",AD776,IF(AC776&lt;&gt;"",AC776,"")))</f>
        <v/>
      </c>
      <c r="AP776" s="24" t="str">
        <f aca="false">IF(AO776="","",IF(AD776&lt;&gt;"","Reported reach","Impressions (proxy)"))</f>
        <v/>
      </c>
      <c r="AQ776" s="34" t="str">
        <f aca="false">IF(OR(AO776="",N(S776)=0),"",AO776/S776)</f>
        <v/>
      </c>
      <c r="AR776" s="33" t="str">
        <f aca="false">IF(A776="","",IF(COUNT(AF776:AJ776)=0,"",SUM(AF776:AJ776)))</f>
        <v/>
      </c>
      <c r="AS776" s="34" t="str">
        <f aca="false">IF(OR(AR776="",N(AO776)=0),"",AR776/AO776)</f>
        <v/>
      </c>
      <c r="AT776" s="34" t="str">
        <f aca="false">IF(OR(AR776="",N(AC776)=0),"",AR776/AC776)</f>
        <v/>
      </c>
      <c r="AU776" s="34" t="str">
        <f aca="false">IF(OR(AR776="",N(S776)=0),"",AR776/S776)</f>
        <v/>
      </c>
      <c r="AV776" s="34" t="str">
        <f aca="false">IF(OR(AJ776="",N(AC776)=0),"",AJ776/AC776)</f>
        <v/>
      </c>
      <c r="AW776" s="34" t="str">
        <f aca="false">IF(OR(AH776="",N(AO776)=0),"",AH776/AO776)</f>
        <v/>
      </c>
      <c r="AX776" s="35" t="str">
        <f aca="false">IF(OR(AR776="",N(AO776)=0),"",(N(AF776)*Settings!$B$6+N(AG776)*Settings!$B$7+N(AH776)*Settings!$B$8+N(AI776)*Settings!$B$9+N(AJ776)*Settings!$B$10)/AO776*1000)</f>
        <v/>
      </c>
      <c r="AY776" s="36" t="str">
        <f aca="false">IF(AS776="","",IFERROR(AS776/AVERAGEIFS('Post Tracker'!$AS$5:$AS$1004,'Post Tracker'!$G$5:$G$1004,G776),""))</f>
        <v/>
      </c>
      <c r="AZ776" s="32"/>
      <c r="BA776" s="32"/>
      <c r="BB776" s="32"/>
      <c r="BC776" s="32"/>
      <c r="BD776" s="33" t="str">
        <f aca="false">IF(A776="","",COUNTIFS('Demo Pipeline'!$Q$5:$Q$504,A776))</f>
        <v/>
      </c>
      <c r="BE776" s="33" t="str">
        <f aca="false">IF(A776="","",COUNTIFS('Demo Pipeline'!$Q$5:$Q$504,A776,'Demo Pipeline'!$W$5:$W$504,"Attended"))</f>
        <v/>
      </c>
      <c r="BF776" s="33" t="str">
        <f aca="false">IF(A776="","",COUNTIFS('Demo Pipeline'!$Q$5:$Q$504,A776,'Demo Pipeline'!$X$5:$X$504,"Yes"))</f>
        <v/>
      </c>
      <c r="BG776" s="33" t="str">
        <f aca="false">IF(A776="","",COUNTIFS('Demo Pipeline'!$Q$5:$Q$504,A776,'Demo Pipeline'!$Y$5:$Y$504,"Closed Won"))</f>
        <v/>
      </c>
      <c r="BH776" s="37" t="str">
        <f aca="false">IF(A776="","",SUMIFS('Demo Pipeline'!$Z$5:$Z$504,'Demo Pipeline'!$Q$5:$Q$504,A776))</f>
        <v/>
      </c>
      <c r="BI776" s="34" t="str">
        <f aca="false">IF(OR(AZ776="",N(AJ776)=0),"",AZ776/AJ776)</f>
        <v/>
      </c>
      <c r="BJ776" s="34" t="str">
        <f aca="false">IF(OR(BB776="",N(AZ776)=0),"",BB776/AZ776)</f>
        <v/>
      </c>
      <c r="BK776" s="34" t="str">
        <f aca="false">IF(OR(A776="",N(BB776)=0),"",BD776/BB776)</f>
        <v/>
      </c>
      <c r="BL776" s="34" t="str">
        <f aca="false">IF(OR(A776="",N(AZ776)=0),"",BD776/AZ776)</f>
        <v/>
      </c>
      <c r="BM776" s="37" t="str">
        <f aca="false">IF(OR(N(Q776)=0,N(BD776)=0),"",Q776/BD776)</f>
        <v/>
      </c>
      <c r="BN776" s="29"/>
      <c r="BO776" s="29"/>
      <c r="BP776" s="33" t="str">
        <f aca="false">IF(OR(AR776="",N(AO776)=0),"",AR776)</f>
        <v/>
      </c>
      <c r="BQ776" s="33" t="str">
        <f aca="false">IF(OR(AR776="",N(S776)=0),"",S776)</f>
        <v/>
      </c>
      <c r="BR776" s="38" t="str">
        <f aca="false">IF(AND(ISNUMBER(B776),B776&gt;=Dashboard!$C$4,B776&lt;=Dashboard!$F$4,ISNUMBER(AU776)),AU776+ROW()/10^9,"")</f>
        <v/>
      </c>
      <c r="BS776" s="38" t="str">
        <f aca="false">IF(AND(ISNUMBER(B776),B776&gt;=Dashboard!$C$4,B776&lt;=Dashboard!$F$4,A776&lt;&gt;""),N(BD776)+N(AU776)/100+ROW()/10^9,"")</f>
        <v/>
      </c>
    </row>
    <row r="777" customFormat="false" ht="15" hidden="false" customHeight="false" outlineLevel="0" collapsed="false">
      <c r="A777" s="24" t="str">
        <f aca="false">IF(OR(B777="",G777="",H777=""),"",IFERROR(INDEX(Settings!$E$5:$E$49,MATCH(G777,Settings!$D$5:$D$49,0))&amp;INDEX(Settings!$H$5:$H$47,MATCH(H777,Settings!$G$5:$G$47,0))&amp;"-"&amp;TEXT(B777,"yymmdd")&amp;"-"&amp;IF(C777="","0000",TEXT(C777,"hhmm")),"CHECK LISTS"))</f>
        <v/>
      </c>
      <c r="B777" s="39"/>
      <c r="C777" s="40"/>
      <c r="D777" s="24" t="str">
        <f aca="false">IF(B777="","",TEXT(B777,"ddd"))</f>
        <v/>
      </c>
      <c r="E777" s="27" t="str">
        <f aca="false">IF(B777="","",B777-WEEKDAY(B777,3))</f>
        <v/>
      </c>
      <c r="F777" s="24" t="str">
        <f aca="false">IF(B777="","",TEXT(B777,"yyyy-mm"))</f>
        <v/>
      </c>
      <c r="G777" s="29"/>
      <c r="H777" s="29"/>
      <c r="I777" s="29"/>
      <c r="J777" s="29"/>
      <c r="K777" s="29"/>
      <c r="L777" s="29"/>
      <c r="M777" s="29"/>
      <c r="N777" s="29"/>
      <c r="O777" s="29"/>
      <c r="P777" s="29"/>
      <c r="Q777" s="30"/>
      <c r="R777" s="29"/>
      <c r="S777" s="32"/>
      <c r="T777" s="29"/>
      <c r="U777" s="29"/>
      <c r="V777" s="24" t="str">
        <f aca="false">IF(A777="","",IFERROR(INDEX(Settings!$F$5:$F$49,MATCH(G777,Settings!$D$5:$D$49,0)),""))</f>
        <v/>
      </c>
      <c r="W777" s="24" t="str">
        <f aca="false">IF(A777="","",IF(OR(P777="",P777="Organic"),"social","paid_social"))</f>
        <v/>
      </c>
      <c r="X777" s="24" t="str">
        <f aca="false">IF(A777="","",IF(K777&lt;&gt;"",IFERROR(INDEX('Case Studies'!$C$5:$C$54,MATCH(K777,'Case Studies'!$B$5:$B$54,0))&amp;"","case-study"),IF(J777&lt;&gt;"",IFERROR(INDEX(Settings!$J$5:$J$55,MATCH(J777,Settings!$I$5:$I$55,0)),"general"),"general")))</f>
        <v/>
      </c>
      <c r="Y777" s="24" t="str">
        <f aca="false">IF(A777="","",LOWER(A777))</f>
        <v/>
      </c>
      <c r="Z777" s="24" t="str">
        <f aca="false">IF(A777="","",IF(T777="",Settings!$B$5,T777)&amp;IF(ISNUMBER(FIND("?",IF(T777="",Settings!$B$5,T777))),"&amp;","?")&amp;"utm_source="&amp;V777&amp;"&amp;utm_medium="&amp;W777&amp;"&amp;utm_campaign="&amp;X777&amp;"&amp;utm_content="&amp;Y777)</f>
        <v/>
      </c>
      <c r="AA777" s="29"/>
      <c r="AB777" s="39"/>
      <c r="AC777" s="32"/>
      <c r="AD777" s="32"/>
      <c r="AE777" s="32"/>
      <c r="AF777" s="32"/>
      <c r="AG777" s="32"/>
      <c r="AH777" s="32"/>
      <c r="AI777" s="32"/>
      <c r="AJ777" s="32"/>
      <c r="AK777" s="32"/>
      <c r="AL777" s="32"/>
      <c r="AM777" s="32"/>
      <c r="AN777" s="32"/>
      <c r="AO777" s="33" t="str">
        <f aca="false">IF(A777="","",IF(AD777&lt;&gt;"",AD777,IF(AC777&lt;&gt;"",AC777,"")))</f>
        <v/>
      </c>
      <c r="AP777" s="24" t="str">
        <f aca="false">IF(AO777="","",IF(AD777&lt;&gt;"","Reported reach","Impressions (proxy)"))</f>
        <v/>
      </c>
      <c r="AQ777" s="34" t="str">
        <f aca="false">IF(OR(AO777="",N(S777)=0),"",AO777/S777)</f>
        <v/>
      </c>
      <c r="AR777" s="33" t="str">
        <f aca="false">IF(A777="","",IF(COUNT(AF777:AJ777)=0,"",SUM(AF777:AJ777)))</f>
        <v/>
      </c>
      <c r="AS777" s="34" t="str">
        <f aca="false">IF(OR(AR777="",N(AO777)=0),"",AR777/AO777)</f>
        <v/>
      </c>
      <c r="AT777" s="34" t="str">
        <f aca="false">IF(OR(AR777="",N(AC777)=0),"",AR777/AC777)</f>
        <v/>
      </c>
      <c r="AU777" s="34" t="str">
        <f aca="false">IF(OR(AR777="",N(S777)=0),"",AR777/S777)</f>
        <v/>
      </c>
      <c r="AV777" s="34" t="str">
        <f aca="false">IF(OR(AJ777="",N(AC777)=0),"",AJ777/AC777)</f>
        <v/>
      </c>
      <c r="AW777" s="34" t="str">
        <f aca="false">IF(OR(AH777="",N(AO777)=0),"",AH777/AO777)</f>
        <v/>
      </c>
      <c r="AX777" s="35" t="str">
        <f aca="false">IF(OR(AR777="",N(AO777)=0),"",(N(AF777)*Settings!$B$6+N(AG777)*Settings!$B$7+N(AH777)*Settings!$B$8+N(AI777)*Settings!$B$9+N(AJ777)*Settings!$B$10)/AO777*1000)</f>
        <v/>
      </c>
      <c r="AY777" s="36" t="str">
        <f aca="false">IF(AS777="","",IFERROR(AS777/AVERAGEIFS('Post Tracker'!$AS$5:$AS$1004,'Post Tracker'!$G$5:$G$1004,G777),""))</f>
        <v/>
      </c>
      <c r="AZ777" s="32"/>
      <c r="BA777" s="32"/>
      <c r="BB777" s="32"/>
      <c r="BC777" s="32"/>
      <c r="BD777" s="33" t="str">
        <f aca="false">IF(A777="","",COUNTIFS('Demo Pipeline'!$Q$5:$Q$504,A777))</f>
        <v/>
      </c>
      <c r="BE777" s="33" t="str">
        <f aca="false">IF(A777="","",COUNTIFS('Demo Pipeline'!$Q$5:$Q$504,A777,'Demo Pipeline'!$W$5:$W$504,"Attended"))</f>
        <v/>
      </c>
      <c r="BF777" s="33" t="str">
        <f aca="false">IF(A777="","",COUNTIFS('Demo Pipeline'!$Q$5:$Q$504,A777,'Demo Pipeline'!$X$5:$X$504,"Yes"))</f>
        <v/>
      </c>
      <c r="BG777" s="33" t="str">
        <f aca="false">IF(A777="","",COUNTIFS('Demo Pipeline'!$Q$5:$Q$504,A777,'Demo Pipeline'!$Y$5:$Y$504,"Closed Won"))</f>
        <v/>
      </c>
      <c r="BH777" s="37" t="str">
        <f aca="false">IF(A777="","",SUMIFS('Demo Pipeline'!$Z$5:$Z$504,'Demo Pipeline'!$Q$5:$Q$504,A777))</f>
        <v/>
      </c>
      <c r="BI777" s="34" t="str">
        <f aca="false">IF(OR(AZ777="",N(AJ777)=0),"",AZ777/AJ777)</f>
        <v/>
      </c>
      <c r="BJ777" s="34" t="str">
        <f aca="false">IF(OR(BB777="",N(AZ777)=0),"",BB777/AZ777)</f>
        <v/>
      </c>
      <c r="BK777" s="34" t="str">
        <f aca="false">IF(OR(A777="",N(BB777)=0),"",BD777/BB777)</f>
        <v/>
      </c>
      <c r="BL777" s="34" t="str">
        <f aca="false">IF(OR(A777="",N(AZ777)=0),"",BD777/AZ777)</f>
        <v/>
      </c>
      <c r="BM777" s="37" t="str">
        <f aca="false">IF(OR(N(Q777)=0,N(BD777)=0),"",Q777/BD777)</f>
        <v/>
      </c>
      <c r="BN777" s="29"/>
      <c r="BO777" s="29"/>
      <c r="BP777" s="33" t="str">
        <f aca="false">IF(OR(AR777="",N(AO777)=0),"",AR777)</f>
        <v/>
      </c>
      <c r="BQ777" s="33" t="str">
        <f aca="false">IF(OR(AR777="",N(S777)=0),"",S777)</f>
        <v/>
      </c>
      <c r="BR777" s="38" t="str">
        <f aca="false">IF(AND(ISNUMBER(B777),B777&gt;=Dashboard!$C$4,B777&lt;=Dashboard!$F$4,ISNUMBER(AU777)),AU777+ROW()/10^9,"")</f>
        <v/>
      </c>
      <c r="BS777" s="38" t="str">
        <f aca="false">IF(AND(ISNUMBER(B777),B777&gt;=Dashboard!$C$4,B777&lt;=Dashboard!$F$4,A777&lt;&gt;""),N(BD777)+N(AU777)/100+ROW()/10^9,"")</f>
        <v/>
      </c>
    </row>
    <row r="778" customFormat="false" ht="15" hidden="false" customHeight="false" outlineLevel="0" collapsed="false">
      <c r="A778" s="24" t="str">
        <f aca="false">IF(OR(B778="",G778="",H778=""),"",IFERROR(INDEX(Settings!$E$5:$E$49,MATCH(G778,Settings!$D$5:$D$49,0))&amp;INDEX(Settings!$H$5:$H$47,MATCH(H778,Settings!$G$5:$G$47,0))&amp;"-"&amp;TEXT(B778,"yymmdd")&amp;"-"&amp;IF(C778="","0000",TEXT(C778,"hhmm")),"CHECK LISTS"))</f>
        <v/>
      </c>
      <c r="B778" s="39"/>
      <c r="C778" s="40"/>
      <c r="D778" s="24" t="str">
        <f aca="false">IF(B778="","",TEXT(B778,"ddd"))</f>
        <v/>
      </c>
      <c r="E778" s="27" t="str">
        <f aca="false">IF(B778="","",B778-WEEKDAY(B778,3))</f>
        <v/>
      </c>
      <c r="F778" s="24" t="str">
        <f aca="false">IF(B778="","",TEXT(B778,"yyyy-mm"))</f>
        <v/>
      </c>
      <c r="G778" s="29"/>
      <c r="H778" s="29"/>
      <c r="I778" s="29"/>
      <c r="J778" s="29"/>
      <c r="K778" s="29"/>
      <c r="L778" s="29"/>
      <c r="M778" s="29"/>
      <c r="N778" s="29"/>
      <c r="O778" s="29"/>
      <c r="P778" s="29"/>
      <c r="Q778" s="30"/>
      <c r="R778" s="29"/>
      <c r="S778" s="32"/>
      <c r="T778" s="29"/>
      <c r="U778" s="29"/>
      <c r="V778" s="24" t="str">
        <f aca="false">IF(A778="","",IFERROR(INDEX(Settings!$F$5:$F$49,MATCH(G778,Settings!$D$5:$D$49,0)),""))</f>
        <v/>
      </c>
      <c r="W778" s="24" t="str">
        <f aca="false">IF(A778="","",IF(OR(P778="",P778="Organic"),"social","paid_social"))</f>
        <v/>
      </c>
      <c r="X778" s="24" t="str">
        <f aca="false">IF(A778="","",IF(K778&lt;&gt;"",IFERROR(INDEX('Case Studies'!$C$5:$C$54,MATCH(K778,'Case Studies'!$B$5:$B$54,0))&amp;"","case-study"),IF(J778&lt;&gt;"",IFERROR(INDEX(Settings!$J$5:$J$55,MATCH(J778,Settings!$I$5:$I$55,0)),"general"),"general")))</f>
        <v/>
      </c>
      <c r="Y778" s="24" t="str">
        <f aca="false">IF(A778="","",LOWER(A778))</f>
        <v/>
      </c>
      <c r="Z778" s="24" t="str">
        <f aca="false">IF(A778="","",IF(T778="",Settings!$B$5,T778)&amp;IF(ISNUMBER(FIND("?",IF(T778="",Settings!$B$5,T778))),"&amp;","?")&amp;"utm_source="&amp;V778&amp;"&amp;utm_medium="&amp;W778&amp;"&amp;utm_campaign="&amp;X778&amp;"&amp;utm_content="&amp;Y778)</f>
        <v/>
      </c>
      <c r="AA778" s="29"/>
      <c r="AB778" s="39"/>
      <c r="AC778" s="32"/>
      <c r="AD778" s="32"/>
      <c r="AE778" s="32"/>
      <c r="AF778" s="32"/>
      <c r="AG778" s="32"/>
      <c r="AH778" s="32"/>
      <c r="AI778" s="32"/>
      <c r="AJ778" s="32"/>
      <c r="AK778" s="32"/>
      <c r="AL778" s="32"/>
      <c r="AM778" s="32"/>
      <c r="AN778" s="32"/>
      <c r="AO778" s="33" t="str">
        <f aca="false">IF(A778="","",IF(AD778&lt;&gt;"",AD778,IF(AC778&lt;&gt;"",AC778,"")))</f>
        <v/>
      </c>
      <c r="AP778" s="24" t="str">
        <f aca="false">IF(AO778="","",IF(AD778&lt;&gt;"","Reported reach","Impressions (proxy)"))</f>
        <v/>
      </c>
      <c r="AQ778" s="34" t="str">
        <f aca="false">IF(OR(AO778="",N(S778)=0),"",AO778/S778)</f>
        <v/>
      </c>
      <c r="AR778" s="33" t="str">
        <f aca="false">IF(A778="","",IF(COUNT(AF778:AJ778)=0,"",SUM(AF778:AJ778)))</f>
        <v/>
      </c>
      <c r="AS778" s="34" t="str">
        <f aca="false">IF(OR(AR778="",N(AO778)=0),"",AR778/AO778)</f>
        <v/>
      </c>
      <c r="AT778" s="34" t="str">
        <f aca="false">IF(OR(AR778="",N(AC778)=0),"",AR778/AC778)</f>
        <v/>
      </c>
      <c r="AU778" s="34" t="str">
        <f aca="false">IF(OR(AR778="",N(S778)=0),"",AR778/S778)</f>
        <v/>
      </c>
      <c r="AV778" s="34" t="str">
        <f aca="false">IF(OR(AJ778="",N(AC778)=0),"",AJ778/AC778)</f>
        <v/>
      </c>
      <c r="AW778" s="34" t="str">
        <f aca="false">IF(OR(AH778="",N(AO778)=0),"",AH778/AO778)</f>
        <v/>
      </c>
      <c r="AX778" s="35" t="str">
        <f aca="false">IF(OR(AR778="",N(AO778)=0),"",(N(AF778)*Settings!$B$6+N(AG778)*Settings!$B$7+N(AH778)*Settings!$B$8+N(AI778)*Settings!$B$9+N(AJ778)*Settings!$B$10)/AO778*1000)</f>
        <v/>
      </c>
      <c r="AY778" s="36" t="str">
        <f aca="false">IF(AS778="","",IFERROR(AS778/AVERAGEIFS('Post Tracker'!$AS$5:$AS$1004,'Post Tracker'!$G$5:$G$1004,G778),""))</f>
        <v/>
      </c>
      <c r="AZ778" s="32"/>
      <c r="BA778" s="32"/>
      <c r="BB778" s="32"/>
      <c r="BC778" s="32"/>
      <c r="BD778" s="33" t="str">
        <f aca="false">IF(A778="","",COUNTIFS('Demo Pipeline'!$Q$5:$Q$504,A778))</f>
        <v/>
      </c>
      <c r="BE778" s="33" t="str">
        <f aca="false">IF(A778="","",COUNTIFS('Demo Pipeline'!$Q$5:$Q$504,A778,'Demo Pipeline'!$W$5:$W$504,"Attended"))</f>
        <v/>
      </c>
      <c r="BF778" s="33" t="str">
        <f aca="false">IF(A778="","",COUNTIFS('Demo Pipeline'!$Q$5:$Q$504,A778,'Demo Pipeline'!$X$5:$X$504,"Yes"))</f>
        <v/>
      </c>
      <c r="BG778" s="33" t="str">
        <f aca="false">IF(A778="","",COUNTIFS('Demo Pipeline'!$Q$5:$Q$504,A778,'Demo Pipeline'!$Y$5:$Y$504,"Closed Won"))</f>
        <v/>
      </c>
      <c r="BH778" s="37" t="str">
        <f aca="false">IF(A778="","",SUMIFS('Demo Pipeline'!$Z$5:$Z$504,'Demo Pipeline'!$Q$5:$Q$504,A778))</f>
        <v/>
      </c>
      <c r="BI778" s="34" t="str">
        <f aca="false">IF(OR(AZ778="",N(AJ778)=0),"",AZ778/AJ778)</f>
        <v/>
      </c>
      <c r="BJ778" s="34" t="str">
        <f aca="false">IF(OR(BB778="",N(AZ778)=0),"",BB778/AZ778)</f>
        <v/>
      </c>
      <c r="BK778" s="34" t="str">
        <f aca="false">IF(OR(A778="",N(BB778)=0),"",BD778/BB778)</f>
        <v/>
      </c>
      <c r="BL778" s="34" t="str">
        <f aca="false">IF(OR(A778="",N(AZ778)=0),"",BD778/AZ778)</f>
        <v/>
      </c>
      <c r="BM778" s="37" t="str">
        <f aca="false">IF(OR(N(Q778)=0,N(BD778)=0),"",Q778/BD778)</f>
        <v/>
      </c>
      <c r="BN778" s="29"/>
      <c r="BO778" s="29"/>
      <c r="BP778" s="33" t="str">
        <f aca="false">IF(OR(AR778="",N(AO778)=0),"",AR778)</f>
        <v/>
      </c>
      <c r="BQ778" s="33" t="str">
        <f aca="false">IF(OR(AR778="",N(S778)=0),"",S778)</f>
        <v/>
      </c>
      <c r="BR778" s="38" t="str">
        <f aca="false">IF(AND(ISNUMBER(B778),B778&gt;=Dashboard!$C$4,B778&lt;=Dashboard!$F$4,ISNUMBER(AU778)),AU778+ROW()/10^9,"")</f>
        <v/>
      </c>
      <c r="BS778" s="38" t="str">
        <f aca="false">IF(AND(ISNUMBER(B778),B778&gt;=Dashboard!$C$4,B778&lt;=Dashboard!$F$4,A778&lt;&gt;""),N(BD778)+N(AU778)/100+ROW()/10^9,"")</f>
        <v/>
      </c>
    </row>
    <row r="779" customFormat="false" ht="15" hidden="false" customHeight="false" outlineLevel="0" collapsed="false">
      <c r="A779" s="24" t="str">
        <f aca="false">IF(OR(B779="",G779="",H779=""),"",IFERROR(INDEX(Settings!$E$5:$E$49,MATCH(G779,Settings!$D$5:$D$49,0))&amp;INDEX(Settings!$H$5:$H$47,MATCH(H779,Settings!$G$5:$G$47,0))&amp;"-"&amp;TEXT(B779,"yymmdd")&amp;"-"&amp;IF(C779="","0000",TEXT(C779,"hhmm")),"CHECK LISTS"))</f>
        <v/>
      </c>
      <c r="B779" s="39"/>
      <c r="C779" s="40"/>
      <c r="D779" s="24" t="str">
        <f aca="false">IF(B779="","",TEXT(B779,"ddd"))</f>
        <v/>
      </c>
      <c r="E779" s="27" t="str">
        <f aca="false">IF(B779="","",B779-WEEKDAY(B779,3))</f>
        <v/>
      </c>
      <c r="F779" s="24" t="str">
        <f aca="false">IF(B779="","",TEXT(B779,"yyyy-mm"))</f>
        <v/>
      </c>
      <c r="G779" s="29"/>
      <c r="H779" s="29"/>
      <c r="I779" s="29"/>
      <c r="J779" s="29"/>
      <c r="K779" s="29"/>
      <c r="L779" s="29"/>
      <c r="M779" s="29"/>
      <c r="N779" s="29"/>
      <c r="O779" s="29"/>
      <c r="P779" s="29"/>
      <c r="Q779" s="30"/>
      <c r="R779" s="29"/>
      <c r="S779" s="32"/>
      <c r="T779" s="29"/>
      <c r="U779" s="29"/>
      <c r="V779" s="24" t="str">
        <f aca="false">IF(A779="","",IFERROR(INDEX(Settings!$F$5:$F$49,MATCH(G779,Settings!$D$5:$D$49,0)),""))</f>
        <v/>
      </c>
      <c r="W779" s="24" t="str">
        <f aca="false">IF(A779="","",IF(OR(P779="",P779="Organic"),"social","paid_social"))</f>
        <v/>
      </c>
      <c r="X779" s="24" t="str">
        <f aca="false">IF(A779="","",IF(K779&lt;&gt;"",IFERROR(INDEX('Case Studies'!$C$5:$C$54,MATCH(K779,'Case Studies'!$B$5:$B$54,0))&amp;"","case-study"),IF(J779&lt;&gt;"",IFERROR(INDEX(Settings!$J$5:$J$55,MATCH(J779,Settings!$I$5:$I$55,0)),"general"),"general")))</f>
        <v/>
      </c>
      <c r="Y779" s="24" t="str">
        <f aca="false">IF(A779="","",LOWER(A779))</f>
        <v/>
      </c>
      <c r="Z779" s="24" t="str">
        <f aca="false">IF(A779="","",IF(T779="",Settings!$B$5,T779)&amp;IF(ISNUMBER(FIND("?",IF(T779="",Settings!$B$5,T779))),"&amp;","?")&amp;"utm_source="&amp;V779&amp;"&amp;utm_medium="&amp;W779&amp;"&amp;utm_campaign="&amp;X779&amp;"&amp;utm_content="&amp;Y779)</f>
        <v/>
      </c>
      <c r="AA779" s="29"/>
      <c r="AB779" s="39"/>
      <c r="AC779" s="32"/>
      <c r="AD779" s="32"/>
      <c r="AE779" s="32"/>
      <c r="AF779" s="32"/>
      <c r="AG779" s="32"/>
      <c r="AH779" s="32"/>
      <c r="AI779" s="32"/>
      <c r="AJ779" s="32"/>
      <c r="AK779" s="32"/>
      <c r="AL779" s="32"/>
      <c r="AM779" s="32"/>
      <c r="AN779" s="32"/>
      <c r="AO779" s="33" t="str">
        <f aca="false">IF(A779="","",IF(AD779&lt;&gt;"",AD779,IF(AC779&lt;&gt;"",AC779,"")))</f>
        <v/>
      </c>
      <c r="AP779" s="24" t="str">
        <f aca="false">IF(AO779="","",IF(AD779&lt;&gt;"","Reported reach","Impressions (proxy)"))</f>
        <v/>
      </c>
      <c r="AQ779" s="34" t="str">
        <f aca="false">IF(OR(AO779="",N(S779)=0),"",AO779/S779)</f>
        <v/>
      </c>
      <c r="AR779" s="33" t="str">
        <f aca="false">IF(A779="","",IF(COUNT(AF779:AJ779)=0,"",SUM(AF779:AJ779)))</f>
        <v/>
      </c>
      <c r="AS779" s="34" t="str">
        <f aca="false">IF(OR(AR779="",N(AO779)=0),"",AR779/AO779)</f>
        <v/>
      </c>
      <c r="AT779" s="34" t="str">
        <f aca="false">IF(OR(AR779="",N(AC779)=0),"",AR779/AC779)</f>
        <v/>
      </c>
      <c r="AU779" s="34" t="str">
        <f aca="false">IF(OR(AR779="",N(S779)=0),"",AR779/S779)</f>
        <v/>
      </c>
      <c r="AV779" s="34" t="str">
        <f aca="false">IF(OR(AJ779="",N(AC779)=0),"",AJ779/AC779)</f>
        <v/>
      </c>
      <c r="AW779" s="34" t="str">
        <f aca="false">IF(OR(AH779="",N(AO779)=0),"",AH779/AO779)</f>
        <v/>
      </c>
      <c r="AX779" s="35" t="str">
        <f aca="false">IF(OR(AR779="",N(AO779)=0),"",(N(AF779)*Settings!$B$6+N(AG779)*Settings!$B$7+N(AH779)*Settings!$B$8+N(AI779)*Settings!$B$9+N(AJ779)*Settings!$B$10)/AO779*1000)</f>
        <v/>
      </c>
      <c r="AY779" s="36" t="str">
        <f aca="false">IF(AS779="","",IFERROR(AS779/AVERAGEIFS('Post Tracker'!$AS$5:$AS$1004,'Post Tracker'!$G$5:$G$1004,G779),""))</f>
        <v/>
      </c>
      <c r="AZ779" s="32"/>
      <c r="BA779" s="32"/>
      <c r="BB779" s="32"/>
      <c r="BC779" s="32"/>
      <c r="BD779" s="33" t="str">
        <f aca="false">IF(A779="","",COUNTIFS('Demo Pipeline'!$Q$5:$Q$504,A779))</f>
        <v/>
      </c>
      <c r="BE779" s="33" t="str">
        <f aca="false">IF(A779="","",COUNTIFS('Demo Pipeline'!$Q$5:$Q$504,A779,'Demo Pipeline'!$W$5:$W$504,"Attended"))</f>
        <v/>
      </c>
      <c r="BF779" s="33" t="str">
        <f aca="false">IF(A779="","",COUNTIFS('Demo Pipeline'!$Q$5:$Q$504,A779,'Demo Pipeline'!$X$5:$X$504,"Yes"))</f>
        <v/>
      </c>
      <c r="BG779" s="33" t="str">
        <f aca="false">IF(A779="","",COUNTIFS('Demo Pipeline'!$Q$5:$Q$504,A779,'Demo Pipeline'!$Y$5:$Y$504,"Closed Won"))</f>
        <v/>
      </c>
      <c r="BH779" s="37" t="str">
        <f aca="false">IF(A779="","",SUMIFS('Demo Pipeline'!$Z$5:$Z$504,'Demo Pipeline'!$Q$5:$Q$504,A779))</f>
        <v/>
      </c>
      <c r="BI779" s="34" t="str">
        <f aca="false">IF(OR(AZ779="",N(AJ779)=0),"",AZ779/AJ779)</f>
        <v/>
      </c>
      <c r="BJ779" s="34" t="str">
        <f aca="false">IF(OR(BB779="",N(AZ779)=0),"",BB779/AZ779)</f>
        <v/>
      </c>
      <c r="BK779" s="34" t="str">
        <f aca="false">IF(OR(A779="",N(BB779)=0),"",BD779/BB779)</f>
        <v/>
      </c>
      <c r="BL779" s="34" t="str">
        <f aca="false">IF(OR(A779="",N(AZ779)=0),"",BD779/AZ779)</f>
        <v/>
      </c>
      <c r="BM779" s="37" t="str">
        <f aca="false">IF(OR(N(Q779)=0,N(BD779)=0),"",Q779/BD779)</f>
        <v/>
      </c>
      <c r="BN779" s="29"/>
      <c r="BO779" s="29"/>
      <c r="BP779" s="33" t="str">
        <f aca="false">IF(OR(AR779="",N(AO779)=0),"",AR779)</f>
        <v/>
      </c>
      <c r="BQ779" s="33" t="str">
        <f aca="false">IF(OR(AR779="",N(S779)=0),"",S779)</f>
        <v/>
      </c>
      <c r="BR779" s="38" t="str">
        <f aca="false">IF(AND(ISNUMBER(B779),B779&gt;=Dashboard!$C$4,B779&lt;=Dashboard!$F$4,ISNUMBER(AU779)),AU779+ROW()/10^9,"")</f>
        <v/>
      </c>
      <c r="BS779" s="38" t="str">
        <f aca="false">IF(AND(ISNUMBER(B779),B779&gt;=Dashboard!$C$4,B779&lt;=Dashboard!$F$4,A779&lt;&gt;""),N(BD779)+N(AU779)/100+ROW()/10^9,"")</f>
        <v/>
      </c>
    </row>
    <row r="780" customFormat="false" ht="15" hidden="false" customHeight="false" outlineLevel="0" collapsed="false">
      <c r="A780" s="24" t="str">
        <f aca="false">IF(OR(B780="",G780="",H780=""),"",IFERROR(INDEX(Settings!$E$5:$E$49,MATCH(G780,Settings!$D$5:$D$49,0))&amp;INDEX(Settings!$H$5:$H$47,MATCH(H780,Settings!$G$5:$G$47,0))&amp;"-"&amp;TEXT(B780,"yymmdd")&amp;"-"&amp;IF(C780="","0000",TEXT(C780,"hhmm")),"CHECK LISTS"))</f>
        <v/>
      </c>
      <c r="B780" s="39"/>
      <c r="C780" s="40"/>
      <c r="D780" s="24" t="str">
        <f aca="false">IF(B780="","",TEXT(B780,"ddd"))</f>
        <v/>
      </c>
      <c r="E780" s="27" t="str">
        <f aca="false">IF(B780="","",B780-WEEKDAY(B780,3))</f>
        <v/>
      </c>
      <c r="F780" s="24" t="str">
        <f aca="false">IF(B780="","",TEXT(B780,"yyyy-mm"))</f>
        <v/>
      </c>
      <c r="G780" s="29"/>
      <c r="H780" s="29"/>
      <c r="I780" s="29"/>
      <c r="J780" s="29"/>
      <c r="K780" s="29"/>
      <c r="L780" s="29"/>
      <c r="M780" s="29"/>
      <c r="N780" s="29"/>
      <c r="O780" s="29"/>
      <c r="P780" s="29"/>
      <c r="Q780" s="30"/>
      <c r="R780" s="29"/>
      <c r="S780" s="32"/>
      <c r="T780" s="29"/>
      <c r="U780" s="29"/>
      <c r="V780" s="24" t="str">
        <f aca="false">IF(A780="","",IFERROR(INDEX(Settings!$F$5:$F$49,MATCH(G780,Settings!$D$5:$D$49,0)),""))</f>
        <v/>
      </c>
      <c r="W780" s="24" t="str">
        <f aca="false">IF(A780="","",IF(OR(P780="",P780="Organic"),"social","paid_social"))</f>
        <v/>
      </c>
      <c r="X780" s="24" t="str">
        <f aca="false">IF(A780="","",IF(K780&lt;&gt;"",IFERROR(INDEX('Case Studies'!$C$5:$C$54,MATCH(K780,'Case Studies'!$B$5:$B$54,0))&amp;"","case-study"),IF(J780&lt;&gt;"",IFERROR(INDEX(Settings!$J$5:$J$55,MATCH(J780,Settings!$I$5:$I$55,0)),"general"),"general")))</f>
        <v/>
      </c>
      <c r="Y780" s="24" t="str">
        <f aca="false">IF(A780="","",LOWER(A780))</f>
        <v/>
      </c>
      <c r="Z780" s="24" t="str">
        <f aca="false">IF(A780="","",IF(T780="",Settings!$B$5,T780)&amp;IF(ISNUMBER(FIND("?",IF(T780="",Settings!$B$5,T780))),"&amp;","?")&amp;"utm_source="&amp;V780&amp;"&amp;utm_medium="&amp;W780&amp;"&amp;utm_campaign="&amp;X780&amp;"&amp;utm_content="&amp;Y780)</f>
        <v/>
      </c>
      <c r="AA780" s="29"/>
      <c r="AB780" s="39"/>
      <c r="AC780" s="32"/>
      <c r="AD780" s="32"/>
      <c r="AE780" s="32"/>
      <c r="AF780" s="32"/>
      <c r="AG780" s="32"/>
      <c r="AH780" s="32"/>
      <c r="AI780" s="32"/>
      <c r="AJ780" s="32"/>
      <c r="AK780" s="32"/>
      <c r="AL780" s="32"/>
      <c r="AM780" s="32"/>
      <c r="AN780" s="32"/>
      <c r="AO780" s="33" t="str">
        <f aca="false">IF(A780="","",IF(AD780&lt;&gt;"",AD780,IF(AC780&lt;&gt;"",AC780,"")))</f>
        <v/>
      </c>
      <c r="AP780" s="24" t="str">
        <f aca="false">IF(AO780="","",IF(AD780&lt;&gt;"","Reported reach","Impressions (proxy)"))</f>
        <v/>
      </c>
      <c r="AQ780" s="34" t="str">
        <f aca="false">IF(OR(AO780="",N(S780)=0),"",AO780/S780)</f>
        <v/>
      </c>
      <c r="AR780" s="33" t="str">
        <f aca="false">IF(A780="","",IF(COUNT(AF780:AJ780)=0,"",SUM(AF780:AJ780)))</f>
        <v/>
      </c>
      <c r="AS780" s="34" t="str">
        <f aca="false">IF(OR(AR780="",N(AO780)=0),"",AR780/AO780)</f>
        <v/>
      </c>
      <c r="AT780" s="34" t="str">
        <f aca="false">IF(OR(AR780="",N(AC780)=0),"",AR780/AC780)</f>
        <v/>
      </c>
      <c r="AU780" s="34" t="str">
        <f aca="false">IF(OR(AR780="",N(S780)=0),"",AR780/S780)</f>
        <v/>
      </c>
      <c r="AV780" s="34" t="str">
        <f aca="false">IF(OR(AJ780="",N(AC780)=0),"",AJ780/AC780)</f>
        <v/>
      </c>
      <c r="AW780" s="34" t="str">
        <f aca="false">IF(OR(AH780="",N(AO780)=0),"",AH780/AO780)</f>
        <v/>
      </c>
      <c r="AX780" s="35" t="str">
        <f aca="false">IF(OR(AR780="",N(AO780)=0),"",(N(AF780)*Settings!$B$6+N(AG780)*Settings!$B$7+N(AH780)*Settings!$B$8+N(AI780)*Settings!$B$9+N(AJ780)*Settings!$B$10)/AO780*1000)</f>
        <v/>
      </c>
      <c r="AY780" s="36" t="str">
        <f aca="false">IF(AS780="","",IFERROR(AS780/AVERAGEIFS('Post Tracker'!$AS$5:$AS$1004,'Post Tracker'!$G$5:$G$1004,G780),""))</f>
        <v/>
      </c>
      <c r="AZ780" s="32"/>
      <c r="BA780" s="32"/>
      <c r="BB780" s="32"/>
      <c r="BC780" s="32"/>
      <c r="BD780" s="33" t="str">
        <f aca="false">IF(A780="","",COUNTIFS('Demo Pipeline'!$Q$5:$Q$504,A780))</f>
        <v/>
      </c>
      <c r="BE780" s="33" t="str">
        <f aca="false">IF(A780="","",COUNTIFS('Demo Pipeline'!$Q$5:$Q$504,A780,'Demo Pipeline'!$W$5:$W$504,"Attended"))</f>
        <v/>
      </c>
      <c r="BF780" s="33" t="str">
        <f aca="false">IF(A780="","",COUNTIFS('Demo Pipeline'!$Q$5:$Q$504,A780,'Demo Pipeline'!$X$5:$X$504,"Yes"))</f>
        <v/>
      </c>
      <c r="BG780" s="33" t="str">
        <f aca="false">IF(A780="","",COUNTIFS('Demo Pipeline'!$Q$5:$Q$504,A780,'Demo Pipeline'!$Y$5:$Y$504,"Closed Won"))</f>
        <v/>
      </c>
      <c r="BH780" s="37" t="str">
        <f aca="false">IF(A780="","",SUMIFS('Demo Pipeline'!$Z$5:$Z$504,'Demo Pipeline'!$Q$5:$Q$504,A780))</f>
        <v/>
      </c>
      <c r="BI780" s="34" t="str">
        <f aca="false">IF(OR(AZ780="",N(AJ780)=0),"",AZ780/AJ780)</f>
        <v/>
      </c>
      <c r="BJ780" s="34" t="str">
        <f aca="false">IF(OR(BB780="",N(AZ780)=0),"",BB780/AZ780)</f>
        <v/>
      </c>
      <c r="BK780" s="34" t="str">
        <f aca="false">IF(OR(A780="",N(BB780)=0),"",BD780/BB780)</f>
        <v/>
      </c>
      <c r="BL780" s="34" t="str">
        <f aca="false">IF(OR(A780="",N(AZ780)=0),"",BD780/AZ780)</f>
        <v/>
      </c>
      <c r="BM780" s="37" t="str">
        <f aca="false">IF(OR(N(Q780)=0,N(BD780)=0),"",Q780/BD780)</f>
        <v/>
      </c>
      <c r="BN780" s="29"/>
      <c r="BO780" s="29"/>
      <c r="BP780" s="33" t="str">
        <f aca="false">IF(OR(AR780="",N(AO780)=0),"",AR780)</f>
        <v/>
      </c>
      <c r="BQ780" s="33" t="str">
        <f aca="false">IF(OR(AR780="",N(S780)=0),"",S780)</f>
        <v/>
      </c>
      <c r="BR780" s="38" t="str">
        <f aca="false">IF(AND(ISNUMBER(B780),B780&gt;=Dashboard!$C$4,B780&lt;=Dashboard!$F$4,ISNUMBER(AU780)),AU780+ROW()/10^9,"")</f>
        <v/>
      </c>
      <c r="BS780" s="38" t="str">
        <f aca="false">IF(AND(ISNUMBER(B780),B780&gt;=Dashboard!$C$4,B780&lt;=Dashboard!$F$4,A780&lt;&gt;""),N(BD780)+N(AU780)/100+ROW()/10^9,"")</f>
        <v/>
      </c>
    </row>
    <row r="781" customFormat="false" ht="15" hidden="false" customHeight="false" outlineLevel="0" collapsed="false">
      <c r="A781" s="24" t="str">
        <f aca="false">IF(OR(B781="",G781="",H781=""),"",IFERROR(INDEX(Settings!$E$5:$E$49,MATCH(G781,Settings!$D$5:$D$49,0))&amp;INDEX(Settings!$H$5:$H$47,MATCH(H781,Settings!$G$5:$G$47,0))&amp;"-"&amp;TEXT(B781,"yymmdd")&amp;"-"&amp;IF(C781="","0000",TEXT(C781,"hhmm")),"CHECK LISTS"))</f>
        <v/>
      </c>
      <c r="B781" s="39"/>
      <c r="C781" s="40"/>
      <c r="D781" s="24" t="str">
        <f aca="false">IF(B781="","",TEXT(B781,"ddd"))</f>
        <v/>
      </c>
      <c r="E781" s="27" t="str">
        <f aca="false">IF(B781="","",B781-WEEKDAY(B781,3))</f>
        <v/>
      </c>
      <c r="F781" s="24" t="str">
        <f aca="false">IF(B781="","",TEXT(B781,"yyyy-mm"))</f>
        <v/>
      </c>
      <c r="G781" s="29"/>
      <c r="H781" s="29"/>
      <c r="I781" s="29"/>
      <c r="J781" s="29"/>
      <c r="K781" s="29"/>
      <c r="L781" s="29"/>
      <c r="M781" s="29"/>
      <c r="N781" s="29"/>
      <c r="O781" s="29"/>
      <c r="P781" s="29"/>
      <c r="Q781" s="30"/>
      <c r="R781" s="29"/>
      <c r="S781" s="32"/>
      <c r="T781" s="29"/>
      <c r="U781" s="29"/>
      <c r="V781" s="24" t="str">
        <f aca="false">IF(A781="","",IFERROR(INDEX(Settings!$F$5:$F$49,MATCH(G781,Settings!$D$5:$D$49,0)),""))</f>
        <v/>
      </c>
      <c r="W781" s="24" t="str">
        <f aca="false">IF(A781="","",IF(OR(P781="",P781="Organic"),"social","paid_social"))</f>
        <v/>
      </c>
      <c r="X781" s="24" t="str">
        <f aca="false">IF(A781="","",IF(K781&lt;&gt;"",IFERROR(INDEX('Case Studies'!$C$5:$C$54,MATCH(K781,'Case Studies'!$B$5:$B$54,0))&amp;"","case-study"),IF(J781&lt;&gt;"",IFERROR(INDEX(Settings!$J$5:$J$55,MATCH(J781,Settings!$I$5:$I$55,0)),"general"),"general")))</f>
        <v/>
      </c>
      <c r="Y781" s="24" t="str">
        <f aca="false">IF(A781="","",LOWER(A781))</f>
        <v/>
      </c>
      <c r="Z781" s="24" t="str">
        <f aca="false">IF(A781="","",IF(T781="",Settings!$B$5,T781)&amp;IF(ISNUMBER(FIND("?",IF(T781="",Settings!$B$5,T781))),"&amp;","?")&amp;"utm_source="&amp;V781&amp;"&amp;utm_medium="&amp;W781&amp;"&amp;utm_campaign="&amp;X781&amp;"&amp;utm_content="&amp;Y781)</f>
        <v/>
      </c>
      <c r="AA781" s="29"/>
      <c r="AB781" s="39"/>
      <c r="AC781" s="32"/>
      <c r="AD781" s="32"/>
      <c r="AE781" s="32"/>
      <c r="AF781" s="32"/>
      <c r="AG781" s="32"/>
      <c r="AH781" s="32"/>
      <c r="AI781" s="32"/>
      <c r="AJ781" s="32"/>
      <c r="AK781" s="32"/>
      <c r="AL781" s="32"/>
      <c r="AM781" s="32"/>
      <c r="AN781" s="32"/>
      <c r="AO781" s="33" t="str">
        <f aca="false">IF(A781="","",IF(AD781&lt;&gt;"",AD781,IF(AC781&lt;&gt;"",AC781,"")))</f>
        <v/>
      </c>
      <c r="AP781" s="24" t="str">
        <f aca="false">IF(AO781="","",IF(AD781&lt;&gt;"","Reported reach","Impressions (proxy)"))</f>
        <v/>
      </c>
      <c r="AQ781" s="34" t="str">
        <f aca="false">IF(OR(AO781="",N(S781)=0),"",AO781/S781)</f>
        <v/>
      </c>
      <c r="AR781" s="33" t="str">
        <f aca="false">IF(A781="","",IF(COUNT(AF781:AJ781)=0,"",SUM(AF781:AJ781)))</f>
        <v/>
      </c>
      <c r="AS781" s="34" t="str">
        <f aca="false">IF(OR(AR781="",N(AO781)=0),"",AR781/AO781)</f>
        <v/>
      </c>
      <c r="AT781" s="34" t="str">
        <f aca="false">IF(OR(AR781="",N(AC781)=0),"",AR781/AC781)</f>
        <v/>
      </c>
      <c r="AU781" s="34" t="str">
        <f aca="false">IF(OR(AR781="",N(S781)=0),"",AR781/S781)</f>
        <v/>
      </c>
      <c r="AV781" s="34" t="str">
        <f aca="false">IF(OR(AJ781="",N(AC781)=0),"",AJ781/AC781)</f>
        <v/>
      </c>
      <c r="AW781" s="34" t="str">
        <f aca="false">IF(OR(AH781="",N(AO781)=0),"",AH781/AO781)</f>
        <v/>
      </c>
      <c r="AX781" s="35" t="str">
        <f aca="false">IF(OR(AR781="",N(AO781)=0),"",(N(AF781)*Settings!$B$6+N(AG781)*Settings!$B$7+N(AH781)*Settings!$B$8+N(AI781)*Settings!$B$9+N(AJ781)*Settings!$B$10)/AO781*1000)</f>
        <v/>
      </c>
      <c r="AY781" s="36" t="str">
        <f aca="false">IF(AS781="","",IFERROR(AS781/AVERAGEIFS('Post Tracker'!$AS$5:$AS$1004,'Post Tracker'!$G$5:$G$1004,G781),""))</f>
        <v/>
      </c>
      <c r="AZ781" s="32"/>
      <c r="BA781" s="32"/>
      <c r="BB781" s="32"/>
      <c r="BC781" s="32"/>
      <c r="BD781" s="33" t="str">
        <f aca="false">IF(A781="","",COUNTIFS('Demo Pipeline'!$Q$5:$Q$504,A781))</f>
        <v/>
      </c>
      <c r="BE781" s="33" t="str">
        <f aca="false">IF(A781="","",COUNTIFS('Demo Pipeline'!$Q$5:$Q$504,A781,'Demo Pipeline'!$W$5:$W$504,"Attended"))</f>
        <v/>
      </c>
      <c r="BF781" s="33" t="str">
        <f aca="false">IF(A781="","",COUNTIFS('Demo Pipeline'!$Q$5:$Q$504,A781,'Demo Pipeline'!$X$5:$X$504,"Yes"))</f>
        <v/>
      </c>
      <c r="BG781" s="33" t="str">
        <f aca="false">IF(A781="","",COUNTIFS('Demo Pipeline'!$Q$5:$Q$504,A781,'Demo Pipeline'!$Y$5:$Y$504,"Closed Won"))</f>
        <v/>
      </c>
      <c r="BH781" s="37" t="str">
        <f aca="false">IF(A781="","",SUMIFS('Demo Pipeline'!$Z$5:$Z$504,'Demo Pipeline'!$Q$5:$Q$504,A781))</f>
        <v/>
      </c>
      <c r="BI781" s="34" t="str">
        <f aca="false">IF(OR(AZ781="",N(AJ781)=0),"",AZ781/AJ781)</f>
        <v/>
      </c>
      <c r="BJ781" s="34" t="str">
        <f aca="false">IF(OR(BB781="",N(AZ781)=0),"",BB781/AZ781)</f>
        <v/>
      </c>
      <c r="BK781" s="34" t="str">
        <f aca="false">IF(OR(A781="",N(BB781)=0),"",BD781/BB781)</f>
        <v/>
      </c>
      <c r="BL781" s="34" t="str">
        <f aca="false">IF(OR(A781="",N(AZ781)=0),"",BD781/AZ781)</f>
        <v/>
      </c>
      <c r="BM781" s="37" t="str">
        <f aca="false">IF(OR(N(Q781)=0,N(BD781)=0),"",Q781/BD781)</f>
        <v/>
      </c>
      <c r="BN781" s="29"/>
      <c r="BO781" s="29"/>
      <c r="BP781" s="33" t="str">
        <f aca="false">IF(OR(AR781="",N(AO781)=0),"",AR781)</f>
        <v/>
      </c>
      <c r="BQ781" s="33" t="str">
        <f aca="false">IF(OR(AR781="",N(S781)=0),"",S781)</f>
        <v/>
      </c>
      <c r="BR781" s="38" t="str">
        <f aca="false">IF(AND(ISNUMBER(B781),B781&gt;=Dashboard!$C$4,B781&lt;=Dashboard!$F$4,ISNUMBER(AU781)),AU781+ROW()/10^9,"")</f>
        <v/>
      </c>
      <c r="BS781" s="38" t="str">
        <f aca="false">IF(AND(ISNUMBER(B781),B781&gt;=Dashboard!$C$4,B781&lt;=Dashboard!$F$4,A781&lt;&gt;""),N(BD781)+N(AU781)/100+ROW()/10^9,"")</f>
        <v/>
      </c>
    </row>
    <row r="782" customFormat="false" ht="15" hidden="false" customHeight="false" outlineLevel="0" collapsed="false">
      <c r="A782" s="24" t="str">
        <f aca="false">IF(OR(B782="",G782="",H782=""),"",IFERROR(INDEX(Settings!$E$5:$E$49,MATCH(G782,Settings!$D$5:$D$49,0))&amp;INDEX(Settings!$H$5:$H$47,MATCH(H782,Settings!$G$5:$G$47,0))&amp;"-"&amp;TEXT(B782,"yymmdd")&amp;"-"&amp;IF(C782="","0000",TEXT(C782,"hhmm")),"CHECK LISTS"))</f>
        <v/>
      </c>
      <c r="B782" s="39"/>
      <c r="C782" s="40"/>
      <c r="D782" s="24" t="str">
        <f aca="false">IF(B782="","",TEXT(B782,"ddd"))</f>
        <v/>
      </c>
      <c r="E782" s="27" t="str">
        <f aca="false">IF(B782="","",B782-WEEKDAY(B782,3))</f>
        <v/>
      </c>
      <c r="F782" s="24" t="str">
        <f aca="false">IF(B782="","",TEXT(B782,"yyyy-mm"))</f>
        <v/>
      </c>
      <c r="G782" s="29"/>
      <c r="H782" s="29"/>
      <c r="I782" s="29"/>
      <c r="J782" s="29"/>
      <c r="K782" s="29"/>
      <c r="L782" s="29"/>
      <c r="M782" s="29"/>
      <c r="N782" s="29"/>
      <c r="O782" s="29"/>
      <c r="P782" s="29"/>
      <c r="Q782" s="30"/>
      <c r="R782" s="29"/>
      <c r="S782" s="32"/>
      <c r="T782" s="29"/>
      <c r="U782" s="29"/>
      <c r="V782" s="24" t="str">
        <f aca="false">IF(A782="","",IFERROR(INDEX(Settings!$F$5:$F$49,MATCH(G782,Settings!$D$5:$D$49,0)),""))</f>
        <v/>
      </c>
      <c r="W782" s="24" t="str">
        <f aca="false">IF(A782="","",IF(OR(P782="",P782="Organic"),"social","paid_social"))</f>
        <v/>
      </c>
      <c r="X782" s="24" t="str">
        <f aca="false">IF(A782="","",IF(K782&lt;&gt;"",IFERROR(INDEX('Case Studies'!$C$5:$C$54,MATCH(K782,'Case Studies'!$B$5:$B$54,0))&amp;"","case-study"),IF(J782&lt;&gt;"",IFERROR(INDEX(Settings!$J$5:$J$55,MATCH(J782,Settings!$I$5:$I$55,0)),"general"),"general")))</f>
        <v/>
      </c>
      <c r="Y782" s="24" t="str">
        <f aca="false">IF(A782="","",LOWER(A782))</f>
        <v/>
      </c>
      <c r="Z782" s="24" t="str">
        <f aca="false">IF(A782="","",IF(T782="",Settings!$B$5,T782)&amp;IF(ISNUMBER(FIND("?",IF(T782="",Settings!$B$5,T782))),"&amp;","?")&amp;"utm_source="&amp;V782&amp;"&amp;utm_medium="&amp;W782&amp;"&amp;utm_campaign="&amp;X782&amp;"&amp;utm_content="&amp;Y782)</f>
        <v/>
      </c>
      <c r="AA782" s="29"/>
      <c r="AB782" s="39"/>
      <c r="AC782" s="32"/>
      <c r="AD782" s="32"/>
      <c r="AE782" s="32"/>
      <c r="AF782" s="32"/>
      <c r="AG782" s="32"/>
      <c r="AH782" s="32"/>
      <c r="AI782" s="32"/>
      <c r="AJ782" s="32"/>
      <c r="AK782" s="32"/>
      <c r="AL782" s="32"/>
      <c r="AM782" s="32"/>
      <c r="AN782" s="32"/>
      <c r="AO782" s="33" t="str">
        <f aca="false">IF(A782="","",IF(AD782&lt;&gt;"",AD782,IF(AC782&lt;&gt;"",AC782,"")))</f>
        <v/>
      </c>
      <c r="AP782" s="24" t="str">
        <f aca="false">IF(AO782="","",IF(AD782&lt;&gt;"","Reported reach","Impressions (proxy)"))</f>
        <v/>
      </c>
      <c r="AQ782" s="34" t="str">
        <f aca="false">IF(OR(AO782="",N(S782)=0),"",AO782/S782)</f>
        <v/>
      </c>
      <c r="AR782" s="33" t="str">
        <f aca="false">IF(A782="","",IF(COUNT(AF782:AJ782)=0,"",SUM(AF782:AJ782)))</f>
        <v/>
      </c>
      <c r="AS782" s="34" t="str">
        <f aca="false">IF(OR(AR782="",N(AO782)=0),"",AR782/AO782)</f>
        <v/>
      </c>
      <c r="AT782" s="34" t="str">
        <f aca="false">IF(OR(AR782="",N(AC782)=0),"",AR782/AC782)</f>
        <v/>
      </c>
      <c r="AU782" s="34" t="str">
        <f aca="false">IF(OR(AR782="",N(S782)=0),"",AR782/S782)</f>
        <v/>
      </c>
      <c r="AV782" s="34" t="str">
        <f aca="false">IF(OR(AJ782="",N(AC782)=0),"",AJ782/AC782)</f>
        <v/>
      </c>
      <c r="AW782" s="34" t="str">
        <f aca="false">IF(OR(AH782="",N(AO782)=0),"",AH782/AO782)</f>
        <v/>
      </c>
      <c r="AX782" s="35" t="str">
        <f aca="false">IF(OR(AR782="",N(AO782)=0),"",(N(AF782)*Settings!$B$6+N(AG782)*Settings!$B$7+N(AH782)*Settings!$B$8+N(AI782)*Settings!$B$9+N(AJ782)*Settings!$B$10)/AO782*1000)</f>
        <v/>
      </c>
      <c r="AY782" s="36" t="str">
        <f aca="false">IF(AS782="","",IFERROR(AS782/AVERAGEIFS('Post Tracker'!$AS$5:$AS$1004,'Post Tracker'!$G$5:$G$1004,G782),""))</f>
        <v/>
      </c>
      <c r="AZ782" s="32"/>
      <c r="BA782" s="32"/>
      <c r="BB782" s="32"/>
      <c r="BC782" s="32"/>
      <c r="BD782" s="33" t="str">
        <f aca="false">IF(A782="","",COUNTIFS('Demo Pipeline'!$Q$5:$Q$504,A782))</f>
        <v/>
      </c>
      <c r="BE782" s="33" t="str">
        <f aca="false">IF(A782="","",COUNTIFS('Demo Pipeline'!$Q$5:$Q$504,A782,'Demo Pipeline'!$W$5:$W$504,"Attended"))</f>
        <v/>
      </c>
      <c r="BF782" s="33" t="str">
        <f aca="false">IF(A782="","",COUNTIFS('Demo Pipeline'!$Q$5:$Q$504,A782,'Demo Pipeline'!$X$5:$X$504,"Yes"))</f>
        <v/>
      </c>
      <c r="BG782" s="33" t="str">
        <f aca="false">IF(A782="","",COUNTIFS('Demo Pipeline'!$Q$5:$Q$504,A782,'Demo Pipeline'!$Y$5:$Y$504,"Closed Won"))</f>
        <v/>
      </c>
      <c r="BH782" s="37" t="str">
        <f aca="false">IF(A782="","",SUMIFS('Demo Pipeline'!$Z$5:$Z$504,'Demo Pipeline'!$Q$5:$Q$504,A782))</f>
        <v/>
      </c>
      <c r="BI782" s="34" t="str">
        <f aca="false">IF(OR(AZ782="",N(AJ782)=0),"",AZ782/AJ782)</f>
        <v/>
      </c>
      <c r="BJ782" s="34" t="str">
        <f aca="false">IF(OR(BB782="",N(AZ782)=0),"",BB782/AZ782)</f>
        <v/>
      </c>
      <c r="BK782" s="34" t="str">
        <f aca="false">IF(OR(A782="",N(BB782)=0),"",BD782/BB782)</f>
        <v/>
      </c>
      <c r="BL782" s="34" t="str">
        <f aca="false">IF(OR(A782="",N(AZ782)=0),"",BD782/AZ782)</f>
        <v/>
      </c>
      <c r="BM782" s="37" t="str">
        <f aca="false">IF(OR(N(Q782)=0,N(BD782)=0),"",Q782/BD782)</f>
        <v/>
      </c>
      <c r="BN782" s="29"/>
      <c r="BO782" s="29"/>
      <c r="BP782" s="33" t="str">
        <f aca="false">IF(OR(AR782="",N(AO782)=0),"",AR782)</f>
        <v/>
      </c>
      <c r="BQ782" s="33" t="str">
        <f aca="false">IF(OR(AR782="",N(S782)=0),"",S782)</f>
        <v/>
      </c>
      <c r="BR782" s="38" t="str">
        <f aca="false">IF(AND(ISNUMBER(B782),B782&gt;=Dashboard!$C$4,B782&lt;=Dashboard!$F$4,ISNUMBER(AU782)),AU782+ROW()/10^9,"")</f>
        <v/>
      </c>
      <c r="BS782" s="38" t="str">
        <f aca="false">IF(AND(ISNUMBER(B782),B782&gt;=Dashboard!$C$4,B782&lt;=Dashboard!$F$4,A782&lt;&gt;""),N(BD782)+N(AU782)/100+ROW()/10^9,"")</f>
        <v/>
      </c>
    </row>
    <row r="783" customFormat="false" ht="15" hidden="false" customHeight="false" outlineLevel="0" collapsed="false">
      <c r="A783" s="24" t="str">
        <f aca="false">IF(OR(B783="",G783="",H783=""),"",IFERROR(INDEX(Settings!$E$5:$E$49,MATCH(G783,Settings!$D$5:$D$49,0))&amp;INDEX(Settings!$H$5:$H$47,MATCH(H783,Settings!$G$5:$G$47,0))&amp;"-"&amp;TEXT(B783,"yymmdd")&amp;"-"&amp;IF(C783="","0000",TEXT(C783,"hhmm")),"CHECK LISTS"))</f>
        <v/>
      </c>
      <c r="B783" s="39"/>
      <c r="C783" s="40"/>
      <c r="D783" s="24" t="str">
        <f aca="false">IF(B783="","",TEXT(B783,"ddd"))</f>
        <v/>
      </c>
      <c r="E783" s="27" t="str">
        <f aca="false">IF(B783="","",B783-WEEKDAY(B783,3))</f>
        <v/>
      </c>
      <c r="F783" s="24" t="str">
        <f aca="false">IF(B783="","",TEXT(B783,"yyyy-mm"))</f>
        <v/>
      </c>
      <c r="G783" s="29"/>
      <c r="H783" s="29"/>
      <c r="I783" s="29"/>
      <c r="J783" s="29"/>
      <c r="K783" s="29"/>
      <c r="L783" s="29"/>
      <c r="M783" s="29"/>
      <c r="N783" s="29"/>
      <c r="O783" s="29"/>
      <c r="P783" s="29"/>
      <c r="Q783" s="30"/>
      <c r="R783" s="29"/>
      <c r="S783" s="32"/>
      <c r="T783" s="29"/>
      <c r="U783" s="29"/>
      <c r="V783" s="24" t="str">
        <f aca="false">IF(A783="","",IFERROR(INDEX(Settings!$F$5:$F$49,MATCH(G783,Settings!$D$5:$D$49,0)),""))</f>
        <v/>
      </c>
      <c r="W783" s="24" t="str">
        <f aca="false">IF(A783="","",IF(OR(P783="",P783="Organic"),"social","paid_social"))</f>
        <v/>
      </c>
      <c r="X783" s="24" t="str">
        <f aca="false">IF(A783="","",IF(K783&lt;&gt;"",IFERROR(INDEX('Case Studies'!$C$5:$C$54,MATCH(K783,'Case Studies'!$B$5:$B$54,0))&amp;"","case-study"),IF(J783&lt;&gt;"",IFERROR(INDEX(Settings!$J$5:$J$55,MATCH(J783,Settings!$I$5:$I$55,0)),"general"),"general")))</f>
        <v/>
      </c>
      <c r="Y783" s="24" t="str">
        <f aca="false">IF(A783="","",LOWER(A783))</f>
        <v/>
      </c>
      <c r="Z783" s="24" t="str">
        <f aca="false">IF(A783="","",IF(T783="",Settings!$B$5,T783)&amp;IF(ISNUMBER(FIND("?",IF(T783="",Settings!$B$5,T783))),"&amp;","?")&amp;"utm_source="&amp;V783&amp;"&amp;utm_medium="&amp;W783&amp;"&amp;utm_campaign="&amp;X783&amp;"&amp;utm_content="&amp;Y783)</f>
        <v/>
      </c>
      <c r="AA783" s="29"/>
      <c r="AB783" s="39"/>
      <c r="AC783" s="32"/>
      <c r="AD783" s="32"/>
      <c r="AE783" s="32"/>
      <c r="AF783" s="32"/>
      <c r="AG783" s="32"/>
      <c r="AH783" s="32"/>
      <c r="AI783" s="32"/>
      <c r="AJ783" s="32"/>
      <c r="AK783" s="32"/>
      <c r="AL783" s="32"/>
      <c r="AM783" s="32"/>
      <c r="AN783" s="32"/>
      <c r="AO783" s="33" t="str">
        <f aca="false">IF(A783="","",IF(AD783&lt;&gt;"",AD783,IF(AC783&lt;&gt;"",AC783,"")))</f>
        <v/>
      </c>
      <c r="AP783" s="24" t="str">
        <f aca="false">IF(AO783="","",IF(AD783&lt;&gt;"","Reported reach","Impressions (proxy)"))</f>
        <v/>
      </c>
      <c r="AQ783" s="34" t="str">
        <f aca="false">IF(OR(AO783="",N(S783)=0),"",AO783/S783)</f>
        <v/>
      </c>
      <c r="AR783" s="33" t="str">
        <f aca="false">IF(A783="","",IF(COUNT(AF783:AJ783)=0,"",SUM(AF783:AJ783)))</f>
        <v/>
      </c>
      <c r="AS783" s="34" t="str">
        <f aca="false">IF(OR(AR783="",N(AO783)=0),"",AR783/AO783)</f>
        <v/>
      </c>
      <c r="AT783" s="34" t="str">
        <f aca="false">IF(OR(AR783="",N(AC783)=0),"",AR783/AC783)</f>
        <v/>
      </c>
      <c r="AU783" s="34" t="str">
        <f aca="false">IF(OR(AR783="",N(S783)=0),"",AR783/S783)</f>
        <v/>
      </c>
      <c r="AV783" s="34" t="str">
        <f aca="false">IF(OR(AJ783="",N(AC783)=0),"",AJ783/AC783)</f>
        <v/>
      </c>
      <c r="AW783" s="34" t="str">
        <f aca="false">IF(OR(AH783="",N(AO783)=0),"",AH783/AO783)</f>
        <v/>
      </c>
      <c r="AX783" s="35" t="str">
        <f aca="false">IF(OR(AR783="",N(AO783)=0),"",(N(AF783)*Settings!$B$6+N(AG783)*Settings!$B$7+N(AH783)*Settings!$B$8+N(AI783)*Settings!$B$9+N(AJ783)*Settings!$B$10)/AO783*1000)</f>
        <v/>
      </c>
      <c r="AY783" s="36" t="str">
        <f aca="false">IF(AS783="","",IFERROR(AS783/AVERAGEIFS('Post Tracker'!$AS$5:$AS$1004,'Post Tracker'!$G$5:$G$1004,G783),""))</f>
        <v/>
      </c>
      <c r="AZ783" s="32"/>
      <c r="BA783" s="32"/>
      <c r="BB783" s="32"/>
      <c r="BC783" s="32"/>
      <c r="BD783" s="33" t="str">
        <f aca="false">IF(A783="","",COUNTIFS('Demo Pipeline'!$Q$5:$Q$504,A783))</f>
        <v/>
      </c>
      <c r="BE783" s="33" t="str">
        <f aca="false">IF(A783="","",COUNTIFS('Demo Pipeline'!$Q$5:$Q$504,A783,'Demo Pipeline'!$W$5:$W$504,"Attended"))</f>
        <v/>
      </c>
      <c r="BF783" s="33" t="str">
        <f aca="false">IF(A783="","",COUNTIFS('Demo Pipeline'!$Q$5:$Q$504,A783,'Demo Pipeline'!$X$5:$X$504,"Yes"))</f>
        <v/>
      </c>
      <c r="BG783" s="33" t="str">
        <f aca="false">IF(A783="","",COUNTIFS('Demo Pipeline'!$Q$5:$Q$504,A783,'Demo Pipeline'!$Y$5:$Y$504,"Closed Won"))</f>
        <v/>
      </c>
      <c r="BH783" s="37" t="str">
        <f aca="false">IF(A783="","",SUMIFS('Demo Pipeline'!$Z$5:$Z$504,'Demo Pipeline'!$Q$5:$Q$504,A783))</f>
        <v/>
      </c>
      <c r="BI783" s="34" t="str">
        <f aca="false">IF(OR(AZ783="",N(AJ783)=0),"",AZ783/AJ783)</f>
        <v/>
      </c>
      <c r="BJ783" s="34" t="str">
        <f aca="false">IF(OR(BB783="",N(AZ783)=0),"",BB783/AZ783)</f>
        <v/>
      </c>
      <c r="BK783" s="34" t="str">
        <f aca="false">IF(OR(A783="",N(BB783)=0),"",BD783/BB783)</f>
        <v/>
      </c>
      <c r="BL783" s="34" t="str">
        <f aca="false">IF(OR(A783="",N(AZ783)=0),"",BD783/AZ783)</f>
        <v/>
      </c>
      <c r="BM783" s="37" t="str">
        <f aca="false">IF(OR(N(Q783)=0,N(BD783)=0),"",Q783/BD783)</f>
        <v/>
      </c>
      <c r="BN783" s="29"/>
      <c r="BO783" s="29"/>
      <c r="BP783" s="33" t="str">
        <f aca="false">IF(OR(AR783="",N(AO783)=0),"",AR783)</f>
        <v/>
      </c>
      <c r="BQ783" s="33" t="str">
        <f aca="false">IF(OR(AR783="",N(S783)=0),"",S783)</f>
        <v/>
      </c>
      <c r="BR783" s="38" t="str">
        <f aca="false">IF(AND(ISNUMBER(B783),B783&gt;=Dashboard!$C$4,B783&lt;=Dashboard!$F$4,ISNUMBER(AU783)),AU783+ROW()/10^9,"")</f>
        <v/>
      </c>
      <c r="BS783" s="38" t="str">
        <f aca="false">IF(AND(ISNUMBER(B783),B783&gt;=Dashboard!$C$4,B783&lt;=Dashboard!$F$4,A783&lt;&gt;""),N(BD783)+N(AU783)/100+ROW()/10^9,"")</f>
        <v/>
      </c>
    </row>
    <row r="784" customFormat="false" ht="15" hidden="false" customHeight="false" outlineLevel="0" collapsed="false">
      <c r="A784" s="24" t="str">
        <f aca="false">IF(OR(B784="",G784="",H784=""),"",IFERROR(INDEX(Settings!$E$5:$E$49,MATCH(G784,Settings!$D$5:$D$49,0))&amp;INDEX(Settings!$H$5:$H$47,MATCH(H784,Settings!$G$5:$G$47,0))&amp;"-"&amp;TEXT(B784,"yymmdd")&amp;"-"&amp;IF(C784="","0000",TEXT(C784,"hhmm")),"CHECK LISTS"))</f>
        <v/>
      </c>
      <c r="B784" s="39"/>
      <c r="C784" s="40"/>
      <c r="D784" s="24" t="str">
        <f aca="false">IF(B784="","",TEXT(B784,"ddd"))</f>
        <v/>
      </c>
      <c r="E784" s="27" t="str">
        <f aca="false">IF(B784="","",B784-WEEKDAY(B784,3))</f>
        <v/>
      </c>
      <c r="F784" s="24" t="str">
        <f aca="false">IF(B784="","",TEXT(B784,"yyyy-mm"))</f>
        <v/>
      </c>
      <c r="G784" s="29"/>
      <c r="H784" s="29"/>
      <c r="I784" s="29"/>
      <c r="J784" s="29"/>
      <c r="K784" s="29"/>
      <c r="L784" s="29"/>
      <c r="M784" s="29"/>
      <c r="N784" s="29"/>
      <c r="O784" s="29"/>
      <c r="P784" s="29"/>
      <c r="Q784" s="30"/>
      <c r="R784" s="29"/>
      <c r="S784" s="32"/>
      <c r="T784" s="29"/>
      <c r="U784" s="29"/>
      <c r="V784" s="24" t="str">
        <f aca="false">IF(A784="","",IFERROR(INDEX(Settings!$F$5:$F$49,MATCH(G784,Settings!$D$5:$D$49,0)),""))</f>
        <v/>
      </c>
      <c r="W784" s="24" t="str">
        <f aca="false">IF(A784="","",IF(OR(P784="",P784="Organic"),"social","paid_social"))</f>
        <v/>
      </c>
      <c r="X784" s="24" t="str">
        <f aca="false">IF(A784="","",IF(K784&lt;&gt;"",IFERROR(INDEX('Case Studies'!$C$5:$C$54,MATCH(K784,'Case Studies'!$B$5:$B$54,0))&amp;"","case-study"),IF(J784&lt;&gt;"",IFERROR(INDEX(Settings!$J$5:$J$55,MATCH(J784,Settings!$I$5:$I$55,0)),"general"),"general")))</f>
        <v/>
      </c>
      <c r="Y784" s="24" t="str">
        <f aca="false">IF(A784="","",LOWER(A784))</f>
        <v/>
      </c>
      <c r="Z784" s="24" t="str">
        <f aca="false">IF(A784="","",IF(T784="",Settings!$B$5,T784)&amp;IF(ISNUMBER(FIND("?",IF(T784="",Settings!$B$5,T784))),"&amp;","?")&amp;"utm_source="&amp;V784&amp;"&amp;utm_medium="&amp;W784&amp;"&amp;utm_campaign="&amp;X784&amp;"&amp;utm_content="&amp;Y784)</f>
        <v/>
      </c>
      <c r="AA784" s="29"/>
      <c r="AB784" s="39"/>
      <c r="AC784" s="32"/>
      <c r="AD784" s="32"/>
      <c r="AE784" s="32"/>
      <c r="AF784" s="32"/>
      <c r="AG784" s="32"/>
      <c r="AH784" s="32"/>
      <c r="AI784" s="32"/>
      <c r="AJ784" s="32"/>
      <c r="AK784" s="32"/>
      <c r="AL784" s="32"/>
      <c r="AM784" s="32"/>
      <c r="AN784" s="32"/>
      <c r="AO784" s="33" t="str">
        <f aca="false">IF(A784="","",IF(AD784&lt;&gt;"",AD784,IF(AC784&lt;&gt;"",AC784,"")))</f>
        <v/>
      </c>
      <c r="AP784" s="24" t="str">
        <f aca="false">IF(AO784="","",IF(AD784&lt;&gt;"","Reported reach","Impressions (proxy)"))</f>
        <v/>
      </c>
      <c r="AQ784" s="34" t="str">
        <f aca="false">IF(OR(AO784="",N(S784)=0),"",AO784/S784)</f>
        <v/>
      </c>
      <c r="AR784" s="33" t="str">
        <f aca="false">IF(A784="","",IF(COUNT(AF784:AJ784)=0,"",SUM(AF784:AJ784)))</f>
        <v/>
      </c>
      <c r="AS784" s="34" t="str">
        <f aca="false">IF(OR(AR784="",N(AO784)=0),"",AR784/AO784)</f>
        <v/>
      </c>
      <c r="AT784" s="34" t="str">
        <f aca="false">IF(OR(AR784="",N(AC784)=0),"",AR784/AC784)</f>
        <v/>
      </c>
      <c r="AU784" s="34" t="str">
        <f aca="false">IF(OR(AR784="",N(S784)=0),"",AR784/S784)</f>
        <v/>
      </c>
      <c r="AV784" s="34" t="str">
        <f aca="false">IF(OR(AJ784="",N(AC784)=0),"",AJ784/AC784)</f>
        <v/>
      </c>
      <c r="AW784" s="34" t="str">
        <f aca="false">IF(OR(AH784="",N(AO784)=0),"",AH784/AO784)</f>
        <v/>
      </c>
      <c r="AX784" s="35" t="str">
        <f aca="false">IF(OR(AR784="",N(AO784)=0),"",(N(AF784)*Settings!$B$6+N(AG784)*Settings!$B$7+N(AH784)*Settings!$B$8+N(AI784)*Settings!$B$9+N(AJ784)*Settings!$B$10)/AO784*1000)</f>
        <v/>
      </c>
      <c r="AY784" s="36" t="str">
        <f aca="false">IF(AS784="","",IFERROR(AS784/AVERAGEIFS('Post Tracker'!$AS$5:$AS$1004,'Post Tracker'!$G$5:$G$1004,G784),""))</f>
        <v/>
      </c>
      <c r="AZ784" s="32"/>
      <c r="BA784" s="32"/>
      <c r="BB784" s="32"/>
      <c r="BC784" s="32"/>
      <c r="BD784" s="33" t="str">
        <f aca="false">IF(A784="","",COUNTIFS('Demo Pipeline'!$Q$5:$Q$504,A784))</f>
        <v/>
      </c>
      <c r="BE784" s="33" t="str">
        <f aca="false">IF(A784="","",COUNTIFS('Demo Pipeline'!$Q$5:$Q$504,A784,'Demo Pipeline'!$W$5:$W$504,"Attended"))</f>
        <v/>
      </c>
      <c r="BF784" s="33" t="str">
        <f aca="false">IF(A784="","",COUNTIFS('Demo Pipeline'!$Q$5:$Q$504,A784,'Demo Pipeline'!$X$5:$X$504,"Yes"))</f>
        <v/>
      </c>
      <c r="BG784" s="33" t="str">
        <f aca="false">IF(A784="","",COUNTIFS('Demo Pipeline'!$Q$5:$Q$504,A784,'Demo Pipeline'!$Y$5:$Y$504,"Closed Won"))</f>
        <v/>
      </c>
      <c r="BH784" s="37" t="str">
        <f aca="false">IF(A784="","",SUMIFS('Demo Pipeline'!$Z$5:$Z$504,'Demo Pipeline'!$Q$5:$Q$504,A784))</f>
        <v/>
      </c>
      <c r="BI784" s="34" t="str">
        <f aca="false">IF(OR(AZ784="",N(AJ784)=0),"",AZ784/AJ784)</f>
        <v/>
      </c>
      <c r="BJ784" s="34" t="str">
        <f aca="false">IF(OR(BB784="",N(AZ784)=0),"",BB784/AZ784)</f>
        <v/>
      </c>
      <c r="BK784" s="34" t="str">
        <f aca="false">IF(OR(A784="",N(BB784)=0),"",BD784/BB784)</f>
        <v/>
      </c>
      <c r="BL784" s="34" t="str">
        <f aca="false">IF(OR(A784="",N(AZ784)=0),"",BD784/AZ784)</f>
        <v/>
      </c>
      <c r="BM784" s="37" t="str">
        <f aca="false">IF(OR(N(Q784)=0,N(BD784)=0),"",Q784/BD784)</f>
        <v/>
      </c>
      <c r="BN784" s="29"/>
      <c r="BO784" s="29"/>
      <c r="BP784" s="33" t="str">
        <f aca="false">IF(OR(AR784="",N(AO784)=0),"",AR784)</f>
        <v/>
      </c>
      <c r="BQ784" s="33" t="str">
        <f aca="false">IF(OR(AR784="",N(S784)=0),"",S784)</f>
        <v/>
      </c>
      <c r="BR784" s="38" t="str">
        <f aca="false">IF(AND(ISNUMBER(B784),B784&gt;=Dashboard!$C$4,B784&lt;=Dashboard!$F$4,ISNUMBER(AU784)),AU784+ROW()/10^9,"")</f>
        <v/>
      </c>
      <c r="BS784" s="38" t="str">
        <f aca="false">IF(AND(ISNUMBER(B784),B784&gt;=Dashboard!$C$4,B784&lt;=Dashboard!$F$4,A784&lt;&gt;""),N(BD784)+N(AU784)/100+ROW()/10^9,"")</f>
        <v/>
      </c>
    </row>
    <row r="785" customFormat="false" ht="15" hidden="false" customHeight="false" outlineLevel="0" collapsed="false">
      <c r="A785" s="24" t="str">
        <f aca="false">IF(OR(B785="",G785="",H785=""),"",IFERROR(INDEX(Settings!$E$5:$E$49,MATCH(G785,Settings!$D$5:$D$49,0))&amp;INDEX(Settings!$H$5:$H$47,MATCH(H785,Settings!$G$5:$G$47,0))&amp;"-"&amp;TEXT(B785,"yymmdd")&amp;"-"&amp;IF(C785="","0000",TEXT(C785,"hhmm")),"CHECK LISTS"))</f>
        <v/>
      </c>
      <c r="B785" s="39"/>
      <c r="C785" s="40"/>
      <c r="D785" s="24" t="str">
        <f aca="false">IF(B785="","",TEXT(B785,"ddd"))</f>
        <v/>
      </c>
      <c r="E785" s="27" t="str">
        <f aca="false">IF(B785="","",B785-WEEKDAY(B785,3))</f>
        <v/>
      </c>
      <c r="F785" s="24" t="str">
        <f aca="false">IF(B785="","",TEXT(B785,"yyyy-mm"))</f>
        <v/>
      </c>
      <c r="G785" s="29"/>
      <c r="H785" s="29"/>
      <c r="I785" s="29"/>
      <c r="J785" s="29"/>
      <c r="K785" s="29"/>
      <c r="L785" s="29"/>
      <c r="M785" s="29"/>
      <c r="N785" s="29"/>
      <c r="O785" s="29"/>
      <c r="P785" s="29"/>
      <c r="Q785" s="30"/>
      <c r="R785" s="29"/>
      <c r="S785" s="32"/>
      <c r="T785" s="29"/>
      <c r="U785" s="29"/>
      <c r="V785" s="24" t="str">
        <f aca="false">IF(A785="","",IFERROR(INDEX(Settings!$F$5:$F$49,MATCH(G785,Settings!$D$5:$D$49,0)),""))</f>
        <v/>
      </c>
      <c r="W785" s="24" t="str">
        <f aca="false">IF(A785="","",IF(OR(P785="",P785="Organic"),"social","paid_social"))</f>
        <v/>
      </c>
      <c r="X785" s="24" t="str">
        <f aca="false">IF(A785="","",IF(K785&lt;&gt;"",IFERROR(INDEX('Case Studies'!$C$5:$C$54,MATCH(K785,'Case Studies'!$B$5:$B$54,0))&amp;"","case-study"),IF(J785&lt;&gt;"",IFERROR(INDEX(Settings!$J$5:$J$55,MATCH(J785,Settings!$I$5:$I$55,0)),"general"),"general")))</f>
        <v/>
      </c>
      <c r="Y785" s="24" t="str">
        <f aca="false">IF(A785="","",LOWER(A785))</f>
        <v/>
      </c>
      <c r="Z785" s="24" t="str">
        <f aca="false">IF(A785="","",IF(T785="",Settings!$B$5,T785)&amp;IF(ISNUMBER(FIND("?",IF(T785="",Settings!$B$5,T785))),"&amp;","?")&amp;"utm_source="&amp;V785&amp;"&amp;utm_medium="&amp;W785&amp;"&amp;utm_campaign="&amp;X785&amp;"&amp;utm_content="&amp;Y785)</f>
        <v/>
      </c>
      <c r="AA785" s="29"/>
      <c r="AB785" s="39"/>
      <c r="AC785" s="32"/>
      <c r="AD785" s="32"/>
      <c r="AE785" s="32"/>
      <c r="AF785" s="32"/>
      <c r="AG785" s="32"/>
      <c r="AH785" s="32"/>
      <c r="AI785" s="32"/>
      <c r="AJ785" s="32"/>
      <c r="AK785" s="32"/>
      <c r="AL785" s="32"/>
      <c r="AM785" s="32"/>
      <c r="AN785" s="32"/>
      <c r="AO785" s="33" t="str">
        <f aca="false">IF(A785="","",IF(AD785&lt;&gt;"",AD785,IF(AC785&lt;&gt;"",AC785,"")))</f>
        <v/>
      </c>
      <c r="AP785" s="24" t="str">
        <f aca="false">IF(AO785="","",IF(AD785&lt;&gt;"","Reported reach","Impressions (proxy)"))</f>
        <v/>
      </c>
      <c r="AQ785" s="34" t="str">
        <f aca="false">IF(OR(AO785="",N(S785)=0),"",AO785/S785)</f>
        <v/>
      </c>
      <c r="AR785" s="33" t="str">
        <f aca="false">IF(A785="","",IF(COUNT(AF785:AJ785)=0,"",SUM(AF785:AJ785)))</f>
        <v/>
      </c>
      <c r="AS785" s="34" t="str">
        <f aca="false">IF(OR(AR785="",N(AO785)=0),"",AR785/AO785)</f>
        <v/>
      </c>
      <c r="AT785" s="34" t="str">
        <f aca="false">IF(OR(AR785="",N(AC785)=0),"",AR785/AC785)</f>
        <v/>
      </c>
      <c r="AU785" s="34" t="str">
        <f aca="false">IF(OR(AR785="",N(S785)=0),"",AR785/S785)</f>
        <v/>
      </c>
      <c r="AV785" s="34" t="str">
        <f aca="false">IF(OR(AJ785="",N(AC785)=0),"",AJ785/AC785)</f>
        <v/>
      </c>
      <c r="AW785" s="34" t="str">
        <f aca="false">IF(OR(AH785="",N(AO785)=0),"",AH785/AO785)</f>
        <v/>
      </c>
      <c r="AX785" s="35" t="str">
        <f aca="false">IF(OR(AR785="",N(AO785)=0),"",(N(AF785)*Settings!$B$6+N(AG785)*Settings!$B$7+N(AH785)*Settings!$B$8+N(AI785)*Settings!$B$9+N(AJ785)*Settings!$B$10)/AO785*1000)</f>
        <v/>
      </c>
      <c r="AY785" s="36" t="str">
        <f aca="false">IF(AS785="","",IFERROR(AS785/AVERAGEIFS('Post Tracker'!$AS$5:$AS$1004,'Post Tracker'!$G$5:$G$1004,G785),""))</f>
        <v/>
      </c>
      <c r="AZ785" s="32"/>
      <c r="BA785" s="32"/>
      <c r="BB785" s="32"/>
      <c r="BC785" s="32"/>
      <c r="BD785" s="33" t="str">
        <f aca="false">IF(A785="","",COUNTIFS('Demo Pipeline'!$Q$5:$Q$504,A785))</f>
        <v/>
      </c>
      <c r="BE785" s="33" t="str">
        <f aca="false">IF(A785="","",COUNTIFS('Demo Pipeline'!$Q$5:$Q$504,A785,'Demo Pipeline'!$W$5:$W$504,"Attended"))</f>
        <v/>
      </c>
      <c r="BF785" s="33" t="str">
        <f aca="false">IF(A785="","",COUNTIFS('Demo Pipeline'!$Q$5:$Q$504,A785,'Demo Pipeline'!$X$5:$X$504,"Yes"))</f>
        <v/>
      </c>
      <c r="BG785" s="33" t="str">
        <f aca="false">IF(A785="","",COUNTIFS('Demo Pipeline'!$Q$5:$Q$504,A785,'Demo Pipeline'!$Y$5:$Y$504,"Closed Won"))</f>
        <v/>
      </c>
      <c r="BH785" s="37" t="str">
        <f aca="false">IF(A785="","",SUMIFS('Demo Pipeline'!$Z$5:$Z$504,'Demo Pipeline'!$Q$5:$Q$504,A785))</f>
        <v/>
      </c>
      <c r="BI785" s="34" t="str">
        <f aca="false">IF(OR(AZ785="",N(AJ785)=0),"",AZ785/AJ785)</f>
        <v/>
      </c>
      <c r="BJ785" s="34" t="str">
        <f aca="false">IF(OR(BB785="",N(AZ785)=0),"",BB785/AZ785)</f>
        <v/>
      </c>
      <c r="BK785" s="34" t="str">
        <f aca="false">IF(OR(A785="",N(BB785)=0),"",BD785/BB785)</f>
        <v/>
      </c>
      <c r="BL785" s="34" t="str">
        <f aca="false">IF(OR(A785="",N(AZ785)=0),"",BD785/AZ785)</f>
        <v/>
      </c>
      <c r="BM785" s="37" t="str">
        <f aca="false">IF(OR(N(Q785)=0,N(BD785)=0),"",Q785/BD785)</f>
        <v/>
      </c>
      <c r="BN785" s="29"/>
      <c r="BO785" s="29"/>
      <c r="BP785" s="33" t="str">
        <f aca="false">IF(OR(AR785="",N(AO785)=0),"",AR785)</f>
        <v/>
      </c>
      <c r="BQ785" s="33" t="str">
        <f aca="false">IF(OR(AR785="",N(S785)=0),"",S785)</f>
        <v/>
      </c>
      <c r="BR785" s="38" t="str">
        <f aca="false">IF(AND(ISNUMBER(B785),B785&gt;=Dashboard!$C$4,B785&lt;=Dashboard!$F$4,ISNUMBER(AU785)),AU785+ROW()/10^9,"")</f>
        <v/>
      </c>
      <c r="BS785" s="38" t="str">
        <f aca="false">IF(AND(ISNUMBER(B785),B785&gt;=Dashboard!$C$4,B785&lt;=Dashboard!$F$4,A785&lt;&gt;""),N(BD785)+N(AU785)/100+ROW()/10^9,"")</f>
        <v/>
      </c>
    </row>
    <row r="786" customFormat="false" ht="15" hidden="false" customHeight="false" outlineLevel="0" collapsed="false">
      <c r="A786" s="24" t="str">
        <f aca="false">IF(OR(B786="",G786="",H786=""),"",IFERROR(INDEX(Settings!$E$5:$E$49,MATCH(G786,Settings!$D$5:$D$49,0))&amp;INDEX(Settings!$H$5:$H$47,MATCH(H786,Settings!$G$5:$G$47,0))&amp;"-"&amp;TEXT(B786,"yymmdd")&amp;"-"&amp;IF(C786="","0000",TEXT(C786,"hhmm")),"CHECK LISTS"))</f>
        <v/>
      </c>
      <c r="B786" s="39"/>
      <c r="C786" s="40"/>
      <c r="D786" s="24" t="str">
        <f aca="false">IF(B786="","",TEXT(B786,"ddd"))</f>
        <v/>
      </c>
      <c r="E786" s="27" t="str">
        <f aca="false">IF(B786="","",B786-WEEKDAY(B786,3))</f>
        <v/>
      </c>
      <c r="F786" s="24" t="str">
        <f aca="false">IF(B786="","",TEXT(B786,"yyyy-mm"))</f>
        <v/>
      </c>
      <c r="G786" s="29"/>
      <c r="H786" s="29"/>
      <c r="I786" s="29"/>
      <c r="J786" s="29"/>
      <c r="K786" s="29"/>
      <c r="L786" s="29"/>
      <c r="M786" s="29"/>
      <c r="N786" s="29"/>
      <c r="O786" s="29"/>
      <c r="P786" s="29"/>
      <c r="Q786" s="30"/>
      <c r="R786" s="29"/>
      <c r="S786" s="32"/>
      <c r="T786" s="29"/>
      <c r="U786" s="29"/>
      <c r="V786" s="24" t="str">
        <f aca="false">IF(A786="","",IFERROR(INDEX(Settings!$F$5:$F$49,MATCH(G786,Settings!$D$5:$D$49,0)),""))</f>
        <v/>
      </c>
      <c r="W786" s="24" t="str">
        <f aca="false">IF(A786="","",IF(OR(P786="",P786="Organic"),"social","paid_social"))</f>
        <v/>
      </c>
      <c r="X786" s="24" t="str">
        <f aca="false">IF(A786="","",IF(K786&lt;&gt;"",IFERROR(INDEX('Case Studies'!$C$5:$C$54,MATCH(K786,'Case Studies'!$B$5:$B$54,0))&amp;"","case-study"),IF(J786&lt;&gt;"",IFERROR(INDEX(Settings!$J$5:$J$55,MATCH(J786,Settings!$I$5:$I$55,0)),"general"),"general")))</f>
        <v/>
      </c>
      <c r="Y786" s="24" t="str">
        <f aca="false">IF(A786="","",LOWER(A786))</f>
        <v/>
      </c>
      <c r="Z786" s="24" t="str">
        <f aca="false">IF(A786="","",IF(T786="",Settings!$B$5,T786)&amp;IF(ISNUMBER(FIND("?",IF(T786="",Settings!$B$5,T786))),"&amp;","?")&amp;"utm_source="&amp;V786&amp;"&amp;utm_medium="&amp;W786&amp;"&amp;utm_campaign="&amp;X786&amp;"&amp;utm_content="&amp;Y786)</f>
        <v/>
      </c>
      <c r="AA786" s="29"/>
      <c r="AB786" s="39"/>
      <c r="AC786" s="32"/>
      <c r="AD786" s="32"/>
      <c r="AE786" s="32"/>
      <c r="AF786" s="32"/>
      <c r="AG786" s="32"/>
      <c r="AH786" s="32"/>
      <c r="AI786" s="32"/>
      <c r="AJ786" s="32"/>
      <c r="AK786" s="32"/>
      <c r="AL786" s="32"/>
      <c r="AM786" s="32"/>
      <c r="AN786" s="32"/>
      <c r="AO786" s="33" t="str">
        <f aca="false">IF(A786="","",IF(AD786&lt;&gt;"",AD786,IF(AC786&lt;&gt;"",AC786,"")))</f>
        <v/>
      </c>
      <c r="AP786" s="24" t="str">
        <f aca="false">IF(AO786="","",IF(AD786&lt;&gt;"","Reported reach","Impressions (proxy)"))</f>
        <v/>
      </c>
      <c r="AQ786" s="34" t="str">
        <f aca="false">IF(OR(AO786="",N(S786)=0),"",AO786/S786)</f>
        <v/>
      </c>
      <c r="AR786" s="33" t="str">
        <f aca="false">IF(A786="","",IF(COUNT(AF786:AJ786)=0,"",SUM(AF786:AJ786)))</f>
        <v/>
      </c>
      <c r="AS786" s="34" t="str">
        <f aca="false">IF(OR(AR786="",N(AO786)=0),"",AR786/AO786)</f>
        <v/>
      </c>
      <c r="AT786" s="34" t="str">
        <f aca="false">IF(OR(AR786="",N(AC786)=0),"",AR786/AC786)</f>
        <v/>
      </c>
      <c r="AU786" s="34" t="str">
        <f aca="false">IF(OR(AR786="",N(S786)=0),"",AR786/S786)</f>
        <v/>
      </c>
      <c r="AV786" s="34" t="str">
        <f aca="false">IF(OR(AJ786="",N(AC786)=0),"",AJ786/AC786)</f>
        <v/>
      </c>
      <c r="AW786" s="34" t="str">
        <f aca="false">IF(OR(AH786="",N(AO786)=0),"",AH786/AO786)</f>
        <v/>
      </c>
      <c r="AX786" s="35" t="str">
        <f aca="false">IF(OR(AR786="",N(AO786)=0),"",(N(AF786)*Settings!$B$6+N(AG786)*Settings!$B$7+N(AH786)*Settings!$B$8+N(AI786)*Settings!$B$9+N(AJ786)*Settings!$B$10)/AO786*1000)</f>
        <v/>
      </c>
      <c r="AY786" s="36" t="str">
        <f aca="false">IF(AS786="","",IFERROR(AS786/AVERAGEIFS('Post Tracker'!$AS$5:$AS$1004,'Post Tracker'!$G$5:$G$1004,G786),""))</f>
        <v/>
      </c>
      <c r="AZ786" s="32"/>
      <c r="BA786" s="32"/>
      <c r="BB786" s="32"/>
      <c r="BC786" s="32"/>
      <c r="BD786" s="33" t="str">
        <f aca="false">IF(A786="","",COUNTIFS('Demo Pipeline'!$Q$5:$Q$504,A786))</f>
        <v/>
      </c>
      <c r="BE786" s="33" t="str">
        <f aca="false">IF(A786="","",COUNTIFS('Demo Pipeline'!$Q$5:$Q$504,A786,'Demo Pipeline'!$W$5:$W$504,"Attended"))</f>
        <v/>
      </c>
      <c r="BF786" s="33" t="str">
        <f aca="false">IF(A786="","",COUNTIFS('Demo Pipeline'!$Q$5:$Q$504,A786,'Demo Pipeline'!$X$5:$X$504,"Yes"))</f>
        <v/>
      </c>
      <c r="BG786" s="33" t="str">
        <f aca="false">IF(A786="","",COUNTIFS('Demo Pipeline'!$Q$5:$Q$504,A786,'Demo Pipeline'!$Y$5:$Y$504,"Closed Won"))</f>
        <v/>
      </c>
      <c r="BH786" s="37" t="str">
        <f aca="false">IF(A786="","",SUMIFS('Demo Pipeline'!$Z$5:$Z$504,'Demo Pipeline'!$Q$5:$Q$504,A786))</f>
        <v/>
      </c>
      <c r="BI786" s="34" t="str">
        <f aca="false">IF(OR(AZ786="",N(AJ786)=0),"",AZ786/AJ786)</f>
        <v/>
      </c>
      <c r="BJ786" s="34" t="str">
        <f aca="false">IF(OR(BB786="",N(AZ786)=0),"",BB786/AZ786)</f>
        <v/>
      </c>
      <c r="BK786" s="34" t="str">
        <f aca="false">IF(OR(A786="",N(BB786)=0),"",BD786/BB786)</f>
        <v/>
      </c>
      <c r="BL786" s="34" t="str">
        <f aca="false">IF(OR(A786="",N(AZ786)=0),"",BD786/AZ786)</f>
        <v/>
      </c>
      <c r="BM786" s="37" t="str">
        <f aca="false">IF(OR(N(Q786)=0,N(BD786)=0),"",Q786/BD786)</f>
        <v/>
      </c>
      <c r="BN786" s="29"/>
      <c r="BO786" s="29"/>
      <c r="BP786" s="33" t="str">
        <f aca="false">IF(OR(AR786="",N(AO786)=0),"",AR786)</f>
        <v/>
      </c>
      <c r="BQ786" s="33" t="str">
        <f aca="false">IF(OR(AR786="",N(S786)=0),"",S786)</f>
        <v/>
      </c>
      <c r="BR786" s="38" t="str">
        <f aca="false">IF(AND(ISNUMBER(B786),B786&gt;=Dashboard!$C$4,B786&lt;=Dashboard!$F$4,ISNUMBER(AU786)),AU786+ROW()/10^9,"")</f>
        <v/>
      </c>
      <c r="BS786" s="38" t="str">
        <f aca="false">IF(AND(ISNUMBER(B786),B786&gt;=Dashboard!$C$4,B786&lt;=Dashboard!$F$4,A786&lt;&gt;""),N(BD786)+N(AU786)/100+ROW()/10^9,"")</f>
        <v/>
      </c>
    </row>
    <row r="787" customFormat="false" ht="15" hidden="false" customHeight="false" outlineLevel="0" collapsed="false">
      <c r="A787" s="24" t="str">
        <f aca="false">IF(OR(B787="",G787="",H787=""),"",IFERROR(INDEX(Settings!$E$5:$E$49,MATCH(G787,Settings!$D$5:$D$49,0))&amp;INDEX(Settings!$H$5:$H$47,MATCH(H787,Settings!$G$5:$G$47,0))&amp;"-"&amp;TEXT(B787,"yymmdd")&amp;"-"&amp;IF(C787="","0000",TEXT(C787,"hhmm")),"CHECK LISTS"))</f>
        <v/>
      </c>
      <c r="B787" s="39"/>
      <c r="C787" s="40"/>
      <c r="D787" s="24" t="str">
        <f aca="false">IF(B787="","",TEXT(B787,"ddd"))</f>
        <v/>
      </c>
      <c r="E787" s="27" t="str">
        <f aca="false">IF(B787="","",B787-WEEKDAY(B787,3))</f>
        <v/>
      </c>
      <c r="F787" s="24" t="str">
        <f aca="false">IF(B787="","",TEXT(B787,"yyyy-mm"))</f>
        <v/>
      </c>
      <c r="G787" s="29"/>
      <c r="H787" s="29"/>
      <c r="I787" s="29"/>
      <c r="J787" s="29"/>
      <c r="K787" s="29"/>
      <c r="L787" s="29"/>
      <c r="M787" s="29"/>
      <c r="N787" s="29"/>
      <c r="O787" s="29"/>
      <c r="P787" s="29"/>
      <c r="Q787" s="30"/>
      <c r="R787" s="29"/>
      <c r="S787" s="32"/>
      <c r="T787" s="29"/>
      <c r="U787" s="29"/>
      <c r="V787" s="24" t="str">
        <f aca="false">IF(A787="","",IFERROR(INDEX(Settings!$F$5:$F$49,MATCH(G787,Settings!$D$5:$D$49,0)),""))</f>
        <v/>
      </c>
      <c r="W787" s="24" t="str">
        <f aca="false">IF(A787="","",IF(OR(P787="",P787="Organic"),"social","paid_social"))</f>
        <v/>
      </c>
      <c r="X787" s="24" t="str">
        <f aca="false">IF(A787="","",IF(K787&lt;&gt;"",IFERROR(INDEX('Case Studies'!$C$5:$C$54,MATCH(K787,'Case Studies'!$B$5:$B$54,0))&amp;"","case-study"),IF(J787&lt;&gt;"",IFERROR(INDEX(Settings!$J$5:$J$55,MATCH(J787,Settings!$I$5:$I$55,0)),"general"),"general")))</f>
        <v/>
      </c>
      <c r="Y787" s="24" t="str">
        <f aca="false">IF(A787="","",LOWER(A787))</f>
        <v/>
      </c>
      <c r="Z787" s="24" t="str">
        <f aca="false">IF(A787="","",IF(T787="",Settings!$B$5,T787)&amp;IF(ISNUMBER(FIND("?",IF(T787="",Settings!$B$5,T787))),"&amp;","?")&amp;"utm_source="&amp;V787&amp;"&amp;utm_medium="&amp;W787&amp;"&amp;utm_campaign="&amp;X787&amp;"&amp;utm_content="&amp;Y787)</f>
        <v/>
      </c>
      <c r="AA787" s="29"/>
      <c r="AB787" s="39"/>
      <c r="AC787" s="32"/>
      <c r="AD787" s="32"/>
      <c r="AE787" s="32"/>
      <c r="AF787" s="32"/>
      <c r="AG787" s="32"/>
      <c r="AH787" s="32"/>
      <c r="AI787" s="32"/>
      <c r="AJ787" s="32"/>
      <c r="AK787" s="32"/>
      <c r="AL787" s="32"/>
      <c r="AM787" s="32"/>
      <c r="AN787" s="32"/>
      <c r="AO787" s="33" t="str">
        <f aca="false">IF(A787="","",IF(AD787&lt;&gt;"",AD787,IF(AC787&lt;&gt;"",AC787,"")))</f>
        <v/>
      </c>
      <c r="AP787" s="24" t="str">
        <f aca="false">IF(AO787="","",IF(AD787&lt;&gt;"","Reported reach","Impressions (proxy)"))</f>
        <v/>
      </c>
      <c r="AQ787" s="34" t="str">
        <f aca="false">IF(OR(AO787="",N(S787)=0),"",AO787/S787)</f>
        <v/>
      </c>
      <c r="AR787" s="33" t="str">
        <f aca="false">IF(A787="","",IF(COUNT(AF787:AJ787)=0,"",SUM(AF787:AJ787)))</f>
        <v/>
      </c>
      <c r="AS787" s="34" t="str">
        <f aca="false">IF(OR(AR787="",N(AO787)=0),"",AR787/AO787)</f>
        <v/>
      </c>
      <c r="AT787" s="34" t="str">
        <f aca="false">IF(OR(AR787="",N(AC787)=0),"",AR787/AC787)</f>
        <v/>
      </c>
      <c r="AU787" s="34" t="str">
        <f aca="false">IF(OR(AR787="",N(S787)=0),"",AR787/S787)</f>
        <v/>
      </c>
      <c r="AV787" s="34" t="str">
        <f aca="false">IF(OR(AJ787="",N(AC787)=0),"",AJ787/AC787)</f>
        <v/>
      </c>
      <c r="AW787" s="34" t="str">
        <f aca="false">IF(OR(AH787="",N(AO787)=0),"",AH787/AO787)</f>
        <v/>
      </c>
      <c r="AX787" s="35" t="str">
        <f aca="false">IF(OR(AR787="",N(AO787)=0),"",(N(AF787)*Settings!$B$6+N(AG787)*Settings!$B$7+N(AH787)*Settings!$B$8+N(AI787)*Settings!$B$9+N(AJ787)*Settings!$B$10)/AO787*1000)</f>
        <v/>
      </c>
      <c r="AY787" s="36" t="str">
        <f aca="false">IF(AS787="","",IFERROR(AS787/AVERAGEIFS('Post Tracker'!$AS$5:$AS$1004,'Post Tracker'!$G$5:$G$1004,G787),""))</f>
        <v/>
      </c>
      <c r="AZ787" s="32"/>
      <c r="BA787" s="32"/>
      <c r="BB787" s="32"/>
      <c r="BC787" s="32"/>
      <c r="BD787" s="33" t="str">
        <f aca="false">IF(A787="","",COUNTIFS('Demo Pipeline'!$Q$5:$Q$504,A787))</f>
        <v/>
      </c>
      <c r="BE787" s="33" t="str">
        <f aca="false">IF(A787="","",COUNTIFS('Demo Pipeline'!$Q$5:$Q$504,A787,'Demo Pipeline'!$W$5:$W$504,"Attended"))</f>
        <v/>
      </c>
      <c r="BF787" s="33" t="str">
        <f aca="false">IF(A787="","",COUNTIFS('Demo Pipeline'!$Q$5:$Q$504,A787,'Demo Pipeline'!$X$5:$X$504,"Yes"))</f>
        <v/>
      </c>
      <c r="BG787" s="33" t="str">
        <f aca="false">IF(A787="","",COUNTIFS('Demo Pipeline'!$Q$5:$Q$504,A787,'Demo Pipeline'!$Y$5:$Y$504,"Closed Won"))</f>
        <v/>
      </c>
      <c r="BH787" s="37" t="str">
        <f aca="false">IF(A787="","",SUMIFS('Demo Pipeline'!$Z$5:$Z$504,'Demo Pipeline'!$Q$5:$Q$504,A787))</f>
        <v/>
      </c>
      <c r="BI787" s="34" t="str">
        <f aca="false">IF(OR(AZ787="",N(AJ787)=0),"",AZ787/AJ787)</f>
        <v/>
      </c>
      <c r="BJ787" s="34" t="str">
        <f aca="false">IF(OR(BB787="",N(AZ787)=0),"",BB787/AZ787)</f>
        <v/>
      </c>
      <c r="BK787" s="34" t="str">
        <f aca="false">IF(OR(A787="",N(BB787)=0),"",BD787/BB787)</f>
        <v/>
      </c>
      <c r="BL787" s="34" t="str">
        <f aca="false">IF(OR(A787="",N(AZ787)=0),"",BD787/AZ787)</f>
        <v/>
      </c>
      <c r="BM787" s="37" t="str">
        <f aca="false">IF(OR(N(Q787)=0,N(BD787)=0),"",Q787/BD787)</f>
        <v/>
      </c>
      <c r="BN787" s="29"/>
      <c r="BO787" s="29"/>
      <c r="BP787" s="33" t="str">
        <f aca="false">IF(OR(AR787="",N(AO787)=0),"",AR787)</f>
        <v/>
      </c>
      <c r="BQ787" s="33" t="str">
        <f aca="false">IF(OR(AR787="",N(S787)=0),"",S787)</f>
        <v/>
      </c>
      <c r="BR787" s="38" t="str">
        <f aca="false">IF(AND(ISNUMBER(B787),B787&gt;=Dashboard!$C$4,B787&lt;=Dashboard!$F$4,ISNUMBER(AU787)),AU787+ROW()/10^9,"")</f>
        <v/>
      </c>
      <c r="BS787" s="38" t="str">
        <f aca="false">IF(AND(ISNUMBER(B787),B787&gt;=Dashboard!$C$4,B787&lt;=Dashboard!$F$4,A787&lt;&gt;""),N(BD787)+N(AU787)/100+ROW()/10^9,"")</f>
        <v/>
      </c>
    </row>
    <row r="788" customFormat="false" ht="15" hidden="false" customHeight="false" outlineLevel="0" collapsed="false">
      <c r="A788" s="24" t="str">
        <f aca="false">IF(OR(B788="",G788="",H788=""),"",IFERROR(INDEX(Settings!$E$5:$E$49,MATCH(G788,Settings!$D$5:$D$49,0))&amp;INDEX(Settings!$H$5:$H$47,MATCH(H788,Settings!$G$5:$G$47,0))&amp;"-"&amp;TEXT(B788,"yymmdd")&amp;"-"&amp;IF(C788="","0000",TEXT(C788,"hhmm")),"CHECK LISTS"))</f>
        <v/>
      </c>
      <c r="B788" s="39"/>
      <c r="C788" s="40"/>
      <c r="D788" s="24" t="str">
        <f aca="false">IF(B788="","",TEXT(B788,"ddd"))</f>
        <v/>
      </c>
      <c r="E788" s="27" t="str">
        <f aca="false">IF(B788="","",B788-WEEKDAY(B788,3))</f>
        <v/>
      </c>
      <c r="F788" s="24" t="str">
        <f aca="false">IF(B788="","",TEXT(B788,"yyyy-mm"))</f>
        <v/>
      </c>
      <c r="G788" s="29"/>
      <c r="H788" s="29"/>
      <c r="I788" s="29"/>
      <c r="J788" s="29"/>
      <c r="K788" s="29"/>
      <c r="L788" s="29"/>
      <c r="M788" s="29"/>
      <c r="N788" s="29"/>
      <c r="O788" s="29"/>
      <c r="P788" s="29"/>
      <c r="Q788" s="30"/>
      <c r="R788" s="29"/>
      <c r="S788" s="32"/>
      <c r="T788" s="29"/>
      <c r="U788" s="29"/>
      <c r="V788" s="24" t="str">
        <f aca="false">IF(A788="","",IFERROR(INDEX(Settings!$F$5:$F$49,MATCH(G788,Settings!$D$5:$D$49,0)),""))</f>
        <v/>
      </c>
      <c r="W788" s="24" t="str">
        <f aca="false">IF(A788="","",IF(OR(P788="",P788="Organic"),"social","paid_social"))</f>
        <v/>
      </c>
      <c r="X788" s="24" t="str">
        <f aca="false">IF(A788="","",IF(K788&lt;&gt;"",IFERROR(INDEX('Case Studies'!$C$5:$C$54,MATCH(K788,'Case Studies'!$B$5:$B$54,0))&amp;"","case-study"),IF(J788&lt;&gt;"",IFERROR(INDEX(Settings!$J$5:$J$55,MATCH(J788,Settings!$I$5:$I$55,0)),"general"),"general")))</f>
        <v/>
      </c>
      <c r="Y788" s="24" t="str">
        <f aca="false">IF(A788="","",LOWER(A788))</f>
        <v/>
      </c>
      <c r="Z788" s="24" t="str">
        <f aca="false">IF(A788="","",IF(T788="",Settings!$B$5,T788)&amp;IF(ISNUMBER(FIND("?",IF(T788="",Settings!$B$5,T788))),"&amp;","?")&amp;"utm_source="&amp;V788&amp;"&amp;utm_medium="&amp;W788&amp;"&amp;utm_campaign="&amp;X788&amp;"&amp;utm_content="&amp;Y788)</f>
        <v/>
      </c>
      <c r="AA788" s="29"/>
      <c r="AB788" s="39"/>
      <c r="AC788" s="32"/>
      <c r="AD788" s="32"/>
      <c r="AE788" s="32"/>
      <c r="AF788" s="32"/>
      <c r="AG788" s="32"/>
      <c r="AH788" s="32"/>
      <c r="AI788" s="32"/>
      <c r="AJ788" s="32"/>
      <c r="AK788" s="32"/>
      <c r="AL788" s="32"/>
      <c r="AM788" s="32"/>
      <c r="AN788" s="32"/>
      <c r="AO788" s="33" t="str">
        <f aca="false">IF(A788="","",IF(AD788&lt;&gt;"",AD788,IF(AC788&lt;&gt;"",AC788,"")))</f>
        <v/>
      </c>
      <c r="AP788" s="24" t="str">
        <f aca="false">IF(AO788="","",IF(AD788&lt;&gt;"","Reported reach","Impressions (proxy)"))</f>
        <v/>
      </c>
      <c r="AQ788" s="34" t="str">
        <f aca="false">IF(OR(AO788="",N(S788)=0),"",AO788/S788)</f>
        <v/>
      </c>
      <c r="AR788" s="33" t="str">
        <f aca="false">IF(A788="","",IF(COUNT(AF788:AJ788)=0,"",SUM(AF788:AJ788)))</f>
        <v/>
      </c>
      <c r="AS788" s="34" t="str">
        <f aca="false">IF(OR(AR788="",N(AO788)=0),"",AR788/AO788)</f>
        <v/>
      </c>
      <c r="AT788" s="34" t="str">
        <f aca="false">IF(OR(AR788="",N(AC788)=0),"",AR788/AC788)</f>
        <v/>
      </c>
      <c r="AU788" s="34" t="str">
        <f aca="false">IF(OR(AR788="",N(S788)=0),"",AR788/S788)</f>
        <v/>
      </c>
      <c r="AV788" s="34" t="str">
        <f aca="false">IF(OR(AJ788="",N(AC788)=0),"",AJ788/AC788)</f>
        <v/>
      </c>
      <c r="AW788" s="34" t="str">
        <f aca="false">IF(OR(AH788="",N(AO788)=0),"",AH788/AO788)</f>
        <v/>
      </c>
      <c r="AX788" s="35" t="str">
        <f aca="false">IF(OR(AR788="",N(AO788)=0),"",(N(AF788)*Settings!$B$6+N(AG788)*Settings!$B$7+N(AH788)*Settings!$B$8+N(AI788)*Settings!$B$9+N(AJ788)*Settings!$B$10)/AO788*1000)</f>
        <v/>
      </c>
      <c r="AY788" s="36" t="str">
        <f aca="false">IF(AS788="","",IFERROR(AS788/AVERAGEIFS('Post Tracker'!$AS$5:$AS$1004,'Post Tracker'!$G$5:$G$1004,G788),""))</f>
        <v/>
      </c>
      <c r="AZ788" s="32"/>
      <c r="BA788" s="32"/>
      <c r="BB788" s="32"/>
      <c r="BC788" s="32"/>
      <c r="BD788" s="33" t="str">
        <f aca="false">IF(A788="","",COUNTIFS('Demo Pipeline'!$Q$5:$Q$504,A788))</f>
        <v/>
      </c>
      <c r="BE788" s="33" t="str">
        <f aca="false">IF(A788="","",COUNTIFS('Demo Pipeline'!$Q$5:$Q$504,A788,'Demo Pipeline'!$W$5:$W$504,"Attended"))</f>
        <v/>
      </c>
      <c r="BF788" s="33" t="str">
        <f aca="false">IF(A788="","",COUNTIFS('Demo Pipeline'!$Q$5:$Q$504,A788,'Demo Pipeline'!$X$5:$X$504,"Yes"))</f>
        <v/>
      </c>
      <c r="BG788" s="33" t="str">
        <f aca="false">IF(A788="","",COUNTIFS('Demo Pipeline'!$Q$5:$Q$504,A788,'Demo Pipeline'!$Y$5:$Y$504,"Closed Won"))</f>
        <v/>
      </c>
      <c r="BH788" s="37" t="str">
        <f aca="false">IF(A788="","",SUMIFS('Demo Pipeline'!$Z$5:$Z$504,'Demo Pipeline'!$Q$5:$Q$504,A788))</f>
        <v/>
      </c>
      <c r="BI788" s="34" t="str">
        <f aca="false">IF(OR(AZ788="",N(AJ788)=0),"",AZ788/AJ788)</f>
        <v/>
      </c>
      <c r="BJ788" s="34" t="str">
        <f aca="false">IF(OR(BB788="",N(AZ788)=0),"",BB788/AZ788)</f>
        <v/>
      </c>
      <c r="BK788" s="34" t="str">
        <f aca="false">IF(OR(A788="",N(BB788)=0),"",BD788/BB788)</f>
        <v/>
      </c>
      <c r="BL788" s="34" t="str">
        <f aca="false">IF(OR(A788="",N(AZ788)=0),"",BD788/AZ788)</f>
        <v/>
      </c>
      <c r="BM788" s="37" t="str">
        <f aca="false">IF(OR(N(Q788)=0,N(BD788)=0),"",Q788/BD788)</f>
        <v/>
      </c>
      <c r="BN788" s="29"/>
      <c r="BO788" s="29"/>
      <c r="BP788" s="33" t="str">
        <f aca="false">IF(OR(AR788="",N(AO788)=0),"",AR788)</f>
        <v/>
      </c>
      <c r="BQ788" s="33" t="str">
        <f aca="false">IF(OR(AR788="",N(S788)=0),"",S788)</f>
        <v/>
      </c>
      <c r="BR788" s="38" t="str">
        <f aca="false">IF(AND(ISNUMBER(B788),B788&gt;=Dashboard!$C$4,B788&lt;=Dashboard!$F$4,ISNUMBER(AU788)),AU788+ROW()/10^9,"")</f>
        <v/>
      </c>
      <c r="BS788" s="38" t="str">
        <f aca="false">IF(AND(ISNUMBER(B788),B788&gt;=Dashboard!$C$4,B788&lt;=Dashboard!$F$4,A788&lt;&gt;""),N(BD788)+N(AU788)/100+ROW()/10^9,"")</f>
        <v/>
      </c>
    </row>
    <row r="789" customFormat="false" ht="15" hidden="false" customHeight="false" outlineLevel="0" collapsed="false">
      <c r="A789" s="24" t="str">
        <f aca="false">IF(OR(B789="",G789="",H789=""),"",IFERROR(INDEX(Settings!$E$5:$E$49,MATCH(G789,Settings!$D$5:$D$49,0))&amp;INDEX(Settings!$H$5:$H$47,MATCH(H789,Settings!$G$5:$G$47,0))&amp;"-"&amp;TEXT(B789,"yymmdd")&amp;"-"&amp;IF(C789="","0000",TEXT(C789,"hhmm")),"CHECK LISTS"))</f>
        <v/>
      </c>
      <c r="B789" s="39"/>
      <c r="C789" s="40"/>
      <c r="D789" s="24" t="str">
        <f aca="false">IF(B789="","",TEXT(B789,"ddd"))</f>
        <v/>
      </c>
      <c r="E789" s="27" t="str">
        <f aca="false">IF(B789="","",B789-WEEKDAY(B789,3))</f>
        <v/>
      </c>
      <c r="F789" s="24" t="str">
        <f aca="false">IF(B789="","",TEXT(B789,"yyyy-mm"))</f>
        <v/>
      </c>
      <c r="G789" s="29"/>
      <c r="H789" s="29"/>
      <c r="I789" s="29"/>
      <c r="J789" s="29"/>
      <c r="K789" s="29"/>
      <c r="L789" s="29"/>
      <c r="M789" s="29"/>
      <c r="N789" s="29"/>
      <c r="O789" s="29"/>
      <c r="P789" s="29"/>
      <c r="Q789" s="30"/>
      <c r="R789" s="29"/>
      <c r="S789" s="32"/>
      <c r="T789" s="29"/>
      <c r="U789" s="29"/>
      <c r="V789" s="24" t="str">
        <f aca="false">IF(A789="","",IFERROR(INDEX(Settings!$F$5:$F$49,MATCH(G789,Settings!$D$5:$D$49,0)),""))</f>
        <v/>
      </c>
      <c r="W789" s="24" t="str">
        <f aca="false">IF(A789="","",IF(OR(P789="",P789="Organic"),"social","paid_social"))</f>
        <v/>
      </c>
      <c r="X789" s="24" t="str">
        <f aca="false">IF(A789="","",IF(K789&lt;&gt;"",IFERROR(INDEX('Case Studies'!$C$5:$C$54,MATCH(K789,'Case Studies'!$B$5:$B$54,0))&amp;"","case-study"),IF(J789&lt;&gt;"",IFERROR(INDEX(Settings!$J$5:$J$55,MATCH(J789,Settings!$I$5:$I$55,0)),"general"),"general")))</f>
        <v/>
      </c>
      <c r="Y789" s="24" t="str">
        <f aca="false">IF(A789="","",LOWER(A789))</f>
        <v/>
      </c>
      <c r="Z789" s="24" t="str">
        <f aca="false">IF(A789="","",IF(T789="",Settings!$B$5,T789)&amp;IF(ISNUMBER(FIND("?",IF(T789="",Settings!$B$5,T789))),"&amp;","?")&amp;"utm_source="&amp;V789&amp;"&amp;utm_medium="&amp;W789&amp;"&amp;utm_campaign="&amp;X789&amp;"&amp;utm_content="&amp;Y789)</f>
        <v/>
      </c>
      <c r="AA789" s="29"/>
      <c r="AB789" s="39"/>
      <c r="AC789" s="32"/>
      <c r="AD789" s="32"/>
      <c r="AE789" s="32"/>
      <c r="AF789" s="32"/>
      <c r="AG789" s="32"/>
      <c r="AH789" s="32"/>
      <c r="AI789" s="32"/>
      <c r="AJ789" s="32"/>
      <c r="AK789" s="32"/>
      <c r="AL789" s="32"/>
      <c r="AM789" s="32"/>
      <c r="AN789" s="32"/>
      <c r="AO789" s="33" t="str">
        <f aca="false">IF(A789="","",IF(AD789&lt;&gt;"",AD789,IF(AC789&lt;&gt;"",AC789,"")))</f>
        <v/>
      </c>
      <c r="AP789" s="24" t="str">
        <f aca="false">IF(AO789="","",IF(AD789&lt;&gt;"","Reported reach","Impressions (proxy)"))</f>
        <v/>
      </c>
      <c r="AQ789" s="34" t="str">
        <f aca="false">IF(OR(AO789="",N(S789)=0),"",AO789/S789)</f>
        <v/>
      </c>
      <c r="AR789" s="33" t="str">
        <f aca="false">IF(A789="","",IF(COUNT(AF789:AJ789)=0,"",SUM(AF789:AJ789)))</f>
        <v/>
      </c>
      <c r="AS789" s="34" t="str">
        <f aca="false">IF(OR(AR789="",N(AO789)=0),"",AR789/AO789)</f>
        <v/>
      </c>
      <c r="AT789" s="34" t="str">
        <f aca="false">IF(OR(AR789="",N(AC789)=0),"",AR789/AC789)</f>
        <v/>
      </c>
      <c r="AU789" s="34" t="str">
        <f aca="false">IF(OR(AR789="",N(S789)=0),"",AR789/S789)</f>
        <v/>
      </c>
      <c r="AV789" s="34" t="str">
        <f aca="false">IF(OR(AJ789="",N(AC789)=0),"",AJ789/AC789)</f>
        <v/>
      </c>
      <c r="AW789" s="34" t="str">
        <f aca="false">IF(OR(AH789="",N(AO789)=0),"",AH789/AO789)</f>
        <v/>
      </c>
      <c r="AX789" s="35" t="str">
        <f aca="false">IF(OR(AR789="",N(AO789)=0),"",(N(AF789)*Settings!$B$6+N(AG789)*Settings!$B$7+N(AH789)*Settings!$B$8+N(AI789)*Settings!$B$9+N(AJ789)*Settings!$B$10)/AO789*1000)</f>
        <v/>
      </c>
      <c r="AY789" s="36" t="str">
        <f aca="false">IF(AS789="","",IFERROR(AS789/AVERAGEIFS('Post Tracker'!$AS$5:$AS$1004,'Post Tracker'!$G$5:$G$1004,G789),""))</f>
        <v/>
      </c>
      <c r="AZ789" s="32"/>
      <c r="BA789" s="32"/>
      <c r="BB789" s="32"/>
      <c r="BC789" s="32"/>
      <c r="BD789" s="33" t="str">
        <f aca="false">IF(A789="","",COUNTIFS('Demo Pipeline'!$Q$5:$Q$504,A789))</f>
        <v/>
      </c>
      <c r="BE789" s="33" t="str">
        <f aca="false">IF(A789="","",COUNTIFS('Demo Pipeline'!$Q$5:$Q$504,A789,'Demo Pipeline'!$W$5:$W$504,"Attended"))</f>
        <v/>
      </c>
      <c r="BF789" s="33" t="str">
        <f aca="false">IF(A789="","",COUNTIFS('Demo Pipeline'!$Q$5:$Q$504,A789,'Demo Pipeline'!$X$5:$X$504,"Yes"))</f>
        <v/>
      </c>
      <c r="BG789" s="33" t="str">
        <f aca="false">IF(A789="","",COUNTIFS('Demo Pipeline'!$Q$5:$Q$504,A789,'Demo Pipeline'!$Y$5:$Y$504,"Closed Won"))</f>
        <v/>
      </c>
      <c r="BH789" s="37" t="str">
        <f aca="false">IF(A789="","",SUMIFS('Demo Pipeline'!$Z$5:$Z$504,'Demo Pipeline'!$Q$5:$Q$504,A789))</f>
        <v/>
      </c>
      <c r="BI789" s="34" t="str">
        <f aca="false">IF(OR(AZ789="",N(AJ789)=0),"",AZ789/AJ789)</f>
        <v/>
      </c>
      <c r="BJ789" s="34" t="str">
        <f aca="false">IF(OR(BB789="",N(AZ789)=0),"",BB789/AZ789)</f>
        <v/>
      </c>
      <c r="BK789" s="34" t="str">
        <f aca="false">IF(OR(A789="",N(BB789)=0),"",BD789/BB789)</f>
        <v/>
      </c>
      <c r="BL789" s="34" t="str">
        <f aca="false">IF(OR(A789="",N(AZ789)=0),"",BD789/AZ789)</f>
        <v/>
      </c>
      <c r="BM789" s="37" t="str">
        <f aca="false">IF(OR(N(Q789)=0,N(BD789)=0),"",Q789/BD789)</f>
        <v/>
      </c>
      <c r="BN789" s="29"/>
      <c r="BO789" s="29"/>
      <c r="BP789" s="33" t="str">
        <f aca="false">IF(OR(AR789="",N(AO789)=0),"",AR789)</f>
        <v/>
      </c>
      <c r="BQ789" s="33" t="str">
        <f aca="false">IF(OR(AR789="",N(S789)=0),"",S789)</f>
        <v/>
      </c>
      <c r="BR789" s="38" t="str">
        <f aca="false">IF(AND(ISNUMBER(B789),B789&gt;=Dashboard!$C$4,B789&lt;=Dashboard!$F$4,ISNUMBER(AU789)),AU789+ROW()/10^9,"")</f>
        <v/>
      </c>
      <c r="BS789" s="38" t="str">
        <f aca="false">IF(AND(ISNUMBER(B789),B789&gt;=Dashboard!$C$4,B789&lt;=Dashboard!$F$4,A789&lt;&gt;""),N(BD789)+N(AU789)/100+ROW()/10^9,"")</f>
        <v/>
      </c>
    </row>
    <row r="790" customFormat="false" ht="15" hidden="false" customHeight="false" outlineLevel="0" collapsed="false">
      <c r="A790" s="24" t="str">
        <f aca="false">IF(OR(B790="",G790="",H790=""),"",IFERROR(INDEX(Settings!$E$5:$E$49,MATCH(G790,Settings!$D$5:$D$49,0))&amp;INDEX(Settings!$H$5:$H$47,MATCH(H790,Settings!$G$5:$G$47,0))&amp;"-"&amp;TEXT(B790,"yymmdd")&amp;"-"&amp;IF(C790="","0000",TEXT(C790,"hhmm")),"CHECK LISTS"))</f>
        <v/>
      </c>
      <c r="B790" s="39"/>
      <c r="C790" s="40"/>
      <c r="D790" s="24" t="str">
        <f aca="false">IF(B790="","",TEXT(B790,"ddd"))</f>
        <v/>
      </c>
      <c r="E790" s="27" t="str">
        <f aca="false">IF(B790="","",B790-WEEKDAY(B790,3))</f>
        <v/>
      </c>
      <c r="F790" s="24" t="str">
        <f aca="false">IF(B790="","",TEXT(B790,"yyyy-mm"))</f>
        <v/>
      </c>
      <c r="G790" s="29"/>
      <c r="H790" s="29"/>
      <c r="I790" s="29"/>
      <c r="J790" s="29"/>
      <c r="K790" s="29"/>
      <c r="L790" s="29"/>
      <c r="M790" s="29"/>
      <c r="N790" s="29"/>
      <c r="O790" s="29"/>
      <c r="P790" s="29"/>
      <c r="Q790" s="30"/>
      <c r="R790" s="29"/>
      <c r="S790" s="32"/>
      <c r="T790" s="29"/>
      <c r="U790" s="29"/>
      <c r="V790" s="24" t="str">
        <f aca="false">IF(A790="","",IFERROR(INDEX(Settings!$F$5:$F$49,MATCH(G790,Settings!$D$5:$D$49,0)),""))</f>
        <v/>
      </c>
      <c r="W790" s="24" t="str">
        <f aca="false">IF(A790="","",IF(OR(P790="",P790="Organic"),"social","paid_social"))</f>
        <v/>
      </c>
      <c r="X790" s="24" t="str">
        <f aca="false">IF(A790="","",IF(K790&lt;&gt;"",IFERROR(INDEX('Case Studies'!$C$5:$C$54,MATCH(K790,'Case Studies'!$B$5:$B$54,0))&amp;"","case-study"),IF(J790&lt;&gt;"",IFERROR(INDEX(Settings!$J$5:$J$55,MATCH(J790,Settings!$I$5:$I$55,0)),"general"),"general")))</f>
        <v/>
      </c>
      <c r="Y790" s="24" t="str">
        <f aca="false">IF(A790="","",LOWER(A790))</f>
        <v/>
      </c>
      <c r="Z790" s="24" t="str">
        <f aca="false">IF(A790="","",IF(T790="",Settings!$B$5,T790)&amp;IF(ISNUMBER(FIND("?",IF(T790="",Settings!$B$5,T790))),"&amp;","?")&amp;"utm_source="&amp;V790&amp;"&amp;utm_medium="&amp;W790&amp;"&amp;utm_campaign="&amp;X790&amp;"&amp;utm_content="&amp;Y790)</f>
        <v/>
      </c>
      <c r="AA790" s="29"/>
      <c r="AB790" s="39"/>
      <c r="AC790" s="32"/>
      <c r="AD790" s="32"/>
      <c r="AE790" s="32"/>
      <c r="AF790" s="32"/>
      <c r="AG790" s="32"/>
      <c r="AH790" s="32"/>
      <c r="AI790" s="32"/>
      <c r="AJ790" s="32"/>
      <c r="AK790" s="32"/>
      <c r="AL790" s="32"/>
      <c r="AM790" s="32"/>
      <c r="AN790" s="32"/>
      <c r="AO790" s="33" t="str">
        <f aca="false">IF(A790="","",IF(AD790&lt;&gt;"",AD790,IF(AC790&lt;&gt;"",AC790,"")))</f>
        <v/>
      </c>
      <c r="AP790" s="24" t="str">
        <f aca="false">IF(AO790="","",IF(AD790&lt;&gt;"","Reported reach","Impressions (proxy)"))</f>
        <v/>
      </c>
      <c r="AQ790" s="34" t="str">
        <f aca="false">IF(OR(AO790="",N(S790)=0),"",AO790/S790)</f>
        <v/>
      </c>
      <c r="AR790" s="33" t="str">
        <f aca="false">IF(A790="","",IF(COUNT(AF790:AJ790)=0,"",SUM(AF790:AJ790)))</f>
        <v/>
      </c>
      <c r="AS790" s="34" t="str">
        <f aca="false">IF(OR(AR790="",N(AO790)=0),"",AR790/AO790)</f>
        <v/>
      </c>
      <c r="AT790" s="34" t="str">
        <f aca="false">IF(OR(AR790="",N(AC790)=0),"",AR790/AC790)</f>
        <v/>
      </c>
      <c r="AU790" s="34" t="str">
        <f aca="false">IF(OR(AR790="",N(S790)=0),"",AR790/S790)</f>
        <v/>
      </c>
      <c r="AV790" s="34" t="str">
        <f aca="false">IF(OR(AJ790="",N(AC790)=0),"",AJ790/AC790)</f>
        <v/>
      </c>
      <c r="AW790" s="34" t="str">
        <f aca="false">IF(OR(AH790="",N(AO790)=0),"",AH790/AO790)</f>
        <v/>
      </c>
      <c r="AX790" s="35" t="str">
        <f aca="false">IF(OR(AR790="",N(AO790)=0),"",(N(AF790)*Settings!$B$6+N(AG790)*Settings!$B$7+N(AH790)*Settings!$B$8+N(AI790)*Settings!$B$9+N(AJ790)*Settings!$B$10)/AO790*1000)</f>
        <v/>
      </c>
      <c r="AY790" s="36" t="str">
        <f aca="false">IF(AS790="","",IFERROR(AS790/AVERAGEIFS('Post Tracker'!$AS$5:$AS$1004,'Post Tracker'!$G$5:$G$1004,G790),""))</f>
        <v/>
      </c>
      <c r="AZ790" s="32"/>
      <c r="BA790" s="32"/>
      <c r="BB790" s="32"/>
      <c r="BC790" s="32"/>
      <c r="BD790" s="33" t="str">
        <f aca="false">IF(A790="","",COUNTIFS('Demo Pipeline'!$Q$5:$Q$504,A790))</f>
        <v/>
      </c>
      <c r="BE790" s="33" t="str">
        <f aca="false">IF(A790="","",COUNTIFS('Demo Pipeline'!$Q$5:$Q$504,A790,'Demo Pipeline'!$W$5:$W$504,"Attended"))</f>
        <v/>
      </c>
      <c r="BF790" s="33" t="str">
        <f aca="false">IF(A790="","",COUNTIFS('Demo Pipeline'!$Q$5:$Q$504,A790,'Demo Pipeline'!$X$5:$X$504,"Yes"))</f>
        <v/>
      </c>
      <c r="BG790" s="33" t="str">
        <f aca="false">IF(A790="","",COUNTIFS('Demo Pipeline'!$Q$5:$Q$504,A790,'Demo Pipeline'!$Y$5:$Y$504,"Closed Won"))</f>
        <v/>
      </c>
      <c r="BH790" s="37" t="str">
        <f aca="false">IF(A790="","",SUMIFS('Demo Pipeline'!$Z$5:$Z$504,'Demo Pipeline'!$Q$5:$Q$504,A790))</f>
        <v/>
      </c>
      <c r="BI790" s="34" t="str">
        <f aca="false">IF(OR(AZ790="",N(AJ790)=0),"",AZ790/AJ790)</f>
        <v/>
      </c>
      <c r="BJ790" s="34" t="str">
        <f aca="false">IF(OR(BB790="",N(AZ790)=0),"",BB790/AZ790)</f>
        <v/>
      </c>
      <c r="BK790" s="34" t="str">
        <f aca="false">IF(OR(A790="",N(BB790)=0),"",BD790/BB790)</f>
        <v/>
      </c>
      <c r="BL790" s="34" t="str">
        <f aca="false">IF(OR(A790="",N(AZ790)=0),"",BD790/AZ790)</f>
        <v/>
      </c>
      <c r="BM790" s="37" t="str">
        <f aca="false">IF(OR(N(Q790)=0,N(BD790)=0),"",Q790/BD790)</f>
        <v/>
      </c>
      <c r="BN790" s="29"/>
      <c r="BO790" s="29"/>
      <c r="BP790" s="33" t="str">
        <f aca="false">IF(OR(AR790="",N(AO790)=0),"",AR790)</f>
        <v/>
      </c>
      <c r="BQ790" s="33" t="str">
        <f aca="false">IF(OR(AR790="",N(S790)=0),"",S790)</f>
        <v/>
      </c>
      <c r="BR790" s="38" t="str">
        <f aca="false">IF(AND(ISNUMBER(B790),B790&gt;=Dashboard!$C$4,B790&lt;=Dashboard!$F$4,ISNUMBER(AU790)),AU790+ROW()/10^9,"")</f>
        <v/>
      </c>
      <c r="BS790" s="38" t="str">
        <f aca="false">IF(AND(ISNUMBER(B790),B790&gt;=Dashboard!$C$4,B790&lt;=Dashboard!$F$4,A790&lt;&gt;""),N(BD790)+N(AU790)/100+ROW()/10^9,"")</f>
        <v/>
      </c>
    </row>
    <row r="791" customFormat="false" ht="15" hidden="false" customHeight="false" outlineLevel="0" collapsed="false">
      <c r="A791" s="24" t="str">
        <f aca="false">IF(OR(B791="",G791="",H791=""),"",IFERROR(INDEX(Settings!$E$5:$E$49,MATCH(G791,Settings!$D$5:$D$49,0))&amp;INDEX(Settings!$H$5:$H$47,MATCH(H791,Settings!$G$5:$G$47,0))&amp;"-"&amp;TEXT(B791,"yymmdd")&amp;"-"&amp;IF(C791="","0000",TEXT(C791,"hhmm")),"CHECK LISTS"))</f>
        <v/>
      </c>
      <c r="B791" s="39"/>
      <c r="C791" s="40"/>
      <c r="D791" s="24" t="str">
        <f aca="false">IF(B791="","",TEXT(B791,"ddd"))</f>
        <v/>
      </c>
      <c r="E791" s="27" t="str">
        <f aca="false">IF(B791="","",B791-WEEKDAY(B791,3))</f>
        <v/>
      </c>
      <c r="F791" s="24" t="str">
        <f aca="false">IF(B791="","",TEXT(B791,"yyyy-mm"))</f>
        <v/>
      </c>
      <c r="G791" s="29"/>
      <c r="H791" s="29"/>
      <c r="I791" s="29"/>
      <c r="J791" s="29"/>
      <c r="K791" s="29"/>
      <c r="L791" s="29"/>
      <c r="M791" s="29"/>
      <c r="N791" s="29"/>
      <c r="O791" s="29"/>
      <c r="P791" s="29"/>
      <c r="Q791" s="30"/>
      <c r="R791" s="29"/>
      <c r="S791" s="32"/>
      <c r="T791" s="29"/>
      <c r="U791" s="29"/>
      <c r="V791" s="24" t="str">
        <f aca="false">IF(A791="","",IFERROR(INDEX(Settings!$F$5:$F$49,MATCH(G791,Settings!$D$5:$D$49,0)),""))</f>
        <v/>
      </c>
      <c r="W791" s="24" t="str">
        <f aca="false">IF(A791="","",IF(OR(P791="",P791="Organic"),"social","paid_social"))</f>
        <v/>
      </c>
      <c r="X791" s="24" t="str">
        <f aca="false">IF(A791="","",IF(K791&lt;&gt;"",IFERROR(INDEX('Case Studies'!$C$5:$C$54,MATCH(K791,'Case Studies'!$B$5:$B$54,0))&amp;"","case-study"),IF(J791&lt;&gt;"",IFERROR(INDEX(Settings!$J$5:$J$55,MATCH(J791,Settings!$I$5:$I$55,0)),"general"),"general")))</f>
        <v/>
      </c>
      <c r="Y791" s="24" t="str">
        <f aca="false">IF(A791="","",LOWER(A791))</f>
        <v/>
      </c>
      <c r="Z791" s="24" t="str">
        <f aca="false">IF(A791="","",IF(T791="",Settings!$B$5,T791)&amp;IF(ISNUMBER(FIND("?",IF(T791="",Settings!$B$5,T791))),"&amp;","?")&amp;"utm_source="&amp;V791&amp;"&amp;utm_medium="&amp;W791&amp;"&amp;utm_campaign="&amp;X791&amp;"&amp;utm_content="&amp;Y791)</f>
        <v/>
      </c>
      <c r="AA791" s="29"/>
      <c r="AB791" s="39"/>
      <c r="AC791" s="32"/>
      <c r="AD791" s="32"/>
      <c r="AE791" s="32"/>
      <c r="AF791" s="32"/>
      <c r="AG791" s="32"/>
      <c r="AH791" s="32"/>
      <c r="AI791" s="32"/>
      <c r="AJ791" s="32"/>
      <c r="AK791" s="32"/>
      <c r="AL791" s="32"/>
      <c r="AM791" s="32"/>
      <c r="AN791" s="32"/>
      <c r="AO791" s="33" t="str">
        <f aca="false">IF(A791="","",IF(AD791&lt;&gt;"",AD791,IF(AC791&lt;&gt;"",AC791,"")))</f>
        <v/>
      </c>
      <c r="AP791" s="24" t="str">
        <f aca="false">IF(AO791="","",IF(AD791&lt;&gt;"","Reported reach","Impressions (proxy)"))</f>
        <v/>
      </c>
      <c r="AQ791" s="34" t="str">
        <f aca="false">IF(OR(AO791="",N(S791)=0),"",AO791/S791)</f>
        <v/>
      </c>
      <c r="AR791" s="33" t="str">
        <f aca="false">IF(A791="","",IF(COUNT(AF791:AJ791)=0,"",SUM(AF791:AJ791)))</f>
        <v/>
      </c>
      <c r="AS791" s="34" t="str">
        <f aca="false">IF(OR(AR791="",N(AO791)=0),"",AR791/AO791)</f>
        <v/>
      </c>
      <c r="AT791" s="34" t="str">
        <f aca="false">IF(OR(AR791="",N(AC791)=0),"",AR791/AC791)</f>
        <v/>
      </c>
      <c r="AU791" s="34" t="str">
        <f aca="false">IF(OR(AR791="",N(S791)=0),"",AR791/S791)</f>
        <v/>
      </c>
      <c r="AV791" s="34" t="str">
        <f aca="false">IF(OR(AJ791="",N(AC791)=0),"",AJ791/AC791)</f>
        <v/>
      </c>
      <c r="AW791" s="34" t="str">
        <f aca="false">IF(OR(AH791="",N(AO791)=0),"",AH791/AO791)</f>
        <v/>
      </c>
      <c r="AX791" s="35" t="str">
        <f aca="false">IF(OR(AR791="",N(AO791)=0),"",(N(AF791)*Settings!$B$6+N(AG791)*Settings!$B$7+N(AH791)*Settings!$B$8+N(AI791)*Settings!$B$9+N(AJ791)*Settings!$B$10)/AO791*1000)</f>
        <v/>
      </c>
      <c r="AY791" s="36" t="str">
        <f aca="false">IF(AS791="","",IFERROR(AS791/AVERAGEIFS('Post Tracker'!$AS$5:$AS$1004,'Post Tracker'!$G$5:$G$1004,G791),""))</f>
        <v/>
      </c>
      <c r="AZ791" s="32"/>
      <c r="BA791" s="32"/>
      <c r="BB791" s="32"/>
      <c r="BC791" s="32"/>
      <c r="BD791" s="33" t="str">
        <f aca="false">IF(A791="","",COUNTIFS('Demo Pipeline'!$Q$5:$Q$504,A791))</f>
        <v/>
      </c>
      <c r="BE791" s="33" t="str">
        <f aca="false">IF(A791="","",COUNTIFS('Demo Pipeline'!$Q$5:$Q$504,A791,'Demo Pipeline'!$W$5:$W$504,"Attended"))</f>
        <v/>
      </c>
      <c r="BF791" s="33" t="str">
        <f aca="false">IF(A791="","",COUNTIFS('Demo Pipeline'!$Q$5:$Q$504,A791,'Demo Pipeline'!$X$5:$X$504,"Yes"))</f>
        <v/>
      </c>
      <c r="BG791" s="33" t="str">
        <f aca="false">IF(A791="","",COUNTIFS('Demo Pipeline'!$Q$5:$Q$504,A791,'Demo Pipeline'!$Y$5:$Y$504,"Closed Won"))</f>
        <v/>
      </c>
      <c r="BH791" s="37" t="str">
        <f aca="false">IF(A791="","",SUMIFS('Demo Pipeline'!$Z$5:$Z$504,'Demo Pipeline'!$Q$5:$Q$504,A791))</f>
        <v/>
      </c>
      <c r="BI791" s="34" t="str">
        <f aca="false">IF(OR(AZ791="",N(AJ791)=0),"",AZ791/AJ791)</f>
        <v/>
      </c>
      <c r="BJ791" s="34" t="str">
        <f aca="false">IF(OR(BB791="",N(AZ791)=0),"",BB791/AZ791)</f>
        <v/>
      </c>
      <c r="BK791" s="34" t="str">
        <f aca="false">IF(OR(A791="",N(BB791)=0),"",BD791/BB791)</f>
        <v/>
      </c>
      <c r="BL791" s="34" t="str">
        <f aca="false">IF(OR(A791="",N(AZ791)=0),"",BD791/AZ791)</f>
        <v/>
      </c>
      <c r="BM791" s="37" t="str">
        <f aca="false">IF(OR(N(Q791)=0,N(BD791)=0),"",Q791/BD791)</f>
        <v/>
      </c>
      <c r="BN791" s="29"/>
      <c r="BO791" s="29"/>
      <c r="BP791" s="33" t="str">
        <f aca="false">IF(OR(AR791="",N(AO791)=0),"",AR791)</f>
        <v/>
      </c>
      <c r="BQ791" s="33" t="str">
        <f aca="false">IF(OR(AR791="",N(S791)=0),"",S791)</f>
        <v/>
      </c>
      <c r="BR791" s="38" t="str">
        <f aca="false">IF(AND(ISNUMBER(B791),B791&gt;=Dashboard!$C$4,B791&lt;=Dashboard!$F$4,ISNUMBER(AU791)),AU791+ROW()/10^9,"")</f>
        <v/>
      </c>
      <c r="BS791" s="38" t="str">
        <f aca="false">IF(AND(ISNUMBER(B791),B791&gt;=Dashboard!$C$4,B791&lt;=Dashboard!$F$4,A791&lt;&gt;""),N(BD791)+N(AU791)/100+ROW()/10^9,"")</f>
        <v/>
      </c>
    </row>
    <row r="792" customFormat="false" ht="15" hidden="false" customHeight="false" outlineLevel="0" collapsed="false">
      <c r="A792" s="24" t="str">
        <f aca="false">IF(OR(B792="",G792="",H792=""),"",IFERROR(INDEX(Settings!$E$5:$E$49,MATCH(G792,Settings!$D$5:$D$49,0))&amp;INDEX(Settings!$H$5:$H$47,MATCH(H792,Settings!$G$5:$G$47,0))&amp;"-"&amp;TEXT(B792,"yymmdd")&amp;"-"&amp;IF(C792="","0000",TEXT(C792,"hhmm")),"CHECK LISTS"))</f>
        <v/>
      </c>
      <c r="B792" s="39"/>
      <c r="C792" s="40"/>
      <c r="D792" s="24" t="str">
        <f aca="false">IF(B792="","",TEXT(B792,"ddd"))</f>
        <v/>
      </c>
      <c r="E792" s="27" t="str">
        <f aca="false">IF(B792="","",B792-WEEKDAY(B792,3))</f>
        <v/>
      </c>
      <c r="F792" s="24" t="str">
        <f aca="false">IF(B792="","",TEXT(B792,"yyyy-mm"))</f>
        <v/>
      </c>
      <c r="G792" s="29"/>
      <c r="H792" s="29"/>
      <c r="I792" s="29"/>
      <c r="J792" s="29"/>
      <c r="K792" s="29"/>
      <c r="L792" s="29"/>
      <c r="M792" s="29"/>
      <c r="N792" s="29"/>
      <c r="O792" s="29"/>
      <c r="P792" s="29"/>
      <c r="Q792" s="30"/>
      <c r="R792" s="29"/>
      <c r="S792" s="32"/>
      <c r="T792" s="29"/>
      <c r="U792" s="29"/>
      <c r="V792" s="24" t="str">
        <f aca="false">IF(A792="","",IFERROR(INDEX(Settings!$F$5:$F$49,MATCH(G792,Settings!$D$5:$D$49,0)),""))</f>
        <v/>
      </c>
      <c r="W792" s="24" t="str">
        <f aca="false">IF(A792="","",IF(OR(P792="",P792="Organic"),"social","paid_social"))</f>
        <v/>
      </c>
      <c r="X792" s="24" t="str">
        <f aca="false">IF(A792="","",IF(K792&lt;&gt;"",IFERROR(INDEX('Case Studies'!$C$5:$C$54,MATCH(K792,'Case Studies'!$B$5:$B$54,0))&amp;"","case-study"),IF(J792&lt;&gt;"",IFERROR(INDEX(Settings!$J$5:$J$55,MATCH(J792,Settings!$I$5:$I$55,0)),"general"),"general")))</f>
        <v/>
      </c>
      <c r="Y792" s="24" t="str">
        <f aca="false">IF(A792="","",LOWER(A792))</f>
        <v/>
      </c>
      <c r="Z792" s="24" t="str">
        <f aca="false">IF(A792="","",IF(T792="",Settings!$B$5,T792)&amp;IF(ISNUMBER(FIND("?",IF(T792="",Settings!$B$5,T792))),"&amp;","?")&amp;"utm_source="&amp;V792&amp;"&amp;utm_medium="&amp;W792&amp;"&amp;utm_campaign="&amp;X792&amp;"&amp;utm_content="&amp;Y792)</f>
        <v/>
      </c>
      <c r="AA792" s="29"/>
      <c r="AB792" s="39"/>
      <c r="AC792" s="32"/>
      <c r="AD792" s="32"/>
      <c r="AE792" s="32"/>
      <c r="AF792" s="32"/>
      <c r="AG792" s="32"/>
      <c r="AH792" s="32"/>
      <c r="AI792" s="32"/>
      <c r="AJ792" s="32"/>
      <c r="AK792" s="32"/>
      <c r="AL792" s="32"/>
      <c r="AM792" s="32"/>
      <c r="AN792" s="32"/>
      <c r="AO792" s="33" t="str">
        <f aca="false">IF(A792="","",IF(AD792&lt;&gt;"",AD792,IF(AC792&lt;&gt;"",AC792,"")))</f>
        <v/>
      </c>
      <c r="AP792" s="24" t="str">
        <f aca="false">IF(AO792="","",IF(AD792&lt;&gt;"","Reported reach","Impressions (proxy)"))</f>
        <v/>
      </c>
      <c r="AQ792" s="34" t="str">
        <f aca="false">IF(OR(AO792="",N(S792)=0),"",AO792/S792)</f>
        <v/>
      </c>
      <c r="AR792" s="33" t="str">
        <f aca="false">IF(A792="","",IF(COUNT(AF792:AJ792)=0,"",SUM(AF792:AJ792)))</f>
        <v/>
      </c>
      <c r="AS792" s="34" t="str">
        <f aca="false">IF(OR(AR792="",N(AO792)=0),"",AR792/AO792)</f>
        <v/>
      </c>
      <c r="AT792" s="34" t="str">
        <f aca="false">IF(OR(AR792="",N(AC792)=0),"",AR792/AC792)</f>
        <v/>
      </c>
      <c r="AU792" s="34" t="str">
        <f aca="false">IF(OR(AR792="",N(S792)=0),"",AR792/S792)</f>
        <v/>
      </c>
      <c r="AV792" s="34" t="str">
        <f aca="false">IF(OR(AJ792="",N(AC792)=0),"",AJ792/AC792)</f>
        <v/>
      </c>
      <c r="AW792" s="34" t="str">
        <f aca="false">IF(OR(AH792="",N(AO792)=0),"",AH792/AO792)</f>
        <v/>
      </c>
      <c r="AX792" s="35" t="str">
        <f aca="false">IF(OR(AR792="",N(AO792)=0),"",(N(AF792)*Settings!$B$6+N(AG792)*Settings!$B$7+N(AH792)*Settings!$B$8+N(AI792)*Settings!$B$9+N(AJ792)*Settings!$B$10)/AO792*1000)</f>
        <v/>
      </c>
      <c r="AY792" s="36" t="str">
        <f aca="false">IF(AS792="","",IFERROR(AS792/AVERAGEIFS('Post Tracker'!$AS$5:$AS$1004,'Post Tracker'!$G$5:$G$1004,G792),""))</f>
        <v/>
      </c>
      <c r="AZ792" s="32"/>
      <c r="BA792" s="32"/>
      <c r="BB792" s="32"/>
      <c r="BC792" s="32"/>
      <c r="BD792" s="33" t="str">
        <f aca="false">IF(A792="","",COUNTIFS('Demo Pipeline'!$Q$5:$Q$504,A792))</f>
        <v/>
      </c>
      <c r="BE792" s="33" t="str">
        <f aca="false">IF(A792="","",COUNTIFS('Demo Pipeline'!$Q$5:$Q$504,A792,'Demo Pipeline'!$W$5:$W$504,"Attended"))</f>
        <v/>
      </c>
      <c r="BF792" s="33" t="str">
        <f aca="false">IF(A792="","",COUNTIFS('Demo Pipeline'!$Q$5:$Q$504,A792,'Demo Pipeline'!$X$5:$X$504,"Yes"))</f>
        <v/>
      </c>
      <c r="BG792" s="33" t="str">
        <f aca="false">IF(A792="","",COUNTIFS('Demo Pipeline'!$Q$5:$Q$504,A792,'Demo Pipeline'!$Y$5:$Y$504,"Closed Won"))</f>
        <v/>
      </c>
      <c r="BH792" s="37" t="str">
        <f aca="false">IF(A792="","",SUMIFS('Demo Pipeline'!$Z$5:$Z$504,'Demo Pipeline'!$Q$5:$Q$504,A792))</f>
        <v/>
      </c>
      <c r="BI792" s="34" t="str">
        <f aca="false">IF(OR(AZ792="",N(AJ792)=0),"",AZ792/AJ792)</f>
        <v/>
      </c>
      <c r="BJ792" s="34" t="str">
        <f aca="false">IF(OR(BB792="",N(AZ792)=0),"",BB792/AZ792)</f>
        <v/>
      </c>
      <c r="BK792" s="34" t="str">
        <f aca="false">IF(OR(A792="",N(BB792)=0),"",BD792/BB792)</f>
        <v/>
      </c>
      <c r="BL792" s="34" t="str">
        <f aca="false">IF(OR(A792="",N(AZ792)=0),"",BD792/AZ792)</f>
        <v/>
      </c>
      <c r="BM792" s="37" t="str">
        <f aca="false">IF(OR(N(Q792)=0,N(BD792)=0),"",Q792/BD792)</f>
        <v/>
      </c>
      <c r="BN792" s="29"/>
      <c r="BO792" s="29"/>
      <c r="BP792" s="33" t="str">
        <f aca="false">IF(OR(AR792="",N(AO792)=0),"",AR792)</f>
        <v/>
      </c>
      <c r="BQ792" s="33" t="str">
        <f aca="false">IF(OR(AR792="",N(S792)=0),"",S792)</f>
        <v/>
      </c>
      <c r="BR792" s="38" t="str">
        <f aca="false">IF(AND(ISNUMBER(B792),B792&gt;=Dashboard!$C$4,B792&lt;=Dashboard!$F$4,ISNUMBER(AU792)),AU792+ROW()/10^9,"")</f>
        <v/>
      </c>
      <c r="BS792" s="38" t="str">
        <f aca="false">IF(AND(ISNUMBER(B792),B792&gt;=Dashboard!$C$4,B792&lt;=Dashboard!$F$4,A792&lt;&gt;""),N(BD792)+N(AU792)/100+ROW()/10^9,"")</f>
        <v/>
      </c>
    </row>
    <row r="793" customFormat="false" ht="15" hidden="false" customHeight="false" outlineLevel="0" collapsed="false">
      <c r="A793" s="24" t="str">
        <f aca="false">IF(OR(B793="",G793="",H793=""),"",IFERROR(INDEX(Settings!$E$5:$E$49,MATCH(G793,Settings!$D$5:$D$49,0))&amp;INDEX(Settings!$H$5:$H$47,MATCH(H793,Settings!$G$5:$G$47,0))&amp;"-"&amp;TEXT(B793,"yymmdd")&amp;"-"&amp;IF(C793="","0000",TEXT(C793,"hhmm")),"CHECK LISTS"))</f>
        <v/>
      </c>
      <c r="B793" s="39"/>
      <c r="C793" s="40"/>
      <c r="D793" s="24" t="str">
        <f aca="false">IF(B793="","",TEXT(B793,"ddd"))</f>
        <v/>
      </c>
      <c r="E793" s="27" t="str">
        <f aca="false">IF(B793="","",B793-WEEKDAY(B793,3))</f>
        <v/>
      </c>
      <c r="F793" s="24" t="str">
        <f aca="false">IF(B793="","",TEXT(B793,"yyyy-mm"))</f>
        <v/>
      </c>
      <c r="G793" s="29"/>
      <c r="H793" s="29"/>
      <c r="I793" s="29"/>
      <c r="J793" s="29"/>
      <c r="K793" s="29"/>
      <c r="L793" s="29"/>
      <c r="M793" s="29"/>
      <c r="N793" s="29"/>
      <c r="O793" s="29"/>
      <c r="P793" s="29"/>
      <c r="Q793" s="30"/>
      <c r="R793" s="29"/>
      <c r="S793" s="32"/>
      <c r="T793" s="29"/>
      <c r="U793" s="29"/>
      <c r="V793" s="24" t="str">
        <f aca="false">IF(A793="","",IFERROR(INDEX(Settings!$F$5:$F$49,MATCH(G793,Settings!$D$5:$D$49,0)),""))</f>
        <v/>
      </c>
      <c r="W793" s="24" t="str">
        <f aca="false">IF(A793="","",IF(OR(P793="",P793="Organic"),"social","paid_social"))</f>
        <v/>
      </c>
      <c r="X793" s="24" t="str">
        <f aca="false">IF(A793="","",IF(K793&lt;&gt;"",IFERROR(INDEX('Case Studies'!$C$5:$C$54,MATCH(K793,'Case Studies'!$B$5:$B$54,0))&amp;"","case-study"),IF(J793&lt;&gt;"",IFERROR(INDEX(Settings!$J$5:$J$55,MATCH(J793,Settings!$I$5:$I$55,0)),"general"),"general")))</f>
        <v/>
      </c>
      <c r="Y793" s="24" t="str">
        <f aca="false">IF(A793="","",LOWER(A793))</f>
        <v/>
      </c>
      <c r="Z793" s="24" t="str">
        <f aca="false">IF(A793="","",IF(T793="",Settings!$B$5,T793)&amp;IF(ISNUMBER(FIND("?",IF(T793="",Settings!$B$5,T793))),"&amp;","?")&amp;"utm_source="&amp;V793&amp;"&amp;utm_medium="&amp;W793&amp;"&amp;utm_campaign="&amp;X793&amp;"&amp;utm_content="&amp;Y793)</f>
        <v/>
      </c>
      <c r="AA793" s="29"/>
      <c r="AB793" s="39"/>
      <c r="AC793" s="32"/>
      <c r="AD793" s="32"/>
      <c r="AE793" s="32"/>
      <c r="AF793" s="32"/>
      <c r="AG793" s="32"/>
      <c r="AH793" s="32"/>
      <c r="AI793" s="32"/>
      <c r="AJ793" s="32"/>
      <c r="AK793" s="32"/>
      <c r="AL793" s="32"/>
      <c r="AM793" s="32"/>
      <c r="AN793" s="32"/>
      <c r="AO793" s="33" t="str">
        <f aca="false">IF(A793="","",IF(AD793&lt;&gt;"",AD793,IF(AC793&lt;&gt;"",AC793,"")))</f>
        <v/>
      </c>
      <c r="AP793" s="24" t="str">
        <f aca="false">IF(AO793="","",IF(AD793&lt;&gt;"","Reported reach","Impressions (proxy)"))</f>
        <v/>
      </c>
      <c r="AQ793" s="34" t="str">
        <f aca="false">IF(OR(AO793="",N(S793)=0),"",AO793/S793)</f>
        <v/>
      </c>
      <c r="AR793" s="33" t="str">
        <f aca="false">IF(A793="","",IF(COUNT(AF793:AJ793)=0,"",SUM(AF793:AJ793)))</f>
        <v/>
      </c>
      <c r="AS793" s="34" t="str">
        <f aca="false">IF(OR(AR793="",N(AO793)=0),"",AR793/AO793)</f>
        <v/>
      </c>
      <c r="AT793" s="34" t="str">
        <f aca="false">IF(OR(AR793="",N(AC793)=0),"",AR793/AC793)</f>
        <v/>
      </c>
      <c r="AU793" s="34" t="str">
        <f aca="false">IF(OR(AR793="",N(S793)=0),"",AR793/S793)</f>
        <v/>
      </c>
      <c r="AV793" s="34" t="str">
        <f aca="false">IF(OR(AJ793="",N(AC793)=0),"",AJ793/AC793)</f>
        <v/>
      </c>
      <c r="AW793" s="34" t="str">
        <f aca="false">IF(OR(AH793="",N(AO793)=0),"",AH793/AO793)</f>
        <v/>
      </c>
      <c r="AX793" s="35" t="str">
        <f aca="false">IF(OR(AR793="",N(AO793)=0),"",(N(AF793)*Settings!$B$6+N(AG793)*Settings!$B$7+N(AH793)*Settings!$B$8+N(AI793)*Settings!$B$9+N(AJ793)*Settings!$B$10)/AO793*1000)</f>
        <v/>
      </c>
      <c r="AY793" s="36" t="str">
        <f aca="false">IF(AS793="","",IFERROR(AS793/AVERAGEIFS('Post Tracker'!$AS$5:$AS$1004,'Post Tracker'!$G$5:$G$1004,G793),""))</f>
        <v/>
      </c>
      <c r="AZ793" s="32"/>
      <c r="BA793" s="32"/>
      <c r="BB793" s="32"/>
      <c r="BC793" s="32"/>
      <c r="BD793" s="33" t="str">
        <f aca="false">IF(A793="","",COUNTIFS('Demo Pipeline'!$Q$5:$Q$504,A793))</f>
        <v/>
      </c>
      <c r="BE793" s="33" t="str">
        <f aca="false">IF(A793="","",COUNTIFS('Demo Pipeline'!$Q$5:$Q$504,A793,'Demo Pipeline'!$W$5:$W$504,"Attended"))</f>
        <v/>
      </c>
      <c r="BF793" s="33" t="str">
        <f aca="false">IF(A793="","",COUNTIFS('Demo Pipeline'!$Q$5:$Q$504,A793,'Demo Pipeline'!$X$5:$X$504,"Yes"))</f>
        <v/>
      </c>
      <c r="BG793" s="33" t="str">
        <f aca="false">IF(A793="","",COUNTIFS('Demo Pipeline'!$Q$5:$Q$504,A793,'Demo Pipeline'!$Y$5:$Y$504,"Closed Won"))</f>
        <v/>
      </c>
      <c r="BH793" s="37" t="str">
        <f aca="false">IF(A793="","",SUMIFS('Demo Pipeline'!$Z$5:$Z$504,'Demo Pipeline'!$Q$5:$Q$504,A793))</f>
        <v/>
      </c>
      <c r="BI793" s="34" t="str">
        <f aca="false">IF(OR(AZ793="",N(AJ793)=0),"",AZ793/AJ793)</f>
        <v/>
      </c>
      <c r="BJ793" s="34" t="str">
        <f aca="false">IF(OR(BB793="",N(AZ793)=0),"",BB793/AZ793)</f>
        <v/>
      </c>
      <c r="BK793" s="34" t="str">
        <f aca="false">IF(OR(A793="",N(BB793)=0),"",BD793/BB793)</f>
        <v/>
      </c>
      <c r="BL793" s="34" t="str">
        <f aca="false">IF(OR(A793="",N(AZ793)=0),"",BD793/AZ793)</f>
        <v/>
      </c>
      <c r="BM793" s="37" t="str">
        <f aca="false">IF(OR(N(Q793)=0,N(BD793)=0),"",Q793/BD793)</f>
        <v/>
      </c>
      <c r="BN793" s="29"/>
      <c r="BO793" s="29"/>
      <c r="BP793" s="33" t="str">
        <f aca="false">IF(OR(AR793="",N(AO793)=0),"",AR793)</f>
        <v/>
      </c>
      <c r="BQ793" s="33" t="str">
        <f aca="false">IF(OR(AR793="",N(S793)=0),"",S793)</f>
        <v/>
      </c>
      <c r="BR793" s="38" t="str">
        <f aca="false">IF(AND(ISNUMBER(B793),B793&gt;=Dashboard!$C$4,B793&lt;=Dashboard!$F$4,ISNUMBER(AU793)),AU793+ROW()/10^9,"")</f>
        <v/>
      </c>
      <c r="BS793" s="38" t="str">
        <f aca="false">IF(AND(ISNUMBER(B793),B793&gt;=Dashboard!$C$4,B793&lt;=Dashboard!$F$4,A793&lt;&gt;""),N(BD793)+N(AU793)/100+ROW()/10^9,"")</f>
        <v/>
      </c>
    </row>
    <row r="794" customFormat="false" ht="15" hidden="false" customHeight="false" outlineLevel="0" collapsed="false">
      <c r="A794" s="24" t="str">
        <f aca="false">IF(OR(B794="",G794="",H794=""),"",IFERROR(INDEX(Settings!$E$5:$E$49,MATCH(G794,Settings!$D$5:$D$49,0))&amp;INDEX(Settings!$H$5:$H$47,MATCH(H794,Settings!$G$5:$G$47,0))&amp;"-"&amp;TEXT(B794,"yymmdd")&amp;"-"&amp;IF(C794="","0000",TEXT(C794,"hhmm")),"CHECK LISTS"))</f>
        <v/>
      </c>
      <c r="B794" s="39"/>
      <c r="C794" s="40"/>
      <c r="D794" s="24" t="str">
        <f aca="false">IF(B794="","",TEXT(B794,"ddd"))</f>
        <v/>
      </c>
      <c r="E794" s="27" t="str">
        <f aca="false">IF(B794="","",B794-WEEKDAY(B794,3))</f>
        <v/>
      </c>
      <c r="F794" s="24" t="str">
        <f aca="false">IF(B794="","",TEXT(B794,"yyyy-mm"))</f>
        <v/>
      </c>
      <c r="G794" s="29"/>
      <c r="H794" s="29"/>
      <c r="I794" s="29"/>
      <c r="J794" s="29"/>
      <c r="K794" s="29"/>
      <c r="L794" s="29"/>
      <c r="M794" s="29"/>
      <c r="N794" s="29"/>
      <c r="O794" s="29"/>
      <c r="P794" s="29"/>
      <c r="Q794" s="30"/>
      <c r="R794" s="29"/>
      <c r="S794" s="32"/>
      <c r="T794" s="29"/>
      <c r="U794" s="29"/>
      <c r="V794" s="24" t="str">
        <f aca="false">IF(A794="","",IFERROR(INDEX(Settings!$F$5:$F$49,MATCH(G794,Settings!$D$5:$D$49,0)),""))</f>
        <v/>
      </c>
      <c r="W794" s="24" t="str">
        <f aca="false">IF(A794="","",IF(OR(P794="",P794="Organic"),"social","paid_social"))</f>
        <v/>
      </c>
      <c r="X794" s="24" t="str">
        <f aca="false">IF(A794="","",IF(K794&lt;&gt;"",IFERROR(INDEX('Case Studies'!$C$5:$C$54,MATCH(K794,'Case Studies'!$B$5:$B$54,0))&amp;"","case-study"),IF(J794&lt;&gt;"",IFERROR(INDEX(Settings!$J$5:$J$55,MATCH(J794,Settings!$I$5:$I$55,0)),"general"),"general")))</f>
        <v/>
      </c>
      <c r="Y794" s="24" t="str">
        <f aca="false">IF(A794="","",LOWER(A794))</f>
        <v/>
      </c>
      <c r="Z794" s="24" t="str">
        <f aca="false">IF(A794="","",IF(T794="",Settings!$B$5,T794)&amp;IF(ISNUMBER(FIND("?",IF(T794="",Settings!$B$5,T794))),"&amp;","?")&amp;"utm_source="&amp;V794&amp;"&amp;utm_medium="&amp;W794&amp;"&amp;utm_campaign="&amp;X794&amp;"&amp;utm_content="&amp;Y794)</f>
        <v/>
      </c>
      <c r="AA794" s="29"/>
      <c r="AB794" s="39"/>
      <c r="AC794" s="32"/>
      <c r="AD794" s="32"/>
      <c r="AE794" s="32"/>
      <c r="AF794" s="32"/>
      <c r="AG794" s="32"/>
      <c r="AH794" s="32"/>
      <c r="AI794" s="32"/>
      <c r="AJ794" s="32"/>
      <c r="AK794" s="32"/>
      <c r="AL794" s="32"/>
      <c r="AM794" s="32"/>
      <c r="AN794" s="32"/>
      <c r="AO794" s="33" t="str">
        <f aca="false">IF(A794="","",IF(AD794&lt;&gt;"",AD794,IF(AC794&lt;&gt;"",AC794,"")))</f>
        <v/>
      </c>
      <c r="AP794" s="24" t="str">
        <f aca="false">IF(AO794="","",IF(AD794&lt;&gt;"","Reported reach","Impressions (proxy)"))</f>
        <v/>
      </c>
      <c r="AQ794" s="34" t="str">
        <f aca="false">IF(OR(AO794="",N(S794)=0),"",AO794/S794)</f>
        <v/>
      </c>
      <c r="AR794" s="33" t="str">
        <f aca="false">IF(A794="","",IF(COUNT(AF794:AJ794)=0,"",SUM(AF794:AJ794)))</f>
        <v/>
      </c>
      <c r="AS794" s="34" t="str">
        <f aca="false">IF(OR(AR794="",N(AO794)=0),"",AR794/AO794)</f>
        <v/>
      </c>
      <c r="AT794" s="34" t="str">
        <f aca="false">IF(OR(AR794="",N(AC794)=0),"",AR794/AC794)</f>
        <v/>
      </c>
      <c r="AU794" s="34" t="str">
        <f aca="false">IF(OR(AR794="",N(S794)=0),"",AR794/S794)</f>
        <v/>
      </c>
      <c r="AV794" s="34" t="str">
        <f aca="false">IF(OR(AJ794="",N(AC794)=0),"",AJ794/AC794)</f>
        <v/>
      </c>
      <c r="AW794" s="34" t="str">
        <f aca="false">IF(OR(AH794="",N(AO794)=0),"",AH794/AO794)</f>
        <v/>
      </c>
      <c r="AX794" s="35" t="str">
        <f aca="false">IF(OR(AR794="",N(AO794)=0),"",(N(AF794)*Settings!$B$6+N(AG794)*Settings!$B$7+N(AH794)*Settings!$B$8+N(AI794)*Settings!$B$9+N(AJ794)*Settings!$B$10)/AO794*1000)</f>
        <v/>
      </c>
      <c r="AY794" s="36" t="str">
        <f aca="false">IF(AS794="","",IFERROR(AS794/AVERAGEIFS('Post Tracker'!$AS$5:$AS$1004,'Post Tracker'!$G$5:$G$1004,G794),""))</f>
        <v/>
      </c>
      <c r="AZ794" s="32"/>
      <c r="BA794" s="32"/>
      <c r="BB794" s="32"/>
      <c r="BC794" s="32"/>
      <c r="BD794" s="33" t="str">
        <f aca="false">IF(A794="","",COUNTIFS('Demo Pipeline'!$Q$5:$Q$504,A794))</f>
        <v/>
      </c>
      <c r="BE794" s="33" t="str">
        <f aca="false">IF(A794="","",COUNTIFS('Demo Pipeline'!$Q$5:$Q$504,A794,'Demo Pipeline'!$W$5:$W$504,"Attended"))</f>
        <v/>
      </c>
      <c r="BF794" s="33" t="str">
        <f aca="false">IF(A794="","",COUNTIFS('Demo Pipeline'!$Q$5:$Q$504,A794,'Demo Pipeline'!$X$5:$X$504,"Yes"))</f>
        <v/>
      </c>
      <c r="BG794" s="33" t="str">
        <f aca="false">IF(A794="","",COUNTIFS('Demo Pipeline'!$Q$5:$Q$504,A794,'Demo Pipeline'!$Y$5:$Y$504,"Closed Won"))</f>
        <v/>
      </c>
      <c r="BH794" s="37" t="str">
        <f aca="false">IF(A794="","",SUMIFS('Demo Pipeline'!$Z$5:$Z$504,'Demo Pipeline'!$Q$5:$Q$504,A794))</f>
        <v/>
      </c>
      <c r="BI794" s="34" t="str">
        <f aca="false">IF(OR(AZ794="",N(AJ794)=0),"",AZ794/AJ794)</f>
        <v/>
      </c>
      <c r="BJ794" s="34" t="str">
        <f aca="false">IF(OR(BB794="",N(AZ794)=0),"",BB794/AZ794)</f>
        <v/>
      </c>
      <c r="BK794" s="34" t="str">
        <f aca="false">IF(OR(A794="",N(BB794)=0),"",BD794/BB794)</f>
        <v/>
      </c>
      <c r="BL794" s="34" t="str">
        <f aca="false">IF(OR(A794="",N(AZ794)=0),"",BD794/AZ794)</f>
        <v/>
      </c>
      <c r="BM794" s="37" t="str">
        <f aca="false">IF(OR(N(Q794)=0,N(BD794)=0),"",Q794/BD794)</f>
        <v/>
      </c>
      <c r="BN794" s="29"/>
      <c r="BO794" s="29"/>
      <c r="BP794" s="33" t="str">
        <f aca="false">IF(OR(AR794="",N(AO794)=0),"",AR794)</f>
        <v/>
      </c>
      <c r="BQ794" s="33" t="str">
        <f aca="false">IF(OR(AR794="",N(S794)=0),"",S794)</f>
        <v/>
      </c>
      <c r="BR794" s="38" t="str">
        <f aca="false">IF(AND(ISNUMBER(B794),B794&gt;=Dashboard!$C$4,B794&lt;=Dashboard!$F$4,ISNUMBER(AU794)),AU794+ROW()/10^9,"")</f>
        <v/>
      </c>
      <c r="BS794" s="38" t="str">
        <f aca="false">IF(AND(ISNUMBER(B794),B794&gt;=Dashboard!$C$4,B794&lt;=Dashboard!$F$4,A794&lt;&gt;""),N(BD794)+N(AU794)/100+ROW()/10^9,"")</f>
        <v/>
      </c>
    </row>
    <row r="795" customFormat="false" ht="15" hidden="false" customHeight="false" outlineLevel="0" collapsed="false">
      <c r="A795" s="24" t="str">
        <f aca="false">IF(OR(B795="",G795="",H795=""),"",IFERROR(INDEX(Settings!$E$5:$E$49,MATCH(G795,Settings!$D$5:$D$49,0))&amp;INDEX(Settings!$H$5:$H$47,MATCH(H795,Settings!$G$5:$G$47,0))&amp;"-"&amp;TEXT(B795,"yymmdd")&amp;"-"&amp;IF(C795="","0000",TEXT(C795,"hhmm")),"CHECK LISTS"))</f>
        <v/>
      </c>
      <c r="B795" s="39"/>
      <c r="C795" s="40"/>
      <c r="D795" s="24" t="str">
        <f aca="false">IF(B795="","",TEXT(B795,"ddd"))</f>
        <v/>
      </c>
      <c r="E795" s="27" t="str">
        <f aca="false">IF(B795="","",B795-WEEKDAY(B795,3))</f>
        <v/>
      </c>
      <c r="F795" s="24" t="str">
        <f aca="false">IF(B795="","",TEXT(B795,"yyyy-mm"))</f>
        <v/>
      </c>
      <c r="G795" s="29"/>
      <c r="H795" s="29"/>
      <c r="I795" s="29"/>
      <c r="J795" s="29"/>
      <c r="K795" s="29"/>
      <c r="L795" s="29"/>
      <c r="M795" s="29"/>
      <c r="N795" s="29"/>
      <c r="O795" s="29"/>
      <c r="P795" s="29"/>
      <c r="Q795" s="30"/>
      <c r="R795" s="29"/>
      <c r="S795" s="32"/>
      <c r="T795" s="29"/>
      <c r="U795" s="29"/>
      <c r="V795" s="24" t="str">
        <f aca="false">IF(A795="","",IFERROR(INDEX(Settings!$F$5:$F$49,MATCH(G795,Settings!$D$5:$D$49,0)),""))</f>
        <v/>
      </c>
      <c r="W795" s="24" t="str">
        <f aca="false">IF(A795="","",IF(OR(P795="",P795="Organic"),"social","paid_social"))</f>
        <v/>
      </c>
      <c r="X795" s="24" t="str">
        <f aca="false">IF(A795="","",IF(K795&lt;&gt;"",IFERROR(INDEX('Case Studies'!$C$5:$C$54,MATCH(K795,'Case Studies'!$B$5:$B$54,0))&amp;"","case-study"),IF(J795&lt;&gt;"",IFERROR(INDEX(Settings!$J$5:$J$55,MATCH(J795,Settings!$I$5:$I$55,0)),"general"),"general")))</f>
        <v/>
      </c>
      <c r="Y795" s="24" t="str">
        <f aca="false">IF(A795="","",LOWER(A795))</f>
        <v/>
      </c>
      <c r="Z795" s="24" t="str">
        <f aca="false">IF(A795="","",IF(T795="",Settings!$B$5,T795)&amp;IF(ISNUMBER(FIND("?",IF(T795="",Settings!$B$5,T795))),"&amp;","?")&amp;"utm_source="&amp;V795&amp;"&amp;utm_medium="&amp;W795&amp;"&amp;utm_campaign="&amp;X795&amp;"&amp;utm_content="&amp;Y795)</f>
        <v/>
      </c>
      <c r="AA795" s="29"/>
      <c r="AB795" s="39"/>
      <c r="AC795" s="32"/>
      <c r="AD795" s="32"/>
      <c r="AE795" s="32"/>
      <c r="AF795" s="32"/>
      <c r="AG795" s="32"/>
      <c r="AH795" s="32"/>
      <c r="AI795" s="32"/>
      <c r="AJ795" s="32"/>
      <c r="AK795" s="32"/>
      <c r="AL795" s="32"/>
      <c r="AM795" s="32"/>
      <c r="AN795" s="32"/>
      <c r="AO795" s="33" t="str">
        <f aca="false">IF(A795="","",IF(AD795&lt;&gt;"",AD795,IF(AC795&lt;&gt;"",AC795,"")))</f>
        <v/>
      </c>
      <c r="AP795" s="24" t="str">
        <f aca="false">IF(AO795="","",IF(AD795&lt;&gt;"","Reported reach","Impressions (proxy)"))</f>
        <v/>
      </c>
      <c r="AQ795" s="34" t="str">
        <f aca="false">IF(OR(AO795="",N(S795)=0),"",AO795/S795)</f>
        <v/>
      </c>
      <c r="AR795" s="33" t="str">
        <f aca="false">IF(A795="","",IF(COUNT(AF795:AJ795)=0,"",SUM(AF795:AJ795)))</f>
        <v/>
      </c>
      <c r="AS795" s="34" t="str">
        <f aca="false">IF(OR(AR795="",N(AO795)=0),"",AR795/AO795)</f>
        <v/>
      </c>
      <c r="AT795" s="34" t="str">
        <f aca="false">IF(OR(AR795="",N(AC795)=0),"",AR795/AC795)</f>
        <v/>
      </c>
      <c r="AU795" s="34" t="str">
        <f aca="false">IF(OR(AR795="",N(S795)=0),"",AR795/S795)</f>
        <v/>
      </c>
      <c r="AV795" s="34" t="str">
        <f aca="false">IF(OR(AJ795="",N(AC795)=0),"",AJ795/AC795)</f>
        <v/>
      </c>
      <c r="AW795" s="34" t="str">
        <f aca="false">IF(OR(AH795="",N(AO795)=0),"",AH795/AO795)</f>
        <v/>
      </c>
      <c r="AX795" s="35" t="str">
        <f aca="false">IF(OR(AR795="",N(AO795)=0),"",(N(AF795)*Settings!$B$6+N(AG795)*Settings!$B$7+N(AH795)*Settings!$B$8+N(AI795)*Settings!$B$9+N(AJ795)*Settings!$B$10)/AO795*1000)</f>
        <v/>
      </c>
      <c r="AY795" s="36" t="str">
        <f aca="false">IF(AS795="","",IFERROR(AS795/AVERAGEIFS('Post Tracker'!$AS$5:$AS$1004,'Post Tracker'!$G$5:$G$1004,G795),""))</f>
        <v/>
      </c>
      <c r="AZ795" s="32"/>
      <c r="BA795" s="32"/>
      <c r="BB795" s="32"/>
      <c r="BC795" s="32"/>
      <c r="BD795" s="33" t="str">
        <f aca="false">IF(A795="","",COUNTIFS('Demo Pipeline'!$Q$5:$Q$504,A795))</f>
        <v/>
      </c>
      <c r="BE795" s="33" t="str">
        <f aca="false">IF(A795="","",COUNTIFS('Demo Pipeline'!$Q$5:$Q$504,A795,'Demo Pipeline'!$W$5:$W$504,"Attended"))</f>
        <v/>
      </c>
      <c r="BF795" s="33" t="str">
        <f aca="false">IF(A795="","",COUNTIFS('Demo Pipeline'!$Q$5:$Q$504,A795,'Demo Pipeline'!$X$5:$X$504,"Yes"))</f>
        <v/>
      </c>
      <c r="BG795" s="33" t="str">
        <f aca="false">IF(A795="","",COUNTIFS('Demo Pipeline'!$Q$5:$Q$504,A795,'Demo Pipeline'!$Y$5:$Y$504,"Closed Won"))</f>
        <v/>
      </c>
      <c r="BH795" s="37" t="str">
        <f aca="false">IF(A795="","",SUMIFS('Demo Pipeline'!$Z$5:$Z$504,'Demo Pipeline'!$Q$5:$Q$504,A795))</f>
        <v/>
      </c>
      <c r="BI795" s="34" t="str">
        <f aca="false">IF(OR(AZ795="",N(AJ795)=0),"",AZ795/AJ795)</f>
        <v/>
      </c>
      <c r="BJ795" s="34" t="str">
        <f aca="false">IF(OR(BB795="",N(AZ795)=0),"",BB795/AZ795)</f>
        <v/>
      </c>
      <c r="BK795" s="34" t="str">
        <f aca="false">IF(OR(A795="",N(BB795)=0),"",BD795/BB795)</f>
        <v/>
      </c>
      <c r="BL795" s="34" t="str">
        <f aca="false">IF(OR(A795="",N(AZ795)=0),"",BD795/AZ795)</f>
        <v/>
      </c>
      <c r="BM795" s="37" t="str">
        <f aca="false">IF(OR(N(Q795)=0,N(BD795)=0),"",Q795/BD795)</f>
        <v/>
      </c>
      <c r="BN795" s="29"/>
      <c r="BO795" s="29"/>
      <c r="BP795" s="33" t="str">
        <f aca="false">IF(OR(AR795="",N(AO795)=0),"",AR795)</f>
        <v/>
      </c>
      <c r="BQ795" s="33" t="str">
        <f aca="false">IF(OR(AR795="",N(S795)=0),"",S795)</f>
        <v/>
      </c>
      <c r="BR795" s="38" t="str">
        <f aca="false">IF(AND(ISNUMBER(B795),B795&gt;=Dashboard!$C$4,B795&lt;=Dashboard!$F$4,ISNUMBER(AU795)),AU795+ROW()/10^9,"")</f>
        <v/>
      </c>
      <c r="BS795" s="38" t="str">
        <f aca="false">IF(AND(ISNUMBER(B795),B795&gt;=Dashboard!$C$4,B795&lt;=Dashboard!$F$4,A795&lt;&gt;""),N(BD795)+N(AU795)/100+ROW()/10^9,"")</f>
        <v/>
      </c>
    </row>
    <row r="796" customFormat="false" ht="15" hidden="false" customHeight="false" outlineLevel="0" collapsed="false">
      <c r="A796" s="24" t="str">
        <f aca="false">IF(OR(B796="",G796="",H796=""),"",IFERROR(INDEX(Settings!$E$5:$E$49,MATCH(G796,Settings!$D$5:$D$49,0))&amp;INDEX(Settings!$H$5:$H$47,MATCH(H796,Settings!$G$5:$G$47,0))&amp;"-"&amp;TEXT(B796,"yymmdd")&amp;"-"&amp;IF(C796="","0000",TEXT(C796,"hhmm")),"CHECK LISTS"))</f>
        <v/>
      </c>
      <c r="B796" s="39"/>
      <c r="C796" s="40"/>
      <c r="D796" s="24" t="str">
        <f aca="false">IF(B796="","",TEXT(B796,"ddd"))</f>
        <v/>
      </c>
      <c r="E796" s="27" t="str">
        <f aca="false">IF(B796="","",B796-WEEKDAY(B796,3))</f>
        <v/>
      </c>
      <c r="F796" s="24" t="str">
        <f aca="false">IF(B796="","",TEXT(B796,"yyyy-mm"))</f>
        <v/>
      </c>
      <c r="G796" s="29"/>
      <c r="H796" s="29"/>
      <c r="I796" s="29"/>
      <c r="J796" s="29"/>
      <c r="K796" s="29"/>
      <c r="L796" s="29"/>
      <c r="M796" s="29"/>
      <c r="N796" s="29"/>
      <c r="O796" s="29"/>
      <c r="P796" s="29"/>
      <c r="Q796" s="30"/>
      <c r="R796" s="29"/>
      <c r="S796" s="32"/>
      <c r="T796" s="29"/>
      <c r="U796" s="29"/>
      <c r="V796" s="24" t="str">
        <f aca="false">IF(A796="","",IFERROR(INDEX(Settings!$F$5:$F$49,MATCH(G796,Settings!$D$5:$D$49,0)),""))</f>
        <v/>
      </c>
      <c r="W796" s="24" t="str">
        <f aca="false">IF(A796="","",IF(OR(P796="",P796="Organic"),"social","paid_social"))</f>
        <v/>
      </c>
      <c r="X796" s="24" t="str">
        <f aca="false">IF(A796="","",IF(K796&lt;&gt;"",IFERROR(INDEX('Case Studies'!$C$5:$C$54,MATCH(K796,'Case Studies'!$B$5:$B$54,0))&amp;"","case-study"),IF(J796&lt;&gt;"",IFERROR(INDEX(Settings!$J$5:$J$55,MATCH(J796,Settings!$I$5:$I$55,0)),"general"),"general")))</f>
        <v/>
      </c>
      <c r="Y796" s="24" t="str">
        <f aca="false">IF(A796="","",LOWER(A796))</f>
        <v/>
      </c>
      <c r="Z796" s="24" t="str">
        <f aca="false">IF(A796="","",IF(T796="",Settings!$B$5,T796)&amp;IF(ISNUMBER(FIND("?",IF(T796="",Settings!$B$5,T796))),"&amp;","?")&amp;"utm_source="&amp;V796&amp;"&amp;utm_medium="&amp;W796&amp;"&amp;utm_campaign="&amp;X796&amp;"&amp;utm_content="&amp;Y796)</f>
        <v/>
      </c>
      <c r="AA796" s="29"/>
      <c r="AB796" s="39"/>
      <c r="AC796" s="32"/>
      <c r="AD796" s="32"/>
      <c r="AE796" s="32"/>
      <c r="AF796" s="32"/>
      <c r="AG796" s="32"/>
      <c r="AH796" s="32"/>
      <c r="AI796" s="32"/>
      <c r="AJ796" s="32"/>
      <c r="AK796" s="32"/>
      <c r="AL796" s="32"/>
      <c r="AM796" s="32"/>
      <c r="AN796" s="32"/>
      <c r="AO796" s="33" t="str">
        <f aca="false">IF(A796="","",IF(AD796&lt;&gt;"",AD796,IF(AC796&lt;&gt;"",AC796,"")))</f>
        <v/>
      </c>
      <c r="AP796" s="24" t="str">
        <f aca="false">IF(AO796="","",IF(AD796&lt;&gt;"","Reported reach","Impressions (proxy)"))</f>
        <v/>
      </c>
      <c r="AQ796" s="34" t="str">
        <f aca="false">IF(OR(AO796="",N(S796)=0),"",AO796/S796)</f>
        <v/>
      </c>
      <c r="AR796" s="33" t="str">
        <f aca="false">IF(A796="","",IF(COUNT(AF796:AJ796)=0,"",SUM(AF796:AJ796)))</f>
        <v/>
      </c>
      <c r="AS796" s="34" t="str">
        <f aca="false">IF(OR(AR796="",N(AO796)=0),"",AR796/AO796)</f>
        <v/>
      </c>
      <c r="AT796" s="34" t="str">
        <f aca="false">IF(OR(AR796="",N(AC796)=0),"",AR796/AC796)</f>
        <v/>
      </c>
      <c r="AU796" s="34" t="str">
        <f aca="false">IF(OR(AR796="",N(S796)=0),"",AR796/S796)</f>
        <v/>
      </c>
      <c r="AV796" s="34" t="str">
        <f aca="false">IF(OR(AJ796="",N(AC796)=0),"",AJ796/AC796)</f>
        <v/>
      </c>
      <c r="AW796" s="34" t="str">
        <f aca="false">IF(OR(AH796="",N(AO796)=0),"",AH796/AO796)</f>
        <v/>
      </c>
      <c r="AX796" s="35" t="str">
        <f aca="false">IF(OR(AR796="",N(AO796)=0),"",(N(AF796)*Settings!$B$6+N(AG796)*Settings!$B$7+N(AH796)*Settings!$B$8+N(AI796)*Settings!$B$9+N(AJ796)*Settings!$B$10)/AO796*1000)</f>
        <v/>
      </c>
      <c r="AY796" s="36" t="str">
        <f aca="false">IF(AS796="","",IFERROR(AS796/AVERAGEIFS('Post Tracker'!$AS$5:$AS$1004,'Post Tracker'!$G$5:$G$1004,G796),""))</f>
        <v/>
      </c>
      <c r="AZ796" s="32"/>
      <c r="BA796" s="32"/>
      <c r="BB796" s="32"/>
      <c r="BC796" s="32"/>
      <c r="BD796" s="33" t="str">
        <f aca="false">IF(A796="","",COUNTIFS('Demo Pipeline'!$Q$5:$Q$504,A796))</f>
        <v/>
      </c>
      <c r="BE796" s="33" t="str">
        <f aca="false">IF(A796="","",COUNTIFS('Demo Pipeline'!$Q$5:$Q$504,A796,'Demo Pipeline'!$W$5:$W$504,"Attended"))</f>
        <v/>
      </c>
      <c r="BF796" s="33" t="str">
        <f aca="false">IF(A796="","",COUNTIFS('Demo Pipeline'!$Q$5:$Q$504,A796,'Demo Pipeline'!$X$5:$X$504,"Yes"))</f>
        <v/>
      </c>
      <c r="BG796" s="33" t="str">
        <f aca="false">IF(A796="","",COUNTIFS('Demo Pipeline'!$Q$5:$Q$504,A796,'Demo Pipeline'!$Y$5:$Y$504,"Closed Won"))</f>
        <v/>
      </c>
      <c r="BH796" s="37" t="str">
        <f aca="false">IF(A796="","",SUMIFS('Demo Pipeline'!$Z$5:$Z$504,'Demo Pipeline'!$Q$5:$Q$504,A796))</f>
        <v/>
      </c>
      <c r="BI796" s="34" t="str">
        <f aca="false">IF(OR(AZ796="",N(AJ796)=0),"",AZ796/AJ796)</f>
        <v/>
      </c>
      <c r="BJ796" s="34" t="str">
        <f aca="false">IF(OR(BB796="",N(AZ796)=0),"",BB796/AZ796)</f>
        <v/>
      </c>
      <c r="BK796" s="34" t="str">
        <f aca="false">IF(OR(A796="",N(BB796)=0),"",BD796/BB796)</f>
        <v/>
      </c>
      <c r="BL796" s="34" t="str">
        <f aca="false">IF(OR(A796="",N(AZ796)=0),"",BD796/AZ796)</f>
        <v/>
      </c>
      <c r="BM796" s="37" t="str">
        <f aca="false">IF(OR(N(Q796)=0,N(BD796)=0),"",Q796/BD796)</f>
        <v/>
      </c>
      <c r="BN796" s="29"/>
      <c r="BO796" s="29"/>
      <c r="BP796" s="33" t="str">
        <f aca="false">IF(OR(AR796="",N(AO796)=0),"",AR796)</f>
        <v/>
      </c>
      <c r="BQ796" s="33" t="str">
        <f aca="false">IF(OR(AR796="",N(S796)=0),"",S796)</f>
        <v/>
      </c>
      <c r="BR796" s="38" t="str">
        <f aca="false">IF(AND(ISNUMBER(B796),B796&gt;=Dashboard!$C$4,B796&lt;=Dashboard!$F$4,ISNUMBER(AU796)),AU796+ROW()/10^9,"")</f>
        <v/>
      </c>
      <c r="BS796" s="38" t="str">
        <f aca="false">IF(AND(ISNUMBER(B796),B796&gt;=Dashboard!$C$4,B796&lt;=Dashboard!$F$4,A796&lt;&gt;""),N(BD796)+N(AU796)/100+ROW()/10^9,"")</f>
        <v/>
      </c>
    </row>
    <row r="797" customFormat="false" ht="15" hidden="false" customHeight="false" outlineLevel="0" collapsed="false">
      <c r="A797" s="24" t="str">
        <f aca="false">IF(OR(B797="",G797="",H797=""),"",IFERROR(INDEX(Settings!$E$5:$E$49,MATCH(G797,Settings!$D$5:$D$49,0))&amp;INDEX(Settings!$H$5:$H$47,MATCH(H797,Settings!$G$5:$G$47,0))&amp;"-"&amp;TEXT(B797,"yymmdd")&amp;"-"&amp;IF(C797="","0000",TEXT(C797,"hhmm")),"CHECK LISTS"))</f>
        <v/>
      </c>
      <c r="B797" s="39"/>
      <c r="C797" s="40"/>
      <c r="D797" s="24" t="str">
        <f aca="false">IF(B797="","",TEXT(B797,"ddd"))</f>
        <v/>
      </c>
      <c r="E797" s="27" t="str">
        <f aca="false">IF(B797="","",B797-WEEKDAY(B797,3))</f>
        <v/>
      </c>
      <c r="F797" s="24" t="str">
        <f aca="false">IF(B797="","",TEXT(B797,"yyyy-mm"))</f>
        <v/>
      </c>
      <c r="G797" s="29"/>
      <c r="H797" s="29"/>
      <c r="I797" s="29"/>
      <c r="J797" s="29"/>
      <c r="K797" s="29"/>
      <c r="L797" s="29"/>
      <c r="M797" s="29"/>
      <c r="N797" s="29"/>
      <c r="O797" s="29"/>
      <c r="P797" s="29"/>
      <c r="Q797" s="30"/>
      <c r="R797" s="29"/>
      <c r="S797" s="32"/>
      <c r="T797" s="29"/>
      <c r="U797" s="29"/>
      <c r="V797" s="24" t="str">
        <f aca="false">IF(A797="","",IFERROR(INDEX(Settings!$F$5:$F$49,MATCH(G797,Settings!$D$5:$D$49,0)),""))</f>
        <v/>
      </c>
      <c r="W797" s="24" t="str">
        <f aca="false">IF(A797="","",IF(OR(P797="",P797="Organic"),"social","paid_social"))</f>
        <v/>
      </c>
      <c r="X797" s="24" t="str">
        <f aca="false">IF(A797="","",IF(K797&lt;&gt;"",IFERROR(INDEX('Case Studies'!$C$5:$C$54,MATCH(K797,'Case Studies'!$B$5:$B$54,0))&amp;"","case-study"),IF(J797&lt;&gt;"",IFERROR(INDEX(Settings!$J$5:$J$55,MATCH(J797,Settings!$I$5:$I$55,0)),"general"),"general")))</f>
        <v/>
      </c>
      <c r="Y797" s="24" t="str">
        <f aca="false">IF(A797="","",LOWER(A797))</f>
        <v/>
      </c>
      <c r="Z797" s="24" t="str">
        <f aca="false">IF(A797="","",IF(T797="",Settings!$B$5,T797)&amp;IF(ISNUMBER(FIND("?",IF(T797="",Settings!$B$5,T797))),"&amp;","?")&amp;"utm_source="&amp;V797&amp;"&amp;utm_medium="&amp;W797&amp;"&amp;utm_campaign="&amp;X797&amp;"&amp;utm_content="&amp;Y797)</f>
        <v/>
      </c>
      <c r="AA797" s="29"/>
      <c r="AB797" s="39"/>
      <c r="AC797" s="32"/>
      <c r="AD797" s="32"/>
      <c r="AE797" s="32"/>
      <c r="AF797" s="32"/>
      <c r="AG797" s="32"/>
      <c r="AH797" s="32"/>
      <c r="AI797" s="32"/>
      <c r="AJ797" s="32"/>
      <c r="AK797" s="32"/>
      <c r="AL797" s="32"/>
      <c r="AM797" s="32"/>
      <c r="AN797" s="32"/>
      <c r="AO797" s="33" t="str">
        <f aca="false">IF(A797="","",IF(AD797&lt;&gt;"",AD797,IF(AC797&lt;&gt;"",AC797,"")))</f>
        <v/>
      </c>
      <c r="AP797" s="24" t="str">
        <f aca="false">IF(AO797="","",IF(AD797&lt;&gt;"","Reported reach","Impressions (proxy)"))</f>
        <v/>
      </c>
      <c r="AQ797" s="34" t="str">
        <f aca="false">IF(OR(AO797="",N(S797)=0),"",AO797/S797)</f>
        <v/>
      </c>
      <c r="AR797" s="33" t="str">
        <f aca="false">IF(A797="","",IF(COUNT(AF797:AJ797)=0,"",SUM(AF797:AJ797)))</f>
        <v/>
      </c>
      <c r="AS797" s="34" t="str">
        <f aca="false">IF(OR(AR797="",N(AO797)=0),"",AR797/AO797)</f>
        <v/>
      </c>
      <c r="AT797" s="34" t="str">
        <f aca="false">IF(OR(AR797="",N(AC797)=0),"",AR797/AC797)</f>
        <v/>
      </c>
      <c r="AU797" s="34" t="str">
        <f aca="false">IF(OR(AR797="",N(S797)=0),"",AR797/S797)</f>
        <v/>
      </c>
      <c r="AV797" s="34" t="str">
        <f aca="false">IF(OR(AJ797="",N(AC797)=0),"",AJ797/AC797)</f>
        <v/>
      </c>
      <c r="AW797" s="34" t="str">
        <f aca="false">IF(OR(AH797="",N(AO797)=0),"",AH797/AO797)</f>
        <v/>
      </c>
      <c r="AX797" s="35" t="str">
        <f aca="false">IF(OR(AR797="",N(AO797)=0),"",(N(AF797)*Settings!$B$6+N(AG797)*Settings!$B$7+N(AH797)*Settings!$B$8+N(AI797)*Settings!$B$9+N(AJ797)*Settings!$B$10)/AO797*1000)</f>
        <v/>
      </c>
      <c r="AY797" s="36" t="str">
        <f aca="false">IF(AS797="","",IFERROR(AS797/AVERAGEIFS('Post Tracker'!$AS$5:$AS$1004,'Post Tracker'!$G$5:$G$1004,G797),""))</f>
        <v/>
      </c>
      <c r="AZ797" s="32"/>
      <c r="BA797" s="32"/>
      <c r="BB797" s="32"/>
      <c r="BC797" s="32"/>
      <c r="BD797" s="33" t="str">
        <f aca="false">IF(A797="","",COUNTIFS('Demo Pipeline'!$Q$5:$Q$504,A797))</f>
        <v/>
      </c>
      <c r="BE797" s="33" t="str">
        <f aca="false">IF(A797="","",COUNTIFS('Demo Pipeline'!$Q$5:$Q$504,A797,'Demo Pipeline'!$W$5:$W$504,"Attended"))</f>
        <v/>
      </c>
      <c r="BF797" s="33" t="str">
        <f aca="false">IF(A797="","",COUNTIFS('Demo Pipeline'!$Q$5:$Q$504,A797,'Demo Pipeline'!$X$5:$X$504,"Yes"))</f>
        <v/>
      </c>
      <c r="BG797" s="33" t="str">
        <f aca="false">IF(A797="","",COUNTIFS('Demo Pipeline'!$Q$5:$Q$504,A797,'Demo Pipeline'!$Y$5:$Y$504,"Closed Won"))</f>
        <v/>
      </c>
      <c r="BH797" s="37" t="str">
        <f aca="false">IF(A797="","",SUMIFS('Demo Pipeline'!$Z$5:$Z$504,'Demo Pipeline'!$Q$5:$Q$504,A797))</f>
        <v/>
      </c>
      <c r="BI797" s="34" t="str">
        <f aca="false">IF(OR(AZ797="",N(AJ797)=0),"",AZ797/AJ797)</f>
        <v/>
      </c>
      <c r="BJ797" s="34" t="str">
        <f aca="false">IF(OR(BB797="",N(AZ797)=0),"",BB797/AZ797)</f>
        <v/>
      </c>
      <c r="BK797" s="34" t="str">
        <f aca="false">IF(OR(A797="",N(BB797)=0),"",BD797/BB797)</f>
        <v/>
      </c>
      <c r="BL797" s="34" t="str">
        <f aca="false">IF(OR(A797="",N(AZ797)=0),"",BD797/AZ797)</f>
        <v/>
      </c>
      <c r="BM797" s="37" t="str">
        <f aca="false">IF(OR(N(Q797)=0,N(BD797)=0),"",Q797/BD797)</f>
        <v/>
      </c>
      <c r="BN797" s="29"/>
      <c r="BO797" s="29"/>
      <c r="BP797" s="33" t="str">
        <f aca="false">IF(OR(AR797="",N(AO797)=0),"",AR797)</f>
        <v/>
      </c>
      <c r="BQ797" s="33" t="str">
        <f aca="false">IF(OR(AR797="",N(S797)=0),"",S797)</f>
        <v/>
      </c>
      <c r="BR797" s="38" t="str">
        <f aca="false">IF(AND(ISNUMBER(B797),B797&gt;=Dashboard!$C$4,B797&lt;=Dashboard!$F$4,ISNUMBER(AU797)),AU797+ROW()/10^9,"")</f>
        <v/>
      </c>
      <c r="BS797" s="38" t="str">
        <f aca="false">IF(AND(ISNUMBER(B797),B797&gt;=Dashboard!$C$4,B797&lt;=Dashboard!$F$4,A797&lt;&gt;""),N(BD797)+N(AU797)/100+ROW()/10^9,"")</f>
        <v/>
      </c>
    </row>
    <row r="798" customFormat="false" ht="15" hidden="false" customHeight="false" outlineLevel="0" collapsed="false">
      <c r="A798" s="24" t="str">
        <f aca="false">IF(OR(B798="",G798="",H798=""),"",IFERROR(INDEX(Settings!$E$5:$E$49,MATCH(G798,Settings!$D$5:$D$49,0))&amp;INDEX(Settings!$H$5:$H$47,MATCH(H798,Settings!$G$5:$G$47,0))&amp;"-"&amp;TEXT(B798,"yymmdd")&amp;"-"&amp;IF(C798="","0000",TEXT(C798,"hhmm")),"CHECK LISTS"))</f>
        <v/>
      </c>
      <c r="B798" s="39"/>
      <c r="C798" s="40"/>
      <c r="D798" s="24" t="str">
        <f aca="false">IF(B798="","",TEXT(B798,"ddd"))</f>
        <v/>
      </c>
      <c r="E798" s="27" t="str">
        <f aca="false">IF(B798="","",B798-WEEKDAY(B798,3))</f>
        <v/>
      </c>
      <c r="F798" s="24" t="str">
        <f aca="false">IF(B798="","",TEXT(B798,"yyyy-mm"))</f>
        <v/>
      </c>
      <c r="G798" s="29"/>
      <c r="H798" s="29"/>
      <c r="I798" s="29"/>
      <c r="J798" s="29"/>
      <c r="K798" s="29"/>
      <c r="L798" s="29"/>
      <c r="M798" s="29"/>
      <c r="N798" s="29"/>
      <c r="O798" s="29"/>
      <c r="P798" s="29"/>
      <c r="Q798" s="30"/>
      <c r="R798" s="29"/>
      <c r="S798" s="32"/>
      <c r="T798" s="29"/>
      <c r="U798" s="29"/>
      <c r="V798" s="24" t="str">
        <f aca="false">IF(A798="","",IFERROR(INDEX(Settings!$F$5:$F$49,MATCH(G798,Settings!$D$5:$D$49,0)),""))</f>
        <v/>
      </c>
      <c r="W798" s="24" t="str">
        <f aca="false">IF(A798="","",IF(OR(P798="",P798="Organic"),"social","paid_social"))</f>
        <v/>
      </c>
      <c r="X798" s="24" t="str">
        <f aca="false">IF(A798="","",IF(K798&lt;&gt;"",IFERROR(INDEX('Case Studies'!$C$5:$C$54,MATCH(K798,'Case Studies'!$B$5:$B$54,0))&amp;"","case-study"),IF(J798&lt;&gt;"",IFERROR(INDEX(Settings!$J$5:$J$55,MATCH(J798,Settings!$I$5:$I$55,0)),"general"),"general")))</f>
        <v/>
      </c>
      <c r="Y798" s="24" t="str">
        <f aca="false">IF(A798="","",LOWER(A798))</f>
        <v/>
      </c>
      <c r="Z798" s="24" t="str">
        <f aca="false">IF(A798="","",IF(T798="",Settings!$B$5,T798)&amp;IF(ISNUMBER(FIND("?",IF(T798="",Settings!$B$5,T798))),"&amp;","?")&amp;"utm_source="&amp;V798&amp;"&amp;utm_medium="&amp;W798&amp;"&amp;utm_campaign="&amp;X798&amp;"&amp;utm_content="&amp;Y798)</f>
        <v/>
      </c>
      <c r="AA798" s="29"/>
      <c r="AB798" s="39"/>
      <c r="AC798" s="32"/>
      <c r="AD798" s="32"/>
      <c r="AE798" s="32"/>
      <c r="AF798" s="32"/>
      <c r="AG798" s="32"/>
      <c r="AH798" s="32"/>
      <c r="AI798" s="32"/>
      <c r="AJ798" s="32"/>
      <c r="AK798" s="32"/>
      <c r="AL798" s="32"/>
      <c r="AM798" s="32"/>
      <c r="AN798" s="32"/>
      <c r="AO798" s="33" t="str">
        <f aca="false">IF(A798="","",IF(AD798&lt;&gt;"",AD798,IF(AC798&lt;&gt;"",AC798,"")))</f>
        <v/>
      </c>
      <c r="AP798" s="24" t="str">
        <f aca="false">IF(AO798="","",IF(AD798&lt;&gt;"","Reported reach","Impressions (proxy)"))</f>
        <v/>
      </c>
      <c r="AQ798" s="34" t="str">
        <f aca="false">IF(OR(AO798="",N(S798)=0),"",AO798/S798)</f>
        <v/>
      </c>
      <c r="AR798" s="33" t="str">
        <f aca="false">IF(A798="","",IF(COUNT(AF798:AJ798)=0,"",SUM(AF798:AJ798)))</f>
        <v/>
      </c>
      <c r="AS798" s="34" t="str">
        <f aca="false">IF(OR(AR798="",N(AO798)=0),"",AR798/AO798)</f>
        <v/>
      </c>
      <c r="AT798" s="34" t="str">
        <f aca="false">IF(OR(AR798="",N(AC798)=0),"",AR798/AC798)</f>
        <v/>
      </c>
      <c r="AU798" s="34" t="str">
        <f aca="false">IF(OR(AR798="",N(S798)=0),"",AR798/S798)</f>
        <v/>
      </c>
      <c r="AV798" s="34" t="str">
        <f aca="false">IF(OR(AJ798="",N(AC798)=0),"",AJ798/AC798)</f>
        <v/>
      </c>
      <c r="AW798" s="34" t="str">
        <f aca="false">IF(OR(AH798="",N(AO798)=0),"",AH798/AO798)</f>
        <v/>
      </c>
      <c r="AX798" s="35" t="str">
        <f aca="false">IF(OR(AR798="",N(AO798)=0),"",(N(AF798)*Settings!$B$6+N(AG798)*Settings!$B$7+N(AH798)*Settings!$B$8+N(AI798)*Settings!$B$9+N(AJ798)*Settings!$B$10)/AO798*1000)</f>
        <v/>
      </c>
      <c r="AY798" s="36" t="str">
        <f aca="false">IF(AS798="","",IFERROR(AS798/AVERAGEIFS('Post Tracker'!$AS$5:$AS$1004,'Post Tracker'!$G$5:$G$1004,G798),""))</f>
        <v/>
      </c>
      <c r="AZ798" s="32"/>
      <c r="BA798" s="32"/>
      <c r="BB798" s="32"/>
      <c r="BC798" s="32"/>
      <c r="BD798" s="33" t="str">
        <f aca="false">IF(A798="","",COUNTIFS('Demo Pipeline'!$Q$5:$Q$504,A798))</f>
        <v/>
      </c>
      <c r="BE798" s="33" t="str">
        <f aca="false">IF(A798="","",COUNTIFS('Demo Pipeline'!$Q$5:$Q$504,A798,'Demo Pipeline'!$W$5:$W$504,"Attended"))</f>
        <v/>
      </c>
      <c r="BF798" s="33" t="str">
        <f aca="false">IF(A798="","",COUNTIFS('Demo Pipeline'!$Q$5:$Q$504,A798,'Demo Pipeline'!$X$5:$X$504,"Yes"))</f>
        <v/>
      </c>
      <c r="BG798" s="33" t="str">
        <f aca="false">IF(A798="","",COUNTIFS('Demo Pipeline'!$Q$5:$Q$504,A798,'Demo Pipeline'!$Y$5:$Y$504,"Closed Won"))</f>
        <v/>
      </c>
      <c r="BH798" s="37" t="str">
        <f aca="false">IF(A798="","",SUMIFS('Demo Pipeline'!$Z$5:$Z$504,'Demo Pipeline'!$Q$5:$Q$504,A798))</f>
        <v/>
      </c>
      <c r="BI798" s="34" t="str">
        <f aca="false">IF(OR(AZ798="",N(AJ798)=0),"",AZ798/AJ798)</f>
        <v/>
      </c>
      <c r="BJ798" s="34" t="str">
        <f aca="false">IF(OR(BB798="",N(AZ798)=0),"",BB798/AZ798)</f>
        <v/>
      </c>
      <c r="BK798" s="34" t="str">
        <f aca="false">IF(OR(A798="",N(BB798)=0),"",BD798/BB798)</f>
        <v/>
      </c>
      <c r="BL798" s="34" t="str">
        <f aca="false">IF(OR(A798="",N(AZ798)=0),"",BD798/AZ798)</f>
        <v/>
      </c>
      <c r="BM798" s="37" t="str">
        <f aca="false">IF(OR(N(Q798)=0,N(BD798)=0),"",Q798/BD798)</f>
        <v/>
      </c>
      <c r="BN798" s="29"/>
      <c r="BO798" s="29"/>
      <c r="BP798" s="33" t="str">
        <f aca="false">IF(OR(AR798="",N(AO798)=0),"",AR798)</f>
        <v/>
      </c>
      <c r="BQ798" s="33" t="str">
        <f aca="false">IF(OR(AR798="",N(S798)=0),"",S798)</f>
        <v/>
      </c>
      <c r="BR798" s="38" t="str">
        <f aca="false">IF(AND(ISNUMBER(B798),B798&gt;=Dashboard!$C$4,B798&lt;=Dashboard!$F$4,ISNUMBER(AU798)),AU798+ROW()/10^9,"")</f>
        <v/>
      </c>
      <c r="BS798" s="38" t="str">
        <f aca="false">IF(AND(ISNUMBER(B798),B798&gt;=Dashboard!$C$4,B798&lt;=Dashboard!$F$4,A798&lt;&gt;""),N(BD798)+N(AU798)/100+ROW()/10^9,"")</f>
        <v/>
      </c>
    </row>
    <row r="799" customFormat="false" ht="15" hidden="false" customHeight="false" outlineLevel="0" collapsed="false">
      <c r="A799" s="24" t="str">
        <f aca="false">IF(OR(B799="",G799="",H799=""),"",IFERROR(INDEX(Settings!$E$5:$E$49,MATCH(G799,Settings!$D$5:$D$49,0))&amp;INDEX(Settings!$H$5:$H$47,MATCH(H799,Settings!$G$5:$G$47,0))&amp;"-"&amp;TEXT(B799,"yymmdd")&amp;"-"&amp;IF(C799="","0000",TEXT(C799,"hhmm")),"CHECK LISTS"))</f>
        <v/>
      </c>
      <c r="B799" s="39"/>
      <c r="C799" s="40"/>
      <c r="D799" s="24" t="str">
        <f aca="false">IF(B799="","",TEXT(B799,"ddd"))</f>
        <v/>
      </c>
      <c r="E799" s="27" t="str">
        <f aca="false">IF(B799="","",B799-WEEKDAY(B799,3))</f>
        <v/>
      </c>
      <c r="F799" s="24" t="str">
        <f aca="false">IF(B799="","",TEXT(B799,"yyyy-mm"))</f>
        <v/>
      </c>
      <c r="G799" s="29"/>
      <c r="H799" s="29"/>
      <c r="I799" s="29"/>
      <c r="J799" s="29"/>
      <c r="K799" s="29"/>
      <c r="L799" s="29"/>
      <c r="M799" s="29"/>
      <c r="N799" s="29"/>
      <c r="O799" s="29"/>
      <c r="P799" s="29"/>
      <c r="Q799" s="30"/>
      <c r="R799" s="29"/>
      <c r="S799" s="32"/>
      <c r="T799" s="29"/>
      <c r="U799" s="29"/>
      <c r="V799" s="24" t="str">
        <f aca="false">IF(A799="","",IFERROR(INDEX(Settings!$F$5:$F$49,MATCH(G799,Settings!$D$5:$D$49,0)),""))</f>
        <v/>
      </c>
      <c r="W799" s="24" t="str">
        <f aca="false">IF(A799="","",IF(OR(P799="",P799="Organic"),"social","paid_social"))</f>
        <v/>
      </c>
      <c r="X799" s="24" t="str">
        <f aca="false">IF(A799="","",IF(K799&lt;&gt;"",IFERROR(INDEX('Case Studies'!$C$5:$C$54,MATCH(K799,'Case Studies'!$B$5:$B$54,0))&amp;"","case-study"),IF(J799&lt;&gt;"",IFERROR(INDEX(Settings!$J$5:$J$55,MATCH(J799,Settings!$I$5:$I$55,0)),"general"),"general")))</f>
        <v/>
      </c>
      <c r="Y799" s="24" t="str">
        <f aca="false">IF(A799="","",LOWER(A799))</f>
        <v/>
      </c>
      <c r="Z799" s="24" t="str">
        <f aca="false">IF(A799="","",IF(T799="",Settings!$B$5,T799)&amp;IF(ISNUMBER(FIND("?",IF(T799="",Settings!$B$5,T799))),"&amp;","?")&amp;"utm_source="&amp;V799&amp;"&amp;utm_medium="&amp;W799&amp;"&amp;utm_campaign="&amp;X799&amp;"&amp;utm_content="&amp;Y799)</f>
        <v/>
      </c>
      <c r="AA799" s="29"/>
      <c r="AB799" s="39"/>
      <c r="AC799" s="32"/>
      <c r="AD799" s="32"/>
      <c r="AE799" s="32"/>
      <c r="AF799" s="32"/>
      <c r="AG799" s="32"/>
      <c r="AH799" s="32"/>
      <c r="AI799" s="32"/>
      <c r="AJ799" s="32"/>
      <c r="AK799" s="32"/>
      <c r="AL799" s="32"/>
      <c r="AM799" s="32"/>
      <c r="AN799" s="32"/>
      <c r="AO799" s="33" t="str">
        <f aca="false">IF(A799="","",IF(AD799&lt;&gt;"",AD799,IF(AC799&lt;&gt;"",AC799,"")))</f>
        <v/>
      </c>
      <c r="AP799" s="24" t="str">
        <f aca="false">IF(AO799="","",IF(AD799&lt;&gt;"","Reported reach","Impressions (proxy)"))</f>
        <v/>
      </c>
      <c r="AQ799" s="34" t="str">
        <f aca="false">IF(OR(AO799="",N(S799)=0),"",AO799/S799)</f>
        <v/>
      </c>
      <c r="AR799" s="33" t="str">
        <f aca="false">IF(A799="","",IF(COUNT(AF799:AJ799)=0,"",SUM(AF799:AJ799)))</f>
        <v/>
      </c>
      <c r="AS799" s="34" t="str">
        <f aca="false">IF(OR(AR799="",N(AO799)=0),"",AR799/AO799)</f>
        <v/>
      </c>
      <c r="AT799" s="34" t="str">
        <f aca="false">IF(OR(AR799="",N(AC799)=0),"",AR799/AC799)</f>
        <v/>
      </c>
      <c r="AU799" s="34" t="str">
        <f aca="false">IF(OR(AR799="",N(S799)=0),"",AR799/S799)</f>
        <v/>
      </c>
      <c r="AV799" s="34" t="str">
        <f aca="false">IF(OR(AJ799="",N(AC799)=0),"",AJ799/AC799)</f>
        <v/>
      </c>
      <c r="AW799" s="34" t="str">
        <f aca="false">IF(OR(AH799="",N(AO799)=0),"",AH799/AO799)</f>
        <v/>
      </c>
      <c r="AX799" s="35" t="str">
        <f aca="false">IF(OR(AR799="",N(AO799)=0),"",(N(AF799)*Settings!$B$6+N(AG799)*Settings!$B$7+N(AH799)*Settings!$B$8+N(AI799)*Settings!$B$9+N(AJ799)*Settings!$B$10)/AO799*1000)</f>
        <v/>
      </c>
      <c r="AY799" s="36" t="str">
        <f aca="false">IF(AS799="","",IFERROR(AS799/AVERAGEIFS('Post Tracker'!$AS$5:$AS$1004,'Post Tracker'!$G$5:$G$1004,G799),""))</f>
        <v/>
      </c>
      <c r="AZ799" s="32"/>
      <c r="BA799" s="32"/>
      <c r="BB799" s="32"/>
      <c r="BC799" s="32"/>
      <c r="BD799" s="33" t="str">
        <f aca="false">IF(A799="","",COUNTIFS('Demo Pipeline'!$Q$5:$Q$504,A799))</f>
        <v/>
      </c>
      <c r="BE799" s="33" t="str">
        <f aca="false">IF(A799="","",COUNTIFS('Demo Pipeline'!$Q$5:$Q$504,A799,'Demo Pipeline'!$W$5:$W$504,"Attended"))</f>
        <v/>
      </c>
      <c r="BF799" s="33" t="str">
        <f aca="false">IF(A799="","",COUNTIFS('Demo Pipeline'!$Q$5:$Q$504,A799,'Demo Pipeline'!$X$5:$X$504,"Yes"))</f>
        <v/>
      </c>
      <c r="BG799" s="33" t="str">
        <f aca="false">IF(A799="","",COUNTIFS('Demo Pipeline'!$Q$5:$Q$504,A799,'Demo Pipeline'!$Y$5:$Y$504,"Closed Won"))</f>
        <v/>
      </c>
      <c r="BH799" s="37" t="str">
        <f aca="false">IF(A799="","",SUMIFS('Demo Pipeline'!$Z$5:$Z$504,'Demo Pipeline'!$Q$5:$Q$504,A799))</f>
        <v/>
      </c>
      <c r="BI799" s="34" t="str">
        <f aca="false">IF(OR(AZ799="",N(AJ799)=0),"",AZ799/AJ799)</f>
        <v/>
      </c>
      <c r="BJ799" s="34" t="str">
        <f aca="false">IF(OR(BB799="",N(AZ799)=0),"",BB799/AZ799)</f>
        <v/>
      </c>
      <c r="BK799" s="34" t="str">
        <f aca="false">IF(OR(A799="",N(BB799)=0),"",BD799/BB799)</f>
        <v/>
      </c>
      <c r="BL799" s="34" t="str">
        <f aca="false">IF(OR(A799="",N(AZ799)=0),"",BD799/AZ799)</f>
        <v/>
      </c>
      <c r="BM799" s="37" t="str">
        <f aca="false">IF(OR(N(Q799)=0,N(BD799)=0),"",Q799/BD799)</f>
        <v/>
      </c>
      <c r="BN799" s="29"/>
      <c r="BO799" s="29"/>
      <c r="BP799" s="33" t="str">
        <f aca="false">IF(OR(AR799="",N(AO799)=0),"",AR799)</f>
        <v/>
      </c>
      <c r="BQ799" s="33" t="str">
        <f aca="false">IF(OR(AR799="",N(S799)=0),"",S799)</f>
        <v/>
      </c>
      <c r="BR799" s="38" t="str">
        <f aca="false">IF(AND(ISNUMBER(B799),B799&gt;=Dashboard!$C$4,B799&lt;=Dashboard!$F$4,ISNUMBER(AU799)),AU799+ROW()/10^9,"")</f>
        <v/>
      </c>
      <c r="BS799" s="38" t="str">
        <f aca="false">IF(AND(ISNUMBER(B799),B799&gt;=Dashboard!$C$4,B799&lt;=Dashboard!$F$4,A799&lt;&gt;""),N(BD799)+N(AU799)/100+ROW()/10^9,"")</f>
        <v/>
      </c>
    </row>
    <row r="800" customFormat="false" ht="15" hidden="false" customHeight="false" outlineLevel="0" collapsed="false">
      <c r="A800" s="24" t="str">
        <f aca="false">IF(OR(B800="",G800="",H800=""),"",IFERROR(INDEX(Settings!$E$5:$E$49,MATCH(G800,Settings!$D$5:$D$49,0))&amp;INDEX(Settings!$H$5:$H$47,MATCH(H800,Settings!$G$5:$G$47,0))&amp;"-"&amp;TEXT(B800,"yymmdd")&amp;"-"&amp;IF(C800="","0000",TEXT(C800,"hhmm")),"CHECK LISTS"))</f>
        <v/>
      </c>
      <c r="B800" s="39"/>
      <c r="C800" s="40"/>
      <c r="D800" s="24" t="str">
        <f aca="false">IF(B800="","",TEXT(B800,"ddd"))</f>
        <v/>
      </c>
      <c r="E800" s="27" t="str">
        <f aca="false">IF(B800="","",B800-WEEKDAY(B800,3))</f>
        <v/>
      </c>
      <c r="F800" s="24" t="str">
        <f aca="false">IF(B800="","",TEXT(B800,"yyyy-mm"))</f>
        <v/>
      </c>
      <c r="G800" s="29"/>
      <c r="H800" s="29"/>
      <c r="I800" s="29"/>
      <c r="J800" s="29"/>
      <c r="K800" s="29"/>
      <c r="L800" s="29"/>
      <c r="M800" s="29"/>
      <c r="N800" s="29"/>
      <c r="O800" s="29"/>
      <c r="P800" s="29"/>
      <c r="Q800" s="30"/>
      <c r="R800" s="29"/>
      <c r="S800" s="32"/>
      <c r="T800" s="29"/>
      <c r="U800" s="29"/>
      <c r="V800" s="24" t="str">
        <f aca="false">IF(A800="","",IFERROR(INDEX(Settings!$F$5:$F$49,MATCH(G800,Settings!$D$5:$D$49,0)),""))</f>
        <v/>
      </c>
      <c r="W800" s="24" t="str">
        <f aca="false">IF(A800="","",IF(OR(P800="",P800="Organic"),"social","paid_social"))</f>
        <v/>
      </c>
      <c r="X800" s="24" t="str">
        <f aca="false">IF(A800="","",IF(K800&lt;&gt;"",IFERROR(INDEX('Case Studies'!$C$5:$C$54,MATCH(K800,'Case Studies'!$B$5:$B$54,0))&amp;"","case-study"),IF(J800&lt;&gt;"",IFERROR(INDEX(Settings!$J$5:$J$55,MATCH(J800,Settings!$I$5:$I$55,0)),"general"),"general")))</f>
        <v/>
      </c>
      <c r="Y800" s="24" t="str">
        <f aca="false">IF(A800="","",LOWER(A800))</f>
        <v/>
      </c>
      <c r="Z800" s="24" t="str">
        <f aca="false">IF(A800="","",IF(T800="",Settings!$B$5,T800)&amp;IF(ISNUMBER(FIND("?",IF(T800="",Settings!$B$5,T800))),"&amp;","?")&amp;"utm_source="&amp;V800&amp;"&amp;utm_medium="&amp;W800&amp;"&amp;utm_campaign="&amp;X800&amp;"&amp;utm_content="&amp;Y800)</f>
        <v/>
      </c>
      <c r="AA800" s="29"/>
      <c r="AB800" s="39"/>
      <c r="AC800" s="32"/>
      <c r="AD800" s="32"/>
      <c r="AE800" s="32"/>
      <c r="AF800" s="32"/>
      <c r="AG800" s="32"/>
      <c r="AH800" s="32"/>
      <c r="AI800" s="32"/>
      <c r="AJ800" s="32"/>
      <c r="AK800" s="32"/>
      <c r="AL800" s="32"/>
      <c r="AM800" s="32"/>
      <c r="AN800" s="32"/>
      <c r="AO800" s="33" t="str">
        <f aca="false">IF(A800="","",IF(AD800&lt;&gt;"",AD800,IF(AC800&lt;&gt;"",AC800,"")))</f>
        <v/>
      </c>
      <c r="AP800" s="24" t="str">
        <f aca="false">IF(AO800="","",IF(AD800&lt;&gt;"","Reported reach","Impressions (proxy)"))</f>
        <v/>
      </c>
      <c r="AQ800" s="34" t="str">
        <f aca="false">IF(OR(AO800="",N(S800)=0),"",AO800/S800)</f>
        <v/>
      </c>
      <c r="AR800" s="33" t="str">
        <f aca="false">IF(A800="","",IF(COUNT(AF800:AJ800)=0,"",SUM(AF800:AJ800)))</f>
        <v/>
      </c>
      <c r="AS800" s="34" t="str">
        <f aca="false">IF(OR(AR800="",N(AO800)=0),"",AR800/AO800)</f>
        <v/>
      </c>
      <c r="AT800" s="34" t="str">
        <f aca="false">IF(OR(AR800="",N(AC800)=0),"",AR800/AC800)</f>
        <v/>
      </c>
      <c r="AU800" s="34" t="str">
        <f aca="false">IF(OR(AR800="",N(S800)=0),"",AR800/S800)</f>
        <v/>
      </c>
      <c r="AV800" s="34" t="str">
        <f aca="false">IF(OR(AJ800="",N(AC800)=0),"",AJ800/AC800)</f>
        <v/>
      </c>
      <c r="AW800" s="34" t="str">
        <f aca="false">IF(OR(AH800="",N(AO800)=0),"",AH800/AO800)</f>
        <v/>
      </c>
      <c r="AX800" s="35" t="str">
        <f aca="false">IF(OR(AR800="",N(AO800)=0),"",(N(AF800)*Settings!$B$6+N(AG800)*Settings!$B$7+N(AH800)*Settings!$B$8+N(AI800)*Settings!$B$9+N(AJ800)*Settings!$B$10)/AO800*1000)</f>
        <v/>
      </c>
      <c r="AY800" s="36" t="str">
        <f aca="false">IF(AS800="","",IFERROR(AS800/AVERAGEIFS('Post Tracker'!$AS$5:$AS$1004,'Post Tracker'!$G$5:$G$1004,G800),""))</f>
        <v/>
      </c>
      <c r="AZ800" s="32"/>
      <c r="BA800" s="32"/>
      <c r="BB800" s="32"/>
      <c r="BC800" s="32"/>
      <c r="BD800" s="33" t="str">
        <f aca="false">IF(A800="","",COUNTIFS('Demo Pipeline'!$Q$5:$Q$504,A800))</f>
        <v/>
      </c>
      <c r="BE800" s="33" t="str">
        <f aca="false">IF(A800="","",COUNTIFS('Demo Pipeline'!$Q$5:$Q$504,A800,'Demo Pipeline'!$W$5:$W$504,"Attended"))</f>
        <v/>
      </c>
      <c r="BF800" s="33" t="str">
        <f aca="false">IF(A800="","",COUNTIFS('Demo Pipeline'!$Q$5:$Q$504,A800,'Demo Pipeline'!$X$5:$X$504,"Yes"))</f>
        <v/>
      </c>
      <c r="BG800" s="33" t="str">
        <f aca="false">IF(A800="","",COUNTIFS('Demo Pipeline'!$Q$5:$Q$504,A800,'Demo Pipeline'!$Y$5:$Y$504,"Closed Won"))</f>
        <v/>
      </c>
      <c r="BH800" s="37" t="str">
        <f aca="false">IF(A800="","",SUMIFS('Demo Pipeline'!$Z$5:$Z$504,'Demo Pipeline'!$Q$5:$Q$504,A800))</f>
        <v/>
      </c>
      <c r="BI800" s="34" t="str">
        <f aca="false">IF(OR(AZ800="",N(AJ800)=0),"",AZ800/AJ800)</f>
        <v/>
      </c>
      <c r="BJ800" s="34" t="str">
        <f aca="false">IF(OR(BB800="",N(AZ800)=0),"",BB800/AZ800)</f>
        <v/>
      </c>
      <c r="BK800" s="34" t="str">
        <f aca="false">IF(OR(A800="",N(BB800)=0),"",BD800/BB800)</f>
        <v/>
      </c>
      <c r="BL800" s="34" t="str">
        <f aca="false">IF(OR(A800="",N(AZ800)=0),"",BD800/AZ800)</f>
        <v/>
      </c>
      <c r="BM800" s="37" t="str">
        <f aca="false">IF(OR(N(Q800)=0,N(BD800)=0),"",Q800/BD800)</f>
        <v/>
      </c>
      <c r="BN800" s="29"/>
      <c r="BO800" s="29"/>
      <c r="BP800" s="33" t="str">
        <f aca="false">IF(OR(AR800="",N(AO800)=0),"",AR800)</f>
        <v/>
      </c>
      <c r="BQ800" s="33" t="str">
        <f aca="false">IF(OR(AR800="",N(S800)=0),"",S800)</f>
        <v/>
      </c>
      <c r="BR800" s="38" t="str">
        <f aca="false">IF(AND(ISNUMBER(B800),B800&gt;=Dashboard!$C$4,B800&lt;=Dashboard!$F$4,ISNUMBER(AU800)),AU800+ROW()/10^9,"")</f>
        <v/>
      </c>
      <c r="BS800" s="38" t="str">
        <f aca="false">IF(AND(ISNUMBER(B800),B800&gt;=Dashboard!$C$4,B800&lt;=Dashboard!$F$4,A800&lt;&gt;""),N(BD800)+N(AU800)/100+ROW()/10^9,"")</f>
        <v/>
      </c>
    </row>
    <row r="801" customFormat="false" ht="15" hidden="false" customHeight="false" outlineLevel="0" collapsed="false">
      <c r="A801" s="24" t="str">
        <f aca="false">IF(OR(B801="",G801="",H801=""),"",IFERROR(INDEX(Settings!$E$5:$E$49,MATCH(G801,Settings!$D$5:$D$49,0))&amp;INDEX(Settings!$H$5:$H$47,MATCH(H801,Settings!$G$5:$G$47,0))&amp;"-"&amp;TEXT(B801,"yymmdd")&amp;"-"&amp;IF(C801="","0000",TEXT(C801,"hhmm")),"CHECK LISTS"))</f>
        <v/>
      </c>
      <c r="B801" s="39"/>
      <c r="C801" s="40"/>
      <c r="D801" s="24" t="str">
        <f aca="false">IF(B801="","",TEXT(B801,"ddd"))</f>
        <v/>
      </c>
      <c r="E801" s="27" t="str">
        <f aca="false">IF(B801="","",B801-WEEKDAY(B801,3))</f>
        <v/>
      </c>
      <c r="F801" s="24" t="str">
        <f aca="false">IF(B801="","",TEXT(B801,"yyyy-mm"))</f>
        <v/>
      </c>
      <c r="G801" s="29"/>
      <c r="H801" s="29"/>
      <c r="I801" s="29"/>
      <c r="J801" s="29"/>
      <c r="K801" s="29"/>
      <c r="L801" s="29"/>
      <c r="M801" s="29"/>
      <c r="N801" s="29"/>
      <c r="O801" s="29"/>
      <c r="P801" s="29"/>
      <c r="Q801" s="30"/>
      <c r="R801" s="29"/>
      <c r="S801" s="32"/>
      <c r="T801" s="29"/>
      <c r="U801" s="29"/>
      <c r="V801" s="24" t="str">
        <f aca="false">IF(A801="","",IFERROR(INDEX(Settings!$F$5:$F$49,MATCH(G801,Settings!$D$5:$D$49,0)),""))</f>
        <v/>
      </c>
      <c r="W801" s="24" t="str">
        <f aca="false">IF(A801="","",IF(OR(P801="",P801="Organic"),"social","paid_social"))</f>
        <v/>
      </c>
      <c r="X801" s="24" t="str">
        <f aca="false">IF(A801="","",IF(K801&lt;&gt;"",IFERROR(INDEX('Case Studies'!$C$5:$C$54,MATCH(K801,'Case Studies'!$B$5:$B$54,0))&amp;"","case-study"),IF(J801&lt;&gt;"",IFERROR(INDEX(Settings!$J$5:$J$55,MATCH(J801,Settings!$I$5:$I$55,0)),"general"),"general")))</f>
        <v/>
      </c>
      <c r="Y801" s="24" t="str">
        <f aca="false">IF(A801="","",LOWER(A801))</f>
        <v/>
      </c>
      <c r="Z801" s="24" t="str">
        <f aca="false">IF(A801="","",IF(T801="",Settings!$B$5,T801)&amp;IF(ISNUMBER(FIND("?",IF(T801="",Settings!$B$5,T801))),"&amp;","?")&amp;"utm_source="&amp;V801&amp;"&amp;utm_medium="&amp;W801&amp;"&amp;utm_campaign="&amp;X801&amp;"&amp;utm_content="&amp;Y801)</f>
        <v/>
      </c>
      <c r="AA801" s="29"/>
      <c r="AB801" s="39"/>
      <c r="AC801" s="32"/>
      <c r="AD801" s="32"/>
      <c r="AE801" s="32"/>
      <c r="AF801" s="32"/>
      <c r="AG801" s="32"/>
      <c r="AH801" s="32"/>
      <c r="AI801" s="32"/>
      <c r="AJ801" s="32"/>
      <c r="AK801" s="32"/>
      <c r="AL801" s="32"/>
      <c r="AM801" s="32"/>
      <c r="AN801" s="32"/>
      <c r="AO801" s="33" t="str">
        <f aca="false">IF(A801="","",IF(AD801&lt;&gt;"",AD801,IF(AC801&lt;&gt;"",AC801,"")))</f>
        <v/>
      </c>
      <c r="AP801" s="24" t="str">
        <f aca="false">IF(AO801="","",IF(AD801&lt;&gt;"","Reported reach","Impressions (proxy)"))</f>
        <v/>
      </c>
      <c r="AQ801" s="34" t="str">
        <f aca="false">IF(OR(AO801="",N(S801)=0),"",AO801/S801)</f>
        <v/>
      </c>
      <c r="AR801" s="33" t="str">
        <f aca="false">IF(A801="","",IF(COUNT(AF801:AJ801)=0,"",SUM(AF801:AJ801)))</f>
        <v/>
      </c>
      <c r="AS801" s="34" t="str">
        <f aca="false">IF(OR(AR801="",N(AO801)=0),"",AR801/AO801)</f>
        <v/>
      </c>
      <c r="AT801" s="34" t="str">
        <f aca="false">IF(OR(AR801="",N(AC801)=0),"",AR801/AC801)</f>
        <v/>
      </c>
      <c r="AU801" s="34" t="str">
        <f aca="false">IF(OR(AR801="",N(S801)=0),"",AR801/S801)</f>
        <v/>
      </c>
      <c r="AV801" s="34" t="str">
        <f aca="false">IF(OR(AJ801="",N(AC801)=0),"",AJ801/AC801)</f>
        <v/>
      </c>
      <c r="AW801" s="34" t="str">
        <f aca="false">IF(OR(AH801="",N(AO801)=0),"",AH801/AO801)</f>
        <v/>
      </c>
      <c r="AX801" s="35" t="str">
        <f aca="false">IF(OR(AR801="",N(AO801)=0),"",(N(AF801)*Settings!$B$6+N(AG801)*Settings!$B$7+N(AH801)*Settings!$B$8+N(AI801)*Settings!$B$9+N(AJ801)*Settings!$B$10)/AO801*1000)</f>
        <v/>
      </c>
      <c r="AY801" s="36" t="str">
        <f aca="false">IF(AS801="","",IFERROR(AS801/AVERAGEIFS('Post Tracker'!$AS$5:$AS$1004,'Post Tracker'!$G$5:$G$1004,G801),""))</f>
        <v/>
      </c>
      <c r="AZ801" s="32"/>
      <c r="BA801" s="32"/>
      <c r="BB801" s="32"/>
      <c r="BC801" s="32"/>
      <c r="BD801" s="33" t="str">
        <f aca="false">IF(A801="","",COUNTIFS('Demo Pipeline'!$Q$5:$Q$504,A801))</f>
        <v/>
      </c>
      <c r="BE801" s="33" t="str">
        <f aca="false">IF(A801="","",COUNTIFS('Demo Pipeline'!$Q$5:$Q$504,A801,'Demo Pipeline'!$W$5:$W$504,"Attended"))</f>
        <v/>
      </c>
      <c r="BF801" s="33" t="str">
        <f aca="false">IF(A801="","",COUNTIFS('Demo Pipeline'!$Q$5:$Q$504,A801,'Demo Pipeline'!$X$5:$X$504,"Yes"))</f>
        <v/>
      </c>
      <c r="BG801" s="33" t="str">
        <f aca="false">IF(A801="","",COUNTIFS('Demo Pipeline'!$Q$5:$Q$504,A801,'Demo Pipeline'!$Y$5:$Y$504,"Closed Won"))</f>
        <v/>
      </c>
      <c r="BH801" s="37" t="str">
        <f aca="false">IF(A801="","",SUMIFS('Demo Pipeline'!$Z$5:$Z$504,'Demo Pipeline'!$Q$5:$Q$504,A801))</f>
        <v/>
      </c>
      <c r="BI801" s="34" t="str">
        <f aca="false">IF(OR(AZ801="",N(AJ801)=0),"",AZ801/AJ801)</f>
        <v/>
      </c>
      <c r="BJ801" s="34" t="str">
        <f aca="false">IF(OR(BB801="",N(AZ801)=0),"",BB801/AZ801)</f>
        <v/>
      </c>
      <c r="BK801" s="34" t="str">
        <f aca="false">IF(OR(A801="",N(BB801)=0),"",BD801/BB801)</f>
        <v/>
      </c>
      <c r="BL801" s="34" t="str">
        <f aca="false">IF(OR(A801="",N(AZ801)=0),"",BD801/AZ801)</f>
        <v/>
      </c>
      <c r="BM801" s="37" t="str">
        <f aca="false">IF(OR(N(Q801)=0,N(BD801)=0),"",Q801/BD801)</f>
        <v/>
      </c>
      <c r="BN801" s="29"/>
      <c r="BO801" s="29"/>
      <c r="BP801" s="33" t="str">
        <f aca="false">IF(OR(AR801="",N(AO801)=0),"",AR801)</f>
        <v/>
      </c>
      <c r="BQ801" s="33" t="str">
        <f aca="false">IF(OR(AR801="",N(S801)=0),"",S801)</f>
        <v/>
      </c>
      <c r="BR801" s="38" t="str">
        <f aca="false">IF(AND(ISNUMBER(B801),B801&gt;=Dashboard!$C$4,B801&lt;=Dashboard!$F$4,ISNUMBER(AU801)),AU801+ROW()/10^9,"")</f>
        <v/>
      </c>
      <c r="BS801" s="38" t="str">
        <f aca="false">IF(AND(ISNUMBER(B801),B801&gt;=Dashboard!$C$4,B801&lt;=Dashboard!$F$4,A801&lt;&gt;""),N(BD801)+N(AU801)/100+ROW()/10^9,"")</f>
        <v/>
      </c>
    </row>
    <row r="802" customFormat="false" ht="15" hidden="false" customHeight="false" outlineLevel="0" collapsed="false">
      <c r="A802" s="24" t="str">
        <f aca="false">IF(OR(B802="",G802="",H802=""),"",IFERROR(INDEX(Settings!$E$5:$E$49,MATCH(G802,Settings!$D$5:$D$49,0))&amp;INDEX(Settings!$H$5:$H$47,MATCH(H802,Settings!$G$5:$G$47,0))&amp;"-"&amp;TEXT(B802,"yymmdd")&amp;"-"&amp;IF(C802="","0000",TEXT(C802,"hhmm")),"CHECK LISTS"))</f>
        <v/>
      </c>
      <c r="B802" s="39"/>
      <c r="C802" s="40"/>
      <c r="D802" s="24" t="str">
        <f aca="false">IF(B802="","",TEXT(B802,"ddd"))</f>
        <v/>
      </c>
      <c r="E802" s="27" t="str">
        <f aca="false">IF(B802="","",B802-WEEKDAY(B802,3))</f>
        <v/>
      </c>
      <c r="F802" s="24" t="str">
        <f aca="false">IF(B802="","",TEXT(B802,"yyyy-mm"))</f>
        <v/>
      </c>
      <c r="G802" s="29"/>
      <c r="H802" s="29"/>
      <c r="I802" s="29"/>
      <c r="J802" s="29"/>
      <c r="K802" s="29"/>
      <c r="L802" s="29"/>
      <c r="M802" s="29"/>
      <c r="N802" s="29"/>
      <c r="O802" s="29"/>
      <c r="P802" s="29"/>
      <c r="Q802" s="30"/>
      <c r="R802" s="29"/>
      <c r="S802" s="32"/>
      <c r="T802" s="29"/>
      <c r="U802" s="29"/>
      <c r="V802" s="24" t="str">
        <f aca="false">IF(A802="","",IFERROR(INDEX(Settings!$F$5:$F$49,MATCH(G802,Settings!$D$5:$D$49,0)),""))</f>
        <v/>
      </c>
      <c r="W802" s="24" t="str">
        <f aca="false">IF(A802="","",IF(OR(P802="",P802="Organic"),"social","paid_social"))</f>
        <v/>
      </c>
      <c r="X802" s="24" t="str">
        <f aca="false">IF(A802="","",IF(K802&lt;&gt;"",IFERROR(INDEX('Case Studies'!$C$5:$C$54,MATCH(K802,'Case Studies'!$B$5:$B$54,0))&amp;"","case-study"),IF(J802&lt;&gt;"",IFERROR(INDEX(Settings!$J$5:$J$55,MATCH(J802,Settings!$I$5:$I$55,0)),"general"),"general")))</f>
        <v/>
      </c>
      <c r="Y802" s="24" t="str">
        <f aca="false">IF(A802="","",LOWER(A802))</f>
        <v/>
      </c>
      <c r="Z802" s="24" t="str">
        <f aca="false">IF(A802="","",IF(T802="",Settings!$B$5,T802)&amp;IF(ISNUMBER(FIND("?",IF(T802="",Settings!$B$5,T802))),"&amp;","?")&amp;"utm_source="&amp;V802&amp;"&amp;utm_medium="&amp;W802&amp;"&amp;utm_campaign="&amp;X802&amp;"&amp;utm_content="&amp;Y802)</f>
        <v/>
      </c>
      <c r="AA802" s="29"/>
      <c r="AB802" s="39"/>
      <c r="AC802" s="32"/>
      <c r="AD802" s="32"/>
      <c r="AE802" s="32"/>
      <c r="AF802" s="32"/>
      <c r="AG802" s="32"/>
      <c r="AH802" s="32"/>
      <c r="AI802" s="32"/>
      <c r="AJ802" s="32"/>
      <c r="AK802" s="32"/>
      <c r="AL802" s="32"/>
      <c r="AM802" s="32"/>
      <c r="AN802" s="32"/>
      <c r="AO802" s="33" t="str">
        <f aca="false">IF(A802="","",IF(AD802&lt;&gt;"",AD802,IF(AC802&lt;&gt;"",AC802,"")))</f>
        <v/>
      </c>
      <c r="AP802" s="24" t="str">
        <f aca="false">IF(AO802="","",IF(AD802&lt;&gt;"","Reported reach","Impressions (proxy)"))</f>
        <v/>
      </c>
      <c r="AQ802" s="34" t="str">
        <f aca="false">IF(OR(AO802="",N(S802)=0),"",AO802/S802)</f>
        <v/>
      </c>
      <c r="AR802" s="33" t="str">
        <f aca="false">IF(A802="","",IF(COUNT(AF802:AJ802)=0,"",SUM(AF802:AJ802)))</f>
        <v/>
      </c>
      <c r="AS802" s="34" t="str">
        <f aca="false">IF(OR(AR802="",N(AO802)=0),"",AR802/AO802)</f>
        <v/>
      </c>
      <c r="AT802" s="34" t="str">
        <f aca="false">IF(OR(AR802="",N(AC802)=0),"",AR802/AC802)</f>
        <v/>
      </c>
      <c r="AU802" s="34" t="str">
        <f aca="false">IF(OR(AR802="",N(S802)=0),"",AR802/S802)</f>
        <v/>
      </c>
      <c r="AV802" s="34" t="str">
        <f aca="false">IF(OR(AJ802="",N(AC802)=0),"",AJ802/AC802)</f>
        <v/>
      </c>
      <c r="AW802" s="34" t="str">
        <f aca="false">IF(OR(AH802="",N(AO802)=0),"",AH802/AO802)</f>
        <v/>
      </c>
      <c r="AX802" s="35" t="str">
        <f aca="false">IF(OR(AR802="",N(AO802)=0),"",(N(AF802)*Settings!$B$6+N(AG802)*Settings!$B$7+N(AH802)*Settings!$B$8+N(AI802)*Settings!$B$9+N(AJ802)*Settings!$B$10)/AO802*1000)</f>
        <v/>
      </c>
      <c r="AY802" s="36" t="str">
        <f aca="false">IF(AS802="","",IFERROR(AS802/AVERAGEIFS('Post Tracker'!$AS$5:$AS$1004,'Post Tracker'!$G$5:$G$1004,G802),""))</f>
        <v/>
      </c>
      <c r="AZ802" s="32"/>
      <c r="BA802" s="32"/>
      <c r="BB802" s="32"/>
      <c r="BC802" s="32"/>
      <c r="BD802" s="33" t="str">
        <f aca="false">IF(A802="","",COUNTIFS('Demo Pipeline'!$Q$5:$Q$504,A802))</f>
        <v/>
      </c>
      <c r="BE802" s="33" t="str">
        <f aca="false">IF(A802="","",COUNTIFS('Demo Pipeline'!$Q$5:$Q$504,A802,'Demo Pipeline'!$W$5:$W$504,"Attended"))</f>
        <v/>
      </c>
      <c r="BF802" s="33" t="str">
        <f aca="false">IF(A802="","",COUNTIFS('Demo Pipeline'!$Q$5:$Q$504,A802,'Demo Pipeline'!$X$5:$X$504,"Yes"))</f>
        <v/>
      </c>
      <c r="BG802" s="33" t="str">
        <f aca="false">IF(A802="","",COUNTIFS('Demo Pipeline'!$Q$5:$Q$504,A802,'Demo Pipeline'!$Y$5:$Y$504,"Closed Won"))</f>
        <v/>
      </c>
      <c r="BH802" s="37" t="str">
        <f aca="false">IF(A802="","",SUMIFS('Demo Pipeline'!$Z$5:$Z$504,'Demo Pipeline'!$Q$5:$Q$504,A802))</f>
        <v/>
      </c>
      <c r="BI802" s="34" t="str">
        <f aca="false">IF(OR(AZ802="",N(AJ802)=0),"",AZ802/AJ802)</f>
        <v/>
      </c>
      <c r="BJ802" s="34" t="str">
        <f aca="false">IF(OR(BB802="",N(AZ802)=0),"",BB802/AZ802)</f>
        <v/>
      </c>
      <c r="BK802" s="34" t="str">
        <f aca="false">IF(OR(A802="",N(BB802)=0),"",BD802/BB802)</f>
        <v/>
      </c>
      <c r="BL802" s="34" t="str">
        <f aca="false">IF(OR(A802="",N(AZ802)=0),"",BD802/AZ802)</f>
        <v/>
      </c>
      <c r="BM802" s="37" t="str">
        <f aca="false">IF(OR(N(Q802)=0,N(BD802)=0),"",Q802/BD802)</f>
        <v/>
      </c>
      <c r="BN802" s="29"/>
      <c r="BO802" s="29"/>
      <c r="BP802" s="33" t="str">
        <f aca="false">IF(OR(AR802="",N(AO802)=0),"",AR802)</f>
        <v/>
      </c>
      <c r="BQ802" s="33" t="str">
        <f aca="false">IF(OR(AR802="",N(S802)=0),"",S802)</f>
        <v/>
      </c>
      <c r="BR802" s="38" t="str">
        <f aca="false">IF(AND(ISNUMBER(B802),B802&gt;=Dashboard!$C$4,B802&lt;=Dashboard!$F$4,ISNUMBER(AU802)),AU802+ROW()/10^9,"")</f>
        <v/>
      </c>
      <c r="BS802" s="38" t="str">
        <f aca="false">IF(AND(ISNUMBER(B802),B802&gt;=Dashboard!$C$4,B802&lt;=Dashboard!$F$4,A802&lt;&gt;""),N(BD802)+N(AU802)/100+ROW()/10^9,"")</f>
        <v/>
      </c>
    </row>
    <row r="803" customFormat="false" ht="15" hidden="false" customHeight="false" outlineLevel="0" collapsed="false">
      <c r="A803" s="24" t="str">
        <f aca="false">IF(OR(B803="",G803="",H803=""),"",IFERROR(INDEX(Settings!$E$5:$E$49,MATCH(G803,Settings!$D$5:$D$49,0))&amp;INDEX(Settings!$H$5:$H$47,MATCH(H803,Settings!$G$5:$G$47,0))&amp;"-"&amp;TEXT(B803,"yymmdd")&amp;"-"&amp;IF(C803="","0000",TEXT(C803,"hhmm")),"CHECK LISTS"))</f>
        <v/>
      </c>
      <c r="B803" s="39"/>
      <c r="C803" s="40"/>
      <c r="D803" s="24" t="str">
        <f aca="false">IF(B803="","",TEXT(B803,"ddd"))</f>
        <v/>
      </c>
      <c r="E803" s="27" t="str">
        <f aca="false">IF(B803="","",B803-WEEKDAY(B803,3))</f>
        <v/>
      </c>
      <c r="F803" s="24" t="str">
        <f aca="false">IF(B803="","",TEXT(B803,"yyyy-mm"))</f>
        <v/>
      </c>
      <c r="G803" s="29"/>
      <c r="H803" s="29"/>
      <c r="I803" s="29"/>
      <c r="J803" s="29"/>
      <c r="K803" s="29"/>
      <c r="L803" s="29"/>
      <c r="M803" s="29"/>
      <c r="N803" s="29"/>
      <c r="O803" s="29"/>
      <c r="P803" s="29"/>
      <c r="Q803" s="30"/>
      <c r="R803" s="29"/>
      <c r="S803" s="32"/>
      <c r="T803" s="29"/>
      <c r="U803" s="29"/>
      <c r="V803" s="24" t="str">
        <f aca="false">IF(A803="","",IFERROR(INDEX(Settings!$F$5:$F$49,MATCH(G803,Settings!$D$5:$D$49,0)),""))</f>
        <v/>
      </c>
      <c r="W803" s="24" t="str">
        <f aca="false">IF(A803="","",IF(OR(P803="",P803="Organic"),"social","paid_social"))</f>
        <v/>
      </c>
      <c r="X803" s="24" t="str">
        <f aca="false">IF(A803="","",IF(K803&lt;&gt;"",IFERROR(INDEX('Case Studies'!$C$5:$C$54,MATCH(K803,'Case Studies'!$B$5:$B$54,0))&amp;"","case-study"),IF(J803&lt;&gt;"",IFERROR(INDEX(Settings!$J$5:$J$55,MATCH(J803,Settings!$I$5:$I$55,0)),"general"),"general")))</f>
        <v/>
      </c>
      <c r="Y803" s="24" t="str">
        <f aca="false">IF(A803="","",LOWER(A803))</f>
        <v/>
      </c>
      <c r="Z803" s="24" t="str">
        <f aca="false">IF(A803="","",IF(T803="",Settings!$B$5,T803)&amp;IF(ISNUMBER(FIND("?",IF(T803="",Settings!$B$5,T803))),"&amp;","?")&amp;"utm_source="&amp;V803&amp;"&amp;utm_medium="&amp;W803&amp;"&amp;utm_campaign="&amp;X803&amp;"&amp;utm_content="&amp;Y803)</f>
        <v/>
      </c>
      <c r="AA803" s="29"/>
      <c r="AB803" s="39"/>
      <c r="AC803" s="32"/>
      <c r="AD803" s="32"/>
      <c r="AE803" s="32"/>
      <c r="AF803" s="32"/>
      <c r="AG803" s="32"/>
      <c r="AH803" s="32"/>
      <c r="AI803" s="32"/>
      <c r="AJ803" s="32"/>
      <c r="AK803" s="32"/>
      <c r="AL803" s="32"/>
      <c r="AM803" s="32"/>
      <c r="AN803" s="32"/>
      <c r="AO803" s="33" t="str">
        <f aca="false">IF(A803="","",IF(AD803&lt;&gt;"",AD803,IF(AC803&lt;&gt;"",AC803,"")))</f>
        <v/>
      </c>
      <c r="AP803" s="24" t="str">
        <f aca="false">IF(AO803="","",IF(AD803&lt;&gt;"","Reported reach","Impressions (proxy)"))</f>
        <v/>
      </c>
      <c r="AQ803" s="34" t="str">
        <f aca="false">IF(OR(AO803="",N(S803)=0),"",AO803/S803)</f>
        <v/>
      </c>
      <c r="AR803" s="33" t="str">
        <f aca="false">IF(A803="","",IF(COUNT(AF803:AJ803)=0,"",SUM(AF803:AJ803)))</f>
        <v/>
      </c>
      <c r="AS803" s="34" t="str">
        <f aca="false">IF(OR(AR803="",N(AO803)=0),"",AR803/AO803)</f>
        <v/>
      </c>
      <c r="AT803" s="34" t="str">
        <f aca="false">IF(OR(AR803="",N(AC803)=0),"",AR803/AC803)</f>
        <v/>
      </c>
      <c r="AU803" s="34" t="str">
        <f aca="false">IF(OR(AR803="",N(S803)=0),"",AR803/S803)</f>
        <v/>
      </c>
      <c r="AV803" s="34" t="str">
        <f aca="false">IF(OR(AJ803="",N(AC803)=0),"",AJ803/AC803)</f>
        <v/>
      </c>
      <c r="AW803" s="34" t="str">
        <f aca="false">IF(OR(AH803="",N(AO803)=0),"",AH803/AO803)</f>
        <v/>
      </c>
      <c r="AX803" s="35" t="str">
        <f aca="false">IF(OR(AR803="",N(AO803)=0),"",(N(AF803)*Settings!$B$6+N(AG803)*Settings!$B$7+N(AH803)*Settings!$B$8+N(AI803)*Settings!$B$9+N(AJ803)*Settings!$B$10)/AO803*1000)</f>
        <v/>
      </c>
      <c r="AY803" s="36" t="str">
        <f aca="false">IF(AS803="","",IFERROR(AS803/AVERAGEIFS('Post Tracker'!$AS$5:$AS$1004,'Post Tracker'!$G$5:$G$1004,G803),""))</f>
        <v/>
      </c>
      <c r="AZ803" s="32"/>
      <c r="BA803" s="32"/>
      <c r="BB803" s="32"/>
      <c r="BC803" s="32"/>
      <c r="BD803" s="33" t="str">
        <f aca="false">IF(A803="","",COUNTIFS('Demo Pipeline'!$Q$5:$Q$504,A803))</f>
        <v/>
      </c>
      <c r="BE803" s="33" t="str">
        <f aca="false">IF(A803="","",COUNTIFS('Demo Pipeline'!$Q$5:$Q$504,A803,'Demo Pipeline'!$W$5:$W$504,"Attended"))</f>
        <v/>
      </c>
      <c r="BF803" s="33" t="str">
        <f aca="false">IF(A803="","",COUNTIFS('Demo Pipeline'!$Q$5:$Q$504,A803,'Demo Pipeline'!$X$5:$X$504,"Yes"))</f>
        <v/>
      </c>
      <c r="BG803" s="33" t="str">
        <f aca="false">IF(A803="","",COUNTIFS('Demo Pipeline'!$Q$5:$Q$504,A803,'Demo Pipeline'!$Y$5:$Y$504,"Closed Won"))</f>
        <v/>
      </c>
      <c r="BH803" s="37" t="str">
        <f aca="false">IF(A803="","",SUMIFS('Demo Pipeline'!$Z$5:$Z$504,'Demo Pipeline'!$Q$5:$Q$504,A803))</f>
        <v/>
      </c>
      <c r="BI803" s="34" t="str">
        <f aca="false">IF(OR(AZ803="",N(AJ803)=0),"",AZ803/AJ803)</f>
        <v/>
      </c>
      <c r="BJ803" s="34" t="str">
        <f aca="false">IF(OR(BB803="",N(AZ803)=0),"",BB803/AZ803)</f>
        <v/>
      </c>
      <c r="BK803" s="34" t="str">
        <f aca="false">IF(OR(A803="",N(BB803)=0),"",BD803/BB803)</f>
        <v/>
      </c>
      <c r="BL803" s="34" t="str">
        <f aca="false">IF(OR(A803="",N(AZ803)=0),"",BD803/AZ803)</f>
        <v/>
      </c>
      <c r="BM803" s="37" t="str">
        <f aca="false">IF(OR(N(Q803)=0,N(BD803)=0),"",Q803/BD803)</f>
        <v/>
      </c>
      <c r="BN803" s="29"/>
      <c r="BO803" s="29"/>
      <c r="BP803" s="33" t="str">
        <f aca="false">IF(OR(AR803="",N(AO803)=0),"",AR803)</f>
        <v/>
      </c>
      <c r="BQ803" s="33" t="str">
        <f aca="false">IF(OR(AR803="",N(S803)=0),"",S803)</f>
        <v/>
      </c>
      <c r="BR803" s="38" t="str">
        <f aca="false">IF(AND(ISNUMBER(B803),B803&gt;=Dashboard!$C$4,B803&lt;=Dashboard!$F$4,ISNUMBER(AU803)),AU803+ROW()/10^9,"")</f>
        <v/>
      </c>
      <c r="BS803" s="38" t="str">
        <f aca="false">IF(AND(ISNUMBER(B803),B803&gt;=Dashboard!$C$4,B803&lt;=Dashboard!$F$4,A803&lt;&gt;""),N(BD803)+N(AU803)/100+ROW()/10^9,"")</f>
        <v/>
      </c>
    </row>
    <row r="804" customFormat="false" ht="15" hidden="false" customHeight="false" outlineLevel="0" collapsed="false">
      <c r="A804" s="24" t="str">
        <f aca="false">IF(OR(B804="",G804="",H804=""),"",IFERROR(INDEX(Settings!$E$5:$E$49,MATCH(G804,Settings!$D$5:$D$49,0))&amp;INDEX(Settings!$H$5:$H$47,MATCH(H804,Settings!$G$5:$G$47,0))&amp;"-"&amp;TEXT(B804,"yymmdd")&amp;"-"&amp;IF(C804="","0000",TEXT(C804,"hhmm")),"CHECK LISTS"))</f>
        <v/>
      </c>
      <c r="B804" s="39"/>
      <c r="C804" s="40"/>
      <c r="D804" s="24" t="str">
        <f aca="false">IF(B804="","",TEXT(B804,"ddd"))</f>
        <v/>
      </c>
      <c r="E804" s="27" t="str">
        <f aca="false">IF(B804="","",B804-WEEKDAY(B804,3))</f>
        <v/>
      </c>
      <c r="F804" s="24" t="str">
        <f aca="false">IF(B804="","",TEXT(B804,"yyyy-mm"))</f>
        <v/>
      </c>
      <c r="G804" s="29"/>
      <c r="H804" s="29"/>
      <c r="I804" s="29"/>
      <c r="J804" s="29"/>
      <c r="K804" s="29"/>
      <c r="L804" s="29"/>
      <c r="M804" s="29"/>
      <c r="N804" s="29"/>
      <c r="O804" s="29"/>
      <c r="P804" s="29"/>
      <c r="Q804" s="30"/>
      <c r="R804" s="29"/>
      <c r="S804" s="32"/>
      <c r="T804" s="29"/>
      <c r="U804" s="29"/>
      <c r="V804" s="24" t="str">
        <f aca="false">IF(A804="","",IFERROR(INDEX(Settings!$F$5:$F$49,MATCH(G804,Settings!$D$5:$D$49,0)),""))</f>
        <v/>
      </c>
      <c r="W804" s="24" t="str">
        <f aca="false">IF(A804="","",IF(OR(P804="",P804="Organic"),"social","paid_social"))</f>
        <v/>
      </c>
      <c r="X804" s="24" t="str">
        <f aca="false">IF(A804="","",IF(K804&lt;&gt;"",IFERROR(INDEX('Case Studies'!$C$5:$C$54,MATCH(K804,'Case Studies'!$B$5:$B$54,0))&amp;"","case-study"),IF(J804&lt;&gt;"",IFERROR(INDEX(Settings!$J$5:$J$55,MATCH(J804,Settings!$I$5:$I$55,0)),"general"),"general")))</f>
        <v/>
      </c>
      <c r="Y804" s="24" t="str">
        <f aca="false">IF(A804="","",LOWER(A804))</f>
        <v/>
      </c>
      <c r="Z804" s="24" t="str">
        <f aca="false">IF(A804="","",IF(T804="",Settings!$B$5,T804)&amp;IF(ISNUMBER(FIND("?",IF(T804="",Settings!$B$5,T804))),"&amp;","?")&amp;"utm_source="&amp;V804&amp;"&amp;utm_medium="&amp;W804&amp;"&amp;utm_campaign="&amp;X804&amp;"&amp;utm_content="&amp;Y804)</f>
        <v/>
      </c>
      <c r="AA804" s="29"/>
      <c r="AB804" s="39"/>
      <c r="AC804" s="32"/>
      <c r="AD804" s="32"/>
      <c r="AE804" s="32"/>
      <c r="AF804" s="32"/>
      <c r="AG804" s="32"/>
      <c r="AH804" s="32"/>
      <c r="AI804" s="32"/>
      <c r="AJ804" s="32"/>
      <c r="AK804" s="32"/>
      <c r="AL804" s="32"/>
      <c r="AM804" s="32"/>
      <c r="AN804" s="32"/>
      <c r="AO804" s="33" t="str">
        <f aca="false">IF(A804="","",IF(AD804&lt;&gt;"",AD804,IF(AC804&lt;&gt;"",AC804,"")))</f>
        <v/>
      </c>
      <c r="AP804" s="24" t="str">
        <f aca="false">IF(AO804="","",IF(AD804&lt;&gt;"","Reported reach","Impressions (proxy)"))</f>
        <v/>
      </c>
      <c r="AQ804" s="34" t="str">
        <f aca="false">IF(OR(AO804="",N(S804)=0),"",AO804/S804)</f>
        <v/>
      </c>
      <c r="AR804" s="33" t="str">
        <f aca="false">IF(A804="","",IF(COUNT(AF804:AJ804)=0,"",SUM(AF804:AJ804)))</f>
        <v/>
      </c>
      <c r="AS804" s="34" t="str">
        <f aca="false">IF(OR(AR804="",N(AO804)=0),"",AR804/AO804)</f>
        <v/>
      </c>
      <c r="AT804" s="34" t="str">
        <f aca="false">IF(OR(AR804="",N(AC804)=0),"",AR804/AC804)</f>
        <v/>
      </c>
      <c r="AU804" s="34" t="str">
        <f aca="false">IF(OR(AR804="",N(S804)=0),"",AR804/S804)</f>
        <v/>
      </c>
      <c r="AV804" s="34" t="str">
        <f aca="false">IF(OR(AJ804="",N(AC804)=0),"",AJ804/AC804)</f>
        <v/>
      </c>
      <c r="AW804" s="34" t="str">
        <f aca="false">IF(OR(AH804="",N(AO804)=0),"",AH804/AO804)</f>
        <v/>
      </c>
      <c r="AX804" s="35" t="str">
        <f aca="false">IF(OR(AR804="",N(AO804)=0),"",(N(AF804)*Settings!$B$6+N(AG804)*Settings!$B$7+N(AH804)*Settings!$B$8+N(AI804)*Settings!$B$9+N(AJ804)*Settings!$B$10)/AO804*1000)</f>
        <v/>
      </c>
      <c r="AY804" s="36" t="str">
        <f aca="false">IF(AS804="","",IFERROR(AS804/AVERAGEIFS('Post Tracker'!$AS$5:$AS$1004,'Post Tracker'!$G$5:$G$1004,G804),""))</f>
        <v/>
      </c>
      <c r="AZ804" s="32"/>
      <c r="BA804" s="32"/>
      <c r="BB804" s="32"/>
      <c r="BC804" s="32"/>
      <c r="BD804" s="33" t="str">
        <f aca="false">IF(A804="","",COUNTIFS('Demo Pipeline'!$Q$5:$Q$504,A804))</f>
        <v/>
      </c>
      <c r="BE804" s="33" t="str">
        <f aca="false">IF(A804="","",COUNTIFS('Demo Pipeline'!$Q$5:$Q$504,A804,'Demo Pipeline'!$W$5:$W$504,"Attended"))</f>
        <v/>
      </c>
      <c r="BF804" s="33" t="str">
        <f aca="false">IF(A804="","",COUNTIFS('Demo Pipeline'!$Q$5:$Q$504,A804,'Demo Pipeline'!$X$5:$X$504,"Yes"))</f>
        <v/>
      </c>
      <c r="BG804" s="33" t="str">
        <f aca="false">IF(A804="","",COUNTIFS('Demo Pipeline'!$Q$5:$Q$504,A804,'Demo Pipeline'!$Y$5:$Y$504,"Closed Won"))</f>
        <v/>
      </c>
      <c r="BH804" s="37" t="str">
        <f aca="false">IF(A804="","",SUMIFS('Demo Pipeline'!$Z$5:$Z$504,'Demo Pipeline'!$Q$5:$Q$504,A804))</f>
        <v/>
      </c>
      <c r="BI804" s="34" t="str">
        <f aca="false">IF(OR(AZ804="",N(AJ804)=0),"",AZ804/AJ804)</f>
        <v/>
      </c>
      <c r="BJ804" s="34" t="str">
        <f aca="false">IF(OR(BB804="",N(AZ804)=0),"",BB804/AZ804)</f>
        <v/>
      </c>
      <c r="BK804" s="34" t="str">
        <f aca="false">IF(OR(A804="",N(BB804)=0),"",BD804/BB804)</f>
        <v/>
      </c>
      <c r="BL804" s="34" t="str">
        <f aca="false">IF(OR(A804="",N(AZ804)=0),"",BD804/AZ804)</f>
        <v/>
      </c>
      <c r="BM804" s="37" t="str">
        <f aca="false">IF(OR(N(Q804)=0,N(BD804)=0),"",Q804/BD804)</f>
        <v/>
      </c>
      <c r="BN804" s="29"/>
      <c r="BO804" s="29"/>
      <c r="BP804" s="33" t="str">
        <f aca="false">IF(OR(AR804="",N(AO804)=0),"",AR804)</f>
        <v/>
      </c>
      <c r="BQ804" s="33" t="str">
        <f aca="false">IF(OR(AR804="",N(S804)=0),"",S804)</f>
        <v/>
      </c>
      <c r="BR804" s="38" t="str">
        <f aca="false">IF(AND(ISNUMBER(B804),B804&gt;=Dashboard!$C$4,B804&lt;=Dashboard!$F$4,ISNUMBER(AU804)),AU804+ROW()/10^9,"")</f>
        <v/>
      </c>
      <c r="BS804" s="38" t="str">
        <f aca="false">IF(AND(ISNUMBER(B804),B804&gt;=Dashboard!$C$4,B804&lt;=Dashboard!$F$4,A804&lt;&gt;""),N(BD804)+N(AU804)/100+ROW()/10^9,"")</f>
        <v/>
      </c>
    </row>
    <row r="805" customFormat="false" ht="15" hidden="false" customHeight="false" outlineLevel="0" collapsed="false">
      <c r="A805" s="24" t="str">
        <f aca="false">IF(OR(B805="",G805="",H805=""),"",IFERROR(INDEX(Settings!$E$5:$E$49,MATCH(G805,Settings!$D$5:$D$49,0))&amp;INDEX(Settings!$H$5:$H$47,MATCH(H805,Settings!$G$5:$G$47,0))&amp;"-"&amp;TEXT(B805,"yymmdd")&amp;"-"&amp;IF(C805="","0000",TEXT(C805,"hhmm")),"CHECK LISTS"))</f>
        <v/>
      </c>
      <c r="B805" s="39"/>
      <c r="C805" s="40"/>
      <c r="D805" s="24" t="str">
        <f aca="false">IF(B805="","",TEXT(B805,"ddd"))</f>
        <v/>
      </c>
      <c r="E805" s="27" t="str">
        <f aca="false">IF(B805="","",B805-WEEKDAY(B805,3))</f>
        <v/>
      </c>
      <c r="F805" s="24" t="str">
        <f aca="false">IF(B805="","",TEXT(B805,"yyyy-mm"))</f>
        <v/>
      </c>
      <c r="G805" s="29"/>
      <c r="H805" s="29"/>
      <c r="I805" s="29"/>
      <c r="J805" s="29"/>
      <c r="K805" s="29"/>
      <c r="L805" s="29"/>
      <c r="M805" s="29"/>
      <c r="N805" s="29"/>
      <c r="O805" s="29"/>
      <c r="P805" s="29"/>
      <c r="Q805" s="30"/>
      <c r="R805" s="29"/>
      <c r="S805" s="32"/>
      <c r="T805" s="29"/>
      <c r="U805" s="29"/>
      <c r="V805" s="24" t="str">
        <f aca="false">IF(A805="","",IFERROR(INDEX(Settings!$F$5:$F$49,MATCH(G805,Settings!$D$5:$D$49,0)),""))</f>
        <v/>
      </c>
      <c r="W805" s="24" t="str">
        <f aca="false">IF(A805="","",IF(OR(P805="",P805="Organic"),"social","paid_social"))</f>
        <v/>
      </c>
      <c r="X805" s="24" t="str">
        <f aca="false">IF(A805="","",IF(K805&lt;&gt;"",IFERROR(INDEX('Case Studies'!$C$5:$C$54,MATCH(K805,'Case Studies'!$B$5:$B$54,0))&amp;"","case-study"),IF(J805&lt;&gt;"",IFERROR(INDEX(Settings!$J$5:$J$55,MATCH(J805,Settings!$I$5:$I$55,0)),"general"),"general")))</f>
        <v/>
      </c>
      <c r="Y805" s="24" t="str">
        <f aca="false">IF(A805="","",LOWER(A805))</f>
        <v/>
      </c>
      <c r="Z805" s="24" t="str">
        <f aca="false">IF(A805="","",IF(T805="",Settings!$B$5,T805)&amp;IF(ISNUMBER(FIND("?",IF(T805="",Settings!$B$5,T805))),"&amp;","?")&amp;"utm_source="&amp;V805&amp;"&amp;utm_medium="&amp;W805&amp;"&amp;utm_campaign="&amp;X805&amp;"&amp;utm_content="&amp;Y805)</f>
        <v/>
      </c>
      <c r="AA805" s="29"/>
      <c r="AB805" s="39"/>
      <c r="AC805" s="32"/>
      <c r="AD805" s="32"/>
      <c r="AE805" s="32"/>
      <c r="AF805" s="32"/>
      <c r="AG805" s="32"/>
      <c r="AH805" s="32"/>
      <c r="AI805" s="32"/>
      <c r="AJ805" s="32"/>
      <c r="AK805" s="32"/>
      <c r="AL805" s="32"/>
      <c r="AM805" s="32"/>
      <c r="AN805" s="32"/>
      <c r="AO805" s="33" t="str">
        <f aca="false">IF(A805="","",IF(AD805&lt;&gt;"",AD805,IF(AC805&lt;&gt;"",AC805,"")))</f>
        <v/>
      </c>
      <c r="AP805" s="24" t="str">
        <f aca="false">IF(AO805="","",IF(AD805&lt;&gt;"","Reported reach","Impressions (proxy)"))</f>
        <v/>
      </c>
      <c r="AQ805" s="34" t="str">
        <f aca="false">IF(OR(AO805="",N(S805)=0),"",AO805/S805)</f>
        <v/>
      </c>
      <c r="AR805" s="33" t="str">
        <f aca="false">IF(A805="","",IF(COUNT(AF805:AJ805)=0,"",SUM(AF805:AJ805)))</f>
        <v/>
      </c>
      <c r="AS805" s="34" t="str">
        <f aca="false">IF(OR(AR805="",N(AO805)=0),"",AR805/AO805)</f>
        <v/>
      </c>
      <c r="AT805" s="34" t="str">
        <f aca="false">IF(OR(AR805="",N(AC805)=0),"",AR805/AC805)</f>
        <v/>
      </c>
      <c r="AU805" s="34" t="str">
        <f aca="false">IF(OR(AR805="",N(S805)=0),"",AR805/S805)</f>
        <v/>
      </c>
      <c r="AV805" s="34" t="str">
        <f aca="false">IF(OR(AJ805="",N(AC805)=0),"",AJ805/AC805)</f>
        <v/>
      </c>
      <c r="AW805" s="34" t="str">
        <f aca="false">IF(OR(AH805="",N(AO805)=0),"",AH805/AO805)</f>
        <v/>
      </c>
      <c r="AX805" s="35" t="str">
        <f aca="false">IF(OR(AR805="",N(AO805)=0),"",(N(AF805)*Settings!$B$6+N(AG805)*Settings!$B$7+N(AH805)*Settings!$B$8+N(AI805)*Settings!$B$9+N(AJ805)*Settings!$B$10)/AO805*1000)</f>
        <v/>
      </c>
      <c r="AY805" s="36" t="str">
        <f aca="false">IF(AS805="","",IFERROR(AS805/AVERAGEIFS('Post Tracker'!$AS$5:$AS$1004,'Post Tracker'!$G$5:$G$1004,G805),""))</f>
        <v/>
      </c>
      <c r="AZ805" s="32"/>
      <c r="BA805" s="32"/>
      <c r="BB805" s="32"/>
      <c r="BC805" s="32"/>
      <c r="BD805" s="33" t="str">
        <f aca="false">IF(A805="","",COUNTIFS('Demo Pipeline'!$Q$5:$Q$504,A805))</f>
        <v/>
      </c>
      <c r="BE805" s="33" t="str">
        <f aca="false">IF(A805="","",COUNTIFS('Demo Pipeline'!$Q$5:$Q$504,A805,'Demo Pipeline'!$W$5:$W$504,"Attended"))</f>
        <v/>
      </c>
      <c r="BF805" s="33" t="str">
        <f aca="false">IF(A805="","",COUNTIFS('Demo Pipeline'!$Q$5:$Q$504,A805,'Demo Pipeline'!$X$5:$X$504,"Yes"))</f>
        <v/>
      </c>
      <c r="BG805" s="33" t="str">
        <f aca="false">IF(A805="","",COUNTIFS('Demo Pipeline'!$Q$5:$Q$504,A805,'Demo Pipeline'!$Y$5:$Y$504,"Closed Won"))</f>
        <v/>
      </c>
      <c r="BH805" s="37" t="str">
        <f aca="false">IF(A805="","",SUMIFS('Demo Pipeline'!$Z$5:$Z$504,'Demo Pipeline'!$Q$5:$Q$504,A805))</f>
        <v/>
      </c>
      <c r="BI805" s="34" t="str">
        <f aca="false">IF(OR(AZ805="",N(AJ805)=0),"",AZ805/AJ805)</f>
        <v/>
      </c>
      <c r="BJ805" s="34" t="str">
        <f aca="false">IF(OR(BB805="",N(AZ805)=0),"",BB805/AZ805)</f>
        <v/>
      </c>
      <c r="BK805" s="34" t="str">
        <f aca="false">IF(OR(A805="",N(BB805)=0),"",BD805/BB805)</f>
        <v/>
      </c>
      <c r="BL805" s="34" t="str">
        <f aca="false">IF(OR(A805="",N(AZ805)=0),"",BD805/AZ805)</f>
        <v/>
      </c>
      <c r="BM805" s="37" t="str">
        <f aca="false">IF(OR(N(Q805)=0,N(BD805)=0),"",Q805/BD805)</f>
        <v/>
      </c>
      <c r="BN805" s="29"/>
      <c r="BO805" s="29"/>
      <c r="BP805" s="33" t="str">
        <f aca="false">IF(OR(AR805="",N(AO805)=0),"",AR805)</f>
        <v/>
      </c>
      <c r="BQ805" s="33" t="str">
        <f aca="false">IF(OR(AR805="",N(S805)=0),"",S805)</f>
        <v/>
      </c>
      <c r="BR805" s="38" t="str">
        <f aca="false">IF(AND(ISNUMBER(B805),B805&gt;=Dashboard!$C$4,B805&lt;=Dashboard!$F$4,ISNUMBER(AU805)),AU805+ROW()/10^9,"")</f>
        <v/>
      </c>
      <c r="BS805" s="38" t="str">
        <f aca="false">IF(AND(ISNUMBER(B805),B805&gt;=Dashboard!$C$4,B805&lt;=Dashboard!$F$4,A805&lt;&gt;""),N(BD805)+N(AU805)/100+ROW()/10^9,"")</f>
        <v/>
      </c>
    </row>
    <row r="806" customFormat="false" ht="15" hidden="false" customHeight="false" outlineLevel="0" collapsed="false">
      <c r="A806" s="24" t="str">
        <f aca="false">IF(OR(B806="",G806="",H806=""),"",IFERROR(INDEX(Settings!$E$5:$E$49,MATCH(G806,Settings!$D$5:$D$49,0))&amp;INDEX(Settings!$H$5:$H$47,MATCH(H806,Settings!$G$5:$G$47,0))&amp;"-"&amp;TEXT(B806,"yymmdd")&amp;"-"&amp;IF(C806="","0000",TEXT(C806,"hhmm")),"CHECK LISTS"))</f>
        <v/>
      </c>
      <c r="B806" s="39"/>
      <c r="C806" s="40"/>
      <c r="D806" s="24" t="str">
        <f aca="false">IF(B806="","",TEXT(B806,"ddd"))</f>
        <v/>
      </c>
      <c r="E806" s="27" t="str">
        <f aca="false">IF(B806="","",B806-WEEKDAY(B806,3))</f>
        <v/>
      </c>
      <c r="F806" s="24" t="str">
        <f aca="false">IF(B806="","",TEXT(B806,"yyyy-mm"))</f>
        <v/>
      </c>
      <c r="G806" s="29"/>
      <c r="H806" s="29"/>
      <c r="I806" s="29"/>
      <c r="J806" s="29"/>
      <c r="K806" s="29"/>
      <c r="L806" s="29"/>
      <c r="M806" s="29"/>
      <c r="N806" s="29"/>
      <c r="O806" s="29"/>
      <c r="P806" s="29"/>
      <c r="Q806" s="30"/>
      <c r="R806" s="29"/>
      <c r="S806" s="32"/>
      <c r="T806" s="29"/>
      <c r="U806" s="29"/>
      <c r="V806" s="24" t="str">
        <f aca="false">IF(A806="","",IFERROR(INDEX(Settings!$F$5:$F$49,MATCH(G806,Settings!$D$5:$D$49,0)),""))</f>
        <v/>
      </c>
      <c r="W806" s="24" t="str">
        <f aca="false">IF(A806="","",IF(OR(P806="",P806="Organic"),"social","paid_social"))</f>
        <v/>
      </c>
      <c r="X806" s="24" t="str">
        <f aca="false">IF(A806="","",IF(K806&lt;&gt;"",IFERROR(INDEX('Case Studies'!$C$5:$C$54,MATCH(K806,'Case Studies'!$B$5:$B$54,0))&amp;"","case-study"),IF(J806&lt;&gt;"",IFERROR(INDEX(Settings!$J$5:$J$55,MATCH(J806,Settings!$I$5:$I$55,0)),"general"),"general")))</f>
        <v/>
      </c>
      <c r="Y806" s="24" t="str">
        <f aca="false">IF(A806="","",LOWER(A806))</f>
        <v/>
      </c>
      <c r="Z806" s="24" t="str">
        <f aca="false">IF(A806="","",IF(T806="",Settings!$B$5,T806)&amp;IF(ISNUMBER(FIND("?",IF(T806="",Settings!$B$5,T806))),"&amp;","?")&amp;"utm_source="&amp;V806&amp;"&amp;utm_medium="&amp;W806&amp;"&amp;utm_campaign="&amp;X806&amp;"&amp;utm_content="&amp;Y806)</f>
        <v/>
      </c>
      <c r="AA806" s="29"/>
      <c r="AB806" s="39"/>
      <c r="AC806" s="32"/>
      <c r="AD806" s="32"/>
      <c r="AE806" s="32"/>
      <c r="AF806" s="32"/>
      <c r="AG806" s="32"/>
      <c r="AH806" s="32"/>
      <c r="AI806" s="32"/>
      <c r="AJ806" s="32"/>
      <c r="AK806" s="32"/>
      <c r="AL806" s="32"/>
      <c r="AM806" s="32"/>
      <c r="AN806" s="32"/>
      <c r="AO806" s="33" t="str">
        <f aca="false">IF(A806="","",IF(AD806&lt;&gt;"",AD806,IF(AC806&lt;&gt;"",AC806,"")))</f>
        <v/>
      </c>
      <c r="AP806" s="24" t="str">
        <f aca="false">IF(AO806="","",IF(AD806&lt;&gt;"","Reported reach","Impressions (proxy)"))</f>
        <v/>
      </c>
      <c r="AQ806" s="34" t="str">
        <f aca="false">IF(OR(AO806="",N(S806)=0),"",AO806/S806)</f>
        <v/>
      </c>
      <c r="AR806" s="33" t="str">
        <f aca="false">IF(A806="","",IF(COUNT(AF806:AJ806)=0,"",SUM(AF806:AJ806)))</f>
        <v/>
      </c>
      <c r="AS806" s="34" t="str">
        <f aca="false">IF(OR(AR806="",N(AO806)=0),"",AR806/AO806)</f>
        <v/>
      </c>
      <c r="AT806" s="34" t="str">
        <f aca="false">IF(OR(AR806="",N(AC806)=0),"",AR806/AC806)</f>
        <v/>
      </c>
      <c r="AU806" s="34" t="str">
        <f aca="false">IF(OR(AR806="",N(S806)=0),"",AR806/S806)</f>
        <v/>
      </c>
      <c r="AV806" s="34" t="str">
        <f aca="false">IF(OR(AJ806="",N(AC806)=0),"",AJ806/AC806)</f>
        <v/>
      </c>
      <c r="AW806" s="34" t="str">
        <f aca="false">IF(OR(AH806="",N(AO806)=0),"",AH806/AO806)</f>
        <v/>
      </c>
      <c r="AX806" s="35" t="str">
        <f aca="false">IF(OR(AR806="",N(AO806)=0),"",(N(AF806)*Settings!$B$6+N(AG806)*Settings!$B$7+N(AH806)*Settings!$B$8+N(AI806)*Settings!$B$9+N(AJ806)*Settings!$B$10)/AO806*1000)</f>
        <v/>
      </c>
      <c r="AY806" s="36" t="str">
        <f aca="false">IF(AS806="","",IFERROR(AS806/AVERAGEIFS('Post Tracker'!$AS$5:$AS$1004,'Post Tracker'!$G$5:$G$1004,G806),""))</f>
        <v/>
      </c>
      <c r="AZ806" s="32"/>
      <c r="BA806" s="32"/>
      <c r="BB806" s="32"/>
      <c r="BC806" s="32"/>
      <c r="BD806" s="33" t="str">
        <f aca="false">IF(A806="","",COUNTIFS('Demo Pipeline'!$Q$5:$Q$504,A806))</f>
        <v/>
      </c>
      <c r="BE806" s="33" t="str">
        <f aca="false">IF(A806="","",COUNTIFS('Demo Pipeline'!$Q$5:$Q$504,A806,'Demo Pipeline'!$W$5:$W$504,"Attended"))</f>
        <v/>
      </c>
      <c r="BF806" s="33" t="str">
        <f aca="false">IF(A806="","",COUNTIFS('Demo Pipeline'!$Q$5:$Q$504,A806,'Demo Pipeline'!$X$5:$X$504,"Yes"))</f>
        <v/>
      </c>
      <c r="BG806" s="33" t="str">
        <f aca="false">IF(A806="","",COUNTIFS('Demo Pipeline'!$Q$5:$Q$504,A806,'Demo Pipeline'!$Y$5:$Y$504,"Closed Won"))</f>
        <v/>
      </c>
      <c r="BH806" s="37" t="str">
        <f aca="false">IF(A806="","",SUMIFS('Demo Pipeline'!$Z$5:$Z$504,'Demo Pipeline'!$Q$5:$Q$504,A806))</f>
        <v/>
      </c>
      <c r="BI806" s="34" t="str">
        <f aca="false">IF(OR(AZ806="",N(AJ806)=0),"",AZ806/AJ806)</f>
        <v/>
      </c>
      <c r="BJ806" s="34" t="str">
        <f aca="false">IF(OR(BB806="",N(AZ806)=0),"",BB806/AZ806)</f>
        <v/>
      </c>
      <c r="BK806" s="34" t="str">
        <f aca="false">IF(OR(A806="",N(BB806)=0),"",BD806/BB806)</f>
        <v/>
      </c>
      <c r="BL806" s="34" t="str">
        <f aca="false">IF(OR(A806="",N(AZ806)=0),"",BD806/AZ806)</f>
        <v/>
      </c>
      <c r="BM806" s="37" t="str">
        <f aca="false">IF(OR(N(Q806)=0,N(BD806)=0),"",Q806/BD806)</f>
        <v/>
      </c>
      <c r="BN806" s="29"/>
      <c r="BO806" s="29"/>
      <c r="BP806" s="33" t="str">
        <f aca="false">IF(OR(AR806="",N(AO806)=0),"",AR806)</f>
        <v/>
      </c>
      <c r="BQ806" s="33" t="str">
        <f aca="false">IF(OR(AR806="",N(S806)=0),"",S806)</f>
        <v/>
      </c>
      <c r="BR806" s="38" t="str">
        <f aca="false">IF(AND(ISNUMBER(B806),B806&gt;=Dashboard!$C$4,B806&lt;=Dashboard!$F$4,ISNUMBER(AU806)),AU806+ROW()/10^9,"")</f>
        <v/>
      </c>
      <c r="BS806" s="38" t="str">
        <f aca="false">IF(AND(ISNUMBER(B806),B806&gt;=Dashboard!$C$4,B806&lt;=Dashboard!$F$4,A806&lt;&gt;""),N(BD806)+N(AU806)/100+ROW()/10^9,"")</f>
        <v/>
      </c>
    </row>
    <row r="807" customFormat="false" ht="15" hidden="false" customHeight="false" outlineLevel="0" collapsed="false">
      <c r="A807" s="24" t="str">
        <f aca="false">IF(OR(B807="",G807="",H807=""),"",IFERROR(INDEX(Settings!$E$5:$E$49,MATCH(G807,Settings!$D$5:$D$49,0))&amp;INDEX(Settings!$H$5:$H$47,MATCH(H807,Settings!$G$5:$G$47,0))&amp;"-"&amp;TEXT(B807,"yymmdd")&amp;"-"&amp;IF(C807="","0000",TEXT(C807,"hhmm")),"CHECK LISTS"))</f>
        <v/>
      </c>
      <c r="B807" s="39"/>
      <c r="C807" s="40"/>
      <c r="D807" s="24" t="str">
        <f aca="false">IF(B807="","",TEXT(B807,"ddd"))</f>
        <v/>
      </c>
      <c r="E807" s="27" t="str">
        <f aca="false">IF(B807="","",B807-WEEKDAY(B807,3))</f>
        <v/>
      </c>
      <c r="F807" s="24" t="str">
        <f aca="false">IF(B807="","",TEXT(B807,"yyyy-mm"))</f>
        <v/>
      </c>
      <c r="G807" s="29"/>
      <c r="H807" s="29"/>
      <c r="I807" s="29"/>
      <c r="J807" s="29"/>
      <c r="K807" s="29"/>
      <c r="L807" s="29"/>
      <c r="M807" s="29"/>
      <c r="N807" s="29"/>
      <c r="O807" s="29"/>
      <c r="P807" s="29"/>
      <c r="Q807" s="30"/>
      <c r="R807" s="29"/>
      <c r="S807" s="32"/>
      <c r="T807" s="29"/>
      <c r="U807" s="29"/>
      <c r="V807" s="24" t="str">
        <f aca="false">IF(A807="","",IFERROR(INDEX(Settings!$F$5:$F$49,MATCH(G807,Settings!$D$5:$D$49,0)),""))</f>
        <v/>
      </c>
      <c r="W807" s="24" t="str">
        <f aca="false">IF(A807="","",IF(OR(P807="",P807="Organic"),"social","paid_social"))</f>
        <v/>
      </c>
      <c r="X807" s="24" t="str">
        <f aca="false">IF(A807="","",IF(K807&lt;&gt;"",IFERROR(INDEX('Case Studies'!$C$5:$C$54,MATCH(K807,'Case Studies'!$B$5:$B$54,0))&amp;"","case-study"),IF(J807&lt;&gt;"",IFERROR(INDEX(Settings!$J$5:$J$55,MATCH(J807,Settings!$I$5:$I$55,0)),"general"),"general")))</f>
        <v/>
      </c>
      <c r="Y807" s="24" t="str">
        <f aca="false">IF(A807="","",LOWER(A807))</f>
        <v/>
      </c>
      <c r="Z807" s="24" t="str">
        <f aca="false">IF(A807="","",IF(T807="",Settings!$B$5,T807)&amp;IF(ISNUMBER(FIND("?",IF(T807="",Settings!$B$5,T807))),"&amp;","?")&amp;"utm_source="&amp;V807&amp;"&amp;utm_medium="&amp;W807&amp;"&amp;utm_campaign="&amp;X807&amp;"&amp;utm_content="&amp;Y807)</f>
        <v/>
      </c>
      <c r="AA807" s="29"/>
      <c r="AB807" s="39"/>
      <c r="AC807" s="32"/>
      <c r="AD807" s="32"/>
      <c r="AE807" s="32"/>
      <c r="AF807" s="32"/>
      <c r="AG807" s="32"/>
      <c r="AH807" s="32"/>
      <c r="AI807" s="32"/>
      <c r="AJ807" s="32"/>
      <c r="AK807" s="32"/>
      <c r="AL807" s="32"/>
      <c r="AM807" s="32"/>
      <c r="AN807" s="32"/>
      <c r="AO807" s="33" t="str">
        <f aca="false">IF(A807="","",IF(AD807&lt;&gt;"",AD807,IF(AC807&lt;&gt;"",AC807,"")))</f>
        <v/>
      </c>
      <c r="AP807" s="24" t="str">
        <f aca="false">IF(AO807="","",IF(AD807&lt;&gt;"","Reported reach","Impressions (proxy)"))</f>
        <v/>
      </c>
      <c r="AQ807" s="34" t="str">
        <f aca="false">IF(OR(AO807="",N(S807)=0),"",AO807/S807)</f>
        <v/>
      </c>
      <c r="AR807" s="33" t="str">
        <f aca="false">IF(A807="","",IF(COUNT(AF807:AJ807)=0,"",SUM(AF807:AJ807)))</f>
        <v/>
      </c>
      <c r="AS807" s="34" t="str">
        <f aca="false">IF(OR(AR807="",N(AO807)=0),"",AR807/AO807)</f>
        <v/>
      </c>
      <c r="AT807" s="34" t="str">
        <f aca="false">IF(OR(AR807="",N(AC807)=0),"",AR807/AC807)</f>
        <v/>
      </c>
      <c r="AU807" s="34" t="str">
        <f aca="false">IF(OR(AR807="",N(S807)=0),"",AR807/S807)</f>
        <v/>
      </c>
      <c r="AV807" s="34" t="str">
        <f aca="false">IF(OR(AJ807="",N(AC807)=0),"",AJ807/AC807)</f>
        <v/>
      </c>
      <c r="AW807" s="34" t="str">
        <f aca="false">IF(OR(AH807="",N(AO807)=0),"",AH807/AO807)</f>
        <v/>
      </c>
      <c r="AX807" s="35" t="str">
        <f aca="false">IF(OR(AR807="",N(AO807)=0),"",(N(AF807)*Settings!$B$6+N(AG807)*Settings!$B$7+N(AH807)*Settings!$B$8+N(AI807)*Settings!$B$9+N(AJ807)*Settings!$B$10)/AO807*1000)</f>
        <v/>
      </c>
      <c r="AY807" s="36" t="str">
        <f aca="false">IF(AS807="","",IFERROR(AS807/AVERAGEIFS('Post Tracker'!$AS$5:$AS$1004,'Post Tracker'!$G$5:$G$1004,G807),""))</f>
        <v/>
      </c>
      <c r="AZ807" s="32"/>
      <c r="BA807" s="32"/>
      <c r="BB807" s="32"/>
      <c r="BC807" s="32"/>
      <c r="BD807" s="33" t="str">
        <f aca="false">IF(A807="","",COUNTIFS('Demo Pipeline'!$Q$5:$Q$504,A807))</f>
        <v/>
      </c>
      <c r="BE807" s="33" t="str">
        <f aca="false">IF(A807="","",COUNTIFS('Demo Pipeline'!$Q$5:$Q$504,A807,'Demo Pipeline'!$W$5:$W$504,"Attended"))</f>
        <v/>
      </c>
      <c r="BF807" s="33" t="str">
        <f aca="false">IF(A807="","",COUNTIFS('Demo Pipeline'!$Q$5:$Q$504,A807,'Demo Pipeline'!$X$5:$X$504,"Yes"))</f>
        <v/>
      </c>
      <c r="BG807" s="33" t="str">
        <f aca="false">IF(A807="","",COUNTIFS('Demo Pipeline'!$Q$5:$Q$504,A807,'Demo Pipeline'!$Y$5:$Y$504,"Closed Won"))</f>
        <v/>
      </c>
      <c r="BH807" s="37" t="str">
        <f aca="false">IF(A807="","",SUMIFS('Demo Pipeline'!$Z$5:$Z$504,'Demo Pipeline'!$Q$5:$Q$504,A807))</f>
        <v/>
      </c>
      <c r="BI807" s="34" t="str">
        <f aca="false">IF(OR(AZ807="",N(AJ807)=0),"",AZ807/AJ807)</f>
        <v/>
      </c>
      <c r="BJ807" s="34" t="str">
        <f aca="false">IF(OR(BB807="",N(AZ807)=0),"",BB807/AZ807)</f>
        <v/>
      </c>
      <c r="BK807" s="34" t="str">
        <f aca="false">IF(OR(A807="",N(BB807)=0),"",BD807/BB807)</f>
        <v/>
      </c>
      <c r="BL807" s="34" t="str">
        <f aca="false">IF(OR(A807="",N(AZ807)=0),"",BD807/AZ807)</f>
        <v/>
      </c>
      <c r="BM807" s="37" t="str">
        <f aca="false">IF(OR(N(Q807)=0,N(BD807)=0),"",Q807/BD807)</f>
        <v/>
      </c>
      <c r="BN807" s="29"/>
      <c r="BO807" s="29"/>
      <c r="BP807" s="33" t="str">
        <f aca="false">IF(OR(AR807="",N(AO807)=0),"",AR807)</f>
        <v/>
      </c>
      <c r="BQ807" s="33" t="str">
        <f aca="false">IF(OR(AR807="",N(S807)=0),"",S807)</f>
        <v/>
      </c>
      <c r="BR807" s="38" t="str">
        <f aca="false">IF(AND(ISNUMBER(B807),B807&gt;=Dashboard!$C$4,B807&lt;=Dashboard!$F$4,ISNUMBER(AU807)),AU807+ROW()/10^9,"")</f>
        <v/>
      </c>
      <c r="BS807" s="38" t="str">
        <f aca="false">IF(AND(ISNUMBER(B807),B807&gt;=Dashboard!$C$4,B807&lt;=Dashboard!$F$4,A807&lt;&gt;""),N(BD807)+N(AU807)/100+ROW()/10^9,"")</f>
        <v/>
      </c>
    </row>
    <row r="808" customFormat="false" ht="15" hidden="false" customHeight="false" outlineLevel="0" collapsed="false">
      <c r="A808" s="24" t="str">
        <f aca="false">IF(OR(B808="",G808="",H808=""),"",IFERROR(INDEX(Settings!$E$5:$E$49,MATCH(G808,Settings!$D$5:$D$49,0))&amp;INDEX(Settings!$H$5:$H$47,MATCH(H808,Settings!$G$5:$G$47,0))&amp;"-"&amp;TEXT(B808,"yymmdd")&amp;"-"&amp;IF(C808="","0000",TEXT(C808,"hhmm")),"CHECK LISTS"))</f>
        <v/>
      </c>
      <c r="B808" s="39"/>
      <c r="C808" s="40"/>
      <c r="D808" s="24" t="str">
        <f aca="false">IF(B808="","",TEXT(B808,"ddd"))</f>
        <v/>
      </c>
      <c r="E808" s="27" t="str">
        <f aca="false">IF(B808="","",B808-WEEKDAY(B808,3))</f>
        <v/>
      </c>
      <c r="F808" s="24" t="str">
        <f aca="false">IF(B808="","",TEXT(B808,"yyyy-mm"))</f>
        <v/>
      </c>
      <c r="G808" s="29"/>
      <c r="H808" s="29"/>
      <c r="I808" s="29"/>
      <c r="J808" s="29"/>
      <c r="K808" s="29"/>
      <c r="L808" s="29"/>
      <c r="M808" s="29"/>
      <c r="N808" s="29"/>
      <c r="O808" s="29"/>
      <c r="P808" s="29"/>
      <c r="Q808" s="30"/>
      <c r="R808" s="29"/>
      <c r="S808" s="32"/>
      <c r="T808" s="29"/>
      <c r="U808" s="29"/>
      <c r="V808" s="24" t="str">
        <f aca="false">IF(A808="","",IFERROR(INDEX(Settings!$F$5:$F$49,MATCH(G808,Settings!$D$5:$D$49,0)),""))</f>
        <v/>
      </c>
      <c r="W808" s="24" t="str">
        <f aca="false">IF(A808="","",IF(OR(P808="",P808="Organic"),"social","paid_social"))</f>
        <v/>
      </c>
      <c r="X808" s="24" t="str">
        <f aca="false">IF(A808="","",IF(K808&lt;&gt;"",IFERROR(INDEX('Case Studies'!$C$5:$C$54,MATCH(K808,'Case Studies'!$B$5:$B$54,0))&amp;"","case-study"),IF(J808&lt;&gt;"",IFERROR(INDEX(Settings!$J$5:$J$55,MATCH(J808,Settings!$I$5:$I$55,0)),"general"),"general")))</f>
        <v/>
      </c>
      <c r="Y808" s="24" t="str">
        <f aca="false">IF(A808="","",LOWER(A808))</f>
        <v/>
      </c>
      <c r="Z808" s="24" t="str">
        <f aca="false">IF(A808="","",IF(T808="",Settings!$B$5,T808)&amp;IF(ISNUMBER(FIND("?",IF(T808="",Settings!$B$5,T808))),"&amp;","?")&amp;"utm_source="&amp;V808&amp;"&amp;utm_medium="&amp;W808&amp;"&amp;utm_campaign="&amp;X808&amp;"&amp;utm_content="&amp;Y808)</f>
        <v/>
      </c>
      <c r="AA808" s="29"/>
      <c r="AB808" s="39"/>
      <c r="AC808" s="32"/>
      <c r="AD808" s="32"/>
      <c r="AE808" s="32"/>
      <c r="AF808" s="32"/>
      <c r="AG808" s="32"/>
      <c r="AH808" s="32"/>
      <c r="AI808" s="32"/>
      <c r="AJ808" s="32"/>
      <c r="AK808" s="32"/>
      <c r="AL808" s="32"/>
      <c r="AM808" s="32"/>
      <c r="AN808" s="32"/>
      <c r="AO808" s="33" t="str">
        <f aca="false">IF(A808="","",IF(AD808&lt;&gt;"",AD808,IF(AC808&lt;&gt;"",AC808,"")))</f>
        <v/>
      </c>
      <c r="AP808" s="24" t="str">
        <f aca="false">IF(AO808="","",IF(AD808&lt;&gt;"","Reported reach","Impressions (proxy)"))</f>
        <v/>
      </c>
      <c r="AQ808" s="34" t="str">
        <f aca="false">IF(OR(AO808="",N(S808)=0),"",AO808/S808)</f>
        <v/>
      </c>
      <c r="AR808" s="33" t="str">
        <f aca="false">IF(A808="","",IF(COUNT(AF808:AJ808)=0,"",SUM(AF808:AJ808)))</f>
        <v/>
      </c>
      <c r="AS808" s="34" t="str">
        <f aca="false">IF(OR(AR808="",N(AO808)=0),"",AR808/AO808)</f>
        <v/>
      </c>
      <c r="AT808" s="34" t="str">
        <f aca="false">IF(OR(AR808="",N(AC808)=0),"",AR808/AC808)</f>
        <v/>
      </c>
      <c r="AU808" s="34" t="str">
        <f aca="false">IF(OR(AR808="",N(S808)=0),"",AR808/S808)</f>
        <v/>
      </c>
      <c r="AV808" s="34" t="str">
        <f aca="false">IF(OR(AJ808="",N(AC808)=0),"",AJ808/AC808)</f>
        <v/>
      </c>
      <c r="AW808" s="34" t="str">
        <f aca="false">IF(OR(AH808="",N(AO808)=0),"",AH808/AO808)</f>
        <v/>
      </c>
      <c r="AX808" s="35" t="str">
        <f aca="false">IF(OR(AR808="",N(AO808)=0),"",(N(AF808)*Settings!$B$6+N(AG808)*Settings!$B$7+N(AH808)*Settings!$B$8+N(AI808)*Settings!$B$9+N(AJ808)*Settings!$B$10)/AO808*1000)</f>
        <v/>
      </c>
      <c r="AY808" s="36" t="str">
        <f aca="false">IF(AS808="","",IFERROR(AS808/AVERAGEIFS('Post Tracker'!$AS$5:$AS$1004,'Post Tracker'!$G$5:$G$1004,G808),""))</f>
        <v/>
      </c>
      <c r="AZ808" s="32"/>
      <c r="BA808" s="32"/>
      <c r="BB808" s="32"/>
      <c r="BC808" s="32"/>
      <c r="BD808" s="33" t="str">
        <f aca="false">IF(A808="","",COUNTIFS('Demo Pipeline'!$Q$5:$Q$504,A808))</f>
        <v/>
      </c>
      <c r="BE808" s="33" t="str">
        <f aca="false">IF(A808="","",COUNTIFS('Demo Pipeline'!$Q$5:$Q$504,A808,'Demo Pipeline'!$W$5:$W$504,"Attended"))</f>
        <v/>
      </c>
      <c r="BF808" s="33" t="str">
        <f aca="false">IF(A808="","",COUNTIFS('Demo Pipeline'!$Q$5:$Q$504,A808,'Demo Pipeline'!$X$5:$X$504,"Yes"))</f>
        <v/>
      </c>
      <c r="BG808" s="33" t="str">
        <f aca="false">IF(A808="","",COUNTIFS('Demo Pipeline'!$Q$5:$Q$504,A808,'Demo Pipeline'!$Y$5:$Y$504,"Closed Won"))</f>
        <v/>
      </c>
      <c r="BH808" s="37" t="str">
        <f aca="false">IF(A808="","",SUMIFS('Demo Pipeline'!$Z$5:$Z$504,'Demo Pipeline'!$Q$5:$Q$504,A808))</f>
        <v/>
      </c>
      <c r="BI808" s="34" t="str">
        <f aca="false">IF(OR(AZ808="",N(AJ808)=0),"",AZ808/AJ808)</f>
        <v/>
      </c>
      <c r="BJ808" s="34" t="str">
        <f aca="false">IF(OR(BB808="",N(AZ808)=0),"",BB808/AZ808)</f>
        <v/>
      </c>
      <c r="BK808" s="34" t="str">
        <f aca="false">IF(OR(A808="",N(BB808)=0),"",BD808/BB808)</f>
        <v/>
      </c>
      <c r="BL808" s="34" t="str">
        <f aca="false">IF(OR(A808="",N(AZ808)=0),"",BD808/AZ808)</f>
        <v/>
      </c>
      <c r="BM808" s="37" t="str">
        <f aca="false">IF(OR(N(Q808)=0,N(BD808)=0),"",Q808/BD808)</f>
        <v/>
      </c>
      <c r="BN808" s="29"/>
      <c r="BO808" s="29"/>
      <c r="BP808" s="33" t="str">
        <f aca="false">IF(OR(AR808="",N(AO808)=0),"",AR808)</f>
        <v/>
      </c>
      <c r="BQ808" s="33" t="str">
        <f aca="false">IF(OR(AR808="",N(S808)=0),"",S808)</f>
        <v/>
      </c>
      <c r="BR808" s="38" t="str">
        <f aca="false">IF(AND(ISNUMBER(B808),B808&gt;=Dashboard!$C$4,B808&lt;=Dashboard!$F$4,ISNUMBER(AU808)),AU808+ROW()/10^9,"")</f>
        <v/>
      </c>
      <c r="BS808" s="38" t="str">
        <f aca="false">IF(AND(ISNUMBER(B808),B808&gt;=Dashboard!$C$4,B808&lt;=Dashboard!$F$4,A808&lt;&gt;""),N(BD808)+N(AU808)/100+ROW()/10^9,"")</f>
        <v/>
      </c>
    </row>
    <row r="809" customFormat="false" ht="15" hidden="false" customHeight="false" outlineLevel="0" collapsed="false">
      <c r="A809" s="24" t="str">
        <f aca="false">IF(OR(B809="",G809="",H809=""),"",IFERROR(INDEX(Settings!$E$5:$E$49,MATCH(G809,Settings!$D$5:$D$49,0))&amp;INDEX(Settings!$H$5:$H$47,MATCH(H809,Settings!$G$5:$G$47,0))&amp;"-"&amp;TEXT(B809,"yymmdd")&amp;"-"&amp;IF(C809="","0000",TEXT(C809,"hhmm")),"CHECK LISTS"))</f>
        <v/>
      </c>
      <c r="B809" s="39"/>
      <c r="C809" s="40"/>
      <c r="D809" s="24" t="str">
        <f aca="false">IF(B809="","",TEXT(B809,"ddd"))</f>
        <v/>
      </c>
      <c r="E809" s="27" t="str">
        <f aca="false">IF(B809="","",B809-WEEKDAY(B809,3))</f>
        <v/>
      </c>
      <c r="F809" s="24" t="str">
        <f aca="false">IF(B809="","",TEXT(B809,"yyyy-mm"))</f>
        <v/>
      </c>
      <c r="G809" s="29"/>
      <c r="H809" s="29"/>
      <c r="I809" s="29"/>
      <c r="J809" s="29"/>
      <c r="K809" s="29"/>
      <c r="L809" s="29"/>
      <c r="M809" s="29"/>
      <c r="N809" s="29"/>
      <c r="O809" s="29"/>
      <c r="P809" s="29"/>
      <c r="Q809" s="30"/>
      <c r="R809" s="29"/>
      <c r="S809" s="32"/>
      <c r="T809" s="29"/>
      <c r="U809" s="29"/>
      <c r="V809" s="24" t="str">
        <f aca="false">IF(A809="","",IFERROR(INDEX(Settings!$F$5:$F$49,MATCH(G809,Settings!$D$5:$D$49,0)),""))</f>
        <v/>
      </c>
      <c r="W809" s="24" t="str">
        <f aca="false">IF(A809="","",IF(OR(P809="",P809="Organic"),"social","paid_social"))</f>
        <v/>
      </c>
      <c r="X809" s="24" t="str">
        <f aca="false">IF(A809="","",IF(K809&lt;&gt;"",IFERROR(INDEX('Case Studies'!$C$5:$C$54,MATCH(K809,'Case Studies'!$B$5:$B$54,0))&amp;"","case-study"),IF(J809&lt;&gt;"",IFERROR(INDEX(Settings!$J$5:$J$55,MATCH(J809,Settings!$I$5:$I$55,0)),"general"),"general")))</f>
        <v/>
      </c>
      <c r="Y809" s="24" t="str">
        <f aca="false">IF(A809="","",LOWER(A809))</f>
        <v/>
      </c>
      <c r="Z809" s="24" t="str">
        <f aca="false">IF(A809="","",IF(T809="",Settings!$B$5,T809)&amp;IF(ISNUMBER(FIND("?",IF(T809="",Settings!$B$5,T809))),"&amp;","?")&amp;"utm_source="&amp;V809&amp;"&amp;utm_medium="&amp;W809&amp;"&amp;utm_campaign="&amp;X809&amp;"&amp;utm_content="&amp;Y809)</f>
        <v/>
      </c>
      <c r="AA809" s="29"/>
      <c r="AB809" s="39"/>
      <c r="AC809" s="32"/>
      <c r="AD809" s="32"/>
      <c r="AE809" s="32"/>
      <c r="AF809" s="32"/>
      <c r="AG809" s="32"/>
      <c r="AH809" s="32"/>
      <c r="AI809" s="32"/>
      <c r="AJ809" s="32"/>
      <c r="AK809" s="32"/>
      <c r="AL809" s="32"/>
      <c r="AM809" s="32"/>
      <c r="AN809" s="32"/>
      <c r="AO809" s="33" t="str">
        <f aca="false">IF(A809="","",IF(AD809&lt;&gt;"",AD809,IF(AC809&lt;&gt;"",AC809,"")))</f>
        <v/>
      </c>
      <c r="AP809" s="24" t="str">
        <f aca="false">IF(AO809="","",IF(AD809&lt;&gt;"","Reported reach","Impressions (proxy)"))</f>
        <v/>
      </c>
      <c r="AQ809" s="34" t="str">
        <f aca="false">IF(OR(AO809="",N(S809)=0),"",AO809/S809)</f>
        <v/>
      </c>
      <c r="AR809" s="33" t="str">
        <f aca="false">IF(A809="","",IF(COUNT(AF809:AJ809)=0,"",SUM(AF809:AJ809)))</f>
        <v/>
      </c>
      <c r="AS809" s="34" t="str">
        <f aca="false">IF(OR(AR809="",N(AO809)=0),"",AR809/AO809)</f>
        <v/>
      </c>
      <c r="AT809" s="34" t="str">
        <f aca="false">IF(OR(AR809="",N(AC809)=0),"",AR809/AC809)</f>
        <v/>
      </c>
      <c r="AU809" s="34" t="str">
        <f aca="false">IF(OR(AR809="",N(S809)=0),"",AR809/S809)</f>
        <v/>
      </c>
      <c r="AV809" s="34" t="str">
        <f aca="false">IF(OR(AJ809="",N(AC809)=0),"",AJ809/AC809)</f>
        <v/>
      </c>
      <c r="AW809" s="34" t="str">
        <f aca="false">IF(OR(AH809="",N(AO809)=0),"",AH809/AO809)</f>
        <v/>
      </c>
      <c r="AX809" s="35" t="str">
        <f aca="false">IF(OR(AR809="",N(AO809)=0),"",(N(AF809)*Settings!$B$6+N(AG809)*Settings!$B$7+N(AH809)*Settings!$B$8+N(AI809)*Settings!$B$9+N(AJ809)*Settings!$B$10)/AO809*1000)</f>
        <v/>
      </c>
      <c r="AY809" s="36" t="str">
        <f aca="false">IF(AS809="","",IFERROR(AS809/AVERAGEIFS('Post Tracker'!$AS$5:$AS$1004,'Post Tracker'!$G$5:$G$1004,G809),""))</f>
        <v/>
      </c>
      <c r="AZ809" s="32"/>
      <c r="BA809" s="32"/>
      <c r="BB809" s="32"/>
      <c r="BC809" s="32"/>
      <c r="BD809" s="33" t="str">
        <f aca="false">IF(A809="","",COUNTIFS('Demo Pipeline'!$Q$5:$Q$504,A809))</f>
        <v/>
      </c>
      <c r="BE809" s="33" t="str">
        <f aca="false">IF(A809="","",COUNTIFS('Demo Pipeline'!$Q$5:$Q$504,A809,'Demo Pipeline'!$W$5:$W$504,"Attended"))</f>
        <v/>
      </c>
      <c r="BF809" s="33" t="str">
        <f aca="false">IF(A809="","",COUNTIFS('Demo Pipeline'!$Q$5:$Q$504,A809,'Demo Pipeline'!$X$5:$X$504,"Yes"))</f>
        <v/>
      </c>
      <c r="BG809" s="33" t="str">
        <f aca="false">IF(A809="","",COUNTIFS('Demo Pipeline'!$Q$5:$Q$504,A809,'Demo Pipeline'!$Y$5:$Y$504,"Closed Won"))</f>
        <v/>
      </c>
      <c r="BH809" s="37" t="str">
        <f aca="false">IF(A809="","",SUMIFS('Demo Pipeline'!$Z$5:$Z$504,'Demo Pipeline'!$Q$5:$Q$504,A809))</f>
        <v/>
      </c>
      <c r="BI809" s="34" t="str">
        <f aca="false">IF(OR(AZ809="",N(AJ809)=0),"",AZ809/AJ809)</f>
        <v/>
      </c>
      <c r="BJ809" s="34" t="str">
        <f aca="false">IF(OR(BB809="",N(AZ809)=0),"",BB809/AZ809)</f>
        <v/>
      </c>
      <c r="BK809" s="34" t="str">
        <f aca="false">IF(OR(A809="",N(BB809)=0),"",BD809/BB809)</f>
        <v/>
      </c>
      <c r="BL809" s="34" t="str">
        <f aca="false">IF(OR(A809="",N(AZ809)=0),"",BD809/AZ809)</f>
        <v/>
      </c>
      <c r="BM809" s="37" t="str">
        <f aca="false">IF(OR(N(Q809)=0,N(BD809)=0),"",Q809/BD809)</f>
        <v/>
      </c>
      <c r="BN809" s="29"/>
      <c r="BO809" s="29"/>
      <c r="BP809" s="33" t="str">
        <f aca="false">IF(OR(AR809="",N(AO809)=0),"",AR809)</f>
        <v/>
      </c>
      <c r="BQ809" s="33" t="str">
        <f aca="false">IF(OR(AR809="",N(S809)=0),"",S809)</f>
        <v/>
      </c>
      <c r="BR809" s="38" t="str">
        <f aca="false">IF(AND(ISNUMBER(B809),B809&gt;=Dashboard!$C$4,B809&lt;=Dashboard!$F$4,ISNUMBER(AU809)),AU809+ROW()/10^9,"")</f>
        <v/>
      </c>
      <c r="BS809" s="38" t="str">
        <f aca="false">IF(AND(ISNUMBER(B809),B809&gt;=Dashboard!$C$4,B809&lt;=Dashboard!$F$4,A809&lt;&gt;""),N(BD809)+N(AU809)/100+ROW()/10^9,"")</f>
        <v/>
      </c>
    </row>
    <row r="810" customFormat="false" ht="15" hidden="false" customHeight="false" outlineLevel="0" collapsed="false">
      <c r="A810" s="24" t="str">
        <f aca="false">IF(OR(B810="",G810="",H810=""),"",IFERROR(INDEX(Settings!$E$5:$E$49,MATCH(G810,Settings!$D$5:$D$49,0))&amp;INDEX(Settings!$H$5:$H$47,MATCH(H810,Settings!$G$5:$G$47,0))&amp;"-"&amp;TEXT(B810,"yymmdd")&amp;"-"&amp;IF(C810="","0000",TEXT(C810,"hhmm")),"CHECK LISTS"))</f>
        <v/>
      </c>
      <c r="B810" s="39"/>
      <c r="C810" s="40"/>
      <c r="D810" s="24" t="str">
        <f aca="false">IF(B810="","",TEXT(B810,"ddd"))</f>
        <v/>
      </c>
      <c r="E810" s="27" t="str">
        <f aca="false">IF(B810="","",B810-WEEKDAY(B810,3))</f>
        <v/>
      </c>
      <c r="F810" s="24" t="str">
        <f aca="false">IF(B810="","",TEXT(B810,"yyyy-mm"))</f>
        <v/>
      </c>
      <c r="G810" s="29"/>
      <c r="H810" s="29"/>
      <c r="I810" s="29"/>
      <c r="J810" s="29"/>
      <c r="K810" s="29"/>
      <c r="L810" s="29"/>
      <c r="M810" s="29"/>
      <c r="N810" s="29"/>
      <c r="O810" s="29"/>
      <c r="P810" s="29"/>
      <c r="Q810" s="30"/>
      <c r="R810" s="29"/>
      <c r="S810" s="32"/>
      <c r="T810" s="29"/>
      <c r="U810" s="29"/>
      <c r="V810" s="24" t="str">
        <f aca="false">IF(A810="","",IFERROR(INDEX(Settings!$F$5:$F$49,MATCH(G810,Settings!$D$5:$D$49,0)),""))</f>
        <v/>
      </c>
      <c r="W810" s="24" t="str">
        <f aca="false">IF(A810="","",IF(OR(P810="",P810="Organic"),"social","paid_social"))</f>
        <v/>
      </c>
      <c r="X810" s="24" t="str">
        <f aca="false">IF(A810="","",IF(K810&lt;&gt;"",IFERROR(INDEX('Case Studies'!$C$5:$C$54,MATCH(K810,'Case Studies'!$B$5:$B$54,0))&amp;"","case-study"),IF(J810&lt;&gt;"",IFERROR(INDEX(Settings!$J$5:$J$55,MATCH(J810,Settings!$I$5:$I$55,0)),"general"),"general")))</f>
        <v/>
      </c>
      <c r="Y810" s="24" t="str">
        <f aca="false">IF(A810="","",LOWER(A810))</f>
        <v/>
      </c>
      <c r="Z810" s="24" t="str">
        <f aca="false">IF(A810="","",IF(T810="",Settings!$B$5,T810)&amp;IF(ISNUMBER(FIND("?",IF(T810="",Settings!$B$5,T810))),"&amp;","?")&amp;"utm_source="&amp;V810&amp;"&amp;utm_medium="&amp;W810&amp;"&amp;utm_campaign="&amp;X810&amp;"&amp;utm_content="&amp;Y810)</f>
        <v/>
      </c>
      <c r="AA810" s="29"/>
      <c r="AB810" s="39"/>
      <c r="AC810" s="32"/>
      <c r="AD810" s="32"/>
      <c r="AE810" s="32"/>
      <c r="AF810" s="32"/>
      <c r="AG810" s="32"/>
      <c r="AH810" s="32"/>
      <c r="AI810" s="32"/>
      <c r="AJ810" s="32"/>
      <c r="AK810" s="32"/>
      <c r="AL810" s="32"/>
      <c r="AM810" s="32"/>
      <c r="AN810" s="32"/>
      <c r="AO810" s="33" t="str">
        <f aca="false">IF(A810="","",IF(AD810&lt;&gt;"",AD810,IF(AC810&lt;&gt;"",AC810,"")))</f>
        <v/>
      </c>
      <c r="AP810" s="24" t="str">
        <f aca="false">IF(AO810="","",IF(AD810&lt;&gt;"","Reported reach","Impressions (proxy)"))</f>
        <v/>
      </c>
      <c r="AQ810" s="34" t="str">
        <f aca="false">IF(OR(AO810="",N(S810)=0),"",AO810/S810)</f>
        <v/>
      </c>
      <c r="AR810" s="33" t="str">
        <f aca="false">IF(A810="","",IF(COUNT(AF810:AJ810)=0,"",SUM(AF810:AJ810)))</f>
        <v/>
      </c>
      <c r="AS810" s="34" t="str">
        <f aca="false">IF(OR(AR810="",N(AO810)=0),"",AR810/AO810)</f>
        <v/>
      </c>
      <c r="AT810" s="34" t="str">
        <f aca="false">IF(OR(AR810="",N(AC810)=0),"",AR810/AC810)</f>
        <v/>
      </c>
      <c r="AU810" s="34" t="str">
        <f aca="false">IF(OR(AR810="",N(S810)=0),"",AR810/S810)</f>
        <v/>
      </c>
      <c r="AV810" s="34" t="str">
        <f aca="false">IF(OR(AJ810="",N(AC810)=0),"",AJ810/AC810)</f>
        <v/>
      </c>
      <c r="AW810" s="34" t="str">
        <f aca="false">IF(OR(AH810="",N(AO810)=0),"",AH810/AO810)</f>
        <v/>
      </c>
      <c r="AX810" s="35" t="str">
        <f aca="false">IF(OR(AR810="",N(AO810)=0),"",(N(AF810)*Settings!$B$6+N(AG810)*Settings!$B$7+N(AH810)*Settings!$B$8+N(AI810)*Settings!$B$9+N(AJ810)*Settings!$B$10)/AO810*1000)</f>
        <v/>
      </c>
      <c r="AY810" s="36" t="str">
        <f aca="false">IF(AS810="","",IFERROR(AS810/AVERAGEIFS('Post Tracker'!$AS$5:$AS$1004,'Post Tracker'!$G$5:$G$1004,G810),""))</f>
        <v/>
      </c>
      <c r="AZ810" s="32"/>
      <c r="BA810" s="32"/>
      <c r="BB810" s="32"/>
      <c r="BC810" s="32"/>
      <c r="BD810" s="33" t="str">
        <f aca="false">IF(A810="","",COUNTIFS('Demo Pipeline'!$Q$5:$Q$504,A810))</f>
        <v/>
      </c>
      <c r="BE810" s="33" t="str">
        <f aca="false">IF(A810="","",COUNTIFS('Demo Pipeline'!$Q$5:$Q$504,A810,'Demo Pipeline'!$W$5:$W$504,"Attended"))</f>
        <v/>
      </c>
      <c r="BF810" s="33" t="str">
        <f aca="false">IF(A810="","",COUNTIFS('Demo Pipeline'!$Q$5:$Q$504,A810,'Demo Pipeline'!$X$5:$X$504,"Yes"))</f>
        <v/>
      </c>
      <c r="BG810" s="33" t="str">
        <f aca="false">IF(A810="","",COUNTIFS('Demo Pipeline'!$Q$5:$Q$504,A810,'Demo Pipeline'!$Y$5:$Y$504,"Closed Won"))</f>
        <v/>
      </c>
      <c r="BH810" s="37" t="str">
        <f aca="false">IF(A810="","",SUMIFS('Demo Pipeline'!$Z$5:$Z$504,'Demo Pipeline'!$Q$5:$Q$504,A810))</f>
        <v/>
      </c>
      <c r="BI810" s="34" t="str">
        <f aca="false">IF(OR(AZ810="",N(AJ810)=0),"",AZ810/AJ810)</f>
        <v/>
      </c>
      <c r="BJ810" s="34" t="str">
        <f aca="false">IF(OR(BB810="",N(AZ810)=0),"",BB810/AZ810)</f>
        <v/>
      </c>
      <c r="BK810" s="34" t="str">
        <f aca="false">IF(OR(A810="",N(BB810)=0),"",BD810/BB810)</f>
        <v/>
      </c>
      <c r="BL810" s="34" t="str">
        <f aca="false">IF(OR(A810="",N(AZ810)=0),"",BD810/AZ810)</f>
        <v/>
      </c>
      <c r="BM810" s="37" t="str">
        <f aca="false">IF(OR(N(Q810)=0,N(BD810)=0),"",Q810/BD810)</f>
        <v/>
      </c>
      <c r="BN810" s="29"/>
      <c r="BO810" s="29"/>
      <c r="BP810" s="33" t="str">
        <f aca="false">IF(OR(AR810="",N(AO810)=0),"",AR810)</f>
        <v/>
      </c>
      <c r="BQ810" s="33" t="str">
        <f aca="false">IF(OR(AR810="",N(S810)=0),"",S810)</f>
        <v/>
      </c>
      <c r="BR810" s="38" t="str">
        <f aca="false">IF(AND(ISNUMBER(B810),B810&gt;=Dashboard!$C$4,B810&lt;=Dashboard!$F$4,ISNUMBER(AU810)),AU810+ROW()/10^9,"")</f>
        <v/>
      </c>
      <c r="BS810" s="38" t="str">
        <f aca="false">IF(AND(ISNUMBER(B810),B810&gt;=Dashboard!$C$4,B810&lt;=Dashboard!$F$4,A810&lt;&gt;""),N(BD810)+N(AU810)/100+ROW()/10^9,"")</f>
        <v/>
      </c>
    </row>
    <row r="811" customFormat="false" ht="15" hidden="false" customHeight="false" outlineLevel="0" collapsed="false">
      <c r="A811" s="24" t="str">
        <f aca="false">IF(OR(B811="",G811="",H811=""),"",IFERROR(INDEX(Settings!$E$5:$E$49,MATCH(G811,Settings!$D$5:$D$49,0))&amp;INDEX(Settings!$H$5:$H$47,MATCH(H811,Settings!$G$5:$G$47,0))&amp;"-"&amp;TEXT(B811,"yymmdd")&amp;"-"&amp;IF(C811="","0000",TEXT(C811,"hhmm")),"CHECK LISTS"))</f>
        <v/>
      </c>
      <c r="B811" s="39"/>
      <c r="C811" s="40"/>
      <c r="D811" s="24" t="str">
        <f aca="false">IF(B811="","",TEXT(B811,"ddd"))</f>
        <v/>
      </c>
      <c r="E811" s="27" t="str">
        <f aca="false">IF(B811="","",B811-WEEKDAY(B811,3))</f>
        <v/>
      </c>
      <c r="F811" s="24" t="str">
        <f aca="false">IF(B811="","",TEXT(B811,"yyyy-mm"))</f>
        <v/>
      </c>
      <c r="G811" s="29"/>
      <c r="H811" s="29"/>
      <c r="I811" s="29"/>
      <c r="J811" s="29"/>
      <c r="K811" s="29"/>
      <c r="L811" s="29"/>
      <c r="M811" s="29"/>
      <c r="N811" s="29"/>
      <c r="O811" s="29"/>
      <c r="P811" s="29"/>
      <c r="Q811" s="30"/>
      <c r="R811" s="29"/>
      <c r="S811" s="32"/>
      <c r="T811" s="29"/>
      <c r="U811" s="29"/>
      <c r="V811" s="24" t="str">
        <f aca="false">IF(A811="","",IFERROR(INDEX(Settings!$F$5:$F$49,MATCH(G811,Settings!$D$5:$D$49,0)),""))</f>
        <v/>
      </c>
      <c r="W811" s="24" t="str">
        <f aca="false">IF(A811="","",IF(OR(P811="",P811="Organic"),"social","paid_social"))</f>
        <v/>
      </c>
      <c r="X811" s="24" t="str">
        <f aca="false">IF(A811="","",IF(K811&lt;&gt;"",IFERROR(INDEX('Case Studies'!$C$5:$C$54,MATCH(K811,'Case Studies'!$B$5:$B$54,0))&amp;"","case-study"),IF(J811&lt;&gt;"",IFERROR(INDEX(Settings!$J$5:$J$55,MATCH(J811,Settings!$I$5:$I$55,0)),"general"),"general")))</f>
        <v/>
      </c>
      <c r="Y811" s="24" t="str">
        <f aca="false">IF(A811="","",LOWER(A811))</f>
        <v/>
      </c>
      <c r="Z811" s="24" t="str">
        <f aca="false">IF(A811="","",IF(T811="",Settings!$B$5,T811)&amp;IF(ISNUMBER(FIND("?",IF(T811="",Settings!$B$5,T811))),"&amp;","?")&amp;"utm_source="&amp;V811&amp;"&amp;utm_medium="&amp;W811&amp;"&amp;utm_campaign="&amp;X811&amp;"&amp;utm_content="&amp;Y811)</f>
        <v/>
      </c>
      <c r="AA811" s="29"/>
      <c r="AB811" s="39"/>
      <c r="AC811" s="32"/>
      <c r="AD811" s="32"/>
      <c r="AE811" s="32"/>
      <c r="AF811" s="32"/>
      <c r="AG811" s="32"/>
      <c r="AH811" s="32"/>
      <c r="AI811" s="32"/>
      <c r="AJ811" s="32"/>
      <c r="AK811" s="32"/>
      <c r="AL811" s="32"/>
      <c r="AM811" s="32"/>
      <c r="AN811" s="32"/>
      <c r="AO811" s="33" t="str">
        <f aca="false">IF(A811="","",IF(AD811&lt;&gt;"",AD811,IF(AC811&lt;&gt;"",AC811,"")))</f>
        <v/>
      </c>
      <c r="AP811" s="24" t="str">
        <f aca="false">IF(AO811="","",IF(AD811&lt;&gt;"","Reported reach","Impressions (proxy)"))</f>
        <v/>
      </c>
      <c r="AQ811" s="34" t="str">
        <f aca="false">IF(OR(AO811="",N(S811)=0),"",AO811/S811)</f>
        <v/>
      </c>
      <c r="AR811" s="33" t="str">
        <f aca="false">IF(A811="","",IF(COUNT(AF811:AJ811)=0,"",SUM(AF811:AJ811)))</f>
        <v/>
      </c>
      <c r="AS811" s="34" t="str">
        <f aca="false">IF(OR(AR811="",N(AO811)=0),"",AR811/AO811)</f>
        <v/>
      </c>
      <c r="AT811" s="34" t="str">
        <f aca="false">IF(OR(AR811="",N(AC811)=0),"",AR811/AC811)</f>
        <v/>
      </c>
      <c r="AU811" s="34" t="str">
        <f aca="false">IF(OR(AR811="",N(S811)=0),"",AR811/S811)</f>
        <v/>
      </c>
      <c r="AV811" s="34" t="str">
        <f aca="false">IF(OR(AJ811="",N(AC811)=0),"",AJ811/AC811)</f>
        <v/>
      </c>
      <c r="AW811" s="34" t="str">
        <f aca="false">IF(OR(AH811="",N(AO811)=0),"",AH811/AO811)</f>
        <v/>
      </c>
      <c r="AX811" s="35" t="str">
        <f aca="false">IF(OR(AR811="",N(AO811)=0),"",(N(AF811)*Settings!$B$6+N(AG811)*Settings!$B$7+N(AH811)*Settings!$B$8+N(AI811)*Settings!$B$9+N(AJ811)*Settings!$B$10)/AO811*1000)</f>
        <v/>
      </c>
      <c r="AY811" s="36" t="str">
        <f aca="false">IF(AS811="","",IFERROR(AS811/AVERAGEIFS('Post Tracker'!$AS$5:$AS$1004,'Post Tracker'!$G$5:$G$1004,G811),""))</f>
        <v/>
      </c>
      <c r="AZ811" s="32"/>
      <c r="BA811" s="32"/>
      <c r="BB811" s="32"/>
      <c r="BC811" s="32"/>
      <c r="BD811" s="33" t="str">
        <f aca="false">IF(A811="","",COUNTIFS('Demo Pipeline'!$Q$5:$Q$504,A811))</f>
        <v/>
      </c>
      <c r="BE811" s="33" t="str">
        <f aca="false">IF(A811="","",COUNTIFS('Demo Pipeline'!$Q$5:$Q$504,A811,'Demo Pipeline'!$W$5:$W$504,"Attended"))</f>
        <v/>
      </c>
      <c r="BF811" s="33" t="str">
        <f aca="false">IF(A811="","",COUNTIFS('Demo Pipeline'!$Q$5:$Q$504,A811,'Demo Pipeline'!$X$5:$X$504,"Yes"))</f>
        <v/>
      </c>
      <c r="BG811" s="33" t="str">
        <f aca="false">IF(A811="","",COUNTIFS('Demo Pipeline'!$Q$5:$Q$504,A811,'Demo Pipeline'!$Y$5:$Y$504,"Closed Won"))</f>
        <v/>
      </c>
      <c r="BH811" s="37" t="str">
        <f aca="false">IF(A811="","",SUMIFS('Demo Pipeline'!$Z$5:$Z$504,'Demo Pipeline'!$Q$5:$Q$504,A811))</f>
        <v/>
      </c>
      <c r="BI811" s="34" t="str">
        <f aca="false">IF(OR(AZ811="",N(AJ811)=0),"",AZ811/AJ811)</f>
        <v/>
      </c>
      <c r="BJ811" s="34" t="str">
        <f aca="false">IF(OR(BB811="",N(AZ811)=0),"",BB811/AZ811)</f>
        <v/>
      </c>
      <c r="BK811" s="34" t="str">
        <f aca="false">IF(OR(A811="",N(BB811)=0),"",BD811/BB811)</f>
        <v/>
      </c>
      <c r="BL811" s="34" t="str">
        <f aca="false">IF(OR(A811="",N(AZ811)=0),"",BD811/AZ811)</f>
        <v/>
      </c>
      <c r="BM811" s="37" t="str">
        <f aca="false">IF(OR(N(Q811)=0,N(BD811)=0),"",Q811/BD811)</f>
        <v/>
      </c>
      <c r="BN811" s="29"/>
      <c r="BO811" s="29"/>
      <c r="BP811" s="33" t="str">
        <f aca="false">IF(OR(AR811="",N(AO811)=0),"",AR811)</f>
        <v/>
      </c>
      <c r="BQ811" s="33" t="str">
        <f aca="false">IF(OR(AR811="",N(S811)=0),"",S811)</f>
        <v/>
      </c>
      <c r="BR811" s="38" t="str">
        <f aca="false">IF(AND(ISNUMBER(B811),B811&gt;=Dashboard!$C$4,B811&lt;=Dashboard!$F$4,ISNUMBER(AU811)),AU811+ROW()/10^9,"")</f>
        <v/>
      </c>
      <c r="BS811" s="38" t="str">
        <f aca="false">IF(AND(ISNUMBER(B811),B811&gt;=Dashboard!$C$4,B811&lt;=Dashboard!$F$4,A811&lt;&gt;""),N(BD811)+N(AU811)/100+ROW()/10^9,"")</f>
        <v/>
      </c>
    </row>
    <row r="812" customFormat="false" ht="15" hidden="false" customHeight="false" outlineLevel="0" collapsed="false">
      <c r="A812" s="24" t="str">
        <f aca="false">IF(OR(B812="",G812="",H812=""),"",IFERROR(INDEX(Settings!$E$5:$E$49,MATCH(G812,Settings!$D$5:$D$49,0))&amp;INDEX(Settings!$H$5:$H$47,MATCH(H812,Settings!$G$5:$G$47,0))&amp;"-"&amp;TEXT(B812,"yymmdd")&amp;"-"&amp;IF(C812="","0000",TEXT(C812,"hhmm")),"CHECK LISTS"))</f>
        <v/>
      </c>
      <c r="B812" s="39"/>
      <c r="C812" s="40"/>
      <c r="D812" s="24" t="str">
        <f aca="false">IF(B812="","",TEXT(B812,"ddd"))</f>
        <v/>
      </c>
      <c r="E812" s="27" t="str">
        <f aca="false">IF(B812="","",B812-WEEKDAY(B812,3))</f>
        <v/>
      </c>
      <c r="F812" s="24" t="str">
        <f aca="false">IF(B812="","",TEXT(B812,"yyyy-mm"))</f>
        <v/>
      </c>
      <c r="G812" s="29"/>
      <c r="H812" s="29"/>
      <c r="I812" s="29"/>
      <c r="J812" s="29"/>
      <c r="K812" s="29"/>
      <c r="L812" s="29"/>
      <c r="M812" s="29"/>
      <c r="N812" s="29"/>
      <c r="O812" s="29"/>
      <c r="P812" s="29"/>
      <c r="Q812" s="30"/>
      <c r="R812" s="29"/>
      <c r="S812" s="32"/>
      <c r="T812" s="29"/>
      <c r="U812" s="29"/>
      <c r="V812" s="24" t="str">
        <f aca="false">IF(A812="","",IFERROR(INDEX(Settings!$F$5:$F$49,MATCH(G812,Settings!$D$5:$D$49,0)),""))</f>
        <v/>
      </c>
      <c r="W812" s="24" t="str">
        <f aca="false">IF(A812="","",IF(OR(P812="",P812="Organic"),"social","paid_social"))</f>
        <v/>
      </c>
      <c r="X812" s="24" t="str">
        <f aca="false">IF(A812="","",IF(K812&lt;&gt;"",IFERROR(INDEX('Case Studies'!$C$5:$C$54,MATCH(K812,'Case Studies'!$B$5:$B$54,0))&amp;"","case-study"),IF(J812&lt;&gt;"",IFERROR(INDEX(Settings!$J$5:$J$55,MATCH(J812,Settings!$I$5:$I$55,0)),"general"),"general")))</f>
        <v/>
      </c>
      <c r="Y812" s="24" t="str">
        <f aca="false">IF(A812="","",LOWER(A812))</f>
        <v/>
      </c>
      <c r="Z812" s="24" t="str">
        <f aca="false">IF(A812="","",IF(T812="",Settings!$B$5,T812)&amp;IF(ISNUMBER(FIND("?",IF(T812="",Settings!$B$5,T812))),"&amp;","?")&amp;"utm_source="&amp;V812&amp;"&amp;utm_medium="&amp;W812&amp;"&amp;utm_campaign="&amp;X812&amp;"&amp;utm_content="&amp;Y812)</f>
        <v/>
      </c>
      <c r="AA812" s="29"/>
      <c r="AB812" s="39"/>
      <c r="AC812" s="32"/>
      <c r="AD812" s="32"/>
      <c r="AE812" s="32"/>
      <c r="AF812" s="32"/>
      <c r="AG812" s="32"/>
      <c r="AH812" s="32"/>
      <c r="AI812" s="32"/>
      <c r="AJ812" s="32"/>
      <c r="AK812" s="32"/>
      <c r="AL812" s="32"/>
      <c r="AM812" s="32"/>
      <c r="AN812" s="32"/>
      <c r="AO812" s="33" t="str">
        <f aca="false">IF(A812="","",IF(AD812&lt;&gt;"",AD812,IF(AC812&lt;&gt;"",AC812,"")))</f>
        <v/>
      </c>
      <c r="AP812" s="24" t="str">
        <f aca="false">IF(AO812="","",IF(AD812&lt;&gt;"","Reported reach","Impressions (proxy)"))</f>
        <v/>
      </c>
      <c r="AQ812" s="34" t="str">
        <f aca="false">IF(OR(AO812="",N(S812)=0),"",AO812/S812)</f>
        <v/>
      </c>
      <c r="AR812" s="33" t="str">
        <f aca="false">IF(A812="","",IF(COUNT(AF812:AJ812)=0,"",SUM(AF812:AJ812)))</f>
        <v/>
      </c>
      <c r="AS812" s="34" t="str">
        <f aca="false">IF(OR(AR812="",N(AO812)=0),"",AR812/AO812)</f>
        <v/>
      </c>
      <c r="AT812" s="34" t="str">
        <f aca="false">IF(OR(AR812="",N(AC812)=0),"",AR812/AC812)</f>
        <v/>
      </c>
      <c r="AU812" s="34" t="str">
        <f aca="false">IF(OR(AR812="",N(S812)=0),"",AR812/S812)</f>
        <v/>
      </c>
      <c r="AV812" s="34" t="str">
        <f aca="false">IF(OR(AJ812="",N(AC812)=0),"",AJ812/AC812)</f>
        <v/>
      </c>
      <c r="AW812" s="34" t="str">
        <f aca="false">IF(OR(AH812="",N(AO812)=0),"",AH812/AO812)</f>
        <v/>
      </c>
      <c r="AX812" s="35" t="str">
        <f aca="false">IF(OR(AR812="",N(AO812)=0),"",(N(AF812)*Settings!$B$6+N(AG812)*Settings!$B$7+N(AH812)*Settings!$B$8+N(AI812)*Settings!$B$9+N(AJ812)*Settings!$B$10)/AO812*1000)</f>
        <v/>
      </c>
      <c r="AY812" s="36" t="str">
        <f aca="false">IF(AS812="","",IFERROR(AS812/AVERAGEIFS('Post Tracker'!$AS$5:$AS$1004,'Post Tracker'!$G$5:$G$1004,G812),""))</f>
        <v/>
      </c>
      <c r="AZ812" s="32"/>
      <c r="BA812" s="32"/>
      <c r="BB812" s="32"/>
      <c r="BC812" s="32"/>
      <c r="BD812" s="33" t="str">
        <f aca="false">IF(A812="","",COUNTIFS('Demo Pipeline'!$Q$5:$Q$504,A812))</f>
        <v/>
      </c>
      <c r="BE812" s="33" t="str">
        <f aca="false">IF(A812="","",COUNTIFS('Demo Pipeline'!$Q$5:$Q$504,A812,'Demo Pipeline'!$W$5:$W$504,"Attended"))</f>
        <v/>
      </c>
      <c r="BF812" s="33" t="str">
        <f aca="false">IF(A812="","",COUNTIFS('Demo Pipeline'!$Q$5:$Q$504,A812,'Demo Pipeline'!$X$5:$X$504,"Yes"))</f>
        <v/>
      </c>
      <c r="BG812" s="33" t="str">
        <f aca="false">IF(A812="","",COUNTIFS('Demo Pipeline'!$Q$5:$Q$504,A812,'Demo Pipeline'!$Y$5:$Y$504,"Closed Won"))</f>
        <v/>
      </c>
      <c r="BH812" s="37" t="str">
        <f aca="false">IF(A812="","",SUMIFS('Demo Pipeline'!$Z$5:$Z$504,'Demo Pipeline'!$Q$5:$Q$504,A812))</f>
        <v/>
      </c>
      <c r="BI812" s="34" t="str">
        <f aca="false">IF(OR(AZ812="",N(AJ812)=0),"",AZ812/AJ812)</f>
        <v/>
      </c>
      <c r="BJ812" s="34" t="str">
        <f aca="false">IF(OR(BB812="",N(AZ812)=0),"",BB812/AZ812)</f>
        <v/>
      </c>
      <c r="BK812" s="34" t="str">
        <f aca="false">IF(OR(A812="",N(BB812)=0),"",BD812/BB812)</f>
        <v/>
      </c>
      <c r="BL812" s="34" t="str">
        <f aca="false">IF(OR(A812="",N(AZ812)=0),"",BD812/AZ812)</f>
        <v/>
      </c>
      <c r="BM812" s="37" t="str">
        <f aca="false">IF(OR(N(Q812)=0,N(BD812)=0),"",Q812/BD812)</f>
        <v/>
      </c>
      <c r="BN812" s="29"/>
      <c r="BO812" s="29"/>
      <c r="BP812" s="33" t="str">
        <f aca="false">IF(OR(AR812="",N(AO812)=0),"",AR812)</f>
        <v/>
      </c>
      <c r="BQ812" s="33" t="str">
        <f aca="false">IF(OR(AR812="",N(S812)=0),"",S812)</f>
        <v/>
      </c>
      <c r="BR812" s="38" t="str">
        <f aca="false">IF(AND(ISNUMBER(B812),B812&gt;=Dashboard!$C$4,B812&lt;=Dashboard!$F$4,ISNUMBER(AU812)),AU812+ROW()/10^9,"")</f>
        <v/>
      </c>
      <c r="BS812" s="38" t="str">
        <f aca="false">IF(AND(ISNUMBER(B812),B812&gt;=Dashboard!$C$4,B812&lt;=Dashboard!$F$4,A812&lt;&gt;""),N(BD812)+N(AU812)/100+ROW()/10^9,"")</f>
        <v/>
      </c>
    </row>
    <row r="813" customFormat="false" ht="15" hidden="false" customHeight="false" outlineLevel="0" collapsed="false">
      <c r="A813" s="24" t="str">
        <f aca="false">IF(OR(B813="",G813="",H813=""),"",IFERROR(INDEX(Settings!$E$5:$E$49,MATCH(G813,Settings!$D$5:$D$49,0))&amp;INDEX(Settings!$H$5:$H$47,MATCH(H813,Settings!$G$5:$G$47,0))&amp;"-"&amp;TEXT(B813,"yymmdd")&amp;"-"&amp;IF(C813="","0000",TEXT(C813,"hhmm")),"CHECK LISTS"))</f>
        <v/>
      </c>
      <c r="B813" s="39"/>
      <c r="C813" s="40"/>
      <c r="D813" s="24" t="str">
        <f aca="false">IF(B813="","",TEXT(B813,"ddd"))</f>
        <v/>
      </c>
      <c r="E813" s="27" t="str">
        <f aca="false">IF(B813="","",B813-WEEKDAY(B813,3))</f>
        <v/>
      </c>
      <c r="F813" s="24" t="str">
        <f aca="false">IF(B813="","",TEXT(B813,"yyyy-mm"))</f>
        <v/>
      </c>
      <c r="G813" s="29"/>
      <c r="H813" s="29"/>
      <c r="I813" s="29"/>
      <c r="J813" s="29"/>
      <c r="K813" s="29"/>
      <c r="L813" s="29"/>
      <c r="M813" s="29"/>
      <c r="N813" s="29"/>
      <c r="O813" s="29"/>
      <c r="P813" s="29"/>
      <c r="Q813" s="30"/>
      <c r="R813" s="29"/>
      <c r="S813" s="32"/>
      <c r="T813" s="29"/>
      <c r="U813" s="29"/>
      <c r="V813" s="24" t="str">
        <f aca="false">IF(A813="","",IFERROR(INDEX(Settings!$F$5:$F$49,MATCH(G813,Settings!$D$5:$D$49,0)),""))</f>
        <v/>
      </c>
      <c r="W813" s="24" t="str">
        <f aca="false">IF(A813="","",IF(OR(P813="",P813="Organic"),"social","paid_social"))</f>
        <v/>
      </c>
      <c r="X813" s="24" t="str">
        <f aca="false">IF(A813="","",IF(K813&lt;&gt;"",IFERROR(INDEX('Case Studies'!$C$5:$C$54,MATCH(K813,'Case Studies'!$B$5:$B$54,0))&amp;"","case-study"),IF(J813&lt;&gt;"",IFERROR(INDEX(Settings!$J$5:$J$55,MATCH(J813,Settings!$I$5:$I$55,0)),"general"),"general")))</f>
        <v/>
      </c>
      <c r="Y813" s="24" t="str">
        <f aca="false">IF(A813="","",LOWER(A813))</f>
        <v/>
      </c>
      <c r="Z813" s="24" t="str">
        <f aca="false">IF(A813="","",IF(T813="",Settings!$B$5,T813)&amp;IF(ISNUMBER(FIND("?",IF(T813="",Settings!$B$5,T813))),"&amp;","?")&amp;"utm_source="&amp;V813&amp;"&amp;utm_medium="&amp;W813&amp;"&amp;utm_campaign="&amp;X813&amp;"&amp;utm_content="&amp;Y813)</f>
        <v/>
      </c>
      <c r="AA813" s="29"/>
      <c r="AB813" s="39"/>
      <c r="AC813" s="32"/>
      <c r="AD813" s="32"/>
      <c r="AE813" s="32"/>
      <c r="AF813" s="32"/>
      <c r="AG813" s="32"/>
      <c r="AH813" s="32"/>
      <c r="AI813" s="32"/>
      <c r="AJ813" s="32"/>
      <c r="AK813" s="32"/>
      <c r="AL813" s="32"/>
      <c r="AM813" s="32"/>
      <c r="AN813" s="32"/>
      <c r="AO813" s="33" t="str">
        <f aca="false">IF(A813="","",IF(AD813&lt;&gt;"",AD813,IF(AC813&lt;&gt;"",AC813,"")))</f>
        <v/>
      </c>
      <c r="AP813" s="24" t="str">
        <f aca="false">IF(AO813="","",IF(AD813&lt;&gt;"","Reported reach","Impressions (proxy)"))</f>
        <v/>
      </c>
      <c r="AQ813" s="34" t="str">
        <f aca="false">IF(OR(AO813="",N(S813)=0),"",AO813/S813)</f>
        <v/>
      </c>
      <c r="AR813" s="33" t="str">
        <f aca="false">IF(A813="","",IF(COUNT(AF813:AJ813)=0,"",SUM(AF813:AJ813)))</f>
        <v/>
      </c>
      <c r="AS813" s="34" t="str">
        <f aca="false">IF(OR(AR813="",N(AO813)=0),"",AR813/AO813)</f>
        <v/>
      </c>
      <c r="AT813" s="34" t="str">
        <f aca="false">IF(OR(AR813="",N(AC813)=0),"",AR813/AC813)</f>
        <v/>
      </c>
      <c r="AU813" s="34" t="str">
        <f aca="false">IF(OR(AR813="",N(S813)=0),"",AR813/S813)</f>
        <v/>
      </c>
      <c r="AV813" s="34" t="str">
        <f aca="false">IF(OR(AJ813="",N(AC813)=0),"",AJ813/AC813)</f>
        <v/>
      </c>
      <c r="AW813" s="34" t="str">
        <f aca="false">IF(OR(AH813="",N(AO813)=0),"",AH813/AO813)</f>
        <v/>
      </c>
      <c r="AX813" s="35" t="str">
        <f aca="false">IF(OR(AR813="",N(AO813)=0),"",(N(AF813)*Settings!$B$6+N(AG813)*Settings!$B$7+N(AH813)*Settings!$B$8+N(AI813)*Settings!$B$9+N(AJ813)*Settings!$B$10)/AO813*1000)</f>
        <v/>
      </c>
      <c r="AY813" s="36" t="str">
        <f aca="false">IF(AS813="","",IFERROR(AS813/AVERAGEIFS('Post Tracker'!$AS$5:$AS$1004,'Post Tracker'!$G$5:$G$1004,G813),""))</f>
        <v/>
      </c>
      <c r="AZ813" s="32"/>
      <c r="BA813" s="32"/>
      <c r="BB813" s="32"/>
      <c r="BC813" s="32"/>
      <c r="BD813" s="33" t="str">
        <f aca="false">IF(A813="","",COUNTIFS('Demo Pipeline'!$Q$5:$Q$504,A813))</f>
        <v/>
      </c>
      <c r="BE813" s="33" t="str">
        <f aca="false">IF(A813="","",COUNTIFS('Demo Pipeline'!$Q$5:$Q$504,A813,'Demo Pipeline'!$W$5:$W$504,"Attended"))</f>
        <v/>
      </c>
      <c r="BF813" s="33" t="str">
        <f aca="false">IF(A813="","",COUNTIFS('Demo Pipeline'!$Q$5:$Q$504,A813,'Demo Pipeline'!$X$5:$X$504,"Yes"))</f>
        <v/>
      </c>
      <c r="BG813" s="33" t="str">
        <f aca="false">IF(A813="","",COUNTIFS('Demo Pipeline'!$Q$5:$Q$504,A813,'Demo Pipeline'!$Y$5:$Y$504,"Closed Won"))</f>
        <v/>
      </c>
      <c r="BH813" s="37" t="str">
        <f aca="false">IF(A813="","",SUMIFS('Demo Pipeline'!$Z$5:$Z$504,'Demo Pipeline'!$Q$5:$Q$504,A813))</f>
        <v/>
      </c>
      <c r="BI813" s="34" t="str">
        <f aca="false">IF(OR(AZ813="",N(AJ813)=0),"",AZ813/AJ813)</f>
        <v/>
      </c>
      <c r="BJ813" s="34" t="str">
        <f aca="false">IF(OR(BB813="",N(AZ813)=0),"",BB813/AZ813)</f>
        <v/>
      </c>
      <c r="BK813" s="34" t="str">
        <f aca="false">IF(OR(A813="",N(BB813)=0),"",BD813/BB813)</f>
        <v/>
      </c>
      <c r="BL813" s="34" t="str">
        <f aca="false">IF(OR(A813="",N(AZ813)=0),"",BD813/AZ813)</f>
        <v/>
      </c>
      <c r="BM813" s="37" t="str">
        <f aca="false">IF(OR(N(Q813)=0,N(BD813)=0),"",Q813/BD813)</f>
        <v/>
      </c>
      <c r="BN813" s="29"/>
      <c r="BO813" s="29"/>
      <c r="BP813" s="33" t="str">
        <f aca="false">IF(OR(AR813="",N(AO813)=0),"",AR813)</f>
        <v/>
      </c>
      <c r="BQ813" s="33" t="str">
        <f aca="false">IF(OR(AR813="",N(S813)=0),"",S813)</f>
        <v/>
      </c>
      <c r="BR813" s="38" t="str">
        <f aca="false">IF(AND(ISNUMBER(B813),B813&gt;=Dashboard!$C$4,B813&lt;=Dashboard!$F$4,ISNUMBER(AU813)),AU813+ROW()/10^9,"")</f>
        <v/>
      </c>
      <c r="BS813" s="38" t="str">
        <f aca="false">IF(AND(ISNUMBER(B813),B813&gt;=Dashboard!$C$4,B813&lt;=Dashboard!$F$4,A813&lt;&gt;""),N(BD813)+N(AU813)/100+ROW()/10^9,"")</f>
        <v/>
      </c>
    </row>
    <row r="814" customFormat="false" ht="15" hidden="false" customHeight="false" outlineLevel="0" collapsed="false">
      <c r="A814" s="24" t="str">
        <f aca="false">IF(OR(B814="",G814="",H814=""),"",IFERROR(INDEX(Settings!$E$5:$E$49,MATCH(G814,Settings!$D$5:$D$49,0))&amp;INDEX(Settings!$H$5:$H$47,MATCH(H814,Settings!$G$5:$G$47,0))&amp;"-"&amp;TEXT(B814,"yymmdd")&amp;"-"&amp;IF(C814="","0000",TEXT(C814,"hhmm")),"CHECK LISTS"))</f>
        <v/>
      </c>
      <c r="B814" s="39"/>
      <c r="C814" s="40"/>
      <c r="D814" s="24" t="str">
        <f aca="false">IF(B814="","",TEXT(B814,"ddd"))</f>
        <v/>
      </c>
      <c r="E814" s="27" t="str">
        <f aca="false">IF(B814="","",B814-WEEKDAY(B814,3))</f>
        <v/>
      </c>
      <c r="F814" s="24" t="str">
        <f aca="false">IF(B814="","",TEXT(B814,"yyyy-mm"))</f>
        <v/>
      </c>
      <c r="G814" s="29"/>
      <c r="H814" s="29"/>
      <c r="I814" s="29"/>
      <c r="J814" s="29"/>
      <c r="K814" s="29"/>
      <c r="L814" s="29"/>
      <c r="M814" s="29"/>
      <c r="N814" s="29"/>
      <c r="O814" s="29"/>
      <c r="P814" s="29"/>
      <c r="Q814" s="30"/>
      <c r="R814" s="29"/>
      <c r="S814" s="32"/>
      <c r="T814" s="29"/>
      <c r="U814" s="29"/>
      <c r="V814" s="24" t="str">
        <f aca="false">IF(A814="","",IFERROR(INDEX(Settings!$F$5:$F$49,MATCH(G814,Settings!$D$5:$D$49,0)),""))</f>
        <v/>
      </c>
      <c r="W814" s="24" t="str">
        <f aca="false">IF(A814="","",IF(OR(P814="",P814="Organic"),"social","paid_social"))</f>
        <v/>
      </c>
      <c r="X814" s="24" t="str">
        <f aca="false">IF(A814="","",IF(K814&lt;&gt;"",IFERROR(INDEX('Case Studies'!$C$5:$C$54,MATCH(K814,'Case Studies'!$B$5:$B$54,0))&amp;"","case-study"),IF(J814&lt;&gt;"",IFERROR(INDEX(Settings!$J$5:$J$55,MATCH(J814,Settings!$I$5:$I$55,0)),"general"),"general")))</f>
        <v/>
      </c>
      <c r="Y814" s="24" t="str">
        <f aca="false">IF(A814="","",LOWER(A814))</f>
        <v/>
      </c>
      <c r="Z814" s="24" t="str">
        <f aca="false">IF(A814="","",IF(T814="",Settings!$B$5,T814)&amp;IF(ISNUMBER(FIND("?",IF(T814="",Settings!$B$5,T814))),"&amp;","?")&amp;"utm_source="&amp;V814&amp;"&amp;utm_medium="&amp;W814&amp;"&amp;utm_campaign="&amp;X814&amp;"&amp;utm_content="&amp;Y814)</f>
        <v/>
      </c>
      <c r="AA814" s="29"/>
      <c r="AB814" s="39"/>
      <c r="AC814" s="32"/>
      <c r="AD814" s="32"/>
      <c r="AE814" s="32"/>
      <c r="AF814" s="32"/>
      <c r="AG814" s="32"/>
      <c r="AH814" s="32"/>
      <c r="AI814" s="32"/>
      <c r="AJ814" s="32"/>
      <c r="AK814" s="32"/>
      <c r="AL814" s="32"/>
      <c r="AM814" s="32"/>
      <c r="AN814" s="32"/>
      <c r="AO814" s="33" t="str">
        <f aca="false">IF(A814="","",IF(AD814&lt;&gt;"",AD814,IF(AC814&lt;&gt;"",AC814,"")))</f>
        <v/>
      </c>
      <c r="AP814" s="24" t="str">
        <f aca="false">IF(AO814="","",IF(AD814&lt;&gt;"","Reported reach","Impressions (proxy)"))</f>
        <v/>
      </c>
      <c r="AQ814" s="34" t="str">
        <f aca="false">IF(OR(AO814="",N(S814)=0),"",AO814/S814)</f>
        <v/>
      </c>
      <c r="AR814" s="33" t="str">
        <f aca="false">IF(A814="","",IF(COUNT(AF814:AJ814)=0,"",SUM(AF814:AJ814)))</f>
        <v/>
      </c>
      <c r="AS814" s="34" t="str">
        <f aca="false">IF(OR(AR814="",N(AO814)=0),"",AR814/AO814)</f>
        <v/>
      </c>
      <c r="AT814" s="34" t="str">
        <f aca="false">IF(OR(AR814="",N(AC814)=0),"",AR814/AC814)</f>
        <v/>
      </c>
      <c r="AU814" s="34" t="str">
        <f aca="false">IF(OR(AR814="",N(S814)=0),"",AR814/S814)</f>
        <v/>
      </c>
      <c r="AV814" s="34" t="str">
        <f aca="false">IF(OR(AJ814="",N(AC814)=0),"",AJ814/AC814)</f>
        <v/>
      </c>
      <c r="AW814" s="34" t="str">
        <f aca="false">IF(OR(AH814="",N(AO814)=0),"",AH814/AO814)</f>
        <v/>
      </c>
      <c r="AX814" s="35" t="str">
        <f aca="false">IF(OR(AR814="",N(AO814)=0),"",(N(AF814)*Settings!$B$6+N(AG814)*Settings!$B$7+N(AH814)*Settings!$B$8+N(AI814)*Settings!$B$9+N(AJ814)*Settings!$B$10)/AO814*1000)</f>
        <v/>
      </c>
      <c r="AY814" s="36" t="str">
        <f aca="false">IF(AS814="","",IFERROR(AS814/AVERAGEIFS('Post Tracker'!$AS$5:$AS$1004,'Post Tracker'!$G$5:$G$1004,G814),""))</f>
        <v/>
      </c>
      <c r="AZ814" s="32"/>
      <c r="BA814" s="32"/>
      <c r="BB814" s="32"/>
      <c r="BC814" s="32"/>
      <c r="BD814" s="33" t="str">
        <f aca="false">IF(A814="","",COUNTIFS('Demo Pipeline'!$Q$5:$Q$504,A814))</f>
        <v/>
      </c>
      <c r="BE814" s="33" t="str">
        <f aca="false">IF(A814="","",COUNTIFS('Demo Pipeline'!$Q$5:$Q$504,A814,'Demo Pipeline'!$W$5:$W$504,"Attended"))</f>
        <v/>
      </c>
      <c r="BF814" s="33" t="str">
        <f aca="false">IF(A814="","",COUNTIFS('Demo Pipeline'!$Q$5:$Q$504,A814,'Demo Pipeline'!$X$5:$X$504,"Yes"))</f>
        <v/>
      </c>
      <c r="BG814" s="33" t="str">
        <f aca="false">IF(A814="","",COUNTIFS('Demo Pipeline'!$Q$5:$Q$504,A814,'Demo Pipeline'!$Y$5:$Y$504,"Closed Won"))</f>
        <v/>
      </c>
      <c r="BH814" s="37" t="str">
        <f aca="false">IF(A814="","",SUMIFS('Demo Pipeline'!$Z$5:$Z$504,'Demo Pipeline'!$Q$5:$Q$504,A814))</f>
        <v/>
      </c>
      <c r="BI814" s="34" t="str">
        <f aca="false">IF(OR(AZ814="",N(AJ814)=0),"",AZ814/AJ814)</f>
        <v/>
      </c>
      <c r="BJ814" s="34" t="str">
        <f aca="false">IF(OR(BB814="",N(AZ814)=0),"",BB814/AZ814)</f>
        <v/>
      </c>
      <c r="BK814" s="34" t="str">
        <f aca="false">IF(OR(A814="",N(BB814)=0),"",BD814/BB814)</f>
        <v/>
      </c>
      <c r="BL814" s="34" t="str">
        <f aca="false">IF(OR(A814="",N(AZ814)=0),"",BD814/AZ814)</f>
        <v/>
      </c>
      <c r="BM814" s="37" t="str">
        <f aca="false">IF(OR(N(Q814)=0,N(BD814)=0),"",Q814/BD814)</f>
        <v/>
      </c>
      <c r="BN814" s="29"/>
      <c r="BO814" s="29"/>
      <c r="BP814" s="33" t="str">
        <f aca="false">IF(OR(AR814="",N(AO814)=0),"",AR814)</f>
        <v/>
      </c>
      <c r="BQ814" s="33" t="str">
        <f aca="false">IF(OR(AR814="",N(S814)=0),"",S814)</f>
        <v/>
      </c>
      <c r="BR814" s="38" t="str">
        <f aca="false">IF(AND(ISNUMBER(B814),B814&gt;=Dashboard!$C$4,B814&lt;=Dashboard!$F$4,ISNUMBER(AU814)),AU814+ROW()/10^9,"")</f>
        <v/>
      </c>
      <c r="BS814" s="38" t="str">
        <f aca="false">IF(AND(ISNUMBER(B814),B814&gt;=Dashboard!$C$4,B814&lt;=Dashboard!$F$4,A814&lt;&gt;""),N(BD814)+N(AU814)/100+ROW()/10^9,"")</f>
        <v/>
      </c>
    </row>
    <row r="815" customFormat="false" ht="15" hidden="false" customHeight="false" outlineLevel="0" collapsed="false">
      <c r="A815" s="24" t="str">
        <f aca="false">IF(OR(B815="",G815="",H815=""),"",IFERROR(INDEX(Settings!$E$5:$E$49,MATCH(G815,Settings!$D$5:$D$49,0))&amp;INDEX(Settings!$H$5:$H$47,MATCH(H815,Settings!$G$5:$G$47,0))&amp;"-"&amp;TEXT(B815,"yymmdd")&amp;"-"&amp;IF(C815="","0000",TEXT(C815,"hhmm")),"CHECK LISTS"))</f>
        <v/>
      </c>
      <c r="B815" s="39"/>
      <c r="C815" s="40"/>
      <c r="D815" s="24" t="str">
        <f aca="false">IF(B815="","",TEXT(B815,"ddd"))</f>
        <v/>
      </c>
      <c r="E815" s="27" t="str">
        <f aca="false">IF(B815="","",B815-WEEKDAY(B815,3))</f>
        <v/>
      </c>
      <c r="F815" s="24" t="str">
        <f aca="false">IF(B815="","",TEXT(B815,"yyyy-mm"))</f>
        <v/>
      </c>
      <c r="G815" s="29"/>
      <c r="H815" s="29"/>
      <c r="I815" s="29"/>
      <c r="J815" s="29"/>
      <c r="K815" s="29"/>
      <c r="L815" s="29"/>
      <c r="M815" s="29"/>
      <c r="N815" s="29"/>
      <c r="O815" s="29"/>
      <c r="P815" s="29"/>
      <c r="Q815" s="30"/>
      <c r="R815" s="29"/>
      <c r="S815" s="32"/>
      <c r="T815" s="29"/>
      <c r="U815" s="29"/>
      <c r="V815" s="24" t="str">
        <f aca="false">IF(A815="","",IFERROR(INDEX(Settings!$F$5:$F$49,MATCH(G815,Settings!$D$5:$D$49,0)),""))</f>
        <v/>
      </c>
      <c r="W815" s="24" t="str">
        <f aca="false">IF(A815="","",IF(OR(P815="",P815="Organic"),"social","paid_social"))</f>
        <v/>
      </c>
      <c r="X815" s="24" t="str">
        <f aca="false">IF(A815="","",IF(K815&lt;&gt;"",IFERROR(INDEX('Case Studies'!$C$5:$C$54,MATCH(K815,'Case Studies'!$B$5:$B$54,0))&amp;"","case-study"),IF(J815&lt;&gt;"",IFERROR(INDEX(Settings!$J$5:$J$55,MATCH(J815,Settings!$I$5:$I$55,0)),"general"),"general")))</f>
        <v/>
      </c>
      <c r="Y815" s="24" t="str">
        <f aca="false">IF(A815="","",LOWER(A815))</f>
        <v/>
      </c>
      <c r="Z815" s="24" t="str">
        <f aca="false">IF(A815="","",IF(T815="",Settings!$B$5,T815)&amp;IF(ISNUMBER(FIND("?",IF(T815="",Settings!$B$5,T815))),"&amp;","?")&amp;"utm_source="&amp;V815&amp;"&amp;utm_medium="&amp;W815&amp;"&amp;utm_campaign="&amp;X815&amp;"&amp;utm_content="&amp;Y815)</f>
        <v/>
      </c>
      <c r="AA815" s="29"/>
      <c r="AB815" s="39"/>
      <c r="AC815" s="32"/>
      <c r="AD815" s="32"/>
      <c r="AE815" s="32"/>
      <c r="AF815" s="32"/>
      <c r="AG815" s="32"/>
      <c r="AH815" s="32"/>
      <c r="AI815" s="32"/>
      <c r="AJ815" s="32"/>
      <c r="AK815" s="32"/>
      <c r="AL815" s="32"/>
      <c r="AM815" s="32"/>
      <c r="AN815" s="32"/>
      <c r="AO815" s="33" t="str">
        <f aca="false">IF(A815="","",IF(AD815&lt;&gt;"",AD815,IF(AC815&lt;&gt;"",AC815,"")))</f>
        <v/>
      </c>
      <c r="AP815" s="24" t="str">
        <f aca="false">IF(AO815="","",IF(AD815&lt;&gt;"","Reported reach","Impressions (proxy)"))</f>
        <v/>
      </c>
      <c r="AQ815" s="34" t="str">
        <f aca="false">IF(OR(AO815="",N(S815)=0),"",AO815/S815)</f>
        <v/>
      </c>
      <c r="AR815" s="33" t="str">
        <f aca="false">IF(A815="","",IF(COUNT(AF815:AJ815)=0,"",SUM(AF815:AJ815)))</f>
        <v/>
      </c>
      <c r="AS815" s="34" t="str">
        <f aca="false">IF(OR(AR815="",N(AO815)=0),"",AR815/AO815)</f>
        <v/>
      </c>
      <c r="AT815" s="34" t="str">
        <f aca="false">IF(OR(AR815="",N(AC815)=0),"",AR815/AC815)</f>
        <v/>
      </c>
      <c r="AU815" s="34" t="str">
        <f aca="false">IF(OR(AR815="",N(S815)=0),"",AR815/S815)</f>
        <v/>
      </c>
      <c r="AV815" s="34" t="str">
        <f aca="false">IF(OR(AJ815="",N(AC815)=0),"",AJ815/AC815)</f>
        <v/>
      </c>
      <c r="AW815" s="34" t="str">
        <f aca="false">IF(OR(AH815="",N(AO815)=0),"",AH815/AO815)</f>
        <v/>
      </c>
      <c r="AX815" s="35" t="str">
        <f aca="false">IF(OR(AR815="",N(AO815)=0),"",(N(AF815)*Settings!$B$6+N(AG815)*Settings!$B$7+N(AH815)*Settings!$B$8+N(AI815)*Settings!$B$9+N(AJ815)*Settings!$B$10)/AO815*1000)</f>
        <v/>
      </c>
      <c r="AY815" s="36" t="str">
        <f aca="false">IF(AS815="","",IFERROR(AS815/AVERAGEIFS('Post Tracker'!$AS$5:$AS$1004,'Post Tracker'!$G$5:$G$1004,G815),""))</f>
        <v/>
      </c>
      <c r="AZ815" s="32"/>
      <c r="BA815" s="32"/>
      <c r="BB815" s="32"/>
      <c r="BC815" s="32"/>
      <c r="BD815" s="33" t="str">
        <f aca="false">IF(A815="","",COUNTIFS('Demo Pipeline'!$Q$5:$Q$504,A815))</f>
        <v/>
      </c>
      <c r="BE815" s="33" t="str">
        <f aca="false">IF(A815="","",COUNTIFS('Demo Pipeline'!$Q$5:$Q$504,A815,'Demo Pipeline'!$W$5:$W$504,"Attended"))</f>
        <v/>
      </c>
      <c r="BF815" s="33" t="str">
        <f aca="false">IF(A815="","",COUNTIFS('Demo Pipeline'!$Q$5:$Q$504,A815,'Demo Pipeline'!$X$5:$X$504,"Yes"))</f>
        <v/>
      </c>
      <c r="BG815" s="33" t="str">
        <f aca="false">IF(A815="","",COUNTIFS('Demo Pipeline'!$Q$5:$Q$504,A815,'Demo Pipeline'!$Y$5:$Y$504,"Closed Won"))</f>
        <v/>
      </c>
      <c r="BH815" s="37" t="str">
        <f aca="false">IF(A815="","",SUMIFS('Demo Pipeline'!$Z$5:$Z$504,'Demo Pipeline'!$Q$5:$Q$504,A815))</f>
        <v/>
      </c>
      <c r="BI815" s="34" t="str">
        <f aca="false">IF(OR(AZ815="",N(AJ815)=0),"",AZ815/AJ815)</f>
        <v/>
      </c>
      <c r="BJ815" s="34" t="str">
        <f aca="false">IF(OR(BB815="",N(AZ815)=0),"",BB815/AZ815)</f>
        <v/>
      </c>
      <c r="BK815" s="34" t="str">
        <f aca="false">IF(OR(A815="",N(BB815)=0),"",BD815/BB815)</f>
        <v/>
      </c>
      <c r="BL815" s="34" t="str">
        <f aca="false">IF(OR(A815="",N(AZ815)=0),"",BD815/AZ815)</f>
        <v/>
      </c>
      <c r="BM815" s="37" t="str">
        <f aca="false">IF(OR(N(Q815)=0,N(BD815)=0),"",Q815/BD815)</f>
        <v/>
      </c>
      <c r="BN815" s="29"/>
      <c r="BO815" s="29"/>
      <c r="BP815" s="33" t="str">
        <f aca="false">IF(OR(AR815="",N(AO815)=0),"",AR815)</f>
        <v/>
      </c>
      <c r="BQ815" s="33" t="str">
        <f aca="false">IF(OR(AR815="",N(S815)=0),"",S815)</f>
        <v/>
      </c>
      <c r="BR815" s="38" t="str">
        <f aca="false">IF(AND(ISNUMBER(B815),B815&gt;=Dashboard!$C$4,B815&lt;=Dashboard!$F$4,ISNUMBER(AU815)),AU815+ROW()/10^9,"")</f>
        <v/>
      </c>
      <c r="BS815" s="38" t="str">
        <f aca="false">IF(AND(ISNUMBER(B815),B815&gt;=Dashboard!$C$4,B815&lt;=Dashboard!$F$4,A815&lt;&gt;""),N(BD815)+N(AU815)/100+ROW()/10^9,"")</f>
        <v/>
      </c>
    </row>
    <row r="816" customFormat="false" ht="15" hidden="false" customHeight="false" outlineLevel="0" collapsed="false">
      <c r="A816" s="24" t="str">
        <f aca="false">IF(OR(B816="",G816="",H816=""),"",IFERROR(INDEX(Settings!$E$5:$E$49,MATCH(G816,Settings!$D$5:$D$49,0))&amp;INDEX(Settings!$H$5:$H$47,MATCH(H816,Settings!$G$5:$G$47,0))&amp;"-"&amp;TEXT(B816,"yymmdd")&amp;"-"&amp;IF(C816="","0000",TEXT(C816,"hhmm")),"CHECK LISTS"))</f>
        <v/>
      </c>
      <c r="B816" s="39"/>
      <c r="C816" s="40"/>
      <c r="D816" s="24" t="str">
        <f aca="false">IF(B816="","",TEXT(B816,"ddd"))</f>
        <v/>
      </c>
      <c r="E816" s="27" t="str">
        <f aca="false">IF(B816="","",B816-WEEKDAY(B816,3))</f>
        <v/>
      </c>
      <c r="F816" s="24" t="str">
        <f aca="false">IF(B816="","",TEXT(B816,"yyyy-mm"))</f>
        <v/>
      </c>
      <c r="G816" s="29"/>
      <c r="H816" s="29"/>
      <c r="I816" s="29"/>
      <c r="J816" s="29"/>
      <c r="K816" s="29"/>
      <c r="L816" s="29"/>
      <c r="M816" s="29"/>
      <c r="N816" s="29"/>
      <c r="O816" s="29"/>
      <c r="P816" s="29"/>
      <c r="Q816" s="30"/>
      <c r="R816" s="29"/>
      <c r="S816" s="32"/>
      <c r="T816" s="29"/>
      <c r="U816" s="29"/>
      <c r="V816" s="24" t="str">
        <f aca="false">IF(A816="","",IFERROR(INDEX(Settings!$F$5:$F$49,MATCH(G816,Settings!$D$5:$D$49,0)),""))</f>
        <v/>
      </c>
      <c r="W816" s="24" t="str">
        <f aca="false">IF(A816="","",IF(OR(P816="",P816="Organic"),"social","paid_social"))</f>
        <v/>
      </c>
      <c r="X816" s="24" t="str">
        <f aca="false">IF(A816="","",IF(K816&lt;&gt;"",IFERROR(INDEX('Case Studies'!$C$5:$C$54,MATCH(K816,'Case Studies'!$B$5:$B$54,0))&amp;"","case-study"),IF(J816&lt;&gt;"",IFERROR(INDEX(Settings!$J$5:$J$55,MATCH(J816,Settings!$I$5:$I$55,0)),"general"),"general")))</f>
        <v/>
      </c>
      <c r="Y816" s="24" t="str">
        <f aca="false">IF(A816="","",LOWER(A816))</f>
        <v/>
      </c>
      <c r="Z816" s="24" t="str">
        <f aca="false">IF(A816="","",IF(T816="",Settings!$B$5,T816)&amp;IF(ISNUMBER(FIND("?",IF(T816="",Settings!$B$5,T816))),"&amp;","?")&amp;"utm_source="&amp;V816&amp;"&amp;utm_medium="&amp;W816&amp;"&amp;utm_campaign="&amp;X816&amp;"&amp;utm_content="&amp;Y816)</f>
        <v/>
      </c>
      <c r="AA816" s="29"/>
      <c r="AB816" s="39"/>
      <c r="AC816" s="32"/>
      <c r="AD816" s="32"/>
      <c r="AE816" s="32"/>
      <c r="AF816" s="32"/>
      <c r="AG816" s="32"/>
      <c r="AH816" s="32"/>
      <c r="AI816" s="32"/>
      <c r="AJ816" s="32"/>
      <c r="AK816" s="32"/>
      <c r="AL816" s="32"/>
      <c r="AM816" s="32"/>
      <c r="AN816" s="32"/>
      <c r="AO816" s="33" t="str">
        <f aca="false">IF(A816="","",IF(AD816&lt;&gt;"",AD816,IF(AC816&lt;&gt;"",AC816,"")))</f>
        <v/>
      </c>
      <c r="AP816" s="24" t="str">
        <f aca="false">IF(AO816="","",IF(AD816&lt;&gt;"","Reported reach","Impressions (proxy)"))</f>
        <v/>
      </c>
      <c r="AQ816" s="34" t="str">
        <f aca="false">IF(OR(AO816="",N(S816)=0),"",AO816/S816)</f>
        <v/>
      </c>
      <c r="AR816" s="33" t="str">
        <f aca="false">IF(A816="","",IF(COUNT(AF816:AJ816)=0,"",SUM(AF816:AJ816)))</f>
        <v/>
      </c>
      <c r="AS816" s="34" t="str">
        <f aca="false">IF(OR(AR816="",N(AO816)=0),"",AR816/AO816)</f>
        <v/>
      </c>
      <c r="AT816" s="34" t="str">
        <f aca="false">IF(OR(AR816="",N(AC816)=0),"",AR816/AC816)</f>
        <v/>
      </c>
      <c r="AU816" s="34" t="str">
        <f aca="false">IF(OR(AR816="",N(S816)=0),"",AR816/S816)</f>
        <v/>
      </c>
      <c r="AV816" s="34" t="str">
        <f aca="false">IF(OR(AJ816="",N(AC816)=0),"",AJ816/AC816)</f>
        <v/>
      </c>
      <c r="AW816" s="34" t="str">
        <f aca="false">IF(OR(AH816="",N(AO816)=0),"",AH816/AO816)</f>
        <v/>
      </c>
      <c r="AX816" s="35" t="str">
        <f aca="false">IF(OR(AR816="",N(AO816)=0),"",(N(AF816)*Settings!$B$6+N(AG816)*Settings!$B$7+N(AH816)*Settings!$B$8+N(AI816)*Settings!$B$9+N(AJ816)*Settings!$B$10)/AO816*1000)</f>
        <v/>
      </c>
      <c r="AY816" s="36" t="str">
        <f aca="false">IF(AS816="","",IFERROR(AS816/AVERAGEIFS('Post Tracker'!$AS$5:$AS$1004,'Post Tracker'!$G$5:$G$1004,G816),""))</f>
        <v/>
      </c>
      <c r="AZ816" s="32"/>
      <c r="BA816" s="32"/>
      <c r="BB816" s="32"/>
      <c r="BC816" s="32"/>
      <c r="BD816" s="33" t="str">
        <f aca="false">IF(A816="","",COUNTIFS('Demo Pipeline'!$Q$5:$Q$504,A816))</f>
        <v/>
      </c>
      <c r="BE816" s="33" t="str">
        <f aca="false">IF(A816="","",COUNTIFS('Demo Pipeline'!$Q$5:$Q$504,A816,'Demo Pipeline'!$W$5:$W$504,"Attended"))</f>
        <v/>
      </c>
      <c r="BF816" s="33" t="str">
        <f aca="false">IF(A816="","",COUNTIFS('Demo Pipeline'!$Q$5:$Q$504,A816,'Demo Pipeline'!$X$5:$X$504,"Yes"))</f>
        <v/>
      </c>
      <c r="BG816" s="33" t="str">
        <f aca="false">IF(A816="","",COUNTIFS('Demo Pipeline'!$Q$5:$Q$504,A816,'Demo Pipeline'!$Y$5:$Y$504,"Closed Won"))</f>
        <v/>
      </c>
      <c r="BH816" s="37" t="str">
        <f aca="false">IF(A816="","",SUMIFS('Demo Pipeline'!$Z$5:$Z$504,'Demo Pipeline'!$Q$5:$Q$504,A816))</f>
        <v/>
      </c>
      <c r="BI816" s="34" t="str">
        <f aca="false">IF(OR(AZ816="",N(AJ816)=0),"",AZ816/AJ816)</f>
        <v/>
      </c>
      <c r="BJ816" s="34" t="str">
        <f aca="false">IF(OR(BB816="",N(AZ816)=0),"",BB816/AZ816)</f>
        <v/>
      </c>
      <c r="BK816" s="34" t="str">
        <f aca="false">IF(OR(A816="",N(BB816)=0),"",BD816/BB816)</f>
        <v/>
      </c>
      <c r="BL816" s="34" t="str">
        <f aca="false">IF(OR(A816="",N(AZ816)=0),"",BD816/AZ816)</f>
        <v/>
      </c>
      <c r="BM816" s="37" t="str">
        <f aca="false">IF(OR(N(Q816)=0,N(BD816)=0),"",Q816/BD816)</f>
        <v/>
      </c>
      <c r="BN816" s="29"/>
      <c r="BO816" s="29"/>
      <c r="BP816" s="33" t="str">
        <f aca="false">IF(OR(AR816="",N(AO816)=0),"",AR816)</f>
        <v/>
      </c>
      <c r="BQ816" s="33" t="str">
        <f aca="false">IF(OR(AR816="",N(S816)=0),"",S816)</f>
        <v/>
      </c>
      <c r="BR816" s="38" t="str">
        <f aca="false">IF(AND(ISNUMBER(B816),B816&gt;=Dashboard!$C$4,B816&lt;=Dashboard!$F$4,ISNUMBER(AU816)),AU816+ROW()/10^9,"")</f>
        <v/>
      </c>
      <c r="BS816" s="38" t="str">
        <f aca="false">IF(AND(ISNUMBER(B816),B816&gt;=Dashboard!$C$4,B816&lt;=Dashboard!$F$4,A816&lt;&gt;""),N(BD816)+N(AU816)/100+ROW()/10^9,"")</f>
        <v/>
      </c>
    </row>
    <row r="817" customFormat="false" ht="15" hidden="false" customHeight="false" outlineLevel="0" collapsed="false">
      <c r="A817" s="24" t="str">
        <f aca="false">IF(OR(B817="",G817="",H817=""),"",IFERROR(INDEX(Settings!$E$5:$E$49,MATCH(G817,Settings!$D$5:$D$49,0))&amp;INDEX(Settings!$H$5:$H$47,MATCH(H817,Settings!$G$5:$G$47,0))&amp;"-"&amp;TEXT(B817,"yymmdd")&amp;"-"&amp;IF(C817="","0000",TEXT(C817,"hhmm")),"CHECK LISTS"))</f>
        <v/>
      </c>
      <c r="B817" s="39"/>
      <c r="C817" s="40"/>
      <c r="D817" s="24" t="str">
        <f aca="false">IF(B817="","",TEXT(B817,"ddd"))</f>
        <v/>
      </c>
      <c r="E817" s="27" t="str">
        <f aca="false">IF(B817="","",B817-WEEKDAY(B817,3))</f>
        <v/>
      </c>
      <c r="F817" s="24" t="str">
        <f aca="false">IF(B817="","",TEXT(B817,"yyyy-mm"))</f>
        <v/>
      </c>
      <c r="G817" s="29"/>
      <c r="H817" s="29"/>
      <c r="I817" s="29"/>
      <c r="J817" s="29"/>
      <c r="K817" s="29"/>
      <c r="L817" s="29"/>
      <c r="M817" s="29"/>
      <c r="N817" s="29"/>
      <c r="O817" s="29"/>
      <c r="P817" s="29"/>
      <c r="Q817" s="30"/>
      <c r="R817" s="29"/>
      <c r="S817" s="32"/>
      <c r="T817" s="29"/>
      <c r="U817" s="29"/>
      <c r="V817" s="24" t="str">
        <f aca="false">IF(A817="","",IFERROR(INDEX(Settings!$F$5:$F$49,MATCH(G817,Settings!$D$5:$D$49,0)),""))</f>
        <v/>
      </c>
      <c r="W817" s="24" t="str">
        <f aca="false">IF(A817="","",IF(OR(P817="",P817="Organic"),"social","paid_social"))</f>
        <v/>
      </c>
      <c r="X817" s="24" t="str">
        <f aca="false">IF(A817="","",IF(K817&lt;&gt;"",IFERROR(INDEX('Case Studies'!$C$5:$C$54,MATCH(K817,'Case Studies'!$B$5:$B$54,0))&amp;"","case-study"),IF(J817&lt;&gt;"",IFERROR(INDEX(Settings!$J$5:$J$55,MATCH(J817,Settings!$I$5:$I$55,0)),"general"),"general")))</f>
        <v/>
      </c>
      <c r="Y817" s="24" t="str">
        <f aca="false">IF(A817="","",LOWER(A817))</f>
        <v/>
      </c>
      <c r="Z817" s="24" t="str">
        <f aca="false">IF(A817="","",IF(T817="",Settings!$B$5,T817)&amp;IF(ISNUMBER(FIND("?",IF(T817="",Settings!$B$5,T817))),"&amp;","?")&amp;"utm_source="&amp;V817&amp;"&amp;utm_medium="&amp;W817&amp;"&amp;utm_campaign="&amp;X817&amp;"&amp;utm_content="&amp;Y817)</f>
        <v/>
      </c>
      <c r="AA817" s="29"/>
      <c r="AB817" s="39"/>
      <c r="AC817" s="32"/>
      <c r="AD817" s="32"/>
      <c r="AE817" s="32"/>
      <c r="AF817" s="32"/>
      <c r="AG817" s="32"/>
      <c r="AH817" s="32"/>
      <c r="AI817" s="32"/>
      <c r="AJ817" s="32"/>
      <c r="AK817" s="32"/>
      <c r="AL817" s="32"/>
      <c r="AM817" s="32"/>
      <c r="AN817" s="32"/>
      <c r="AO817" s="33" t="str">
        <f aca="false">IF(A817="","",IF(AD817&lt;&gt;"",AD817,IF(AC817&lt;&gt;"",AC817,"")))</f>
        <v/>
      </c>
      <c r="AP817" s="24" t="str">
        <f aca="false">IF(AO817="","",IF(AD817&lt;&gt;"","Reported reach","Impressions (proxy)"))</f>
        <v/>
      </c>
      <c r="AQ817" s="34" t="str">
        <f aca="false">IF(OR(AO817="",N(S817)=0),"",AO817/S817)</f>
        <v/>
      </c>
      <c r="AR817" s="33" t="str">
        <f aca="false">IF(A817="","",IF(COUNT(AF817:AJ817)=0,"",SUM(AF817:AJ817)))</f>
        <v/>
      </c>
      <c r="AS817" s="34" t="str">
        <f aca="false">IF(OR(AR817="",N(AO817)=0),"",AR817/AO817)</f>
        <v/>
      </c>
      <c r="AT817" s="34" t="str">
        <f aca="false">IF(OR(AR817="",N(AC817)=0),"",AR817/AC817)</f>
        <v/>
      </c>
      <c r="AU817" s="34" t="str">
        <f aca="false">IF(OR(AR817="",N(S817)=0),"",AR817/S817)</f>
        <v/>
      </c>
      <c r="AV817" s="34" t="str">
        <f aca="false">IF(OR(AJ817="",N(AC817)=0),"",AJ817/AC817)</f>
        <v/>
      </c>
      <c r="AW817" s="34" t="str">
        <f aca="false">IF(OR(AH817="",N(AO817)=0),"",AH817/AO817)</f>
        <v/>
      </c>
      <c r="AX817" s="35" t="str">
        <f aca="false">IF(OR(AR817="",N(AO817)=0),"",(N(AF817)*Settings!$B$6+N(AG817)*Settings!$B$7+N(AH817)*Settings!$B$8+N(AI817)*Settings!$B$9+N(AJ817)*Settings!$B$10)/AO817*1000)</f>
        <v/>
      </c>
      <c r="AY817" s="36" t="str">
        <f aca="false">IF(AS817="","",IFERROR(AS817/AVERAGEIFS('Post Tracker'!$AS$5:$AS$1004,'Post Tracker'!$G$5:$G$1004,G817),""))</f>
        <v/>
      </c>
      <c r="AZ817" s="32"/>
      <c r="BA817" s="32"/>
      <c r="BB817" s="32"/>
      <c r="BC817" s="32"/>
      <c r="BD817" s="33" t="str">
        <f aca="false">IF(A817="","",COUNTIFS('Demo Pipeline'!$Q$5:$Q$504,A817))</f>
        <v/>
      </c>
      <c r="BE817" s="33" t="str">
        <f aca="false">IF(A817="","",COUNTIFS('Demo Pipeline'!$Q$5:$Q$504,A817,'Demo Pipeline'!$W$5:$W$504,"Attended"))</f>
        <v/>
      </c>
      <c r="BF817" s="33" t="str">
        <f aca="false">IF(A817="","",COUNTIFS('Demo Pipeline'!$Q$5:$Q$504,A817,'Demo Pipeline'!$X$5:$X$504,"Yes"))</f>
        <v/>
      </c>
      <c r="BG817" s="33" t="str">
        <f aca="false">IF(A817="","",COUNTIFS('Demo Pipeline'!$Q$5:$Q$504,A817,'Demo Pipeline'!$Y$5:$Y$504,"Closed Won"))</f>
        <v/>
      </c>
      <c r="BH817" s="37" t="str">
        <f aca="false">IF(A817="","",SUMIFS('Demo Pipeline'!$Z$5:$Z$504,'Demo Pipeline'!$Q$5:$Q$504,A817))</f>
        <v/>
      </c>
      <c r="BI817" s="34" t="str">
        <f aca="false">IF(OR(AZ817="",N(AJ817)=0),"",AZ817/AJ817)</f>
        <v/>
      </c>
      <c r="BJ817" s="34" t="str">
        <f aca="false">IF(OR(BB817="",N(AZ817)=0),"",BB817/AZ817)</f>
        <v/>
      </c>
      <c r="BK817" s="34" t="str">
        <f aca="false">IF(OR(A817="",N(BB817)=0),"",BD817/BB817)</f>
        <v/>
      </c>
      <c r="BL817" s="34" t="str">
        <f aca="false">IF(OR(A817="",N(AZ817)=0),"",BD817/AZ817)</f>
        <v/>
      </c>
      <c r="BM817" s="37" t="str">
        <f aca="false">IF(OR(N(Q817)=0,N(BD817)=0),"",Q817/BD817)</f>
        <v/>
      </c>
      <c r="BN817" s="29"/>
      <c r="BO817" s="29"/>
      <c r="BP817" s="33" t="str">
        <f aca="false">IF(OR(AR817="",N(AO817)=0),"",AR817)</f>
        <v/>
      </c>
      <c r="BQ817" s="33" t="str">
        <f aca="false">IF(OR(AR817="",N(S817)=0),"",S817)</f>
        <v/>
      </c>
      <c r="BR817" s="38" t="str">
        <f aca="false">IF(AND(ISNUMBER(B817),B817&gt;=Dashboard!$C$4,B817&lt;=Dashboard!$F$4,ISNUMBER(AU817)),AU817+ROW()/10^9,"")</f>
        <v/>
      </c>
      <c r="BS817" s="38" t="str">
        <f aca="false">IF(AND(ISNUMBER(B817),B817&gt;=Dashboard!$C$4,B817&lt;=Dashboard!$F$4,A817&lt;&gt;""),N(BD817)+N(AU817)/100+ROW()/10^9,"")</f>
        <v/>
      </c>
    </row>
    <row r="818" customFormat="false" ht="15" hidden="false" customHeight="false" outlineLevel="0" collapsed="false">
      <c r="A818" s="24" t="str">
        <f aca="false">IF(OR(B818="",G818="",H818=""),"",IFERROR(INDEX(Settings!$E$5:$E$49,MATCH(G818,Settings!$D$5:$D$49,0))&amp;INDEX(Settings!$H$5:$H$47,MATCH(H818,Settings!$G$5:$G$47,0))&amp;"-"&amp;TEXT(B818,"yymmdd")&amp;"-"&amp;IF(C818="","0000",TEXT(C818,"hhmm")),"CHECK LISTS"))</f>
        <v/>
      </c>
      <c r="B818" s="39"/>
      <c r="C818" s="40"/>
      <c r="D818" s="24" t="str">
        <f aca="false">IF(B818="","",TEXT(B818,"ddd"))</f>
        <v/>
      </c>
      <c r="E818" s="27" t="str">
        <f aca="false">IF(B818="","",B818-WEEKDAY(B818,3))</f>
        <v/>
      </c>
      <c r="F818" s="24" t="str">
        <f aca="false">IF(B818="","",TEXT(B818,"yyyy-mm"))</f>
        <v/>
      </c>
      <c r="G818" s="29"/>
      <c r="H818" s="29"/>
      <c r="I818" s="29"/>
      <c r="J818" s="29"/>
      <c r="K818" s="29"/>
      <c r="L818" s="29"/>
      <c r="M818" s="29"/>
      <c r="N818" s="29"/>
      <c r="O818" s="29"/>
      <c r="P818" s="29"/>
      <c r="Q818" s="30"/>
      <c r="R818" s="29"/>
      <c r="S818" s="32"/>
      <c r="T818" s="29"/>
      <c r="U818" s="29"/>
      <c r="V818" s="24" t="str">
        <f aca="false">IF(A818="","",IFERROR(INDEX(Settings!$F$5:$F$49,MATCH(G818,Settings!$D$5:$D$49,0)),""))</f>
        <v/>
      </c>
      <c r="W818" s="24" t="str">
        <f aca="false">IF(A818="","",IF(OR(P818="",P818="Organic"),"social","paid_social"))</f>
        <v/>
      </c>
      <c r="X818" s="24" t="str">
        <f aca="false">IF(A818="","",IF(K818&lt;&gt;"",IFERROR(INDEX('Case Studies'!$C$5:$C$54,MATCH(K818,'Case Studies'!$B$5:$B$54,0))&amp;"","case-study"),IF(J818&lt;&gt;"",IFERROR(INDEX(Settings!$J$5:$J$55,MATCH(J818,Settings!$I$5:$I$55,0)),"general"),"general")))</f>
        <v/>
      </c>
      <c r="Y818" s="24" t="str">
        <f aca="false">IF(A818="","",LOWER(A818))</f>
        <v/>
      </c>
      <c r="Z818" s="24" t="str">
        <f aca="false">IF(A818="","",IF(T818="",Settings!$B$5,T818)&amp;IF(ISNUMBER(FIND("?",IF(T818="",Settings!$B$5,T818))),"&amp;","?")&amp;"utm_source="&amp;V818&amp;"&amp;utm_medium="&amp;W818&amp;"&amp;utm_campaign="&amp;X818&amp;"&amp;utm_content="&amp;Y818)</f>
        <v/>
      </c>
      <c r="AA818" s="29"/>
      <c r="AB818" s="39"/>
      <c r="AC818" s="32"/>
      <c r="AD818" s="32"/>
      <c r="AE818" s="32"/>
      <c r="AF818" s="32"/>
      <c r="AG818" s="32"/>
      <c r="AH818" s="32"/>
      <c r="AI818" s="32"/>
      <c r="AJ818" s="32"/>
      <c r="AK818" s="32"/>
      <c r="AL818" s="32"/>
      <c r="AM818" s="32"/>
      <c r="AN818" s="32"/>
      <c r="AO818" s="33" t="str">
        <f aca="false">IF(A818="","",IF(AD818&lt;&gt;"",AD818,IF(AC818&lt;&gt;"",AC818,"")))</f>
        <v/>
      </c>
      <c r="AP818" s="24" t="str">
        <f aca="false">IF(AO818="","",IF(AD818&lt;&gt;"","Reported reach","Impressions (proxy)"))</f>
        <v/>
      </c>
      <c r="AQ818" s="34" t="str">
        <f aca="false">IF(OR(AO818="",N(S818)=0),"",AO818/S818)</f>
        <v/>
      </c>
      <c r="AR818" s="33" t="str">
        <f aca="false">IF(A818="","",IF(COUNT(AF818:AJ818)=0,"",SUM(AF818:AJ818)))</f>
        <v/>
      </c>
      <c r="AS818" s="34" t="str">
        <f aca="false">IF(OR(AR818="",N(AO818)=0),"",AR818/AO818)</f>
        <v/>
      </c>
      <c r="AT818" s="34" t="str">
        <f aca="false">IF(OR(AR818="",N(AC818)=0),"",AR818/AC818)</f>
        <v/>
      </c>
      <c r="AU818" s="34" t="str">
        <f aca="false">IF(OR(AR818="",N(S818)=0),"",AR818/S818)</f>
        <v/>
      </c>
      <c r="AV818" s="34" t="str">
        <f aca="false">IF(OR(AJ818="",N(AC818)=0),"",AJ818/AC818)</f>
        <v/>
      </c>
      <c r="AW818" s="34" t="str">
        <f aca="false">IF(OR(AH818="",N(AO818)=0),"",AH818/AO818)</f>
        <v/>
      </c>
      <c r="AX818" s="35" t="str">
        <f aca="false">IF(OR(AR818="",N(AO818)=0),"",(N(AF818)*Settings!$B$6+N(AG818)*Settings!$B$7+N(AH818)*Settings!$B$8+N(AI818)*Settings!$B$9+N(AJ818)*Settings!$B$10)/AO818*1000)</f>
        <v/>
      </c>
      <c r="AY818" s="36" t="str">
        <f aca="false">IF(AS818="","",IFERROR(AS818/AVERAGEIFS('Post Tracker'!$AS$5:$AS$1004,'Post Tracker'!$G$5:$G$1004,G818),""))</f>
        <v/>
      </c>
      <c r="AZ818" s="32"/>
      <c r="BA818" s="32"/>
      <c r="BB818" s="32"/>
      <c r="BC818" s="32"/>
      <c r="BD818" s="33" t="str">
        <f aca="false">IF(A818="","",COUNTIFS('Demo Pipeline'!$Q$5:$Q$504,A818))</f>
        <v/>
      </c>
      <c r="BE818" s="33" t="str">
        <f aca="false">IF(A818="","",COUNTIFS('Demo Pipeline'!$Q$5:$Q$504,A818,'Demo Pipeline'!$W$5:$W$504,"Attended"))</f>
        <v/>
      </c>
      <c r="BF818" s="33" t="str">
        <f aca="false">IF(A818="","",COUNTIFS('Demo Pipeline'!$Q$5:$Q$504,A818,'Demo Pipeline'!$X$5:$X$504,"Yes"))</f>
        <v/>
      </c>
      <c r="BG818" s="33" t="str">
        <f aca="false">IF(A818="","",COUNTIFS('Demo Pipeline'!$Q$5:$Q$504,A818,'Demo Pipeline'!$Y$5:$Y$504,"Closed Won"))</f>
        <v/>
      </c>
      <c r="BH818" s="37" t="str">
        <f aca="false">IF(A818="","",SUMIFS('Demo Pipeline'!$Z$5:$Z$504,'Demo Pipeline'!$Q$5:$Q$504,A818))</f>
        <v/>
      </c>
      <c r="BI818" s="34" t="str">
        <f aca="false">IF(OR(AZ818="",N(AJ818)=0),"",AZ818/AJ818)</f>
        <v/>
      </c>
      <c r="BJ818" s="34" t="str">
        <f aca="false">IF(OR(BB818="",N(AZ818)=0),"",BB818/AZ818)</f>
        <v/>
      </c>
      <c r="BK818" s="34" t="str">
        <f aca="false">IF(OR(A818="",N(BB818)=0),"",BD818/BB818)</f>
        <v/>
      </c>
      <c r="BL818" s="34" t="str">
        <f aca="false">IF(OR(A818="",N(AZ818)=0),"",BD818/AZ818)</f>
        <v/>
      </c>
      <c r="BM818" s="37" t="str">
        <f aca="false">IF(OR(N(Q818)=0,N(BD818)=0),"",Q818/BD818)</f>
        <v/>
      </c>
      <c r="BN818" s="29"/>
      <c r="BO818" s="29"/>
      <c r="BP818" s="33" t="str">
        <f aca="false">IF(OR(AR818="",N(AO818)=0),"",AR818)</f>
        <v/>
      </c>
      <c r="BQ818" s="33" t="str">
        <f aca="false">IF(OR(AR818="",N(S818)=0),"",S818)</f>
        <v/>
      </c>
      <c r="BR818" s="38" t="str">
        <f aca="false">IF(AND(ISNUMBER(B818),B818&gt;=Dashboard!$C$4,B818&lt;=Dashboard!$F$4,ISNUMBER(AU818)),AU818+ROW()/10^9,"")</f>
        <v/>
      </c>
      <c r="BS818" s="38" t="str">
        <f aca="false">IF(AND(ISNUMBER(B818),B818&gt;=Dashboard!$C$4,B818&lt;=Dashboard!$F$4,A818&lt;&gt;""),N(BD818)+N(AU818)/100+ROW()/10^9,"")</f>
        <v/>
      </c>
    </row>
    <row r="819" customFormat="false" ht="15" hidden="false" customHeight="false" outlineLevel="0" collapsed="false">
      <c r="A819" s="24" t="str">
        <f aca="false">IF(OR(B819="",G819="",H819=""),"",IFERROR(INDEX(Settings!$E$5:$E$49,MATCH(G819,Settings!$D$5:$D$49,0))&amp;INDEX(Settings!$H$5:$H$47,MATCH(H819,Settings!$G$5:$G$47,0))&amp;"-"&amp;TEXT(B819,"yymmdd")&amp;"-"&amp;IF(C819="","0000",TEXT(C819,"hhmm")),"CHECK LISTS"))</f>
        <v/>
      </c>
      <c r="B819" s="39"/>
      <c r="C819" s="40"/>
      <c r="D819" s="24" t="str">
        <f aca="false">IF(B819="","",TEXT(B819,"ddd"))</f>
        <v/>
      </c>
      <c r="E819" s="27" t="str">
        <f aca="false">IF(B819="","",B819-WEEKDAY(B819,3))</f>
        <v/>
      </c>
      <c r="F819" s="24" t="str">
        <f aca="false">IF(B819="","",TEXT(B819,"yyyy-mm"))</f>
        <v/>
      </c>
      <c r="G819" s="29"/>
      <c r="H819" s="29"/>
      <c r="I819" s="29"/>
      <c r="J819" s="29"/>
      <c r="K819" s="29"/>
      <c r="L819" s="29"/>
      <c r="M819" s="29"/>
      <c r="N819" s="29"/>
      <c r="O819" s="29"/>
      <c r="P819" s="29"/>
      <c r="Q819" s="30"/>
      <c r="R819" s="29"/>
      <c r="S819" s="32"/>
      <c r="T819" s="29"/>
      <c r="U819" s="29"/>
      <c r="V819" s="24" t="str">
        <f aca="false">IF(A819="","",IFERROR(INDEX(Settings!$F$5:$F$49,MATCH(G819,Settings!$D$5:$D$49,0)),""))</f>
        <v/>
      </c>
      <c r="W819" s="24" t="str">
        <f aca="false">IF(A819="","",IF(OR(P819="",P819="Organic"),"social","paid_social"))</f>
        <v/>
      </c>
      <c r="X819" s="24" t="str">
        <f aca="false">IF(A819="","",IF(K819&lt;&gt;"",IFERROR(INDEX('Case Studies'!$C$5:$C$54,MATCH(K819,'Case Studies'!$B$5:$B$54,0))&amp;"","case-study"),IF(J819&lt;&gt;"",IFERROR(INDEX(Settings!$J$5:$J$55,MATCH(J819,Settings!$I$5:$I$55,0)),"general"),"general")))</f>
        <v/>
      </c>
      <c r="Y819" s="24" t="str">
        <f aca="false">IF(A819="","",LOWER(A819))</f>
        <v/>
      </c>
      <c r="Z819" s="24" t="str">
        <f aca="false">IF(A819="","",IF(T819="",Settings!$B$5,T819)&amp;IF(ISNUMBER(FIND("?",IF(T819="",Settings!$B$5,T819))),"&amp;","?")&amp;"utm_source="&amp;V819&amp;"&amp;utm_medium="&amp;W819&amp;"&amp;utm_campaign="&amp;X819&amp;"&amp;utm_content="&amp;Y819)</f>
        <v/>
      </c>
      <c r="AA819" s="29"/>
      <c r="AB819" s="39"/>
      <c r="AC819" s="32"/>
      <c r="AD819" s="32"/>
      <c r="AE819" s="32"/>
      <c r="AF819" s="32"/>
      <c r="AG819" s="32"/>
      <c r="AH819" s="32"/>
      <c r="AI819" s="32"/>
      <c r="AJ819" s="32"/>
      <c r="AK819" s="32"/>
      <c r="AL819" s="32"/>
      <c r="AM819" s="32"/>
      <c r="AN819" s="32"/>
      <c r="AO819" s="33" t="str">
        <f aca="false">IF(A819="","",IF(AD819&lt;&gt;"",AD819,IF(AC819&lt;&gt;"",AC819,"")))</f>
        <v/>
      </c>
      <c r="AP819" s="24" t="str">
        <f aca="false">IF(AO819="","",IF(AD819&lt;&gt;"","Reported reach","Impressions (proxy)"))</f>
        <v/>
      </c>
      <c r="AQ819" s="34" t="str">
        <f aca="false">IF(OR(AO819="",N(S819)=0),"",AO819/S819)</f>
        <v/>
      </c>
      <c r="AR819" s="33" t="str">
        <f aca="false">IF(A819="","",IF(COUNT(AF819:AJ819)=0,"",SUM(AF819:AJ819)))</f>
        <v/>
      </c>
      <c r="AS819" s="34" t="str">
        <f aca="false">IF(OR(AR819="",N(AO819)=0),"",AR819/AO819)</f>
        <v/>
      </c>
      <c r="AT819" s="34" t="str">
        <f aca="false">IF(OR(AR819="",N(AC819)=0),"",AR819/AC819)</f>
        <v/>
      </c>
      <c r="AU819" s="34" t="str">
        <f aca="false">IF(OR(AR819="",N(S819)=0),"",AR819/S819)</f>
        <v/>
      </c>
      <c r="AV819" s="34" t="str">
        <f aca="false">IF(OR(AJ819="",N(AC819)=0),"",AJ819/AC819)</f>
        <v/>
      </c>
      <c r="AW819" s="34" t="str">
        <f aca="false">IF(OR(AH819="",N(AO819)=0),"",AH819/AO819)</f>
        <v/>
      </c>
      <c r="AX819" s="35" t="str">
        <f aca="false">IF(OR(AR819="",N(AO819)=0),"",(N(AF819)*Settings!$B$6+N(AG819)*Settings!$B$7+N(AH819)*Settings!$B$8+N(AI819)*Settings!$B$9+N(AJ819)*Settings!$B$10)/AO819*1000)</f>
        <v/>
      </c>
      <c r="AY819" s="36" t="str">
        <f aca="false">IF(AS819="","",IFERROR(AS819/AVERAGEIFS('Post Tracker'!$AS$5:$AS$1004,'Post Tracker'!$G$5:$G$1004,G819),""))</f>
        <v/>
      </c>
      <c r="AZ819" s="32"/>
      <c r="BA819" s="32"/>
      <c r="BB819" s="32"/>
      <c r="BC819" s="32"/>
      <c r="BD819" s="33" t="str">
        <f aca="false">IF(A819="","",COUNTIFS('Demo Pipeline'!$Q$5:$Q$504,A819))</f>
        <v/>
      </c>
      <c r="BE819" s="33" t="str">
        <f aca="false">IF(A819="","",COUNTIFS('Demo Pipeline'!$Q$5:$Q$504,A819,'Demo Pipeline'!$W$5:$W$504,"Attended"))</f>
        <v/>
      </c>
      <c r="BF819" s="33" t="str">
        <f aca="false">IF(A819="","",COUNTIFS('Demo Pipeline'!$Q$5:$Q$504,A819,'Demo Pipeline'!$X$5:$X$504,"Yes"))</f>
        <v/>
      </c>
      <c r="BG819" s="33" t="str">
        <f aca="false">IF(A819="","",COUNTIFS('Demo Pipeline'!$Q$5:$Q$504,A819,'Demo Pipeline'!$Y$5:$Y$504,"Closed Won"))</f>
        <v/>
      </c>
      <c r="BH819" s="37" t="str">
        <f aca="false">IF(A819="","",SUMIFS('Demo Pipeline'!$Z$5:$Z$504,'Demo Pipeline'!$Q$5:$Q$504,A819))</f>
        <v/>
      </c>
      <c r="BI819" s="34" t="str">
        <f aca="false">IF(OR(AZ819="",N(AJ819)=0),"",AZ819/AJ819)</f>
        <v/>
      </c>
      <c r="BJ819" s="34" t="str">
        <f aca="false">IF(OR(BB819="",N(AZ819)=0),"",BB819/AZ819)</f>
        <v/>
      </c>
      <c r="BK819" s="34" t="str">
        <f aca="false">IF(OR(A819="",N(BB819)=0),"",BD819/BB819)</f>
        <v/>
      </c>
      <c r="BL819" s="34" t="str">
        <f aca="false">IF(OR(A819="",N(AZ819)=0),"",BD819/AZ819)</f>
        <v/>
      </c>
      <c r="BM819" s="37" t="str">
        <f aca="false">IF(OR(N(Q819)=0,N(BD819)=0),"",Q819/BD819)</f>
        <v/>
      </c>
      <c r="BN819" s="29"/>
      <c r="BO819" s="29"/>
      <c r="BP819" s="33" t="str">
        <f aca="false">IF(OR(AR819="",N(AO819)=0),"",AR819)</f>
        <v/>
      </c>
      <c r="BQ819" s="33" t="str">
        <f aca="false">IF(OR(AR819="",N(S819)=0),"",S819)</f>
        <v/>
      </c>
      <c r="BR819" s="38" t="str">
        <f aca="false">IF(AND(ISNUMBER(B819),B819&gt;=Dashboard!$C$4,B819&lt;=Dashboard!$F$4,ISNUMBER(AU819)),AU819+ROW()/10^9,"")</f>
        <v/>
      </c>
      <c r="BS819" s="38" t="str">
        <f aca="false">IF(AND(ISNUMBER(B819),B819&gt;=Dashboard!$C$4,B819&lt;=Dashboard!$F$4,A819&lt;&gt;""),N(BD819)+N(AU819)/100+ROW()/10^9,"")</f>
        <v/>
      </c>
    </row>
    <row r="820" customFormat="false" ht="15" hidden="false" customHeight="false" outlineLevel="0" collapsed="false">
      <c r="A820" s="24" t="str">
        <f aca="false">IF(OR(B820="",G820="",H820=""),"",IFERROR(INDEX(Settings!$E$5:$E$49,MATCH(G820,Settings!$D$5:$D$49,0))&amp;INDEX(Settings!$H$5:$H$47,MATCH(H820,Settings!$G$5:$G$47,0))&amp;"-"&amp;TEXT(B820,"yymmdd")&amp;"-"&amp;IF(C820="","0000",TEXT(C820,"hhmm")),"CHECK LISTS"))</f>
        <v/>
      </c>
      <c r="B820" s="39"/>
      <c r="C820" s="40"/>
      <c r="D820" s="24" t="str">
        <f aca="false">IF(B820="","",TEXT(B820,"ddd"))</f>
        <v/>
      </c>
      <c r="E820" s="27" t="str">
        <f aca="false">IF(B820="","",B820-WEEKDAY(B820,3))</f>
        <v/>
      </c>
      <c r="F820" s="24" t="str">
        <f aca="false">IF(B820="","",TEXT(B820,"yyyy-mm"))</f>
        <v/>
      </c>
      <c r="G820" s="29"/>
      <c r="H820" s="29"/>
      <c r="I820" s="29"/>
      <c r="J820" s="29"/>
      <c r="K820" s="29"/>
      <c r="L820" s="29"/>
      <c r="M820" s="29"/>
      <c r="N820" s="29"/>
      <c r="O820" s="29"/>
      <c r="P820" s="29"/>
      <c r="Q820" s="30"/>
      <c r="R820" s="29"/>
      <c r="S820" s="32"/>
      <c r="T820" s="29"/>
      <c r="U820" s="29"/>
      <c r="V820" s="24" t="str">
        <f aca="false">IF(A820="","",IFERROR(INDEX(Settings!$F$5:$F$49,MATCH(G820,Settings!$D$5:$D$49,0)),""))</f>
        <v/>
      </c>
      <c r="W820" s="24" t="str">
        <f aca="false">IF(A820="","",IF(OR(P820="",P820="Organic"),"social","paid_social"))</f>
        <v/>
      </c>
      <c r="X820" s="24" t="str">
        <f aca="false">IF(A820="","",IF(K820&lt;&gt;"",IFERROR(INDEX('Case Studies'!$C$5:$C$54,MATCH(K820,'Case Studies'!$B$5:$B$54,0))&amp;"","case-study"),IF(J820&lt;&gt;"",IFERROR(INDEX(Settings!$J$5:$J$55,MATCH(J820,Settings!$I$5:$I$55,0)),"general"),"general")))</f>
        <v/>
      </c>
      <c r="Y820" s="24" t="str">
        <f aca="false">IF(A820="","",LOWER(A820))</f>
        <v/>
      </c>
      <c r="Z820" s="24" t="str">
        <f aca="false">IF(A820="","",IF(T820="",Settings!$B$5,T820)&amp;IF(ISNUMBER(FIND("?",IF(T820="",Settings!$B$5,T820))),"&amp;","?")&amp;"utm_source="&amp;V820&amp;"&amp;utm_medium="&amp;W820&amp;"&amp;utm_campaign="&amp;X820&amp;"&amp;utm_content="&amp;Y820)</f>
        <v/>
      </c>
      <c r="AA820" s="29"/>
      <c r="AB820" s="39"/>
      <c r="AC820" s="32"/>
      <c r="AD820" s="32"/>
      <c r="AE820" s="32"/>
      <c r="AF820" s="32"/>
      <c r="AG820" s="32"/>
      <c r="AH820" s="32"/>
      <c r="AI820" s="32"/>
      <c r="AJ820" s="32"/>
      <c r="AK820" s="32"/>
      <c r="AL820" s="32"/>
      <c r="AM820" s="32"/>
      <c r="AN820" s="32"/>
      <c r="AO820" s="33" t="str">
        <f aca="false">IF(A820="","",IF(AD820&lt;&gt;"",AD820,IF(AC820&lt;&gt;"",AC820,"")))</f>
        <v/>
      </c>
      <c r="AP820" s="24" t="str">
        <f aca="false">IF(AO820="","",IF(AD820&lt;&gt;"","Reported reach","Impressions (proxy)"))</f>
        <v/>
      </c>
      <c r="AQ820" s="34" t="str">
        <f aca="false">IF(OR(AO820="",N(S820)=0),"",AO820/S820)</f>
        <v/>
      </c>
      <c r="AR820" s="33" t="str">
        <f aca="false">IF(A820="","",IF(COUNT(AF820:AJ820)=0,"",SUM(AF820:AJ820)))</f>
        <v/>
      </c>
      <c r="AS820" s="34" t="str">
        <f aca="false">IF(OR(AR820="",N(AO820)=0),"",AR820/AO820)</f>
        <v/>
      </c>
      <c r="AT820" s="34" t="str">
        <f aca="false">IF(OR(AR820="",N(AC820)=0),"",AR820/AC820)</f>
        <v/>
      </c>
      <c r="AU820" s="34" t="str">
        <f aca="false">IF(OR(AR820="",N(S820)=0),"",AR820/S820)</f>
        <v/>
      </c>
      <c r="AV820" s="34" t="str">
        <f aca="false">IF(OR(AJ820="",N(AC820)=0),"",AJ820/AC820)</f>
        <v/>
      </c>
      <c r="AW820" s="34" t="str">
        <f aca="false">IF(OR(AH820="",N(AO820)=0),"",AH820/AO820)</f>
        <v/>
      </c>
      <c r="AX820" s="35" t="str">
        <f aca="false">IF(OR(AR820="",N(AO820)=0),"",(N(AF820)*Settings!$B$6+N(AG820)*Settings!$B$7+N(AH820)*Settings!$B$8+N(AI820)*Settings!$B$9+N(AJ820)*Settings!$B$10)/AO820*1000)</f>
        <v/>
      </c>
      <c r="AY820" s="36" t="str">
        <f aca="false">IF(AS820="","",IFERROR(AS820/AVERAGEIFS('Post Tracker'!$AS$5:$AS$1004,'Post Tracker'!$G$5:$G$1004,G820),""))</f>
        <v/>
      </c>
      <c r="AZ820" s="32"/>
      <c r="BA820" s="32"/>
      <c r="BB820" s="32"/>
      <c r="BC820" s="32"/>
      <c r="BD820" s="33" t="str">
        <f aca="false">IF(A820="","",COUNTIFS('Demo Pipeline'!$Q$5:$Q$504,A820))</f>
        <v/>
      </c>
      <c r="BE820" s="33" t="str">
        <f aca="false">IF(A820="","",COUNTIFS('Demo Pipeline'!$Q$5:$Q$504,A820,'Demo Pipeline'!$W$5:$W$504,"Attended"))</f>
        <v/>
      </c>
      <c r="BF820" s="33" t="str">
        <f aca="false">IF(A820="","",COUNTIFS('Demo Pipeline'!$Q$5:$Q$504,A820,'Demo Pipeline'!$X$5:$X$504,"Yes"))</f>
        <v/>
      </c>
      <c r="BG820" s="33" t="str">
        <f aca="false">IF(A820="","",COUNTIFS('Demo Pipeline'!$Q$5:$Q$504,A820,'Demo Pipeline'!$Y$5:$Y$504,"Closed Won"))</f>
        <v/>
      </c>
      <c r="BH820" s="37" t="str">
        <f aca="false">IF(A820="","",SUMIFS('Demo Pipeline'!$Z$5:$Z$504,'Demo Pipeline'!$Q$5:$Q$504,A820))</f>
        <v/>
      </c>
      <c r="BI820" s="34" t="str">
        <f aca="false">IF(OR(AZ820="",N(AJ820)=0),"",AZ820/AJ820)</f>
        <v/>
      </c>
      <c r="BJ820" s="34" t="str">
        <f aca="false">IF(OR(BB820="",N(AZ820)=0),"",BB820/AZ820)</f>
        <v/>
      </c>
      <c r="BK820" s="34" t="str">
        <f aca="false">IF(OR(A820="",N(BB820)=0),"",BD820/BB820)</f>
        <v/>
      </c>
      <c r="BL820" s="34" t="str">
        <f aca="false">IF(OR(A820="",N(AZ820)=0),"",BD820/AZ820)</f>
        <v/>
      </c>
      <c r="BM820" s="37" t="str">
        <f aca="false">IF(OR(N(Q820)=0,N(BD820)=0),"",Q820/BD820)</f>
        <v/>
      </c>
      <c r="BN820" s="29"/>
      <c r="BO820" s="29"/>
      <c r="BP820" s="33" t="str">
        <f aca="false">IF(OR(AR820="",N(AO820)=0),"",AR820)</f>
        <v/>
      </c>
      <c r="BQ820" s="33" t="str">
        <f aca="false">IF(OR(AR820="",N(S820)=0),"",S820)</f>
        <v/>
      </c>
      <c r="BR820" s="38" t="str">
        <f aca="false">IF(AND(ISNUMBER(B820),B820&gt;=Dashboard!$C$4,B820&lt;=Dashboard!$F$4,ISNUMBER(AU820)),AU820+ROW()/10^9,"")</f>
        <v/>
      </c>
      <c r="BS820" s="38" t="str">
        <f aca="false">IF(AND(ISNUMBER(B820),B820&gt;=Dashboard!$C$4,B820&lt;=Dashboard!$F$4,A820&lt;&gt;""),N(BD820)+N(AU820)/100+ROW()/10^9,"")</f>
        <v/>
      </c>
    </row>
    <row r="821" customFormat="false" ht="15" hidden="false" customHeight="false" outlineLevel="0" collapsed="false">
      <c r="A821" s="24" t="str">
        <f aca="false">IF(OR(B821="",G821="",H821=""),"",IFERROR(INDEX(Settings!$E$5:$E$49,MATCH(G821,Settings!$D$5:$D$49,0))&amp;INDEX(Settings!$H$5:$H$47,MATCH(H821,Settings!$G$5:$G$47,0))&amp;"-"&amp;TEXT(B821,"yymmdd")&amp;"-"&amp;IF(C821="","0000",TEXT(C821,"hhmm")),"CHECK LISTS"))</f>
        <v/>
      </c>
      <c r="B821" s="39"/>
      <c r="C821" s="40"/>
      <c r="D821" s="24" t="str">
        <f aca="false">IF(B821="","",TEXT(B821,"ddd"))</f>
        <v/>
      </c>
      <c r="E821" s="27" t="str">
        <f aca="false">IF(B821="","",B821-WEEKDAY(B821,3))</f>
        <v/>
      </c>
      <c r="F821" s="24" t="str">
        <f aca="false">IF(B821="","",TEXT(B821,"yyyy-mm"))</f>
        <v/>
      </c>
      <c r="G821" s="29"/>
      <c r="H821" s="29"/>
      <c r="I821" s="29"/>
      <c r="J821" s="29"/>
      <c r="K821" s="29"/>
      <c r="L821" s="29"/>
      <c r="M821" s="29"/>
      <c r="N821" s="29"/>
      <c r="O821" s="29"/>
      <c r="P821" s="29"/>
      <c r="Q821" s="30"/>
      <c r="R821" s="29"/>
      <c r="S821" s="32"/>
      <c r="T821" s="29"/>
      <c r="U821" s="29"/>
      <c r="V821" s="24" t="str">
        <f aca="false">IF(A821="","",IFERROR(INDEX(Settings!$F$5:$F$49,MATCH(G821,Settings!$D$5:$D$49,0)),""))</f>
        <v/>
      </c>
      <c r="W821" s="24" t="str">
        <f aca="false">IF(A821="","",IF(OR(P821="",P821="Organic"),"social","paid_social"))</f>
        <v/>
      </c>
      <c r="X821" s="24" t="str">
        <f aca="false">IF(A821="","",IF(K821&lt;&gt;"",IFERROR(INDEX('Case Studies'!$C$5:$C$54,MATCH(K821,'Case Studies'!$B$5:$B$54,0))&amp;"","case-study"),IF(J821&lt;&gt;"",IFERROR(INDEX(Settings!$J$5:$J$55,MATCH(J821,Settings!$I$5:$I$55,0)),"general"),"general")))</f>
        <v/>
      </c>
      <c r="Y821" s="24" t="str">
        <f aca="false">IF(A821="","",LOWER(A821))</f>
        <v/>
      </c>
      <c r="Z821" s="24" t="str">
        <f aca="false">IF(A821="","",IF(T821="",Settings!$B$5,T821)&amp;IF(ISNUMBER(FIND("?",IF(T821="",Settings!$B$5,T821))),"&amp;","?")&amp;"utm_source="&amp;V821&amp;"&amp;utm_medium="&amp;W821&amp;"&amp;utm_campaign="&amp;X821&amp;"&amp;utm_content="&amp;Y821)</f>
        <v/>
      </c>
      <c r="AA821" s="29"/>
      <c r="AB821" s="39"/>
      <c r="AC821" s="32"/>
      <c r="AD821" s="32"/>
      <c r="AE821" s="32"/>
      <c r="AF821" s="32"/>
      <c r="AG821" s="32"/>
      <c r="AH821" s="32"/>
      <c r="AI821" s="32"/>
      <c r="AJ821" s="32"/>
      <c r="AK821" s="32"/>
      <c r="AL821" s="32"/>
      <c r="AM821" s="32"/>
      <c r="AN821" s="32"/>
      <c r="AO821" s="33" t="str">
        <f aca="false">IF(A821="","",IF(AD821&lt;&gt;"",AD821,IF(AC821&lt;&gt;"",AC821,"")))</f>
        <v/>
      </c>
      <c r="AP821" s="24" t="str">
        <f aca="false">IF(AO821="","",IF(AD821&lt;&gt;"","Reported reach","Impressions (proxy)"))</f>
        <v/>
      </c>
      <c r="AQ821" s="34" t="str">
        <f aca="false">IF(OR(AO821="",N(S821)=0),"",AO821/S821)</f>
        <v/>
      </c>
      <c r="AR821" s="33" t="str">
        <f aca="false">IF(A821="","",IF(COUNT(AF821:AJ821)=0,"",SUM(AF821:AJ821)))</f>
        <v/>
      </c>
      <c r="AS821" s="34" t="str">
        <f aca="false">IF(OR(AR821="",N(AO821)=0),"",AR821/AO821)</f>
        <v/>
      </c>
      <c r="AT821" s="34" t="str">
        <f aca="false">IF(OR(AR821="",N(AC821)=0),"",AR821/AC821)</f>
        <v/>
      </c>
      <c r="AU821" s="34" t="str">
        <f aca="false">IF(OR(AR821="",N(S821)=0),"",AR821/S821)</f>
        <v/>
      </c>
      <c r="AV821" s="34" t="str">
        <f aca="false">IF(OR(AJ821="",N(AC821)=0),"",AJ821/AC821)</f>
        <v/>
      </c>
      <c r="AW821" s="34" t="str">
        <f aca="false">IF(OR(AH821="",N(AO821)=0),"",AH821/AO821)</f>
        <v/>
      </c>
      <c r="AX821" s="35" t="str">
        <f aca="false">IF(OR(AR821="",N(AO821)=0),"",(N(AF821)*Settings!$B$6+N(AG821)*Settings!$B$7+N(AH821)*Settings!$B$8+N(AI821)*Settings!$B$9+N(AJ821)*Settings!$B$10)/AO821*1000)</f>
        <v/>
      </c>
      <c r="AY821" s="36" t="str">
        <f aca="false">IF(AS821="","",IFERROR(AS821/AVERAGEIFS('Post Tracker'!$AS$5:$AS$1004,'Post Tracker'!$G$5:$G$1004,G821),""))</f>
        <v/>
      </c>
      <c r="AZ821" s="32"/>
      <c r="BA821" s="32"/>
      <c r="BB821" s="32"/>
      <c r="BC821" s="32"/>
      <c r="BD821" s="33" t="str">
        <f aca="false">IF(A821="","",COUNTIFS('Demo Pipeline'!$Q$5:$Q$504,A821))</f>
        <v/>
      </c>
      <c r="BE821" s="33" t="str">
        <f aca="false">IF(A821="","",COUNTIFS('Demo Pipeline'!$Q$5:$Q$504,A821,'Demo Pipeline'!$W$5:$W$504,"Attended"))</f>
        <v/>
      </c>
      <c r="BF821" s="33" t="str">
        <f aca="false">IF(A821="","",COUNTIFS('Demo Pipeline'!$Q$5:$Q$504,A821,'Demo Pipeline'!$X$5:$X$504,"Yes"))</f>
        <v/>
      </c>
      <c r="BG821" s="33" t="str">
        <f aca="false">IF(A821="","",COUNTIFS('Demo Pipeline'!$Q$5:$Q$504,A821,'Demo Pipeline'!$Y$5:$Y$504,"Closed Won"))</f>
        <v/>
      </c>
      <c r="BH821" s="37" t="str">
        <f aca="false">IF(A821="","",SUMIFS('Demo Pipeline'!$Z$5:$Z$504,'Demo Pipeline'!$Q$5:$Q$504,A821))</f>
        <v/>
      </c>
      <c r="BI821" s="34" t="str">
        <f aca="false">IF(OR(AZ821="",N(AJ821)=0),"",AZ821/AJ821)</f>
        <v/>
      </c>
      <c r="BJ821" s="34" t="str">
        <f aca="false">IF(OR(BB821="",N(AZ821)=0),"",BB821/AZ821)</f>
        <v/>
      </c>
      <c r="BK821" s="34" t="str">
        <f aca="false">IF(OR(A821="",N(BB821)=0),"",BD821/BB821)</f>
        <v/>
      </c>
      <c r="BL821" s="34" t="str">
        <f aca="false">IF(OR(A821="",N(AZ821)=0),"",BD821/AZ821)</f>
        <v/>
      </c>
      <c r="BM821" s="37" t="str">
        <f aca="false">IF(OR(N(Q821)=0,N(BD821)=0),"",Q821/BD821)</f>
        <v/>
      </c>
      <c r="BN821" s="29"/>
      <c r="BO821" s="29"/>
      <c r="BP821" s="33" t="str">
        <f aca="false">IF(OR(AR821="",N(AO821)=0),"",AR821)</f>
        <v/>
      </c>
      <c r="BQ821" s="33" t="str">
        <f aca="false">IF(OR(AR821="",N(S821)=0),"",S821)</f>
        <v/>
      </c>
      <c r="BR821" s="38" t="str">
        <f aca="false">IF(AND(ISNUMBER(B821),B821&gt;=Dashboard!$C$4,B821&lt;=Dashboard!$F$4,ISNUMBER(AU821)),AU821+ROW()/10^9,"")</f>
        <v/>
      </c>
      <c r="BS821" s="38" t="str">
        <f aca="false">IF(AND(ISNUMBER(B821),B821&gt;=Dashboard!$C$4,B821&lt;=Dashboard!$F$4,A821&lt;&gt;""),N(BD821)+N(AU821)/100+ROW()/10^9,"")</f>
        <v/>
      </c>
    </row>
    <row r="822" customFormat="false" ht="15" hidden="false" customHeight="false" outlineLevel="0" collapsed="false">
      <c r="A822" s="24" t="str">
        <f aca="false">IF(OR(B822="",G822="",H822=""),"",IFERROR(INDEX(Settings!$E$5:$E$49,MATCH(G822,Settings!$D$5:$D$49,0))&amp;INDEX(Settings!$H$5:$H$47,MATCH(H822,Settings!$G$5:$G$47,0))&amp;"-"&amp;TEXT(B822,"yymmdd")&amp;"-"&amp;IF(C822="","0000",TEXT(C822,"hhmm")),"CHECK LISTS"))</f>
        <v/>
      </c>
      <c r="B822" s="39"/>
      <c r="C822" s="40"/>
      <c r="D822" s="24" t="str">
        <f aca="false">IF(B822="","",TEXT(B822,"ddd"))</f>
        <v/>
      </c>
      <c r="E822" s="27" t="str">
        <f aca="false">IF(B822="","",B822-WEEKDAY(B822,3))</f>
        <v/>
      </c>
      <c r="F822" s="24" t="str">
        <f aca="false">IF(B822="","",TEXT(B822,"yyyy-mm"))</f>
        <v/>
      </c>
      <c r="G822" s="29"/>
      <c r="H822" s="29"/>
      <c r="I822" s="29"/>
      <c r="J822" s="29"/>
      <c r="K822" s="29"/>
      <c r="L822" s="29"/>
      <c r="M822" s="29"/>
      <c r="N822" s="29"/>
      <c r="O822" s="29"/>
      <c r="P822" s="29"/>
      <c r="Q822" s="30"/>
      <c r="R822" s="29"/>
      <c r="S822" s="32"/>
      <c r="T822" s="29"/>
      <c r="U822" s="29"/>
      <c r="V822" s="24" t="str">
        <f aca="false">IF(A822="","",IFERROR(INDEX(Settings!$F$5:$F$49,MATCH(G822,Settings!$D$5:$D$49,0)),""))</f>
        <v/>
      </c>
      <c r="W822" s="24" t="str">
        <f aca="false">IF(A822="","",IF(OR(P822="",P822="Organic"),"social","paid_social"))</f>
        <v/>
      </c>
      <c r="X822" s="24" t="str">
        <f aca="false">IF(A822="","",IF(K822&lt;&gt;"",IFERROR(INDEX('Case Studies'!$C$5:$C$54,MATCH(K822,'Case Studies'!$B$5:$B$54,0))&amp;"","case-study"),IF(J822&lt;&gt;"",IFERROR(INDEX(Settings!$J$5:$J$55,MATCH(J822,Settings!$I$5:$I$55,0)),"general"),"general")))</f>
        <v/>
      </c>
      <c r="Y822" s="24" t="str">
        <f aca="false">IF(A822="","",LOWER(A822))</f>
        <v/>
      </c>
      <c r="Z822" s="24" t="str">
        <f aca="false">IF(A822="","",IF(T822="",Settings!$B$5,T822)&amp;IF(ISNUMBER(FIND("?",IF(T822="",Settings!$B$5,T822))),"&amp;","?")&amp;"utm_source="&amp;V822&amp;"&amp;utm_medium="&amp;W822&amp;"&amp;utm_campaign="&amp;X822&amp;"&amp;utm_content="&amp;Y822)</f>
        <v/>
      </c>
      <c r="AA822" s="29"/>
      <c r="AB822" s="39"/>
      <c r="AC822" s="32"/>
      <c r="AD822" s="32"/>
      <c r="AE822" s="32"/>
      <c r="AF822" s="32"/>
      <c r="AG822" s="32"/>
      <c r="AH822" s="32"/>
      <c r="AI822" s="32"/>
      <c r="AJ822" s="32"/>
      <c r="AK822" s="32"/>
      <c r="AL822" s="32"/>
      <c r="AM822" s="32"/>
      <c r="AN822" s="32"/>
      <c r="AO822" s="33" t="str">
        <f aca="false">IF(A822="","",IF(AD822&lt;&gt;"",AD822,IF(AC822&lt;&gt;"",AC822,"")))</f>
        <v/>
      </c>
      <c r="AP822" s="24" t="str">
        <f aca="false">IF(AO822="","",IF(AD822&lt;&gt;"","Reported reach","Impressions (proxy)"))</f>
        <v/>
      </c>
      <c r="AQ822" s="34" t="str">
        <f aca="false">IF(OR(AO822="",N(S822)=0),"",AO822/S822)</f>
        <v/>
      </c>
      <c r="AR822" s="33" t="str">
        <f aca="false">IF(A822="","",IF(COUNT(AF822:AJ822)=0,"",SUM(AF822:AJ822)))</f>
        <v/>
      </c>
      <c r="AS822" s="34" t="str">
        <f aca="false">IF(OR(AR822="",N(AO822)=0),"",AR822/AO822)</f>
        <v/>
      </c>
      <c r="AT822" s="34" t="str">
        <f aca="false">IF(OR(AR822="",N(AC822)=0),"",AR822/AC822)</f>
        <v/>
      </c>
      <c r="AU822" s="34" t="str">
        <f aca="false">IF(OR(AR822="",N(S822)=0),"",AR822/S822)</f>
        <v/>
      </c>
      <c r="AV822" s="34" t="str">
        <f aca="false">IF(OR(AJ822="",N(AC822)=0),"",AJ822/AC822)</f>
        <v/>
      </c>
      <c r="AW822" s="34" t="str">
        <f aca="false">IF(OR(AH822="",N(AO822)=0),"",AH822/AO822)</f>
        <v/>
      </c>
      <c r="AX822" s="35" t="str">
        <f aca="false">IF(OR(AR822="",N(AO822)=0),"",(N(AF822)*Settings!$B$6+N(AG822)*Settings!$B$7+N(AH822)*Settings!$B$8+N(AI822)*Settings!$B$9+N(AJ822)*Settings!$B$10)/AO822*1000)</f>
        <v/>
      </c>
      <c r="AY822" s="36" t="str">
        <f aca="false">IF(AS822="","",IFERROR(AS822/AVERAGEIFS('Post Tracker'!$AS$5:$AS$1004,'Post Tracker'!$G$5:$G$1004,G822),""))</f>
        <v/>
      </c>
      <c r="AZ822" s="32"/>
      <c r="BA822" s="32"/>
      <c r="BB822" s="32"/>
      <c r="BC822" s="32"/>
      <c r="BD822" s="33" t="str">
        <f aca="false">IF(A822="","",COUNTIFS('Demo Pipeline'!$Q$5:$Q$504,A822))</f>
        <v/>
      </c>
      <c r="BE822" s="33" t="str">
        <f aca="false">IF(A822="","",COUNTIFS('Demo Pipeline'!$Q$5:$Q$504,A822,'Demo Pipeline'!$W$5:$W$504,"Attended"))</f>
        <v/>
      </c>
      <c r="BF822" s="33" t="str">
        <f aca="false">IF(A822="","",COUNTIFS('Demo Pipeline'!$Q$5:$Q$504,A822,'Demo Pipeline'!$X$5:$X$504,"Yes"))</f>
        <v/>
      </c>
      <c r="BG822" s="33" t="str">
        <f aca="false">IF(A822="","",COUNTIFS('Demo Pipeline'!$Q$5:$Q$504,A822,'Demo Pipeline'!$Y$5:$Y$504,"Closed Won"))</f>
        <v/>
      </c>
      <c r="BH822" s="37" t="str">
        <f aca="false">IF(A822="","",SUMIFS('Demo Pipeline'!$Z$5:$Z$504,'Demo Pipeline'!$Q$5:$Q$504,A822))</f>
        <v/>
      </c>
      <c r="BI822" s="34" t="str">
        <f aca="false">IF(OR(AZ822="",N(AJ822)=0),"",AZ822/AJ822)</f>
        <v/>
      </c>
      <c r="BJ822" s="34" t="str">
        <f aca="false">IF(OR(BB822="",N(AZ822)=0),"",BB822/AZ822)</f>
        <v/>
      </c>
      <c r="BK822" s="34" t="str">
        <f aca="false">IF(OR(A822="",N(BB822)=0),"",BD822/BB822)</f>
        <v/>
      </c>
      <c r="BL822" s="34" t="str">
        <f aca="false">IF(OR(A822="",N(AZ822)=0),"",BD822/AZ822)</f>
        <v/>
      </c>
      <c r="BM822" s="37" t="str">
        <f aca="false">IF(OR(N(Q822)=0,N(BD822)=0),"",Q822/BD822)</f>
        <v/>
      </c>
      <c r="BN822" s="29"/>
      <c r="BO822" s="29"/>
      <c r="BP822" s="33" t="str">
        <f aca="false">IF(OR(AR822="",N(AO822)=0),"",AR822)</f>
        <v/>
      </c>
      <c r="BQ822" s="33" t="str">
        <f aca="false">IF(OR(AR822="",N(S822)=0),"",S822)</f>
        <v/>
      </c>
      <c r="BR822" s="38" t="str">
        <f aca="false">IF(AND(ISNUMBER(B822),B822&gt;=Dashboard!$C$4,B822&lt;=Dashboard!$F$4,ISNUMBER(AU822)),AU822+ROW()/10^9,"")</f>
        <v/>
      </c>
      <c r="BS822" s="38" t="str">
        <f aca="false">IF(AND(ISNUMBER(B822),B822&gt;=Dashboard!$C$4,B822&lt;=Dashboard!$F$4,A822&lt;&gt;""),N(BD822)+N(AU822)/100+ROW()/10^9,"")</f>
        <v/>
      </c>
    </row>
    <row r="823" customFormat="false" ht="15" hidden="false" customHeight="false" outlineLevel="0" collapsed="false">
      <c r="A823" s="24" t="str">
        <f aca="false">IF(OR(B823="",G823="",H823=""),"",IFERROR(INDEX(Settings!$E$5:$E$49,MATCH(G823,Settings!$D$5:$D$49,0))&amp;INDEX(Settings!$H$5:$H$47,MATCH(H823,Settings!$G$5:$G$47,0))&amp;"-"&amp;TEXT(B823,"yymmdd")&amp;"-"&amp;IF(C823="","0000",TEXT(C823,"hhmm")),"CHECK LISTS"))</f>
        <v/>
      </c>
      <c r="B823" s="39"/>
      <c r="C823" s="40"/>
      <c r="D823" s="24" t="str">
        <f aca="false">IF(B823="","",TEXT(B823,"ddd"))</f>
        <v/>
      </c>
      <c r="E823" s="27" t="str">
        <f aca="false">IF(B823="","",B823-WEEKDAY(B823,3))</f>
        <v/>
      </c>
      <c r="F823" s="24" t="str">
        <f aca="false">IF(B823="","",TEXT(B823,"yyyy-mm"))</f>
        <v/>
      </c>
      <c r="G823" s="29"/>
      <c r="H823" s="29"/>
      <c r="I823" s="29"/>
      <c r="J823" s="29"/>
      <c r="K823" s="29"/>
      <c r="L823" s="29"/>
      <c r="M823" s="29"/>
      <c r="N823" s="29"/>
      <c r="O823" s="29"/>
      <c r="P823" s="29"/>
      <c r="Q823" s="30"/>
      <c r="R823" s="29"/>
      <c r="S823" s="32"/>
      <c r="T823" s="29"/>
      <c r="U823" s="29"/>
      <c r="V823" s="24" t="str">
        <f aca="false">IF(A823="","",IFERROR(INDEX(Settings!$F$5:$F$49,MATCH(G823,Settings!$D$5:$D$49,0)),""))</f>
        <v/>
      </c>
      <c r="W823" s="24" t="str">
        <f aca="false">IF(A823="","",IF(OR(P823="",P823="Organic"),"social","paid_social"))</f>
        <v/>
      </c>
      <c r="X823" s="24" t="str">
        <f aca="false">IF(A823="","",IF(K823&lt;&gt;"",IFERROR(INDEX('Case Studies'!$C$5:$C$54,MATCH(K823,'Case Studies'!$B$5:$B$54,0))&amp;"","case-study"),IF(J823&lt;&gt;"",IFERROR(INDEX(Settings!$J$5:$J$55,MATCH(J823,Settings!$I$5:$I$55,0)),"general"),"general")))</f>
        <v/>
      </c>
      <c r="Y823" s="24" t="str">
        <f aca="false">IF(A823="","",LOWER(A823))</f>
        <v/>
      </c>
      <c r="Z823" s="24" t="str">
        <f aca="false">IF(A823="","",IF(T823="",Settings!$B$5,T823)&amp;IF(ISNUMBER(FIND("?",IF(T823="",Settings!$B$5,T823))),"&amp;","?")&amp;"utm_source="&amp;V823&amp;"&amp;utm_medium="&amp;W823&amp;"&amp;utm_campaign="&amp;X823&amp;"&amp;utm_content="&amp;Y823)</f>
        <v/>
      </c>
      <c r="AA823" s="29"/>
      <c r="AB823" s="39"/>
      <c r="AC823" s="32"/>
      <c r="AD823" s="32"/>
      <c r="AE823" s="32"/>
      <c r="AF823" s="32"/>
      <c r="AG823" s="32"/>
      <c r="AH823" s="32"/>
      <c r="AI823" s="32"/>
      <c r="AJ823" s="32"/>
      <c r="AK823" s="32"/>
      <c r="AL823" s="32"/>
      <c r="AM823" s="32"/>
      <c r="AN823" s="32"/>
      <c r="AO823" s="33" t="str">
        <f aca="false">IF(A823="","",IF(AD823&lt;&gt;"",AD823,IF(AC823&lt;&gt;"",AC823,"")))</f>
        <v/>
      </c>
      <c r="AP823" s="24" t="str">
        <f aca="false">IF(AO823="","",IF(AD823&lt;&gt;"","Reported reach","Impressions (proxy)"))</f>
        <v/>
      </c>
      <c r="AQ823" s="34" t="str">
        <f aca="false">IF(OR(AO823="",N(S823)=0),"",AO823/S823)</f>
        <v/>
      </c>
      <c r="AR823" s="33" t="str">
        <f aca="false">IF(A823="","",IF(COUNT(AF823:AJ823)=0,"",SUM(AF823:AJ823)))</f>
        <v/>
      </c>
      <c r="AS823" s="34" t="str">
        <f aca="false">IF(OR(AR823="",N(AO823)=0),"",AR823/AO823)</f>
        <v/>
      </c>
      <c r="AT823" s="34" t="str">
        <f aca="false">IF(OR(AR823="",N(AC823)=0),"",AR823/AC823)</f>
        <v/>
      </c>
      <c r="AU823" s="34" t="str">
        <f aca="false">IF(OR(AR823="",N(S823)=0),"",AR823/S823)</f>
        <v/>
      </c>
      <c r="AV823" s="34" t="str">
        <f aca="false">IF(OR(AJ823="",N(AC823)=0),"",AJ823/AC823)</f>
        <v/>
      </c>
      <c r="AW823" s="34" t="str">
        <f aca="false">IF(OR(AH823="",N(AO823)=0),"",AH823/AO823)</f>
        <v/>
      </c>
      <c r="AX823" s="35" t="str">
        <f aca="false">IF(OR(AR823="",N(AO823)=0),"",(N(AF823)*Settings!$B$6+N(AG823)*Settings!$B$7+N(AH823)*Settings!$B$8+N(AI823)*Settings!$B$9+N(AJ823)*Settings!$B$10)/AO823*1000)</f>
        <v/>
      </c>
      <c r="AY823" s="36" t="str">
        <f aca="false">IF(AS823="","",IFERROR(AS823/AVERAGEIFS('Post Tracker'!$AS$5:$AS$1004,'Post Tracker'!$G$5:$G$1004,G823),""))</f>
        <v/>
      </c>
      <c r="AZ823" s="32"/>
      <c r="BA823" s="32"/>
      <c r="BB823" s="32"/>
      <c r="BC823" s="32"/>
      <c r="BD823" s="33" t="str">
        <f aca="false">IF(A823="","",COUNTIFS('Demo Pipeline'!$Q$5:$Q$504,A823))</f>
        <v/>
      </c>
      <c r="BE823" s="33" t="str">
        <f aca="false">IF(A823="","",COUNTIFS('Demo Pipeline'!$Q$5:$Q$504,A823,'Demo Pipeline'!$W$5:$W$504,"Attended"))</f>
        <v/>
      </c>
      <c r="BF823" s="33" t="str">
        <f aca="false">IF(A823="","",COUNTIFS('Demo Pipeline'!$Q$5:$Q$504,A823,'Demo Pipeline'!$X$5:$X$504,"Yes"))</f>
        <v/>
      </c>
      <c r="BG823" s="33" t="str">
        <f aca="false">IF(A823="","",COUNTIFS('Demo Pipeline'!$Q$5:$Q$504,A823,'Demo Pipeline'!$Y$5:$Y$504,"Closed Won"))</f>
        <v/>
      </c>
      <c r="BH823" s="37" t="str">
        <f aca="false">IF(A823="","",SUMIFS('Demo Pipeline'!$Z$5:$Z$504,'Demo Pipeline'!$Q$5:$Q$504,A823))</f>
        <v/>
      </c>
      <c r="BI823" s="34" t="str">
        <f aca="false">IF(OR(AZ823="",N(AJ823)=0),"",AZ823/AJ823)</f>
        <v/>
      </c>
      <c r="BJ823" s="34" t="str">
        <f aca="false">IF(OR(BB823="",N(AZ823)=0),"",BB823/AZ823)</f>
        <v/>
      </c>
      <c r="BK823" s="34" t="str">
        <f aca="false">IF(OR(A823="",N(BB823)=0),"",BD823/BB823)</f>
        <v/>
      </c>
      <c r="BL823" s="34" t="str">
        <f aca="false">IF(OR(A823="",N(AZ823)=0),"",BD823/AZ823)</f>
        <v/>
      </c>
      <c r="BM823" s="37" t="str">
        <f aca="false">IF(OR(N(Q823)=0,N(BD823)=0),"",Q823/BD823)</f>
        <v/>
      </c>
      <c r="BN823" s="29"/>
      <c r="BO823" s="29"/>
      <c r="BP823" s="33" t="str">
        <f aca="false">IF(OR(AR823="",N(AO823)=0),"",AR823)</f>
        <v/>
      </c>
      <c r="BQ823" s="33" t="str">
        <f aca="false">IF(OR(AR823="",N(S823)=0),"",S823)</f>
        <v/>
      </c>
      <c r="BR823" s="38" t="str">
        <f aca="false">IF(AND(ISNUMBER(B823),B823&gt;=Dashboard!$C$4,B823&lt;=Dashboard!$F$4,ISNUMBER(AU823)),AU823+ROW()/10^9,"")</f>
        <v/>
      </c>
      <c r="BS823" s="38" t="str">
        <f aca="false">IF(AND(ISNUMBER(B823),B823&gt;=Dashboard!$C$4,B823&lt;=Dashboard!$F$4,A823&lt;&gt;""),N(BD823)+N(AU823)/100+ROW()/10^9,"")</f>
        <v/>
      </c>
    </row>
    <row r="824" customFormat="false" ht="15" hidden="false" customHeight="false" outlineLevel="0" collapsed="false">
      <c r="A824" s="24" t="str">
        <f aca="false">IF(OR(B824="",G824="",H824=""),"",IFERROR(INDEX(Settings!$E$5:$E$49,MATCH(G824,Settings!$D$5:$D$49,0))&amp;INDEX(Settings!$H$5:$H$47,MATCH(H824,Settings!$G$5:$G$47,0))&amp;"-"&amp;TEXT(B824,"yymmdd")&amp;"-"&amp;IF(C824="","0000",TEXT(C824,"hhmm")),"CHECK LISTS"))</f>
        <v/>
      </c>
      <c r="B824" s="39"/>
      <c r="C824" s="40"/>
      <c r="D824" s="24" t="str">
        <f aca="false">IF(B824="","",TEXT(B824,"ddd"))</f>
        <v/>
      </c>
      <c r="E824" s="27" t="str">
        <f aca="false">IF(B824="","",B824-WEEKDAY(B824,3))</f>
        <v/>
      </c>
      <c r="F824" s="24" t="str">
        <f aca="false">IF(B824="","",TEXT(B824,"yyyy-mm"))</f>
        <v/>
      </c>
      <c r="G824" s="29"/>
      <c r="H824" s="29"/>
      <c r="I824" s="29"/>
      <c r="J824" s="29"/>
      <c r="K824" s="29"/>
      <c r="L824" s="29"/>
      <c r="M824" s="29"/>
      <c r="N824" s="29"/>
      <c r="O824" s="29"/>
      <c r="P824" s="29"/>
      <c r="Q824" s="30"/>
      <c r="R824" s="29"/>
      <c r="S824" s="32"/>
      <c r="T824" s="29"/>
      <c r="U824" s="29"/>
      <c r="V824" s="24" t="str">
        <f aca="false">IF(A824="","",IFERROR(INDEX(Settings!$F$5:$F$49,MATCH(G824,Settings!$D$5:$D$49,0)),""))</f>
        <v/>
      </c>
      <c r="W824" s="24" t="str">
        <f aca="false">IF(A824="","",IF(OR(P824="",P824="Organic"),"social","paid_social"))</f>
        <v/>
      </c>
      <c r="X824" s="24" t="str">
        <f aca="false">IF(A824="","",IF(K824&lt;&gt;"",IFERROR(INDEX('Case Studies'!$C$5:$C$54,MATCH(K824,'Case Studies'!$B$5:$B$54,0))&amp;"","case-study"),IF(J824&lt;&gt;"",IFERROR(INDEX(Settings!$J$5:$J$55,MATCH(J824,Settings!$I$5:$I$55,0)),"general"),"general")))</f>
        <v/>
      </c>
      <c r="Y824" s="24" t="str">
        <f aca="false">IF(A824="","",LOWER(A824))</f>
        <v/>
      </c>
      <c r="Z824" s="24" t="str">
        <f aca="false">IF(A824="","",IF(T824="",Settings!$B$5,T824)&amp;IF(ISNUMBER(FIND("?",IF(T824="",Settings!$B$5,T824))),"&amp;","?")&amp;"utm_source="&amp;V824&amp;"&amp;utm_medium="&amp;W824&amp;"&amp;utm_campaign="&amp;X824&amp;"&amp;utm_content="&amp;Y824)</f>
        <v/>
      </c>
      <c r="AA824" s="29"/>
      <c r="AB824" s="39"/>
      <c r="AC824" s="32"/>
      <c r="AD824" s="32"/>
      <c r="AE824" s="32"/>
      <c r="AF824" s="32"/>
      <c r="AG824" s="32"/>
      <c r="AH824" s="32"/>
      <c r="AI824" s="32"/>
      <c r="AJ824" s="32"/>
      <c r="AK824" s="32"/>
      <c r="AL824" s="32"/>
      <c r="AM824" s="32"/>
      <c r="AN824" s="32"/>
      <c r="AO824" s="33" t="str">
        <f aca="false">IF(A824="","",IF(AD824&lt;&gt;"",AD824,IF(AC824&lt;&gt;"",AC824,"")))</f>
        <v/>
      </c>
      <c r="AP824" s="24" t="str">
        <f aca="false">IF(AO824="","",IF(AD824&lt;&gt;"","Reported reach","Impressions (proxy)"))</f>
        <v/>
      </c>
      <c r="AQ824" s="34" t="str">
        <f aca="false">IF(OR(AO824="",N(S824)=0),"",AO824/S824)</f>
        <v/>
      </c>
      <c r="AR824" s="33" t="str">
        <f aca="false">IF(A824="","",IF(COUNT(AF824:AJ824)=0,"",SUM(AF824:AJ824)))</f>
        <v/>
      </c>
      <c r="AS824" s="34" t="str">
        <f aca="false">IF(OR(AR824="",N(AO824)=0),"",AR824/AO824)</f>
        <v/>
      </c>
      <c r="AT824" s="34" t="str">
        <f aca="false">IF(OR(AR824="",N(AC824)=0),"",AR824/AC824)</f>
        <v/>
      </c>
      <c r="AU824" s="34" t="str">
        <f aca="false">IF(OR(AR824="",N(S824)=0),"",AR824/S824)</f>
        <v/>
      </c>
      <c r="AV824" s="34" t="str">
        <f aca="false">IF(OR(AJ824="",N(AC824)=0),"",AJ824/AC824)</f>
        <v/>
      </c>
      <c r="AW824" s="34" t="str">
        <f aca="false">IF(OR(AH824="",N(AO824)=0),"",AH824/AO824)</f>
        <v/>
      </c>
      <c r="AX824" s="35" t="str">
        <f aca="false">IF(OR(AR824="",N(AO824)=0),"",(N(AF824)*Settings!$B$6+N(AG824)*Settings!$B$7+N(AH824)*Settings!$B$8+N(AI824)*Settings!$B$9+N(AJ824)*Settings!$B$10)/AO824*1000)</f>
        <v/>
      </c>
      <c r="AY824" s="36" t="str">
        <f aca="false">IF(AS824="","",IFERROR(AS824/AVERAGEIFS('Post Tracker'!$AS$5:$AS$1004,'Post Tracker'!$G$5:$G$1004,G824),""))</f>
        <v/>
      </c>
      <c r="AZ824" s="32"/>
      <c r="BA824" s="32"/>
      <c r="BB824" s="32"/>
      <c r="BC824" s="32"/>
      <c r="BD824" s="33" t="str">
        <f aca="false">IF(A824="","",COUNTIFS('Demo Pipeline'!$Q$5:$Q$504,A824))</f>
        <v/>
      </c>
      <c r="BE824" s="33" t="str">
        <f aca="false">IF(A824="","",COUNTIFS('Demo Pipeline'!$Q$5:$Q$504,A824,'Demo Pipeline'!$W$5:$W$504,"Attended"))</f>
        <v/>
      </c>
      <c r="BF824" s="33" t="str">
        <f aca="false">IF(A824="","",COUNTIFS('Demo Pipeline'!$Q$5:$Q$504,A824,'Demo Pipeline'!$X$5:$X$504,"Yes"))</f>
        <v/>
      </c>
      <c r="BG824" s="33" t="str">
        <f aca="false">IF(A824="","",COUNTIFS('Demo Pipeline'!$Q$5:$Q$504,A824,'Demo Pipeline'!$Y$5:$Y$504,"Closed Won"))</f>
        <v/>
      </c>
      <c r="BH824" s="37" t="str">
        <f aca="false">IF(A824="","",SUMIFS('Demo Pipeline'!$Z$5:$Z$504,'Demo Pipeline'!$Q$5:$Q$504,A824))</f>
        <v/>
      </c>
      <c r="BI824" s="34" t="str">
        <f aca="false">IF(OR(AZ824="",N(AJ824)=0),"",AZ824/AJ824)</f>
        <v/>
      </c>
      <c r="BJ824" s="34" t="str">
        <f aca="false">IF(OR(BB824="",N(AZ824)=0),"",BB824/AZ824)</f>
        <v/>
      </c>
      <c r="BK824" s="34" t="str">
        <f aca="false">IF(OR(A824="",N(BB824)=0),"",BD824/BB824)</f>
        <v/>
      </c>
      <c r="BL824" s="34" t="str">
        <f aca="false">IF(OR(A824="",N(AZ824)=0),"",BD824/AZ824)</f>
        <v/>
      </c>
      <c r="BM824" s="37" t="str">
        <f aca="false">IF(OR(N(Q824)=0,N(BD824)=0),"",Q824/BD824)</f>
        <v/>
      </c>
      <c r="BN824" s="29"/>
      <c r="BO824" s="29"/>
      <c r="BP824" s="33" t="str">
        <f aca="false">IF(OR(AR824="",N(AO824)=0),"",AR824)</f>
        <v/>
      </c>
      <c r="BQ824" s="33" t="str">
        <f aca="false">IF(OR(AR824="",N(S824)=0),"",S824)</f>
        <v/>
      </c>
      <c r="BR824" s="38" t="str">
        <f aca="false">IF(AND(ISNUMBER(B824),B824&gt;=Dashboard!$C$4,B824&lt;=Dashboard!$F$4,ISNUMBER(AU824)),AU824+ROW()/10^9,"")</f>
        <v/>
      </c>
      <c r="BS824" s="38" t="str">
        <f aca="false">IF(AND(ISNUMBER(B824),B824&gt;=Dashboard!$C$4,B824&lt;=Dashboard!$F$4,A824&lt;&gt;""),N(BD824)+N(AU824)/100+ROW()/10^9,"")</f>
        <v/>
      </c>
    </row>
    <row r="825" customFormat="false" ht="15" hidden="false" customHeight="false" outlineLevel="0" collapsed="false">
      <c r="A825" s="24" t="str">
        <f aca="false">IF(OR(B825="",G825="",H825=""),"",IFERROR(INDEX(Settings!$E$5:$E$49,MATCH(G825,Settings!$D$5:$D$49,0))&amp;INDEX(Settings!$H$5:$H$47,MATCH(H825,Settings!$G$5:$G$47,0))&amp;"-"&amp;TEXT(B825,"yymmdd")&amp;"-"&amp;IF(C825="","0000",TEXT(C825,"hhmm")),"CHECK LISTS"))</f>
        <v/>
      </c>
      <c r="B825" s="39"/>
      <c r="C825" s="40"/>
      <c r="D825" s="24" t="str">
        <f aca="false">IF(B825="","",TEXT(B825,"ddd"))</f>
        <v/>
      </c>
      <c r="E825" s="27" t="str">
        <f aca="false">IF(B825="","",B825-WEEKDAY(B825,3))</f>
        <v/>
      </c>
      <c r="F825" s="24" t="str">
        <f aca="false">IF(B825="","",TEXT(B825,"yyyy-mm"))</f>
        <v/>
      </c>
      <c r="G825" s="29"/>
      <c r="H825" s="29"/>
      <c r="I825" s="29"/>
      <c r="J825" s="29"/>
      <c r="K825" s="29"/>
      <c r="L825" s="29"/>
      <c r="M825" s="29"/>
      <c r="N825" s="29"/>
      <c r="O825" s="29"/>
      <c r="P825" s="29"/>
      <c r="Q825" s="30"/>
      <c r="R825" s="29"/>
      <c r="S825" s="32"/>
      <c r="T825" s="29"/>
      <c r="U825" s="29"/>
      <c r="V825" s="24" t="str">
        <f aca="false">IF(A825="","",IFERROR(INDEX(Settings!$F$5:$F$49,MATCH(G825,Settings!$D$5:$D$49,0)),""))</f>
        <v/>
      </c>
      <c r="W825" s="24" t="str">
        <f aca="false">IF(A825="","",IF(OR(P825="",P825="Organic"),"social","paid_social"))</f>
        <v/>
      </c>
      <c r="X825" s="24" t="str">
        <f aca="false">IF(A825="","",IF(K825&lt;&gt;"",IFERROR(INDEX('Case Studies'!$C$5:$C$54,MATCH(K825,'Case Studies'!$B$5:$B$54,0))&amp;"","case-study"),IF(J825&lt;&gt;"",IFERROR(INDEX(Settings!$J$5:$J$55,MATCH(J825,Settings!$I$5:$I$55,0)),"general"),"general")))</f>
        <v/>
      </c>
      <c r="Y825" s="24" t="str">
        <f aca="false">IF(A825="","",LOWER(A825))</f>
        <v/>
      </c>
      <c r="Z825" s="24" t="str">
        <f aca="false">IF(A825="","",IF(T825="",Settings!$B$5,T825)&amp;IF(ISNUMBER(FIND("?",IF(T825="",Settings!$B$5,T825))),"&amp;","?")&amp;"utm_source="&amp;V825&amp;"&amp;utm_medium="&amp;W825&amp;"&amp;utm_campaign="&amp;X825&amp;"&amp;utm_content="&amp;Y825)</f>
        <v/>
      </c>
      <c r="AA825" s="29"/>
      <c r="AB825" s="39"/>
      <c r="AC825" s="32"/>
      <c r="AD825" s="32"/>
      <c r="AE825" s="32"/>
      <c r="AF825" s="32"/>
      <c r="AG825" s="32"/>
      <c r="AH825" s="32"/>
      <c r="AI825" s="32"/>
      <c r="AJ825" s="32"/>
      <c r="AK825" s="32"/>
      <c r="AL825" s="32"/>
      <c r="AM825" s="32"/>
      <c r="AN825" s="32"/>
      <c r="AO825" s="33" t="str">
        <f aca="false">IF(A825="","",IF(AD825&lt;&gt;"",AD825,IF(AC825&lt;&gt;"",AC825,"")))</f>
        <v/>
      </c>
      <c r="AP825" s="24" t="str">
        <f aca="false">IF(AO825="","",IF(AD825&lt;&gt;"","Reported reach","Impressions (proxy)"))</f>
        <v/>
      </c>
      <c r="AQ825" s="34" t="str">
        <f aca="false">IF(OR(AO825="",N(S825)=0),"",AO825/S825)</f>
        <v/>
      </c>
      <c r="AR825" s="33" t="str">
        <f aca="false">IF(A825="","",IF(COUNT(AF825:AJ825)=0,"",SUM(AF825:AJ825)))</f>
        <v/>
      </c>
      <c r="AS825" s="34" t="str">
        <f aca="false">IF(OR(AR825="",N(AO825)=0),"",AR825/AO825)</f>
        <v/>
      </c>
      <c r="AT825" s="34" t="str">
        <f aca="false">IF(OR(AR825="",N(AC825)=0),"",AR825/AC825)</f>
        <v/>
      </c>
      <c r="AU825" s="34" t="str">
        <f aca="false">IF(OR(AR825="",N(S825)=0),"",AR825/S825)</f>
        <v/>
      </c>
      <c r="AV825" s="34" t="str">
        <f aca="false">IF(OR(AJ825="",N(AC825)=0),"",AJ825/AC825)</f>
        <v/>
      </c>
      <c r="AW825" s="34" t="str">
        <f aca="false">IF(OR(AH825="",N(AO825)=0),"",AH825/AO825)</f>
        <v/>
      </c>
      <c r="AX825" s="35" t="str">
        <f aca="false">IF(OR(AR825="",N(AO825)=0),"",(N(AF825)*Settings!$B$6+N(AG825)*Settings!$B$7+N(AH825)*Settings!$B$8+N(AI825)*Settings!$B$9+N(AJ825)*Settings!$B$10)/AO825*1000)</f>
        <v/>
      </c>
      <c r="AY825" s="36" t="str">
        <f aca="false">IF(AS825="","",IFERROR(AS825/AVERAGEIFS('Post Tracker'!$AS$5:$AS$1004,'Post Tracker'!$G$5:$G$1004,G825),""))</f>
        <v/>
      </c>
      <c r="AZ825" s="32"/>
      <c r="BA825" s="32"/>
      <c r="BB825" s="32"/>
      <c r="BC825" s="32"/>
      <c r="BD825" s="33" t="str">
        <f aca="false">IF(A825="","",COUNTIFS('Demo Pipeline'!$Q$5:$Q$504,A825))</f>
        <v/>
      </c>
      <c r="BE825" s="33" t="str">
        <f aca="false">IF(A825="","",COUNTIFS('Demo Pipeline'!$Q$5:$Q$504,A825,'Demo Pipeline'!$W$5:$W$504,"Attended"))</f>
        <v/>
      </c>
      <c r="BF825" s="33" t="str">
        <f aca="false">IF(A825="","",COUNTIFS('Demo Pipeline'!$Q$5:$Q$504,A825,'Demo Pipeline'!$X$5:$X$504,"Yes"))</f>
        <v/>
      </c>
      <c r="BG825" s="33" t="str">
        <f aca="false">IF(A825="","",COUNTIFS('Demo Pipeline'!$Q$5:$Q$504,A825,'Demo Pipeline'!$Y$5:$Y$504,"Closed Won"))</f>
        <v/>
      </c>
      <c r="BH825" s="37" t="str">
        <f aca="false">IF(A825="","",SUMIFS('Demo Pipeline'!$Z$5:$Z$504,'Demo Pipeline'!$Q$5:$Q$504,A825))</f>
        <v/>
      </c>
      <c r="BI825" s="34" t="str">
        <f aca="false">IF(OR(AZ825="",N(AJ825)=0),"",AZ825/AJ825)</f>
        <v/>
      </c>
      <c r="BJ825" s="34" t="str">
        <f aca="false">IF(OR(BB825="",N(AZ825)=0),"",BB825/AZ825)</f>
        <v/>
      </c>
      <c r="BK825" s="34" t="str">
        <f aca="false">IF(OR(A825="",N(BB825)=0),"",BD825/BB825)</f>
        <v/>
      </c>
      <c r="BL825" s="34" t="str">
        <f aca="false">IF(OR(A825="",N(AZ825)=0),"",BD825/AZ825)</f>
        <v/>
      </c>
      <c r="BM825" s="37" t="str">
        <f aca="false">IF(OR(N(Q825)=0,N(BD825)=0),"",Q825/BD825)</f>
        <v/>
      </c>
      <c r="BN825" s="29"/>
      <c r="BO825" s="29"/>
      <c r="BP825" s="33" t="str">
        <f aca="false">IF(OR(AR825="",N(AO825)=0),"",AR825)</f>
        <v/>
      </c>
      <c r="BQ825" s="33" t="str">
        <f aca="false">IF(OR(AR825="",N(S825)=0),"",S825)</f>
        <v/>
      </c>
      <c r="BR825" s="38" t="str">
        <f aca="false">IF(AND(ISNUMBER(B825),B825&gt;=Dashboard!$C$4,B825&lt;=Dashboard!$F$4,ISNUMBER(AU825)),AU825+ROW()/10^9,"")</f>
        <v/>
      </c>
      <c r="BS825" s="38" t="str">
        <f aca="false">IF(AND(ISNUMBER(B825),B825&gt;=Dashboard!$C$4,B825&lt;=Dashboard!$F$4,A825&lt;&gt;""),N(BD825)+N(AU825)/100+ROW()/10^9,"")</f>
        <v/>
      </c>
    </row>
    <row r="826" customFormat="false" ht="15" hidden="false" customHeight="false" outlineLevel="0" collapsed="false">
      <c r="A826" s="24" t="str">
        <f aca="false">IF(OR(B826="",G826="",H826=""),"",IFERROR(INDEX(Settings!$E$5:$E$49,MATCH(G826,Settings!$D$5:$D$49,0))&amp;INDEX(Settings!$H$5:$H$47,MATCH(H826,Settings!$G$5:$G$47,0))&amp;"-"&amp;TEXT(B826,"yymmdd")&amp;"-"&amp;IF(C826="","0000",TEXT(C826,"hhmm")),"CHECK LISTS"))</f>
        <v/>
      </c>
      <c r="B826" s="39"/>
      <c r="C826" s="40"/>
      <c r="D826" s="24" t="str">
        <f aca="false">IF(B826="","",TEXT(B826,"ddd"))</f>
        <v/>
      </c>
      <c r="E826" s="27" t="str">
        <f aca="false">IF(B826="","",B826-WEEKDAY(B826,3))</f>
        <v/>
      </c>
      <c r="F826" s="24" t="str">
        <f aca="false">IF(B826="","",TEXT(B826,"yyyy-mm"))</f>
        <v/>
      </c>
      <c r="G826" s="29"/>
      <c r="H826" s="29"/>
      <c r="I826" s="29"/>
      <c r="J826" s="29"/>
      <c r="K826" s="29"/>
      <c r="L826" s="29"/>
      <c r="M826" s="29"/>
      <c r="N826" s="29"/>
      <c r="O826" s="29"/>
      <c r="P826" s="29"/>
      <c r="Q826" s="30"/>
      <c r="R826" s="29"/>
      <c r="S826" s="32"/>
      <c r="T826" s="29"/>
      <c r="U826" s="29"/>
      <c r="V826" s="24" t="str">
        <f aca="false">IF(A826="","",IFERROR(INDEX(Settings!$F$5:$F$49,MATCH(G826,Settings!$D$5:$D$49,0)),""))</f>
        <v/>
      </c>
      <c r="W826" s="24" t="str">
        <f aca="false">IF(A826="","",IF(OR(P826="",P826="Organic"),"social","paid_social"))</f>
        <v/>
      </c>
      <c r="X826" s="24" t="str">
        <f aca="false">IF(A826="","",IF(K826&lt;&gt;"",IFERROR(INDEX('Case Studies'!$C$5:$C$54,MATCH(K826,'Case Studies'!$B$5:$B$54,0))&amp;"","case-study"),IF(J826&lt;&gt;"",IFERROR(INDEX(Settings!$J$5:$J$55,MATCH(J826,Settings!$I$5:$I$55,0)),"general"),"general")))</f>
        <v/>
      </c>
      <c r="Y826" s="24" t="str">
        <f aca="false">IF(A826="","",LOWER(A826))</f>
        <v/>
      </c>
      <c r="Z826" s="24" t="str">
        <f aca="false">IF(A826="","",IF(T826="",Settings!$B$5,T826)&amp;IF(ISNUMBER(FIND("?",IF(T826="",Settings!$B$5,T826))),"&amp;","?")&amp;"utm_source="&amp;V826&amp;"&amp;utm_medium="&amp;W826&amp;"&amp;utm_campaign="&amp;X826&amp;"&amp;utm_content="&amp;Y826)</f>
        <v/>
      </c>
      <c r="AA826" s="29"/>
      <c r="AB826" s="39"/>
      <c r="AC826" s="32"/>
      <c r="AD826" s="32"/>
      <c r="AE826" s="32"/>
      <c r="AF826" s="32"/>
      <c r="AG826" s="32"/>
      <c r="AH826" s="32"/>
      <c r="AI826" s="32"/>
      <c r="AJ826" s="32"/>
      <c r="AK826" s="32"/>
      <c r="AL826" s="32"/>
      <c r="AM826" s="32"/>
      <c r="AN826" s="32"/>
      <c r="AO826" s="33" t="str">
        <f aca="false">IF(A826="","",IF(AD826&lt;&gt;"",AD826,IF(AC826&lt;&gt;"",AC826,"")))</f>
        <v/>
      </c>
      <c r="AP826" s="24" t="str">
        <f aca="false">IF(AO826="","",IF(AD826&lt;&gt;"","Reported reach","Impressions (proxy)"))</f>
        <v/>
      </c>
      <c r="AQ826" s="34" t="str">
        <f aca="false">IF(OR(AO826="",N(S826)=0),"",AO826/S826)</f>
        <v/>
      </c>
      <c r="AR826" s="33" t="str">
        <f aca="false">IF(A826="","",IF(COUNT(AF826:AJ826)=0,"",SUM(AF826:AJ826)))</f>
        <v/>
      </c>
      <c r="AS826" s="34" t="str">
        <f aca="false">IF(OR(AR826="",N(AO826)=0),"",AR826/AO826)</f>
        <v/>
      </c>
      <c r="AT826" s="34" t="str">
        <f aca="false">IF(OR(AR826="",N(AC826)=0),"",AR826/AC826)</f>
        <v/>
      </c>
      <c r="AU826" s="34" t="str">
        <f aca="false">IF(OR(AR826="",N(S826)=0),"",AR826/S826)</f>
        <v/>
      </c>
      <c r="AV826" s="34" t="str">
        <f aca="false">IF(OR(AJ826="",N(AC826)=0),"",AJ826/AC826)</f>
        <v/>
      </c>
      <c r="AW826" s="34" t="str">
        <f aca="false">IF(OR(AH826="",N(AO826)=0),"",AH826/AO826)</f>
        <v/>
      </c>
      <c r="AX826" s="35" t="str">
        <f aca="false">IF(OR(AR826="",N(AO826)=0),"",(N(AF826)*Settings!$B$6+N(AG826)*Settings!$B$7+N(AH826)*Settings!$B$8+N(AI826)*Settings!$B$9+N(AJ826)*Settings!$B$10)/AO826*1000)</f>
        <v/>
      </c>
      <c r="AY826" s="36" t="str">
        <f aca="false">IF(AS826="","",IFERROR(AS826/AVERAGEIFS('Post Tracker'!$AS$5:$AS$1004,'Post Tracker'!$G$5:$G$1004,G826),""))</f>
        <v/>
      </c>
      <c r="AZ826" s="32"/>
      <c r="BA826" s="32"/>
      <c r="BB826" s="32"/>
      <c r="BC826" s="32"/>
      <c r="BD826" s="33" t="str">
        <f aca="false">IF(A826="","",COUNTIFS('Demo Pipeline'!$Q$5:$Q$504,A826))</f>
        <v/>
      </c>
      <c r="BE826" s="33" t="str">
        <f aca="false">IF(A826="","",COUNTIFS('Demo Pipeline'!$Q$5:$Q$504,A826,'Demo Pipeline'!$W$5:$W$504,"Attended"))</f>
        <v/>
      </c>
      <c r="BF826" s="33" t="str">
        <f aca="false">IF(A826="","",COUNTIFS('Demo Pipeline'!$Q$5:$Q$504,A826,'Demo Pipeline'!$X$5:$X$504,"Yes"))</f>
        <v/>
      </c>
      <c r="BG826" s="33" t="str">
        <f aca="false">IF(A826="","",COUNTIFS('Demo Pipeline'!$Q$5:$Q$504,A826,'Demo Pipeline'!$Y$5:$Y$504,"Closed Won"))</f>
        <v/>
      </c>
      <c r="BH826" s="37" t="str">
        <f aca="false">IF(A826="","",SUMIFS('Demo Pipeline'!$Z$5:$Z$504,'Demo Pipeline'!$Q$5:$Q$504,A826))</f>
        <v/>
      </c>
      <c r="BI826" s="34" t="str">
        <f aca="false">IF(OR(AZ826="",N(AJ826)=0),"",AZ826/AJ826)</f>
        <v/>
      </c>
      <c r="BJ826" s="34" t="str">
        <f aca="false">IF(OR(BB826="",N(AZ826)=0),"",BB826/AZ826)</f>
        <v/>
      </c>
      <c r="BK826" s="34" t="str">
        <f aca="false">IF(OR(A826="",N(BB826)=0),"",BD826/BB826)</f>
        <v/>
      </c>
      <c r="BL826" s="34" t="str">
        <f aca="false">IF(OR(A826="",N(AZ826)=0),"",BD826/AZ826)</f>
        <v/>
      </c>
      <c r="BM826" s="37" t="str">
        <f aca="false">IF(OR(N(Q826)=0,N(BD826)=0),"",Q826/BD826)</f>
        <v/>
      </c>
      <c r="BN826" s="29"/>
      <c r="BO826" s="29"/>
      <c r="BP826" s="33" t="str">
        <f aca="false">IF(OR(AR826="",N(AO826)=0),"",AR826)</f>
        <v/>
      </c>
      <c r="BQ826" s="33" t="str">
        <f aca="false">IF(OR(AR826="",N(S826)=0),"",S826)</f>
        <v/>
      </c>
      <c r="BR826" s="38" t="str">
        <f aca="false">IF(AND(ISNUMBER(B826),B826&gt;=Dashboard!$C$4,B826&lt;=Dashboard!$F$4,ISNUMBER(AU826)),AU826+ROW()/10^9,"")</f>
        <v/>
      </c>
      <c r="BS826" s="38" t="str">
        <f aca="false">IF(AND(ISNUMBER(B826),B826&gt;=Dashboard!$C$4,B826&lt;=Dashboard!$F$4,A826&lt;&gt;""),N(BD826)+N(AU826)/100+ROW()/10^9,"")</f>
        <v/>
      </c>
    </row>
    <row r="827" customFormat="false" ht="15" hidden="false" customHeight="false" outlineLevel="0" collapsed="false">
      <c r="A827" s="24" t="str">
        <f aca="false">IF(OR(B827="",G827="",H827=""),"",IFERROR(INDEX(Settings!$E$5:$E$49,MATCH(G827,Settings!$D$5:$D$49,0))&amp;INDEX(Settings!$H$5:$H$47,MATCH(H827,Settings!$G$5:$G$47,0))&amp;"-"&amp;TEXT(B827,"yymmdd")&amp;"-"&amp;IF(C827="","0000",TEXT(C827,"hhmm")),"CHECK LISTS"))</f>
        <v/>
      </c>
      <c r="B827" s="39"/>
      <c r="C827" s="40"/>
      <c r="D827" s="24" t="str">
        <f aca="false">IF(B827="","",TEXT(B827,"ddd"))</f>
        <v/>
      </c>
      <c r="E827" s="27" t="str">
        <f aca="false">IF(B827="","",B827-WEEKDAY(B827,3))</f>
        <v/>
      </c>
      <c r="F827" s="24" t="str">
        <f aca="false">IF(B827="","",TEXT(B827,"yyyy-mm"))</f>
        <v/>
      </c>
      <c r="G827" s="29"/>
      <c r="H827" s="29"/>
      <c r="I827" s="29"/>
      <c r="J827" s="29"/>
      <c r="K827" s="29"/>
      <c r="L827" s="29"/>
      <c r="M827" s="29"/>
      <c r="N827" s="29"/>
      <c r="O827" s="29"/>
      <c r="P827" s="29"/>
      <c r="Q827" s="30"/>
      <c r="R827" s="29"/>
      <c r="S827" s="32"/>
      <c r="T827" s="29"/>
      <c r="U827" s="29"/>
      <c r="V827" s="24" t="str">
        <f aca="false">IF(A827="","",IFERROR(INDEX(Settings!$F$5:$F$49,MATCH(G827,Settings!$D$5:$D$49,0)),""))</f>
        <v/>
      </c>
      <c r="W827" s="24" t="str">
        <f aca="false">IF(A827="","",IF(OR(P827="",P827="Organic"),"social","paid_social"))</f>
        <v/>
      </c>
      <c r="X827" s="24" t="str">
        <f aca="false">IF(A827="","",IF(K827&lt;&gt;"",IFERROR(INDEX('Case Studies'!$C$5:$C$54,MATCH(K827,'Case Studies'!$B$5:$B$54,0))&amp;"","case-study"),IF(J827&lt;&gt;"",IFERROR(INDEX(Settings!$J$5:$J$55,MATCH(J827,Settings!$I$5:$I$55,0)),"general"),"general")))</f>
        <v/>
      </c>
      <c r="Y827" s="24" t="str">
        <f aca="false">IF(A827="","",LOWER(A827))</f>
        <v/>
      </c>
      <c r="Z827" s="24" t="str">
        <f aca="false">IF(A827="","",IF(T827="",Settings!$B$5,T827)&amp;IF(ISNUMBER(FIND("?",IF(T827="",Settings!$B$5,T827))),"&amp;","?")&amp;"utm_source="&amp;V827&amp;"&amp;utm_medium="&amp;W827&amp;"&amp;utm_campaign="&amp;X827&amp;"&amp;utm_content="&amp;Y827)</f>
        <v/>
      </c>
      <c r="AA827" s="29"/>
      <c r="AB827" s="39"/>
      <c r="AC827" s="32"/>
      <c r="AD827" s="32"/>
      <c r="AE827" s="32"/>
      <c r="AF827" s="32"/>
      <c r="AG827" s="32"/>
      <c r="AH827" s="32"/>
      <c r="AI827" s="32"/>
      <c r="AJ827" s="32"/>
      <c r="AK827" s="32"/>
      <c r="AL827" s="32"/>
      <c r="AM827" s="32"/>
      <c r="AN827" s="32"/>
      <c r="AO827" s="33" t="str">
        <f aca="false">IF(A827="","",IF(AD827&lt;&gt;"",AD827,IF(AC827&lt;&gt;"",AC827,"")))</f>
        <v/>
      </c>
      <c r="AP827" s="24" t="str">
        <f aca="false">IF(AO827="","",IF(AD827&lt;&gt;"","Reported reach","Impressions (proxy)"))</f>
        <v/>
      </c>
      <c r="AQ827" s="34" t="str">
        <f aca="false">IF(OR(AO827="",N(S827)=0),"",AO827/S827)</f>
        <v/>
      </c>
      <c r="AR827" s="33" t="str">
        <f aca="false">IF(A827="","",IF(COUNT(AF827:AJ827)=0,"",SUM(AF827:AJ827)))</f>
        <v/>
      </c>
      <c r="AS827" s="34" t="str">
        <f aca="false">IF(OR(AR827="",N(AO827)=0),"",AR827/AO827)</f>
        <v/>
      </c>
      <c r="AT827" s="34" t="str">
        <f aca="false">IF(OR(AR827="",N(AC827)=0),"",AR827/AC827)</f>
        <v/>
      </c>
      <c r="AU827" s="34" t="str">
        <f aca="false">IF(OR(AR827="",N(S827)=0),"",AR827/S827)</f>
        <v/>
      </c>
      <c r="AV827" s="34" t="str">
        <f aca="false">IF(OR(AJ827="",N(AC827)=0),"",AJ827/AC827)</f>
        <v/>
      </c>
      <c r="AW827" s="34" t="str">
        <f aca="false">IF(OR(AH827="",N(AO827)=0),"",AH827/AO827)</f>
        <v/>
      </c>
      <c r="AX827" s="35" t="str">
        <f aca="false">IF(OR(AR827="",N(AO827)=0),"",(N(AF827)*Settings!$B$6+N(AG827)*Settings!$B$7+N(AH827)*Settings!$B$8+N(AI827)*Settings!$B$9+N(AJ827)*Settings!$B$10)/AO827*1000)</f>
        <v/>
      </c>
      <c r="AY827" s="36" t="str">
        <f aca="false">IF(AS827="","",IFERROR(AS827/AVERAGEIFS('Post Tracker'!$AS$5:$AS$1004,'Post Tracker'!$G$5:$G$1004,G827),""))</f>
        <v/>
      </c>
      <c r="AZ827" s="32"/>
      <c r="BA827" s="32"/>
      <c r="BB827" s="32"/>
      <c r="BC827" s="32"/>
      <c r="BD827" s="33" t="str">
        <f aca="false">IF(A827="","",COUNTIFS('Demo Pipeline'!$Q$5:$Q$504,A827))</f>
        <v/>
      </c>
      <c r="BE827" s="33" t="str">
        <f aca="false">IF(A827="","",COUNTIFS('Demo Pipeline'!$Q$5:$Q$504,A827,'Demo Pipeline'!$W$5:$W$504,"Attended"))</f>
        <v/>
      </c>
      <c r="BF827" s="33" t="str">
        <f aca="false">IF(A827="","",COUNTIFS('Demo Pipeline'!$Q$5:$Q$504,A827,'Demo Pipeline'!$X$5:$X$504,"Yes"))</f>
        <v/>
      </c>
      <c r="BG827" s="33" t="str">
        <f aca="false">IF(A827="","",COUNTIFS('Demo Pipeline'!$Q$5:$Q$504,A827,'Demo Pipeline'!$Y$5:$Y$504,"Closed Won"))</f>
        <v/>
      </c>
      <c r="BH827" s="37" t="str">
        <f aca="false">IF(A827="","",SUMIFS('Demo Pipeline'!$Z$5:$Z$504,'Demo Pipeline'!$Q$5:$Q$504,A827))</f>
        <v/>
      </c>
      <c r="BI827" s="34" t="str">
        <f aca="false">IF(OR(AZ827="",N(AJ827)=0),"",AZ827/AJ827)</f>
        <v/>
      </c>
      <c r="BJ827" s="34" t="str">
        <f aca="false">IF(OR(BB827="",N(AZ827)=0),"",BB827/AZ827)</f>
        <v/>
      </c>
      <c r="BK827" s="34" t="str">
        <f aca="false">IF(OR(A827="",N(BB827)=0),"",BD827/BB827)</f>
        <v/>
      </c>
      <c r="BL827" s="34" t="str">
        <f aca="false">IF(OR(A827="",N(AZ827)=0),"",BD827/AZ827)</f>
        <v/>
      </c>
      <c r="BM827" s="37" t="str">
        <f aca="false">IF(OR(N(Q827)=0,N(BD827)=0),"",Q827/BD827)</f>
        <v/>
      </c>
      <c r="BN827" s="29"/>
      <c r="BO827" s="29"/>
      <c r="BP827" s="33" t="str">
        <f aca="false">IF(OR(AR827="",N(AO827)=0),"",AR827)</f>
        <v/>
      </c>
      <c r="BQ827" s="33" t="str">
        <f aca="false">IF(OR(AR827="",N(S827)=0),"",S827)</f>
        <v/>
      </c>
      <c r="BR827" s="38" t="str">
        <f aca="false">IF(AND(ISNUMBER(B827),B827&gt;=Dashboard!$C$4,B827&lt;=Dashboard!$F$4,ISNUMBER(AU827)),AU827+ROW()/10^9,"")</f>
        <v/>
      </c>
      <c r="BS827" s="38" t="str">
        <f aca="false">IF(AND(ISNUMBER(B827),B827&gt;=Dashboard!$C$4,B827&lt;=Dashboard!$F$4,A827&lt;&gt;""),N(BD827)+N(AU827)/100+ROW()/10^9,"")</f>
        <v/>
      </c>
    </row>
    <row r="828" customFormat="false" ht="15" hidden="false" customHeight="false" outlineLevel="0" collapsed="false">
      <c r="A828" s="24" t="str">
        <f aca="false">IF(OR(B828="",G828="",H828=""),"",IFERROR(INDEX(Settings!$E$5:$E$49,MATCH(G828,Settings!$D$5:$D$49,0))&amp;INDEX(Settings!$H$5:$H$47,MATCH(H828,Settings!$G$5:$G$47,0))&amp;"-"&amp;TEXT(B828,"yymmdd")&amp;"-"&amp;IF(C828="","0000",TEXT(C828,"hhmm")),"CHECK LISTS"))</f>
        <v/>
      </c>
      <c r="B828" s="39"/>
      <c r="C828" s="40"/>
      <c r="D828" s="24" t="str">
        <f aca="false">IF(B828="","",TEXT(B828,"ddd"))</f>
        <v/>
      </c>
      <c r="E828" s="27" t="str">
        <f aca="false">IF(B828="","",B828-WEEKDAY(B828,3))</f>
        <v/>
      </c>
      <c r="F828" s="24" t="str">
        <f aca="false">IF(B828="","",TEXT(B828,"yyyy-mm"))</f>
        <v/>
      </c>
      <c r="G828" s="29"/>
      <c r="H828" s="29"/>
      <c r="I828" s="29"/>
      <c r="J828" s="29"/>
      <c r="K828" s="29"/>
      <c r="L828" s="29"/>
      <c r="M828" s="29"/>
      <c r="N828" s="29"/>
      <c r="O828" s="29"/>
      <c r="P828" s="29"/>
      <c r="Q828" s="30"/>
      <c r="R828" s="29"/>
      <c r="S828" s="32"/>
      <c r="T828" s="29"/>
      <c r="U828" s="29"/>
      <c r="V828" s="24" t="str">
        <f aca="false">IF(A828="","",IFERROR(INDEX(Settings!$F$5:$F$49,MATCH(G828,Settings!$D$5:$D$49,0)),""))</f>
        <v/>
      </c>
      <c r="W828" s="24" t="str">
        <f aca="false">IF(A828="","",IF(OR(P828="",P828="Organic"),"social","paid_social"))</f>
        <v/>
      </c>
      <c r="X828" s="24" t="str">
        <f aca="false">IF(A828="","",IF(K828&lt;&gt;"",IFERROR(INDEX('Case Studies'!$C$5:$C$54,MATCH(K828,'Case Studies'!$B$5:$B$54,0))&amp;"","case-study"),IF(J828&lt;&gt;"",IFERROR(INDEX(Settings!$J$5:$J$55,MATCH(J828,Settings!$I$5:$I$55,0)),"general"),"general")))</f>
        <v/>
      </c>
      <c r="Y828" s="24" t="str">
        <f aca="false">IF(A828="","",LOWER(A828))</f>
        <v/>
      </c>
      <c r="Z828" s="24" t="str">
        <f aca="false">IF(A828="","",IF(T828="",Settings!$B$5,T828)&amp;IF(ISNUMBER(FIND("?",IF(T828="",Settings!$B$5,T828))),"&amp;","?")&amp;"utm_source="&amp;V828&amp;"&amp;utm_medium="&amp;W828&amp;"&amp;utm_campaign="&amp;X828&amp;"&amp;utm_content="&amp;Y828)</f>
        <v/>
      </c>
      <c r="AA828" s="29"/>
      <c r="AB828" s="39"/>
      <c r="AC828" s="32"/>
      <c r="AD828" s="32"/>
      <c r="AE828" s="32"/>
      <c r="AF828" s="32"/>
      <c r="AG828" s="32"/>
      <c r="AH828" s="32"/>
      <c r="AI828" s="32"/>
      <c r="AJ828" s="32"/>
      <c r="AK828" s="32"/>
      <c r="AL828" s="32"/>
      <c r="AM828" s="32"/>
      <c r="AN828" s="32"/>
      <c r="AO828" s="33" t="str">
        <f aca="false">IF(A828="","",IF(AD828&lt;&gt;"",AD828,IF(AC828&lt;&gt;"",AC828,"")))</f>
        <v/>
      </c>
      <c r="AP828" s="24" t="str">
        <f aca="false">IF(AO828="","",IF(AD828&lt;&gt;"","Reported reach","Impressions (proxy)"))</f>
        <v/>
      </c>
      <c r="AQ828" s="34" t="str">
        <f aca="false">IF(OR(AO828="",N(S828)=0),"",AO828/S828)</f>
        <v/>
      </c>
      <c r="AR828" s="33" t="str">
        <f aca="false">IF(A828="","",IF(COUNT(AF828:AJ828)=0,"",SUM(AF828:AJ828)))</f>
        <v/>
      </c>
      <c r="AS828" s="34" t="str">
        <f aca="false">IF(OR(AR828="",N(AO828)=0),"",AR828/AO828)</f>
        <v/>
      </c>
      <c r="AT828" s="34" t="str">
        <f aca="false">IF(OR(AR828="",N(AC828)=0),"",AR828/AC828)</f>
        <v/>
      </c>
      <c r="AU828" s="34" t="str">
        <f aca="false">IF(OR(AR828="",N(S828)=0),"",AR828/S828)</f>
        <v/>
      </c>
      <c r="AV828" s="34" t="str">
        <f aca="false">IF(OR(AJ828="",N(AC828)=0),"",AJ828/AC828)</f>
        <v/>
      </c>
      <c r="AW828" s="34" t="str">
        <f aca="false">IF(OR(AH828="",N(AO828)=0),"",AH828/AO828)</f>
        <v/>
      </c>
      <c r="AX828" s="35" t="str">
        <f aca="false">IF(OR(AR828="",N(AO828)=0),"",(N(AF828)*Settings!$B$6+N(AG828)*Settings!$B$7+N(AH828)*Settings!$B$8+N(AI828)*Settings!$B$9+N(AJ828)*Settings!$B$10)/AO828*1000)</f>
        <v/>
      </c>
      <c r="AY828" s="36" t="str">
        <f aca="false">IF(AS828="","",IFERROR(AS828/AVERAGEIFS('Post Tracker'!$AS$5:$AS$1004,'Post Tracker'!$G$5:$G$1004,G828),""))</f>
        <v/>
      </c>
      <c r="AZ828" s="32"/>
      <c r="BA828" s="32"/>
      <c r="BB828" s="32"/>
      <c r="BC828" s="32"/>
      <c r="BD828" s="33" t="str">
        <f aca="false">IF(A828="","",COUNTIFS('Demo Pipeline'!$Q$5:$Q$504,A828))</f>
        <v/>
      </c>
      <c r="BE828" s="33" t="str">
        <f aca="false">IF(A828="","",COUNTIFS('Demo Pipeline'!$Q$5:$Q$504,A828,'Demo Pipeline'!$W$5:$W$504,"Attended"))</f>
        <v/>
      </c>
      <c r="BF828" s="33" t="str">
        <f aca="false">IF(A828="","",COUNTIFS('Demo Pipeline'!$Q$5:$Q$504,A828,'Demo Pipeline'!$X$5:$X$504,"Yes"))</f>
        <v/>
      </c>
      <c r="BG828" s="33" t="str">
        <f aca="false">IF(A828="","",COUNTIFS('Demo Pipeline'!$Q$5:$Q$504,A828,'Demo Pipeline'!$Y$5:$Y$504,"Closed Won"))</f>
        <v/>
      </c>
      <c r="BH828" s="37" t="str">
        <f aca="false">IF(A828="","",SUMIFS('Demo Pipeline'!$Z$5:$Z$504,'Demo Pipeline'!$Q$5:$Q$504,A828))</f>
        <v/>
      </c>
      <c r="BI828" s="34" t="str">
        <f aca="false">IF(OR(AZ828="",N(AJ828)=0),"",AZ828/AJ828)</f>
        <v/>
      </c>
      <c r="BJ828" s="34" t="str">
        <f aca="false">IF(OR(BB828="",N(AZ828)=0),"",BB828/AZ828)</f>
        <v/>
      </c>
      <c r="BK828" s="34" t="str">
        <f aca="false">IF(OR(A828="",N(BB828)=0),"",BD828/BB828)</f>
        <v/>
      </c>
      <c r="BL828" s="34" t="str">
        <f aca="false">IF(OR(A828="",N(AZ828)=0),"",BD828/AZ828)</f>
        <v/>
      </c>
      <c r="BM828" s="37" t="str">
        <f aca="false">IF(OR(N(Q828)=0,N(BD828)=0),"",Q828/BD828)</f>
        <v/>
      </c>
      <c r="BN828" s="29"/>
      <c r="BO828" s="29"/>
      <c r="BP828" s="33" t="str">
        <f aca="false">IF(OR(AR828="",N(AO828)=0),"",AR828)</f>
        <v/>
      </c>
      <c r="BQ828" s="33" t="str">
        <f aca="false">IF(OR(AR828="",N(S828)=0),"",S828)</f>
        <v/>
      </c>
      <c r="BR828" s="38" t="str">
        <f aca="false">IF(AND(ISNUMBER(B828),B828&gt;=Dashboard!$C$4,B828&lt;=Dashboard!$F$4,ISNUMBER(AU828)),AU828+ROW()/10^9,"")</f>
        <v/>
      </c>
      <c r="BS828" s="38" t="str">
        <f aca="false">IF(AND(ISNUMBER(B828),B828&gt;=Dashboard!$C$4,B828&lt;=Dashboard!$F$4,A828&lt;&gt;""),N(BD828)+N(AU828)/100+ROW()/10^9,"")</f>
        <v/>
      </c>
    </row>
    <row r="829" customFormat="false" ht="15" hidden="false" customHeight="false" outlineLevel="0" collapsed="false">
      <c r="A829" s="24" t="str">
        <f aca="false">IF(OR(B829="",G829="",H829=""),"",IFERROR(INDEX(Settings!$E$5:$E$49,MATCH(G829,Settings!$D$5:$D$49,0))&amp;INDEX(Settings!$H$5:$H$47,MATCH(H829,Settings!$G$5:$G$47,0))&amp;"-"&amp;TEXT(B829,"yymmdd")&amp;"-"&amp;IF(C829="","0000",TEXT(C829,"hhmm")),"CHECK LISTS"))</f>
        <v/>
      </c>
      <c r="B829" s="39"/>
      <c r="C829" s="40"/>
      <c r="D829" s="24" t="str">
        <f aca="false">IF(B829="","",TEXT(B829,"ddd"))</f>
        <v/>
      </c>
      <c r="E829" s="27" t="str">
        <f aca="false">IF(B829="","",B829-WEEKDAY(B829,3))</f>
        <v/>
      </c>
      <c r="F829" s="24" t="str">
        <f aca="false">IF(B829="","",TEXT(B829,"yyyy-mm"))</f>
        <v/>
      </c>
      <c r="G829" s="29"/>
      <c r="H829" s="29"/>
      <c r="I829" s="29"/>
      <c r="J829" s="29"/>
      <c r="K829" s="29"/>
      <c r="L829" s="29"/>
      <c r="M829" s="29"/>
      <c r="N829" s="29"/>
      <c r="O829" s="29"/>
      <c r="P829" s="29"/>
      <c r="Q829" s="30"/>
      <c r="R829" s="29"/>
      <c r="S829" s="32"/>
      <c r="T829" s="29"/>
      <c r="U829" s="29"/>
      <c r="V829" s="24" t="str">
        <f aca="false">IF(A829="","",IFERROR(INDEX(Settings!$F$5:$F$49,MATCH(G829,Settings!$D$5:$D$49,0)),""))</f>
        <v/>
      </c>
      <c r="W829" s="24" t="str">
        <f aca="false">IF(A829="","",IF(OR(P829="",P829="Organic"),"social","paid_social"))</f>
        <v/>
      </c>
      <c r="X829" s="24" t="str">
        <f aca="false">IF(A829="","",IF(K829&lt;&gt;"",IFERROR(INDEX('Case Studies'!$C$5:$C$54,MATCH(K829,'Case Studies'!$B$5:$B$54,0))&amp;"","case-study"),IF(J829&lt;&gt;"",IFERROR(INDEX(Settings!$J$5:$J$55,MATCH(J829,Settings!$I$5:$I$55,0)),"general"),"general")))</f>
        <v/>
      </c>
      <c r="Y829" s="24" t="str">
        <f aca="false">IF(A829="","",LOWER(A829))</f>
        <v/>
      </c>
      <c r="Z829" s="24" t="str">
        <f aca="false">IF(A829="","",IF(T829="",Settings!$B$5,T829)&amp;IF(ISNUMBER(FIND("?",IF(T829="",Settings!$B$5,T829))),"&amp;","?")&amp;"utm_source="&amp;V829&amp;"&amp;utm_medium="&amp;W829&amp;"&amp;utm_campaign="&amp;X829&amp;"&amp;utm_content="&amp;Y829)</f>
        <v/>
      </c>
      <c r="AA829" s="29"/>
      <c r="AB829" s="39"/>
      <c r="AC829" s="32"/>
      <c r="AD829" s="32"/>
      <c r="AE829" s="32"/>
      <c r="AF829" s="32"/>
      <c r="AG829" s="32"/>
      <c r="AH829" s="32"/>
      <c r="AI829" s="32"/>
      <c r="AJ829" s="32"/>
      <c r="AK829" s="32"/>
      <c r="AL829" s="32"/>
      <c r="AM829" s="32"/>
      <c r="AN829" s="32"/>
      <c r="AO829" s="33" t="str">
        <f aca="false">IF(A829="","",IF(AD829&lt;&gt;"",AD829,IF(AC829&lt;&gt;"",AC829,"")))</f>
        <v/>
      </c>
      <c r="AP829" s="24" t="str">
        <f aca="false">IF(AO829="","",IF(AD829&lt;&gt;"","Reported reach","Impressions (proxy)"))</f>
        <v/>
      </c>
      <c r="AQ829" s="34" t="str">
        <f aca="false">IF(OR(AO829="",N(S829)=0),"",AO829/S829)</f>
        <v/>
      </c>
      <c r="AR829" s="33" t="str">
        <f aca="false">IF(A829="","",IF(COUNT(AF829:AJ829)=0,"",SUM(AF829:AJ829)))</f>
        <v/>
      </c>
      <c r="AS829" s="34" t="str">
        <f aca="false">IF(OR(AR829="",N(AO829)=0),"",AR829/AO829)</f>
        <v/>
      </c>
      <c r="AT829" s="34" t="str">
        <f aca="false">IF(OR(AR829="",N(AC829)=0),"",AR829/AC829)</f>
        <v/>
      </c>
      <c r="AU829" s="34" t="str">
        <f aca="false">IF(OR(AR829="",N(S829)=0),"",AR829/S829)</f>
        <v/>
      </c>
      <c r="AV829" s="34" t="str">
        <f aca="false">IF(OR(AJ829="",N(AC829)=0),"",AJ829/AC829)</f>
        <v/>
      </c>
      <c r="AW829" s="34" t="str">
        <f aca="false">IF(OR(AH829="",N(AO829)=0),"",AH829/AO829)</f>
        <v/>
      </c>
      <c r="AX829" s="35" t="str">
        <f aca="false">IF(OR(AR829="",N(AO829)=0),"",(N(AF829)*Settings!$B$6+N(AG829)*Settings!$B$7+N(AH829)*Settings!$B$8+N(AI829)*Settings!$B$9+N(AJ829)*Settings!$B$10)/AO829*1000)</f>
        <v/>
      </c>
      <c r="AY829" s="36" t="str">
        <f aca="false">IF(AS829="","",IFERROR(AS829/AVERAGEIFS('Post Tracker'!$AS$5:$AS$1004,'Post Tracker'!$G$5:$G$1004,G829),""))</f>
        <v/>
      </c>
      <c r="AZ829" s="32"/>
      <c r="BA829" s="32"/>
      <c r="BB829" s="32"/>
      <c r="BC829" s="32"/>
      <c r="BD829" s="33" t="str">
        <f aca="false">IF(A829="","",COUNTIFS('Demo Pipeline'!$Q$5:$Q$504,A829))</f>
        <v/>
      </c>
      <c r="BE829" s="33" t="str">
        <f aca="false">IF(A829="","",COUNTIFS('Demo Pipeline'!$Q$5:$Q$504,A829,'Demo Pipeline'!$W$5:$W$504,"Attended"))</f>
        <v/>
      </c>
      <c r="BF829" s="33" t="str">
        <f aca="false">IF(A829="","",COUNTIFS('Demo Pipeline'!$Q$5:$Q$504,A829,'Demo Pipeline'!$X$5:$X$504,"Yes"))</f>
        <v/>
      </c>
      <c r="BG829" s="33" t="str">
        <f aca="false">IF(A829="","",COUNTIFS('Demo Pipeline'!$Q$5:$Q$504,A829,'Demo Pipeline'!$Y$5:$Y$504,"Closed Won"))</f>
        <v/>
      </c>
      <c r="BH829" s="37" t="str">
        <f aca="false">IF(A829="","",SUMIFS('Demo Pipeline'!$Z$5:$Z$504,'Demo Pipeline'!$Q$5:$Q$504,A829))</f>
        <v/>
      </c>
      <c r="BI829" s="34" t="str">
        <f aca="false">IF(OR(AZ829="",N(AJ829)=0),"",AZ829/AJ829)</f>
        <v/>
      </c>
      <c r="BJ829" s="34" t="str">
        <f aca="false">IF(OR(BB829="",N(AZ829)=0),"",BB829/AZ829)</f>
        <v/>
      </c>
      <c r="BK829" s="34" t="str">
        <f aca="false">IF(OR(A829="",N(BB829)=0),"",BD829/BB829)</f>
        <v/>
      </c>
      <c r="BL829" s="34" t="str">
        <f aca="false">IF(OR(A829="",N(AZ829)=0),"",BD829/AZ829)</f>
        <v/>
      </c>
      <c r="BM829" s="37" t="str">
        <f aca="false">IF(OR(N(Q829)=0,N(BD829)=0),"",Q829/BD829)</f>
        <v/>
      </c>
      <c r="BN829" s="29"/>
      <c r="BO829" s="29"/>
      <c r="BP829" s="33" t="str">
        <f aca="false">IF(OR(AR829="",N(AO829)=0),"",AR829)</f>
        <v/>
      </c>
      <c r="BQ829" s="33" t="str">
        <f aca="false">IF(OR(AR829="",N(S829)=0),"",S829)</f>
        <v/>
      </c>
      <c r="BR829" s="38" t="str">
        <f aca="false">IF(AND(ISNUMBER(B829),B829&gt;=Dashboard!$C$4,B829&lt;=Dashboard!$F$4,ISNUMBER(AU829)),AU829+ROW()/10^9,"")</f>
        <v/>
      </c>
      <c r="BS829" s="38" t="str">
        <f aca="false">IF(AND(ISNUMBER(B829),B829&gt;=Dashboard!$C$4,B829&lt;=Dashboard!$F$4,A829&lt;&gt;""),N(BD829)+N(AU829)/100+ROW()/10^9,"")</f>
        <v/>
      </c>
    </row>
    <row r="830" customFormat="false" ht="15" hidden="false" customHeight="false" outlineLevel="0" collapsed="false">
      <c r="A830" s="24" t="str">
        <f aca="false">IF(OR(B830="",G830="",H830=""),"",IFERROR(INDEX(Settings!$E$5:$E$49,MATCH(G830,Settings!$D$5:$D$49,0))&amp;INDEX(Settings!$H$5:$H$47,MATCH(H830,Settings!$G$5:$G$47,0))&amp;"-"&amp;TEXT(B830,"yymmdd")&amp;"-"&amp;IF(C830="","0000",TEXT(C830,"hhmm")),"CHECK LISTS"))</f>
        <v/>
      </c>
      <c r="B830" s="39"/>
      <c r="C830" s="40"/>
      <c r="D830" s="24" t="str">
        <f aca="false">IF(B830="","",TEXT(B830,"ddd"))</f>
        <v/>
      </c>
      <c r="E830" s="27" t="str">
        <f aca="false">IF(B830="","",B830-WEEKDAY(B830,3))</f>
        <v/>
      </c>
      <c r="F830" s="24" t="str">
        <f aca="false">IF(B830="","",TEXT(B830,"yyyy-mm"))</f>
        <v/>
      </c>
      <c r="G830" s="29"/>
      <c r="H830" s="29"/>
      <c r="I830" s="29"/>
      <c r="J830" s="29"/>
      <c r="K830" s="29"/>
      <c r="L830" s="29"/>
      <c r="M830" s="29"/>
      <c r="N830" s="29"/>
      <c r="O830" s="29"/>
      <c r="P830" s="29"/>
      <c r="Q830" s="30"/>
      <c r="R830" s="29"/>
      <c r="S830" s="32"/>
      <c r="T830" s="29"/>
      <c r="U830" s="29"/>
      <c r="V830" s="24" t="str">
        <f aca="false">IF(A830="","",IFERROR(INDEX(Settings!$F$5:$F$49,MATCH(G830,Settings!$D$5:$D$49,0)),""))</f>
        <v/>
      </c>
      <c r="W830" s="24" t="str">
        <f aca="false">IF(A830="","",IF(OR(P830="",P830="Organic"),"social","paid_social"))</f>
        <v/>
      </c>
      <c r="X830" s="24" t="str">
        <f aca="false">IF(A830="","",IF(K830&lt;&gt;"",IFERROR(INDEX('Case Studies'!$C$5:$C$54,MATCH(K830,'Case Studies'!$B$5:$B$54,0))&amp;"","case-study"),IF(J830&lt;&gt;"",IFERROR(INDEX(Settings!$J$5:$J$55,MATCH(J830,Settings!$I$5:$I$55,0)),"general"),"general")))</f>
        <v/>
      </c>
      <c r="Y830" s="24" t="str">
        <f aca="false">IF(A830="","",LOWER(A830))</f>
        <v/>
      </c>
      <c r="Z830" s="24" t="str">
        <f aca="false">IF(A830="","",IF(T830="",Settings!$B$5,T830)&amp;IF(ISNUMBER(FIND("?",IF(T830="",Settings!$B$5,T830))),"&amp;","?")&amp;"utm_source="&amp;V830&amp;"&amp;utm_medium="&amp;W830&amp;"&amp;utm_campaign="&amp;X830&amp;"&amp;utm_content="&amp;Y830)</f>
        <v/>
      </c>
      <c r="AA830" s="29"/>
      <c r="AB830" s="39"/>
      <c r="AC830" s="32"/>
      <c r="AD830" s="32"/>
      <c r="AE830" s="32"/>
      <c r="AF830" s="32"/>
      <c r="AG830" s="32"/>
      <c r="AH830" s="32"/>
      <c r="AI830" s="32"/>
      <c r="AJ830" s="32"/>
      <c r="AK830" s="32"/>
      <c r="AL830" s="32"/>
      <c r="AM830" s="32"/>
      <c r="AN830" s="32"/>
      <c r="AO830" s="33" t="str">
        <f aca="false">IF(A830="","",IF(AD830&lt;&gt;"",AD830,IF(AC830&lt;&gt;"",AC830,"")))</f>
        <v/>
      </c>
      <c r="AP830" s="24" t="str">
        <f aca="false">IF(AO830="","",IF(AD830&lt;&gt;"","Reported reach","Impressions (proxy)"))</f>
        <v/>
      </c>
      <c r="AQ830" s="34" t="str">
        <f aca="false">IF(OR(AO830="",N(S830)=0),"",AO830/S830)</f>
        <v/>
      </c>
      <c r="AR830" s="33" t="str">
        <f aca="false">IF(A830="","",IF(COUNT(AF830:AJ830)=0,"",SUM(AF830:AJ830)))</f>
        <v/>
      </c>
      <c r="AS830" s="34" t="str">
        <f aca="false">IF(OR(AR830="",N(AO830)=0),"",AR830/AO830)</f>
        <v/>
      </c>
      <c r="AT830" s="34" t="str">
        <f aca="false">IF(OR(AR830="",N(AC830)=0),"",AR830/AC830)</f>
        <v/>
      </c>
      <c r="AU830" s="34" t="str">
        <f aca="false">IF(OR(AR830="",N(S830)=0),"",AR830/S830)</f>
        <v/>
      </c>
      <c r="AV830" s="34" t="str">
        <f aca="false">IF(OR(AJ830="",N(AC830)=0),"",AJ830/AC830)</f>
        <v/>
      </c>
      <c r="AW830" s="34" t="str">
        <f aca="false">IF(OR(AH830="",N(AO830)=0),"",AH830/AO830)</f>
        <v/>
      </c>
      <c r="AX830" s="35" t="str">
        <f aca="false">IF(OR(AR830="",N(AO830)=0),"",(N(AF830)*Settings!$B$6+N(AG830)*Settings!$B$7+N(AH830)*Settings!$B$8+N(AI830)*Settings!$B$9+N(AJ830)*Settings!$B$10)/AO830*1000)</f>
        <v/>
      </c>
      <c r="AY830" s="36" t="str">
        <f aca="false">IF(AS830="","",IFERROR(AS830/AVERAGEIFS('Post Tracker'!$AS$5:$AS$1004,'Post Tracker'!$G$5:$G$1004,G830),""))</f>
        <v/>
      </c>
      <c r="AZ830" s="32"/>
      <c r="BA830" s="32"/>
      <c r="BB830" s="32"/>
      <c r="BC830" s="32"/>
      <c r="BD830" s="33" t="str">
        <f aca="false">IF(A830="","",COUNTIFS('Demo Pipeline'!$Q$5:$Q$504,A830))</f>
        <v/>
      </c>
      <c r="BE830" s="33" t="str">
        <f aca="false">IF(A830="","",COUNTIFS('Demo Pipeline'!$Q$5:$Q$504,A830,'Demo Pipeline'!$W$5:$W$504,"Attended"))</f>
        <v/>
      </c>
      <c r="BF830" s="33" t="str">
        <f aca="false">IF(A830="","",COUNTIFS('Demo Pipeline'!$Q$5:$Q$504,A830,'Demo Pipeline'!$X$5:$X$504,"Yes"))</f>
        <v/>
      </c>
      <c r="BG830" s="33" t="str">
        <f aca="false">IF(A830="","",COUNTIFS('Demo Pipeline'!$Q$5:$Q$504,A830,'Demo Pipeline'!$Y$5:$Y$504,"Closed Won"))</f>
        <v/>
      </c>
      <c r="BH830" s="37" t="str">
        <f aca="false">IF(A830="","",SUMIFS('Demo Pipeline'!$Z$5:$Z$504,'Demo Pipeline'!$Q$5:$Q$504,A830))</f>
        <v/>
      </c>
      <c r="BI830" s="34" t="str">
        <f aca="false">IF(OR(AZ830="",N(AJ830)=0),"",AZ830/AJ830)</f>
        <v/>
      </c>
      <c r="BJ830" s="34" t="str">
        <f aca="false">IF(OR(BB830="",N(AZ830)=0),"",BB830/AZ830)</f>
        <v/>
      </c>
      <c r="BK830" s="34" t="str">
        <f aca="false">IF(OR(A830="",N(BB830)=0),"",BD830/BB830)</f>
        <v/>
      </c>
      <c r="BL830" s="34" t="str">
        <f aca="false">IF(OR(A830="",N(AZ830)=0),"",BD830/AZ830)</f>
        <v/>
      </c>
      <c r="BM830" s="37" t="str">
        <f aca="false">IF(OR(N(Q830)=0,N(BD830)=0),"",Q830/BD830)</f>
        <v/>
      </c>
      <c r="BN830" s="29"/>
      <c r="BO830" s="29"/>
      <c r="BP830" s="33" t="str">
        <f aca="false">IF(OR(AR830="",N(AO830)=0),"",AR830)</f>
        <v/>
      </c>
      <c r="BQ830" s="33" t="str">
        <f aca="false">IF(OR(AR830="",N(S830)=0),"",S830)</f>
        <v/>
      </c>
      <c r="BR830" s="38" t="str">
        <f aca="false">IF(AND(ISNUMBER(B830),B830&gt;=Dashboard!$C$4,B830&lt;=Dashboard!$F$4,ISNUMBER(AU830)),AU830+ROW()/10^9,"")</f>
        <v/>
      </c>
      <c r="BS830" s="38" t="str">
        <f aca="false">IF(AND(ISNUMBER(B830),B830&gt;=Dashboard!$C$4,B830&lt;=Dashboard!$F$4,A830&lt;&gt;""),N(BD830)+N(AU830)/100+ROW()/10^9,"")</f>
        <v/>
      </c>
    </row>
    <row r="831" customFormat="false" ht="15" hidden="false" customHeight="false" outlineLevel="0" collapsed="false">
      <c r="A831" s="24" t="str">
        <f aca="false">IF(OR(B831="",G831="",H831=""),"",IFERROR(INDEX(Settings!$E$5:$E$49,MATCH(G831,Settings!$D$5:$D$49,0))&amp;INDEX(Settings!$H$5:$H$47,MATCH(H831,Settings!$G$5:$G$47,0))&amp;"-"&amp;TEXT(B831,"yymmdd")&amp;"-"&amp;IF(C831="","0000",TEXT(C831,"hhmm")),"CHECK LISTS"))</f>
        <v/>
      </c>
      <c r="B831" s="39"/>
      <c r="C831" s="40"/>
      <c r="D831" s="24" t="str">
        <f aca="false">IF(B831="","",TEXT(B831,"ddd"))</f>
        <v/>
      </c>
      <c r="E831" s="27" t="str">
        <f aca="false">IF(B831="","",B831-WEEKDAY(B831,3))</f>
        <v/>
      </c>
      <c r="F831" s="24" t="str">
        <f aca="false">IF(B831="","",TEXT(B831,"yyyy-mm"))</f>
        <v/>
      </c>
      <c r="G831" s="29"/>
      <c r="H831" s="29"/>
      <c r="I831" s="29"/>
      <c r="J831" s="29"/>
      <c r="K831" s="29"/>
      <c r="L831" s="29"/>
      <c r="M831" s="29"/>
      <c r="N831" s="29"/>
      <c r="O831" s="29"/>
      <c r="P831" s="29"/>
      <c r="Q831" s="30"/>
      <c r="R831" s="29"/>
      <c r="S831" s="32"/>
      <c r="T831" s="29"/>
      <c r="U831" s="29"/>
      <c r="V831" s="24" t="str">
        <f aca="false">IF(A831="","",IFERROR(INDEX(Settings!$F$5:$F$49,MATCH(G831,Settings!$D$5:$D$49,0)),""))</f>
        <v/>
      </c>
      <c r="W831" s="24" t="str">
        <f aca="false">IF(A831="","",IF(OR(P831="",P831="Organic"),"social","paid_social"))</f>
        <v/>
      </c>
      <c r="X831" s="24" t="str">
        <f aca="false">IF(A831="","",IF(K831&lt;&gt;"",IFERROR(INDEX('Case Studies'!$C$5:$C$54,MATCH(K831,'Case Studies'!$B$5:$B$54,0))&amp;"","case-study"),IF(J831&lt;&gt;"",IFERROR(INDEX(Settings!$J$5:$J$55,MATCH(J831,Settings!$I$5:$I$55,0)),"general"),"general")))</f>
        <v/>
      </c>
      <c r="Y831" s="24" t="str">
        <f aca="false">IF(A831="","",LOWER(A831))</f>
        <v/>
      </c>
      <c r="Z831" s="24" t="str">
        <f aca="false">IF(A831="","",IF(T831="",Settings!$B$5,T831)&amp;IF(ISNUMBER(FIND("?",IF(T831="",Settings!$B$5,T831))),"&amp;","?")&amp;"utm_source="&amp;V831&amp;"&amp;utm_medium="&amp;W831&amp;"&amp;utm_campaign="&amp;X831&amp;"&amp;utm_content="&amp;Y831)</f>
        <v/>
      </c>
      <c r="AA831" s="29"/>
      <c r="AB831" s="39"/>
      <c r="AC831" s="32"/>
      <c r="AD831" s="32"/>
      <c r="AE831" s="32"/>
      <c r="AF831" s="32"/>
      <c r="AG831" s="32"/>
      <c r="AH831" s="32"/>
      <c r="AI831" s="32"/>
      <c r="AJ831" s="32"/>
      <c r="AK831" s="32"/>
      <c r="AL831" s="32"/>
      <c r="AM831" s="32"/>
      <c r="AN831" s="32"/>
      <c r="AO831" s="33" t="str">
        <f aca="false">IF(A831="","",IF(AD831&lt;&gt;"",AD831,IF(AC831&lt;&gt;"",AC831,"")))</f>
        <v/>
      </c>
      <c r="AP831" s="24" t="str">
        <f aca="false">IF(AO831="","",IF(AD831&lt;&gt;"","Reported reach","Impressions (proxy)"))</f>
        <v/>
      </c>
      <c r="AQ831" s="34" t="str">
        <f aca="false">IF(OR(AO831="",N(S831)=0),"",AO831/S831)</f>
        <v/>
      </c>
      <c r="AR831" s="33" t="str">
        <f aca="false">IF(A831="","",IF(COUNT(AF831:AJ831)=0,"",SUM(AF831:AJ831)))</f>
        <v/>
      </c>
      <c r="AS831" s="34" t="str">
        <f aca="false">IF(OR(AR831="",N(AO831)=0),"",AR831/AO831)</f>
        <v/>
      </c>
      <c r="AT831" s="34" t="str">
        <f aca="false">IF(OR(AR831="",N(AC831)=0),"",AR831/AC831)</f>
        <v/>
      </c>
      <c r="AU831" s="34" t="str">
        <f aca="false">IF(OR(AR831="",N(S831)=0),"",AR831/S831)</f>
        <v/>
      </c>
      <c r="AV831" s="34" t="str">
        <f aca="false">IF(OR(AJ831="",N(AC831)=0),"",AJ831/AC831)</f>
        <v/>
      </c>
      <c r="AW831" s="34" t="str">
        <f aca="false">IF(OR(AH831="",N(AO831)=0),"",AH831/AO831)</f>
        <v/>
      </c>
      <c r="AX831" s="35" t="str">
        <f aca="false">IF(OR(AR831="",N(AO831)=0),"",(N(AF831)*Settings!$B$6+N(AG831)*Settings!$B$7+N(AH831)*Settings!$B$8+N(AI831)*Settings!$B$9+N(AJ831)*Settings!$B$10)/AO831*1000)</f>
        <v/>
      </c>
      <c r="AY831" s="36" t="str">
        <f aca="false">IF(AS831="","",IFERROR(AS831/AVERAGEIFS('Post Tracker'!$AS$5:$AS$1004,'Post Tracker'!$G$5:$G$1004,G831),""))</f>
        <v/>
      </c>
      <c r="AZ831" s="32"/>
      <c r="BA831" s="32"/>
      <c r="BB831" s="32"/>
      <c r="BC831" s="32"/>
      <c r="BD831" s="33" t="str">
        <f aca="false">IF(A831="","",COUNTIFS('Demo Pipeline'!$Q$5:$Q$504,A831))</f>
        <v/>
      </c>
      <c r="BE831" s="33" t="str">
        <f aca="false">IF(A831="","",COUNTIFS('Demo Pipeline'!$Q$5:$Q$504,A831,'Demo Pipeline'!$W$5:$W$504,"Attended"))</f>
        <v/>
      </c>
      <c r="BF831" s="33" t="str">
        <f aca="false">IF(A831="","",COUNTIFS('Demo Pipeline'!$Q$5:$Q$504,A831,'Demo Pipeline'!$X$5:$X$504,"Yes"))</f>
        <v/>
      </c>
      <c r="BG831" s="33" t="str">
        <f aca="false">IF(A831="","",COUNTIFS('Demo Pipeline'!$Q$5:$Q$504,A831,'Demo Pipeline'!$Y$5:$Y$504,"Closed Won"))</f>
        <v/>
      </c>
      <c r="BH831" s="37" t="str">
        <f aca="false">IF(A831="","",SUMIFS('Demo Pipeline'!$Z$5:$Z$504,'Demo Pipeline'!$Q$5:$Q$504,A831))</f>
        <v/>
      </c>
      <c r="BI831" s="34" t="str">
        <f aca="false">IF(OR(AZ831="",N(AJ831)=0),"",AZ831/AJ831)</f>
        <v/>
      </c>
      <c r="BJ831" s="34" t="str">
        <f aca="false">IF(OR(BB831="",N(AZ831)=0),"",BB831/AZ831)</f>
        <v/>
      </c>
      <c r="BK831" s="34" t="str">
        <f aca="false">IF(OR(A831="",N(BB831)=0),"",BD831/BB831)</f>
        <v/>
      </c>
      <c r="BL831" s="34" t="str">
        <f aca="false">IF(OR(A831="",N(AZ831)=0),"",BD831/AZ831)</f>
        <v/>
      </c>
      <c r="BM831" s="37" t="str">
        <f aca="false">IF(OR(N(Q831)=0,N(BD831)=0),"",Q831/BD831)</f>
        <v/>
      </c>
      <c r="BN831" s="29"/>
      <c r="BO831" s="29"/>
      <c r="BP831" s="33" t="str">
        <f aca="false">IF(OR(AR831="",N(AO831)=0),"",AR831)</f>
        <v/>
      </c>
      <c r="BQ831" s="33" t="str">
        <f aca="false">IF(OR(AR831="",N(S831)=0),"",S831)</f>
        <v/>
      </c>
      <c r="BR831" s="38" t="str">
        <f aca="false">IF(AND(ISNUMBER(B831),B831&gt;=Dashboard!$C$4,B831&lt;=Dashboard!$F$4,ISNUMBER(AU831)),AU831+ROW()/10^9,"")</f>
        <v/>
      </c>
      <c r="BS831" s="38" t="str">
        <f aca="false">IF(AND(ISNUMBER(B831),B831&gt;=Dashboard!$C$4,B831&lt;=Dashboard!$F$4,A831&lt;&gt;""),N(BD831)+N(AU831)/100+ROW()/10^9,"")</f>
        <v/>
      </c>
    </row>
    <row r="832" customFormat="false" ht="15" hidden="false" customHeight="false" outlineLevel="0" collapsed="false">
      <c r="A832" s="24" t="str">
        <f aca="false">IF(OR(B832="",G832="",H832=""),"",IFERROR(INDEX(Settings!$E$5:$E$49,MATCH(G832,Settings!$D$5:$D$49,0))&amp;INDEX(Settings!$H$5:$H$47,MATCH(H832,Settings!$G$5:$G$47,0))&amp;"-"&amp;TEXT(B832,"yymmdd")&amp;"-"&amp;IF(C832="","0000",TEXT(C832,"hhmm")),"CHECK LISTS"))</f>
        <v/>
      </c>
      <c r="B832" s="39"/>
      <c r="C832" s="40"/>
      <c r="D832" s="24" t="str">
        <f aca="false">IF(B832="","",TEXT(B832,"ddd"))</f>
        <v/>
      </c>
      <c r="E832" s="27" t="str">
        <f aca="false">IF(B832="","",B832-WEEKDAY(B832,3))</f>
        <v/>
      </c>
      <c r="F832" s="24" t="str">
        <f aca="false">IF(B832="","",TEXT(B832,"yyyy-mm"))</f>
        <v/>
      </c>
      <c r="G832" s="29"/>
      <c r="H832" s="29"/>
      <c r="I832" s="29"/>
      <c r="J832" s="29"/>
      <c r="K832" s="29"/>
      <c r="L832" s="29"/>
      <c r="M832" s="29"/>
      <c r="N832" s="29"/>
      <c r="O832" s="29"/>
      <c r="P832" s="29"/>
      <c r="Q832" s="30"/>
      <c r="R832" s="29"/>
      <c r="S832" s="32"/>
      <c r="T832" s="29"/>
      <c r="U832" s="29"/>
      <c r="V832" s="24" t="str">
        <f aca="false">IF(A832="","",IFERROR(INDEX(Settings!$F$5:$F$49,MATCH(G832,Settings!$D$5:$D$49,0)),""))</f>
        <v/>
      </c>
      <c r="W832" s="24" t="str">
        <f aca="false">IF(A832="","",IF(OR(P832="",P832="Organic"),"social","paid_social"))</f>
        <v/>
      </c>
      <c r="X832" s="24" t="str">
        <f aca="false">IF(A832="","",IF(K832&lt;&gt;"",IFERROR(INDEX('Case Studies'!$C$5:$C$54,MATCH(K832,'Case Studies'!$B$5:$B$54,0))&amp;"","case-study"),IF(J832&lt;&gt;"",IFERROR(INDEX(Settings!$J$5:$J$55,MATCH(J832,Settings!$I$5:$I$55,0)),"general"),"general")))</f>
        <v/>
      </c>
      <c r="Y832" s="24" t="str">
        <f aca="false">IF(A832="","",LOWER(A832))</f>
        <v/>
      </c>
      <c r="Z832" s="24" t="str">
        <f aca="false">IF(A832="","",IF(T832="",Settings!$B$5,T832)&amp;IF(ISNUMBER(FIND("?",IF(T832="",Settings!$B$5,T832))),"&amp;","?")&amp;"utm_source="&amp;V832&amp;"&amp;utm_medium="&amp;W832&amp;"&amp;utm_campaign="&amp;X832&amp;"&amp;utm_content="&amp;Y832)</f>
        <v/>
      </c>
      <c r="AA832" s="29"/>
      <c r="AB832" s="39"/>
      <c r="AC832" s="32"/>
      <c r="AD832" s="32"/>
      <c r="AE832" s="32"/>
      <c r="AF832" s="32"/>
      <c r="AG832" s="32"/>
      <c r="AH832" s="32"/>
      <c r="AI832" s="32"/>
      <c r="AJ832" s="32"/>
      <c r="AK832" s="32"/>
      <c r="AL832" s="32"/>
      <c r="AM832" s="32"/>
      <c r="AN832" s="32"/>
      <c r="AO832" s="33" t="str">
        <f aca="false">IF(A832="","",IF(AD832&lt;&gt;"",AD832,IF(AC832&lt;&gt;"",AC832,"")))</f>
        <v/>
      </c>
      <c r="AP832" s="24" t="str">
        <f aca="false">IF(AO832="","",IF(AD832&lt;&gt;"","Reported reach","Impressions (proxy)"))</f>
        <v/>
      </c>
      <c r="AQ832" s="34" t="str">
        <f aca="false">IF(OR(AO832="",N(S832)=0),"",AO832/S832)</f>
        <v/>
      </c>
      <c r="AR832" s="33" t="str">
        <f aca="false">IF(A832="","",IF(COUNT(AF832:AJ832)=0,"",SUM(AF832:AJ832)))</f>
        <v/>
      </c>
      <c r="AS832" s="34" t="str">
        <f aca="false">IF(OR(AR832="",N(AO832)=0),"",AR832/AO832)</f>
        <v/>
      </c>
      <c r="AT832" s="34" t="str">
        <f aca="false">IF(OR(AR832="",N(AC832)=0),"",AR832/AC832)</f>
        <v/>
      </c>
      <c r="AU832" s="34" t="str">
        <f aca="false">IF(OR(AR832="",N(S832)=0),"",AR832/S832)</f>
        <v/>
      </c>
      <c r="AV832" s="34" t="str">
        <f aca="false">IF(OR(AJ832="",N(AC832)=0),"",AJ832/AC832)</f>
        <v/>
      </c>
      <c r="AW832" s="34" t="str">
        <f aca="false">IF(OR(AH832="",N(AO832)=0),"",AH832/AO832)</f>
        <v/>
      </c>
      <c r="AX832" s="35" t="str">
        <f aca="false">IF(OR(AR832="",N(AO832)=0),"",(N(AF832)*Settings!$B$6+N(AG832)*Settings!$B$7+N(AH832)*Settings!$B$8+N(AI832)*Settings!$B$9+N(AJ832)*Settings!$B$10)/AO832*1000)</f>
        <v/>
      </c>
      <c r="AY832" s="36" t="str">
        <f aca="false">IF(AS832="","",IFERROR(AS832/AVERAGEIFS('Post Tracker'!$AS$5:$AS$1004,'Post Tracker'!$G$5:$G$1004,G832),""))</f>
        <v/>
      </c>
      <c r="AZ832" s="32"/>
      <c r="BA832" s="32"/>
      <c r="BB832" s="32"/>
      <c r="BC832" s="32"/>
      <c r="BD832" s="33" t="str">
        <f aca="false">IF(A832="","",COUNTIFS('Demo Pipeline'!$Q$5:$Q$504,A832))</f>
        <v/>
      </c>
      <c r="BE832" s="33" t="str">
        <f aca="false">IF(A832="","",COUNTIFS('Demo Pipeline'!$Q$5:$Q$504,A832,'Demo Pipeline'!$W$5:$W$504,"Attended"))</f>
        <v/>
      </c>
      <c r="BF832" s="33" t="str">
        <f aca="false">IF(A832="","",COUNTIFS('Demo Pipeline'!$Q$5:$Q$504,A832,'Demo Pipeline'!$X$5:$X$504,"Yes"))</f>
        <v/>
      </c>
      <c r="BG832" s="33" t="str">
        <f aca="false">IF(A832="","",COUNTIFS('Demo Pipeline'!$Q$5:$Q$504,A832,'Demo Pipeline'!$Y$5:$Y$504,"Closed Won"))</f>
        <v/>
      </c>
      <c r="BH832" s="37" t="str">
        <f aca="false">IF(A832="","",SUMIFS('Demo Pipeline'!$Z$5:$Z$504,'Demo Pipeline'!$Q$5:$Q$504,A832))</f>
        <v/>
      </c>
      <c r="BI832" s="34" t="str">
        <f aca="false">IF(OR(AZ832="",N(AJ832)=0),"",AZ832/AJ832)</f>
        <v/>
      </c>
      <c r="BJ832" s="34" t="str">
        <f aca="false">IF(OR(BB832="",N(AZ832)=0),"",BB832/AZ832)</f>
        <v/>
      </c>
      <c r="BK832" s="34" t="str">
        <f aca="false">IF(OR(A832="",N(BB832)=0),"",BD832/BB832)</f>
        <v/>
      </c>
      <c r="BL832" s="34" t="str">
        <f aca="false">IF(OR(A832="",N(AZ832)=0),"",BD832/AZ832)</f>
        <v/>
      </c>
      <c r="BM832" s="37" t="str">
        <f aca="false">IF(OR(N(Q832)=0,N(BD832)=0),"",Q832/BD832)</f>
        <v/>
      </c>
      <c r="BN832" s="29"/>
      <c r="BO832" s="29"/>
      <c r="BP832" s="33" t="str">
        <f aca="false">IF(OR(AR832="",N(AO832)=0),"",AR832)</f>
        <v/>
      </c>
      <c r="BQ832" s="33" t="str">
        <f aca="false">IF(OR(AR832="",N(S832)=0),"",S832)</f>
        <v/>
      </c>
      <c r="BR832" s="38" t="str">
        <f aca="false">IF(AND(ISNUMBER(B832),B832&gt;=Dashboard!$C$4,B832&lt;=Dashboard!$F$4,ISNUMBER(AU832)),AU832+ROW()/10^9,"")</f>
        <v/>
      </c>
      <c r="BS832" s="38" t="str">
        <f aca="false">IF(AND(ISNUMBER(B832),B832&gt;=Dashboard!$C$4,B832&lt;=Dashboard!$F$4,A832&lt;&gt;""),N(BD832)+N(AU832)/100+ROW()/10^9,"")</f>
        <v/>
      </c>
    </row>
    <row r="833" customFormat="false" ht="15" hidden="false" customHeight="false" outlineLevel="0" collapsed="false">
      <c r="A833" s="24" t="str">
        <f aca="false">IF(OR(B833="",G833="",H833=""),"",IFERROR(INDEX(Settings!$E$5:$E$49,MATCH(G833,Settings!$D$5:$D$49,0))&amp;INDEX(Settings!$H$5:$H$47,MATCH(H833,Settings!$G$5:$G$47,0))&amp;"-"&amp;TEXT(B833,"yymmdd")&amp;"-"&amp;IF(C833="","0000",TEXT(C833,"hhmm")),"CHECK LISTS"))</f>
        <v/>
      </c>
      <c r="B833" s="39"/>
      <c r="C833" s="40"/>
      <c r="D833" s="24" t="str">
        <f aca="false">IF(B833="","",TEXT(B833,"ddd"))</f>
        <v/>
      </c>
      <c r="E833" s="27" t="str">
        <f aca="false">IF(B833="","",B833-WEEKDAY(B833,3))</f>
        <v/>
      </c>
      <c r="F833" s="24" t="str">
        <f aca="false">IF(B833="","",TEXT(B833,"yyyy-mm"))</f>
        <v/>
      </c>
      <c r="G833" s="29"/>
      <c r="H833" s="29"/>
      <c r="I833" s="29"/>
      <c r="J833" s="29"/>
      <c r="K833" s="29"/>
      <c r="L833" s="29"/>
      <c r="M833" s="29"/>
      <c r="N833" s="29"/>
      <c r="O833" s="29"/>
      <c r="P833" s="29"/>
      <c r="Q833" s="30"/>
      <c r="R833" s="29"/>
      <c r="S833" s="32"/>
      <c r="T833" s="29"/>
      <c r="U833" s="29"/>
      <c r="V833" s="24" t="str">
        <f aca="false">IF(A833="","",IFERROR(INDEX(Settings!$F$5:$F$49,MATCH(G833,Settings!$D$5:$D$49,0)),""))</f>
        <v/>
      </c>
      <c r="W833" s="24" t="str">
        <f aca="false">IF(A833="","",IF(OR(P833="",P833="Organic"),"social","paid_social"))</f>
        <v/>
      </c>
      <c r="X833" s="24" t="str">
        <f aca="false">IF(A833="","",IF(K833&lt;&gt;"",IFERROR(INDEX('Case Studies'!$C$5:$C$54,MATCH(K833,'Case Studies'!$B$5:$B$54,0))&amp;"","case-study"),IF(J833&lt;&gt;"",IFERROR(INDEX(Settings!$J$5:$J$55,MATCH(J833,Settings!$I$5:$I$55,0)),"general"),"general")))</f>
        <v/>
      </c>
      <c r="Y833" s="24" t="str">
        <f aca="false">IF(A833="","",LOWER(A833))</f>
        <v/>
      </c>
      <c r="Z833" s="24" t="str">
        <f aca="false">IF(A833="","",IF(T833="",Settings!$B$5,T833)&amp;IF(ISNUMBER(FIND("?",IF(T833="",Settings!$B$5,T833))),"&amp;","?")&amp;"utm_source="&amp;V833&amp;"&amp;utm_medium="&amp;W833&amp;"&amp;utm_campaign="&amp;X833&amp;"&amp;utm_content="&amp;Y833)</f>
        <v/>
      </c>
      <c r="AA833" s="29"/>
      <c r="AB833" s="39"/>
      <c r="AC833" s="32"/>
      <c r="AD833" s="32"/>
      <c r="AE833" s="32"/>
      <c r="AF833" s="32"/>
      <c r="AG833" s="32"/>
      <c r="AH833" s="32"/>
      <c r="AI833" s="32"/>
      <c r="AJ833" s="32"/>
      <c r="AK833" s="32"/>
      <c r="AL833" s="32"/>
      <c r="AM833" s="32"/>
      <c r="AN833" s="32"/>
      <c r="AO833" s="33" t="str">
        <f aca="false">IF(A833="","",IF(AD833&lt;&gt;"",AD833,IF(AC833&lt;&gt;"",AC833,"")))</f>
        <v/>
      </c>
      <c r="AP833" s="24" t="str">
        <f aca="false">IF(AO833="","",IF(AD833&lt;&gt;"","Reported reach","Impressions (proxy)"))</f>
        <v/>
      </c>
      <c r="AQ833" s="34" t="str">
        <f aca="false">IF(OR(AO833="",N(S833)=0),"",AO833/S833)</f>
        <v/>
      </c>
      <c r="AR833" s="33" t="str">
        <f aca="false">IF(A833="","",IF(COUNT(AF833:AJ833)=0,"",SUM(AF833:AJ833)))</f>
        <v/>
      </c>
      <c r="AS833" s="34" t="str">
        <f aca="false">IF(OR(AR833="",N(AO833)=0),"",AR833/AO833)</f>
        <v/>
      </c>
      <c r="AT833" s="34" t="str">
        <f aca="false">IF(OR(AR833="",N(AC833)=0),"",AR833/AC833)</f>
        <v/>
      </c>
      <c r="AU833" s="34" t="str">
        <f aca="false">IF(OR(AR833="",N(S833)=0),"",AR833/S833)</f>
        <v/>
      </c>
      <c r="AV833" s="34" t="str">
        <f aca="false">IF(OR(AJ833="",N(AC833)=0),"",AJ833/AC833)</f>
        <v/>
      </c>
      <c r="AW833" s="34" t="str">
        <f aca="false">IF(OR(AH833="",N(AO833)=0),"",AH833/AO833)</f>
        <v/>
      </c>
      <c r="AX833" s="35" t="str">
        <f aca="false">IF(OR(AR833="",N(AO833)=0),"",(N(AF833)*Settings!$B$6+N(AG833)*Settings!$B$7+N(AH833)*Settings!$B$8+N(AI833)*Settings!$B$9+N(AJ833)*Settings!$B$10)/AO833*1000)</f>
        <v/>
      </c>
      <c r="AY833" s="36" t="str">
        <f aca="false">IF(AS833="","",IFERROR(AS833/AVERAGEIFS('Post Tracker'!$AS$5:$AS$1004,'Post Tracker'!$G$5:$G$1004,G833),""))</f>
        <v/>
      </c>
      <c r="AZ833" s="32"/>
      <c r="BA833" s="32"/>
      <c r="BB833" s="32"/>
      <c r="BC833" s="32"/>
      <c r="BD833" s="33" t="str">
        <f aca="false">IF(A833="","",COUNTIFS('Demo Pipeline'!$Q$5:$Q$504,A833))</f>
        <v/>
      </c>
      <c r="BE833" s="33" t="str">
        <f aca="false">IF(A833="","",COUNTIFS('Demo Pipeline'!$Q$5:$Q$504,A833,'Demo Pipeline'!$W$5:$W$504,"Attended"))</f>
        <v/>
      </c>
      <c r="BF833" s="33" t="str">
        <f aca="false">IF(A833="","",COUNTIFS('Demo Pipeline'!$Q$5:$Q$504,A833,'Demo Pipeline'!$X$5:$X$504,"Yes"))</f>
        <v/>
      </c>
      <c r="BG833" s="33" t="str">
        <f aca="false">IF(A833="","",COUNTIFS('Demo Pipeline'!$Q$5:$Q$504,A833,'Demo Pipeline'!$Y$5:$Y$504,"Closed Won"))</f>
        <v/>
      </c>
      <c r="BH833" s="37" t="str">
        <f aca="false">IF(A833="","",SUMIFS('Demo Pipeline'!$Z$5:$Z$504,'Demo Pipeline'!$Q$5:$Q$504,A833))</f>
        <v/>
      </c>
      <c r="BI833" s="34" t="str">
        <f aca="false">IF(OR(AZ833="",N(AJ833)=0),"",AZ833/AJ833)</f>
        <v/>
      </c>
      <c r="BJ833" s="34" t="str">
        <f aca="false">IF(OR(BB833="",N(AZ833)=0),"",BB833/AZ833)</f>
        <v/>
      </c>
      <c r="BK833" s="34" t="str">
        <f aca="false">IF(OR(A833="",N(BB833)=0),"",BD833/BB833)</f>
        <v/>
      </c>
      <c r="BL833" s="34" t="str">
        <f aca="false">IF(OR(A833="",N(AZ833)=0),"",BD833/AZ833)</f>
        <v/>
      </c>
      <c r="BM833" s="37" t="str">
        <f aca="false">IF(OR(N(Q833)=0,N(BD833)=0),"",Q833/BD833)</f>
        <v/>
      </c>
      <c r="BN833" s="29"/>
      <c r="BO833" s="29"/>
      <c r="BP833" s="33" t="str">
        <f aca="false">IF(OR(AR833="",N(AO833)=0),"",AR833)</f>
        <v/>
      </c>
      <c r="BQ833" s="33" t="str">
        <f aca="false">IF(OR(AR833="",N(S833)=0),"",S833)</f>
        <v/>
      </c>
      <c r="BR833" s="38" t="str">
        <f aca="false">IF(AND(ISNUMBER(B833),B833&gt;=Dashboard!$C$4,B833&lt;=Dashboard!$F$4,ISNUMBER(AU833)),AU833+ROW()/10^9,"")</f>
        <v/>
      </c>
      <c r="BS833" s="38" t="str">
        <f aca="false">IF(AND(ISNUMBER(B833),B833&gt;=Dashboard!$C$4,B833&lt;=Dashboard!$F$4,A833&lt;&gt;""),N(BD833)+N(AU833)/100+ROW()/10^9,"")</f>
        <v/>
      </c>
    </row>
    <row r="834" customFormat="false" ht="15" hidden="false" customHeight="false" outlineLevel="0" collapsed="false">
      <c r="A834" s="24" t="str">
        <f aca="false">IF(OR(B834="",G834="",H834=""),"",IFERROR(INDEX(Settings!$E$5:$E$49,MATCH(G834,Settings!$D$5:$D$49,0))&amp;INDEX(Settings!$H$5:$H$47,MATCH(H834,Settings!$G$5:$G$47,0))&amp;"-"&amp;TEXT(B834,"yymmdd")&amp;"-"&amp;IF(C834="","0000",TEXT(C834,"hhmm")),"CHECK LISTS"))</f>
        <v/>
      </c>
      <c r="B834" s="39"/>
      <c r="C834" s="40"/>
      <c r="D834" s="24" t="str">
        <f aca="false">IF(B834="","",TEXT(B834,"ddd"))</f>
        <v/>
      </c>
      <c r="E834" s="27" t="str">
        <f aca="false">IF(B834="","",B834-WEEKDAY(B834,3))</f>
        <v/>
      </c>
      <c r="F834" s="24" t="str">
        <f aca="false">IF(B834="","",TEXT(B834,"yyyy-mm"))</f>
        <v/>
      </c>
      <c r="G834" s="29"/>
      <c r="H834" s="29"/>
      <c r="I834" s="29"/>
      <c r="J834" s="29"/>
      <c r="K834" s="29"/>
      <c r="L834" s="29"/>
      <c r="M834" s="29"/>
      <c r="N834" s="29"/>
      <c r="O834" s="29"/>
      <c r="P834" s="29"/>
      <c r="Q834" s="30"/>
      <c r="R834" s="29"/>
      <c r="S834" s="32"/>
      <c r="T834" s="29"/>
      <c r="U834" s="29"/>
      <c r="V834" s="24" t="str">
        <f aca="false">IF(A834="","",IFERROR(INDEX(Settings!$F$5:$F$49,MATCH(G834,Settings!$D$5:$D$49,0)),""))</f>
        <v/>
      </c>
      <c r="W834" s="24" t="str">
        <f aca="false">IF(A834="","",IF(OR(P834="",P834="Organic"),"social","paid_social"))</f>
        <v/>
      </c>
      <c r="X834" s="24" t="str">
        <f aca="false">IF(A834="","",IF(K834&lt;&gt;"",IFERROR(INDEX('Case Studies'!$C$5:$C$54,MATCH(K834,'Case Studies'!$B$5:$B$54,0))&amp;"","case-study"),IF(J834&lt;&gt;"",IFERROR(INDEX(Settings!$J$5:$J$55,MATCH(J834,Settings!$I$5:$I$55,0)),"general"),"general")))</f>
        <v/>
      </c>
      <c r="Y834" s="24" t="str">
        <f aca="false">IF(A834="","",LOWER(A834))</f>
        <v/>
      </c>
      <c r="Z834" s="24" t="str">
        <f aca="false">IF(A834="","",IF(T834="",Settings!$B$5,T834)&amp;IF(ISNUMBER(FIND("?",IF(T834="",Settings!$B$5,T834))),"&amp;","?")&amp;"utm_source="&amp;V834&amp;"&amp;utm_medium="&amp;W834&amp;"&amp;utm_campaign="&amp;X834&amp;"&amp;utm_content="&amp;Y834)</f>
        <v/>
      </c>
      <c r="AA834" s="29"/>
      <c r="AB834" s="39"/>
      <c r="AC834" s="32"/>
      <c r="AD834" s="32"/>
      <c r="AE834" s="32"/>
      <c r="AF834" s="32"/>
      <c r="AG834" s="32"/>
      <c r="AH834" s="32"/>
      <c r="AI834" s="32"/>
      <c r="AJ834" s="32"/>
      <c r="AK834" s="32"/>
      <c r="AL834" s="32"/>
      <c r="AM834" s="32"/>
      <c r="AN834" s="32"/>
      <c r="AO834" s="33" t="str">
        <f aca="false">IF(A834="","",IF(AD834&lt;&gt;"",AD834,IF(AC834&lt;&gt;"",AC834,"")))</f>
        <v/>
      </c>
      <c r="AP834" s="24" t="str">
        <f aca="false">IF(AO834="","",IF(AD834&lt;&gt;"","Reported reach","Impressions (proxy)"))</f>
        <v/>
      </c>
      <c r="AQ834" s="34" t="str">
        <f aca="false">IF(OR(AO834="",N(S834)=0),"",AO834/S834)</f>
        <v/>
      </c>
      <c r="AR834" s="33" t="str">
        <f aca="false">IF(A834="","",IF(COUNT(AF834:AJ834)=0,"",SUM(AF834:AJ834)))</f>
        <v/>
      </c>
      <c r="AS834" s="34" t="str">
        <f aca="false">IF(OR(AR834="",N(AO834)=0),"",AR834/AO834)</f>
        <v/>
      </c>
      <c r="AT834" s="34" t="str">
        <f aca="false">IF(OR(AR834="",N(AC834)=0),"",AR834/AC834)</f>
        <v/>
      </c>
      <c r="AU834" s="34" t="str">
        <f aca="false">IF(OR(AR834="",N(S834)=0),"",AR834/S834)</f>
        <v/>
      </c>
      <c r="AV834" s="34" t="str">
        <f aca="false">IF(OR(AJ834="",N(AC834)=0),"",AJ834/AC834)</f>
        <v/>
      </c>
      <c r="AW834" s="34" t="str">
        <f aca="false">IF(OR(AH834="",N(AO834)=0),"",AH834/AO834)</f>
        <v/>
      </c>
      <c r="AX834" s="35" t="str">
        <f aca="false">IF(OR(AR834="",N(AO834)=0),"",(N(AF834)*Settings!$B$6+N(AG834)*Settings!$B$7+N(AH834)*Settings!$B$8+N(AI834)*Settings!$B$9+N(AJ834)*Settings!$B$10)/AO834*1000)</f>
        <v/>
      </c>
      <c r="AY834" s="36" t="str">
        <f aca="false">IF(AS834="","",IFERROR(AS834/AVERAGEIFS('Post Tracker'!$AS$5:$AS$1004,'Post Tracker'!$G$5:$G$1004,G834),""))</f>
        <v/>
      </c>
      <c r="AZ834" s="32"/>
      <c r="BA834" s="32"/>
      <c r="BB834" s="32"/>
      <c r="BC834" s="32"/>
      <c r="BD834" s="33" t="str">
        <f aca="false">IF(A834="","",COUNTIFS('Demo Pipeline'!$Q$5:$Q$504,A834))</f>
        <v/>
      </c>
      <c r="BE834" s="33" t="str">
        <f aca="false">IF(A834="","",COUNTIFS('Demo Pipeline'!$Q$5:$Q$504,A834,'Demo Pipeline'!$W$5:$W$504,"Attended"))</f>
        <v/>
      </c>
      <c r="BF834" s="33" t="str">
        <f aca="false">IF(A834="","",COUNTIFS('Demo Pipeline'!$Q$5:$Q$504,A834,'Demo Pipeline'!$X$5:$X$504,"Yes"))</f>
        <v/>
      </c>
      <c r="BG834" s="33" t="str">
        <f aca="false">IF(A834="","",COUNTIFS('Demo Pipeline'!$Q$5:$Q$504,A834,'Demo Pipeline'!$Y$5:$Y$504,"Closed Won"))</f>
        <v/>
      </c>
      <c r="BH834" s="37" t="str">
        <f aca="false">IF(A834="","",SUMIFS('Demo Pipeline'!$Z$5:$Z$504,'Demo Pipeline'!$Q$5:$Q$504,A834))</f>
        <v/>
      </c>
      <c r="BI834" s="34" t="str">
        <f aca="false">IF(OR(AZ834="",N(AJ834)=0),"",AZ834/AJ834)</f>
        <v/>
      </c>
      <c r="BJ834" s="34" t="str">
        <f aca="false">IF(OR(BB834="",N(AZ834)=0),"",BB834/AZ834)</f>
        <v/>
      </c>
      <c r="BK834" s="34" t="str">
        <f aca="false">IF(OR(A834="",N(BB834)=0),"",BD834/BB834)</f>
        <v/>
      </c>
      <c r="BL834" s="34" t="str">
        <f aca="false">IF(OR(A834="",N(AZ834)=0),"",BD834/AZ834)</f>
        <v/>
      </c>
      <c r="BM834" s="37" t="str">
        <f aca="false">IF(OR(N(Q834)=0,N(BD834)=0),"",Q834/BD834)</f>
        <v/>
      </c>
      <c r="BN834" s="29"/>
      <c r="BO834" s="29"/>
      <c r="BP834" s="33" t="str">
        <f aca="false">IF(OR(AR834="",N(AO834)=0),"",AR834)</f>
        <v/>
      </c>
      <c r="BQ834" s="33" t="str">
        <f aca="false">IF(OR(AR834="",N(S834)=0),"",S834)</f>
        <v/>
      </c>
      <c r="BR834" s="38" t="str">
        <f aca="false">IF(AND(ISNUMBER(B834),B834&gt;=Dashboard!$C$4,B834&lt;=Dashboard!$F$4,ISNUMBER(AU834)),AU834+ROW()/10^9,"")</f>
        <v/>
      </c>
      <c r="BS834" s="38" t="str">
        <f aca="false">IF(AND(ISNUMBER(B834),B834&gt;=Dashboard!$C$4,B834&lt;=Dashboard!$F$4,A834&lt;&gt;""),N(BD834)+N(AU834)/100+ROW()/10^9,"")</f>
        <v/>
      </c>
    </row>
    <row r="835" customFormat="false" ht="15" hidden="false" customHeight="false" outlineLevel="0" collapsed="false">
      <c r="A835" s="24" t="str">
        <f aca="false">IF(OR(B835="",G835="",H835=""),"",IFERROR(INDEX(Settings!$E$5:$E$49,MATCH(G835,Settings!$D$5:$D$49,0))&amp;INDEX(Settings!$H$5:$H$47,MATCH(H835,Settings!$G$5:$G$47,0))&amp;"-"&amp;TEXT(B835,"yymmdd")&amp;"-"&amp;IF(C835="","0000",TEXT(C835,"hhmm")),"CHECK LISTS"))</f>
        <v/>
      </c>
      <c r="B835" s="39"/>
      <c r="C835" s="40"/>
      <c r="D835" s="24" t="str">
        <f aca="false">IF(B835="","",TEXT(B835,"ddd"))</f>
        <v/>
      </c>
      <c r="E835" s="27" t="str">
        <f aca="false">IF(B835="","",B835-WEEKDAY(B835,3))</f>
        <v/>
      </c>
      <c r="F835" s="24" t="str">
        <f aca="false">IF(B835="","",TEXT(B835,"yyyy-mm"))</f>
        <v/>
      </c>
      <c r="G835" s="29"/>
      <c r="H835" s="29"/>
      <c r="I835" s="29"/>
      <c r="J835" s="29"/>
      <c r="K835" s="29"/>
      <c r="L835" s="29"/>
      <c r="M835" s="29"/>
      <c r="N835" s="29"/>
      <c r="O835" s="29"/>
      <c r="P835" s="29"/>
      <c r="Q835" s="30"/>
      <c r="R835" s="29"/>
      <c r="S835" s="32"/>
      <c r="T835" s="29"/>
      <c r="U835" s="29"/>
      <c r="V835" s="24" t="str">
        <f aca="false">IF(A835="","",IFERROR(INDEX(Settings!$F$5:$F$49,MATCH(G835,Settings!$D$5:$D$49,0)),""))</f>
        <v/>
      </c>
      <c r="W835" s="24" t="str">
        <f aca="false">IF(A835="","",IF(OR(P835="",P835="Organic"),"social","paid_social"))</f>
        <v/>
      </c>
      <c r="X835" s="24" t="str">
        <f aca="false">IF(A835="","",IF(K835&lt;&gt;"",IFERROR(INDEX('Case Studies'!$C$5:$C$54,MATCH(K835,'Case Studies'!$B$5:$B$54,0))&amp;"","case-study"),IF(J835&lt;&gt;"",IFERROR(INDEX(Settings!$J$5:$J$55,MATCH(J835,Settings!$I$5:$I$55,0)),"general"),"general")))</f>
        <v/>
      </c>
      <c r="Y835" s="24" t="str">
        <f aca="false">IF(A835="","",LOWER(A835))</f>
        <v/>
      </c>
      <c r="Z835" s="24" t="str">
        <f aca="false">IF(A835="","",IF(T835="",Settings!$B$5,T835)&amp;IF(ISNUMBER(FIND("?",IF(T835="",Settings!$B$5,T835))),"&amp;","?")&amp;"utm_source="&amp;V835&amp;"&amp;utm_medium="&amp;W835&amp;"&amp;utm_campaign="&amp;X835&amp;"&amp;utm_content="&amp;Y835)</f>
        <v/>
      </c>
      <c r="AA835" s="29"/>
      <c r="AB835" s="39"/>
      <c r="AC835" s="32"/>
      <c r="AD835" s="32"/>
      <c r="AE835" s="32"/>
      <c r="AF835" s="32"/>
      <c r="AG835" s="32"/>
      <c r="AH835" s="32"/>
      <c r="AI835" s="32"/>
      <c r="AJ835" s="32"/>
      <c r="AK835" s="32"/>
      <c r="AL835" s="32"/>
      <c r="AM835" s="32"/>
      <c r="AN835" s="32"/>
      <c r="AO835" s="33" t="str">
        <f aca="false">IF(A835="","",IF(AD835&lt;&gt;"",AD835,IF(AC835&lt;&gt;"",AC835,"")))</f>
        <v/>
      </c>
      <c r="AP835" s="24" t="str">
        <f aca="false">IF(AO835="","",IF(AD835&lt;&gt;"","Reported reach","Impressions (proxy)"))</f>
        <v/>
      </c>
      <c r="AQ835" s="34" t="str">
        <f aca="false">IF(OR(AO835="",N(S835)=0),"",AO835/S835)</f>
        <v/>
      </c>
      <c r="AR835" s="33" t="str">
        <f aca="false">IF(A835="","",IF(COUNT(AF835:AJ835)=0,"",SUM(AF835:AJ835)))</f>
        <v/>
      </c>
      <c r="AS835" s="34" t="str">
        <f aca="false">IF(OR(AR835="",N(AO835)=0),"",AR835/AO835)</f>
        <v/>
      </c>
      <c r="AT835" s="34" t="str">
        <f aca="false">IF(OR(AR835="",N(AC835)=0),"",AR835/AC835)</f>
        <v/>
      </c>
      <c r="AU835" s="34" t="str">
        <f aca="false">IF(OR(AR835="",N(S835)=0),"",AR835/S835)</f>
        <v/>
      </c>
      <c r="AV835" s="34" t="str">
        <f aca="false">IF(OR(AJ835="",N(AC835)=0),"",AJ835/AC835)</f>
        <v/>
      </c>
      <c r="AW835" s="34" t="str">
        <f aca="false">IF(OR(AH835="",N(AO835)=0),"",AH835/AO835)</f>
        <v/>
      </c>
      <c r="AX835" s="35" t="str">
        <f aca="false">IF(OR(AR835="",N(AO835)=0),"",(N(AF835)*Settings!$B$6+N(AG835)*Settings!$B$7+N(AH835)*Settings!$B$8+N(AI835)*Settings!$B$9+N(AJ835)*Settings!$B$10)/AO835*1000)</f>
        <v/>
      </c>
      <c r="AY835" s="36" t="str">
        <f aca="false">IF(AS835="","",IFERROR(AS835/AVERAGEIFS('Post Tracker'!$AS$5:$AS$1004,'Post Tracker'!$G$5:$G$1004,G835),""))</f>
        <v/>
      </c>
      <c r="AZ835" s="32"/>
      <c r="BA835" s="32"/>
      <c r="BB835" s="32"/>
      <c r="BC835" s="32"/>
      <c r="BD835" s="33" t="str">
        <f aca="false">IF(A835="","",COUNTIFS('Demo Pipeline'!$Q$5:$Q$504,A835))</f>
        <v/>
      </c>
      <c r="BE835" s="33" t="str">
        <f aca="false">IF(A835="","",COUNTIFS('Demo Pipeline'!$Q$5:$Q$504,A835,'Demo Pipeline'!$W$5:$W$504,"Attended"))</f>
        <v/>
      </c>
      <c r="BF835" s="33" t="str">
        <f aca="false">IF(A835="","",COUNTIFS('Demo Pipeline'!$Q$5:$Q$504,A835,'Demo Pipeline'!$X$5:$X$504,"Yes"))</f>
        <v/>
      </c>
      <c r="BG835" s="33" t="str">
        <f aca="false">IF(A835="","",COUNTIFS('Demo Pipeline'!$Q$5:$Q$504,A835,'Demo Pipeline'!$Y$5:$Y$504,"Closed Won"))</f>
        <v/>
      </c>
      <c r="BH835" s="37" t="str">
        <f aca="false">IF(A835="","",SUMIFS('Demo Pipeline'!$Z$5:$Z$504,'Demo Pipeline'!$Q$5:$Q$504,A835))</f>
        <v/>
      </c>
      <c r="BI835" s="34" t="str">
        <f aca="false">IF(OR(AZ835="",N(AJ835)=0),"",AZ835/AJ835)</f>
        <v/>
      </c>
      <c r="BJ835" s="34" t="str">
        <f aca="false">IF(OR(BB835="",N(AZ835)=0),"",BB835/AZ835)</f>
        <v/>
      </c>
      <c r="BK835" s="34" t="str">
        <f aca="false">IF(OR(A835="",N(BB835)=0),"",BD835/BB835)</f>
        <v/>
      </c>
      <c r="BL835" s="34" t="str">
        <f aca="false">IF(OR(A835="",N(AZ835)=0),"",BD835/AZ835)</f>
        <v/>
      </c>
      <c r="BM835" s="37" t="str">
        <f aca="false">IF(OR(N(Q835)=0,N(BD835)=0),"",Q835/BD835)</f>
        <v/>
      </c>
      <c r="BN835" s="29"/>
      <c r="BO835" s="29"/>
      <c r="BP835" s="33" t="str">
        <f aca="false">IF(OR(AR835="",N(AO835)=0),"",AR835)</f>
        <v/>
      </c>
      <c r="BQ835" s="33" t="str">
        <f aca="false">IF(OR(AR835="",N(S835)=0),"",S835)</f>
        <v/>
      </c>
      <c r="BR835" s="38" t="str">
        <f aca="false">IF(AND(ISNUMBER(B835),B835&gt;=Dashboard!$C$4,B835&lt;=Dashboard!$F$4,ISNUMBER(AU835)),AU835+ROW()/10^9,"")</f>
        <v/>
      </c>
      <c r="BS835" s="38" t="str">
        <f aca="false">IF(AND(ISNUMBER(B835),B835&gt;=Dashboard!$C$4,B835&lt;=Dashboard!$F$4,A835&lt;&gt;""),N(BD835)+N(AU835)/100+ROW()/10^9,"")</f>
        <v/>
      </c>
    </row>
    <row r="836" customFormat="false" ht="15" hidden="false" customHeight="false" outlineLevel="0" collapsed="false">
      <c r="A836" s="24" t="str">
        <f aca="false">IF(OR(B836="",G836="",H836=""),"",IFERROR(INDEX(Settings!$E$5:$E$49,MATCH(G836,Settings!$D$5:$D$49,0))&amp;INDEX(Settings!$H$5:$H$47,MATCH(H836,Settings!$G$5:$G$47,0))&amp;"-"&amp;TEXT(B836,"yymmdd")&amp;"-"&amp;IF(C836="","0000",TEXT(C836,"hhmm")),"CHECK LISTS"))</f>
        <v/>
      </c>
      <c r="B836" s="39"/>
      <c r="C836" s="40"/>
      <c r="D836" s="24" t="str">
        <f aca="false">IF(B836="","",TEXT(B836,"ddd"))</f>
        <v/>
      </c>
      <c r="E836" s="27" t="str">
        <f aca="false">IF(B836="","",B836-WEEKDAY(B836,3))</f>
        <v/>
      </c>
      <c r="F836" s="24" t="str">
        <f aca="false">IF(B836="","",TEXT(B836,"yyyy-mm"))</f>
        <v/>
      </c>
      <c r="G836" s="29"/>
      <c r="H836" s="29"/>
      <c r="I836" s="29"/>
      <c r="J836" s="29"/>
      <c r="K836" s="29"/>
      <c r="L836" s="29"/>
      <c r="M836" s="29"/>
      <c r="N836" s="29"/>
      <c r="O836" s="29"/>
      <c r="P836" s="29"/>
      <c r="Q836" s="30"/>
      <c r="R836" s="29"/>
      <c r="S836" s="32"/>
      <c r="T836" s="29"/>
      <c r="U836" s="29"/>
      <c r="V836" s="24" t="str">
        <f aca="false">IF(A836="","",IFERROR(INDEX(Settings!$F$5:$F$49,MATCH(G836,Settings!$D$5:$D$49,0)),""))</f>
        <v/>
      </c>
      <c r="W836" s="24" t="str">
        <f aca="false">IF(A836="","",IF(OR(P836="",P836="Organic"),"social","paid_social"))</f>
        <v/>
      </c>
      <c r="X836" s="24" t="str">
        <f aca="false">IF(A836="","",IF(K836&lt;&gt;"",IFERROR(INDEX('Case Studies'!$C$5:$C$54,MATCH(K836,'Case Studies'!$B$5:$B$54,0))&amp;"","case-study"),IF(J836&lt;&gt;"",IFERROR(INDEX(Settings!$J$5:$J$55,MATCH(J836,Settings!$I$5:$I$55,0)),"general"),"general")))</f>
        <v/>
      </c>
      <c r="Y836" s="24" t="str">
        <f aca="false">IF(A836="","",LOWER(A836))</f>
        <v/>
      </c>
      <c r="Z836" s="24" t="str">
        <f aca="false">IF(A836="","",IF(T836="",Settings!$B$5,T836)&amp;IF(ISNUMBER(FIND("?",IF(T836="",Settings!$B$5,T836))),"&amp;","?")&amp;"utm_source="&amp;V836&amp;"&amp;utm_medium="&amp;W836&amp;"&amp;utm_campaign="&amp;X836&amp;"&amp;utm_content="&amp;Y836)</f>
        <v/>
      </c>
      <c r="AA836" s="29"/>
      <c r="AB836" s="39"/>
      <c r="AC836" s="32"/>
      <c r="AD836" s="32"/>
      <c r="AE836" s="32"/>
      <c r="AF836" s="32"/>
      <c r="AG836" s="32"/>
      <c r="AH836" s="32"/>
      <c r="AI836" s="32"/>
      <c r="AJ836" s="32"/>
      <c r="AK836" s="32"/>
      <c r="AL836" s="32"/>
      <c r="AM836" s="32"/>
      <c r="AN836" s="32"/>
      <c r="AO836" s="33" t="str">
        <f aca="false">IF(A836="","",IF(AD836&lt;&gt;"",AD836,IF(AC836&lt;&gt;"",AC836,"")))</f>
        <v/>
      </c>
      <c r="AP836" s="24" t="str">
        <f aca="false">IF(AO836="","",IF(AD836&lt;&gt;"","Reported reach","Impressions (proxy)"))</f>
        <v/>
      </c>
      <c r="AQ836" s="34" t="str">
        <f aca="false">IF(OR(AO836="",N(S836)=0),"",AO836/S836)</f>
        <v/>
      </c>
      <c r="AR836" s="33" t="str">
        <f aca="false">IF(A836="","",IF(COUNT(AF836:AJ836)=0,"",SUM(AF836:AJ836)))</f>
        <v/>
      </c>
      <c r="AS836" s="34" t="str">
        <f aca="false">IF(OR(AR836="",N(AO836)=0),"",AR836/AO836)</f>
        <v/>
      </c>
      <c r="AT836" s="34" t="str">
        <f aca="false">IF(OR(AR836="",N(AC836)=0),"",AR836/AC836)</f>
        <v/>
      </c>
      <c r="AU836" s="34" t="str">
        <f aca="false">IF(OR(AR836="",N(S836)=0),"",AR836/S836)</f>
        <v/>
      </c>
      <c r="AV836" s="34" t="str">
        <f aca="false">IF(OR(AJ836="",N(AC836)=0),"",AJ836/AC836)</f>
        <v/>
      </c>
      <c r="AW836" s="34" t="str">
        <f aca="false">IF(OR(AH836="",N(AO836)=0),"",AH836/AO836)</f>
        <v/>
      </c>
      <c r="AX836" s="35" t="str">
        <f aca="false">IF(OR(AR836="",N(AO836)=0),"",(N(AF836)*Settings!$B$6+N(AG836)*Settings!$B$7+N(AH836)*Settings!$B$8+N(AI836)*Settings!$B$9+N(AJ836)*Settings!$B$10)/AO836*1000)</f>
        <v/>
      </c>
      <c r="AY836" s="36" t="str">
        <f aca="false">IF(AS836="","",IFERROR(AS836/AVERAGEIFS('Post Tracker'!$AS$5:$AS$1004,'Post Tracker'!$G$5:$G$1004,G836),""))</f>
        <v/>
      </c>
      <c r="AZ836" s="32"/>
      <c r="BA836" s="32"/>
      <c r="BB836" s="32"/>
      <c r="BC836" s="32"/>
      <c r="BD836" s="33" t="str">
        <f aca="false">IF(A836="","",COUNTIFS('Demo Pipeline'!$Q$5:$Q$504,A836))</f>
        <v/>
      </c>
      <c r="BE836" s="33" t="str">
        <f aca="false">IF(A836="","",COUNTIFS('Demo Pipeline'!$Q$5:$Q$504,A836,'Demo Pipeline'!$W$5:$W$504,"Attended"))</f>
        <v/>
      </c>
      <c r="BF836" s="33" t="str">
        <f aca="false">IF(A836="","",COUNTIFS('Demo Pipeline'!$Q$5:$Q$504,A836,'Demo Pipeline'!$X$5:$X$504,"Yes"))</f>
        <v/>
      </c>
      <c r="BG836" s="33" t="str">
        <f aca="false">IF(A836="","",COUNTIFS('Demo Pipeline'!$Q$5:$Q$504,A836,'Demo Pipeline'!$Y$5:$Y$504,"Closed Won"))</f>
        <v/>
      </c>
      <c r="BH836" s="37" t="str">
        <f aca="false">IF(A836="","",SUMIFS('Demo Pipeline'!$Z$5:$Z$504,'Demo Pipeline'!$Q$5:$Q$504,A836))</f>
        <v/>
      </c>
      <c r="BI836" s="34" t="str">
        <f aca="false">IF(OR(AZ836="",N(AJ836)=0),"",AZ836/AJ836)</f>
        <v/>
      </c>
      <c r="BJ836" s="34" t="str">
        <f aca="false">IF(OR(BB836="",N(AZ836)=0),"",BB836/AZ836)</f>
        <v/>
      </c>
      <c r="BK836" s="34" t="str">
        <f aca="false">IF(OR(A836="",N(BB836)=0),"",BD836/BB836)</f>
        <v/>
      </c>
      <c r="BL836" s="34" t="str">
        <f aca="false">IF(OR(A836="",N(AZ836)=0),"",BD836/AZ836)</f>
        <v/>
      </c>
      <c r="BM836" s="37" t="str">
        <f aca="false">IF(OR(N(Q836)=0,N(BD836)=0),"",Q836/BD836)</f>
        <v/>
      </c>
      <c r="BN836" s="29"/>
      <c r="BO836" s="29"/>
      <c r="BP836" s="33" t="str">
        <f aca="false">IF(OR(AR836="",N(AO836)=0),"",AR836)</f>
        <v/>
      </c>
      <c r="BQ836" s="33" t="str">
        <f aca="false">IF(OR(AR836="",N(S836)=0),"",S836)</f>
        <v/>
      </c>
      <c r="BR836" s="38" t="str">
        <f aca="false">IF(AND(ISNUMBER(B836),B836&gt;=Dashboard!$C$4,B836&lt;=Dashboard!$F$4,ISNUMBER(AU836)),AU836+ROW()/10^9,"")</f>
        <v/>
      </c>
      <c r="BS836" s="38" t="str">
        <f aca="false">IF(AND(ISNUMBER(B836),B836&gt;=Dashboard!$C$4,B836&lt;=Dashboard!$F$4,A836&lt;&gt;""),N(BD836)+N(AU836)/100+ROW()/10^9,"")</f>
        <v/>
      </c>
    </row>
    <row r="837" customFormat="false" ht="15" hidden="false" customHeight="false" outlineLevel="0" collapsed="false">
      <c r="A837" s="24" t="str">
        <f aca="false">IF(OR(B837="",G837="",H837=""),"",IFERROR(INDEX(Settings!$E$5:$E$49,MATCH(G837,Settings!$D$5:$D$49,0))&amp;INDEX(Settings!$H$5:$H$47,MATCH(H837,Settings!$G$5:$G$47,0))&amp;"-"&amp;TEXT(B837,"yymmdd")&amp;"-"&amp;IF(C837="","0000",TEXT(C837,"hhmm")),"CHECK LISTS"))</f>
        <v/>
      </c>
      <c r="B837" s="39"/>
      <c r="C837" s="40"/>
      <c r="D837" s="24" t="str">
        <f aca="false">IF(B837="","",TEXT(B837,"ddd"))</f>
        <v/>
      </c>
      <c r="E837" s="27" t="str">
        <f aca="false">IF(B837="","",B837-WEEKDAY(B837,3))</f>
        <v/>
      </c>
      <c r="F837" s="24" t="str">
        <f aca="false">IF(B837="","",TEXT(B837,"yyyy-mm"))</f>
        <v/>
      </c>
      <c r="G837" s="29"/>
      <c r="H837" s="29"/>
      <c r="I837" s="29"/>
      <c r="J837" s="29"/>
      <c r="K837" s="29"/>
      <c r="L837" s="29"/>
      <c r="M837" s="29"/>
      <c r="N837" s="29"/>
      <c r="O837" s="29"/>
      <c r="P837" s="29"/>
      <c r="Q837" s="30"/>
      <c r="R837" s="29"/>
      <c r="S837" s="32"/>
      <c r="T837" s="29"/>
      <c r="U837" s="29"/>
      <c r="V837" s="24" t="str">
        <f aca="false">IF(A837="","",IFERROR(INDEX(Settings!$F$5:$F$49,MATCH(G837,Settings!$D$5:$D$49,0)),""))</f>
        <v/>
      </c>
      <c r="W837" s="24" t="str">
        <f aca="false">IF(A837="","",IF(OR(P837="",P837="Organic"),"social","paid_social"))</f>
        <v/>
      </c>
      <c r="X837" s="24" t="str">
        <f aca="false">IF(A837="","",IF(K837&lt;&gt;"",IFERROR(INDEX('Case Studies'!$C$5:$C$54,MATCH(K837,'Case Studies'!$B$5:$B$54,0))&amp;"","case-study"),IF(J837&lt;&gt;"",IFERROR(INDEX(Settings!$J$5:$J$55,MATCH(J837,Settings!$I$5:$I$55,0)),"general"),"general")))</f>
        <v/>
      </c>
      <c r="Y837" s="24" t="str">
        <f aca="false">IF(A837="","",LOWER(A837))</f>
        <v/>
      </c>
      <c r="Z837" s="24" t="str">
        <f aca="false">IF(A837="","",IF(T837="",Settings!$B$5,T837)&amp;IF(ISNUMBER(FIND("?",IF(T837="",Settings!$B$5,T837))),"&amp;","?")&amp;"utm_source="&amp;V837&amp;"&amp;utm_medium="&amp;W837&amp;"&amp;utm_campaign="&amp;X837&amp;"&amp;utm_content="&amp;Y837)</f>
        <v/>
      </c>
      <c r="AA837" s="29"/>
      <c r="AB837" s="39"/>
      <c r="AC837" s="32"/>
      <c r="AD837" s="32"/>
      <c r="AE837" s="32"/>
      <c r="AF837" s="32"/>
      <c r="AG837" s="32"/>
      <c r="AH837" s="32"/>
      <c r="AI837" s="32"/>
      <c r="AJ837" s="32"/>
      <c r="AK837" s="32"/>
      <c r="AL837" s="32"/>
      <c r="AM837" s="32"/>
      <c r="AN837" s="32"/>
      <c r="AO837" s="33" t="str">
        <f aca="false">IF(A837="","",IF(AD837&lt;&gt;"",AD837,IF(AC837&lt;&gt;"",AC837,"")))</f>
        <v/>
      </c>
      <c r="AP837" s="24" t="str">
        <f aca="false">IF(AO837="","",IF(AD837&lt;&gt;"","Reported reach","Impressions (proxy)"))</f>
        <v/>
      </c>
      <c r="AQ837" s="34" t="str">
        <f aca="false">IF(OR(AO837="",N(S837)=0),"",AO837/S837)</f>
        <v/>
      </c>
      <c r="AR837" s="33" t="str">
        <f aca="false">IF(A837="","",IF(COUNT(AF837:AJ837)=0,"",SUM(AF837:AJ837)))</f>
        <v/>
      </c>
      <c r="AS837" s="34" t="str">
        <f aca="false">IF(OR(AR837="",N(AO837)=0),"",AR837/AO837)</f>
        <v/>
      </c>
      <c r="AT837" s="34" t="str">
        <f aca="false">IF(OR(AR837="",N(AC837)=0),"",AR837/AC837)</f>
        <v/>
      </c>
      <c r="AU837" s="34" t="str">
        <f aca="false">IF(OR(AR837="",N(S837)=0),"",AR837/S837)</f>
        <v/>
      </c>
      <c r="AV837" s="34" t="str">
        <f aca="false">IF(OR(AJ837="",N(AC837)=0),"",AJ837/AC837)</f>
        <v/>
      </c>
      <c r="AW837" s="34" t="str">
        <f aca="false">IF(OR(AH837="",N(AO837)=0),"",AH837/AO837)</f>
        <v/>
      </c>
      <c r="AX837" s="35" t="str">
        <f aca="false">IF(OR(AR837="",N(AO837)=0),"",(N(AF837)*Settings!$B$6+N(AG837)*Settings!$B$7+N(AH837)*Settings!$B$8+N(AI837)*Settings!$B$9+N(AJ837)*Settings!$B$10)/AO837*1000)</f>
        <v/>
      </c>
      <c r="AY837" s="36" t="str">
        <f aca="false">IF(AS837="","",IFERROR(AS837/AVERAGEIFS('Post Tracker'!$AS$5:$AS$1004,'Post Tracker'!$G$5:$G$1004,G837),""))</f>
        <v/>
      </c>
      <c r="AZ837" s="32"/>
      <c r="BA837" s="32"/>
      <c r="BB837" s="32"/>
      <c r="BC837" s="32"/>
      <c r="BD837" s="33" t="str">
        <f aca="false">IF(A837="","",COUNTIFS('Demo Pipeline'!$Q$5:$Q$504,A837))</f>
        <v/>
      </c>
      <c r="BE837" s="33" t="str">
        <f aca="false">IF(A837="","",COUNTIFS('Demo Pipeline'!$Q$5:$Q$504,A837,'Demo Pipeline'!$W$5:$W$504,"Attended"))</f>
        <v/>
      </c>
      <c r="BF837" s="33" t="str">
        <f aca="false">IF(A837="","",COUNTIFS('Demo Pipeline'!$Q$5:$Q$504,A837,'Demo Pipeline'!$X$5:$X$504,"Yes"))</f>
        <v/>
      </c>
      <c r="BG837" s="33" t="str">
        <f aca="false">IF(A837="","",COUNTIFS('Demo Pipeline'!$Q$5:$Q$504,A837,'Demo Pipeline'!$Y$5:$Y$504,"Closed Won"))</f>
        <v/>
      </c>
      <c r="BH837" s="37" t="str">
        <f aca="false">IF(A837="","",SUMIFS('Demo Pipeline'!$Z$5:$Z$504,'Demo Pipeline'!$Q$5:$Q$504,A837))</f>
        <v/>
      </c>
      <c r="BI837" s="34" t="str">
        <f aca="false">IF(OR(AZ837="",N(AJ837)=0),"",AZ837/AJ837)</f>
        <v/>
      </c>
      <c r="BJ837" s="34" t="str">
        <f aca="false">IF(OR(BB837="",N(AZ837)=0),"",BB837/AZ837)</f>
        <v/>
      </c>
      <c r="BK837" s="34" t="str">
        <f aca="false">IF(OR(A837="",N(BB837)=0),"",BD837/BB837)</f>
        <v/>
      </c>
      <c r="BL837" s="34" t="str">
        <f aca="false">IF(OR(A837="",N(AZ837)=0),"",BD837/AZ837)</f>
        <v/>
      </c>
      <c r="BM837" s="37" t="str">
        <f aca="false">IF(OR(N(Q837)=0,N(BD837)=0),"",Q837/BD837)</f>
        <v/>
      </c>
      <c r="BN837" s="29"/>
      <c r="BO837" s="29"/>
      <c r="BP837" s="33" t="str">
        <f aca="false">IF(OR(AR837="",N(AO837)=0),"",AR837)</f>
        <v/>
      </c>
      <c r="BQ837" s="33" t="str">
        <f aca="false">IF(OR(AR837="",N(S837)=0),"",S837)</f>
        <v/>
      </c>
      <c r="BR837" s="38" t="str">
        <f aca="false">IF(AND(ISNUMBER(B837),B837&gt;=Dashboard!$C$4,B837&lt;=Dashboard!$F$4,ISNUMBER(AU837)),AU837+ROW()/10^9,"")</f>
        <v/>
      </c>
      <c r="BS837" s="38" t="str">
        <f aca="false">IF(AND(ISNUMBER(B837),B837&gt;=Dashboard!$C$4,B837&lt;=Dashboard!$F$4,A837&lt;&gt;""),N(BD837)+N(AU837)/100+ROW()/10^9,"")</f>
        <v/>
      </c>
    </row>
    <row r="838" customFormat="false" ht="15" hidden="false" customHeight="false" outlineLevel="0" collapsed="false">
      <c r="A838" s="24" t="str">
        <f aca="false">IF(OR(B838="",G838="",H838=""),"",IFERROR(INDEX(Settings!$E$5:$E$49,MATCH(G838,Settings!$D$5:$D$49,0))&amp;INDEX(Settings!$H$5:$H$47,MATCH(H838,Settings!$G$5:$G$47,0))&amp;"-"&amp;TEXT(B838,"yymmdd")&amp;"-"&amp;IF(C838="","0000",TEXT(C838,"hhmm")),"CHECK LISTS"))</f>
        <v/>
      </c>
      <c r="B838" s="39"/>
      <c r="C838" s="40"/>
      <c r="D838" s="24" t="str">
        <f aca="false">IF(B838="","",TEXT(B838,"ddd"))</f>
        <v/>
      </c>
      <c r="E838" s="27" t="str">
        <f aca="false">IF(B838="","",B838-WEEKDAY(B838,3))</f>
        <v/>
      </c>
      <c r="F838" s="24" t="str">
        <f aca="false">IF(B838="","",TEXT(B838,"yyyy-mm"))</f>
        <v/>
      </c>
      <c r="G838" s="29"/>
      <c r="H838" s="29"/>
      <c r="I838" s="29"/>
      <c r="J838" s="29"/>
      <c r="K838" s="29"/>
      <c r="L838" s="29"/>
      <c r="M838" s="29"/>
      <c r="N838" s="29"/>
      <c r="O838" s="29"/>
      <c r="P838" s="29"/>
      <c r="Q838" s="30"/>
      <c r="R838" s="29"/>
      <c r="S838" s="32"/>
      <c r="T838" s="29"/>
      <c r="U838" s="29"/>
      <c r="V838" s="24" t="str">
        <f aca="false">IF(A838="","",IFERROR(INDEX(Settings!$F$5:$F$49,MATCH(G838,Settings!$D$5:$D$49,0)),""))</f>
        <v/>
      </c>
      <c r="W838" s="24" t="str">
        <f aca="false">IF(A838="","",IF(OR(P838="",P838="Organic"),"social","paid_social"))</f>
        <v/>
      </c>
      <c r="X838" s="24" t="str">
        <f aca="false">IF(A838="","",IF(K838&lt;&gt;"",IFERROR(INDEX('Case Studies'!$C$5:$C$54,MATCH(K838,'Case Studies'!$B$5:$B$54,0))&amp;"","case-study"),IF(J838&lt;&gt;"",IFERROR(INDEX(Settings!$J$5:$J$55,MATCH(J838,Settings!$I$5:$I$55,0)),"general"),"general")))</f>
        <v/>
      </c>
      <c r="Y838" s="24" t="str">
        <f aca="false">IF(A838="","",LOWER(A838))</f>
        <v/>
      </c>
      <c r="Z838" s="24" t="str">
        <f aca="false">IF(A838="","",IF(T838="",Settings!$B$5,T838)&amp;IF(ISNUMBER(FIND("?",IF(T838="",Settings!$B$5,T838))),"&amp;","?")&amp;"utm_source="&amp;V838&amp;"&amp;utm_medium="&amp;W838&amp;"&amp;utm_campaign="&amp;X838&amp;"&amp;utm_content="&amp;Y838)</f>
        <v/>
      </c>
      <c r="AA838" s="29"/>
      <c r="AB838" s="39"/>
      <c r="AC838" s="32"/>
      <c r="AD838" s="32"/>
      <c r="AE838" s="32"/>
      <c r="AF838" s="32"/>
      <c r="AG838" s="32"/>
      <c r="AH838" s="32"/>
      <c r="AI838" s="32"/>
      <c r="AJ838" s="32"/>
      <c r="AK838" s="32"/>
      <c r="AL838" s="32"/>
      <c r="AM838" s="32"/>
      <c r="AN838" s="32"/>
      <c r="AO838" s="33" t="str">
        <f aca="false">IF(A838="","",IF(AD838&lt;&gt;"",AD838,IF(AC838&lt;&gt;"",AC838,"")))</f>
        <v/>
      </c>
      <c r="AP838" s="24" t="str">
        <f aca="false">IF(AO838="","",IF(AD838&lt;&gt;"","Reported reach","Impressions (proxy)"))</f>
        <v/>
      </c>
      <c r="AQ838" s="34" t="str">
        <f aca="false">IF(OR(AO838="",N(S838)=0),"",AO838/S838)</f>
        <v/>
      </c>
      <c r="AR838" s="33" t="str">
        <f aca="false">IF(A838="","",IF(COUNT(AF838:AJ838)=0,"",SUM(AF838:AJ838)))</f>
        <v/>
      </c>
      <c r="AS838" s="34" t="str">
        <f aca="false">IF(OR(AR838="",N(AO838)=0),"",AR838/AO838)</f>
        <v/>
      </c>
      <c r="AT838" s="34" t="str">
        <f aca="false">IF(OR(AR838="",N(AC838)=0),"",AR838/AC838)</f>
        <v/>
      </c>
      <c r="AU838" s="34" t="str">
        <f aca="false">IF(OR(AR838="",N(S838)=0),"",AR838/S838)</f>
        <v/>
      </c>
      <c r="AV838" s="34" t="str">
        <f aca="false">IF(OR(AJ838="",N(AC838)=0),"",AJ838/AC838)</f>
        <v/>
      </c>
      <c r="AW838" s="34" t="str">
        <f aca="false">IF(OR(AH838="",N(AO838)=0),"",AH838/AO838)</f>
        <v/>
      </c>
      <c r="AX838" s="35" t="str">
        <f aca="false">IF(OR(AR838="",N(AO838)=0),"",(N(AF838)*Settings!$B$6+N(AG838)*Settings!$B$7+N(AH838)*Settings!$B$8+N(AI838)*Settings!$B$9+N(AJ838)*Settings!$B$10)/AO838*1000)</f>
        <v/>
      </c>
      <c r="AY838" s="36" t="str">
        <f aca="false">IF(AS838="","",IFERROR(AS838/AVERAGEIFS('Post Tracker'!$AS$5:$AS$1004,'Post Tracker'!$G$5:$G$1004,G838),""))</f>
        <v/>
      </c>
      <c r="AZ838" s="32"/>
      <c r="BA838" s="32"/>
      <c r="BB838" s="32"/>
      <c r="BC838" s="32"/>
      <c r="BD838" s="33" t="str">
        <f aca="false">IF(A838="","",COUNTIFS('Demo Pipeline'!$Q$5:$Q$504,A838))</f>
        <v/>
      </c>
      <c r="BE838" s="33" t="str">
        <f aca="false">IF(A838="","",COUNTIFS('Demo Pipeline'!$Q$5:$Q$504,A838,'Demo Pipeline'!$W$5:$W$504,"Attended"))</f>
        <v/>
      </c>
      <c r="BF838" s="33" t="str">
        <f aca="false">IF(A838="","",COUNTIFS('Demo Pipeline'!$Q$5:$Q$504,A838,'Demo Pipeline'!$X$5:$X$504,"Yes"))</f>
        <v/>
      </c>
      <c r="BG838" s="33" t="str">
        <f aca="false">IF(A838="","",COUNTIFS('Demo Pipeline'!$Q$5:$Q$504,A838,'Demo Pipeline'!$Y$5:$Y$504,"Closed Won"))</f>
        <v/>
      </c>
      <c r="BH838" s="37" t="str">
        <f aca="false">IF(A838="","",SUMIFS('Demo Pipeline'!$Z$5:$Z$504,'Demo Pipeline'!$Q$5:$Q$504,A838))</f>
        <v/>
      </c>
      <c r="BI838" s="34" t="str">
        <f aca="false">IF(OR(AZ838="",N(AJ838)=0),"",AZ838/AJ838)</f>
        <v/>
      </c>
      <c r="BJ838" s="34" t="str">
        <f aca="false">IF(OR(BB838="",N(AZ838)=0),"",BB838/AZ838)</f>
        <v/>
      </c>
      <c r="BK838" s="34" t="str">
        <f aca="false">IF(OR(A838="",N(BB838)=0),"",BD838/BB838)</f>
        <v/>
      </c>
      <c r="BL838" s="34" t="str">
        <f aca="false">IF(OR(A838="",N(AZ838)=0),"",BD838/AZ838)</f>
        <v/>
      </c>
      <c r="BM838" s="37" t="str">
        <f aca="false">IF(OR(N(Q838)=0,N(BD838)=0),"",Q838/BD838)</f>
        <v/>
      </c>
      <c r="BN838" s="29"/>
      <c r="BO838" s="29"/>
      <c r="BP838" s="33" t="str">
        <f aca="false">IF(OR(AR838="",N(AO838)=0),"",AR838)</f>
        <v/>
      </c>
      <c r="BQ838" s="33" t="str">
        <f aca="false">IF(OR(AR838="",N(S838)=0),"",S838)</f>
        <v/>
      </c>
      <c r="BR838" s="38" t="str">
        <f aca="false">IF(AND(ISNUMBER(B838),B838&gt;=Dashboard!$C$4,B838&lt;=Dashboard!$F$4,ISNUMBER(AU838)),AU838+ROW()/10^9,"")</f>
        <v/>
      </c>
      <c r="BS838" s="38" t="str">
        <f aca="false">IF(AND(ISNUMBER(B838),B838&gt;=Dashboard!$C$4,B838&lt;=Dashboard!$F$4,A838&lt;&gt;""),N(BD838)+N(AU838)/100+ROW()/10^9,"")</f>
        <v/>
      </c>
    </row>
    <row r="839" customFormat="false" ht="15" hidden="false" customHeight="false" outlineLevel="0" collapsed="false">
      <c r="A839" s="24" t="str">
        <f aca="false">IF(OR(B839="",G839="",H839=""),"",IFERROR(INDEX(Settings!$E$5:$E$49,MATCH(G839,Settings!$D$5:$D$49,0))&amp;INDEX(Settings!$H$5:$H$47,MATCH(H839,Settings!$G$5:$G$47,0))&amp;"-"&amp;TEXT(B839,"yymmdd")&amp;"-"&amp;IF(C839="","0000",TEXT(C839,"hhmm")),"CHECK LISTS"))</f>
        <v/>
      </c>
      <c r="B839" s="39"/>
      <c r="C839" s="40"/>
      <c r="D839" s="24" t="str">
        <f aca="false">IF(B839="","",TEXT(B839,"ddd"))</f>
        <v/>
      </c>
      <c r="E839" s="27" t="str">
        <f aca="false">IF(B839="","",B839-WEEKDAY(B839,3))</f>
        <v/>
      </c>
      <c r="F839" s="24" t="str">
        <f aca="false">IF(B839="","",TEXT(B839,"yyyy-mm"))</f>
        <v/>
      </c>
      <c r="G839" s="29"/>
      <c r="H839" s="29"/>
      <c r="I839" s="29"/>
      <c r="J839" s="29"/>
      <c r="K839" s="29"/>
      <c r="L839" s="29"/>
      <c r="M839" s="29"/>
      <c r="N839" s="29"/>
      <c r="O839" s="29"/>
      <c r="P839" s="29"/>
      <c r="Q839" s="30"/>
      <c r="R839" s="29"/>
      <c r="S839" s="32"/>
      <c r="T839" s="29"/>
      <c r="U839" s="29"/>
      <c r="V839" s="24" t="str">
        <f aca="false">IF(A839="","",IFERROR(INDEX(Settings!$F$5:$F$49,MATCH(G839,Settings!$D$5:$D$49,0)),""))</f>
        <v/>
      </c>
      <c r="W839" s="24" t="str">
        <f aca="false">IF(A839="","",IF(OR(P839="",P839="Organic"),"social","paid_social"))</f>
        <v/>
      </c>
      <c r="X839" s="24" t="str">
        <f aca="false">IF(A839="","",IF(K839&lt;&gt;"",IFERROR(INDEX('Case Studies'!$C$5:$C$54,MATCH(K839,'Case Studies'!$B$5:$B$54,0))&amp;"","case-study"),IF(J839&lt;&gt;"",IFERROR(INDEX(Settings!$J$5:$J$55,MATCH(J839,Settings!$I$5:$I$55,0)),"general"),"general")))</f>
        <v/>
      </c>
      <c r="Y839" s="24" t="str">
        <f aca="false">IF(A839="","",LOWER(A839))</f>
        <v/>
      </c>
      <c r="Z839" s="24" t="str">
        <f aca="false">IF(A839="","",IF(T839="",Settings!$B$5,T839)&amp;IF(ISNUMBER(FIND("?",IF(T839="",Settings!$B$5,T839))),"&amp;","?")&amp;"utm_source="&amp;V839&amp;"&amp;utm_medium="&amp;W839&amp;"&amp;utm_campaign="&amp;X839&amp;"&amp;utm_content="&amp;Y839)</f>
        <v/>
      </c>
      <c r="AA839" s="29"/>
      <c r="AB839" s="39"/>
      <c r="AC839" s="32"/>
      <c r="AD839" s="32"/>
      <c r="AE839" s="32"/>
      <c r="AF839" s="32"/>
      <c r="AG839" s="32"/>
      <c r="AH839" s="32"/>
      <c r="AI839" s="32"/>
      <c r="AJ839" s="32"/>
      <c r="AK839" s="32"/>
      <c r="AL839" s="32"/>
      <c r="AM839" s="32"/>
      <c r="AN839" s="32"/>
      <c r="AO839" s="33" t="str">
        <f aca="false">IF(A839="","",IF(AD839&lt;&gt;"",AD839,IF(AC839&lt;&gt;"",AC839,"")))</f>
        <v/>
      </c>
      <c r="AP839" s="24" t="str">
        <f aca="false">IF(AO839="","",IF(AD839&lt;&gt;"","Reported reach","Impressions (proxy)"))</f>
        <v/>
      </c>
      <c r="AQ839" s="34" t="str">
        <f aca="false">IF(OR(AO839="",N(S839)=0),"",AO839/S839)</f>
        <v/>
      </c>
      <c r="AR839" s="33" t="str">
        <f aca="false">IF(A839="","",IF(COUNT(AF839:AJ839)=0,"",SUM(AF839:AJ839)))</f>
        <v/>
      </c>
      <c r="AS839" s="34" t="str">
        <f aca="false">IF(OR(AR839="",N(AO839)=0),"",AR839/AO839)</f>
        <v/>
      </c>
      <c r="AT839" s="34" t="str">
        <f aca="false">IF(OR(AR839="",N(AC839)=0),"",AR839/AC839)</f>
        <v/>
      </c>
      <c r="AU839" s="34" t="str">
        <f aca="false">IF(OR(AR839="",N(S839)=0),"",AR839/S839)</f>
        <v/>
      </c>
      <c r="AV839" s="34" t="str">
        <f aca="false">IF(OR(AJ839="",N(AC839)=0),"",AJ839/AC839)</f>
        <v/>
      </c>
      <c r="AW839" s="34" t="str">
        <f aca="false">IF(OR(AH839="",N(AO839)=0),"",AH839/AO839)</f>
        <v/>
      </c>
      <c r="AX839" s="35" t="str">
        <f aca="false">IF(OR(AR839="",N(AO839)=0),"",(N(AF839)*Settings!$B$6+N(AG839)*Settings!$B$7+N(AH839)*Settings!$B$8+N(AI839)*Settings!$B$9+N(AJ839)*Settings!$B$10)/AO839*1000)</f>
        <v/>
      </c>
      <c r="AY839" s="36" t="str">
        <f aca="false">IF(AS839="","",IFERROR(AS839/AVERAGEIFS('Post Tracker'!$AS$5:$AS$1004,'Post Tracker'!$G$5:$G$1004,G839),""))</f>
        <v/>
      </c>
      <c r="AZ839" s="32"/>
      <c r="BA839" s="32"/>
      <c r="BB839" s="32"/>
      <c r="BC839" s="32"/>
      <c r="BD839" s="33" t="str">
        <f aca="false">IF(A839="","",COUNTIFS('Demo Pipeline'!$Q$5:$Q$504,A839))</f>
        <v/>
      </c>
      <c r="BE839" s="33" t="str">
        <f aca="false">IF(A839="","",COUNTIFS('Demo Pipeline'!$Q$5:$Q$504,A839,'Demo Pipeline'!$W$5:$W$504,"Attended"))</f>
        <v/>
      </c>
      <c r="BF839" s="33" t="str">
        <f aca="false">IF(A839="","",COUNTIFS('Demo Pipeline'!$Q$5:$Q$504,A839,'Demo Pipeline'!$X$5:$X$504,"Yes"))</f>
        <v/>
      </c>
      <c r="BG839" s="33" t="str">
        <f aca="false">IF(A839="","",COUNTIFS('Demo Pipeline'!$Q$5:$Q$504,A839,'Demo Pipeline'!$Y$5:$Y$504,"Closed Won"))</f>
        <v/>
      </c>
      <c r="BH839" s="37" t="str">
        <f aca="false">IF(A839="","",SUMIFS('Demo Pipeline'!$Z$5:$Z$504,'Demo Pipeline'!$Q$5:$Q$504,A839))</f>
        <v/>
      </c>
      <c r="BI839" s="34" t="str">
        <f aca="false">IF(OR(AZ839="",N(AJ839)=0),"",AZ839/AJ839)</f>
        <v/>
      </c>
      <c r="BJ839" s="34" t="str">
        <f aca="false">IF(OR(BB839="",N(AZ839)=0),"",BB839/AZ839)</f>
        <v/>
      </c>
      <c r="BK839" s="34" t="str">
        <f aca="false">IF(OR(A839="",N(BB839)=0),"",BD839/BB839)</f>
        <v/>
      </c>
      <c r="BL839" s="34" t="str">
        <f aca="false">IF(OR(A839="",N(AZ839)=0),"",BD839/AZ839)</f>
        <v/>
      </c>
      <c r="BM839" s="37" t="str">
        <f aca="false">IF(OR(N(Q839)=0,N(BD839)=0),"",Q839/BD839)</f>
        <v/>
      </c>
      <c r="BN839" s="29"/>
      <c r="BO839" s="29"/>
      <c r="BP839" s="33" t="str">
        <f aca="false">IF(OR(AR839="",N(AO839)=0),"",AR839)</f>
        <v/>
      </c>
      <c r="BQ839" s="33" t="str">
        <f aca="false">IF(OR(AR839="",N(S839)=0),"",S839)</f>
        <v/>
      </c>
      <c r="BR839" s="38" t="str">
        <f aca="false">IF(AND(ISNUMBER(B839),B839&gt;=Dashboard!$C$4,B839&lt;=Dashboard!$F$4,ISNUMBER(AU839)),AU839+ROW()/10^9,"")</f>
        <v/>
      </c>
      <c r="BS839" s="38" t="str">
        <f aca="false">IF(AND(ISNUMBER(B839),B839&gt;=Dashboard!$C$4,B839&lt;=Dashboard!$F$4,A839&lt;&gt;""),N(BD839)+N(AU839)/100+ROW()/10^9,"")</f>
        <v/>
      </c>
    </row>
    <row r="840" customFormat="false" ht="15" hidden="false" customHeight="false" outlineLevel="0" collapsed="false">
      <c r="A840" s="24" t="str">
        <f aca="false">IF(OR(B840="",G840="",H840=""),"",IFERROR(INDEX(Settings!$E$5:$E$49,MATCH(G840,Settings!$D$5:$D$49,0))&amp;INDEX(Settings!$H$5:$H$47,MATCH(H840,Settings!$G$5:$G$47,0))&amp;"-"&amp;TEXT(B840,"yymmdd")&amp;"-"&amp;IF(C840="","0000",TEXT(C840,"hhmm")),"CHECK LISTS"))</f>
        <v/>
      </c>
      <c r="B840" s="39"/>
      <c r="C840" s="40"/>
      <c r="D840" s="24" t="str">
        <f aca="false">IF(B840="","",TEXT(B840,"ddd"))</f>
        <v/>
      </c>
      <c r="E840" s="27" t="str">
        <f aca="false">IF(B840="","",B840-WEEKDAY(B840,3))</f>
        <v/>
      </c>
      <c r="F840" s="24" t="str">
        <f aca="false">IF(B840="","",TEXT(B840,"yyyy-mm"))</f>
        <v/>
      </c>
      <c r="G840" s="29"/>
      <c r="H840" s="29"/>
      <c r="I840" s="29"/>
      <c r="J840" s="29"/>
      <c r="K840" s="29"/>
      <c r="L840" s="29"/>
      <c r="M840" s="29"/>
      <c r="N840" s="29"/>
      <c r="O840" s="29"/>
      <c r="P840" s="29"/>
      <c r="Q840" s="30"/>
      <c r="R840" s="29"/>
      <c r="S840" s="32"/>
      <c r="T840" s="29"/>
      <c r="U840" s="29"/>
      <c r="V840" s="24" t="str">
        <f aca="false">IF(A840="","",IFERROR(INDEX(Settings!$F$5:$F$49,MATCH(G840,Settings!$D$5:$D$49,0)),""))</f>
        <v/>
      </c>
      <c r="W840" s="24" t="str">
        <f aca="false">IF(A840="","",IF(OR(P840="",P840="Organic"),"social","paid_social"))</f>
        <v/>
      </c>
      <c r="X840" s="24" t="str">
        <f aca="false">IF(A840="","",IF(K840&lt;&gt;"",IFERROR(INDEX('Case Studies'!$C$5:$C$54,MATCH(K840,'Case Studies'!$B$5:$B$54,0))&amp;"","case-study"),IF(J840&lt;&gt;"",IFERROR(INDEX(Settings!$J$5:$J$55,MATCH(J840,Settings!$I$5:$I$55,0)),"general"),"general")))</f>
        <v/>
      </c>
      <c r="Y840" s="24" t="str">
        <f aca="false">IF(A840="","",LOWER(A840))</f>
        <v/>
      </c>
      <c r="Z840" s="24" t="str">
        <f aca="false">IF(A840="","",IF(T840="",Settings!$B$5,T840)&amp;IF(ISNUMBER(FIND("?",IF(T840="",Settings!$B$5,T840))),"&amp;","?")&amp;"utm_source="&amp;V840&amp;"&amp;utm_medium="&amp;W840&amp;"&amp;utm_campaign="&amp;X840&amp;"&amp;utm_content="&amp;Y840)</f>
        <v/>
      </c>
      <c r="AA840" s="29"/>
      <c r="AB840" s="39"/>
      <c r="AC840" s="32"/>
      <c r="AD840" s="32"/>
      <c r="AE840" s="32"/>
      <c r="AF840" s="32"/>
      <c r="AG840" s="32"/>
      <c r="AH840" s="32"/>
      <c r="AI840" s="32"/>
      <c r="AJ840" s="32"/>
      <c r="AK840" s="32"/>
      <c r="AL840" s="32"/>
      <c r="AM840" s="32"/>
      <c r="AN840" s="32"/>
      <c r="AO840" s="33" t="str">
        <f aca="false">IF(A840="","",IF(AD840&lt;&gt;"",AD840,IF(AC840&lt;&gt;"",AC840,"")))</f>
        <v/>
      </c>
      <c r="AP840" s="24" t="str">
        <f aca="false">IF(AO840="","",IF(AD840&lt;&gt;"","Reported reach","Impressions (proxy)"))</f>
        <v/>
      </c>
      <c r="AQ840" s="34" t="str">
        <f aca="false">IF(OR(AO840="",N(S840)=0),"",AO840/S840)</f>
        <v/>
      </c>
      <c r="AR840" s="33" t="str">
        <f aca="false">IF(A840="","",IF(COUNT(AF840:AJ840)=0,"",SUM(AF840:AJ840)))</f>
        <v/>
      </c>
      <c r="AS840" s="34" t="str">
        <f aca="false">IF(OR(AR840="",N(AO840)=0),"",AR840/AO840)</f>
        <v/>
      </c>
      <c r="AT840" s="34" t="str">
        <f aca="false">IF(OR(AR840="",N(AC840)=0),"",AR840/AC840)</f>
        <v/>
      </c>
      <c r="AU840" s="34" t="str">
        <f aca="false">IF(OR(AR840="",N(S840)=0),"",AR840/S840)</f>
        <v/>
      </c>
      <c r="AV840" s="34" t="str">
        <f aca="false">IF(OR(AJ840="",N(AC840)=0),"",AJ840/AC840)</f>
        <v/>
      </c>
      <c r="AW840" s="34" t="str">
        <f aca="false">IF(OR(AH840="",N(AO840)=0),"",AH840/AO840)</f>
        <v/>
      </c>
      <c r="AX840" s="35" t="str">
        <f aca="false">IF(OR(AR840="",N(AO840)=0),"",(N(AF840)*Settings!$B$6+N(AG840)*Settings!$B$7+N(AH840)*Settings!$B$8+N(AI840)*Settings!$B$9+N(AJ840)*Settings!$B$10)/AO840*1000)</f>
        <v/>
      </c>
      <c r="AY840" s="36" t="str">
        <f aca="false">IF(AS840="","",IFERROR(AS840/AVERAGEIFS('Post Tracker'!$AS$5:$AS$1004,'Post Tracker'!$G$5:$G$1004,G840),""))</f>
        <v/>
      </c>
      <c r="AZ840" s="32"/>
      <c r="BA840" s="32"/>
      <c r="BB840" s="32"/>
      <c r="BC840" s="32"/>
      <c r="BD840" s="33" t="str">
        <f aca="false">IF(A840="","",COUNTIFS('Demo Pipeline'!$Q$5:$Q$504,A840))</f>
        <v/>
      </c>
      <c r="BE840" s="33" t="str">
        <f aca="false">IF(A840="","",COUNTIFS('Demo Pipeline'!$Q$5:$Q$504,A840,'Demo Pipeline'!$W$5:$W$504,"Attended"))</f>
        <v/>
      </c>
      <c r="BF840" s="33" t="str">
        <f aca="false">IF(A840="","",COUNTIFS('Demo Pipeline'!$Q$5:$Q$504,A840,'Demo Pipeline'!$X$5:$X$504,"Yes"))</f>
        <v/>
      </c>
      <c r="BG840" s="33" t="str">
        <f aca="false">IF(A840="","",COUNTIFS('Demo Pipeline'!$Q$5:$Q$504,A840,'Demo Pipeline'!$Y$5:$Y$504,"Closed Won"))</f>
        <v/>
      </c>
      <c r="BH840" s="37" t="str">
        <f aca="false">IF(A840="","",SUMIFS('Demo Pipeline'!$Z$5:$Z$504,'Demo Pipeline'!$Q$5:$Q$504,A840))</f>
        <v/>
      </c>
      <c r="BI840" s="34" t="str">
        <f aca="false">IF(OR(AZ840="",N(AJ840)=0),"",AZ840/AJ840)</f>
        <v/>
      </c>
      <c r="BJ840" s="34" t="str">
        <f aca="false">IF(OR(BB840="",N(AZ840)=0),"",BB840/AZ840)</f>
        <v/>
      </c>
      <c r="BK840" s="34" t="str">
        <f aca="false">IF(OR(A840="",N(BB840)=0),"",BD840/BB840)</f>
        <v/>
      </c>
      <c r="BL840" s="34" t="str">
        <f aca="false">IF(OR(A840="",N(AZ840)=0),"",BD840/AZ840)</f>
        <v/>
      </c>
      <c r="BM840" s="37" t="str">
        <f aca="false">IF(OR(N(Q840)=0,N(BD840)=0),"",Q840/BD840)</f>
        <v/>
      </c>
      <c r="BN840" s="29"/>
      <c r="BO840" s="29"/>
      <c r="BP840" s="33" t="str">
        <f aca="false">IF(OR(AR840="",N(AO840)=0),"",AR840)</f>
        <v/>
      </c>
      <c r="BQ840" s="33" t="str">
        <f aca="false">IF(OR(AR840="",N(S840)=0),"",S840)</f>
        <v/>
      </c>
      <c r="BR840" s="38" t="str">
        <f aca="false">IF(AND(ISNUMBER(B840),B840&gt;=Dashboard!$C$4,B840&lt;=Dashboard!$F$4,ISNUMBER(AU840)),AU840+ROW()/10^9,"")</f>
        <v/>
      </c>
      <c r="BS840" s="38" t="str">
        <f aca="false">IF(AND(ISNUMBER(B840),B840&gt;=Dashboard!$C$4,B840&lt;=Dashboard!$F$4,A840&lt;&gt;""),N(BD840)+N(AU840)/100+ROW()/10^9,"")</f>
        <v/>
      </c>
    </row>
    <row r="841" customFormat="false" ht="15" hidden="false" customHeight="false" outlineLevel="0" collapsed="false">
      <c r="A841" s="24" t="str">
        <f aca="false">IF(OR(B841="",G841="",H841=""),"",IFERROR(INDEX(Settings!$E$5:$E$49,MATCH(G841,Settings!$D$5:$D$49,0))&amp;INDEX(Settings!$H$5:$H$47,MATCH(H841,Settings!$G$5:$G$47,0))&amp;"-"&amp;TEXT(B841,"yymmdd")&amp;"-"&amp;IF(C841="","0000",TEXT(C841,"hhmm")),"CHECK LISTS"))</f>
        <v/>
      </c>
      <c r="B841" s="39"/>
      <c r="C841" s="40"/>
      <c r="D841" s="24" t="str">
        <f aca="false">IF(B841="","",TEXT(B841,"ddd"))</f>
        <v/>
      </c>
      <c r="E841" s="27" t="str">
        <f aca="false">IF(B841="","",B841-WEEKDAY(B841,3))</f>
        <v/>
      </c>
      <c r="F841" s="24" t="str">
        <f aca="false">IF(B841="","",TEXT(B841,"yyyy-mm"))</f>
        <v/>
      </c>
      <c r="G841" s="29"/>
      <c r="H841" s="29"/>
      <c r="I841" s="29"/>
      <c r="J841" s="29"/>
      <c r="K841" s="29"/>
      <c r="L841" s="29"/>
      <c r="M841" s="29"/>
      <c r="N841" s="29"/>
      <c r="O841" s="29"/>
      <c r="P841" s="29"/>
      <c r="Q841" s="30"/>
      <c r="R841" s="29"/>
      <c r="S841" s="32"/>
      <c r="T841" s="29"/>
      <c r="U841" s="29"/>
      <c r="V841" s="24" t="str">
        <f aca="false">IF(A841="","",IFERROR(INDEX(Settings!$F$5:$F$49,MATCH(G841,Settings!$D$5:$D$49,0)),""))</f>
        <v/>
      </c>
      <c r="W841" s="24" t="str">
        <f aca="false">IF(A841="","",IF(OR(P841="",P841="Organic"),"social","paid_social"))</f>
        <v/>
      </c>
      <c r="X841" s="24" t="str">
        <f aca="false">IF(A841="","",IF(K841&lt;&gt;"",IFERROR(INDEX('Case Studies'!$C$5:$C$54,MATCH(K841,'Case Studies'!$B$5:$B$54,0))&amp;"","case-study"),IF(J841&lt;&gt;"",IFERROR(INDEX(Settings!$J$5:$J$55,MATCH(J841,Settings!$I$5:$I$55,0)),"general"),"general")))</f>
        <v/>
      </c>
      <c r="Y841" s="24" t="str">
        <f aca="false">IF(A841="","",LOWER(A841))</f>
        <v/>
      </c>
      <c r="Z841" s="24" t="str">
        <f aca="false">IF(A841="","",IF(T841="",Settings!$B$5,T841)&amp;IF(ISNUMBER(FIND("?",IF(T841="",Settings!$B$5,T841))),"&amp;","?")&amp;"utm_source="&amp;V841&amp;"&amp;utm_medium="&amp;W841&amp;"&amp;utm_campaign="&amp;X841&amp;"&amp;utm_content="&amp;Y841)</f>
        <v/>
      </c>
      <c r="AA841" s="29"/>
      <c r="AB841" s="39"/>
      <c r="AC841" s="32"/>
      <c r="AD841" s="32"/>
      <c r="AE841" s="32"/>
      <c r="AF841" s="32"/>
      <c r="AG841" s="32"/>
      <c r="AH841" s="32"/>
      <c r="AI841" s="32"/>
      <c r="AJ841" s="32"/>
      <c r="AK841" s="32"/>
      <c r="AL841" s="32"/>
      <c r="AM841" s="32"/>
      <c r="AN841" s="32"/>
      <c r="AO841" s="33" t="str">
        <f aca="false">IF(A841="","",IF(AD841&lt;&gt;"",AD841,IF(AC841&lt;&gt;"",AC841,"")))</f>
        <v/>
      </c>
      <c r="AP841" s="24" t="str">
        <f aca="false">IF(AO841="","",IF(AD841&lt;&gt;"","Reported reach","Impressions (proxy)"))</f>
        <v/>
      </c>
      <c r="AQ841" s="34" t="str">
        <f aca="false">IF(OR(AO841="",N(S841)=0),"",AO841/S841)</f>
        <v/>
      </c>
      <c r="AR841" s="33" t="str">
        <f aca="false">IF(A841="","",IF(COUNT(AF841:AJ841)=0,"",SUM(AF841:AJ841)))</f>
        <v/>
      </c>
      <c r="AS841" s="34" t="str">
        <f aca="false">IF(OR(AR841="",N(AO841)=0),"",AR841/AO841)</f>
        <v/>
      </c>
      <c r="AT841" s="34" t="str">
        <f aca="false">IF(OR(AR841="",N(AC841)=0),"",AR841/AC841)</f>
        <v/>
      </c>
      <c r="AU841" s="34" t="str">
        <f aca="false">IF(OR(AR841="",N(S841)=0),"",AR841/S841)</f>
        <v/>
      </c>
      <c r="AV841" s="34" t="str">
        <f aca="false">IF(OR(AJ841="",N(AC841)=0),"",AJ841/AC841)</f>
        <v/>
      </c>
      <c r="AW841" s="34" t="str">
        <f aca="false">IF(OR(AH841="",N(AO841)=0),"",AH841/AO841)</f>
        <v/>
      </c>
      <c r="AX841" s="35" t="str">
        <f aca="false">IF(OR(AR841="",N(AO841)=0),"",(N(AF841)*Settings!$B$6+N(AG841)*Settings!$B$7+N(AH841)*Settings!$B$8+N(AI841)*Settings!$B$9+N(AJ841)*Settings!$B$10)/AO841*1000)</f>
        <v/>
      </c>
      <c r="AY841" s="36" t="str">
        <f aca="false">IF(AS841="","",IFERROR(AS841/AVERAGEIFS('Post Tracker'!$AS$5:$AS$1004,'Post Tracker'!$G$5:$G$1004,G841),""))</f>
        <v/>
      </c>
      <c r="AZ841" s="32"/>
      <c r="BA841" s="32"/>
      <c r="BB841" s="32"/>
      <c r="BC841" s="32"/>
      <c r="BD841" s="33" t="str">
        <f aca="false">IF(A841="","",COUNTIFS('Demo Pipeline'!$Q$5:$Q$504,A841))</f>
        <v/>
      </c>
      <c r="BE841" s="33" t="str">
        <f aca="false">IF(A841="","",COUNTIFS('Demo Pipeline'!$Q$5:$Q$504,A841,'Demo Pipeline'!$W$5:$W$504,"Attended"))</f>
        <v/>
      </c>
      <c r="BF841" s="33" t="str">
        <f aca="false">IF(A841="","",COUNTIFS('Demo Pipeline'!$Q$5:$Q$504,A841,'Demo Pipeline'!$X$5:$X$504,"Yes"))</f>
        <v/>
      </c>
      <c r="BG841" s="33" t="str">
        <f aca="false">IF(A841="","",COUNTIFS('Demo Pipeline'!$Q$5:$Q$504,A841,'Demo Pipeline'!$Y$5:$Y$504,"Closed Won"))</f>
        <v/>
      </c>
      <c r="BH841" s="37" t="str">
        <f aca="false">IF(A841="","",SUMIFS('Demo Pipeline'!$Z$5:$Z$504,'Demo Pipeline'!$Q$5:$Q$504,A841))</f>
        <v/>
      </c>
      <c r="BI841" s="34" t="str">
        <f aca="false">IF(OR(AZ841="",N(AJ841)=0),"",AZ841/AJ841)</f>
        <v/>
      </c>
      <c r="BJ841" s="34" t="str">
        <f aca="false">IF(OR(BB841="",N(AZ841)=0),"",BB841/AZ841)</f>
        <v/>
      </c>
      <c r="BK841" s="34" t="str">
        <f aca="false">IF(OR(A841="",N(BB841)=0),"",BD841/BB841)</f>
        <v/>
      </c>
      <c r="BL841" s="34" t="str">
        <f aca="false">IF(OR(A841="",N(AZ841)=0),"",BD841/AZ841)</f>
        <v/>
      </c>
      <c r="BM841" s="37" t="str">
        <f aca="false">IF(OR(N(Q841)=0,N(BD841)=0),"",Q841/BD841)</f>
        <v/>
      </c>
      <c r="BN841" s="29"/>
      <c r="BO841" s="29"/>
      <c r="BP841" s="33" t="str">
        <f aca="false">IF(OR(AR841="",N(AO841)=0),"",AR841)</f>
        <v/>
      </c>
      <c r="BQ841" s="33" t="str">
        <f aca="false">IF(OR(AR841="",N(S841)=0),"",S841)</f>
        <v/>
      </c>
      <c r="BR841" s="38" t="str">
        <f aca="false">IF(AND(ISNUMBER(B841),B841&gt;=Dashboard!$C$4,B841&lt;=Dashboard!$F$4,ISNUMBER(AU841)),AU841+ROW()/10^9,"")</f>
        <v/>
      </c>
      <c r="BS841" s="38" t="str">
        <f aca="false">IF(AND(ISNUMBER(B841),B841&gt;=Dashboard!$C$4,B841&lt;=Dashboard!$F$4,A841&lt;&gt;""),N(BD841)+N(AU841)/100+ROW()/10^9,"")</f>
        <v/>
      </c>
    </row>
    <row r="842" customFormat="false" ht="15" hidden="false" customHeight="false" outlineLevel="0" collapsed="false">
      <c r="A842" s="24" t="str">
        <f aca="false">IF(OR(B842="",G842="",H842=""),"",IFERROR(INDEX(Settings!$E$5:$E$49,MATCH(G842,Settings!$D$5:$D$49,0))&amp;INDEX(Settings!$H$5:$H$47,MATCH(H842,Settings!$G$5:$G$47,0))&amp;"-"&amp;TEXT(B842,"yymmdd")&amp;"-"&amp;IF(C842="","0000",TEXT(C842,"hhmm")),"CHECK LISTS"))</f>
        <v/>
      </c>
      <c r="B842" s="39"/>
      <c r="C842" s="40"/>
      <c r="D842" s="24" t="str">
        <f aca="false">IF(B842="","",TEXT(B842,"ddd"))</f>
        <v/>
      </c>
      <c r="E842" s="27" t="str">
        <f aca="false">IF(B842="","",B842-WEEKDAY(B842,3))</f>
        <v/>
      </c>
      <c r="F842" s="24" t="str">
        <f aca="false">IF(B842="","",TEXT(B842,"yyyy-mm"))</f>
        <v/>
      </c>
      <c r="G842" s="29"/>
      <c r="H842" s="29"/>
      <c r="I842" s="29"/>
      <c r="J842" s="29"/>
      <c r="K842" s="29"/>
      <c r="L842" s="29"/>
      <c r="M842" s="29"/>
      <c r="N842" s="29"/>
      <c r="O842" s="29"/>
      <c r="P842" s="29"/>
      <c r="Q842" s="30"/>
      <c r="R842" s="29"/>
      <c r="S842" s="32"/>
      <c r="T842" s="29"/>
      <c r="U842" s="29"/>
      <c r="V842" s="24" t="str">
        <f aca="false">IF(A842="","",IFERROR(INDEX(Settings!$F$5:$F$49,MATCH(G842,Settings!$D$5:$D$49,0)),""))</f>
        <v/>
      </c>
      <c r="W842" s="24" t="str">
        <f aca="false">IF(A842="","",IF(OR(P842="",P842="Organic"),"social","paid_social"))</f>
        <v/>
      </c>
      <c r="X842" s="24" t="str">
        <f aca="false">IF(A842="","",IF(K842&lt;&gt;"",IFERROR(INDEX('Case Studies'!$C$5:$C$54,MATCH(K842,'Case Studies'!$B$5:$B$54,0))&amp;"","case-study"),IF(J842&lt;&gt;"",IFERROR(INDEX(Settings!$J$5:$J$55,MATCH(J842,Settings!$I$5:$I$55,0)),"general"),"general")))</f>
        <v/>
      </c>
      <c r="Y842" s="24" t="str">
        <f aca="false">IF(A842="","",LOWER(A842))</f>
        <v/>
      </c>
      <c r="Z842" s="24" t="str">
        <f aca="false">IF(A842="","",IF(T842="",Settings!$B$5,T842)&amp;IF(ISNUMBER(FIND("?",IF(T842="",Settings!$B$5,T842))),"&amp;","?")&amp;"utm_source="&amp;V842&amp;"&amp;utm_medium="&amp;W842&amp;"&amp;utm_campaign="&amp;X842&amp;"&amp;utm_content="&amp;Y842)</f>
        <v/>
      </c>
      <c r="AA842" s="29"/>
      <c r="AB842" s="39"/>
      <c r="AC842" s="32"/>
      <c r="AD842" s="32"/>
      <c r="AE842" s="32"/>
      <c r="AF842" s="32"/>
      <c r="AG842" s="32"/>
      <c r="AH842" s="32"/>
      <c r="AI842" s="32"/>
      <c r="AJ842" s="32"/>
      <c r="AK842" s="32"/>
      <c r="AL842" s="32"/>
      <c r="AM842" s="32"/>
      <c r="AN842" s="32"/>
      <c r="AO842" s="33" t="str">
        <f aca="false">IF(A842="","",IF(AD842&lt;&gt;"",AD842,IF(AC842&lt;&gt;"",AC842,"")))</f>
        <v/>
      </c>
      <c r="AP842" s="24" t="str">
        <f aca="false">IF(AO842="","",IF(AD842&lt;&gt;"","Reported reach","Impressions (proxy)"))</f>
        <v/>
      </c>
      <c r="AQ842" s="34" t="str">
        <f aca="false">IF(OR(AO842="",N(S842)=0),"",AO842/S842)</f>
        <v/>
      </c>
      <c r="AR842" s="33" t="str">
        <f aca="false">IF(A842="","",IF(COUNT(AF842:AJ842)=0,"",SUM(AF842:AJ842)))</f>
        <v/>
      </c>
      <c r="AS842" s="34" t="str">
        <f aca="false">IF(OR(AR842="",N(AO842)=0),"",AR842/AO842)</f>
        <v/>
      </c>
      <c r="AT842" s="34" t="str">
        <f aca="false">IF(OR(AR842="",N(AC842)=0),"",AR842/AC842)</f>
        <v/>
      </c>
      <c r="AU842" s="34" t="str">
        <f aca="false">IF(OR(AR842="",N(S842)=0),"",AR842/S842)</f>
        <v/>
      </c>
      <c r="AV842" s="34" t="str">
        <f aca="false">IF(OR(AJ842="",N(AC842)=0),"",AJ842/AC842)</f>
        <v/>
      </c>
      <c r="AW842" s="34" t="str">
        <f aca="false">IF(OR(AH842="",N(AO842)=0),"",AH842/AO842)</f>
        <v/>
      </c>
      <c r="AX842" s="35" t="str">
        <f aca="false">IF(OR(AR842="",N(AO842)=0),"",(N(AF842)*Settings!$B$6+N(AG842)*Settings!$B$7+N(AH842)*Settings!$B$8+N(AI842)*Settings!$B$9+N(AJ842)*Settings!$B$10)/AO842*1000)</f>
        <v/>
      </c>
      <c r="AY842" s="36" t="str">
        <f aca="false">IF(AS842="","",IFERROR(AS842/AVERAGEIFS('Post Tracker'!$AS$5:$AS$1004,'Post Tracker'!$G$5:$G$1004,G842),""))</f>
        <v/>
      </c>
      <c r="AZ842" s="32"/>
      <c r="BA842" s="32"/>
      <c r="BB842" s="32"/>
      <c r="BC842" s="32"/>
      <c r="BD842" s="33" t="str">
        <f aca="false">IF(A842="","",COUNTIFS('Demo Pipeline'!$Q$5:$Q$504,A842))</f>
        <v/>
      </c>
      <c r="BE842" s="33" t="str">
        <f aca="false">IF(A842="","",COUNTIFS('Demo Pipeline'!$Q$5:$Q$504,A842,'Demo Pipeline'!$W$5:$W$504,"Attended"))</f>
        <v/>
      </c>
      <c r="BF842" s="33" t="str">
        <f aca="false">IF(A842="","",COUNTIFS('Demo Pipeline'!$Q$5:$Q$504,A842,'Demo Pipeline'!$X$5:$X$504,"Yes"))</f>
        <v/>
      </c>
      <c r="BG842" s="33" t="str">
        <f aca="false">IF(A842="","",COUNTIFS('Demo Pipeline'!$Q$5:$Q$504,A842,'Demo Pipeline'!$Y$5:$Y$504,"Closed Won"))</f>
        <v/>
      </c>
      <c r="BH842" s="37" t="str">
        <f aca="false">IF(A842="","",SUMIFS('Demo Pipeline'!$Z$5:$Z$504,'Demo Pipeline'!$Q$5:$Q$504,A842))</f>
        <v/>
      </c>
      <c r="BI842" s="34" t="str">
        <f aca="false">IF(OR(AZ842="",N(AJ842)=0),"",AZ842/AJ842)</f>
        <v/>
      </c>
      <c r="BJ842" s="34" t="str">
        <f aca="false">IF(OR(BB842="",N(AZ842)=0),"",BB842/AZ842)</f>
        <v/>
      </c>
      <c r="BK842" s="34" t="str">
        <f aca="false">IF(OR(A842="",N(BB842)=0),"",BD842/BB842)</f>
        <v/>
      </c>
      <c r="BL842" s="34" t="str">
        <f aca="false">IF(OR(A842="",N(AZ842)=0),"",BD842/AZ842)</f>
        <v/>
      </c>
      <c r="BM842" s="37" t="str">
        <f aca="false">IF(OR(N(Q842)=0,N(BD842)=0),"",Q842/BD842)</f>
        <v/>
      </c>
      <c r="BN842" s="29"/>
      <c r="BO842" s="29"/>
      <c r="BP842" s="33" t="str">
        <f aca="false">IF(OR(AR842="",N(AO842)=0),"",AR842)</f>
        <v/>
      </c>
      <c r="BQ842" s="33" t="str">
        <f aca="false">IF(OR(AR842="",N(S842)=0),"",S842)</f>
        <v/>
      </c>
      <c r="BR842" s="38" t="str">
        <f aca="false">IF(AND(ISNUMBER(B842),B842&gt;=Dashboard!$C$4,B842&lt;=Dashboard!$F$4,ISNUMBER(AU842)),AU842+ROW()/10^9,"")</f>
        <v/>
      </c>
      <c r="BS842" s="38" t="str">
        <f aca="false">IF(AND(ISNUMBER(B842),B842&gt;=Dashboard!$C$4,B842&lt;=Dashboard!$F$4,A842&lt;&gt;""),N(BD842)+N(AU842)/100+ROW()/10^9,"")</f>
        <v/>
      </c>
    </row>
    <row r="843" customFormat="false" ht="15" hidden="false" customHeight="false" outlineLevel="0" collapsed="false">
      <c r="A843" s="24" t="str">
        <f aca="false">IF(OR(B843="",G843="",H843=""),"",IFERROR(INDEX(Settings!$E$5:$E$49,MATCH(G843,Settings!$D$5:$D$49,0))&amp;INDEX(Settings!$H$5:$H$47,MATCH(H843,Settings!$G$5:$G$47,0))&amp;"-"&amp;TEXT(B843,"yymmdd")&amp;"-"&amp;IF(C843="","0000",TEXT(C843,"hhmm")),"CHECK LISTS"))</f>
        <v/>
      </c>
      <c r="B843" s="39"/>
      <c r="C843" s="40"/>
      <c r="D843" s="24" t="str">
        <f aca="false">IF(B843="","",TEXT(B843,"ddd"))</f>
        <v/>
      </c>
      <c r="E843" s="27" t="str">
        <f aca="false">IF(B843="","",B843-WEEKDAY(B843,3))</f>
        <v/>
      </c>
      <c r="F843" s="24" t="str">
        <f aca="false">IF(B843="","",TEXT(B843,"yyyy-mm"))</f>
        <v/>
      </c>
      <c r="G843" s="29"/>
      <c r="H843" s="29"/>
      <c r="I843" s="29"/>
      <c r="J843" s="29"/>
      <c r="K843" s="29"/>
      <c r="L843" s="29"/>
      <c r="M843" s="29"/>
      <c r="N843" s="29"/>
      <c r="O843" s="29"/>
      <c r="P843" s="29"/>
      <c r="Q843" s="30"/>
      <c r="R843" s="29"/>
      <c r="S843" s="32"/>
      <c r="T843" s="29"/>
      <c r="U843" s="29"/>
      <c r="V843" s="24" t="str">
        <f aca="false">IF(A843="","",IFERROR(INDEX(Settings!$F$5:$F$49,MATCH(G843,Settings!$D$5:$D$49,0)),""))</f>
        <v/>
      </c>
      <c r="W843" s="24" t="str">
        <f aca="false">IF(A843="","",IF(OR(P843="",P843="Organic"),"social","paid_social"))</f>
        <v/>
      </c>
      <c r="X843" s="24" t="str">
        <f aca="false">IF(A843="","",IF(K843&lt;&gt;"",IFERROR(INDEX('Case Studies'!$C$5:$C$54,MATCH(K843,'Case Studies'!$B$5:$B$54,0))&amp;"","case-study"),IF(J843&lt;&gt;"",IFERROR(INDEX(Settings!$J$5:$J$55,MATCH(J843,Settings!$I$5:$I$55,0)),"general"),"general")))</f>
        <v/>
      </c>
      <c r="Y843" s="24" t="str">
        <f aca="false">IF(A843="","",LOWER(A843))</f>
        <v/>
      </c>
      <c r="Z843" s="24" t="str">
        <f aca="false">IF(A843="","",IF(T843="",Settings!$B$5,T843)&amp;IF(ISNUMBER(FIND("?",IF(T843="",Settings!$B$5,T843))),"&amp;","?")&amp;"utm_source="&amp;V843&amp;"&amp;utm_medium="&amp;W843&amp;"&amp;utm_campaign="&amp;X843&amp;"&amp;utm_content="&amp;Y843)</f>
        <v/>
      </c>
      <c r="AA843" s="29"/>
      <c r="AB843" s="39"/>
      <c r="AC843" s="32"/>
      <c r="AD843" s="32"/>
      <c r="AE843" s="32"/>
      <c r="AF843" s="32"/>
      <c r="AG843" s="32"/>
      <c r="AH843" s="32"/>
      <c r="AI843" s="32"/>
      <c r="AJ843" s="32"/>
      <c r="AK843" s="32"/>
      <c r="AL843" s="32"/>
      <c r="AM843" s="32"/>
      <c r="AN843" s="32"/>
      <c r="AO843" s="33" t="str">
        <f aca="false">IF(A843="","",IF(AD843&lt;&gt;"",AD843,IF(AC843&lt;&gt;"",AC843,"")))</f>
        <v/>
      </c>
      <c r="AP843" s="24" t="str">
        <f aca="false">IF(AO843="","",IF(AD843&lt;&gt;"","Reported reach","Impressions (proxy)"))</f>
        <v/>
      </c>
      <c r="AQ843" s="34" t="str">
        <f aca="false">IF(OR(AO843="",N(S843)=0),"",AO843/S843)</f>
        <v/>
      </c>
      <c r="AR843" s="33" t="str">
        <f aca="false">IF(A843="","",IF(COUNT(AF843:AJ843)=0,"",SUM(AF843:AJ843)))</f>
        <v/>
      </c>
      <c r="AS843" s="34" t="str">
        <f aca="false">IF(OR(AR843="",N(AO843)=0),"",AR843/AO843)</f>
        <v/>
      </c>
      <c r="AT843" s="34" t="str">
        <f aca="false">IF(OR(AR843="",N(AC843)=0),"",AR843/AC843)</f>
        <v/>
      </c>
      <c r="AU843" s="34" t="str">
        <f aca="false">IF(OR(AR843="",N(S843)=0),"",AR843/S843)</f>
        <v/>
      </c>
      <c r="AV843" s="34" t="str">
        <f aca="false">IF(OR(AJ843="",N(AC843)=0),"",AJ843/AC843)</f>
        <v/>
      </c>
      <c r="AW843" s="34" t="str">
        <f aca="false">IF(OR(AH843="",N(AO843)=0),"",AH843/AO843)</f>
        <v/>
      </c>
      <c r="AX843" s="35" t="str">
        <f aca="false">IF(OR(AR843="",N(AO843)=0),"",(N(AF843)*Settings!$B$6+N(AG843)*Settings!$B$7+N(AH843)*Settings!$B$8+N(AI843)*Settings!$B$9+N(AJ843)*Settings!$B$10)/AO843*1000)</f>
        <v/>
      </c>
      <c r="AY843" s="36" t="str">
        <f aca="false">IF(AS843="","",IFERROR(AS843/AVERAGEIFS('Post Tracker'!$AS$5:$AS$1004,'Post Tracker'!$G$5:$G$1004,G843),""))</f>
        <v/>
      </c>
      <c r="AZ843" s="32"/>
      <c r="BA843" s="32"/>
      <c r="BB843" s="32"/>
      <c r="BC843" s="32"/>
      <c r="BD843" s="33" t="str">
        <f aca="false">IF(A843="","",COUNTIFS('Demo Pipeline'!$Q$5:$Q$504,A843))</f>
        <v/>
      </c>
      <c r="BE843" s="33" t="str">
        <f aca="false">IF(A843="","",COUNTIFS('Demo Pipeline'!$Q$5:$Q$504,A843,'Demo Pipeline'!$W$5:$W$504,"Attended"))</f>
        <v/>
      </c>
      <c r="BF843" s="33" t="str">
        <f aca="false">IF(A843="","",COUNTIFS('Demo Pipeline'!$Q$5:$Q$504,A843,'Demo Pipeline'!$X$5:$X$504,"Yes"))</f>
        <v/>
      </c>
      <c r="BG843" s="33" t="str">
        <f aca="false">IF(A843="","",COUNTIFS('Demo Pipeline'!$Q$5:$Q$504,A843,'Demo Pipeline'!$Y$5:$Y$504,"Closed Won"))</f>
        <v/>
      </c>
      <c r="BH843" s="37" t="str">
        <f aca="false">IF(A843="","",SUMIFS('Demo Pipeline'!$Z$5:$Z$504,'Demo Pipeline'!$Q$5:$Q$504,A843))</f>
        <v/>
      </c>
      <c r="BI843" s="34" t="str">
        <f aca="false">IF(OR(AZ843="",N(AJ843)=0),"",AZ843/AJ843)</f>
        <v/>
      </c>
      <c r="BJ843" s="34" t="str">
        <f aca="false">IF(OR(BB843="",N(AZ843)=0),"",BB843/AZ843)</f>
        <v/>
      </c>
      <c r="BK843" s="34" t="str">
        <f aca="false">IF(OR(A843="",N(BB843)=0),"",BD843/BB843)</f>
        <v/>
      </c>
      <c r="BL843" s="34" t="str">
        <f aca="false">IF(OR(A843="",N(AZ843)=0),"",BD843/AZ843)</f>
        <v/>
      </c>
      <c r="BM843" s="37" t="str">
        <f aca="false">IF(OR(N(Q843)=0,N(BD843)=0),"",Q843/BD843)</f>
        <v/>
      </c>
      <c r="BN843" s="29"/>
      <c r="BO843" s="29"/>
      <c r="BP843" s="33" t="str">
        <f aca="false">IF(OR(AR843="",N(AO843)=0),"",AR843)</f>
        <v/>
      </c>
      <c r="BQ843" s="33" t="str">
        <f aca="false">IF(OR(AR843="",N(S843)=0),"",S843)</f>
        <v/>
      </c>
      <c r="BR843" s="38" t="str">
        <f aca="false">IF(AND(ISNUMBER(B843),B843&gt;=Dashboard!$C$4,B843&lt;=Dashboard!$F$4,ISNUMBER(AU843)),AU843+ROW()/10^9,"")</f>
        <v/>
      </c>
      <c r="BS843" s="38" t="str">
        <f aca="false">IF(AND(ISNUMBER(B843),B843&gt;=Dashboard!$C$4,B843&lt;=Dashboard!$F$4,A843&lt;&gt;""),N(BD843)+N(AU843)/100+ROW()/10^9,"")</f>
        <v/>
      </c>
    </row>
    <row r="844" customFormat="false" ht="15" hidden="false" customHeight="false" outlineLevel="0" collapsed="false">
      <c r="A844" s="24" t="str">
        <f aca="false">IF(OR(B844="",G844="",H844=""),"",IFERROR(INDEX(Settings!$E$5:$E$49,MATCH(G844,Settings!$D$5:$D$49,0))&amp;INDEX(Settings!$H$5:$H$47,MATCH(H844,Settings!$G$5:$G$47,0))&amp;"-"&amp;TEXT(B844,"yymmdd")&amp;"-"&amp;IF(C844="","0000",TEXT(C844,"hhmm")),"CHECK LISTS"))</f>
        <v/>
      </c>
      <c r="B844" s="39"/>
      <c r="C844" s="40"/>
      <c r="D844" s="24" t="str">
        <f aca="false">IF(B844="","",TEXT(B844,"ddd"))</f>
        <v/>
      </c>
      <c r="E844" s="27" t="str">
        <f aca="false">IF(B844="","",B844-WEEKDAY(B844,3))</f>
        <v/>
      </c>
      <c r="F844" s="24" t="str">
        <f aca="false">IF(B844="","",TEXT(B844,"yyyy-mm"))</f>
        <v/>
      </c>
      <c r="G844" s="29"/>
      <c r="H844" s="29"/>
      <c r="I844" s="29"/>
      <c r="J844" s="29"/>
      <c r="K844" s="29"/>
      <c r="L844" s="29"/>
      <c r="M844" s="29"/>
      <c r="N844" s="29"/>
      <c r="O844" s="29"/>
      <c r="P844" s="29"/>
      <c r="Q844" s="30"/>
      <c r="R844" s="29"/>
      <c r="S844" s="32"/>
      <c r="T844" s="29"/>
      <c r="U844" s="29"/>
      <c r="V844" s="24" t="str">
        <f aca="false">IF(A844="","",IFERROR(INDEX(Settings!$F$5:$F$49,MATCH(G844,Settings!$D$5:$D$49,0)),""))</f>
        <v/>
      </c>
      <c r="W844" s="24" t="str">
        <f aca="false">IF(A844="","",IF(OR(P844="",P844="Organic"),"social","paid_social"))</f>
        <v/>
      </c>
      <c r="X844" s="24" t="str">
        <f aca="false">IF(A844="","",IF(K844&lt;&gt;"",IFERROR(INDEX('Case Studies'!$C$5:$C$54,MATCH(K844,'Case Studies'!$B$5:$B$54,0))&amp;"","case-study"),IF(J844&lt;&gt;"",IFERROR(INDEX(Settings!$J$5:$J$55,MATCH(J844,Settings!$I$5:$I$55,0)),"general"),"general")))</f>
        <v/>
      </c>
      <c r="Y844" s="24" t="str">
        <f aca="false">IF(A844="","",LOWER(A844))</f>
        <v/>
      </c>
      <c r="Z844" s="24" t="str">
        <f aca="false">IF(A844="","",IF(T844="",Settings!$B$5,T844)&amp;IF(ISNUMBER(FIND("?",IF(T844="",Settings!$B$5,T844))),"&amp;","?")&amp;"utm_source="&amp;V844&amp;"&amp;utm_medium="&amp;W844&amp;"&amp;utm_campaign="&amp;X844&amp;"&amp;utm_content="&amp;Y844)</f>
        <v/>
      </c>
      <c r="AA844" s="29"/>
      <c r="AB844" s="39"/>
      <c r="AC844" s="32"/>
      <c r="AD844" s="32"/>
      <c r="AE844" s="32"/>
      <c r="AF844" s="32"/>
      <c r="AG844" s="32"/>
      <c r="AH844" s="32"/>
      <c r="AI844" s="32"/>
      <c r="AJ844" s="32"/>
      <c r="AK844" s="32"/>
      <c r="AL844" s="32"/>
      <c r="AM844" s="32"/>
      <c r="AN844" s="32"/>
      <c r="AO844" s="33" t="str">
        <f aca="false">IF(A844="","",IF(AD844&lt;&gt;"",AD844,IF(AC844&lt;&gt;"",AC844,"")))</f>
        <v/>
      </c>
      <c r="AP844" s="24" t="str">
        <f aca="false">IF(AO844="","",IF(AD844&lt;&gt;"","Reported reach","Impressions (proxy)"))</f>
        <v/>
      </c>
      <c r="AQ844" s="34" t="str">
        <f aca="false">IF(OR(AO844="",N(S844)=0),"",AO844/S844)</f>
        <v/>
      </c>
      <c r="AR844" s="33" t="str">
        <f aca="false">IF(A844="","",IF(COUNT(AF844:AJ844)=0,"",SUM(AF844:AJ844)))</f>
        <v/>
      </c>
      <c r="AS844" s="34" t="str">
        <f aca="false">IF(OR(AR844="",N(AO844)=0),"",AR844/AO844)</f>
        <v/>
      </c>
      <c r="AT844" s="34" t="str">
        <f aca="false">IF(OR(AR844="",N(AC844)=0),"",AR844/AC844)</f>
        <v/>
      </c>
      <c r="AU844" s="34" t="str">
        <f aca="false">IF(OR(AR844="",N(S844)=0),"",AR844/S844)</f>
        <v/>
      </c>
      <c r="AV844" s="34" t="str">
        <f aca="false">IF(OR(AJ844="",N(AC844)=0),"",AJ844/AC844)</f>
        <v/>
      </c>
      <c r="AW844" s="34" t="str">
        <f aca="false">IF(OR(AH844="",N(AO844)=0),"",AH844/AO844)</f>
        <v/>
      </c>
      <c r="AX844" s="35" t="str">
        <f aca="false">IF(OR(AR844="",N(AO844)=0),"",(N(AF844)*Settings!$B$6+N(AG844)*Settings!$B$7+N(AH844)*Settings!$B$8+N(AI844)*Settings!$B$9+N(AJ844)*Settings!$B$10)/AO844*1000)</f>
        <v/>
      </c>
      <c r="AY844" s="36" t="str">
        <f aca="false">IF(AS844="","",IFERROR(AS844/AVERAGEIFS('Post Tracker'!$AS$5:$AS$1004,'Post Tracker'!$G$5:$G$1004,G844),""))</f>
        <v/>
      </c>
      <c r="AZ844" s="32"/>
      <c r="BA844" s="32"/>
      <c r="BB844" s="32"/>
      <c r="BC844" s="32"/>
      <c r="BD844" s="33" t="str">
        <f aca="false">IF(A844="","",COUNTIFS('Demo Pipeline'!$Q$5:$Q$504,A844))</f>
        <v/>
      </c>
      <c r="BE844" s="33" t="str">
        <f aca="false">IF(A844="","",COUNTIFS('Demo Pipeline'!$Q$5:$Q$504,A844,'Demo Pipeline'!$W$5:$W$504,"Attended"))</f>
        <v/>
      </c>
      <c r="BF844" s="33" t="str">
        <f aca="false">IF(A844="","",COUNTIFS('Demo Pipeline'!$Q$5:$Q$504,A844,'Demo Pipeline'!$X$5:$X$504,"Yes"))</f>
        <v/>
      </c>
      <c r="BG844" s="33" t="str">
        <f aca="false">IF(A844="","",COUNTIFS('Demo Pipeline'!$Q$5:$Q$504,A844,'Demo Pipeline'!$Y$5:$Y$504,"Closed Won"))</f>
        <v/>
      </c>
      <c r="BH844" s="37" t="str">
        <f aca="false">IF(A844="","",SUMIFS('Demo Pipeline'!$Z$5:$Z$504,'Demo Pipeline'!$Q$5:$Q$504,A844))</f>
        <v/>
      </c>
      <c r="BI844" s="34" t="str">
        <f aca="false">IF(OR(AZ844="",N(AJ844)=0),"",AZ844/AJ844)</f>
        <v/>
      </c>
      <c r="BJ844" s="34" t="str">
        <f aca="false">IF(OR(BB844="",N(AZ844)=0),"",BB844/AZ844)</f>
        <v/>
      </c>
      <c r="BK844" s="34" t="str">
        <f aca="false">IF(OR(A844="",N(BB844)=0),"",BD844/BB844)</f>
        <v/>
      </c>
      <c r="BL844" s="34" t="str">
        <f aca="false">IF(OR(A844="",N(AZ844)=0),"",BD844/AZ844)</f>
        <v/>
      </c>
      <c r="BM844" s="37" t="str">
        <f aca="false">IF(OR(N(Q844)=0,N(BD844)=0),"",Q844/BD844)</f>
        <v/>
      </c>
      <c r="BN844" s="29"/>
      <c r="BO844" s="29"/>
      <c r="BP844" s="33" t="str">
        <f aca="false">IF(OR(AR844="",N(AO844)=0),"",AR844)</f>
        <v/>
      </c>
      <c r="BQ844" s="33" t="str">
        <f aca="false">IF(OR(AR844="",N(S844)=0),"",S844)</f>
        <v/>
      </c>
      <c r="BR844" s="38" t="str">
        <f aca="false">IF(AND(ISNUMBER(B844),B844&gt;=Dashboard!$C$4,B844&lt;=Dashboard!$F$4,ISNUMBER(AU844)),AU844+ROW()/10^9,"")</f>
        <v/>
      </c>
      <c r="BS844" s="38" t="str">
        <f aca="false">IF(AND(ISNUMBER(B844),B844&gt;=Dashboard!$C$4,B844&lt;=Dashboard!$F$4,A844&lt;&gt;""),N(BD844)+N(AU844)/100+ROW()/10^9,"")</f>
        <v/>
      </c>
    </row>
    <row r="845" customFormat="false" ht="15" hidden="false" customHeight="false" outlineLevel="0" collapsed="false">
      <c r="A845" s="24" t="str">
        <f aca="false">IF(OR(B845="",G845="",H845=""),"",IFERROR(INDEX(Settings!$E$5:$E$49,MATCH(G845,Settings!$D$5:$D$49,0))&amp;INDEX(Settings!$H$5:$H$47,MATCH(H845,Settings!$G$5:$G$47,0))&amp;"-"&amp;TEXT(B845,"yymmdd")&amp;"-"&amp;IF(C845="","0000",TEXT(C845,"hhmm")),"CHECK LISTS"))</f>
        <v/>
      </c>
      <c r="B845" s="39"/>
      <c r="C845" s="40"/>
      <c r="D845" s="24" t="str">
        <f aca="false">IF(B845="","",TEXT(B845,"ddd"))</f>
        <v/>
      </c>
      <c r="E845" s="27" t="str">
        <f aca="false">IF(B845="","",B845-WEEKDAY(B845,3))</f>
        <v/>
      </c>
      <c r="F845" s="24" t="str">
        <f aca="false">IF(B845="","",TEXT(B845,"yyyy-mm"))</f>
        <v/>
      </c>
      <c r="G845" s="29"/>
      <c r="H845" s="29"/>
      <c r="I845" s="29"/>
      <c r="J845" s="29"/>
      <c r="K845" s="29"/>
      <c r="L845" s="29"/>
      <c r="M845" s="29"/>
      <c r="N845" s="29"/>
      <c r="O845" s="29"/>
      <c r="P845" s="29"/>
      <c r="Q845" s="30"/>
      <c r="R845" s="29"/>
      <c r="S845" s="32"/>
      <c r="T845" s="29"/>
      <c r="U845" s="29"/>
      <c r="V845" s="24" t="str">
        <f aca="false">IF(A845="","",IFERROR(INDEX(Settings!$F$5:$F$49,MATCH(G845,Settings!$D$5:$D$49,0)),""))</f>
        <v/>
      </c>
      <c r="W845" s="24" t="str">
        <f aca="false">IF(A845="","",IF(OR(P845="",P845="Organic"),"social","paid_social"))</f>
        <v/>
      </c>
      <c r="X845" s="24" t="str">
        <f aca="false">IF(A845="","",IF(K845&lt;&gt;"",IFERROR(INDEX('Case Studies'!$C$5:$C$54,MATCH(K845,'Case Studies'!$B$5:$B$54,0))&amp;"","case-study"),IF(J845&lt;&gt;"",IFERROR(INDEX(Settings!$J$5:$J$55,MATCH(J845,Settings!$I$5:$I$55,0)),"general"),"general")))</f>
        <v/>
      </c>
      <c r="Y845" s="24" t="str">
        <f aca="false">IF(A845="","",LOWER(A845))</f>
        <v/>
      </c>
      <c r="Z845" s="24" t="str">
        <f aca="false">IF(A845="","",IF(T845="",Settings!$B$5,T845)&amp;IF(ISNUMBER(FIND("?",IF(T845="",Settings!$B$5,T845))),"&amp;","?")&amp;"utm_source="&amp;V845&amp;"&amp;utm_medium="&amp;W845&amp;"&amp;utm_campaign="&amp;X845&amp;"&amp;utm_content="&amp;Y845)</f>
        <v/>
      </c>
      <c r="AA845" s="29"/>
      <c r="AB845" s="39"/>
      <c r="AC845" s="32"/>
      <c r="AD845" s="32"/>
      <c r="AE845" s="32"/>
      <c r="AF845" s="32"/>
      <c r="AG845" s="32"/>
      <c r="AH845" s="32"/>
      <c r="AI845" s="32"/>
      <c r="AJ845" s="32"/>
      <c r="AK845" s="32"/>
      <c r="AL845" s="32"/>
      <c r="AM845" s="32"/>
      <c r="AN845" s="32"/>
      <c r="AO845" s="33" t="str">
        <f aca="false">IF(A845="","",IF(AD845&lt;&gt;"",AD845,IF(AC845&lt;&gt;"",AC845,"")))</f>
        <v/>
      </c>
      <c r="AP845" s="24" t="str">
        <f aca="false">IF(AO845="","",IF(AD845&lt;&gt;"","Reported reach","Impressions (proxy)"))</f>
        <v/>
      </c>
      <c r="AQ845" s="34" t="str">
        <f aca="false">IF(OR(AO845="",N(S845)=0),"",AO845/S845)</f>
        <v/>
      </c>
      <c r="AR845" s="33" t="str">
        <f aca="false">IF(A845="","",IF(COUNT(AF845:AJ845)=0,"",SUM(AF845:AJ845)))</f>
        <v/>
      </c>
      <c r="AS845" s="34" t="str">
        <f aca="false">IF(OR(AR845="",N(AO845)=0),"",AR845/AO845)</f>
        <v/>
      </c>
      <c r="AT845" s="34" t="str">
        <f aca="false">IF(OR(AR845="",N(AC845)=0),"",AR845/AC845)</f>
        <v/>
      </c>
      <c r="AU845" s="34" t="str">
        <f aca="false">IF(OR(AR845="",N(S845)=0),"",AR845/S845)</f>
        <v/>
      </c>
      <c r="AV845" s="34" t="str">
        <f aca="false">IF(OR(AJ845="",N(AC845)=0),"",AJ845/AC845)</f>
        <v/>
      </c>
      <c r="AW845" s="34" t="str">
        <f aca="false">IF(OR(AH845="",N(AO845)=0),"",AH845/AO845)</f>
        <v/>
      </c>
      <c r="AX845" s="35" t="str">
        <f aca="false">IF(OR(AR845="",N(AO845)=0),"",(N(AF845)*Settings!$B$6+N(AG845)*Settings!$B$7+N(AH845)*Settings!$B$8+N(AI845)*Settings!$B$9+N(AJ845)*Settings!$B$10)/AO845*1000)</f>
        <v/>
      </c>
      <c r="AY845" s="36" t="str">
        <f aca="false">IF(AS845="","",IFERROR(AS845/AVERAGEIFS('Post Tracker'!$AS$5:$AS$1004,'Post Tracker'!$G$5:$G$1004,G845),""))</f>
        <v/>
      </c>
      <c r="AZ845" s="32"/>
      <c r="BA845" s="32"/>
      <c r="BB845" s="32"/>
      <c r="BC845" s="32"/>
      <c r="BD845" s="33" t="str">
        <f aca="false">IF(A845="","",COUNTIFS('Demo Pipeline'!$Q$5:$Q$504,A845))</f>
        <v/>
      </c>
      <c r="BE845" s="33" t="str">
        <f aca="false">IF(A845="","",COUNTIFS('Demo Pipeline'!$Q$5:$Q$504,A845,'Demo Pipeline'!$W$5:$W$504,"Attended"))</f>
        <v/>
      </c>
      <c r="BF845" s="33" t="str">
        <f aca="false">IF(A845="","",COUNTIFS('Demo Pipeline'!$Q$5:$Q$504,A845,'Demo Pipeline'!$X$5:$X$504,"Yes"))</f>
        <v/>
      </c>
      <c r="BG845" s="33" t="str">
        <f aca="false">IF(A845="","",COUNTIFS('Demo Pipeline'!$Q$5:$Q$504,A845,'Demo Pipeline'!$Y$5:$Y$504,"Closed Won"))</f>
        <v/>
      </c>
      <c r="BH845" s="37" t="str">
        <f aca="false">IF(A845="","",SUMIFS('Demo Pipeline'!$Z$5:$Z$504,'Demo Pipeline'!$Q$5:$Q$504,A845))</f>
        <v/>
      </c>
      <c r="BI845" s="34" t="str">
        <f aca="false">IF(OR(AZ845="",N(AJ845)=0),"",AZ845/AJ845)</f>
        <v/>
      </c>
      <c r="BJ845" s="34" t="str">
        <f aca="false">IF(OR(BB845="",N(AZ845)=0),"",BB845/AZ845)</f>
        <v/>
      </c>
      <c r="BK845" s="34" t="str">
        <f aca="false">IF(OR(A845="",N(BB845)=0),"",BD845/BB845)</f>
        <v/>
      </c>
      <c r="BL845" s="34" t="str">
        <f aca="false">IF(OR(A845="",N(AZ845)=0),"",BD845/AZ845)</f>
        <v/>
      </c>
      <c r="BM845" s="37" t="str">
        <f aca="false">IF(OR(N(Q845)=0,N(BD845)=0),"",Q845/BD845)</f>
        <v/>
      </c>
      <c r="BN845" s="29"/>
      <c r="BO845" s="29"/>
      <c r="BP845" s="33" t="str">
        <f aca="false">IF(OR(AR845="",N(AO845)=0),"",AR845)</f>
        <v/>
      </c>
      <c r="BQ845" s="33" t="str">
        <f aca="false">IF(OR(AR845="",N(S845)=0),"",S845)</f>
        <v/>
      </c>
      <c r="BR845" s="38" t="str">
        <f aca="false">IF(AND(ISNUMBER(B845),B845&gt;=Dashboard!$C$4,B845&lt;=Dashboard!$F$4,ISNUMBER(AU845)),AU845+ROW()/10^9,"")</f>
        <v/>
      </c>
      <c r="BS845" s="38" t="str">
        <f aca="false">IF(AND(ISNUMBER(B845),B845&gt;=Dashboard!$C$4,B845&lt;=Dashboard!$F$4,A845&lt;&gt;""),N(BD845)+N(AU845)/100+ROW()/10^9,"")</f>
        <v/>
      </c>
    </row>
    <row r="846" customFormat="false" ht="15" hidden="false" customHeight="false" outlineLevel="0" collapsed="false">
      <c r="A846" s="24" t="str">
        <f aca="false">IF(OR(B846="",G846="",H846=""),"",IFERROR(INDEX(Settings!$E$5:$E$49,MATCH(G846,Settings!$D$5:$D$49,0))&amp;INDEX(Settings!$H$5:$H$47,MATCH(H846,Settings!$G$5:$G$47,0))&amp;"-"&amp;TEXT(B846,"yymmdd")&amp;"-"&amp;IF(C846="","0000",TEXT(C846,"hhmm")),"CHECK LISTS"))</f>
        <v/>
      </c>
      <c r="B846" s="39"/>
      <c r="C846" s="40"/>
      <c r="D846" s="24" t="str">
        <f aca="false">IF(B846="","",TEXT(B846,"ddd"))</f>
        <v/>
      </c>
      <c r="E846" s="27" t="str">
        <f aca="false">IF(B846="","",B846-WEEKDAY(B846,3))</f>
        <v/>
      </c>
      <c r="F846" s="24" t="str">
        <f aca="false">IF(B846="","",TEXT(B846,"yyyy-mm"))</f>
        <v/>
      </c>
      <c r="G846" s="29"/>
      <c r="H846" s="29"/>
      <c r="I846" s="29"/>
      <c r="J846" s="29"/>
      <c r="K846" s="29"/>
      <c r="L846" s="29"/>
      <c r="M846" s="29"/>
      <c r="N846" s="29"/>
      <c r="O846" s="29"/>
      <c r="P846" s="29"/>
      <c r="Q846" s="30"/>
      <c r="R846" s="29"/>
      <c r="S846" s="32"/>
      <c r="T846" s="29"/>
      <c r="U846" s="29"/>
      <c r="V846" s="24" t="str">
        <f aca="false">IF(A846="","",IFERROR(INDEX(Settings!$F$5:$F$49,MATCH(G846,Settings!$D$5:$D$49,0)),""))</f>
        <v/>
      </c>
      <c r="W846" s="24" t="str">
        <f aca="false">IF(A846="","",IF(OR(P846="",P846="Organic"),"social","paid_social"))</f>
        <v/>
      </c>
      <c r="X846" s="24" t="str">
        <f aca="false">IF(A846="","",IF(K846&lt;&gt;"",IFERROR(INDEX('Case Studies'!$C$5:$C$54,MATCH(K846,'Case Studies'!$B$5:$B$54,0))&amp;"","case-study"),IF(J846&lt;&gt;"",IFERROR(INDEX(Settings!$J$5:$J$55,MATCH(J846,Settings!$I$5:$I$55,0)),"general"),"general")))</f>
        <v/>
      </c>
      <c r="Y846" s="24" t="str">
        <f aca="false">IF(A846="","",LOWER(A846))</f>
        <v/>
      </c>
      <c r="Z846" s="24" t="str">
        <f aca="false">IF(A846="","",IF(T846="",Settings!$B$5,T846)&amp;IF(ISNUMBER(FIND("?",IF(T846="",Settings!$B$5,T846))),"&amp;","?")&amp;"utm_source="&amp;V846&amp;"&amp;utm_medium="&amp;W846&amp;"&amp;utm_campaign="&amp;X846&amp;"&amp;utm_content="&amp;Y846)</f>
        <v/>
      </c>
      <c r="AA846" s="29"/>
      <c r="AB846" s="39"/>
      <c r="AC846" s="32"/>
      <c r="AD846" s="32"/>
      <c r="AE846" s="32"/>
      <c r="AF846" s="32"/>
      <c r="AG846" s="32"/>
      <c r="AH846" s="32"/>
      <c r="AI846" s="32"/>
      <c r="AJ846" s="32"/>
      <c r="AK846" s="32"/>
      <c r="AL846" s="32"/>
      <c r="AM846" s="32"/>
      <c r="AN846" s="32"/>
      <c r="AO846" s="33" t="str">
        <f aca="false">IF(A846="","",IF(AD846&lt;&gt;"",AD846,IF(AC846&lt;&gt;"",AC846,"")))</f>
        <v/>
      </c>
      <c r="AP846" s="24" t="str">
        <f aca="false">IF(AO846="","",IF(AD846&lt;&gt;"","Reported reach","Impressions (proxy)"))</f>
        <v/>
      </c>
      <c r="AQ846" s="34" t="str">
        <f aca="false">IF(OR(AO846="",N(S846)=0),"",AO846/S846)</f>
        <v/>
      </c>
      <c r="AR846" s="33" t="str">
        <f aca="false">IF(A846="","",IF(COUNT(AF846:AJ846)=0,"",SUM(AF846:AJ846)))</f>
        <v/>
      </c>
      <c r="AS846" s="34" t="str">
        <f aca="false">IF(OR(AR846="",N(AO846)=0),"",AR846/AO846)</f>
        <v/>
      </c>
      <c r="AT846" s="34" t="str">
        <f aca="false">IF(OR(AR846="",N(AC846)=0),"",AR846/AC846)</f>
        <v/>
      </c>
      <c r="AU846" s="34" t="str">
        <f aca="false">IF(OR(AR846="",N(S846)=0),"",AR846/S846)</f>
        <v/>
      </c>
      <c r="AV846" s="34" t="str">
        <f aca="false">IF(OR(AJ846="",N(AC846)=0),"",AJ846/AC846)</f>
        <v/>
      </c>
      <c r="AW846" s="34" t="str">
        <f aca="false">IF(OR(AH846="",N(AO846)=0),"",AH846/AO846)</f>
        <v/>
      </c>
      <c r="AX846" s="35" t="str">
        <f aca="false">IF(OR(AR846="",N(AO846)=0),"",(N(AF846)*Settings!$B$6+N(AG846)*Settings!$B$7+N(AH846)*Settings!$B$8+N(AI846)*Settings!$B$9+N(AJ846)*Settings!$B$10)/AO846*1000)</f>
        <v/>
      </c>
      <c r="AY846" s="36" t="str">
        <f aca="false">IF(AS846="","",IFERROR(AS846/AVERAGEIFS('Post Tracker'!$AS$5:$AS$1004,'Post Tracker'!$G$5:$G$1004,G846),""))</f>
        <v/>
      </c>
      <c r="AZ846" s="32"/>
      <c r="BA846" s="32"/>
      <c r="BB846" s="32"/>
      <c r="BC846" s="32"/>
      <c r="BD846" s="33" t="str">
        <f aca="false">IF(A846="","",COUNTIFS('Demo Pipeline'!$Q$5:$Q$504,A846))</f>
        <v/>
      </c>
      <c r="BE846" s="33" t="str">
        <f aca="false">IF(A846="","",COUNTIFS('Demo Pipeline'!$Q$5:$Q$504,A846,'Demo Pipeline'!$W$5:$W$504,"Attended"))</f>
        <v/>
      </c>
      <c r="BF846" s="33" t="str">
        <f aca="false">IF(A846="","",COUNTIFS('Demo Pipeline'!$Q$5:$Q$504,A846,'Demo Pipeline'!$X$5:$X$504,"Yes"))</f>
        <v/>
      </c>
      <c r="BG846" s="33" t="str">
        <f aca="false">IF(A846="","",COUNTIFS('Demo Pipeline'!$Q$5:$Q$504,A846,'Demo Pipeline'!$Y$5:$Y$504,"Closed Won"))</f>
        <v/>
      </c>
      <c r="BH846" s="37" t="str">
        <f aca="false">IF(A846="","",SUMIFS('Demo Pipeline'!$Z$5:$Z$504,'Demo Pipeline'!$Q$5:$Q$504,A846))</f>
        <v/>
      </c>
      <c r="BI846" s="34" t="str">
        <f aca="false">IF(OR(AZ846="",N(AJ846)=0),"",AZ846/AJ846)</f>
        <v/>
      </c>
      <c r="BJ846" s="34" t="str">
        <f aca="false">IF(OR(BB846="",N(AZ846)=0),"",BB846/AZ846)</f>
        <v/>
      </c>
      <c r="BK846" s="34" t="str">
        <f aca="false">IF(OR(A846="",N(BB846)=0),"",BD846/BB846)</f>
        <v/>
      </c>
      <c r="BL846" s="34" t="str">
        <f aca="false">IF(OR(A846="",N(AZ846)=0),"",BD846/AZ846)</f>
        <v/>
      </c>
      <c r="BM846" s="37" t="str">
        <f aca="false">IF(OR(N(Q846)=0,N(BD846)=0),"",Q846/BD846)</f>
        <v/>
      </c>
      <c r="BN846" s="29"/>
      <c r="BO846" s="29"/>
      <c r="BP846" s="33" t="str">
        <f aca="false">IF(OR(AR846="",N(AO846)=0),"",AR846)</f>
        <v/>
      </c>
      <c r="BQ846" s="33" t="str">
        <f aca="false">IF(OR(AR846="",N(S846)=0),"",S846)</f>
        <v/>
      </c>
      <c r="BR846" s="38" t="str">
        <f aca="false">IF(AND(ISNUMBER(B846),B846&gt;=Dashboard!$C$4,B846&lt;=Dashboard!$F$4,ISNUMBER(AU846)),AU846+ROW()/10^9,"")</f>
        <v/>
      </c>
      <c r="BS846" s="38" t="str">
        <f aca="false">IF(AND(ISNUMBER(B846),B846&gt;=Dashboard!$C$4,B846&lt;=Dashboard!$F$4,A846&lt;&gt;""),N(BD846)+N(AU846)/100+ROW()/10^9,"")</f>
        <v/>
      </c>
    </row>
    <row r="847" customFormat="false" ht="15" hidden="false" customHeight="false" outlineLevel="0" collapsed="false">
      <c r="A847" s="24" t="str">
        <f aca="false">IF(OR(B847="",G847="",H847=""),"",IFERROR(INDEX(Settings!$E$5:$E$49,MATCH(G847,Settings!$D$5:$D$49,0))&amp;INDEX(Settings!$H$5:$H$47,MATCH(H847,Settings!$G$5:$G$47,0))&amp;"-"&amp;TEXT(B847,"yymmdd")&amp;"-"&amp;IF(C847="","0000",TEXT(C847,"hhmm")),"CHECK LISTS"))</f>
        <v/>
      </c>
      <c r="B847" s="39"/>
      <c r="C847" s="40"/>
      <c r="D847" s="24" t="str">
        <f aca="false">IF(B847="","",TEXT(B847,"ddd"))</f>
        <v/>
      </c>
      <c r="E847" s="27" t="str">
        <f aca="false">IF(B847="","",B847-WEEKDAY(B847,3))</f>
        <v/>
      </c>
      <c r="F847" s="24" t="str">
        <f aca="false">IF(B847="","",TEXT(B847,"yyyy-mm"))</f>
        <v/>
      </c>
      <c r="G847" s="29"/>
      <c r="H847" s="29"/>
      <c r="I847" s="29"/>
      <c r="J847" s="29"/>
      <c r="K847" s="29"/>
      <c r="L847" s="29"/>
      <c r="M847" s="29"/>
      <c r="N847" s="29"/>
      <c r="O847" s="29"/>
      <c r="P847" s="29"/>
      <c r="Q847" s="30"/>
      <c r="R847" s="29"/>
      <c r="S847" s="32"/>
      <c r="T847" s="29"/>
      <c r="U847" s="29"/>
      <c r="V847" s="24" t="str">
        <f aca="false">IF(A847="","",IFERROR(INDEX(Settings!$F$5:$F$49,MATCH(G847,Settings!$D$5:$D$49,0)),""))</f>
        <v/>
      </c>
      <c r="W847" s="24" t="str">
        <f aca="false">IF(A847="","",IF(OR(P847="",P847="Organic"),"social","paid_social"))</f>
        <v/>
      </c>
      <c r="X847" s="24" t="str">
        <f aca="false">IF(A847="","",IF(K847&lt;&gt;"",IFERROR(INDEX('Case Studies'!$C$5:$C$54,MATCH(K847,'Case Studies'!$B$5:$B$54,0))&amp;"","case-study"),IF(J847&lt;&gt;"",IFERROR(INDEX(Settings!$J$5:$J$55,MATCH(J847,Settings!$I$5:$I$55,0)),"general"),"general")))</f>
        <v/>
      </c>
      <c r="Y847" s="24" t="str">
        <f aca="false">IF(A847="","",LOWER(A847))</f>
        <v/>
      </c>
      <c r="Z847" s="24" t="str">
        <f aca="false">IF(A847="","",IF(T847="",Settings!$B$5,T847)&amp;IF(ISNUMBER(FIND("?",IF(T847="",Settings!$B$5,T847))),"&amp;","?")&amp;"utm_source="&amp;V847&amp;"&amp;utm_medium="&amp;W847&amp;"&amp;utm_campaign="&amp;X847&amp;"&amp;utm_content="&amp;Y847)</f>
        <v/>
      </c>
      <c r="AA847" s="29"/>
      <c r="AB847" s="39"/>
      <c r="AC847" s="32"/>
      <c r="AD847" s="32"/>
      <c r="AE847" s="32"/>
      <c r="AF847" s="32"/>
      <c r="AG847" s="32"/>
      <c r="AH847" s="32"/>
      <c r="AI847" s="32"/>
      <c r="AJ847" s="32"/>
      <c r="AK847" s="32"/>
      <c r="AL847" s="32"/>
      <c r="AM847" s="32"/>
      <c r="AN847" s="32"/>
      <c r="AO847" s="33" t="str">
        <f aca="false">IF(A847="","",IF(AD847&lt;&gt;"",AD847,IF(AC847&lt;&gt;"",AC847,"")))</f>
        <v/>
      </c>
      <c r="AP847" s="24" t="str">
        <f aca="false">IF(AO847="","",IF(AD847&lt;&gt;"","Reported reach","Impressions (proxy)"))</f>
        <v/>
      </c>
      <c r="AQ847" s="34" t="str">
        <f aca="false">IF(OR(AO847="",N(S847)=0),"",AO847/S847)</f>
        <v/>
      </c>
      <c r="AR847" s="33" t="str">
        <f aca="false">IF(A847="","",IF(COUNT(AF847:AJ847)=0,"",SUM(AF847:AJ847)))</f>
        <v/>
      </c>
      <c r="AS847" s="34" t="str">
        <f aca="false">IF(OR(AR847="",N(AO847)=0),"",AR847/AO847)</f>
        <v/>
      </c>
      <c r="AT847" s="34" t="str">
        <f aca="false">IF(OR(AR847="",N(AC847)=0),"",AR847/AC847)</f>
        <v/>
      </c>
      <c r="AU847" s="34" t="str">
        <f aca="false">IF(OR(AR847="",N(S847)=0),"",AR847/S847)</f>
        <v/>
      </c>
      <c r="AV847" s="34" t="str">
        <f aca="false">IF(OR(AJ847="",N(AC847)=0),"",AJ847/AC847)</f>
        <v/>
      </c>
      <c r="AW847" s="34" t="str">
        <f aca="false">IF(OR(AH847="",N(AO847)=0),"",AH847/AO847)</f>
        <v/>
      </c>
      <c r="AX847" s="35" t="str">
        <f aca="false">IF(OR(AR847="",N(AO847)=0),"",(N(AF847)*Settings!$B$6+N(AG847)*Settings!$B$7+N(AH847)*Settings!$B$8+N(AI847)*Settings!$B$9+N(AJ847)*Settings!$B$10)/AO847*1000)</f>
        <v/>
      </c>
      <c r="AY847" s="36" t="str">
        <f aca="false">IF(AS847="","",IFERROR(AS847/AVERAGEIFS('Post Tracker'!$AS$5:$AS$1004,'Post Tracker'!$G$5:$G$1004,G847),""))</f>
        <v/>
      </c>
      <c r="AZ847" s="32"/>
      <c r="BA847" s="32"/>
      <c r="BB847" s="32"/>
      <c r="BC847" s="32"/>
      <c r="BD847" s="33" t="str">
        <f aca="false">IF(A847="","",COUNTIFS('Demo Pipeline'!$Q$5:$Q$504,A847))</f>
        <v/>
      </c>
      <c r="BE847" s="33" t="str">
        <f aca="false">IF(A847="","",COUNTIFS('Demo Pipeline'!$Q$5:$Q$504,A847,'Demo Pipeline'!$W$5:$W$504,"Attended"))</f>
        <v/>
      </c>
      <c r="BF847" s="33" t="str">
        <f aca="false">IF(A847="","",COUNTIFS('Demo Pipeline'!$Q$5:$Q$504,A847,'Demo Pipeline'!$X$5:$X$504,"Yes"))</f>
        <v/>
      </c>
      <c r="BG847" s="33" t="str">
        <f aca="false">IF(A847="","",COUNTIFS('Demo Pipeline'!$Q$5:$Q$504,A847,'Demo Pipeline'!$Y$5:$Y$504,"Closed Won"))</f>
        <v/>
      </c>
      <c r="BH847" s="37" t="str">
        <f aca="false">IF(A847="","",SUMIFS('Demo Pipeline'!$Z$5:$Z$504,'Demo Pipeline'!$Q$5:$Q$504,A847))</f>
        <v/>
      </c>
      <c r="BI847" s="34" t="str">
        <f aca="false">IF(OR(AZ847="",N(AJ847)=0),"",AZ847/AJ847)</f>
        <v/>
      </c>
      <c r="BJ847" s="34" t="str">
        <f aca="false">IF(OR(BB847="",N(AZ847)=0),"",BB847/AZ847)</f>
        <v/>
      </c>
      <c r="BK847" s="34" t="str">
        <f aca="false">IF(OR(A847="",N(BB847)=0),"",BD847/BB847)</f>
        <v/>
      </c>
      <c r="BL847" s="34" t="str">
        <f aca="false">IF(OR(A847="",N(AZ847)=0),"",BD847/AZ847)</f>
        <v/>
      </c>
      <c r="BM847" s="37" t="str">
        <f aca="false">IF(OR(N(Q847)=0,N(BD847)=0),"",Q847/BD847)</f>
        <v/>
      </c>
      <c r="BN847" s="29"/>
      <c r="BO847" s="29"/>
      <c r="BP847" s="33" t="str">
        <f aca="false">IF(OR(AR847="",N(AO847)=0),"",AR847)</f>
        <v/>
      </c>
      <c r="BQ847" s="33" t="str">
        <f aca="false">IF(OR(AR847="",N(S847)=0),"",S847)</f>
        <v/>
      </c>
      <c r="BR847" s="38" t="str">
        <f aca="false">IF(AND(ISNUMBER(B847),B847&gt;=Dashboard!$C$4,B847&lt;=Dashboard!$F$4,ISNUMBER(AU847)),AU847+ROW()/10^9,"")</f>
        <v/>
      </c>
      <c r="BS847" s="38" t="str">
        <f aca="false">IF(AND(ISNUMBER(B847),B847&gt;=Dashboard!$C$4,B847&lt;=Dashboard!$F$4,A847&lt;&gt;""),N(BD847)+N(AU847)/100+ROW()/10^9,"")</f>
        <v/>
      </c>
    </row>
    <row r="848" customFormat="false" ht="15" hidden="false" customHeight="false" outlineLevel="0" collapsed="false">
      <c r="A848" s="24" t="str">
        <f aca="false">IF(OR(B848="",G848="",H848=""),"",IFERROR(INDEX(Settings!$E$5:$E$49,MATCH(G848,Settings!$D$5:$D$49,0))&amp;INDEX(Settings!$H$5:$H$47,MATCH(H848,Settings!$G$5:$G$47,0))&amp;"-"&amp;TEXT(B848,"yymmdd")&amp;"-"&amp;IF(C848="","0000",TEXT(C848,"hhmm")),"CHECK LISTS"))</f>
        <v/>
      </c>
      <c r="B848" s="39"/>
      <c r="C848" s="40"/>
      <c r="D848" s="24" t="str">
        <f aca="false">IF(B848="","",TEXT(B848,"ddd"))</f>
        <v/>
      </c>
      <c r="E848" s="27" t="str">
        <f aca="false">IF(B848="","",B848-WEEKDAY(B848,3))</f>
        <v/>
      </c>
      <c r="F848" s="24" t="str">
        <f aca="false">IF(B848="","",TEXT(B848,"yyyy-mm"))</f>
        <v/>
      </c>
      <c r="G848" s="29"/>
      <c r="H848" s="29"/>
      <c r="I848" s="29"/>
      <c r="J848" s="29"/>
      <c r="K848" s="29"/>
      <c r="L848" s="29"/>
      <c r="M848" s="29"/>
      <c r="N848" s="29"/>
      <c r="O848" s="29"/>
      <c r="P848" s="29"/>
      <c r="Q848" s="30"/>
      <c r="R848" s="29"/>
      <c r="S848" s="32"/>
      <c r="T848" s="29"/>
      <c r="U848" s="29"/>
      <c r="V848" s="24" t="str">
        <f aca="false">IF(A848="","",IFERROR(INDEX(Settings!$F$5:$F$49,MATCH(G848,Settings!$D$5:$D$49,0)),""))</f>
        <v/>
      </c>
      <c r="W848" s="24" t="str">
        <f aca="false">IF(A848="","",IF(OR(P848="",P848="Organic"),"social","paid_social"))</f>
        <v/>
      </c>
      <c r="X848" s="24" t="str">
        <f aca="false">IF(A848="","",IF(K848&lt;&gt;"",IFERROR(INDEX('Case Studies'!$C$5:$C$54,MATCH(K848,'Case Studies'!$B$5:$B$54,0))&amp;"","case-study"),IF(J848&lt;&gt;"",IFERROR(INDEX(Settings!$J$5:$J$55,MATCH(J848,Settings!$I$5:$I$55,0)),"general"),"general")))</f>
        <v/>
      </c>
      <c r="Y848" s="24" t="str">
        <f aca="false">IF(A848="","",LOWER(A848))</f>
        <v/>
      </c>
      <c r="Z848" s="24" t="str">
        <f aca="false">IF(A848="","",IF(T848="",Settings!$B$5,T848)&amp;IF(ISNUMBER(FIND("?",IF(T848="",Settings!$B$5,T848))),"&amp;","?")&amp;"utm_source="&amp;V848&amp;"&amp;utm_medium="&amp;W848&amp;"&amp;utm_campaign="&amp;X848&amp;"&amp;utm_content="&amp;Y848)</f>
        <v/>
      </c>
      <c r="AA848" s="29"/>
      <c r="AB848" s="39"/>
      <c r="AC848" s="32"/>
      <c r="AD848" s="32"/>
      <c r="AE848" s="32"/>
      <c r="AF848" s="32"/>
      <c r="AG848" s="32"/>
      <c r="AH848" s="32"/>
      <c r="AI848" s="32"/>
      <c r="AJ848" s="32"/>
      <c r="AK848" s="32"/>
      <c r="AL848" s="32"/>
      <c r="AM848" s="32"/>
      <c r="AN848" s="32"/>
      <c r="AO848" s="33" t="str">
        <f aca="false">IF(A848="","",IF(AD848&lt;&gt;"",AD848,IF(AC848&lt;&gt;"",AC848,"")))</f>
        <v/>
      </c>
      <c r="AP848" s="24" t="str">
        <f aca="false">IF(AO848="","",IF(AD848&lt;&gt;"","Reported reach","Impressions (proxy)"))</f>
        <v/>
      </c>
      <c r="AQ848" s="34" t="str">
        <f aca="false">IF(OR(AO848="",N(S848)=0),"",AO848/S848)</f>
        <v/>
      </c>
      <c r="AR848" s="33" t="str">
        <f aca="false">IF(A848="","",IF(COUNT(AF848:AJ848)=0,"",SUM(AF848:AJ848)))</f>
        <v/>
      </c>
      <c r="AS848" s="34" t="str">
        <f aca="false">IF(OR(AR848="",N(AO848)=0),"",AR848/AO848)</f>
        <v/>
      </c>
      <c r="AT848" s="34" t="str">
        <f aca="false">IF(OR(AR848="",N(AC848)=0),"",AR848/AC848)</f>
        <v/>
      </c>
      <c r="AU848" s="34" t="str">
        <f aca="false">IF(OR(AR848="",N(S848)=0),"",AR848/S848)</f>
        <v/>
      </c>
      <c r="AV848" s="34" t="str">
        <f aca="false">IF(OR(AJ848="",N(AC848)=0),"",AJ848/AC848)</f>
        <v/>
      </c>
      <c r="AW848" s="34" t="str">
        <f aca="false">IF(OR(AH848="",N(AO848)=0),"",AH848/AO848)</f>
        <v/>
      </c>
      <c r="AX848" s="35" t="str">
        <f aca="false">IF(OR(AR848="",N(AO848)=0),"",(N(AF848)*Settings!$B$6+N(AG848)*Settings!$B$7+N(AH848)*Settings!$B$8+N(AI848)*Settings!$B$9+N(AJ848)*Settings!$B$10)/AO848*1000)</f>
        <v/>
      </c>
      <c r="AY848" s="36" t="str">
        <f aca="false">IF(AS848="","",IFERROR(AS848/AVERAGEIFS('Post Tracker'!$AS$5:$AS$1004,'Post Tracker'!$G$5:$G$1004,G848),""))</f>
        <v/>
      </c>
      <c r="AZ848" s="32"/>
      <c r="BA848" s="32"/>
      <c r="BB848" s="32"/>
      <c r="BC848" s="32"/>
      <c r="BD848" s="33" t="str">
        <f aca="false">IF(A848="","",COUNTIFS('Demo Pipeline'!$Q$5:$Q$504,A848))</f>
        <v/>
      </c>
      <c r="BE848" s="33" t="str">
        <f aca="false">IF(A848="","",COUNTIFS('Demo Pipeline'!$Q$5:$Q$504,A848,'Demo Pipeline'!$W$5:$W$504,"Attended"))</f>
        <v/>
      </c>
      <c r="BF848" s="33" t="str">
        <f aca="false">IF(A848="","",COUNTIFS('Demo Pipeline'!$Q$5:$Q$504,A848,'Demo Pipeline'!$X$5:$X$504,"Yes"))</f>
        <v/>
      </c>
      <c r="BG848" s="33" t="str">
        <f aca="false">IF(A848="","",COUNTIFS('Demo Pipeline'!$Q$5:$Q$504,A848,'Demo Pipeline'!$Y$5:$Y$504,"Closed Won"))</f>
        <v/>
      </c>
      <c r="BH848" s="37" t="str">
        <f aca="false">IF(A848="","",SUMIFS('Demo Pipeline'!$Z$5:$Z$504,'Demo Pipeline'!$Q$5:$Q$504,A848))</f>
        <v/>
      </c>
      <c r="BI848" s="34" t="str">
        <f aca="false">IF(OR(AZ848="",N(AJ848)=0),"",AZ848/AJ848)</f>
        <v/>
      </c>
      <c r="BJ848" s="34" t="str">
        <f aca="false">IF(OR(BB848="",N(AZ848)=0),"",BB848/AZ848)</f>
        <v/>
      </c>
      <c r="BK848" s="34" t="str">
        <f aca="false">IF(OR(A848="",N(BB848)=0),"",BD848/BB848)</f>
        <v/>
      </c>
      <c r="BL848" s="34" t="str">
        <f aca="false">IF(OR(A848="",N(AZ848)=0),"",BD848/AZ848)</f>
        <v/>
      </c>
      <c r="BM848" s="37" t="str">
        <f aca="false">IF(OR(N(Q848)=0,N(BD848)=0),"",Q848/BD848)</f>
        <v/>
      </c>
      <c r="BN848" s="29"/>
      <c r="BO848" s="29"/>
      <c r="BP848" s="33" t="str">
        <f aca="false">IF(OR(AR848="",N(AO848)=0),"",AR848)</f>
        <v/>
      </c>
      <c r="BQ848" s="33" t="str">
        <f aca="false">IF(OR(AR848="",N(S848)=0),"",S848)</f>
        <v/>
      </c>
      <c r="BR848" s="38" t="str">
        <f aca="false">IF(AND(ISNUMBER(B848),B848&gt;=Dashboard!$C$4,B848&lt;=Dashboard!$F$4,ISNUMBER(AU848)),AU848+ROW()/10^9,"")</f>
        <v/>
      </c>
      <c r="BS848" s="38" t="str">
        <f aca="false">IF(AND(ISNUMBER(B848),B848&gt;=Dashboard!$C$4,B848&lt;=Dashboard!$F$4,A848&lt;&gt;""),N(BD848)+N(AU848)/100+ROW()/10^9,"")</f>
        <v/>
      </c>
    </row>
    <row r="849" customFormat="false" ht="15" hidden="false" customHeight="false" outlineLevel="0" collapsed="false">
      <c r="A849" s="24" t="str">
        <f aca="false">IF(OR(B849="",G849="",H849=""),"",IFERROR(INDEX(Settings!$E$5:$E$49,MATCH(G849,Settings!$D$5:$D$49,0))&amp;INDEX(Settings!$H$5:$H$47,MATCH(H849,Settings!$G$5:$G$47,0))&amp;"-"&amp;TEXT(B849,"yymmdd")&amp;"-"&amp;IF(C849="","0000",TEXT(C849,"hhmm")),"CHECK LISTS"))</f>
        <v/>
      </c>
      <c r="B849" s="39"/>
      <c r="C849" s="40"/>
      <c r="D849" s="24" t="str">
        <f aca="false">IF(B849="","",TEXT(B849,"ddd"))</f>
        <v/>
      </c>
      <c r="E849" s="27" t="str">
        <f aca="false">IF(B849="","",B849-WEEKDAY(B849,3))</f>
        <v/>
      </c>
      <c r="F849" s="24" t="str">
        <f aca="false">IF(B849="","",TEXT(B849,"yyyy-mm"))</f>
        <v/>
      </c>
      <c r="G849" s="29"/>
      <c r="H849" s="29"/>
      <c r="I849" s="29"/>
      <c r="J849" s="29"/>
      <c r="K849" s="29"/>
      <c r="L849" s="29"/>
      <c r="M849" s="29"/>
      <c r="N849" s="29"/>
      <c r="O849" s="29"/>
      <c r="P849" s="29"/>
      <c r="Q849" s="30"/>
      <c r="R849" s="29"/>
      <c r="S849" s="32"/>
      <c r="T849" s="29"/>
      <c r="U849" s="29"/>
      <c r="V849" s="24" t="str">
        <f aca="false">IF(A849="","",IFERROR(INDEX(Settings!$F$5:$F$49,MATCH(G849,Settings!$D$5:$D$49,0)),""))</f>
        <v/>
      </c>
      <c r="W849" s="24" t="str">
        <f aca="false">IF(A849="","",IF(OR(P849="",P849="Organic"),"social","paid_social"))</f>
        <v/>
      </c>
      <c r="X849" s="24" t="str">
        <f aca="false">IF(A849="","",IF(K849&lt;&gt;"",IFERROR(INDEX('Case Studies'!$C$5:$C$54,MATCH(K849,'Case Studies'!$B$5:$B$54,0))&amp;"","case-study"),IF(J849&lt;&gt;"",IFERROR(INDEX(Settings!$J$5:$J$55,MATCH(J849,Settings!$I$5:$I$55,0)),"general"),"general")))</f>
        <v/>
      </c>
      <c r="Y849" s="24" t="str">
        <f aca="false">IF(A849="","",LOWER(A849))</f>
        <v/>
      </c>
      <c r="Z849" s="24" t="str">
        <f aca="false">IF(A849="","",IF(T849="",Settings!$B$5,T849)&amp;IF(ISNUMBER(FIND("?",IF(T849="",Settings!$B$5,T849))),"&amp;","?")&amp;"utm_source="&amp;V849&amp;"&amp;utm_medium="&amp;W849&amp;"&amp;utm_campaign="&amp;X849&amp;"&amp;utm_content="&amp;Y849)</f>
        <v/>
      </c>
      <c r="AA849" s="29"/>
      <c r="AB849" s="39"/>
      <c r="AC849" s="32"/>
      <c r="AD849" s="32"/>
      <c r="AE849" s="32"/>
      <c r="AF849" s="32"/>
      <c r="AG849" s="32"/>
      <c r="AH849" s="32"/>
      <c r="AI849" s="32"/>
      <c r="AJ849" s="32"/>
      <c r="AK849" s="32"/>
      <c r="AL849" s="32"/>
      <c r="AM849" s="32"/>
      <c r="AN849" s="32"/>
      <c r="AO849" s="33" t="str">
        <f aca="false">IF(A849="","",IF(AD849&lt;&gt;"",AD849,IF(AC849&lt;&gt;"",AC849,"")))</f>
        <v/>
      </c>
      <c r="AP849" s="24" t="str">
        <f aca="false">IF(AO849="","",IF(AD849&lt;&gt;"","Reported reach","Impressions (proxy)"))</f>
        <v/>
      </c>
      <c r="AQ849" s="34" t="str">
        <f aca="false">IF(OR(AO849="",N(S849)=0),"",AO849/S849)</f>
        <v/>
      </c>
      <c r="AR849" s="33" t="str">
        <f aca="false">IF(A849="","",IF(COUNT(AF849:AJ849)=0,"",SUM(AF849:AJ849)))</f>
        <v/>
      </c>
      <c r="AS849" s="34" t="str">
        <f aca="false">IF(OR(AR849="",N(AO849)=0),"",AR849/AO849)</f>
        <v/>
      </c>
      <c r="AT849" s="34" t="str">
        <f aca="false">IF(OR(AR849="",N(AC849)=0),"",AR849/AC849)</f>
        <v/>
      </c>
      <c r="AU849" s="34" t="str">
        <f aca="false">IF(OR(AR849="",N(S849)=0),"",AR849/S849)</f>
        <v/>
      </c>
      <c r="AV849" s="34" t="str">
        <f aca="false">IF(OR(AJ849="",N(AC849)=0),"",AJ849/AC849)</f>
        <v/>
      </c>
      <c r="AW849" s="34" t="str">
        <f aca="false">IF(OR(AH849="",N(AO849)=0),"",AH849/AO849)</f>
        <v/>
      </c>
      <c r="AX849" s="35" t="str">
        <f aca="false">IF(OR(AR849="",N(AO849)=0),"",(N(AF849)*Settings!$B$6+N(AG849)*Settings!$B$7+N(AH849)*Settings!$B$8+N(AI849)*Settings!$B$9+N(AJ849)*Settings!$B$10)/AO849*1000)</f>
        <v/>
      </c>
      <c r="AY849" s="36" t="str">
        <f aca="false">IF(AS849="","",IFERROR(AS849/AVERAGEIFS('Post Tracker'!$AS$5:$AS$1004,'Post Tracker'!$G$5:$G$1004,G849),""))</f>
        <v/>
      </c>
      <c r="AZ849" s="32"/>
      <c r="BA849" s="32"/>
      <c r="BB849" s="32"/>
      <c r="BC849" s="32"/>
      <c r="BD849" s="33" t="str">
        <f aca="false">IF(A849="","",COUNTIFS('Demo Pipeline'!$Q$5:$Q$504,A849))</f>
        <v/>
      </c>
      <c r="BE849" s="33" t="str">
        <f aca="false">IF(A849="","",COUNTIFS('Demo Pipeline'!$Q$5:$Q$504,A849,'Demo Pipeline'!$W$5:$W$504,"Attended"))</f>
        <v/>
      </c>
      <c r="BF849" s="33" t="str">
        <f aca="false">IF(A849="","",COUNTIFS('Demo Pipeline'!$Q$5:$Q$504,A849,'Demo Pipeline'!$X$5:$X$504,"Yes"))</f>
        <v/>
      </c>
      <c r="BG849" s="33" t="str">
        <f aca="false">IF(A849="","",COUNTIFS('Demo Pipeline'!$Q$5:$Q$504,A849,'Demo Pipeline'!$Y$5:$Y$504,"Closed Won"))</f>
        <v/>
      </c>
      <c r="BH849" s="37" t="str">
        <f aca="false">IF(A849="","",SUMIFS('Demo Pipeline'!$Z$5:$Z$504,'Demo Pipeline'!$Q$5:$Q$504,A849))</f>
        <v/>
      </c>
      <c r="BI849" s="34" t="str">
        <f aca="false">IF(OR(AZ849="",N(AJ849)=0),"",AZ849/AJ849)</f>
        <v/>
      </c>
      <c r="BJ849" s="34" t="str">
        <f aca="false">IF(OR(BB849="",N(AZ849)=0),"",BB849/AZ849)</f>
        <v/>
      </c>
      <c r="BK849" s="34" t="str">
        <f aca="false">IF(OR(A849="",N(BB849)=0),"",BD849/BB849)</f>
        <v/>
      </c>
      <c r="BL849" s="34" t="str">
        <f aca="false">IF(OR(A849="",N(AZ849)=0),"",BD849/AZ849)</f>
        <v/>
      </c>
      <c r="BM849" s="37" t="str">
        <f aca="false">IF(OR(N(Q849)=0,N(BD849)=0),"",Q849/BD849)</f>
        <v/>
      </c>
      <c r="BN849" s="29"/>
      <c r="BO849" s="29"/>
      <c r="BP849" s="33" t="str">
        <f aca="false">IF(OR(AR849="",N(AO849)=0),"",AR849)</f>
        <v/>
      </c>
      <c r="BQ849" s="33" t="str">
        <f aca="false">IF(OR(AR849="",N(S849)=0),"",S849)</f>
        <v/>
      </c>
      <c r="BR849" s="38" t="str">
        <f aca="false">IF(AND(ISNUMBER(B849),B849&gt;=Dashboard!$C$4,B849&lt;=Dashboard!$F$4,ISNUMBER(AU849)),AU849+ROW()/10^9,"")</f>
        <v/>
      </c>
      <c r="BS849" s="38" t="str">
        <f aca="false">IF(AND(ISNUMBER(B849),B849&gt;=Dashboard!$C$4,B849&lt;=Dashboard!$F$4,A849&lt;&gt;""),N(BD849)+N(AU849)/100+ROW()/10^9,"")</f>
        <v/>
      </c>
    </row>
    <row r="850" customFormat="false" ht="15" hidden="false" customHeight="false" outlineLevel="0" collapsed="false">
      <c r="A850" s="24" t="str">
        <f aca="false">IF(OR(B850="",G850="",H850=""),"",IFERROR(INDEX(Settings!$E$5:$E$49,MATCH(G850,Settings!$D$5:$D$49,0))&amp;INDEX(Settings!$H$5:$H$47,MATCH(H850,Settings!$G$5:$G$47,0))&amp;"-"&amp;TEXT(B850,"yymmdd")&amp;"-"&amp;IF(C850="","0000",TEXT(C850,"hhmm")),"CHECK LISTS"))</f>
        <v/>
      </c>
      <c r="B850" s="39"/>
      <c r="C850" s="40"/>
      <c r="D850" s="24" t="str">
        <f aca="false">IF(B850="","",TEXT(B850,"ddd"))</f>
        <v/>
      </c>
      <c r="E850" s="27" t="str">
        <f aca="false">IF(B850="","",B850-WEEKDAY(B850,3))</f>
        <v/>
      </c>
      <c r="F850" s="24" t="str">
        <f aca="false">IF(B850="","",TEXT(B850,"yyyy-mm"))</f>
        <v/>
      </c>
      <c r="G850" s="29"/>
      <c r="H850" s="29"/>
      <c r="I850" s="29"/>
      <c r="J850" s="29"/>
      <c r="K850" s="29"/>
      <c r="L850" s="29"/>
      <c r="M850" s="29"/>
      <c r="N850" s="29"/>
      <c r="O850" s="29"/>
      <c r="P850" s="29"/>
      <c r="Q850" s="30"/>
      <c r="R850" s="29"/>
      <c r="S850" s="32"/>
      <c r="T850" s="29"/>
      <c r="U850" s="29"/>
      <c r="V850" s="24" t="str">
        <f aca="false">IF(A850="","",IFERROR(INDEX(Settings!$F$5:$F$49,MATCH(G850,Settings!$D$5:$D$49,0)),""))</f>
        <v/>
      </c>
      <c r="W850" s="24" t="str">
        <f aca="false">IF(A850="","",IF(OR(P850="",P850="Organic"),"social","paid_social"))</f>
        <v/>
      </c>
      <c r="X850" s="24" t="str">
        <f aca="false">IF(A850="","",IF(K850&lt;&gt;"",IFERROR(INDEX('Case Studies'!$C$5:$C$54,MATCH(K850,'Case Studies'!$B$5:$B$54,0))&amp;"","case-study"),IF(J850&lt;&gt;"",IFERROR(INDEX(Settings!$J$5:$J$55,MATCH(J850,Settings!$I$5:$I$55,0)),"general"),"general")))</f>
        <v/>
      </c>
      <c r="Y850" s="24" t="str">
        <f aca="false">IF(A850="","",LOWER(A850))</f>
        <v/>
      </c>
      <c r="Z850" s="24" t="str">
        <f aca="false">IF(A850="","",IF(T850="",Settings!$B$5,T850)&amp;IF(ISNUMBER(FIND("?",IF(T850="",Settings!$B$5,T850))),"&amp;","?")&amp;"utm_source="&amp;V850&amp;"&amp;utm_medium="&amp;W850&amp;"&amp;utm_campaign="&amp;X850&amp;"&amp;utm_content="&amp;Y850)</f>
        <v/>
      </c>
      <c r="AA850" s="29"/>
      <c r="AB850" s="39"/>
      <c r="AC850" s="32"/>
      <c r="AD850" s="32"/>
      <c r="AE850" s="32"/>
      <c r="AF850" s="32"/>
      <c r="AG850" s="32"/>
      <c r="AH850" s="32"/>
      <c r="AI850" s="32"/>
      <c r="AJ850" s="32"/>
      <c r="AK850" s="32"/>
      <c r="AL850" s="32"/>
      <c r="AM850" s="32"/>
      <c r="AN850" s="32"/>
      <c r="AO850" s="33" t="str">
        <f aca="false">IF(A850="","",IF(AD850&lt;&gt;"",AD850,IF(AC850&lt;&gt;"",AC850,"")))</f>
        <v/>
      </c>
      <c r="AP850" s="24" t="str">
        <f aca="false">IF(AO850="","",IF(AD850&lt;&gt;"","Reported reach","Impressions (proxy)"))</f>
        <v/>
      </c>
      <c r="AQ850" s="34" t="str">
        <f aca="false">IF(OR(AO850="",N(S850)=0),"",AO850/S850)</f>
        <v/>
      </c>
      <c r="AR850" s="33" t="str">
        <f aca="false">IF(A850="","",IF(COUNT(AF850:AJ850)=0,"",SUM(AF850:AJ850)))</f>
        <v/>
      </c>
      <c r="AS850" s="34" t="str">
        <f aca="false">IF(OR(AR850="",N(AO850)=0),"",AR850/AO850)</f>
        <v/>
      </c>
      <c r="AT850" s="34" t="str">
        <f aca="false">IF(OR(AR850="",N(AC850)=0),"",AR850/AC850)</f>
        <v/>
      </c>
      <c r="AU850" s="34" t="str">
        <f aca="false">IF(OR(AR850="",N(S850)=0),"",AR850/S850)</f>
        <v/>
      </c>
      <c r="AV850" s="34" t="str">
        <f aca="false">IF(OR(AJ850="",N(AC850)=0),"",AJ850/AC850)</f>
        <v/>
      </c>
      <c r="AW850" s="34" t="str">
        <f aca="false">IF(OR(AH850="",N(AO850)=0),"",AH850/AO850)</f>
        <v/>
      </c>
      <c r="AX850" s="35" t="str">
        <f aca="false">IF(OR(AR850="",N(AO850)=0),"",(N(AF850)*Settings!$B$6+N(AG850)*Settings!$B$7+N(AH850)*Settings!$B$8+N(AI850)*Settings!$B$9+N(AJ850)*Settings!$B$10)/AO850*1000)</f>
        <v/>
      </c>
      <c r="AY850" s="36" t="str">
        <f aca="false">IF(AS850="","",IFERROR(AS850/AVERAGEIFS('Post Tracker'!$AS$5:$AS$1004,'Post Tracker'!$G$5:$G$1004,G850),""))</f>
        <v/>
      </c>
      <c r="AZ850" s="32"/>
      <c r="BA850" s="32"/>
      <c r="BB850" s="32"/>
      <c r="BC850" s="32"/>
      <c r="BD850" s="33" t="str">
        <f aca="false">IF(A850="","",COUNTIFS('Demo Pipeline'!$Q$5:$Q$504,A850))</f>
        <v/>
      </c>
      <c r="BE850" s="33" t="str">
        <f aca="false">IF(A850="","",COUNTIFS('Demo Pipeline'!$Q$5:$Q$504,A850,'Demo Pipeline'!$W$5:$W$504,"Attended"))</f>
        <v/>
      </c>
      <c r="BF850" s="33" t="str">
        <f aca="false">IF(A850="","",COUNTIFS('Demo Pipeline'!$Q$5:$Q$504,A850,'Demo Pipeline'!$X$5:$X$504,"Yes"))</f>
        <v/>
      </c>
      <c r="BG850" s="33" t="str">
        <f aca="false">IF(A850="","",COUNTIFS('Demo Pipeline'!$Q$5:$Q$504,A850,'Demo Pipeline'!$Y$5:$Y$504,"Closed Won"))</f>
        <v/>
      </c>
      <c r="BH850" s="37" t="str">
        <f aca="false">IF(A850="","",SUMIFS('Demo Pipeline'!$Z$5:$Z$504,'Demo Pipeline'!$Q$5:$Q$504,A850))</f>
        <v/>
      </c>
      <c r="BI850" s="34" t="str">
        <f aca="false">IF(OR(AZ850="",N(AJ850)=0),"",AZ850/AJ850)</f>
        <v/>
      </c>
      <c r="BJ850" s="34" t="str">
        <f aca="false">IF(OR(BB850="",N(AZ850)=0),"",BB850/AZ850)</f>
        <v/>
      </c>
      <c r="BK850" s="34" t="str">
        <f aca="false">IF(OR(A850="",N(BB850)=0),"",BD850/BB850)</f>
        <v/>
      </c>
      <c r="BL850" s="34" t="str">
        <f aca="false">IF(OR(A850="",N(AZ850)=0),"",BD850/AZ850)</f>
        <v/>
      </c>
      <c r="BM850" s="37" t="str">
        <f aca="false">IF(OR(N(Q850)=0,N(BD850)=0),"",Q850/BD850)</f>
        <v/>
      </c>
      <c r="BN850" s="29"/>
      <c r="BO850" s="29"/>
      <c r="BP850" s="33" t="str">
        <f aca="false">IF(OR(AR850="",N(AO850)=0),"",AR850)</f>
        <v/>
      </c>
      <c r="BQ850" s="33" t="str">
        <f aca="false">IF(OR(AR850="",N(S850)=0),"",S850)</f>
        <v/>
      </c>
      <c r="BR850" s="38" t="str">
        <f aca="false">IF(AND(ISNUMBER(B850),B850&gt;=Dashboard!$C$4,B850&lt;=Dashboard!$F$4,ISNUMBER(AU850)),AU850+ROW()/10^9,"")</f>
        <v/>
      </c>
      <c r="BS850" s="38" t="str">
        <f aca="false">IF(AND(ISNUMBER(B850),B850&gt;=Dashboard!$C$4,B850&lt;=Dashboard!$F$4,A850&lt;&gt;""),N(BD850)+N(AU850)/100+ROW()/10^9,"")</f>
        <v/>
      </c>
    </row>
    <row r="851" customFormat="false" ht="15" hidden="false" customHeight="false" outlineLevel="0" collapsed="false">
      <c r="A851" s="24" t="str">
        <f aca="false">IF(OR(B851="",G851="",H851=""),"",IFERROR(INDEX(Settings!$E$5:$E$49,MATCH(G851,Settings!$D$5:$D$49,0))&amp;INDEX(Settings!$H$5:$H$47,MATCH(H851,Settings!$G$5:$G$47,0))&amp;"-"&amp;TEXT(B851,"yymmdd")&amp;"-"&amp;IF(C851="","0000",TEXT(C851,"hhmm")),"CHECK LISTS"))</f>
        <v/>
      </c>
      <c r="B851" s="39"/>
      <c r="C851" s="40"/>
      <c r="D851" s="24" t="str">
        <f aca="false">IF(B851="","",TEXT(B851,"ddd"))</f>
        <v/>
      </c>
      <c r="E851" s="27" t="str">
        <f aca="false">IF(B851="","",B851-WEEKDAY(B851,3))</f>
        <v/>
      </c>
      <c r="F851" s="24" t="str">
        <f aca="false">IF(B851="","",TEXT(B851,"yyyy-mm"))</f>
        <v/>
      </c>
      <c r="G851" s="29"/>
      <c r="H851" s="29"/>
      <c r="I851" s="29"/>
      <c r="J851" s="29"/>
      <c r="K851" s="29"/>
      <c r="L851" s="29"/>
      <c r="M851" s="29"/>
      <c r="N851" s="29"/>
      <c r="O851" s="29"/>
      <c r="P851" s="29"/>
      <c r="Q851" s="30"/>
      <c r="R851" s="29"/>
      <c r="S851" s="32"/>
      <c r="T851" s="29"/>
      <c r="U851" s="29"/>
      <c r="V851" s="24" t="str">
        <f aca="false">IF(A851="","",IFERROR(INDEX(Settings!$F$5:$F$49,MATCH(G851,Settings!$D$5:$D$49,0)),""))</f>
        <v/>
      </c>
      <c r="W851" s="24" t="str">
        <f aca="false">IF(A851="","",IF(OR(P851="",P851="Organic"),"social","paid_social"))</f>
        <v/>
      </c>
      <c r="X851" s="24" t="str">
        <f aca="false">IF(A851="","",IF(K851&lt;&gt;"",IFERROR(INDEX('Case Studies'!$C$5:$C$54,MATCH(K851,'Case Studies'!$B$5:$B$54,0))&amp;"","case-study"),IF(J851&lt;&gt;"",IFERROR(INDEX(Settings!$J$5:$J$55,MATCH(J851,Settings!$I$5:$I$55,0)),"general"),"general")))</f>
        <v/>
      </c>
      <c r="Y851" s="24" t="str">
        <f aca="false">IF(A851="","",LOWER(A851))</f>
        <v/>
      </c>
      <c r="Z851" s="24" t="str">
        <f aca="false">IF(A851="","",IF(T851="",Settings!$B$5,T851)&amp;IF(ISNUMBER(FIND("?",IF(T851="",Settings!$B$5,T851))),"&amp;","?")&amp;"utm_source="&amp;V851&amp;"&amp;utm_medium="&amp;W851&amp;"&amp;utm_campaign="&amp;X851&amp;"&amp;utm_content="&amp;Y851)</f>
        <v/>
      </c>
      <c r="AA851" s="29"/>
      <c r="AB851" s="39"/>
      <c r="AC851" s="32"/>
      <c r="AD851" s="32"/>
      <c r="AE851" s="32"/>
      <c r="AF851" s="32"/>
      <c r="AG851" s="32"/>
      <c r="AH851" s="32"/>
      <c r="AI851" s="32"/>
      <c r="AJ851" s="32"/>
      <c r="AK851" s="32"/>
      <c r="AL851" s="32"/>
      <c r="AM851" s="32"/>
      <c r="AN851" s="32"/>
      <c r="AO851" s="33" t="str">
        <f aca="false">IF(A851="","",IF(AD851&lt;&gt;"",AD851,IF(AC851&lt;&gt;"",AC851,"")))</f>
        <v/>
      </c>
      <c r="AP851" s="24" t="str">
        <f aca="false">IF(AO851="","",IF(AD851&lt;&gt;"","Reported reach","Impressions (proxy)"))</f>
        <v/>
      </c>
      <c r="AQ851" s="34" t="str">
        <f aca="false">IF(OR(AO851="",N(S851)=0),"",AO851/S851)</f>
        <v/>
      </c>
      <c r="AR851" s="33" t="str">
        <f aca="false">IF(A851="","",IF(COUNT(AF851:AJ851)=0,"",SUM(AF851:AJ851)))</f>
        <v/>
      </c>
      <c r="AS851" s="34" t="str">
        <f aca="false">IF(OR(AR851="",N(AO851)=0),"",AR851/AO851)</f>
        <v/>
      </c>
      <c r="AT851" s="34" t="str">
        <f aca="false">IF(OR(AR851="",N(AC851)=0),"",AR851/AC851)</f>
        <v/>
      </c>
      <c r="AU851" s="34" t="str">
        <f aca="false">IF(OR(AR851="",N(S851)=0),"",AR851/S851)</f>
        <v/>
      </c>
      <c r="AV851" s="34" t="str">
        <f aca="false">IF(OR(AJ851="",N(AC851)=0),"",AJ851/AC851)</f>
        <v/>
      </c>
      <c r="AW851" s="34" t="str">
        <f aca="false">IF(OR(AH851="",N(AO851)=0),"",AH851/AO851)</f>
        <v/>
      </c>
      <c r="AX851" s="35" t="str">
        <f aca="false">IF(OR(AR851="",N(AO851)=0),"",(N(AF851)*Settings!$B$6+N(AG851)*Settings!$B$7+N(AH851)*Settings!$B$8+N(AI851)*Settings!$B$9+N(AJ851)*Settings!$B$10)/AO851*1000)</f>
        <v/>
      </c>
      <c r="AY851" s="36" t="str">
        <f aca="false">IF(AS851="","",IFERROR(AS851/AVERAGEIFS('Post Tracker'!$AS$5:$AS$1004,'Post Tracker'!$G$5:$G$1004,G851),""))</f>
        <v/>
      </c>
      <c r="AZ851" s="32"/>
      <c r="BA851" s="32"/>
      <c r="BB851" s="32"/>
      <c r="BC851" s="32"/>
      <c r="BD851" s="33" t="str">
        <f aca="false">IF(A851="","",COUNTIFS('Demo Pipeline'!$Q$5:$Q$504,A851))</f>
        <v/>
      </c>
      <c r="BE851" s="33" t="str">
        <f aca="false">IF(A851="","",COUNTIFS('Demo Pipeline'!$Q$5:$Q$504,A851,'Demo Pipeline'!$W$5:$W$504,"Attended"))</f>
        <v/>
      </c>
      <c r="BF851" s="33" t="str">
        <f aca="false">IF(A851="","",COUNTIFS('Demo Pipeline'!$Q$5:$Q$504,A851,'Demo Pipeline'!$X$5:$X$504,"Yes"))</f>
        <v/>
      </c>
      <c r="BG851" s="33" t="str">
        <f aca="false">IF(A851="","",COUNTIFS('Demo Pipeline'!$Q$5:$Q$504,A851,'Demo Pipeline'!$Y$5:$Y$504,"Closed Won"))</f>
        <v/>
      </c>
      <c r="BH851" s="37" t="str">
        <f aca="false">IF(A851="","",SUMIFS('Demo Pipeline'!$Z$5:$Z$504,'Demo Pipeline'!$Q$5:$Q$504,A851))</f>
        <v/>
      </c>
      <c r="BI851" s="34" t="str">
        <f aca="false">IF(OR(AZ851="",N(AJ851)=0),"",AZ851/AJ851)</f>
        <v/>
      </c>
      <c r="BJ851" s="34" t="str">
        <f aca="false">IF(OR(BB851="",N(AZ851)=0),"",BB851/AZ851)</f>
        <v/>
      </c>
      <c r="BK851" s="34" t="str">
        <f aca="false">IF(OR(A851="",N(BB851)=0),"",BD851/BB851)</f>
        <v/>
      </c>
      <c r="BL851" s="34" t="str">
        <f aca="false">IF(OR(A851="",N(AZ851)=0),"",BD851/AZ851)</f>
        <v/>
      </c>
      <c r="BM851" s="37" t="str">
        <f aca="false">IF(OR(N(Q851)=0,N(BD851)=0),"",Q851/BD851)</f>
        <v/>
      </c>
      <c r="BN851" s="29"/>
      <c r="BO851" s="29"/>
      <c r="BP851" s="33" t="str">
        <f aca="false">IF(OR(AR851="",N(AO851)=0),"",AR851)</f>
        <v/>
      </c>
      <c r="BQ851" s="33" t="str">
        <f aca="false">IF(OR(AR851="",N(S851)=0),"",S851)</f>
        <v/>
      </c>
      <c r="BR851" s="38" t="str">
        <f aca="false">IF(AND(ISNUMBER(B851),B851&gt;=Dashboard!$C$4,B851&lt;=Dashboard!$F$4,ISNUMBER(AU851)),AU851+ROW()/10^9,"")</f>
        <v/>
      </c>
      <c r="BS851" s="38" t="str">
        <f aca="false">IF(AND(ISNUMBER(B851),B851&gt;=Dashboard!$C$4,B851&lt;=Dashboard!$F$4,A851&lt;&gt;""),N(BD851)+N(AU851)/100+ROW()/10^9,"")</f>
        <v/>
      </c>
    </row>
    <row r="852" customFormat="false" ht="15" hidden="false" customHeight="false" outlineLevel="0" collapsed="false">
      <c r="A852" s="24" t="str">
        <f aca="false">IF(OR(B852="",G852="",H852=""),"",IFERROR(INDEX(Settings!$E$5:$E$49,MATCH(G852,Settings!$D$5:$D$49,0))&amp;INDEX(Settings!$H$5:$H$47,MATCH(H852,Settings!$G$5:$G$47,0))&amp;"-"&amp;TEXT(B852,"yymmdd")&amp;"-"&amp;IF(C852="","0000",TEXT(C852,"hhmm")),"CHECK LISTS"))</f>
        <v/>
      </c>
      <c r="B852" s="39"/>
      <c r="C852" s="40"/>
      <c r="D852" s="24" t="str">
        <f aca="false">IF(B852="","",TEXT(B852,"ddd"))</f>
        <v/>
      </c>
      <c r="E852" s="27" t="str">
        <f aca="false">IF(B852="","",B852-WEEKDAY(B852,3))</f>
        <v/>
      </c>
      <c r="F852" s="24" t="str">
        <f aca="false">IF(B852="","",TEXT(B852,"yyyy-mm"))</f>
        <v/>
      </c>
      <c r="G852" s="29"/>
      <c r="H852" s="29"/>
      <c r="I852" s="29"/>
      <c r="J852" s="29"/>
      <c r="K852" s="29"/>
      <c r="L852" s="29"/>
      <c r="M852" s="29"/>
      <c r="N852" s="29"/>
      <c r="O852" s="29"/>
      <c r="P852" s="29"/>
      <c r="Q852" s="30"/>
      <c r="R852" s="29"/>
      <c r="S852" s="32"/>
      <c r="T852" s="29"/>
      <c r="U852" s="29"/>
      <c r="V852" s="24" t="str">
        <f aca="false">IF(A852="","",IFERROR(INDEX(Settings!$F$5:$F$49,MATCH(G852,Settings!$D$5:$D$49,0)),""))</f>
        <v/>
      </c>
      <c r="W852" s="24" t="str">
        <f aca="false">IF(A852="","",IF(OR(P852="",P852="Organic"),"social","paid_social"))</f>
        <v/>
      </c>
      <c r="X852" s="24" t="str">
        <f aca="false">IF(A852="","",IF(K852&lt;&gt;"",IFERROR(INDEX('Case Studies'!$C$5:$C$54,MATCH(K852,'Case Studies'!$B$5:$B$54,0))&amp;"","case-study"),IF(J852&lt;&gt;"",IFERROR(INDEX(Settings!$J$5:$J$55,MATCH(J852,Settings!$I$5:$I$55,0)),"general"),"general")))</f>
        <v/>
      </c>
      <c r="Y852" s="24" t="str">
        <f aca="false">IF(A852="","",LOWER(A852))</f>
        <v/>
      </c>
      <c r="Z852" s="24" t="str">
        <f aca="false">IF(A852="","",IF(T852="",Settings!$B$5,T852)&amp;IF(ISNUMBER(FIND("?",IF(T852="",Settings!$B$5,T852))),"&amp;","?")&amp;"utm_source="&amp;V852&amp;"&amp;utm_medium="&amp;W852&amp;"&amp;utm_campaign="&amp;X852&amp;"&amp;utm_content="&amp;Y852)</f>
        <v/>
      </c>
      <c r="AA852" s="29"/>
      <c r="AB852" s="39"/>
      <c r="AC852" s="32"/>
      <c r="AD852" s="32"/>
      <c r="AE852" s="32"/>
      <c r="AF852" s="32"/>
      <c r="AG852" s="32"/>
      <c r="AH852" s="32"/>
      <c r="AI852" s="32"/>
      <c r="AJ852" s="32"/>
      <c r="AK852" s="32"/>
      <c r="AL852" s="32"/>
      <c r="AM852" s="32"/>
      <c r="AN852" s="32"/>
      <c r="AO852" s="33" t="str">
        <f aca="false">IF(A852="","",IF(AD852&lt;&gt;"",AD852,IF(AC852&lt;&gt;"",AC852,"")))</f>
        <v/>
      </c>
      <c r="AP852" s="24" t="str">
        <f aca="false">IF(AO852="","",IF(AD852&lt;&gt;"","Reported reach","Impressions (proxy)"))</f>
        <v/>
      </c>
      <c r="AQ852" s="34" t="str">
        <f aca="false">IF(OR(AO852="",N(S852)=0),"",AO852/S852)</f>
        <v/>
      </c>
      <c r="AR852" s="33" t="str">
        <f aca="false">IF(A852="","",IF(COUNT(AF852:AJ852)=0,"",SUM(AF852:AJ852)))</f>
        <v/>
      </c>
      <c r="AS852" s="34" t="str">
        <f aca="false">IF(OR(AR852="",N(AO852)=0),"",AR852/AO852)</f>
        <v/>
      </c>
      <c r="AT852" s="34" t="str">
        <f aca="false">IF(OR(AR852="",N(AC852)=0),"",AR852/AC852)</f>
        <v/>
      </c>
      <c r="AU852" s="34" t="str">
        <f aca="false">IF(OR(AR852="",N(S852)=0),"",AR852/S852)</f>
        <v/>
      </c>
      <c r="AV852" s="34" t="str">
        <f aca="false">IF(OR(AJ852="",N(AC852)=0),"",AJ852/AC852)</f>
        <v/>
      </c>
      <c r="AW852" s="34" t="str">
        <f aca="false">IF(OR(AH852="",N(AO852)=0),"",AH852/AO852)</f>
        <v/>
      </c>
      <c r="AX852" s="35" t="str">
        <f aca="false">IF(OR(AR852="",N(AO852)=0),"",(N(AF852)*Settings!$B$6+N(AG852)*Settings!$B$7+N(AH852)*Settings!$B$8+N(AI852)*Settings!$B$9+N(AJ852)*Settings!$B$10)/AO852*1000)</f>
        <v/>
      </c>
      <c r="AY852" s="36" t="str">
        <f aca="false">IF(AS852="","",IFERROR(AS852/AVERAGEIFS('Post Tracker'!$AS$5:$AS$1004,'Post Tracker'!$G$5:$G$1004,G852),""))</f>
        <v/>
      </c>
      <c r="AZ852" s="32"/>
      <c r="BA852" s="32"/>
      <c r="BB852" s="32"/>
      <c r="BC852" s="32"/>
      <c r="BD852" s="33" t="str">
        <f aca="false">IF(A852="","",COUNTIFS('Demo Pipeline'!$Q$5:$Q$504,A852))</f>
        <v/>
      </c>
      <c r="BE852" s="33" t="str">
        <f aca="false">IF(A852="","",COUNTIFS('Demo Pipeline'!$Q$5:$Q$504,A852,'Demo Pipeline'!$W$5:$W$504,"Attended"))</f>
        <v/>
      </c>
      <c r="BF852" s="33" t="str">
        <f aca="false">IF(A852="","",COUNTIFS('Demo Pipeline'!$Q$5:$Q$504,A852,'Demo Pipeline'!$X$5:$X$504,"Yes"))</f>
        <v/>
      </c>
      <c r="BG852" s="33" t="str">
        <f aca="false">IF(A852="","",COUNTIFS('Demo Pipeline'!$Q$5:$Q$504,A852,'Demo Pipeline'!$Y$5:$Y$504,"Closed Won"))</f>
        <v/>
      </c>
      <c r="BH852" s="37" t="str">
        <f aca="false">IF(A852="","",SUMIFS('Demo Pipeline'!$Z$5:$Z$504,'Demo Pipeline'!$Q$5:$Q$504,A852))</f>
        <v/>
      </c>
      <c r="BI852" s="34" t="str">
        <f aca="false">IF(OR(AZ852="",N(AJ852)=0),"",AZ852/AJ852)</f>
        <v/>
      </c>
      <c r="BJ852" s="34" t="str">
        <f aca="false">IF(OR(BB852="",N(AZ852)=0),"",BB852/AZ852)</f>
        <v/>
      </c>
      <c r="BK852" s="34" t="str">
        <f aca="false">IF(OR(A852="",N(BB852)=0),"",BD852/BB852)</f>
        <v/>
      </c>
      <c r="BL852" s="34" t="str">
        <f aca="false">IF(OR(A852="",N(AZ852)=0),"",BD852/AZ852)</f>
        <v/>
      </c>
      <c r="BM852" s="37" t="str">
        <f aca="false">IF(OR(N(Q852)=0,N(BD852)=0),"",Q852/BD852)</f>
        <v/>
      </c>
      <c r="BN852" s="29"/>
      <c r="BO852" s="29"/>
      <c r="BP852" s="33" t="str">
        <f aca="false">IF(OR(AR852="",N(AO852)=0),"",AR852)</f>
        <v/>
      </c>
      <c r="BQ852" s="33" t="str">
        <f aca="false">IF(OR(AR852="",N(S852)=0),"",S852)</f>
        <v/>
      </c>
      <c r="BR852" s="38" t="str">
        <f aca="false">IF(AND(ISNUMBER(B852),B852&gt;=Dashboard!$C$4,B852&lt;=Dashboard!$F$4,ISNUMBER(AU852)),AU852+ROW()/10^9,"")</f>
        <v/>
      </c>
      <c r="BS852" s="38" t="str">
        <f aca="false">IF(AND(ISNUMBER(B852),B852&gt;=Dashboard!$C$4,B852&lt;=Dashboard!$F$4,A852&lt;&gt;""),N(BD852)+N(AU852)/100+ROW()/10^9,"")</f>
        <v/>
      </c>
    </row>
    <row r="853" customFormat="false" ht="15" hidden="false" customHeight="false" outlineLevel="0" collapsed="false">
      <c r="A853" s="24" t="str">
        <f aca="false">IF(OR(B853="",G853="",H853=""),"",IFERROR(INDEX(Settings!$E$5:$E$49,MATCH(G853,Settings!$D$5:$D$49,0))&amp;INDEX(Settings!$H$5:$H$47,MATCH(H853,Settings!$G$5:$G$47,0))&amp;"-"&amp;TEXT(B853,"yymmdd")&amp;"-"&amp;IF(C853="","0000",TEXT(C853,"hhmm")),"CHECK LISTS"))</f>
        <v/>
      </c>
      <c r="B853" s="39"/>
      <c r="C853" s="40"/>
      <c r="D853" s="24" t="str">
        <f aca="false">IF(B853="","",TEXT(B853,"ddd"))</f>
        <v/>
      </c>
      <c r="E853" s="27" t="str">
        <f aca="false">IF(B853="","",B853-WEEKDAY(B853,3))</f>
        <v/>
      </c>
      <c r="F853" s="24" t="str">
        <f aca="false">IF(B853="","",TEXT(B853,"yyyy-mm"))</f>
        <v/>
      </c>
      <c r="G853" s="29"/>
      <c r="H853" s="29"/>
      <c r="I853" s="29"/>
      <c r="J853" s="29"/>
      <c r="K853" s="29"/>
      <c r="L853" s="29"/>
      <c r="M853" s="29"/>
      <c r="N853" s="29"/>
      <c r="O853" s="29"/>
      <c r="P853" s="29"/>
      <c r="Q853" s="30"/>
      <c r="R853" s="29"/>
      <c r="S853" s="32"/>
      <c r="T853" s="29"/>
      <c r="U853" s="29"/>
      <c r="V853" s="24" t="str">
        <f aca="false">IF(A853="","",IFERROR(INDEX(Settings!$F$5:$F$49,MATCH(G853,Settings!$D$5:$D$49,0)),""))</f>
        <v/>
      </c>
      <c r="W853" s="24" t="str">
        <f aca="false">IF(A853="","",IF(OR(P853="",P853="Organic"),"social","paid_social"))</f>
        <v/>
      </c>
      <c r="X853" s="24" t="str">
        <f aca="false">IF(A853="","",IF(K853&lt;&gt;"",IFERROR(INDEX('Case Studies'!$C$5:$C$54,MATCH(K853,'Case Studies'!$B$5:$B$54,0))&amp;"","case-study"),IF(J853&lt;&gt;"",IFERROR(INDEX(Settings!$J$5:$J$55,MATCH(J853,Settings!$I$5:$I$55,0)),"general"),"general")))</f>
        <v/>
      </c>
      <c r="Y853" s="24" t="str">
        <f aca="false">IF(A853="","",LOWER(A853))</f>
        <v/>
      </c>
      <c r="Z853" s="24" t="str">
        <f aca="false">IF(A853="","",IF(T853="",Settings!$B$5,T853)&amp;IF(ISNUMBER(FIND("?",IF(T853="",Settings!$B$5,T853))),"&amp;","?")&amp;"utm_source="&amp;V853&amp;"&amp;utm_medium="&amp;W853&amp;"&amp;utm_campaign="&amp;X853&amp;"&amp;utm_content="&amp;Y853)</f>
        <v/>
      </c>
      <c r="AA853" s="29"/>
      <c r="AB853" s="39"/>
      <c r="AC853" s="32"/>
      <c r="AD853" s="32"/>
      <c r="AE853" s="32"/>
      <c r="AF853" s="32"/>
      <c r="AG853" s="32"/>
      <c r="AH853" s="32"/>
      <c r="AI853" s="32"/>
      <c r="AJ853" s="32"/>
      <c r="AK853" s="32"/>
      <c r="AL853" s="32"/>
      <c r="AM853" s="32"/>
      <c r="AN853" s="32"/>
      <c r="AO853" s="33" t="str">
        <f aca="false">IF(A853="","",IF(AD853&lt;&gt;"",AD853,IF(AC853&lt;&gt;"",AC853,"")))</f>
        <v/>
      </c>
      <c r="AP853" s="24" t="str">
        <f aca="false">IF(AO853="","",IF(AD853&lt;&gt;"","Reported reach","Impressions (proxy)"))</f>
        <v/>
      </c>
      <c r="AQ853" s="34" t="str">
        <f aca="false">IF(OR(AO853="",N(S853)=0),"",AO853/S853)</f>
        <v/>
      </c>
      <c r="AR853" s="33" t="str">
        <f aca="false">IF(A853="","",IF(COUNT(AF853:AJ853)=0,"",SUM(AF853:AJ853)))</f>
        <v/>
      </c>
      <c r="AS853" s="34" t="str">
        <f aca="false">IF(OR(AR853="",N(AO853)=0),"",AR853/AO853)</f>
        <v/>
      </c>
      <c r="AT853" s="34" t="str">
        <f aca="false">IF(OR(AR853="",N(AC853)=0),"",AR853/AC853)</f>
        <v/>
      </c>
      <c r="AU853" s="34" t="str">
        <f aca="false">IF(OR(AR853="",N(S853)=0),"",AR853/S853)</f>
        <v/>
      </c>
      <c r="AV853" s="34" t="str">
        <f aca="false">IF(OR(AJ853="",N(AC853)=0),"",AJ853/AC853)</f>
        <v/>
      </c>
      <c r="AW853" s="34" t="str">
        <f aca="false">IF(OR(AH853="",N(AO853)=0),"",AH853/AO853)</f>
        <v/>
      </c>
      <c r="AX853" s="35" t="str">
        <f aca="false">IF(OR(AR853="",N(AO853)=0),"",(N(AF853)*Settings!$B$6+N(AG853)*Settings!$B$7+N(AH853)*Settings!$B$8+N(AI853)*Settings!$B$9+N(AJ853)*Settings!$B$10)/AO853*1000)</f>
        <v/>
      </c>
      <c r="AY853" s="36" t="str">
        <f aca="false">IF(AS853="","",IFERROR(AS853/AVERAGEIFS('Post Tracker'!$AS$5:$AS$1004,'Post Tracker'!$G$5:$G$1004,G853),""))</f>
        <v/>
      </c>
      <c r="AZ853" s="32"/>
      <c r="BA853" s="32"/>
      <c r="BB853" s="32"/>
      <c r="BC853" s="32"/>
      <c r="BD853" s="33" t="str">
        <f aca="false">IF(A853="","",COUNTIFS('Demo Pipeline'!$Q$5:$Q$504,A853))</f>
        <v/>
      </c>
      <c r="BE853" s="33" t="str">
        <f aca="false">IF(A853="","",COUNTIFS('Demo Pipeline'!$Q$5:$Q$504,A853,'Demo Pipeline'!$W$5:$W$504,"Attended"))</f>
        <v/>
      </c>
      <c r="BF853" s="33" t="str">
        <f aca="false">IF(A853="","",COUNTIFS('Demo Pipeline'!$Q$5:$Q$504,A853,'Demo Pipeline'!$X$5:$X$504,"Yes"))</f>
        <v/>
      </c>
      <c r="BG853" s="33" t="str">
        <f aca="false">IF(A853="","",COUNTIFS('Demo Pipeline'!$Q$5:$Q$504,A853,'Demo Pipeline'!$Y$5:$Y$504,"Closed Won"))</f>
        <v/>
      </c>
      <c r="BH853" s="37" t="str">
        <f aca="false">IF(A853="","",SUMIFS('Demo Pipeline'!$Z$5:$Z$504,'Demo Pipeline'!$Q$5:$Q$504,A853))</f>
        <v/>
      </c>
      <c r="BI853" s="34" t="str">
        <f aca="false">IF(OR(AZ853="",N(AJ853)=0),"",AZ853/AJ853)</f>
        <v/>
      </c>
      <c r="BJ853" s="34" t="str">
        <f aca="false">IF(OR(BB853="",N(AZ853)=0),"",BB853/AZ853)</f>
        <v/>
      </c>
      <c r="BK853" s="34" t="str">
        <f aca="false">IF(OR(A853="",N(BB853)=0),"",BD853/BB853)</f>
        <v/>
      </c>
      <c r="BL853" s="34" t="str">
        <f aca="false">IF(OR(A853="",N(AZ853)=0),"",BD853/AZ853)</f>
        <v/>
      </c>
      <c r="BM853" s="37" t="str">
        <f aca="false">IF(OR(N(Q853)=0,N(BD853)=0),"",Q853/BD853)</f>
        <v/>
      </c>
      <c r="BN853" s="29"/>
      <c r="BO853" s="29"/>
      <c r="BP853" s="33" t="str">
        <f aca="false">IF(OR(AR853="",N(AO853)=0),"",AR853)</f>
        <v/>
      </c>
      <c r="BQ853" s="33" t="str">
        <f aca="false">IF(OR(AR853="",N(S853)=0),"",S853)</f>
        <v/>
      </c>
      <c r="BR853" s="38" t="str">
        <f aca="false">IF(AND(ISNUMBER(B853),B853&gt;=Dashboard!$C$4,B853&lt;=Dashboard!$F$4,ISNUMBER(AU853)),AU853+ROW()/10^9,"")</f>
        <v/>
      </c>
      <c r="BS853" s="38" t="str">
        <f aca="false">IF(AND(ISNUMBER(B853),B853&gt;=Dashboard!$C$4,B853&lt;=Dashboard!$F$4,A853&lt;&gt;""),N(BD853)+N(AU853)/100+ROW()/10^9,"")</f>
        <v/>
      </c>
    </row>
    <row r="854" customFormat="false" ht="15" hidden="false" customHeight="false" outlineLevel="0" collapsed="false">
      <c r="A854" s="24" t="str">
        <f aca="false">IF(OR(B854="",G854="",H854=""),"",IFERROR(INDEX(Settings!$E$5:$E$49,MATCH(G854,Settings!$D$5:$D$49,0))&amp;INDEX(Settings!$H$5:$H$47,MATCH(H854,Settings!$G$5:$G$47,0))&amp;"-"&amp;TEXT(B854,"yymmdd")&amp;"-"&amp;IF(C854="","0000",TEXT(C854,"hhmm")),"CHECK LISTS"))</f>
        <v/>
      </c>
      <c r="B854" s="39"/>
      <c r="C854" s="40"/>
      <c r="D854" s="24" t="str">
        <f aca="false">IF(B854="","",TEXT(B854,"ddd"))</f>
        <v/>
      </c>
      <c r="E854" s="27" t="str">
        <f aca="false">IF(B854="","",B854-WEEKDAY(B854,3))</f>
        <v/>
      </c>
      <c r="F854" s="24" t="str">
        <f aca="false">IF(B854="","",TEXT(B854,"yyyy-mm"))</f>
        <v/>
      </c>
      <c r="G854" s="29"/>
      <c r="H854" s="29"/>
      <c r="I854" s="29"/>
      <c r="J854" s="29"/>
      <c r="K854" s="29"/>
      <c r="L854" s="29"/>
      <c r="M854" s="29"/>
      <c r="N854" s="29"/>
      <c r="O854" s="29"/>
      <c r="P854" s="29"/>
      <c r="Q854" s="30"/>
      <c r="R854" s="29"/>
      <c r="S854" s="32"/>
      <c r="T854" s="29"/>
      <c r="U854" s="29"/>
      <c r="V854" s="24" t="str">
        <f aca="false">IF(A854="","",IFERROR(INDEX(Settings!$F$5:$F$49,MATCH(G854,Settings!$D$5:$D$49,0)),""))</f>
        <v/>
      </c>
      <c r="W854" s="24" t="str">
        <f aca="false">IF(A854="","",IF(OR(P854="",P854="Organic"),"social","paid_social"))</f>
        <v/>
      </c>
      <c r="X854" s="24" t="str">
        <f aca="false">IF(A854="","",IF(K854&lt;&gt;"",IFERROR(INDEX('Case Studies'!$C$5:$C$54,MATCH(K854,'Case Studies'!$B$5:$B$54,0))&amp;"","case-study"),IF(J854&lt;&gt;"",IFERROR(INDEX(Settings!$J$5:$J$55,MATCH(J854,Settings!$I$5:$I$55,0)),"general"),"general")))</f>
        <v/>
      </c>
      <c r="Y854" s="24" t="str">
        <f aca="false">IF(A854="","",LOWER(A854))</f>
        <v/>
      </c>
      <c r="Z854" s="24" t="str">
        <f aca="false">IF(A854="","",IF(T854="",Settings!$B$5,T854)&amp;IF(ISNUMBER(FIND("?",IF(T854="",Settings!$B$5,T854))),"&amp;","?")&amp;"utm_source="&amp;V854&amp;"&amp;utm_medium="&amp;W854&amp;"&amp;utm_campaign="&amp;X854&amp;"&amp;utm_content="&amp;Y854)</f>
        <v/>
      </c>
      <c r="AA854" s="29"/>
      <c r="AB854" s="39"/>
      <c r="AC854" s="32"/>
      <c r="AD854" s="32"/>
      <c r="AE854" s="32"/>
      <c r="AF854" s="32"/>
      <c r="AG854" s="32"/>
      <c r="AH854" s="32"/>
      <c r="AI854" s="32"/>
      <c r="AJ854" s="32"/>
      <c r="AK854" s="32"/>
      <c r="AL854" s="32"/>
      <c r="AM854" s="32"/>
      <c r="AN854" s="32"/>
      <c r="AO854" s="33" t="str">
        <f aca="false">IF(A854="","",IF(AD854&lt;&gt;"",AD854,IF(AC854&lt;&gt;"",AC854,"")))</f>
        <v/>
      </c>
      <c r="AP854" s="24" t="str">
        <f aca="false">IF(AO854="","",IF(AD854&lt;&gt;"","Reported reach","Impressions (proxy)"))</f>
        <v/>
      </c>
      <c r="AQ854" s="34" t="str">
        <f aca="false">IF(OR(AO854="",N(S854)=0),"",AO854/S854)</f>
        <v/>
      </c>
      <c r="AR854" s="33" t="str">
        <f aca="false">IF(A854="","",IF(COUNT(AF854:AJ854)=0,"",SUM(AF854:AJ854)))</f>
        <v/>
      </c>
      <c r="AS854" s="34" t="str">
        <f aca="false">IF(OR(AR854="",N(AO854)=0),"",AR854/AO854)</f>
        <v/>
      </c>
      <c r="AT854" s="34" t="str">
        <f aca="false">IF(OR(AR854="",N(AC854)=0),"",AR854/AC854)</f>
        <v/>
      </c>
      <c r="AU854" s="34" t="str">
        <f aca="false">IF(OR(AR854="",N(S854)=0),"",AR854/S854)</f>
        <v/>
      </c>
      <c r="AV854" s="34" t="str">
        <f aca="false">IF(OR(AJ854="",N(AC854)=0),"",AJ854/AC854)</f>
        <v/>
      </c>
      <c r="AW854" s="34" t="str">
        <f aca="false">IF(OR(AH854="",N(AO854)=0),"",AH854/AO854)</f>
        <v/>
      </c>
      <c r="AX854" s="35" t="str">
        <f aca="false">IF(OR(AR854="",N(AO854)=0),"",(N(AF854)*Settings!$B$6+N(AG854)*Settings!$B$7+N(AH854)*Settings!$B$8+N(AI854)*Settings!$B$9+N(AJ854)*Settings!$B$10)/AO854*1000)</f>
        <v/>
      </c>
      <c r="AY854" s="36" t="str">
        <f aca="false">IF(AS854="","",IFERROR(AS854/AVERAGEIFS('Post Tracker'!$AS$5:$AS$1004,'Post Tracker'!$G$5:$G$1004,G854),""))</f>
        <v/>
      </c>
      <c r="AZ854" s="32"/>
      <c r="BA854" s="32"/>
      <c r="BB854" s="32"/>
      <c r="BC854" s="32"/>
      <c r="BD854" s="33" t="str">
        <f aca="false">IF(A854="","",COUNTIFS('Demo Pipeline'!$Q$5:$Q$504,A854))</f>
        <v/>
      </c>
      <c r="BE854" s="33" t="str">
        <f aca="false">IF(A854="","",COUNTIFS('Demo Pipeline'!$Q$5:$Q$504,A854,'Demo Pipeline'!$W$5:$W$504,"Attended"))</f>
        <v/>
      </c>
      <c r="BF854" s="33" t="str">
        <f aca="false">IF(A854="","",COUNTIFS('Demo Pipeline'!$Q$5:$Q$504,A854,'Demo Pipeline'!$X$5:$X$504,"Yes"))</f>
        <v/>
      </c>
      <c r="BG854" s="33" t="str">
        <f aca="false">IF(A854="","",COUNTIFS('Demo Pipeline'!$Q$5:$Q$504,A854,'Demo Pipeline'!$Y$5:$Y$504,"Closed Won"))</f>
        <v/>
      </c>
      <c r="BH854" s="37" t="str">
        <f aca="false">IF(A854="","",SUMIFS('Demo Pipeline'!$Z$5:$Z$504,'Demo Pipeline'!$Q$5:$Q$504,A854))</f>
        <v/>
      </c>
      <c r="BI854" s="34" t="str">
        <f aca="false">IF(OR(AZ854="",N(AJ854)=0),"",AZ854/AJ854)</f>
        <v/>
      </c>
      <c r="BJ854" s="34" t="str">
        <f aca="false">IF(OR(BB854="",N(AZ854)=0),"",BB854/AZ854)</f>
        <v/>
      </c>
      <c r="BK854" s="34" t="str">
        <f aca="false">IF(OR(A854="",N(BB854)=0),"",BD854/BB854)</f>
        <v/>
      </c>
      <c r="BL854" s="34" t="str">
        <f aca="false">IF(OR(A854="",N(AZ854)=0),"",BD854/AZ854)</f>
        <v/>
      </c>
      <c r="BM854" s="37" t="str">
        <f aca="false">IF(OR(N(Q854)=0,N(BD854)=0),"",Q854/BD854)</f>
        <v/>
      </c>
      <c r="BN854" s="29"/>
      <c r="BO854" s="29"/>
      <c r="BP854" s="33" t="str">
        <f aca="false">IF(OR(AR854="",N(AO854)=0),"",AR854)</f>
        <v/>
      </c>
      <c r="BQ854" s="33" t="str">
        <f aca="false">IF(OR(AR854="",N(S854)=0),"",S854)</f>
        <v/>
      </c>
      <c r="BR854" s="38" t="str">
        <f aca="false">IF(AND(ISNUMBER(B854),B854&gt;=Dashboard!$C$4,B854&lt;=Dashboard!$F$4,ISNUMBER(AU854)),AU854+ROW()/10^9,"")</f>
        <v/>
      </c>
      <c r="BS854" s="38" t="str">
        <f aca="false">IF(AND(ISNUMBER(B854),B854&gt;=Dashboard!$C$4,B854&lt;=Dashboard!$F$4,A854&lt;&gt;""),N(BD854)+N(AU854)/100+ROW()/10^9,"")</f>
        <v/>
      </c>
    </row>
    <row r="855" customFormat="false" ht="15" hidden="false" customHeight="false" outlineLevel="0" collapsed="false">
      <c r="A855" s="24" t="str">
        <f aca="false">IF(OR(B855="",G855="",H855=""),"",IFERROR(INDEX(Settings!$E$5:$E$49,MATCH(G855,Settings!$D$5:$D$49,0))&amp;INDEX(Settings!$H$5:$H$47,MATCH(H855,Settings!$G$5:$G$47,0))&amp;"-"&amp;TEXT(B855,"yymmdd")&amp;"-"&amp;IF(C855="","0000",TEXT(C855,"hhmm")),"CHECK LISTS"))</f>
        <v/>
      </c>
      <c r="B855" s="39"/>
      <c r="C855" s="40"/>
      <c r="D855" s="24" t="str">
        <f aca="false">IF(B855="","",TEXT(B855,"ddd"))</f>
        <v/>
      </c>
      <c r="E855" s="27" t="str">
        <f aca="false">IF(B855="","",B855-WEEKDAY(B855,3))</f>
        <v/>
      </c>
      <c r="F855" s="24" t="str">
        <f aca="false">IF(B855="","",TEXT(B855,"yyyy-mm"))</f>
        <v/>
      </c>
      <c r="G855" s="29"/>
      <c r="H855" s="29"/>
      <c r="I855" s="29"/>
      <c r="J855" s="29"/>
      <c r="K855" s="29"/>
      <c r="L855" s="29"/>
      <c r="M855" s="29"/>
      <c r="N855" s="29"/>
      <c r="O855" s="29"/>
      <c r="P855" s="29"/>
      <c r="Q855" s="30"/>
      <c r="R855" s="29"/>
      <c r="S855" s="32"/>
      <c r="T855" s="29"/>
      <c r="U855" s="29"/>
      <c r="V855" s="24" t="str">
        <f aca="false">IF(A855="","",IFERROR(INDEX(Settings!$F$5:$F$49,MATCH(G855,Settings!$D$5:$D$49,0)),""))</f>
        <v/>
      </c>
      <c r="W855" s="24" t="str">
        <f aca="false">IF(A855="","",IF(OR(P855="",P855="Organic"),"social","paid_social"))</f>
        <v/>
      </c>
      <c r="X855" s="24" t="str">
        <f aca="false">IF(A855="","",IF(K855&lt;&gt;"",IFERROR(INDEX('Case Studies'!$C$5:$C$54,MATCH(K855,'Case Studies'!$B$5:$B$54,0))&amp;"","case-study"),IF(J855&lt;&gt;"",IFERROR(INDEX(Settings!$J$5:$J$55,MATCH(J855,Settings!$I$5:$I$55,0)),"general"),"general")))</f>
        <v/>
      </c>
      <c r="Y855" s="24" t="str">
        <f aca="false">IF(A855="","",LOWER(A855))</f>
        <v/>
      </c>
      <c r="Z855" s="24" t="str">
        <f aca="false">IF(A855="","",IF(T855="",Settings!$B$5,T855)&amp;IF(ISNUMBER(FIND("?",IF(T855="",Settings!$B$5,T855))),"&amp;","?")&amp;"utm_source="&amp;V855&amp;"&amp;utm_medium="&amp;W855&amp;"&amp;utm_campaign="&amp;X855&amp;"&amp;utm_content="&amp;Y855)</f>
        <v/>
      </c>
      <c r="AA855" s="29"/>
      <c r="AB855" s="39"/>
      <c r="AC855" s="32"/>
      <c r="AD855" s="32"/>
      <c r="AE855" s="32"/>
      <c r="AF855" s="32"/>
      <c r="AG855" s="32"/>
      <c r="AH855" s="32"/>
      <c r="AI855" s="32"/>
      <c r="AJ855" s="32"/>
      <c r="AK855" s="32"/>
      <c r="AL855" s="32"/>
      <c r="AM855" s="32"/>
      <c r="AN855" s="32"/>
      <c r="AO855" s="33" t="str">
        <f aca="false">IF(A855="","",IF(AD855&lt;&gt;"",AD855,IF(AC855&lt;&gt;"",AC855,"")))</f>
        <v/>
      </c>
      <c r="AP855" s="24" t="str">
        <f aca="false">IF(AO855="","",IF(AD855&lt;&gt;"","Reported reach","Impressions (proxy)"))</f>
        <v/>
      </c>
      <c r="AQ855" s="34" t="str">
        <f aca="false">IF(OR(AO855="",N(S855)=0),"",AO855/S855)</f>
        <v/>
      </c>
      <c r="AR855" s="33" t="str">
        <f aca="false">IF(A855="","",IF(COUNT(AF855:AJ855)=0,"",SUM(AF855:AJ855)))</f>
        <v/>
      </c>
      <c r="AS855" s="34" t="str">
        <f aca="false">IF(OR(AR855="",N(AO855)=0),"",AR855/AO855)</f>
        <v/>
      </c>
      <c r="AT855" s="34" t="str">
        <f aca="false">IF(OR(AR855="",N(AC855)=0),"",AR855/AC855)</f>
        <v/>
      </c>
      <c r="AU855" s="34" t="str">
        <f aca="false">IF(OR(AR855="",N(S855)=0),"",AR855/S855)</f>
        <v/>
      </c>
      <c r="AV855" s="34" t="str">
        <f aca="false">IF(OR(AJ855="",N(AC855)=0),"",AJ855/AC855)</f>
        <v/>
      </c>
      <c r="AW855" s="34" t="str">
        <f aca="false">IF(OR(AH855="",N(AO855)=0),"",AH855/AO855)</f>
        <v/>
      </c>
      <c r="AX855" s="35" t="str">
        <f aca="false">IF(OR(AR855="",N(AO855)=0),"",(N(AF855)*Settings!$B$6+N(AG855)*Settings!$B$7+N(AH855)*Settings!$B$8+N(AI855)*Settings!$B$9+N(AJ855)*Settings!$B$10)/AO855*1000)</f>
        <v/>
      </c>
      <c r="AY855" s="36" t="str">
        <f aca="false">IF(AS855="","",IFERROR(AS855/AVERAGEIFS('Post Tracker'!$AS$5:$AS$1004,'Post Tracker'!$G$5:$G$1004,G855),""))</f>
        <v/>
      </c>
      <c r="AZ855" s="32"/>
      <c r="BA855" s="32"/>
      <c r="BB855" s="32"/>
      <c r="BC855" s="32"/>
      <c r="BD855" s="33" t="str">
        <f aca="false">IF(A855="","",COUNTIFS('Demo Pipeline'!$Q$5:$Q$504,A855))</f>
        <v/>
      </c>
      <c r="BE855" s="33" t="str">
        <f aca="false">IF(A855="","",COUNTIFS('Demo Pipeline'!$Q$5:$Q$504,A855,'Demo Pipeline'!$W$5:$W$504,"Attended"))</f>
        <v/>
      </c>
      <c r="BF855" s="33" t="str">
        <f aca="false">IF(A855="","",COUNTIFS('Demo Pipeline'!$Q$5:$Q$504,A855,'Demo Pipeline'!$X$5:$X$504,"Yes"))</f>
        <v/>
      </c>
      <c r="BG855" s="33" t="str">
        <f aca="false">IF(A855="","",COUNTIFS('Demo Pipeline'!$Q$5:$Q$504,A855,'Demo Pipeline'!$Y$5:$Y$504,"Closed Won"))</f>
        <v/>
      </c>
      <c r="BH855" s="37" t="str">
        <f aca="false">IF(A855="","",SUMIFS('Demo Pipeline'!$Z$5:$Z$504,'Demo Pipeline'!$Q$5:$Q$504,A855))</f>
        <v/>
      </c>
      <c r="BI855" s="34" t="str">
        <f aca="false">IF(OR(AZ855="",N(AJ855)=0),"",AZ855/AJ855)</f>
        <v/>
      </c>
      <c r="BJ855" s="34" t="str">
        <f aca="false">IF(OR(BB855="",N(AZ855)=0),"",BB855/AZ855)</f>
        <v/>
      </c>
      <c r="BK855" s="34" t="str">
        <f aca="false">IF(OR(A855="",N(BB855)=0),"",BD855/BB855)</f>
        <v/>
      </c>
      <c r="BL855" s="34" t="str">
        <f aca="false">IF(OR(A855="",N(AZ855)=0),"",BD855/AZ855)</f>
        <v/>
      </c>
      <c r="BM855" s="37" t="str">
        <f aca="false">IF(OR(N(Q855)=0,N(BD855)=0),"",Q855/BD855)</f>
        <v/>
      </c>
      <c r="BN855" s="29"/>
      <c r="BO855" s="29"/>
      <c r="BP855" s="33" t="str">
        <f aca="false">IF(OR(AR855="",N(AO855)=0),"",AR855)</f>
        <v/>
      </c>
      <c r="BQ855" s="33" t="str">
        <f aca="false">IF(OR(AR855="",N(S855)=0),"",S855)</f>
        <v/>
      </c>
      <c r="BR855" s="38" t="str">
        <f aca="false">IF(AND(ISNUMBER(B855),B855&gt;=Dashboard!$C$4,B855&lt;=Dashboard!$F$4,ISNUMBER(AU855)),AU855+ROW()/10^9,"")</f>
        <v/>
      </c>
      <c r="BS855" s="38" t="str">
        <f aca="false">IF(AND(ISNUMBER(B855),B855&gt;=Dashboard!$C$4,B855&lt;=Dashboard!$F$4,A855&lt;&gt;""),N(BD855)+N(AU855)/100+ROW()/10^9,"")</f>
        <v/>
      </c>
    </row>
    <row r="856" customFormat="false" ht="15" hidden="false" customHeight="false" outlineLevel="0" collapsed="false">
      <c r="A856" s="24" t="str">
        <f aca="false">IF(OR(B856="",G856="",H856=""),"",IFERROR(INDEX(Settings!$E$5:$E$49,MATCH(G856,Settings!$D$5:$D$49,0))&amp;INDEX(Settings!$H$5:$H$47,MATCH(H856,Settings!$G$5:$G$47,0))&amp;"-"&amp;TEXT(B856,"yymmdd")&amp;"-"&amp;IF(C856="","0000",TEXT(C856,"hhmm")),"CHECK LISTS"))</f>
        <v/>
      </c>
      <c r="B856" s="39"/>
      <c r="C856" s="40"/>
      <c r="D856" s="24" t="str">
        <f aca="false">IF(B856="","",TEXT(B856,"ddd"))</f>
        <v/>
      </c>
      <c r="E856" s="27" t="str">
        <f aca="false">IF(B856="","",B856-WEEKDAY(B856,3))</f>
        <v/>
      </c>
      <c r="F856" s="24" t="str">
        <f aca="false">IF(B856="","",TEXT(B856,"yyyy-mm"))</f>
        <v/>
      </c>
      <c r="G856" s="29"/>
      <c r="H856" s="29"/>
      <c r="I856" s="29"/>
      <c r="J856" s="29"/>
      <c r="K856" s="29"/>
      <c r="L856" s="29"/>
      <c r="M856" s="29"/>
      <c r="N856" s="29"/>
      <c r="O856" s="29"/>
      <c r="P856" s="29"/>
      <c r="Q856" s="30"/>
      <c r="R856" s="29"/>
      <c r="S856" s="32"/>
      <c r="T856" s="29"/>
      <c r="U856" s="29"/>
      <c r="V856" s="24" t="str">
        <f aca="false">IF(A856="","",IFERROR(INDEX(Settings!$F$5:$F$49,MATCH(G856,Settings!$D$5:$D$49,0)),""))</f>
        <v/>
      </c>
      <c r="W856" s="24" t="str">
        <f aca="false">IF(A856="","",IF(OR(P856="",P856="Organic"),"social","paid_social"))</f>
        <v/>
      </c>
      <c r="X856" s="24" t="str">
        <f aca="false">IF(A856="","",IF(K856&lt;&gt;"",IFERROR(INDEX('Case Studies'!$C$5:$C$54,MATCH(K856,'Case Studies'!$B$5:$B$54,0))&amp;"","case-study"),IF(J856&lt;&gt;"",IFERROR(INDEX(Settings!$J$5:$J$55,MATCH(J856,Settings!$I$5:$I$55,0)),"general"),"general")))</f>
        <v/>
      </c>
      <c r="Y856" s="24" t="str">
        <f aca="false">IF(A856="","",LOWER(A856))</f>
        <v/>
      </c>
      <c r="Z856" s="24" t="str">
        <f aca="false">IF(A856="","",IF(T856="",Settings!$B$5,T856)&amp;IF(ISNUMBER(FIND("?",IF(T856="",Settings!$B$5,T856))),"&amp;","?")&amp;"utm_source="&amp;V856&amp;"&amp;utm_medium="&amp;W856&amp;"&amp;utm_campaign="&amp;X856&amp;"&amp;utm_content="&amp;Y856)</f>
        <v/>
      </c>
      <c r="AA856" s="29"/>
      <c r="AB856" s="39"/>
      <c r="AC856" s="32"/>
      <c r="AD856" s="32"/>
      <c r="AE856" s="32"/>
      <c r="AF856" s="32"/>
      <c r="AG856" s="32"/>
      <c r="AH856" s="32"/>
      <c r="AI856" s="32"/>
      <c r="AJ856" s="32"/>
      <c r="AK856" s="32"/>
      <c r="AL856" s="32"/>
      <c r="AM856" s="32"/>
      <c r="AN856" s="32"/>
      <c r="AO856" s="33" t="str">
        <f aca="false">IF(A856="","",IF(AD856&lt;&gt;"",AD856,IF(AC856&lt;&gt;"",AC856,"")))</f>
        <v/>
      </c>
      <c r="AP856" s="24" t="str">
        <f aca="false">IF(AO856="","",IF(AD856&lt;&gt;"","Reported reach","Impressions (proxy)"))</f>
        <v/>
      </c>
      <c r="AQ856" s="34" t="str">
        <f aca="false">IF(OR(AO856="",N(S856)=0),"",AO856/S856)</f>
        <v/>
      </c>
      <c r="AR856" s="33" t="str">
        <f aca="false">IF(A856="","",IF(COUNT(AF856:AJ856)=0,"",SUM(AF856:AJ856)))</f>
        <v/>
      </c>
      <c r="AS856" s="34" t="str">
        <f aca="false">IF(OR(AR856="",N(AO856)=0),"",AR856/AO856)</f>
        <v/>
      </c>
      <c r="AT856" s="34" t="str">
        <f aca="false">IF(OR(AR856="",N(AC856)=0),"",AR856/AC856)</f>
        <v/>
      </c>
      <c r="AU856" s="34" t="str">
        <f aca="false">IF(OR(AR856="",N(S856)=0),"",AR856/S856)</f>
        <v/>
      </c>
      <c r="AV856" s="34" t="str">
        <f aca="false">IF(OR(AJ856="",N(AC856)=0),"",AJ856/AC856)</f>
        <v/>
      </c>
      <c r="AW856" s="34" t="str">
        <f aca="false">IF(OR(AH856="",N(AO856)=0),"",AH856/AO856)</f>
        <v/>
      </c>
      <c r="AX856" s="35" t="str">
        <f aca="false">IF(OR(AR856="",N(AO856)=0),"",(N(AF856)*Settings!$B$6+N(AG856)*Settings!$B$7+N(AH856)*Settings!$B$8+N(AI856)*Settings!$B$9+N(AJ856)*Settings!$B$10)/AO856*1000)</f>
        <v/>
      </c>
      <c r="AY856" s="36" t="str">
        <f aca="false">IF(AS856="","",IFERROR(AS856/AVERAGEIFS('Post Tracker'!$AS$5:$AS$1004,'Post Tracker'!$G$5:$G$1004,G856),""))</f>
        <v/>
      </c>
      <c r="AZ856" s="32"/>
      <c r="BA856" s="32"/>
      <c r="BB856" s="32"/>
      <c r="BC856" s="32"/>
      <c r="BD856" s="33" t="str">
        <f aca="false">IF(A856="","",COUNTIFS('Demo Pipeline'!$Q$5:$Q$504,A856))</f>
        <v/>
      </c>
      <c r="BE856" s="33" t="str">
        <f aca="false">IF(A856="","",COUNTIFS('Demo Pipeline'!$Q$5:$Q$504,A856,'Demo Pipeline'!$W$5:$W$504,"Attended"))</f>
        <v/>
      </c>
      <c r="BF856" s="33" t="str">
        <f aca="false">IF(A856="","",COUNTIFS('Demo Pipeline'!$Q$5:$Q$504,A856,'Demo Pipeline'!$X$5:$X$504,"Yes"))</f>
        <v/>
      </c>
      <c r="BG856" s="33" t="str">
        <f aca="false">IF(A856="","",COUNTIFS('Demo Pipeline'!$Q$5:$Q$504,A856,'Demo Pipeline'!$Y$5:$Y$504,"Closed Won"))</f>
        <v/>
      </c>
      <c r="BH856" s="37" t="str">
        <f aca="false">IF(A856="","",SUMIFS('Demo Pipeline'!$Z$5:$Z$504,'Demo Pipeline'!$Q$5:$Q$504,A856))</f>
        <v/>
      </c>
      <c r="BI856" s="34" t="str">
        <f aca="false">IF(OR(AZ856="",N(AJ856)=0),"",AZ856/AJ856)</f>
        <v/>
      </c>
      <c r="BJ856" s="34" t="str">
        <f aca="false">IF(OR(BB856="",N(AZ856)=0),"",BB856/AZ856)</f>
        <v/>
      </c>
      <c r="BK856" s="34" t="str">
        <f aca="false">IF(OR(A856="",N(BB856)=0),"",BD856/BB856)</f>
        <v/>
      </c>
      <c r="BL856" s="34" t="str">
        <f aca="false">IF(OR(A856="",N(AZ856)=0),"",BD856/AZ856)</f>
        <v/>
      </c>
      <c r="BM856" s="37" t="str">
        <f aca="false">IF(OR(N(Q856)=0,N(BD856)=0),"",Q856/BD856)</f>
        <v/>
      </c>
      <c r="BN856" s="29"/>
      <c r="BO856" s="29"/>
      <c r="BP856" s="33" t="str">
        <f aca="false">IF(OR(AR856="",N(AO856)=0),"",AR856)</f>
        <v/>
      </c>
      <c r="BQ856" s="33" t="str">
        <f aca="false">IF(OR(AR856="",N(S856)=0),"",S856)</f>
        <v/>
      </c>
      <c r="BR856" s="38" t="str">
        <f aca="false">IF(AND(ISNUMBER(B856),B856&gt;=Dashboard!$C$4,B856&lt;=Dashboard!$F$4,ISNUMBER(AU856)),AU856+ROW()/10^9,"")</f>
        <v/>
      </c>
      <c r="BS856" s="38" t="str">
        <f aca="false">IF(AND(ISNUMBER(B856),B856&gt;=Dashboard!$C$4,B856&lt;=Dashboard!$F$4,A856&lt;&gt;""),N(BD856)+N(AU856)/100+ROW()/10^9,"")</f>
        <v/>
      </c>
    </row>
    <row r="857" customFormat="false" ht="15" hidden="false" customHeight="false" outlineLevel="0" collapsed="false">
      <c r="A857" s="24" t="str">
        <f aca="false">IF(OR(B857="",G857="",H857=""),"",IFERROR(INDEX(Settings!$E$5:$E$49,MATCH(G857,Settings!$D$5:$D$49,0))&amp;INDEX(Settings!$H$5:$H$47,MATCH(H857,Settings!$G$5:$G$47,0))&amp;"-"&amp;TEXT(B857,"yymmdd")&amp;"-"&amp;IF(C857="","0000",TEXT(C857,"hhmm")),"CHECK LISTS"))</f>
        <v/>
      </c>
      <c r="B857" s="39"/>
      <c r="C857" s="40"/>
      <c r="D857" s="24" t="str">
        <f aca="false">IF(B857="","",TEXT(B857,"ddd"))</f>
        <v/>
      </c>
      <c r="E857" s="27" t="str">
        <f aca="false">IF(B857="","",B857-WEEKDAY(B857,3))</f>
        <v/>
      </c>
      <c r="F857" s="24" t="str">
        <f aca="false">IF(B857="","",TEXT(B857,"yyyy-mm"))</f>
        <v/>
      </c>
      <c r="G857" s="29"/>
      <c r="H857" s="29"/>
      <c r="I857" s="29"/>
      <c r="J857" s="29"/>
      <c r="K857" s="29"/>
      <c r="L857" s="29"/>
      <c r="M857" s="29"/>
      <c r="N857" s="29"/>
      <c r="O857" s="29"/>
      <c r="P857" s="29"/>
      <c r="Q857" s="30"/>
      <c r="R857" s="29"/>
      <c r="S857" s="32"/>
      <c r="T857" s="29"/>
      <c r="U857" s="29"/>
      <c r="V857" s="24" t="str">
        <f aca="false">IF(A857="","",IFERROR(INDEX(Settings!$F$5:$F$49,MATCH(G857,Settings!$D$5:$D$49,0)),""))</f>
        <v/>
      </c>
      <c r="W857" s="24" t="str">
        <f aca="false">IF(A857="","",IF(OR(P857="",P857="Organic"),"social","paid_social"))</f>
        <v/>
      </c>
      <c r="X857" s="24" t="str">
        <f aca="false">IF(A857="","",IF(K857&lt;&gt;"",IFERROR(INDEX('Case Studies'!$C$5:$C$54,MATCH(K857,'Case Studies'!$B$5:$B$54,0))&amp;"","case-study"),IF(J857&lt;&gt;"",IFERROR(INDEX(Settings!$J$5:$J$55,MATCH(J857,Settings!$I$5:$I$55,0)),"general"),"general")))</f>
        <v/>
      </c>
      <c r="Y857" s="24" t="str">
        <f aca="false">IF(A857="","",LOWER(A857))</f>
        <v/>
      </c>
      <c r="Z857" s="24" t="str">
        <f aca="false">IF(A857="","",IF(T857="",Settings!$B$5,T857)&amp;IF(ISNUMBER(FIND("?",IF(T857="",Settings!$B$5,T857))),"&amp;","?")&amp;"utm_source="&amp;V857&amp;"&amp;utm_medium="&amp;W857&amp;"&amp;utm_campaign="&amp;X857&amp;"&amp;utm_content="&amp;Y857)</f>
        <v/>
      </c>
      <c r="AA857" s="29"/>
      <c r="AB857" s="39"/>
      <c r="AC857" s="32"/>
      <c r="AD857" s="32"/>
      <c r="AE857" s="32"/>
      <c r="AF857" s="32"/>
      <c r="AG857" s="32"/>
      <c r="AH857" s="32"/>
      <c r="AI857" s="32"/>
      <c r="AJ857" s="32"/>
      <c r="AK857" s="32"/>
      <c r="AL857" s="32"/>
      <c r="AM857" s="32"/>
      <c r="AN857" s="32"/>
      <c r="AO857" s="33" t="str">
        <f aca="false">IF(A857="","",IF(AD857&lt;&gt;"",AD857,IF(AC857&lt;&gt;"",AC857,"")))</f>
        <v/>
      </c>
      <c r="AP857" s="24" t="str">
        <f aca="false">IF(AO857="","",IF(AD857&lt;&gt;"","Reported reach","Impressions (proxy)"))</f>
        <v/>
      </c>
      <c r="AQ857" s="34" t="str">
        <f aca="false">IF(OR(AO857="",N(S857)=0),"",AO857/S857)</f>
        <v/>
      </c>
      <c r="AR857" s="33" t="str">
        <f aca="false">IF(A857="","",IF(COUNT(AF857:AJ857)=0,"",SUM(AF857:AJ857)))</f>
        <v/>
      </c>
      <c r="AS857" s="34" t="str">
        <f aca="false">IF(OR(AR857="",N(AO857)=0),"",AR857/AO857)</f>
        <v/>
      </c>
      <c r="AT857" s="34" t="str">
        <f aca="false">IF(OR(AR857="",N(AC857)=0),"",AR857/AC857)</f>
        <v/>
      </c>
      <c r="AU857" s="34" t="str">
        <f aca="false">IF(OR(AR857="",N(S857)=0),"",AR857/S857)</f>
        <v/>
      </c>
      <c r="AV857" s="34" t="str">
        <f aca="false">IF(OR(AJ857="",N(AC857)=0),"",AJ857/AC857)</f>
        <v/>
      </c>
      <c r="AW857" s="34" t="str">
        <f aca="false">IF(OR(AH857="",N(AO857)=0),"",AH857/AO857)</f>
        <v/>
      </c>
      <c r="AX857" s="35" t="str">
        <f aca="false">IF(OR(AR857="",N(AO857)=0),"",(N(AF857)*Settings!$B$6+N(AG857)*Settings!$B$7+N(AH857)*Settings!$B$8+N(AI857)*Settings!$B$9+N(AJ857)*Settings!$B$10)/AO857*1000)</f>
        <v/>
      </c>
      <c r="AY857" s="36" t="str">
        <f aca="false">IF(AS857="","",IFERROR(AS857/AVERAGEIFS('Post Tracker'!$AS$5:$AS$1004,'Post Tracker'!$G$5:$G$1004,G857),""))</f>
        <v/>
      </c>
      <c r="AZ857" s="32"/>
      <c r="BA857" s="32"/>
      <c r="BB857" s="32"/>
      <c r="BC857" s="32"/>
      <c r="BD857" s="33" t="str">
        <f aca="false">IF(A857="","",COUNTIFS('Demo Pipeline'!$Q$5:$Q$504,A857))</f>
        <v/>
      </c>
      <c r="BE857" s="33" t="str">
        <f aca="false">IF(A857="","",COUNTIFS('Demo Pipeline'!$Q$5:$Q$504,A857,'Demo Pipeline'!$W$5:$W$504,"Attended"))</f>
        <v/>
      </c>
      <c r="BF857" s="33" t="str">
        <f aca="false">IF(A857="","",COUNTIFS('Demo Pipeline'!$Q$5:$Q$504,A857,'Demo Pipeline'!$X$5:$X$504,"Yes"))</f>
        <v/>
      </c>
      <c r="BG857" s="33" t="str">
        <f aca="false">IF(A857="","",COUNTIFS('Demo Pipeline'!$Q$5:$Q$504,A857,'Demo Pipeline'!$Y$5:$Y$504,"Closed Won"))</f>
        <v/>
      </c>
      <c r="BH857" s="37" t="str">
        <f aca="false">IF(A857="","",SUMIFS('Demo Pipeline'!$Z$5:$Z$504,'Demo Pipeline'!$Q$5:$Q$504,A857))</f>
        <v/>
      </c>
      <c r="BI857" s="34" t="str">
        <f aca="false">IF(OR(AZ857="",N(AJ857)=0),"",AZ857/AJ857)</f>
        <v/>
      </c>
      <c r="BJ857" s="34" t="str">
        <f aca="false">IF(OR(BB857="",N(AZ857)=0),"",BB857/AZ857)</f>
        <v/>
      </c>
      <c r="BK857" s="34" t="str">
        <f aca="false">IF(OR(A857="",N(BB857)=0),"",BD857/BB857)</f>
        <v/>
      </c>
      <c r="BL857" s="34" t="str">
        <f aca="false">IF(OR(A857="",N(AZ857)=0),"",BD857/AZ857)</f>
        <v/>
      </c>
      <c r="BM857" s="37" t="str">
        <f aca="false">IF(OR(N(Q857)=0,N(BD857)=0),"",Q857/BD857)</f>
        <v/>
      </c>
      <c r="BN857" s="29"/>
      <c r="BO857" s="29"/>
      <c r="BP857" s="33" t="str">
        <f aca="false">IF(OR(AR857="",N(AO857)=0),"",AR857)</f>
        <v/>
      </c>
      <c r="BQ857" s="33" t="str">
        <f aca="false">IF(OR(AR857="",N(S857)=0),"",S857)</f>
        <v/>
      </c>
      <c r="BR857" s="38" t="str">
        <f aca="false">IF(AND(ISNUMBER(B857),B857&gt;=Dashboard!$C$4,B857&lt;=Dashboard!$F$4,ISNUMBER(AU857)),AU857+ROW()/10^9,"")</f>
        <v/>
      </c>
      <c r="BS857" s="38" t="str">
        <f aca="false">IF(AND(ISNUMBER(B857),B857&gt;=Dashboard!$C$4,B857&lt;=Dashboard!$F$4,A857&lt;&gt;""),N(BD857)+N(AU857)/100+ROW()/10^9,"")</f>
        <v/>
      </c>
    </row>
    <row r="858" customFormat="false" ht="15" hidden="false" customHeight="false" outlineLevel="0" collapsed="false">
      <c r="A858" s="24" t="str">
        <f aca="false">IF(OR(B858="",G858="",H858=""),"",IFERROR(INDEX(Settings!$E$5:$E$49,MATCH(G858,Settings!$D$5:$D$49,0))&amp;INDEX(Settings!$H$5:$H$47,MATCH(H858,Settings!$G$5:$G$47,0))&amp;"-"&amp;TEXT(B858,"yymmdd")&amp;"-"&amp;IF(C858="","0000",TEXT(C858,"hhmm")),"CHECK LISTS"))</f>
        <v/>
      </c>
      <c r="B858" s="39"/>
      <c r="C858" s="40"/>
      <c r="D858" s="24" t="str">
        <f aca="false">IF(B858="","",TEXT(B858,"ddd"))</f>
        <v/>
      </c>
      <c r="E858" s="27" t="str">
        <f aca="false">IF(B858="","",B858-WEEKDAY(B858,3))</f>
        <v/>
      </c>
      <c r="F858" s="24" t="str">
        <f aca="false">IF(B858="","",TEXT(B858,"yyyy-mm"))</f>
        <v/>
      </c>
      <c r="G858" s="29"/>
      <c r="H858" s="29"/>
      <c r="I858" s="29"/>
      <c r="J858" s="29"/>
      <c r="K858" s="29"/>
      <c r="L858" s="29"/>
      <c r="M858" s="29"/>
      <c r="N858" s="29"/>
      <c r="O858" s="29"/>
      <c r="P858" s="29"/>
      <c r="Q858" s="30"/>
      <c r="R858" s="29"/>
      <c r="S858" s="32"/>
      <c r="T858" s="29"/>
      <c r="U858" s="29"/>
      <c r="V858" s="24" t="str">
        <f aca="false">IF(A858="","",IFERROR(INDEX(Settings!$F$5:$F$49,MATCH(G858,Settings!$D$5:$D$49,0)),""))</f>
        <v/>
      </c>
      <c r="W858" s="24" t="str">
        <f aca="false">IF(A858="","",IF(OR(P858="",P858="Organic"),"social","paid_social"))</f>
        <v/>
      </c>
      <c r="X858" s="24" t="str">
        <f aca="false">IF(A858="","",IF(K858&lt;&gt;"",IFERROR(INDEX('Case Studies'!$C$5:$C$54,MATCH(K858,'Case Studies'!$B$5:$B$54,0))&amp;"","case-study"),IF(J858&lt;&gt;"",IFERROR(INDEX(Settings!$J$5:$J$55,MATCH(J858,Settings!$I$5:$I$55,0)),"general"),"general")))</f>
        <v/>
      </c>
      <c r="Y858" s="24" t="str">
        <f aca="false">IF(A858="","",LOWER(A858))</f>
        <v/>
      </c>
      <c r="Z858" s="24" t="str">
        <f aca="false">IF(A858="","",IF(T858="",Settings!$B$5,T858)&amp;IF(ISNUMBER(FIND("?",IF(T858="",Settings!$B$5,T858))),"&amp;","?")&amp;"utm_source="&amp;V858&amp;"&amp;utm_medium="&amp;W858&amp;"&amp;utm_campaign="&amp;X858&amp;"&amp;utm_content="&amp;Y858)</f>
        <v/>
      </c>
      <c r="AA858" s="29"/>
      <c r="AB858" s="39"/>
      <c r="AC858" s="32"/>
      <c r="AD858" s="32"/>
      <c r="AE858" s="32"/>
      <c r="AF858" s="32"/>
      <c r="AG858" s="32"/>
      <c r="AH858" s="32"/>
      <c r="AI858" s="32"/>
      <c r="AJ858" s="32"/>
      <c r="AK858" s="32"/>
      <c r="AL858" s="32"/>
      <c r="AM858" s="32"/>
      <c r="AN858" s="32"/>
      <c r="AO858" s="33" t="str">
        <f aca="false">IF(A858="","",IF(AD858&lt;&gt;"",AD858,IF(AC858&lt;&gt;"",AC858,"")))</f>
        <v/>
      </c>
      <c r="AP858" s="24" t="str">
        <f aca="false">IF(AO858="","",IF(AD858&lt;&gt;"","Reported reach","Impressions (proxy)"))</f>
        <v/>
      </c>
      <c r="AQ858" s="34" t="str">
        <f aca="false">IF(OR(AO858="",N(S858)=0),"",AO858/S858)</f>
        <v/>
      </c>
      <c r="AR858" s="33" t="str">
        <f aca="false">IF(A858="","",IF(COUNT(AF858:AJ858)=0,"",SUM(AF858:AJ858)))</f>
        <v/>
      </c>
      <c r="AS858" s="34" t="str">
        <f aca="false">IF(OR(AR858="",N(AO858)=0),"",AR858/AO858)</f>
        <v/>
      </c>
      <c r="AT858" s="34" t="str">
        <f aca="false">IF(OR(AR858="",N(AC858)=0),"",AR858/AC858)</f>
        <v/>
      </c>
      <c r="AU858" s="34" t="str">
        <f aca="false">IF(OR(AR858="",N(S858)=0),"",AR858/S858)</f>
        <v/>
      </c>
      <c r="AV858" s="34" t="str">
        <f aca="false">IF(OR(AJ858="",N(AC858)=0),"",AJ858/AC858)</f>
        <v/>
      </c>
      <c r="AW858" s="34" t="str">
        <f aca="false">IF(OR(AH858="",N(AO858)=0),"",AH858/AO858)</f>
        <v/>
      </c>
      <c r="AX858" s="35" t="str">
        <f aca="false">IF(OR(AR858="",N(AO858)=0),"",(N(AF858)*Settings!$B$6+N(AG858)*Settings!$B$7+N(AH858)*Settings!$B$8+N(AI858)*Settings!$B$9+N(AJ858)*Settings!$B$10)/AO858*1000)</f>
        <v/>
      </c>
      <c r="AY858" s="36" t="str">
        <f aca="false">IF(AS858="","",IFERROR(AS858/AVERAGEIFS('Post Tracker'!$AS$5:$AS$1004,'Post Tracker'!$G$5:$G$1004,G858),""))</f>
        <v/>
      </c>
      <c r="AZ858" s="32"/>
      <c r="BA858" s="32"/>
      <c r="BB858" s="32"/>
      <c r="BC858" s="32"/>
      <c r="BD858" s="33" t="str">
        <f aca="false">IF(A858="","",COUNTIFS('Demo Pipeline'!$Q$5:$Q$504,A858))</f>
        <v/>
      </c>
      <c r="BE858" s="33" t="str">
        <f aca="false">IF(A858="","",COUNTIFS('Demo Pipeline'!$Q$5:$Q$504,A858,'Demo Pipeline'!$W$5:$W$504,"Attended"))</f>
        <v/>
      </c>
      <c r="BF858" s="33" t="str">
        <f aca="false">IF(A858="","",COUNTIFS('Demo Pipeline'!$Q$5:$Q$504,A858,'Demo Pipeline'!$X$5:$X$504,"Yes"))</f>
        <v/>
      </c>
      <c r="BG858" s="33" t="str">
        <f aca="false">IF(A858="","",COUNTIFS('Demo Pipeline'!$Q$5:$Q$504,A858,'Demo Pipeline'!$Y$5:$Y$504,"Closed Won"))</f>
        <v/>
      </c>
      <c r="BH858" s="37" t="str">
        <f aca="false">IF(A858="","",SUMIFS('Demo Pipeline'!$Z$5:$Z$504,'Demo Pipeline'!$Q$5:$Q$504,A858))</f>
        <v/>
      </c>
      <c r="BI858" s="34" t="str">
        <f aca="false">IF(OR(AZ858="",N(AJ858)=0),"",AZ858/AJ858)</f>
        <v/>
      </c>
      <c r="BJ858" s="34" t="str">
        <f aca="false">IF(OR(BB858="",N(AZ858)=0),"",BB858/AZ858)</f>
        <v/>
      </c>
      <c r="BK858" s="34" t="str">
        <f aca="false">IF(OR(A858="",N(BB858)=0),"",BD858/BB858)</f>
        <v/>
      </c>
      <c r="BL858" s="34" t="str">
        <f aca="false">IF(OR(A858="",N(AZ858)=0),"",BD858/AZ858)</f>
        <v/>
      </c>
      <c r="BM858" s="37" t="str">
        <f aca="false">IF(OR(N(Q858)=0,N(BD858)=0),"",Q858/BD858)</f>
        <v/>
      </c>
      <c r="BN858" s="29"/>
      <c r="BO858" s="29"/>
      <c r="BP858" s="33" t="str">
        <f aca="false">IF(OR(AR858="",N(AO858)=0),"",AR858)</f>
        <v/>
      </c>
      <c r="BQ858" s="33" t="str">
        <f aca="false">IF(OR(AR858="",N(S858)=0),"",S858)</f>
        <v/>
      </c>
      <c r="BR858" s="38" t="str">
        <f aca="false">IF(AND(ISNUMBER(B858),B858&gt;=Dashboard!$C$4,B858&lt;=Dashboard!$F$4,ISNUMBER(AU858)),AU858+ROW()/10^9,"")</f>
        <v/>
      </c>
      <c r="BS858" s="38" t="str">
        <f aca="false">IF(AND(ISNUMBER(B858),B858&gt;=Dashboard!$C$4,B858&lt;=Dashboard!$F$4,A858&lt;&gt;""),N(BD858)+N(AU858)/100+ROW()/10^9,"")</f>
        <v/>
      </c>
    </row>
    <row r="859" customFormat="false" ht="15" hidden="false" customHeight="false" outlineLevel="0" collapsed="false">
      <c r="A859" s="24" t="str">
        <f aca="false">IF(OR(B859="",G859="",H859=""),"",IFERROR(INDEX(Settings!$E$5:$E$49,MATCH(G859,Settings!$D$5:$D$49,0))&amp;INDEX(Settings!$H$5:$H$47,MATCH(H859,Settings!$G$5:$G$47,0))&amp;"-"&amp;TEXT(B859,"yymmdd")&amp;"-"&amp;IF(C859="","0000",TEXT(C859,"hhmm")),"CHECK LISTS"))</f>
        <v/>
      </c>
      <c r="B859" s="39"/>
      <c r="C859" s="40"/>
      <c r="D859" s="24" t="str">
        <f aca="false">IF(B859="","",TEXT(B859,"ddd"))</f>
        <v/>
      </c>
      <c r="E859" s="27" t="str">
        <f aca="false">IF(B859="","",B859-WEEKDAY(B859,3))</f>
        <v/>
      </c>
      <c r="F859" s="24" t="str">
        <f aca="false">IF(B859="","",TEXT(B859,"yyyy-mm"))</f>
        <v/>
      </c>
      <c r="G859" s="29"/>
      <c r="H859" s="29"/>
      <c r="I859" s="29"/>
      <c r="J859" s="29"/>
      <c r="K859" s="29"/>
      <c r="L859" s="29"/>
      <c r="M859" s="29"/>
      <c r="N859" s="29"/>
      <c r="O859" s="29"/>
      <c r="P859" s="29"/>
      <c r="Q859" s="30"/>
      <c r="R859" s="29"/>
      <c r="S859" s="32"/>
      <c r="T859" s="29"/>
      <c r="U859" s="29"/>
      <c r="V859" s="24" t="str">
        <f aca="false">IF(A859="","",IFERROR(INDEX(Settings!$F$5:$F$49,MATCH(G859,Settings!$D$5:$D$49,0)),""))</f>
        <v/>
      </c>
      <c r="W859" s="24" t="str">
        <f aca="false">IF(A859="","",IF(OR(P859="",P859="Organic"),"social","paid_social"))</f>
        <v/>
      </c>
      <c r="X859" s="24" t="str">
        <f aca="false">IF(A859="","",IF(K859&lt;&gt;"",IFERROR(INDEX('Case Studies'!$C$5:$C$54,MATCH(K859,'Case Studies'!$B$5:$B$54,0))&amp;"","case-study"),IF(J859&lt;&gt;"",IFERROR(INDEX(Settings!$J$5:$J$55,MATCH(J859,Settings!$I$5:$I$55,0)),"general"),"general")))</f>
        <v/>
      </c>
      <c r="Y859" s="24" t="str">
        <f aca="false">IF(A859="","",LOWER(A859))</f>
        <v/>
      </c>
      <c r="Z859" s="24" t="str">
        <f aca="false">IF(A859="","",IF(T859="",Settings!$B$5,T859)&amp;IF(ISNUMBER(FIND("?",IF(T859="",Settings!$B$5,T859))),"&amp;","?")&amp;"utm_source="&amp;V859&amp;"&amp;utm_medium="&amp;W859&amp;"&amp;utm_campaign="&amp;X859&amp;"&amp;utm_content="&amp;Y859)</f>
        <v/>
      </c>
      <c r="AA859" s="29"/>
      <c r="AB859" s="39"/>
      <c r="AC859" s="32"/>
      <c r="AD859" s="32"/>
      <c r="AE859" s="32"/>
      <c r="AF859" s="32"/>
      <c r="AG859" s="32"/>
      <c r="AH859" s="32"/>
      <c r="AI859" s="32"/>
      <c r="AJ859" s="32"/>
      <c r="AK859" s="32"/>
      <c r="AL859" s="32"/>
      <c r="AM859" s="32"/>
      <c r="AN859" s="32"/>
      <c r="AO859" s="33" t="str">
        <f aca="false">IF(A859="","",IF(AD859&lt;&gt;"",AD859,IF(AC859&lt;&gt;"",AC859,"")))</f>
        <v/>
      </c>
      <c r="AP859" s="24" t="str">
        <f aca="false">IF(AO859="","",IF(AD859&lt;&gt;"","Reported reach","Impressions (proxy)"))</f>
        <v/>
      </c>
      <c r="AQ859" s="34" t="str">
        <f aca="false">IF(OR(AO859="",N(S859)=0),"",AO859/S859)</f>
        <v/>
      </c>
      <c r="AR859" s="33" t="str">
        <f aca="false">IF(A859="","",IF(COUNT(AF859:AJ859)=0,"",SUM(AF859:AJ859)))</f>
        <v/>
      </c>
      <c r="AS859" s="34" t="str">
        <f aca="false">IF(OR(AR859="",N(AO859)=0),"",AR859/AO859)</f>
        <v/>
      </c>
      <c r="AT859" s="34" t="str">
        <f aca="false">IF(OR(AR859="",N(AC859)=0),"",AR859/AC859)</f>
        <v/>
      </c>
      <c r="AU859" s="34" t="str">
        <f aca="false">IF(OR(AR859="",N(S859)=0),"",AR859/S859)</f>
        <v/>
      </c>
      <c r="AV859" s="34" t="str">
        <f aca="false">IF(OR(AJ859="",N(AC859)=0),"",AJ859/AC859)</f>
        <v/>
      </c>
      <c r="AW859" s="34" t="str">
        <f aca="false">IF(OR(AH859="",N(AO859)=0),"",AH859/AO859)</f>
        <v/>
      </c>
      <c r="AX859" s="35" t="str">
        <f aca="false">IF(OR(AR859="",N(AO859)=0),"",(N(AF859)*Settings!$B$6+N(AG859)*Settings!$B$7+N(AH859)*Settings!$B$8+N(AI859)*Settings!$B$9+N(AJ859)*Settings!$B$10)/AO859*1000)</f>
        <v/>
      </c>
      <c r="AY859" s="36" t="str">
        <f aca="false">IF(AS859="","",IFERROR(AS859/AVERAGEIFS('Post Tracker'!$AS$5:$AS$1004,'Post Tracker'!$G$5:$G$1004,G859),""))</f>
        <v/>
      </c>
      <c r="AZ859" s="32"/>
      <c r="BA859" s="32"/>
      <c r="BB859" s="32"/>
      <c r="BC859" s="32"/>
      <c r="BD859" s="33" t="str">
        <f aca="false">IF(A859="","",COUNTIFS('Demo Pipeline'!$Q$5:$Q$504,A859))</f>
        <v/>
      </c>
      <c r="BE859" s="33" t="str">
        <f aca="false">IF(A859="","",COUNTIFS('Demo Pipeline'!$Q$5:$Q$504,A859,'Demo Pipeline'!$W$5:$W$504,"Attended"))</f>
        <v/>
      </c>
      <c r="BF859" s="33" t="str">
        <f aca="false">IF(A859="","",COUNTIFS('Demo Pipeline'!$Q$5:$Q$504,A859,'Demo Pipeline'!$X$5:$X$504,"Yes"))</f>
        <v/>
      </c>
      <c r="BG859" s="33" t="str">
        <f aca="false">IF(A859="","",COUNTIFS('Demo Pipeline'!$Q$5:$Q$504,A859,'Demo Pipeline'!$Y$5:$Y$504,"Closed Won"))</f>
        <v/>
      </c>
      <c r="BH859" s="37" t="str">
        <f aca="false">IF(A859="","",SUMIFS('Demo Pipeline'!$Z$5:$Z$504,'Demo Pipeline'!$Q$5:$Q$504,A859))</f>
        <v/>
      </c>
      <c r="BI859" s="34" t="str">
        <f aca="false">IF(OR(AZ859="",N(AJ859)=0),"",AZ859/AJ859)</f>
        <v/>
      </c>
      <c r="BJ859" s="34" t="str">
        <f aca="false">IF(OR(BB859="",N(AZ859)=0),"",BB859/AZ859)</f>
        <v/>
      </c>
      <c r="BK859" s="34" t="str">
        <f aca="false">IF(OR(A859="",N(BB859)=0),"",BD859/BB859)</f>
        <v/>
      </c>
      <c r="BL859" s="34" t="str">
        <f aca="false">IF(OR(A859="",N(AZ859)=0),"",BD859/AZ859)</f>
        <v/>
      </c>
      <c r="BM859" s="37" t="str">
        <f aca="false">IF(OR(N(Q859)=0,N(BD859)=0),"",Q859/BD859)</f>
        <v/>
      </c>
      <c r="BN859" s="29"/>
      <c r="BO859" s="29"/>
      <c r="BP859" s="33" t="str">
        <f aca="false">IF(OR(AR859="",N(AO859)=0),"",AR859)</f>
        <v/>
      </c>
      <c r="BQ859" s="33" t="str">
        <f aca="false">IF(OR(AR859="",N(S859)=0),"",S859)</f>
        <v/>
      </c>
      <c r="BR859" s="38" t="str">
        <f aca="false">IF(AND(ISNUMBER(B859),B859&gt;=Dashboard!$C$4,B859&lt;=Dashboard!$F$4,ISNUMBER(AU859)),AU859+ROW()/10^9,"")</f>
        <v/>
      </c>
      <c r="BS859" s="38" t="str">
        <f aca="false">IF(AND(ISNUMBER(B859),B859&gt;=Dashboard!$C$4,B859&lt;=Dashboard!$F$4,A859&lt;&gt;""),N(BD859)+N(AU859)/100+ROW()/10^9,"")</f>
        <v/>
      </c>
    </row>
    <row r="860" customFormat="false" ht="15" hidden="false" customHeight="false" outlineLevel="0" collapsed="false">
      <c r="A860" s="24" t="str">
        <f aca="false">IF(OR(B860="",G860="",H860=""),"",IFERROR(INDEX(Settings!$E$5:$E$49,MATCH(G860,Settings!$D$5:$D$49,0))&amp;INDEX(Settings!$H$5:$H$47,MATCH(H860,Settings!$G$5:$G$47,0))&amp;"-"&amp;TEXT(B860,"yymmdd")&amp;"-"&amp;IF(C860="","0000",TEXT(C860,"hhmm")),"CHECK LISTS"))</f>
        <v/>
      </c>
      <c r="B860" s="39"/>
      <c r="C860" s="40"/>
      <c r="D860" s="24" t="str">
        <f aca="false">IF(B860="","",TEXT(B860,"ddd"))</f>
        <v/>
      </c>
      <c r="E860" s="27" t="str">
        <f aca="false">IF(B860="","",B860-WEEKDAY(B860,3))</f>
        <v/>
      </c>
      <c r="F860" s="24" t="str">
        <f aca="false">IF(B860="","",TEXT(B860,"yyyy-mm"))</f>
        <v/>
      </c>
      <c r="G860" s="29"/>
      <c r="H860" s="29"/>
      <c r="I860" s="29"/>
      <c r="J860" s="29"/>
      <c r="K860" s="29"/>
      <c r="L860" s="29"/>
      <c r="M860" s="29"/>
      <c r="N860" s="29"/>
      <c r="O860" s="29"/>
      <c r="P860" s="29"/>
      <c r="Q860" s="30"/>
      <c r="R860" s="29"/>
      <c r="S860" s="32"/>
      <c r="T860" s="29"/>
      <c r="U860" s="29"/>
      <c r="V860" s="24" t="str">
        <f aca="false">IF(A860="","",IFERROR(INDEX(Settings!$F$5:$F$49,MATCH(G860,Settings!$D$5:$D$49,0)),""))</f>
        <v/>
      </c>
      <c r="W860" s="24" t="str">
        <f aca="false">IF(A860="","",IF(OR(P860="",P860="Organic"),"social","paid_social"))</f>
        <v/>
      </c>
      <c r="X860" s="24" t="str">
        <f aca="false">IF(A860="","",IF(K860&lt;&gt;"",IFERROR(INDEX('Case Studies'!$C$5:$C$54,MATCH(K860,'Case Studies'!$B$5:$B$54,0))&amp;"","case-study"),IF(J860&lt;&gt;"",IFERROR(INDEX(Settings!$J$5:$J$55,MATCH(J860,Settings!$I$5:$I$55,0)),"general"),"general")))</f>
        <v/>
      </c>
      <c r="Y860" s="24" t="str">
        <f aca="false">IF(A860="","",LOWER(A860))</f>
        <v/>
      </c>
      <c r="Z860" s="24" t="str">
        <f aca="false">IF(A860="","",IF(T860="",Settings!$B$5,T860)&amp;IF(ISNUMBER(FIND("?",IF(T860="",Settings!$B$5,T860))),"&amp;","?")&amp;"utm_source="&amp;V860&amp;"&amp;utm_medium="&amp;W860&amp;"&amp;utm_campaign="&amp;X860&amp;"&amp;utm_content="&amp;Y860)</f>
        <v/>
      </c>
      <c r="AA860" s="29"/>
      <c r="AB860" s="39"/>
      <c r="AC860" s="32"/>
      <c r="AD860" s="32"/>
      <c r="AE860" s="32"/>
      <c r="AF860" s="32"/>
      <c r="AG860" s="32"/>
      <c r="AH860" s="32"/>
      <c r="AI860" s="32"/>
      <c r="AJ860" s="32"/>
      <c r="AK860" s="32"/>
      <c r="AL860" s="32"/>
      <c r="AM860" s="32"/>
      <c r="AN860" s="32"/>
      <c r="AO860" s="33" t="str">
        <f aca="false">IF(A860="","",IF(AD860&lt;&gt;"",AD860,IF(AC860&lt;&gt;"",AC860,"")))</f>
        <v/>
      </c>
      <c r="AP860" s="24" t="str">
        <f aca="false">IF(AO860="","",IF(AD860&lt;&gt;"","Reported reach","Impressions (proxy)"))</f>
        <v/>
      </c>
      <c r="AQ860" s="34" t="str">
        <f aca="false">IF(OR(AO860="",N(S860)=0),"",AO860/S860)</f>
        <v/>
      </c>
      <c r="AR860" s="33" t="str">
        <f aca="false">IF(A860="","",IF(COUNT(AF860:AJ860)=0,"",SUM(AF860:AJ860)))</f>
        <v/>
      </c>
      <c r="AS860" s="34" t="str">
        <f aca="false">IF(OR(AR860="",N(AO860)=0),"",AR860/AO860)</f>
        <v/>
      </c>
      <c r="AT860" s="34" t="str">
        <f aca="false">IF(OR(AR860="",N(AC860)=0),"",AR860/AC860)</f>
        <v/>
      </c>
      <c r="AU860" s="34" t="str">
        <f aca="false">IF(OR(AR860="",N(S860)=0),"",AR860/S860)</f>
        <v/>
      </c>
      <c r="AV860" s="34" t="str">
        <f aca="false">IF(OR(AJ860="",N(AC860)=0),"",AJ860/AC860)</f>
        <v/>
      </c>
      <c r="AW860" s="34" t="str">
        <f aca="false">IF(OR(AH860="",N(AO860)=0),"",AH860/AO860)</f>
        <v/>
      </c>
      <c r="AX860" s="35" t="str">
        <f aca="false">IF(OR(AR860="",N(AO860)=0),"",(N(AF860)*Settings!$B$6+N(AG860)*Settings!$B$7+N(AH860)*Settings!$B$8+N(AI860)*Settings!$B$9+N(AJ860)*Settings!$B$10)/AO860*1000)</f>
        <v/>
      </c>
      <c r="AY860" s="36" t="str">
        <f aca="false">IF(AS860="","",IFERROR(AS860/AVERAGEIFS('Post Tracker'!$AS$5:$AS$1004,'Post Tracker'!$G$5:$G$1004,G860),""))</f>
        <v/>
      </c>
      <c r="AZ860" s="32"/>
      <c r="BA860" s="32"/>
      <c r="BB860" s="32"/>
      <c r="BC860" s="32"/>
      <c r="BD860" s="33" t="str">
        <f aca="false">IF(A860="","",COUNTIFS('Demo Pipeline'!$Q$5:$Q$504,A860))</f>
        <v/>
      </c>
      <c r="BE860" s="33" t="str">
        <f aca="false">IF(A860="","",COUNTIFS('Demo Pipeline'!$Q$5:$Q$504,A860,'Demo Pipeline'!$W$5:$W$504,"Attended"))</f>
        <v/>
      </c>
      <c r="BF860" s="33" t="str">
        <f aca="false">IF(A860="","",COUNTIFS('Demo Pipeline'!$Q$5:$Q$504,A860,'Demo Pipeline'!$X$5:$X$504,"Yes"))</f>
        <v/>
      </c>
      <c r="BG860" s="33" t="str">
        <f aca="false">IF(A860="","",COUNTIFS('Demo Pipeline'!$Q$5:$Q$504,A860,'Demo Pipeline'!$Y$5:$Y$504,"Closed Won"))</f>
        <v/>
      </c>
      <c r="BH860" s="37" t="str">
        <f aca="false">IF(A860="","",SUMIFS('Demo Pipeline'!$Z$5:$Z$504,'Demo Pipeline'!$Q$5:$Q$504,A860))</f>
        <v/>
      </c>
      <c r="BI860" s="34" t="str">
        <f aca="false">IF(OR(AZ860="",N(AJ860)=0),"",AZ860/AJ860)</f>
        <v/>
      </c>
      <c r="BJ860" s="34" t="str">
        <f aca="false">IF(OR(BB860="",N(AZ860)=0),"",BB860/AZ860)</f>
        <v/>
      </c>
      <c r="BK860" s="34" t="str">
        <f aca="false">IF(OR(A860="",N(BB860)=0),"",BD860/BB860)</f>
        <v/>
      </c>
      <c r="BL860" s="34" t="str">
        <f aca="false">IF(OR(A860="",N(AZ860)=0),"",BD860/AZ860)</f>
        <v/>
      </c>
      <c r="BM860" s="37" t="str">
        <f aca="false">IF(OR(N(Q860)=0,N(BD860)=0),"",Q860/BD860)</f>
        <v/>
      </c>
      <c r="BN860" s="29"/>
      <c r="BO860" s="29"/>
      <c r="BP860" s="33" t="str">
        <f aca="false">IF(OR(AR860="",N(AO860)=0),"",AR860)</f>
        <v/>
      </c>
      <c r="BQ860" s="33" t="str">
        <f aca="false">IF(OR(AR860="",N(S860)=0),"",S860)</f>
        <v/>
      </c>
      <c r="BR860" s="38" t="str">
        <f aca="false">IF(AND(ISNUMBER(B860),B860&gt;=Dashboard!$C$4,B860&lt;=Dashboard!$F$4,ISNUMBER(AU860)),AU860+ROW()/10^9,"")</f>
        <v/>
      </c>
      <c r="BS860" s="38" t="str">
        <f aca="false">IF(AND(ISNUMBER(B860),B860&gt;=Dashboard!$C$4,B860&lt;=Dashboard!$F$4,A860&lt;&gt;""),N(BD860)+N(AU860)/100+ROW()/10^9,"")</f>
        <v/>
      </c>
    </row>
    <row r="861" customFormat="false" ht="15" hidden="false" customHeight="false" outlineLevel="0" collapsed="false">
      <c r="A861" s="24" t="str">
        <f aca="false">IF(OR(B861="",G861="",H861=""),"",IFERROR(INDEX(Settings!$E$5:$E$49,MATCH(G861,Settings!$D$5:$D$49,0))&amp;INDEX(Settings!$H$5:$H$47,MATCH(H861,Settings!$G$5:$G$47,0))&amp;"-"&amp;TEXT(B861,"yymmdd")&amp;"-"&amp;IF(C861="","0000",TEXT(C861,"hhmm")),"CHECK LISTS"))</f>
        <v/>
      </c>
      <c r="B861" s="39"/>
      <c r="C861" s="40"/>
      <c r="D861" s="24" t="str">
        <f aca="false">IF(B861="","",TEXT(B861,"ddd"))</f>
        <v/>
      </c>
      <c r="E861" s="27" t="str">
        <f aca="false">IF(B861="","",B861-WEEKDAY(B861,3))</f>
        <v/>
      </c>
      <c r="F861" s="24" t="str">
        <f aca="false">IF(B861="","",TEXT(B861,"yyyy-mm"))</f>
        <v/>
      </c>
      <c r="G861" s="29"/>
      <c r="H861" s="29"/>
      <c r="I861" s="29"/>
      <c r="J861" s="29"/>
      <c r="K861" s="29"/>
      <c r="L861" s="29"/>
      <c r="M861" s="29"/>
      <c r="N861" s="29"/>
      <c r="O861" s="29"/>
      <c r="P861" s="29"/>
      <c r="Q861" s="30"/>
      <c r="R861" s="29"/>
      <c r="S861" s="32"/>
      <c r="T861" s="29"/>
      <c r="U861" s="29"/>
      <c r="V861" s="24" t="str">
        <f aca="false">IF(A861="","",IFERROR(INDEX(Settings!$F$5:$F$49,MATCH(G861,Settings!$D$5:$D$49,0)),""))</f>
        <v/>
      </c>
      <c r="W861" s="24" t="str">
        <f aca="false">IF(A861="","",IF(OR(P861="",P861="Organic"),"social","paid_social"))</f>
        <v/>
      </c>
      <c r="X861" s="24" t="str">
        <f aca="false">IF(A861="","",IF(K861&lt;&gt;"",IFERROR(INDEX('Case Studies'!$C$5:$C$54,MATCH(K861,'Case Studies'!$B$5:$B$54,0))&amp;"","case-study"),IF(J861&lt;&gt;"",IFERROR(INDEX(Settings!$J$5:$J$55,MATCH(J861,Settings!$I$5:$I$55,0)),"general"),"general")))</f>
        <v/>
      </c>
      <c r="Y861" s="24" t="str">
        <f aca="false">IF(A861="","",LOWER(A861))</f>
        <v/>
      </c>
      <c r="Z861" s="24" t="str">
        <f aca="false">IF(A861="","",IF(T861="",Settings!$B$5,T861)&amp;IF(ISNUMBER(FIND("?",IF(T861="",Settings!$B$5,T861))),"&amp;","?")&amp;"utm_source="&amp;V861&amp;"&amp;utm_medium="&amp;W861&amp;"&amp;utm_campaign="&amp;X861&amp;"&amp;utm_content="&amp;Y861)</f>
        <v/>
      </c>
      <c r="AA861" s="29"/>
      <c r="AB861" s="39"/>
      <c r="AC861" s="32"/>
      <c r="AD861" s="32"/>
      <c r="AE861" s="32"/>
      <c r="AF861" s="32"/>
      <c r="AG861" s="32"/>
      <c r="AH861" s="32"/>
      <c r="AI861" s="32"/>
      <c r="AJ861" s="32"/>
      <c r="AK861" s="32"/>
      <c r="AL861" s="32"/>
      <c r="AM861" s="32"/>
      <c r="AN861" s="32"/>
      <c r="AO861" s="33" t="str">
        <f aca="false">IF(A861="","",IF(AD861&lt;&gt;"",AD861,IF(AC861&lt;&gt;"",AC861,"")))</f>
        <v/>
      </c>
      <c r="AP861" s="24" t="str">
        <f aca="false">IF(AO861="","",IF(AD861&lt;&gt;"","Reported reach","Impressions (proxy)"))</f>
        <v/>
      </c>
      <c r="AQ861" s="34" t="str">
        <f aca="false">IF(OR(AO861="",N(S861)=0),"",AO861/S861)</f>
        <v/>
      </c>
      <c r="AR861" s="33" t="str">
        <f aca="false">IF(A861="","",IF(COUNT(AF861:AJ861)=0,"",SUM(AF861:AJ861)))</f>
        <v/>
      </c>
      <c r="AS861" s="34" t="str">
        <f aca="false">IF(OR(AR861="",N(AO861)=0),"",AR861/AO861)</f>
        <v/>
      </c>
      <c r="AT861" s="34" t="str">
        <f aca="false">IF(OR(AR861="",N(AC861)=0),"",AR861/AC861)</f>
        <v/>
      </c>
      <c r="AU861" s="34" t="str">
        <f aca="false">IF(OR(AR861="",N(S861)=0),"",AR861/S861)</f>
        <v/>
      </c>
      <c r="AV861" s="34" t="str">
        <f aca="false">IF(OR(AJ861="",N(AC861)=0),"",AJ861/AC861)</f>
        <v/>
      </c>
      <c r="AW861" s="34" t="str">
        <f aca="false">IF(OR(AH861="",N(AO861)=0),"",AH861/AO861)</f>
        <v/>
      </c>
      <c r="AX861" s="35" t="str">
        <f aca="false">IF(OR(AR861="",N(AO861)=0),"",(N(AF861)*Settings!$B$6+N(AG861)*Settings!$B$7+N(AH861)*Settings!$B$8+N(AI861)*Settings!$B$9+N(AJ861)*Settings!$B$10)/AO861*1000)</f>
        <v/>
      </c>
      <c r="AY861" s="36" t="str">
        <f aca="false">IF(AS861="","",IFERROR(AS861/AVERAGEIFS('Post Tracker'!$AS$5:$AS$1004,'Post Tracker'!$G$5:$G$1004,G861),""))</f>
        <v/>
      </c>
      <c r="AZ861" s="32"/>
      <c r="BA861" s="32"/>
      <c r="BB861" s="32"/>
      <c r="BC861" s="32"/>
      <c r="BD861" s="33" t="str">
        <f aca="false">IF(A861="","",COUNTIFS('Demo Pipeline'!$Q$5:$Q$504,A861))</f>
        <v/>
      </c>
      <c r="BE861" s="33" t="str">
        <f aca="false">IF(A861="","",COUNTIFS('Demo Pipeline'!$Q$5:$Q$504,A861,'Demo Pipeline'!$W$5:$W$504,"Attended"))</f>
        <v/>
      </c>
      <c r="BF861" s="33" t="str">
        <f aca="false">IF(A861="","",COUNTIFS('Demo Pipeline'!$Q$5:$Q$504,A861,'Demo Pipeline'!$X$5:$X$504,"Yes"))</f>
        <v/>
      </c>
      <c r="BG861" s="33" t="str">
        <f aca="false">IF(A861="","",COUNTIFS('Demo Pipeline'!$Q$5:$Q$504,A861,'Demo Pipeline'!$Y$5:$Y$504,"Closed Won"))</f>
        <v/>
      </c>
      <c r="BH861" s="37" t="str">
        <f aca="false">IF(A861="","",SUMIFS('Demo Pipeline'!$Z$5:$Z$504,'Demo Pipeline'!$Q$5:$Q$504,A861))</f>
        <v/>
      </c>
      <c r="BI861" s="34" t="str">
        <f aca="false">IF(OR(AZ861="",N(AJ861)=0),"",AZ861/AJ861)</f>
        <v/>
      </c>
      <c r="BJ861" s="34" t="str">
        <f aca="false">IF(OR(BB861="",N(AZ861)=0),"",BB861/AZ861)</f>
        <v/>
      </c>
      <c r="BK861" s="34" t="str">
        <f aca="false">IF(OR(A861="",N(BB861)=0),"",BD861/BB861)</f>
        <v/>
      </c>
      <c r="BL861" s="34" t="str">
        <f aca="false">IF(OR(A861="",N(AZ861)=0),"",BD861/AZ861)</f>
        <v/>
      </c>
      <c r="BM861" s="37" t="str">
        <f aca="false">IF(OR(N(Q861)=0,N(BD861)=0),"",Q861/BD861)</f>
        <v/>
      </c>
      <c r="BN861" s="29"/>
      <c r="BO861" s="29"/>
      <c r="BP861" s="33" t="str">
        <f aca="false">IF(OR(AR861="",N(AO861)=0),"",AR861)</f>
        <v/>
      </c>
      <c r="BQ861" s="33" t="str">
        <f aca="false">IF(OR(AR861="",N(S861)=0),"",S861)</f>
        <v/>
      </c>
      <c r="BR861" s="38" t="str">
        <f aca="false">IF(AND(ISNUMBER(B861),B861&gt;=Dashboard!$C$4,B861&lt;=Dashboard!$F$4,ISNUMBER(AU861)),AU861+ROW()/10^9,"")</f>
        <v/>
      </c>
      <c r="BS861" s="38" t="str">
        <f aca="false">IF(AND(ISNUMBER(B861),B861&gt;=Dashboard!$C$4,B861&lt;=Dashboard!$F$4,A861&lt;&gt;""),N(BD861)+N(AU861)/100+ROW()/10^9,"")</f>
        <v/>
      </c>
    </row>
    <row r="862" customFormat="false" ht="15" hidden="false" customHeight="false" outlineLevel="0" collapsed="false">
      <c r="A862" s="24" t="str">
        <f aca="false">IF(OR(B862="",G862="",H862=""),"",IFERROR(INDEX(Settings!$E$5:$E$49,MATCH(G862,Settings!$D$5:$D$49,0))&amp;INDEX(Settings!$H$5:$H$47,MATCH(H862,Settings!$G$5:$G$47,0))&amp;"-"&amp;TEXT(B862,"yymmdd")&amp;"-"&amp;IF(C862="","0000",TEXT(C862,"hhmm")),"CHECK LISTS"))</f>
        <v/>
      </c>
      <c r="B862" s="39"/>
      <c r="C862" s="40"/>
      <c r="D862" s="24" t="str">
        <f aca="false">IF(B862="","",TEXT(B862,"ddd"))</f>
        <v/>
      </c>
      <c r="E862" s="27" t="str">
        <f aca="false">IF(B862="","",B862-WEEKDAY(B862,3))</f>
        <v/>
      </c>
      <c r="F862" s="24" t="str">
        <f aca="false">IF(B862="","",TEXT(B862,"yyyy-mm"))</f>
        <v/>
      </c>
      <c r="G862" s="29"/>
      <c r="H862" s="29"/>
      <c r="I862" s="29"/>
      <c r="J862" s="29"/>
      <c r="K862" s="29"/>
      <c r="L862" s="29"/>
      <c r="M862" s="29"/>
      <c r="N862" s="29"/>
      <c r="O862" s="29"/>
      <c r="P862" s="29"/>
      <c r="Q862" s="30"/>
      <c r="R862" s="29"/>
      <c r="S862" s="32"/>
      <c r="T862" s="29"/>
      <c r="U862" s="29"/>
      <c r="V862" s="24" t="str">
        <f aca="false">IF(A862="","",IFERROR(INDEX(Settings!$F$5:$F$49,MATCH(G862,Settings!$D$5:$D$49,0)),""))</f>
        <v/>
      </c>
      <c r="W862" s="24" t="str">
        <f aca="false">IF(A862="","",IF(OR(P862="",P862="Organic"),"social","paid_social"))</f>
        <v/>
      </c>
      <c r="X862" s="24" t="str">
        <f aca="false">IF(A862="","",IF(K862&lt;&gt;"",IFERROR(INDEX('Case Studies'!$C$5:$C$54,MATCH(K862,'Case Studies'!$B$5:$B$54,0))&amp;"","case-study"),IF(J862&lt;&gt;"",IFERROR(INDEX(Settings!$J$5:$J$55,MATCH(J862,Settings!$I$5:$I$55,0)),"general"),"general")))</f>
        <v/>
      </c>
      <c r="Y862" s="24" t="str">
        <f aca="false">IF(A862="","",LOWER(A862))</f>
        <v/>
      </c>
      <c r="Z862" s="24" t="str">
        <f aca="false">IF(A862="","",IF(T862="",Settings!$B$5,T862)&amp;IF(ISNUMBER(FIND("?",IF(T862="",Settings!$B$5,T862))),"&amp;","?")&amp;"utm_source="&amp;V862&amp;"&amp;utm_medium="&amp;W862&amp;"&amp;utm_campaign="&amp;X862&amp;"&amp;utm_content="&amp;Y862)</f>
        <v/>
      </c>
      <c r="AA862" s="29"/>
      <c r="AB862" s="39"/>
      <c r="AC862" s="32"/>
      <c r="AD862" s="32"/>
      <c r="AE862" s="32"/>
      <c r="AF862" s="32"/>
      <c r="AG862" s="32"/>
      <c r="AH862" s="32"/>
      <c r="AI862" s="32"/>
      <c r="AJ862" s="32"/>
      <c r="AK862" s="32"/>
      <c r="AL862" s="32"/>
      <c r="AM862" s="32"/>
      <c r="AN862" s="32"/>
      <c r="AO862" s="33" t="str">
        <f aca="false">IF(A862="","",IF(AD862&lt;&gt;"",AD862,IF(AC862&lt;&gt;"",AC862,"")))</f>
        <v/>
      </c>
      <c r="AP862" s="24" t="str">
        <f aca="false">IF(AO862="","",IF(AD862&lt;&gt;"","Reported reach","Impressions (proxy)"))</f>
        <v/>
      </c>
      <c r="AQ862" s="34" t="str">
        <f aca="false">IF(OR(AO862="",N(S862)=0),"",AO862/S862)</f>
        <v/>
      </c>
      <c r="AR862" s="33" t="str">
        <f aca="false">IF(A862="","",IF(COUNT(AF862:AJ862)=0,"",SUM(AF862:AJ862)))</f>
        <v/>
      </c>
      <c r="AS862" s="34" t="str">
        <f aca="false">IF(OR(AR862="",N(AO862)=0),"",AR862/AO862)</f>
        <v/>
      </c>
      <c r="AT862" s="34" t="str">
        <f aca="false">IF(OR(AR862="",N(AC862)=0),"",AR862/AC862)</f>
        <v/>
      </c>
      <c r="AU862" s="34" t="str">
        <f aca="false">IF(OR(AR862="",N(S862)=0),"",AR862/S862)</f>
        <v/>
      </c>
      <c r="AV862" s="34" t="str">
        <f aca="false">IF(OR(AJ862="",N(AC862)=0),"",AJ862/AC862)</f>
        <v/>
      </c>
      <c r="AW862" s="34" t="str">
        <f aca="false">IF(OR(AH862="",N(AO862)=0),"",AH862/AO862)</f>
        <v/>
      </c>
      <c r="AX862" s="35" t="str">
        <f aca="false">IF(OR(AR862="",N(AO862)=0),"",(N(AF862)*Settings!$B$6+N(AG862)*Settings!$B$7+N(AH862)*Settings!$B$8+N(AI862)*Settings!$B$9+N(AJ862)*Settings!$B$10)/AO862*1000)</f>
        <v/>
      </c>
      <c r="AY862" s="36" t="str">
        <f aca="false">IF(AS862="","",IFERROR(AS862/AVERAGEIFS('Post Tracker'!$AS$5:$AS$1004,'Post Tracker'!$G$5:$G$1004,G862),""))</f>
        <v/>
      </c>
      <c r="AZ862" s="32"/>
      <c r="BA862" s="32"/>
      <c r="BB862" s="32"/>
      <c r="BC862" s="32"/>
      <c r="BD862" s="33" t="str">
        <f aca="false">IF(A862="","",COUNTIFS('Demo Pipeline'!$Q$5:$Q$504,A862))</f>
        <v/>
      </c>
      <c r="BE862" s="33" t="str">
        <f aca="false">IF(A862="","",COUNTIFS('Demo Pipeline'!$Q$5:$Q$504,A862,'Demo Pipeline'!$W$5:$W$504,"Attended"))</f>
        <v/>
      </c>
      <c r="BF862" s="33" t="str">
        <f aca="false">IF(A862="","",COUNTIFS('Demo Pipeline'!$Q$5:$Q$504,A862,'Demo Pipeline'!$X$5:$X$504,"Yes"))</f>
        <v/>
      </c>
      <c r="BG862" s="33" t="str">
        <f aca="false">IF(A862="","",COUNTIFS('Demo Pipeline'!$Q$5:$Q$504,A862,'Demo Pipeline'!$Y$5:$Y$504,"Closed Won"))</f>
        <v/>
      </c>
      <c r="BH862" s="37" t="str">
        <f aca="false">IF(A862="","",SUMIFS('Demo Pipeline'!$Z$5:$Z$504,'Demo Pipeline'!$Q$5:$Q$504,A862))</f>
        <v/>
      </c>
      <c r="BI862" s="34" t="str">
        <f aca="false">IF(OR(AZ862="",N(AJ862)=0),"",AZ862/AJ862)</f>
        <v/>
      </c>
      <c r="BJ862" s="34" t="str">
        <f aca="false">IF(OR(BB862="",N(AZ862)=0),"",BB862/AZ862)</f>
        <v/>
      </c>
      <c r="BK862" s="34" t="str">
        <f aca="false">IF(OR(A862="",N(BB862)=0),"",BD862/BB862)</f>
        <v/>
      </c>
      <c r="BL862" s="34" t="str">
        <f aca="false">IF(OR(A862="",N(AZ862)=0),"",BD862/AZ862)</f>
        <v/>
      </c>
      <c r="BM862" s="37" t="str">
        <f aca="false">IF(OR(N(Q862)=0,N(BD862)=0),"",Q862/BD862)</f>
        <v/>
      </c>
      <c r="BN862" s="29"/>
      <c r="BO862" s="29"/>
      <c r="BP862" s="33" t="str">
        <f aca="false">IF(OR(AR862="",N(AO862)=0),"",AR862)</f>
        <v/>
      </c>
      <c r="BQ862" s="33" t="str">
        <f aca="false">IF(OR(AR862="",N(S862)=0),"",S862)</f>
        <v/>
      </c>
      <c r="BR862" s="38" t="str">
        <f aca="false">IF(AND(ISNUMBER(B862),B862&gt;=Dashboard!$C$4,B862&lt;=Dashboard!$F$4,ISNUMBER(AU862)),AU862+ROW()/10^9,"")</f>
        <v/>
      </c>
      <c r="BS862" s="38" t="str">
        <f aca="false">IF(AND(ISNUMBER(B862),B862&gt;=Dashboard!$C$4,B862&lt;=Dashboard!$F$4,A862&lt;&gt;""),N(BD862)+N(AU862)/100+ROW()/10^9,"")</f>
        <v/>
      </c>
    </row>
    <row r="863" customFormat="false" ht="15" hidden="false" customHeight="false" outlineLevel="0" collapsed="false">
      <c r="A863" s="24" t="str">
        <f aca="false">IF(OR(B863="",G863="",H863=""),"",IFERROR(INDEX(Settings!$E$5:$E$49,MATCH(G863,Settings!$D$5:$D$49,0))&amp;INDEX(Settings!$H$5:$H$47,MATCH(H863,Settings!$G$5:$G$47,0))&amp;"-"&amp;TEXT(B863,"yymmdd")&amp;"-"&amp;IF(C863="","0000",TEXT(C863,"hhmm")),"CHECK LISTS"))</f>
        <v/>
      </c>
      <c r="B863" s="39"/>
      <c r="C863" s="40"/>
      <c r="D863" s="24" t="str">
        <f aca="false">IF(B863="","",TEXT(B863,"ddd"))</f>
        <v/>
      </c>
      <c r="E863" s="27" t="str">
        <f aca="false">IF(B863="","",B863-WEEKDAY(B863,3))</f>
        <v/>
      </c>
      <c r="F863" s="24" t="str">
        <f aca="false">IF(B863="","",TEXT(B863,"yyyy-mm"))</f>
        <v/>
      </c>
      <c r="G863" s="29"/>
      <c r="H863" s="29"/>
      <c r="I863" s="29"/>
      <c r="J863" s="29"/>
      <c r="K863" s="29"/>
      <c r="L863" s="29"/>
      <c r="M863" s="29"/>
      <c r="N863" s="29"/>
      <c r="O863" s="29"/>
      <c r="P863" s="29"/>
      <c r="Q863" s="30"/>
      <c r="R863" s="29"/>
      <c r="S863" s="32"/>
      <c r="T863" s="29"/>
      <c r="U863" s="29"/>
      <c r="V863" s="24" t="str">
        <f aca="false">IF(A863="","",IFERROR(INDEX(Settings!$F$5:$F$49,MATCH(G863,Settings!$D$5:$D$49,0)),""))</f>
        <v/>
      </c>
      <c r="W863" s="24" t="str">
        <f aca="false">IF(A863="","",IF(OR(P863="",P863="Organic"),"social","paid_social"))</f>
        <v/>
      </c>
      <c r="X863" s="24" t="str">
        <f aca="false">IF(A863="","",IF(K863&lt;&gt;"",IFERROR(INDEX('Case Studies'!$C$5:$C$54,MATCH(K863,'Case Studies'!$B$5:$B$54,0))&amp;"","case-study"),IF(J863&lt;&gt;"",IFERROR(INDEX(Settings!$J$5:$J$55,MATCH(J863,Settings!$I$5:$I$55,0)),"general"),"general")))</f>
        <v/>
      </c>
      <c r="Y863" s="24" t="str">
        <f aca="false">IF(A863="","",LOWER(A863))</f>
        <v/>
      </c>
      <c r="Z863" s="24" t="str">
        <f aca="false">IF(A863="","",IF(T863="",Settings!$B$5,T863)&amp;IF(ISNUMBER(FIND("?",IF(T863="",Settings!$B$5,T863))),"&amp;","?")&amp;"utm_source="&amp;V863&amp;"&amp;utm_medium="&amp;W863&amp;"&amp;utm_campaign="&amp;X863&amp;"&amp;utm_content="&amp;Y863)</f>
        <v/>
      </c>
      <c r="AA863" s="29"/>
      <c r="AB863" s="39"/>
      <c r="AC863" s="32"/>
      <c r="AD863" s="32"/>
      <c r="AE863" s="32"/>
      <c r="AF863" s="32"/>
      <c r="AG863" s="32"/>
      <c r="AH863" s="32"/>
      <c r="AI863" s="32"/>
      <c r="AJ863" s="32"/>
      <c r="AK863" s="32"/>
      <c r="AL863" s="32"/>
      <c r="AM863" s="32"/>
      <c r="AN863" s="32"/>
      <c r="AO863" s="33" t="str">
        <f aca="false">IF(A863="","",IF(AD863&lt;&gt;"",AD863,IF(AC863&lt;&gt;"",AC863,"")))</f>
        <v/>
      </c>
      <c r="AP863" s="24" t="str">
        <f aca="false">IF(AO863="","",IF(AD863&lt;&gt;"","Reported reach","Impressions (proxy)"))</f>
        <v/>
      </c>
      <c r="AQ863" s="34" t="str">
        <f aca="false">IF(OR(AO863="",N(S863)=0),"",AO863/S863)</f>
        <v/>
      </c>
      <c r="AR863" s="33" t="str">
        <f aca="false">IF(A863="","",IF(COUNT(AF863:AJ863)=0,"",SUM(AF863:AJ863)))</f>
        <v/>
      </c>
      <c r="AS863" s="34" t="str">
        <f aca="false">IF(OR(AR863="",N(AO863)=0),"",AR863/AO863)</f>
        <v/>
      </c>
      <c r="AT863" s="34" t="str">
        <f aca="false">IF(OR(AR863="",N(AC863)=0),"",AR863/AC863)</f>
        <v/>
      </c>
      <c r="AU863" s="34" t="str">
        <f aca="false">IF(OR(AR863="",N(S863)=0),"",AR863/S863)</f>
        <v/>
      </c>
      <c r="AV863" s="34" t="str">
        <f aca="false">IF(OR(AJ863="",N(AC863)=0),"",AJ863/AC863)</f>
        <v/>
      </c>
      <c r="AW863" s="34" t="str">
        <f aca="false">IF(OR(AH863="",N(AO863)=0),"",AH863/AO863)</f>
        <v/>
      </c>
      <c r="AX863" s="35" t="str">
        <f aca="false">IF(OR(AR863="",N(AO863)=0),"",(N(AF863)*Settings!$B$6+N(AG863)*Settings!$B$7+N(AH863)*Settings!$B$8+N(AI863)*Settings!$B$9+N(AJ863)*Settings!$B$10)/AO863*1000)</f>
        <v/>
      </c>
      <c r="AY863" s="36" t="str">
        <f aca="false">IF(AS863="","",IFERROR(AS863/AVERAGEIFS('Post Tracker'!$AS$5:$AS$1004,'Post Tracker'!$G$5:$G$1004,G863),""))</f>
        <v/>
      </c>
      <c r="AZ863" s="32"/>
      <c r="BA863" s="32"/>
      <c r="BB863" s="32"/>
      <c r="BC863" s="32"/>
      <c r="BD863" s="33" t="str">
        <f aca="false">IF(A863="","",COUNTIFS('Demo Pipeline'!$Q$5:$Q$504,A863))</f>
        <v/>
      </c>
      <c r="BE863" s="33" t="str">
        <f aca="false">IF(A863="","",COUNTIFS('Demo Pipeline'!$Q$5:$Q$504,A863,'Demo Pipeline'!$W$5:$W$504,"Attended"))</f>
        <v/>
      </c>
      <c r="BF863" s="33" t="str">
        <f aca="false">IF(A863="","",COUNTIFS('Demo Pipeline'!$Q$5:$Q$504,A863,'Demo Pipeline'!$X$5:$X$504,"Yes"))</f>
        <v/>
      </c>
      <c r="BG863" s="33" t="str">
        <f aca="false">IF(A863="","",COUNTIFS('Demo Pipeline'!$Q$5:$Q$504,A863,'Demo Pipeline'!$Y$5:$Y$504,"Closed Won"))</f>
        <v/>
      </c>
      <c r="BH863" s="37" t="str">
        <f aca="false">IF(A863="","",SUMIFS('Demo Pipeline'!$Z$5:$Z$504,'Demo Pipeline'!$Q$5:$Q$504,A863))</f>
        <v/>
      </c>
      <c r="BI863" s="34" t="str">
        <f aca="false">IF(OR(AZ863="",N(AJ863)=0),"",AZ863/AJ863)</f>
        <v/>
      </c>
      <c r="BJ863" s="34" t="str">
        <f aca="false">IF(OR(BB863="",N(AZ863)=0),"",BB863/AZ863)</f>
        <v/>
      </c>
      <c r="BK863" s="34" t="str">
        <f aca="false">IF(OR(A863="",N(BB863)=0),"",BD863/BB863)</f>
        <v/>
      </c>
      <c r="BL863" s="34" t="str">
        <f aca="false">IF(OR(A863="",N(AZ863)=0),"",BD863/AZ863)</f>
        <v/>
      </c>
      <c r="BM863" s="37" t="str">
        <f aca="false">IF(OR(N(Q863)=0,N(BD863)=0),"",Q863/BD863)</f>
        <v/>
      </c>
      <c r="BN863" s="29"/>
      <c r="BO863" s="29"/>
      <c r="BP863" s="33" t="str">
        <f aca="false">IF(OR(AR863="",N(AO863)=0),"",AR863)</f>
        <v/>
      </c>
      <c r="BQ863" s="33" t="str">
        <f aca="false">IF(OR(AR863="",N(S863)=0),"",S863)</f>
        <v/>
      </c>
      <c r="BR863" s="38" t="str">
        <f aca="false">IF(AND(ISNUMBER(B863),B863&gt;=Dashboard!$C$4,B863&lt;=Dashboard!$F$4,ISNUMBER(AU863)),AU863+ROW()/10^9,"")</f>
        <v/>
      </c>
      <c r="BS863" s="38" t="str">
        <f aca="false">IF(AND(ISNUMBER(B863),B863&gt;=Dashboard!$C$4,B863&lt;=Dashboard!$F$4,A863&lt;&gt;""),N(BD863)+N(AU863)/100+ROW()/10^9,"")</f>
        <v/>
      </c>
    </row>
    <row r="864" customFormat="false" ht="15" hidden="false" customHeight="false" outlineLevel="0" collapsed="false">
      <c r="A864" s="24" t="str">
        <f aca="false">IF(OR(B864="",G864="",H864=""),"",IFERROR(INDEX(Settings!$E$5:$E$49,MATCH(G864,Settings!$D$5:$D$49,0))&amp;INDEX(Settings!$H$5:$H$47,MATCH(H864,Settings!$G$5:$G$47,0))&amp;"-"&amp;TEXT(B864,"yymmdd")&amp;"-"&amp;IF(C864="","0000",TEXT(C864,"hhmm")),"CHECK LISTS"))</f>
        <v/>
      </c>
      <c r="B864" s="39"/>
      <c r="C864" s="40"/>
      <c r="D864" s="24" t="str">
        <f aca="false">IF(B864="","",TEXT(B864,"ddd"))</f>
        <v/>
      </c>
      <c r="E864" s="27" t="str">
        <f aca="false">IF(B864="","",B864-WEEKDAY(B864,3))</f>
        <v/>
      </c>
      <c r="F864" s="24" t="str">
        <f aca="false">IF(B864="","",TEXT(B864,"yyyy-mm"))</f>
        <v/>
      </c>
      <c r="G864" s="29"/>
      <c r="H864" s="29"/>
      <c r="I864" s="29"/>
      <c r="J864" s="29"/>
      <c r="K864" s="29"/>
      <c r="L864" s="29"/>
      <c r="M864" s="29"/>
      <c r="N864" s="29"/>
      <c r="O864" s="29"/>
      <c r="P864" s="29"/>
      <c r="Q864" s="30"/>
      <c r="R864" s="29"/>
      <c r="S864" s="32"/>
      <c r="T864" s="29"/>
      <c r="U864" s="29"/>
      <c r="V864" s="24" t="str">
        <f aca="false">IF(A864="","",IFERROR(INDEX(Settings!$F$5:$F$49,MATCH(G864,Settings!$D$5:$D$49,0)),""))</f>
        <v/>
      </c>
      <c r="W864" s="24" t="str">
        <f aca="false">IF(A864="","",IF(OR(P864="",P864="Organic"),"social","paid_social"))</f>
        <v/>
      </c>
      <c r="X864" s="24" t="str">
        <f aca="false">IF(A864="","",IF(K864&lt;&gt;"",IFERROR(INDEX('Case Studies'!$C$5:$C$54,MATCH(K864,'Case Studies'!$B$5:$B$54,0))&amp;"","case-study"),IF(J864&lt;&gt;"",IFERROR(INDEX(Settings!$J$5:$J$55,MATCH(J864,Settings!$I$5:$I$55,0)),"general"),"general")))</f>
        <v/>
      </c>
      <c r="Y864" s="24" t="str">
        <f aca="false">IF(A864="","",LOWER(A864))</f>
        <v/>
      </c>
      <c r="Z864" s="24" t="str">
        <f aca="false">IF(A864="","",IF(T864="",Settings!$B$5,T864)&amp;IF(ISNUMBER(FIND("?",IF(T864="",Settings!$B$5,T864))),"&amp;","?")&amp;"utm_source="&amp;V864&amp;"&amp;utm_medium="&amp;W864&amp;"&amp;utm_campaign="&amp;X864&amp;"&amp;utm_content="&amp;Y864)</f>
        <v/>
      </c>
      <c r="AA864" s="29"/>
      <c r="AB864" s="39"/>
      <c r="AC864" s="32"/>
      <c r="AD864" s="32"/>
      <c r="AE864" s="32"/>
      <c r="AF864" s="32"/>
      <c r="AG864" s="32"/>
      <c r="AH864" s="32"/>
      <c r="AI864" s="32"/>
      <c r="AJ864" s="32"/>
      <c r="AK864" s="32"/>
      <c r="AL864" s="32"/>
      <c r="AM864" s="32"/>
      <c r="AN864" s="32"/>
      <c r="AO864" s="33" t="str">
        <f aca="false">IF(A864="","",IF(AD864&lt;&gt;"",AD864,IF(AC864&lt;&gt;"",AC864,"")))</f>
        <v/>
      </c>
      <c r="AP864" s="24" t="str">
        <f aca="false">IF(AO864="","",IF(AD864&lt;&gt;"","Reported reach","Impressions (proxy)"))</f>
        <v/>
      </c>
      <c r="AQ864" s="34" t="str">
        <f aca="false">IF(OR(AO864="",N(S864)=0),"",AO864/S864)</f>
        <v/>
      </c>
      <c r="AR864" s="33" t="str">
        <f aca="false">IF(A864="","",IF(COUNT(AF864:AJ864)=0,"",SUM(AF864:AJ864)))</f>
        <v/>
      </c>
      <c r="AS864" s="34" t="str">
        <f aca="false">IF(OR(AR864="",N(AO864)=0),"",AR864/AO864)</f>
        <v/>
      </c>
      <c r="AT864" s="34" t="str">
        <f aca="false">IF(OR(AR864="",N(AC864)=0),"",AR864/AC864)</f>
        <v/>
      </c>
      <c r="AU864" s="34" t="str">
        <f aca="false">IF(OR(AR864="",N(S864)=0),"",AR864/S864)</f>
        <v/>
      </c>
      <c r="AV864" s="34" t="str">
        <f aca="false">IF(OR(AJ864="",N(AC864)=0),"",AJ864/AC864)</f>
        <v/>
      </c>
      <c r="AW864" s="34" t="str">
        <f aca="false">IF(OR(AH864="",N(AO864)=0),"",AH864/AO864)</f>
        <v/>
      </c>
      <c r="AX864" s="35" t="str">
        <f aca="false">IF(OR(AR864="",N(AO864)=0),"",(N(AF864)*Settings!$B$6+N(AG864)*Settings!$B$7+N(AH864)*Settings!$B$8+N(AI864)*Settings!$B$9+N(AJ864)*Settings!$B$10)/AO864*1000)</f>
        <v/>
      </c>
      <c r="AY864" s="36" t="str">
        <f aca="false">IF(AS864="","",IFERROR(AS864/AVERAGEIFS('Post Tracker'!$AS$5:$AS$1004,'Post Tracker'!$G$5:$G$1004,G864),""))</f>
        <v/>
      </c>
      <c r="AZ864" s="32"/>
      <c r="BA864" s="32"/>
      <c r="BB864" s="32"/>
      <c r="BC864" s="32"/>
      <c r="BD864" s="33" t="str">
        <f aca="false">IF(A864="","",COUNTIFS('Demo Pipeline'!$Q$5:$Q$504,A864))</f>
        <v/>
      </c>
      <c r="BE864" s="33" t="str">
        <f aca="false">IF(A864="","",COUNTIFS('Demo Pipeline'!$Q$5:$Q$504,A864,'Demo Pipeline'!$W$5:$W$504,"Attended"))</f>
        <v/>
      </c>
      <c r="BF864" s="33" t="str">
        <f aca="false">IF(A864="","",COUNTIFS('Demo Pipeline'!$Q$5:$Q$504,A864,'Demo Pipeline'!$X$5:$X$504,"Yes"))</f>
        <v/>
      </c>
      <c r="BG864" s="33" t="str">
        <f aca="false">IF(A864="","",COUNTIFS('Demo Pipeline'!$Q$5:$Q$504,A864,'Demo Pipeline'!$Y$5:$Y$504,"Closed Won"))</f>
        <v/>
      </c>
      <c r="BH864" s="37" t="str">
        <f aca="false">IF(A864="","",SUMIFS('Demo Pipeline'!$Z$5:$Z$504,'Demo Pipeline'!$Q$5:$Q$504,A864))</f>
        <v/>
      </c>
      <c r="BI864" s="34" t="str">
        <f aca="false">IF(OR(AZ864="",N(AJ864)=0),"",AZ864/AJ864)</f>
        <v/>
      </c>
      <c r="BJ864" s="34" t="str">
        <f aca="false">IF(OR(BB864="",N(AZ864)=0),"",BB864/AZ864)</f>
        <v/>
      </c>
      <c r="BK864" s="34" t="str">
        <f aca="false">IF(OR(A864="",N(BB864)=0),"",BD864/BB864)</f>
        <v/>
      </c>
      <c r="BL864" s="34" t="str">
        <f aca="false">IF(OR(A864="",N(AZ864)=0),"",BD864/AZ864)</f>
        <v/>
      </c>
      <c r="BM864" s="37" t="str">
        <f aca="false">IF(OR(N(Q864)=0,N(BD864)=0),"",Q864/BD864)</f>
        <v/>
      </c>
      <c r="BN864" s="29"/>
      <c r="BO864" s="29"/>
      <c r="BP864" s="33" t="str">
        <f aca="false">IF(OR(AR864="",N(AO864)=0),"",AR864)</f>
        <v/>
      </c>
      <c r="BQ864" s="33" t="str">
        <f aca="false">IF(OR(AR864="",N(S864)=0),"",S864)</f>
        <v/>
      </c>
      <c r="BR864" s="38" t="str">
        <f aca="false">IF(AND(ISNUMBER(B864),B864&gt;=Dashboard!$C$4,B864&lt;=Dashboard!$F$4,ISNUMBER(AU864)),AU864+ROW()/10^9,"")</f>
        <v/>
      </c>
      <c r="BS864" s="38" t="str">
        <f aca="false">IF(AND(ISNUMBER(B864),B864&gt;=Dashboard!$C$4,B864&lt;=Dashboard!$F$4,A864&lt;&gt;""),N(BD864)+N(AU864)/100+ROW()/10^9,"")</f>
        <v/>
      </c>
    </row>
    <row r="865" customFormat="false" ht="15" hidden="false" customHeight="false" outlineLevel="0" collapsed="false">
      <c r="A865" s="24" t="str">
        <f aca="false">IF(OR(B865="",G865="",H865=""),"",IFERROR(INDEX(Settings!$E$5:$E$49,MATCH(G865,Settings!$D$5:$D$49,0))&amp;INDEX(Settings!$H$5:$H$47,MATCH(H865,Settings!$G$5:$G$47,0))&amp;"-"&amp;TEXT(B865,"yymmdd")&amp;"-"&amp;IF(C865="","0000",TEXT(C865,"hhmm")),"CHECK LISTS"))</f>
        <v/>
      </c>
      <c r="B865" s="39"/>
      <c r="C865" s="40"/>
      <c r="D865" s="24" t="str">
        <f aca="false">IF(B865="","",TEXT(B865,"ddd"))</f>
        <v/>
      </c>
      <c r="E865" s="27" t="str">
        <f aca="false">IF(B865="","",B865-WEEKDAY(B865,3))</f>
        <v/>
      </c>
      <c r="F865" s="24" t="str">
        <f aca="false">IF(B865="","",TEXT(B865,"yyyy-mm"))</f>
        <v/>
      </c>
      <c r="G865" s="29"/>
      <c r="H865" s="29"/>
      <c r="I865" s="29"/>
      <c r="J865" s="29"/>
      <c r="K865" s="29"/>
      <c r="L865" s="29"/>
      <c r="M865" s="29"/>
      <c r="N865" s="29"/>
      <c r="O865" s="29"/>
      <c r="P865" s="29"/>
      <c r="Q865" s="30"/>
      <c r="R865" s="29"/>
      <c r="S865" s="32"/>
      <c r="T865" s="29"/>
      <c r="U865" s="29"/>
      <c r="V865" s="24" t="str">
        <f aca="false">IF(A865="","",IFERROR(INDEX(Settings!$F$5:$F$49,MATCH(G865,Settings!$D$5:$D$49,0)),""))</f>
        <v/>
      </c>
      <c r="W865" s="24" t="str">
        <f aca="false">IF(A865="","",IF(OR(P865="",P865="Organic"),"social","paid_social"))</f>
        <v/>
      </c>
      <c r="X865" s="24" t="str">
        <f aca="false">IF(A865="","",IF(K865&lt;&gt;"",IFERROR(INDEX('Case Studies'!$C$5:$C$54,MATCH(K865,'Case Studies'!$B$5:$B$54,0))&amp;"","case-study"),IF(J865&lt;&gt;"",IFERROR(INDEX(Settings!$J$5:$J$55,MATCH(J865,Settings!$I$5:$I$55,0)),"general"),"general")))</f>
        <v/>
      </c>
      <c r="Y865" s="24" t="str">
        <f aca="false">IF(A865="","",LOWER(A865))</f>
        <v/>
      </c>
      <c r="Z865" s="24" t="str">
        <f aca="false">IF(A865="","",IF(T865="",Settings!$B$5,T865)&amp;IF(ISNUMBER(FIND("?",IF(T865="",Settings!$B$5,T865))),"&amp;","?")&amp;"utm_source="&amp;V865&amp;"&amp;utm_medium="&amp;W865&amp;"&amp;utm_campaign="&amp;X865&amp;"&amp;utm_content="&amp;Y865)</f>
        <v/>
      </c>
      <c r="AA865" s="29"/>
      <c r="AB865" s="39"/>
      <c r="AC865" s="32"/>
      <c r="AD865" s="32"/>
      <c r="AE865" s="32"/>
      <c r="AF865" s="32"/>
      <c r="AG865" s="32"/>
      <c r="AH865" s="32"/>
      <c r="AI865" s="32"/>
      <c r="AJ865" s="32"/>
      <c r="AK865" s="32"/>
      <c r="AL865" s="32"/>
      <c r="AM865" s="32"/>
      <c r="AN865" s="32"/>
      <c r="AO865" s="33" t="str">
        <f aca="false">IF(A865="","",IF(AD865&lt;&gt;"",AD865,IF(AC865&lt;&gt;"",AC865,"")))</f>
        <v/>
      </c>
      <c r="AP865" s="24" t="str">
        <f aca="false">IF(AO865="","",IF(AD865&lt;&gt;"","Reported reach","Impressions (proxy)"))</f>
        <v/>
      </c>
      <c r="AQ865" s="34" t="str">
        <f aca="false">IF(OR(AO865="",N(S865)=0),"",AO865/S865)</f>
        <v/>
      </c>
      <c r="AR865" s="33" t="str">
        <f aca="false">IF(A865="","",IF(COUNT(AF865:AJ865)=0,"",SUM(AF865:AJ865)))</f>
        <v/>
      </c>
      <c r="AS865" s="34" t="str">
        <f aca="false">IF(OR(AR865="",N(AO865)=0),"",AR865/AO865)</f>
        <v/>
      </c>
      <c r="AT865" s="34" t="str">
        <f aca="false">IF(OR(AR865="",N(AC865)=0),"",AR865/AC865)</f>
        <v/>
      </c>
      <c r="AU865" s="34" t="str">
        <f aca="false">IF(OR(AR865="",N(S865)=0),"",AR865/S865)</f>
        <v/>
      </c>
      <c r="AV865" s="34" t="str">
        <f aca="false">IF(OR(AJ865="",N(AC865)=0),"",AJ865/AC865)</f>
        <v/>
      </c>
      <c r="AW865" s="34" t="str">
        <f aca="false">IF(OR(AH865="",N(AO865)=0),"",AH865/AO865)</f>
        <v/>
      </c>
      <c r="AX865" s="35" t="str">
        <f aca="false">IF(OR(AR865="",N(AO865)=0),"",(N(AF865)*Settings!$B$6+N(AG865)*Settings!$B$7+N(AH865)*Settings!$B$8+N(AI865)*Settings!$B$9+N(AJ865)*Settings!$B$10)/AO865*1000)</f>
        <v/>
      </c>
      <c r="AY865" s="36" t="str">
        <f aca="false">IF(AS865="","",IFERROR(AS865/AVERAGEIFS('Post Tracker'!$AS$5:$AS$1004,'Post Tracker'!$G$5:$G$1004,G865),""))</f>
        <v/>
      </c>
      <c r="AZ865" s="32"/>
      <c r="BA865" s="32"/>
      <c r="BB865" s="32"/>
      <c r="BC865" s="32"/>
      <c r="BD865" s="33" t="str">
        <f aca="false">IF(A865="","",COUNTIFS('Demo Pipeline'!$Q$5:$Q$504,A865))</f>
        <v/>
      </c>
      <c r="BE865" s="33" t="str">
        <f aca="false">IF(A865="","",COUNTIFS('Demo Pipeline'!$Q$5:$Q$504,A865,'Demo Pipeline'!$W$5:$W$504,"Attended"))</f>
        <v/>
      </c>
      <c r="BF865" s="33" t="str">
        <f aca="false">IF(A865="","",COUNTIFS('Demo Pipeline'!$Q$5:$Q$504,A865,'Demo Pipeline'!$X$5:$X$504,"Yes"))</f>
        <v/>
      </c>
      <c r="BG865" s="33" t="str">
        <f aca="false">IF(A865="","",COUNTIFS('Demo Pipeline'!$Q$5:$Q$504,A865,'Demo Pipeline'!$Y$5:$Y$504,"Closed Won"))</f>
        <v/>
      </c>
      <c r="BH865" s="37" t="str">
        <f aca="false">IF(A865="","",SUMIFS('Demo Pipeline'!$Z$5:$Z$504,'Demo Pipeline'!$Q$5:$Q$504,A865))</f>
        <v/>
      </c>
      <c r="BI865" s="34" t="str">
        <f aca="false">IF(OR(AZ865="",N(AJ865)=0),"",AZ865/AJ865)</f>
        <v/>
      </c>
      <c r="BJ865" s="34" t="str">
        <f aca="false">IF(OR(BB865="",N(AZ865)=0),"",BB865/AZ865)</f>
        <v/>
      </c>
      <c r="BK865" s="34" t="str">
        <f aca="false">IF(OR(A865="",N(BB865)=0),"",BD865/BB865)</f>
        <v/>
      </c>
      <c r="BL865" s="34" t="str">
        <f aca="false">IF(OR(A865="",N(AZ865)=0),"",BD865/AZ865)</f>
        <v/>
      </c>
      <c r="BM865" s="37" t="str">
        <f aca="false">IF(OR(N(Q865)=0,N(BD865)=0),"",Q865/BD865)</f>
        <v/>
      </c>
      <c r="BN865" s="29"/>
      <c r="BO865" s="29"/>
      <c r="BP865" s="33" t="str">
        <f aca="false">IF(OR(AR865="",N(AO865)=0),"",AR865)</f>
        <v/>
      </c>
      <c r="BQ865" s="33" t="str">
        <f aca="false">IF(OR(AR865="",N(S865)=0),"",S865)</f>
        <v/>
      </c>
      <c r="BR865" s="38" t="str">
        <f aca="false">IF(AND(ISNUMBER(B865),B865&gt;=Dashboard!$C$4,B865&lt;=Dashboard!$F$4,ISNUMBER(AU865)),AU865+ROW()/10^9,"")</f>
        <v/>
      </c>
      <c r="BS865" s="38" t="str">
        <f aca="false">IF(AND(ISNUMBER(B865),B865&gt;=Dashboard!$C$4,B865&lt;=Dashboard!$F$4,A865&lt;&gt;""),N(BD865)+N(AU865)/100+ROW()/10^9,"")</f>
        <v/>
      </c>
    </row>
    <row r="866" customFormat="false" ht="15" hidden="false" customHeight="false" outlineLevel="0" collapsed="false">
      <c r="A866" s="24" t="str">
        <f aca="false">IF(OR(B866="",G866="",H866=""),"",IFERROR(INDEX(Settings!$E$5:$E$49,MATCH(G866,Settings!$D$5:$D$49,0))&amp;INDEX(Settings!$H$5:$H$47,MATCH(H866,Settings!$G$5:$G$47,0))&amp;"-"&amp;TEXT(B866,"yymmdd")&amp;"-"&amp;IF(C866="","0000",TEXT(C866,"hhmm")),"CHECK LISTS"))</f>
        <v/>
      </c>
      <c r="B866" s="39"/>
      <c r="C866" s="40"/>
      <c r="D866" s="24" t="str">
        <f aca="false">IF(B866="","",TEXT(B866,"ddd"))</f>
        <v/>
      </c>
      <c r="E866" s="27" t="str">
        <f aca="false">IF(B866="","",B866-WEEKDAY(B866,3))</f>
        <v/>
      </c>
      <c r="F866" s="24" t="str">
        <f aca="false">IF(B866="","",TEXT(B866,"yyyy-mm"))</f>
        <v/>
      </c>
      <c r="G866" s="29"/>
      <c r="H866" s="29"/>
      <c r="I866" s="29"/>
      <c r="J866" s="29"/>
      <c r="K866" s="29"/>
      <c r="L866" s="29"/>
      <c r="M866" s="29"/>
      <c r="N866" s="29"/>
      <c r="O866" s="29"/>
      <c r="P866" s="29"/>
      <c r="Q866" s="30"/>
      <c r="R866" s="29"/>
      <c r="S866" s="32"/>
      <c r="T866" s="29"/>
      <c r="U866" s="29"/>
      <c r="V866" s="24" t="str">
        <f aca="false">IF(A866="","",IFERROR(INDEX(Settings!$F$5:$F$49,MATCH(G866,Settings!$D$5:$D$49,0)),""))</f>
        <v/>
      </c>
      <c r="W866" s="24" t="str">
        <f aca="false">IF(A866="","",IF(OR(P866="",P866="Organic"),"social","paid_social"))</f>
        <v/>
      </c>
      <c r="X866" s="24" t="str">
        <f aca="false">IF(A866="","",IF(K866&lt;&gt;"",IFERROR(INDEX('Case Studies'!$C$5:$C$54,MATCH(K866,'Case Studies'!$B$5:$B$54,0))&amp;"","case-study"),IF(J866&lt;&gt;"",IFERROR(INDEX(Settings!$J$5:$J$55,MATCH(J866,Settings!$I$5:$I$55,0)),"general"),"general")))</f>
        <v/>
      </c>
      <c r="Y866" s="24" t="str">
        <f aca="false">IF(A866="","",LOWER(A866))</f>
        <v/>
      </c>
      <c r="Z866" s="24" t="str">
        <f aca="false">IF(A866="","",IF(T866="",Settings!$B$5,T866)&amp;IF(ISNUMBER(FIND("?",IF(T866="",Settings!$B$5,T866))),"&amp;","?")&amp;"utm_source="&amp;V866&amp;"&amp;utm_medium="&amp;W866&amp;"&amp;utm_campaign="&amp;X866&amp;"&amp;utm_content="&amp;Y866)</f>
        <v/>
      </c>
      <c r="AA866" s="29"/>
      <c r="AB866" s="39"/>
      <c r="AC866" s="32"/>
      <c r="AD866" s="32"/>
      <c r="AE866" s="32"/>
      <c r="AF866" s="32"/>
      <c r="AG866" s="32"/>
      <c r="AH866" s="32"/>
      <c r="AI866" s="32"/>
      <c r="AJ866" s="32"/>
      <c r="AK866" s="32"/>
      <c r="AL866" s="32"/>
      <c r="AM866" s="32"/>
      <c r="AN866" s="32"/>
      <c r="AO866" s="33" t="str">
        <f aca="false">IF(A866="","",IF(AD866&lt;&gt;"",AD866,IF(AC866&lt;&gt;"",AC866,"")))</f>
        <v/>
      </c>
      <c r="AP866" s="24" t="str">
        <f aca="false">IF(AO866="","",IF(AD866&lt;&gt;"","Reported reach","Impressions (proxy)"))</f>
        <v/>
      </c>
      <c r="AQ866" s="34" t="str">
        <f aca="false">IF(OR(AO866="",N(S866)=0),"",AO866/S866)</f>
        <v/>
      </c>
      <c r="AR866" s="33" t="str">
        <f aca="false">IF(A866="","",IF(COUNT(AF866:AJ866)=0,"",SUM(AF866:AJ866)))</f>
        <v/>
      </c>
      <c r="AS866" s="34" t="str">
        <f aca="false">IF(OR(AR866="",N(AO866)=0),"",AR866/AO866)</f>
        <v/>
      </c>
      <c r="AT866" s="34" t="str">
        <f aca="false">IF(OR(AR866="",N(AC866)=0),"",AR866/AC866)</f>
        <v/>
      </c>
      <c r="AU866" s="34" t="str">
        <f aca="false">IF(OR(AR866="",N(S866)=0),"",AR866/S866)</f>
        <v/>
      </c>
      <c r="AV866" s="34" t="str">
        <f aca="false">IF(OR(AJ866="",N(AC866)=0),"",AJ866/AC866)</f>
        <v/>
      </c>
      <c r="AW866" s="34" t="str">
        <f aca="false">IF(OR(AH866="",N(AO866)=0),"",AH866/AO866)</f>
        <v/>
      </c>
      <c r="AX866" s="35" t="str">
        <f aca="false">IF(OR(AR866="",N(AO866)=0),"",(N(AF866)*Settings!$B$6+N(AG866)*Settings!$B$7+N(AH866)*Settings!$B$8+N(AI866)*Settings!$B$9+N(AJ866)*Settings!$B$10)/AO866*1000)</f>
        <v/>
      </c>
      <c r="AY866" s="36" t="str">
        <f aca="false">IF(AS866="","",IFERROR(AS866/AVERAGEIFS('Post Tracker'!$AS$5:$AS$1004,'Post Tracker'!$G$5:$G$1004,G866),""))</f>
        <v/>
      </c>
      <c r="AZ866" s="32"/>
      <c r="BA866" s="32"/>
      <c r="BB866" s="32"/>
      <c r="BC866" s="32"/>
      <c r="BD866" s="33" t="str">
        <f aca="false">IF(A866="","",COUNTIFS('Demo Pipeline'!$Q$5:$Q$504,A866))</f>
        <v/>
      </c>
      <c r="BE866" s="33" t="str">
        <f aca="false">IF(A866="","",COUNTIFS('Demo Pipeline'!$Q$5:$Q$504,A866,'Demo Pipeline'!$W$5:$W$504,"Attended"))</f>
        <v/>
      </c>
      <c r="BF866" s="33" t="str">
        <f aca="false">IF(A866="","",COUNTIFS('Demo Pipeline'!$Q$5:$Q$504,A866,'Demo Pipeline'!$X$5:$X$504,"Yes"))</f>
        <v/>
      </c>
      <c r="BG866" s="33" t="str">
        <f aca="false">IF(A866="","",COUNTIFS('Demo Pipeline'!$Q$5:$Q$504,A866,'Demo Pipeline'!$Y$5:$Y$504,"Closed Won"))</f>
        <v/>
      </c>
      <c r="BH866" s="37" t="str">
        <f aca="false">IF(A866="","",SUMIFS('Demo Pipeline'!$Z$5:$Z$504,'Demo Pipeline'!$Q$5:$Q$504,A866))</f>
        <v/>
      </c>
      <c r="BI866" s="34" t="str">
        <f aca="false">IF(OR(AZ866="",N(AJ866)=0),"",AZ866/AJ866)</f>
        <v/>
      </c>
      <c r="BJ866" s="34" t="str">
        <f aca="false">IF(OR(BB866="",N(AZ866)=0),"",BB866/AZ866)</f>
        <v/>
      </c>
      <c r="BK866" s="34" t="str">
        <f aca="false">IF(OR(A866="",N(BB866)=0),"",BD866/BB866)</f>
        <v/>
      </c>
      <c r="BL866" s="34" t="str">
        <f aca="false">IF(OR(A866="",N(AZ866)=0),"",BD866/AZ866)</f>
        <v/>
      </c>
      <c r="BM866" s="37" t="str">
        <f aca="false">IF(OR(N(Q866)=0,N(BD866)=0),"",Q866/BD866)</f>
        <v/>
      </c>
      <c r="BN866" s="29"/>
      <c r="BO866" s="29"/>
      <c r="BP866" s="33" t="str">
        <f aca="false">IF(OR(AR866="",N(AO866)=0),"",AR866)</f>
        <v/>
      </c>
      <c r="BQ866" s="33" t="str">
        <f aca="false">IF(OR(AR866="",N(S866)=0),"",S866)</f>
        <v/>
      </c>
      <c r="BR866" s="38" t="str">
        <f aca="false">IF(AND(ISNUMBER(B866),B866&gt;=Dashboard!$C$4,B866&lt;=Dashboard!$F$4,ISNUMBER(AU866)),AU866+ROW()/10^9,"")</f>
        <v/>
      </c>
      <c r="BS866" s="38" t="str">
        <f aca="false">IF(AND(ISNUMBER(B866),B866&gt;=Dashboard!$C$4,B866&lt;=Dashboard!$F$4,A866&lt;&gt;""),N(BD866)+N(AU866)/100+ROW()/10^9,"")</f>
        <v/>
      </c>
    </row>
    <row r="867" customFormat="false" ht="15" hidden="false" customHeight="false" outlineLevel="0" collapsed="false">
      <c r="A867" s="24" t="str">
        <f aca="false">IF(OR(B867="",G867="",H867=""),"",IFERROR(INDEX(Settings!$E$5:$E$49,MATCH(G867,Settings!$D$5:$D$49,0))&amp;INDEX(Settings!$H$5:$H$47,MATCH(H867,Settings!$G$5:$G$47,0))&amp;"-"&amp;TEXT(B867,"yymmdd")&amp;"-"&amp;IF(C867="","0000",TEXT(C867,"hhmm")),"CHECK LISTS"))</f>
        <v/>
      </c>
      <c r="B867" s="39"/>
      <c r="C867" s="40"/>
      <c r="D867" s="24" t="str">
        <f aca="false">IF(B867="","",TEXT(B867,"ddd"))</f>
        <v/>
      </c>
      <c r="E867" s="27" t="str">
        <f aca="false">IF(B867="","",B867-WEEKDAY(B867,3))</f>
        <v/>
      </c>
      <c r="F867" s="24" t="str">
        <f aca="false">IF(B867="","",TEXT(B867,"yyyy-mm"))</f>
        <v/>
      </c>
      <c r="G867" s="29"/>
      <c r="H867" s="29"/>
      <c r="I867" s="29"/>
      <c r="J867" s="29"/>
      <c r="K867" s="29"/>
      <c r="L867" s="29"/>
      <c r="M867" s="29"/>
      <c r="N867" s="29"/>
      <c r="O867" s="29"/>
      <c r="P867" s="29"/>
      <c r="Q867" s="30"/>
      <c r="R867" s="29"/>
      <c r="S867" s="32"/>
      <c r="T867" s="29"/>
      <c r="U867" s="29"/>
      <c r="V867" s="24" t="str">
        <f aca="false">IF(A867="","",IFERROR(INDEX(Settings!$F$5:$F$49,MATCH(G867,Settings!$D$5:$D$49,0)),""))</f>
        <v/>
      </c>
      <c r="W867" s="24" t="str">
        <f aca="false">IF(A867="","",IF(OR(P867="",P867="Organic"),"social","paid_social"))</f>
        <v/>
      </c>
      <c r="X867" s="24" t="str">
        <f aca="false">IF(A867="","",IF(K867&lt;&gt;"",IFERROR(INDEX('Case Studies'!$C$5:$C$54,MATCH(K867,'Case Studies'!$B$5:$B$54,0))&amp;"","case-study"),IF(J867&lt;&gt;"",IFERROR(INDEX(Settings!$J$5:$J$55,MATCH(J867,Settings!$I$5:$I$55,0)),"general"),"general")))</f>
        <v/>
      </c>
      <c r="Y867" s="24" t="str">
        <f aca="false">IF(A867="","",LOWER(A867))</f>
        <v/>
      </c>
      <c r="Z867" s="24" t="str">
        <f aca="false">IF(A867="","",IF(T867="",Settings!$B$5,T867)&amp;IF(ISNUMBER(FIND("?",IF(T867="",Settings!$B$5,T867))),"&amp;","?")&amp;"utm_source="&amp;V867&amp;"&amp;utm_medium="&amp;W867&amp;"&amp;utm_campaign="&amp;X867&amp;"&amp;utm_content="&amp;Y867)</f>
        <v/>
      </c>
      <c r="AA867" s="29"/>
      <c r="AB867" s="39"/>
      <c r="AC867" s="32"/>
      <c r="AD867" s="32"/>
      <c r="AE867" s="32"/>
      <c r="AF867" s="32"/>
      <c r="AG867" s="32"/>
      <c r="AH867" s="32"/>
      <c r="AI867" s="32"/>
      <c r="AJ867" s="32"/>
      <c r="AK867" s="32"/>
      <c r="AL867" s="32"/>
      <c r="AM867" s="32"/>
      <c r="AN867" s="32"/>
      <c r="AO867" s="33" t="str">
        <f aca="false">IF(A867="","",IF(AD867&lt;&gt;"",AD867,IF(AC867&lt;&gt;"",AC867,"")))</f>
        <v/>
      </c>
      <c r="AP867" s="24" t="str">
        <f aca="false">IF(AO867="","",IF(AD867&lt;&gt;"","Reported reach","Impressions (proxy)"))</f>
        <v/>
      </c>
      <c r="AQ867" s="34" t="str">
        <f aca="false">IF(OR(AO867="",N(S867)=0),"",AO867/S867)</f>
        <v/>
      </c>
      <c r="AR867" s="33" t="str">
        <f aca="false">IF(A867="","",IF(COUNT(AF867:AJ867)=0,"",SUM(AF867:AJ867)))</f>
        <v/>
      </c>
      <c r="AS867" s="34" t="str">
        <f aca="false">IF(OR(AR867="",N(AO867)=0),"",AR867/AO867)</f>
        <v/>
      </c>
      <c r="AT867" s="34" t="str">
        <f aca="false">IF(OR(AR867="",N(AC867)=0),"",AR867/AC867)</f>
        <v/>
      </c>
      <c r="AU867" s="34" t="str">
        <f aca="false">IF(OR(AR867="",N(S867)=0),"",AR867/S867)</f>
        <v/>
      </c>
      <c r="AV867" s="34" t="str">
        <f aca="false">IF(OR(AJ867="",N(AC867)=0),"",AJ867/AC867)</f>
        <v/>
      </c>
      <c r="AW867" s="34" t="str">
        <f aca="false">IF(OR(AH867="",N(AO867)=0),"",AH867/AO867)</f>
        <v/>
      </c>
      <c r="AX867" s="35" t="str">
        <f aca="false">IF(OR(AR867="",N(AO867)=0),"",(N(AF867)*Settings!$B$6+N(AG867)*Settings!$B$7+N(AH867)*Settings!$B$8+N(AI867)*Settings!$B$9+N(AJ867)*Settings!$B$10)/AO867*1000)</f>
        <v/>
      </c>
      <c r="AY867" s="36" t="str">
        <f aca="false">IF(AS867="","",IFERROR(AS867/AVERAGEIFS('Post Tracker'!$AS$5:$AS$1004,'Post Tracker'!$G$5:$G$1004,G867),""))</f>
        <v/>
      </c>
      <c r="AZ867" s="32"/>
      <c r="BA867" s="32"/>
      <c r="BB867" s="32"/>
      <c r="BC867" s="32"/>
      <c r="BD867" s="33" t="str">
        <f aca="false">IF(A867="","",COUNTIFS('Demo Pipeline'!$Q$5:$Q$504,A867))</f>
        <v/>
      </c>
      <c r="BE867" s="33" t="str">
        <f aca="false">IF(A867="","",COUNTIFS('Demo Pipeline'!$Q$5:$Q$504,A867,'Demo Pipeline'!$W$5:$W$504,"Attended"))</f>
        <v/>
      </c>
      <c r="BF867" s="33" t="str">
        <f aca="false">IF(A867="","",COUNTIFS('Demo Pipeline'!$Q$5:$Q$504,A867,'Demo Pipeline'!$X$5:$X$504,"Yes"))</f>
        <v/>
      </c>
      <c r="BG867" s="33" t="str">
        <f aca="false">IF(A867="","",COUNTIFS('Demo Pipeline'!$Q$5:$Q$504,A867,'Demo Pipeline'!$Y$5:$Y$504,"Closed Won"))</f>
        <v/>
      </c>
      <c r="BH867" s="37" t="str">
        <f aca="false">IF(A867="","",SUMIFS('Demo Pipeline'!$Z$5:$Z$504,'Demo Pipeline'!$Q$5:$Q$504,A867))</f>
        <v/>
      </c>
      <c r="BI867" s="34" t="str">
        <f aca="false">IF(OR(AZ867="",N(AJ867)=0),"",AZ867/AJ867)</f>
        <v/>
      </c>
      <c r="BJ867" s="34" t="str">
        <f aca="false">IF(OR(BB867="",N(AZ867)=0),"",BB867/AZ867)</f>
        <v/>
      </c>
      <c r="BK867" s="34" t="str">
        <f aca="false">IF(OR(A867="",N(BB867)=0),"",BD867/BB867)</f>
        <v/>
      </c>
      <c r="BL867" s="34" t="str">
        <f aca="false">IF(OR(A867="",N(AZ867)=0),"",BD867/AZ867)</f>
        <v/>
      </c>
      <c r="BM867" s="37" t="str">
        <f aca="false">IF(OR(N(Q867)=0,N(BD867)=0),"",Q867/BD867)</f>
        <v/>
      </c>
      <c r="BN867" s="29"/>
      <c r="BO867" s="29"/>
      <c r="BP867" s="33" t="str">
        <f aca="false">IF(OR(AR867="",N(AO867)=0),"",AR867)</f>
        <v/>
      </c>
      <c r="BQ867" s="33" t="str">
        <f aca="false">IF(OR(AR867="",N(S867)=0),"",S867)</f>
        <v/>
      </c>
      <c r="BR867" s="38" t="str">
        <f aca="false">IF(AND(ISNUMBER(B867),B867&gt;=Dashboard!$C$4,B867&lt;=Dashboard!$F$4,ISNUMBER(AU867)),AU867+ROW()/10^9,"")</f>
        <v/>
      </c>
      <c r="BS867" s="38" t="str">
        <f aca="false">IF(AND(ISNUMBER(B867),B867&gt;=Dashboard!$C$4,B867&lt;=Dashboard!$F$4,A867&lt;&gt;""),N(BD867)+N(AU867)/100+ROW()/10^9,"")</f>
        <v/>
      </c>
    </row>
    <row r="868" customFormat="false" ht="15" hidden="false" customHeight="false" outlineLevel="0" collapsed="false">
      <c r="A868" s="24" t="str">
        <f aca="false">IF(OR(B868="",G868="",H868=""),"",IFERROR(INDEX(Settings!$E$5:$E$49,MATCH(G868,Settings!$D$5:$D$49,0))&amp;INDEX(Settings!$H$5:$H$47,MATCH(H868,Settings!$G$5:$G$47,0))&amp;"-"&amp;TEXT(B868,"yymmdd")&amp;"-"&amp;IF(C868="","0000",TEXT(C868,"hhmm")),"CHECK LISTS"))</f>
        <v/>
      </c>
      <c r="B868" s="39"/>
      <c r="C868" s="40"/>
      <c r="D868" s="24" t="str">
        <f aca="false">IF(B868="","",TEXT(B868,"ddd"))</f>
        <v/>
      </c>
      <c r="E868" s="27" t="str">
        <f aca="false">IF(B868="","",B868-WEEKDAY(B868,3))</f>
        <v/>
      </c>
      <c r="F868" s="24" t="str">
        <f aca="false">IF(B868="","",TEXT(B868,"yyyy-mm"))</f>
        <v/>
      </c>
      <c r="G868" s="29"/>
      <c r="H868" s="29"/>
      <c r="I868" s="29"/>
      <c r="J868" s="29"/>
      <c r="K868" s="29"/>
      <c r="L868" s="29"/>
      <c r="M868" s="29"/>
      <c r="N868" s="29"/>
      <c r="O868" s="29"/>
      <c r="P868" s="29"/>
      <c r="Q868" s="30"/>
      <c r="R868" s="29"/>
      <c r="S868" s="32"/>
      <c r="T868" s="29"/>
      <c r="U868" s="29"/>
      <c r="V868" s="24" t="str">
        <f aca="false">IF(A868="","",IFERROR(INDEX(Settings!$F$5:$F$49,MATCH(G868,Settings!$D$5:$D$49,0)),""))</f>
        <v/>
      </c>
      <c r="W868" s="24" t="str">
        <f aca="false">IF(A868="","",IF(OR(P868="",P868="Organic"),"social","paid_social"))</f>
        <v/>
      </c>
      <c r="X868" s="24" t="str">
        <f aca="false">IF(A868="","",IF(K868&lt;&gt;"",IFERROR(INDEX('Case Studies'!$C$5:$C$54,MATCH(K868,'Case Studies'!$B$5:$B$54,0))&amp;"","case-study"),IF(J868&lt;&gt;"",IFERROR(INDEX(Settings!$J$5:$J$55,MATCH(J868,Settings!$I$5:$I$55,0)),"general"),"general")))</f>
        <v/>
      </c>
      <c r="Y868" s="24" t="str">
        <f aca="false">IF(A868="","",LOWER(A868))</f>
        <v/>
      </c>
      <c r="Z868" s="24" t="str">
        <f aca="false">IF(A868="","",IF(T868="",Settings!$B$5,T868)&amp;IF(ISNUMBER(FIND("?",IF(T868="",Settings!$B$5,T868))),"&amp;","?")&amp;"utm_source="&amp;V868&amp;"&amp;utm_medium="&amp;W868&amp;"&amp;utm_campaign="&amp;X868&amp;"&amp;utm_content="&amp;Y868)</f>
        <v/>
      </c>
      <c r="AA868" s="29"/>
      <c r="AB868" s="39"/>
      <c r="AC868" s="32"/>
      <c r="AD868" s="32"/>
      <c r="AE868" s="32"/>
      <c r="AF868" s="32"/>
      <c r="AG868" s="32"/>
      <c r="AH868" s="32"/>
      <c r="AI868" s="32"/>
      <c r="AJ868" s="32"/>
      <c r="AK868" s="32"/>
      <c r="AL868" s="32"/>
      <c r="AM868" s="32"/>
      <c r="AN868" s="32"/>
      <c r="AO868" s="33" t="str">
        <f aca="false">IF(A868="","",IF(AD868&lt;&gt;"",AD868,IF(AC868&lt;&gt;"",AC868,"")))</f>
        <v/>
      </c>
      <c r="AP868" s="24" t="str">
        <f aca="false">IF(AO868="","",IF(AD868&lt;&gt;"","Reported reach","Impressions (proxy)"))</f>
        <v/>
      </c>
      <c r="AQ868" s="34" t="str">
        <f aca="false">IF(OR(AO868="",N(S868)=0),"",AO868/S868)</f>
        <v/>
      </c>
      <c r="AR868" s="33" t="str">
        <f aca="false">IF(A868="","",IF(COUNT(AF868:AJ868)=0,"",SUM(AF868:AJ868)))</f>
        <v/>
      </c>
      <c r="AS868" s="34" t="str">
        <f aca="false">IF(OR(AR868="",N(AO868)=0),"",AR868/AO868)</f>
        <v/>
      </c>
      <c r="AT868" s="34" t="str">
        <f aca="false">IF(OR(AR868="",N(AC868)=0),"",AR868/AC868)</f>
        <v/>
      </c>
      <c r="AU868" s="34" t="str">
        <f aca="false">IF(OR(AR868="",N(S868)=0),"",AR868/S868)</f>
        <v/>
      </c>
      <c r="AV868" s="34" t="str">
        <f aca="false">IF(OR(AJ868="",N(AC868)=0),"",AJ868/AC868)</f>
        <v/>
      </c>
      <c r="AW868" s="34" t="str">
        <f aca="false">IF(OR(AH868="",N(AO868)=0),"",AH868/AO868)</f>
        <v/>
      </c>
      <c r="AX868" s="35" t="str">
        <f aca="false">IF(OR(AR868="",N(AO868)=0),"",(N(AF868)*Settings!$B$6+N(AG868)*Settings!$B$7+N(AH868)*Settings!$B$8+N(AI868)*Settings!$B$9+N(AJ868)*Settings!$B$10)/AO868*1000)</f>
        <v/>
      </c>
      <c r="AY868" s="36" t="str">
        <f aca="false">IF(AS868="","",IFERROR(AS868/AVERAGEIFS('Post Tracker'!$AS$5:$AS$1004,'Post Tracker'!$G$5:$G$1004,G868),""))</f>
        <v/>
      </c>
      <c r="AZ868" s="32"/>
      <c r="BA868" s="32"/>
      <c r="BB868" s="32"/>
      <c r="BC868" s="32"/>
      <c r="BD868" s="33" t="str">
        <f aca="false">IF(A868="","",COUNTIFS('Demo Pipeline'!$Q$5:$Q$504,A868))</f>
        <v/>
      </c>
      <c r="BE868" s="33" t="str">
        <f aca="false">IF(A868="","",COUNTIFS('Demo Pipeline'!$Q$5:$Q$504,A868,'Demo Pipeline'!$W$5:$W$504,"Attended"))</f>
        <v/>
      </c>
      <c r="BF868" s="33" t="str">
        <f aca="false">IF(A868="","",COUNTIFS('Demo Pipeline'!$Q$5:$Q$504,A868,'Demo Pipeline'!$X$5:$X$504,"Yes"))</f>
        <v/>
      </c>
      <c r="BG868" s="33" t="str">
        <f aca="false">IF(A868="","",COUNTIFS('Demo Pipeline'!$Q$5:$Q$504,A868,'Demo Pipeline'!$Y$5:$Y$504,"Closed Won"))</f>
        <v/>
      </c>
      <c r="BH868" s="37" t="str">
        <f aca="false">IF(A868="","",SUMIFS('Demo Pipeline'!$Z$5:$Z$504,'Demo Pipeline'!$Q$5:$Q$504,A868))</f>
        <v/>
      </c>
      <c r="BI868" s="34" t="str">
        <f aca="false">IF(OR(AZ868="",N(AJ868)=0),"",AZ868/AJ868)</f>
        <v/>
      </c>
      <c r="BJ868" s="34" t="str">
        <f aca="false">IF(OR(BB868="",N(AZ868)=0),"",BB868/AZ868)</f>
        <v/>
      </c>
      <c r="BK868" s="34" t="str">
        <f aca="false">IF(OR(A868="",N(BB868)=0),"",BD868/BB868)</f>
        <v/>
      </c>
      <c r="BL868" s="34" t="str">
        <f aca="false">IF(OR(A868="",N(AZ868)=0),"",BD868/AZ868)</f>
        <v/>
      </c>
      <c r="BM868" s="37" t="str">
        <f aca="false">IF(OR(N(Q868)=0,N(BD868)=0),"",Q868/BD868)</f>
        <v/>
      </c>
      <c r="BN868" s="29"/>
      <c r="BO868" s="29"/>
      <c r="BP868" s="33" t="str">
        <f aca="false">IF(OR(AR868="",N(AO868)=0),"",AR868)</f>
        <v/>
      </c>
      <c r="BQ868" s="33" t="str">
        <f aca="false">IF(OR(AR868="",N(S868)=0),"",S868)</f>
        <v/>
      </c>
      <c r="BR868" s="38" t="str">
        <f aca="false">IF(AND(ISNUMBER(B868),B868&gt;=Dashboard!$C$4,B868&lt;=Dashboard!$F$4,ISNUMBER(AU868)),AU868+ROW()/10^9,"")</f>
        <v/>
      </c>
      <c r="BS868" s="38" t="str">
        <f aca="false">IF(AND(ISNUMBER(B868),B868&gt;=Dashboard!$C$4,B868&lt;=Dashboard!$F$4,A868&lt;&gt;""),N(BD868)+N(AU868)/100+ROW()/10^9,"")</f>
        <v/>
      </c>
    </row>
    <row r="869" customFormat="false" ht="15" hidden="false" customHeight="false" outlineLevel="0" collapsed="false">
      <c r="A869" s="24" t="str">
        <f aca="false">IF(OR(B869="",G869="",H869=""),"",IFERROR(INDEX(Settings!$E$5:$E$49,MATCH(G869,Settings!$D$5:$D$49,0))&amp;INDEX(Settings!$H$5:$H$47,MATCH(H869,Settings!$G$5:$G$47,0))&amp;"-"&amp;TEXT(B869,"yymmdd")&amp;"-"&amp;IF(C869="","0000",TEXT(C869,"hhmm")),"CHECK LISTS"))</f>
        <v/>
      </c>
      <c r="B869" s="39"/>
      <c r="C869" s="40"/>
      <c r="D869" s="24" t="str">
        <f aca="false">IF(B869="","",TEXT(B869,"ddd"))</f>
        <v/>
      </c>
      <c r="E869" s="27" t="str">
        <f aca="false">IF(B869="","",B869-WEEKDAY(B869,3))</f>
        <v/>
      </c>
      <c r="F869" s="24" t="str">
        <f aca="false">IF(B869="","",TEXT(B869,"yyyy-mm"))</f>
        <v/>
      </c>
      <c r="G869" s="29"/>
      <c r="H869" s="29"/>
      <c r="I869" s="29"/>
      <c r="J869" s="29"/>
      <c r="K869" s="29"/>
      <c r="L869" s="29"/>
      <c r="M869" s="29"/>
      <c r="N869" s="29"/>
      <c r="O869" s="29"/>
      <c r="P869" s="29"/>
      <c r="Q869" s="30"/>
      <c r="R869" s="29"/>
      <c r="S869" s="32"/>
      <c r="T869" s="29"/>
      <c r="U869" s="29"/>
      <c r="V869" s="24" t="str">
        <f aca="false">IF(A869="","",IFERROR(INDEX(Settings!$F$5:$F$49,MATCH(G869,Settings!$D$5:$D$49,0)),""))</f>
        <v/>
      </c>
      <c r="W869" s="24" t="str">
        <f aca="false">IF(A869="","",IF(OR(P869="",P869="Organic"),"social","paid_social"))</f>
        <v/>
      </c>
      <c r="X869" s="24" t="str">
        <f aca="false">IF(A869="","",IF(K869&lt;&gt;"",IFERROR(INDEX('Case Studies'!$C$5:$C$54,MATCH(K869,'Case Studies'!$B$5:$B$54,0))&amp;"","case-study"),IF(J869&lt;&gt;"",IFERROR(INDEX(Settings!$J$5:$J$55,MATCH(J869,Settings!$I$5:$I$55,0)),"general"),"general")))</f>
        <v/>
      </c>
      <c r="Y869" s="24" t="str">
        <f aca="false">IF(A869="","",LOWER(A869))</f>
        <v/>
      </c>
      <c r="Z869" s="24" t="str">
        <f aca="false">IF(A869="","",IF(T869="",Settings!$B$5,T869)&amp;IF(ISNUMBER(FIND("?",IF(T869="",Settings!$B$5,T869))),"&amp;","?")&amp;"utm_source="&amp;V869&amp;"&amp;utm_medium="&amp;W869&amp;"&amp;utm_campaign="&amp;X869&amp;"&amp;utm_content="&amp;Y869)</f>
        <v/>
      </c>
      <c r="AA869" s="29"/>
      <c r="AB869" s="39"/>
      <c r="AC869" s="32"/>
      <c r="AD869" s="32"/>
      <c r="AE869" s="32"/>
      <c r="AF869" s="32"/>
      <c r="AG869" s="32"/>
      <c r="AH869" s="32"/>
      <c r="AI869" s="32"/>
      <c r="AJ869" s="32"/>
      <c r="AK869" s="32"/>
      <c r="AL869" s="32"/>
      <c r="AM869" s="32"/>
      <c r="AN869" s="32"/>
      <c r="AO869" s="33" t="str">
        <f aca="false">IF(A869="","",IF(AD869&lt;&gt;"",AD869,IF(AC869&lt;&gt;"",AC869,"")))</f>
        <v/>
      </c>
      <c r="AP869" s="24" t="str">
        <f aca="false">IF(AO869="","",IF(AD869&lt;&gt;"","Reported reach","Impressions (proxy)"))</f>
        <v/>
      </c>
      <c r="AQ869" s="34" t="str">
        <f aca="false">IF(OR(AO869="",N(S869)=0),"",AO869/S869)</f>
        <v/>
      </c>
      <c r="AR869" s="33" t="str">
        <f aca="false">IF(A869="","",IF(COUNT(AF869:AJ869)=0,"",SUM(AF869:AJ869)))</f>
        <v/>
      </c>
      <c r="AS869" s="34" t="str">
        <f aca="false">IF(OR(AR869="",N(AO869)=0),"",AR869/AO869)</f>
        <v/>
      </c>
      <c r="AT869" s="34" t="str">
        <f aca="false">IF(OR(AR869="",N(AC869)=0),"",AR869/AC869)</f>
        <v/>
      </c>
      <c r="AU869" s="34" t="str">
        <f aca="false">IF(OR(AR869="",N(S869)=0),"",AR869/S869)</f>
        <v/>
      </c>
      <c r="AV869" s="34" t="str">
        <f aca="false">IF(OR(AJ869="",N(AC869)=0),"",AJ869/AC869)</f>
        <v/>
      </c>
      <c r="AW869" s="34" t="str">
        <f aca="false">IF(OR(AH869="",N(AO869)=0),"",AH869/AO869)</f>
        <v/>
      </c>
      <c r="AX869" s="35" t="str">
        <f aca="false">IF(OR(AR869="",N(AO869)=0),"",(N(AF869)*Settings!$B$6+N(AG869)*Settings!$B$7+N(AH869)*Settings!$B$8+N(AI869)*Settings!$B$9+N(AJ869)*Settings!$B$10)/AO869*1000)</f>
        <v/>
      </c>
      <c r="AY869" s="36" t="str">
        <f aca="false">IF(AS869="","",IFERROR(AS869/AVERAGEIFS('Post Tracker'!$AS$5:$AS$1004,'Post Tracker'!$G$5:$G$1004,G869),""))</f>
        <v/>
      </c>
      <c r="AZ869" s="32"/>
      <c r="BA869" s="32"/>
      <c r="BB869" s="32"/>
      <c r="BC869" s="32"/>
      <c r="BD869" s="33" t="str">
        <f aca="false">IF(A869="","",COUNTIFS('Demo Pipeline'!$Q$5:$Q$504,A869))</f>
        <v/>
      </c>
      <c r="BE869" s="33" t="str">
        <f aca="false">IF(A869="","",COUNTIFS('Demo Pipeline'!$Q$5:$Q$504,A869,'Demo Pipeline'!$W$5:$W$504,"Attended"))</f>
        <v/>
      </c>
      <c r="BF869" s="33" t="str">
        <f aca="false">IF(A869="","",COUNTIFS('Demo Pipeline'!$Q$5:$Q$504,A869,'Demo Pipeline'!$X$5:$X$504,"Yes"))</f>
        <v/>
      </c>
      <c r="BG869" s="33" t="str">
        <f aca="false">IF(A869="","",COUNTIFS('Demo Pipeline'!$Q$5:$Q$504,A869,'Demo Pipeline'!$Y$5:$Y$504,"Closed Won"))</f>
        <v/>
      </c>
      <c r="BH869" s="37" t="str">
        <f aca="false">IF(A869="","",SUMIFS('Demo Pipeline'!$Z$5:$Z$504,'Demo Pipeline'!$Q$5:$Q$504,A869))</f>
        <v/>
      </c>
      <c r="BI869" s="34" t="str">
        <f aca="false">IF(OR(AZ869="",N(AJ869)=0),"",AZ869/AJ869)</f>
        <v/>
      </c>
      <c r="BJ869" s="34" t="str">
        <f aca="false">IF(OR(BB869="",N(AZ869)=0),"",BB869/AZ869)</f>
        <v/>
      </c>
      <c r="BK869" s="34" t="str">
        <f aca="false">IF(OR(A869="",N(BB869)=0),"",BD869/BB869)</f>
        <v/>
      </c>
      <c r="BL869" s="34" t="str">
        <f aca="false">IF(OR(A869="",N(AZ869)=0),"",BD869/AZ869)</f>
        <v/>
      </c>
      <c r="BM869" s="37" t="str">
        <f aca="false">IF(OR(N(Q869)=0,N(BD869)=0),"",Q869/BD869)</f>
        <v/>
      </c>
      <c r="BN869" s="29"/>
      <c r="BO869" s="29"/>
      <c r="BP869" s="33" t="str">
        <f aca="false">IF(OR(AR869="",N(AO869)=0),"",AR869)</f>
        <v/>
      </c>
      <c r="BQ869" s="33" t="str">
        <f aca="false">IF(OR(AR869="",N(S869)=0),"",S869)</f>
        <v/>
      </c>
      <c r="BR869" s="38" t="str">
        <f aca="false">IF(AND(ISNUMBER(B869),B869&gt;=Dashboard!$C$4,B869&lt;=Dashboard!$F$4,ISNUMBER(AU869)),AU869+ROW()/10^9,"")</f>
        <v/>
      </c>
      <c r="BS869" s="38" t="str">
        <f aca="false">IF(AND(ISNUMBER(B869),B869&gt;=Dashboard!$C$4,B869&lt;=Dashboard!$F$4,A869&lt;&gt;""),N(BD869)+N(AU869)/100+ROW()/10^9,"")</f>
        <v/>
      </c>
    </row>
    <row r="870" customFormat="false" ht="15" hidden="false" customHeight="false" outlineLevel="0" collapsed="false">
      <c r="A870" s="24" t="str">
        <f aca="false">IF(OR(B870="",G870="",H870=""),"",IFERROR(INDEX(Settings!$E$5:$E$49,MATCH(G870,Settings!$D$5:$D$49,0))&amp;INDEX(Settings!$H$5:$H$47,MATCH(H870,Settings!$G$5:$G$47,0))&amp;"-"&amp;TEXT(B870,"yymmdd")&amp;"-"&amp;IF(C870="","0000",TEXT(C870,"hhmm")),"CHECK LISTS"))</f>
        <v/>
      </c>
      <c r="B870" s="39"/>
      <c r="C870" s="40"/>
      <c r="D870" s="24" t="str">
        <f aca="false">IF(B870="","",TEXT(B870,"ddd"))</f>
        <v/>
      </c>
      <c r="E870" s="27" t="str">
        <f aca="false">IF(B870="","",B870-WEEKDAY(B870,3))</f>
        <v/>
      </c>
      <c r="F870" s="24" t="str">
        <f aca="false">IF(B870="","",TEXT(B870,"yyyy-mm"))</f>
        <v/>
      </c>
      <c r="G870" s="29"/>
      <c r="H870" s="29"/>
      <c r="I870" s="29"/>
      <c r="J870" s="29"/>
      <c r="K870" s="29"/>
      <c r="L870" s="29"/>
      <c r="M870" s="29"/>
      <c r="N870" s="29"/>
      <c r="O870" s="29"/>
      <c r="P870" s="29"/>
      <c r="Q870" s="30"/>
      <c r="R870" s="29"/>
      <c r="S870" s="32"/>
      <c r="T870" s="29"/>
      <c r="U870" s="29"/>
      <c r="V870" s="24" t="str">
        <f aca="false">IF(A870="","",IFERROR(INDEX(Settings!$F$5:$F$49,MATCH(G870,Settings!$D$5:$D$49,0)),""))</f>
        <v/>
      </c>
      <c r="W870" s="24" t="str">
        <f aca="false">IF(A870="","",IF(OR(P870="",P870="Organic"),"social","paid_social"))</f>
        <v/>
      </c>
      <c r="X870" s="24" t="str">
        <f aca="false">IF(A870="","",IF(K870&lt;&gt;"",IFERROR(INDEX('Case Studies'!$C$5:$C$54,MATCH(K870,'Case Studies'!$B$5:$B$54,0))&amp;"","case-study"),IF(J870&lt;&gt;"",IFERROR(INDEX(Settings!$J$5:$J$55,MATCH(J870,Settings!$I$5:$I$55,0)),"general"),"general")))</f>
        <v/>
      </c>
      <c r="Y870" s="24" t="str">
        <f aca="false">IF(A870="","",LOWER(A870))</f>
        <v/>
      </c>
      <c r="Z870" s="24" t="str">
        <f aca="false">IF(A870="","",IF(T870="",Settings!$B$5,T870)&amp;IF(ISNUMBER(FIND("?",IF(T870="",Settings!$B$5,T870))),"&amp;","?")&amp;"utm_source="&amp;V870&amp;"&amp;utm_medium="&amp;W870&amp;"&amp;utm_campaign="&amp;X870&amp;"&amp;utm_content="&amp;Y870)</f>
        <v/>
      </c>
      <c r="AA870" s="29"/>
      <c r="AB870" s="39"/>
      <c r="AC870" s="32"/>
      <c r="AD870" s="32"/>
      <c r="AE870" s="32"/>
      <c r="AF870" s="32"/>
      <c r="AG870" s="32"/>
      <c r="AH870" s="32"/>
      <c r="AI870" s="32"/>
      <c r="AJ870" s="32"/>
      <c r="AK870" s="32"/>
      <c r="AL870" s="32"/>
      <c r="AM870" s="32"/>
      <c r="AN870" s="32"/>
      <c r="AO870" s="33" t="str">
        <f aca="false">IF(A870="","",IF(AD870&lt;&gt;"",AD870,IF(AC870&lt;&gt;"",AC870,"")))</f>
        <v/>
      </c>
      <c r="AP870" s="24" t="str">
        <f aca="false">IF(AO870="","",IF(AD870&lt;&gt;"","Reported reach","Impressions (proxy)"))</f>
        <v/>
      </c>
      <c r="AQ870" s="34" t="str">
        <f aca="false">IF(OR(AO870="",N(S870)=0),"",AO870/S870)</f>
        <v/>
      </c>
      <c r="AR870" s="33" t="str">
        <f aca="false">IF(A870="","",IF(COUNT(AF870:AJ870)=0,"",SUM(AF870:AJ870)))</f>
        <v/>
      </c>
      <c r="AS870" s="34" t="str">
        <f aca="false">IF(OR(AR870="",N(AO870)=0),"",AR870/AO870)</f>
        <v/>
      </c>
      <c r="AT870" s="34" t="str">
        <f aca="false">IF(OR(AR870="",N(AC870)=0),"",AR870/AC870)</f>
        <v/>
      </c>
      <c r="AU870" s="34" t="str">
        <f aca="false">IF(OR(AR870="",N(S870)=0),"",AR870/S870)</f>
        <v/>
      </c>
      <c r="AV870" s="34" t="str">
        <f aca="false">IF(OR(AJ870="",N(AC870)=0),"",AJ870/AC870)</f>
        <v/>
      </c>
      <c r="AW870" s="34" t="str">
        <f aca="false">IF(OR(AH870="",N(AO870)=0),"",AH870/AO870)</f>
        <v/>
      </c>
      <c r="AX870" s="35" t="str">
        <f aca="false">IF(OR(AR870="",N(AO870)=0),"",(N(AF870)*Settings!$B$6+N(AG870)*Settings!$B$7+N(AH870)*Settings!$B$8+N(AI870)*Settings!$B$9+N(AJ870)*Settings!$B$10)/AO870*1000)</f>
        <v/>
      </c>
      <c r="AY870" s="36" t="str">
        <f aca="false">IF(AS870="","",IFERROR(AS870/AVERAGEIFS('Post Tracker'!$AS$5:$AS$1004,'Post Tracker'!$G$5:$G$1004,G870),""))</f>
        <v/>
      </c>
      <c r="AZ870" s="32"/>
      <c r="BA870" s="32"/>
      <c r="BB870" s="32"/>
      <c r="BC870" s="32"/>
      <c r="BD870" s="33" t="str">
        <f aca="false">IF(A870="","",COUNTIFS('Demo Pipeline'!$Q$5:$Q$504,A870))</f>
        <v/>
      </c>
      <c r="BE870" s="33" t="str">
        <f aca="false">IF(A870="","",COUNTIFS('Demo Pipeline'!$Q$5:$Q$504,A870,'Demo Pipeline'!$W$5:$W$504,"Attended"))</f>
        <v/>
      </c>
      <c r="BF870" s="33" t="str">
        <f aca="false">IF(A870="","",COUNTIFS('Demo Pipeline'!$Q$5:$Q$504,A870,'Demo Pipeline'!$X$5:$X$504,"Yes"))</f>
        <v/>
      </c>
      <c r="BG870" s="33" t="str">
        <f aca="false">IF(A870="","",COUNTIFS('Demo Pipeline'!$Q$5:$Q$504,A870,'Demo Pipeline'!$Y$5:$Y$504,"Closed Won"))</f>
        <v/>
      </c>
      <c r="BH870" s="37" t="str">
        <f aca="false">IF(A870="","",SUMIFS('Demo Pipeline'!$Z$5:$Z$504,'Demo Pipeline'!$Q$5:$Q$504,A870))</f>
        <v/>
      </c>
      <c r="BI870" s="34" t="str">
        <f aca="false">IF(OR(AZ870="",N(AJ870)=0),"",AZ870/AJ870)</f>
        <v/>
      </c>
      <c r="BJ870" s="34" t="str">
        <f aca="false">IF(OR(BB870="",N(AZ870)=0),"",BB870/AZ870)</f>
        <v/>
      </c>
      <c r="BK870" s="34" t="str">
        <f aca="false">IF(OR(A870="",N(BB870)=0),"",BD870/BB870)</f>
        <v/>
      </c>
      <c r="BL870" s="34" t="str">
        <f aca="false">IF(OR(A870="",N(AZ870)=0),"",BD870/AZ870)</f>
        <v/>
      </c>
      <c r="BM870" s="37" t="str">
        <f aca="false">IF(OR(N(Q870)=0,N(BD870)=0),"",Q870/BD870)</f>
        <v/>
      </c>
      <c r="BN870" s="29"/>
      <c r="BO870" s="29"/>
      <c r="BP870" s="33" t="str">
        <f aca="false">IF(OR(AR870="",N(AO870)=0),"",AR870)</f>
        <v/>
      </c>
      <c r="BQ870" s="33" t="str">
        <f aca="false">IF(OR(AR870="",N(S870)=0),"",S870)</f>
        <v/>
      </c>
      <c r="BR870" s="38" t="str">
        <f aca="false">IF(AND(ISNUMBER(B870),B870&gt;=Dashboard!$C$4,B870&lt;=Dashboard!$F$4,ISNUMBER(AU870)),AU870+ROW()/10^9,"")</f>
        <v/>
      </c>
      <c r="BS870" s="38" t="str">
        <f aca="false">IF(AND(ISNUMBER(B870),B870&gt;=Dashboard!$C$4,B870&lt;=Dashboard!$F$4,A870&lt;&gt;""),N(BD870)+N(AU870)/100+ROW()/10^9,"")</f>
        <v/>
      </c>
    </row>
    <row r="871" customFormat="false" ht="15" hidden="false" customHeight="false" outlineLevel="0" collapsed="false">
      <c r="A871" s="24" t="str">
        <f aca="false">IF(OR(B871="",G871="",H871=""),"",IFERROR(INDEX(Settings!$E$5:$E$49,MATCH(G871,Settings!$D$5:$D$49,0))&amp;INDEX(Settings!$H$5:$H$47,MATCH(H871,Settings!$G$5:$G$47,0))&amp;"-"&amp;TEXT(B871,"yymmdd")&amp;"-"&amp;IF(C871="","0000",TEXT(C871,"hhmm")),"CHECK LISTS"))</f>
        <v/>
      </c>
      <c r="B871" s="39"/>
      <c r="C871" s="40"/>
      <c r="D871" s="24" t="str">
        <f aca="false">IF(B871="","",TEXT(B871,"ddd"))</f>
        <v/>
      </c>
      <c r="E871" s="27" t="str">
        <f aca="false">IF(B871="","",B871-WEEKDAY(B871,3))</f>
        <v/>
      </c>
      <c r="F871" s="24" t="str">
        <f aca="false">IF(B871="","",TEXT(B871,"yyyy-mm"))</f>
        <v/>
      </c>
      <c r="G871" s="29"/>
      <c r="H871" s="29"/>
      <c r="I871" s="29"/>
      <c r="J871" s="29"/>
      <c r="K871" s="29"/>
      <c r="L871" s="29"/>
      <c r="M871" s="29"/>
      <c r="N871" s="29"/>
      <c r="O871" s="29"/>
      <c r="P871" s="29"/>
      <c r="Q871" s="30"/>
      <c r="R871" s="29"/>
      <c r="S871" s="32"/>
      <c r="T871" s="29"/>
      <c r="U871" s="29"/>
      <c r="V871" s="24" t="str">
        <f aca="false">IF(A871="","",IFERROR(INDEX(Settings!$F$5:$F$49,MATCH(G871,Settings!$D$5:$D$49,0)),""))</f>
        <v/>
      </c>
      <c r="W871" s="24" t="str">
        <f aca="false">IF(A871="","",IF(OR(P871="",P871="Organic"),"social","paid_social"))</f>
        <v/>
      </c>
      <c r="X871" s="24" t="str">
        <f aca="false">IF(A871="","",IF(K871&lt;&gt;"",IFERROR(INDEX('Case Studies'!$C$5:$C$54,MATCH(K871,'Case Studies'!$B$5:$B$54,0))&amp;"","case-study"),IF(J871&lt;&gt;"",IFERROR(INDEX(Settings!$J$5:$J$55,MATCH(J871,Settings!$I$5:$I$55,0)),"general"),"general")))</f>
        <v/>
      </c>
      <c r="Y871" s="24" t="str">
        <f aca="false">IF(A871="","",LOWER(A871))</f>
        <v/>
      </c>
      <c r="Z871" s="24" t="str">
        <f aca="false">IF(A871="","",IF(T871="",Settings!$B$5,T871)&amp;IF(ISNUMBER(FIND("?",IF(T871="",Settings!$B$5,T871))),"&amp;","?")&amp;"utm_source="&amp;V871&amp;"&amp;utm_medium="&amp;W871&amp;"&amp;utm_campaign="&amp;X871&amp;"&amp;utm_content="&amp;Y871)</f>
        <v/>
      </c>
      <c r="AA871" s="29"/>
      <c r="AB871" s="39"/>
      <c r="AC871" s="32"/>
      <c r="AD871" s="32"/>
      <c r="AE871" s="32"/>
      <c r="AF871" s="32"/>
      <c r="AG871" s="32"/>
      <c r="AH871" s="32"/>
      <c r="AI871" s="32"/>
      <c r="AJ871" s="32"/>
      <c r="AK871" s="32"/>
      <c r="AL871" s="32"/>
      <c r="AM871" s="32"/>
      <c r="AN871" s="32"/>
      <c r="AO871" s="33" t="str">
        <f aca="false">IF(A871="","",IF(AD871&lt;&gt;"",AD871,IF(AC871&lt;&gt;"",AC871,"")))</f>
        <v/>
      </c>
      <c r="AP871" s="24" t="str">
        <f aca="false">IF(AO871="","",IF(AD871&lt;&gt;"","Reported reach","Impressions (proxy)"))</f>
        <v/>
      </c>
      <c r="AQ871" s="34" t="str">
        <f aca="false">IF(OR(AO871="",N(S871)=0),"",AO871/S871)</f>
        <v/>
      </c>
      <c r="AR871" s="33" t="str">
        <f aca="false">IF(A871="","",IF(COUNT(AF871:AJ871)=0,"",SUM(AF871:AJ871)))</f>
        <v/>
      </c>
      <c r="AS871" s="34" t="str">
        <f aca="false">IF(OR(AR871="",N(AO871)=0),"",AR871/AO871)</f>
        <v/>
      </c>
      <c r="AT871" s="34" t="str">
        <f aca="false">IF(OR(AR871="",N(AC871)=0),"",AR871/AC871)</f>
        <v/>
      </c>
      <c r="AU871" s="34" t="str">
        <f aca="false">IF(OR(AR871="",N(S871)=0),"",AR871/S871)</f>
        <v/>
      </c>
      <c r="AV871" s="34" t="str">
        <f aca="false">IF(OR(AJ871="",N(AC871)=0),"",AJ871/AC871)</f>
        <v/>
      </c>
      <c r="AW871" s="34" t="str">
        <f aca="false">IF(OR(AH871="",N(AO871)=0),"",AH871/AO871)</f>
        <v/>
      </c>
      <c r="AX871" s="35" t="str">
        <f aca="false">IF(OR(AR871="",N(AO871)=0),"",(N(AF871)*Settings!$B$6+N(AG871)*Settings!$B$7+N(AH871)*Settings!$B$8+N(AI871)*Settings!$B$9+N(AJ871)*Settings!$B$10)/AO871*1000)</f>
        <v/>
      </c>
      <c r="AY871" s="36" t="str">
        <f aca="false">IF(AS871="","",IFERROR(AS871/AVERAGEIFS('Post Tracker'!$AS$5:$AS$1004,'Post Tracker'!$G$5:$G$1004,G871),""))</f>
        <v/>
      </c>
      <c r="AZ871" s="32"/>
      <c r="BA871" s="32"/>
      <c r="BB871" s="32"/>
      <c r="BC871" s="32"/>
      <c r="BD871" s="33" t="str">
        <f aca="false">IF(A871="","",COUNTIFS('Demo Pipeline'!$Q$5:$Q$504,A871))</f>
        <v/>
      </c>
      <c r="BE871" s="33" t="str">
        <f aca="false">IF(A871="","",COUNTIFS('Demo Pipeline'!$Q$5:$Q$504,A871,'Demo Pipeline'!$W$5:$W$504,"Attended"))</f>
        <v/>
      </c>
      <c r="BF871" s="33" t="str">
        <f aca="false">IF(A871="","",COUNTIFS('Demo Pipeline'!$Q$5:$Q$504,A871,'Demo Pipeline'!$X$5:$X$504,"Yes"))</f>
        <v/>
      </c>
      <c r="BG871" s="33" t="str">
        <f aca="false">IF(A871="","",COUNTIFS('Demo Pipeline'!$Q$5:$Q$504,A871,'Demo Pipeline'!$Y$5:$Y$504,"Closed Won"))</f>
        <v/>
      </c>
      <c r="BH871" s="37" t="str">
        <f aca="false">IF(A871="","",SUMIFS('Demo Pipeline'!$Z$5:$Z$504,'Demo Pipeline'!$Q$5:$Q$504,A871))</f>
        <v/>
      </c>
      <c r="BI871" s="34" t="str">
        <f aca="false">IF(OR(AZ871="",N(AJ871)=0),"",AZ871/AJ871)</f>
        <v/>
      </c>
      <c r="BJ871" s="34" t="str">
        <f aca="false">IF(OR(BB871="",N(AZ871)=0),"",BB871/AZ871)</f>
        <v/>
      </c>
      <c r="BK871" s="34" t="str">
        <f aca="false">IF(OR(A871="",N(BB871)=0),"",BD871/BB871)</f>
        <v/>
      </c>
      <c r="BL871" s="34" t="str">
        <f aca="false">IF(OR(A871="",N(AZ871)=0),"",BD871/AZ871)</f>
        <v/>
      </c>
      <c r="BM871" s="37" t="str">
        <f aca="false">IF(OR(N(Q871)=0,N(BD871)=0),"",Q871/BD871)</f>
        <v/>
      </c>
      <c r="BN871" s="29"/>
      <c r="BO871" s="29"/>
      <c r="BP871" s="33" t="str">
        <f aca="false">IF(OR(AR871="",N(AO871)=0),"",AR871)</f>
        <v/>
      </c>
      <c r="BQ871" s="33" t="str">
        <f aca="false">IF(OR(AR871="",N(S871)=0),"",S871)</f>
        <v/>
      </c>
      <c r="BR871" s="38" t="str">
        <f aca="false">IF(AND(ISNUMBER(B871),B871&gt;=Dashboard!$C$4,B871&lt;=Dashboard!$F$4,ISNUMBER(AU871)),AU871+ROW()/10^9,"")</f>
        <v/>
      </c>
      <c r="BS871" s="38" t="str">
        <f aca="false">IF(AND(ISNUMBER(B871),B871&gt;=Dashboard!$C$4,B871&lt;=Dashboard!$F$4,A871&lt;&gt;""),N(BD871)+N(AU871)/100+ROW()/10^9,"")</f>
        <v/>
      </c>
    </row>
    <row r="872" customFormat="false" ht="15" hidden="false" customHeight="false" outlineLevel="0" collapsed="false">
      <c r="A872" s="24" t="str">
        <f aca="false">IF(OR(B872="",G872="",H872=""),"",IFERROR(INDEX(Settings!$E$5:$E$49,MATCH(G872,Settings!$D$5:$D$49,0))&amp;INDEX(Settings!$H$5:$H$47,MATCH(H872,Settings!$G$5:$G$47,0))&amp;"-"&amp;TEXT(B872,"yymmdd")&amp;"-"&amp;IF(C872="","0000",TEXT(C872,"hhmm")),"CHECK LISTS"))</f>
        <v/>
      </c>
      <c r="B872" s="39"/>
      <c r="C872" s="40"/>
      <c r="D872" s="24" t="str">
        <f aca="false">IF(B872="","",TEXT(B872,"ddd"))</f>
        <v/>
      </c>
      <c r="E872" s="27" t="str">
        <f aca="false">IF(B872="","",B872-WEEKDAY(B872,3))</f>
        <v/>
      </c>
      <c r="F872" s="24" t="str">
        <f aca="false">IF(B872="","",TEXT(B872,"yyyy-mm"))</f>
        <v/>
      </c>
      <c r="G872" s="29"/>
      <c r="H872" s="29"/>
      <c r="I872" s="29"/>
      <c r="J872" s="29"/>
      <c r="K872" s="29"/>
      <c r="L872" s="29"/>
      <c r="M872" s="29"/>
      <c r="N872" s="29"/>
      <c r="O872" s="29"/>
      <c r="P872" s="29"/>
      <c r="Q872" s="30"/>
      <c r="R872" s="29"/>
      <c r="S872" s="32"/>
      <c r="T872" s="29"/>
      <c r="U872" s="29"/>
      <c r="V872" s="24" t="str">
        <f aca="false">IF(A872="","",IFERROR(INDEX(Settings!$F$5:$F$49,MATCH(G872,Settings!$D$5:$D$49,0)),""))</f>
        <v/>
      </c>
      <c r="W872" s="24" t="str">
        <f aca="false">IF(A872="","",IF(OR(P872="",P872="Organic"),"social","paid_social"))</f>
        <v/>
      </c>
      <c r="X872" s="24" t="str">
        <f aca="false">IF(A872="","",IF(K872&lt;&gt;"",IFERROR(INDEX('Case Studies'!$C$5:$C$54,MATCH(K872,'Case Studies'!$B$5:$B$54,0))&amp;"","case-study"),IF(J872&lt;&gt;"",IFERROR(INDEX(Settings!$J$5:$J$55,MATCH(J872,Settings!$I$5:$I$55,0)),"general"),"general")))</f>
        <v/>
      </c>
      <c r="Y872" s="24" t="str">
        <f aca="false">IF(A872="","",LOWER(A872))</f>
        <v/>
      </c>
      <c r="Z872" s="24" t="str">
        <f aca="false">IF(A872="","",IF(T872="",Settings!$B$5,T872)&amp;IF(ISNUMBER(FIND("?",IF(T872="",Settings!$B$5,T872))),"&amp;","?")&amp;"utm_source="&amp;V872&amp;"&amp;utm_medium="&amp;W872&amp;"&amp;utm_campaign="&amp;X872&amp;"&amp;utm_content="&amp;Y872)</f>
        <v/>
      </c>
      <c r="AA872" s="29"/>
      <c r="AB872" s="39"/>
      <c r="AC872" s="32"/>
      <c r="AD872" s="32"/>
      <c r="AE872" s="32"/>
      <c r="AF872" s="32"/>
      <c r="AG872" s="32"/>
      <c r="AH872" s="32"/>
      <c r="AI872" s="32"/>
      <c r="AJ872" s="32"/>
      <c r="AK872" s="32"/>
      <c r="AL872" s="32"/>
      <c r="AM872" s="32"/>
      <c r="AN872" s="32"/>
      <c r="AO872" s="33" t="str">
        <f aca="false">IF(A872="","",IF(AD872&lt;&gt;"",AD872,IF(AC872&lt;&gt;"",AC872,"")))</f>
        <v/>
      </c>
      <c r="AP872" s="24" t="str">
        <f aca="false">IF(AO872="","",IF(AD872&lt;&gt;"","Reported reach","Impressions (proxy)"))</f>
        <v/>
      </c>
      <c r="AQ872" s="34" t="str">
        <f aca="false">IF(OR(AO872="",N(S872)=0),"",AO872/S872)</f>
        <v/>
      </c>
      <c r="AR872" s="33" t="str">
        <f aca="false">IF(A872="","",IF(COUNT(AF872:AJ872)=0,"",SUM(AF872:AJ872)))</f>
        <v/>
      </c>
      <c r="AS872" s="34" t="str">
        <f aca="false">IF(OR(AR872="",N(AO872)=0),"",AR872/AO872)</f>
        <v/>
      </c>
      <c r="AT872" s="34" t="str">
        <f aca="false">IF(OR(AR872="",N(AC872)=0),"",AR872/AC872)</f>
        <v/>
      </c>
      <c r="AU872" s="34" t="str">
        <f aca="false">IF(OR(AR872="",N(S872)=0),"",AR872/S872)</f>
        <v/>
      </c>
      <c r="AV872" s="34" t="str">
        <f aca="false">IF(OR(AJ872="",N(AC872)=0),"",AJ872/AC872)</f>
        <v/>
      </c>
      <c r="AW872" s="34" t="str">
        <f aca="false">IF(OR(AH872="",N(AO872)=0),"",AH872/AO872)</f>
        <v/>
      </c>
      <c r="AX872" s="35" t="str">
        <f aca="false">IF(OR(AR872="",N(AO872)=0),"",(N(AF872)*Settings!$B$6+N(AG872)*Settings!$B$7+N(AH872)*Settings!$B$8+N(AI872)*Settings!$B$9+N(AJ872)*Settings!$B$10)/AO872*1000)</f>
        <v/>
      </c>
      <c r="AY872" s="36" t="str">
        <f aca="false">IF(AS872="","",IFERROR(AS872/AVERAGEIFS('Post Tracker'!$AS$5:$AS$1004,'Post Tracker'!$G$5:$G$1004,G872),""))</f>
        <v/>
      </c>
      <c r="AZ872" s="32"/>
      <c r="BA872" s="32"/>
      <c r="BB872" s="32"/>
      <c r="BC872" s="32"/>
      <c r="BD872" s="33" t="str">
        <f aca="false">IF(A872="","",COUNTIFS('Demo Pipeline'!$Q$5:$Q$504,A872))</f>
        <v/>
      </c>
      <c r="BE872" s="33" t="str">
        <f aca="false">IF(A872="","",COUNTIFS('Demo Pipeline'!$Q$5:$Q$504,A872,'Demo Pipeline'!$W$5:$W$504,"Attended"))</f>
        <v/>
      </c>
      <c r="BF872" s="33" t="str">
        <f aca="false">IF(A872="","",COUNTIFS('Demo Pipeline'!$Q$5:$Q$504,A872,'Demo Pipeline'!$X$5:$X$504,"Yes"))</f>
        <v/>
      </c>
      <c r="BG872" s="33" t="str">
        <f aca="false">IF(A872="","",COUNTIFS('Demo Pipeline'!$Q$5:$Q$504,A872,'Demo Pipeline'!$Y$5:$Y$504,"Closed Won"))</f>
        <v/>
      </c>
      <c r="BH872" s="37" t="str">
        <f aca="false">IF(A872="","",SUMIFS('Demo Pipeline'!$Z$5:$Z$504,'Demo Pipeline'!$Q$5:$Q$504,A872))</f>
        <v/>
      </c>
      <c r="BI872" s="34" t="str">
        <f aca="false">IF(OR(AZ872="",N(AJ872)=0),"",AZ872/AJ872)</f>
        <v/>
      </c>
      <c r="BJ872" s="34" t="str">
        <f aca="false">IF(OR(BB872="",N(AZ872)=0),"",BB872/AZ872)</f>
        <v/>
      </c>
      <c r="BK872" s="34" t="str">
        <f aca="false">IF(OR(A872="",N(BB872)=0),"",BD872/BB872)</f>
        <v/>
      </c>
      <c r="BL872" s="34" t="str">
        <f aca="false">IF(OR(A872="",N(AZ872)=0),"",BD872/AZ872)</f>
        <v/>
      </c>
      <c r="BM872" s="37" t="str">
        <f aca="false">IF(OR(N(Q872)=0,N(BD872)=0),"",Q872/BD872)</f>
        <v/>
      </c>
      <c r="BN872" s="29"/>
      <c r="BO872" s="29"/>
      <c r="BP872" s="33" t="str">
        <f aca="false">IF(OR(AR872="",N(AO872)=0),"",AR872)</f>
        <v/>
      </c>
      <c r="BQ872" s="33" t="str">
        <f aca="false">IF(OR(AR872="",N(S872)=0),"",S872)</f>
        <v/>
      </c>
      <c r="BR872" s="38" t="str">
        <f aca="false">IF(AND(ISNUMBER(B872),B872&gt;=Dashboard!$C$4,B872&lt;=Dashboard!$F$4,ISNUMBER(AU872)),AU872+ROW()/10^9,"")</f>
        <v/>
      </c>
      <c r="BS872" s="38" t="str">
        <f aca="false">IF(AND(ISNUMBER(B872),B872&gt;=Dashboard!$C$4,B872&lt;=Dashboard!$F$4,A872&lt;&gt;""),N(BD872)+N(AU872)/100+ROW()/10^9,"")</f>
        <v/>
      </c>
    </row>
    <row r="873" customFormat="false" ht="15" hidden="false" customHeight="false" outlineLevel="0" collapsed="false">
      <c r="A873" s="24" t="str">
        <f aca="false">IF(OR(B873="",G873="",H873=""),"",IFERROR(INDEX(Settings!$E$5:$E$49,MATCH(G873,Settings!$D$5:$D$49,0))&amp;INDEX(Settings!$H$5:$H$47,MATCH(H873,Settings!$G$5:$G$47,0))&amp;"-"&amp;TEXT(B873,"yymmdd")&amp;"-"&amp;IF(C873="","0000",TEXT(C873,"hhmm")),"CHECK LISTS"))</f>
        <v/>
      </c>
      <c r="B873" s="39"/>
      <c r="C873" s="40"/>
      <c r="D873" s="24" t="str">
        <f aca="false">IF(B873="","",TEXT(B873,"ddd"))</f>
        <v/>
      </c>
      <c r="E873" s="27" t="str">
        <f aca="false">IF(B873="","",B873-WEEKDAY(B873,3))</f>
        <v/>
      </c>
      <c r="F873" s="24" t="str">
        <f aca="false">IF(B873="","",TEXT(B873,"yyyy-mm"))</f>
        <v/>
      </c>
      <c r="G873" s="29"/>
      <c r="H873" s="29"/>
      <c r="I873" s="29"/>
      <c r="J873" s="29"/>
      <c r="K873" s="29"/>
      <c r="L873" s="29"/>
      <c r="M873" s="29"/>
      <c r="N873" s="29"/>
      <c r="O873" s="29"/>
      <c r="P873" s="29"/>
      <c r="Q873" s="30"/>
      <c r="R873" s="29"/>
      <c r="S873" s="32"/>
      <c r="T873" s="29"/>
      <c r="U873" s="29"/>
      <c r="V873" s="24" t="str">
        <f aca="false">IF(A873="","",IFERROR(INDEX(Settings!$F$5:$F$49,MATCH(G873,Settings!$D$5:$D$49,0)),""))</f>
        <v/>
      </c>
      <c r="W873" s="24" t="str">
        <f aca="false">IF(A873="","",IF(OR(P873="",P873="Organic"),"social","paid_social"))</f>
        <v/>
      </c>
      <c r="X873" s="24" t="str">
        <f aca="false">IF(A873="","",IF(K873&lt;&gt;"",IFERROR(INDEX('Case Studies'!$C$5:$C$54,MATCH(K873,'Case Studies'!$B$5:$B$54,0))&amp;"","case-study"),IF(J873&lt;&gt;"",IFERROR(INDEX(Settings!$J$5:$J$55,MATCH(J873,Settings!$I$5:$I$55,0)),"general"),"general")))</f>
        <v/>
      </c>
      <c r="Y873" s="24" t="str">
        <f aca="false">IF(A873="","",LOWER(A873))</f>
        <v/>
      </c>
      <c r="Z873" s="24" t="str">
        <f aca="false">IF(A873="","",IF(T873="",Settings!$B$5,T873)&amp;IF(ISNUMBER(FIND("?",IF(T873="",Settings!$B$5,T873))),"&amp;","?")&amp;"utm_source="&amp;V873&amp;"&amp;utm_medium="&amp;W873&amp;"&amp;utm_campaign="&amp;X873&amp;"&amp;utm_content="&amp;Y873)</f>
        <v/>
      </c>
      <c r="AA873" s="29"/>
      <c r="AB873" s="39"/>
      <c r="AC873" s="32"/>
      <c r="AD873" s="32"/>
      <c r="AE873" s="32"/>
      <c r="AF873" s="32"/>
      <c r="AG873" s="32"/>
      <c r="AH873" s="32"/>
      <c r="AI873" s="32"/>
      <c r="AJ873" s="32"/>
      <c r="AK873" s="32"/>
      <c r="AL873" s="32"/>
      <c r="AM873" s="32"/>
      <c r="AN873" s="32"/>
      <c r="AO873" s="33" t="str">
        <f aca="false">IF(A873="","",IF(AD873&lt;&gt;"",AD873,IF(AC873&lt;&gt;"",AC873,"")))</f>
        <v/>
      </c>
      <c r="AP873" s="24" t="str">
        <f aca="false">IF(AO873="","",IF(AD873&lt;&gt;"","Reported reach","Impressions (proxy)"))</f>
        <v/>
      </c>
      <c r="AQ873" s="34" t="str">
        <f aca="false">IF(OR(AO873="",N(S873)=0),"",AO873/S873)</f>
        <v/>
      </c>
      <c r="AR873" s="33" t="str">
        <f aca="false">IF(A873="","",IF(COUNT(AF873:AJ873)=0,"",SUM(AF873:AJ873)))</f>
        <v/>
      </c>
      <c r="AS873" s="34" t="str">
        <f aca="false">IF(OR(AR873="",N(AO873)=0),"",AR873/AO873)</f>
        <v/>
      </c>
      <c r="AT873" s="34" t="str">
        <f aca="false">IF(OR(AR873="",N(AC873)=0),"",AR873/AC873)</f>
        <v/>
      </c>
      <c r="AU873" s="34" t="str">
        <f aca="false">IF(OR(AR873="",N(S873)=0),"",AR873/S873)</f>
        <v/>
      </c>
      <c r="AV873" s="34" t="str">
        <f aca="false">IF(OR(AJ873="",N(AC873)=0),"",AJ873/AC873)</f>
        <v/>
      </c>
      <c r="AW873" s="34" t="str">
        <f aca="false">IF(OR(AH873="",N(AO873)=0),"",AH873/AO873)</f>
        <v/>
      </c>
      <c r="AX873" s="35" t="str">
        <f aca="false">IF(OR(AR873="",N(AO873)=0),"",(N(AF873)*Settings!$B$6+N(AG873)*Settings!$B$7+N(AH873)*Settings!$B$8+N(AI873)*Settings!$B$9+N(AJ873)*Settings!$B$10)/AO873*1000)</f>
        <v/>
      </c>
      <c r="AY873" s="36" t="str">
        <f aca="false">IF(AS873="","",IFERROR(AS873/AVERAGEIFS('Post Tracker'!$AS$5:$AS$1004,'Post Tracker'!$G$5:$G$1004,G873),""))</f>
        <v/>
      </c>
      <c r="AZ873" s="32"/>
      <c r="BA873" s="32"/>
      <c r="BB873" s="32"/>
      <c r="BC873" s="32"/>
      <c r="BD873" s="33" t="str">
        <f aca="false">IF(A873="","",COUNTIFS('Demo Pipeline'!$Q$5:$Q$504,A873))</f>
        <v/>
      </c>
      <c r="BE873" s="33" t="str">
        <f aca="false">IF(A873="","",COUNTIFS('Demo Pipeline'!$Q$5:$Q$504,A873,'Demo Pipeline'!$W$5:$W$504,"Attended"))</f>
        <v/>
      </c>
      <c r="BF873" s="33" t="str">
        <f aca="false">IF(A873="","",COUNTIFS('Demo Pipeline'!$Q$5:$Q$504,A873,'Demo Pipeline'!$X$5:$X$504,"Yes"))</f>
        <v/>
      </c>
      <c r="BG873" s="33" t="str">
        <f aca="false">IF(A873="","",COUNTIFS('Demo Pipeline'!$Q$5:$Q$504,A873,'Demo Pipeline'!$Y$5:$Y$504,"Closed Won"))</f>
        <v/>
      </c>
      <c r="BH873" s="37" t="str">
        <f aca="false">IF(A873="","",SUMIFS('Demo Pipeline'!$Z$5:$Z$504,'Demo Pipeline'!$Q$5:$Q$504,A873))</f>
        <v/>
      </c>
      <c r="BI873" s="34" t="str">
        <f aca="false">IF(OR(AZ873="",N(AJ873)=0),"",AZ873/AJ873)</f>
        <v/>
      </c>
      <c r="BJ873" s="34" t="str">
        <f aca="false">IF(OR(BB873="",N(AZ873)=0),"",BB873/AZ873)</f>
        <v/>
      </c>
      <c r="BK873" s="34" t="str">
        <f aca="false">IF(OR(A873="",N(BB873)=0),"",BD873/BB873)</f>
        <v/>
      </c>
      <c r="BL873" s="34" t="str">
        <f aca="false">IF(OR(A873="",N(AZ873)=0),"",BD873/AZ873)</f>
        <v/>
      </c>
      <c r="BM873" s="37" t="str">
        <f aca="false">IF(OR(N(Q873)=0,N(BD873)=0),"",Q873/BD873)</f>
        <v/>
      </c>
      <c r="BN873" s="29"/>
      <c r="BO873" s="29"/>
      <c r="BP873" s="33" t="str">
        <f aca="false">IF(OR(AR873="",N(AO873)=0),"",AR873)</f>
        <v/>
      </c>
      <c r="BQ873" s="33" t="str">
        <f aca="false">IF(OR(AR873="",N(S873)=0),"",S873)</f>
        <v/>
      </c>
      <c r="BR873" s="38" t="str">
        <f aca="false">IF(AND(ISNUMBER(B873),B873&gt;=Dashboard!$C$4,B873&lt;=Dashboard!$F$4,ISNUMBER(AU873)),AU873+ROW()/10^9,"")</f>
        <v/>
      </c>
      <c r="BS873" s="38" t="str">
        <f aca="false">IF(AND(ISNUMBER(B873),B873&gt;=Dashboard!$C$4,B873&lt;=Dashboard!$F$4,A873&lt;&gt;""),N(BD873)+N(AU873)/100+ROW()/10^9,"")</f>
        <v/>
      </c>
    </row>
    <row r="874" customFormat="false" ht="15" hidden="false" customHeight="false" outlineLevel="0" collapsed="false">
      <c r="A874" s="24" t="str">
        <f aca="false">IF(OR(B874="",G874="",H874=""),"",IFERROR(INDEX(Settings!$E$5:$E$49,MATCH(G874,Settings!$D$5:$D$49,0))&amp;INDEX(Settings!$H$5:$H$47,MATCH(H874,Settings!$G$5:$G$47,0))&amp;"-"&amp;TEXT(B874,"yymmdd")&amp;"-"&amp;IF(C874="","0000",TEXT(C874,"hhmm")),"CHECK LISTS"))</f>
        <v/>
      </c>
      <c r="B874" s="39"/>
      <c r="C874" s="40"/>
      <c r="D874" s="24" t="str">
        <f aca="false">IF(B874="","",TEXT(B874,"ddd"))</f>
        <v/>
      </c>
      <c r="E874" s="27" t="str">
        <f aca="false">IF(B874="","",B874-WEEKDAY(B874,3))</f>
        <v/>
      </c>
      <c r="F874" s="24" t="str">
        <f aca="false">IF(B874="","",TEXT(B874,"yyyy-mm"))</f>
        <v/>
      </c>
      <c r="G874" s="29"/>
      <c r="H874" s="29"/>
      <c r="I874" s="29"/>
      <c r="J874" s="29"/>
      <c r="K874" s="29"/>
      <c r="L874" s="29"/>
      <c r="M874" s="29"/>
      <c r="N874" s="29"/>
      <c r="O874" s="29"/>
      <c r="P874" s="29"/>
      <c r="Q874" s="30"/>
      <c r="R874" s="29"/>
      <c r="S874" s="32"/>
      <c r="T874" s="29"/>
      <c r="U874" s="29"/>
      <c r="V874" s="24" t="str">
        <f aca="false">IF(A874="","",IFERROR(INDEX(Settings!$F$5:$F$49,MATCH(G874,Settings!$D$5:$D$49,0)),""))</f>
        <v/>
      </c>
      <c r="W874" s="24" t="str">
        <f aca="false">IF(A874="","",IF(OR(P874="",P874="Organic"),"social","paid_social"))</f>
        <v/>
      </c>
      <c r="X874" s="24" t="str">
        <f aca="false">IF(A874="","",IF(K874&lt;&gt;"",IFERROR(INDEX('Case Studies'!$C$5:$C$54,MATCH(K874,'Case Studies'!$B$5:$B$54,0))&amp;"","case-study"),IF(J874&lt;&gt;"",IFERROR(INDEX(Settings!$J$5:$J$55,MATCH(J874,Settings!$I$5:$I$55,0)),"general"),"general")))</f>
        <v/>
      </c>
      <c r="Y874" s="24" t="str">
        <f aca="false">IF(A874="","",LOWER(A874))</f>
        <v/>
      </c>
      <c r="Z874" s="24" t="str">
        <f aca="false">IF(A874="","",IF(T874="",Settings!$B$5,T874)&amp;IF(ISNUMBER(FIND("?",IF(T874="",Settings!$B$5,T874))),"&amp;","?")&amp;"utm_source="&amp;V874&amp;"&amp;utm_medium="&amp;W874&amp;"&amp;utm_campaign="&amp;X874&amp;"&amp;utm_content="&amp;Y874)</f>
        <v/>
      </c>
      <c r="AA874" s="29"/>
      <c r="AB874" s="39"/>
      <c r="AC874" s="32"/>
      <c r="AD874" s="32"/>
      <c r="AE874" s="32"/>
      <c r="AF874" s="32"/>
      <c r="AG874" s="32"/>
      <c r="AH874" s="32"/>
      <c r="AI874" s="32"/>
      <c r="AJ874" s="32"/>
      <c r="AK874" s="32"/>
      <c r="AL874" s="32"/>
      <c r="AM874" s="32"/>
      <c r="AN874" s="32"/>
      <c r="AO874" s="33" t="str">
        <f aca="false">IF(A874="","",IF(AD874&lt;&gt;"",AD874,IF(AC874&lt;&gt;"",AC874,"")))</f>
        <v/>
      </c>
      <c r="AP874" s="24" t="str">
        <f aca="false">IF(AO874="","",IF(AD874&lt;&gt;"","Reported reach","Impressions (proxy)"))</f>
        <v/>
      </c>
      <c r="AQ874" s="34" t="str">
        <f aca="false">IF(OR(AO874="",N(S874)=0),"",AO874/S874)</f>
        <v/>
      </c>
      <c r="AR874" s="33" t="str">
        <f aca="false">IF(A874="","",IF(COUNT(AF874:AJ874)=0,"",SUM(AF874:AJ874)))</f>
        <v/>
      </c>
      <c r="AS874" s="34" t="str">
        <f aca="false">IF(OR(AR874="",N(AO874)=0),"",AR874/AO874)</f>
        <v/>
      </c>
      <c r="AT874" s="34" t="str">
        <f aca="false">IF(OR(AR874="",N(AC874)=0),"",AR874/AC874)</f>
        <v/>
      </c>
      <c r="AU874" s="34" t="str">
        <f aca="false">IF(OR(AR874="",N(S874)=0),"",AR874/S874)</f>
        <v/>
      </c>
      <c r="AV874" s="34" t="str">
        <f aca="false">IF(OR(AJ874="",N(AC874)=0),"",AJ874/AC874)</f>
        <v/>
      </c>
      <c r="AW874" s="34" t="str">
        <f aca="false">IF(OR(AH874="",N(AO874)=0),"",AH874/AO874)</f>
        <v/>
      </c>
      <c r="AX874" s="35" t="str">
        <f aca="false">IF(OR(AR874="",N(AO874)=0),"",(N(AF874)*Settings!$B$6+N(AG874)*Settings!$B$7+N(AH874)*Settings!$B$8+N(AI874)*Settings!$B$9+N(AJ874)*Settings!$B$10)/AO874*1000)</f>
        <v/>
      </c>
      <c r="AY874" s="36" t="str">
        <f aca="false">IF(AS874="","",IFERROR(AS874/AVERAGEIFS('Post Tracker'!$AS$5:$AS$1004,'Post Tracker'!$G$5:$G$1004,G874),""))</f>
        <v/>
      </c>
      <c r="AZ874" s="32"/>
      <c r="BA874" s="32"/>
      <c r="BB874" s="32"/>
      <c r="BC874" s="32"/>
      <c r="BD874" s="33" t="str">
        <f aca="false">IF(A874="","",COUNTIFS('Demo Pipeline'!$Q$5:$Q$504,A874))</f>
        <v/>
      </c>
      <c r="BE874" s="33" t="str">
        <f aca="false">IF(A874="","",COUNTIFS('Demo Pipeline'!$Q$5:$Q$504,A874,'Demo Pipeline'!$W$5:$W$504,"Attended"))</f>
        <v/>
      </c>
      <c r="BF874" s="33" t="str">
        <f aca="false">IF(A874="","",COUNTIFS('Demo Pipeline'!$Q$5:$Q$504,A874,'Demo Pipeline'!$X$5:$X$504,"Yes"))</f>
        <v/>
      </c>
      <c r="BG874" s="33" t="str">
        <f aca="false">IF(A874="","",COUNTIFS('Demo Pipeline'!$Q$5:$Q$504,A874,'Demo Pipeline'!$Y$5:$Y$504,"Closed Won"))</f>
        <v/>
      </c>
      <c r="BH874" s="37" t="str">
        <f aca="false">IF(A874="","",SUMIFS('Demo Pipeline'!$Z$5:$Z$504,'Demo Pipeline'!$Q$5:$Q$504,A874))</f>
        <v/>
      </c>
      <c r="BI874" s="34" t="str">
        <f aca="false">IF(OR(AZ874="",N(AJ874)=0),"",AZ874/AJ874)</f>
        <v/>
      </c>
      <c r="BJ874" s="34" t="str">
        <f aca="false">IF(OR(BB874="",N(AZ874)=0),"",BB874/AZ874)</f>
        <v/>
      </c>
      <c r="BK874" s="34" t="str">
        <f aca="false">IF(OR(A874="",N(BB874)=0),"",BD874/BB874)</f>
        <v/>
      </c>
      <c r="BL874" s="34" t="str">
        <f aca="false">IF(OR(A874="",N(AZ874)=0),"",BD874/AZ874)</f>
        <v/>
      </c>
      <c r="BM874" s="37" t="str">
        <f aca="false">IF(OR(N(Q874)=0,N(BD874)=0),"",Q874/BD874)</f>
        <v/>
      </c>
      <c r="BN874" s="29"/>
      <c r="BO874" s="29"/>
      <c r="BP874" s="33" t="str">
        <f aca="false">IF(OR(AR874="",N(AO874)=0),"",AR874)</f>
        <v/>
      </c>
      <c r="BQ874" s="33" t="str">
        <f aca="false">IF(OR(AR874="",N(S874)=0),"",S874)</f>
        <v/>
      </c>
      <c r="BR874" s="38" t="str">
        <f aca="false">IF(AND(ISNUMBER(B874),B874&gt;=Dashboard!$C$4,B874&lt;=Dashboard!$F$4,ISNUMBER(AU874)),AU874+ROW()/10^9,"")</f>
        <v/>
      </c>
      <c r="BS874" s="38" t="str">
        <f aca="false">IF(AND(ISNUMBER(B874),B874&gt;=Dashboard!$C$4,B874&lt;=Dashboard!$F$4,A874&lt;&gt;""),N(BD874)+N(AU874)/100+ROW()/10^9,"")</f>
        <v/>
      </c>
    </row>
    <row r="875" customFormat="false" ht="15" hidden="false" customHeight="false" outlineLevel="0" collapsed="false">
      <c r="A875" s="24" t="str">
        <f aca="false">IF(OR(B875="",G875="",H875=""),"",IFERROR(INDEX(Settings!$E$5:$E$49,MATCH(G875,Settings!$D$5:$D$49,0))&amp;INDEX(Settings!$H$5:$H$47,MATCH(H875,Settings!$G$5:$G$47,0))&amp;"-"&amp;TEXT(B875,"yymmdd")&amp;"-"&amp;IF(C875="","0000",TEXT(C875,"hhmm")),"CHECK LISTS"))</f>
        <v/>
      </c>
      <c r="B875" s="39"/>
      <c r="C875" s="40"/>
      <c r="D875" s="24" t="str">
        <f aca="false">IF(B875="","",TEXT(B875,"ddd"))</f>
        <v/>
      </c>
      <c r="E875" s="27" t="str">
        <f aca="false">IF(B875="","",B875-WEEKDAY(B875,3))</f>
        <v/>
      </c>
      <c r="F875" s="24" t="str">
        <f aca="false">IF(B875="","",TEXT(B875,"yyyy-mm"))</f>
        <v/>
      </c>
      <c r="G875" s="29"/>
      <c r="H875" s="29"/>
      <c r="I875" s="29"/>
      <c r="J875" s="29"/>
      <c r="K875" s="29"/>
      <c r="L875" s="29"/>
      <c r="M875" s="29"/>
      <c r="N875" s="29"/>
      <c r="O875" s="29"/>
      <c r="P875" s="29"/>
      <c r="Q875" s="30"/>
      <c r="R875" s="29"/>
      <c r="S875" s="32"/>
      <c r="T875" s="29"/>
      <c r="U875" s="29"/>
      <c r="V875" s="24" t="str">
        <f aca="false">IF(A875="","",IFERROR(INDEX(Settings!$F$5:$F$49,MATCH(G875,Settings!$D$5:$D$49,0)),""))</f>
        <v/>
      </c>
      <c r="W875" s="24" t="str">
        <f aca="false">IF(A875="","",IF(OR(P875="",P875="Organic"),"social","paid_social"))</f>
        <v/>
      </c>
      <c r="X875" s="24" t="str">
        <f aca="false">IF(A875="","",IF(K875&lt;&gt;"",IFERROR(INDEX('Case Studies'!$C$5:$C$54,MATCH(K875,'Case Studies'!$B$5:$B$54,0))&amp;"","case-study"),IF(J875&lt;&gt;"",IFERROR(INDEX(Settings!$J$5:$J$55,MATCH(J875,Settings!$I$5:$I$55,0)),"general"),"general")))</f>
        <v/>
      </c>
      <c r="Y875" s="24" t="str">
        <f aca="false">IF(A875="","",LOWER(A875))</f>
        <v/>
      </c>
      <c r="Z875" s="24" t="str">
        <f aca="false">IF(A875="","",IF(T875="",Settings!$B$5,T875)&amp;IF(ISNUMBER(FIND("?",IF(T875="",Settings!$B$5,T875))),"&amp;","?")&amp;"utm_source="&amp;V875&amp;"&amp;utm_medium="&amp;W875&amp;"&amp;utm_campaign="&amp;X875&amp;"&amp;utm_content="&amp;Y875)</f>
        <v/>
      </c>
      <c r="AA875" s="29"/>
      <c r="AB875" s="39"/>
      <c r="AC875" s="32"/>
      <c r="AD875" s="32"/>
      <c r="AE875" s="32"/>
      <c r="AF875" s="32"/>
      <c r="AG875" s="32"/>
      <c r="AH875" s="32"/>
      <c r="AI875" s="32"/>
      <c r="AJ875" s="32"/>
      <c r="AK875" s="32"/>
      <c r="AL875" s="32"/>
      <c r="AM875" s="32"/>
      <c r="AN875" s="32"/>
      <c r="AO875" s="33" t="str">
        <f aca="false">IF(A875="","",IF(AD875&lt;&gt;"",AD875,IF(AC875&lt;&gt;"",AC875,"")))</f>
        <v/>
      </c>
      <c r="AP875" s="24" t="str">
        <f aca="false">IF(AO875="","",IF(AD875&lt;&gt;"","Reported reach","Impressions (proxy)"))</f>
        <v/>
      </c>
      <c r="AQ875" s="34" t="str">
        <f aca="false">IF(OR(AO875="",N(S875)=0),"",AO875/S875)</f>
        <v/>
      </c>
      <c r="AR875" s="33" t="str">
        <f aca="false">IF(A875="","",IF(COUNT(AF875:AJ875)=0,"",SUM(AF875:AJ875)))</f>
        <v/>
      </c>
      <c r="AS875" s="34" t="str">
        <f aca="false">IF(OR(AR875="",N(AO875)=0),"",AR875/AO875)</f>
        <v/>
      </c>
      <c r="AT875" s="34" t="str">
        <f aca="false">IF(OR(AR875="",N(AC875)=0),"",AR875/AC875)</f>
        <v/>
      </c>
      <c r="AU875" s="34" t="str">
        <f aca="false">IF(OR(AR875="",N(S875)=0),"",AR875/S875)</f>
        <v/>
      </c>
      <c r="AV875" s="34" t="str">
        <f aca="false">IF(OR(AJ875="",N(AC875)=0),"",AJ875/AC875)</f>
        <v/>
      </c>
      <c r="AW875" s="34" t="str">
        <f aca="false">IF(OR(AH875="",N(AO875)=0),"",AH875/AO875)</f>
        <v/>
      </c>
      <c r="AX875" s="35" t="str">
        <f aca="false">IF(OR(AR875="",N(AO875)=0),"",(N(AF875)*Settings!$B$6+N(AG875)*Settings!$B$7+N(AH875)*Settings!$B$8+N(AI875)*Settings!$B$9+N(AJ875)*Settings!$B$10)/AO875*1000)</f>
        <v/>
      </c>
      <c r="AY875" s="36" t="str">
        <f aca="false">IF(AS875="","",IFERROR(AS875/AVERAGEIFS('Post Tracker'!$AS$5:$AS$1004,'Post Tracker'!$G$5:$G$1004,G875),""))</f>
        <v/>
      </c>
      <c r="AZ875" s="32"/>
      <c r="BA875" s="32"/>
      <c r="BB875" s="32"/>
      <c r="BC875" s="32"/>
      <c r="BD875" s="33" t="str">
        <f aca="false">IF(A875="","",COUNTIFS('Demo Pipeline'!$Q$5:$Q$504,A875))</f>
        <v/>
      </c>
      <c r="BE875" s="33" t="str">
        <f aca="false">IF(A875="","",COUNTIFS('Demo Pipeline'!$Q$5:$Q$504,A875,'Demo Pipeline'!$W$5:$W$504,"Attended"))</f>
        <v/>
      </c>
      <c r="BF875" s="33" t="str">
        <f aca="false">IF(A875="","",COUNTIFS('Demo Pipeline'!$Q$5:$Q$504,A875,'Demo Pipeline'!$X$5:$X$504,"Yes"))</f>
        <v/>
      </c>
      <c r="BG875" s="33" t="str">
        <f aca="false">IF(A875="","",COUNTIFS('Demo Pipeline'!$Q$5:$Q$504,A875,'Demo Pipeline'!$Y$5:$Y$504,"Closed Won"))</f>
        <v/>
      </c>
      <c r="BH875" s="37" t="str">
        <f aca="false">IF(A875="","",SUMIFS('Demo Pipeline'!$Z$5:$Z$504,'Demo Pipeline'!$Q$5:$Q$504,A875))</f>
        <v/>
      </c>
      <c r="BI875" s="34" t="str">
        <f aca="false">IF(OR(AZ875="",N(AJ875)=0),"",AZ875/AJ875)</f>
        <v/>
      </c>
      <c r="BJ875" s="34" t="str">
        <f aca="false">IF(OR(BB875="",N(AZ875)=0),"",BB875/AZ875)</f>
        <v/>
      </c>
      <c r="BK875" s="34" t="str">
        <f aca="false">IF(OR(A875="",N(BB875)=0),"",BD875/BB875)</f>
        <v/>
      </c>
      <c r="BL875" s="34" t="str">
        <f aca="false">IF(OR(A875="",N(AZ875)=0),"",BD875/AZ875)</f>
        <v/>
      </c>
      <c r="BM875" s="37" t="str">
        <f aca="false">IF(OR(N(Q875)=0,N(BD875)=0),"",Q875/BD875)</f>
        <v/>
      </c>
      <c r="BN875" s="29"/>
      <c r="BO875" s="29"/>
      <c r="BP875" s="33" t="str">
        <f aca="false">IF(OR(AR875="",N(AO875)=0),"",AR875)</f>
        <v/>
      </c>
      <c r="BQ875" s="33" t="str">
        <f aca="false">IF(OR(AR875="",N(S875)=0),"",S875)</f>
        <v/>
      </c>
      <c r="BR875" s="38" t="str">
        <f aca="false">IF(AND(ISNUMBER(B875),B875&gt;=Dashboard!$C$4,B875&lt;=Dashboard!$F$4,ISNUMBER(AU875)),AU875+ROW()/10^9,"")</f>
        <v/>
      </c>
      <c r="BS875" s="38" t="str">
        <f aca="false">IF(AND(ISNUMBER(B875),B875&gt;=Dashboard!$C$4,B875&lt;=Dashboard!$F$4,A875&lt;&gt;""),N(BD875)+N(AU875)/100+ROW()/10^9,"")</f>
        <v/>
      </c>
    </row>
    <row r="876" customFormat="false" ht="15" hidden="false" customHeight="false" outlineLevel="0" collapsed="false">
      <c r="A876" s="24" t="str">
        <f aca="false">IF(OR(B876="",G876="",H876=""),"",IFERROR(INDEX(Settings!$E$5:$E$49,MATCH(G876,Settings!$D$5:$D$49,0))&amp;INDEX(Settings!$H$5:$H$47,MATCH(H876,Settings!$G$5:$G$47,0))&amp;"-"&amp;TEXT(B876,"yymmdd")&amp;"-"&amp;IF(C876="","0000",TEXT(C876,"hhmm")),"CHECK LISTS"))</f>
        <v/>
      </c>
      <c r="B876" s="39"/>
      <c r="C876" s="40"/>
      <c r="D876" s="24" t="str">
        <f aca="false">IF(B876="","",TEXT(B876,"ddd"))</f>
        <v/>
      </c>
      <c r="E876" s="27" t="str">
        <f aca="false">IF(B876="","",B876-WEEKDAY(B876,3))</f>
        <v/>
      </c>
      <c r="F876" s="24" t="str">
        <f aca="false">IF(B876="","",TEXT(B876,"yyyy-mm"))</f>
        <v/>
      </c>
      <c r="G876" s="29"/>
      <c r="H876" s="29"/>
      <c r="I876" s="29"/>
      <c r="J876" s="29"/>
      <c r="K876" s="29"/>
      <c r="L876" s="29"/>
      <c r="M876" s="29"/>
      <c r="N876" s="29"/>
      <c r="O876" s="29"/>
      <c r="P876" s="29"/>
      <c r="Q876" s="30"/>
      <c r="R876" s="29"/>
      <c r="S876" s="32"/>
      <c r="T876" s="29"/>
      <c r="U876" s="29"/>
      <c r="V876" s="24" t="str">
        <f aca="false">IF(A876="","",IFERROR(INDEX(Settings!$F$5:$F$49,MATCH(G876,Settings!$D$5:$D$49,0)),""))</f>
        <v/>
      </c>
      <c r="W876" s="24" t="str">
        <f aca="false">IF(A876="","",IF(OR(P876="",P876="Organic"),"social","paid_social"))</f>
        <v/>
      </c>
      <c r="X876" s="24" t="str">
        <f aca="false">IF(A876="","",IF(K876&lt;&gt;"",IFERROR(INDEX('Case Studies'!$C$5:$C$54,MATCH(K876,'Case Studies'!$B$5:$B$54,0))&amp;"","case-study"),IF(J876&lt;&gt;"",IFERROR(INDEX(Settings!$J$5:$J$55,MATCH(J876,Settings!$I$5:$I$55,0)),"general"),"general")))</f>
        <v/>
      </c>
      <c r="Y876" s="24" t="str">
        <f aca="false">IF(A876="","",LOWER(A876))</f>
        <v/>
      </c>
      <c r="Z876" s="24" t="str">
        <f aca="false">IF(A876="","",IF(T876="",Settings!$B$5,T876)&amp;IF(ISNUMBER(FIND("?",IF(T876="",Settings!$B$5,T876))),"&amp;","?")&amp;"utm_source="&amp;V876&amp;"&amp;utm_medium="&amp;W876&amp;"&amp;utm_campaign="&amp;X876&amp;"&amp;utm_content="&amp;Y876)</f>
        <v/>
      </c>
      <c r="AA876" s="29"/>
      <c r="AB876" s="39"/>
      <c r="AC876" s="32"/>
      <c r="AD876" s="32"/>
      <c r="AE876" s="32"/>
      <c r="AF876" s="32"/>
      <c r="AG876" s="32"/>
      <c r="AH876" s="32"/>
      <c r="AI876" s="32"/>
      <c r="AJ876" s="32"/>
      <c r="AK876" s="32"/>
      <c r="AL876" s="32"/>
      <c r="AM876" s="32"/>
      <c r="AN876" s="32"/>
      <c r="AO876" s="33" t="str">
        <f aca="false">IF(A876="","",IF(AD876&lt;&gt;"",AD876,IF(AC876&lt;&gt;"",AC876,"")))</f>
        <v/>
      </c>
      <c r="AP876" s="24" t="str">
        <f aca="false">IF(AO876="","",IF(AD876&lt;&gt;"","Reported reach","Impressions (proxy)"))</f>
        <v/>
      </c>
      <c r="AQ876" s="34" t="str">
        <f aca="false">IF(OR(AO876="",N(S876)=0),"",AO876/S876)</f>
        <v/>
      </c>
      <c r="AR876" s="33" t="str">
        <f aca="false">IF(A876="","",IF(COUNT(AF876:AJ876)=0,"",SUM(AF876:AJ876)))</f>
        <v/>
      </c>
      <c r="AS876" s="34" t="str">
        <f aca="false">IF(OR(AR876="",N(AO876)=0),"",AR876/AO876)</f>
        <v/>
      </c>
      <c r="AT876" s="34" t="str">
        <f aca="false">IF(OR(AR876="",N(AC876)=0),"",AR876/AC876)</f>
        <v/>
      </c>
      <c r="AU876" s="34" t="str">
        <f aca="false">IF(OR(AR876="",N(S876)=0),"",AR876/S876)</f>
        <v/>
      </c>
      <c r="AV876" s="34" t="str">
        <f aca="false">IF(OR(AJ876="",N(AC876)=0),"",AJ876/AC876)</f>
        <v/>
      </c>
      <c r="AW876" s="34" t="str">
        <f aca="false">IF(OR(AH876="",N(AO876)=0),"",AH876/AO876)</f>
        <v/>
      </c>
      <c r="AX876" s="35" t="str">
        <f aca="false">IF(OR(AR876="",N(AO876)=0),"",(N(AF876)*Settings!$B$6+N(AG876)*Settings!$B$7+N(AH876)*Settings!$B$8+N(AI876)*Settings!$B$9+N(AJ876)*Settings!$B$10)/AO876*1000)</f>
        <v/>
      </c>
      <c r="AY876" s="36" t="str">
        <f aca="false">IF(AS876="","",IFERROR(AS876/AVERAGEIFS('Post Tracker'!$AS$5:$AS$1004,'Post Tracker'!$G$5:$G$1004,G876),""))</f>
        <v/>
      </c>
      <c r="AZ876" s="32"/>
      <c r="BA876" s="32"/>
      <c r="BB876" s="32"/>
      <c r="BC876" s="32"/>
      <c r="BD876" s="33" t="str">
        <f aca="false">IF(A876="","",COUNTIFS('Demo Pipeline'!$Q$5:$Q$504,A876))</f>
        <v/>
      </c>
      <c r="BE876" s="33" t="str">
        <f aca="false">IF(A876="","",COUNTIFS('Demo Pipeline'!$Q$5:$Q$504,A876,'Demo Pipeline'!$W$5:$W$504,"Attended"))</f>
        <v/>
      </c>
      <c r="BF876" s="33" t="str">
        <f aca="false">IF(A876="","",COUNTIFS('Demo Pipeline'!$Q$5:$Q$504,A876,'Demo Pipeline'!$X$5:$X$504,"Yes"))</f>
        <v/>
      </c>
      <c r="BG876" s="33" t="str">
        <f aca="false">IF(A876="","",COUNTIFS('Demo Pipeline'!$Q$5:$Q$504,A876,'Demo Pipeline'!$Y$5:$Y$504,"Closed Won"))</f>
        <v/>
      </c>
      <c r="BH876" s="37" t="str">
        <f aca="false">IF(A876="","",SUMIFS('Demo Pipeline'!$Z$5:$Z$504,'Demo Pipeline'!$Q$5:$Q$504,A876))</f>
        <v/>
      </c>
      <c r="BI876" s="34" t="str">
        <f aca="false">IF(OR(AZ876="",N(AJ876)=0),"",AZ876/AJ876)</f>
        <v/>
      </c>
      <c r="BJ876" s="34" t="str">
        <f aca="false">IF(OR(BB876="",N(AZ876)=0),"",BB876/AZ876)</f>
        <v/>
      </c>
      <c r="BK876" s="34" t="str">
        <f aca="false">IF(OR(A876="",N(BB876)=0),"",BD876/BB876)</f>
        <v/>
      </c>
      <c r="BL876" s="34" t="str">
        <f aca="false">IF(OR(A876="",N(AZ876)=0),"",BD876/AZ876)</f>
        <v/>
      </c>
      <c r="BM876" s="37" t="str">
        <f aca="false">IF(OR(N(Q876)=0,N(BD876)=0),"",Q876/BD876)</f>
        <v/>
      </c>
      <c r="BN876" s="29"/>
      <c r="BO876" s="29"/>
      <c r="BP876" s="33" t="str">
        <f aca="false">IF(OR(AR876="",N(AO876)=0),"",AR876)</f>
        <v/>
      </c>
      <c r="BQ876" s="33" t="str">
        <f aca="false">IF(OR(AR876="",N(S876)=0),"",S876)</f>
        <v/>
      </c>
      <c r="BR876" s="38" t="str">
        <f aca="false">IF(AND(ISNUMBER(B876),B876&gt;=Dashboard!$C$4,B876&lt;=Dashboard!$F$4,ISNUMBER(AU876)),AU876+ROW()/10^9,"")</f>
        <v/>
      </c>
      <c r="BS876" s="38" t="str">
        <f aca="false">IF(AND(ISNUMBER(B876),B876&gt;=Dashboard!$C$4,B876&lt;=Dashboard!$F$4,A876&lt;&gt;""),N(BD876)+N(AU876)/100+ROW()/10^9,"")</f>
        <v/>
      </c>
    </row>
    <row r="877" customFormat="false" ht="15" hidden="false" customHeight="false" outlineLevel="0" collapsed="false">
      <c r="A877" s="24" t="str">
        <f aca="false">IF(OR(B877="",G877="",H877=""),"",IFERROR(INDEX(Settings!$E$5:$E$49,MATCH(G877,Settings!$D$5:$D$49,0))&amp;INDEX(Settings!$H$5:$H$47,MATCH(H877,Settings!$G$5:$G$47,0))&amp;"-"&amp;TEXT(B877,"yymmdd")&amp;"-"&amp;IF(C877="","0000",TEXT(C877,"hhmm")),"CHECK LISTS"))</f>
        <v/>
      </c>
      <c r="B877" s="39"/>
      <c r="C877" s="40"/>
      <c r="D877" s="24" t="str">
        <f aca="false">IF(B877="","",TEXT(B877,"ddd"))</f>
        <v/>
      </c>
      <c r="E877" s="27" t="str">
        <f aca="false">IF(B877="","",B877-WEEKDAY(B877,3))</f>
        <v/>
      </c>
      <c r="F877" s="24" t="str">
        <f aca="false">IF(B877="","",TEXT(B877,"yyyy-mm"))</f>
        <v/>
      </c>
      <c r="G877" s="29"/>
      <c r="H877" s="29"/>
      <c r="I877" s="29"/>
      <c r="J877" s="29"/>
      <c r="K877" s="29"/>
      <c r="L877" s="29"/>
      <c r="M877" s="29"/>
      <c r="N877" s="29"/>
      <c r="O877" s="29"/>
      <c r="P877" s="29"/>
      <c r="Q877" s="30"/>
      <c r="R877" s="29"/>
      <c r="S877" s="32"/>
      <c r="T877" s="29"/>
      <c r="U877" s="29"/>
      <c r="V877" s="24" t="str">
        <f aca="false">IF(A877="","",IFERROR(INDEX(Settings!$F$5:$F$49,MATCH(G877,Settings!$D$5:$D$49,0)),""))</f>
        <v/>
      </c>
      <c r="W877" s="24" t="str">
        <f aca="false">IF(A877="","",IF(OR(P877="",P877="Organic"),"social","paid_social"))</f>
        <v/>
      </c>
      <c r="X877" s="24" t="str">
        <f aca="false">IF(A877="","",IF(K877&lt;&gt;"",IFERROR(INDEX('Case Studies'!$C$5:$C$54,MATCH(K877,'Case Studies'!$B$5:$B$54,0))&amp;"","case-study"),IF(J877&lt;&gt;"",IFERROR(INDEX(Settings!$J$5:$J$55,MATCH(J877,Settings!$I$5:$I$55,0)),"general"),"general")))</f>
        <v/>
      </c>
      <c r="Y877" s="24" t="str">
        <f aca="false">IF(A877="","",LOWER(A877))</f>
        <v/>
      </c>
      <c r="Z877" s="24" t="str">
        <f aca="false">IF(A877="","",IF(T877="",Settings!$B$5,T877)&amp;IF(ISNUMBER(FIND("?",IF(T877="",Settings!$B$5,T877))),"&amp;","?")&amp;"utm_source="&amp;V877&amp;"&amp;utm_medium="&amp;W877&amp;"&amp;utm_campaign="&amp;X877&amp;"&amp;utm_content="&amp;Y877)</f>
        <v/>
      </c>
      <c r="AA877" s="29"/>
      <c r="AB877" s="39"/>
      <c r="AC877" s="32"/>
      <c r="AD877" s="32"/>
      <c r="AE877" s="32"/>
      <c r="AF877" s="32"/>
      <c r="AG877" s="32"/>
      <c r="AH877" s="32"/>
      <c r="AI877" s="32"/>
      <c r="AJ877" s="32"/>
      <c r="AK877" s="32"/>
      <c r="AL877" s="32"/>
      <c r="AM877" s="32"/>
      <c r="AN877" s="32"/>
      <c r="AO877" s="33" t="str">
        <f aca="false">IF(A877="","",IF(AD877&lt;&gt;"",AD877,IF(AC877&lt;&gt;"",AC877,"")))</f>
        <v/>
      </c>
      <c r="AP877" s="24" t="str">
        <f aca="false">IF(AO877="","",IF(AD877&lt;&gt;"","Reported reach","Impressions (proxy)"))</f>
        <v/>
      </c>
      <c r="AQ877" s="34" t="str">
        <f aca="false">IF(OR(AO877="",N(S877)=0),"",AO877/S877)</f>
        <v/>
      </c>
      <c r="AR877" s="33" t="str">
        <f aca="false">IF(A877="","",IF(COUNT(AF877:AJ877)=0,"",SUM(AF877:AJ877)))</f>
        <v/>
      </c>
      <c r="AS877" s="34" t="str">
        <f aca="false">IF(OR(AR877="",N(AO877)=0),"",AR877/AO877)</f>
        <v/>
      </c>
      <c r="AT877" s="34" t="str">
        <f aca="false">IF(OR(AR877="",N(AC877)=0),"",AR877/AC877)</f>
        <v/>
      </c>
      <c r="AU877" s="34" t="str">
        <f aca="false">IF(OR(AR877="",N(S877)=0),"",AR877/S877)</f>
        <v/>
      </c>
      <c r="AV877" s="34" t="str">
        <f aca="false">IF(OR(AJ877="",N(AC877)=0),"",AJ877/AC877)</f>
        <v/>
      </c>
      <c r="AW877" s="34" t="str">
        <f aca="false">IF(OR(AH877="",N(AO877)=0),"",AH877/AO877)</f>
        <v/>
      </c>
      <c r="AX877" s="35" t="str">
        <f aca="false">IF(OR(AR877="",N(AO877)=0),"",(N(AF877)*Settings!$B$6+N(AG877)*Settings!$B$7+N(AH877)*Settings!$B$8+N(AI877)*Settings!$B$9+N(AJ877)*Settings!$B$10)/AO877*1000)</f>
        <v/>
      </c>
      <c r="AY877" s="36" t="str">
        <f aca="false">IF(AS877="","",IFERROR(AS877/AVERAGEIFS('Post Tracker'!$AS$5:$AS$1004,'Post Tracker'!$G$5:$G$1004,G877),""))</f>
        <v/>
      </c>
      <c r="AZ877" s="32"/>
      <c r="BA877" s="32"/>
      <c r="BB877" s="32"/>
      <c r="BC877" s="32"/>
      <c r="BD877" s="33" t="str">
        <f aca="false">IF(A877="","",COUNTIFS('Demo Pipeline'!$Q$5:$Q$504,A877))</f>
        <v/>
      </c>
      <c r="BE877" s="33" t="str">
        <f aca="false">IF(A877="","",COUNTIFS('Demo Pipeline'!$Q$5:$Q$504,A877,'Demo Pipeline'!$W$5:$W$504,"Attended"))</f>
        <v/>
      </c>
      <c r="BF877" s="33" t="str">
        <f aca="false">IF(A877="","",COUNTIFS('Demo Pipeline'!$Q$5:$Q$504,A877,'Demo Pipeline'!$X$5:$X$504,"Yes"))</f>
        <v/>
      </c>
      <c r="BG877" s="33" t="str">
        <f aca="false">IF(A877="","",COUNTIFS('Demo Pipeline'!$Q$5:$Q$504,A877,'Demo Pipeline'!$Y$5:$Y$504,"Closed Won"))</f>
        <v/>
      </c>
      <c r="BH877" s="37" t="str">
        <f aca="false">IF(A877="","",SUMIFS('Demo Pipeline'!$Z$5:$Z$504,'Demo Pipeline'!$Q$5:$Q$504,A877))</f>
        <v/>
      </c>
      <c r="BI877" s="34" t="str">
        <f aca="false">IF(OR(AZ877="",N(AJ877)=0),"",AZ877/AJ877)</f>
        <v/>
      </c>
      <c r="BJ877" s="34" t="str">
        <f aca="false">IF(OR(BB877="",N(AZ877)=0),"",BB877/AZ877)</f>
        <v/>
      </c>
      <c r="BK877" s="34" t="str">
        <f aca="false">IF(OR(A877="",N(BB877)=0),"",BD877/BB877)</f>
        <v/>
      </c>
      <c r="BL877" s="34" t="str">
        <f aca="false">IF(OR(A877="",N(AZ877)=0),"",BD877/AZ877)</f>
        <v/>
      </c>
      <c r="BM877" s="37" t="str">
        <f aca="false">IF(OR(N(Q877)=0,N(BD877)=0),"",Q877/BD877)</f>
        <v/>
      </c>
      <c r="BN877" s="29"/>
      <c r="BO877" s="29"/>
      <c r="BP877" s="33" t="str">
        <f aca="false">IF(OR(AR877="",N(AO877)=0),"",AR877)</f>
        <v/>
      </c>
      <c r="BQ877" s="33" t="str">
        <f aca="false">IF(OR(AR877="",N(S877)=0),"",S877)</f>
        <v/>
      </c>
      <c r="BR877" s="38" t="str">
        <f aca="false">IF(AND(ISNUMBER(B877),B877&gt;=Dashboard!$C$4,B877&lt;=Dashboard!$F$4,ISNUMBER(AU877)),AU877+ROW()/10^9,"")</f>
        <v/>
      </c>
      <c r="BS877" s="38" t="str">
        <f aca="false">IF(AND(ISNUMBER(B877),B877&gt;=Dashboard!$C$4,B877&lt;=Dashboard!$F$4,A877&lt;&gt;""),N(BD877)+N(AU877)/100+ROW()/10^9,"")</f>
        <v/>
      </c>
    </row>
    <row r="878" customFormat="false" ht="15" hidden="false" customHeight="false" outlineLevel="0" collapsed="false">
      <c r="A878" s="24" t="str">
        <f aca="false">IF(OR(B878="",G878="",H878=""),"",IFERROR(INDEX(Settings!$E$5:$E$49,MATCH(G878,Settings!$D$5:$D$49,0))&amp;INDEX(Settings!$H$5:$H$47,MATCH(H878,Settings!$G$5:$G$47,0))&amp;"-"&amp;TEXT(B878,"yymmdd")&amp;"-"&amp;IF(C878="","0000",TEXT(C878,"hhmm")),"CHECK LISTS"))</f>
        <v/>
      </c>
      <c r="B878" s="39"/>
      <c r="C878" s="40"/>
      <c r="D878" s="24" t="str">
        <f aca="false">IF(B878="","",TEXT(B878,"ddd"))</f>
        <v/>
      </c>
      <c r="E878" s="27" t="str">
        <f aca="false">IF(B878="","",B878-WEEKDAY(B878,3))</f>
        <v/>
      </c>
      <c r="F878" s="24" t="str">
        <f aca="false">IF(B878="","",TEXT(B878,"yyyy-mm"))</f>
        <v/>
      </c>
      <c r="G878" s="29"/>
      <c r="H878" s="29"/>
      <c r="I878" s="29"/>
      <c r="J878" s="29"/>
      <c r="K878" s="29"/>
      <c r="L878" s="29"/>
      <c r="M878" s="29"/>
      <c r="N878" s="29"/>
      <c r="O878" s="29"/>
      <c r="P878" s="29"/>
      <c r="Q878" s="30"/>
      <c r="R878" s="29"/>
      <c r="S878" s="32"/>
      <c r="T878" s="29"/>
      <c r="U878" s="29"/>
      <c r="V878" s="24" t="str">
        <f aca="false">IF(A878="","",IFERROR(INDEX(Settings!$F$5:$F$49,MATCH(G878,Settings!$D$5:$D$49,0)),""))</f>
        <v/>
      </c>
      <c r="W878" s="24" t="str">
        <f aca="false">IF(A878="","",IF(OR(P878="",P878="Organic"),"social","paid_social"))</f>
        <v/>
      </c>
      <c r="X878" s="24" t="str">
        <f aca="false">IF(A878="","",IF(K878&lt;&gt;"",IFERROR(INDEX('Case Studies'!$C$5:$C$54,MATCH(K878,'Case Studies'!$B$5:$B$54,0))&amp;"","case-study"),IF(J878&lt;&gt;"",IFERROR(INDEX(Settings!$J$5:$J$55,MATCH(J878,Settings!$I$5:$I$55,0)),"general"),"general")))</f>
        <v/>
      </c>
      <c r="Y878" s="24" t="str">
        <f aca="false">IF(A878="","",LOWER(A878))</f>
        <v/>
      </c>
      <c r="Z878" s="24" t="str">
        <f aca="false">IF(A878="","",IF(T878="",Settings!$B$5,T878)&amp;IF(ISNUMBER(FIND("?",IF(T878="",Settings!$B$5,T878))),"&amp;","?")&amp;"utm_source="&amp;V878&amp;"&amp;utm_medium="&amp;W878&amp;"&amp;utm_campaign="&amp;X878&amp;"&amp;utm_content="&amp;Y878)</f>
        <v/>
      </c>
      <c r="AA878" s="29"/>
      <c r="AB878" s="39"/>
      <c r="AC878" s="32"/>
      <c r="AD878" s="32"/>
      <c r="AE878" s="32"/>
      <c r="AF878" s="32"/>
      <c r="AG878" s="32"/>
      <c r="AH878" s="32"/>
      <c r="AI878" s="32"/>
      <c r="AJ878" s="32"/>
      <c r="AK878" s="32"/>
      <c r="AL878" s="32"/>
      <c r="AM878" s="32"/>
      <c r="AN878" s="32"/>
      <c r="AO878" s="33" t="str">
        <f aca="false">IF(A878="","",IF(AD878&lt;&gt;"",AD878,IF(AC878&lt;&gt;"",AC878,"")))</f>
        <v/>
      </c>
      <c r="AP878" s="24" t="str">
        <f aca="false">IF(AO878="","",IF(AD878&lt;&gt;"","Reported reach","Impressions (proxy)"))</f>
        <v/>
      </c>
      <c r="AQ878" s="34" t="str">
        <f aca="false">IF(OR(AO878="",N(S878)=0),"",AO878/S878)</f>
        <v/>
      </c>
      <c r="AR878" s="33" t="str">
        <f aca="false">IF(A878="","",IF(COUNT(AF878:AJ878)=0,"",SUM(AF878:AJ878)))</f>
        <v/>
      </c>
      <c r="AS878" s="34" t="str">
        <f aca="false">IF(OR(AR878="",N(AO878)=0),"",AR878/AO878)</f>
        <v/>
      </c>
      <c r="AT878" s="34" t="str">
        <f aca="false">IF(OR(AR878="",N(AC878)=0),"",AR878/AC878)</f>
        <v/>
      </c>
      <c r="AU878" s="34" t="str">
        <f aca="false">IF(OR(AR878="",N(S878)=0),"",AR878/S878)</f>
        <v/>
      </c>
      <c r="AV878" s="34" t="str">
        <f aca="false">IF(OR(AJ878="",N(AC878)=0),"",AJ878/AC878)</f>
        <v/>
      </c>
      <c r="AW878" s="34" t="str">
        <f aca="false">IF(OR(AH878="",N(AO878)=0),"",AH878/AO878)</f>
        <v/>
      </c>
      <c r="AX878" s="35" t="str">
        <f aca="false">IF(OR(AR878="",N(AO878)=0),"",(N(AF878)*Settings!$B$6+N(AG878)*Settings!$B$7+N(AH878)*Settings!$B$8+N(AI878)*Settings!$B$9+N(AJ878)*Settings!$B$10)/AO878*1000)</f>
        <v/>
      </c>
      <c r="AY878" s="36" t="str">
        <f aca="false">IF(AS878="","",IFERROR(AS878/AVERAGEIFS('Post Tracker'!$AS$5:$AS$1004,'Post Tracker'!$G$5:$G$1004,G878),""))</f>
        <v/>
      </c>
      <c r="AZ878" s="32"/>
      <c r="BA878" s="32"/>
      <c r="BB878" s="32"/>
      <c r="BC878" s="32"/>
      <c r="BD878" s="33" t="str">
        <f aca="false">IF(A878="","",COUNTIFS('Demo Pipeline'!$Q$5:$Q$504,A878))</f>
        <v/>
      </c>
      <c r="BE878" s="33" t="str">
        <f aca="false">IF(A878="","",COUNTIFS('Demo Pipeline'!$Q$5:$Q$504,A878,'Demo Pipeline'!$W$5:$W$504,"Attended"))</f>
        <v/>
      </c>
      <c r="BF878" s="33" t="str">
        <f aca="false">IF(A878="","",COUNTIFS('Demo Pipeline'!$Q$5:$Q$504,A878,'Demo Pipeline'!$X$5:$X$504,"Yes"))</f>
        <v/>
      </c>
      <c r="BG878" s="33" t="str">
        <f aca="false">IF(A878="","",COUNTIFS('Demo Pipeline'!$Q$5:$Q$504,A878,'Demo Pipeline'!$Y$5:$Y$504,"Closed Won"))</f>
        <v/>
      </c>
      <c r="BH878" s="37" t="str">
        <f aca="false">IF(A878="","",SUMIFS('Demo Pipeline'!$Z$5:$Z$504,'Demo Pipeline'!$Q$5:$Q$504,A878))</f>
        <v/>
      </c>
      <c r="BI878" s="34" t="str">
        <f aca="false">IF(OR(AZ878="",N(AJ878)=0),"",AZ878/AJ878)</f>
        <v/>
      </c>
      <c r="BJ878" s="34" t="str">
        <f aca="false">IF(OR(BB878="",N(AZ878)=0),"",BB878/AZ878)</f>
        <v/>
      </c>
      <c r="BK878" s="34" t="str">
        <f aca="false">IF(OR(A878="",N(BB878)=0),"",BD878/BB878)</f>
        <v/>
      </c>
      <c r="BL878" s="34" t="str">
        <f aca="false">IF(OR(A878="",N(AZ878)=0),"",BD878/AZ878)</f>
        <v/>
      </c>
      <c r="BM878" s="37" t="str">
        <f aca="false">IF(OR(N(Q878)=0,N(BD878)=0),"",Q878/BD878)</f>
        <v/>
      </c>
      <c r="BN878" s="29"/>
      <c r="BO878" s="29"/>
      <c r="BP878" s="33" t="str">
        <f aca="false">IF(OR(AR878="",N(AO878)=0),"",AR878)</f>
        <v/>
      </c>
      <c r="BQ878" s="33" t="str">
        <f aca="false">IF(OR(AR878="",N(S878)=0),"",S878)</f>
        <v/>
      </c>
      <c r="BR878" s="38" t="str">
        <f aca="false">IF(AND(ISNUMBER(B878),B878&gt;=Dashboard!$C$4,B878&lt;=Dashboard!$F$4,ISNUMBER(AU878)),AU878+ROW()/10^9,"")</f>
        <v/>
      </c>
      <c r="BS878" s="38" t="str">
        <f aca="false">IF(AND(ISNUMBER(B878),B878&gt;=Dashboard!$C$4,B878&lt;=Dashboard!$F$4,A878&lt;&gt;""),N(BD878)+N(AU878)/100+ROW()/10^9,"")</f>
        <v/>
      </c>
    </row>
    <row r="879" customFormat="false" ht="15" hidden="false" customHeight="false" outlineLevel="0" collapsed="false">
      <c r="A879" s="24" t="str">
        <f aca="false">IF(OR(B879="",G879="",H879=""),"",IFERROR(INDEX(Settings!$E$5:$E$49,MATCH(G879,Settings!$D$5:$D$49,0))&amp;INDEX(Settings!$H$5:$H$47,MATCH(H879,Settings!$G$5:$G$47,0))&amp;"-"&amp;TEXT(B879,"yymmdd")&amp;"-"&amp;IF(C879="","0000",TEXT(C879,"hhmm")),"CHECK LISTS"))</f>
        <v/>
      </c>
      <c r="B879" s="39"/>
      <c r="C879" s="40"/>
      <c r="D879" s="24" t="str">
        <f aca="false">IF(B879="","",TEXT(B879,"ddd"))</f>
        <v/>
      </c>
      <c r="E879" s="27" t="str">
        <f aca="false">IF(B879="","",B879-WEEKDAY(B879,3))</f>
        <v/>
      </c>
      <c r="F879" s="24" t="str">
        <f aca="false">IF(B879="","",TEXT(B879,"yyyy-mm"))</f>
        <v/>
      </c>
      <c r="G879" s="29"/>
      <c r="H879" s="29"/>
      <c r="I879" s="29"/>
      <c r="J879" s="29"/>
      <c r="K879" s="29"/>
      <c r="L879" s="29"/>
      <c r="M879" s="29"/>
      <c r="N879" s="29"/>
      <c r="O879" s="29"/>
      <c r="P879" s="29"/>
      <c r="Q879" s="30"/>
      <c r="R879" s="29"/>
      <c r="S879" s="32"/>
      <c r="T879" s="29"/>
      <c r="U879" s="29"/>
      <c r="V879" s="24" t="str">
        <f aca="false">IF(A879="","",IFERROR(INDEX(Settings!$F$5:$F$49,MATCH(G879,Settings!$D$5:$D$49,0)),""))</f>
        <v/>
      </c>
      <c r="W879" s="24" t="str">
        <f aca="false">IF(A879="","",IF(OR(P879="",P879="Organic"),"social","paid_social"))</f>
        <v/>
      </c>
      <c r="X879" s="24" t="str">
        <f aca="false">IF(A879="","",IF(K879&lt;&gt;"",IFERROR(INDEX('Case Studies'!$C$5:$C$54,MATCH(K879,'Case Studies'!$B$5:$B$54,0))&amp;"","case-study"),IF(J879&lt;&gt;"",IFERROR(INDEX(Settings!$J$5:$J$55,MATCH(J879,Settings!$I$5:$I$55,0)),"general"),"general")))</f>
        <v/>
      </c>
      <c r="Y879" s="24" t="str">
        <f aca="false">IF(A879="","",LOWER(A879))</f>
        <v/>
      </c>
      <c r="Z879" s="24" t="str">
        <f aca="false">IF(A879="","",IF(T879="",Settings!$B$5,T879)&amp;IF(ISNUMBER(FIND("?",IF(T879="",Settings!$B$5,T879))),"&amp;","?")&amp;"utm_source="&amp;V879&amp;"&amp;utm_medium="&amp;W879&amp;"&amp;utm_campaign="&amp;X879&amp;"&amp;utm_content="&amp;Y879)</f>
        <v/>
      </c>
      <c r="AA879" s="29"/>
      <c r="AB879" s="39"/>
      <c r="AC879" s="32"/>
      <c r="AD879" s="32"/>
      <c r="AE879" s="32"/>
      <c r="AF879" s="32"/>
      <c r="AG879" s="32"/>
      <c r="AH879" s="32"/>
      <c r="AI879" s="32"/>
      <c r="AJ879" s="32"/>
      <c r="AK879" s="32"/>
      <c r="AL879" s="32"/>
      <c r="AM879" s="32"/>
      <c r="AN879" s="32"/>
      <c r="AO879" s="33" t="str">
        <f aca="false">IF(A879="","",IF(AD879&lt;&gt;"",AD879,IF(AC879&lt;&gt;"",AC879,"")))</f>
        <v/>
      </c>
      <c r="AP879" s="24" t="str">
        <f aca="false">IF(AO879="","",IF(AD879&lt;&gt;"","Reported reach","Impressions (proxy)"))</f>
        <v/>
      </c>
      <c r="AQ879" s="34" t="str">
        <f aca="false">IF(OR(AO879="",N(S879)=0),"",AO879/S879)</f>
        <v/>
      </c>
      <c r="AR879" s="33" t="str">
        <f aca="false">IF(A879="","",IF(COUNT(AF879:AJ879)=0,"",SUM(AF879:AJ879)))</f>
        <v/>
      </c>
      <c r="AS879" s="34" t="str">
        <f aca="false">IF(OR(AR879="",N(AO879)=0),"",AR879/AO879)</f>
        <v/>
      </c>
      <c r="AT879" s="34" t="str">
        <f aca="false">IF(OR(AR879="",N(AC879)=0),"",AR879/AC879)</f>
        <v/>
      </c>
      <c r="AU879" s="34" t="str">
        <f aca="false">IF(OR(AR879="",N(S879)=0),"",AR879/S879)</f>
        <v/>
      </c>
      <c r="AV879" s="34" t="str">
        <f aca="false">IF(OR(AJ879="",N(AC879)=0),"",AJ879/AC879)</f>
        <v/>
      </c>
      <c r="AW879" s="34" t="str">
        <f aca="false">IF(OR(AH879="",N(AO879)=0),"",AH879/AO879)</f>
        <v/>
      </c>
      <c r="AX879" s="35" t="str">
        <f aca="false">IF(OR(AR879="",N(AO879)=0),"",(N(AF879)*Settings!$B$6+N(AG879)*Settings!$B$7+N(AH879)*Settings!$B$8+N(AI879)*Settings!$B$9+N(AJ879)*Settings!$B$10)/AO879*1000)</f>
        <v/>
      </c>
      <c r="AY879" s="36" t="str">
        <f aca="false">IF(AS879="","",IFERROR(AS879/AVERAGEIFS('Post Tracker'!$AS$5:$AS$1004,'Post Tracker'!$G$5:$G$1004,G879),""))</f>
        <v/>
      </c>
      <c r="AZ879" s="32"/>
      <c r="BA879" s="32"/>
      <c r="BB879" s="32"/>
      <c r="BC879" s="32"/>
      <c r="BD879" s="33" t="str">
        <f aca="false">IF(A879="","",COUNTIFS('Demo Pipeline'!$Q$5:$Q$504,A879))</f>
        <v/>
      </c>
      <c r="BE879" s="33" t="str">
        <f aca="false">IF(A879="","",COUNTIFS('Demo Pipeline'!$Q$5:$Q$504,A879,'Demo Pipeline'!$W$5:$W$504,"Attended"))</f>
        <v/>
      </c>
      <c r="BF879" s="33" t="str">
        <f aca="false">IF(A879="","",COUNTIFS('Demo Pipeline'!$Q$5:$Q$504,A879,'Demo Pipeline'!$X$5:$X$504,"Yes"))</f>
        <v/>
      </c>
      <c r="BG879" s="33" t="str">
        <f aca="false">IF(A879="","",COUNTIFS('Demo Pipeline'!$Q$5:$Q$504,A879,'Demo Pipeline'!$Y$5:$Y$504,"Closed Won"))</f>
        <v/>
      </c>
      <c r="BH879" s="37" t="str">
        <f aca="false">IF(A879="","",SUMIFS('Demo Pipeline'!$Z$5:$Z$504,'Demo Pipeline'!$Q$5:$Q$504,A879))</f>
        <v/>
      </c>
      <c r="BI879" s="34" t="str">
        <f aca="false">IF(OR(AZ879="",N(AJ879)=0),"",AZ879/AJ879)</f>
        <v/>
      </c>
      <c r="BJ879" s="34" t="str">
        <f aca="false">IF(OR(BB879="",N(AZ879)=0),"",BB879/AZ879)</f>
        <v/>
      </c>
      <c r="BK879" s="34" t="str">
        <f aca="false">IF(OR(A879="",N(BB879)=0),"",BD879/BB879)</f>
        <v/>
      </c>
      <c r="BL879" s="34" t="str">
        <f aca="false">IF(OR(A879="",N(AZ879)=0),"",BD879/AZ879)</f>
        <v/>
      </c>
      <c r="BM879" s="37" t="str">
        <f aca="false">IF(OR(N(Q879)=0,N(BD879)=0),"",Q879/BD879)</f>
        <v/>
      </c>
      <c r="BN879" s="29"/>
      <c r="BO879" s="29"/>
      <c r="BP879" s="33" t="str">
        <f aca="false">IF(OR(AR879="",N(AO879)=0),"",AR879)</f>
        <v/>
      </c>
      <c r="BQ879" s="33" t="str">
        <f aca="false">IF(OR(AR879="",N(S879)=0),"",S879)</f>
        <v/>
      </c>
      <c r="BR879" s="38" t="str">
        <f aca="false">IF(AND(ISNUMBER(B879),B879&gt;=Dashboard!$C$4,B879&lt;=Dashboard!$F$4,ISNUMBER(AU879)),AU879+ROW()/10^9,"")</f>
        <v/>
      </c>
      <c r="BS879" s="38" t="str">
        <f aca="false">IF(AND(ISNUMBER(B879),B879&gt;=Dashboard!$C$4,B879&lt;=Dashboard!$F$4,A879&lt;&gt;""),N(BD879)+N(AU879)/100+ROW()/10^9,"")</f>
        <v/>
      </c>
    </row>
    <row r="880" customFormat="false" ht="15" hidden="false" customHeight="false" outlineLevel="0" collapsed="false">
      <c r="A880" s="24" t="str">
        <f aca="false">IF(OR(B880="",G880="",H880=""),"",IFERROR(INDEX(Settings!$E$5:$E$49,MATCH(G880,Settings!$D$5:$D$49,0))&amp;INDEX(Settings!$H$5:$H$47,MATCH(H880,Settings!$G$5:$G$47,0))&amp;"-"&amp;TEXT(B880,"yymmdd")&amp;"-"&amp;IF(C880="","0000",TEXT(C880,"hhmm")),"CHECK LISTS"))</f>
        <v/>
      </c>
      <c r="B880" s="39"/>
      <c r="C880" s="40"/>
      <c r="D880" s="24" t="str">
        <f aca="false">IF(B880="","",TEXT(B880,"ddd"))</f>
        <v/>
      </c>
      <c r="E880" s="27" t="str">
        <f aca="false">IF(B880="","",B880-WEEKDAY(B880,3))</f>
        <v/>
      </c>
      <c r="F880" s="24" t="str">
        <f aca="false">IF(B880="","",TEXT(B880,"yyyy-mm"))</f>
        <v/>
      </c>
      <c r="G880" s="29"/>
      <c r="H880" s="29"/>
      <c r="I880" s="29"/>
      <c r="J880" s="29"/>
      <c r="K880" s="29"/>
      <c r="L880" s="29"/>
      <c r="M880" s="29"/>
      <c r="N880" s="29"/>
      <c r="O880" s="29"/>
      <c r="P880" s="29"/>
      <c r="Q880" s="30"/>
      <c r="R880" s="29"/>
      <c r="S880" s="32"/>
      <c r="T880" s="29"/>
      <c r="U880" s="29"/>
      <c r="V880" s="24" t="str">
        <f aca="false">IF(A880="","",IFERROR(INDEX(Settings!$F$5:$F$49,MATCH(G880,Settings!$D$5:$D$49,0)),""))</f>
        <v/>
      </c>
      <c r="W880" s="24" t="str">
        <f aca="false">IF(A880="","",IF(OR(P880="",P880="Organic"),"social","paid_social"))</f>
        <v/>
      </c>
      <c r="X880" s="24" t="str">
        <f aca="false">IF(A880="","",IF(K880&lt;&gt;"",IFERROR(INDEX('Case Studies'!$C$5:$C$54,MATCH(K880,'Case Studies'!$B$5:$B$54,0))&amp;"","case-study"),IF(J880&lt;&gt;"",IFERROR(INDEX(Settings!$J$5:$J$55,MATCH(J880,Settings!$I$5:$I$55,0)),"general"),"general")))</f>
        <v/>
      </c>
      <c r="Y880" s="24" t="str">
        <f aca="false">IF(A880="","",LOWER(A880))</f>
        <v/>
      </c>
      <c r="Z880" s="24" t="str">
        <f aca="false">IF(A880="","",IF(T880="",Settings!$B$5,T880)&amp;IF(ISNUMBER(FIND("?",IF(T880="",Settings!$B$5,T880))),"&amp;","?")&amp;"utm_source="&amp;V880&amp;"&amp;utm_medium="&amp;W880&amp;"&amp;utm_campaign="&amp;X880&amp;"&amp;utm_content="&amp;Y880)</f>
        <v/>
      </c>
      <c r="AA880" s="29"/>
      <c r="AB880" s="39"/>
      <c r="AC880" s="32"/>
      <c r="AD880" s="32"/>
      <c r="AE880" s="32"/>
      <c r="AF880" s="32"/>
      <c r="AG880" s="32"/>
      <c r="AH880" s="32"/>
      <c r="AI880" s="32"/>
      <c r="AJ880" s="32"/>
      <c r="AK880" s="32"/>
      <c r="AL880" s="32"/>
      <c r="AM880" s="32"/>
      <c r="AN880" s="32"/>
      <c r="AO880" s="33" t="str">
        <f aca="false">IF(A880="","",IF(AD880&lt;&gt;"",AD880,IF(AC880&lt;&gt;"",AC880,"")))</f>
        <v/>
      </c>
      <c r="AP880" s="24" t="str">
        <f aca="false">IF(AO880="","",IF(AD880&lt;&gt;"","Reported reach","Impressions (proxy)"))</f>
        <v/>
      </c>
      <c r="AQ880" s="34" t="str">
        <f aca="false">IF(OR(AO880="",N(S880)=0),"",AO880/S880)</f>
        <v/>
      </c>
      <c r="AR880" s="33" t="str">
        <f aca="false">IF(A880="","",IF(COUNT(AF880:AJ880)=0,"",SUM(AF880:AJ880)))</f>
        <v/>
      </c>
      <c r="AS880" s="34" t="str">
        <f aca="false">IF(OR(AR880="",N(AO880)=0),"",AR880/AO880)</f>
        <v/>
      </c>
      <c r="AT880" s="34" t="str">
        <f aca="false">IF(OR(AR880="",N(AC880)=0),"",AR880/AC880)</f>
        <v/>
      </c>
      <c r="AU880" s="34" t="str">
        <f aca="false">IF(OR(AR880="",N(S880)=0),"",AR880/S880)</f>
        <v/>
      </c>
      <c r="AV880" s="34" t="str">
        <f aca="false">IF(OR(AJ880="",N(AC880)=0),"",AJ880/AC880)</f>
        <v/>
      </c>
      <c r="AW880" s="34" t="str">
        <f aca="false">IF(OR(AH880="",N(AO880)=0),"",AH880/AO880)</f>
        <v/>
      </c>
      <c r="AX880" s="35" t="str">
        <f aca="false">IF(OR(AR880="",N(AO880)=0),"",(N(AF880)*Settings!$B$6+N(AG880)*Settings!$B$7+N(AH880)*Settings!$B$8+N(AI880)*Settings!$B$9+N(AJ880)*Settings!$B$10)/AO880*1000)</f>
        <v/>
      </c>
      <c r="AY880" s="36" t="str">
        <f aca="false">IF(AS880="","",IFERROR(AS880/AVERAGEIFS('Post Tracker'!$AS$5:$AS$1004,'Post Tracker'!$G$5:$G$1004,G880),""))</f>
        <v/>
      </c>
      <c r="AZ880" s="32"/>
      <c r="BA880" s="32"/>
      <c r="BB880" s="32"/>
      <c r="BC880" s="32"/>
      <c r="BD880" s="33" t="str">
        <f aca="false">IF(A880="","",COUNTIFS('Demo Pipeline'!$Q$5:$Q$504,A880))</f>
        <v/>
      </c>
      <c r="BE880" s="33" t="str">
        <f aca="false">IF(A880="","",COUNTIFS('Demo Pipeline'!$Q$5:$Q$504,A880,'Demo Pipeline'!$W$5:$W$504,"Attended"))</f>
        <v/>
      </c>
      <c r="BF880" s="33" t="str">
        <f aca="false">IF(A880="","",COUNTIFS('Demo Pipeline'!$Q$5:$Q$504,A880,'Demo Pipeline'!$X$5:$X$504,"Yes"))</f>
        <v/>
      </c>
      <c r="BG880" s="33" t="str">
        <f aca="false">IF(A880="","",COUNTIFS('Demo Pipeline'!$Q$5:$Q$504,A880,'Demo Pipeline'!$Y$5:$Y$504,"Closed Won"))</f>
        <v/>
      </c>
      <c r="BH880" s="37" t="str">
        <f aca="false">IF(A880="","",SUMIFS('Demo Pipeline'!$Z$5:$Z$504,'Demo Pipeline'!$Q$5:$Q$504,A880))</f>
        <v/>
      </c>
      <c r="BI880" s="34" t="str">
        <f aca="false">IF(OR(AZ880="",N(AJ880)=0),"",AZ880/AJ880)</f>
        <v/>
      </c>
      <c r="BJ880" s="34" t="str">
        <f aca="false">IF(OR(BB880="",N(AZ880)=0),"",BB880/AZ880)</f>
        <v/>
      </c>
      <c r="BK880" s="34" t="str">
        <f aca="false">IF(OR(A880="",N(BB880)=0),"",BD880/BB880)</f>
        <v/>
      </c>
      <c r="BL880" s="34" t="str">
        <f aca="false">IF(OR(A880="",N(AZ880)=0),"",BD880/AZ880)</f>
        <v/>
      </c>
      <c r="BM880" s="37" t="str">
        <f aca="false">IF(OR(N(Q880)=0,N(BD880)=0),"",Q880/BD880)</f>
        <v/>
      </c>
      <c r="BN880" s="29"/>
      <c r="BO880" s="29"/>
      <c r="BP880" s="33" t="str">
        <f aca="false">IF(OR(AR880="",N(AO880)=0),"",AR880)</f>
        <v/>
      </c>
      <c r="BQ880" s="33" t="str">
        <f aca="false">IF(OR(AR880="",N(S880)=0),"",S880)</f>
        <v/>
      </c>
      <c r="BR880" s="38" t="str">
        <f aca="false">IF(AND(ISNUMBER(B880),B880&gt;=Dashboard!$C$4,B880&lt;=Dashboard!$F$4,ISNUMBER(AU880)),AU880+ROW()/10^9,"")</f>
        <v/>
      </c>
      <c r="BS880" s="38" t="str">
        <f aca="false">IF(AND(ISNUMBER(B880),B880&gt;=Dashboard!$C$4,B880&lt;=Dashboard!$F$4,A880&lt;&gt;""),N(BD880)+N(AU880)/100+ROW()/10^9,"")</f>
        <v/>
      </c>
    </row>
    <row r="881" customFormat="false" ht="15" hidden="false" customHeight="false" outlineLevel="0" collapsed="false">
      <c r="A881" s="24" t="str">
        <f aca="false">IF(OR(B881="",G881="",H881=""),"",IFERROR(INDEX(Settings!$E$5:$E$49,MATCH(G881,Settings!$D$5:$D$49,0))&amp;INDEX(Settings!$H$5:$H$47,MATCH(H881,Settings!$G$5:$G$47,0))&amp;"-"&amp;TEXT(B881,"yymmdd")&amp;"-"&amp;IF(C881="","0000",TEXT(C881,"hhmm")),"CHECK LISTS"))</f>
        <v/>
      </c>
      <c r="B881" s="39"/>
      <c r="C881" s="40"/>
      <c r="D881" s="24" t="str">
        <f aca="false">IF(B881="","",TEXT(B881,"ddd"))</f>
        <v/>
      </c>
      <c r="E881" s="27" t="str">
        <f aca="false">IF(B881="","",B881-WEEKDAY(B881,3))</f>
        <v/>
      </c>
      <c r="F881" s="24" t="str">
        <f aca="false">IF(B881="","",TEXT(B881,"yyyy-mm"))</f>
        <v/>
      </c>
      <c r="G881" s="29"/>
      <c r="H881" s="29"/>
      <c r="I881" s="29"/>
      <c r="J881" s="29"/>
      <c r="K881" s="29"/>
      <c r="L881" s="29"/>
      <c r="M881" s="29"/>
      <c r="N881" s="29"/>
      <c r="O881" s="29"/>
      <c r="P881" s="29"/>
      <c r="Q881" s="30"/>
      <c r="R881" s="29"/>
      <c r="S881" s="32"/>
      <c r="T881" s="29"/>
      <c r="U881" s="29"/>
      <c r="V881" s="24" t="str">
        <f aca="false">IF(A881="","",IFERROR(INDEX(Settings!$F$5:$F$49,MATCH(G881,Settings!$D$5:$D$49,0)),""))</f>
        <v/>
      </c>
      <c r="W881" s="24" t="str">
        <f aca="false">IF(A881="","",IF(OR(P881="",P881="Organic"),"social","paid_social"))</f>
        <v/>
      </c>
      <c r="X881" s="24" t="str">
        <f aca="false">IF(A881="","",IF(K881&lt;&gt;"",IFERROR(INDEX('Case Studies'!$C$5:$C$54,MATCH(K881,'Case Studies'!$B$5:$B$54,0))&amp;"","case-study"),IF(J881&lt;&gt;"",IFERROR(INDEX(Settings!$J$5:$J$55,MATCH(J881,Settings!$I$5:$I$55,0)),"general"),"general")))</f>
        <v/>
      </c>
      <c r="Y881" s="24" t="str">
        <f aca="false">IF(A881="","",LOWER(A881))</f>
        <v/>
      </c>
      <c r="Z881" s="24" t="str">
        <f aca="false">IF(A881="","",IF(T881="",Settings!$B$5,T881)&amp;IF(ISNUMBER(FIND("?",IF(T881="",Settings!$B$5,T881))),"&amp;","?")&amp;"utm_source="&amp;V881&amp;"&amp;utm_medium="&amp;W881&amp;"&amp;utm_campaign="&amp;X881&amp;"&amp;utm_content="&amp;Y881)</f>
        <v/>
      </c>
      <c r="AA881" s="29"/>
      <c r="AB881" s="39"/>
      <c r="AC881" s="32"/>
      <c r="AD881" s="32"/>
      <c r="AE881" s="32"/>
      <c r="AF881" s="32"/>
      <c r="AG881" s="32"/>
      <c r="AH881" s="32"/>
      <c r="AI881" s="32"/>
      <c r="AJ881" s="32"/>
      <c r="AK881" s="32"/>
      <c r="AL881" s="32"/>
      <c r="AM881" s="32"/>
      <c r="AN881" s="32"/>
      <c r="AO881" s="33" t="str">
        <f aca="false">IF(A881="","",IF(AD881&lt;&gt;"",AD881,IF(AC881&lt;&gt;"",AC881,"")))</f>
        <v/>
      </c>
      <c r="AP881" s="24" t="str">
        <f aca="false">IF(AO881="","",IF(AD881&lt;&gt;"","Reported reach","Impressions (proxy)"))</f>
        <v/>
      </c>
      <c r="AQ881" s="34" t="str">
        <f aca="false">IF(OR(AO881="",N(S881)=0),"",AO881/S881)</f>
        <v/>
      </c>
      <c r="AR881" s="33" t="str">
        <f aca="false">IF(A881="","",IF(COUNT(AF881:AJ881)=0,"",SUM(AF881:AJ881)))</f>
        <v/>
      </c>
      <c r="AS881" s="34" t="str">
        <f aca="false">IF(OR(AR881="",N(AO881)=0),"",AR881/AO881)</f>
        <v/>
      </c>
      <c r="AT881" s="34" t="str">
        <f aca="false">IF(OR(AR881="",N(AC881)=0),"",AR881/AC881)</f>
        <v/>
      </c>
      <c r="AU881" s="34" t="str">
        <f aca="false">IF(OR(AR881="",N(S881)=0),"",AR881/S881)</f>
        <v/>
      </c>
      <c r="AV881" s="34" t="str">
        <f aca="false">IF(OR(AJ881="",N(AC881)=0),"",AJ881/AC881)</f>
        <v/>
      </c>
      <c r="AW881" s="34" t="str">
        <f aca="false">IF(OR(AH881="",N(AO881)=0),"",AH881/AO881)</f>
        <v/>
      </c>
      <c r="AX881" s="35" t="str">
        <f aca="false">IF(OR(AR881="",N(AO881)=0),"",(N(AF881)*Settings!$B$6+N(AG881)*Settings!$B$7+N(AH881)*Settings!$B$8+N(AI881)*Settings!$B$9+N(AJ881)*Settings!$B$10)/AO881*1000)</f>
        <v/>
      </c>
      <c r="AY881" s="36" t="str">
        <f aca="false">IF(AS881="","",IFERROR(AS881/AVERAGEIFS('Post Tracker'!$AS$5:$AS$1004,'Post Tracker'!$G$5:$G$1004,G881),""))</f>
        <v/>
      </c>
      <c r="AZ881" s="32"/>
      <c r="BA881" s="32"/>
      <c r="BB881" s="32"/>
      <c r="BC881" s="32"/>
      <c r="BD881" s="33" t="str">
        <f aca="false">IF(A881="","",COUNTIFS('Demo Pipeline'!$Q$5:$Q$504,A881))</f>
        <v/>
      </c>
      <c r="BE881" s="33" t="str">
        <f aca="false">IF(A881="","",COUNTIFS('Demo Pipeline'!$Q$5:$Q$504,A881,'Demo Pipeline'!$W$5:$W$504,"Attended"))</f>
        <v/>
      </c>
      <c r="BF881" s="33" t="str">
        <f aca="false">IF(A881="","",COUNTIFS('Demo Pipeline'!$Q$5:$Q$504,A881,'Demo Pipeline'!$X$5:$X$504,"Yes"))</f>
        <v/>
      </c>
      <c r="BG881" s="33" t="str">
        <f aca="false">IF(A881="","",COUNTIFS('Demo Pipeline'!$Q$5:$Q$504,A881,'Demo Pipeline'!$Y$5:$Y$504,"Closed Won"))</f>
        <v/>
      </c>
      <c r="BH881" s="37" t="str">
        <f aca="false">IF(A881="","",SUMIFS('Demo Pipeline'!$Z$5:$Z$504,'Demo Pipeline'!$Q$5:$Q$504,A881))</f>
        <v/>
      </c>
      <c r="BI881" s="34" t="str">
        <f aca="false">IF(OR(AZ881="",N(AJ881)=0),"",AZ881/AJ881)</f>
        <v/>
      </c>
      <c r="BJ881" s="34" t="str">
        <f aca="false">IF(OR(BB881="",N(AZ881)=0),"",BB881/AZ881)</f>
        <v/>
      </c>
      <c r="BK881" s="34" t="str">
        <f aca="false">IF(OR(A881="",N(BB881)=0),"",BD881/BB881)</f>
        <v/>
      </c>
      <c r="BL881" s="34" t="str">
        <f aca="false">IF(OR(A881="",N(AZ881)=0),"",BD881/AZ881)</f>
        <v/>
      </c>
      <c r="BM881" s="37" t="str">
        <f aca="false">IF(OR(N(Q881)=0,N(BD881)=0),"",Q881/BD881)</f>
        <v/>
      </c>
      <c r="BN881" s="29"/>
      <c r="BO881" s="29"/>
      <c r="BP881" s="33" t="str">
        <f aca="false">IF(OR(AR881="",N(AO881)=0),"",AR881)</f>
        <v/>
      </c>
      <c r="BQ881" s="33" t="str">
        <f aca="false">IF(OR(AR881="",N(S881)=0),"",S881)</f>
        <v/>
      </c>
      <c r="BR881" s="38" t="str">
        <f aca="false">IF(AND(ISNUMBER(B881),B881&gt;=Dashboard!$C$4,B881&lt;=Dashboard!$F$4,ISNUMBER(AU881)),AU881+ROW()/10^9,"")</f>
        <v/>
      </c>
      <c r="BS881" s="38" t="str">
        <f aca="false">IF(AND(ISNUMBER(B881),B881&gt;=Dashboard!$C$4,B881&lt;=Dashboard!$F$4,A881&lt;&gt;""),N(BD881)+N(AU881)/100+ROW()/10^9,"")</f>
        <v/>
      </c>
    </row>
    <row r="882" customFormat="false" ht="15" hidden="false" customHeight="false" outlineLevel="0" collapsed="false">
      <c r="A882" s="24" t="str">
        <f aca="false">IF(OR(B882="",G882="",H882=""),"",IFERROR(INDEX(Settings!$E$5:$E$49,MATCH(G882,Settings!$D$5:$D$49,0))&amp;INDEX(Settings!$H$5:$H$47,MATCH(H882,Settings!$G$5:$G$47,0))&amp;"-"&amp;TEXT(B882,"yymmdd")&amp;"-"&amp;IF(C882="","0000",TEXT(C882,"hhmm")),"CHECK LISTS"))</f>
        <v/>
      </c>
      <c r="B882" s="39"/>
      <c r="C882" s="40"/>
      <c r="D882" s="24" t="str">
        <f aca="false">IF(B882="","",TEXT(B882,"ddd"))</f>
        <v/>
      </c>
      <c r="E882" s="27" t="str">
        <f aca="false">IF(B882="","",B882-WEEKDAY(B882,3))</f>
        <v/>
      </c>
      <c r="F882" s="24" t="str">
        <f aca="false">IF(B882="","",TEXT(B882,"yyyy-mm"))</f>
        <v/>
      </c>
      <c r="G882" s="29"/>
      <c r="H882" s="29"/>
      <c r="I882" s="29"/>
      <c r="J882" s="29"/>
      <c r="K882" s="29"/>
      <c r="L882" s="29"/>
      <c r="M882" s="29"/>
      <c r="N882" s="29"/>
      <c r="O882" s="29"/>
      <c r="P882" s="29"/>
      <c r="Q882" s="30"/>
      <c r="R882" s="29"/>
      <c r="S882" s="32"/>
      <c r="T882" s="29"/>
      <c r="U882" s="29"/>
      <c r="V882" s="24" t="str">
        <f aca="false">IF(A882="","",IFERROR(INDEX(Settings!$F$5:$F$49,MATCH(G882,Settings!$D$5:$D$49,0)),""))</f>
        <v/>
      </c>
      <c r="W882" s="24" t="str">
        <f aca="false">IF(A882="","",IF(OR(P882="",P882="Organic"),"social","paid_social"))</f>
        <v/>
      </c>
      <c r="X882" s="24" t="str">
        <f aca="false">IF(A882="","",IF(K882&lt;&gt;"",IFERROR(INDEX('Case Studies'!$C$5:$C$54,MATCH(K882,'Case Studies'!$B$5:$B$54,0))&amp;"","case-study"),IF(J882&lt;&gt;"",IFERROR(INDEX(Settings!$J$5:$J$55,MATCH(J882,Settings!$I$5:$I$55,0)),"general"),"general")))</f>
        <v/>
      </c>
      <c r="Y882" s="24" t="str">
        <f aca="false">IF(A882="","",LOWER(A882))</f>
        <v/>
      </c>
      <c r="Z882" s="24" t="str">
        <f aca="false">IF(A882="","",IF(T882="",Settings!$B$5,T882)&amp;IF(ISNUMBER(FIND("?",IF(T882="",Settings!$B$5,T882))),"&amp;","?")&amp;"utm_source="&amp;V882&amp;"&amp;utm_medium="&amp;W882&amp;"&amp;utm_campaign="&amp;X882&amp;"&amp;utm_content="&amp;Y882)</f>
        <v/>
      </c>
      <c r="AA882" s="29"/>
      <c r="AB882" s="39"/>
      <c r="AC882" s="32"/>
      <c r="AD882" s="32"/>
      <c r="AE882" s="32"/>
      <c r="AF882" s="32"/>
      <c r="AG882" s="32"/>
      <c r="AH882" s="32"/>
      <c r="AI882" s="32"/>
      <c r="AJ882" s="32"/>
      <c r="AK882" s="32"/>
      <c r="AL882" s="32"/>
      <c r="AM882" s="32"/>
      <c r="AN882" s="32"/>
      <c r="AO882" s="33" t="str">
        <f aca="false">IF(A882="","",IF(AD882&lt;&gt;"",AD882,IF(AC882&lt;&gt;"",AC882,"")))</f>
        <v/>
      </c>
      <c r="AP882" s="24" t="str">
        <f aca="false">IF(AO882="","",IF(AD882&lt;&gt;"","Reported reach","Impressions (proxy)"))</f>
        <v/>
      </c>
      <c r="AQ882" s="34" t="str">
        <f aca="false">IF(OR(AO882="",N(S882)=0),"",AO882/S882)</f>
        <v/>
      </c>
      <c r="AR882" s="33" t="str">
        <f aca="false">IF(A882="","",IF(COUNT(AF882:AJ882)=0,"",SUM(AF882:AJ882)))</f>
        <v/>
      </c>
      <c r="AS882" s="34" t="str">
        <f aca="false">IF(OR(AR882="",N(AO882)=0),"",AR882/AO882)</f>
        <v/>
      </c>
      <c r="AT882" s="34" t="str">
        <f aca="false">IF(OR(AR882="",N(AC882)=0),"",AR882/AC882)</f>
        <v/>
      </c>
      <c r="AU882" s="34" t="str">
        <f aca="false">IF(OR(AR882="",N(S882)=0),"",AR882/S882)</f>
        <v/>
      </c>
      <c r="AV882" s="34" t="str">
        <f aca="false">IF(OR(AJ882="",N(AC882)=0),"",AJ882/AC882)</f>
        <v/>
      </c>
      <c r="AW882" s="34" t="str">
        <f aca="false">IF(OR(AH882="",N(AO882)=0),"",AH882/AO882)</f>
        <v/>
      </c>
      <c r="AX882" s="35" t="str">
        <f aca="false">IF(OR(AR882="",N(AO882)=0),"",(N(AF882)*Settings!$B$6+N(AG882)*Settings!$B$7+N(AH882)*Settings!$B$8+N(AI882)*Settings!$B$9+N(AJ882)*Settings!$B$10)/AO882*1000)</f>
        <v/>
      </c>
      <c r="AY882" s="36" t="str">
        <f aca="false">IF(AS882="","",IFERROR(AS882/AVERAGEIFS('Post Tracker'!$AS$5:$AS$1004,'Post Tracker'!$G$5:$G$1004,G882),""))</f>
        <v/>
      </c>
      <c r="AZ882" s="32"/>
      <c r="BA882" s="32"/>
      <c r="BB882" s="32"/>
      <c r="BC882" s="32"/>
      <c r="BD882" s="33" t="str">
        <f aca="false">IF(A882="","",COUNTIFS('Demo Pipeline'!$Q$5:$Q$504,A882))</f>
        <v/>
      </c>
      <c r="BE882" s="33" t="str">
        <f aca="false">IF(A882="","",COUNTIFS('Demo Pipeline'!$Q$5:$Q$504,A882,'Demo Pipeline'!$W$5:$W$504,"Attended"))</f>
        <v/>
      </c>
      <c r="BF882" s="33" t="str">
        <f aca="false">IF(A882="","",COUNTIFS('Demo Pipeline'!$Q$5:$Q$504,A882,'Demo Pipeline'!$X$5:$X$504,"Yes"))</f>
        <v/>
      </c>
      <c r="BG882" s="33" t="str">
        <f aca="false">IF(A882="","",COUNTIFS('Demo Pipeline'!$Q$5:$Q$504,A882,'Demo Pipeline'!$Y$5:$Y$504,"Closed Won"))</f>
        <v/>
      </c>
      <c r="BH882" s="37" t="str">
        <f aca="false">IF(A882="","",SUMIFS('Demo Pipeline'!$Z$5:$Z$504,'Demo Pipeline'!$Q$5:$Q$504,A882))</f>
        <v/>
      </c>
      <c r="BI882" s="34" t="str">
        <f aca="false">IF(OR(AZ882="",N(AJ882)=0),"",AZ882/AJ882)</f>
        <v/>
      </c>
      <c r="BJ882" s="34" t="str">
        <f aca="false">IF(OR(BB882="",N(AZ882)=0),"",BB882/AZ882)</f>
        <v/>
      </c>
      <c r="BK882" s="34" t="str">
        <f aca="false">IF(OR(A882="",N(BB882)=0),"",BD882/BB882)</f>
        <v/>
      </c>
      <c r="BL882" s="34" t="str">
        <f aca="false">IF(OR(A882="",N(AZ882)=0),"",BD882/AZ882)</f>
        <v/>
      </c>
      <c r="BM882" s="37" t="str">
        <f aca="false">IF(OR(N(Q882)=0,N(BD882)=0),"",Q882/BD882)</f>
        <v/>
      </c>
      <c r="BN882" s="29"/>
      <c r="BO882" s="29"/>
      <c r="BP882" s="33" t="str">
        <f aca="false">IF(OR(AR882="",N(AO882)=0),"",AR882)</f>
        <v/>
      </c>
      <c r="BQ882" s="33" t="str">
        <f aca="false">IF(OR(AR882="",N(S882)=0),"",S882)</f>
        <v/>
      </c>
      <c r="BR882" s="38" t="str">
        <f aca="false">IF(AND(ISNUMBER(B882),B882&gt;=Dashboard!$C$4,B882&lt;=Dashboard!$F$4,ISNUMBER(AU882)),AU882+ROW()/10^9,"")</f>
        <v/>
      </c>
      <c r="BS882" s="38" t="str">
        <f aca="false">IF(AND(ISNUMBER(B882),B882&gt;=Dashboard!$C$4,B882&lt;=Dashboard!$F$4,A882&lt;&gt;""),N(BD882)+N(AU882)/100+ROW()/10^9,"")</f>
        <v/>
      </c>
    </row>
    <row r="883" customFormat="false" ht="15" hidden="false" customHeight="false" outlineLevel="0" collapsed="false">
      <c r="A883" s="24" t="str">
        <f aca="false">IF(OR(B883="",G883="",H883=""),"",IFERROR(INDEX(Settings!$E$5:$E$49,MATCH(G883,Settings!$D$5:$D$49,0))&amp;INDEX(Settings!$H$5:$H$47,MATCH(H883,Settings!$G$5:$G$47,0))&amp;"-"&amp;TEXT(B883,"yymmdd")&amp;"-"&amp;IF(C883="","0000",TEXT(C883,"hhmm")),"CHECK LISTS"))</f>
        <v/>
      </c>
      <c r="B883" s="39"/>
      <c r="C883" s="40"/>
      <c r="D883" s="24" t="str">
        <f aca="false">IF(B883="","",TEXT(B883,"ddd"))</f>
        <v/>
      </c>
      <c r="E883" s="27" t="str">
        <f aca="false">IF(B883="","",B883-WEEKDAY(B883,3))</f>
        <v/>
      </c>
      <c r="F883" s="24" t="str">
        <f aca="false">IF(B883="","",TEXT(B883,"yyyy-mm"))</f>
        <v/>
      </c>
      <c r="G883" s="29"/>
      <c r="H883" s="29"/>
      <c r="I883" s="29"/>
      <c r="J883" s="29"/>
      <c r="K883" s="29"/>
      <c r="L883" s="29"/>
      <c r="M883" s="29"/>
      <c r="N883" s="29"/>
      <c r="O883" s="29"/>
      <c r="P883" s="29"/>
      <c r="Q883" s="30"/>
      <c r="R883" s="29"/>
      <c r="S883" s="32"/>
      <c r="T883" s="29"/>
      <c r="U883" s="29"/>
      <c r="V883" s="24" t="str">
        <f aca="false">IF(A883="","",IFERROR(INDEX(Settings!$F$5:$F$49,MATCH(G883,Settings!$D$5:$D$49,0)),""))</f>
        <v/>
      </c>
      <c r="W883" s="24" t="str">
        <f aca="false">IF(A883="","",IF(OR(P883="",P883="Organic"),"social","paid_social"))</f>
        <v/>
      </c>
      <c r="X883" s="24" t="str">
        <f aca="false">IF(A883="","",IF(K883&lt;&gt;"",IFERROR(INDEX('Case Studies'!$C$5:$C$54,MATCH(K883,'Case Studies'!$B$5:$B$54,0))&amp;"","case-study"),IF(J883&lt;&gt;"",IFERROR(INDEX(Settings!$J$5:$J$55,MATCH(J883,Settings!$I$5:$I$55,0)),"general"),"general")))</f>
        <v/>
      </c>
      <c r="Y883" s="24" t="str">
        <f aca="false">IF(A883="","",LOWER(A883))</f>
        <v/>
      </c>
      <c r="Z883" s="24" t="str">
        <f aca="false">IF(A883="","",IF(T883="",Settings!$B$5,T883)&amp;IF(ISNUMBER(FIND("?",IF(T883="",Settings!$B$5,T883))),"&amp;","?")&amp;"utm_source="&amp;V883&amp;"&amp;utm_medium="&amp;W883&amp;"&amp;utm_campaign="&amp;X883&amp;"&amp;utm_content="&amp;Y883)</f>
        <v/>
      </c>
      <c r="AA883" s="29"/>
      <c r="AB883" s="39"/>
      <c r="AC883" s="32"/>
      <c r="AD883" s="32"/>
      <c r="AE883" s="32"/>
      <c r="AF883" s="32"/>
      <c r="AG883" s="32"/>
      <c r="AH883" s="32"/>
      <c r="AI883" s="32"/>
      <c r="AJ883" s="32"/>
      <c r="AK883" s="32"/>
      <c r="AL883" s="32"/>
      <c r="AM883" s="32"/>
      <c r="AN883" s="32"/>
      <c r="AO883" s="33" t="str">
        <f aca="false">IF(A883="","",IF(AD883&lt;&gt;"",AD883,IF(AC883&lt;&gt;"",AC883,"")))</f>
        <v/>
      </c>
      <c r="AP883" s="24" t="str">
        <f aca="false">IF(AO883="","",IF(AD883&lt;&gt;"","Reported reach","Impressions (proxy)"))</f>
        <v/>
      </c>
      <c r="AQ883" s="34" t="str">
        <f aca="false">IF(OR(AO883="",N(S883)=0),"",AO883/S883)</f>
        <v/>
      </c>
      <c r="AR883" s="33" t="str">
        <f aca="false">IF(A883="","",IF(COUNT(AF883:AJ883)=0,"",SUM(AF883:AJ883)))</f>
        <v/>
      </c>
      <c r="AS883" s="34" t="str">
        <f aca="false">IF(OR(AR883="",N(AO883)=0),"",AR883/AO883)</f>
        <v/>
      </c>
      <c r="AT883" s="34" t="str">
        <f aca="false">IF(OR(AR883="",N(AC883)=0),"",AR883/AC883)</f>
        <v/>
      </c>
      <c r="AU883" s="34" t="str">
        <f aca="false">IF(OR(AR883="",N(S883)=0),"",AR883/S883)</f>
        <v/>
      </c>
      <c r="AV883" s="34" t="str">
        <f aca="false">IF(OR(AJ883="",N(AC883)=0),"",AJ883/AC883)</f>
        <v/>
      </c>
      <c r="AW883" s="34" t="str">
        <f aca="false">IF(OR(AH883="",N(AO883)=0),"",AH883/AO883)</f>
        <v/>
      </c>
      <c r="AX883" s="35" t="str">
        <f aca="false">IF(OR(AR883="",N(AO883)=0),"",(N(AF883)*Settings!$B$6+N(AG883)*Settings!$B$7+N(AH883)*Settings!$B$8+N(AI883)*Settings!$B$9+N(AJ883)*Settings!$B$10)/AO883*1000)</f>
        <v/>
      </c>
      <c r="AY883" s="36" t="str">
        <f aca="false">IF(AS883="","",IFERROR(AS883/AVERAGEIFS('Post Tracker'!$AS$5:$AS$1004,'Post Tracker'!$G$5:$G$1004,G883),""))</f>
        <v/>
      </c>
      <c r="AZ883" s="32"/>
      <c r="BA883" s="32"/>
      <c r="BB883" s="32"/>
      <c r="BC883" s="32"/>
      <c r="BD883" s="33" t="str">
        <f aca="false">IF(A883="","",COUNTIFS('Demo Pipeline'!$Q$5:$Q$504,A883))</f>
        <v/>
      </c>
      <c r="BE883" s="33" t="str">
        <f aca="false">IF(A883="","",COUNTIFS('Demo Pipeline'!$Q$5:$Q$504,A883,'Demo Pipeline'!$W$5:$W$504,"Attended"))</f>
        <v/>
      </c>
      <c r="BF883" s="33" t="str">
        <f aca="false">IF(A883="","",COUNTIFS('Demo Pipeline'!$Q$5:$Q$504,A883,'Demo Pipeline'!$X$5:$X$504,"Yes"))</f>
        <v/>
      </c>
      <c r="BG883" s="33" t="str">
        <f aca="false">IF(A883="","",COUNTIFS('Demo Pipeline'!$Q$5:$Q$504,A883,'Demo Pipeline'!$Y$5:$Y$504,"Closed Won"))</f>
        <v/>
      </c>
      <c r="BH883" s="37" t="str">
        <f aca="false">IF(A883="","",SUMIFS('Demo Pipeline'!$Z$5:$Z$504,'Demo Pipeline'!$Q$5:$Q$504,A883))</f>
        <v/>
      </c>
      <c r="BI883" s="34" t="str">
        <f aca="false">IF(OR(AZ883="",N(AJ883)=0),"",AZ883/AJ883)</f>
        <v/>
      </c>
      <c r="BJ883" s="34" t="str">
        <f aca="false">IF(OR(BB883="",N(AZ883)=0),"",BB883/AZ883)</f>
        <v/>
      </c>
      <c r="BK883" s="34" t="str">
        <f aca="false">IF(OR(A883="",N(BB883)=0),"",BD883/BB883)</f>
        <v/>
      </c>
      <c r="BL883" s="34" t="str">
        <f aca="false">IF(OR(A883="",N(AZ883)=0),"",BD883/AZ883)</f>
        <v/>
      </c>
      <c r="BM883" s="37" t="str">
        <f aca="false">IF(OR(N(Q883)=0,N(BD883)=0),"",Q883/BD883)</f>
        <v/>
      </c>
      <c r="BN883" s="29"/>
      <c r="BO883" s="29"/>
      <c r="BP883" s="33" t="str">
        <f aca="false">IF(OR(AR883="",N(AO883)=0),"",AR883)</f>
        <v/>
      </c>
      <c r="BQ883" s="33" t="str">
        <f aca="false">IF(OR(AR883="",N(S883)=0),"",S883)</f>
        <v/>
      </c>
      <c r="BR883" s="38" t="str">
        <f aca="false">IF(AND(ISNUMBER(B883),B883&gt;=Dashboard!$C$4,B883&lt;=Dashboard!$F$4,ISNUMBER(AU883)),AU883+ROW()/10^9,"")</f>
        <v/>
      </c>
      <c r="BS883" s="38" t="str">
        <f aca="false">IF(AND(ISNUMBER(B883),B883&gt;=Dashboard!$C$4,B883&lt;=Dashboard!$F$4,A883&lt;&gt;""),N(BD883)+N(AU883)/100+ROW()/10^9,"")</f>
        <v/>
      </c>
    </row>
    <row r="884" customFormat="false" ht="15" hidden="false" customHeight="false" outlineLevel="0" collapsed="false">
      <c r="A884" s="24" t="str">
        <f aca="false">IF(OR(B884="",G884="",H884=""),"",IFERROR(INDEX(Settings!$E$5:$E$49,MATCH(G884,Settings!$D$5:$D$49,0))&amp;INDEX(Settings!$H$5:$H$47,MATCH(H884,Settings!$G$5:$G$47,0))&amp;"-"&amp;TEXT(B884,"yymmdd")&amp;"-"&amp;IF(C884="","0000",TEXT(C884,"hhmm")),"CHECK LISTS"))</f>
        <v/>
      </c>
      <c r="B884" s="39"/>
      <c r="C884" s="40"/>
      <c r="D884" s="24" t="str">
        <f aca="false">IF(B884="","",TEXT(B884,"ddd"))</f>
        <v/>
      </c>
      <c r="E884" s="27" t="str">
        <f aca="false">IF(B884="","",B884-WEEKDAY(B884,3))</f>
        <v/>
      </c>
      <c r="F884" s="24" t="str">
        <f aca="false">IF(B884="","",TEXT(B884,"yyyy-mm"))</f>
        <v/>
      </c>
      <c r="G884" s="29"/>
      <c r="H884" s="29"/>
      <c r="I884" s="29"/>
      <c r="J884" s="29"/>
      <c r="K884" s="29"/>
      <c r="L884" s="29"/>
      <c r="M884" s="29"/>
      <c r="N884" s="29"/>
      <c r="O884" s="29"/>
      <c r="P884" s="29"/>
      <c r="Q884" s="30"/>
      <c r="R884" s="29"/>
      <c r="S884" s="32"/>
      <c r="T884" s="29"/>
      <c r="U884" s="29"/>
      <c r="V884" s="24" t="str">
        <f aca="false">IF(A884="","",IFERROR(INDEX(Settings!$F$5:$F$49,MATCH(G884,Settings!$D$5:$D$49,0)),""))</f>
        <v/>
      </c>
      <c r="W884" s="24" t="str">
        <f aca="false">IF(A884="","",IF(OR(P884="",P884="Organic"),"social","paid_social"))</f>
        <v/>
      </c>
      <c r="X884" s="24" t="str">
        <f aca="false">IF(A884="","",IF(K884&lt;&gt;"",IFERROR(INDEX('Case Studies'!$C$5:$C$54,MATCH(K884,'Case Studies'!$B$5:$B$54,0))&amp;"","case-study"),IF(J884&lt;&gt;"",IFERROR(INDEX(Settings!$J$5:$J$55,MATCH(J884,Settings!$I$5:$I$55,0)),"general"),"general")))</f>
        <v/>
      </c>
      <c r="Y884" s="24" t="str">
        <f aca="false">IF(A884="","",LOWER(A884))</f>
        <v/>
      </c>
      <c r="Z884" s="24" t="str">
        <f aca="false">IF(A884="","",IF(T884="",Settings!$B$5,T884)&amp;IF(ISNUMBER(FIND("?",IF(T884="",Settings!$B$5,T884))),"&amp;","?")&amp;"utm_source="&amp;V884&amp;"&amp;utm_medium="&amp;W884&amp;"&amp;utm_campaign="&amp;X884&amp;"&amp;utm_content="&amp;Y884)</f>
        <v/>
      </c>
      <c r="AA884" s="29"/>
      <c r="AB884" s="39"/>
      <c r="AC884" s="32"/>
      <c r="AD884" s="32"/>
      <c r="AE884" s="32"/>
      <c r="AF884" s="32"/>
      <c r="AG884" s="32"/>
      <c r="AH884" s="32"/>
      <c r="AI884" s="32"/>
      <c r="AJ884" s="32"/>
      <c r="AK884" s="32"/>
      <c r="AL884" s="32"/>
      <c r="AM884" s="32"/>
      <c r="AN884" s="32"/>
      <c r="AO884" s="33" t="str">
        <f aca="false">IF(A884="","",IF(AD884&lt;&gt;"",AD884,IF(AC884&lt;&gt;"",AC884,"")))</f>
        <v/>
      </c>
      <c r="AP884" s="24" t="str">
        <f aca="false">IF(AO884="","",IF(AD884&lt;&gt;"","Reported reach","Impressions (proxy)"))</f>
        <v/>
      </c>
      <c r="AQ884" s="34" t="str">
        <f aca="false">IF(OR(AO884="",N(S884)=0),"",AO884/S884)</f>
        <v/>
      </c>
      <c r="AR884" s="33" t="str">
        <f aca="false">IF(A884="","",IF(COUNT(AF884:AJ884)=0,"",SUM(AF884:AJ884)))</f>
        <v/>
      </c>
      <c r="AS884" s="34" t="str">
        <f aca="false">IF(OR(AR884="",N(AO884)=0),"",AR884/AO884)</f>
        <v/>
      </c>
      <c r="AT884" s="34" t="str">
        <f aca="false">IF(OR(AR884="",N(AC884)=0),"",AR884/AC884)</f>
        <v/>
      </c>
      <c r="AU884" s="34" t="str">
        <f aca="false">IF(OR(AR884="",N(S884)=0),"",AR884/S884)</f>
        <v/>
      </c>
      <c r="AV884" s="34" t="str">
        <f aca="false">IF(OR(AJ884="",N(AC884)=0),"",AJ884/AC884)</f>
        <v/>
      </c>
      <c r="AW884" s="34" t="str">
        <f aca="false">IF(OR(AH884="",N(AO884)=0),"",AH884/AO884)</f>
        <v/>
      </c>
      <c r="AX884" s="35" t="str">
        <f aca="false">IF(OR(AR884="",N(AO884)=0),"",(N(AF884)*Settings!$B$6+N(AG884)*Settings!$B$7+N(AH884)*Settings!$B$8+N(AI884)*Settings!$B$9+N(AJ884)*Settings!$B$10)/AO884*1000)</f>
        <v/>
      </c>
      <c r="AY884" s="36" t="str">
        <f aca="false">IF(AS884="","",IFERROR(AS884/AVERAGEIFS('Post Tracker'!$AS$5:$AS$1004,'Post Tracker'!$G$5:$G$1004,G884),""))</f>
        <v/>
      </c>
      <c r="AZ884" s="32"/>
      <c r="BA884" s="32"/>
      <c r="BB884" s="32"/>
      <c r="BC884" s="32"/>
      <c r="BD884" s="33" t="str">
        <f aca="false">IF(A884="","",COUNTIFS('Demo Pipeline'!$Q$5:$Q$504,A884))</f>
        <v/>
      </c>
      <c r="BE884" s="33" t="str">
        <f aca="false">IF(A884="","",COUNTIFS('Demo Pipeline'!$Q$5:$Q$504,A884,'Demo Pipeline'!$W$5:$W$504,"Attended"))</f>
        <v/>
      </c>
      <c r="BF884" s="33" t="str">
        <f aca="false">IF(A884="","",COUNTIFS('Demo Pipeline'!$Q$5:$Q$504,A884,'Demo Pipeline'!$X$5:$X$504,"Yes"))</f>
        <v/>
      </c>
      <c r="BG884" s="33" t="str">
        <f aca="false">IF(A884="","",COUNTIFS('Demo Pipeline'!$Q$5:$Q$504,A884,'Demo Pipeline'!$Y$5:$Y$504,"Closed Won"))</f>
        <v/>
      </c>
      <c r="BH884" s="37" t="str">
        <f aca="false">IF(A884="","",SUMIFS('Demo Pipeline'!$Z$5:$Z$504,'Demo Pipeline'!$Q$5:$Q$504,A884))</f>
        <v/>
      </c>
      <c r="BI884" s="34" t="str">
        <f aca="false">IF(OR(AZ884="",N(AJ884)=0),"",AZ884/AJ884)</f>
        <v/>
      </c>
      <c r="BJ884" s="34" t="str">
        <f aca="false">IF(OR(BB884="",N(AZ884)=0),"",BB884/AZ884)</f>
        <v/>
      </c>
      <c r="BK884" s="34" t="str">
        <f aca="false">IF(OR(A884="",N(BB884)=0),"",BD884/BB884)</f>
        <v/>
      </c>
      <c r="BL884" s="34" t="str">
        <f aca="false">IF(OR(A884="",N(AZ884)=0),"",BD884/AZ884)</f>
        <v/>
      </c>
      <c r="BM884" s="37" t="str">
        <f aca="false">IF(OR(N(Q884)=0,N(BD884)=0),"",Q884/BD884)</f>
        <v/>
      </c>
      <c r="BN884" s="29"/>
      <c r="BO884" s="29"/>
      <c r="BP884" s="33" t="str">
        <f aca="false">IF(OR(AR884="",N(AO884)=0),"",AR884)</f>
        <v/>
      </c>
      <c r="BQ884" s="33" t="str">
        <f aca="false">IF(OR(AR884="",N(S884)=0),"",S884)</f>
        <v/>
      </c>
      <c r="BR884" s="38" t="str">
        <f aca="false">IF(AND(ISNUMBER(B884),B884&gt;=Dashboard!$C$4,B884&lt;=Dashboard!$F$4,ISNUMBER(AU884)),AU884+ROW()/10^9,"")</f>
        <v/>
      </c>
      <c r="BS884" s="38" t="str">
        <f aca="false">IF(AND(ISNUMBER(B884),B884&gt;=Dashboard!$C$4,B884&lt;=Dashboard!$F$4,A884&lt;&gt;""),N(BD884)+N(AU884)/100+ROW()/10^9,"")</f>
        <v/>
      </c>
    </row>
    <row r="885" customFormat="false" ht="15" hidden="false" customHeight="false" outlineLevel="0" collapsed="false">
      <c r="A885" s="24" t="str">
        <f aca="false">IF(OR(B885="",G885="",H885=""),"",IFERROR(INDEX(Settings!$E$5:$E$49,MATCH(G885,Settings!$D$5:$D$49,0))&amp;INDEX(Settings!$H$5:$H$47,MATCH(H885,Settings!$G$5:$G$47,0))&amp;"-"&amp;TEXT(B885,"yymmdd")&amp;"-"&amp;IF(C885="","0000",TEXT(C885,"hhmm")),"CHECK LISTS"))</f>
        <v/>
      </c>
      <c r="B885" s="39"/>
      <c r="C885" s="40"/>
      <c r="D885" s="24" t="str">
        <f aca="false">IF(B885="","",TEXT(B885,"ddd"))</f>
        <v/>
      </c>
      <c r="E885" s="27" t="str">
        <f aca="false">IF(B885="","",B885-WEEKDAY(B885,3))</f>
        <v/>
      </c>
      <c r="F885" s="24" t="str">
        <f aca="false">IF(B885="","",TEXT(B885,"yyyy-mm"))</f>
        <v/>
      </c>
      <c r="G885" s="29"/>
      <c r="H885" s="29"/>
      <c r="I885" s="29"/>
      <c r="J885" s="29"/>
      <c r="K885" s="29"/>
      <c r="L885" s="29"/>
      <c r="M885" s="29"/>
      <c r="N885" s="29"/>
      <c r="O885" s="29"/>
      <c r="P885" s="29"/>
      <c r="Q885" s="30"/>
      <c r="R885" s="29"/>
      <c r="S885" s="32"/>
      <c r="T885" s="29"/>
      <c r="U885" s="29"/>
      <c r="V885" s="24" t="str">
        <f aca="false">IF(A885="","",IFERROR(INDEX(Settings!$F$5:$F$49,MATCH(G885,Settings!$D$5:$D$49,0)),""))</f>
        <v/>
      </c>
      <c r="W885" s="24" t="str">
        <f aca="false">IF(A885="","",IF(OR(P885="",P885="Organic"),"social","paid_social"))</f>
        <v/>
      </c>
      <c r="X885" s="24" t="str">
        <f aca="false">IF(A885="","",IF(K885&lt;&gt;"",IFERROR(INDEX('Case Studies'!$C$5:$C$54,MATCH(K885,'Case Studies'!$B$5:$B$54,0))&amp;"","case-study"),IF(J885&lt;&gt;"",IFERROR(INDEX(Settings!$J$5:$J$55,MATCH(J885,Settings!$I$5:$I$55,0)),"general"),"general")))</f>
        <v/>
      </c>
      <c r="Y885" s="24" t="str">
        <f aca="false">IF(A885="","",LOWER(A885))</f>
        <v/>
      </c>
      <c r="Z885" s="24" t="str">
        <f aca="false">IF(A885="","",IF(T885="",Settings!$B$5,T885)&amp;IF(ISNUMBER(FIND("?",IF(T885="",Settings!$B$5,T885))),"&amp;","?")&amp;"utm_source="&amp;V885&amp;"&amp;utm_medium="&amp;W885&amp;"&amp;utm_campaign="&amp;X885&amp;"&amp;utm_content="&amp;Y885)</f>
        <v/>
      </c>
      <c r="AA885" s="29"/>
      <c r="AB885" s="39"/>
      <c r="AC885" s="32"/>
      <c r="AD885" s="32"/>
      <c r="AE885" s="32"/>
      <c r="AF885" s="32"/>
      <c r="AG885" s="32"/>
      <c r="AH885" s="32"/>
      <c r="AI885" s="32"/>
      <c r="AJ885" s="32"/>
      <c r="AK885" s="32"/>
      <c r="AL885" s="32"/>
      <c r="AM885" s="32"/>
      <c r="AN885" s="32"/>
      <c r="AO885" s="33" t="str">
        <f aca="false">IF(A885="","",IF(AD885&lt;&gt;"",AD885,IF(AC885&lt;&gt;"",AC885,"")))</f>
        <v/>
      </c>
      <c r="AP885" s="24" t="str">
        <f aca="false">IF(AO885="","",IF(AD885&lt;&gt;"","Reported reach","Impressions (proxy)"))</f>
        <v/>
      </c>
      <c r="AQ885" s="34" t="str">
        <f aca="false">IF(OR(AO885="",N(S885)=0),"",AO885/S885)</f>
        <v/>
      </c>
      <c r="AR885" s="33" t="str">
        <f aca="false">IF(A885="","",IF(COUNT(AF885:AJ885)=0,"",SUM(AF885:AJ885)))</f>
        <v/>
      </c>
      <c r="AS885" s="34" t="str">
        <f aca="false">IF(OR(AR885="",N(AO885)=0),"",AR885/AO885)</f>
        <v/>
      </c>
      <c r="AT885" s="34" t="str">
        <f aca="false">IF(OR(AR885="",N(AC885)=0),"",AR885/AC885)</f>
        <v/>
      </c>
      <c r="AU885" s="34" t="str">
        <f aca="false">IF(OR(AR885="",N(S885)=0),"",AR885/S885)</f>
        <v/>
      </c>
      <c r="AV885" s="34" t="str">
        <f aca="false">IF(OR(AJ885="",N(AC885)=0),"",AJ885/AC885)</f>
        <v/>
      </c>
      <c r="AW885" s="34" t="str">
        <f aca="false">IF(OR(AH885="",N(AO885)=0),"",AH885/AO885)</f>
        <v/>
      </c>
      <c r="AX885" s="35" t="str">
        <f aca="false">IF(OR(AR885="",N(AO885)=0),"",(N(AF885)*Settings!$B$6+N(AG885)*Settings!$B$7+N(AH885)*Settings!$B$8+N(AI885)*Settings!$B$9+N(AJ885)*Settings!$B$10)/AO885*1000)</f>
        <v/>
      </c>
      <c r="AY885" s="36" t="str">
        <f aca="false">IF(AS885="","",IFERROR(AS885/AVERAGEIFS('Post Tracker'!$AS$5:$AS$1004,'Post Tracker'!$G$5:$G$1004,G885),""))</f>
        <v/>
      </c>
      <c r="AZ885" s="32"/>
      <c r="BA885" s="32"/>
      <c r="BB885" s="32"/>
      <c r="BC885" s="32"/>
      <c r="BD885" s="33" t="str">
        <f aca="false">IF(A885="","",COUNTIFS('Demo Pipeline'!$Q$5:$Q$504,A885))</f>
        <v/>
      </c>
      <c r="BE885" s="33" t="str">
        <f aca="false">IF(A885="","",COUNTIFS('Demo Pipeline'!$Q$5:$Q$504,A885,'Demo Pipeline'!$W$5:$W$504,"Attended"))</f>
        <v/>
      </c>
      <c r="BF885" s="33" t="str">
        <f aca="false">IF(A885="","",COUNTIFS('Demo Pipeline'!$Q$5:$Q$504,A885,'Demo Pipeline'!$X$5:$X$504,"Yes"))</f>
        <v/>
      </c>
      <c r="BG885" s="33" t="str">
        <f aca="false">IF(A885="","",COUNTIFS('Demo Pipeline'!$Q$5:$Q$504,A885,'Demo Pipeline'!$Y$5:$Y$504,"Closed Won"))</f>
        <v/>
      </c>
      <c r="BH885" s="37" t="str">
        <f aca="false">IF(A885="","",SUMIFS('Demo Pipeline'!$Z$5:$Z$504,'Demo Pipeline'!$Q$5:$Q$504,A885))</f>
        <v/>
      </c>
      <c r="BI885" s="34" t="str">
        <f aca="false">IF(OR(AZ885="",N(AJ885)=0),"",AZ885/AJ885)</f>
        <v/>
      </c>
      <c r="BJ885" s="34" t="str">
        <f aca="false">IF(OR(BB885="",N(AZ885)=0),"",BB885/AZ885)</f>
        <v/>
      </c>
      <c r="BK885" s="34" t="str">
        <f aca="false">IF(OR(A885="",N(BB885)=0),"",BD885/BB885)</f>
        <v/>
      </c>
      <c r="BL885" s="34" t="str">
        <f aca="false">IF(OR(A885="",N(AZ885)=0),"",BD885/AZ885)</f>
        <v/>
      </c>
      <c r="BM885" s="37" t="str">
        <f aca="false">IF(OR(N(Q885)=0,N(BD885)=0),"",Q885/BD885)</f>
        <v/>
      </c>
      <c r="BN885" s="29"/>
      <c r="BO885" s="29"/>
      <c r="BP885" s="33" t="str">
        <f aca="false">IF(OR(AR885="",N(AO885)=0),"",AR885)</f>
        <v/>
      </c>
      <c r="BQ885" s="33" t="str">
        <f aca="false">IF(OR(AR885="",N(S885)=0),"",S885)</f>
        <v/>
      </c>
      <c r="BR885" s="38" t="str">
        <f aca="false">IF(AND(ISNUMBER(B885),B885&gt;=Dashboard!$C$4,B885&lt;=Dashboard!$F$4,ISNUMBER(AU885)),AU885+ROW()/10^9,"")</f>
        <v/>
      </c>
      <c r="BS885" s="38" t="str">
        <f aca="false">IF(AND(ISNUMBER(B885),B885&gt;=Dashboard!$C$4,B885&lt;=Dashboard!$F$4,A885&lt;&gt;""),N(BD885)+N(AU885)/100+ROW()/10^9,"")</f>
        <v/>
      </c>
    </row>
    <row r="886" customFormat="false" ht="15" hidden="false" customHeight="false" outlineLevel="0" collapsed="false">
      <c r="A886" s="24" t="str">
        <f aca="false">IF(OR(B886="",G886="",H886=""),"",IFERROR(INDEX(Settings!$E$5:$E$49,MATCH(G886,Settings!$D$5:$D$49,0))&amp;INDEX(Settings!$H$5:$H$47,MATCH(H886,Settings!$G$5:$G$47,0))&amp;"-"&amp;TEXT(B886,"yymmdd")&amp;"-"&amp;IF(C886="","0000",TEXT(C886,"hhmm")),"CHECK LISTS"))</f>
        <v/>
      </c>
      <c r="B886" s="39"/>
      <c r="C886" s="40"/>
      <c r="D886" s="24" t="str">
        <f aca="false">IF(B886="","",TEXT(B886,"ddd"))</f>
        <v/>
      </c>
      <c r="E886" s="27" t="str">
        <f aca="false">IF(B886="","",B886-WEEKDAY(B886,3))</f>
        <v/>
      </c>
      <c r="F886" s="24" t="str">
        <f aca="false">IF(B886="","",TEXT(B886,"yyyy-mm"))</f>
        <v/>
      </c>
      <c r="G886" s="29"/>
      <c r="H886" s="29"/>
      <c r="I886" s="29"/>
      <c r="J886" s="29"/>
      <c r="K886" s="29"/>
      <c r="L886" s="29"/>
      <c r="M886" s="29"/>
      <c r="N886" s="29"/>
      <c r="O886" s="29"/>
      <c r="P886" s="29"/>
      <c r="Q886" s="30"/>
      <c r="R886" s="29"/>
      <c r="S886" s="32"/>
      <c r="T886" s="29"/>
      <c r="U886" s="29"/>
      <c r="V886" s="24" t="str">
        <f aca="false">IF(A886="","",IFERROR(INDEX(Settings!$F$5:$F$49,MATCH(G886,Settings!$D$5:$D$49,0)),""))</f>
        <v/>
      </c>
      <c r="W886" s="24" t="str">
        <f aca="false">IF(A886="","",IF(OR(P886="",P886="Organic"),"social","paid_social"))</f>
        <v/>
      </c>
      <c r="X886" s="24" t="str">
        <f aca="false">IF(A886="","",IF(K886&lt;&gt;"",IFERROR(INDEX('Case Studies'!$C$5:$C$54,MATCH(K886,'Case Studies'!$B$5:$B$54,0))&amp;"","case-study"),IF(J886&lt;&gt;"",IFERROR(INDEX(Settings!$J$5:$J$55,MATCH(J886,Settings!$I$5:$I$55,0)),"general"),"general")))</f>
        <v/>
      </c>
      <c r="Y886" s="24" t="str">
        <f aca="false">IF(A886="","",LOWER(A886))</f>
        <v/>
      </c>
      <c r="Z886" s="24" t="str">
        <f aca="false">IF(A886="","",IF(T886="",Settings!$B$5,T886)&amp;IF(ISNUMBER(FIND("?",IF(T886="",Settings!$B$5,T886))),"&amp;","?")&amp;"utm_source="&amp;V886&amp;"&amp;utm_medium="&amp;W886&amp;"&amp;utm_campaign="&amp;X886&amp;"&amp;utm_content="&amp;Y886)</f>
        <v/>
      </c>
      <c r="AA886" s="29"/>
      <c r="AB886" s="39"/>
      <c r="AC886" s="32"/>
      <c r="AD886" s="32"/>
      <c r="AE886" s="32"/>
      <c r="AF886" s="32"/>
      <c r="AG886" s="32"/>
      <c r="AH886" s="32"/>
      <c r="AI886" s="32"/>
      <c r="AJ886" s="32"/>
      <c r="AK886" s="32"/>
      <c r="AL886" s="32"/>
      <c r="AM886" s="32"/>
      <c r="AN886" s="32"/>
      <c r="AO886" s="33" t="str">
        <f aca="false">IF(A886="","",IF(AD886&lt;&gt;"",AD886,IF(AC886&lt;&gt;"",AC886,"")))</f>
        <v/>
      </c>
      <c r="AP886" s="24" t="str">
        <f aca="false">IF(AO886="","",IF(AD886&lt;&gt;"","Reported reach","Impressions (proxy)"))</f>
        <v/>
      </c>
      <c r="AQ886" s="34" t="str">
        <f aca="false">IF(OR(AO886="",N(S886)=0),"",AO886/S886)</f>
        <v/>
      </c>
      <c r="AR886" s="33" t="str">
        <f aca="false">IF(A886="","",IF(COUNT(AF886:AJ886)=0,"",SUM(AF886:AJ886)))</f>
        <v/>
      </c>
      <c r="AS886" s="34" t="str">
        <f aca="false">IF(OR(AR886="",N(AO886)=0),"",AR886/AO886)</f>
        <v/>
      </c>
      <c r="AT886" s="34" t="str">
        <f aca="false">IF(OR(AR886="",N(AC886)=0),"",AR886/AC886)</f>
        <v/>
      </c>
      <c r="AU886" s="34" t="str">
        <f aca="false">IF(OR(AR886="",N(S886)=0),"",AR886/S886)</f>
        <v/>
      </c>
      <c r="AV886" s="34" t="str">
        <f aca="false">IF(OR(AJ886="",N(AC886)=0),"",AJ886/AC886)</f>
        <v/>
      </c>
      <c r="AW886" s="34" t="str">
        <f aca="false">IF(OR(AH886="",N(AO886)=0),"",AH886/AO886)</f>
        <v/>
      </c>
      <c r="AX886" s="35" t="str">
        <f aca="false">IF(OR(AR886="",N(AO886)=0),"",(N(AF886)*Settings!$B$6+N(AG886)*Settings!$B$7+N(AH886)*Settings!$B$8+N(AI886)*Settings!$B$9+N(AJ886)*Settings!$B$10)/AO886*1000)</f>
        <v/>
      </c>
      <c r="AY886" s="36" t="str">
        <f aca="false">IF(AS886="","",IFERROR(AS886/AVERAGEIFS('Post Tracker'!$AS$5:$AS$1004,'Post Tracker'!$G$5:$G$1004,G886),""))</f>
        <v/>
      </c>
      <c r="AZ886" s="32"/>
      <c r="BA886" s="32"/>
      <c r="BB886" s="32"/>
      <c r="BC886" s="32"/>
      <c r="BD886" s="33" t="str">
        <f aca="false">IF(A886="","",COUNTIFS('Demo Pipeline'!$Q$5:$Q$504,A886))</f>
        <v/>
      </c>
      <c r="BE886" s="33" t="str">
        <f aca="false">IF(A886="","",COUNTIFS('Demo Pipeline'!$Q$5:$Q$504,A886,'Demo Pipeline'!$W$5:$W$504,"Attended"))</f>
        <v/>
      </c>
      <c r="BF886" s="33" t="str">
        <f aca="false">IF(A886="","",COUNTIFS('Demo Pipeline'!$Q$5:$Q$504,A886,'Demo Pipeline'!$X$5:$X$504,"Yes"))</f>
        <v/>
      </c>
      <c r="BG886" s="33" t="str">
        <f aca="false">IF(A886="","",COUNTIFS('Demo Pipeline'!$Q$5:$Q$504,A886,'Demo Pipeline'!$Y$5:$Y$504,"Closed Won"))</f>
        <v/>
      </c>
      <c r="BH886" s="37" t="str">
        <f aca="false">IF(A886="","",SUMIFS('Demo Pipeline'!$Z$5:$Z$504,'Demo Pipeline'!$Q$5:$Q$504,A886))</f>
        <v/>
      </c>
      <c r="BI886" s="34" t="str">
        <f aca="false">IF(OR(AZ886="",N(AJ886)=0),"",AZ886/AJ886)</f>
        <v/>
      </c>
      <c r="BJ886" s="34" t="str">
        <f aca="false">IF(OR(BB886="",N(AZ886)=0),"",BB886/AZ886)</f>
        <v/>
      </c>
      <c r="BK886" s="34" t="str">
        <f aca="false">IF(OR(A886="",N(BB886)=0),"",BD886/BB886)</f>
        <v/>
      </c>
      <c r="BL886" s="34" t="str">
        <f aca="false">IF(OR(A886="",N(AZ886)=0),"",BD886/AZ886)</f>
        <v/>
      </c>
      <c r="BM886" s="37" t="str">
        <f aca="false">IF(OR(N(Q886)=0,N(BD886)=0),"",Q886/BD886)</f>
        <v/>
      </c>
      <c r="BN886" s="29"/>
      <c r="BO886" s="29"/>
      <c r="BP886" s="33" t="str">
        <f aca="false">IF(OR(AR886="",N(AO886)=0),"",AR886)</f>
        <v/>
      </c>
      <c r="BQ886" s="33" t="str">
        <f aca="false">IF(OR(AR886="",N(S886)=0),"",S886)</f>
        <v/>
      </c>
      <c r="BR886" s="38" t="str">
        <f aca="false">IF(AND(ISNUMBER(B886),B886&gt;=Dashboard!$C$4,B886&lt;=Dashboard!$F$4,ISNUMBER(AU886)),AU886+ROW()/10^9,"")</f>
        <v/>
      </c>
      <c r="BS886" s="38" t="str">
        <f aca="false">IF(AND(ISNUMBER(B886),B886&gt;=Dashboard!$C$4,B886&lt;=Dashboard!$F$4,A886&lt;&gt;""),N(BD886)+N(AU886)/100+ROW()/10^9,"")</f>
        <v/>
      </c>
    </row>
    <row r="887" customFormat="false" ht="15" hidden="false" customHeight="false" outlineLevel="0" collapsed="false">
      <c r="A887" s="24" t="str">
        <f aca="false">IF(OR(B887="",G887="",H887=""),"",IFERROR(INDEX(Settings!$E$5:$E$49,MATCH(G887,Settings!$D$5:$D$49,0))&amp;INDEX(Settings!$H$5:$H$47,MATCH(H887,Settings!$G$5:$G$47,0))&amp;"-"&amp;TEXT(B887,"yymmdd")&amp;"-"&amp;IF(C887="","0000",TEXT(C887,"hhmm")),"CHECK LISTS"))</f>
        <v/>
      </c>
      <c r="B887" s="39"/>
      <c r="C887" s="40"/>
      <c r="D887" s="24" t="str">
        <f aca="false">IF(B887="","",TEXT(B887,"ddd"))</f>
        <v/>
      </c>
      <c r="E887" s="27" t="str">
        <f aca="false">IF(B887="","",B887-WEEKDAY(B887,3))</f>
        <v/>
      </c>
      <c r="F887" s="24" t="str">
        <f aca="false">IF(B887="","",TEXT(B887,"yyyy-mm"))</f>
        <v/>
      </c>
      <c r="G887" s="29"/>
      <c r="H887" s="29"/>
      <c r="I887" s="29"/>
      <c r="J887" s="29"/>
      <c r="K887" s="29"/>
      <c r="L887" s="29"/>
      <c r="M887" s="29"/>
      <c r="N887" s="29"/>
      <c r="O887" s="29"/>
      <c r="P887" s="29"/>
      <c r="Q887" s="30"/>
      <c r="R887" s="29"/>
      <c r="S887" s="32"/>
      <c r="T887" s="29"/>
      <c r="U887" s="29"/>
      <c r="V887" s="24" t="str">
        <f aca="false">IF(A887="","",IFERROR(INDEX(Settings!$F$5:$F$49,MATCH(G887,Settings!$D$5:$D$49,0)),""))</f>
        <v/>
      </c>
      <c r="W887" s="24" t="str">
        <f aca="false">IF(A887="","",IF(OR(P887="",P887="Organic"),"social","paid_social"))</f>
        <v/>
      </c>
      <c r="X887" s="24" t="str">
        <f aca="false">IF(A887="","",IF(K887&lt;&gt;"",IFERROR(INDEX('Case Studies'!$C$5:$C$54,MATCH(K887,'Case Studies'!$B$5:$B$54,0))&amp;"","case-study"),IF(J887&lt;&gt;"",IFERROR(INDEX(Settings!$J$5:$J$55,MATCH(J887,Settings!$I$5:$I$55,0)),"general"),"general")))</f>
        <v/>
      </c>
      <c r="Y887" s="24" t="str">
        <f aca="false">IF(A887="","",LOWER(A887))</f>
        <v/>
      </c>
      <c r="Z887" s="24" t="str">
        <f aca="false">IF(A887="","",IF(T887="",Settings!$B$5,T887)&amp;IF(ISNUMBER(FIND("?",IF(T887="",Settings!$B$5,T887))),"&amp;","?")&amp;"utm_source="&amp;V887&amp;"&amp;utm_medium="&amp;W887&amp;"&amp;utm_campaign="&amp;X887&amp;"&amp;utm_content="&amp;Y887)</f>
        <v/>
      </c>
      <c r="AA887" s="29"/>
      <c r="AB887" s="39"/>
      <c r="AC887" s="32"/>
      <c r="AD887" s="32"/>
      <c r="AE887" s="32"/>
      <c r="AF887" s="32"/>
      <c r="AG887" s="32"/>
      <c r="AH887" s="32"/>
      <c r="AI887" s="32"/>
      <c r="AJ887" s="32"/>
      <c r="AK887" s="32"/>
      <c r="AL887" s="32"/>
      <c r="AM887" s="32"/>
      <c r="AN887" s="32"/>
      <c r="AO887" s="33" t="str">
        <f aca="false">IF(A887="","",IF(AD887&lt;&gt;"",AD887,IF(AC887&lt;&gt;"",AC887,"")))</f>
        <v/>
      </c>
      <c r="AP887" s="24" t="str">
        <f aca="false">IF(AO887="","",IF(AD887&lt;&gt;"","Reported reach","Impressions (proxy)"))</f>
        <v/>
      </c>
      <c r="AQ887" s="34" t="str">
        <f aca="false">IF(OR(AO887="",N(S887)=0),"",AO887/S887)</f>
        <v/>
      </c>
      <c r="AR887" s="33" t="str">
        <f aca="false">IF(A887="","",IF(COUNT(AF887:AJ887)=0,"",SUM(AF887:AJ887)))</f>
        <v/>
      </c>
      <c r="AS887" s="34" t="str">
        <f aca="false">IF(OR(AR887="",N(AO887)=0),"",AR887/AO887)</f>
        <v/>
      </c>
      <c r="AT887" s="34" t="str">
        <f aca="false">IF(OR(AR887="",N(AC887)=0),"",AR887/AC887)</f>
        <v/>
      </c>
      <c r="AU887" s="34" t="str">
        <f aca="false">IF(OR(AR887="",N(S887)=0),"",AR887/S887)</f>
        <v/>
      </c>
      <c r="AV887" s="34" t="str">
        <f aca="false">IF(OR(AJ887="",N(AC887)=0),"",AJ887/AC887)</f>
        <v/>
      </c>
      <c r="AW887" s="34" t="str">
        <f aca="false">IF(OR(AH887="",N(AO887)=0),"",AH887/AO887)</f>
        <v/>
      </c>
      <c r="AX887" s="35" t="str">
        <f aca="false">IF(OR(AR887="",N(AO887)=0),"",(N(AF887)*Settings!$B$6+N(AG887)*Settings!$B$7+N(AH887)*Settings!$B$8+N(AI887)*Settings!$B$9+N(AJ887)*Settings!$B$10)/AO887*1000)</f>
        <v/>
      </c>
      <c r="AY887" s="36" t="str">
        <f aca="false">IF(AS887="","",IFERROR(AS887/AVERAGEIFS('Post Tracker'!$AS$5:$AS$1004,'Post Tracker'!$G$5:$G$1004,G887),""))</f>
        <v/>
      </c>
      <c r="AZ887" s="32"/>
      <c r="BA887" s="32"/>
      <c r="BB887" s="32"/>
      <c r="BC887" s="32"/>
      <c r="BD887" s="33" t="str">
        <f aca="false">IF(A887="","",COUNTIFS('Demo Pipeline'!$Q$5:$Q$504,A887))</f>
        <v/>
      </c>
      <c r="BE887" s="33" t="str">
        <f aca="false">IF(A887="","",COUNTIFS('Demo Pipeline'!$Q$5:$Q$504,A887,'Demo Pipeline'!$W$5:$W$504,"Attended"))</f>
        <v/>
      </c>
      <c r="BF887" s="33" t="str">
        <f aca="false">IF(A887="","",COUNTIFS('Demo Pipeline'!$Q$5:$Q$504,A887,'Demo Pipeline'!$X$5:$X$504,"Yes"))</f>
        <v/>
      </c>
      <c r="BG887" s="33" t="str">
        <f aca="false">IF(A887="","",COUNTIFS('Demo Pipeline'!$Q$5:$Q$504,A887,'Demo Pipeline'!$Y$5:$Y$504,"Closed Won"))</f>
        <v/>
      </c>
      <c r="BH887" s="37" t="str">
        <f aca="false">IF(A887="","",SUMIFS('Demo Pipeline'!$Z$5:$Z$504,'Demo Pipeline'!$Q$5:$Q$504,A887))</f>
        <v/>
      </c>
      <c r="BI887" s="34" t="str">
        <f aca="false">IF(OR(AZ887="",N(AJ887)=0),"",AZ887/AJ887)</f>
        <v/>
      </c>
      <c r="BJ887" s="34" t="str">
        <f aca="false">IF(OR(BB887="",N(AZ887)=0),"",BB887/AZ887)</f>
        <v/>
      </c>
      <c r="BK887" s="34" t="str">
        <f aca="false">IF(OR(A887="",N(BB887)=0),"",BD887/BB887)</f>
        <v/>
      </c>
      <c r="BL887" s="34" t="str">
        <f aca="false">IF(OR(A887="",N(AZ887)=0),"",BD887/AZ887)</f>
        <v/>
      </c>
      <c r="BM887" s="37" t="str">
        <f aca="false">IF(OR(N(Q887)=0,N(BD887)=0),"",Q887/BD887)</f>
        <v/>
      </c>
      <c r="BN887" s="29"/>
      <c r="BO887" s="29"/>
      <c r="BP887" s="33" t="str">
        <f aca="false">IF(OR(AR887="",N(AO887)=0),"",AR887)</f>
        <v/>
      </c>
      <c r="BQ887" s="33" t="str">
        <f aca="false">IF(OR(AR887="",N(S887)=0),"",S887)</f>
        <v/>
      </c>
      <c r="BR887" s="38" t="str">
        <f aca="false">IF(AND(ISNUMBER(B887),B887&gt;=Dashboard!$C$4,B887&lt;=Dashboard!$F$4,ISNUMBER(AU887)),AU887+ROW()/10^9,"")</f>
        <v/>
      </c>
      <c r="BS887" s="38" t="str">
        <f aca="false">IF(AND(ISNUMBER(B887),B887&gt;=Dashboard!$C$4,B887&lt;=Dashboard!$F$4,A887&lt;&gt;""),N(BD887)+N(AU887)/100+ROW()/10^9,"")</f>
        <v/>
      </c>
    </row>
    <row r="888" customFormat="false" ht="15" hidden="false" customHeight="false" outlineLevel="0" collapsed="false">
      <c r="A888" s="24" t="str">
        <f aca="false">IF(OR(B888="",G888="",H888=""),"",IFERROR(INDEX(Settings!$E$5:$E$49,MATCH(G888,Settings!$D$5:$D$49,0))&amp;INDEX(Settings!$H$5:$H$47,MATCH(H888,Settings!$G$5:$G$47,0))&amp;"-"&amp;TEXT(B888,"yymmdd")&amp;"-"&amp;IF(C888="","0000",TEXT(C888,"hhmm")),"CHECK LISTS"))</f>
        <v/>
      </c>
      <c r="B888" s="39"/>
      <c r="C888" s="40"/>
      <c r="D888" s="24" t="str">
        <f aca="false">IF(B888="","",TEXT(B888,"ddd"))</f>
        <v/>
      </c>
      <c r="E888" s="27" t="str">
        <f aca="false">IF(B888="","",B888-WEEKDAY(B888,3))</f>
        <v/>
      </c>
      <c r="F888" s="24" t="str">
        <f aca="false">IF(B888="","",TEXT(B888,"yyyy-mm"))</f>
        <v/>
      </c>
      <c r="G888" s="29"/>
      <c r="H888" s="29"/>
      <c r="I888" s="29"/>
      <c r="J888" s="29"/>
      <c r="K888" s="29"/>
      <c r="L888" s="29"/>
      <c r="M888" s="29"/>
      <c r="N888" s="29"/>
      <c r="O888" s="29"/>
      <c r="P888" s="29"/>
      <c r="Q888" s="30"/>
      <c r="R888" s="29"/>
      <c r="S888" s="32"/>
      <c r="T888" s="29"/>
      <c r="U888" s="29"/>
      <c r="V888" s="24" t="str">
        <f aca="false">IF(A888="","",IFERROR(INDEX(Settings!$F$5:$F$49,MATCH(G888,Settings!$D$5:$D$49,0)),""))</f>
        <v/>
      </c>
      <c r="W888" s="24" t="str">
        <f aca="false">IF(A888="","",IF(OR(P888="",P888="Organic"),"social","paid_social"))</f>
        <v/>
      </c>
      <c r="X888" s="24" t="str">
        <f aca="false">IF(A888="","",IF(K888&lt;&gt;"",IFERROR(INDEX('Case Studies'!$C$5:$C$54,MATCH(K888,'Case Studies'!$B$5:$B$54,0))&amp;"","case-study"),IF(J888&lt;&gt;"",IFERROR(INDEX(Settings!$J$5:$J$55,MATCH(J888,Settings!$I$5:$I$55,0)),"general"),"general")))</f>
        <v/>
      </c>
      <c r="Y888" s="24" t="str">
        <f aca="false">IF(A888="","",LOWER(A888))</f>
        <v/>
      </c>
      <c r="Z888" s="24" t="str">
        <f aca="false">IF(A888="","",IF(T888="",Settings!$B$5,T888)&amp;IF(ISNUMBER(FIND("?",IF(T888="",Settings!$B$5,T888))),"&amp;","?")&amp;"utm_source="&amp;V888&amp;"&amp;utm_medium="&amp;W888&amp;"&amp;utm_campaign="&amp;X888&amp;"&amp;utm_content="&amp;Y888)</f>
        <v/>
      </c>
      <c r="AA888" s="29"/>
      <c r="AB888" s="39"/>
      <c r="AC888" s="32"/>
      <c r="AD888" s="32"/>
      <c r="AE888" s="32"/>
      <c r="AF888" s="32"/>
      <c r="AG888" s="32"/>
      <c r="AH888" s="32"/>
      <c r="AI888" s="32"/>
      <c r="AJ888" s="32"/>
      <c r="AK888" s="32"/>
      <c r="AL888" s="32"/>
      <c r="AM888" s="32"/>
      <c r="AN888" s="32"/>
      <c r="AO888" s="33" t="str">
        <f aca="false">IF(A888="","",IF(AD888&lt;&gt;"",AD888,IF(AC888&lt;&gt;"",AC888,"")))</f>
        <v/>
      </c>
      <c r="AP888" s="24" t="str">
        <f aca="false">IF(AO888="","",IF(AD888&lt;&gt;"","Reported reach","Impressions (proxy)"))</f>
        <v/>
      </c>
      <c r="AQ888" s="34" t="str">
        <f aca="false">IF(OR(AO888="",N(S888)=0),"",AO888/S888)</f>
        <v/>
      </c>
      <c r="AR888" s="33" t="str">
        <f aca="false">IF(A888="","",IF(COUNT(AF888:AJ888)=0,"",SUM(AF888:AJ888)))</f>
        <v/>
      </c>
      <c r="AS888" s="34" t="str">
        <f aca="false">IF(OR(AR888="",N(AO888)=0),"",AR888/AO888)</f>
        <v/>
      </c>
      <c r="AT888" s="34" t="str">
        <f aca="false">IF(OR(AR888="",N(AC888)=0),"",AR888/AC888)</f>
        <v/>
      </c>
      <c r="AU888" s="34" t="str">
        <f aca="false">IF(OR(AR888="",N(S888)=0),"",AR888/S888)</f>
        <v/>
      </c>
      <c r="AV888" s="34" t="str">
        <f aca="false">IF(OR(AJ888="",N(AC888)=0),"",AJ888/AC888)</f>
        <v/>
      </c>
      <c r="AW888" s="34" t="str">
        <f aca="false">IF(OR(AH888="",N(AO888)=0),"",AH888/AO888)</f>
        <v/>
      </c>
      <c r="AX888" s="35" t="str">
        <f aca="false">IF(OR(AR888="",N(AO888)=0),"",(N(AF888)*Settings!$B$6+N(AG888)*Settings!$B$7+N(AH888)*Settings!$B$8+N(AI888)*Settings!$B$9+N(AJ888)*Settings!$B$10)/AO888*1000)</f>
        <v/>
      </c>
      <c r="AY888" s="36" t="str">
        <f aca="false">IF(AS888="","",IFERROR(AS888/AVERAGEIFS('Post Tracker'!$AS$5:$AS$1004,'Post Tracker'!$G$5:$G$1004,G888),""))</f>
        <v/>
      </c>
      <c r="AZ888" s="32"/>
      <c r="BA888" s="32"/>
      <c r="BB888" s="32"/>
      <c r="BC888" s="32"/>
      <c r="BD888" s="33" t="str">
        <f aca="false">IF(A888="","",COUNTIFS('Demo Pipeline'!$Q$5:$Q$504,A888))</f>
        <v/>
      </c>
      <c r="BE888" s="33" t="str">
        <f aca="false">IF(A888="","",COUNTIFS('Demo Pipeline'!$Q$5:$Q$504,A888,'Demo Pipeline'!$W$5:$W$504,"Attended"))</f>
        <v/>
      </c>
      <c r="BF888" s="33" t="str">
        <f aca="false">IF(A888="","",COUNTIFS('Demo Pipeline'!$Q$5:$Q$504,A888,'Demo Pipeline'!$X$5:$X$504,"Yes"))</f>
        <v/>
      </c>
      <c r="BG888" s="33" t="str">
        <f aca="false">IF(A888="","",COUNTIFS('Demo Pipeline'!$Q$5:$Q$504,A888,'Demo Pipeline'!$Y$5:$Y$504,"Closed Won"))</f>
        <v/>
      </c>
      <c r="BH888" s="37" t="str">
        <f aca="false">IF(A888="","",SUMIFS('Demo Pipeline'!$Z$5:$Z$504,'Demo Pipeline'!$Q$5:$Q$504,A888))</f>
        <v/>
      </c>
      <c r="BI888" s="34" t="str">
        <f aca="false">IF(OR(AZ888="",N(AJ888)=0),"",AZ888/AJ888)</f>
        <v/>
      </c>
      <c r="BJ888" s="34" t="str">
        <f aca="false">IF(OR(BB888="",N(AZ888)=0),"",BB888/AZ888)</f>
        <v/>
      </c>
      <c r="BK888" s="34" t="str">
        <f aca="false">IF(OR(A888="",N(BB888)=0),"",BD888/BB888)</f>
        <v/>
      </c>
      <c r="BL888" s="34" t="str">
        <f aca="false">IF(OR(A888="",N(AZ888)=0),"",BD888/AZ888)</f>
        <v/>
      </c>
      <c r="BM888" s="37" t="str">
        <f aca="false">IF(OR(N(Q888)=0,N(BD888)=0),"",Q888/BD888)</f>
        <v/>
      </c>
      <c r="BN888" s="29"/>
      <c r="BO888" s="29"/>
      <c r="BP888" s="33" t="str">
        <f aca="false">IF(OR(AR888="",N(AO888)=0),"",AR888)</f>
        <v/>
      </c>
      <c r="BQ888" s="33" t="str">
        <f aca="false">IF(OR(AR888="",N(S888)=0),"",S888)</f>
        <v/>
      </c>
      <c r="BR888" s="38" t="str">
        <f aca="false">IF(AND(ISNUMBER(B888),B888&gt;=Dashboard!$C$4,B888&lt;=Dashboard!$F$4,ISNUMBER(AU888)),AU888+ROW()/10^9,"")</f>
        <v/>
      </c>
      <c r="BS888" s="38" t="str">
        <f aca="false">IF(AND(ISNUMBER(B888),B888&gt;=Dashboard!$C$4,B888&lt;=Dashboard!$F$4,A888&lt;&gt;""),N(BD888)+N(AU888)/100+ROW()/10^9,"")</f>
        <v/>
      </c>
    </row>
    <row r="889" customFormat="false" ht="15" hidden="false" customHeight="false" outlineLevel="0" collapsed="false">
      <c r="A889" s="24" t="str">
        <f aca="false">IF(OR(B889="",G889="",H889=""),"",IFERROR(INDEX(Settings!$E$5:$E$49,MATCH(G889,Settings!$D$5:$D$49,0))&amp;INDEX(Settings!$H$5:$H$47,MATCH(H889,Settings!$G$5:$G$47,0))&amp;"-"&amp;TEXT(B889,"yymmdd")&amp;"-"&amp;IF(C889="","0000",TEXT(C889,"hhmm")),"CHECK LISTS"))</f>
        <v/>
      </c>
      <c r="B889" s="39"/>
      <c r="C889" s="40"/>
      <c r="D889" s="24" t="str">
        <f aca="false">IF(B889="","",TEXT(B889,"ddd"))</f>
        <v/>
      </c>
      <c r="E889" s="27" t="str">
        <f aca="false">IF(B889="","",B889-WEEKDAY(B889,3))</f>
        <v/>
      </c>
      <c r="F889" s="24" t="str">
        <f aca="false">IF(B889="","",TEXT(B889,"yyyy-mm"))</f>
        <v/>
      </c>
      <c r="G889" s="29"/>
      <c r="H889" s="29"/>
      <c r="I889" s="29"/>
      <c r="J889" s="29"/>
      <c r="K889" s="29"/>
      <c r="L889" s="29"/>
      <c r="M889" s="29"/>
      <c r="N889" s="29"/>
      <c r="O889" s="29"/>
      <c r="P889" s="29"/>
      <c r="Q889" s="30"/>
      <c r="R889" s="29"/>
      <c r="S889" s="32"/>
      <c r="T889" s="29"/>
      <c r="U889" s="29"/>
      <c r="V889" s="24" t="str">
        <f aca="false">IF(A889="","",IFERROR(INDEX(Settings!$F$5:$F$49,MATCH(G889,Settings!$D$5:$D$49,0)),""))</f>
        <v/>
      </c>
      <c r="W889" s="24" t="str">
        <f aca="false">IF(A889="","",IF(OR(P889="",P889="Organic"),"social","paid_social"))</f>
        <v/>
      </c>
      <c r="X889" s="24" t="str">
        <f aca="false">IF(A889="","",IF(K889&lt;&gt;"",IFERROR(INDEX('Case Studies'!$C$5:$C$54,MATCH(K889,'Case Studies'!$B$5:$B$54,0))&amp;"","case-study"),IF(J889&lt;&gt;"",IFERROR(INDEX(Settings!$J$5:$J$55,MATCH(J889,Settings!$I$5:$I$55,0)),"general"),"general")))</f>
        <v/>
      </c>
      <c r="Y889" s="24" t="str">
        <f aca="false">IF(A889="","",LOWER(A889))</f>
        <v/>
      </c>
      <c r="Z889" s="24" t="str">
        <f aca="false">IF(A889="","",IF(T889="",Settings!$B$5,T889)&amp;IF(ISNUMBER(FIND("?",IF(T889="",Settings!$B$5,T889))),"&amp;","?")&amp;"utm_source="&amp;V889&amp;"&amp;utm_medium="&amp;W889&amp;"&amp;utm_campaign="&amp;X889&amp;"&amp;utm_content="&amp;Y889)</f>
        <v/>
      </c>
      <c r="AA889" s="29"/>
      <c r="AB889" s="39"/>
      <c r="AC889" s="32"/>
      <c r="AD889" s="32"/>
      <c r="AE889" s="32"/>
      <c r="AF889" s="32"/>
      <c r="AG889" s="32"/>
      <c r="AH889" s="32"/>
      <c r="AI889" s="32"/>
      <c r="AJ889" s="32"/>
      <c r="AK889" s="32"/>
      <c r="AL889" s="32"/>
      <c r="AM889" s="32"/>
      <c r="AN889" s="32"/>
      <c r="AO889" s="33" t="str">
        <f aca="false">IF(A889="","",IF(AD889&lt;&gt;"",AD889,IF(AC889&lt;&gt;"",AC889,"")))</f>
        <v/>
      </c>
      <c r="AP889" s="24" t="str">
        <f aca="false">IF(AO889="","",IF(AD889&lt;&gt;"","Reported reach","Impressions (proxy)"))</f>
        <v/>
      </c>
      <c r="AQ889" s="34" t="str">
        <f aca="false">IF(OR(AO889="",N(S889)=0),"",AO889/S889)</f>
        <v/>
      </c>
      <c r="AR889" s="33" t="str">
        <f aca="false">IF(A889="","",IF(COUNT(AF889:AJ889)=0,"",SUM(AF889:AJ889)))</f>
        <v/>
      </c>
      <c r="AS889" s="34" t="str">
        <f aca="false">IF(OR(AR889="",N(AO889)=0),"",AR889/AO889)</f>
        <v/>
      </c>
      <c r="AT889" s="34" t="str">
        <f aca="false">IF(OR(AR889="",N(AC889)=0),"",AR889/AC889)</f>
        <v/>
      </c>
      <c r="AU889" s="34" t="str">
        <f aca="false">IF(OR(AR889="",N(S889)=0),"",AR889/S889)</f>
        <v/>
      </c>
      <c r="AV889" s="34" t="str">
        <f aca="false">IF(OR(AJ889="",N(AC889)=0),"",AJ889/AC889)</f>
        <v/>
      </c>
      <c r="AW889" s="34" t="str">
        <f aca="false">IF(OR(AH889="",N(AO889)=0),"",AH889/AO889)</f>
        <v/>
      </c>
      <c r="AX889" s="35" t="str">
        <f aca="false">IF(OR(AR889="",N(AO889)=0),"",(N(AF889)*Settings!$B$6+N(AG889)*Settings!$B$7+N(AH889)*Settings!$B$8+N(AI889)*Settings!$B$9+N(AJ889)*Settings!$B$10)/AO889*1000)</f>
        <v/>
      </c>
      <c r="AY889" s="36" t="str">
        <f aca="false">IF(AS889="","",IFERROR(AS889/AVERAGEIFS('Post Tracker'!$AS$5:$AS$1004,'Post Tracker'!$G$5:$G$1004,G889),""))</f>
        <v/>
      </c>
      <c r="AZ889" s="32"/>
      <c r="BA889" s="32"/>
      <c r="BB889" s="32"/>
      <c r="BC889" s="32"/>
      <c r="BD889" s="33" t="str">
        <f aca="false">IF(A889="","",COUNTIFS('Demo Pipeline'!$Q$5:$Q$504,A889))</f>
        <v/>
      </c>
      <c r="BE889" s="33" t="str">
        <f aca="false">IF(A889="","",COUNTIFS('Demo Pipeline'!$Q$5:$Q$504,A889,'Demo Pipeline'!$W$5:$W$504,"Attended"))</f>
        <v/>
      </c>
      <c r="BF889" s="33" t="str">
        <f aca="false">IF(A889="","",COUNTIFS('Demo Pipeline'!$Q$5:$Q$504,A889,'Demo Pipeline'!$X$5:$X$504,"Yes"))</f>
        <v/>
      </c>
      <c r="BG889" s="33" t="str">
        <f aca="false">IF(A889="","",COUNTIFS('Demo Pipeline'!$Q$5:$Q$504,A889,'Demo Pipeline'!$Y$5:$Y$504,"Closed Won"))</f>
        <v/>
      </c>
      <c r="BH889" s="37" t="str">
        <f aca="false">IF(A889="","",SUMIFS('Demo Pipeline'!$Z$5:$Z$504,'Demo Pipeline'!$Q$5:$Q$504,A889))</f>
        <v/>
      </c>
      <c r="BI889" s="34" t="str">
        <f aca="false">IF(OR(AZ889="",N(AJ889)=0),"",AZ889/AJ889)</f>
        <v/>
      </c>
      <c r="BJ889" s="34" t="str">
        <f aca="false">IF(OR(BB889="",N(AZ889)=0),"",BB889/AZ889)</f>
        <v/>
      </c>
      <c r="BK889" s="34" t="str">
        <f aca="false">IF(OR(A889="",N(BB889)=0),"",BD889/BB889)</f>
        <v/>
      </c>
      <c r="BL889" s="34" t="str">
        <f aca="false">IF(OR(A889="",N(AZ889)=0),"",BD889/AZ889)</f>
        <v/>
      </c>
      <c r="BM889" s="37" t="str">
        <f aca="false">IF(OR(N(Q889)=0,N(BD889)=0),"",Q889/BD889)</f>
        <v/>
      </c>
      <c r="BN889" s="29"/>
      <c r="BO889" s="29"/>
      <c r="BP889" s="33" t="str">
        <f aca="false">IF(OR(AR889="",N(AO889)=0),"",AR889)</f>
        <v/>
      </c>
      <c r="BQ889" s="33" t="str">
        <f aca="false">IF(OR(AR889="",N(S889)=0),"",S889)</f>
        <v/>
      </c>
      <c r="BR889" s="38" t="str">
        <f aca="false">IF(AND(ISNUMBER(B889),B889&gt;=Dashboard!$C$4,B889&lt;=Dashboard!$F$4,ISNUMBER(AU889)),AU889+ROW()/10^9,"")</f>
        <v/>
      </c>
      <c r="BS889" s="38" t="str">
        <f aca="false">IF(AND(ISNUMBER(B889),B889&gt;=Dashboard!$C$4,B889&lt;=Dashboard!$F$4,A889&lt;&gt;""),N(BD889)+N(AU889)/100+ROW()/10^9,"")</f>
        <v/>
      </c>
    </row>
    <row r="890" customFormat="false" ht="15" hidden="false" customHeight="false" outlineLevel="0" collapsed="false">
      <c r="A890" s="24" t="str">
        <f aca="false">IF(OR(B890="",G890="",H890=""),"",IFERROR(INDEX(Settings!$E$5:$E$49,MATCH(G890,Settings!$D$5:$D$49,0))&amp;INDEX(Settings!$H$5:$H$47,MATCH(H890,Settings!$G$5:$G$47,0))&amp;"-"&amp;TEXT(B890,"yymmdd")&amp;"-"&amp;IF(C890="","0000",TEXT(C890,"hhmm")),"CHECK LISTS"))</f>
        <v/>
      </c>
      <c r="B890" s="39"/>
      <c r="C890" s="40"/>
      <c r="D890" s="24" t="str">
        <f aca="false">IF(B890="","",TEXT(B890,"ddd"))</f>
        <v/>
      </c>
      <c r="E890" s="27" t="str">
        <f aca="false">IF(B890="","",B890-WEEKDAY(B890,3))</f>
        <v/>
      </c>
      <c r="F890" s="24" t="str">
        <f aca="false">IF(B890="","",TEXT(B890,"yyyy-mm"))</f>
        <v/>
      </c>
      <c r="G890" s="29"/>
      <c r="H890" s="29"/>
      <c r="I890" s="29"/>
      <c r="J890" s="29"/>
      <c r="K890" s="29"/>
      <c r="L890" s="29"/>
      <c r="M890" s="29"/>
      <c r="N890" s="29"/>
      <c r="O890" s="29"/>
      <c r="P890" s="29"/>
      <c r="Q890" s="30"/>
      <c r="R890" s="29"/>
      <c r="S890" s="32"/>
      <c r="T890" s="29"/>
      <c r="U890" s="29"/>
      <c r="V890" s="24" t="str">
        <f aca="false">IF(A890="","",IFERROR(INDEX(Settings!$F$5:$F$49,MATCH(G890,Settings!$D$5:$D$49,0)),""))</f>
        <v/>
      </c>
      <c r="W890" s="24" t="str">
        <f aca="false">IF(A890="","",IF(OR(P890="",P890="Organic"),"social","paid_social"))</f>
        <v/>
      </c>
      <c r="X890" s="24" t="str">
        <f aca="false">IF(A890="","",IF(K890&lt;&gt;"",IFERROR(INDEX('Case Studies'!$C$5:$C$54,MATCH(K890,'Case Studies'!$B$5:$B$54,0))&amp;"","case-study"),IF(J890&lt;&gt;"",IFERROR(INDEX(Settings!$J$5:$J$55,MATCH(J890,Settings!$I$5:$I$55,0)),"general"),"general")))</f>
        <v/>
      </c>
      <c r="Y890" s="24" t="str">
        <f aca="false">IF(A890="","",LOWER(A890))</f>
        <v/>
      </c>
      <c r="Z890" s="24" t="str">
        <f aca="false">IF(A890="","",IF(T890="",Settings!$B$5,T890)&amp;IF(ISNUMBER(FIND("?",IF(T890="",Settings!$B$5,T890))),"&amp;","?")&amp;"utm_source="&amp;V890&amp;"&amp;utm_medium="&amp;W890&amp;"&amp;utm_campaign="&amp;X890&amp;"&amp;utm_content="&amp;Y890)</f>
        <v/>
      </c>
      <c r="AA890" s="29"/>
      <c r="AB890" s="39"/>
      <c r="AC890" s="32"/>
      <c r="AD890" s="32"/>
      <c r="AE890" s="32"/>
      <c r="AF890" s="32"/>
      <c r="AG890" s="32"/>
      <c r="AH890" s="32"/>
      <c r="AI890" s="32"/>
      <c r="AJ890" s="32"/>
      <c r="AK890" s="32"/>
      <c r="AL890" s="32"/>
      <c r="AM890" s="32"/>
      <c r="AN890" s="32"/>
      <c r="AO890" s="33" t="str">
        <f aca="false">IF(A890="","",IF(AD890&lt;&gt;"",AD890,IF(AC890&lt;&gt;"",AC890,"")))</f>
        <v/>
      </c>
      <c r="AP890" s="24" t="str">
        <f aca="false">IF(AO890="","",IF(AD890&lt;&gt;"","Reported reach","Impressions (proxy)"))</f>
        <v/>
      </c>
      <c r="AQ890" s="34" t="str">
        <f aca="false">IF(OR(AO890="",N(S890)=0),"",AO890/S890)</f>
        <v/>
      </c>
      <c r="AR890" s="33" t="str">
        <f aca="false">IF(A890="","",IF(COUNT(AF890:AJ890)=0,"",SUM(AF890:AJ890)))</f>
        <v/>
      </c>
      <c r="AS890" s="34" t="str">
        <f aca="false">IF(OR(AR890="",N(AO890)=0),"",AR890/AO890)</f>
        <v/>
      </c>
      <c r="AT890" s="34" t="str">
        <f aca="false">IF(OR(AR890="",N(AC890)=0),"",AR890/AC890)</f>
        <v/>
      </c>
      <c r="AU890" s="34" t="str">
        <f aca="false">IF(OR(AR890="",N(S890)=0),"",AR890/S890)</f>
        <v/>
      </c>
      <c r="AV890" s="34" t="str">
        <f aca="false">IF(OR(AJ890="",N(AC890)=0),"",AJ890/AC890)</f>
        <v/>
      </c>
      <c r="AW890" s="34" t="str">
        <f aca="false">IF(OR(AH890="",N(AO890)=0),"",AH890/AO890)</f>
        <v/>
      </c>
      <c r="AX890" s="35" t="str">
        <f aca="false">IF(OR(AR890="",N(AO890)=0),"",(N(AF890)*Settings!$B$6+N(AG890)*Settings!$B$7+N(AH890)*Settings!$B$8+N(AI890)*Settings!$B$9+N(AJ890)*Settings!$B$10)/AO890*1000)</f>
        <v/>
      </c>
      <c r="AY890" s="36" t="str">
        <f aca="false">IF(AS890="","",IFERROR(AS890/AVERAGEIFS('Post Tracker'!$AS$5:$AS$1004,'Post Tracker'!$G$5:$G$1004,G890),""))</f>
        <v/>
      </c>
      <c r="AZ890" s="32"/>
      <c r="BA890" s="32"/>
      <c r="BB890" s="32"/>
      <c r="BC890" s="32"/>
      <c r="BD890" s="33" t="str">
        <f aca="false">IF(A890="","",COUNTIFS('Demo Pipeline'!$Q$5:$Q$504,A890))</f>
        <v/>
      </c>
      <c r="BE890" s="33" t="str">
        <f aca="false">IF(A890="","",COUNTIFS('Demo Pipeline'!$Q$5:$Q$504,A890,'Demo Pipeline'!$W$5:$W$504,"Attended"))</f>
        <v/>
      </c>
      <c r="BF890" s="33" t="str">
        <f aca="false">IF(A890="","",COUNTIFS('Demo Pipeline'!$Q$5:$Q$504,A890,'Demo Pipeline'!$X$5:$X$504,"Yes"))</f>
        <v/>
      </c>
      <c r="BG890" s="33" t="str">
        <f aca="false">IF(A890="","",COUNTIFS('Demo Pipeline'!$Q$5:$Q$504,A890,'Demo Pipeline'!$Y$5:$Y$504,"Closed Won"))</f>
        <v/>
      </c>
      <c r="BH890" s="37" t="str">
        <f aca="false">IF(A890="","",SUMIFS('Demo Pipeline'!$Z$5:$Z$504,'Demo Pipeline'!$Q$5:$Q$504,A890))</f>
        <v/>
      </c>
      <c r="BI890" s="34" t="str">
        <f aca="false">IF(OR(AZ890="",N(AJ890)=0),"",AZ890/AJ890)</f>
        <v/>
      </c>
      <c r="BJ890" s="34" t="str">
        <f aca="false">IF(OR(BB890="",N(AZ890)=0),"",BB890/AZ890)</f>
        <v/>
      </c>
      <c r="BK890" s="34" t="str">
        <f aca="false">IF(OR(A890="",N(BB890)=0),"",BD890/BB890)</f>
        <v/>
      </c>
      <c r="BL890" s="34" t="str">
        <f aca="false">IF(OR(A890="",N(AZ890)=0),"",BD890/AZ890)</f>
        <v/>
      </c>
      <c r="BM890" s="37" t="str">
        <f aca="false">IF(OR(N(Q890)=0,N(BD890)=0),"",Q890/BD890)</f>
        <v/>
      </c>
      <c r="BN890" s="29"/>
      <c r="BO890" s="29"/>
      <c r="BP890" s="33" t="str">
        <f aca="false">IF(OR(AR890="",N(AO890)=0),"",AR890)</f>
        <v/>
      </c>
      <c r="BQ890" s="33" t="str">
        <f aca="false">IF(OR(AR890="",N(S890)=0),"",S890)</f>
        <v/>
      </c>
      <c r="BR890" s="38" t="str">
        <f aca="false">IF(AND(ISNUMBER(B890),B890&gt;=Dashboard!$C$4,B890&lt;=Dashboard!$F$4,ISNUMBER(AU890)),AU890+ROW()/10^9,"")</f>
        <v/>
      </c>
      <c r="BS890" s="38" t="str">
        <f aca="false">IF(AND(ISNUMBER(B890),B890&gt;=Dashboard!$C$4,B890&lt;=Dashboard!$F$4,A890&lt;&gt;""),N(BD890)+N(AU890)/100+ROW()/10^9,"")</f>
        <v/>
      </c>
    </row>
    <row r="891" customFormat="false" ht="15" hidden="false" customHeight="false" outlineLevel="0" collapsed="false">
      <c r="A891" s="24" t="str">
        <f aca="false">IF(OR(B891="",G891="",H891=""),"",IFERROR(INDEX(Settings!$E$5:$E$49,MATCH(G891,Settings!$D$5:$D$49,0))&amp;INDEX(Settings!$H$5:$H$47,MATCH(H891,Settings!$G$5:$G$47,0))&amp;"-"&amp;TEXT(B891,"yymmdd")&amp;"-"&amp;IF(C891="","0000",TEXT(C891,"hhmm")),"CHECK LISTS"))</f>
        <v/>
      </c>
      <c r="B891" s="39"/>
      <c r="C891" s="40"/>
      <c r="D891" s="24" t="str">
        <f aca="false">IF(B891="","",TEXT(B891,"ddd"))</f>
        <v/>
      </c>
      <c r="E891" s="27" t="str">
        <f aca="false">IF(B891="","",B891-WEEKDAY(B891,3))</f>
        <v/>
      </c>
      <c r="F891" s="24" t="str">
        <f aca="false">IF(B891="","",TEXT(B891,"yyyy-mm"))</f>
        <v/>
      </c>
      <c r="G891" s="29"/>
      <c r="H891" s="29"/>
      <c r="I891" s="29"/>
      <c r="J891" s="29"/>
      <c r="K891" s="29"/>
      <c r="L891" s="29"/>
      <c r="M891" s="29"/>
      <c r="N891" s="29"/>
      <c r="O891" s="29"/>
      <c r="P891" s="29"/>
      <c r="Q891" s="30"/>
      <c r="R891" s="29"/>
      <c r="S891" s="32"/>
      <c r="T891" s="29"/>
      <c r="U891" s="29"/>
      <c r="V891" s="24" t="str">
        <f aca="false">IF(A891="","",IFERROR(INDEX(Settings!$F$5:$F$49,MATCH(G891,Settings!$D$5:$D$49,0)),""))</f>
        <v/>
      </c>
      <c r="W891" s="24" t="str">
        <f aca="false">IF(A891="","",IF(OR(P891="",P891="Organic"),"social","paid_social"))</f>
        <v/>
      </c>
      <c r="X891" s="24" t="str">
        <f aca="false">IF(A891="","",IF(K891&lt;&gt;"",IFERROR(INDEX('Case Studies'!$C$5:$C$54,MATCH(K891,'Case Studies'!$B$5:$B$54,0))&amp;"","case-study"),IF(J891&lt;&gt;"",IFERROR(INDEX(Settings!$J$5:$J$55,MATCH(J891,Settings!$I$5:$I$55,0)),"general"),"general")))</f>
        <v/>
      </c>
      <c r="Y891" s="24" t="str">
        <f aca="false">IF(A891="","",LOWER(A891))</f>
        <v/>
      </c>
      <c r="Z891" s="24" t="str">
        <f aca="false">IF(A891="","",IF(T891="",Settings!$B$5,T891)&amp;IF(ISNUMBER(FIND("?",IF(T891="",Settings!$B$5,T891))),"&amp;","?")&amp;"utm_source="&amp;V891&amp;"&amp;utm_medium="&amp;W891&amp;"&amp;utm_campaign="&amp;X891&amp;"&amp;utm_content="&amp;Y891)</f>
        <v/>
      </c>
      <c r="AA891" s="29"/>
      <c r="AB891" s="39"/>
      <c r="AC891" s="32"/>
      <c r="AD891" s="32"/>
      <c r="AE891" s="32"/>
      <c r="AF891" s="32"/>
      <c r="AG891" s="32"/>
      <c r="AH891" s="32"/>
      <c r="AI891" s="32"/>
      <c r="AJ891" s="32"/>
      <c r="AK891" s="32"/>
      <c r="AL891" s="32"/>
      <c r="AM891" s="32"/>
      <c r="AN891" s="32"/>
      <c r="AO891" s="33" t="str">
        <f aca="false">IF(A891="","",IF(AD891&lt;&gt;"",AD891,IF(AC891&lt;&gt;"",AC891,"")))</f>
        <v/>
      </c>
      <c r="AP891" s="24" t="str">
        <f aca="false">IF(AO891="","",IF(AD891&lt;&gt;"","Reported reach","Impressions (proxy)"))</f>
        <v/>
      </c>
      <c r="AQ891" s="34" t="str">
        <f aca="false">IF(OR(AO891="",N(S891)=0),"",AO891/S891)</f>
        <v/>
      </c>
      <c r="AR891" s="33" t="str">
        <f aca="false">IF(A891="","",IF(COUNT(AF891:AJ891)=0,"",SUM(AF891:AJ891)))</f>
        <v/>
      </c>
      <c r="AS891" s="34" t="str">
        <f aca="false">IF(OR(AR891="",N(AO891)=0),"",AR891/AO891)</f>
        <v/>
      </c>
      <c r="AT891" s="34" t="str">
        <f aca="false">IF(OR(AR891="",N(AC891)=0),"",AR891/AC891)</f>
        <v/>
      </c>
      <c r="AU891" s="34" t="str">
        <f aca="false">IF(OR(AR891="",N(S891)=0),"",AR891/S891)</f>
        <v/>
      </c>
      <c r="AV891" s="34" t="str">
        <f aca="false">IF(OR(AJ891="",N(AC891)=0),"",AJ891/AC891)</f>
        <v/>
      </c>
      <c r="AW891" s="34" t="str">
        <f aca="false">IF(OR(AH891="",N(AO891)=0),"",AH891/AO891)</f>
        <v/>
      </c>
      <c r="AX891" s="35" t="str">
        <f aca="false">IF(OR(AR891="",N(AO891)=0),"",(N(AF891)*Settings!$B$6+N(AG891)*Settings!$B$7+N(AH891)*Settings!$B$8+N(AI891)*Settings!$B$9+N(AJ891)*Settings!$B$10)/AO891*1000)</f>
        <v/>
      </c>
      <c r="AY891" s="36" t="str">
        <f aca="false">IF(AS891="","",IFERROR(AS891/AVERAGEIFS('Post Tracker'!$AS$5:$AS$1004,'Post Tracker'!$G$5:$G$1004,G891),""))</f>
        <v/>
      </c>
      <c r="AZ891" s="32"/>
      <c r="BA891" s="32"/>
      <c r="BB891" s="32"/>
      <c r="BC891" s="32"/>
      <c r="BD891" s="33" t="str">
        <f aca="false">IF(A891="","",COUNTIFS('Demo Pipeline'!$Q$5:$Q$504,A891))</f>
        <v/>
      </c>
      <c r="BE891" s="33" t="str">
        <f aca="false">IF(A891="","",COUNTIFS('Demo Pipeline'!$Q$5:$Q$504,A891,'Demo Pipeline'!$W$5:$W$504,"Attended"))</f>
        <v/>
      </c>
      <c r="BF891" s="33" t="str">
        <f aca="false">IF(A891="","",COUNTIFS('Demo Pipeline'!$Q$5:$Q$504,A891,'Demo Pipeline'!$X$5:$X$504,"Yes"))</f>
        <v/>
      </c>
      <c r="BG891" s="33" t="str">
        <f aca="false">IF(A891="","",COUNTIFS('Demo Pipeline'!$Q$5:$Q$504,A891,'Demo Pipeline'!$Y$5:$Y$504,"Closed Won"))</f>
        <v/>
      </c>
      <c r="BH891" s="37" t="str">
        <f aca="false">IF(A891="","",SUMIFS('Demo Pipeline'!$Z$5:$Z$504,'Demo Pipeline'!$Q$5:$Q$504,A891))</f>
        <v/>
      </c>
      <c r="BI891" s="34" t="str">
        <f aca="false">IF(OR(AZ891="",N(AJ891)=0),"",AZ891/AJ891)</f>
        <v/>
      </c>
      <c r="BJ891" s="34" t="str">
        <f aca="false">IF(OR(BB891="",N(AZ891)=0),"",BB891/AZ891)</f>
        <v/>
      </c>
      <c r="BK891" s="34" t="str">
        <f aca="false">IF(OR(A891="",N(BB891)=0),"",BD891/BB891)</f>
        <v/>
      </c>
      <c r="BL891" s="34" t="str">
        <f aca="false">IF(OR(A891="",N(AZ891)=0),"",BD891/AZ891)</f>
        <v/>
      </c>
      <c r="BM891" s="37" t="str">
        <f aca="false">IF(OR(N(Q891)=0,N(BD891)=0),"",Q891/BD891)</f>
        <v/>
      </c>
      <c r="BN891" s="29"/>
      <c r="BO891" s="29"/>
      <c r="BP891" s="33" t="str">
        <f aca="false">IF(OR(AR891="",N(AO891)=0),"",AR891)</f>
        <v/>
      </c>
      <c r="BQ891" s="33" t="str">
        <f aca="false">IF(OR(AR891="",N(S891)=0),"",S891)</f>
        <v/>
      </c>
      <c r="BR891" s="38" t="str">
        <f aca="false">IF(AND(ISNUMBER(B891),B891&gt;=Dashboard!$C$4,B891&lt;=Dashboard!$F$4,ISNUMBER(AU891)),AU891+ROW()/10^9,"")</f>
        <v/>
      </c>
      <c r="BS891" s="38" t="str">
        <f aca="false">IF(AND(ISNUMBER(B891),B891&gt;=Dashboard!$C$4,B891&lt;=Dashboard!$F$4,A891&lt;&gt;""),N(BD891)+N(AU891)/100+ROW()/10^9,"")</f>
        <v/>
      </c>
    </row>
    <row r="892" customFormat="false" ht="15" hidden="false" customHeight="false" outlineLevel="0" collapsed="false">
      <c r="A892" s="24" t="str">
        <f aca="false">IF(OR(B892="",G892="",H892=""),"",IFERROR(INDEX(Settings!$E$5:$E$49,MATCH(G892,Settings!$D$5:$D$49,0))&amp;INDEX(Settings!$H$5:$H$47,MATCH(H892,Settings!$G$5:$G$47,0))&amp;"-"&amp;TEXT(B892,"yymmdd")&amp;"-"&amp;IF(C892="","0000",TEXT(C892,"hhmm")),"CHECK LISTS"))</f>
        <v/>
      </c>
      <c r="B892" s="39"/>
      <c r="C892" s="40"/>
      <c r="D892" s="24" t="str">
        <f aca="false">IF(B892="","",TEXT(B892,"ddd"))</f>
        <v/>
      </c>
      <c r="E892" s="27" t="str">
        <f aca="false">IF(B892="","",B892-WEEKDAY(B892,3))</f>
        <v/>
      </c>
      <c r="F892" s="24" t="str">
        <f aca="false">IF(B892="","",TEXT(B892,"yyyy-mm"))</f>
        <v/>
      </c>
      <c r="G892" s="29"/>
      <c r="H892" s="29"/>
      <c r="I892" s="29"/>
      <c r="J892" s="29"/>
      <c r="K892" s="29"/>
      <c r="L892" s="29"/>
      <c r="M892" s="29"/>
      <c r="N892" s="29"/>
      <c r="O892" s="29"/>
      <c r="P892" s="29"/>
      <c r="Q892" s="30"/>
      <c r="R892" s="29"/>
      <c r="S892" s="32"/>
      <c r="T892" s="29"/>
      <c r="U892" s="29"/>
      <c r="V892" s="24" t="str">
        <f aca="false">IF(A892="","",IFERROR(INDEX(Settings!$F$5:$F$49,MATCH(G892,Settings!$D$5:$D$49,0)),""))</f>
        <v/>
      </c>
      <c r="W892" s="24" t="str">
        <f aca="false">IF(A892="","",IF(OR(P892="",P892="Organic"),"social","paid_social"))</f>
        <v/>
      </c>
      <c r="X892" s="24" t="str">
        <f aca="false">IF(A892="","",IF(K892&lt;&gt;"",IFERROR(INDEX('Case Studies'!$C$5:$C$54,MATCH(K892,'Case Studies'!$B$5:$B$54,0))&amp;"","case-study"),IF(J892&lt;&gt;"",IFERROR(INDEX(Settings!$J$5:$J$55,MATCH(J892,Settings!$I$5:$I$55,0)),"general"),"general")))</f>
        <v/>
      </c>
      <c r="Y892" s="24" t="str">
        <f aca="false">IF(A892="","",LOWER(A892))</f>
        <v/>
      </c>
      <c r="Z892" s="24" t="str">
        <f aca="false">IF(A892="","",IF(T892="",Settings!$B$5,T892)&amp;IF(ISNUMBER(FIND("?",IF(T892="",Settings!$B$5,T892))),"&amp;","?")&amp;"utm_source="&amp;V892&amp;"&amp;utm_medium="&amp;W892&amp;"&amp;utm_campaign="&amp;X892&amp;"&amp;utm_content="&amp;Y892)</f>
        <v/>
      </c>
      <c r="AA892" s="29"/>
      <c r="AB892" s="39"/>
      <c r="AC892" s="32"/>
      <c r="AD892" s="32"/>
      <c r="AE892" s="32"/>
      <c r="AF892" s="32"/>
      <c r="AG892" s="32"/>
      <c r="AH892" s="32"/>
      <c r="AI892" s="32"/>
      <c r="AJ892" s="32"/>
      <c r="AK892" s="32"/>
      <c r="AL892" s="32"/>
      <c r="AM892" s="32"/>
      <c r="AN892" s="32"/>
      <c r="AO892" s="33" t="str">
        <f aca="false">IF(A892="","",IF(AD892&lt;&gt;"",AD892,IF(AC892&lt;&gt;"",AC892,"")))</f>
        <v/>
      </c>
      <c r="AP892" s="24" t="str">
        <f aca="false">IF(AO892="","",IF(AD892&lt;&gt;"","Reported reach","Impressions (proxy)"))</f>
        <v/>
      </c>
      <c r="AQ892" s="34" t="str">
        <f aca="false">IF(OR(AO892="",N(S892)=0),"",AO892/S892)</f>
        <v/>
      </c>
      <c r="AR892" s="33" t="str">
        <f aca="false">IF(A892="","",IF(COUNT(AF892:AJ892)=0,"",SUM(AF892:AJ892)))</f>
        <v/>
      </c>
      <c r="AS892" s="34" t="str">
        <f aca="false">IF(OR(AR892="",N(AO892)=0),"",AR892/AO892)</f>
        <v/>
      </c>
      <c r="AT892" s="34" t="str">
        <f aca="false">IF(OR(AR892="",N(AC892)=0),"",AR892/AC892)</f>
        <v/>
      </c>
      <c r="AU892" s="34" t="str">
        <f aca="false">IF(OR(AR892="",N(S892)=0),"",AR892/S892)</f>
        <v/>
      </c>
      <c r="AV892" s="34" t="str">
        <f aca="false">IF(OR(AJ892="",N(AC892)=0),"",AJ892/AC892)</f>
        <v/>
      </c>
      <c r="AW892" s="34" t="str">
        <f aca="false">IF(OR(AH892="",N(AO892)=0),"",AH892/AO892)</f>
        <v/>
      </c>
      <c r="AX892" s="35" t="str">
        <f aca="false">IF(OR(AR892="",N(AO892)=0),"",(N(AF892)*Settings!$B$6+N(AG892)*Settings!$B$7+N(AH892)*Settings!$B$8+N(AI892)*Settings!$B$9+N(AJ892)*Settings!$B$10)/AO892*1000)</f>
        <v/>
      </c>
      <c r="AY892" s="36" t="str">
        <f aca="false">IF(AS892="","",IFERROR(AS892/AVERAGEIFS('Post Tracker'!$AS$5:$AS$1004,'Post Tracker'!$G$5:$G$1004,G892),""))</f>
        <v/>
      </c>
      <c r="AZ892" s="32"/>
      <c r="BA892" s="32"/>
      <c r="BB892" s="32"/>
      <c r="BC892" s="32"/>
      <c r="BD892" s="33" t="str">
        <f aca="false">IF(A892="","",COUNTIFS('Demo Pipeline'!$Q$5:$Q$504,A892))</f>
        <v/>
      </c>
      <c r="BE892" s="33" t="str">
        <f aca="false">IF(A892="","",COUNTIFS('Demo Pipeline'!$Q$5:$Q$504,A892,'Demo Pipeline'!$W$5:$W$504,"Attended"))</f>
        <v/>
      </c>
      <c r="BF892" s="33" t="str">
        <f aca="false">IF(A892="","",COUNTIFS('Demo Pipeline'!$Q$5:$Q$504,A892,'Demo Pipeline'!$X$5:$X$504,"Yes"))</f>
        <v/>
      </c>
      <c r="BG892" s="33" t="str">
        <f aca="false">IF(A892="","",COUNTIFS('Demo Pipeline'!$Q$5:$Q$504,A892,'Demo Pipeline'!$Y$5:$Y$504,"Closed Won"))</f>
        <v/>
      </c>
      <c r="BH892" s="37" t="str">
        <f aca="false">IF(A892="","",SUMIFS('Demo Pipeline'!$Z$5:$Z$504,'Demo Pipeline'!$Q$5:$Q$504,A892))</f>
        <v/>
      </c>
      <c r="BI892" s="34" t="str">
        <f aca="false">IF(OR(AZ892="",N(AJ892)=0),"",AZ892/AJ892)</f>
        <v/>
      </c>
      <c r="BJ892" s="34" t="str">
        <f aca="false">IF(OR(BB892="",N(AZ892)=0),"",BB892/AZ892)</f>
        <v/>
      </c>
      <c r="BK892" s="34" t="str">
        <f aca="false">IF(OR(A892="",N(BB892)=0),"",BD892/BB892)</f>
        <v/>
      </c>
      <c r="BL892" s="34" t="str">
        <f aca="false">IF(OR(A892="",N(AZ892)=0),"",BD892/AZ892)</f>
        <v/>
      </c>
      <c r="BM892" s="37" t="str">
        <f aca="false">IF(OR(N(Q892)=0,N(BD892)=0),"",Q892/BD892)</f>
        <v/>
      </c>
      <c r="BN892" s="29"/>
      <c r="BO892" s="29"/>
      <c r="BP892" s="33" t="str">
        <f aca="false">IF(OR(AR892="",N(AO892)=0),"",AR892)</f>
        <v/>
      </c>
      <c r="BQ892" s="33" t="str">
        <f aca="false">IF(OR(AR892="",N(S892)=0),"",S892)</f>
        <v/>
      </c>
      <c r="BR892" s="38" t="str">
        <f aca="false">IF(AND(ISNUMBER(B892),B892&gt;=Dashboard!$C$4,B892&lt;=Dashboard!$F$4,ISNUMBER(AU892)),AU892+ROW()/10^9,"")</f>
        <v/>
      </c>
      <c r="BS892" s="38" t="str">
        <f aca="false">IF(AND(ISNUMBER(B892),B892&gt;=Dashboard!$C$4,B892&lt;=Dashboard!$F$4,A892&lt;&gt;""),N(BD892)+N(AU892)/100+ROW()/10^9,"")</f>
        <v/>
      </c>
    </row>
    <row r="893" customFormat="false" ht="15" hidden="false" customHeight="false" outlineLevel="0" collapsed="false">
      <c r="A893" s="24" t="str">
        <f aca="false">IF(OR(B893="",G893="",H893=""),"",IFERROR(INDEX(Settings!$E$5:$E$49,MATCH(G893,Settings!$D$5:$D$49,0))&amp;INDEX(Settings!$H$5:$H$47,MATCH(H893,Settings!$G$5:$G$47,0))&amp;"-"&amp;TEXT(B893,"yymmdd")&amp;"-"&amp;IF(C893="","0000",TEXT(C893,"hhmm")),"CHECK LISTS"))</f>
        <v/>
      </c>
      <c r="B893" s="39"/>
      <c r="C893" s="40"/>
      <c r="D893" s="24" t="str">
        <f aca="false">IF(B893="","",TEXT(B893,"ddd"))</f>
        <v/>
      </c>
      <c r="E893" s="27" t="str">
        <f aca="false">IF(B893="","",B893-WEEKDAY(B893,3))</f>
        <v/>
      </c>
      <c r="F893" s="24" t="str">
        <f aca="false">IF(B893="","",TEXT(B893,"yyyy-mm"))</f>
        <v/>
      </c>
      <c r="G893" s="29"/>
      <c r="H893" s="29"/>
      <c r="I893" s="29"/>
      <c r="J893" s="29"/>
      <c r="K893" s="29"/>
      <c r="L893" s="29"/>
      <c r="M893" s="29"/>
      <c r="N893" s="29"/>
      <c r="O893" s="29"/>
      <c r="P893" s="29"/>
      <c r="Q893" s="30"/>
      <c r="R893" s="29"/>
      <c r="S893" s="32"/>
      <c r="T893" s="29"/>
      <c r="U893" s="29"/>
      <c r="V893" s="24" t="str">
        <f aca="false">IF(A893="","",IFERROR(INDEX(Settings!$F$5:$F$49,MATCH(G893,Settings!$D$5:$D$49,0)),""))</f>
        <v/>
      </c>
      <c r="W893" s="24" t="str">
        <f aca="false">IF(A893="","",IF(OR(P893="",P893="Organic"),"social","paid_social"))</f>
        <v/>
      </c>
      <c r="X893" s="24" t="str">
        <f aca="false">IF(A893="","",IF(K893&lt;&gt;"",IFERROR(INDEX('Case Studies'!$C$5:$C$54,MATCH(K893,'Case Studies'!$B$5:$B$54,0))&amp;"","case-study"),IF(J893&lt;&gt;"",IFERROR(INDEX(Settings!$J$5:$J$55,MATCH(J893,Settings!$I$5:$I$55,0)),"general"),"general")))</f>
        <v/>
      </c>
      <c r="Y893" s="24" t="str">
        <f aca="false">IF(A893="","",LOWER(A893))</f>
        <v/>
      </c>
      <c r="Z893" s="24" t="str">
        <f aca="false">IF(A893="","",IF(T893="",Settings!$B$5,T893)&amp;IF(ISNUMBER(FIND("?",IF(T893="",Settings!$B$5,T893))),"&amp;","?")&amp;"utm_source="&amp;V893&amp;"&amp;utm_medium="&amp;W893&amp;"&amp;utm_campaign="&amp;X893&amp;"&amp;utm_content="&amp;Y893)</f>
        <v/>
      </c>
      <c r="AA893" s="29"/>
      <c r="AB893" s="39"/>
      <c r="AC893" s="32"/>
      <c r="AD893" s="32"/>
      <c r="AE893" s="32"/>
      <c r="AF893" s="32"/>
      <c r="AG893" s="32"/>
      <c r="AH893" s="32"/>
      <c r="AI893" s="32"/>
      <c r="AJ893" s="32"/>
      <c r="AK893" s="32"/>
      <c r="AL893" s="32"/>
      <c r="AM893" s="32"/>
      <c r="AN893" s="32"/>
      <c r="AO893" s="33" t="str">
        <f aca="false">IF(A893="","",IF(AD893&lt;&gt;"",AD893,IF(AC893&lt;&gt;"",AC893,"")))</f>
        <v/>
      </c>
      <c r="AP893" s="24" t="str">
        <f aca="false">IF(AO893="","",IF(AD893&lt;&gt;"","Reported reach","Impressions (proxy)"))</f>
        <v/>
      </c>
      <c r="AQ893" s="34" t="str">
        <f aca="false">IF(OR(AO893="",N(S893)=0),"",AO893/S893)</f>
        <v/>
      </c>
      <c r="AR893" s="33" t="str">
        <f aca="false">IF(A893="","",IF(COUNT(AF893:AJ893)=0,"",SUM(AF893:AJ893)))</f>
        <v/>
      </c>
      <c r="AS893" s="34" t="str">
        <f aca="false">IF(OR(AR893="",N(AO893)=0),"",AR893/AO893)</f>
        <v/>
      </c>
      <c r="AT893" s="34" t="str">
        <f aca="false">IF(OR(AR893="",N(AC893)=0),"",AR893/AC893)</f>
        <v/>
      </c>
      <c r="AU893" s="34" t="str">
        <f aca="false">IF(OR(AR893="",N(S893)=0),"",AR893/S893)</f>
        <v/>
      </c>
      <c r="AV893" s="34" t="str">
        <f aca="false">IF(OR(AJ893="",N(AC893)=0),"",AJ893/AC893)</f>
        <v/>
      </c>
      <c r="AW893" s="34" t="str">
        <f aca="false">IF(OR(AH893="",N(AO893)=0),"",AH893/AO893)</f>
        <v/>
      </c>
      <c r="AX893" s="35" t="str">
        <f aca="false">IF(OR(AR893="",N(AO893)=0),"",(N(AF893)*Settings!$B$6+N(AG893)*Settings!$B$7+N(AH893)*Settings!$B$8+N(AI893)*Settings!$B$9+N(AJ893)*Settings!$B$10)/AO893*1000)</f>
        <v/>
      </c>
      <c r="AY893" s="36" t="str">
        <f aca="false">IF(AS893="","",IFERROR(AS893/AVERAGEIFS('Post Tracker'!$AS$5:$AS$1004,'Post Tracker'!$G$5:$G$1004,G893),""))</f>
        <v/>
      </c>
      <c r="AZ893" s="32"/>
      <c r="BA893" s="32"/>
      <c r="BB893" s="32"/>
      <c r="BC893" s="32"/>
      <c r="BD893" s="33" t="str">
        <f aca="false">IF(A893="","",COUNTIFS('Demo Pipeline'!$Q$5:$Q$504,A893))</f>
        <v/>
      </c>
      <c r="BE893" s="33" t="str">
        <f aca="false">IF(A893="","",COUNTIFS('Demo Pipeline'!$Q$5:$Q$504,A893,'Demo Pipeline'!$W$5:$W$504,"Attended"))</f>
        <v/>
      </c>
      <c r="BF893" s="33" t="str">
        <f aca="false">IF(A893="","",COUNTIFS('Demo Pipeline'!$Q$5:$Q$504,A893,'Demo Pipeline'!$X$5:$X$504,"Yes"))</f>
        <v/>
      </c>
      <c r="BG893" s="33" t="str">
        <f aca="false">IF(A893="","",COUNTIFS('Demo Pipeline'!$Q$5:$Q$504,A893,'Demo Pipeline'!$Y$5:$Y$504,"Closed Won"))</f>
        <v/>
      </c>
      <c r="BH893" s="37" t="str">
        <f aca="false">IF(A893="","",SUMIFS('Demo Pipeline'!$Z$5:$Z$504,'Demo Pipeline'!$Q$5:$Q$504,A893))</f>
        <v/>
      </c>
      <c r="BI893" s="34" t="str">
        <f aca="false">IF(OR(AZ893="",N(AJ893)=0),"",AZ893/AJ893)</f>
        <v/>
      </c>
      <c r="BJ893" s="34" t="str">
        <f aca="false">IF(OR(BB893="",N(AZ893)=0),"",BB893/AZ893)</f>
        <v/>
      </c>
      <c r="BK893" s="34" t="str">
        <f aca="false">IF(OR(A893="",N(BB893)=0),"",BD893/BB893)</f>
        <v/>
      </c>
      <c r="BL893" s="34" t="str">
        <f aca="false">IF(OR(A893="",N(AZ893)=0),"",BD893/AZ893)</f>
        <v/>
      </c>
      <c r="BM893" s="37" t="str">
        <f aca="false">IF(OR(N(Q893)=0,N(BD893)=0),"",Q893/BD893)</f>
        <v/>
      </c>
      <c r="BN893" s="29"/>
      <c r="BO893" s="29"/>
      <c r="BP893" s="33" t="str">
        <f aca="false">IF(OR(AR893="",N(AO893)=0),"",AR893)</f>
        <v/>
      </c>
      <c r="BQ893" s="33" t="str">
        <f aca="false">IF(OR(AR893="",N(S893)=0),"",S893)</f>
        <v/>
      </c>
      <c r="BR893" s="38" t="str">
        <f aca="false">IF(AND(ISNUMBER(B893),B893&gt;=Dashboard!$C$4,B893&lt;=Dashboard!$F$4,ISNUMBER(AU893)),AU893+ROW()/10^9,"")</f>
        <v/>
      </c>
      <c r="BS893" s="38" t="str">
        <f aca="false">IF(AND(ISNUMBER(B893),B893&gt;=Dashboard!$C$4,B893&lt;=Dashboard!$F$4,A893&lt;&gt;""),N(BD893)+N(AU893)/100+ROW()/10^9,"")</f>
        <v/>
      </c>
    </row>
    <row r="894" customFormat="false" ht="15" hidden="false" customHeight="false" outlineLevel="0" collapsed="false">
      <c r="A894" s="24" t="str">
        <f aca="false">IF(OR(B894="",G894="",H894=""),"",IFERROR(INDEX(Settings!$E$5:$E$49,MATCH(G894,Settings!$D$5:$D$49,0))&amp;INDEX(Settings!$H$5:$H$47,MATCH(H894,Settings!$G$5:$G$47,0))&amp;"-"&amp;TEXT(B894,"yymmdd")&amp;"-"&amp;IF(C894="","0000",TEXT(C894,"hhmm")),"CHECK LISTS"))</f>
        <v/>
      </c>
      <c r="B894" s="39"/>
      <c r="C894" s="40"/>
      <c r="D894" s="24" t="str">
        <f aca="false">IF(B894="","",TEXT(B894,"ddd"))</f>
        <v/>
      </c>
      <c r="E894" s="27" t="str">
        <f aca="false">IF(B894="","",B894-WEEKDAY(B894,3))</f>
        <v/>
      </c>
      <c r="F894" s="24" t="str">
        <f aca="false">IF(B894="","",TEXT(B894,"yyyy-mm"))</f>
        <v/>
      </c>
      <c r="G894" s="29"/>
      <c r="H894" s="29"/>
      <c r="I894" s="29"/>
      <c r="J894" s="29"/>
      <c r="K894" s="29"/>
      <c r="L894" s="29"/>
      <c r="M894" s="29"/>
      <c r="N894" s="29"/>
      <c r="O894" s="29"/>
      <c r="P894" s="29"/>
      <c r="Q894" s="30"/>
      <c r="R894" s="29"/>
      <c r="S894" s="32"/>
      <c r="T894" s="29"/>
      <c r="U894" s="29"/>
      <c r="V894" s="24" t="str">
        <f aca="false">IF(A894="","",IFERROR(INDEX(Settings!$F$5:$F$49,MATCH(G894,Settings!$D$5:$D$49,0)),""))</f>
        <v/>
      </c>
      <c r="W894" s="24" t="str">
        <f aca="false">IF(A894="","",IF(OR(P894="",P894="Organic"),"social","paid_social"))</f>
        <v/>
      </c>
      <c r="X894" s="24" t="str">
        <f aca="false">IF(A894="","",IF(K894&lt;&gt;"",IFERROR(INDEX('Case Studies'!$C$5:$C$54,MATCH(K894,'Case Studies'!$B$5:$B$54,0))&amp;"","case-study"),IF(J894&lt;&gt;"",IFERROR(INDEX(Settings!$J$5:$J$55,MATCH(J894,Settings!$I$5:$I$55,0)),"general"),"general")))</f>
        <v/>
      </c>
      <c r="Y894" s="24" t="str">
        <f aca="false">IF(A894="","",LOWER(A894))</f>
        <v/>
      </c>
      <c r="Z894" s="24" t="str">
        <f aca="false">IF(A894="","",IF(T894="",Settings!$B$5,T894)&amp;IF(ISNUMBER(FIND("?",IF(T894="",Settings!$B$5,T894))),"&amp;","?")&amp;"utm_source="&amp;V894&amp;"&amp;utm_medium="&amp;W894&amp;"&amp;utm_campaign="&amp;X894&amp;"&amp;utm_content="&amp;Y894)</f>
        <v/>
      </c>
      <c r="AA894" s="29"/>
      <c r="AB894" s="39"/>
      <c r="AC894" s="32"/>
      <c r="AD894" s="32"/>
      <c r="AE894" s="32"/>
      <c r="AF894" s="32"/>
      <c r="AG894" s="32"/>
      <c r="AH894" s="32"/>
      <c r="AI894" s="32"/>
      <c r="AJ894" s="32"/>
      <c r="AK894" s="32"/>
      <c r="AL894" s="32"/>
      <c r="AM894" s="32"/>
      <c r="AN894" s="32"/>
      <c r="AO894" s="33" t="str">
        <f aca="false">IF(A894="","",IF(AD894&lt;&gt;"",AD894,IF(AC894&lt;&gt;"",AC894,"")))</f>
        <v/>
      </c>
      <c r="AP894" s="24" t="str">
        <f aca="false">IF(AO894="","",IF(AD894&lt;&gt;"","Reported reach","Impressions (proxy)"))</f>
        <v/>
      </c>
      <c r="AQ894" s="34" t="str">
        <f aca="false">IF(OR(AO894="",N(S894)=0),"",AO894/S894)</f>
        <v/>
      </c>
      <c r="AR894" s="33" t="str">
        <f aca="false">IF(A894="","",IF(COUNT(AF894:AJ894)=0,"",SUM(AF894:AJ894)))</f>
        <v/>
      </c>
      <c r="AS894" s="34" t="str">
        <f aca="false">IF(OR(AR894="",N(AO894)=0),"",AR894/AO894)</f>
        <v/>
      </c>
      <c r="AT894" s="34" t="str">
        <f aca="false">IF(OR(AR894="",N(AC894)=0),"",AR894/AC894)</f>
        <v/>
      </c>
      <c r="AU894" s="34" t="str">
        <f aca="false">IF(OR(AR894="",N(S894)=0),"",AR894/S894)</f>
        <v/>
      </c>
      <c r="AV894" s="34" t="str">
        <f aca="false">IF(OR(AJ894="",N(AC894)=0),"",AJ894/AC894)</f>
        <v/>
      </c>
      <c r="AW894" s="34" t="str">
        <f aca="false">IF(OR(AH894="",N(AO894)=0),"",AH894/AO894)</f>
        <v/>
      </c>
      <c r="AX894" s="35" t="str">
        <f aca="false">IF(OR(AR894="",N(AO894)=0),"",(N(AF894)*Settings!$B$6+N(AG894)*Settings!$B$7+N(AH894)*Settings!$B$8+N(AI894)*Settings!$B$9+N(AJ894)*Settings!$B$10)/AO894*1000)</f>
        <v/>
      </c>
      <c r="AY894" s="36" t="str">
        <f aca="false">IF(AS894="","",IFERROR(AS894/AVERAGEIFS('Post Tracker'!$AS$5:$AS$1004,'Post Tracker'!$G$5:$G$1004,G894),""))</f>
        <v/>
      </c>
      <c r="AZ894" s="32"/>
      <c r="BA894" s="32"/>
      <c r="BB894" s="32"/>
      <c r="BC894" s="32"/>
      <c r="BD894" s="33" t="str">
        <f aca="false">IF(A894="","",COUNTIFS('Demo Pipeline'!$Q$5:$Q$504,A894))</f>
        <v/>
      </c>
      <c r="BE894" s="33" t="str">
        <f aca="false">IF(A894="","",COUNTIFS('Demo Pipeline'!$Q$5:$Q$504,A894,'Demo Pipeline'!$W$5:$W$504,"Attended"))</f>
        <v/>
      </c>
      <c r="BF894" s="33" t="str">
        <f aca="false">IF(A894="","",COUNTIFS('Demo Pipeline'!$Q$5:$Q$504,A894,'Demo Pipeline'!$X$5:$X$504,"Yes"))</f>
        <v/>
      </c>
      <c r="BG894" s="33" t="str">
        <f aca="false">IF(A894="","",COUNTIFS('Demo Pipeline'!$Q$5:$Q$504,A894,'Demo Pipeline'!$Y$5:$Y$504,"Closed Won"))</f>
        <v/>
      </c>
      <c r="BH894" s="37" t="str">
        <f aca="false">IF(A894="","",SUMIFS('Demo Pipeline'!$Z$5:$Z$504,'Demo Pipeline'!$Q$5:$Q$504,A894))</f>
        <v/>
      </c>
      <c r="BI894" s="34" t="str">
        <f aca="false">IF(OR(AZ894="",N(AJ894)=0),"",AZ894/AJ894)</f>
        <v/>
      </c>
      <c r="BJ894" s="34" t="str">
        <f aca="false">IF(OR(BB894="",N(AZ894)=0),"",BB894/AZ894)</f>
        <v/>
      </c>
      <c r="BK894" s="34" t="str">
        <f aca="false">IF(OR(A894="",N(BB894)=0),"",BD894/BB894)</f>
        <v/>
      </c>
      <c r="BL894" s="34" t="str">
        <f aca="false">IF(OR(A894="",N(AZ894)=0),"",BD894/AZ894)</f>
        <v/>
      </c>
      <c r="BM894" s="37" t="str">
        <f aca="false">IF(OR(N(Q894)=0,N(BD894)=0),"",Q894/BD894)</f>
        <v/>
      </c>
      <c r="BN894" s="29"/>
      <c r="BO894" s="29"/>
      <c r="BP894" s="33" t="str">
        <f aca="false">IF(OR(AR894="",N(AO894)=0),"",AR894)</f>
        <v/>
      </c>
      <c r="BQ894" s="33" t="str">
        <f aca="false">IF(OR(AR894="",N(S894)=0),"",S894)</f>
        <v/>
      </c>
      <c r="BR894" s="38" t="str">
        <f aca="false">IF(AND(ISNUMBER(B894),B894&gt;=Dashboard!$C$4,B894&lt;=Dashboard!$F$4,ISNUMBER(AU894)),AU894+ROW()/10^9,"")</f>
        <v/>
      </c>
      <c r="BS894" s="38" t="str">
        <f aca="false">IF(AND(ISNUMBER(B894),B894&gt;=Dashboard!$C$4,B894&lt;=Dashboard!$F$4,A894&lt;&gt;""),N(BD894)+N(AU894)/100+ROW()/10^9,"")</f>
        <v/>
      </c>
    </row>
    <row r="895" customFormat="false" ht="15" hidden="false" customHeight="false" outlineLevel="0" collapsed="false">
      <c r="A895" s="24" t="str">
        <f aca="false">IF(OR(B895="",G895="",H895=""),"",IFERROR(INDEX(Settings!$E$5:$E$49,MATCH(G895,Settings!$D$5:$D$49,0))&amp;INDEX(Settings!$H$5:$H$47,MATCH(H895,Settings!$G$5:$G$47,0))&amp;"-"&amp;TEXT(B895,"yymmdd")&amp;"-"&amp;IF(C895="","0000",TEXT(C895,"hhmm")),"CHECK LISTS"))</f>
        <v/>
      </c>
      <c r="B895" s="39"/>
      <c r="C895" s="40"/>
      <c r="D895" s="24" t="str">
        <f aca="false">IF(B895="","",TEXT(B895,"ddd"))</f>
        <v/>
      </c>
      <c r="E895" s="27" t="str">
        <f aca="false">IF(B895="","",B895-WEEKDAY(B895,3))</f>
        <v/>
      </c>
      <c r="F895" s="24" t="str">
        <f aca="false">IF(B895="","",TEXT(B895,"yyyy-mm"))</f>
        <v/>
      </c>
      <c r="G895" s="29"/>
      <c r="H895" s="29"/>
      <c r="I895" s="29"/>
      <c r="J895" s="29"/>
      <c r="K895" s="29"/>
      <c r="L895" s="29"/>
      <c r="M895" s="29"/>
      <c r="N895" s="29"/>
      <c r="O895" s="29"/>
      <c r="P895" s="29"/>
      <c r="Q895" s="30"/>
      <c r="R895" s="29"/>
      <c r="S895" s="32"/>
      <c r="T895" s="29"/>
      <c r="U895" s="29"/>
      <c r="V895" s="24" t="str">
        <f aca="false">IF(A895="","",IFERROR(INDEX(Settings!$F$5:$F$49,MATCH(G895,Settings!$D$5:$D$49,0)),""))</f>
        <v/>
      </c>
      <c r="W895" s="24" t="str">
        <f aca="false">IF(A895="","",IF(OR(P895="",P895="Organic"),"social","paid_social"))</f>
        <v/>
      </c>
      <c r="X895" s="24" t="str">
        <f aca="false">IF(A895="","",IF(K895&lt;&gt;"",IFERROR(INDEX('Case Studies'!$C$5:$C$54,MATCH(K895,'Case Studies'!$B$5:$B$54,0))&amp;"","case-study"),IF(J895&lt;&gt;"",IFERROR(INDEX(Settings!$J$5:$J$55,MATCH(J895,Settings!$I$5:$I$55,0)),"general"),"general")))</f>
        <v/>
      </c>
      <c r="Y895" s="24" t="str">
        <f aca="false">IF(A895="","",LOWER(A895))</f>
        <v/>
      </c>
      <c r="Z895" s="24" t="str">
        <f aca="false">IF(A895="","",IF(T895="",Settings!$B$5,T895)&amp;IF(ISNUMBER(FIND("?",IF(T895="",Settings!$B$5,T895))),"&amp;","?")&amp;"utm_source="&amp;V895&amp;"&amp;utm_medium="&amp;W895&amp;"&amp;utm_campaign="&amp;X895&amp;"&amp;utm_content="&amp;Y895)</f>
        <v/>
      </c>
      <c r="AA895" s="29"/>
      <c r="AB895" s="39"/>
      <c r="AC895" s="32"/>
      <c r="AD895" s="32"/>
      <c r="AE895" s="32"/>
      <c r="AF895" s="32"/>
      <c r="AG895" s="32"/>
      <c r="AH895" s="32"/>
      <c r="AI895" s="32"/>
      <c r="AJ895" s="32"/>
      <c r="AK895" s="32"/>
      <c r="AL895" s="32"/>
      <c r="AM895" s="32"/>
      <c r="AN895" s="32"/>
      <c r="AO895" s="33" t="str">
        <f aca="false">IF(A895="","",IF(AD895&lt;&gt;"",AD895,IF(AC895&lt;&gt;"",AC895,"")))</f>
        <v/>
      </c>
      <c r="AP895" s="24" t="str">
        <f aca="false">IF(AO895="","",IF(AD895&lt;&gt;"","Reported reach","Impressions (proxy)"))</f>
        <v/>
      </c>
      <c r="AQ895" s="34" t="str">
        <f aca="false">IF(OR(AO895="",N(S895)=0),"",AO895/S895)</f>
        <v/>
      </c>
      <c r="AR895" s="33" t="str">
        <f aca="false">IF(A895="","",IF(COUNT(AF895:AJ895)=0,"",SUM(AF895:AJ895)))</f>
        <v/>
      </c>
      <c r="AS895" s="34" t="str">
        <f aca="false">IF(OR(AR895="",N(AO895)=0),"",AR895/AO895)</f>
        <v/>
      </c>
      <c r="AT895" s="34" t="str">
        <f aca="false">IF(OR(AR895="",N(AC895)=0),"",AR895/AC895)</f>
        <v/>
      </c>
      <c r="AU895" s="34" t="str">
        <f aca="false">IF(OR(AR895="",N(S895)=0),"",AR895/S895)</f>
        <v/>
      </c>
      <c r="AV895" s="34" t="str">
        <f aca="false">IF(OR(AJ895="",N(AC895)=0),"",AJ895/AC895)</f>
        <v/>
      </c>
      <c r="AW895" s="34" t="str">
        <f aca="false">IF(OR(AH895="",N(AO895)=0),"",AH895/AO895)</f>
        <v/>
      </c>
      <c r="AX895" s="35" t="str">
        <f aca="false">IF(OR(AR895="",N(AO895)=0),"",(N(AF895)*Settings!$B$6+N(AG895)*Settings!$B$7+N(AH895)*Settings!$B$8+N(AI895)*Settings!$B$9+N(AJ895)*Settings!$B$10)/AO895*1000)</f>
        <v/>
      </c>
      <c r="AY895" s="36" t="str">
        <f aca="false">IF(AS895="","",IFERROR(AS895/AVERAGEIFS('Post Tracker'!$AS$5:$AS$1004,'Post Tracker'!$G$5:$G$1004,G895),""))</f>
        <v/>
      </c>
      <c r="AZ895" s="32"/>
      <c r="BA895" s="32"/>
      <c r="BB895" s="32"/>
      <c r="BC895" s="32"/>
      <c r="BD895" s="33" t="str">
        <f aca="false">IF(A895="","",COUNTIFS('Demo Pipeline'!$Q$5:$Q$504,A895))</f>
        <v/>
      </c>
      <c r="BE895" s="33" t="str">
        <f aca="false">IF(A895="","",COUNTIFS('Demo Pipeline'!$Q$5:$Q$504,A895,'Demo Pipeline'!$W$5:$W$504,"Attended"))</f>
        <v/>
      </c>
      <c r="BF895" s="33" t="str">
        <f aca="false">IF(A895="","",COUNTIFS('Demo Pipeline'!$Q$5:$Q$504,A895,'Demo Pipeline'!$X$5:$X$504,"Yes"))</f>
        <v/>
      </c>
      <c r="BG895" s="33" t="str">
        <f aca="false">IF(A895="","",COUNTIFS('Demo Pipeline'!$Q$5:$Q$504,A895,'Demo Pipeline'!$Y$5:$Y$504,"Closed Won"))</f>
        <v/>
      </c>
      <c r="BH895" s="37" t="str">
        <f aca="false">IF(A895="","",SUMIFS('Demo Pipeline'!$Z$5:$Z$504,'Demo Pipeline'!$Q$5:$Q$504,A895))</f>
        <v/>
      </c>
      <c r="BI895" s="34" t="str">
        <f aca="false">IF(OR(AZ895="",N(AJ895)=0),"",AZ895/AJ895)</f>
        <v/>
      </c>
      <c r="BJ895" s="34" t="str">
        <f aca="false">IF(OR(BB895="",N(AZ895)=0),"",BB895/AZ895)</f>
        <v/>
      </c>
      <c r="BK895" s="34" t="str">
        <f aca="false">IF(OR(A895="",N(BB895)=0),"",BD895/BB895)</f>
        <v/>
      </c>
      <c r="BL895" s="34" t="str">
        <f aca="false">IF(OR(A895="",N(AZ895)=0),"",BD895/AZ895)</f>
        <v/>
      </c>
      <c r="BM895" s="37" t="str">
        <f aca="false">IF(OR(N(Q895)=0,N(BD895)=0),"",Q895/BD895)</f>
        <v/>
      </c>
      <c r="BN895" s="29"/>
      <c r="BO895" s="29"/>
      <c r="BP895" s="33" t="str">
        <f aca="false">IF(OR(AR895="",N(AO895)=0),"",AR895)</f>
        <v/>
      </c>
      <c r="BQ895" s="33" t="str">
        <f aca="false">IF(OR(AR895="",N(S895)=0),"",S895)</f>
        <v/>
      </c>
      <c r="BR895" s="38" t="str">
        <f aca="false">IF(AND(ISNUMBER(B895),B895&gt;=Dashboard!$C$4,B895&lt;=Dashboard!$F$4,ISNUMBER(AU895)),AU895+ROW()/10^9,"")</f>
        <v/>
      </c>
      <c r="BS895" s="38" t="str">
        <f aca="false">IF(AND(ISNUMBER(B895),B895&gt;=Dashboard!$C$4,B895&lt;=Dashboard!$F$4,A895&lt;&gt;""),N(BD895)+N(AU895)/100+ROW()/10^9,"")</f>
        <v/>
      </c>
    </row>
    <row r="896" customFormat="false" ht="15" hidden="false" customHeight="false" outlineLevel="0" collapsed="false">
      <c r="A896" s="24" t="str">
        <f aca="false">IF(OR(B896="",G896="",H896=""),"",IFERROR(INDEX(Settings!$E$5:$E$49,MATCH(G896,Settings!$D$5:$D$49,0))&amp;INDEX(Settings!$H$5:$H$47,MATCH(H896,Settings!$G$5:$G$47,0))&amp;"-"&amp;TEXT(B896,"yymmdd")&amp;"-"&amp;IF(C896="","0000",TEXT(C896,"hhmm")),"CHECK LISTS"))</f>
        <v/>
      </c>
      <c r="B896" s="39"/>
      <c r="C896" s="40"/>
      <c r="D896" s="24" t="str">
        <f aca="false">IF(B896="","",TEXT(B896,"ddd"))</f>
        <v/>
      </c>
      <c r="E896" s="27" t="str">
        <f aca="false">IF(B896="","",B896-WEEKDAY(B896,3))</f>
        <v/>
      </c>
      <c r="F896" s="24" t="str">
        <f aca="false">IF(B896="","",TEXT(B896,"yyyy-mm"))</f>
        <v/>
      </c>
      <c r="G896" s="29"/>
      <c r="H896" s="29"/>
      <c r="I896" s="29"/>
      <c r="J896" s="29"/>
      <c r="K896" s="29"/>
      <c r="L896" s="29"/>
      <c r="M896" s="29"/>
      <c r="N896" s="29"/>
      <c r="O896" s="29"/>
      <c r="P896" s="29"/>
      <c r="Q896" s="30"/>
      <c r="R896" s="29"/>
      <c r="S896" s="32"/>
      <c r="T896" s="29"/>
      <c r="U896" s="29"/>
      <c r="V896" s="24" t="str">
        <f aca="false">IF(A896="","",IFERROR(INDEX(Settings!$F$5:$F$49,MATCH(G896,Settings!$D$5:$D$49,0)),""))</f>
        <v/>
      </c>
      <c r="W896" s="24" t="str">
        <f aca="false">IF(A896="","",IF(OR(P896="",P896="Organic"),"social","paid_social"))</f>
        <v/>
      </c>
      <c r="X896" s="24" t="str">
        <f aca="false">IF(A896="","",IF(K896&lt;&gt;"",IFERROR(INDEX('Case Studies'!$C$5:$C$54,MATCH(K896,'Case Studies'!$B$5:$B$54,0))&amp;"","case-study"),IF(J896&lt;&gt;"",IFERROR(INDEX(Settings!$J$5:$J$55,MATCH(J896,Settings!$I$5:$I$55,0)),"general"),"general")))</f>
        <v/>
      </c>
      <c r="Y896" s="24" t="str">
        <f aca="false">IF(A896="","",LOWER(A896))</f>
        <v/>
      </c>
      <c r="Z896" s="24" t="str">
        <f aca="false">IF(A896="","",IF(T896="",Settings!$B$5,T896)&amp;IF(ISNUMBER(FIND("?",IF(T896="",Settings!$B$5,T896))),"&amp;","?")&amp;"utm_source="&amp;V896&amp;"&amp;utm_medium="&amp;W896&amp;"&amp;utm_campaign="&amp;X896&amp;"&amp;utm_content="&amp;Y896)</f>
        <v/>
      </c>
      <c r="AA896" s="29"/>
      <c r="AB896" s="39"/>
      <c r="AC896" s="32"/>
      <c r="AD896" s="32"/>
      <c r="AE896" s="32"/>
      <c r="AF896" s="32"/>
      <c r="AG896" s="32"/>
      <c r="AH896" s="32"/>
      <c r="AI896" s="32"/>
      <c r="AJ896" s="32"/>
      <c r="AK896" s="32"/>
      <c r="AL896" s="32"/>
      <c r="AM896" s="32"/>
      <c r="AN896" s="32"/>
      <c r="AO896" s="33" t="str">
        <f aca="false">IF(A896="","",IF(AD896&lt;&gt;"",AD896,IF(AC896&lt;&gt;"",AC896,"")))</f>
        <v/>
      </c>
      <c r="AP896" s="24" t="str">
        <f aca="false">IF(AO896="","",IF(AD896&lt;&gt;"","Reported reach","Impressions (proxy)"))</f>
        <v/>
      </c>
      <c r="AQ896" s="34" t="str">
        <f aca="false">IF(OR(AO896="",N(S896)=0),"",AO896/S896)</f>
        <v/>
      </c>
      <c r="AR896" s="33" t="str">
        <f aca="false">IF(A896="","",IF(COUNT(AF896:AJ896)=0,"",SUM(AF896:AJ896)))</f>
        <v/>
      </c>
      <c r="AS896" s="34" t="str">
        <f aca="false">IF(OR(AR896="",N(AO896)=0),"",AR896/AO896)</f>
        <v/>
      </c>
      <c r="AT896" s="34" t="str">
        <f aca="false">IF(OR(AR896="",N(AC896)=0),"",AR896/AC896)</f>
        <v/>
      </c>
      <c r="AU896" s="34" t="str">
        <f aca="false">IF(OR(AR896="",N(S896)=0),"",AR896/S896)</f>
        <v/>
      </c>
      <c r="AV896" s="34" t="str">
        <f aca="false">IF(OR(AJ896="",N(AC896)=0),"",AJ896/AC896)</f>
        <v/>
      </c>
      <c r="AW896" s="34" t="str">
        <f aca="false">IF(OR(AH896="",N(AO896)=0),"",AH896/AO896)</f>
        <v/>
      </c>
      <c r="AX896" s="35" t="str">
        <f aca="false">IF(OR(AR896="",N(AO896)=0),"",(N(AF896)*Settings!$B$6+N(AG896)*Settings!$B$7+N(AH896)*Settings!$B$8+N(AI896)*Settings!$B$9+N(AJ896)*Settings!$B$10)/AO896*1000)</f>
        <v/>
      </c>
      <c r="AY896" s="36" t="str">
        <f aca="false">IF(AS896="","",IFERROR(AS896/AVERAGEIFS('Post Tracker'!$AS$5:$AS$1004,'Post Tracker'!$G$5:$G$1004,G896),""))</f>
        <v/>
      </c>
      <c r="AZ896" s="32"/>
      <c r="BA896" s="32"/>
      <c r="BB896" s="32"/>
      <c r="BC896" s="32"/>
      <c r="BD896" s="33" t="str">
        <f aca="false">IF(A896="","",COUNTIFS('Demo Pipeline'!$Q$5:$Q$504,A896))</f>
        <v/>
      </c>
      <c r="BE896" s="33" t="str">
        <f aca="false">IF(A896="","",COUNTIFS('Demo Pipeline'!$Q$5:$Q$504,A896,'Demo Pipeline'!$W$5:$W$504,"Attended"))</f>
        <v/>
      </c>
      <c r="BF896" s="33" t="str">
        <f aca="false">IF(A896="","",COUNTIFS('Demo Pipeline'!$Q$5:$Q$504,A896,'Demo Pipeline'!$X$5:$X$504,"Yes"))</f>
        <v/>
      </c>
      <c r="BG896" s="33" t="str">
        <f aca="false">IF(A896="","",COUNTIFS('Demo Pipeline'!$Q$5:$Q$504,A896,'Demo Pipeline'!$Y$5:$Y$504,"Closed Won"))</f>
        <v/>
      </c>
      <c r="BH896" s="37" t="str">
        <f aca="false">IF(A896="","",SUMIFS('Demo Pipeline'!$Z$5:$Z$504,'Demo Pipeline'!$Q$5:$Q$504,A896))</f>
        <v/>
      </c>
      <c r="BI896" s="34" t="str">
        <f aca="false">IF(OR(AZ896="",N(AJ896)=0),"",AZ896/AJ896)</f>
        <v/>
      </c>
      <c r="BJ896" s="34" t="str">
        <f aca="false">IF(OR(BB896="",N(AZ896)=0),"",BB896/AZ896)</f>
        <v/>
      </c>
      <c r="BK896" s="34" t="str">
        <f aca="false">IF(OR(A896="",N(BB896)=0),"",BD896/BB896)</f>
        <v/>
      </c>
      <c r="BL896" s="34" t="str">
        <f aca="false">IF(OR(A896="",N(AZ896)=0),"",BD896/AZ896)</f>
        <v/>
      </c>
      <c r="BM896" s="37" t="str">
        <f aca="false">IF(OR(N(Q896)=0,N(BD896)=0),"",Q896/BD896)</f>
        <v/>
      </c>
      <c r="BN896" s="29"/>
      <c r="BO896" s="29"/>
      <c r="BP896" s="33" t="str">
        <f aca="false">IF(OR(AR896="",N(AO896)=0),"",AR896)</f>
        <v/>
      </c>
      <c r="BQ896" s="33" t="str">
        <f aca="false">IF(OR(AR896="",N(S896)=0),"",S896)</f>
        <v/>
      </c>
      <c r="BR896" s="38" t="str">
        <f aca="false">IF(AND(ISNUMBER(B896),B896&gt;=Dashboard!$C$4,B896&lt;=Dashboard!$F$4,ISNUMBER(AU896)),AU896+ROW()/10^9,"")</f>
        <v/>
      </c>
      <c r="BS896" s="38" t="str">
        <f aca="false">IF(AND(ISNUMBER(B896),B896&gt;=Dashboard!$C$4,B896&lt;=Dashboard!$F$4,A896&lt;&gt;""),N(BD896)+N(AU896)/100+ROW()/10^9,"")</f>
        <v/>
      </c>
    </row>
    <row r="897" customFormat="false" ht="15" hidden="false" customHeight="false" outlineLevel="0" collapsed="false">
      <c r="A897" s="24" t="str">
        <f aca="false">IF(OR(B897="",G897="",H897=""),"",IFERROR(INDEX(Settings!$E$5:$E$49,MATCH(G897,Settings!$D$5:$D$49,0))&amp;INDEX(Settings!$H$5:$H$47,MATCH(H897,Settings!$G$5:$G$47,0))&amp;"-"&amp;TEXT(B897,"yymmdd")&amp;"-"&amp;IF(C897="","0000",TEXT(C897,"hhmm")),"CHECK LISTS"))</f>
        <v/>
      </c>
      <c r="B897" s="39"/>
      <c r="C897" s="40"/>
      <c r="D897" s="24" t="str">
        <f aca="false">IF(B897="","",TEXT(B897,"ddd"))</f>
        <v/>
      </c>
      <c r="E897" s="27" t="str">
        <f aca="false">IF(B897="","",B897-WEEKDAY(B897,3))</f>
        <v/>
      </c>
      <c r="F897" s="24" t="str">
        <f aca="false">IF(B897="","",TEXT(B897,"yyyy-mm"))</f>
        <v/>
      </c>
      <c r="G897" s="29"/>
      <c r="H897" s="29"/>
      <c r="I897" s="29"/>
      <c r="J897" s="29"/>
      <c r="K897" s="29"/>
      <c r="L897" s="29"/>
      <c r="M897" s="29"/>
      <c r="N897" s="29"/>
      <c r="O897" s="29"/>
      <c r="P897" s="29"/>
      <c r="Q897" s="30"/>
      <c r="R897" s="29"/>
      <c r="S897" s="32"/>
      <c r="T897" s="29"/>
      <c r="U897" s="29"/>
      <c r="V897" s="24" t="str">
        <f aca="false">IF(A897="","",IFERROR(INDEX(Settings!$F$5:$F$49,MATCH(G897,Settings!$D$5:$D$49,0)),""))</f>
        <v/>
      </c>
      <c r="W897" s="24" t="str">
        <f aca="false">IF(A897="","",IF(OR(P897="",P897="Organic"),"social","paid_social"))</f>
        <v/>
      </c>
      <c r="X897" s="24" t="str">
        <f aca="false">IF(A897="","",IF(K897&lt;&gt;"",IFERROR(INDEX('Case Studies'!$C$5:$C$54,MATCH(K897,'Case Studies'!$B$5:$B$54,0))&amp;"","case-study"),IF(J897&lt;&gt;"",IFERROR(INDEX(Settings!$J$5:$J$55,MATCH(J897,Settings!$I$5:$I$55,0)),"general"),"general")))</f>
        <v/>
      </c>
      <c r="Y897" s="24" t="str">
        <f aca="false">IF(A897="","",LOWER(A897))</f>
        <v/>
      </c>
      <c r="Z897" s="24" t="str">
        <f aca="false">IF(A897="","",IF(T897="",Settings!$B$5,T897)&amp;IF(ISNUMBER(FIND("?",IF(T897="",Settings!$B$5,T897))),"&amp;","?")&amp;"utm_source="&amp;V897&amp;"&amp;utm_medium="&amp;W897&amp;"&amp;utm_campaign="&amp;X897&amp;"&amp;utm_content="&amp;Y897)</f>
        <v/>
      </c>
      <c r="AA897" s="29"/>
      <c r="AB897" s="39"/>
      <c r="AC897" s="32"/>
      <c r="AD897" s="32"/>
      <c r="AE897" s="32"/>
      <c r="AF897" s="32"/>
      <c r="AG897" s="32"/>
      <c r="AH897" s="32"/>
      <c r="AI897" s="32"/>
      <c r="AJ897" s="32"/>
      <c r="AK897" s="32"/>
      <c r="AL897" s="32"/>
      <c r="AM897" s="32"/>
      <c r="AN897" s="32"/>
      <c r="AO897" s="33" t="str">
        <f aca="false">IF(A897="","",IF(AD897&lt;&gt;"",AD897,IF(AC897&lt;&gt;"",AC897,"")))</f>
        <v/>
      </c>
      <c r="AP897" s="24" t="str">
        <f aca="false">IF(AO897="","",IF(AD897&lt;&gt;"","Reported reach","Impressions (proxy)"))</f>
        <v/>
      </c>
      <c r="AQ897" s="34" t="str">
        <f aca="false">IF(OR(AO897="",N(S897)=0),"",AO897/S897)</f>
        <v/>
      </c>
      <c r="AR897" s="33" t="str">
        <f aca="false">IF(A897="","",IF(COUNT(AF897:AJ897)=0,"",SUM(AF897:AJ897)))</f>
        <v/>
      </c>
      <c r="AS897" s="34" t="str">
        <f aca="false">IF(OR(AR897="",N(AO897)=0),"",AR897/AO897)</f>
        <v/>
      </c>
      <c r="AT897" s="34" t="str">
        <f aca="false">IF(OR(AR897="",N(AC897)=0),"",AR897/AC897)</f>
        <v/>
      </c>
      <c r="AU897" s="34" t="str">
        <f aca="false">IF(OR(AR897="",N(S897)=0),"",AR897/S897)</f>
        <v/>
      </c>
      <c r="AV897" s="34" t="str">
        <f aca="false">IF(OR(AJ897="",N(AC897)=0),"",AJ897/AC897)</f>
        <v/>
      </c>
      <c r="AW897" s="34" t="str">
        <f aca="false">IF(OR(AH897="",N(AO897)=0),"",AH897/AO897)</f>
        <v/>
      </c>
      <c r="AX897" s="35" t="str">
        <f aca="false">IF(OR(AR897="",N(AO897)=0),"",(N(AF897)*Settings!$B$6+N(AG897)*Settings!$B$7+N(AH897)*Settings!$B$8+N(AI897)*Settings!$B$9+N(AJ897)*Settings!$B$10)/AO897*1000)</f>
        <v/>
      </c>
      <c r="AY897" s="36" t="str">
        <f aca="false">IF(AS897="","",IFERROR(AS897/AVERAGEIFS('Post Tracker'!$AS$5:$AS$1004,'Post Tracker'!$G$5:$G$1004,G897),""))</f>
        <v/>
      </c>
      <c r="AZ897" s="32"/>
      <c r="BA897" s="32"/>
      <c r="BB897" s="32"/>
      <c r="BC897" s="32"/>
      <c r="BD897" s="33" t="str">
        <f aca="false">IF(A897="","",COUNTIFS('Demo Pipeline'!$Q$5:$Q$504,A897))</f>
        <v/>
      </c>
      <c r="BE897" s="33" t="str">
        <f aca="false">IF(A897="","",COUNTIFS('Demo Pipeline'!$Q$5:$Q$504,A897,'Demo Pipeline'!$W$5:$W$504,"Attended"))</f>
        <v/>
      </c>
      <c r="BF897" s="33" t="str">
        <f aca="false">IF(A897="","",COUNTIFS('Demo Pipeline'!$Q$5:$Q$504,A897,'Demo Pipeline'!$X$5:$X$504,"Yes"))</f>
        <v/>
      </c>
      <c r="BG897" s="33" t="str">
        <f aca="false">IF(A897="","",COUNTIFS('Demo Pipeline'!$Q$5:$Q$504,A897,'Demo Pipeline'!$Y$5:$Y$504,"Closed Won"))</f>
        <v/>
      </c>
      <c r="BH897" s="37" t="str">
        <f aca="false">IF(A897="","",SUMIFS('Demo Pipeline'!$Z$5:$Z$504,'Demo Pipeline'!$Q$5:$Q$504,A897))</f>
        <v/>
      </c>
      <c r="BI897" s="34" t="str">
        <f aca="false">IF(OR(AZ897="",N(AJ897)=0),"",AZ897/AJ897)</f>
        <v/>
      </c>
      <c r="BJ897" s="34" t="str">
        <f aca="false">IF(OR(BB897="",N(AZ897)=0),"",BB897/AZ897)</f>
        <v/>
      </c>
      <c r="BK897" s="34" t="str">
        <f aca="false">IF(OR(A897="",N(BB897)=0),"",BD897/BB897)</f>
        <v/>
      </c>
      <c r="BL897" s="34" t="str">
        <f aca="false">IF(OR(A897="",N(AZ897)=0),"",BD897/AZ897)</f>
        <v/>
      </c>
      <c r="BM897" s="37" t="str">
        <f aca="false">IF(OR(N(Q897)=0,N(BD897)=0),"",Q897/BD897)</f>
        <v/>
      </c>
      <c r="BN897" s="29"/>
      <c r="BO897" s="29"/>
      <c r="BP897" s="33" t="str">
        <f aca="false">IF(OR(AR897="",N(AO897)=0),"",AR897)</f>
        <v/>
      </c>
      <c r="BQ897" s="33" t="str">
        <f aca="false">IF(OR(AR897="",N(S897)=0),"",S897)</f>
        <v/>
      </c>
      <c r="BR897" s="38" t="str">
        <f aca="false">IF(AND(ISNUMBER(B897),B897&gt;=Dashboard!$C$4,B897&lt;=Dashboard!$F$4,ISNUMBER(AU897)),AU897+ROW()/10^9,"")</f>
        <v/>
      </c>
      <c r="BS897" s="38" t="str">
        <f aca="false">IF(AND(ISNUMBER(B897),B897&gt;=Dashboard!$C$4,B897&lt;=Dashboard!$F$4,A897&lt;&gt;""),N(BD897)+N(AU897)/100+ROW()/10^9,"")</f>
        <v/>
      </c>
    </row>
    <row r="898" customFormat="false" ht="15" hidden="false" customHeight="false" outlineLevel="0" collapsed="false">
      <c r="A898" s="24" t="str">
        <f aca="false">IF(OR(B898="",G898="",H898=""),"",IFERROR(INDEX(Settings!$E$5:$E$49,MATCH(G898,Settings!$D$5:$D$49,0))&amp;INDEX(Settings!$H$5:$H$47,MATCH(H898,Settings!$G$5:$G$47,0))&amp;"-"&amp;TEXT(B898,"yymmdd")&amp;"-"&amp;IF(C898="","0000",TEXT(C898,"hhmm")),"CHECK LISTS"))</f>
        <v/>
      </c>
      <c r="B898" s="39"/>
      <c r="C898" s="40"/>
      <c r="D898" s="24" t="str">
        <f aca="false">IF(B898="","",TEXT(B898,"ddd"))</f>
        <v/>
      </c>
      <c r="E898" s="27" t="str">
        <f aca="false">IF(B898="","",B898-WEEKDAY(B898,3))</f>
        <v/>
      </c>
      <c r="F898" s="24" t="str">
        <f aca="false">IF(B898="","",TEXT(B898,"yyyy-mm"))</f>
        <v/>
      </c>
      <c r="G898" s="29"/>
      <c r="H898" s="29"/>
      <c r="I898" s="29"/>
      <c r="J898" s="29"/>
      <c r="K898" s="29"/>
      <c r="L898" s="29"/>
      <c r="M898" s="29"/>
      <c r="N898" s="29"/>
      <c r="O898" s="29"/>
      <c r="P898" s="29"/>
      <c r="Q898" s="30"/>
      <c r="R898" s="29"/>
      <c r="S898" s="32"/>
      <c r="T898" s="29"/>
      <c r="U898" s="29"/>
      <c r="V898" s="24" t="str">
        <f aca="false">IF(A898="","",IFERROR(INDEX(Settings!$F$5:$F$49,MATCH(G898,Settings!$D$5:$D$49,0)),""))</f>
        <v/>
      </c>
      <c r="W898" s="24" t="str">
        <f aca="false">IF(A898="","",IF(OR(P898="",P898="Organic"),"social","paid_social"))</f>
        <v/>
      </c>
      <c r="X898" s="24" t="str">
        <f aca="false">IF(A898="","",IF(K898&lt;&gt;"",IFERROR(INDEX('Case Studies'!$C$5:$C$54,MATCH(K898,'Case Studies'!$B$5:$B$54,0))&amp;"","case-study"),IF(J898&lt;&gt;"",IFERROR(INDEX(Settings!$J$5:$J$55,MATCH(J898,Settings!$I$5:$I$55,0)),"general"),"general")))</f>
        <v/>
      </c>
      <c r="Y898" s="24" t="str">
        <f aca="false">IF(A898="","",LOWER(A898))</f>
        <v/>
      </c>
      <c r="Z898" s="24" t="str">
        <f aca="false">IF(A898="","",IF(T898="",Settings!$B$5,T898)&amp;IF(ISNUMBER(FIND("?",IF(T898="",Settings!$B$5,T898))),"&amp;","?")&amp;"utm_source="&amp;V898&amp;"&amp;utm_medium="&amp;W898&amp;"&amp;utm_campaign="&amp;X898&amp;"&amp;utm_content="&amp;Y898)</f>
        <v/>
      </c>
      <c r="AA898" s="29"/>
      <c r="AB898" s="39"/>
      <c r="AC898" s="32"/>
      <c r="AD898" s="32"/>
      <c r="AE898" s="32"/>
      <c r="AF898" s="32"/>
      <c r="AG898" s="32"/>
      <c r="AH898" s="32"/>
      <c r="AI898" s="32"/>
      <c r="AJ898" s="32"/>
      <c r="AK898" s="32"/>
      <c r="AL898" s="32"/>
      <c r="AM898" s="32"/>
      <c r="AN898" s="32"/>
      <c r="AO898" s="33" t="str">
        <f aca="false">IF(A898="","",IF(AD898&lt;&gt;"",AD898,IF(AC898&lt;&gt;"",AC898,"")))</f>
        <v/>
      </c>
      <c r="AP898" s="24" t="str">
        <f aca="false">IF(AO898="","",IF(AD898&lt;&gt;"","Reported reach","Impressions (proxy)"))</f>
        <v/>
      </c>
      <c r="AQ898" s="34" t="str">
        <f aca="false">IF(OR(AO898="",N(S898)=0),"",AO898/S898)</f>
        <v/>
      </c>
      <c r="AR898" s="33" t="str">
        <f aca="false">IF(A898="","",IF(COUNT(AF898:AJ898)=0,"",SUM(AF898:AJ898)))</f>
        <v/>
      </c>
      <c r="AS898" s="34" t="str">
        <f aca="false">IF(OR(AR898="",N(AO898)=0),"",AR898/AO898)</f>
        <v/>
      </c>
      <c r="AT898" s="34" t="str">
        <f aca="false">IF(OR(AR898="",N(AC898)=0),"",AR898/AC898)</f>
        <v/>
      </c>
      <c r="AU898" s="34" t="str">
        <f aca="false">IF(OR(AR898="",N(S898)=0),"",AR898/S898)</f>
        <v/>
      </c>
      <c r="AV898" s="34" t="str">
        <f aca="false">IF(OR(AJ898="",N(AC898)=0),"",AJ898/AC898)</f>
        <v/>
      </c>
      <c r="AW898" s="34" t="str">
        <f aca="false">IF(OR(AH898="",N(AO898)=0),"",AH898/AO898)</f>
        <v/>
      </c>
      <c r="AX898" s="35" t="str">
        <f aca="false">IF(OR(AR898="",N(AO898)=0),"",(N(AF898)*Settings!$B$6+N(AG898)*Settings!$B$7+N(AH898)*Settings!$B$8+N(AI898)*Settings!$B$9+N(AJ898)*Settings!$B$10)/AO898*1000)</f>
        <v/>
      </c>
      <c r="AY898" s="36" t="str">
        <f aca="false">IF(AS898="","",IFERROR(AS898/AVERAGEIFS('Post Tracker'!$AS$5:$AS$1004,'Post Tracker'!$G$5:$G$1004,G898),""))</f>
        <v/>
      </c>
      <c r="AZ898" s="32"/>
      <c r="BA898" s="32"/>
      <c r="BB898" s="32"/>
      <c r="BC898" s="32"/>
      <c r="BD898" s="33" t="str">
        <f aca="false">IF(A898="","",COUNTIFS('Demo Pipeline'!$Q$5:$Q$504,A898))</f>
        <v/>
      </c>
      <c r="BE898" s="33" t="str">
        <f aca="false">IF(A898="","",COUNTIFS('Demo Pipeline'!$Q$5:$Q$504,A898,'Demo Pipeline'!$W$5:$W$504,"Attended"))</f>
        <v/>
      </c>
      <c r="BF898" s="33" t="str">
        <f aca="false">IF(A898="","",COUNTIFS('Demo Pipeline'!$Q$5:$Q$504,A898,'Demo Pipeline'!$X$5:$X$504,"Yes"))</f>
        <v/>
      </c>
      <c r="BG898" s="33" t="str">
        <f aca="false">IF(A898="","",COUNTIFS('Demo Pipeline'!$Q$5:$Q$504,A898,'Demo Pipeline'!$Y$5:$Y$504,"Closed Won"))</f>
        <v/>
      </c>
      <c r="BH898" s="37" t="str">
        <f aca="false">IF(A898="","",SUMIFS('Demo Pipeline'!$Z$5:$Z$504,'Demo Pipeline'!$Q$5:$Q$504,A898))</f>
        <v/>
      </c>
      <c r="BI898" s="34" t="str">
        <f aca="false">IF(OR(AZ898="",N(AJ898)=0),"",AZ898/AJ898)</f>
        <v/>
      </c>
      <c r="BJ898" s="34" t="str">
        <f aca="false">IF(OR(BB898="",N(AZ898)=0),"",BB898/AZ898)</f>
        <v/>
      </c>
      <c r="BK898" s="34" t="str">
        <f aca="false">IF(OR(A898="",N(BB898)=0),"",BD898/BB898)</f>
        <v/>
      </c>
      <c r="BL898" s="34" t="str">
        <f aca="false">IF(OR(A898="",N(AZ898)=0),"",BD898/AZ898)</f>
        <v/>
      </c>
      <c r="BM898" s="37" t="str">
        <f aca="false">IF(OR(N(Q898)=0,N(BD898)=0),"",Q898/BD898)</f>
        <v/>
      </c>
      <c r="BN898" s="29"/>
      <c r="BO898" s="29"/>
      <c r="BP898" s="33" t="str">
        <f aca="false">IF(OR(AR898="",N(AO898)=0),"",AR898)</f>
        <v/>
      </c>
      <c r="BQ898" s="33" t="str">
        <f aca="false">IF(OR(AR898="",N(S898)=0),"",S898)</f>
        <v/>
      </c>
      <c r="BR898" s="38" t="str">
        <f aca="false">IF(AND(ISNUMBER(B898),B898&gt;=Dashboard!$C$4,B898&lt;=Dashboard!$F$4,ISNUMBER(AU898)),AU898+ROW()/10^9,"")</f>
        <v/>
      </c>
      <c r="BS898" s="38" t="str">
        <f aca="false">IF(AND(ISNUMBER(B898),B898&gt;=Dashboard!$C$4,B898&lt;=Dashboard!$F$4,A898&lt;&gt;""),N(BD898)+N(AU898)/100+ROW()/10^9,"")</f>
        <v/>
      </c>
    </row>
    <row r="899" customFormat="false" ht="15" hidden="false" customHeight="false" outlineLevel="0" collapsed="false">
      <c r="A899" s="24" t="str">
        <f aca="false">IF(OR(B899="",G899="",H899=""),"",IFERROR(INDEX(Settings!$E$5:$E$49,MATCH(G899,Settings!$D$5:$D$49,0))&amp;INDEX(Settings!$H$5:$H$47,MATCH(H899,Settings!$G$5:$G$47,0))&amp;"-"&amp;TEXT(B899,"yymmdd")&amp;"-"&amp;IF(C899="","0000",TEXT(C899,"hhmm")),"CHECK LISTS"))</f>
        <v/>
      </c>
      <c r="B899" s="39"/>
      <c r="C899" s="40"/>
      <c r="D899" s="24" t="str">
        <f aca="false">IF(B899="","",TEXT(B899,"ddd"))</f>
        <v/>
      </c>
      <c r="E899" s="27" t="str">
        <f aca="false">IF(B899="","",B899-WEEKDAY(B899,3))</f>
        <v/>
      </c>
      <c r="F899" s="24" t="str">
        <f aca="false">IF(B899="","",TEXT(B899,"yyyy-mm"))</f>
        <v/>
      </c>
      <c r="G899" s="29"/>
      <c r="H899" s="29"/>
      <c r="I899" s="29"/>
      <c r="J899" s="29"/>
      <c r="K899" s="29"/>
      <c r="L899" s="29"/>
      <c r="M899" s="29"/>
      <c r="N899" s="29"/>
      <c r="O899" s="29"/>
      <c r="P899" s="29"/>
      <c r="Q899" s="30"/>
      <c r="R899" s="29"/>
      <c r="S899" s="32"/>
      <c r="T899" s="29"/>
      <c r="U899" s="29"/>
      <c r="V899" s="24" t="str">
        <f aca="false">IF(A899="","",IFERROR(INDEX(Settings!$F$5:$F$49,MATCH(G899,Settings!$D$5:$D$49,0)),""))</f>
        <v/>
      </c>
      <c r="W899" s="24" t="str">
        <f aca="false">IF(A899="","",IF(OR(P899="",P899="Organic"),"social","paid_social"))</f>
        <v/>
      </c>
      <c r="X899" s="24" t="str">
        <f aca="false">IF(A899="","",IF(K899&lt;&gt;"",IFERROR(INDEX('Case Studies'!$C$5:$C$54,MATCH(K899,'Case Studies'!$B$5:$B$54,0))&amp;"","case-study"),IF(J899&lt;&gt;"",IFERROR(INDEX(Settings!$J$5:$J$55,MATCH(J899,Settings!$I$5:$I$55,0)),"general"),"general")))</f>
        <v/>
      </c>
      <c r="Y899" s="24" t="str">
        <f aca="false">IF(A899="","",LOWER(A899))</f>
        <v/>
      </c>
      <c r="Z899" s="24" t="str">
        <f aca="false">IF(A899="","",IF(T899="",Settings!$B$5,T899)&amp;IF(ISNUMBER(FIND("?",IF(T899="",Settings!$B$5,T899))),"&amp;","?")&amp;"utm_source="&amp;V899&amp;"&amp;utm_medium="&amp;W899&amp;"&amp;utm_campaign="&amp;X899&amp;"&amp;utm_content="&amp;Y899)</f>
        <v/>
      </c>
      <c r="AA899" s="29"/>
      <c r="AB899" s="39"/>
      <c r="AC899" s="32"/>
      <c r="AD899" s="32"/>
      <c r="AE899" s="32"/>
      <c r="AF899" s="32"/>
      <c r="AG899" s="32"/>
      <c r="AH899" s="32"/>
      <c r="AI899" s="32"/>
      <c r="AJ899" s="32"/>
      <c r="AK899" s="32"/>
      <c r="AL899" s="32"/>
      <c r="AM899" s="32"/>
      <c r="AN899" s="32"/>
      <c r="AO899" s="33" t="str">
        <f aca="false">IF(A899="","",IF(AD899&lt;&gt;"",AD899,IF(AC899&lt;&gt;"",AC899,"")))</f>
        <v/>
      </c>
      <c r="AP899" s="24" t="str">
        <f aca="false">IF(AO899="","",IF(AD899&lt;&gt;"","Reported reach","Impressions (proxy)"))</f>
        <v/>
      </c>
      <c r="AQ899" s="34" t="str">
        <f aca="false">IF(OR(AO899="",N(S899)=0),"",AO899/S899)</f>
        <v/>
      </c>
      <c r="AR899" s="33" t="str">
        <f aca="false">IF(A899="","",IF(COUNT(AF899:AJ899)=0,"",SUM(AF899:AJ899)))</f>
        <v/>
      </c>
      <c r="AS899" s="34" t="str">
        <f aca="false">IF(OR(AR899="",N(AO899)=0),"",AR899/AO899)</f>
        <v/>
      </c>
      <c r="AT899" s="34" t="str">
        <f aca="false">IF(OR(AR899="",N(AC899)=0),"",AR899/AC899)</f>
        <v/>
      </c>
      <c r="AU899" s="34" t="str">
        <f aca="false">IF(OR(AR899="",N(S899)=0),"",AR899/S899)</f>
        <v/>
      </c>
      <c r="AV899" s="34" t="str">
        <f aca="false">IF(OR(AJ899="",N(AC899)=0),"",AJ899/AC899)</f>
        <v/>
      </c>
      <c r="AW899" s="34" t="str">
        <f aca="false">IF(OR(AH899="",N(AO899)=0),"",AH899/AO899)</f>
        <v/>
      </c>
      <c r="AX899" s="35" t="str">
        <f aca="false">IF(OR(AR899="",N(AO899)=0),"",(N(AF899)*Settings!$B$6+N(AG899)*Settings!$B$7+N(AH899)*Settings!$B$8+N(AI899)*Settings!$B$9+N(AJ899)*Settings!$B$10)/AO899*1000)</f>
        <v/>
      </c>
      <c r="AY899" s="36" t="str">
        <f aca="false">IF(AS899="","",IFERROR(AS899/AVERAGEIFS('Post Tracker'!$AS$5:$AS$1004,'Post Tracker'!$G$5:$G$1004,G899),""))</f>
        <v/>
      </c>
      <c r="AZ899" s="32"/>
      <c r="BA899" s="32"/>
      <c r="BB899" s="32"/>
      <c r="BC899" s="32"/>
      <c r="BD899" s="33" t="str">
        <f aca="false">IF(A899="","",COUNTIFS('Demo Pipeline'!$Q$5:$Q$504,A899))</f>
        <v/>
      </c>
      <c r="BE899" s="33" t="str">
        <f aca="false">IF(A899="","",COUNTIFS('Demo Pipeline'!$Q$5:$Q$504,A899,'Demo Pipeline'!$W$5:$W$504,"Attended"))</f>
        <v/>
      </c>
      <c r="BF899" s="33" t="str">
        <f aca="false">IF(A899="","",COUNTIFS('Demo Pipeline'!$Q$5:$Q$504,A899,'Demo Pipeline'!$X$5:$X$504,"Yes"))</f>
        <v/>
      </c>
      <c r="BG899" s="33" t="str">
        <f aca="false">IF(A899="","",COUNTIFS('Demo Pipeline'!$Q$5:$Q$504,A899,'Demo Pipeline'!$Y$5:$Y$504,"Closed Won"))</f>
        <v/>
      </c>
      <c r="BH899" s="37" t="str">
        <f aca="false">IF(A899="","",SUMIFS('Demo Pipeline'!$Z$5:$Z$504,'Demo Pipeline'!$Q$5:$Q$504,A899))</f>
        <v/>
      </c>
      <c r="BI899" s="34" t="str">
        <f aca="false">IF(OR(AZ899="",N(AJ899)=0),"",AZ899/AJ899)</f>
        <v/>
      </c>
      <c r="BJ899" s="34" t="str">
        <f aca="false">IF(OR(BB899="",N(AZ899)=0),"",BB899/AZ899)</f>
        <v/>
      </c>
      <c r="BK899" s="34" t="str">
        <f aca="false">IF(OR(A899="",N(BB899)=0),"",BD899/BB899)</f>
        <v/>
      </c>
      <c r="BL899" s="34" t="str">
        <f aca="false">IF(OR(A899="",N(AZ899)=0),"",BD899/AZ899)</f>
        <v/>
      </c>
      <c r="BM899" s="37" t="str">
        <f aca="false">IF(OR(N(Q899)=0,N(BD899)=0),"",Q899/BD899)</f>
        <v/>
      </c>
      <c r="BN899" s="29"/>
      <c r="BO899" s="29"/>
      <c r="BP899" s="33" t="str">
        <f aca="false">IF(OR(AR899="",N(AO899)=0),"",AR899)</f>
        <v/>
      </c>
      <c r="BQ899" s="33" t="str">
        <f aca="false">IF(OR(AR899="",N(S899)=0),"",S899)</f>
        <v/>
      </c>
      <c r="BR899" s="38" t="str">
        <f aca="false">IF(AND(ISNUMBER(B899),B899&gt;=Dashboard!$C$4,B899&lt;=Dashboard!$F$4,ISNUMBER(AU899)),AU899+ROW()/10^9,"")</f>
        <v/>
      </c>
      <c r="BS899" s="38" t="str">
        <f aca="false">IF(AND(ISNUMBER(B899),B899&gt;=Dashboard!$C$4,B899&lt;=Dashboard!$F$4,A899&lt;&gt;""),N(BD899)+N(AU899)/100+ROW()/10^9,"")</f>
        <v/>
      </c>
    </row>
    <row r="900" customFormat="false" ht="15" hidden="false" customHeight="false" outlineLevel="0" collapsed="false">
      <c r="A900" s="24" t="str">
        <f aca="false">IF(OR(B900="",G900="",H900=""),"",IFERROR(INDEX(Settings!$E$5:$E$49,MATCH(G900,Settings!$D$5:$D$49,0))&amp;INDEX(Settings!$H$5:$H$47,MATCH(H900,Settings!$G$5:$G$47,0))&amp;"-"&amp;TEXT(B900,"yymmdd")&amp;"-"&amp;IF(C900="","0000",TEXT(C900,"hhmm")),"CHECK LISTS"))</f>
        <v/>
      </c>
      <c r="B900" s="39"/>
      <c r="C900" s="40"/>
      <c r="D900" s="24" t="str">
        <f aca="false">IF(B900="","",TEXT(B900,"ddd"))</f>
        <v/>
      </c>
      <c r="E900" s="27" t="str">
        <f aca="false">IF(B900="","",B900-WEEKDAY(B900,3))</f>
        <v/>
      </c>
      <c r="F900" s="24" t="str">
        <f aca="false">IF(B900="","",TEXT(B900,"yyyy-mm"))</f>
        <v/>
      </c>
      <c r="G900" s="29"/>
      <c r="H900" s="29"/>
      <c r="I900" s="29"/>
      <c r="J900" s="29"/>
      <c r="K900" s="29"/>
      <c r="L900" s="29"/>
      <c r="M900" s="29"/>
      <c r="N900" s="29"/>
      <c r="O900" s="29"/>
      <c r="P900" s="29"/>
      <c r="Q900" s="30"/>
      <c r="R900" s="29"/>
      <c r="S900" s="32"/>
      <c r="T900" s="29"/>
      <c r="U900" s="29"/>
      <c r="V900" s="24" t="str">
        <f aca="false">IF(A900="","",IFERROR(INDEX(Settings!$F$5:$F$49,MATCH(G900,Settings!$D$5:$D$49,0)),""))</f>
        <v/>
      </c>
      <c r="W900" s="24" t="str">
        <f aca="false">IF(A900="","",IF(OR(P900="",P900="Organic"),"social","paid_social"))</f>
        <v/>
      </c>
      <c r="X900" s="24" t="str">
        <f aca="false">IF(A900="","",IF(K900&lt;&gt;"",IFERROR(INDEX('Case Studies'!$C$5:$C$54,MATCH(K900,'Case Studies'!$B$5:$B$54,0))&amp;"","case-study"),IF(J900&lt;&gt;"",IFERROR(INDEX(Settings!$J$5:$J$55,MATCH(J900,Settings!$I$5:$I$55,0)),"general"),"general")))</f>
        <v/>
      </c>
      <c r="Y900" s="24" t="str">
        <f aca="false">IF(A900="","",LOWER(A900))</f>
        <v/>
      </c>
      <c r="Z900" s="24" t="str">
        <f aca="false">IF(A900="","",IF(T900="",Settings!$B$5,T900)&amp;IF(ISNUMBER(FIND("?",IF(T900="",Settings!$B$5,T900))),"&amp;","?")&amp;"utm_source="&amp;V900&amp;"&amp;utm_medium="&amp;W900&amp;"&amp;utm_campaign="&amp;X900&amp;"&amp;utm_content="&amp;Y900)</f>
        <v/>
      </c>
      <c r="AA900" s="29"/>
      <c r="AB900" s="39"/>
      <c r="AC900" s="32"/>
      <c r="AD900" s="32"/>
      <c r="AE900" s="32"/>
      <c r="AF900" s="32"/>
      <c r="AG900" s="32"/>
      <c r="AH900" s="32"/>
      <c r="AI900" s="32"/>
      <c r="AJ900" s="32"/>
      <c r="AK900" s="32"/>
      <c r="AL900" s="32"/>
      <c r="AM900" s="32"/>
      <c r="AN900" s="32"/>
      <c r="AO900" s="33" t="str">
        <f aca="false">IF(A900="","",IF(AD900&lt;&gt;"",AD900,IF(AC900&lt;&gt;"",AC900,"")))</f>
        <v/>
      </c>
      <c r="AP900" s="24" t="str">
        <f aca="false">IF(AO900="","",IF(AD900&lt;&gt;"","Reported reach","Impressions (proxy)"))</f>
        <v/>
      </c>
      <c r="AQ900" s="34" t="str">
        <f aca="false">IF(OR(AO900="",N(S900)=0),"",AO900/S900)</f>
        <v/>
      </c>
      <c r="AR900" s="33" t="str">
        <f aca="false">IF(A900="","",IF(COUNT(AF900:AJ900)=0,"",SUM(AF900:AJ900)))</f>
        <v/>
      </c>
      <c r="AS900" s="34" t="str">
        <f aca="false">IF(OR(AR900="",N(AO900)=0),"",AR900/AO900)</f>
        <v/>
      </c>
      <c r="AT900" s="34" t="str">
        <f aca="false">IF(OR(AR900="",N(AC900)=0),"",AR900/AC900)</f>
        <v/>
      </c>
      <c r="AU900" s="34" t="str">
        <f aca="false">IF(OR(AR900="",N(S900)=0),"",AR900/S900)</f>
        <v/>
      </c>
      <c r="AV900" s="34" t="str">
        <f aca="false">IF(OR(AJ900="",N(AC900)=0),"",AJ900/AC900)</f>
        <v/>
      </c>
      <c r="AW900" s="34" t="str">
        <f aca="false">IF(OR(AH900="",N(AO900)=0),"",AH900/AO900)</f>
        <v/>
      </c>
      <c r="AX900" s="35" t="str">
        <f aca="false">IF(OR(AR900="",N(AO900)=0),"",(N(AF900)*Settings!$B$6+N(AG900)*Settings!$B$7+N(AH900)*Settings!$B$8+N(AI900)*Settings!$B$9+N(AJ900)*Settings!$B$10)/AO900*1000)</f>
        <v/>
      </c>
      <c r="AY900" s="36" t="str">
        <f aca="false">IF(AS900="","",IFERROR(AS900/AVERAGEIFS('Post Tracker'!$AS$5:$AS$1004,'Post Tracker'!$G$5:$G$1004,G900),""))</f>
        <v/>
      </c>
      <c r="AZ900" s="32"/>
      <c r="BA900" s="32"/>
      <c r="BB900" s="32"/>
      <c r="BC900" s="32"/>
      <c r="BD900" s="33" t="str">
        <f aca="false">IF(A900="","",COUNTIFS('Demo Pipeline'!$Q$5:$Q$504,A900))</f>
        <v/>
      </c>
      <c r="BE900" s="33" t="str">
        <f aca="false">IF(A900="","",COUNTIFS('Demo Pipeline'!$Q$5:$Q$504,A900,'Demo Pipeline'!$W$5:$W$504,"Attended"))</f>
        <v/>
      </c>
      <c r="BF900" s="33" t="str">
        <f aca="false">IF(A900="","",COUNTIFS('Demo Pipeline'!$Q$5:$Q$504,A900,'Demo Pipeline'!$X$5:$X$504,"Yes"))</f>
        <v/>
      </c>
      <c r="BG900" s="33" t="str">
        <f aca="false">IF(A900="","",COUNTIFS('Demo Pipeline'!$Q$5:$Q$504,A900,'Demo Pipeline'!$Y$5:$Y$504,"Closed Won"))</f>
        <v/>
      </c>
      <c r="BH900" s="37" t="str">
        <f aca="false">IF(A900="","",SUMIFS('Demo Pipeline'!$Z$5:$Z$504,'Demo Pipeline'!$Q$5:$Q$504,A900))</f>
        <v/>
      </c>
      <c r="BI900" s="34" t="str">
        <f aca="false">IF(OR(AZ900="",N(AJ900)=0),"",AZ900/AJ900)</f>
        <v/>
      </c>
      <c r="BJ900" s="34" t="str">
        <f aca="false">IF(OR(BB900="",N(AZ900)=0),"",BB900/AZ900)</f>
        <v/>
      </c>
      <c r="BK900" s="34" t="str">
        <f aca="false">IF(OR(A900="",N(BB900)=0),"",BD900/BB900)</f>
        <v/>
      </c>
      <c r="BL900" s="34" t="str">
        <f aca="false">IF(OR(A900="",N(AZ900)=0),"",BD900/AZ900)</f>
        <v/>
      </c>
      <c r="BM900" s="37" t="str">
        <f aca="false">IF(OR(N(Q900)=0,N(BD900)=0),"",Q900/BD900)</f>
        <v/>
      </c>
      <c r="BN900" s="29"/>
      <c r="BO900" s="29"/>
      <c r="BP900" s="33" t="str">
        <f aca="false">IF(OR(AR900="",N(AO900)=0),"",AR900)</f>
        <v/>
      </c>
      <c r="BQ900" s="33" t="str">
        <f aca="false">IF(OR(AR900="",N(S900)=0),"",S900)</f>
        <v/>
      </c>
      <c r="BR900" s="38" t="str">
        <f aca="false">IF(AND(ISNUMBER(B900),B900&gt;=Dashboard!$C$4,B900&lt;=Dashboard!$F$4,ISNUMBER(AU900)),AU900+ROW()/10^9,"")</f>
        <v/>
      </c>
      <c r="BS900" s="38" t="str">
        <f aca="false">IF(AND(ISNUMBER(B900),B900&gt;=Dashboard!$C$4,B900&lt;=Dashboard!$F$4,A900&lt;&gt;""),N(BD900)+N(AU900)/100+ROW()/10^9,"")</f>
        <v/>
      </c>
    </row>
    <row r="901" customFormat="false" ht="15" hidden="false" customHeight="false" outlineLevel="0" collapsed="false">
      <c r="A901" s="24" t="str">
        <f aca="false">IF(OR(B901="",G901="",H901=""),"",IFERROR(INDEX(Settings!$E$5:$E$49,MATCH(G901,Settings!$D$5:$D$49,0))&amp;INDEX(Settings!$H$5:$H$47,MATCH(H901,Settings!$G$5:$G$47,0))&amp;"-"&amp;TEXT(B901,"yymmdd")&amp;"-"&amp;IF(C901="","0000",TEXT(C901,"hhmm")),"CHECK LISTS"))</f>
        <v/>
      </c>
      <c r="B901" s="39"/>
      <c r="C901" s="40"/>
      <c r="D901" s="24" t="str">
        <f aca="false">IF(B901="","",TEXT(B901,"ddd"))</f>
        <v/>
      </c>
      <c r="E901" s="27" t="str">
        <f aca="false">IF(B901="","",B901-WEEKDAY(B901,3))</f>
        <v/>
      </c>
      <c r="F901" s="24" t="str">
        <f aca="false">IF(B901="","",TEXT(B901,"yyyy-mm"))</f>
        <v/>
      </c>
      <c r="G901" s="29"/>
      <c r="H901" s="29"/>
      <c r="I901" s="29"/>
      <c r="J901" s="29"/>
      <c r="K901" s="29"/>
      <c r="L901" s="29"/>
      <c r="M901" s="29"/>
      <c r="N901" s="29"/>
      <c r="O901" s="29"/>
      <c r="P901" s="29"/>
      <c r="Q901" s="30"/>
      <c r="R901" s="29"/>
      <c r="S901" s="32"/>
      <c r="T901" s="29"/>
      <c r="U901" s="29"/>
      <c r="V901" s="24" t="str">
        <f aca="false">IF(A901="","",IFERROR(INDEX(Settings!$F$5:$F$49,MATCH(G901,Settings!$D$5:$D$49,0)),""))</f>
        <v/>
      </c>
      <c r="W901" s="24" t="str">
        <f aca="false">IF(A901="","",IF(OR(P901="",P901="Organic"),"social","paid_social"))</f>
        <v/>
      </c>
      <c r="X901" s="24" t="str">
        <f aca="false">IF(A901="","",IF(K901&lt;&gt;"",IFERROR(INDEX('Case Studies'!$C$5:$C$54,MATCH(K901,'Case Studies'!$B$5:$B$54,0))&amp;"","case-study"),IF(J901&lt;&gt;"",IFERROR(INDEX(Settings!$J$5:$J$55,MATCH(J901,Settings!$I$5:$I$55,0)),"general"),"general")))</f>
        <v/>
      </c>
      <c r="Y901" s="24" t="str">
        <f aca="false">IF(A901="","",LOWER(A901))</f>
        <v/>
      </c>
      <c r="Z901" s="24" t="str">
        <f aca="false">IF(A901="","",IF(T901="",Settings!$B$5,T901)&amp;IF(ISNUMBER(FIND("?",IF(T901="",Settings!$B$5,T901))),"&amp;","?")&amp;"utm_source="&amp;V901&amp;"&amp;utm_medium="&amp;W901&amp;"&amp;utm_campaign="&amp;X901&amp;"&amp;utm_content="&amp;Y901)</f>
        <v/>
      </c>
      <c r="AA901" s="29"/>
      <c r="AB901" s="39"/>
      <c r="AC901" s="32"/>
      <c r="AD901" s="32"/>
      <c r="AE901" s="32"/>
      <c r="AF901" s="32"/>
      <c r="AG901" s="32"/>
      <c r="AH901" s="32"/>
      <c r="AI901" s="32"/>
      <c r="AJ901" s="32"/>
      <c r="AK901" s="32"/>
      <c r="AL901" s="32"/>
      <c r="AM901" s="32"/>
      <c r="AN901" s="32"/>
      <c r="AO901" s="33" t="str">
        <f aca="false">IF(A901="","",IF(AD901&lt;&gt;"",AD901,IF(AC901&lt;&gt;"",AC901,"")))</f>
        <v/>
      </c>
      <c r="AP901" s="24" t="str">
        <f aca="false">IF(AO901="","",IF(AD901&lt;&gt;"","Reported reach","Impressions (proxy)"))</f>
        <v/>
      </c>
      <c r="AQ901" s="34" t="str">
        <f aca="false">IF(OR(AO901="",N(S901)=0),"",AO901/S901)</f>
        <v/>
      </c>
      <c r="AR901" s="33" t="str">
        <f aca="false">IF(A901="","",IF(COUNT(AF901:AJ901)=0,"",SUM(AF901:AJ901)))</f>
        <v/>
      </c>
      <c r="AS901" s="34" t="str">
        <f aca="false">IF(OR(AR901="",N(AO901)=0),"",AR901/AO901)</f>
        <v/>
      </c>
      <c r="AT901" s="34" t="str">
        <f aca="false">IF(OR(AR901="",N(AC901)=0),"",AR901/AC901)</f>
        <v/>
      </c>
      <c r="AU901" s="34" t="str">
        <f aca="false">IF(OR(AR901="",N(S901)=0),"",AR901/S901)</f>
        <v/>
      </c>
      <c r="AV901" s="34" t="str">
        <f aca="false">IF(OR(AJ901="",N(AC901)=0),"",AJ901/AC901)</f>
        <v/>
      </c>
      <c r="AW901" s="34" t="str">
        <f aca="false">IF(OR(AH901="",N(AO901)=0),"",AH901/AO901)</f>
        <v/>
      </c>
      <c r="AX901" s="35" t="str">
        <f aca="false">IF(OR(AR901="",N(AO901)=0),"",(N(AF901)*Settings!$B$6+N(AG901)*Settings!$B$7+N(AH901)*Settings!$B$8+N(AI901)*Settings!$B$9+N(AJ901)*Settings!$B$10)/AO901*1000)</f>
        <v/>
      </c>
      <c r="AY901" s="36" t="str">
        <f aca="false">IF(AS901="","",IFERROR(AS901/AVERAGEIFS('Post Tracker'!$AS$5:$AS$1004,'Post Tracker'!$G$5:$G$1004,G901),""))</f>
        <v/>
      </c>
      <c r="AZ901" s="32"/>
      <c r="BA901" s="32"/>
      <c r="BB901" s="32"/>
      <c r="BC901" s="32"/>
      <c r="BD901" s="33" t="str">
        <f aca="false">IF(A901="","",COUNTIFS('Demo Pipeline'!$Q$5:$Q$504,A901))</f>
        <v/>
      </c>
      <c r="BE901" s="33" t="str">
        <f aca="false">IF(A901="","",COUNTIFS('Demo Pipeline'!$Q$5:$Q$504,A901,'Demo Pipeline'!$W$5:$W$504,"Attended"))</f>
        <v/>
      </c>
      <c r="BF901" s="33" t="str">
        <f aca="false">IF(A901="","",COUNTIFS('Demo Pipeline'!$Q$5:$Q$504,A901,'Demo Pipeline'!$X$5:$X$504,"Yes"))</f>
        <v/>
      </c>
      <c r="BG901" s="33" t="str">
        <f aca="false">IF(A901="","",COUNTIFS('Demo Pipeline'!$Q$5:$Q$504,A901,'Demo Pipeline'!$Y$5:$Y$504,"Closed Won"))</f>
        <v/>
      </c>
      <c r="BH901" s="37" t="str">
        <f aca="false">IF(A901="","",SUMIFS('Demo Pipeline'!$Z$5:$Z$504,'Demo Pipeline'!$Q$5:$Q$504,A901))</f>
        <v/>
      </c>
      <c r="BI901" s="34" t="str">
        <f aca="false">IF(OR(AZ901="",N(AJ901)=0),"",AZ901/AJ901)</f>
        <v/>
      </c>
      <c r="BJ901" s="34" t="str">
        <f aca="false">IF(OR(BB901="",N(AZ901)=0),"",BB901/AZ901)</f>
        <v/>
      </c>
      <c r="BK901" s="34" t="str">
        <f aca="false">IF(OR(A901="",N(BB901)=0),"",BD901/BB901)</f>
        <v/>
      </c>
      <c r="BL901" s="34" t="str">
        <f aca="false">IF(OR(A901="",N(AZ901)=0),"",BD901/AZ901)</f>
        <v/>
      </c>
      <c r="BM901" s="37" t="str">
        <f aca="false">IF(OR(N(Q901)=0,N(BD901)=0),"",Q901/BD901)</f>
        <v/>
      </c>
      <c r="BN901" s="29"/>
      <c r="BO901" s="29"/>
      <c r="BP901" s="33" t="str">
        <f aca="false">IF(OR(AR901="",N(AO901)=0),"",AR901)</f>
        <v/>
      </c>
      <c r="BQ901" s="33" t="str">
        <f aca="false">IF(OR(AR901="",N(S901)=0),"",S901)</f>
        <v/>
      </c>
      <c r="BR901" s="38" t="str">
        <f aca="false">IF(AND(ISNUMBER(B901),B901&gt;=Dashboard!$C$4,B901&lt;=Dashboard!$F$4,ISNUMBER(AU901)),AU901+ROW()/10^9,"")</f>
        <v/>
      </c>
      <c r="BS901" s="38" t="str">
        <f aca="false">IF(AND(ISNUMBER(B901),B901&gt;=Dashboard!$C$4,B901&lt;=Dashboard!$F$4,A901&lt;&gt;""),N(BD901)+N(AU901)/100+ROW()/10^9,"")</f>
        <v/>
      </c>
    </row>
    <row r="902" customFormat="false" ht="15" hidden="false" customHeight="false" outlineLevel="0" collapsed="false">
      <c r="A902" s="24" t="str">
        <f aca="false">IF(OR(B902="",G902="",H902=""),"",IFERROR(INDEX(Settings!$E$5:$E$49,MATCH(G902,Settings!$D$5:$D$49,0))&amp;INDEX(Settings!$H$5:$H$47,MATCH(H902,Settings!$G$5:$G$47,0))&amp;"-"&amp;TEXT(B902,"yymmdd")&amp;"-"&amp;IF(C902="","0000",TEXT(C902,"hhmm")),"CHECK LISTS"))</f>
        <v/>
      </c>
      <c r="B902" s="39"/>
      <c r="C902" s="40"/>
      <c r="D902" s="24" t="str">
        <f aca="false">IF(B902="","",TEXT(B902,"ddd"))</f>
        <v/>
      </c>
      <c r="E902" s="27" t="str">
        <f aca="false">IF(B902="","",B902-WEEKDAY(B902,3))</f>
        <v/>
      </c>
      <c r="F902" s="24" t="str">
        <f aca="false">IF(B902="","",TEXT(B902,"yyyy-mm"))</f>
        <v/>
      </c>
      <c r="G902" s="29"/>
      <c r="H902" s="29"/>
      <c r="I902" s="29"/>
      <c r="J902" s="29"/>
      <c r="K902" s="29"/>
      <c r="L902" s="29"/>
      <c r="M902" s="29"/>
      <c r="N902" s="29"/>
      <c r="O902" s="29"/>
      <c r="P902" s="29"/>
      <c r="Q902" s="30"/>
      <c r="R902" s="29"/>
      <c r="S902" s="32"/>
      <c r="T902" s="29"/>
      <c r="U902" s="29"/>
      <c r="V902" s="24" t="str">
        <f aca="false">IF(A902="","",IFERROR(INDEX(Settings!$F$5:$F$49,MATCH(G902,Settings!$D$5:$D$49,0)),""))</f>
        <v/>
      </c>
      <c r="W902" s="24" t="str">
        <f aca="false">IF(A902="","",IF(OR(P902="",P902="Organic"),"social","paid_social"))</f>
        <v/>
      </c>
      <c r="X902" s="24" t="str">
        <f aca="false">IF(A902="","",IF(K902&lt;&gt;"",IFERROR(INDEX('Case Studies'!$C$5:$C$54,MATCH(K902,'Case Studies'!$B$5:$B$54,0))&amp;"","case-study"),IF(J902&lt;&gt;"",IFERROR(INDEX(Settings!$J$5:$J$55,MATCH(J902,Settings!$I$5:$I$55,0)),"general"),"general")))</f>
        <v/>
      </c>
      <c r="Y902" s="24" t="str">
        <f aca="false">IF(A902="","",LOWER(A902))</f>
        <v/>
      </c>
      <c r="Z902" s="24" t="str">
        <f aca="false">IF(A902="","",IF(T902="",Settings!$B$5,T902)&amp;IF(ISNUMBER(FIND("?",IF(T902="",Settings!$B$5,T902))),"&amp;","?")&amp;"utm_source="&amp;V902&amp;"&amp;utm_medium="&amp;W902&amp;"&amp;utm_campaign="&amp;X902&amp;"&amp;utm_content="&amp;Y902)</f>
        <v/>
      </c>
      <c r="AA902" s="29"/>
      <c r="AB902" s="39"/>
      <c r="AC902" s="32"/>
      <c r="AD902" s="32"/>
      <c r="AE902" s="32"/>
      <c r="AF902" s="32"/>
      <c r="AG902" s="32"/>
      <c r="AH902" s="32"/>
      <c r="AI902" s="32"/>
      <c r="AJ902" s="32"/>
      <c r="AK902" s="32"/>
      <c r="AL902" s="32"/>
      <c r="AM902" s="32"/>
      <c r="AN902" s="32"/>
      <c r="AO902" s="33" t="str">
        <f aca="false">IF(A902="","",IF(AD902&lt;&gt;"",AD902,IF(AC902&lt;&gt;"",AC902,"")))</f>
        <v/>
      </c>
      <c r="AP902" s="24" t="str">
        <f aca="false">IF(AO902="","",IF(AD902&lt;&gt;"","Reported reach","Impressions (proxy)"))</f>
        <v/>
      </c>
      <c r="AQ902" s="34" t="str">
        <f aca="false">IF(OR(AO902="",N(S902)=0),"",AO902/S902)</f>
        <v/>
      </c>
      <c r="AR902" s="33" t="str">
        <f aca="false">IF(A902="","",IF(COUNT(AF902:AJ902)=0,"",SUM(AF902:AJ902)))</f>
        <v/>
      </c>
      <c r="AS902" s="34" t="str">
        <f aca="false">IF(OR(AR902="",N(AO902)=0),"",AR902/AO902)</f>
        <v/>
      </c>
      <c r="AT902" s="34" t="str">
        <f aca="false">IF(OR(AR902="",N(AC902)=0),"",AR902/AC902)</f>
        <v/>
      </c>
      <c r="AU902" s="34" t="str">
        <f aca="false">IF(OR(AR902="",N(S902)=0),"",AR902/S902)</f>
        <v/>
      </c>
      <c r="AV902" s="34" t="str">
        <f aca="false">IF(OR(AJ902="",N(AC902)=0),"",AJ902/AC902)</f>
        <v/>
      </c>
      <c r="AW902" s="34" t="str">
        <f aca="false">IF(OR(AH902="",N(AO902)=0),"",AH902/AO902)</f>
        <v/>
      </c>
      <c r="AX902" s="35" t="str">
        <f aca="false">IF(OR(AR902="",N(AO902)=0),"",(N(AF902)*Settings!$B$6+N(AG902)*Settings!$B$7+N(AH902)*Settings!$B$8+N(AI902)*Settings!$B$9+N(AJ902)*Settings!$B$10)/AO902*1000)</f>
        <v/>
      </c>
      <c r="AY902" s="36" t="str">
        <f aca="false">IF(AS902="","",IFERROR(AS902/AVERAGEIFS('Post Tracker'!$AS$5:$AS$1004,'Post Tracker'!$G$5:$G$1004,G902),""))</f>
        <v/>
      </c>
      <c r="AZ902" s="32"/>
      <c r="BA902" s="32"/>
      <c r="BB902" s="32"/>
      <c r="BC902" s="32"/>
      <c r="BD902" s="33" t="str">
        <f aca="false">IF(A902="","",COUNTIFS('Demo Pipeline'!$Q$5:$Q$504,A902))</f>
        <v/>
      </c>
      <c r="BE902" s="33" t="str">
        <f aca="false">IF(A902="","",COUNTIFS('Demo Pipeline'!$Q$5:$Q$504,A902,'Demo Pipeline'!$W$5:$W$504,"Attended"))</f>
        <v/>
      </c>
      <c r="BF902" s="33" t="str">
        <f aca="false">IF(A902="","",COUNTIFS('Demo Pipeline'!$Q$5:$Q$504,A902,'Demo Pipeline'!$X$5:$X$504,"Yes"))</f>
        <v/>
      </c>
      <c r="BG902" s="33" t="str">
        <f aca="false">IF(A902="","",COUNTIFS('Demo Pipeline'!$Q$5:$Q$504,A902,'Demo Pipeline'!$Y$5:$Y$504,"Closed Won"))</f>
        <v/>
      </c>
      <c r="BH902" s="37" t="str">
        <f aca="false">IF(A902="","",SUMIFS('Demo Pipeline'!$Z$5:$Z$504,'Demo Pipeline'!$Q$5:$Q$504,A902))</f>
        <v/>
      </c>
      <c r="BI902" s="34" t="str">
        <f aca="false">IF(OR(AZ902="",N(AJ902)=0),"",AZ902/AJ902)</f>
        <v/>
      </c>
      <c r="BJ902" s="34" t="str">
        <f aca="false">IF(OR(BB902="",N(AZ902)=0),"",BB902/AZ902)</f>
        <v/>
      </c>
      <c r="BK902" s="34" t="str">
        <f aca="false">IF(OR(A902="",N(BB902)=0),"",BD902/BB902)</f>
        <v/>
      </c>
      <c r="BL902" s="34" t="str">
        <f aca="false">IF(OR(A902="",N(AZ902)=0),"",BD902/AZ902)</f>
        <v/>
      </c>
      <c r="BM902" s="37" t="str">
        <f aca="false">IF(OR(N(Q902)=0,N(BD902)=0),"",Q902/BD902)</f>
        <v/>
      </c>
      <c r="BN902" s="29"/>
      <c r="BO902" s="29"/>
      <c r="BP902" s="33" t="str">
        <f aca="false">IF(OR(AR902="",N(AO902)=0),"",AR902)</f>
        <v/>
      </c>
      <c r="BQ902" s="33" t="str">
        <f aca="false">IF(OR(AR902="",N(S902)=0),"",S902)</f>
        <v/>
      </c>
      <c r="BR902" s="38" t="str">
        <f aca="false">IF(AND(ISNUMBER(B902),B902&gt;=Dashboard!$C$4,B902&lt;=Dashboard!$F$4,ISNUMBER(AU902)),AU902+ROW()/10^9,"")</f>
        <v/>
      </c>
      <c r="BS902" s="38" t="str">
        <f aca="false">IF(AND(ISNUMBER(B902),B902&gt;=Dashboard!$C$4,B902&lt;=Dashboard!$F$4,A902&lt;&gt;""),N(BD902)+N(AU902)/100+ROW()/10^9,"")</f>
        <v/>
      </c>
    </row>
    <row r="903" customFormat="false" ht="15" hidden="false" customHeight="false" outlineLevel="0" collapsed="false">
      <c r="A903" s="24" t="str">
        <f aca="false">IF(OR(B903="",G903="",H903=""),"",IFERROR(INDEX(Settings!$E$5:$E$49,MATCH(G903,Settings!$D$5:$D$49,0))&amp;INDEX(Settings!$H$5:$H$47,MATCH(H903,Settings!$G$5:$G$47,0))&amp;"-"&amp;TEXT(B903,"yymmdd")&amp;"-"&amp;IF(C903="","0000",TEXT(C903,"hhmm")),"CHECK LISTS"))</f>
        <v/>
      </c>
      <c r="B903" s="39"/>
      <c r="C903" s="40"/>
      <c r="D903" s="24" t="str">
        <f aca="false">IF(B903="","",TEXT(B903,"ddd"))</f>
        <v/>
      </c>
      <c r="E903" s="27" t="str">
        <f aca="false">IF(B903="","",B903-WEEKDAY(B903,3))</f>
        <v/>
      </c>
      <c r="F903" s="24" t="str">
        <f aca="false">IF(B903="","",TEXT(B903,"yyyy-mm"))</f>
        <v/>
      </c>
      <c r="G903" s="29"/>
      <c r="H903" s="29"/>
      <c r="I903" s="29"/>
      <c r="J903" s="29"/>
      <c r="K903" s="29"/>
      <c r="L903" s="29"/>
      <c r="M903" s="29"/>
      <c r="N903" s="29"/>
      <c r="O903" s="29"/>
      <c r="P903" s="29"/>
      <c r="Q903" s="30"/>
      <c r="R903" s="29"/>
      <c r="S903" s="32"/>
      <c r="T903" s="29"/>
      <c r="U903" s="29"/>
      <c r="V903" s="24" t="str">
        <f aca="false">IF(A903="","",IFERROR(INDEX(Settings!$F$5:$F$49,MATCH(G903,Settings!$D$5:$D$49,0)),""))</f>
        <v/>
      </c>
      <c r="W903" s="24" t="str">
        <f aca="false">IF(A903="","",IF(OR(P903="",P903="Organic"),"social","paid_social"))</f>
        <v/>
      </c>
      <c r="X903" s="24" t="str">
        <f aca="false">IF(A903="","",IF(K903&lt;&gt;"",IFERROR(INDEX('Case Studies'!$C$5:$C$54,MATCH(K903,'Case Studies'!$B$5:$B$54,0))&amp;"","case-study"),IF(J903&lt;&gt;"",IFERROR(INDEX(Settings!$J$5:$J$55,MATCH(J903,Settings!$I$5:$I$55,0)),"general"),"general")))</f>
        <v/>
      </c>
      <c r="Y903" s="24" t="str">
        <f aca="false">IF(A903="","",LOWER(A903))</f>
        <v/>
      </c>
      <c r="Z903" s="24" t="str">
        <f aca="false">IF(A903="","",IF(T903="",Settings!$B$5,T903)&amp;IF(ISNUMBER(FIND("?",IF(T903="",Settings!$B$5,T903))),"&amp;","?")&amp;"utm_source="&amp;V903&amp;"&amp;utm_medium="&amp;W903&amp;"&amp;utm_campaign="&amp;X903&amp;"&amp;utm_content="&amp;Y903)</f>
        <v/>
      </c>
      <c r="AA903" s="29"/>
      <c r="AB903" s="39"/>
      <c r="AC903" s="32"/>
      <c r="AD903" s="32"/>
      <c r="AE903" s="32"/>
      <c r="AF903" s="32"/>
      <c r="AG903" s="32"/>
      <c r="AH903" s="32"/>
      <c r="AI903" s="32"/>
      <c r="AJ903" s="32"/>
      <c r="AK903" s="32"/>
      <c r="AL903" s="32"/>
      <c r="AM903" s="32"/>
      <c r="AN903" s="32"/>
      <c r="AO903" s="33" t="str">
        <f aca="false">IF(A903="","",IF(AD903&lt;&gt;"",AD903,IF(AC903&lt;&gt;"",AC903,"")))</f>
        <v/>
      </c>
      <c r="AP903" s="24" t="str">
        <f aca="false">IF(AO903="","",IF(AD903&lt;&gt;"","Reported reach","Impressions (proxy)"))</f>
        <v/>
      </c>
      <c r="AQ903" s="34" t="str">
        <f aca="false">IF(OR(AO903="",N(S903)=0),"",AO903/S903)</f>
        <v/>
      </c>
      <c r="AR903" s="33" t="str">
        <f aca="false">IF(A903="","",IF(COUNT(AF903:AJ903)=0,"",SUM(AF903:AJ903)))</f>
        <v/>
      </c>
      <c r="AS903" s="34" t="str">
        <f aca="false">IF(OR(AR903="",N(AO903)=0),"",AR903/AO903)</f>
        <v/>
      </c>
      <c r="AT903" s="34" t="str">
        <f aca="false">IF(OR(AR903="",N(AC903)=0),"",AR903/AC903)</f>
        <v/>
      </c>
      <c r="AU903" s="34" t="str">
        <f aca="false">IF(OR(AR903="",N(S903)=0),"",AR903/S903)</f>
        <v/>
      </c>
      <c r="AV903" s="34" t="str">
        <f aca="false">IF(OR(AJ903="",N(AC903)=0),"",AJ903/AC903)</f>
        <v/>
      </c>
      <c r="AW903" s="34" t="str">
        <f aca="false">IF(OR(AH903="",N(AO903)=0),"",AH903/AO903)</f>
        <v/>
      </c>
      <c r="AX903" s="35" t="str">
        <f aca="false">IF(OR(AR903="",N(AO903)=0),"",(N(AF903)*Settings!$B$6+N(AG903)*Settings!$B$7+N(AH903)*Settings!$B$8+N(AI903)*Settings!$B$9+N(AJ903)*Settings!$B$10)/AO903*1000)</f>
        <v/>
      </c>
      <c r="AY903" s="36" t="str">
        <f aca="false">IF(AS903="","",IFERROR(AS903/AVERAGEIFS('Post Tracker'!$AS$5:$AS$1004,'Post Tracker'!$G$5:$G$1004,G903),""))</f>
        <v/>
      </c>
      <c r="AZ903" s="32"/>
      <c r="BA903" s="32"/>
      <c r="BB903" s="32"/>
      <c r="BC903" s="32"/>
      <c r="BD903" s="33" t="str">
        <f aca="false">IF(A903="","",COUNTIFS('Demo Pipeline'!$Q$5:$Q$504,A903))</f>
        <v/>
      </c>
      <c r="BE903" s="33" t="str">
        <f aca="false">IF(A903="","",COUNTIFS('Demo Pipeline'!$Q$5:$Q$504,A903,'Demo Pipeline'!$W$5:$W$504,"Attended"))</f>
        <v/>
      </c>
      <c r="BF903" s="33" t="str">
        <f aca="false">IF(A903="","",COUNTIFS('Demo Pipeline'!$Q$5:$Q$504,A903,'Demo Pipeline'!$X$5:$X$504,"Yes"))</f>
        <v/>
      </c>
      <c r="BG903" s="33" t="str">
        <f aca="false">IF(A903="","",COUNTIFS('Demo Pipeline'!$Q$5:$Q$504,A903,'Demo Pipeline'!$Y$5:$Y$504,"Closed Won"))</f>
        <v/>
      </c>
      <c r="BH903" s="37" t="str">
        <f aca="false">IF(A903="","",SUMIFS('Demo Pipeline'!$Z$5:$Z$504,'Demo Pipeline'!$Q$5:$Q$504,A903))</f>
        <v/>
      </c>
      <c r="BI903" s="34" t="str">
        <f aca="false">IF(OR(AZ903="",N(AJ903)=0),"",AZ903/AJ903)</f>
        <v/>
      </c>
      <c r="BJ903" s="34" t="str">
        <f aca="false">IF(OR(BB903="",N(AZ903)=0),"",BB903/AZ903)</f>
        <v/>
      </c>
      <c r="BK903" s="34" t="str">
        <f aca="false">IF(OR(A903="",N(BB903)=0),"",BD903/BB903)</f>
        <v/>
      </c>
      <c r="BL903" s="34" t="str">
        <f aca="false">IF(OR(A903="",N(AZ903)=0),"",BD903/AZ903)</f>
        <v/>
      </c>
      <c r="BM903" s="37" t="str">
        <f aca="false">IF(OR(N(Q903)=0,N(BD903)=0),"",Q903/BD903)</f>
        <v/>
      </c>
      <c r="BN903" s="29"/>
      <c r="BO903" s="29"/>
      <c r="BP903" s="33" t="str">
        <f aca="false">IF(OR(AR903="",N(AO903)=0),"",AR903)</f>
        <v/>
      </c>
      <c r="BQ903" s="33" t="str">
        <f aca="false">IF(OR(AR903="",N(S903)=0),"",S903)</f>
        <v/>
      </c>
      <c r="BR903" s="38" t="str">
        <f aca="false">IF(AND(ISNUMBER(B903),B903&gt;=Dashboard!$C$4,B903&lt;=Dashboard!$F$4,ISNUMBER(AU903)),AU903+ROW()/10^9,"")</f>
        <v/>
      </c>
      <c r="BS903" s="38" t="str">
        <f aca="false">IF(AND(ISNUMBER(B903),B903&gt;=Dashboard!$C$4,B903&lt;=Dashboard!$F$4,A903&lt;&gt;""),N(BD903)+N(AU903)/100+ROW()/10^9,"")</f>
        <v/>
      </c>
    </row>
    <row r="904" customFormat="false" ht="15" hidden="false" customHeight="false" outlineLevel="0" collapsed="false">
      <c r="A904" s="24" t="str">
        <f aca="false">IF(OR(B904="",G904="",H904=""),"",IFERROR(INDEX(Settings!$E$5:$E$49,MATCH(G904,Settings!$D$5:$D$49,0))&amp;INDEX(Settings!$H$5:$H$47,MATCH(H904,Settings!$G$5:$G$47,0))&amp;"-"&amp;TEXT(B904,"yymmdd")&amp;"-"&amp;IF(C904="","0000",TEXT(C904,"hhmm")),"CHECK LISTS"))</f>
        <v/>
      </c>
      <c r="B904" s="39"/>
      <c r="C904" s="40"/>
      <c r="D904" s="24" t="str">
        <f aca="false">IF(B904="","",TEXT(B904,"ddd"))</f>
        <v/>
      </c>
      <c r="E904" s="27" t="str">
        <f aca="false">IF(B904="","",B904-WEEKDAY(B904,3))</f>
        <v/>
      </c>
      <c r="F904" s="24" t="str">
        <f aca="false">IF(B904="","",TEXT(B904,"yyyy-mm"))</f>
        <v/>
      </c>
      <c r="G904" s="29"/>
      <c r="H904" s="29"/>
      <c r="I904" s="29"/>
      <c r="J904" s="29"/>
      <c r="K904" s="29"/>
      <c r="L904" s="29"/>
      <c r="M904" s="29"/>
      <c r="N904" s="29"/>
      <c r="O904" s="29"/>
      <c r="P904" s="29"/>
      <c r="Q904" s="30"/>
      <c r="R904" s="29"/>
      <c r="S904" s="32"/>
      <c r="T904" s="29"/>
      <c r="U904" s="29"/>
      <c r="V904" s="24" t="str">
        <f aca="false">IF(A904="","",IFERROR(INDEX(Settings!$F$5:$F$49,MATCH(G904,Settings!$D$5:$D$49,0)),""))</f>
        <v/>
      </c>
      <c r="W904" s="24" t="str">
        <f aca="false">IF(A904="","",IF(OR(P904="",P904="Organic"),"social","paid_social"))</f>
        <v/>
      </c>
      <c r="X904" s="24" t="str">
        <f aca="false">IF(A904="","",IF(K904&lt;&gt;"",IFERROR(INDEX('Case Studies'!$C$5:$C$54,MATCH(K904,'Case Studies'!$B$5:$B$54,0))&amp;"","case-study"),IF(J904&lt;&gt;"",IFERROR(INDEX(Settings!$J$5:$J$55,MATCH(J904,Settings!$I$5:$I$55,0)),"general"),"general")))</f>
        <v/>
      </c>
      <c r="Y904" s="24" t="str">
        <f aca="false">IF(A904="","",LOWER(A904))</f>
        <v/>
      </c>
      <c r="Z904" s="24" t="str">
        <f aca="false">IF(A904="","",IF(T904="",Settings!$B$5,T904)&amp;IF(ISNUMBER(FIND("?",IF(T904="",Settings!$B$5,T904))),"&amp;","?")&amp;"utm_source="&amp;V904&amp;"&amp;utm_medium="&amp;W904&amp;"&amp;utm_campaign="&amp;X904&amp;"&amp;utm_content="&amp;Y904)</f>
        <v/>
      </c>
      <c r="AA904" s="29"/>
      <c r="AB904" s="39"/>
      <c r="AC904" s="32"/>
      <c r="AD904" s="32"/>
      <c r="AE904" s="32"/>
      <c r="AF904" s="32"/>
      <c r="AG904" s="32"/>
      <c r="AH904" s="32"/>
      <c r="AI904" s="32"/>
      <c r="AJ904" s="32"/>
      <c r="AK904" s="32"/>
      <c r="AL904" s="32"/>
      <c r="AM904" s="32"/>
      <c r="AN904" s="32"/>
      <c r="AO904" s="33" t="str">
        <f aca="false">IF(A904="","",IF(AD904&lt;&gt;"",AD904,IF(AC904&lt;&gt;"",AC904,"")))</f>
        <v/>
      </c>
      <c r="AP904" s="24" t="str">
        <f aca="false">IF(AO904="","",IF(AD904&lt;&gt;"","Reported reach","Impressions (proxy)"))</f>
        <v/>
      </c>
      <c r="AQ904" s="34" t="str">
        <f aca="false">IF(OR(AO904="",N(S904)=0),"",AO904/S904)</f>
        <v/>
      </c>
      <c r="AR904" s="33" t="str">
        <f aca="false">IF(A904="","",IF(COUNT(AF904:AJ904)=0,"",SUM(AF904:AJ904)))</f>
        <v/>
      </c>
      <c r="AS904" s="34" t="str">
        <f aca="false">IF(OR(AR904="",N(AO904)=0),"",AR904/AO904)</f>
        <v/>
      </c>
      <c r="AT904" s="34" t="str">
        <f aca="false">IF(OR(AR904="",N(AC904)=0),"",AR904/AC904)</f>
        <v/>
      </c>
      <c r="AU904" s="34" t="str">
        <f aca="false">IF(OR(AR904="",N(S904)=0),"",AR904/S904)</f>
        <v/>
      </c>
      <c r="AV904" s="34" t="str">
        <f aca="false">IF(OR(AJ904="",N(AC904)=0),"",AJ904/AC904)</f>
        <v/>
      </c>
      <c r="AW904" s="34" t="str">
        <f aca="false">IF(OR(AH904="",N(AO904)=0),"",AH904/AO904)</f>
        <v/>
      </c>
      <c r="AX904" s="35" t="str">
        <f aca="false">IF(OR(AR904="",N(AO904)=0),"",(N(AF904)*Settings!$B$6+N(AG904)*Settings!$B$7+N(AH904)*Settings!$B$8+N(AI904)*Settings!$B$9+N(AJ904)*Settings!$B$10)/AO904*1000)</f>
        <v/>
      </c>
      <c r="AY904" s="36" t="str">
        <f aca="false">IF(AS904="","",IFERROR(AS904/AVERAGEIFS('Post Tracker'!$AS$5:$AS$1004,'Post Tracker'!$G$5:$G$1004,G904),""))</f>
        <v/>
      </c>
      <c r="AZ904" s="32"/>
      <c r="BA904" s="32"/>
      <c r="BB904" s="32"/>
      <c r="BC904" s="32"/>
      <c r="BD904" s="33" t="str">
        <f aca="false">IF(A904="","",COUNTIFS('Demo Pipeline'!$Q$5:$Q$504,A904))</f>
        <v/>
      </c>
      <c r="BE904" s="33" t="str">
        <f aca="false">IF(A904="","",COUNTIFS('Demo Pipeline'!$Q$5:$Q$504,A904,'Demo Pipeline'!$W$5:$W$504,"Attended"))</f>
        <v/>
      </c>
      <c r="BF904" s="33" t="str">
        <f aca="false">IF(A904="","",COUNTIFS('Demo Pipeline'!$Q$5:$Q$504,A904,'Demo Pipeline'!$X$5:$X$504,"Yes"))</f>
        <v/>
      </c>
      <c r="BG904" s="33" t="str">
        <f aca="false">IF(A904="","",COUNTIFS('Demo Pipeline'!$Q$5:$Q$504,A904,'Demo Pipeline'!$Y$5:$Y$504,"Closed Won"))</f>
        <v/>
      </c>
      <c r="BH904" s="37" t="str">
        <f aca="false">IF(A904="","",SUMIFS('Demo Pipeline'!$Z$5:$Z$504,'Demo Pipeline'!$Q$5:$Q$504,A904))</f>
        <v/>
      </c>
      <c r="BI904" s="34" t="str">
        <f aca="false">IF(OR(AZ904="",N(AJ904)=0),"",AZ904/AJ904)</f>
        <v/>
      </c>
      <c r="BJ904" s="34" t="str">
        <f aca="false">IF(OR(BB904="",N(AZ904)=0),"",BB904/AZ904)</f>
        <v/>
      </c>
      <c r="BK904" s="34" t="str">
        <f aca="false">IF(OR(A904="",N(BB904)=0),"",BD904/BB904)</f>
        <v/>
      </c>
      <c r="BL904" s="34" t="str">
        <f aca="false">IF(OR(A904="",N(AZ904)=0),"",BD904/AZ904)</f>
        <v/>
      </c>
      <c r="BM904" s="37" t="str">
        <f aca="false">IF(OR(N(Q904)=0,N(BD904)=0),"",Q904/BD904)</f>
        <v/>
      </c>
      <c r="BN904" s="29"/>
      <c r="BO904" s="29"/>
      <c r="BP904" s="33" t="str">
        <f aca="false">IF(OR(AR904="",N(AO904)=0),"",AR904)</f>
        <v/>
      </c>
      <c r="BQ904" s="33" t="str">
        <f aca="false">IF(OR(AR904="",N(S904)=0),"",S904)</f>
        <v/>
      </c>
      <c r="BR904" s="38" t="str">
        <f aca="false">IF(AND(ISNUMBER(B904),B904&gt;=Dashboard!$C$4,B904&lt;=Dashboard!$F$4,ISNUMBER(AU904)),AU904+ROW()/10^9,"")</f>
        <v/>
      </c>
      <c r="BS904" s="38" t="str">
        <f aca="false">IF(AND(ISNUMBER(B904),B904&gt;=Dashboard!$C$4,B904&lt;=Dashboard!$F$4,A904&lt;&gt;""),N(BD904)+N(AU904)/100+ROW()/10^9,"")</f>
        <v/>
      </c>
    </row>
    <row r="905" customFormat="false" ht="15" hidden="false" customHeight="false" outlineLevel="0" collapsed="false">
      <c r="A905" s="24" t="str">
        <f aca="false">IF(OR(B905="",G905="",H905=""),"",IFERROR(INDEX(Settings!$E$5:$E$49,MATCH(G905,Settings!$D$5:$D$49,0))&amp;INDEX(Settings!$H$5:$H$47,MATCH(H905,Settings!$G$5:$G$47,0))&amp;"-"&amp;TEXT(B905,"yymmdd")&amp;"-"&amp;IF(C905="","0000",TEXT(C905,"hhmm")),"CHECK LISTS"))</f>
        <v/>
      </c>
      <c r="B905" s="39"/>
      <c r="C905" s="40"/>
      <c r="D905" s="24" t="str">
        <f aca="false">IF(B905="","",TEXT(B905,"ddd"))</f>
        <v/>
      </c>
      <c r="E905" s="27" t="str">
        <f aca="false">IF(B905="","",B905-WEEKDAY(B905,3))</f>
        <v/>
      </c>
      <c r="F905" s="24" t="str">
        <f aca="false">IF(B905="","",TEXT(B905,"yyyy-mm"))</f>
        <v/>
      </c>
      <c r="G905" s="29"/>
      <c r="H905" s="29"/>
      <c r="I905" s="29"/>
      <c r="J905" s="29"/>
      <c r="K905" s="29"/>
      <c r="L905" s="29"/>
      <c r="M905" s="29"/>
      <c r="N905" s="29"/>
      <c r="O905" s="29"/>
      <c r="P905" s="29"/>
      <c r="Q905" s="30"/>
      <c r="R905" s="29"/>
      <c r="S905" s="32"/>
      <c r="T905" s="29"/>
      <c r="U905" s="29"/>
      <c r="V905" s="24" t="str">
        <f aca="false">IF(A905="","",IFERROR(INDEX(Settings!$F$5:$F$49,MATCH(G905,Settings!$D$5:$D$49,0)),""))</f>
        <v/>
      </c>
      <c r="W905" s="24" t="str">
        <f aca="false">IF(A905="","",IF(OR(P905="",P905="Organic"),"social","paid_social"))</f>
        <v/>
      </c>
      <c r="X905" s="24" t="str">
        <f aca="false">IF(A905="","",IF(K905&lt;&gt;"",IFERROR(INDEX('Case Studies'!$C$5:$C$54,MATCH(K905,'Case Studies'!$B$5:$B$54,0))&amp;"","case-study"),IF(J905&lt;&gt;"",IFERROR(INDEX(Settings!$J$5:$J$55,MATCH(J905,Settings!$I$5:$I$55,0)),"general"),"general")))</f>
        <v/>
      </c>
      <c r="Y905" s="24" t="str">
        <f aca="false">IF(A905="","",LOWER(A905))</f>
        <v/>
      </c>
      <c r="Z905" s="24" t="str">
        <f aca="false">IF(A905="","",IF(T905="",Settings!$B$5,T905)&amp;IF(ISNUMBER(FIND("?",IF(T905="",Settings!$B$5,T905))),"&amp;","?")&amp;"utm_source="&amp;V905&amp;"&amp;utm_medium="&amp;W905&amp;"&amp;utm_campaign="&amp;X905&amp;"&amp;utm_content="&amp;Y905)</f>
        <v/>
      </c>
      <c r="AA905" s="29"/>
      <c r="AB905" s="39"/>
      <c r="AC905" s="32"/>
      <c r="AD905" s="32"/>
      <c r="AE905" s="32"/>
      <c r="AF905" s="32"/>
      <c r="AG905" s="32"/>
      <c r="AH905" s="32"/>
      <c r="AI905" s="32"/>
      <c r="AJ905" s="32"/>
      <c r="AK905" s="32"/>
      <c r="AL905" s="32"/>
      <c r="AM905" s="32"/>
      <c r="AN905" s="32"/>
      <c r="AO905" s="33" t="str">
        <f aca="false">IF(A905="","",IF(AD905&lt;&gt;"",AD905,IF(AC905&lt;&gt;"",AC905,"")))</f>
        <v/>
      </c>
      <c r="AP905" s="24" t="str">
        <f aca="false">IF(AO905="","",IF(AD905&lt;&gt;"","Reported reach","Impressions (proxy)"))</f>
        <v/>
      </c>
      <c r="AQ905" s="34" t="str">
        <f aca="false">IF(OR(AO905="",N(S905)=0),"",AO905/S905)</f>
        <v/>
      </c>
      <c r="AR905" s="33" t="str">
        <f aca="false">IF(A905="","",IF(COUNT(AF905:AJ905)=0,"",SUM(AF905:AJ905)))</f>
        <v/>
      </c>
      <c r="AS905" s="34" t="str">
        <f aca="false">IF(OR(AR905="",N(AO905)=0),"",AR905/AO905)</f>
        <v/>
      </c>
      <c r="AT905" s="34" t="str">
        <f aca="false">IF(OR(AR905="",N(AC905)=0),"",AR905/AC905)</f>
        <v/>
      </c>
      <c r="AU905" s="34" t="str">
        <f aca="false">IF(OR(AR905="",N(S905)=0),"",AR905/S905)</f>
        <v/>
      </c>
      <c r="AV905" s="34" t="str">
        <f aca="false">IF(OR(AJ905="",N(AC905)=0),"",AJ905/AC905)</f>
        <v/>
      </c>
      <c r="AW905" s="34" t="str">
        <f aca="false">IF(OR(AH905="",N(AO905)=0),"",AH905/AO905)</f>
        <v/>
      </c>
      <c r="AX905" s="35" t="str">
        <f aca="false">IF(OR(AR905="",N(AO905)=0),"",(N(AF905)*Settings!$B$6+N(AG905)*Settings!$B$7+N(AH905)*Settings!$B$8+N(AI905)*Settings!$B$9+N(AJ905)*Settings!$B$10)/AO905*1000)</f>
        <v/>
      </c>
      <c r="AY905" s="36" t="str">
        <f aca="false">IF(AS905="","",IFERROR(AS905/AVERAGEIFS('Post Tracker'!$AS$5:$AS$1004,'Post Tracker'!$G$5:$G$1004,G905),""))</f>
        <v/>
      </c>
      <c r="AZ905" s="32"/>
      <c r="BA905" s="32"/>
      <c r="BB905" s="32"/>
      <c r="BC905" s="32"/>
      <c r="BD905" s="33" t="str">
        <f aca="false">IF(A905="","",COUNTIFS('Demo Pipeline'!$Q$5:$Q$504,A905))</f>
        <v/>
      </c>
      <c r="BE905" s="33" t="str">
        <f aca="false">IF(A905="","",COUNTIFS('Demo Pipeline'!$Q$5:$Q$504,A905,'Demo Pipeline'!$W$5:$W$504,"Attended"))</f>
        <v/>
      </c>
      <c r="BF905" s="33" t="str">
        <f aca="false">IF(A905="","",COUNTIFS('Demo Pipeline'!$Q$5:$Q$504,A905,'Demo Pipeline'!$X$5:$X$504,"Yes"))</f>
        <v/>
      </c>
      <c r="BG905" s="33" t="str">
        <f aca="false">IF(A905="","",COUNTIFS('Demo Pipeline'!$Q$5:$Q$504,A905,'Demo Pipeline'!$Y$5:$Y$504,"Closed Won"))</f>
        <v/>
      </c>
      <c r="BH905" s="37" t="str">
        <f aca="false">IF(A905="","",SUMIFS('Demo Pipeline'!$Z$5:$Z$504,'Demo Pipeline'!$Q$5:$Q$504,A905))</f>
        <v/>
      </c>
      <c r="BI905" s="34" t="str">
        <f aca="false">IF(OR(AZ905="",N(AJ905)=0),"",AZ905/AJ905)</f>
        <v/>
      </c>
      <c r="BJ905" s="34" t="str">
        <f aca="false">IF(OR(BB905="",N(AZ905)=0),"",BB905/AZ905)</f>
        <v/>
      </c>
      <c r="BK905" s="34" t="str">
        <f aca="false">IF(OR(A905="",N(BB905)=0),"",BD905/BB905)</f>
        <v/>
      </c>
      <c r="BL905" s="34" t="str">
        <f aca="false">IF(OR(A905="",N(AZ905)=0),"",BD905/AZ905)</f>
        <v/>
      </c>
      <c r="BM905" s="37" t="str">
        <f aca="false">IF(OR(N(Q905)=0,N(BD905)=0),"",Q905/BD905)</f>
        <v/>
      </c>
      <c r="BN905" s="29"/>
      <c r="BO905" s="29"/>
      <c r="BP905" s="33" t="str">
        <f aca="false">IF(OR(AR905="",N(AO905)=0),"",AR905)</f>
        <v/>
      </c>
      <c r="BQ905" s="33" t="str">
        <f aca="false">IF(OR(AR905="",N(S905)=0),"",S905)</f>
        <v/>
      </c>
      <c r="BR905" s="38" t="str">
        <f aca="false">IF(AND(ISNUMBER(B905),B905&gt;=Dashboard!$C$4,B905&lt;=Dashboard!$F$4,ISNUMBER(AU905)),AU905+ROW()/10^9,"")</f>
        <v/>
      </c>
      <c r="BS905" s="38" t="str">
        <f aca="false">IF(AND(ISNUMBER(B905),B905&gt;=Dashboard!$C$4,B905&lt;=Dashboard!$F$4,A905&lt;&gt;""),N(BD905)+N(AU905)/100+ROW()/10^9,"")</f>
        <v/>
      </c>
    </row>
    <row r="906" customFormat="false" ht="15" hidden="false" customHeight="false" outlineLevel="0" collapsed="false">
      <c r="A906" s="24" t="str">
        <f aca="false">IF(OR(B906="",G906="",H906=""),"",IFERROR(INDEX(Settings!$E$5:$E$49,MATCH(G906,Settings!$D$5:$D$49,0))&amp;INDEX(Settings!$H$5:$H$47,MATCH(H906,Settings!$G$5:$G$47,0))&amp;"-"&amp;TEXT(B906,"yymmdd")&amp;"-"&amp;IF(C906="","0000",TEXT(C906,"hhmm")),"CHECK LISTS"))</f>
        <v/>
      </c>
      <c r="B906" s="39"/>
      <c r="C906" s="40"/>
      <c r="D906" s="24" t="str">
        <f aca="false">IF(B906="","",TEXT(B906,"ddd"))</f>
        <v/>
      </c>
      <c r="E906" s="27" t="str">
        <f aca="false">IF(B906="","",B906-WEEKDAY(B906,3))</f>
        <v/>
      </c>
      <c r="F906" s="24" t="str">
        <f aca="false">IF(B906="","",TEXT(B906,"yyyy-mm"))</f>
        <v/>
      </c>
      <c r="G906" s="29"/>
      <c r="H906" s="29"/>
      <c r="I906" s="29"/>
      <c r="J906" s="29"/>
      <c r="K906" s="29"/>
      <c r="L906" s="29"/>
      <c r="M906" s="29"/>
      <c r="N906" s="29"/>
      <c r="O906" s="29"/>
      <c r="P906" s="29"/>
      <c r="Q906" s="30"/>
      <c r="R906" s="29"/>
      <c r="S906" s="32"/>
      <c r="T906" s="29"/>
      <c r="U906" s="29"/>
      <c r="V906" s="24" t="str">
        <f aca="false">IF(A906="","",IFERROR(INDEX(Settings!$F$5:$F$49,MATCH(G906,Settings!$D$5:$D$49,0)),""))</f>
        <v/>
      </c>
      <c r="W906" s="24" t="str">
        <f aca="false">IF(A906="","",IF(OR(P906="",P906="Organic"),"social","paid_social"))</f>
        <v/>
      </c>
      <c r="X906" s="24" t="str">
        <f aca="false">IF(A906="","",IF(K906&lt;&gt;"",IFERROR(INDEX('Case Studies'!$C$5:$C$54,MATCH(K906,'Case Studies'!$B$5:$B$54,0))&amp;"","case-study"),IF(J906&lt;&gt;"",IFERROR(INDEX(Settings!$J$5:$J$55,MATCH(J906,Settings!$I$5:$I$55,0)),"general"),"general")))</f>
        <v/>
      </c>
      <c r="Y906" s="24" t="str">
        <f aca="false">IF(A906="","",LOWER(A906))</f>
        <v/>
      </c>
      <c r="Z906" s="24" t="str">
        <f aca="false">IF(A906="","",IF(T906="",Settings!$B$5,T906)&amp;IF(ISNUMBER(FIND("?",IF(T906="",Settings!$B$5,T906))),"&amp;","?")&amp;"utm_source="&amp;V906&amp;"&amp;utm_medium="&amp;W906&amp;"&amp;utm_campaign="&amp;X906&amp;"&amp;utm_content="&amp;Y906)</f>
        <v/>
      </c>
      <c r="AA906" s="29"/>
      <c r="AB906" s="39"/>
      <c r="AC906" s="32"/>
      <c r="AD906" s="32"/>
      <c r="AE906" s="32"/>
      <c r="AF906" s="32"/>
      <c r="AG906" s="32"/>
      <c r="AH906" s="32"/>
      <c r="AI906" s="32"/>
      <c r="AJ906" s="32"/>
      <c r="AK906" s="32"/>
      <c r="AL906" s="32"/>
      <c r="AM906" s="32"/>
      <c r="AN906" s="32"/>
      <c r="AO906" s="33" t="str">
        <f aca="false">IF(A906="","",IF(AD906&lt;&gt;"",AD906,IF(AC906&lt;&gt;"",AC906,"")))</f>
        <v/>
      </c>
      <c r="AP906" s="24" t="str">
        <f aca="false">IF(AO906="","",IF(AD906&lt;&gt;"","Reported reach","Impressions (proxy)"))</f>
        <v/>
      </c>
      <c r="AQ906" s="34" t="str">
        <f aca="false">IF(OR(AO906="",N(S906)=0),"",AO906/S906)</f>
        <v/>
      </c>
      <c r="AR906" s="33" t="str">
        <f aca="false">IF(A906="","",IF(COUNT(AF906:AJ906)=0,"",SUM(AF906:AJ906)))</f>
        <v/>
      </c>
      <c r="AS906" s="34" t="str">
        <f aca="false">IF(OR(AR906="",N(AO906)=0),"",AR906/AO906)</f>
        <v/>
      </c>
      <c r="AT906" s="34" t="str">
        <f aca="false">IF(OR(AR906="",N(AC906)=0),"",AR906/AC906)</f>
        <v/>
      </c>
      <c r="AU906" s="34" t="str">
        <f aca="false">IF(OR(AR906="",N(S906)=0),"",AR906/S906)</f>
        <v/>
      </c>
      <c r="AV906" s="34" t="str">
        <f aca="false">IF(OR(AJ906="",N(AC906)=0),"",AJ906/AC906)</f>
        <v/>
      </c>
      <c r="AW906" s="34" t="str">
        <f aca="false">IF(OR(AH906="",N(AO906)=0),"",AH906/AO906)</f>
        <v/>
      </c>
      <c r="AX906" s="35" t="str">
        <f aca="false">IF(OR(AR906="",N(AO906)=0),"",(N(AF906)*Settings!$B$6+N(AG906)*Settings!$B$7+N(AH906)*Settings!$B$8+N(AI906)*Settings!$B$9+N(AJ906)*Settings!$B$10)/AO906*1000)</f>
        <v/>
      </c>
      <c r="AY906" s="36" t="str">
        <f aca="false">IF(AS906="","",IFERROR(AS906/AVERAGEIFS('Post Tracker'!$AS$5:$AS$1004,'Post Tracker'!$G$5:$G$1004,G906),""))</f>
        <v/>
      </c>
      <c r="AZ906" s="32"/>
      <c r="BA906" s="32"/>
      <c r="BB906" s="32"/>
      <c r="BC906" s="32"/>
      <c r="BD906" s="33" t="str">
        <f aca="false">IF(A906="","",COUNTIFS('Demo Pipeline'!$Q$5:$Q$504,A906))</f>
        <v/>
      </c>
      <c r="BE906" s="33" t="str">
        <f aca="false">IF(A906="","",COUNTIFS('Demo Pipeline'!$Q$5:$Q$504,A906,'Demo Pipeline'!$W$5:$W$504,"Attended"))</f>
        <v/>
      </c>
      <c r="BF906" s="33" t="str">
        <f aca="false">IF(A906="","",COUNTIFS('Demo Pipeline'!$Q$5:$Q$504,A906,'Demo Pipeline'!$X$5:$X$504,"Yes"))</f>
        <v/>
      </c>
      <c r="BG906" s="33" t="str">
        <f aca="false">IF(A906="","",COUNTIFS('Demo Pipeline'!$Q$5:$Q$504,A906,'Demo Pipeline'!$Y$5:$Y$504,"Closed Won"))</f>
        <v/>
      </c>
      <c r="BH906" s="37" t="str">
        <f aca="false">IF(A906="","",SUMIFS('Demo Pipeline'!$Z$5:$Z$504,'Demo Pipeline'!$Q$5:$Q$504,A906))</f>
        <v/>
      </c>
      <c r="BI906" s="34" t="str">
        <f aca="false">IF(OR(AZ906="",N(AJ906)=0),"",AZ906/AJ906)</f>
        <v/>
      </c>
      <c r="BJ906" s="34" t="str">
        <f aca="false">IF(OR(BB906="",N(AZ906)=0),"",BB906/AZ906)</f>
        <v/>
      </c>
      <c r="BK906" s="34" t="str">
        <f aca="false">IF(OR(A906="",N(BB906)=0),"",BD906/BB906)</f>
        <v/>
      </c>
      <c r="BL906" s="34" t="str">
        <f aca="false">IF(OR(A906="",N(AZ906)=0),"",BD906/AZ906)</f>
        <v/>
      </c>
      <c r="BM906" s="37" t="str">
        <f aca="false">IF(OR(N(Q906)=0,N(BD906)=0),"",Q906/BD906)</f>
        <v/>
      </c>
      <c r="BN906" s="29"/>
      <c r="BO906" s="29"/>
      <c r="BP906" s="33" t="str">
        <f aca="false">IF(OR(AR906="",N(AO906)=0),"",AR906)</f>
        <v/>
      </c>
      <c r="BQ906" s="33" t="str">
        <f aca="false">IF(OR(AR906="",N(S906)=0),"",S906)</f>
        <v/>
      </c>
      <c r="BR906" s="38" t="str">
        <f aca="false">IF(AND(ISNUMBER(B906),B906&gt;=Dashboard!$C$4,B906&lt;=Dashboard!$F$4,ISNUMBER(AU906)),AU906+ROW()/10^9,"")</f>
        <v/>
      </c>
      <c r="BS906" s="38" t="str">
        <f aca="false">IF(AND(ISNUMBER(B906),B906&gt;=Dashboard!$C$4,B906&lt;=Dashboard!$F$4,A906&lt;&gt;""),N(BD906)+N(AU906)/100+ROW()/10^9,"")</f>
        <v/>
      </c>
    </row>
    <row r="907" customFormat="false" ht="15" hidden="false" customHeight="false" outlineLevel="0" collapsed="false">
      <c r="A907" s="24" t="str">
        <f aca="false">IF(OR(B907="",G907="",H907=""),"",IFERROR(INDEX(Settings!$E$5:$E$49,MATCH(G907,Settings!$D$5:$D$49,0))&amp;INDEX(Settings!$H$5:$H$47,MATCH(H907,Settings!$G$5:$G$47,0))&amp;"-"&amp;TEXT(B907,"yymmdd")&amp;"-"&amp;IF(C907="","0000",TEXT(C907,"hhmm")),"CHECK LISTS"))</f>
        <v/>
      </c>
      <c r="B907" s="39"/>
      <c r="C907" s="40"/>
      <c r="D907" s="24" t="str">
        <f aca="false">IF(B907="","",TEXT(B907,"ddd"))</f>
        <v/>
      </c>
      <c r="E907" s="27" t="str">
        <f aca="false">IF(B907="","",B907-WEEKDAY(B907,3))</f>
        <v/>
      </c>
      <c r="F907" s="24" t="str">
        <f aca="false">IF(B907="","",TEXT(B907,"yyyy-mm"))</f>
        <v/>
      </c>
      <c r="G907" s="29"/>
      <c r="H907" s="29"/>
      <c r="I907" s="29"/>
      <c r="J907" s="29"/>
      <c r="K907" s="29"/>
      <c r="L907" s="29"/>
      <c r="M907" s="29"/>
      <c r="N907" s="29"/>
      <c r="O907" s="29"/>
      <c r="P907" s="29"/>
      <c r="Q907" s="30"/>
      <c r="R907" s="29"/>
      <c r="S907" s="32"/>
      <c r="T907" s="29"/>
      <c r="U907" s="29"/>
      <c r="V907" s="24" t="str">
        <f aca="false">IF(A907="","",IFERROR(INDEX(Settings!$F$5:$F$49,MATCH(G907,Settings!$D$5:$D$49,0)),""))</f>
        <v/>
      </c>
      <c r="W907" s="24" t="str">
        <f aca="false">IF(A907="","",IF(OR(P907="",P907="Organic"),"social","paid_social"))</f>
        <v/>
      </c>
      <c r="X907" s="24" t="str">
        <f aca="false">IF(A907="","",IF(K907&lt;&gt;"",IFERROR(INDEX('Case Studies'!$C$5:$C$54,MATCH(K907,'Case Studies'!$B$5:$B$54,0))&amp;"","case-study"),IF(J907&lt;&gt;"",IFERROR(INDEX(Settings!$J$5:$J$55,MATCH(J907,Settings!$I$5:$I$55,0)),"general"),"general")))</f>
        <v/>
      </c>
      <c r="Y907" s="24" t="str">
        <f aca="false">IF(A907="","",LOWER(A907))</f>
        <v/>
      </c>
      <c r="Z907" s="24" t="str">
        <f aca="false">IF(A907="","",IF(T907="",Settings!$B$5,T907)&amp;IF(ISNUMBER(FIND("?",IF(T907="",Settings!$B$5,T907))),"&amp;","?")&amp;"utm_source="&amp;V907&amp;"&amp;utm_medium="&amp;W907&amp;"&amp;utm_campaign="&amp;X907&amp;"&amp;utm_content="&amp;Y907)</f>
        <v/>
      </c>
      <c r="AA907" s="29"/>
      <c r="AB907" s="39"/>
      <c r="AC907" s="32"/>
      <c r="AD907" s="32"/>
      <c r="AE907" s="32"/>
      <c r="AF907" s="32"/>
      <c r="AG907" s="32"/>
      <c r="AH907" s="32"/>
      <c r="AI907" s="32"/>
      <c r="AJ907" s="32"/>
      <c r="AK907" s="32"/>
      <c r="AL907" s="32"/>
      <c r="AM907" s="32"/>
      <c r="AN907" s="32"/>
      <c r="AO907" s="33" t="str">
        <f aca="false">IF(A907="","",IF(AD907&lt;&gt;"",AD907,IF(AC907&lt;&gt;"",AC907,"")))</f>
        <v/>
      </c>
      <c r="AP907" s="24" t="str">
        <f aca="false">IF(AO907="","",IF(AD907&lt;&gt;"","Reported reach","Impressions (proxy)"))</f>
        <v/>
      </c>
      <c r="AQ907" s="34" t="str">
        <f aca="false">IF(OR(AO907="",N(S907)=0),"",AO907/S907)</f>
        <v/>
      </c>
      <c r="AR907" s="33" t="str">
        <f aca="false">IF(A907="","",IF(COUNT(AF907:AJ907)=0,"",SUM(AF907:AJ907)))</f>
        <v/>
      </c>
      <c r="AS907" s="34" t="str">
        <f aca="false">IF(OR(AR907="",N(AO907)=0),"",AR907/AO907)</f>
        <v/>
      </c>
      <c r="AT907" s="34" t="str">
        <f aca="false">IF(OR(AR907="",N(AC907)=0),"",AR907/AC907)</f>
        <v/>
      </c>
      <c r="AU907" s="34" t="str">
        <f aca="false">IF(OR(AR907="",N(S907)=0),"",AR907/S907)</f>
        <v/>
      </c>
      <c r="AV907" s="34" t="str">
        <f aca="false">IF(OR(AJ907="",N(AC907)=0),"",AJ907/AC907)</f>
        <v/>
      </c>
      <c r="AW907" s="34" t="str">
        <f aca="false">IF(OR(AH907="",N(AO907)=0),"",AH907/AO907)</f>
        <v/>
      </c>
      <c r="AX907" s="35" t="str">
        <f aca="false">IF(OR(AR907="",N(AO907)=0),"",(N(AF907)*Settings!$B$6+N(AG907)*Settings!$B$7+N(AH907)*Settings!$B$8+N(AI907)*Settings!$B$9+N(AJ907)*Settings!$B$10)/AO907*1000)</f>
        <v/>
      </c>
      <c r="AY907" s="36" t="str">
        <f aca="false">IF(AS907="","",IFERROR(AS907/AVERAGEIFS('Post Tracker'!$AS$5:$AS$1004,'Post Tracker'!$G$5:$G$1004,G907),""))</f>
        <v/>
      </c>
      <c r="AZ907" s="32"/>
      <c r="BA907" s="32"/>
      <c r="BB907" s="32"/>
      <c r="BC907" s="32"/>
      <c r="BD907" s="33" t="str">
        <f aca="false">IF(A907="","",COUNTIFS('Demo Pipeline'!$Q$5:$Q$504,A907))</f>
        <v/>
      </c>
      <c r="BE907" s="33" t="str">
        <f aca="false">IF(A907="","",COUNTIFS('Demo Pipeline'!$Q$5:$Q$504,A907,'Demo Pipeline'!$W$5:$W$504,"Attended"))</f>
        <v/>
      </c>
      <c r="BF907" s="33" t="str">
        <f aca="false">IF(A907="","",COUNTIFS('Demo Pipeline'!$Q$5:$Q$504,A907,'Demo Pipeline'!$X$5:$X$504,"Yes"))</f>
        <v/>
      </c>
      <c r="BG907" s="33" t="str">
        <f aca="false">IF(A907="","",COUNTIFS('Demo Pipeline'!$Q$5:$Q$504,A907,'Demo Pipeline'!$Y$5:$Y$504,"Closed Won"))</f>
        <v/>
      </c>
      <c r="BH907" s="37" t="str">
        <f aca="false">IF(A907="","",SUMIFS('Demo Pipeline'!$Z$5:$Z$504,'Demo Pipeline'!$Q$5:$Q$504,A907))</f>
        <v/>
      </c>
      <c r="BI907" s="34" t="str">
        <f aca="false">IF(OR(AZ907="",N(AJ907)=0),"",AZ907/AJ907)</f>
        <v/>
      </c>
      <c r="BJ907" s="34" t="str">
        <f aca="false">IF(OR(BB907="",N(AZ907)=0),"",BB907/AZ907)</f>
        <v/>
      </c>
      <c r="BK907" s="34" t="str">
        <f aca="false">IF(OR(A907="",N(BB907)=0),"",BD907/BB907)</f>
        <v/>
      </c>
      <c r="BL907" s="34" t="str">
        <f aca="false">IF(OR(A907="",N(AZ907)=0),"",BD907/AZ907)</f>
        <v/>
      </c>
      <c r="BM907" s="37" t="str">
        <f aca="false">IF(OR(N(Q907)=0,N(BD907)=0),"",Q907/BD907)</f>
        <v/>
      </c>
      <c r="BN907" s="29"/>
      <c r="BO907" s="29"/>
      <c r="BP907" s="33" t="str">
        <f aca="false">IF(OR(AR907="",N(AO907)=0),"",AR907)</f>
        <v/>
      </c>
      <c r="BQ907" s="33" t="str">
        <f aca="false">IF(OR(AR907="",N(S907)=0),"",S907)</f>
        <v/>
      </c>
      <c r="BR907" s="38" t="str">
        <f aca="false">IF(AND(ISNUMBER(B907),B907&gt;=Dashboard!$C$4,B907&lt;=Dashboard!$F$4,ISNUMBER(AU907)),AU907+ROW()/10^9,"")</f>
        <v/>
      </c>
      <c r="BS907" s="38" t="str">
        <f aca="false">IF(AND(ISNUMBER(B907),B907&gt;=Dashboard!$C$4,B907&lt;=Dashboard!$F$4,A907&lt;&gt;""),N(BD907)+N(AU907)/100+ROW()/10^9,"")</f>
        <v/>
      </c>
    </row>
    <row r="908" customFormat="false" ht="15" hidden="false" customHeight="false" outlineLevel="0" collapsed="false">
      <c r="A908" s="24" t="str">
        <f aca="false">IF(OR(B908="",G908="",H908=""),"",IFERROR(INDEX(Settings!$E$5:$E$49,MATCH(G908,Settings!$D$5:$D$49,0))&amp;INDEX(Settings!$H$5:$H$47,MATCH(H908,Settings!$G$5:$G$47,0))&amp;"-"&amp;TEXT(B908,"yymmdd")&amp;"-"&amp;IF(C908="","0000",TEXT(C908,"hhmm")),"CHECK LISTS"))</f>
        <v/>
      </c>
      <c r="B908" s="39"/>
      <c r="C908" s="40"/>
      <c r="D908" s="24" t="str">
        <f aca="false">IF(B908="","",TEXT(B908,"ddd"))</f>
        <v/>
      </c>
      <c r="E908" s="27" t="str">
        <f aca="false">IF(B908="","",B908-WEEKDAY(B908,3))</f>
        <v/>
      </c>
      <c r="F908" s="24" t="str">
        <f aca="false">IF(B908="","",TEXT(B908,"yyyy-mm"))</f>
        <v/>
      </c>
      <c r="G908" s="29"/>
      <c r="H908" s="29"/>
      <c r="I908" s="29"/>
      <c r="J908" s="29"/>
      <c r="K908" s="29"/>
      <c r="L908" s="29"/>
      <c r="M908" s="29"/>
      <c r="N908" s="29"/>
      <c r="O908" s="29"/>
      <c r="P908" s="29"/>
      <c r="Q908" s="30"/>
      <c r="R908" s="29"/>
      <c r="S908" s="32"/>
      <c r="T908" s="29"/>
      <c r="U908" s="29"/>
      <c r="V908" s="24" t="str">
        <f aca="false">IF(A908="","",IFERROR(INDEX(Settings!$F$5:$F$49,MATCH(G908,Settings!$D$5:$D$49,0)),""))</f>
        <v/>
      </c>
      <c r="W908" s="24" t="str">
        <f aca="false">IF(A908="","",IF(OR(P908="",P908="Organic"),"social","paid_social"))</f>
        <v/>
      </c>
      <c r="X908" s="24" t="str">
        <f aca="false">IF(A908="","",IF(K908&lt;&gt;"",IFERROR(INDEX('Case Studies'!$C$5:$C$54,MATCH(K908,'Case Studies'!$B$5:$B$54,0))&amp;"","case-study"),IF(J908&lt;&gt;"",IFERROR(INDEX(Settings!$J$5:$J$55,MATCH(J908,Settings!$I$5:$I$55,0)),"general"),"general")))</f>
        <v/>
      </c>
      <c r="Y908" s="24" t="str">
        <f aca="false">IF(A908="","",LOWER(A908))</f>
        <v/>
      </c>
      <c r="Z908" s="24" t="str">
        <f aca="false">IF(A908="","",IF(T908="",Settings!$B$5,T908)&amp;IF(ISNUMBER(FIND("?",IF(T908="",Settings!$B$5,T908))),"&amp;","?")&amp;"utm_source="&amp;V908&amp;"&amp;utm_medium="&amp;W908&amp;"&amp;utm_campaign="&amp;X908&amp;"&amp;utm_content="&amp;Y908)</f>
        <v/>
      </c>
      <c r="AA908" s="29"/>
      <c r="AB908" s="39"/>
      <c r="AC908" s="32"/>
      <c r="AD908" s="32"/>
      <c r="AE908" s="32"/>
      <c r="AF908" s="32"/>
      <c r="AG908" s="32"/>
      <c r="AH908" s="32"/>
      <c r="AI908" s="32"/>
      <c r="AJ908" s="32"/>
      <c r="AK908" s="32"/>
      <c r="AL908" s="32"/>
      <c r="AM908" s="32"/>
      <c r="AN908" s="32"/>
      <c r="AO908" s="33" t="str">
        <f aca="false">IF(A908="","",IF(AD908&lt;&gt;"",AD908,IF(AC908&lt;&gt;"",AC908,"")))</f>
        <v/>
      </c>
      <c r="AP908" s="24" t="str">
        <f aca="false">IF(AO908="","",IF(AD908&lt;&gt;"","Reported reach","Impressions (proxy)"))</f>
        <v/>
      </c>
      <c r="AQ908" s="34" t="str">
        <f aca="false">IF(OR(AO908="",N(S908)=0),"",AO908/S908)</f>
        <v/>
      </c>
      <c r="AR908" s="33" t="str">
        <f aca="false">IF(A908="","",IF(COUNT(AF908:AJ908)=0,"",SUM(AF908:AJ908)))</f>
        <v/>
      </c>
      <c r="AS908" s="34" t="str">
        <f aca="false">IF(OR(AR908="",N(AO908)=0),"",AR908/AO908)</f>
        <v/>
      </c>
      <c r="AT908" s="34" t="str">
        <f aca="false">IF(OR(AR908="",N(AC908)=0),"",AR908/AC908)</f>
        <v/>
      </c>
      <c r="AU908" s="34" t="str">
        <f aca="false">IF(OR(AR908="",N(S908)=0),"",AR908/S908)</f>
        <v/>
      </c>
      <c r="AV908" s="34" t="str">
        <f aca="false">IF(OR(AJ908="",N(AC908)=0),"",AJ908/AC908)</f>
        <v/>
      </c>
      <c r="AW908" s="34" t="str">
        <f aca="false">IF(OR(AH908="",N(AO908)=0),"",AH908/AO908)</f>
        <v/>
      </c>
      <c r="AX908" s="35" t="str">
        <f aca="false">IF(OR(AR908="",N(AO908)=0),"",(N(AF908)*Settings!$B$6+N(AG908)*Settings!$B$7+N(AH908)*Settings!$B$8+N(AI908)*Settings!$B$9+N(AJ908)*Settings!$B$10)/AO908*1000)</f>
        <v/>
      </c>
      <c r="AY908" s="36" t="str">
        <f aca="false">IF(AS908="","",IFERROR(AS908/AVERAGEIFS('Post Tracker'!$AS$5:$AS$1004,'Post Tracker'!$G$5:$G$1004,G908),""))</f>
        <v/>
      </c>
      <c r="AZ908" s="32"/>
      <c r="BA908" s="32"/>
      <c r="BB908" s="32"/>
      <c r="BC908" s="32"/>
      <c r="BD908" s="33" t="str">
        <f aca="false">IF(A908="","",COUNTIFS('Demo Pipeline'!$Q$5:$Q$504,A908))</f>
        <v/>
      </c>
      <c r="BE908" s="33" t="str">
        <f aca="false">IF(A908="","",COUNTIFS('Demo Pipeline'!$Q$5:$Q$504,A908,'Demo Pipeline'!$W$5:$W$504,"Attended"))</f>
        <v/>
      </c>
      <c r="BF908" s="33" t="str">
        <f aca="false">IF(A908="","",COUNTIFS('Demo Pipeline'!$Q$5:$Q$504,A908,'Demo Pipeline'!$X$5:$X$504,"Yes"))</f>
        <v/>
      </c>
      <c r="BG908" s="33" t="str">
        <f aca="false">IF(A908="","",COUNTIFS('Demo Pipeline'!$Q$5:$Q$504,A908,'Demo Pipeline'!$Y$5:$Y$504,"Closed Won"))</f>
        <v/>
      </c>
      <c r="BH908" s="37" t="str">
        <f aca="false">IF(A908="","",SUMIFS('Demo Pipeline'!$Z$5:$Z$504,'Demo Pipeline'!$Q$5:$Q$504,A908))</f>
        <v/>
      </c>
      <c r="BI908" s="34" t="str">
        <f aca="false">IF(OR(AZ908="",N(AJ908)=0),"",AZ908/AJ908)</f>
        <v/>
      </c>
      <c r="BJ908" s="34" t="str">
        <f aca="false">IF(OR(BB908="",N(AZ908)=0),"",BB908/AZ908)</f>
        <v/>
      </c>
      <c r="BK908" s="34" t="str">
        <f aca="false">IF(OR(A908="",N(BB908)=0),"",BD908/BB908)</f>
        <v/>
      </c>
      <c r="BL908" s="34" t="str">
        <f aca="false">IF(OR(A908="",N(AZ908)=0),"",BD908/AZ908)</f>
        <v/>
      </c>
      <c r="BM908" s="37" t="str">
        <f aca="false">IF(OR(N(Q908)=0,N(BD908)=0),"",Q908/BD908)</f>
        <v/>
      </c>
      <c r="BN908" s="29"/>
      <c r="BO908" s="29"/>
      <c r="BP908" s="33" t="str">
        <f aca="false">IF(OR(AR908="",N(AO908)=0),"",AR908)</f>
        <v/>
      </c>
      <c r="BQ908" s="33" t="str">
        <f aca="false">IF(OR(AR908="",N(S908)=0),"",S908)</f>
        <v/>
      </c>
      <c r="BR908" s="38" t="str">
        <f aca="false">IF(AND(ISNUMBER(B908),B908&gt;=Dashboard!$C$4,B908&lt;=Dashboard!$F$4,ISNUMBER(AU908)),AU908+ROW()/10^9,"")</f>
        <v/>
      </c>
      <c r="BS908" s="38" t="str">
        <f aca="false">IF(AND(ISNUMBER(B908),B908&gt;=Dashboard!$C$4,B908&lt;=Dashboard!$F$4,A908&lt;&gt;""),N(BD908)+N(AU908)/100+ROW()/10^9,"")</f>
        <v/>
      </c>
    </row>
    <row r="909" customFormat="false" ht="15" hidden="false" customHeight="false" outlineLevel="0" collapsed="false">
      <c r="A909" s="24" t="str">
        <f aca="false">IF(OR(B909="",G909="",H909=""),"",IFERROR(INDEX(Settings!$E$5:$E$49,MATCH(G909,Settings!$D$5:$D$49,0))&amp;INDEX(Settings!$H$5:$H$47,MATCH(H909,Settings!$G$5:$G$47,0))&amp;"-"&amp;TEXT(B909,"yymmdd")&amp;"-"&amp;IF(C909="","0000",TEXT(C909,"hhmm")),"CHECK LISTS"))</f>
        <v/>
      </c>
      <c r="B909" s="39"/>
      <c r="C909" s="40"/>
      <c r="D909" s="24" t="str">
        <f aca="false">IF(B909="","",TEXT(B909,"ddd"))</f>
        <v/>
      </c>
      <c r="E909" s="27" t="str">
        <f aca="false">IF(B909="","",B909-WEEKDAY(B909,3))</f>
        <v/>
      </c>
      <c r="F909" s="24" t="str">
        <f aca="false">IF(B909="","",TEXT(B909,"yyyy-mm"))</f>
        <v/>
      </c>
      <c r="G909" s="29"/>
      <c r="H909" s="29"/>
      <c r="I909" s="29"/>
      <c r="J909" s="29"/>
      <c r="K909" s="29"/>
      <c r="L909" s="29"/>
      <c r="M909" s="29"/>
      <c r="N909" s="29"/>
      <c r="O909" s="29"/>
      <c r="P909" s="29"/>
      <c r="Q909" s="30"/>
      <c r="R909" s="29"/>
      <c r="S909" s="32"/>
      <c r="T909" s="29"/>
      <c r="U909" s="29"/>
      <c r="V909" s="24" t="str">
        <f aca="false">IF(A909="","",IFERROR(INDEX(Settings!$F$5:$F$49,MATCH(G909,Settings!$D$5:$D$49,0)),""))</f>
        <v/>
      </c>
      <c r="W909" s="24" t="str">
        <f aca="false">IF(A909="","",IF(OR(P909="",P909="Organic"),"social","paid_social"))</f>
        <v/>
      </c>
      <c r="X909" s="24" t="str">
        <f aca="false">IF(A909="","",IF(K909&lt;&gt;"",IFERROR(INDEX('Case Studies'!$C$5:$C$54,MATCH(K909,'Case Studies'!$B$5:$B$54,0))&amp;"","case-study"),IF(J909&lt;&gt;"",IFERROR(INDEX(Settings!$J$5:$J$55,MATCH(J909,Settings!$I$5:$I$55,0)),"general"),"general")))</f>
        <v/>
      </c>
      <c r="Y909" s="24" t="str">
        <f aca="false">IF(A909="","",LOWER(A909))</f>
        <v/>
      </c>
      <c r="Z909" s="24" t="str">
        <f aca="false">IF(A909="","",IF(T909="",Settings!$B$5,T909)&amp;IF(ISNUMBER(FIND("?",IF(T909="",Settings!$B$5,T909))),"&amp;","?")&amp;"utm_source="&amp;V909&amp;"&amp;utm_medium="&amp;W909&amp;"&amp;utm_campaign="&amp;X909&amp;"&amp;utm_content="&amp;Y909)</f>
        <v/>
      </c>
      <c r="AA909" s="29"/>
      <c r="AB909" s="39"/>
      <c r="AC909" s="32"/>
      <c r="AD909" s="32"/>
      <c r="AE909" s="32"/>
      <c r="AF909" s="32"/>
      <c r="AG909" s="32"/>
      <c r="AH909" s="32"/>
      <c r="AI909" s="32"/>
      <c r="AJ909" s="32"/>
      <c r="AK909" s="32"/>
      <c r="AL909" s="32"/>
      <c r="AM909" s="32"/>
      <c r="AN909" s="32"/>
      <c r="AO909" s="33" t="str">
        <f aca="false">IF(A909="","",IF(AD909&lt;&gt;"",AD909,IF(AC909&lt;&gt;"",AC909,"")))</f>
        <v/>
      </c>
      <c r="AP909" s="24" t="str">
        <f aca="false">IF(AO909="","",IF(AD909&lt;&gt;"","Reported reach","Impressions (proxy)"))</f>
        <v/>
      </c>
      <c r="AQ909" s="34" t="str">
        <f aca="false">IF(OR(AO909="",N(S909)=0),"",AO909/S909)</f>
        <v/>
      </c>
      <c r="AR909" s="33" t="str">
        <f aca="false">IF(A909="","",IF(COUNT(AF909:AJ909)=0,"",SUM(AF909:AJ909)))</f>
        <v/>
      </c>
      <c r="AS909" s="34" t="str">
        <f aca="false">IF(OR(AR909="",N(AO909)=0),"",AR909/AO909)</f>
        <v/>
      </c>
      <c r="AT909" s="34" t="str">
        <f aca="false">IF(OR(AR909="",N(AC909)=0),"",AR909/AC909)</f>
        <v/>
      </c>
      <c r="AU909" s="34" t="str">
        <f aca="false">IF(OR(AR909="",N(S909)=0),"",AR909/S909)</f>
        <v/>
      </c>
      <c r="AV909" s="34" t="str">
        <f aca="false">IF(OR(AJ909="",N(AC909)=0),"",AJ909/AC909)</f>
        <v/>
      </c>
      <c r="AW909" s="34" t="str">
        <f aca="false">IF(OR(AH909="",N(AO909)=0),"",AH909/AO909)</f>
        <v/>
      </c>
      <c r="AX909" s="35" t="str">
        <f aca="false">IF(OR(AR909="",N(AO909)=0),"",(N(AF909)*Settings!$B$6+N(AG909)*Settings!$B$7+N(AH909)*Settings!$B$8+N(AI909)*Settings!$B$9+N(AJ909)*Settings!$B$10)/AO909*1000)</f>
        <v/>
      </c>
      <c r="AY909" s="36" t="str">
        <f aca="false">IF(AS909="","",IFERROR(AS909/AVERAGEIFS('Post Tracker'!$AS$5:$AS$1004,'Post Tracker'!$G$5:$G$1004,G909),""))</f>
        <v/>
      </c>
      <c r="AZ909" s="32"/>
      <c r="BA909" s="32"/>
      <c r="BB909" s="32"/>
      <c r="BC909" s="32"/>
      <c r="BD909" s="33" t="str">
        <f aca="false">IF(A909="","",COUNTIFS('Demo Pipeline'!$Q$5:$Q$504,A909))</f>
        <v/>
      </c>
      <c r="BE909" s="33" t="str">
        <f aca="false">IF(A909="","",COUNTIFS('Demo Pipeline'!$Q$5:$Q$504,A909,'Demo Pipeline'!$W$5:$W$504,"Attended"))</f>
        <v/>
      </c>
      <c r="BF909" s="33" t="str">
        <f aca="false">IF(A909="","",COUNTIFS('Demo Pipeline'!$Q$5:$Q$504,A909,'Demo Pipeline'!$X$5:$X$504,"Yes"))</f>
        <v/>
      </c>
      <c r="BG909" s="33" t="str">
        <f aca="false">IF(A909="","",COUNTIFS('Demo Pipeline'!$Q$5:$Q$504,A909,'Demo Pipeline'!$Y$5:$Y$504,"Closed Won"))</f>
        <v/>
      </c>
      <c r="BH909" s="37" t="str">
        <f aca="false">IF(A909="","",SUMIFS('Demo Pipeline'!$Z$5:$Z$504,'Demo Pipeline'!$Q$5:$Q$504,A909))</f>
        <v/>
      </c>
      <c r="BI909" s="34" t="str">
        <f aca="false">IF(OR(AZ909="",N(AJ909)=0),"",AZ909/AJ909)</f>
        <v/>
      </c>
      <c r="BJ909" s="34" t="str">
        <f aca="false">IF(OR(BB909="",N(AZ909)=0),"",BB909/AZ909)</f>
        <v/>
      </c>
      <c r="BK909" s="34" t="str">
        <f aca="false">IF(OR(A909="",N(BB909)=0),"",BD909/BB909)</f>
        <v/>
      </c>
      <c r="BL909" s="34" t="str">
        <f aca="false">IF(OR(A909="",N(AZ909)=0),"",BD909/AZ909)</f>
        <v/>
      </c>
      <c r="BM909" s="37" t="str">
        <f aca="false">IF(OR(N(Q909)=0,N(BD909)=0),"",Q909/BD909)</f>
        <v/>
      </c>
      <c r="BN909" s="29"/>
      <c r="BO909" s="29"/>
      <c r="BP909" s="33" t="str">
        <f aca="false">IF(OR(AR909="",N(AO909)=0),"",AR909)</f>
        <v/>
      </c>
      <c r="BQ909" s="33" t="str">
        <f aca="false">IF(OR(AR909="",N(S909)=0),"",S909)</f>
        <v/>
      </c>
      <c r="BR909" s="38" t="str">
        <f aca="false">IF(AND(ISNUMBER(B909),B909&gt;=Dashboard!$C$4,B909&lt;=Dashboard!$F$4,ISNUMBER(AU909)),AU909+ROW()/10^9,"")</f>
        <v/>
      </c>
      <c r="BS909" s="38" t="str">
        <f aca="false">IF(AND(ISNUMBER(B909),B909&gt;=Dashboard!$C$4,B909&lt;=Dashboard!$F$4,A909&lt;&gt;""),N(BD909)+N(AU909)/100+ROW()/10^9,"")</f>
        <v/>
      </c>
    </row>
    <row r="910" customFormat="false" ht="15" hidden="false" customHeight="false" outlineLevel="0" collapsed="false">
      <c r="A910" s="24" t="str">
        <f aca="false">IF(OR(B910="",G910="",H910=""),"",IFERROR(INDEX(Settings!$E$5:$E$49,MATCH(G910,Settings!$D$5:$D$49,0))&amp;INDEX(Settings!$H$5:$H$47,MATCH(H910,Settings!$G$5:$G$47,0))&amp;"-"&amp;TEXT(B910,"yymmdd")&amp;"-"&amp;IF(C910="","0000",TEXT(C910,"hhmm")),"CHECK LISTS"))</f>
        <v/>
      </c>
      <c r="B910" s="39"/>
      <c r="C910" s="40"/>
      <c r="D910" s="24" t="str">
        <f aca="false">IF(B910="","",TEXT(B910,"ddd"))</f>
        <v/>
      </c>
      <c r="E910" s="27" t="str">
        <f aca="false">IF(B910="","",B910-WEEKDAY(B910,3))</f>
        <v/>
      </c>
      <c r="F910" s="24" t="str">
        <f aca="false">IF(B910="","",TEXT(B910,"yyyy-mm"))</f>
        <v/>
      </c>
      <c r="G910" s="29"/>
      <c r="H910" s="29"/>
      <c r="I910" s="29"/>
      <c r="J910" s="29"/>
      <c r="K910" s="29"/>
      <c r="L910" s="29"/>
      <c r="M910" s="29"/>
      <c r="N910" s="29"/>
      <c r="O910" s="29"/>
      <c r="P910" s="29"/>
      <c r="Q910" s="30"/>
      <c r="R910" s="29"/>
      <c r="S910" s="32"/>
      <c r="T910" s="29"/>
      <c r="U910" s="29"/>
      <c r="V910" s="24" t="str">
        <f aca="false">IF(A910="","",IFERROR(INDEX(Settings!$F$5:$F$49,MATCH(G910,Settings!$D$5:$D$49,0)),""))</f>
        <v/>
      </c>
      <c r="W910" s="24" t="str">
        <f aca="false">IF(A910="","",IF(OR(P910="",P910="Organic"),"social","paid_social"))</f>
        <v/>
      </c>
      <c r="X910" s="24" t="str">
        <f aca="false">IF(A910="","",IF(K910&lt;&gt;"",IFERROR(INDEX('Case Studies'!$C$5:$C$54,MATCH(K910,'Case Studies'!$B$5:$B$54,0))&amp;"","case-study"),IF(J910&lt;&gt;"",IFERROR(INDEX(Settings!$J$5:$J$55,MATCH(J910,Settings!$I$5:$I$55,0)),"general"),"general")))</f>
        <v/>
      </c>
      <c r="Y910" s="24" t="str">
        <f aca="false">IF(A910="","",LOWER(A910))</f>
        <v/>
      </c>
      <c r="Z910" s="24" t="str">
        <f aca="false">IF(A910="","",IF(T910="",Settings!$B$5,T910)&amp;IF(ISNUMBER(FIND("?",IF(T910="",Settings!$B$5,T910))),"&amp;","?")&amp;"utm_source="&amp;V910&amp;"&amp;utm_medium="&amp;W910&amp;"&amp;utm_campaign="&amp;X910&amp;"&amp;utm_content="&amp;Y910)</f>
        <v/>
      </c>
      <c r="AA910" s="29"/>
      <c r="AB910" s="39"/>
      <c r="AC910" s="32"/>
      <c r="AD910" s="32"/>
      <c r="AE910" s="32"/>
      <c r="AF910" s="32"/>
      <c r="AG910" s="32"/>
      <c r="AH910" s="32"/>
      <c r="AI910" s="32"/>
      <c r="AJ910" s="32"/>
      <c r="AK910" s="32"/>
      <c r="AL910" s="32"/>
      <c r="AM910" s="32"/>
      <c r="AN910" s="32"/>
      <c r="AO910" s="33" t="str">
        <f aca="false">IF(A910="","",IF(AD910&lt;&gt;"",AD910,IF(AC910&lt;&gt;"",AC910,"")))</f>
        <v/>
      </c>
      <c r="AP910" s="24" t="str">
        <f aca="false">IF(AO910="","",IF(AD910&lt;&gt;"","Reported reach","Impressions (proxy)"))</f>
        <v/>
      </c>
      <c r="AQ910" s="34" t="str">
        <f aca="false">IF(OR(AO910="",N(S910)=0),"",AO910/S910)</f>
        <v/>
      </c>
      <c r="AR910" s="33" t="str">
        <f aca="false">IF(A910="","",IF(COUNT(AF910:AJ910)=0,"",SUM(AF910:AJ910)))</f>
        <v/>
      </c>
      <c r="AS910" s="34" t="str">
        <f aca="false">IF(OR(AR910="",N(AO910)=0),"",AR910/AO910)</f>
        <v/>
      </c>
      <c r="AT910" s="34" t="str">
        <f aca="false">IF(OR(AR910="",N(AC910)=0),"",AR910/AC910)</f>
        <v/>
      </c>
      <c r="AU910" s="34" t="str">
        <f aca="false">IF(OR(AR910="",N(S910)=0),"",AR910/S910)</f>
        <v/>
      </c>
      <c r="AV910" s="34" t="str">
        <f aca="false">IF(OR(AJ910="",N(AC910)=0),"",AJ910/AC910)</f>
        <v/>
      </c>
      <c r="AW910" s="34" t="str">
        <f aca="false">IF(OR(AH910="",N(AO910)=0),"",AH910/AO910)</f>
        <v/>
      </c>
      <c r="AX910" s="35" t="str">
        <f aca="false">IF(OR(AR910="",N(AO910)=0),"",(N(AF910)*Settings!$B$6+N(AG910)*Settings!$B$7+N(AH910)*Settings!$B$8+N(AI910)*Settings!$B$9+N(AJ910)*Settings!$B$10)/AO910*1000)</f>
        <v/>
      </c>
      <c r="AY910" s="36" t="str">
        <f aca="false">IF(AS910="","",IFERROR(AS910/AVERAGEIFS('Post Tracker'!$AS$5:$AS$1004,'Post Tracker'!$G$5:$G$1004,G910),""))</f>
        <v/>
      </c>
      <c r="AZ910" s="32"/>
      <c r="BA910" s="32"/>
      <c r="BB910" s="32"/>
      <c r="BC910" s="32"/>
      <c r="BD910" s="33" t="str">
        <f aca="false">IF(A910="","",COUNTIFS('Demo Pipeline'!$Q$5:$Q$504,A910))</f>
        <v/>
      </c>
      <c r="BE910" s="33" t="str">
        <f aca="false">IF(A910="","",COUNTIFS('Demo Pipeline'!$Q$5:$Q$504,A910,'Demo Pipeline'!$W$5:$W$504,"Attended"))</f>
        <v/>
      </c>
      <c r="BF910" s="33" t="str">
        <f aca="false">IF(A910="","",COUNTIFS('Demo Pipeline'!$Q$5:$Q$504,A910,'Demo Pipeline'!$X$5:$X$504,"Yes"))</f>
        <v/>
      </c>
      <c r="BG910" s="33" t="str">
        <f aca="false">IF(A910="","",COUNTIFS('Demo Pipeline'!$Q$5:$Q$504,A910,'Demo Pipeline'!$Y$5:$Y$504,"Closed Won"))</f>
        <v/>
      </c>
      <c r="BH910" s="37" t="str">
        <f aca="false">IF(A910="","",SUMIFS('Demo Pipeline'!$Z$5:$Z$504,'Demo Pipeline'!$Q$5:$Q$504,A910))</f>
        <v/>
      </c>
      <c r="BI910" s="34" t="str">
        <f aca="false">IF(OR(AZ910="",N(AJ910)=0),"",AZ910/AJ910)</f>
        <v/>
      </c>
      <c r="BJ910" s="34" t="str">
        <f aca="false">IF(OR(BB910="",N(AZ910)=0),"",BB910/AZ910)</f>
        <v/>
      </c>
      <c r="BK910" s="34" t="str">
        <f aca="false">IF(OR(A910="",N(BB910)=0),"",BD910/BB910)</f>
        <v/>
      </c>
      <c r="BL910" s="34" t="str">
        <f aca="false">IF(OR(A910="",N(AZ910)=0),"",BD910/AZ910)</f>
        <v/>
      </c>
      <c r="BM910" s="37" t="str">
        <f aca="false">IF(OR(N(Q910)=0,N(BD910)=0),"",Q910/BD910)</f>
        <v/>
      </c>
      <c r="BN910" s="29"/>
      <c r="BO910" s="29"/>
      <c r="BP910" s="33" t="str">
        <f aca="false">IF(OR(AR910="",N(AO910)=0),"",AR910)</f>
        <v/>
      </c>
      <c r="BQ910" s="33" t="str">
        <f aca="false">IF(OR(AR910="",N(S910)=0),"",S910)</f>
        <v/>
      </c>
      <c r="BR910" s="38" t="str">
        <f aca="false">IF(AND(ISNUMBER(B910),B910&gt;=Dashboard!$C$4,B910&lt;=Dashboard!$F$4,ISNUMBER(AU910)),AU910+ROW()/10^9,"")</f>
        <v/>
      </c>
      <c r="BS910" s="38" t="str">
        <f aca="false">IF(AND(ISNUMBER(B910),B910&gt;=Dashboard!$C$4,B910&lt;=Dashboard!$F$4,A910&lt;&gt;""),N(BD910)+N(AU910)/100+ROW()/10^9,"")</f>
        <v/>
      </c>
    </row>
    <row r="911" customFormat="false" ht="15" hidden="false" customHeight="false" outlineLevel="0" collapsed="false">
      <c r="A911" s="24" t="str">
        <f aca="false">IF(OR(B911="",G911="",H911=""),"",IFERROR(INDEX(Settings!$E$5:$E$49,MATCH(G911,Settings!$D$5:$D$49,0))&amp;INDEX(Settings!$H$5:$H$47,MATCH(H911,Settings!$G$5:$G$47,0))&amp;"-"&amp;TEXT(B911,"yymmdd")&amp;"-"&amp;IF(C911="","0000",TEXT(C911,"hhmm")),"CHECK LISTS"))</f>
        <v/>
      </c>
      <c r="B911" s="39"/>
      <c r="C911" s="40"/>
      <c r="D911" s="24" t="str">
        <f aca="false">IF(B911="","",TEXT(B911,"ddd"))</f>
        <v/>
      </c>
      <c r="E911" s="27" t="str">
        <f aca="false">IF(B911="","",B911-WEEKDAY(B911,3))</f>
        <v/>
      </c>
      <c r="F911" s="24" t="str">
        <f aca="false">IF(B911="","",TEXT(B911,"yyyy-mm"))</f>
        <v/>
      </c>
      <c r="G911" s="29"/>
      <c r="H911" s="29"/>
      <c r="I911" s="29"/>
      <c r="J911" s="29"/>
      <c r="K911" s="29"/>
      <c r="L911" s="29"/>
      <c r="M911" s="29"/>
      <c r="N911" s="29"/>
      <c r="O911" s="29"/>
      <c r="P911" s="29"/>
      <c r="Q911" s="30"/>
      <c r="R911" s="29"/>
      <c r="S911" s="32"/>
      <c r="T911" s="29"/>
      <c r="U911" s="29"/>
      <c r="V911" s="24" t="str">
        <f aca="false">IF(A911="","",IFERROR(INDEX(Settings!$F$5:$F$49,MATCH(G911,Settings!$D$5:$D$49,0)),""))</f>
        <v/>
      </c>
      <c r="W911" s="24" t="str">
        <f aca="false">IF(A911="","",IF(OR(P911="",P911="Organic"),"social","paid_social"))</f>
        <v/>
      </c>
      <c r="X911" s="24" t="str">
        <f aca="false">IF(A911="","",IF(K911&lt;&gt;"",IFERROR(INDEX('Case Studies'!$C$5:$C$54,MATCH(K911,'Case Studies'!$B$5:$B$54,0))&amp;"","case-study"),IF(J911&lt;&gt;"",IFERROR(INDEX(Settings!$J$5:$J$55,MATCH(J911,Settings!$I$5:$I$55,0)),"general"),"general")))</f>
        <v/>
      </c>
      <c r="Y911" s="24" t="str">
        <f aca="false">IF(A911="","",LOWER(A911))</f>
        <v/>
      </c>
      <c r="Z911" s="24" t="str">
        <f aca="false">IF(A911="","",IF(T911="",Settings!$B$5,T911)&amp;IF(ISNUMBER(FIND("?",IF(T911="",Settings!$B$5,T911))),"&amp;","?")&amp;"utm_source="&amp;V911&amp;"&amp;utm_medium="&amp;W911&amp;"&amp;utm_campaign="&amp;X911&amp;"&amp;utm_content="&amp;Y911)</f>
        <v/>
      </c>
      <c r="AA911" s="29"/>
      <c r="AB911" s="39"/>
      <c r="AC911" s="32"/>
      <c r="AD911" s="32"/>
      <c r="AE911" s="32"/>
      <c r="AF911" s="32"/>
      <c r="AG911" s="32"/>
      <c r="AH911" s="32"/>
      <c r="AI911" s="32"/>
      <c r="AJ911" s="32"/>
      <c r="AK911" s="32"/>
      <c r="AL911" s="32"/>
      <c r="AM911" s="32"/>
      <c r="AN911" s="32"/>
      <c r="AO911" s="33" t="str">
        <f aca="false">IF(A911="","",IF(AD911&lt;&gt;"",AD911,IF(AC911&lt;&gt;"",AC911,"")))</f>
        <v/>
      </c>
      <c r="AP911" s="24" t="str">
        <f aca="false">IF(AO911="","",IF(AD911&lt;&gt;"","Reported reach","Impressions (proxy)"))</f>
        <v/>
      </c>
      <c r="AQ911" s="34" t="str">
        <f aca="false">IF(OR(AO911="",N(S911)=0),"",AO911/S911)</f>
        <v/>
      </c>
      <c r="AR911" s="33" t="str">
        <f aca="false">IF(A911="","",IF(COUNT(AF911:AJ911)=0,"",SUM(AF911:AJ911)))</f>
        <v/>
      </c>
      <c r="AS911" s="34" t="str">
        <f aca="false">IF(OR(AR911="",N(AO911)=0),"",AR911/AO911)</f>
        <v/>
      </c>
      <c r="AT911" s="34" t="str">
        <f aca="false">IF(OR(AR911="",N(AC911)=0),"",AR911/AC911)</f>
        <v/>
      </c>
      <c r="AU911" s="34" t="str">
        <f aca="false">IF(OR(AR911="",N(S911)=0),"",AR911/S911)</f>
        <v/>
      </c>
      <c r="AV911" s="34" t="str">
        <f aca="false">IF(OR(AJ911="",N(AC911)=0),"",AJ911/AC911)</f>
        <v/>
      </c>
      <c r="AW911" s="34" t="str">
        <f aca="false">IF(OR(AH911="",N(AO911)=0),"",AH911/AO911)</f>
        <v/>
      </c>
      <c r="AX911" s="35" t="str">
        <f aca="false">IF(OR(AR911="",N(AO911)=0),"",(N(AF911)*Settings!$B$6+N(AG911)*Settings!$B$7+N(AH911)*Settings!$B$8+N(AI911)*Settings!$B$9+N(AJ911)*Settings!$B$10)/AO911*1000)</f>
        <v/>
      </c>
      <c r="AY911" s="36" t="str">
        <f aca="false">IF(AS911="","",IFERROR(AS911/AVERAGEIFS('Post Tracker'!$AS$5:$AS$1004,'Post Tracker'!$G$5:$G$1004,G911),""))</f>
        <v/>
      </c>
      <c r="AZ911" s="32"/>
      <c r="BA911" s="32"/>
      <c r="BB911" s="32"/>
      <c r="BC911" s="32"/>
      <c r="BD911" s="33" t="str">
        <f aca="false">IF(A911="","",COUNTIFS('Demo Pipeline'!$Q$5:$Q$504,A911))</f>
        <v/>
      </c>
      <c r="BE911" s="33" t="str">
        <f aca="false">IF(A911="","",COUNTIFS('Demo Pipeline'!$Q$5:$Q$504,A911,'Demo Pipeline'!$W$5:$W$504,"Attended"))</f>
        <v/>
      </c>
      <c r="BF911" s="33" t="str">
        <f aca="false">IF(A911="","",COUNTIFS('Demo Pipeline'!$Q$5:$Q$504,A911,'Demo Pipeline'!$X$5:$X$504,"Yes"))</f>
        <v/>
      </c>
      <c r="BG911" s="33" t="str">
        <f aca="false">IF(A911="","",COUNTIFS('Demo Pipeline'!$Q$5:$Q$504,A911,'Demo Pipeline'!$Y$5:$Y$504,"Closed Won"))</f>
        <v/>
      </c>
      <c r="BH911" s="37" t="str">
        <f aca="false">IF(A911="","",SUMIFS('Demo Pipeline'!$Z$5:$Z$504,'Demo Pipeline'!$Q$5:$Q$504,A911))</f>
        <v/>
      </c>
      <c r="BI911" s="34" t="str">
        <f aca="false">IF(OR(AZ911="",N(AJ911)=0),"",AZ911/AJ911)</f>
        <v/>
      </c>
      <c r="BJ911" s="34" t="str">
        <f aca="false">IF(OR(BB911="",N(AZ911)=0),"",BB911/AZ911)</f>
        <v/>
      </c>
      <c r="BK911" s="34" t="str">
        <f aca="false">IF(OR(A911="",N(BB911)=0),"",BD911/BB911)</f>
        <v/>
      </c>
      <c r="BL911" s="34" t="str">
        <f aca="false">IF(OR(A911="",N(AZ911)=0),"",BD911/AZ911)</f>
        <v/>
      </c>
      <c r="BM911" s="37" t="str">
        <f aca="false">IF(OR(N(Q911)=0,N(BD911)=0),"",Q911/BD911)</f>
        <v/>
      </c>
      <c r="BN911" s="29"/>
      <c r="BO911" s="29"/>
      <c r="BP911" s="33" t="str">
        <f aca="false">IF(OR(AR911="",N(AO911)=0),"",AR911)</f>
        <v/>
      </c>
      <c r="BQ911" s="33" t="str">
        <f aca="false">IF(OR(AR911="",N(S911)=0),"",S911)</f>
        <v/>
      </c>
      <c r="BR911" s="38" t="str">
        <f aca="false">IF(AND(ISNUMBER(B911),B911&gt;=Dashboard!$C$4,B911&lt;=Dashboard!$F$4,ISNUMBER(AU911)),AU911+ROW()/10^9,"")</f>
        <v/>
      </c>
      <c r="BS911" s="38" t="str">
        <f aca="false">IF(AND(ISNUMBER(B911),B911&gt;=Dashboard!$C$4,B911&lt;=Dashboard!$F$4,A911&lt;&gt;""),N(BD911)+N(AU911)/100+ROW()/10^9,"")</f>
        <v/>
      </c>
    </row>
    <row r="912" customFormat="false" ht="15" hidden="false" customHeight="false" outlineLevel="0" collapsed="false">
      <c r="A912" s="24" t="str">
        <f aca="false">IF(OR(B912="",G912="",H912=""),"",IFERROR(INDEX(Settings!$E$5:$E$49,MATCH(G912,Settings!$D$5:$D$49,0))&amp;INDEX(Settings!$H$5:$H$47,MATCH(H912,Settings!$G$5:$G$47,0))&amp;"-"&amp;TEXT(B912,"yymmdd")&amp;"-"&amp;IF(C912="","0000",TEXT(C912,"hhmm")),"CHECK LISTS"))</f>
        <v/>
      </c>
      <c r="B912" s="39"/>
      <c r="C912" s="40"/>
      <c r="D912" s="24" t="str">
        <f aca="false">IF(B912="","",TEXT(B912,"ddd"))</f>
        <v/>
      </c>
      <c r="E912" s="27" t="str">
        <f aca="false">IF(B912="","",B912-WEEKDAY(B912,3))</f>
        <v/>
      </c>
      <c r="F912" s="24" t="str">
        <f aca="false">IF(B912="","",TEXT(B912,"yyyy-mm"))</f>
        <v/>
      </c>
      <c r="G912" s="29"/>
      <c r="H912" s="29"/>
      <c r="I912" s="29"/>
      <c r="J912" s="29"/>
      <c r="K912" s="29"/>
      <c r="L912" s="29"/>
      <c r="M912" s="29"/>
      <c r="N912" s="29"/>
      <c r="O912" s="29"/>
      <c r="P912" s="29"/>
      <c r="Q912" s="30"/>
      <c r="R912" s="29"/>
      <c r="S912" s="32"/>
      <c r="T912" s="29"/>
      <c r="U912" s="29"/>
      <c r="V912" s="24" t="str">
        <f aca="false">IF(A912="","",IFERROR(INDEX(Settings!$F$5:$F$49,MATCH(G912,Settings!$D$5:$D$49,0)),""))</f>
        <v/>
      </c>
      <c r="W912" s="24" t="str">
        <f aca="false">IF(A912="","",IF(OR(P912="",P912="Organic"),"social","paid_social"))</f>
        <v/>
      </c>
      <c r="X912" s="24" t="str">
        <f aca="false">IF(A912="","",IF(K912&lt;&gt;"",IFERROR(INDEX('Case Studies'!$C$5:$C$54,MATCH(K912,'Case Studies'!$B$5:$B$54,0))&amp;"","case-study"),IF(J912&lt;&gt;"",IFERROR(INDEX(Settings!$J$5:$J$55,MATCH(J912,Settings!$I$5:$I$55,0)),"general"),"general")))</f>
        <v/>
      </c>
      <c r="Y912" s="24" t="str">
        <f aca="false">IF(A912="","",LOWER(A912))</f>
        <v/>
      </c>
      <c r="Z912" s="24" t="str">
        <f aca="false">IF(A912="","",IF(T912="",Settings!$B$5,T912)&amp;IF(ISNUMBER(FIND("?",IF(T912="",Settings!$B$5,T912))),"&amp;","?")&amp;"utm_source="&amp;V912&amp;"&amp;utm_medium="&amp;W912&amp;"&amp;utm_campaign="&amp;X912&amp;"&amp;utm_content="&amp;Y912)</f>
        <v/>
      </c>
      <c r="AA912" s="29"/>
      <c r="AB912" s="39"/>
      <c r="AC912" s="32"/>
      <c r="AD912" s="32"/>
      <c r="AE912" s="32"/>
      <c r="AF912" s="32"/>
      <c r="AG912" s="32"/>
      <c r="AH912" s="32"/>
      <c r="AI912" s="32"/>
      <c r="AJ912" s="32"/>
      <c r="AK912" s="32"/>
      <c r="AL912" s="32"/>
      <c r="AM912" s="32"/>
      <c r="AN912" s="32"/>
      <c r="AO912" s="33" t="str">
        <f aca="false">IF(A912="","",IF(AD912&lt;&gt;"",AD912,IF(AC912&lt;&gt;"",AC912,"")))</f>
        <v/>
      </c>
      <c r="AP912" s="24" t="str">
        <f aca="false">IF(AO912="","",IF(AD912&lt;&gt;"","Reported reach","Impressions (proxy)"))</f>
        <v/>
      </c>
      <c r="AQ912" s="34" t="str">
        <f aca="false">IF(OR(AO912="",N(S912)=0),"",AO912/S912)</f>
        <v/>
      </c>
      <c r="AR912" s="33" t="str">
        <f aca="false">IF(A912="","",IF(COUNT(AF912:AJ912)=0,"",SUM(AF912:AJ912)))</f>
        <v/>
      </c>
      <c r="AS912" s="34" t="str">
        <f aca="false">IF(OR(AR912="",N(AO912)=0),"",AR912/AO912)</f>
        <v/>
      </c>
      <c r="AT912" s="34" t="str">
        <f aca="false">IF(OR(AR912="",N(AC912)=0),"",AR912/AC912)</f>
        <v/>
      </c>
      <c r="AU912" s="34" t="str">
        <f aca="false">IF(OR(AR912="",N(S912)=0),"",AR912/S912)</f>
        <v/>
      </c>
      <c r="AV912" s="34" t="str">
        <f aca="false">IF(OR(AJ912="",N(AC912)=0),"",AJ912/AC912)</f>
        <v/>
      </c>
      <c r="AW912" s="34" t="str">
        <f aca="false">IF(OR(AH912="",N(AO912)=0),"",AH912/AO912)</f>
        <v/>
      </c>
      <c r="AX912" s="35" t="str">
        <f aca="false">IF(OR(AR912="",N(AO912)=0),"",(N(AF912)*Settings!$B$6+N(AG912)*Settings!$B$7+N(AH912)*Settings!$B$8+N(AI912)*Settings!$B$9+N(AJ912)*Settings!$B$10)/AO912*1000)</f>
        <v/>
      </c>
      <c r="AY912" s="36" t="str">
        <f aca="false">IF(AS912="","",IFERROR(AS912/AVERAGEIFS('Post Tracker'!$AS$5:$AS$1004,'Post Tracker'!$G$5:$G$1004,G912),""))</f>
        <v/>
      </c>
      <c r="AZ912" s="32"/>
      <c r="BA912" s="32"/>
      <c r="BB912" s="32"/>
      <c r="BC912" s="32"/>
      <c r="BD912" s="33" t="str">
        <f aca="false">IF(A912="","",COUNTIFS('Demo Pipeline'!$Q$5:$Q$504,A912))</f>
        <v/>
      </c>
      <c r="BE912" s="33" t="str">
        <f aca="false">IF(A912="","",COUNTIFS('Demo Pipeline'!$Q$5:$Q$504,A912,'Demo Pipeline'!$W$5:$W$504,"Attended"))</f>
        <v/>
      </c>
      <c r="BF912" s="33" t="str">
        <f aca="false">IF(A912="","",COUNTIFS('Demo Pipeline'!$Q$5:$Q$504,A912,'Demo Pipeline'!$X$5:$X$504,"Yes"))</f>
        <v/>
      </c>
      <c r="BG912" s="33" t="str">
        <f aca="false">IF(A912="","",COUNTIFS('Demo Pipeline'!$Q$5:$Q$504,A912,'Demo Pipeline'!$Y$5:$Y$504,"Closed Won"))</f>
        <v/>
      </c>
      <c r="BH912" s="37" t="str">
        <f aca="false">IF(A912="","",SUMIFS('Demo Pipeline'!$Z$5:$Z$504,'Demo Pipeline'!$Q$5:$Q$504,A912))</f>
        <v/>
      </c>
      <c r="BI912" s="34" t="str">
        <f aca="false">IF(OR(AZ912="",N(AJ912)=0),"",AZ912/AJ912)</f>
        <v/>
      </c>
      <c r="BJ912" s="34" t="str">
        <f aca="false">IF(OR(BB912="",N(AZ912)=0),"",BB912/AZ912)</f>
        <v/>
      </c>
      <c r="BK912" s="34" t="str">
        <f aca="false">IF(OR(A912="",N(BB912)=0),"",BD912/BB912)</f>
        <v/>
      </c>
      <c r="BL912" s="34" t="str">
        <f aca="false">IF(OR(A912="",N(AZ912)=0),"",BD912/AZ912)</f>
        <v/>
      </c>
      <c r="BM912" s="37" t="str">
        <f aca="false">IF(OR(N(Q912)=0,N(BD912)=0),"",Q912/BD912)</f>
        <v/>
      </c>
      <c r="BN912" s="29"/>
      <c r="BO912" s="29"/>
      <c r="BP912" s="33" t="str">
        <f aca="false">IF(OR(AR912="",N(AO912)=0),"",AR912)</f>
        <v/>
      </c>
      <c r="BQ912" s="33" t="str">
        <f aca="false">IF(OR(AR912="",N(S912)=0),"",S912)</f>
        <v/>
      </c>
      <c r="BR912" s="38" t="str">
        <f aca="false">IF(AND(ISNUMBER(B912),B912&gt;=Dashboard!$C$4,B912&lt;=Dashboard!$F$4,ISNUMBER(AU912)),AU912+ROW()/10^9,"")</f>
        <v/>
      </c>
      <c r="BS912" s="38" t="str">
        <f aca="false">IF(AND(ISNUMBER(B912),B912&gt;=Dashboard!$C$4,B912&lt;=Dashboard!$F$4,A912&lt;&gt;""),N(BD912)+N(AU912)/100+ROW()/10^9,"")</f>
        <v/>
      </c>
    </row>
    <row r="913" customFormat="false" ht="15" hidden="false" customHeight="false" outlineLevel="0" collapsed="false">
      <c r="A913" s="24" t="str">
        <f aca="false">IF(OR(B913="",G913="",H913=""),"",IFERROR(INDEX(Settings!$E$5:$E$49,MATCH(G913,Settings!$D$5:$D$49,0))&amp;INDEX(Settings!$H$5:$H$47,MATCH(H913,Settings!$G$5:$G$47,0))&amp;"-"&amp;TEXT(B913,"yymmdd")&amp;"-"&amp;IF(C913="","0000",TEXT(C913,"hhmm")),"CHECK LISTS"))</f>
        <v/>
      </c>
      <c r="B913" s="39"/>
      <c r="C913" s="40"/>
      <c r="D913" s="24" t="str">
        <f aca="false">IF(B913="","",TEXT(B913,"ddd"))</f>
        <v/>
      </c>
      <c r="E913" s="27" t="str">
        <f aca="false">IF(B913="","",B913-WEEKDAY(B913,3))</f>
        <v/>
      </c>
      <c r="F913" s="24" t="str">
        <f aca="false">IF(B913="","",TEXT(B913,"yyyy-mm"))</f>
        <v/>
      </c>
      <c r="G913" s="29"/>
      <c r="H913" s="29"/>
      <c r="I913" s="29"/>
      <c r="J913" s="29"/>
      <c r="K913" s="29"/>
      <c r="L913" s="29"/>
      <c r="M913" s="29"/>
      <c r="N913" s="29"/>
      <c r="O913" s="29"/>
      <c r="P913" s="29"/>
      <c r="Q913" s="30"/>
      <c r="R913" s="29"/>
      <c r="S913" s="32"/>
      <c r="T913" s="29"/>
      <c r="U913" s="29"/>
      <c r="V913" s="24" t="str">
        <f aca="false">IF(A913="","",IFERROR(INDEX(Settings!$F$5:$F$49,MATCH(G913,Settings!$D$5:$D$49,0)),""))</f>
        <v/>
      </c>
      <c r="W913" s="24" t="str">
        <f aca="false">IF(A913="","",IF(OR(P913="",P913="Organic"),"social","paid_social"))</f>
        <v/>
      </c>
      <c r="X913" s="24" t="str">
        <f aca="false">IF(A913="","",IF(K913&lt;&gt;"",IFERROR(INDEX('Case Studies'!$C$5:$C$54,MATCH(K913,'Case Studies'!$B$5:$B$54,0))&amp;"","case-study"),IF(J913&lt;&gt;"",IFERROR(INDEX(Settings!$J$5:$J$55,MATCH(J913,Settings!$I$5:$I$55,0)),"general"),"general")))</f>
        <v/>
      </c>
      <c r="Y913" s="24" t="str">
        <f aca="false">IF(A913="","",LOWER(A913))</f>
        <v/>
      </c>
      <c r="Z913" s="24" t="str">
        <f aca="false">IF(A913="","",IF(T913="",Settings!$B$5,T913)&amp;IF(ISNUMBER(FIND("?",IF(T913="",Settings!$B$5,T913))),"&amp;","?")&amp;"utm_source="&amp;V913&amp;"&amp;utm_medium="&amp;W913&amp;"&amp;utm_campaign="&amp;X913&amp;"&amp;utm_content="&amp;Y913)</f>
        <v/>
      </c>
      <c r="AA913" s="29"/>
      <c r="AB913" s="39"/>
      <c r="AC913" s="32"/>
      <c r="AD913" s="32"/>
      <c r="AE913" s="32"/>
      <c r="AF913" s="32"/>
      <c r="AG913" s="32"/>
      <c r="AH913" s="32"/>
      <c r="AI913" s="32"/>
      <c r="AJ913" s="32"/>
      <c r="AK913" s="32"/>
      <c r="AL913" s="32"/>
      <c r="AM913" s="32"/>
      <c r="AN913" s="32"/>
      <c r="AO913" s="33" t="str">
        <f aca="false">IF(A913="","",IF(AD913&lt;&gt;"",AD913,IF(AC913&lt;&gt;"",AC913,"")))</f>
        <v/>
      </c>
      <c r="AP913" s="24" t="str">
        <f aca="false">IF(AO913="","",IF(AD913&lt;&gt;"","Reported reach","Impressions (proxy)"))</f>
        <v/>
      </c>
      <c r="AQ913" s="34" t="str">
        <f aca="false">IF(OR(AO913="",N(S913)=0),"",AO913/S913)</f>
        <v/>
      </c>
      <c r="AR913" s="33" t="str">
        <f aca="false">IF(A913="","",IF(COUNT(AF913:AJ913)=0,"",SUM(AF913:AJ913)))</f>
        <v/>
      </c>
      <c r="AS913" s="34" t="str">
        <f aca="false">IF(OR(AR913="",N(AO913)=0),"",AR913/AO913)</f>
        <v/>
      </c>
      <c r="AT913" s="34" t="str">
        <f aca="false">IF(OR(AR913="",N(AC913)=0),"",AR913/AC913)</f>
        <v/>
      </c>
      <c r="AU913" s="34" t="str">
        <f aca="false">IF(OR(AR913="",N(S913)=0),"",AR913/S913)</f>
        <v/>
      </c>
      <c r="AV913" s="34" t="str">
        <f aca="false">IF(OR(AJ913="",N(AC913)=0),"",AJ913/AC913)</f>
        <v/>
      </c>
      <c r="AW913" s="34" t="str">
        <f aca="false">IF(OR(AH913="",N(AO913)=0),"",AH913/AO913)</f>
        <v/>
      </c>
      <c r="AX913" s="35" t="str">
        <f aca="false">IF(OR(AR913="",N(AO913)=0),"",(N(AF913)*Settings!$B$6+N(AG913)*Settings!$B$7+N(AH913)*Settings!$B$8+N(AI913)*Settings!$B$9+N(AJ913)*Settings!$B$10)/AO913*1000)</f>
        <v/>
      </c>
      <c r="AY913" s="36" t="str">
        <f aca="false">IF(AS913="","",IFERROR(AS913/AVERAGEIFS('Post Tracker'!$AS$5:$AS$1004,'Post Tracker'!$G$5:$G$1004,G913),""))</f>
        <v/>
      </c>
      <c r="AZ913" s="32"/>
      <c r="BA913" s="32"/>
      <c r="BB913" s="32"/>
      <c r="BC913" s="32"/>
      <c r="BD913" s="33" t="str">
        <f aca="false">IF(A913="","",COUNTIFS('Demo Pipeline'!$Q$5:$Q$504,A913))</f>
        <v/>
      </c>
      <c r="BE913" s="33" t="str">
        <f aca="false">IF(A913="","",COUNTIFS('Demo Pipeline'!$Q$5:$Q$504,A913,'Demo Pipeline'!$W$5:$W$504,"Attended"))</f>
        <v/>
      </c>
      <c r="BF913" s="33" t="str">
        <f aca="false">IF(A913="","",COUNTIFS('Demo Pipeline'!$Q$5:$Q$504,A913,'Demo Pipeline'!$X$5:$X$504,"Yes"))</f>
        <v/>
      </c>
      <c r="BG913" s="33" t="str">
        <f aca="false">IF(A913="","",COUNTIFS('Demo Pipeline'!$Q$5:$Q$504,A913,'Demo Pipeline'!$Y$5:$Y$504,"Closed Won"))</f>
        <v/>
      </c>
      <c r="BH913" s="37" t="str">
        <f aca="false">IF(A913="","",SUMIFS('Demo Pipeline'!$Z$5:$Z$504,'Demo Pipeline'!$Q$5:$Q$504,A913))</f>
        <v/>
      </c>
      <c r="BI913" s="34" t="str">
        <f aca="false">IF(OR(AZ913="",N(AJ913)=0),"",AZ913/AJ913)</f>
        <v/>
      </c>
      <c r="BJ913" s="34" t="str">
        <f aca="false">IF(OR(BB913="",N(AZ913)=0),"",BB913/AZ913)</f>
        <v/>
      </c>
      <c r="BK913" s="34" t="str">
        <f aca="false">IF(OR(A913="",N(BB913)=0),"",BD913/BB913)</f>
        <v/>
      </c>
      <c r="BL913" s="34" t="str">
        <f aca="false">IF(OR(A913="",N(AZ913)=0),"",BD913/AZ913)</f>
        <v/>
      </c>
      <c r="BM913" s="37" t="str">
        <f aca="false">IF(OR(N(Q913)=0,N(BD913)=0),"",Q913/BD913)</f>
        <v/>
      </c>
      <c r="BN913" s="29"/>
      <c r="BO913" s="29"/>
      <c r="BP913" s="33" t="str">
        <f aca="false">IF(OR(AR913="",N(AO913)=0),"",AR913)</f>
        <v/>
      </c>
      <c r="BQ913" s="33" t="str">
        <f aca="false">IF(OR(AR913="",N(S913)=0),"",S913)</f>
        <v/>
      </c>
      <c r="BR913" s="38" t="str">
        <f aca="false">IF(AND(ISNUMBER(B913),B913&gt;=Dashboard!$C$4,B913&lt;=Dashboard!$F$4,ISNUMBER(AU913)),AU913+ROW()/10^9,"")</f>
        <v/>
      </c>
      <c r="BS913" s="38" t="str">
        <f aca="false">IF(AND(ISNUMBER(B913),B913&gt;=Dashboard!$C$4,B913&lt;=Dashboard!$F$4,A913&lt;&gt;""),N(BD913)+N(AU913)/100+ROW()/10^9,"")</f>
        <v/>
      </c>
    </row>
    <row r="914" customFormat="false" ht="15" hidden="false" customHeight="false" outlineLevel="0" collapsed="false">
      <c r="A914" s="24" t="str">
        <f aca="false">IF(OR(B914="",G914="",H914=""),"",IFERROR(INDEX(Settings!$E$5:$E$49,MATCH(G914,Settings!$D$5:$D$49,0))&amp;INDEX(Settings!$H$5:$H$47,MATCH(H914,Settings!$G$5:$G$47,0))&amp;"-"&amp;TEXT(B914,"yymmdd")&amp;"-"&amp;IF(C914="","0000",TEXT(C914,"hhmm")),"CHECK LISTS"))</f>
        <v/>
      </c>
      <c r="B914" s="39"/>
      <c r="C914" s="40"/>
      <c r="D914" s="24" t="str">
        <f aca="false">IF(B914="","",TEXT(B914,"ddd"))</f>
        <v/>
      </c>
      <c r="E914" s="27" t="str">
        <f aca="false">IF(B914="","",B914-WEEKDAY(B914,3))</f>
        <v/>
      </c>
      <c r="F914" s="24" t="str">
        <f aca="false">IF(B914="","",TEXT(B914,"yyyy-mm"))</f>
        <v/>
      </c>
      <c r="G914" s="29"/>
      <c r="H914" s="29"/>
      <c r="I914" s="29"/>
      <c r="J914" s="29"/>
      <c r="K914" s="29"/>
      <c r="L914" s="29"/>
      <c r="M914" s="29"/>
      <c r="N914" s="29"/>
      <c r="O914" s="29"/>
      <c r="P914" s="29"/>
      <c r="Q914" s="30"/>
      <c r="R914" s="29"/>
      <c r="S914" s="32"/>
      <c r="T914" s="29"/>
      <c r="U914" s="29"/>
      <c r="V914" s="24" t="str">
        <f aca="false">IF(A914="","",IFERROR(INDEX(Settings!$F$5:$F$49,MATCH(G914,Settings!$D$5:$D$49,0)),""))</f>
        <v/>
      </c>
      <c r="W914" s="24" t="str">
        <f aca="false">IF(A914="","",IF(OR(P914="",P914="Organic"),"social","paid_social"))</f>
        <v/>
      </c>
      <c r="X914" s="24" t="str">
        <f aca="false">IF(A914="","",IF(K914&lt;&gt;"",IFERROR(INDEX('Case Studies'!$C$5:$C$54,MATCH(K914,'Case Studies'!$B$5:$B$54,0))&amp;"","case-study"),IF(J914&lt;&gt;"",IFERROR(INDEX(Settings!$J$5:$J$55,MATCH(J914,Settings!$I$5:$I$55,0)),"general"),"general")))</f>
        <v/>
      </c>
      <c r="Y914" s="24" t="str">
        <f aca="false">IF(A914="","",LOWER(A914))</f>
        <v/>
      </c>
      <c r="Z914" s="24" t="str">
        <f aca="false">IF(A914="","",IF(T914="",Settings!$B$5,T914)&amp;IF(ISNUMBER(FIND("?",IF(T914="",Settings!$B$5,T914))),"&amp;","?")&amp;"utm_source="&amp;V914&amp;"&amp;utm_medium="&amp;W914&amp;"&amp;utm_campaign="&amp;X914&amp;"&amp;utm_content="&amp;Y914)</f>
        <v/>
      </c>
      <c r="AA914" s="29"/>
      <c r="AB914" s="39"/>
      <c r="AC914" s="32"/>
      <c r="AD914" s="32"/>
      <c r="AE914" s="32"/>
      <c r="AF914" s="32"/>
      <c r="AG914" s="32"/>
      <c r="AH914" s="32"/>
      <c r="AI914" s="32"/>
      <c r="AJ914" s="32"/>
      <c r="AK914" s="32"/>
      <c r="AL914" s="32"/>
      <c r="AM914" s="32"/>
      <c r="AN914" s="32"/>
      <c r="AO914" s="33" t="str">
        <f aca="false">IF(A914="","",IF(AD914&lt;&gt;"",AD914,IF(AC914&lt;&gt;"",AC914,"")))</f>
        <v/>
      </c>
      <c r="AP914" s="24" t="str">
        <f aca="false">IF(AO914="","",IF(AD914&lt;&gt;"","Reported reach","Impressions (proxy)"))</f>
        <v/>
      </c>
      <c r="AQ914" s="34" t="str">
        <f aca="false">IF(OR(AO914="",N(S914)=0),"",AO914/S914)</f>
        <v/>
      </c>
      <c r="AR914" s="33" t="str">
        <f aca="false">IF(A914="","",IF(COUNT(AF914:AJ914)=0,"",SUM(AF914:AJ914)))</f>
        <v/>
      </c>
      <c r="AS914" s="34" t="str">
        <f aca="false">IF(OR(AR914="",N(AO914)=0),"",AR914/AO914)</f>
        <v/>
      </c>
      <c r="AT914" s="34" t="str">
        <f aca="false">IF(OR(AR914="",N(AC914)=0),"",AR914/AC914)</f>
        <v/>
      </c>
      <c r="AU914" s="34" t="str">
        <f aca="false">IF(OR(AR914="",N(S914)=0),"",AR914/S914)</f>
        <v/>
      </c>
      <c r="AV914" s="34" t="str">
        <f aca="false">IF(OR(AJ914="",N(AC914)=0),"",AJ914/AC914)</f>
        <v/>
      </c>
      <c r="AW914" s="34" t="str">
        <f aca="false">IF(OR(AH914="",N(AO914)=0),"",AH914/AO914)</f>
        <v/>
      </c>
      <c r="AX914" s="35" t="str">
        <f aca="false">IF(OR(AR914="",N(AO914)=0),"",(N(AF914)*Settings!$B$6+N(AG914)*Settings!$B$7+N(AH914)*Settings!$B$8+N(AI914)*Settings!$B$9+N(AJ914)*Settings!$B$10)/AO914*1000)</f>
        <v/>
      </c>
      <c r="AY914" s="36" t="str">
        <f aca="false">IF(AS914="","",IFERROR(AS914/AVERAGEIFS('Post Tracker'!$AS$5:$AS$1004,'Post Tracker'!$G$5:$G$1004,G914),""))</f>
        <v/>
      </c>
      <c r="AZ914" s="32"/>
      <c r="BA914" s="32"/>
      <c r="BB914" s="32"/>
      <c r="BC914" s="32"/>
      <c r="BD914" s="33" t="str">
        <f aca="false">IF(A914="","",COUNTIFS('Demo Pipeline'!$Q$5:$Q$504,A914))</f>
        <v/>
      </c>
      <c r="BE914" s="33" t="str">
        <f aca="false">IF(A914="","",COUNTIFS('Demo Pipeline'!$Q$5:$Q$504,A914,'Demo Pipeline'!$W$5:$W$504,"Attended"))</f>
        <v/>
      </c>
      <c r="BF914" s="33" t="str">
        <f aca="false">IF(A914="","",COUNTIFS('Demo Pipeline'!$Q$5:$Q$504,A914,'Demo Pipeline'!$X$5:$X$504,"Yes"))</f>
        <v/>
      </c>
      <c r="BG914" s="33" t="str">
        <f aca="false">IF(A914="","",COUNTIFS('Demo Pipeline'!$Q$5:$Q$504,A914,'Demo Pipeline'!$Y$5:$Y$504,"Closed Won"))</f>
        <v/>
      </c>
      <c r="BH914" s="37" t="str">
        <f aca="false">IF(A914="","",SUMIFS('Demo Pipeline'!$Z$5:$Z$504,'Demo Pipeline'!$Q$5:$Q$504,A914))</f>
        <v/>
      </c>
      <c r="BI914" s="34" t="str">
        <f aca="false">IF(OR(AZ914="",N(AJ914)=0),"",AZ914/AJ914)</f>
        <v/>
      </c>
      <c r="BJ914" s="34" t="str">
        <f aca="false">IF(OR(BB914="",N(AZ914)=0),"",BB914/AZ914)</f>
        <v/>
      </c>
      <c r="BK914" s="34" t="str">
        <f aca="false">IF(OR(A914="",N(BB914)=0),"",BD914/BB914)</f>
        <v/>
      </c>
      <c r="BL914" s="34" t="str">
        <f aca="false">IF(OR(A914="",N(AZ914)=0),"",BD914/AZ914)</f>
        <v/>
      </c>
      <c r="BM914" s="37" t="str">
        <f aca="false">IF(OR(N(Q914)=0,N(BD914)=0),"",Q914/BD914)</f>
        <v/>
      </c>
      <c r="BN914" s="29"/>
      <c r="BO914" s="29"/>
      <c r="BP914" s="33" t="str">
        <f aca="false">IF(OR(AR914="",N(AO914)=0),"",AR914)</f>
        <v/>
      </c>
      <c r="BQ914" s="33" t="str">
        <f aca="false">IF(OR(AR914="",N(S914)=0),"",S914)</f>
        <v/>
      </c>
      <c r="BR914" s="38" t="str">
        <f aca="false">IF(AND(ISNUMBER(B914),B914&gt;=Dashboard!$C$4,B914&lt;=Dashboard!$F$4,ISNUMBER(AU914)),AU914+ROW()/10^9,"")</f>
        <v/>
      </c>
      <c r="BS914" s="38" t="str">
        <f aca="false">IF(AND(ISNUMBER(B914),B914&gt;=Dashboard!$C$4,B914&lt;=Dashboard!$F$4,A914&lt;&gt;""),N(BD914)+N(AU914)/100+ROW()/10^9,"")</f>
        <v/>
      </c>
    </row>
    <row r="915" customFormat="false" ht="15" hidden="false" customHeight="false" outlineLevel="0" collapsed="false">
      <c r="A915" s="24" t="str">
        <f aca="false">IF(OR(B915="",G915="",H915=""),"",IFERROR(INDEX(Settings!$E$5:$E$49,MATCH(G915,Settings!$D$5:$D$49,0))&amp;INDEX(Settings!$H$5:$H$47,MATCH(H915,Settings!$G$5:$G$47,0))&amp;"-"&amp;TEXT(B915,"yymmdd")&amp;"-"&amp;IF(C915="","0000",TEXT(C915,"hhmm")),"CHECK LISTS"))</f>
        <v/>
      </c>
      <c r="B915" s="39"/>
      <c r="C915" s="40"/>
      <c r="D915" s="24" t="str">
        <f aca="false">IF(B915="","",TEXT(B915,"ddd"))</f>
        <v/>
      </c>
      <c r="E915" s="27" t="str">
        <f aca="false">IF(B915="","",B915-WEEKDAY(B915,3))</f>
        <v/>
      </c>
      <c r="F915" s="24" t="str">
        <f aca="false">IF(B915="","",TEXT(B915,"yyyy-mm"))</f>
        <v/>
      </c>
      <c r="G915" s="29"/>
      <c r="H915" s="29"/>
      <c r="I915" s="29"/>
      <c r="J915" s="29"/>
      <c r="K915" s="29"/>
      <c r="L915" s="29"/>
      <c r="M915" s="29"/>
      <c r="N915" s="29"/>
      <c r="O915" s="29"/>
      <c r="P915" s="29"/>
      <c r="Q915" s="30"/>
      <c r="R915" s="29"/>
      <c r="S915" s="32"/>
      <c r="T915" s="29"/>
      <c r="U915" s="29"/>
      <c r="V915" s="24" t="str">
        <f aca="false">IF(A915="","",IFERROR(INDEX(Settings!$F$5:$F$49,MATCH(G915,Settings!$D$5:$D$49,0)),""))</f>
        <v/>
      </c>
      <c r="W915" s="24" t="str">
        <f aca="false">IF(A915="","",IF(OR(P915="",P915="Organic"),"social","paid_social"))</f>
        <v/>
      </c>
      <c r="X915" s="24" t="str">
        <f aca="false">IF(A915="","",IF(K915&lt;&gt;"",IFERROR(INDEX('Case Studies'!$C$5:$C$54,MATCH(K915,'Case Studies'!$B$5:$B$54,0))&amp;"","case-study"),IF(J915&lt;&gt;"",IFERROR(INDEX(Settings!$J$5:$J$55,MATCH(J915,Settings!$I$5:$I$55,0)),"general"),"general")))</f>
        <v/>
      </c>
      <c r="Y915" s="24" t="str">
        <f aca="false">IF(A915="","",LOWER(A915))</f>
        <v/>
      </c>
      <c r="Z915" s="24" t="str">
        <f aca="false">IF(A915="","",IF(T915="",Settings!$B$5,T915)&amp;IF(ISNUMBER(FIND("?",IF(T915="",Settings!$B$5,T915))),"&amp;","?")&amp;"utm_source="&amp;V915&amp;"&amp;utm_medium="&amp;W915&amp;"&amp;utm_campaign="&amp;X915&amp;"&amp;utm_content="&amp;Y915)</f>
        <v/>
      </c>
      <c r="AA915" s="29"/>
      <c r="AB915" s="39"/>
      <c r="AC915" s="32"/>
      <c r="AD915" s="32"/>
      <c r="AE915" s="32"/>
      <c r="AF915" s="32"/>
      <c r="AG915" s="32"/>
      <c r="AH915" s="32"/>
      <c r="AI915" s="32"/>
      <c r="AJ915" s="32"/>
      <c r="AK915" s="32"/>
      <c r="AL915" s="32"/>
      <c r="AM915" s="32"/>
      <c r="AN915" s="32"/>
      <c r="AO915" s="33" t="str">
        <f aca="false">IF(A915="","",IF(AD915&lt;&gt;"",AD915,IF(AC915&lt;&gt;"",AC915,"")))</f>
        <v/>
      </c>
      <c r="AP915" s="24" t="str">
        <f aca="false">IF(AO915="","",IF(AD915&lt;&gt;"","Reported reach","Impressions (proxy)"))</f>
        <v/>
      </c>
      <c r="AQ915" s="34" t="str">
        <f aca="false">IF(OR(AO915="",N(S915)=0),"",AO915/S915)</f>
        <v/>
      </c>
      <c r="AR915" s="33" t="str">
        <f aca="false">IF(A915="","",IF(COUNT(AF915:AJ915)=0,"",SUM(AF915:AJ915)))</f>
        <v/>
      </c>
      <c r="AS915" s="34" t="str">
        <f aca="false">IF(OR(AR915="",N(AO915)=0),"",AR915/AO915)</f>
        <v/>
      </c>
      <c r="AT915" s="34" t="str">
        <f aca="false">IF(OR(AR915="",N(AC915)=0),"",AR915/AC915)</f>
        <v/>
      </c>
      <c r="AU915" s="34" t="str">
        <f aca="false">IF(OR(AR915="",N(S915)=0),"",AR915/S915)</f>
        <v/>
      </c>
      <c r="AV915" s="34" t="str">
        <f aca="false">IF(OR(AJ915="",N(AC915)=0),"",AJ915/AC915)</f>
        <v/>
      </c>
      <c r="AW915" s="34" t="str">
        <f aca="false">IF(OR(AH915="",N(AO915)=0),"",AH915/AO915)</f>
        <v/>
      </c>
      <c r="AX915" s="35" t="str">
        <f aca="false">IF(OR(AR915="",N(AO915)=0),"",(N(AF915)*Settings!$B$6+N(AG915)*Settings!$B$7+N(AH915)*Settings!$B$8+N(AI915)*Settings!$B$9+N(AJ915)*Settings!$B$10)/AO915*1000)</f>
        <v/>
      </c>
      <c r="AY915" s="36" t="str">
        <f aca="false">IF(AS915="","",IFERROR(AS915/AVERAGEIFS('Post Tracker'!$AS$5:$AS$1004,'Post Tracker'!$G$5:$G$1004,G915),""))</f>
        <v/>
      </c>
      <c r="AZ915" s="32"/>
      <c r="BA915" s="32"/>
      <c r="BB915" s="32"/>
      <c r="BC915" s="32"/>
      <c r="BD915" s="33" t="str">
        <f aca="false">IF(A915="","",COUNTIFS('Demo Pipeline'!$Q$5:$Q$504,A915))</f>
        <v/>
      </c>
      <c r="BE915" s="33" t="str">
        <f aca="false">IF(A915="","",COUNTIFS('Demo Pipeline'!$Q$5:$Q$504,A915,'Demo Pipeline'!$W$5:$W$504,"Attended"))</f>
        <v/>
      </c>
      <c r="BF915" s="33" t="str">
        <f aca="false">IF(A915="","",COUNTIFS('Demo Pipeline'!$Q$5:$Q$504,A915,'Demo Pipeline'!$X$5:$X$504,"Yes"))</f>
        <v/>
      </c>
      <c r="BG915" s="33" t="str">
        <f aca="false">IF(A915="","",COUNTIFS('Demo Pipeline'!$Q$5:$Q$504,A915,'Demo Pipeline'!$Y$5:$Y$504,"Closed Won"))</f>
        <v/>
      </c>
      <c r="BH915" s="37" t="str">
        <f aca="false">IF(A915="","",SUMIFS('Demo Pipeline'!$Z$5:$Z$504,'Demo Pipeline'!$Q$5:$Q$504,A915))</f>
        <v/>
      </c>
      <c r="BI915" s="34" t="str">
        <f aca="false">IF(OR(AZ915="",N(AJ915)=0),"",AZ915/AJ915)</f>
        <v/>
      </c>
      <c r="BJ915" s="34" t="str">
        <f aca="false">IF(OR(BB915="",N(AZ915)=0),"",BB915/AZ915)</f>
        <v/>
      </c>
      <c r="BK915" s="34" t="str">
        <f aca="false">IF(OR(A915="",N(BB915)=0),"",BD915/BB915)</f>
        <v/>
      </c>
      <c r="BL915" s="34" t="str">
        <f aca="false">IF(OR(A915="",N(AZ915)=0),"",BD915/AZ915)</f>
        <v/>
      </c>
      <c r="BM915" s="37" t="str">
        <f aca="false">IF(OR(N(Q915)=0,N(BD915)=0),"",Q915/BD915)</f>
        <v/>
      </c>
      <c r="BN915" s="29"/>
      <c r="BO915" s="29"/>
      <c r="BP915" s="33" t="str">
        <f aca="false">IF(OR(AR915="",N(AO915)=0),"",AR915)</f>
        <v/>
      </c>
      <c r="BQ915" s="33" t="str">
        <f aca="false">IF(OR(AR915="",N(S915)=0),"",S915)</f>
        <v/>
      </c>
      <c r="BR915" s="38" t="str">
        <f aca="false">IF(AND(ISNUMBER(B915),B915&gt;=Dashboard!$C$4,B915&lt;=Dashboard!$F$4,ISNUMBER(AU915)),AU915+ROW()/10^9,"")</f>
        <v/>
      </c>
      <c r="BS915" s="38" t="str">
        <f aca="false">IF(AND(ISNUMBER(B915),B915&gt;=Dashboard!$C$4,B915&lt;=Dashboard!$F$4,A915&lt;&gt;""),N(BD915)+N(AU915)/100+ROW()/10^9,"")</f>
        <v/>
      </c>
    </row>
    <row r="916" customFormat="false" ht="15" hidden="false" customHeight="false" outlineLevel="0" collapsed="false">
      <c r="A916" s="24" t="str">
        <f aca="false">IF(OR(B916="",G916="",H916=""),"",IFERROR(INDEX(Settings!$E$5:$E$49,MATCH(G916,Settings!$D$5:$D$49,0))&amp;INDEX(Settings!$H$5:$H$47,MATCH(H916,Settings!$G$5:$G$47,0))&amp;"-"&amp;TEXT(B916,"yymmdd")&amp;"-"&amp;IF(C916="","0000",TEXT(C916,"hhmm")),"CHECK LISTS"))</f>
        <v/>
      </c>
      <c r="B916" s="39"/>
      <c r="C916" s="40"/>
      <c r="D916" s="24" t="str">
        <f aca="false">IF(B916="","",TEXT(B916,"ddd"))</f>
        <v/>
      </c>
      <c r="E916" s="27" t="str">
        <f aca="false">IF(B916="","",B916-WEEKDAY(B916,3))</f>
        <v/>
      </c>
      <c r="F916" s="24" t="str">
        <f aca="false">IF(B916="","",TEXT(B916,"yyyy-mm"))</f>
        <v/>
      </c>
      <c r="G916" s="29"/>
      <c r="H916" s="29"/>
      <c r="I916" s="29"/>
      <c r="J916" s="29"/>
      <c r="K916" s="29"/>
      <c r="L916" s="29"/>
      <c r="M916" s="29"/>
      <c r="N916" s="29"/>
      <c r="O916" s="29"/>
      <c r="P916" s="29"/>
      <c r="Q916" s="30"/>
      <c r="R916" s="29"/>
      <c r="S916" s="32"/>
      <c r="T916" s="29"/>
      <c r="U916" s="29"/>
      <c r="V916" s="24" t="str">
        <f aca="false">IF(A916="","",IFERROR(INDEX(Settings!$F$5:$F$49,MATCH(G916,Settings!$D$5:$D$49,0)),""))</f>
        <v/>
      </c>
      <c r="W916" s="24" t="str">
        <f aca="false">IF(A916="","",IF(OR(P916="",P916="Organic"),"social","paid_social"))</f>
        <v/>
      </c>
      <c r="X916" s="24" t="str">
        <f aca="false">IF(A916="","",IF(K916&lt;&gt;"",IFERROR(INDEX('Case Studies'!$C$5:$C$54,MATCH(K916,'Case Studies'!$B$5:$B$54,0))&amp;"","case-study"),IF(J916&lt;&gt;"",IFERROR(INDEX(Settings!$J$5:$J$55,MATCH(J916,Settings!$I$5:$I$55,0)),"general"),"general")))</f>
        <v/>
      </c>
      <c r="Y916" s="24" t="str">
        <f aca="false">IF(A916="","",LOWER(A916))</f>
        <v/>
      </c>
      <c r="Z916" s="24" t="str">
        <f aca="false">IF(A916="","",IF(T916="",Settings!$B$5,T916)&amp;IF(ISNUMBER(FIND("?",IF(T916="",Settings!$B$5,T916))),"&amp;","?")&amp;"utm_source="&amp;V916&amp;"&amp;utm_medium="&amp;W916&amp;"&amp;utm_campaign="&amp;X916&amp;"&amp;utm_content="&amp;Y916)</f>
        <v/>
      </c>
      <c r="AA916" s="29"/>
      <c r="AB916" s="39"/>
      <c r="AC916" s="32"/>
      <c r="AD916" s="32"/>
      <c r="AE916" s="32"/>
      <c r="AF916" s="32"/>
      <c r="AG916" s="32"/>
      <c r="AH916" s="32"/>
      <c r="AI916" s="32"/>
      <c r="AJ916" s="32"/>
      <c r="AK916" s="32"/>
      <c r="AL916" s="32"/>
      <c r="AM916" s="32"/>
      <c r="AN916" s="32"/>
      <c r="AO916" s="33" t="str">
        <f aca="false">IF(A916="","",IF(AD916&lt;&gt;"",AD916,IF(AC916&lt;&gt;"",AC916,"")))</f>
        <v/>
      </c>
      <c r="AP916" s="24" t="str">
        <f aca="false">IF(AO916="","",IF(AD916&lt;&gt;"","Reported reach","Impressions (proxy)"))</f>
        <v/>
      </c>
      <c r="AQ916" s="34" t="str">
        <f aca="false">IF(OR(AO916="",N(S916)=0),"",AO916/S916)</f>
        <v/>
      </c>
      <c r="AR916" s="33" t="str">
        <f aca="false">IF(A916="","",IF(COUNT(AF916:AJ916)=0,"",SUM(AF916:AJ916)))</f>
        <v/>
      </c>
      <c r="AS916" s="34" t="str">
        <f aca="false">IF(OR(AR916="",N(AO916)=0),"",AR916/AO916)</f>
        <v/>
      </c>
      <c r="AT916" s="34" t="str">
        <f aca="false">IF(OR(AR916="",N(AC916)=0),"",AR916/AC916)</f>
        <v/>
      </c>
      <c r="AU916" s="34" t="str">
        <f aca="false">IF(OR(AR916="",N(S916)=0),"",AR916/S916)</f>
        <v/>
      </c>
      <c r="AV916" s="34" t="str">
        <f aca="false">IF(OR(AJ916="",N(AC916)=0),"",AJ916/AC916)</f>
        <v/>
      </c>
      <c r="AW916" s="34" t="str">
        <f aca="false">IF(OR(AH916="",N(AO916)=0),"",AH916/AO916)</f>
        <v/>
      </c>
      <c r="AX916" s="35" t="str">
        <f aca="false">IF(OR(AR916="",N(AO916)=0),"",(N(AF916)*Settings!$B$6+N(AG916)*Settings!$B$7+N(AH916)*Settings!$B$8+N(AI916)*Settings!$B$9+N(AJ916)*Settings!$B$10)/AO916*1000)</f>
        <v/>
      </c>
      <c r="AY916" s="36" t="str">
        <f aca="false">IF(AS916="","",IFERROR(AS916/AVERAGEIFS('Post Tracker'!$AS$5:$AS$1004,'Post Tracker'!$G$5:$G$1004,G916),""))</f>
        <v/>
      </c>
      <c r="AZ916" s="32"/>
      <c r="BA916" s="32"/>
      <c r="BB916" s="32"/>
      <c r="BC916" s="32"/>
      <c r="BD916" s="33" t="str">
        <f aca="false">IF(A916="","",COUNTIFS('Demo Pipeline'!$Q$5:$Q$504,A916))</f>
        <v/>
      </c>
      <c r="BE916" s="33" t="str">
        <f aca="false">IF(A916="","",COUNTIFS('Demo Pipeline'!$Q$5:$Q$504,A916,'Demo Pipeline'!$W$5:$W$504,"Attended"))</f>
        <v/>
      </c>
      <c r="BF916" s="33" t="str">
        <f aca="false">IF(A916="","",COUNTIFS('Demo Pipeline'!$Q$5:$Q$504,A916,'Demo Pipeline'!$X$5:$X$504,"Yes"))</f>
        <v/>
      </c>
      <c r="BG916" s="33" t="str">
        <f aca="false">IF(A916="","",COUNTIFS('Demo Pipeline'!$Q$5:$Q$504,A916,'Demo Pipeline'!$Y$5:$Y$504,"Closed Won"))</f>
        <v/>
      </c>
      <c r="BH916" s="37" t="str">
        <f aca="false">IF(A916="","",SUMIFS('Demo Pipeline'!$Z$5:$Z$504,'Demo Pipeline'!$Q$5:$Q$504,A916))</f>
        <v/>
      </c>
      <c r="BI916" s="34" t="str">
        <f aca="false">IF(OR(AZ916="",N(AJ916)=0),"",AZ916/AJ916)</f>
        <v/>
      </c>
      <c r="BJ916" s="34" t="str">
        <f aca="false">IF(OR(BB916="",N(AZ916)=0),"",BB916/AZ916)</f>
        <v/>
      </c>
      <c r="BK916" s="34" t="str">
        <f aca="false">IF(OR(A916="",N(BB916)=0),"",BD916/BB916)</f>
        <v/>
      </c>
      <c r="BL916" s="34" t="str">
        <f aca="false">IF(OR(A916="",N(AZ916)=0),"",BD916/AZ916)</f>
        <v/>
      </c>
      <c r="BM916" s="37" t="str">
        <f aca="false">IF(OR(N(Q916)=0,N(BD916)=0),"",Q916/BD916)</f>
        <v/>
      </c>
      <c r="BN916" s="29"/>
      <c r="BO916" s="29"/>
      <c r="BP916" s="33" t="str">
        <f aca="false">IF(OR(AR916="",N(AO916)=0),"",AR916)</f>
        <v/>
      </c>
      <c r="BQ916" s="33" t="str">
        <f aca="false">IF(OR(AR916="",N(S916)=0),"",S916)</f>
        <v/>
      </c>
      <c r="BR916" s="38" t="str">
        <f aca="false">IF(AND(ISNUMBER(B916),B916&gt;=Dashboard!$C$4,B916&lt;=Dashboard!$F$4,ISNUMBER(AU916)),AU916+ROW()/10^9,"")</f>
        <v/>
      </c>
      <c r="BS916" s="38" t="str">
        <f aca="false">IF(AND(ISNUMBER(B916),B916&gt;=Dashboard!$C$4,B916&lt;=Dashboard!$F$4,A916&lt;&gt;""),N(BD916)+N(AU916)/100+ROW()/10^9,"")</f>
        <v/>
      </c>
    </row>
    <row r="917" customFormat="false" ht="15" hidden="false" customHeight="false" outlineLevel="0" collapsed="false">
      <c r="A917" s="24" t="str">
        <f aca="false">IF(OR(B917="",G917="",H917=""),"",IFERROR(INDEX(Settings!$E$5:$E$49,MATCH(G917,Settings!$D$5:$D$49,0))&amp;INDEX(Settings!$H$5:$H$47,MATCH(H917,Settings!$G$5:$G$47,0))&amp;"-"&amp;TEXT(B917,"yymmdd")&amp;"-"&amp;IF(C917="","0000",TEXT(C917,"hhmm")),"CHECK LISTS"))</f>
        <v/>
      </c>
      <c r="B917" s="39"/>
      <c r="C917" s="40"/>
      <c r="D917" s="24" t="str">
        <f aca="false">IF(B917="","",TEXT(B917,"ddd"))</f>
        <v/>
      </c>
      <c r="E917" s="27" t="str">
        <f aca="false">IF(B917="","",B917-WEEKDAY(B917,3))</f>
        <v/>
      </c>
      <c r="F917" s="24" t="str">
        <f aca="false">IF(B917="","",TEXT(B917,"yyyy-mm"))</f>
        <v/>
      </c>
      <c r="G917" s="29"/>
      <c r="H917" s="29"/>
      <c r="I917" s="29"/>
      <c r="J917" s="29"/>
      <c r="K917" s="29"/>
      <c r="L917" s="29"/>
      <c r="M917" s="29"/>
      <c r="N917" s="29"/>
      <c r="O917" s="29"/>
      <c r="P917" s="29"/>
      <c r="Q917" s="30"/>
      <c r="R917" s="29"/>
      <c r="S917" s="32"/>
      <c r="T917" s="29"/>
      <c r="U917" s="29"/>
      <c r="V917" s="24" t="str">
        <f aca="false">IF(A917="","",IFERROR(INDEX(Settings!$F$5:$F$49,MATCH(G917,Settings!$D$5:$D$49,0)),""))</f>
        <v/>
      </c>
      <c r="W917" s="24" t="str">
        <f aca="false">IF(A917="","",IF(OR(P917="",P917="Organic"),"social","paid_social"))</f>
        <v/>
      </c>
      <c r="X917" s="24" t="str">
        <f aca="false">IF(A917="","",IF(K917&lt;&gt;"",IFERROR(INDEX('Case Studies'!$C$5:$C$54,MATCH(K917,'Case Studies'!$B$5:$B$54,0))&amp;"","case-study"),IF(J917&lt;&gt;"",IFERROR(INDEX(Settings!$J$5:$J$55,MATCH(J917,Settings!$I$5:$I$55,0)),"general"),"general")))</f>
        <v/>
      </c>
      <c r="Y917" s="24" t="str">
        <f aca="false">IF(A917="","",LOWER(A917))</f>
        <v/>
      </c>
      <c r="Z917" s="24" t="str">
        <f aca="false">IF(A917="","",IF(T917="",Settings!$B$5,T917)&amp;IF(ISNUMBER(FIND("?",IF(T917="",Settings!$B$5,T917))),"&amp;","?")&amp;"utm_source="&amp;V917&amp;"&amp;utm_medium="&amp;W917&amp;"&amp;utm_campaign="&amp;X917&amp;"&amp;utm_content="&amp;Y917)</f>
        <v/>
      </c>
      <c r="AA917" s="29"/>
      <c r="AB917" s="39"/>
      <c r="AC917" s="32"/>
      <c r="AD917" s="32"/>
      <c r="AE917" s="32"/>
      <c r="AF917" s="32"/>
      <c r="AG917" s="32"/>
      <c r="AH917" s="32"/>
      <c r="AI917" s="32"/>
      <c r="AJ917" s="32"/>
      <c r="AK917" s="32"/>
      <c r="AL917" s="32"/>
      <c r="AM917" s="32"/>
      <c r="AN917" s="32"/>
      <c r="AO917" s="33" t="str">
        <f aca="false">IF(A917="","",IF(AD917&lt;&gt;"",AD917,IF(AC917&lt;&gt;"",AC917,"")))</f>
        <v/>
      </c>
      <c r="AP917" s="24" t="str">
        <f aca="false">IF(AO917="","",IF(AD917&lt;&gt;"","Reported reach","Impressions (proxy)"))</f>
        <v/>
      </c>
      <c r="AQ917" s="34" t="str">
        <f aca="false">IF(OR(AO917="",N(S917)=0),"",AO917/S917)</f>
        <v/>
      </c>
      <c r="AR917" s="33" t="str">
        <f aca="false">IF(A917="","",IF(COUNT(AF917:AJ917)=0,"",SUM(AF917:AJ917)))</f>
        <v/>
      </c>
      <c r="AS917" s="34" t="str">
        <f aca="false">IF(OR(AR917="",N(AO917)=0),"",AR917/AO917)</f>
        <v/>
      </c>
      <c r="AT917" s="34" t="str">
        <f aca="false">IF(OR(AR917="",N(AC917)=0),"",AR917/AC917)</f>
        <v/>
      </c>
      <c r="AU917" s="34" t="str">
        <f aca="false">IF(OR(AR917="",N(S917)=0),"",AR917/S917)</f>
        <v/>
      </c>
      <c r="AV917" s="34" t="str">
        <f aca="false">IF(OR(AJ917="",N(AC917)=0),"",AJ917/AC917)</f>
        <v/>
      </c>
      <c r="AW917" s="34" t="str">
        <f aca="false">IF(OR(AH917="",N(AO917)=0),"",AH917/AO917)</f>
        <v/>
      </c>
      <c r="AX917" s="35" t="str">
        <f aca="false">IF(OR(AR917="",N(AO917)=0),"",(N(AF917)*Settings!$B$6+N(AG917)*Settings!$B$7+N(AH917)*Settings!$B$8+N(AI917)*Settings!$B$9+N(AJ917)*Settings!$B$10)/AO917*1000)</f>
        <v/>
      </c>
      <c r="AY917" s="36" t="str">
        <f aca="false">IF(AS917="","",IFERROR(AS917/AVERAGEIFS('Post Tracker'!$AS$5:$AS$1004,'Post Tracker'!$G$5:$G$1004,G917),""))</f>
        <v/>
      </c>
      <c r="AZ917" s="32"/>
      <c r="BA917" s="32"/>
      <c r="BB917" s="32"/>
      <c r="BC917" s="32"/>
      <c r="BD917" s="33" t="str">
        <f aca="false">IF(A917="","",COUNTIFS('Demo Pipeline'!$Q$5:$Q$504,A917))</f>
        <v/>
      </c>
      <c r="BE917" s="33" t="str">
        <f aca="false">IF(A917="","",COUNTIFS('Demo Pipeline'!$Q$5:$Q$504,A917,'Demo Pipeline'!$W$5:$W$504,"Attended"))</f>
        <v/>
      </c>
      <c r="BF917" s="33" t="str">
        <f aca="false">IF(A917="","",COUNTIFS('Demo Pipeline'!$Q$5:$Q$504,A917,'Demo Pipeline'!$X$5:$X$504,"Yes"))</f>
        <v/>
      </c>
      <c r="BG917" s="33" t="str">
        <f aca="false">IF(A917="","",COUNTIFS('Demo Pipeline'!$Q$5:$Q$504,A917,'Demo Pipeline'!$Y$5:$Y$504,"Closed Won"))</f>
        <v/>
      </c>
      <c r="BH917" s="37" t="str">
        <f aca="false">IF(A917="","",SUMIFS('Demo Pipeline'!$Z$5:$Z$504,'Demo Pipeline'!$Q$5:$Q$504,A917))</f>
        <v/>
      </c>
      <c r="BI917" s="34" t="str">
        <f aca="false">IF(OR(AZ917="",N(AJ917)=0),"",AZ917/AJ917)</f>
        <v/>
      </c>
      <c r="BJ917" s="34" t="str">
        <f aca="false">IF(OR(BB917="",N(AZ917)=0),"",BB917/AZ917)</f>
        <v/>
      </c>
      <c r="BK917" s="34" t="str">
        <f aca="false">IF(OR(A917="",N(BB917)=0),"",BD917/BB917)</f>
        <v/>
      </c>
      <c r="BL917" s="34" t="str">
        <f aca="false">IF(OR(A917="",N(AZ917)=0),"",BD917/AZ917)</f>
        <v/>
      </c>
      <c r="BM917" s="37" t="str">
        <f aca="false">IF(OR(N(Q917)=0,N(BD917)=0),"",Q917/BD917)</f>
        <v/>
      </c>
      <c r="BN917" s="29"/>
      <c r="BO917" s="29"/>
      <c r="BP917" s="33" t="str">
        <f aca="false">IF(OR(AR917="",N(AO917)=0),"",AR917)</f>
        <v/>
      </c>
      <c r="BQ917" s="33" t="str">
        <f aca="false">IF(OR(AR917="",N(S917)=0),"",S917)</f>
        <v/>
      </c>
      <c r="BR917" s="38" t="str">
        <f aca="false">IF(AND(ISNUMBER(B917),B917&gt;=Dashboard!$C$4,B917&lt;=Dashboard!$F$4,ISNUMBER(AU917)),AU917+ROW()/10^9,"")</f>
        <v/>
      </c>
      <c r="BS917" s="38" t="str">
        <f aca="false">IF(AND(ISNUMBER(B917),B917&gt;=Dashboard!$C$4,B917&lt;=Dashboard!$F$4,A917&lt;&gt;""),N(BD917)+N(AU917)/100+ROW()/10^9,"")</f>
        <v/>
      </c>
    </row>
    <row r="918" customFormat="false" ht="15" hidden="false" customHeight="false" outlineLevel="0" collapsed="false">
      <c r="A918" s="24" t="str">
        <f aca="false">IF(OR(B918="",G918="",H918=""),"",IFERROR(INDEX(Settings!$E$5:$E$49,MATCH(G918,Settings!$D$5:$D$49,0))&amp;INDEX(Settings!$H$5:$H$47,MATCH(H918,Settings!$G$5:$G$47,0))&amp;"-"&amp;TEXT(B918,"yymmdd")&amp;"-"&amp;IF(C918="","0000",TEXT(C918,"hhmm")),"CHECK LISTS"))</f>
        <v/>
      </c>
      <c r="B918" s="39"/>
      <c r="C918" s="40"/>
      <c r="D918" s="24" t="str">
        <f aca="false">IF(B918="","",TEXT(B918,"ddd"))</f>
        <v/>
      </c>
      <c r="E918" s="27" t="str">
        <f aca="false">IF(B918="","",B918-WEEKDAY(B918,3))</f>
        <v/>
      </c>
      <c r="F918" s="24" t="str">
        <f aca="false">IF(B918="","",TEXT(B918,"yyyy-mm"))</f>
        <v/>
      </c>
      <c r="G918" s="29"/>
      <c r="H918" s="29"/>
      <c r="I918" s="29"/>
      <c r="J918" s="29"/>
      <c r="K918" s="29"/>
      <c r="L918" s="29"/>
      <c r="M918" s="29"/>
      <c r="N918" s="29"/>
      <c r="O918" s="29"/>
      <c r="P918" s="29"/>
      <c r="Q918" s="30"/>
      <c r="R918" s="29"/>
      <c r="S918" s="32"/>
      <c r="T918" s="29"/>
      <c r="U918" s="29"/>
      <c r="V918" s="24" t="str">
        <f aca="false">IF(A918="","",IFERROR(INDEX(Settings!$F$5:$F$49,MATCH(G918,Settings!$D$5:$D$49,0)),""))</f>
        <v/>
      </c>
      <c r="W918" s="24" t="str">
        <f aca="false">IF(A918="","",IF(OR(P918="",P918="Organic"),"social","paid_social"))</f>
        <v/>
      </c>
      <c r="X918" s="24" t="str">
        <f aca="false">IF(A918="","",IF(K918&lt;&gt;"",IFERROR(INDEX('Case Studies'!$C$5:$C$54,MATCH(K918,'Case Studies'!$B$5:$B$54,0))&amp;"","case-study"),IF(J918&lt;&gt;"",IFERROR(INDEX(Settings!$J$5:$J$55,MATCH(J918,Settings!$I$5:$I$55,0)),"general"),"general")))</f>
        <v/>
      </c>
      <c r="Y918" s="24" t="str">
        <f aca="false">IF(A918="","",LOWER(A918))</f>
        <v/>
      </c>
      <c r="Z918" s="24" t="str">
        <f aca="false">IF(A918="","",IF(T918="",Settings!$B$5,T918)&amp;IF(ISNUMBER(FIND("?",IF(T918="",Settings!$B$5,T918))),"&amp;","?")&amp;"utm_source="&amp;V918&amp;"&amp;utm_medium="&amp;W918&amp;"&amp;utm_campaign="&amp;X918&amp;"&amp;utm_content="&amp;Y918)</f>
        <v/>
      </c>
      <c r="AA918" s="29"/>
      <c r="AB918" s="39"/>
      <c r="AC918" s="32"/>
      <c r="AD918" s="32"/>
      <c r="AE918" s="32"/>
      <c r="AF918" s="32"/>
      <c r="AG918" s="32"/>
      <c r="AH918" s="32"/>
      <c r="AI918" s="32"/>
      <c r="AJ918" s="32"/>
      <c r="AK918" s="32"/>
      <c r="AL918" s="32"/>
      <c r="AM918" s="32"/>
      <c r="AN918" s="32"/>
      <c r="AO918" s="33" t="str">
        <f aca="false">IF(A918="","",IF(AD918&lt;&gt;"",AD918,IF(AC918&lt;&gt;"",AC918,"")))</f>
        <v/>
      </c>
      <c r="AP918" s="24" t="str">
        <f aca="false">IF(AO918="","",IF(AD918&lt;&gt;"","Reported reach","Impressions (proxy)"))</f>
        <v/>
      </c>
      <c r="AQ918" s="34" t="str">
        <f aca="false">IF(OR(AO918="",N(S918)=0),"",AO918/S918)</f>
        <v/>
      </c>
      <c r="AR918" s="33" t="str">
        <f aca="false">IF(A918="","",IF(COUNT(AF918:AJ918)=0,"",SUM(AF918:AJ918)))</f>
        <v/>
      </c>
      <c r="AS918" s="34" t="str">
        <f aca="false">IF(OR(AR918="",N(AO918)=0),"",AR918/AO918)</f>
        <v/>
      </c>
      <c r="AT918" s="34" t="str">
        <f aca="false">IF(OR(AR918="",N(AC918)=0),"",AR918/AC918)</f>
        <v/>
      </c>
      <c r="AU918" s="34" t="str">
        <f aca="false">IF(OR(AR918="",N(S918)=0),"",AR918/S918)</f>
        <v/>
      </c>
      <c r="AV918" s="34" t="str">
        <f aca="false">IF(OR(AJ918="",N(AC918)=0),"",AJ918/AC918)</f>
        <v/>
      </c>
      <c r="AW918" s="34" t="str">
        <f aca="false">IF(OR(AH918="",N(AO918)=0),"",AH918/AO918)</f>
        <v/>
      </c>
      <c r="AX918" s="35" t="str">
        <f aca="false">IF(OR(AR918="",N(AO918)=0),"",(N(AF918)*Settings!$B$6+N(AG918)*Settings!$B$7+N(AH918)*Settings!$B$8+N(AI918)*Settings!$B$9+N(AJ918)*Settings!$B$10)/AO918*1000)</f>
        <v/>
      </c>
      <c r="AY918" s="36" t="str">
        <f aca="false">IF(AS918="","",IFERROR(AS918/AVERAGEIFS('Post Tracker'!$AS$5:$AS$1004,'Post Tracker'!$G$5:$G$1004,G918),""))</f>
        <v/>
      </c>
      <c r="AZ918" s="32"/>
      <c r="BA918" s="32"/>
      <c r="BB918" s="32"/>
      <c r="BC918" s="32"/>
      <c r="BD918" s="33" t="str">
        <f aca="false">IF(A918="","",COUNTIFS('Demo Pipeline'!$Q$5:$Q$504,A918))</f>
        <v/>
      </c>
      <c r="BE918" s="33" t="str">
        <f aca="false">IF(A918="","",COUNTIFS('Demo Pipeline'!$Q$5:$Q$504,A918,'Demo Pipeline'!$W$5:$W$504,"Attended"))</f>
        <v/>
      </c>
      <c r="BF918" s="33" t="str">
        <f aca="false">IF(A918="","",COUNTIFS('Demo Pipeline'!$Q$5:$Q$504,A918,'Demo Pipeline'!$X$5:$X$504,"Yes"))</f>
        <v/>
      </c>
      <c r="BG918" s="33" t="str">
        <f aca="false">IF(A918="","",COUNTIFS('Demo Pipeline'!$Q$5:$Q$504,A918,'Demo Pipeline'!$Y$5:$Y$504,"Closed Won"))</f>
        <v/>
      </c>
      <c r="BH918" s="37" t="str">
        <f aca="false">IF(A918="","",SUMIFS('Demo Pipeline'!$Z$5:$Z$504,'Demo Pipeline'!$Q$5:$Q$504,A918))</f>
        <v/>
      </c>
      <c r="BI918" s="34" t="str">
        <f aca="false">IF(OR(AZ918="",N(AJ918)=0),"",AZ918/AJ918)</f>
        <v/>
      </c>
      <c r="BJ918" s="34" t="str">
        <f aca="false">IF(OR(BB918="",N(AZ918)=0),"",BB918/AZ918)</f>
        <v/>
      </c>
      <c r="BK918" s="34" t="str">
        <f aca="false">IF(OR(A918="",N(BB918)=0),"",BD918/BB918)</f>
        <v/>
      </c>
      <c r="BL918" s="34" t="str">
        <f aca="false">IF(OR(A918="",N(AZ918)=0),"",BD918/AZ918)</f>
        <v/>
      </c>
      <c r="BM918" s="37" t="str">
        <f aca="false">IF(OR(N(Q918)=0,N(BD918)=0),"",Q918/BD918)</f>
        <v/>
      </c>
      <c r="BN918" s="29"/>
      <c r="BO918" s="29"/>
      <c r="BP918" s="33" t="str">
        <f aca="false">IF(OR(AR918="",N(AO918)=0),"",AR918)</f>
        <v/>
      </c>
      <c r="BQ918" s="33" t="str">
        <f aca="false">IF(OR(AR918="",N(S918)=0),"",S918)</f>
        <v/>
      </c>
      <c r="BR918" s="38" t="str">
        <f aca="false">IF(AND(ISNUMBER(B918),B918&gt;=Dashboard!$C$4,B918&lt;=Dashboard!$F$4,ISNUMBER(AU918)),AU918+ROW()/10^9,"")</f>
        <v/>
      </c>
      <c r="BS918" s="38" t="str">
        <f aca="false">IF(AND(ISNUMBER(B918),B918&gt;=Dashboard!$C$4,B918&lt;=Dashboard!$F$4,A918&lt;&gt;""),N(BD918)+N(AU918)/100+ROW()/10^9,"")</f>
        <v/>
      </c>
    </row>
    <row r="919" customFormat="false" ht="15" hidden="false" customHeight="false" outlineLevel="0" collapsed="false">
      <c r="A919" s="24" t="str">
        <f aca="false">IF(OR(B919="",G919="",H919=""),"",IFERROR(INDEX(Settings!$E$5:$E$49,MATCH(G919,Settings!$D$5:$D$49,0))&amp;INDEX(Settings!$H$5:$H$47,MATCH(H919,Settings!$G$5:$G$47,0))&amp;"-"&amp;TEXT(B919,"yymmdd")&amp;"-"&amp;IF(C919="","0000",TEXT(C919,"hhmm")),"CHECK LISTS"))</f>
        <v/>
      </c>
      <c r="B919" s="39"/>
      <c r="C919" s="40"/>
      <c r="D919" s="24" t="str">
        <f aca="false">IF(B919="","",TEXT(B919,"ddd"))</f>
        <v/>
      </c>
      <c r="E919" s="27" t="str">
        <f aca="false">IF(B919="","",B919-WEEKDAY(B919,3))</f>
        <v/>
      </c>
      <c r="F919" s="24" t="str">
        <f aca="false">IF(B919="","",TEXT(B919,"yyyy-mm"))</f>
        <v/>
      </c>
      <c r="G919" s="29"/>
      <c r="H919" s="29"/>
      <c r="I919" s="29"/>
      <c r="J919" s="29"/>
      <c r="K919" s="29"/>
      <c r="L919" s="29"/>
      <c r="M919" s="29"/>
      <c r="N919" s="29"/>
      <c r="O919" s="29"/>
      <c r="P919" s="29"/>
      <c r="Q919" s="30"/>
      <c r="R919" s="29"/>
      <c r="S919" s="32"/>
      <c r="T919" s="29"/>
      <c r="U919" s="29"/>
      <c r="V919" s="24" t="str">
        <f aca="false">IF(A919="","",IFERROR(INDEX(Settings!$F$5:$F$49,MATCH(G919,Settings!$D$5:$D$49,0)),""))</f>
        <v/>
      </c>
      <c r="W919" s="24" t="str">
        <f aca="false">IF(A919="","",IF(OR(P919="",P919="Organic"),"social","paid_social"))</f>
        <v/>
      </c>
      <c r="X919" s="24" t="str">
        <f aca="false">IF(A919="","",IF(K919&lt;&gt;"",IFERROR(INDEX('Case Studies'!$C$5:$C$54,MATCH(K919,'Case Studies'!$B$5:$B$54,0))&amp;"","case-study"),IF(J919&lt;&gt;"",IFERROR(INDEX(Settings!$J$5:$J$55,MATCH(J919,Settings!$I$5:$I$55,0)),"general"),"general")))</f>
        <v/>
      </c>
      <c r="Y919" s="24" t="str">
        <f aca="false">IF(A919="","",LOWER(A919))</f>
        <v/>
      </c>
      <c r="Z919" s="24" t="str">
        <f aca="false">IF(A919="","",IF(T919="",Settings!$B$5,T919)&amp;IF(ISNUMBER(FIND("?",IF(T919="",Settings!$B$5,T919))),"&amp;","?")&amp;"utm_source="&amp;V919&amp;"&amp;utm_medium="&amp;W919&amp;"&amp;utm_campaign="&amp;X919&amp;"&amp;utm_content="&amp;Y919)</f>
        <v/>
      </c>
      <c r="AA919" s="29"/>
      <c r="AB919" s="39"/>
      <c r="AC919" s="32"/>
      <c r="AD919" s="32"/>
      <c r="AE919" s="32"/>
      <c r="AF919" s="32"/>
      <c r="AG919" s="32"/>
      <c r="AH919" s="32"/>
      <c r="AI919" s="32"/>
      <c r="AJ919" s="32"/>
      <c r="AK919" s="32"/>
      <c r="AL919" s="32"/>
      <c r="AM919" s="32"/>
      <c r="AN919" s="32"/>
      <c r="AO919" s="33" t="str">
        <f aca="false">IF(A919="","",IF(AD919&lt;&gt;"",AD919,IF(AC919&lt;&gt;"",AC919,"")))</f>
        <v/>
      </c>
      <c r="AP919" s="24" t="str">
        <f aca="false">IF(AO919="","",IF(AD919&lt;&gt;"","Reported reach","Impressions (proxy)"))</f>
        <v/>
      </c>
      <c r="AQ919" s="34" t="str">
        <f aca="false">IF(OR(AO919="",N(S919)=0),"",AO919/S919)</f>
        <v/>
      </c>
      <c r="AR919" s="33" t="str">
        <f aca="false">IF(A919="","",IF(COUNT(AF919:AJ919)=0,"",SUM(AF919:AJ919)))</f>
        <v/>
      </c>
      <c r="AS919" s="34" t="str">
        <f aca="false">IF(OR(AR919="",N(AO919)=0),"",AR919/AO919)</f>
        <v/>
      </c>
      <c r="AT919" s="34" t="str">
        <f aca="false">IF(OR(AR919="",N(AC919)=0),"",AR919/AC919)</f>
        <v/>
      </c>
      <c r="AU919" s="34" t="str">
        <f aca="false">IF(OR(AR919="",N(S919)=0),"",AR919/S919)</f>
        <v/>
      </c>
      <c r="AV919" s="34" t="str">
        <f aca="false">IF(OR(AJ919="",N(AC919)=0),"",AJ919/AC919)</f>
        <v/>
      </c>
      <c r="AW919" s="34" t="str">
        <f aca="false">IF(OR(AH919="",N(AO919)=0),"",AH919/AO919)</f>
        <v/>
      </c>
      <c r="AX919" s="35" t="str">
        <f aca="false">IF(OR(AR919="",N(AO919)=0),"",(N(AF919)*Settings!$B$6+N(AG919)*Settings!$B$7+N(AH919)*Settings!$B$8+N(AI919)*Settings!$B$9+N(AJ919)*Settings!$B$10)/AO919*1000)</f>
        <v/>
      </c>
      <c r="AY919" s="36" t="str">
        <f aca="false">IF(AS919="","",IFERROR(AS919/AVERAGEIFS('Post Tracker'!$AS$5:$AS$1004,'Post Tracker'!$G$5:$G$1004,G919),""))</f>
        <v/>
      </c>
      <c r="AZ919" s="32"/>
      <c r="BA919" s="32"/>
      <c r="BB919" s="32"/>
      <c r="BC919" s="32"/>
      <c r="BD919" s="33" t="str">
        <f aca="false">IF(A919="","",COUNTIFS('Demo Pipeline'!$Q$5:$Q$504,A919))</f>
        <v/>
      </c>
      <c r="BE919" s="33" t="str">
        <f aca="false">IF(A919="","",COUNTIFS('Demo Pipeline'!$Q$5:$Q$504,A919,'Demo Pipeline'!$W$5:$W$504,"Attended"))</f>
        <v/>
      </c>
      <c r="BF919" s="33" t="str">
        <f aca="false">IF(A919="","",COUNTIFS('Demo Pipeline'!$Q$5:$Q$504,A919,'Demo Pipeline'!$X$5:$X$504,"Yes"))</f>
        <v/>
      </c>
      <c r="BG919" s="33" t="str">
        <f aca="false">IF(A919="","",COUNTIFS('Demo Pipeline'!$Q$5:$Q$504,A919,'Demo Pipeline'!$Y$5:$Y$504,"Closed Won"))</f>
        <v/>
      </c>
      <c r="BH919" s="37" t="str">
        <f aca="false">IF(A919="","",SUMIFS('Demo Pipeline'!$Z$5:$Z$504,'Demo Pipeline'!$Q$5:$Q$504,A919))</f>
        <v/>
      </c>
      <c r="BI919" s="34" t="str">
        <f aca="false">IF(OR(AZ919="",N(AJ919)=0),"",AZ919/AJ919)</f>
        <v/>
      </c>
      <c r="BJ919" s="34" t="str">
        <f aca="false">IF(OR(BB919="",N(AZ919)=0),"",BB919/AZ919)</f>
        <v/>
      </c>
      <c r="BK919" s="34" t="str">
        <f aca="false">IF(OR(A919="",N(BB919)=0),"",BD919/BB919)</f>
        <v/>
      </c>
      <c r="BL919" s="34" t="str">
        <f aca="false">IF(OR(A919="",N(AZ919)=0),"",BD919/AZ919)</f>
        <v/>
      </c>
      <c r="BM919" s="37" t="str">
        <f aca="false">IF(OR(N(Q919)=0,N(BD919)=0),"",Q919/BD919)</f>
        <v/>
      </c>
      <c r="BN919" s="29"/>
      <c r="BO919" s="29"/>
      <c r="BP919" s="33" t="str">
        <f aca="false">IF(OR(AR919="",N(AO919)=0),"",AR919)</f>
        <v/>
      </c>
      <c r="BQ919" s="33" t="str">
        <f aca="false">IF(OR(AR919="",N(S919)=0),"",S919)</f>
        <v/>
      </c>
      <c r="BR919" s="38" t="str">
        <f aca="false">IF(AND(ISNUMBER(B919),B919&gt;=Dashboard!$C$4,B919&lt;=Dashboard!$F$4,ISNUMBER(AU919)),AU919+ROW()/10^9,"")</f>
        <v/>
      </c>
      <c r="BS919" s="38" t="str">
        <f aca="false">IF(AND(ISNUMBER(B919),B919&gt;=Dashboard!$C$4,B919&lt;=Dashboard!$F$4,A919&lt;&gt;""),N(BD919)+N(AU919)/100+ROW()/10^9,"")</f>
        <v/>
      </c>
    </row>
    <row r="920" customFormat="false" ht="15" hidden="false" customHeight="false" outlineLevel="0" collapsed="false">
      <c r="A920" s="24" t="str">
        <f aca="false">IF(OR(B920="",G920="",H920=""),"",IFERROR(INDEX(Settings!$E$5:$E$49,MATCH(G920,Settings!$D$5:$D$49,0))&amp;INDEX(Settings!$H$5:$H$47,MATCH(H920,Settings!$G$5:$G$47,0))&amp;"-"&amp;TEXT(B920,"yymmdd")&amp;"-"&amp;IF(C920="","0000",TEXT(C920,"hhmm")),"CHECK LISTS"))</f>
        <v/>
      </c>
      <c r="B920" s="39"/>
      <c r="C920" s="40"/>
      <c r="D920" s="24" t="str">
        <f aca="false">IF(B920="","",TEXT(B920,"ddd"))</f>
        <v/>
      </c>
      <c r="E920" s="27" t="str">
        <f aca="false">IF(B920="","",B920-WEEKDAY(B920,3))</f>
        <v/>
      </c>
      <c r="F920" s="24" t="str">
        <f aca="false">IF(B920="","",TEXT(B920,"yyyy-mm"))</f>
        <v/>
      </c>
      <c r="G920" s="29"/>
      <c r="H920" s="29"/>
      <c r="I920" s="29"/>
      <c r="J920" s="29"/>
      <c r="K920" s="29"/>
      <c r="L920" s="29"/>
      <c r="M920" s="29"/>
      <c r="N920" s="29"/>
      <c r="O920" s="29"/>
      <c r="P920" s="29"/>
      <c r="Q920" s="30"/>
      <c r="R920" s="29"/>
      <c r="S920" s="32"/>
      <c r="T920" s="29"/>
      <c r="U920" s="29"/>
      <c r="V920" s="24" t="str">
        <f aca="false">IF(A920="","",IFERROR(INDEX(Settings!$F$5:$F$49,MATCH(G920,Settings!$D$5:$D$49,0)),""))</f>
        <v/>
      </c>
      <c r="W920" s="24" t="str">
        <f aca="false">IF(A920="","",IF(OR(P920="",P920="Organic"),"social","paid_social"))</f>
        <v/>
      </c>
      <c r="X920" s="24" t="str">
        <f aca="false">IF(A920="","",IF(K920&lt;&gt;"",IFERROR(INDEX('Case Studies'!$C$5:$C$54,MATCH(K920,'Case Studies'!$B$5:$B$54,0))&amp;"","case-study"),IF(J920&lt;&gt;"",IFERROR(INDEX(Settings!$J$5:$J$55,MATCH(J920,Settings!$I$5:$I$55,0)),"general"),"general")))</f>
        <v/>
      </c>
      <c r="Y920" s="24" t="str">
        <f aca="false">IF(A920="","",LOWER(A920))</f>
        <v/>
      </c>
      <c r="Z920" s="24" t="str">
        <f aca="false">IF(A920="","",IF(T920="",Settings!$B$5,T920)&amp;IF(ISNUMBER(FIND("?",IF(T920="",Settings!$B$5,T920))),"&amp;","?")&amp;"utm_source="&amp;V920&amp;"&amp;utm_medium="&amp;W920&amp;"&amp;utm_campaign="&amp;X920&amp;"&amp;utm_content="&amp;Y920)</f>
        <v/>
      </c>
      <c r="AA920" s="29"/>
      <c r="AB920" s="39"/>
      <c r="AC920" s="32"/>
      <c r="AD920" s="32"/>
      <c r="AE920" s="32"/>
      <c r="AF920" s="32"/>
      <c r="AG920" s="32"/>
      <c r="AH920" s="32"/>
      <c r="AI920" s="32"/>
      <c r="AJ920" s="32"/>
      <c r="AK920" s="32"/>
      <c r="AL920" s="32"/>
      <c r="AM920" s="32"/>
      <c r="AN920" s="32"/>
      <c r="AO920" s="33" t="str">
        <f aca="false">IF(A920="","",IF(AD920&lt;&gt;"",AD920,IF(AC920&lt;&gt;"",AC920,"")))</f>
        <v/>
      </c>
      <c r="AP920" s="24" t="str">
        <f aca="false">IF(AO920="","",IF(AD920&lt;&gt;"","Reported reach","Impressions (proxy)"))</f>
        <v/>
      </c>
      <c r="AQ920" s="34" t="str">
        <f aca="false">IF(OR(AO920="",N(S920)=0),"",AO920/S920)</f>
        <v/>
      </c>
      <c r="AR920" s="33" t="str">
        <f aca="false">IF(A920="","",IF(COUNT(AF920:AJ920)=0,"",SUM(AF920:AJ920)))</f>
        <v/>
      </c>
      <c r="AS920" s="34" t="str">
        <f aca="false">IF(OR(AR920="",N(AO920)=0),"",AR920/AO920)</f>
        <v/>
      </c>
      <c r="AT920" s="34" t="str">
        <f aca="false">IF(OR(AR920="",N(AC920)=0),"",AR920/AC920)</f>
        <v/>
      </c>
      <c r="AU920" s="34" t="str">
        <f aca="false">IF(OR(AR920="",N(S920)=0),"",AR920/S920)</f>
        <v/>
      </c>
      <c r="AV920" s="34" t="str">
        <f aca="false">IF(OR(AJ920="",N(AC920)=0),"",AJ920/AC920)</f>
        <v/>
      </c>
      <c r="AW920" s="34" t="str">
        <f aca="false">IF(OR(AH920="",N(AO920)=0),"",AH920/AO920)</f>
        <v/>
      </c>
      <c r="AX920" s="35" t="str">
        <f aca="false">IF(OR(AR920="",N(AO920)=0),"",(N(AF920)*Settings!$B$6+N(AG920)*Settings!$B$7+N(AH920)*Settings!$B$8+N(AI920)*Settings!$B$9+N(AJ920)*Settings!$B$10)/AO920*1000)</f>
        <v/>
      </c>
      <c r="AY920" s="36" t="str">
        <f aca="false">IF(AS920="","",IFERROR(AS920/AVERAGEIFS('Post Tracker'!$AS$5:$AS$1004,'Post Tracker'!$G$5:$G$1004,G920),""))</f>
        <v/>
      </c>
      <c r="AZ920" s="32"/>
      <c r="BA920" s="32"/>
      <c r="BB920" s="32"/>
      <c r="BC920" s="32"/>
      <c r="BD920" s="33" t="str">
        <f aca="false">IF(A920="","",COUNTIFS('Demo Pipeline'!$Q$5:$Q$504,A920))</f>
        <v/>
      </c>
      <c r="BE920" s="33" t="str">
        <f aca="false">IF(A920="","",COUNTIFS('Demo Pipeline'!$Q$5:$Q$504,A920,'Demo Pipeline'!$W$5:$W$504,"Attended"))</f>
        <v/>
      </c>
      <c r="BF920" s="33" t="str">
        <f aca="false">IF(A920="","",COUNTIFS('Demo Pipeline'!$Q$5:$Q$504,A920,'Demo Pipeline'!$X$5:$X$504,"Yes"))</f>
        <v/>
      </c>
      <c r="BG920" s="33" t="str">
        <f aca="false">IF(A920="","",COUNTIFS('Demo Pipeline'!$Q$5:$Q$504,A920,'Demo Pipeline'!$Y$5:$Y$504,"Closed Won"))</f>
        <v/>
      </c>
      <c r="BH920" s="37" t="str">
        <f aca="false">IF(A920="","",SUMIFS('Demo Pipeline'!$Z$5:$Z$504,'Demo Pipeline'!$Q$5:$Q$504,A920))</f>
        <v/>
      </c>
      <c r="BI920" s="34" t="str">
        <f aca="false">IF(OR(AZ920="",N(AJ920)=0),"",AZ920/AJ920)</f>
        <v/>
      </c>
      <c r="BJ920" s="34" t="str">
        <f aca="false">IF(OR(BB920="",N(AZ920)=0),"",BB920/AZ920)</f>
        <v/>
      </c>
      <c r="BK920" s="34" t="str">
        <f aca="false">IF(OR(A920="",N(BB920)=0),"",BD920/BB920)</f>
        <v/>
      </c>
      <c r="BL920" s="34" t="str">
        <f aca="false">IF(OR(A920="",N(AZ920)=0),"",BD920/AZ920)</f>
        <v/>
      </c>
      <c r="BM920" s="37" t="str">
        <f aca="false">IF(OR(N(Q920)=0,N(BD920)=0),"",Q920/BD920)</f>
        <v/>
      </c>
      <c r="BN920" s="29"/>
      <c r="BO920" s="29"/>
      <c r="BP920" s="33" t="str">
        <f aca="false">IF(OR(AR920="",N(AO920)=0),"",AR920)</f>
        <v/>
      </c>
      <c r="BQ920" s="33" t="str">
        <f aca="false">IF(OR(AR920="",N(S920)=0),"",S920)</f>
        <v/>
      </c>
      <c r="BR920" s="38" t="str">
        <f aca="false">IF(AND(ISNUMBER(B920),B920&gt;=Dashboard!$C$4,B920&lt;=Dashboard!$F$4,ISNUMBER(AU920)),AU920+ROW()/10^9,"")</f>
        <v/>
      </c>
      <c r="BS920" s="38" t="str">
        <f aca="false">IF(AND(ISNUMBER(B920),B920&gt;=Dashboard!$C$4,B920&lt;=Dashboard!$F$4,A920&lt;&gt;""),N(BD920)+N(AU920)/100+ROW()/10^9,"")</f>
        <v/>
      </c>
    </row>
    <row r="921" customFormat="false" ht="15" hidden="false" customHeight="false" outlineLevel="0" collapsed="false">
      <c r="A921" s="24" t="str">
        <f aca="false">IF(OR(B921="",G921="",H921=""),"",IFERROR(INDEX(Settings!$E$5:$E$49,MATCH(G921,Settings!$D$5:$D$49,0))&amp;INDEX(Settings!$H$5:$H$47,MATCH(H921,Settings!$G$5:$G$47,0))&amp;"-"&amp;TEXT(B921,"yymmdd")&amp;"-"&amp;IF(C921="","0000",TEXT(C921,"hhmm")),"CHECK LISTS"))</f>
        <v/>
      </c>
      <c r="B921" s="39"/>
      <c r="C921" s="40"/>
      <c r="D921" s="24" t="str">
        <f aca="false">IF(B921="","",TEXT(B921,"ddd"))</f>
        <v/>
      </c>
      <c r="E921" s="27" t="str">
        <f aca="false">IF(B921="","",B921-WEEKDAY(B921,3))</f>
        <v/>
      </c>
      <c r="F921" s="24" t="str">
        <f aca="false">IF(B921="","",TEXT(B921,"yyyy-mm"))</f>
        <v/>
      </c>
      <c r="G921" s="29"/>
      <c r="H921" s="29"/>
      <c r="I921" s="29"/>
      <c r="J921" s="29"/>
      <c r="K921" s="29"/>
      <c r="L921" s="29"/>
      <c r="M921" s="29"/>
      <c r="N921" s="29"/>
      <c r="O921" s="29"/>
      <c r="P921" s="29"/>
      <c r="Q921" s="30"/>
      <c r="R921" s="29"/>
      <c r="S921" s="32"/>
      <c r="T921" s="29"/>
      <c r="U921" s="29"/>
      <c r="V921" s="24" t="str">
        <f aca="false">IF(A921="","",IFERROR(INDEX(Settings!$F$5:$F$49,MATCH(G921,Settings!$D$5:$D$49,0)),""))</f>
        <v/>
      </c>
      <c r="W921" s="24" t="str">
        <f aca="false">IF(A921="","",IF(OR(P921="",P921="Organic"),"social","paid_social"))</f>
        <v/>
      </c>
      <c r="X921" s="24" t="str">
        <f aca="false">IF(A921="","",IF(K921&lt;&gt;"",IFERROR(INDEX('Case Studies'!$C$5:$C$54,MATCH(K921,'Case Studies'!$B$5:$B$54,0))&amp;"","case-study"),IF(J921&lt;&gt;"",IFERROR(INDEX(Settings!$J$5:$J$55,MATCH(J921,Settings!$I$5:$I$55,0)),"general"),"general")))</f>
        <v/>
      </c>
      <c r="Y921" s="24" t="str">
        <f aca="false">IF(A921="","",LOWER(A921))</f>
        <v/>
      </c>
      <c r="Z921" s="24" t="str">
        <f aca="false">IF(A921="","",IF(T921="",Settings!$B$5,T921)&amp;IF(ISNUMBER(FIND("?",IF(T921="",Settings!$B$5,T921))),"&amp;","?")&amp;"utm_source="&amp;V921&amp;"&amp;utm_medium="&amp;W921&amp;"&amp;utm_campaign="&amp;X921&amp;"&amp;utm_content="&amp;Y921)</f>
        <v/>
      </c>
      <c r="AA921" s="29"/>
      <c r="AB921" s="39"/>
      <c r="AC921" s="32"/>
      <c r="AD921" s="32"/>
      <c r="AE921" s="32"/>
      <c r="AF921" s="32"/>
      <c r="AG921" s="32"/>
      <c r="AH921" s="32"/>
      <c r="AI921" s="32"/>
      <c r="AJ921" s="32"/>
      <c r="AK921" s="32"/>
      <c r="AL921" s="32"/>
      <c r="AM921" s="32"/>
      <c r="AN921" s="32"/>
      <c r="AO921" s="33" t="str">
        <f aca="false">IF(A921="","",IF(AD921&lt;&gt;"",AD921,IF(AC921&lt;&gt;"",AC921,"")))</f>
        <v/>
      </c>
      <c r="AP921" s="24" t="str">
        <f aca="false">IF(AO921="","",IF(AD921&lt;&gt;"","Reported reach","Impressions (proxy)"))</f>
        <v/>
      </c>
      <c r="AQ921" s="34" t="str">
        <f aca="false">IF(OR(AO921="",N(S921)=0),"",AO921/S921)</f>
        <v/>
      </c>
      <c r="AR921" s="33" t="str">
        <f aca="false">IF(A921="","",IF(COUNT(AF921:AJ921)=0,"",SUM(AF921:AJ921)))</f>
        <v/>
      </c>
      <c r="AS921" s="34" t="str">
        <f aca="false">IF(OR(AR921="",N(AO921)=0),"",AR921/AO921)</f>
        <v/>
      </c>
      <c r="AT921" s="34" t="str">
        <f aca="false">IF(OR(AR921="",N(AC921)=0),"",AR921/AC921)</f>
        <v/>
      </c>
      <c r="AU921" s="34" t="str">
        <f aca="false">IF(OR(AR921="",N(S921)=0),"",AR921/S921)</f>
        <v/>
      </c>
      <c r="AV921" s="34" t="str">
        <f aca="false">IF(OR(AJ921="",N(AC921)=0),"",AJ921/AC921)</f>
        <v/>
      </c>
      <c r="AW921" s="34" t="str">
        <f aca="false">IF(OR(AH921="",N(AO921)=0),"",AH921/AO921)</f>
        <v/>
      </c>
      <c r="AX921" s="35" t="str">
        <f aca="false">IF(OR(AR921="",N(AO921)=0),"",(N(AF921)*Settings!$B$6+N(AG921)*Settings!$B$7+N(AH921)*Settings!$B$8+N(AI921)*Settings!$B$9+N(AJ921)*Settings!$B$10)/AO921*1000)</f>
        <v/>
      </c>
      <c r="AY921" s="36" t="str">
        <f aca="false">IF(AS921="","",IFERROR(AS921/AVERAGEIFS('Post Tracker'!$AS$5:$AS$1004,'Post Tracker'!$G$5:$G$1004,G921),""))</f>
        <v/>
      </c>
      <c r="AZ921" s="32"/>
      <c r="BA921" s="32"/>
      <c r="BB921" s="32"/>
      <c r="BC921" s="32"/>
      <c r="BD921" s="33" t="str">
        <f aca="false">IF(A921="","",COUNTIFS('Demo Pipeline'!$Q$5:$Q$504,A921))</f>
        <v/>
      </c>
      <c r="BE921" s="33" t="str">
        <f aca="false">IF(A921="","",COUNTIFS('Demo Pipeline'!$Q$5:$Q$504,A921,'Demo Pipeline'!$W$5:$W$504,"Attended"))</f>
        <v/>
      </c>
      <c r="BF921" s="33" t="str">
        <f aca="false">IF(A921="","",COUNTIFS('Demo Pipeline'!$Q$5:$Q$504,A921,'Demo Pipeline'!$X$5:$X$504,"Yes"))</f>
        <v/>
      </c>
      <c r="BG921" s="33" t="str">
        <f aca="false">IF(A921="","",COUNTIFS('Demo Pipeline'!$Q$5:$Q$504,A921,'Demo Pipeline'!$Y$5:$Y$504,"Closed Won"))</f>
        <v/>
      </c>
      <c r="BH921" s="37" t="str">
        <f aca="false">IF(A921="","",SUMIFS('Demo Pipeline'!$Z$5:$Z$504,'Demo Pipeline'!$Q$5:$Q$504,A921))</f>
        <v/>
      </c>
      <c r="BI921" s="34" t="str">
        <f aca="false">IF(OR(AZ921="",N(AJ921)=0),"",AZ921/AJ921)</f>
        <v/>
      </c>
      <c r="BJ921" s="34" t="str">
        <f aca="false">IF(OR(BB921="",N(AZ921)=0),"",BB921/AZ921)</f>
        <v/>
      </c>
      <c r="BK921" s="34" t="str">
        <f aca="false">IF(OR(A921="",N(BB921)=0),"",BD921/BB921)</f>
        <v/>
      </c>
      <c r="BL921" s="34" t="str">
        <f aca="false">IF(OR(A921="",N(AZ921)=0),"",BD921/AZ921)</f>
        <v/>
      </c>
      <c r="BM921" s="37" t="str">
        <f aca="false">IF(OR(N(Q921)=0,N(BD921)=0),"",Q921/BD921)</f>
        <v/>
      </c>
      <c r="BN921" s="29"/>
      <c r="BO921" s="29"/>
      <c r="BP921" s="33" t="str">
        <f aca="false">IF(OR(AR921="",N(AO921)=0),"",AR921)</f>
        <v/>
      </c>
      <c r="BQ921" s="33" t="str">
        <f aca="false">IF(OR(AR921="",N(S921)=0),"",S921)</f>
        <v/>
      </c>
      <c r="BR921" s="38" t="str">
        <f aca="false">IF(AND(ISNUMBER(B921),B921&gt;=Dashboard!$C$4,B921&lt;=Dashboard!$F$4,ISNUMBER(AU921)),AU921+ROW()/10^9,"")</f>
        <v/>
      </c>
      <c r="BS921" s="38" t="str">
        <f aca="false">IF(AND(ISNUMBER(B921),B921&gt;=Dashboard!$C$4,B921&lt;=Dashboard!$F$4,A921&lt;&gt;""),N(BD921)+N(AU921)/100+ROW()/10^9,"")</f>
        <v/>
      </c>
    </row>
    <row r="922" customFormat="false" ht="15" hidden="false" customHeight="false" outlineLevel="0" collapsed="false">
      <c r="A922" s="24" t="str">
        <f aca="false">IF(OR(B922="",G922="",H922=""),"",IFERROR(INDEX(Settings!$E$5:$E$49,MATCH(G922,Settings!$D$5:$D$49,0))&amp;INDEX(Settings!$H$5:$H$47,MATCH(H922,Settings!$G$5:$G$47,0))&amp;"-"&amp;TEXT(B922,"yymmdd")&amp;"-"&amp;IF(C922="","0000",TEXT(C922,"hhmm")),"CHECK LISTS"))</f>
        <v/>
      </c>
      <c r="B922" s="39"/>
      <c r="C922" s="40"/>
      <c r="D922" s="24" t="str">
        <f aca="false">IF(B922="","",TEXT(B922,"ddd"))</f>
        <v/>
      </c>
      <c r="E922" s="27" t="str">
        <f aca="false">IF(B922="","",B922-WEEKDAY(B922,3))</f>
        <v/>
      </c>
      <c r="F922" s="24" t="str">
        <f aca="false">IF(B922="","",TEXT(B922,"yyyy-mm"))</f>
        <v/>
      </c>
      <c r="G922" s="29"/>
      <c r="H922" s="29"/>
      <c r="I922" s="29"/>
      <c r="J922" s="29"/>
      <c r="K922" s="29"/>
      <c r="L922" s="29"/>
      <c r="M922" s="29"/>
      <c r="N922" s="29"/>
      <c r="O922" s="29"/>
      <c r="P922" s="29"/>
      <c r="Q922" s="30"/>
      <c r="R922" s="29"/>
      <c r="S922" s="32"/>
      <c r="T922" s="29"/>
      <c r="U922" s="29"/>
      <c r="V922" s="24" t="str">
        <f aca="false">IF(A922="","",IFERROR(INDEX(Settings!$F$5:$F$49,MATCH(G922,Settings!$D$5:$D$49,0)),""))</f>
        <v/>
      </c>
      <c r="W922" s="24" t="str">
        <f aca="false">IF(A922="","",IF(OR(P922="",P922="Organic"),"social","paid_social"))</f>
        <v/>
      </c>
      <c r="X922" s="24" t="str">
        <f aca="false">IF(A922="","",IF(K922&lt;&gt;"",IFERROR(INDEX('Case Studies'!$C$5:$C$54,MATCH(K922,'Case Studies'!$B$5:$B$54,0))&amp;"","case-study"),IF(J922&lt;&gt;"",IFERROR(INDEX(Settings!$J$5:$J$55,MATCH(J922,Settings!$I$5:$I$55,0)),"general"),"general")))</f>
        <v/>
      </c>
      <c r="Y922" s="24" t="str">
        <f aca="false">IF(A922="","",LOWER(A922))</f>
        <v/>
      </c>
      <c r="Z922" s="24" t="str">
        <f aca="false">IF(A922="","",IF(T922="",Settings!$B$5,T922)&amp;IF(ISNUMBER(FIND("?",IF(T922="",Settings!$B$5,T922))),"&amp;","?")&amp;"utm_source="&amp;V922&amp;"&amp;utm_medium="&amp;W922&amp;"&amp;utm_campaign="&amp;X922&amp;"&amp;utm_content="&amp;Y922)</f>
        <v/>
      </c>
      <c r="AA922" s="29"/>
      <c r="AB922" s="39"/>
      <c r="AC922" s="32"/>
      <c r="AD922" s="32"/>
      <c r="AE922" s="32"/>
      <c r="AF922" s="32"/>
      <c r="AG922" s="32"/>
      <c r="AH922" s="32"/>
      <c r="AI922" s="32"/>
      <c r="AJ922" s="32"/>
      <c r="AK922" s="32"/>
      <c r="AL922" s="32"/>
      <c r="AM922" s="32"/>
      <c r="AN922" s="32"/>
      <c r="AO922" s="33" t="str">
        <f aca="false">IF(A922="","",IF(AD922&lt;&gt;"",AD922,IF(AC922&lt;&gt;"",AC922,"")))</f>
        <v/>
      </c>
      <c r="AP922" s="24" t="str">
        <f aca="false">IF(AO922="","",IF(AD922&lt;&gt;"","Reported reach","Impressions (proxy)"))</f>
        <v/>
      </c>
      <c r="AQ922" s="34" t="str">
        <f aca="false">IF(OR(AO922="",N(S922)=0),"",AO922/S922)</f>
        <v/>
      </c>
      <c r="AR922" s="33" t="str">
        <f aca="false">IF(A922="","",IF(COUNT(AF922:AJ922)=0,"",SUM(AF922:AJ922)))</f>
        <v/>
      </c>
      <c r="AS922" s="34" t="str">
        <f aca="false">IF(OR(AR922="",N(AO922)=0),"",AR922/AO922)</f>
        <v/>
      </c>
      <c r="AT922" s="34" t="str">
        <f aca="false">IF(OR(AR922="",N(AC922)=0),"",AR922/AC922)</f>
        <v/>
      </c>
      <c r="AU922" s="34" t="str">
        <f aca="false">IF(OR(AR922="",N(S922)=0),"",AR922/S922)</f>
        <v/>
      </c>
      <c r="AV922" s="34" t="str">
        <f aca="false">IF(OR(AJ922="",N(AC922)=0),"",AJ922/AC922)</f>
        <v/>
      </c>
      <c r="AW922" s="34" t="str">
        <f aca="false">IF(OR(AH922="",N(AO922)=0),"",AH922/AO922)</f>
        <v/>
      </c>
      <c r="AX922" s="35" t="str">
        <f aca="false">IF(OR(AR922="",N(AO922)=0),"",(N(AF922)*Settings!$B$6+N(AG922)*Settings!$B$7+N(AH922)*Settings!$B$8+N(AI922)*Settings!$B$9+N(AJ922)*Settings!$B$10)/AO922*1000)</f>
        <v/>
      </c>
      <c r="AY922" s="36" t="str">
        <f aca="false">IF(AS922="","",IFERROR(AS922/AVERAGEIFS('Post Tracker'!$AS$5:$AS$1004,'Post Tracker'!$G$5:$G$1004,G922),""))</f>
        <v/>
      </c>
      <c r="AZ922" s="32"/>
      <c r="BA922" s="32"/>
      <c r="BB922" s="32"/>
      <c r="BC922" s="32"/>
      <c r="BD922" s="33" t="str">
        <f aca="false">IF(A922="","",COUNTIFS('Demo Pipeline'!$Q$5:$Q$504,A922))</f>
        <v/>
      </c>
      <c r="BE922" s="33" t="str">
        <f aca="false">IF(A922="","",COUNTIFS('Demo Pipeline'!$Q$5:$Q$504,A922,'Demo Pipeline'!$W$5:$W$504,"Attended"))</f>
        <v/>
      </c>
      <c r="BF922" s="33" t="str">
        <f aca="false">IF(A922="","",COUNTIFS('Demo Pipeline'!$Q$5:$Q$504,A922,'Demo Pipeline'!$X$5:$X$504,"Yes"))</f>
        <v/>
      </c>
      <c r="BG922" s="33" t="str">
        <f aca="false">IF(A922="","",COUNTIFS('Demo Pipeline'!$Q$5:$Q$504,A922,'Demo Pipeline'!$Y$5:$Y$504,"Closed Won"))</f>
        <v/>
      </c>
      <c r="BH922" s="37" t="str">
        <f aca="false">IF(A922="","",SUMIFS('Demo Pipeline'!$Z$5:$Z$504,'Demo Pipeline'!$Q$5:$Q$504,A922))</f>
        <v/>
      </c>
      <c r="BI922" s="34" t="str">
        <f aca="false">IF(OR(AZ922="",N(AJ922)=0),"",AZ922/AJ922)</f>
        <v/>
      </c>
      <c r="BJ922" s="34" t="str">
        <f aca="false">IF(OR(BB922="",N(AZ922)=0),"",BB922/AZ922)</f>
        <v/>
      </c>
      <c r="BK922" s="34" t="str">
        <f aca="false">IF(OR(A922="",N(BB922)=0),"",BD922/BB922)</f>
        <v/>
      </c>
      <c r="BL922" s="34" t="str">
        <f aca="false">IF(OR(A922="",N(AZ922)=0),"",BD922/AZ922)</f>
        <v/>
      </c>
      <c r="BM922" s="37" t="str">
        <f aca="false">IF(OR(N(Q922)=0,N(BD922)=0),"",Q922/BD922)</f>
        <v/>
      </c>
      <c r="BN922" s="29"/>
      <c r="BO922" s="29"/>
      <c r="BP922" s="33" t="str">
        <f aca="false">IF(OR(AR922="",N(AO922)=0),"",AR922)</f>
        <v/>
      </c>
      <c r="BQ922" s="33" t="str">
        <f aca="false">IF(OR(AR922="",N(S922)=0),"",S922)</f>
        <v/>
      </c>
      <c r="BR922" s="38" t="str">
        <f aca="false">IF(AND(ISNUMBER(B922),B922&gt;=Dashboard!$C$4,B922&lt;=Dashboard!$F$4,ISNUMBER(AU922)),AU922+ROW()/10^9,"")</f>
        <v/>
      </c>
      <c r="BS922" s="38" t="str">
        <f aca="false">IF(AND(ISNUMBER(B922),B922&gt;=Dashboard!$C$4,B922&lt;=Dashboard!$F$4,A922&lt;&gt;""),N(BD922)+N(AU922)/100+ROW()/10^9,"")</f>
        <v/>
      </c>
    </row>
    <row r="923" customFormat="false" ht="15" hidden="false" customHeight="false" outlineLevel="0" collapsed="false">
      <c r="A923" s="24" t="str">
        <f aca="false">IF(OR(B923="",G923="",H923=""),"",IFERROR(INDEX(Settings!$E$5:$E$49,MATCH(G923,Settings!$D$5:$D$49,0))&amp;INDEX(Settings!$H$5:$H$47,MATCH(H923,Settings!$G$5:$G$47,0))&amp;"-"&amp;TEXT(B923,"yymmdd")&amp;"-"&amp;IF(C923="","0000",TEXT(C923,"hhmm")),"CHECK LISTS"))</f>
        <v/>
      </c>
      <c r="B923" s="39"/>
      <c r="C923" s="40"/>
      <c r="D923" s="24" t="str">
        <f aca="false">IF(B923="","",TEXT(B923,"ddd"))</f>
        <v/>
      </c>
      <c r="E923" s="27" t="str">
        <f aca="false">IF(B923="","",B923-WEEKDAY(B923,3))</f>
        <v/>
      </c>
      <c r="F923" s="24" t="str">
        <f aca="false">IF(B923="","",TEXT(B923,"yyyy-mm"))</f>
        <v/>
      </c>
      <c r="G923" s="29"/>
      <c r="H923" s="29"/>
      <c r="I923" s="29"/>
      <c r="J923" s="29"/>
      <c r="K923" s="29"/>
      <c r="L923" s="29"/>
      <c r="M923" s="29"/>
      <c r="N923" s="29"/>
      <c r="O923" s="29"/>
      <c r="P923" s="29"/>
      <c r="Q923" s="30"/>
      <c r="R923" s="29"/>
      <c r="S923" s="32"/>
      <c r="T923" s="29"/>
      <c r="U923" s="29"/>
      <c r="V923" s="24" t="str">
        <f aca="false">IF(A923="","",IFERROR(INDEX(Settings!$F$5:$F$49,MATCH(G923,Settings!$D$5:$D$49,0)),""))</f>
        <v/>
      </c>
      <c r="W923" s="24" t="str">
        <f aca="false">IF(A923="","",IF(OR(P923="",P923="Organic"),"social","paid_social"))</f>
        <v/>
      </c>
      <c r="X923" s="24" t="str">
        <f aca="false">IF(A923="","",IF(K923&lt;&gt;"",IFERROR(INDEX('Case Studies'!$C$5:$C$54,MATCH(K923,'Case Studies'!$B$5:$B$54,0))&amp;"","case-study"),IF(J923&lt;&gt;"",IFERROR(INDEX(Settings!$J$5:$J$55,MATCH(J923,Settings!$I$5:$I$55,0)),"general"),"general")))</f>
        <v/>
      </c>
      <c r="Y923" s="24" t="str">
        <f aca="false">IF(A923="","",LOWER(A923))</f>
        <v/>
      </c>
      <c r="Z923" s="24" t="str">
        <f aca="false">IF(A923="","",IF(T923="",Settings!$B$5,T923)&amp;IF(ISNUMBER(FIND("?",IF(T923="",Settings!$B$5,T923))),"&amp;","?")&amp;"utm_source="&amp;V923&amp;"&amp;utm_medium="&amp;W923&amp;"&amp;utm_campaign="&amp;X923&amp;"&amp;utm_content="&amp;Y923)</f>
        <v/>
      </c>
      <c r="AA923" s="29"/>
      <c r="AB923" s="39"/>
      <c r="AC923" s="32"/>
      <c r="AD923" s="32"/>
      <c r="AE923" s="32"/>
      <c r="AF923" s="32"/>
      <c r="AG923" s="32"/>
      <c r="AH923" s="32"/>
      <c r="AI923" s="32"/>
      <c r="AJ923" s="32"/>
      <c r="AK923" s="32"/>
      <c r="AL923" s="32"/>
      <c r="AM923" s="32"/>
      <c r="AN923" s="32"/>
      <c r="AO923" s="33" t="str">
        <f aca="false">IF(A923="","",IF(AD923&lt;&gt;"",AD923,IF(AC923&lt;&gt;"",AC923,"")))</f>
        <v/>
      </c>
      <c r="AP923" s="24" t="str">
        <f aca="false">IF(AO923="","",IF(AD923&lt;&gt;"","Reported reach","Impressions (proxy)"))</f>
        <v/>
      </c>
      <c r="AQ923" s="34" t="str">
        <f aca="false">IF(OR(AO923="",N(S923)=0),"",AO923/S923)</f>
        <v/>
      </c>
      <c r="AR923" s="33" t="str">
        <f aca="false">IF(A923="","",IF(COUNT(AF923:AJ923)=0,"",SUM(AF923:AJ923)))</f>
        <v/>
      </c>
      <c r="AS923" s="34" t="str">
        <f aca="false">IF(OR(AR923="",N(AO923)=0),"",AR923/AO923)</f>
        <v/>
      </c>
      <c r="AT923" s="34" t="str">
        <f aca="false">IF(OR(AR923="",N(AC923)=0),"",AR923/AC923)</f>
        <v/>
      </c>
      <c r="AU923" s="34" t="str">
        <f aca="false">IF(OR(AR923="",N(S923)=0),"",AR923/S923)</f>
        <v/>
      </c>
      <c r="AV923" s="34" t="str">
        <f aca="false">IF(OR(AJ923="",N(AC923)=0),"",AJ923/AC923)</f>
        <v/>
      </c>
      <c r="AW923" s="34" t="str">
        <f aca="false">IF(OR(AH923="",N(AO923)=0),"",AH923/AO923)</f>
        <v/>
      </c>
      <c r="AX923" s="35" t="str">
        <f aca="false">IF(OR(AR923="",N(AO923)=0),"",(N(AF923)*Settings!$B$6+N(AG923)*Settings!$B$7+N(AH923)*Settings!$B$8+N(AI923)*Settings!$B$9+N(AJ923)*Settings!$B$10)/AO923*1000)</f>
        <v/>
      </c>
      <c r="AY923" s="36" t="str">
        <f aca="false">IF(AS923="","",IFERROR(AS923/AVERAGEIFS('Post Tracker'!$AS$5:$AS$1004,'Post Tracker'!$G$5:$G$1004,G923),""))</f>
        <v/>
      </c>
      <c r="AZ923" s="32"/>
      <c r="BA923" s="32"/>
      <c r="BB923" s="32"/>
      <c r="BC923" s="32"/>
      <c r="BD923" s="33" t="str">
        <f aca="false">IF(A923="","",COUNTIFS('Demo Pipeline'!$Q$5:$Q$504,A923))</f>
        <v/>
      </c>
      <c r="BE923" s="33" t="str">
        <f aca="false">IF(A923="","",COUNTIFS('Demo Pipeline'!$Q$5:$Q$504,A923,'Demo Pipeline'!$W$5:$W$504,"Attended"))</f>
        <v/>
      </c>
      <c r="BF923" s="33" t="str">
        <f aca="false">IF(A923="","",COUNTIFS('Demo Pipeline'!$Q$5:$Q$504,A923,'Demo Pipeline'!$X$5:$X$504,"Yes"))</f>
        <v/>
      </c>
      <c r="BG923" s="33" t="str">
        <f aca="false">IF(A923="","",COUNTIFS('Demo Pipeline'!$Q$5:$Q$504,A923,'Demo Pipeline'!$Y$5:$Y$504,"Closed Won"))</f>
        <v/>
      </c>
      <c r="BH923" s="37" t="str">
        <f aca="false">IF(A923="","",SUMIFS('Demo Pipeline'!$Z$5:$Z$504,'Demo Pipeline'!$Q$5:$Q$504,A923))</f>
        <v/>
      </c>
      <c r="BI923" s="34" t="str">
        <f aca="false">IF(OR(AZ923="",N(AJ923)=0),"",AZ923/AJ923)</f>
        <v/>
      </c>
      <c r="BJ923" s="34" t="str">
        <f aca="false">IF(OR(BB923="",N(AZ923)=0),"",BB923/AZ923)</f>
        <v/>
      </c>
      <c r="BK923" s="34" t="str">
        <f aca="false">IF(OR(A923="",N(BB923)=0),"",BD923/BB923)</f>
        <v/>
      </c>
      <c r="BL923" s="34" t="str">
        <f aca="false">IF(OR(A923="",N(AZ923)=0),"",BD923/AZ923)</f>
        <v/>
      </c>
      <c r="BM923" s="37" t="str">
        <f aca="false">IF(OR(N(Q923)=0,N(BD923)=0),"",Q923/BD923)</f>
        <v/>
      </c>
      <c r="BN923" s="29"/>
      <c r="BO923" s="29"/>
      <c r="BP923" s="33" t="str">
        <f aca="false">IF(OR(AR923="",N(AO923)=0),"",AR923)</f>
        <v/>
      </c>
      <c r="BQ923" s="33" t="str">
        <f aca="false">IF(OR(AR923="",N(S923)=0),"",S923)</f>
        <v/>
      </c>
      <c r="BR923" s="38" t="str">
        <f aca="false">IF(AND(ISNUMBER(B923),B923&gt;=Dashboard!$C$4,B923&lt;=Dashboard!$F$4,ISNUMBER(AU923)),AU923+ROW()/10^9,"")</f>
        <v/>
      </c>
      <c r="BS923" s="38" t="str">
        <f aca="false">IF(AND(ISNUMBER(B923),B923&gt;=Dashboard!$C$4,B923&lt;=Dashboard!$F$4,A923&lt;&gt;""),N(BD923)+N(AU923)/100+ROW()/10^9,"")</f>
        <v/>
      </c>
    </row>
    <row r="924" customFormat="false" ht="15" hidden="false" customHeight="false" outlineLevel="0" collapsed="false">
      <c r="A924" s="24" t="str">
        <f aca="false">IF(OR(B924="",G924="",H924=""),"",IFERROR(INDEX(Settings!$E$5:$E$49,MATCH(G924,Settings!$D$5:$D$49,0))&amp;INDEX(Settings!$H$5:$H$47,MATCH(H924,Settings!$G$5:$G$47,0))&amp;"-"&amp;TEXT(B924,"yymmdd")&amp;"-"&amp;IF(C924="","0000",TEXT(C924,"hhmm")),"CHECK LISTS"))</f>
        <v/>
      </c>
      <c r="B924" s="39"/>
      <c r="C924" s="40"/>
      <c r="D924" s="24" t="str">
        <f aca="false">IF(B924="","",TEXT(B924,"ddd"))</f>
        <v/>
      </c>
      <c r="E924" s="27" t="str">
        <f aca="false">IF(B924="","",B924-WEEKDAY(B924,3))</f>
        <v/>
      </c>
      <c r="F924" s="24" t="str">
        <f aca="false">IF(B924="","",TEXT(B924,"yyyy-mm"))</f>
        <v/>
      </c>
      <c r="G924" s="29"/>
      <c r="H924" s="29"/>
      <c r="I924" s="29"/>
      <c r="J924" s="29"/>
      <c r="K924" s="29"/>
      <c r="L924" s="29"/>
      <c r="M924" s="29"/>
      <c r="N924" s="29"/>
      <c r="O924" s="29"/>
      <c r="P924" s="29"/>
      <c r="Q924" s="30"/>
      <c r="R924" s="29"/>
      <c r="S924" s="32"/>
      <c r="T924" s="29"/>
      <c r="U924" s="29"/>
      <c r="V924" s="24" t="str">
        <f aca="false">IF(A924="","",IFERROR(INDEX(Settings!$F$5:$F$49,MATCH(G924,Settings!$D$5:$D$49,0)),""))</f>
        <v/>
      </c>
      <c r="W924" s="24" t="str">
        <f aca="false">IF(A924="","",IF(OR(P924="",P924="Organic"),"social","paid_social"))</f>
        <v/>
      </c>
      <c r="X924" s="24" t="str">
        <f aca="false">IF(A924="","",IF(K924&lt;&gt;"",IFERROR(INDEX('Case Studies'!$C$5:$C$54,MATCH(K924,'Case Studies'!$B$5:$B$54,0))&amp;"","case-study"),IF(J924&lt;&gt;"",IFERROR(INDEX(Settings!$J$5:$J$55,MATCH(J924,Settings!$I$5:$I$55,0)),"general"),"general")))</f>
        <v/>
      </c>
      <c r="Y924" s="24" t="str">
        <f aca="false">IF(A924="","",LOWER(A924))</f>
        <v/>
      </c>
      <c r="Z924" s="24" t="str">
        <f aca="false">IF(A924="","",IF(T924="",Settings!$B$5,T924)&amp;IF(ISNUMBER(FIND("?",IF(T924="",Settings!$B$5,T924))),"&amp;","?")&amp;"utm_source="&amp;V924&amp;"&amp;utm_medium="&amp;W924&amp;"&amp;utm_campaign="&amp;X924&amp;"&amp;utm_content="&amp;Y924)</f>
        <v/>
      </c>
      <c r="AA924" s="29"/>
      <c r="AB924" s="39"/>
      <c r="AC924" s="32"/>
      <c r="AD924" s="32"/>
      <c r="AE924" s="32"/>
      <c r="AF924" s="32"/>
      <c r="AG924" s="32"/>
      <c r="AH924" s="32"/>
      <c r="AI924" s="32"/>
      <c r="AJ924" s="32"/>
      <c r="AK924" s="32"/>
      <c r="AL924" s="32"/>
      <c r="AM924" s="32"/>
      <c r="AN924" s="32"/>
      <c r="AO924" s="33" t="str">
        <f aca="false">IF(A924="","",IF(AD924&lt;&gt;"",AD924,IF(AC924&lt;&gt;"",AC924,"")))</f>
        <v/>
      </c>
      <c r="AP924" s="24" t="str">
        <f aca="false">IF(AO924="","",IF(AD924&lt;&gt;"","Reported reach","Impressions (proxy)"))</f>
        <v/>
      </c>
      <c r="AQ924" s="34" t="str">
        <f aca="false">IF(OR(AO924="",N(S924)=0),"",AO924/S924)</f>
        <v/>
      </c>
      <c r="AR924" s="33" t="str">
        <f aca="false">IF(A924="","",IF(COUNT(AF924:AJ924)=0,"",SUM(AF924:AJ924)))</f>
        <v/>
      </c>
      <c r="AS924" s="34" t="str">
        <f aca="false">IF(OR(AR924="",N(AO924)=0),"",AR924/AO924)</f>
        <v/>
      </c>
      <c r="AT924" s="34" t="str">
        <f aca="false">IF(OR(AR924="",N(AC924)=0),"",AR924/AC924)</f>
        <v/>
      </c>
      <c r="AU924" s="34" t="str">
        <f aca="false">IF(OR(AR924="",N(S924)=0),"",AR924/S924)</f>
        <v/>
      </c>
      <c r="AV924" s="34" t="str">
        <f aca="false">IF(OR(AJ924="",N(AC924)=0),"",AJ924/AC924)</f>
        <v/>
      </c>
      <c r="AW924" s="34" t="str">
        <f aca="false">IF(OR(AH924="",N(AO924)=0),"",AH924/AO924)</f>
        <v/>
      </c>
      <c r="AX924" s="35" t="str">
        <f aca="false">IF(OR(AR924="",N(AO924)=0),"",(N(AF924)*Settings!$B$6+N(AG924)*Settings!$B$7+N(AH924)*Settings!$B$8+N(AI924)*Settings!$B$9+N(AJ924)*Settings!$B$10)/AO924*1000)</f>
        <v/>
      </c>
      <c r="AY924" s="36" t="str">
        <f aca="false">IF(AS924="","",IFERROR(AS924/AVERAGEIFS('Post Tracker'!$AS$5:$AS$1004,'Post Tracker'!$G$5:$G$1004,G924),""))</f>
        <v/>
      </c>
      <c r="AZ924" s="32"/>
      <c r="BA924" s="32"/>
      <c r="BB924" s="32"/>
      <c r="BC924" s="32"/>
      <c r="BD924" s="33" t="str">
        <f aca="false">IF(A924="","",COUNTIFS('Demo Pipeline'!$Q$5:$Q$504,A924))</f>
        <v/>
      </c>
      <c r="BE924" s="33" t="str">
        <f aca="false">IF(A924="","",COUNTIFS('Demo Pipeline'!$Q$5:$Q$504,A924,'Demo Pipeline'!$W$5:$W$504,"Attended"))</f>
        <v/>
      </c>
      <c r="BF924" s="33" t="str">
        <f aca="false">IF(A924="","",COUNTIFS('Demo Pipeline'!$Q$5:$Q$504,A924,'Demo Pipeline'!$X$5:$X$504,"Yes"))</f>
        <v/>
      </c>
      <c r="BG924" s="33" t="str">
        <f aca="false">IF(A924="","",COUNTIFS('Demo Pipeline'!$Q$5:$Q$504,A924,'Demo Pipeline'!$Y$5:$Y$504,"Closed Won"))</f>
        <v/>
      </c>
      <c r="BH924" s="37" t="str">
        <f aca="false">IF(A924="","",SUMIFS('Demo Pipeline'!$Z$5:$Z$504,'Demo Pipeline'!$Q$5:$Q$504,A924))</f>
        <v/>
      </c>
      <c r="BI924" s="34" t="str">
        <f aca="false">IF(OR(AZ924="",N(AJ924)=0),"",AZ924/AJ924)</f>
        <v/>
      </c>
      <c r="BJ924" s="34" t="str">
        <f aca="false">IF(OR(BB924="",N(AZ924)=0),"",BB924/AZ924)</f>
        <v/>
      </c>
      <c r="BK924" s="34" t="str">
        <f aca="false">IF(OR(A924="",N(BB924)=0),"",BD924/BB924)</f>
        <v/>
      </c>
      <c r="BL924" s="34" t="str">
        <f aca="false">IF(OR(A924="",N(AZ924)=0),"",BD924/AZ924)</f>
        <v/>
      </c>
      <c r="BM924" s="37" t="str">
        <f aca="false">IF(OR(N(Q924)=0,N(BD924)=0),"",Q924/BD924)</f>
        <v/>
      </c>
      <c r="BN924" s="29"/>
      <c r="BO924" s="29"/>
      <c r="BP924" s="33" t="str">
        <f aca="false">IF(OR(AR924="",N(AO924)=0),"",AR924)</f>
        <v/>
      </c>
      <c r="BQ924" s="33" t="str">
        <f aca="false">IF(OR(AR924="",N(S924)=0),"",S924)</f>
        <v/>
      </c>
      <c r="BR924" s="38" t="str">
        <f aca="false">IF(AND(ISNUMBER(B924),B924&gt;=Dashboard!$C$4,B924&lt;=Dashboard!$F$4,ISNUMBER(AU924)),AU924+ROW()/10^9,"")</f>
        <v/>
      </c>
      <c r="BS924" s="38" t="str">
        <f aca="false">IF(AND(ISNUMBER(B924),B924&gt;=Dashboard!$C$4,B924&lt;=Dashboard!$F$4,A924&lt;&gt;""),N(BD924)+N(AU924)/100+ROW()/10^9,"")</f>
        <v/>
      </c>
    </row>
    <row r="925" customFormat="false" ht="15" hidden="false" customHeight="false" outlineLevel="0" collapsed="false">
      <c r="A925" s="24" t="str">
        <f aca="false">IF(OR(B925="",G925="",H925=""),"",IFERROR(INDEX(Settings!$E$5:$E$49,MATCH(G925,Settings!$D$5:$D$49,0))&amp;INDEX(Settings!$H$5:$H$47,MATCH(H925,Settings!$G$5:$G$47,0))&amp;"-"&amp;TEXT(B925,"yymmdd")&amp;"-"&amp;IF(C925="","0000",TEXT(C925,"hhmm")),"CHECK LISTS"))</f>
        <v/>
      </c>
      <c r="B925" s="39"/>
      <c r="C925" s="40"/>
      <c r="D925" s="24" t="str">
        <f aca="false">IF(B925="","",TEXT(B925,"ddd"))</f>
        <v/>
      </c>
      <c r="E925" s="27" t="str">
        <f aca="false">IF(B925="","",B925-WEEKDAY(B925,3))</f>
        <v/>
      </c>
      <c r="F925" s="24" t="str">
        <f aca="false">IF(B925="","",TEXT(B925,"yyyy-mm"))</f>
        <v/>
      </c>
      <c r="G925" s="29"/>
      <c r="H925" s="29"/>
      <c r="I925" s="29"/>
      <c r="J925" s="29"/>
      <c r="K925" s="29"/>
      <c r="L925" s="29"/>
      <c r="M925" s="29"/>
      <c r="N925" s="29"/>
      <c r="O925" s="29"/>
      <c r="P925" s="29"/>
      <c r="Q925" s="30"/>
      <c r="R925" s="29"/>
      <c r="S925" s="32"/>
      <c r="T925" s="29"/>
      <c r="U925" s="29"/>
      <c r="V925" s="24" t="str">
        <f aca="false">IF(A925="","",IFERROR(INDEX(Settings!$F$5:$F$49,MATCH(G925,Settings!$D$5:$D$49,0)),""))</f>
        <v/>
      </c>
      <c r="W925" s="24" t="str">
        <f aca="false">IF(A925="","",IF(OR(P925="",P925="Organic"),"social","paid_social"))</f>
        <v/>
      </c>
      <c r="X925" s="24" t="str">
        <f aca="false">IF(A925="","",IF(K925&lt;&gt;"",IFERROR(INDEX('Case Studies'!$C$5:$C$54,MATCH(K925,'Case Studies'!$B$5:$B$54,0))&amp;"","case-study"),IF(J925&lt;&gt;"",IFERROR(INDEX(Settings!$J$5:$J$55,MATCH(J925,Settings!$I$5:$I$55,0)),"general"),"general")))</f>
        <v/>
      </c>
      <c r="Y925" s="24" t="str">
        <f aca="false">IF(A925="","",LOWER(A925))</f>
        <v/>
      </c>
      <c r="Z925" s="24" t="str">
        <f aca="false">IF(A925="","",IF(T925="",Settings!$B$5,T925)&amp;IF(ISNUMBER(FIND("?",IF(T925="",Settings!$B$5,T925))),"&amp;","?")&amp;"utm_source="&amp;V925&amp;"&amp;utm_medium="&amp;W925&amp;"&amp;utm_campaign="&amp;X925&amp;"&amp;utm_content="&amp;Y925)</f>
        <v/>
      </c>
      <c r="AA925" s="29"/>
      <c r="AB925" s="39"/>
      <c r="AC925" s="32"/>
      <c r="AD925" s="32"/>
      <c r="AE925" s="32"/>
      <c r="AF925" s="32"/>
      <c r="AG925" s="32"/>
      <c r="AH925" s="32"/>
      <c r="AI925" s="32"/>
      <c r="AJ925" s="32"/>
      <c r="AK925" s="32"/>
      <c r="AL925" s="32"/>
      <c r="AM925" s="32"/>
      <c r="AN925" s="32"/>
      <c r="AO925" s="33" t="str">
        <f aca="false">IF(A925="","",IF(AD925&lt;&gt;"",AD925,IF(AC925&lt;&gt;"",AC925,"")))</f>
        <v/>
      </c>
      <c r="AP925" s="24" t="str">
        <f aca="false">IF(AO925="","",IF(AD925&lt;&gt;"","Reported reach","Impressions (proxy)"))</f>
        <v/>
      </c>
      <c r="AQ925" s="34" t="str">
        <f aca="false">IF(OR(AO925="",N(S925)=0),"",AO925/S925)</f>
        <v/>
      </c>
      <c r="AR925" s="33" t="str">
        <f aca="false">IF(A925="","",IF(COUNT(AF925:AJ925)=0,"",SUM(AF925:AJ925)))</f>
        <v/>
      </c>
      <c r="AS925" s="34" t="str">
        <f aca="false">IF(OR(AR925="",N(AO925)=0),"",AR925/AO925)</f>
        <v/>
      </c>
      <c r="AT925" s="34" t="str">
        <f aca="false">IF(OR(AR925="",N(AC925)=0),"",AR925/AC925)</f>
        <v/>
      </c>
      <c r="AU925" s="34" t="str">
        <f aca="false">IF(OR(AR925="",N(S925)=0),"",AR925/S925)</f>
        <v/>
      </c>
      <c r="AV925" s="34" t="str">
        <f aca="false">IF(OR(AJ925="",N(AC925)=0),"",AJ925/AC925)</f>
        <v/>
      </c>
      <c r="AW925" s="34" t="str">
        <f aca="false">IF(OR(AH925="",N(AO925)=0),"",AH925/AO925)</f>
        <v/>
      </c>
      <c r="AX925" s="35" t="str">
        <f aca="false">IF(OR(AR925="",N(AO925)=0),"",(N(AF925)*Settings!$B$6+N(AG925)*Settings!$B$7+N(AH925)*Settings!$B$8+N(AI925)*Settings!$B$9+N(AJ925)*Settings!$B$10)/AO925*1000)</f>
        <v/>
      </c>
      <c r="AY925" s="36" t="str">
        <f aca="false">IF(AS925="","",IFERROR(AS925/AVERAGEIFS('Post Tracker'!$AS$5:$AS$1004,'Post Tracker'!$G$5:$G$1004,G925),""))</f>
        <v/>
      </c>
      <c r="AZ925" s="32"/>
      <c r="BA925" s="32"/>
      <c r="BB925" s="32"/>
      <c r="BC925" s="32"/>
      <c r="BD925" s="33" t="str">
        <f aca="false">IF(A925="","",COUNTIFS('Demo Pipeline'!$Q$5:$Q$504,A925))</f>
        <v/>
      </c>
      <c r="BE925" s="33" t="str">
        <f aca="false">IF(A925="","",COUNTIFS('Demo Pipeline'!$Q$5:$Q$504,A925,'Demo Pipeline'!$W$5:$W$504,"Attended"))</f>
        <v/>
      </c>
      <c r="BF925" s="33" t="str">
        <f aca="false">IF(A925="","",COUNTIFS('Demo Pipeline'!$Q$5:$Q$504,A925,'Demo Pipeline'!$X$5:$X$504,"Yes"))</f>
        <v/>
      </c>
      <c r="BG925" s="33" t="str">
        <f aca="false">IF(A925="","",COUNTIFS('Demo Pipeline'!$Q$5:$Q$504,A925,'Demo Pipeline'!$Y$5:$Y$504,"Closed Won"))</f>
        <v/>
      </c>
      <c r="BH925" s="37" t="str">
        <f aca="false">IF(A925="","",SUMIFS('Demo Pipeline'!$Z$5:$Z$504,'Demo Pipeline'!$Q$5:$Q$504,A925))</f>
        <v/>
      </c>
      <c r="BI925" s="34" t="str">
        <f aca="false">IF(OR(AZ925="",N(AJ925)=0),"",AZ925/AJ925)</f>
        <v/>
      </c>
      <c r="BJ925" s="34" t="str">
        <f aca="false">IF(OR(BB925="",N(AZ925)=0),"",BB925/AZ925)</f>
        <v/>
      </c>
      <c r="BK925" s="34" t="str">
        <f aca="false">IF(OR(A925="",N(BB925)=0),"",BD925/BB925)</f>
        <v/>
      </c>
      <c r="BL925" s="34" t="str">
        <f aca="false">IF(OR(A925="",N(AZ925)=0),"",BD925/AZ925)</f>
        <v/>
      </c>
      <c r="BM925" s="37" t="str">
        <f aca="false">IF(OR(N(Q925)=0,N(BD925)=0),"",Q925/BD925)</f>
        <v/>
      </c>
      <c r="BN925" s="29"/>
      <c r="BO925" s="29"/>
      <c r="BP925" s="33" t="str">
        <f aca="false">IF(OR(AR925="",N(AO925)=0),"",AR925)</f>
        <v/>
      </c>
      <c r="BQ925" s="33" t="str">
        <f aca="false">IF(OR(AR925="",N(S925)=0),"",S925)</f>
        <v/>
      </c>
      <c r="BR925" s="38" t="str">
        <f aca="false">IF(AND(ISNUMBER(B925),B925&gt;=Dashboard!$C$4,B925&lt;=Dashboard!$F$4,ISNUMBER(AU925)),AU925+ROW()/10^9,"")</f>
        <v/>
      </c>
      <c r="BS925" s="38" t="str">
        <f aca="false">IF(AND(ISNUMBER(B925),B925&gt;=Dashboard!$C$4,B925&lt;=Dashboard!$F$4,A925&lt;&gt;""),N(BD925)+N(AU925)/100+ROW()/10^9,"")</f>
        <v/>
      </c>
    </row>
    <row r="926" customFormat="false" ht="15" hidden="false" customHeight="false" outlineLevel="0" collapsed="false">
      <c r="A926" s="24" t="str">
        <f aca="false">IF(OR(B926="",G926="",H926=""),"",IFERROR(INDEX(Settings!$E$5:$E$49,MATCH(G926,Settings!$D$5:$D$49,0))&amp;INDEX(Settings!$H$5:$H$47,MATCH(H926,Settings!$G$5:$G$47,0))&amp;"-"&amp;TEXT(B926,"yymmdd")&amp;"-"&amp;IF(C926="","0000",TEXT(C926,"hhmm")),"CHECK LISTS"))</f>
        <v/>
      </c>
      <c r="B926" s="39"/>
      <c r="C926" s="40"/>
      <c r="D926" s="24" t="str">
        <f aca="false">IF(B926="","",TEXT(B926,"ddd"))</f>
        <v/>
      </c>
      <c r="E926" s="27" t="str">
        <f aca="false">IF(B926="","",B926-WEEKDAY(B926,3))</f>
        <v/>
      </c>
      <c r="F926" s="24" t="str">
        <f aca="false">IF(B926="","",TEXT(B926,"yyyy-mm"))</f>
        <v/>
      </c>
      <c r="G926" s="29"/>
      <c r="H926" s="29"/>
      <c r="I926" s="29"/>
      <c r="J926" s="29"/>
      <c r="K926" s="29"/>
      <c r="L926" s="29"/>
      <c r="M926" s="29"/>
      <c r="N926" s="29"/>
      <c r="O926" s="29"/>
      <c r="P926" s="29"/>
      <c r="Q926" s="30"/>
      <c r="R926" s="29"/>
      <c r="S926" s="32"/>
      <c r="T926" s="29"/>
      <c r="U926" s="29"/>
      <c r="V926" s="24" t="str">
        <f aca="false">IF(A926="","",IFERROR(INDEX(Settings!$F$5:$F$49,MATCH(G926,Settings!$D$5:$D$49,0)),""))</f>
        <v/>
      </c>
      <c r="W926" s="24" t="str">
        <f aca="false">IF(A926="","",IF(OR(P926="",P926="Organic"),"social","paid_social"))</f>
        <v/>
      </c>
      <c r="X926" s="24" t="str">
        <f aca="false">IF(A926="","",IF(K926&lt;&gt;"",IFERROR(INDEX('Case Studies'!$C$5:$C$54,MATCH(K926,'Case Studies'!$B$5:$B$54,0))&amp;"","case-study"),IF(J926&lt;&gt;"",IFERROR(INDEX(Settings!$J$5:$J$55,MATCH(J926,Settings!$I$5:$I$55,0)),"general"),"general")))</f>
        <v/>
      </c>
      <c r="Y926" s="24" t="str">
        <f aca="false">IF(A926="","",LOWER(A926))</f>
        <v/>
      </c>
      <c r="Z926" s="24" t="str">
        <f aca="false">IF(A926="","",IF(T926="",Settings!$B$5,T926)&amp;IF(ISNUMBER(FIND("?",IF(T926="",Settings!$B$5,T926))),"&amp;","?")&amp;"utm_source="&amp;V926&amp;"&amp;utm_medium="&amp;W926&amp;"&amp;utm_campaign="&amp;X926&amp;"&amp;utm_content="&amp;Y926)</f>
        <v/>
      </c>
      <c r="AA926" s="29"/>
      <c r="AB926" s="39"/>
      <c r="AC926" s="32"/>
      <c r="AD926" s="32"/>
      <c r="AE926" s="32"/>
      <c r="AF926" s="32"/>
      <c r="AG926" s="32"/>
      <c r="AH926" s="32"/>
      <c r="AI926" s="32"/>
      <c r="AJ926" s="32"/>
      <c r="AK926" s="32"/>
      <c r="AL926" s="32"/>
      <c r="AM926" s="32"/>
      <c r="AN926" s="32"/>
      <c r="AO926" s="33" t="str">
        <f aca="false">IF(A926="","",IF(AD926&lt;&gt;"",AD926,IF(AC926&lt;&gt;"",AC926,"")))</f>
        <v/>
      </c>
      <c r="AP926" s="24" t="str">
        <f aca="false">IF(AO926="","",IF(AD926&lt;&gt;"","Reported reach","Impressions (proxy)"))</f>
        <v/>
      </c>
      <c r="AQ926" s="34" t="str">
        <f aca="false">IF(OR(AO926="",N(S926)=0),"",AO926/S926)</f>
        <v/>
      </c>
      <c r="AR926" s="33" t="str">
        <f aca="false">IF(A926="","",IF(COUNT(AF926:AJ926)=0,"",SUM(AF926:AJ926)))</f>
        <v/>
      </c>
      <c r="AS926" s="34" t="str">
        <f aca="false">IF(OR(AR926="",N(AO926)=0),"",AR926/AO926)</f>
        <v/>
      </c>
      <c r="AT926" s="34" t="str">
        <f aca="false">IF(OR(AR926="",N(AC926)=0),"",AR926/AC926)</f>
        <v/>
      </c>
      <c r="AU926" s="34" t="str">
        <f aca="false">IF(OR(AR926="",N(S926)=0),"",AR926/S926)</f>
        <v/>
      </c>
      <c r="AV926" s="34" t="str">
        <f aca="false">IF(OR(AJ926="",N(AC926)=0),"",AJ926/AC926)</f>
        <v/>
      </c>
      <c r="AW926" s="34" t="str">
        <f aca="false">IF(OR(AH926="",N(AO926)=0),"",AH926/AO926)</f>
        <v/>
      </c>
      <c r="AX926" s="35" t="str">
        <f aca="false">IF(OR(AR926="",N(AO926)=0),"",(N(AF926)*Settings!$B$6+N(AG926)*Settings!$B$7+N(AH926)*Settings!$B$8+N(AI926)*Settings!$B$9+N(AJ926)*Settings!$B$10)/AO926*1000)</f>
        <v/>
      </c>
      <c r="AY926" s="36" t="str">
        <f aca="false">IF(AS926="","",IFERROR(AS926/AVERAGEIFS('Post Tracker'!$AS$5:$AS$1004,'Post Tracker'!$G$5:$G$1004,G926),""))</f>
        <v/>
      </c>
      <c r="AZ926" s="32"/>
      <c r="BA926" s="32"/>
      <c r="BB926" s="32"/>
      <c r="BC926" s="32"/>
      <c r="BD926" s="33" t="str">
        <f aca="false">IF(A926="","",COUNTIFS('Demo Pipeline'!$Q$5:$Q$504,A926))</f>
        <v/>
      </c>
      <c r="BE926" s="33" t="str">
        <f aca="false">IF(A926="","",COUNTIFS('Demo Pipeline'!$Q$5:$Q$504,A926,'Demo Pipeline'!$W$5:$W$504,"Attended"))</f>
        <v/>
      </c>
      <c r="BF926" s="33" t="str">
        <f aca="false">IF(A926="","",COUNTIFS('Demo Pipeline'!$Q$5:$Q$504,A926,'Demo Pipeline'!$X$5:$X$504,"Yes"))</f>
        <v/>
      </c>
      <c r="BG926" s="33" t="str">
        <f aca="false">IF(A926="","",COUNTIFS('Demo Pipeline'!$Q$5:$Q$504,A926,'Demo Pipeline'!$Y$5:$Y$504,"Closed Won"))</f>
        <v/>
      </c>
      <c r="BH926" s="37" t="str">
        <f aca="false">IF(A926="","",SUMIFS('Demo Pipeline'!$Z$5:$Z$504,'Demo Pipeline'!$Q$5:$Q$504,A926))</f>
        <v/>
      </c>
      <c r="BI926" s="34" t="str">
        <f aca="false">IF(OR(AZ926="",N(AJ926)=0),"",AZ926/AJ926)</f>
        <v/>
      </c>
      <c r="BJ926" s="34" t="str">
        <f aca="false">IF(OR(BB926="",N(AZ926)=0),"",BB926/AZ926)</f>
        <v/>
      </c>
      <c r="BK926" s="34" t="str">
        <f aca="false">IF(OR(A926="",N(BB926)=0),"",BD926/BB926)</f>
        <v/>
      </c>
      <c r="BL926" s="34" t="str">
        <f aca="false">IF(OR(A926="",N(AZ926)=0),"",BD926/AZ926)</f>
        <v/>
      </c>
      <c r="BM926" s="37" t="str">
        <f aca="false">IF(OR(N(Q926)=0,N(BD926)=0),"",Q926/BD926)</f>
        <v/>
      </c>
      <c r="BN926" s="29"/>
      <c r="BO926" s="29"/>
      <c r="BP926" s="33" t="str">
        <f aca="false">IF(OR(AR926="",N(AO926)=0),"",AR926)</f>
        <v/>
      </c>
      <c r="BQ926" s="33" t="str">
        <f aca="false">IF(OR(AR926="",N(S926)=0),"",S926)</f>
        <v/>
      </c>
      <c r="BR926" s="38" t="str">
        <f aca="false">IF(AND(ISNUMBER(B926),B926&gt;=Dashboard!$C$4,B926&lt;=Dashboard!$F$4,ISNUMBER(AU926)),AU926+ROW()/10^9,"")</f>
        <v/>
      </c>
      <c r="BS926" s="38" t="str">
        <f aca="false">IF(AND(ISNUMBER(B926),B926&gt;=Dashboard!$C$4,B926&lt;=Dashboard!$F$4,A926&lt;&gt;""),N(BD926)+N(AU926)/100+ROW()/10^9,"")</f>
        <v/>
      </c>
    </row>
    <row r="927" customFormat="false" ht="15" hidden="false" customHeight="false" outlineLevel="0" collapsed="false">
      <c r="A927" s="24" t="str">
        <f aca="false">IF(OR(B927="",G927="",H927=""),"",IFERROR(INDEX(Settings!$E$5:$E$49,MATCH(G927,Settings!$D$5:$D$49,0))&amp;INDEX(Settings!$H$5:$H$47,MATCH(H927,Settings!$G$5:$G$47,0))&amp;"-"&amp;TEXT(B927,"yymmdd")&amp;"-"&amp;IF(C927="","0000",TEXT(C927,"hhmm")),"CHECK LISTS"))</f>
        <v/>
      </c>
      <c r="B927" s="39"/>
      <c r="C927" s="40"/>
      <c r="D927" s="24" t="str">
        <f aca="false">IF(B927="","",TEXT(B927,"ddd"))</f>
        <v/>
      </c>
      <c r="E927" s="27" t="str">
        <f aca="false">IF(B927="","",B927-WEEKDAY(B927,3))</f>
        <v/>
      </c>
      <c r="F927" s="24" t="str">
        <f aca="false">IF(B927="","",TEXT(B927,"yyyy-mm"))</f>
        <v/>
      </c>
      <c r="G927" s="29"/>
      <c r="H927" s="29"/>
      <c r="I927" s="29"/>
      <c r="J927" s="29"/>
      <c r="K927" s="29"/>
      <c r="L927" s="29"/>
      <c r="M927" s="29"/>
      <c r="N927" s="29"/>
      <c r="O927" s="29"/>
      <c r="P927" s="29"/>
      <c r="Q927" s="30"/>
      <c r="R927" s="29"/>
      <c r="S927" s="32"/>
      <c r="T927" s="29"/>
      <c r="U927" s="29"/>
      <c r="V927" s="24" t="str">
        <f aca="false">IF(A927="","",IFERROR(INDEX(Settings!$F$5:$F$49,MATCH(G927,Settings!$D$5:$D$49,0)),""))</f>
        <v/>
      </c>
      <c r="W927" s="24" t="str">
        <f aca="false">IF(A927="","",IF(OR(P927="",P927="Organic"),"social","paid_social"))</f>
        <v/>
      </c>
      <c r="X927" s="24" t="str">
        <f aca="false">IF(A927="","",IF(K927&lt;&gt;"",IFERROR(INDEX('Case Studies'!$C$5:$C$54,MATCH(K927,'Case Studies'!$B$5:$B$54,0))&amp;"","case-study"),IF(J927&lt;&gt;"",IFERROR(INDEX(Settings!$J$5:$J$55,MATCH(J927,Settings!$I$5:$I$55,0)),"general"),"general")))</f>
        <v/>
      </c>
      <c r="Y927" s="24" t="str">
        <f aca="false">IF(A927="","",LOWER(A927))</f>
        <v/>
      </c>
      <c r="Z927" s="24" t="str">
        <f aca="false">IF(A927="","",IF(T927="",Settings!$B$5,T927)&amp;IF(ISNUMBER(FIND("?",IF(T927="",Settings!$B$5,T927))),"&amp;","?")&amp;"utm_source="&amp;V927&amp;"&amp;utm_medium="&amp;W927&amp;"&amp;utm_campaign="&amp;X927&amp;"&amp;utm_content="&amp;Y927)</f>
        <v/>
      </c>
      <c r="AA927" s="29"/>
      <c r="AB927" s="39"/>
      <c r="AC927" s="32"/>
      <c r="AD927" s="32"/>
      <c r="AE927" s="32"/>
      <c r="AF927" s="32"/>
      <c r="AG927" s="32"/>
      <c r="AH927" s="32"/>
      <c r="AI927" s="32"/>
      <c r="AJ927" s="32"/>
      <c r="AK927" s="32"/>
      <c r="AL927" s="32"/>
      <c r="AM927" s="32"/>
      <c r="AN927" s="32"/>
      <c r="AO927" s="33" t="str">
        <f aca="false">IF(A927="","",IF(AD927&lt;&gt;"",AD927,IF(AC927&lt;&gt;"",AC927,"")))</f>
        <v/>
      </c>
      <c r="AP927" s="24" t="str">
        <f aca="false">IF(AO927="","",IF(AD927&lt;&gt;"","Reported reach","Impressions (proxy)"))</f>
        <v/>
      </c>
      <c r="AQ927" s="34" t="str">
        <f aca="false">IF(OR(AO927="",N(S927)=0),"",AO927/S927)</f>
        <v/>
      </c>
      <c r="AR927" s="33" t="str">
        <f aca="false">IF(A927="","",IF(COUNT(AF927:AJ927)=0,"",SUM(AF927:AJ927)))</f>
        <v/>
      </c>
      <c r="AS927" s="34" t="str">
        <f aca="false">IF(OR(AR927="",N(AO927)=0),"",AR927/AO927)</f>
        <v/>
      </c>
      <c r="AT927" s="34" t="str">
        <f aca="false">IF(OR(AR927="",N(AC927)=0),"",AR927/AC927)</f>
        <v/>
      </c>
      <c r="AU927" s="34" t="str">
        <f aca="false">IF(OR(AR927="",N(S927)=0),"",AR927/S927)</f>
        <v/>
      </c>
      <c r="AV927" s="34" t="str">
        <f aca="false">IF(OR(AJ927="",N(AC927)=0),"",AJ927/AC927)</f>
        <v/>
      </c>
      <c r="AW927" s="34" t="str">
        <f aca="false">IF(OR(AH927="",N(AO927)=0),"",AH927/AO927)</f>
        <v/>
      </c>
      <c r="AX927" s="35" t="str">
        <f aca="false">IF(OR(AR927="",N(AO927)=0),"",(N(AF927)*Settings!$B$6+N(AG927)*Settings!$B$7+N(AH927)*Settings!$B$8+N(AI927)*Settings!$B$9+N(AJ927)*Settings!$B$10)/AO927*1000)</f>
        <v/>
      </c>
      <c r="AY927" s="36" t="str">
        <f aca="false">IF(AS927="","",IFERROR(AS927/AVERAGEIFS('Post Tracker'!$AS$5:$AS$1004,'Post Tracker'!$G$5:$G$1004,G927),""))</f>
        <v/>
      </c>
      <c r="AZ927" s="32"/>
      <c r="BA927" s="32"/>
      <c r="BB927" s="32"/>
      <c r="BC927" s="32"/>
      <c r="BD927" s="33" t="str">
        <f aca="false">IF(A927="","",COUNTIFS('Demo Pipeline'!$Q$5:$Q$504,A927))</f>
        <v/>
      </c>
      <c r="BE927" s="33" t="str">
        <f aca="false">IF(A927="","",COUNTIFS('Demo Pipeline'!$Q$5:$Q$504,A927,'Demo Pipeline'!$W$5:$W$504,"Attended"))</f>
        <v/>
      </c>
      <c r="BF927" s="33" t="str">
        <f aca="false">IF(A927="","",COUNTIFS('Demo Pipeline'!$Q$5:$Q$504,A927,'Demo Pipeline'!$X$5:$X$504,"Yes"))</f>
        <v/>
      </c>
      <c r="BG927" s="33" t="str">
        <f aca="false">IF(A927="","",COUNTIFS('Demo Pipeline'!$Q$5:$Q$504,A927,'Demo Pipeline'!$Y$5:$Y$504,"Closed Won"))</f>
        <v/>
      </c>
      <c r="BH927" s="37" t="str">
        <f aca="false">IF(A927="","",SUMIFS('Demo Pipeline'!$Z$5:$Z$504,'Demo Pipeline'!$Q$5:$Q$504,A927))</f>
        <v/>
      </c>
      <c r="BI927" s="34" t="str">
        <f aca="false">IF(OR(AZ927="",N(AJ927)=0),"",AZ927/AJ927)</f>
        <v/>
      </c>
      <c r="BJ927" s="34" t="str">
        <f aca="false">IF(OR(BB927="",N(AZ927)=0),"",BB927/AZ927)</f>
        <v/>
      </c>
      <c r="BK927" s="34" t="str">
        <f aca="false">IF(OR(A927="",N(BB927)=0),"",BD927/BB927)</f>
        <v/>
      </c>
      <c r="BL927" s="34" t="str">
        <f aca="false">IF(OR(A927="",N(AZ927)=0),"",BD927/AZ927)</f>
        <v/>
      </c>
      <c r="BM927" s="37" t="str">
        <f aca="false">IF(OR(N(Q927)=0,N(BD927)=0),"",Q927/BD927)</f>
        <v/>
      </c>
      <c r="BN927" s="29"/>
      <c r="BO927" s="29"/>
      <c r="BP927" s="33" t="str">
        <f aca="false">IF(OR(AR927="",N(AO927)=0),"",AR927)</f>
        <v/>
      </c>
      <c r="BQ927" s="33" t="str">
        <f aca="false">IF(OR(AR927="",N(S927)=0),"",S927)</f>
        <v/>
      </c>
      <c r="BR927" s="38" t="str">
        <f aca="false">IF(AND(ISNUMBER(B927),B927&gt;=Dashboard!$C$4,B927&lt;=Dashboard!$F$4,ISNUMBER(AU927)),AU927+ROW()/10^9,"")</f>
        <v/>
      </c>
      <c r="BS927" s="38" t="str">
        <f aca="false">IF(AND(ISNUMBER(B927),B927&gt;=Dashboard!$C$4,B927&lt;=Dashboard!$F$4,A927&lt;&gt;""),N(BD927)+N(AU927)/100+ROW()/10^9,"")</f>
        <v/>
      </c>
    </row>
    <row r="928" customFormat="false" ht="15" hidden="false" customHeight="false" outlineLevel="0" collapsed="false">
      <c r="A928" s="24" t="str">
        <f aca="false">IF(OR(B928="",G928="",H928=""),"",IFERROR(INDEX(Settings!$E$5:$E$49,MATCH(G928,Settings!$D$5:$D$49,0))&amp;INDEX(Settings!$H$5:$H$47,MATCH(H928,Settings!$G$5:$G$47,0))&amp;"-"&amp;TEXT(B928,"yymmdd")&amp;"-"&amp;IF(C928="","0000",TEXT(C928,"hhmm")),"CHECK LISTS"))</f>
        <v/>
      </c>
      <c r="B928" s="39"/>
      <c r="C928" s="40"/>
      <c r="D928" s="24" t="str">
        <f aca="false">IF(B928="","",TEXT(B928,"ddd"))</f>
        <v/>
      </c>
      <c r="E928" s="27" t="str">
        <f aca="false">IF(B928="","",B928-WEEKDAY(B928,3))</f>
        <v/>
      </c>
      <c r="F928" s="24" t="str">
        <f aca="false">IF(B928="","",TEXT(B928,"yyyy-mm"))</f>
        <v/>
      </c>
      <c r="G928" s="29"/>
      <c r="H928" s="29"/>
      <c r="I928" s="29"/>
      <c r="J928" s="29"/>
      <c r="K928" s="29"/>
      <c r="L928" s="29"/>
      <c r="M928" s="29"/>
      <c r="N928" s="29"/>
      <c r="O928" s="29"/>
      <c r="P928" s="29"/>
      <c r="Q928" s="30"/>
      <c r="R928" s="29"/>
      <c r="S928" s="32"/>
      <c r="T928" s="29"/>
      <c r="U928" s="29"/>
      <c r="V928" s="24" t="str">
        <f aca="false">IF(A928="","",IFERROR(INDEX(Settings!$F$5:$F$49,MATCH(G928,Settings!$D$5:$D$49,0)),""))</f>
        <v/>
      </c>
      <c r="W928" s="24" t="str">
        <f aca="false">IF(A928="","",IF(OR(P928="",P928="Organic"),"social","paid_social"))</f>
        <v/>
      </c>
      <c r="X928" s="24" t="str">
        <f aca="false">IF(A928="","",IF(K928&lt;&gt;"",IFERROR(INDEX('Case Studies'!$C$5:$C$54,MATCH(K928,'Case Studies'!$B$5:$B$54,0))&amp;"","case-study"),IF(J928&lt;&gt;"",IFERROR(INDEX(Settings!$J$5:$J$55,MATCH(J928,Settings!$I$5:$I$55,0)),"general"),"general")))</f>
        <v/>
      </c>
      <c r="Y928" s="24" t="str">
        <f aca="false">IF(A928="","",LOWER(A928))</f>
        <v/>
      </c>
      <c r="Z928" s="24" t="str">
        <f aca="false">IF(A928="","",IF(T928="",Settings!$B$5,T928)&amp;IF(ISNUMBER(FIND("?",IF(T928="",Settings!$B$5,T928))),"&amp;","?")&amp;"utm_source="&amp;V928&amp;"&amp;utm_medium="&amp;W928&amp;"&amp;utm_campaign="&amp;X928&amp;"&amp;utm_content="&amp;Y928)</f>
        <v/>
      </c>
      <c r="AA928" s="29"/>
      <c r="AB928" s="39"/>
      <c r="AC928" s="32"/>
      <c r="AD928" s="32"/>
      <c r="AE928" s="32"/>
      <c r="AF928" s="32"/>
      <c r="AG928" s="32"/>
      <c r="AH928" s="32"/>
      <c r="AI928" s="32"/>
      <c r="AJ928" s="32"/>
      <c r="AK928" s="32"/>
      <c r="AL928" s="32"/>
      <c r="AM928" s="32"/>
      <c r="AN928" s="32"/>
      <c r="AO928" s="33" t="str">
        <f aca="false">IF(A928="","",IF(AD928&lt;&gt;"",AD928,IF(AC928&lt;&gt;"",AC928,"")))</f>
        <v/>
      </c>
      <c r="AP928" s="24" t="str">
        <f aca="false">IF(AO928="","",IF(AD928&lt;&gt;"","Reported reach","Impressions (proxy)"))</f>
        <v/>
      </c>
      <c r="AQ928" s="34" t="str">
        <f aca="false">IF(OR(AO928="",N(S928)=0),"",AO928/S928)</f>
        <v/>
      </c>
      <c r="AR928" s="33" t="str">
        <f aca="false">IF(A928="","",IF(COUNT(AF928:AJ928)=0,"",SUM(AF928:AJ928)))</f>
        <v/>
      </c>
      <c r="AS928" s="34" t="str">
        <f aca="false">IF(OR(AR928="",N(AO928)=0),"",AR928/AO928)</f>
        <v/>
      </c>
      <c r="AT928" s="34" t="str">
        <f aca="false">IF(OR(AR928="",N(AC928)=0),"",AR928/AC928)</f>
        <v/>
      </c>
      <c r="AU928" s="34" t="str">
        <f aca="false">IF(OR(AR928="",N(S928)=0),"",AR928/S928)</f>
        <v/>
      </c>
      <c r="AV928" s="34" t="str">
        <f aca="false">IF(OR(AJ928="",N(AC928)=0),"",AJ928/AC928)</f>
        <v/>
      </c>
      <c r="AW928" s="34" t="str">
        <f aca="false">IF(OR(AH928="",N(AO928)=0),"",AH928/AO928)</f>
        <v/>
      </c>
      <c r="AX928" s="35" t="str">
        <f aca="false">IF(OR(AR928="",N(AO928)=0),"",(N(AF928)*Settings!$B$6+N(AG928)*Settings!$B$7+N(AH928)*Settings!$B$8+N(AI928)*Settings!$B$9+N(AJ928)*Settings!$B$10)/AO928*1000)</f>
        <v/>
      </c>
      <c r="AY928" s="36" t="str">
        <f aca="false">IF(AS928="","",IFERROR(AS928/AVERAGEIFS('Post Tracker'!$AS$5:$AS$1004,'Post Tracker'!$G$5:$G$1004,G928),""))</f>
        <v/>
      </c>
      <c r="AZ928" s="32"/>
      <c r="BA928" s="32"/>
      <c r="BB928" s="32"/>
      <c r="BC928" s="32"/>
      <c r="BD928" s="33" t="str">
        <f aca="false">IF(A928="","",COUNTIFS('Demo Pipeline'!$Q$5:$Q$504,A928))</f>
        <v/>
      </c>
      <c r="BE928" s="33" t="str">
        <f aca="false">IF(A928="","",COUNTIFS('Demo Pipeline'!$Q$5:$Q$504,A928,'Demo Pipeline'!$W$5:$W$504,"Attended"))</f>
        <v/>
      </c>
      <c r="BF928" s="33" t="str">
        <f aca="false">IF(A928="","",COUNTIFS('Demo Pipeline'!$Q$5:$Q$504,A928,'Demo Pipeline'!$X$5:$X$504,"Yes"))</f>
        <v/>
      </c>
      <c r="BG928" s="33" t="str">
        <f aca="false">IF(A928="","",COUNTIFS('Demo Pipeline'!$Q$5:$Q$504,A928,'Demo Pipeline'!$Y$5:$Y$504,"Closed Won"))</f>
        <v/>
      </c>
      <c r="BH928" s="37" t="str">
        <f aca="false">IF(A928="","",SUMIFS('Demo Pipeline'!$Z$5:$Z$504,'Demo Pipeline'!$Q$5:$Q$504,A928))</f>
        <v/>
      </c>
      <c r="BI928" s="34" t="str">
        <f aca="false">IF(OR(AZ928="",N(AJ928)=0),"",AZ928/AJ928)</f>
        <v/>
      </c>
      <c r="BJ928" s="34" t="str">
        <f aca="false">IF(OR(BB928="",N(AZ928)=0),"",BB928/AZ928)</f>
        <v/>
      </c>
      <c r="BK928" s="34" t="str">
        <f aca="false">IF(OR(A928="",N(BB928)=0),"",BD928/BB928)</f>
        <v/>
      </c>
      <c r="BL928" s="34" t="str">
        <f aca="false">IF(OR(A928="",N(AZ928)=0),"",BD928/AZ928)</f>
        <v/>
      </c>
      <c r="BM928" s="37" t="str">
        <f aca="false">IF(OR(N(Q928)=0,N(BD928)=0),"",Q928/BD928)</f>
        <v/>
      </c>
      <c r="BN928" s="29"/>
      <c r="BO928" s="29"/>
      <c r="BP928" s="33" t="str">
        <f aca="false">IF(OR(AR928="",N(AO928)=0),"",AR928)</f>
        <v/>
      </c>
      <c r="BQ928" s="33" t="str">
        <f aca="false">IF(OR(AR928="",N(S928)=0),"",S928)</f>
        <v/>
      </c>
      <c r="BR928" s="38" t="str">
        <f aca="false">IF(AND(ISNUMBER(B928),B928&gt;=Dashboard!$C$4,B928&lt;=Dashboard!$F$4,ISNUMBER(AU928)),AU928+ROW()/10^9,"")</f>
        <v/>
      </c>
      <c r="BS928" s="38" t="str">
        <f aca="false">IF(AND(ISNUMBER(B928),B928&gt;=Dashboard!$C$4,B928&lt;=Dashboard!$F$4,A928&lt;&gt;""),N(BD928)+N(AU928)/100+ROW()/10^9,"")</f>
        <v/>
      </c>
    </row>
    <row r="929" customFormat="false" ht="15" hidden="false" customHeight="false" outlineLevel="0" collapsed="false">
      <c r="A929" s="24" t="str">
        <f aca="false">IF(OR(B929="",G929="",H929=""),"",IFERROR(INDEX(Settings!$E$5:$E$49,MATCH(G929,Settings!$D$5:$D$49,0))&amp;INDEX(Settings!$H$5:$H$47,MATCH(H929,Settings!$G$5:$G$47,0))&amp;"-"&amp;TEXT(B929,"yymmdd")&amp;"-"&amp;IF(C929="","0000",TEXT(C929,"hhmm")),"CHECK LISTS"))</f>
        <v/>
      </c>
      <c r="B929" s="39"/>
      <c r="C929" s="40"/>
      <c r="D929" s="24" t="str">
        <f aca="false">IF(B929="","",TEXT(B929,"ddd"))</f>
        <v/>
      </c>
      <c r="E929" s="27" t="str">
        <f aca="false">IF(B929="","",B929-WEEKDAY(B929,3))</f>
        <v/>
      </c>
      <c r="F929" s="24" t="str">
        <f aca="false">IF(B929="","",TEXT(B929,"yyyy-mm"))</f>
        <v/>
      </c>
      <c r="G929" s="29"/>
      <c r="H929" s="29"/>
      <c r="I929" s="29"/>
      <c r="J929" s="29"/>
      <c r="K929" s="29"/>
      <c r="L929" s="29"/>
      <c r="M929" s="29"/>
      <c r="N929" s="29"/>
      <c r="O929" s="29"/>
      <c r="P929" s="29"/>
      <c r="Q929" s="30"/>
      <c r="R929" s="29"/>
      <c r="S929" s="32"/>
      <c r="T929" s="29"/>
      <c r="U929" s="29"/>
      <c r="V929" s="24" t="str">
        <f aca="false">IF(A929="","",IFERROR(INDEX(Settings!$F$5:$F$49,MATCH(G929,Settings!$D$5:$D$49,0)),""))</f>
        <v/>
      </c>
      <c r="W929" s="24" t="str">
        <f aca="false">IF(A929="","",IF(OR(P929="",P929="Organic"),"social","paid_social"))</f>
        <v/>
      </c>
      <c r="X929" s="24" t="str">
        <f aca="false">IF(A929="","",IF(K929&lt;&gt;"",IFERROR(INDEX('Case Studies'!$C$5:$C$54,MATCH(K929,'Case Studies'!$B$5:$B$54,0))&amp;"","case-study"),IF(J929&lt;&gt;"",IFERROR(INDEX(Settings!$J$5:$J$55,MATCH(J929,Settings!$I$5:$I$55,0)),"general"),"general")))</f>
        <v/>
      </c>
      <c r="Y929" s="24" t="str">
        <f aca="false">IF(A929="","",LOWER(A929))</f>
        <v/>
      </c>
      <c r="Z929" s="24" t="str">
        <f aca="false">IF(A929="","",IF(T929="",Settings!$B$5,T929)&amp;IF(ISNUMBER(FIND("?",IF(T929="",Settings!$B$5,T929))),"&amp;","?")&amp;"utm_source="&amp;V929&amp;"&amp;utm_medium="&amp;W929&amp;"&amp;utm_campaign="&amp;X929&amp;"&amp;utm_content="&amp;Y929)</f>
        <v/>
      </c>
      <c r="AA929" s="29"/>
      <c r="AB929" s="39"/>
      <c r="AC929" s="32"/>
      <c r="AD929" s="32"/>
      <c r="AE929" s="32"/>
      <c r="AF929" s="32"/>
      <c r="AG929" s="32"/>
      <c r="AH929" s="32"/>
      <c r="AI929" s="32"/>
      <c r="AJ929" s="32"/>
      <c r="AK929" s="32"/>
      <c r="AL929" s="32"/>
      <c r="AM929" s="32"/>
      <c r="AN929" s="32"/>
      <c r="AO929" s="33" t="str">
        <f aca="false">IF(A929="","",IF(AD929&lt;&gt;"",AD929,IF(AC929&lt;&gt;"",AC929,"")))</f>
        <v/>
      </c>
      <c r="AP929" s="24" t="str">
        <f aca="false">IF(AO929="","",IF(AD929&lt;&gt;"","Reported reach","Impressions (proxy)"))</f>
        <v/>
      </c>
      <c r="AQ929" s="34" t="str">
        <f aca="false">IF(OR(AO929="",N(S929)=0),"",AO929/S929)</f>
        <v/>
      </c>
      <c r="AR929" s="33" t="str">
        <f aca="false">IF(A929="","",IF(COUNT(AF929:AJ929)=0,"",SUM(AF929:AJ929)))</f>
        <v/>
      </c>
      <c r="AS929" s="34" t="str">
        <f aca="false">IF(OR(AR929="",N(AO929)=0),"",AR929/AO929)</f>
        <v/>
      </c>
      <c r="AT929" s="34" t="str">
        <f aca="false">IF(OR(AR929="",N(AC929)=0),"",AR929/AC929)</f>
        <v/>
      </c>
      <c r="AU929" s="34" t="str">
        <f aca="false">IF(OR(AR929="",N(S929)=0),"",AR929/S929)</f>
        <v/>
      </c>
      <c r="AV929" s="34" t="str">
        <f aca="false">IF(OR(AJ929="",N(AC929)=0),"",AJ929/AC929)</f>
        <v/>
      </c>
      <c r="AW929" s="34" t="str">
        <f aca="false">IF(OR(AH929="",N(AO929)=0),"",AH929/AO929)</f>
        <v/>
      </c>
      <c r="AX929" s="35" t="str">
        <f aca="false">IF(OR(AR929="",N(AO929)=0),"",(N(AF929)*Settings!$B$6+N(AG929)*Settings!$B$7+N(AH929)*Settings!$B$8+N(AI929)*Settings!$B$9+N(AJ929)*Settings!$B$10)/AO929*1000)</f>
        <v/>
      </c>
      <c r="AY929" s="36" t="str">
        <f aca="false">IF(AS929="","",IFERROR(AS929/AVERAGEIFS('Post Tracker'!$AS$5:$AS$1004,'Post Tracker'!$G$5:$G$1004,G929),""))</f>
        <v/>
      </c>
      <c r="AZ929" s="32"/>
      <c r="BA929" s="32"/>
      <c r="BB929" s="32"/>
      <c r="BC929" s="32"/>
      <c r="BD929" s="33" t="str">
        <f aca="false">IF(A929="","",COUNTIFS('Demo Pipeline'!$Q$5:$Q$504,A929))</f>
        <v/>
      </c>
      <c r="BE929" s="33" t="str">
        <f aca="false">IF(A929="","",COUNTIFS('Demo Pipeline'!$Q$5:$Q$504,A929,'Demo Pipeline'!$W$5:$W$504,"Attended"))</f>
        <v/>
      </c>
      <c r="BF929" s="33" t="str">
        <f aca="false">IF(A929="","",COUNTIFS('Demo Pipeline'!$Q$5:$Q$504,A929,'Demo Pipeline'!$X$5:$X$504,"Yes"))</f>
        <v/>
      </c>
      <c r="BG929" s="33" t="str">
        <f aca="false">IF(A929="","",COUNTIFS('Demo Pipeline'!$Q$5:$Q$504,A929,'Demo Pipeline'!$Y$5:$Y$504,"Closed Won"))</f>
        <v/>
      </c>
      <c r="BH929" s="37" t="str">
        <f aca="false">IF(A929="","",SUMIFS('Demo Pipeline'!$Z$5:$Z$504,'Demo Pipeline'!$Q$5:$Q$504,A929))</f>
        <v/>
      </c>
      <c r="BI929" s="34" t="str">
        <f aca="false">IF(OR(AZ929="",N(AJ929)=0),"",AZ929/AJ929)</f>
        <v/>
      </c>
      <c r="BJ929" s="34" t="str">
        <f aca="false">IF(OR(BB929="",N(AZ929)=0),"",BB929/AZ929)</f>
        <v/>
      </c>
      <c r="BK929" s="34" t="str">
        <f aca="false">IF(OR(A929="",N(BB929)=0),"",BD929/BB929)</f>
        <v/>
      </c>
      <c r="BL929" s="34" t="str">
        <f aca="false">IF(OR(A929="",N(AZ929)=0),"",BD929/AZ929)</f>
        <v/>
      </c>
      <c r="BM929" s="37" t="str">
        <f aca="false">IF(OR(N(Q929)=0,N(BD929)=0),"",Q929/BD929)</f>
        <v/>
      </c>
      <c r="BN929" s="29"/>
      <c r="BO929" s="29"/>
      <c r="BP929" s="33" t="str">
        <f aca="false">IF(OR(AR929="",N(AO929)=0),"",AR929)</f>
        <v/>
      </c>
      <c r="BQ929" s="33" t="str">
        <f aca="false">IF(OR(AR929="",N(S929)=0),"",S929)</f>
        <v/>
      </c>
      <c r="BR929" s="38" t="str">
        <f aca="false">IF(AND(ISNUMBER(B929),B929&gt;=Dashboard!$C$4,B929&lt;=Dashboard!$F$4,ISNUMBER(AU929)),AU929+ROW()/10^9,"")</f>
        <v/>
      </c>
      <c r="BS929" s="38" t="str">
        <f aca="false">IF(AND(ISNUMBER(B929),B929&gt;=Dashboard!$C$4,B929&lt;=Dashboard!$F$4,A929&lt;&gt;""),N(BD929)+N(AU929)/100+ROW()/10^9,"")</f>
        <v/>
      </c>
    </row>
    <row r="930" customFormat="false" ht="15" hidden="false" customHeight="false" outlineLevel="0" collapsed="false">
      <c r="A930" s="24" t="str">
        <f aca="false">IF(OR(B930="",G930="",H930=""),"",IFERROR(INDEX(Settings!$E$5:$E$49,MATCH(G930,Settings!$D$5:$D$49,0))&amp;INDEX(Settings!$H$5:$H$47,MATCH(H930,Settings!$G$5:$G$47,0))&amp;"-"&amp;TEXT(B930,"yymmdd")&amp;"-"&amp;IF(C930="","0000",TEXT(C930,"hhmm")),"CHECK LISTS"))</f>
        <v/>
      </c>
      <c r="B930" s="39"/>
      <c r="C930" s="40"/>
      <c r="D930" s="24" t="str">
        <f aca="false">IF(B930="","",TEXT(B930,"ddd"))</f>
        <v/>
      </c>
      <c r="E930" s="27" t="str">
        <f aca="false">IF(B930="","",B930-WEEKDAY(B930,3))</f>
        <v/>
      </c>
      <c r="F930" s="24" t="str">
        <f aca="false">IF(B930="","",TEXT(B930,"yyyy-mm"))</f>
        <v/>
      </c>
      <c r="G930" s="29"/>
      <c r="H930" s="29"/>
      <c r="I930" s="29"/>
      <c r="J930" s="29"/>
      <c r="K930" s="29"/>
      <c r="L930" s="29"/>
      <c r="M930" s="29"/>
      <c r="N930" s="29"/>
      <c r="O930" s="29"/>
      <c r="P930" s="29"/>
      <c r="Q930" s="30"/>
      <c r="R930" s="29"/>
      <c r="S930" s="32"/>
      <c r="T930" s="29"/>
      <c r="U930" s="29"/>
      <c r="V930" s="24" t="str">
        <f aca="false">IF(A930="","",IFERROR(INDEX(Settings!$F$5:$F$49,MATCH(G930,Settings!$D$5:$D$49,0)),""))</f>
        <v/>
      </c>
      <c r="W930" s="24" t="str">
        <f aca="false">IF(A930="","",IF(OR(P930="",P930="Organic"),"social","paid_social"))</f>
        <v/>
      </c>
      <c r="X930" s="24" t="str">
        <f aca="false">IF(A930="","",IF(K930&lt;&gt;"",IFERROR(INDEX('Case Studies'!$C$5:$C$54,MATCH(K930,'Case Studies'!$B$5:$B$54,0))&amp;"","case-study"),IF(J930&lt;&gt;"",IFERROR(INDEX(Settings!$J$5:$J$55,MATCH(J930,Settings!$I$5:$I$55,0)),"general"),"general")))</f>
        <v/>
      </c>
      <c r="Y930" s="24" t="str">
        <f aca="false">IF(A930="","",LOWER(A930))</f>
        <v/>
      </c>
      <c r="Z930" s="24" t="str">
        <f aca="false">IF(A930="","",IF(T930="",Settings!$B$5,T930)&amp;IF(ISNUMBER(FIND("?",IF(T930="",Settings!$B$5,T930))),"&amp;","?")&amp;"utm_source="&amp;V930&amp;"&amp;utm_medium="&amp;W930&amp;"&amp;utm_campaign="&amp;X930&amp;"&amp;utm_content="&amp;Y930)</f>
        <v/>
      </c>
      <c r="AA930" s="29"/>
      <c r="AB930" s="39"/>
      <c r="AC930" s="32"/>
      <c r="AD930" s="32"/>
      <c r="AE930" s="32"/>
      <c r="AF930" s="32"/>
      <c r="AG930" s="32"/>
      <c r="AH930" s="32"/>
      <c r="AI930" s="32"/>
      <c r="AJ930" s="32"/>
      <c r="AK930" s="32"/>
      <c r="AL930" s="32"/>
      <c r="AM930" s="32"/>
      <c r="AN930" s="32"/>
      <c r="AO930" s="33" t="str">
        <f aca="false">IF(A930="","",IF(AD930&lt;&gt;"",AD930,IF(AC930&lt;&gt;"",AC930,"")))</f>
        <v/>
      </c>
      <c r="AP930" s="24" t="str">
        <f aca="false">IF(AO930="","",IF(AD930&lt;&gt;"","Reported reach","Impressions (proxy)"))</f>
        <v/>
      </c>
      <c r="AQ930" s="34" t="str">
        <f aca="false">IF(OR(AO930="",N(S930)=0),"",AO930/S930)</f>
        <v/>
      </c>
      <c r="AR930" s="33" t="str">
        <f aca="false">IF(A930="","",IF(COUNT(AF930:AJ930)=0,"",SUM(AF930:AJ930)))</f>
        <v/>
      </c>
      <c r="AS930" s="34" t="str">
        <f aca="false">IF(OR(AR930="",N(AO930)=0),"",AR930/AO930)</f>
        <v/>
      </c>
      <c r="AT930" s="34" t="str">
        <f aca="false">IF(OR(AR930="",N(AC930)=0),"",AR930/AC930)</f>
        <v/>
      </c>
      <c r="AU930" s="34" t="str">
        <f aca="false">IF(OR(AR930="",N(S930)=0),"",AR930/S930)</f>
        <v/>
      </c>
      <c r="AV930" s="34" t="str">
        <f aca="false">IF(OR(AJ930="",N(AC930)=0),"",AJ930/AC930)</f>
        <v/>
      </c>
      <c r="AW930" s="34" t="str">
        <f aca="false">IF(OR(AH930="",N(AO930)=0),"",AH930/AO930)</f>
        <v/>
      </c>
      <c r="AX930" s="35" t="str">
        <f aca="false">IF(OR(AR930="",N(AO930)=0),"",(N(AF930)*Settings!$B$6+N(AG930)*Settings!$B$7+N(AH930)*Settings!$B$8+N(AI930)*Settings!$B$9+N(AJ930)*Settings!$B$10)/AO930*1000)</f>
        <v/>
      </c>
      <c r="AY930" s="36" t="str">
        <f aca="false">IF(AS930="","",IFERROR(AS930/AVERAGEIFS('Post Tracker'!$AS$5:$AS$1004,'Post Tracker'!$G$5:$G$1004,G930),""))</f>
        <v/>
      </c>
      <c r="AZ930" s="32"/>
      <c r="BA930" s="32"/>
      <c r="BB930" s="32"/>
      <c r="BC930" s="32"/>
      <c r="BD930" s="33" t="str">
        <f aca="false">IF(A930="","",COUNTIFS('Demo Pipeline'!$Q$5:$Q$504,A930))</f>
        <v/>
      </c>
      <c r="BE930" s="33" t="str">
        <f aca="false">IF(A930="","",COUNTIFS('Demo Pipeline'!$Q$5:$Q$504,A930,'Demo Pipeline'!$W$5:$W$504,"Attended"))</f>
        <v/>
      </c>
      <c r="BF930" s="33" t="str">
        <f aca="false">IF(A930="","",COUNTIFS('Demo Pipeline'!$Q$5:$Q$504,A930,'Demo Pipeline'!$X$5:$X$504,"Yes"))</f>
        <v/>
      </c>
      <c r="BG930" s="33" t="str">
        <f aca="false">IF(A930="","",COUNTIFS('Demo Pipeline'!$Q$5:$Q$504,A930,'Demo Pipeline'!$Y$5:$Y$504,"Closed Won"))</f>
        <v/>
      </c>
      <c r="BH930" s="37" t="str">
        <f aca="false">IF(A930="","",SUMIFS('Demo Pipeline'!$Z$5:$Z$504,'Demo Pipeline'!$Q$5:$Q$504,A930))</f>
        <v/>
      </c>
      <c r="BI930" s="34" t="str">
        <f aca="false">IF(OR(AZ930="",N(AJ930)=0),"",AZ930/AJ930)</f>
        <v/>
      </c>
      <c r="BJ930" s="34" t="str">
        <f aca="false">IF(OR(BB930="",N(AZ930)=0),"",BB930/AZ930)</f>
        <v/>
      </c>
      <c r="BK930" s="34" t="str">
        <f aca="false">IF(OR(A930="",N(BB930)=0),"",BD930/BB930)</f>
        <v/>
      </c>
      <c r="BL930" s="34" t="str">
        <f aca="false">IF(OR(A930="",N(AZ930)=0),"",BD930/AZ930)</f>
        <v/>
      </c>
      <c r="BM930" s="37" t="str">
        <f aca="false">IF(OR(N(Q930)=0,N(BD930)=0),"",Q930/BD930)</f>
        <v/>
      </c>
      <c r="BN930" s="29"/>
      <c r="BO930" s="29"/>
      <c r="BP930" s="33" t="str">
        <f aca="false">IF(OR(AR930="",N(AO930)=0),"",AR930)</f>
        <v/>
      </c>
      <c r="BQ930" s="33" t="str">
        <f aca="false">IF(OR(AR930="",N(S930)=0),"",S930)</f>
        <v/>
      </c>
      <c r="BR930" s="38" t="str">
        <f aca="false">IF(AND(ISNUMBER(B930),B930&gt;=Dashboard!$C$4,B930&lt;=Dashboard!$F$4,ISNUMBER(AU930)),AU930+ROW()/10^9,"")</f>
        <v/>
      </c>
      <c r="BS930" s="38" t="str">
        <f aca="false">IF(AND(ISNUMBER(B930),B930&gt;=Dashboard!$C$4,B930&lt;=Dashboard!$F$4,A930&lt;&gt;""),N(BD930)+N(AU930)/100+ROW()/10^9,"")</f>
        <v/>
      </c>
    </row>
    <row r="931" customFormat="false" ht="15" hidden="false" customHeight="false" outlineLevel="0" collapsed="false">
      <c r="A931" s="24" t="str">
        <f aca="false">IF(OR(B931="",G931="",H931=""),"",IFERROR(INDEX(Settings!$E$5:$E$49,MATCH(G931,Settings!$D$5:$D$49,0))&amp;INDEX(Settings!$H$5:$H$47,MATCH(H931,Settings!$G$5:$G$47,0))&amp;"-"&amp;TEXT(B931,"yymmdd")&amp;"-"&amp;IF(C931="","0000",TEXT(C931,"hhmm")),"CHECK LISTS"))</f>
        <v/>
      </c>
      <c r="B931" s="39"/>
      <c r="C931" s="40"/>
      <c r="D931" s="24" t="str">
        <f aca="false">IF(B931="","",TEXT(B931,"ddd"))</f>
        <v/>
      </c>
      <c r="E931" s="27" t="str">
        <f aca="false">IF(B931="","",B931-WEEKDAY(B931,3))</f>
        <v/>
      </c>
      <c r="F931" s="24" t="str">
        <f aca="false">IF(B931="","",TEXT(B931,"yyyy-mm"))</f>
        <v/>
      </c>
      <c r="G931" s="29"/>
      <c r="H931" s="29"/>
      <c r="I931" s="29"/>
      <c r="J931" s="29"/>
      <c r="K931" s="29"/>
      <c r="L931" s="29"/>
      <c r="M931" s="29"/>
      <c r="N931" s="29"/>
      <c r="O931" s="29"/>
      <c r="P931" s="29"/>
      <c r="Q931" s="30"/>
      <c r="R931" s="29"/>
      <c r="S931" s="32"/>
      <c r="T931" s="29"/>
      <c r="U931" s="29"/>
      <c r="V931" s="24" t="str">
        <f aca="false">IF(A931="","",IFERROR(INDEX(Settings!$F$5:$F$49,MATCH(G931,Settings!$D$5:$D$49,0)),""))</f>
        <v/>
      </c>
      <c r="W931" s="24" t="str">
        <f aca="false">IF(A931="","",IF(OR(P931="",P931="Organic"),"social","paid_social"))</f>
        <v/>
      </c>
      <c r="X931" s="24" t="str">
        <f aca="false">IF(A931="","",IF(K931&lt;&gt;"",IFERROR(INDEX('Case Studies'!$C$5:$C$54,MATCH(K931,'Case Studies'!$B$5:$B$54,0))&amp;"","case-study"),IF(J931&lt;&gt;"",IFERROR(INDEX(Settings!$J$5:$J$55,MATCH(J931,Settings!$I$5:$I$55,0)),"general"),"general")))</f>
        <v/>
      </c>
      <c r="Y931" s="24" t="str">
        <f aca="false">IF(A931="","",LOWER(A931))</f>
        <v/>
      </c>
      <c r="Z931" s="24" t="str">
        <f aca="false">IF(A931="","",IF(T931="",Settings!$B$5,T931)&amp;IF(ISNUMBER(FIND("?",IF(T931="",Settings!$B$5,T931))),"&amp;","?")&amp;"utm_source="&amp;V931&amp;"&amp;utm_medium="&amp;W931&amp;"&amp;utm_campaign="&amp;X931&amp;"&amp;utm_content="&amp;Y931)</f>
        <v/>
      </c>
      <c r="AA931" s="29"/>
      <c r="AB931" s="39"/>
      <c r="AC931" s="32"/>
      <c r="AD931" s="32"/>
      <c r="AE931" s="32"/>
      <c r="AF931" s="32"/>
      <c r="AG931" s="32"/>
      <c r="AH931" s="32"/>
      <c r="AI931" s="32"/>
      <c r="AJ931" s="32"/>
      <c r="AK931" s="32"/>
      <c r="AL931" s="32"/>
      <c r="AM931" s="32"/>
      <c r="AN931" s="32"/>
      <c r="AO931" s="33" t="str">
        <f aca="false">IF(A931="","",IF(AD931&lt;&gt;"",AD931,IF(AC931&lt;&gt;"",AC931,"")))</f>
        <v/>
      </c>
      <c r="AP931" s="24" t="str">
        <f aca="false">IF(AO931="","",IF(AD931&lt;&gt;"","Reported reach","Impressions (proxy)"))</f>
        <v/>
      </c>
      <c r="AQ931" s="34" t="str">
        <f aca="false">IF(OR(AO931="",N(S931)=0),"",AO931/S931)</f>
        <v/>
      </c>
      <c r="AR931" s="33" t="str">
        <f aca="false">IF(A931="","",IF(COUNT(AF931:AJ931)=0,"",SUM(AF931:AJ931)))</f>
        <v/>
      </c>
      <c r="AS931" s="34" t="str">
        <f aca="false">IF(OR(AR931="",N(AO931)=0),"",AR931/AO931)</f>
        <v/>
      </c>
      <c r="AT931" s="34" t="str">
        <f aca="false">IF(OR(AR931="",N(AC931)=0),"",AR931/AC931)</f>
        <v/>
      </c>
      <c r="AU931" s="34" t="str">
        <f aca="false">IF(OR(AR931="",N(S931)=0),"",AR931/S931)</f>
        <v/>
      </c>
      <c r="AV931" s="34" t="str">
        <f aca="false">IF(OR(AJ931="",N(AC931)=0),"",AJ931/AC931)</f>
        <v/>
      </c>
      <c r="AW931" s="34" t="str">
        <f aca="false">IF(OR(AH931="",N(AO931)=0),"",AH931/AO931)</f>
        <v/>
      </c>
      <c r="AX931" s="35" t="str">
        <f aca="false">IF(OR(AR931="",N(AO931)=0),"",(N(AF931)*Settings!$B$6+N(AG931)*Settings!$B$7+N(AH931)*Settings!$B$8+N(AI931)*Settings!$B$9+N(AJ931)*Settings!$B$10)/AO931*1000)</f>
        <v/>
      </c>
      <c r="AY931" s="36" t="str">
        <f aca="false">IF(AS931="","",IFERROR(AS931/AVERAGEIFS('Post Tracker'!$AS$5:$AS$1004,'Post Tracker'!$G$5:$G$1004,G931),""))</f>
        <v/>
      </c>
      <c r="AZ931" s="32"/>
      <c r="BA931" s="32"/>
      <c r="BB931" s="32"/>
      <c r="BC931" s="32"/>
      <c r="BD931" s="33" t="str">
        <f aca="false">IF(A931="","",COUNTIFS('Demo Pipeline'!$Q$5:$Q$504,A931))</f>
        <v/>
      </c>
      <c r="BE931" s="33" t="str">
        <f aca="false">IF(A931="","",COUNTIFS('Demo Pipeline'!$Q$5:$Q$504,A931,'Demo Pipeline'!$W$5:$W$504,"Attended"))</f>
        <v/>
      </c>
      <c r="BF931" s="33" t="str">
        <f aca="false">IF(A931="","",COUNTIFS('Demo Pipeline'!$Q$5:$Q$504,A931,'Demo Pipeline'!$X$5:$X$504,"Yes"))</f>
        <v/>
      </c>
      <c r="BG931" s="33" t="str">
        <f aca="false">IF(A931="","",COUNTIFS('Demo Pipeline'!$Q$5:$Q$504,A931,'Demo Pipeline'!$Y$5:$Y$504,"Closed Won"))</f>
        <v/>
      </c>
      <c r="BH931" s="37" t="str">
        <f aca="false">IF(A931="","",SUMIFS('Demo Pipeline'!$Z$5:$Z$504,'Demo Pipeline'!$Q$5:$Q$504,A931))</f>
        <v/>
      </c>
      <c r="BI931" s="34" t="str">
        <f aca="false">IF(OR(AZ931="",N(AJ931)=0),"",AZ931/AJ931)</f>
        <v/>
      </c>
      <c r="BJ931" s="34" t="str">
        <f aca="false">IF(OR(BB931="",N(AZ931)=0),"",BB931/AZ931)</f>
        <v/>
      </c>
      <c r="BK931" s="34" t="str">
        <f aca="false">IF(OR(A931="",N(BB931)=0),"",BD931/BB931)</f>
        <v/>
      </c>
      <c r="BL931" s="34" t="str">
        <f aca="false">IF(OR(A931="",N(AZ931)=0),"",BD931/AZ931)</f>
        <v/>
      </c>
      <c r="BM931" s="37" t="str">
        <f aca="false">IF(OR(N(Q931)=0,N(BD931)=0),"",Q931/BD931)</f>
        <v/>
      </c>
      <c r="BN931" s="29"/>
      <c r="BO931" s="29"/>
      <c r="BP931" s="33" t="str">
        <f aca="false">IF(OR(AR931="",N(AO931)=0),"",AR931)</f>
        <v/>
      </c>
      <c r="BQ931" s="33" t="str">
        <f aca="false">IF(OR(AR931="",N(S931)=0),"",S931)</f>
        <v/>
      </c>
      <c r="BR931" s="38" t="str">
        <f aca="false">IF(AND(ISNUMBER(B931),B931&gt;=Dashboard!$C$4,B931&lt;=Dashboard!$F$4,ISNUMBER(AU931)),AU931+ROW()/10^9,"")</f>
        <v/>
      </c>
      <c r="BS931" s="38" t="str">
        <f aca="false">IF(AND(ISNUMBER(B931),B931&gt;=Dashboard!$C$4,B931&lt;=Dashboard!$F$4,A931&lt;&gt;""),N(BD931)+N(AU931)/100+ROW()/10^9,"")</f>
        <v/>
      </c>
    </row>
    <row r="932" customFormat="false" ht="15" hidden="false" customHeight="false" outlineLevel="0" collapsed="false">
      <c r="A932" s="24" t="str">
        <f aca="false">IF(OR(B932="",G932="",H932=""),"",IFERROR(INDEX(Settings!$E$5:$E$49,MATCH(G932,Settings!$D$5:$D$49,0))&amp;INDEX(Settings!$H$5:$H$47,MATCH(H932,Settings!$G$5:$G$47,0))&amp;"-"&amp;TEXT(B932,"yymmdd")&amp;"-"&amp;IF(C932="","0000",TEXT(C932,"hhmm")),"CHECK LISTS"))</f>
        <v/>
      </c>
      <c r="B932" s="39"/>
      <c r="C932" s="40"/>
      <c r="D932" s="24" t="str">
        <f aca="false">IF(B932="","",TEXT(B932,"ddd"))</f>
        <v/>
      </c>
      <c r="E932" s="27" t="str">
        <f aca="false">IF(B932="","",B932-WEEKDAY(B932,3))</f>
        <v/>
      </c>
      <c r="F932" s="24" t="str">
        <f aca="false">IF(B932="","",TEXT(B932,"yyyy-mm"))</f>
        <v/>
      </c>
      <c r="G932" s="29"/>
      <c r="H932" s="29"/>
      <c r="I932" s="29"/>
      <c r="J932" s="29"/>
      <c r="K932" s="29"/>
      <c r="L932" s="29"/>
      <c r="M932" s="29"/>
      <c r="N932" s="29"/>
      <c r="O932" s="29"/>
      <c r="P932" s="29"/>
      <c r="Q932" s="30"/>
      <c r="R932" s="29"/>
      <c r="S932" s="32"/>
      <c r="T932" s="29"/>
      <c r="U932" s="29"/>
      <c r="V932" s="24" t="str">
        <f aca="false">IF(A932="","",IFERROR(INDEX(Settings!$F$5:$F$49,MATCH(G932,Settings!$D$5:$D$49,0)),""))</f>
        <v/>
      </c>
      <c r="W932" s="24" t="str">
        <f aca="false">IF(A932="","",IF(OR(P932="",P932="Organic"),"social","paid_social"))</f>
        <v/>
      </c>
      <c r="X932" s="24" t="str">
        <f aca="false">IF(A932="","",IF(K932&lt;&gt;"",IFERROR(INDEX('Case Studies'!$C$5:$C$54,MATCH(K932,'Case Studies'!$B$5:$B$54,0))&amp;"","case-study"),IF(J932&lt;&gt;"",IFERROR(INDEX(Settings!$J$5:$J$55,MATCH(J932,Settings!$I$5:$I$55,0)),"general"),"general")))</f>
        <v/>
      </c>
      <c r="Y932" s="24" t="str">
        <f aca="false">IF(A932="","",LOWER(A932))</f>
        <v/>
      </c>
      <c r="Z932" s="24" t="str">
        <f aca="false">IF(A932="","",IF(T932="",Settings!$B$5,T932)&amp;IF(ISNUMBER(FIND("?",IF(T932="",Settings!$B$5,T932))),"&amp;","?")&amp;"utm_source="&amp;V932&amp;"&amp;utm_medium="&amp;W932&amp;"&amp;utm_campaign="&amp;X932&amp;"&amp;utm_content="&amp;Y932)</f>
        <v/>
      </c>
      <c r="AA932" s="29"/>
      <c r="AB932" s="39"/>
      <c r="AC932" s="32"/>
      <c r="AD932" s="32"/>
      <c r="AE932" s="32"/>
      <c r="AF932" s="32"/>
      <c r="AG932" s="32"/>
      <c r="AH932" s="32"/>
      <c r="AI932" s="32"/>
      <c r="AJ932" s="32"/>
      <c r="AK932" s="32"/>
      <c r="AL932" s="32"/>
      <c r="AM932" s="32"/>
      <c r="AN932" s="32"/>
      <c r="AO932" s="33" t="str">
        <f aca="false">IF(A932="","",IF(AD932&lt;&gt;"",AD932,IF(AC932&lt;&gt;"",AC932,"")))</f>
        <v/>
      </c>
      <c r="AP932" s="24" t="str">
        <f aca="false">IF(AO932="","",IF(AD932&lt;&gt;"","Reported reach","Impressions (proxy)"))</f>
        <v/>
      </c>
      <c r="AQ932" s="34" t="str">
        <f aca="false">IF(OR(AO932="",N(S932)=0),"",AO932/S932)</f>
        <v/>
      </c>
      <c r="AR932" s="33" t="str">
        <f aca="false">IF(A932="","",IF(COUNT(AF932:AJ932)=0,"",SUM(AF932:AJ932)))</f>
        <v/>
      </c>
      <c r="AS932" s="34" t="str">
        <f aca="false">IF(OR(AR932="",N(AO932)=0),"",AR932/AO932)</f>
        <v/>
      </c>
      <c r="AT932" s="34" t="str">
        <f aca="false">IF(OR(AR932="",N(AC932)=0),"",AR932/AC932)</f>
        <v/>
      </c>
      <c r="AU932" s="34" t="str">
        <f aca="false">IF(OR(AR932="",N(S932)=0),"",AR932/S932)</f>
        <v/>
      </c>
      <c r="AV932" s="34" t="str">
        <f aca="false">IF(OR(AJ932="",N(AC932)=0),"",AJ932/AC932)</f>
        <v/>
      </c>
      <c r="AW932" s="34" t="str">
        <f aca="false">IF(OR(AH932="",N(AO932)=0),"",AH932/AO932)</f>
        <v/>
      </c>
      <c r="AX932" s="35" t="str">
        <f aca="false">IF(OR(AR932="",N(AO932)=0),"",(N(AF932)*Settings!$B$6+N(AG932)*Settings!$B$7+N(AH932)*Settings!$B$8+N(AI932)*Settings!$B$9+N(AJ932)*Settings!$B$10)/AO932*1000)</f>
        <v/>
      </c>
      <c r="AY932" s="36" t="str">
        <f aca="false">IF(AS932="","",IFERROR(AS932/AVERAGEIFS('Post Tracker'!$AS$5:$AS$1004,'Post Tracker'!$G$5:$G$1004,G932),""))</f>
        <v/>
      </c>
      <c r="AZ932" s="32"/>
      <c r="BA932" s="32"/>
      <c r="BB932" s="32"/>
      <c r="BC932" s="32"/>
      <c r="BD932" s="33" t="str">
        <f aca="false">IF(A932="","",COUNTIFS('Demo Pipeline'!$Q$5:$Q$504,A932))</f>
        <v/>
      </c>
      <c r="BE932" s="33" t="str">
        <f aca="false">IF(A932="","",COUNTIFS('Demo Pipeline'!$Q$5:$Q$504,A932,'Demo Pipeline'!$W$5:$W$504,"Attended"))</f>
        <v/>
      </c>
      <c r="BF932" s="33" t="str">
        <f aca="false">IF(A932="","",COUNTIFS('Demo Pipeline'!$Q$5:$Q$504,A932,'Demo Pipeline'!$X$5:$X$504,"Yes"))</f>
        <v/>
      </c>
      <c r="BG932" s="33" t="str">
        <f aca="false">IF(A932="","",COUNTIFS('Demo Pipeline'!$Q$5:$Q$504,A932,'Demo Pipeline'!$Y$5:$Y$504,"Closed Won"))</f>
        <v/>
      </c>
      <c r="BH932" s="37" t="str">
        <f aca="false">IF(A932="","",SUMIFS('Demo Pipeline'!$Z$5:$Z$504,'Demo Pipeline'!$Q$5:$Q$504,A932))</f>
        <v/>
      </c>
      <c r="BI932" s="34" t="str">
        <f aca="false">IF(OR(AZ932="",N(AJ932)=0),"",AZ932/AJ932)</f>
        <v/>
      </c>
      <c r="BJ932" s="34" t="str">
        <f aca="false">IF(OR(BB932="",N(AZ932)=0),"",BB932/AZ932)</f>
        <v/>
      </c>
      <c r="BK932" s="34" t="str">
        <f aca="false">IF(OR(A932="",N(BB932)=0),"",BD932/BB932)</f>
        <v/>
      </c>
      <c r="BL932" s="34" t="str">
        <f aca="false">IF(OR(A932="",N(AZ932)=0),"",BD932/AZ932)</f>
        <v/>
      </c>
      <c r="BM932" s="37" t="str">
        <f aca="false">IF(OR(N(Q932)=0,N(BD932)=0),"",Q932/BD932)</f>
        <v/>
      </c>
      <c r="BN932" s="29"/>
      <c r="BO932" s="29"/>
      <c r="BP932" s="33" t="str">
        <f aca="false">IF(OR(AR932="",N(AO932)=0),"",AR932)</f>
        <v/>
      </c>
      <c r="BQ932" s="33" t="str">
        <f aca="false">IF(OR(AR932="",N(S932)=0),"",S932)</f>
        <v/>
      </c>
      <c r="BR932" s="38" t="str">
        <f aca="false">IF(AND(ISNUMBER(B932),B932&gt;=Dashboard!$C$4,B932&lt;=Dashboard!$F$4,ISNUMBER(AU932)),AU932+ROW()/10^9,"")</f>
        <v/>
      </c>
      <c r="BS932" s="38" t="str">
        <f aca="false">IF(AND(ISNUMBER(B932),B932&gt;=Dashboard!$C$4,B932&lt;=Dashboard!$F$4,A932&lt;&gt;""),N(BD932)+N(AU932)/100+ROW()/10^9,"")</f>
        <v/>
      </c>
    </row>
    <row r="933" customFormat="false" ht="15" hidden="false" customHeight="false" outlineLevel="0" collapsed="false">
      <c r="A933" s="24" t="str">
        <f aca="false">IF(OR(B933="",G933="",H933=""),"",IFERROR(INDEX(Settings!$E$5:$E$49,MATCH(G933,Settings!$D$5:$D$49,0))&amp;INDEX(Settings!$H$5:$H$47,MATCH(H933,Settings!$G$5:$G$47,0))&amp;"-"&amp;TEXT(B933,"yymmdd")&amp;"-"&amp;IF(C933="","0000",TEXT(C933,"hhmm")),"CHECK LISTS"))</f>
        <v/>
      </c>
      <c r="B933" s="39"/>
      <c r="C933" s="40"/>
      <c r="D933" s="24" t="str">
        <f aca="false">IF(B933="","",TEXT(B933,"ddd"))</f>
        <v/>
      </c>
      <c r="E933" s="27" t="str">
        <f aca="false">IF(B933="","",B933-WEEKDAY(B933,3))</f>
        <v/>
      </c>
      <c r="F933" s="24" t="str">
        <f aca="false">IF(B933="","",TEXT(B933,"yyyy-mm"))</f>
        <v/>
      </c>
      <c r="G933" s="29"/>
      <c r="H933" s="29"/>
      <c r="I933" s="29"/>
      <c r="J933" s="29"/>
      <c r="K933" s="29"/>
      <c r="L933" s="29"/>
      <c r="M933" s="29"/>
      <c r="N933" s="29"/>
      <c r="O933" s="29"/>
      <c r="P933" s="29"/>
      <c r="Q933" s="30"/>
      <c r="R933" s="29"/>
      <c r="S933" s="32"/>
      <c r="T933" s="29"/>
      <c r="U933" s="29"/>
      <c r="V933" s="24" t="str">
        <f aca="false">IF(A933="","",IFERROR(INDEX(Settings!$F$5:$F$49,MATCH(G933,Settings!$D$5:$D$49,0)),""))</f>
        <v/>
      </c>
      <c r="W933" s="24" t="str">
        <f aca="false">IF(A933="","",IF(OR(P933="",P933="Organic"),"social","paid_social"))</f>
        <v/>
      </c>
      <c r="X933" s="24" t="str">
        <f aca="false">IF(A933="","",IF(K933&lt;&gt;"",IFERROR(INDEX('Case Studies'!$C$5:$C$54,MATCH(K933,'Case Studies'!$B$5:$B$54,0))&amp;"","case-study"),IF(J933&lt;&gt;"",IFERROR(INDEX(Settings!$J$5:$J$55,MATCH(J933,Settings!$I$5:$I$55,0)),"general"),"general")))</f>
        <v/>
      </c>
      <c r="Y933" s="24" t="str">
        <f aca="false">IF(A933="","",LOWER(A933))</f>
        <v/>
      </c>
      <c r="Z933" s="24" t="str">
        <f aca="false">IF(A933="","",IF(T933="",Settings!$B$5,T933)&amp;IF(ISNUMBER(FIND("?",IF(T933="",Settings!$B$5,T933))),"&amp;","?")&amp;"utm_source="&amp;V933&amp;"&amp;utm_medium="&amp;W933&amp;"&amp;utm_campaign="&amp;X933&amp;"&amp;utm_content="&amp;Y933)</f>
        <v/>
      </c>
      <c r="AA933" s="29"/>
      <c r="AB933" s="39"/>
      <c r="AC933" s="32"/>
      <c r="AD933" s="32"/>
      <c r="AE933" s="32"/>
      <c r="AF933" s="32"/>
      <c r="AG933" s="32"/>
      <c r="AH933" s="32"/>
      <c r="AI933" s="32"/>
      <c r="AJ933" s="32"/>
      <c r="AK933" s="32"/>
      <c r="AL933" s="32"/>
      <c r="AM933" s="32"/>
      <c r="AN933" s="32"/>
      <c r="AO933" s="33" t="str">
        <f aca="false">IF(A933="","",IF(AD933&lt;&gt;"",AD933,IF(AC933&lt;&gt;"",AC933,"")))</f>
        <v/>
      </c>
      <c r="AP933" s="24" t="str">
        <f aca="false">IF(AO933="","",IF(AD933&lt;&gt;"","Reported reach","Impressions (proxy)"))</f>
        <v/>
      </c>
      <c r="AQ933" s="34" t="str">
        <f aca="false">IF(OR(AO933="",N(S933)=0),"",AO933/S933)</f>
        <v/>
      </c>
      <c r="AR933" s="33" t="str">
        <f aca="false">IF(A933="","",IF(COUNT(AF933:AJ933)=0,"",SUM(AF933:AJ933)))</f>
        <v/>
      </c>
      <c r="AS933" s="34" t="str">
        <f aca="false">IF(OR(AR933="",N(AO933)=0),"",AR933/AO933)</f>
        <v/>
      </c>
      <c r="AT933" s="34" t="str">
        <f aca="false">IF(OR(AR933="",N(AC933)=0),"",AR933/AC933)</f>
        <v/>
      </c>
      <c r="AU933" s="34" t="str">
        <f aca="false">IF(OR(AR933="",N(S933)=0),"",AR933/S933)</f>
        <v/>
      </c>
      <c r="AV933" s="34" t="str">
        <f aca="false">IF(OR(AJ933="",N(AC933)=0),"",AJ933/AC933)</f>
        <v/>
      </c>
      <c r="AW933" s="34" t="str">
        <f aca="false">IF(OR(AH933="",N(AO933)=0),"",AH933/AO933)</f>
        <v/>
      </c>
      <c r="AX933" s="35" t="str">
        <f aca="false">IF(OR(AR933="",N(AO933)=0),"",(N(AF933)*Settings!$B$6+N(AG933)*Settings!$B$7+N(AH933)*Settings!$B$8+N(AI933)*Settings!$B$9+N(AJ933)*Settings!$B$10)/AO933*1000)</f>
        <v/>
      </c>
      <c r="AY933" s="36" t="str">
        <f aca="false">IF(AS933="","",IFERROR(AS933/AVERAGEIFS('Post Tracker'!$AS$5:$AS$1004,'Post Tracker'!$G$5:$G$1004,G933),""))</f>
        <v/>
      </c>
      <c r="AZ933" s="32"/>
      <c r="BA933" s="32"/>
      <c r="BB933" s="32"/>
      <c r="BC933" s="32"/>
      <c r="BD933" s="33" t="str">
        <f aca="false">IF(A933="","",COUNTIFS('Demo Pipeline'!$Q$5:$Q$504,A933))</f>
        <v/>
      </c>
      <c r="BE933" s="33" t="str">
        <f aca="false">IF(A933="","",COUNTIFS('Demo Pipeline'!$Q$5:$Q$504,A933,'Demo Pipeline'!$W$5:$W$504,"Attended"))</f>
        <v/>
      </c>
      <c r="BF933" s="33" t="str">
        <f aca="false">IF(A933="","",COUNTIFS('Demo Pipeline'!$Q$5:$Q$504,A933,'Demo Pipeline'!$X$5:$X$504,"Yes"))</f>
        <v/>
      </c>
      <c r="BG933" s="33" t="str">
        <f aca="false">IF(A933="","",COUNTIFS('Demo Pipeline'!$Q$5:$Q$504,A933,'Demo Pipeline'!$Y$5:$Y$504,"Closed Won"))</f>
        <v/>
      </c>
      <c r="BH933" s="37" t="str">
        <f aca="false">IF(A933="","",SUMIFS('Demo Pipeline'!$Z$5:$Z$504,'Demo Pipeline'!$Q$5:$Q$504,A933))</f>
        <v/>
      </c>
      <c r="BI933" s="34" t="str">
        <f aca="false">IF(OR(AZ933="",N(AJ933)=0),"",AZ933/AJ933)</f>
        <v/>
      </c>
      <c r="BJ933" s="34" t="str">
        <f aca="false">IF(OR(BB933="",N(AZ933)=0),"",BB933/AZ933)</f>
        <v/>
      </c>
      <c r="BK933" s="34" t="str">
        <f aca="false">IF(OR(A933="",N(BB933)=0),"",BD933/BB933)</f>
        <v/>
      </c>
      <c r="BL933" s="34" t="str">
        <f aca="false">IF(OR(A933="",N(AZ933)=0),"",BD933/AZ933)</f>
        <v/>
      </c>
      <c r="BM933" s="37" t="str">
        <f aca="false">IF(OR(N(Q933)=0,N(BD933)=0),"",Q933/BD933)</f>
        <v/>
      </c>
      <c r="BN933" s="29"/>
      <c r="BO933" s="29"/>
      <c r="BP933" s="33" t="str">
        <f aca="false">IF(OR(AR933="",N(AO933)=0),"",AR933)</f>
        <v/>
      </c>
      <c r="BQ933" s="33" t="str">
        <f aca="false">IF(OR(AR933="",N(S933)=0),"",S933)</f>
        <v/>
      </c>
      <c r="BR933" s="38" t="str">
        <f aca="false">IF(AND(ISNUMBER(B933),B933&gt;=Dashboard!$C$4,B933&lt;=Dashboard!$F$4,ISNUMBER(AU933)),AU933+ROW()/10^9,"")</f>
        <v/>
      </c>
      <c r="BS933" s="38" t="str">
        <f aca="false">IF(AND(ISNUMBER(B933),B933&gt;=Dashboard!$C$4,B933&lt;=Dashboard!$F$4,A933&lt;&gt;""),N(BD933)+N(AU933)/100+ROW()/10^9,"")</f>
        <v/>
      </c>
    </row>
    <row r="934" customFormat="false" ht="15" hidden="false" customHeight="false" outlineLevel="0" collapsed="false">
      <c r="A934" s="24" t="str">
        <f aca="false">IF(OR(B934="",G934="",H934=""),"",IFERROR(INDEX(Settings!$E$5:$E$49,MATCH(G934,Settings!$D$5:$D$49,0))&amp;INDEX(Settings!$H$5:$H$47,MATCH(H934,Settings!$G$5:$G$47,0))&amp;"-"&amp;TEXT(B934,"yymmdd")&amp;"-"&amp;IF(C934="","0000",TEXT(C934,"hhmm")),"CHECK LISTS"))</f>
        <v/>
      </c>
      <c r="B934" s="39"/>
      <c r="C934" s="40"/>
      <c r="D934" s="24" t="str">
        <f aca="false">IF(B934="","",TEXT(B934,"ddd"))</f>
        <v/>
      </c>
      <c r="E934" s="27" t="str">
        <f aca="false">IF(B934="","",B934-WEEKDAY(B934,3))</f>
        <v/>
      </c>
      <c r="F934" s="24" t="str">
        <f aca="false">IF(B934="","",TEXT(B934,"yyyy-mm"))</f>
        <v/>
      </c>
      <c r="G934" s="29"/>
      <c r="H934" s="29"/>
      <c r="I934" s="29"/>
      <c r="J934" s="29"/>
      <c r="K934" s="29"/>
      <c r="L934" s="29"/>
      <c r="M934" s="29"/>
      <c r="N934" s="29"/>
      <c r="O934" s="29"/>
      <c r="P934" s="29"/>
      <c r="Q934" s="30"/>
      <c r="R934" s="29"/>
      <c r="S934" s="32"/>
      <c r="T934" s="29"/>
      <c r="U934" s="29"/>
      <c r="V934" s="24" t="str">
        <f aca="false">IF(A934="","",IFERROR(INDEX(Settings!$F$5:$F$49,MATCH(G934,Settings!$D$5:$D$49,0)),""))</f>
        <v/>
      </c>
      <c r="W934" s="24" t="str">
        <f aca="false">IF(A934="","",IF(OR(P934="",P934="Organic"),"social","paid_social"))</f>
        <v/>
      </c>
      <c r="X934" s="24" t="str">
        <f aca="false">IF(A934="","",IF(K934&lt;&gt;"",IFERROR(INDEX('Case Studies'!$C$5:$C$54,MATCH(K934,'Case Studies'!$B$5:$B$54,0))&amp;"","case-study"),IF(J934&lt;&gt;"",IFERROR(INDEX(Settings!$J$5:$J$55,MATCH(J934,Settings!$I$5:$I$55,0)),"general"),"general")))</f>
        <v/>
      </c>
      <c r="Y934" s="24" t="str">
        <f aca="false">IF(A934="","",LOWER(A934))</f>
        <v/>
      </c>
      <c r="Z934" s="24" t="str">
        <f aca="false">IF(A934="","",IF(T934="",Settings!$B$5,T934)&amp;IF(ISNUMBER(FIND("?",IF(T934="",Settings!$B$5,T934))),"&amp;","?")&amp;"utm_source="&amp;V934&amp;"&amp;utm_medium="&amp;W934&amp;"&amp;utm_campaign="&amp;X934&amp;"&amp;utm_content="&amp;Y934)</f>
        <v/>
      </c>
      <c r="AA934" s="29"/>
      <c r="AB934" s="39"/>
      <c r="AC934" s="32"/>
      <c r="AD934" s="32"/>
      <c r="AE934" s="32"/>
      <c r="AF934" s="32"/>
      <c r="AG934" s="32"/>
      <c r="AH934" s="32"/>
      <c r="AI934" s="32"/>
      <c r="AJ934" s="32"/>
      <c r="AK934" s="32"/>
      <c r="AL934" s="32"/>
      <c r="AM934" s="32"/>
      <c r="AN934" s="32"/>
      <c r="AO934" s="33" t="str">
        <f aca="false">IF(A934="","",IF(AD934&lt;&gt;"",AD934,IF(AC934&lt;&gt;"",AC934,"")))</f>
        <v/>
      </c>
      <c r="AP934" s="24" t="str">
        <f aca="false">IF(AO934="","",IF(AD934&lt;&gt;"","Reported reach","Impressions (proxy)"))</f>
        <v/>
      </c>
      <c r="AQ934" s="34" t="str">
        <f aca="false">IF(OR(AO934="",N(S934)=0),"",AO934/S934)</f>
        <v/>
      </c>
      <c r="AR934" s="33" t="str">
        <f aca="false">IF(A934="","",IF(COUNT(AF934:AJ934)=0,"",SUM(AF934:AJ934)))</f>
        <v/>
      </c>
      <c r="AS934" s="34" t="str">
        <f aca="false">IF(OR(AR934="",N(AO934)=0),"",AR934/AO934)</f>
        <v/>
      </c>
      <c r="AT934" s="34" t="str">
        <f aca="false">IF(OR(AR934="",N(AC934)=0),"",AR934/AC934)</f>
        <v/>
      </c>
      <c r="AU934" s="34" t="str">
        <f aca="false">IF(OR(AR934="",N(S934)=0),"",AR934/S934)</f>
        <v/>
      </c>
      <c r="AV934" s="34" t="str">
        <f aca="false">IF(OR(AJ934="",N(AC934)=0),"",AJ934/AC934)</f>
        <v/>
      </c>
      <c r="AW934" s="34" t="str">
        <f aca="false">IF(OR(AH934="",N(AO934)=0),"",AH934/AO934)</f>
        <v/>
      </c>
      <c r="AX934" s="35" t="str">
        <f aca="false">IF(OR(AR934="",N(AO934)=0),"",(N(AF934)*Settings!$B$6+N(AG934)*Settings!$B$7+N(AH934)*Settings!$B$8+N(AI934)*Settings!$B$9+N(AJ934)*Settings!$B$10)/AO934*1000)</f>
        <v/>
      </c>
      <c r="AY934" s="36" t="str">
        <f aca="false">IF(AS934="","",IFERROR(AS934/AVERAGEIFS('Post Tracker'!$AS$5:$AS$1004,'Post Tracker'!$G$5:$G$1004,G934),""))</f>
        <v/>
      </c>
      <c r="AZ934" s="32"/>
      <c r="BA934" s="32"/>
      <c r="BB934" s="32"/>
      <c r="BC934" s="32"/>
      <c r="BD934" s="33" t="str">
        <f aca="false">IF(A934="","",COUNTIFS('Demo Pipeline'!$Q$5:$Q$504,A934))</f>
        <v/>
      </c>
      <c r="BE934" s="33" t="str">
        <f aca="false">IF(A934="","",COUNTIFS('Demo Pipeline'!$Q$5:$Q$504,A934,'Demo Pipeline'!$W$5:$W$504,"Attended"))</f>
        <v/>
      </c>
      <c r="BF934" s="33" t="str">
        <f aca="false">IF(A934="","",COUNTIFS('Demo Pipeline'!$Q$5:$Q$504,A934,'Demo Pipeline'!$X$5:$X$504,"Yes"))</f>
        <v/>
      </c>
      <c r="BG934" s="33" t="str">
        <f aca="false">IF(A934="","",COUNTIFS('Demo Pipeline'!$Q$5:$Q$504,A934,'Demo Pipeline'!$Y$5:$Y$504,"Closed Won"))</f>
        <v/>
      </c>
      <c r="BH934" s="37" t="str">
        <f aca="false">IF(A934="","",SUMIFS('Demo Pipeline'!$Z$5:$Z$504,'Demo Pipeline'!$Q$5:$Q$504,A934))</f>
        <v/>
      </c>
      <c r="BI934" s="34" t="str">
        <f aca="false">IF(OR(AZ934="",N(AJ934)=0),"",AZ934/AJ934)</f>
        <v/>
      </c>
      <c r="BJ934" s="34" t="str">
        <f aca="false">IF(OR(BB934="",N(AZ934)=0),"",BB934/AZ934)</f>
        <v/>
      </c>
      <c r="BK934" s="34" t="str">
        <f aca="false">IF(OR(A934="",N(BB934)=0),"",BD934/BB934)</f>
        <v/>
      </c>
      <c r="BL934" s="34" t="str">
        <f aca="false">IF(OR(A934="",N(AZ934)=0),"",BD934/AZ934)</f>
        <v/>
      </c>
      <c r="BM934" s="37" t="str">
        <f aca="false">IF(OR(N(Q934)=0,N(BD934)=0),"",Q934/BD934)</f>
        <v/>
      </c>
      <c r="BN934" s="29"/>
      <c r="BO934" s="29"/>
      <c r="BP934" s="33" t="str">
        <f aca="false">IF(OR(AR934="",N(AO934)=0),"",AR934)</f>
        <v/>
      </c>
      <c r="BQ934" s="33" t="str">
        <f aca="false">IF(OR(AR934="",N(S934)=0),"",S934)</f>
        <v/>
      </c>
      <c r="BR934" s="38" t="str">
        <f aca="false">IF(AND(ISNUMBER(B934),B934&gt;=Dashboard!$C$4,B934&lt;=Dashboard!$F$4,ISNUMBER(AU934)),AU934+ROW()/10^9,"")</f>
        <v/>
      </c>
      <c r="BS934" s="38" t="str">
        <f aca="false">IF(AND(ISNUMBER(B934),B934&gt;=Dashboard!$C$4,B934&lt;=Dashboard!$F$4,A934&lt;&gt;""),N(BD934)+N(AU934)/100+ROW()/10^9,"")</f>
        <v/>
      </c>
    </row>
    <row r="935" customFormat="false" ht="15" hidden="false" customHeight="false" outlineLevel="0" collapsed="false">
      <c r="A935" s="24" t="str">
        <f aca="false">IF(OR(B935="",G935="",H935=""),"",IFERROR(INDEX(Settings!$E$5:$E$49,MATCH(G935,Settings!$D$5:$D$49,0))&amp;INDEX(Settings!$H$5:$H$47,MATCH(H935,Settings!$G$5:$G$47,0))&amp;"-"&amp;TEXT(B935,"yymmdd")&amp;"-"&amp;IF(C935="","0000",TEXT(C935,"hhmm")),"CHECK LISTS"))</f>
        <v/>
      </c>
      <c r="B935" s="39"/>
      <c r="C935" s="40"/>
      <c r="D935" s="24" t="str">
        <f aca="false">IF(B935="","",TEXT(B935,"ddd"))</f>
        <v/>
      </c>
      <c r="E935" s="27" t="str">
        <f aca="false">IF(B935="","",B935-WEEKDAY(B935,3))</f>
        <v/>
      </c>
      <c r="F935" s="24" t="str">
        <f aca="false">IF(B935="","",TEXT(B935,"yyyy-mm"))</f>
        <v/>
      </c>
      <c r="G935" s="29"/>
      <c r="H935" s="29"/>
      <c r="I935" s="29"/>
      <c r="J935" s="29"/>
      <c r="K935" s="29"/>
      <c r="L935" s="29"/>
      <c r="M935" s="29"/>
      <c r="N935" s="29"/>
      <c r="O935" s="29"/>
      <c r="P935" s="29"/>
      <c r="Q935" s="30"/>
      <c r="R935" s="29"/>
      <c r="S935" s="32"/>
      <c r="T935" s="29"/>
      <c r="U935" s="29"/>
      <c r="V935" s="24" t="str">
        <f aca="false">IF(A935="","",IFERROR(INDEX(Settings!$F$5:$F$49,MATCH(G935,Settings!$D$5:$D$49,0)),""))</f>
        <v/>
      </c>
      <c r="W935" s="24" t="str">
        <f aca="false">IF(A935="","",IF(OR(P935="",P935="Organic"),"social","paid_social"))</f>
        <v/>
      </c>
      <c r="X935" s="24" t="str">
        <f aca="false">IF(A935="","",IF(K935&lt;&gt;"",IFERROR(INDEX('Case Studies'!$C$5:$C$54,MATCH(K935,'Case Studies'!$B$5:$B$54,0))&amp;"","case-study"),IF(J935&lt;&gt;"",IFERROR(INDEX(Settings!$J$5:$J$55,MATCH(J935,Settings!$I$5:$I$55,0)),"general"),"general")))</f>
        <v/>
      </c>
      <c r="Y935" s="24" t="str">
        <f aca="false">IF(A935="","",LOWER(A935))</f>
        <v/>
      </c>
      <c r="Z935" s="24" t="str">
        <f aca="false">IF(A935="","",IF(T935="",Settings!$B$5,T935)&amp;IF(ISNUMBER(FIND("?",IF(T935="",Settings!$B$5,T935))),"&amp;","?")&amp;"utm_source="&amp;V935&amp;"&amp;utm_medium="&amp;W935&amp;"&amp;utm_campaign="&amp;X935&amp;"&amp;utm_content="&amp;Y935)</f>
        <v/>
      </c>
      <c r="AA935" s="29"/>
      <c r="AB935" s="39"/>
      <c r="AC935" s="32"/>
      <c r="AD935" s="32"/>
      <c r="AE935" s="32"/>
      <c r="AF935" s="32"/>
      <c r="AG935" s="32"/>
      <c r="AH935" s="32"/>
      <c r="AI935" s="32"/>
      <c r="AJ935" s="32"/>
      <c r="AK935" s="32"/>
      <c r="AL935" s="32"/>
      <c r="AM935" s="32"/>
      <c r="AN935" s="32"/>
      <c r="AO935" s="33" t="str">
        <f aca="false">IF(A935="","",IF(AD935&lt;&gt;"",AD935,IF(AC935&lt;&gt;"",AC935,"")))</f>
        <v/>
      </c>
      <c r="AP935" s="24" t="str">
        <f aca="false">IF(AO935="","",IF(AD935&lt;&gt;"","Reported reach","Impressions (proxy)"))</f>
        <v/>
      </c>
      <c r="AQ935" s="34" t="str">
        <f aca="false">IF(OR(AO935="",N(S935)=0),"",AO935/S935)</f>
        <v/>
      </c>
      <c r="AR935" s="33" t="str">
        <f aca="false">IF(A935="","",IF(COUNT(AF935:AJ935)=0,"",SUM(AF935:AJ935)))</f>
        <v/>
      </c>
      <c r="AS935" s="34" t="str">
        <f aca="false">IF(OR(AR935="",N(AO935)=0),"",AR935/AO935)</f>
        <v/>
      </c>
      <c r="AT935" s="34" t="str">
        <f aca="false">IF(OR(AR935="",N(AC935)=0),"",AR935/AC935)</f>
        <v/>
      </c>
      <c r="AU935" s="34" t="str">
        <f aca="false">IF(OR(AR935="",N(S935)=0),"",AR935/S935)</f>
        <v/>
      </c>
      <c r="AV935" s="34" t="str">
        <f aca="false">IF(OR(AJ935="",N(AC935)=0),"",AJ935/AC935)</f>
        <v/>
      </c>
      <c r="AW935" s="34" t="str">
        <f aca="false">IF(OR(AH935="",N(AO935)=0),"",AH935/AO935)</f>
        <v/>
      </c>
      <c r="AX935" s="35" t="str">
        <f aca="false">IF(OR(AR935="",N(AO935)=0),"",(N(AF935)*Settings!$B$6+N(AG935)*Settings!$B$7+N(AH935)*Settings!$B$8+N(AI935)*Settings!$B$9+N(AJ935)*Settings!$B$10)/AO935*1000)</f>
        <v/>
      </c>
      <c r="AY935" s="36" t="str">
        <f aca="false">IF(AS935="","",IFERROR(AS935/AVERAGEIFS('Post Tracker'!$AS$5:$AS$1004,'Post Tracker'!$G$5:$G$1004,G935),""))</f>
        <v/>
      </c>
      <c r="AZ935" s="32"/>
      <c r="BA935" s="32"/>
      <c r="BB935" s="32"/>
      <c r="BC935" s="32"/>
      <c r="BD935" s="33" t="str">
        <f aca="false">IF(A935="","",COUNTIFS('Demo Pipeline'!$Q$5:$Q$504,A935))</f>
        <v/>
      </c>
      <c r="BE935" s="33" t="str">
        <f aca="false">IF(A935="","",COUNTIFS('Demo Pipeline'!$Q$5:$Q$504,A935,'Demo Pipeline'!$W$5:$W$504,"Attended"))</f>
        <v/>
      </c>
      <c r="BF935" s="33" t="str">
        <f aca="false">IF(A935="","",COUNTIFS('Demo Pipeline'!$Q$5:$Q$504,A935,'Demo Pipeline'!$X$5:$X$504,"Yes"))</f>
        <v/>
      </c>
      <c r="BG935" s="33" t="str">
        <f aca="false">IF(A935="","",COUNTIFS('Demo Pipeline'!$Q$5:$Q$504,A935,'Demo Pipeline'!$Y$5:$Y$504,"Closed Won"))</f>
        <v/>
      </c>
      <c r="BH935" s="37" t="str">
        <f aca="false">IF(A935="","",SUMIFS('Demo Pipeline'!$Z$5:$Z$504,'Demo Pipeline'!$Q$5:$Q$504,A935))</f>
        <v/>
      </c>
      <c r="BI935" s="34" t="str">
        <f aca="false">IF(OR(AZ935="",N(AJ935)=0),"",AZ935/AJ935)</f>
        <v/>
      </c>
      <c r="BJ935" s="34" t="str">
        <f aca="false">IF(OR(BB935="",N(AZ935)=0),"",BB935/AZ935)</f>
        <v/>
      </c>
      <c r="BK935" s="34" t="str">
        <f aca="false">IF(OR(A935="",N(BB935)=0),"",BD935/BB935)</f>
        <v/>
      </c>
      <c r="BL935" s="34" t="str">
        <f aca="false">IF(OR(A935="",N(AZ935)=0),"",BD935/AZ935)</f>
        <v/>
      </c>
      <c r="BM935" s="37" t="str">
        <f aca="false">IF(OR(N(Q935)=0,N(BD935)=0),"",Q935/BD935)</f>
        <v/>
      </c>
      <c r="BN935" s="29"/>
      <c r="BO935" s="29"/>
      <c r="BP935" s="33" t="str">
        <f aca="false">IF(OR(AR935="",N(AO935)=0),"",AR935)</f>
        <v/>
      </c>
      <c r="BQ935" s="33" t="str">
        <f aca="false">IF(OR(AR935="",N(S935)=0),"",S935)</f>
        <v/>
      </c>
      <c r="BR935" s="38" t="str">
        <f aca="false">IF(AND(ISNUMBER(B935),B935&gt;=Dashboard!$C$4,B935&lt;=Dashboard!$F$4,ISNUMBER(AU935)),AU935+ROW()/10^9,"")</f>
        <v/>
      </c>
      <c r="BS935" s="38" t="str">
        <f aca="false">IF(AND(ISNUMBER(B935),B935&gt;=Dashboard!$C$4,B935&lt;=Dashboard!$F$4,A935&lt;&gt;""),N(BD935)+N(AU935)/100+ROW()/10^9,"")</f>
        <v/>
      </c>
    </row>
    <row r="936" customFormat="false" ht="15" hidden="false" customHeight="false" outlineLevel="0" collapsed="false">
      <c r="A936" s="24" t="str">
        <f aca="false">IF(OR(B936="",G936="",H936=""),"",IFERROR(INDEX(Settings!$E$5:$E$49,MATCH(G936,Settings!$D$5:$D$49,0))&amp;INDEX(Settings!$H$5:$H$47,MATCH(H936,Settings!$G$5:$G$47,0))&amp;"-"&amp;TEXT(B936,"yymmdd")&amp;"-"&amp;IF(C936="","0000",TEXT(C936,"hhmm")),"CHECK LISTS"))</f>
        <v/>
      </c>
      <c r="B936" s="39"/>
      <c r="C936" s="40"/>
      <c r="D936" s="24" t="str">
        <f aca="false">IF(B936="","",TEXT(B936,"ddd"))</f>
        <v/>
      </c>
      <c r="E936" s="27" t="str">
        <f aca="false">IF(B936="","",B936-WEEKDAY(B936,3))</f>
        <v/>
      </c>
      <c r="F936" s="24" t="str">
        <f aca="false">IF(B936="","",TEXT(B936,"yyyy-mm"))</f>
        <v/>
      </c>
      <c r="G936" s="29"/>
      <c r="H936" s="29"/>
      <c r="I936" s="29"/>
      <c r="J936" s="29"/>
      <c r="K936" s="29"/>
      <c r="L936" s="29"/>
      <c r="M936" s="29"/>
      <c r="N936" s="29"/>
      <c r="O936" s="29"/>
      <c r="P936" s="29"/>
      <c r="Q936" s="30"/>
      <c r="R936" s="29"/>
      <c r="S936" s="32"/>
      <c r="T936" s="29"/>
      <c r="U936" s="29"/>
      <c r="V936" s="24" t="str">
        <f aca="false">IF(A936="","",IFERROR(INDEX(Settings!$F$5:$F$49,MATCH(G936,Settings!$D$5:$D$49,0)),""))</f>
        <v/>
      </c>
      <c r="W936" s="24" t="str">
        <f aca="false">IF(A936="","",IF(OR(P936="",P936="Organic"),"social","paid_social"))</f>
        <v/>
      </c>
      <c r="X936" s="24" t="str">
        <f aca="false">IF(A936="","",IF(K936&lt;&gt;"",IFERROR(INDEX('Case Studies'!$C$5:$C$54,MATCH(K936,'Case Studies'!$B$5:$B$54,0))&amp;"","case-study"),IF(J936&lt;&gt;"",IFERROR(INDEX(Settings!$J$5:$J$55,MATCH(J936,Settings!$I$5:$I$55,0)),"general"),"general")))</f>
        <v/>
      </c>
      <c r="Y936" s="24" t="str">
        <f aca="false">IF(A936="","",LOWER(A936))</f>
        <v/>
      </c>
      <c r="Z936" s="24" t="str">
        <f aca="false">IF(A936="","",IF(T936="",Settings!$B$5,T936)&amp;IF(ISNUMBER(FIND("?",IF(T936="",Settings!$B$5,T936))),"&amp;","?")&amp;"utm_source="&amp;V936&amp;"&amp;utm_medium="&amp;W936&amp;"&amp;utm_campaign="&amp;X936&amp;"&amp;utm_content="&amp;Y936)</f>
        <v/>
      </c>
      <c r="AA936" s="29"/>
      <c r="AB936" s="39"/>
      <c r="AC936" s="32"/>
      <c r="AD936" s="32"/>
      <c r="AE936" s="32"/>
      <c r="AF936" s="32"/>
      <c r="AG936" s="32"/>
      <c r="AH936" s="32"/>
      <c r="AI936" s="32"/>
      <c r="AJ936" s="32"/>
      <c r="AK936" s="32"/>
      <c r="AL936" s="32"/>
      <c r="AM936" s="32"/>
      <c r="AN936" s="32"/>
      <c r="AO936" s="33" t="str">
        <f aca="false">IF(A936="","",IF(AD936&lt;&gt;"",AD936,IF(AC936&lt;&gt;"",AC936,"")))</f>
        <v/>
      </c>
      <c r="AP936" s="24" t="str">
        <f aca="false">IF(AO936="","",IF(AD936&lt;&gt;"","Reported reach","Impressions (proxy)"))</f>
        <v/>
      </c>
      <c r="AQ936" s="34" t="str">
        <f aca="false">IF(OR(AO936="",N(S936)=0),"",AO936/S936)</f>
        <v/>
      </c>
      <c r="AR936" s="33" t="str">
        <f aca="false">IF(A936="","",IF(COUNT(AF936:AJ936)=0,"",SUM(AF936:AJ936)))</f>
        <v/>
      </c>
      <c r="AS936" s="34" t="str">
        <f aca="false">IF(OR(AR936="",N(AO936)=0),"",AR936/AO936)</f>
        <v/>
      </c>
      <c r="AT936" s="34" t="str">
        <f aca="false">IF(OR(AR936="",N(AC936)=0),"",AR936/AC936)</f>
        <v/>
      </c>
      <c r="AU936" s="34" t="str">
        <f aca="false">IF(OR(AR936="",N(S936)=0),"",AR936/S936)</f>
        <v/>
      </c>
      <c r="AV936" s="34" t="str">
        <f aca="false">IF(OR(AJ936="",N(AC936)=0),"",AJ936/AC936)</f>
        <v/>
      </c>
      <c r="AW936" s="34" t="str">
        <f aca="false">IF(OR(AH936="",N(AO936)=0),"",AH936/AO936)</f>
        <v/>
      </c>
      <c r="AX936" s="35" t="str">
        <f aca="false">IF(OR(AR936="",N(AO936)=0),"",(N(AF936)*Settings!$B$6+N(AG936)*Settings!$B$7+N(AH936)*Settings!$B$8+N(AI936)*Settings!$B$9+N(AJ936)*Settings!$B$10)/AO936*1000)</f>
        <v/>
      </c>
      <c r="AY936" s="36" t="str">
        <f aca="false">IF(AS936="","",IFERROR(AS936/AVERAGEIFS('Post Tracker'!$AS$5:$AS$1004,'Post Tracker'!$G$5:$G$1004,G936),""))</f>
        <v/>
      </c>
      <c r="AZ936" s="32"/>
      <c r="BA936" s="32"/>
      <c r="BB936" s="32"/>
      <c r="BC936" s="32"/>
      <c r="BD936" s="33" t="str">
        <f aca="false">IF(A936="","",COUNTIFS('Demo Pipeline'!$Q$5:$Q$504,A936))</f>
        <v/>
      </c>
      <c r="BE936" s="33" t="str">
        <f aca="false">IF(A936="","",COUNTIFS('Demo Pipeline'!$Q$5:$Q$504,A936,'Demo Pipeline'!$W$5:$W$504,"Attended"))</f>
        <v/>
      </c>
      <c r="BF936" s="33" t="str">
        <f aca="false">IF(A936="","",COUNTIFS('Demo Pipeline'!$Q$5:$Q$504,A936,'Demo Pipeline'!$X$5:$X$504,"Yes"))</f>
        <v/>
      </c>
      <c r="BG936" s="33" t="str">
        <f aca="false">IF(A936="","",COUNTIFS('Demo Pipeline'!$Q$5:$Q$504,A936,'Demo Pipeline'!$Y$5:$Y$504,"Closed Won"))</f>
        <v/>
      </c>
      <c r="BH936" s="37" t="str">
        <f aca="false">IF(A936="","",SUMIFS('Demo Pipeline'!$Z$5:$Z$504,'Demo Pipeline'!$Q$5:$Q$504,A936))</f>
        <v/>
      </c>
      <c r="BI936" s="34" t="str">
        <f aca="false">IF(OR(AZ936="",N(AJ936)=0),"",AZ936/AJ936)</f>
        <v/>
      </c>
      <c r="BJ936" s="34" t="str">
        <f aca="false">IF(OR(BB936="",N(AZ936)=0),"",BB936/AZ936)</f>
        <v/>
      </c>
      <c r="BK936" s="34" t="str">
        <f aca="false">IF(OR(A936="",N(BB936)=0),"",BD936/BB936)</f>
        <v/>
      </c>
      <c r="BL936" s="34" t="str">
        <f aca="false">IF(OR(A936="",N(AZ936)=0),"",BD936/AZ936)</f>
        <v/>
      </c>
      <c r="BM936" s="37" t="str">
        <f aca="false">IF(OR(N(Q936)=0,N(BD936)=0),"",Q936/BD936)</f>
        <v/>
      </c>
      <c r="BN936" s="29"/>
      <c r="BO936" s="29"/>
      <c r="BP936" s="33" t="str">
        <f aca="false">IF(OR(AR936="",N(AO936)=0),"",AR936)</f>
        <v/>
      </c>
      <c r="BQ936" s="33" t="str">
        <f aca="false">IF(OR(AR936="",N(S936)=0),"",S936)</f>
        <v/>
      </c>
      <c r="BR936" s="38" t="str">
        <f aca="false">IF(AND(ISNUMBER(B936),B936&gt;=Dashboard!$C$4,B936&lt;=Dashboard!$F$4,ISNUMBER(AU936)),AU936+ROW()/10^9,"")</f>
        <v/>
      </c>
      <c r="BS936" s="38" t="str">
        <f aca="false">IF(AND(ISNUMBER(B936),B936&gt;=Dashboard!$C$4,B936&lt;=Dashboard!$F$4,A936&lt;&gt;""),N(BD936)+N(AU936)/100+ROW()/10^9,"")</f>
        <v/>
      </c>
    </row>
    <row r="937" customFormat="false" ht="15" hidden="false" customHeight="false" outlineLevel="0" collapsed="false">
      <c r="A937" s="24" t="str">
        <f aca="false">IF(OR(B937="",G937="",H937=""),"",IFERROR(INDEX(Settings!$E$5:$E$49,MATCH(G937,Settings!$D$5:$D$49,0))&amp;INDEX(Settings!$H$5:$H$47,MATCH(H937,Settings!$G$5:$G$47,0))&amp;"-"&amp;TEXT(B937,"yymmdd")&amp;"-"&amp;IF(C937="","0000",TEXT(C937,"hhmm")),"CHECK LISTS"))</f>
        <v/>
      </c>
      <c r="B937" s="39"/>
      <c r="C937" s="40"/>
      <c r="D937" s="24" t="str">
        <f aca="false">IF(B937="","",TEXT(B937,"ddd"))</f>
        <v/>
      </c>
      <c r="E937" s="27" t="str">
        <f aca="false">IF(B937="","",B937-WEEKDAY(B937,3))</f>
        <v/>
      </c>
      <c r="F937" s="24" t="str">
        <f aca="false">IF(B937="","",TEXT(B937,"yyyy-mm"))</f>
        <v/>
      </c>
      <c r="G937" s="29"/>
      <c r="H937" s="29"/>
      <c r="I937" s="29"/>
      <c r="J937" s="29"/>
      <c r="K937" s="29"/>
      <c r="L937" s="29"/>
      <c r="M937" s="29"/>
      <c r="N937" s="29"/>
      <c r="O937" s="29"/>
      <c r="P937" s="29"/>
      <c r="Q937" s="30"/>
      <c r="R937" s="29"/>
      <c r="S937" s="32"/>
      <c r="T937" s="29"/>
      <c r="U937" s="29"/>
      <c r="V937" s="24" t="str">
        <f aca="false">IF(A937="","",IFERROR(INDEX(Settings!$F$5:$F$49,MATCH(G937,Settings!$D$5:$D$49,0)),""))</f>
        <v/>
      </c>
      <c r="W937" s="24" t="str">
        <f aca="false">IF(A937="","",IF(OR(P937="",P937="Organic"),"social","paid_social"))</f>
        <v/>
      </c>
      <c r="X937" s="24" t="str">
        <f aca="false">IF(A937="","",IF(K937&lt;&gt;"",IFERROR(INDEX('Case Studies'!$C$5:$C$54,MATCH(K937,'Case Studies'!$B$5:$B$54,0))&amp;"","case-study"),IF(J937&lt;&gt;"",IFERROR(INDEX(Settings!$J$5:$J$55,MATCH(J937,Settings!$I$5:$I$55,0)),"general"),"general")))</f>
        <v/>
      </c>
      <c r="Y937" s="24" t="str">
        <f aca="false">IF(A937="","",LOWER(A937))</f>
        <v/>
      </c>
      <c r="Z937" s="24" t="str">
        <f aca="false">IF(A937="","",IF(T937="",Settings!$B$5,T937)&amp;IF(ISNUMBER(FIND("?",IF(T937="",Settings!$B$5,T937))),"&amp;","?")&amp;"utm_source="&amp;V937&amp;"&amp;utm_medium="&amp;W937&amp;"&amp;utm_campaign="&amp;X937&amp;"&amp;utm_content="&amp;Y937)</f>
        <v/>
      </c>
      <c r="AA937" s="29"/>
      <c r="AB937" s="39"/>
      <c r="AC937" s="32"/>
      <c r="AD937" s="32"/>
      <c r="AE937" s="32"/>
      <c r="AF937" s="32"/>
      <c r="AG937" s="32"/>
      <c r="AH937" s="32"/>
      <c r="AI937" s="32"/>
      <c r="AJ937" s="32"/>
      <c r="AK937" s="32"/>
      <c r="AL937" s="32"/>
      <c r="AM937" s="32"/>
      <c r="AN937" s="32"/>
      <c r="AO937" s="33" t="str">
        <f aca="false">IF(A937="","",IF(AD937&lt;&gt;"",AD937,IF(AC937&lt;&gt;"",AC937,"")))</f>
        <v/>
      </c>
      <c r="AP937" s="24" t="str">
        <f aca="false">IF(AO937="","",IF(AD937&lt;&gt;"","Reported reach","Impressions (proxy)"))</f>
        <v/>
      </c>
      <c r="AQ937" s="34" t="str">
        <f aca="false">IF(OR(AO937="",N(S937)=0),"",AO937/S937)</f>
        <v/>
      </c>
      <c r="AR937" s="33" t="str">
        <f aca="false">IF(A937="","",IF(COUNT(AF937:AJ937)=0,"",SUM(AF937:AJ937)))</f>
        <v/>
      </c>
      <c r="AS937" s="34" t="str">
        <f aca="false">IF(OR(AR937="",N(AO937)=0),"",AR937/AO937)</f>
        <v/>
      </c>
      <c r="AT937" s="34" t="str">
        <f aca="false">IF(OR(AR937="",N(AC937)=0),"",AR937/AC937)</f>
        <v/>
      </c>
      <c r="AU937" s="34" t="str">
        <f aca="false">IF(OR(AR937="",N(S937)=0),"",AR937/S937)</f>
        <v/>
      </c>
      <c r="AV937" s="34" t="str">
        <f aca="false">IF(OR(AJ937="",N(AC937)=0),"",AJ937/AC937)</f>
        <v/>
      </c>
      <c r="AW937" s="34" t="str">
        <f aca="false">IF(OR(AH937="",N(AO937)=0),"",AH937/AO937)</f>
        <v/>
      </c>
      <c r="AX937" s="35" t="str">
        <f aca="false">IF(OR(AR937="",N(AO937)=0),"",(N(AF937)*Settings!$B$6+N(AG937)*Settings!$B$7+N(AH937)*Settings!$B$8+N(AI937)*Settings!$B$9+N(AJ937)*Settings!$B$10)/AO937*1000)</f>
        <v/>
      </c>
      <c r="AY937" s="36" t="str">
        <f aca="false">IF(AS937="","",IFERROR(AS937/AVERAGEIFS('Post Tracker'!$AS$5:$AS$1004,'Post Tracker'!$G$5:$G$1004,G937),""))</f>
        <v/>
      </c>
      <c r="AZ937" s="32"/>
      <c r="BA937" s="32"/>
      <c r="BB937" s="32"/>
      <c r="BC937" s="32"/>
      <c r="BD937" s="33" t="str">
        <f aca="false">IF(A937="","",COUNTIFS('Demo Pipeline'!$Q$5:$Q$504,A937))</f>
        <v/>
      </c>
      <c r="BE937" s="33" t="str">
        <f aca="false">IF(A937="","",COUNTIFS('Demo Pipeline'!$Q$5:$Q$504,A937,'Demo Pipeline'!$W$5:$W$504,"Attended"))</f>
        <v/>
      </c>
      <c r="BF937" s="33" t="str">
        <f aca="false">IF(A937="","",COUNTIFS('Demo Pipeline'!$Q$5:$Q$504,A937,'Demo Pipeline'!$X$5:$X$504,"Yes"))</f>
        <v/>
      </c>
      <c r="BG937" s="33" t="str">
        <f aca="false">IF(A937="","",COUNTIFS('Demo Pipeline'!$Q$5:$Q$504,A937,'Demo Pipeline'!$Y$5:$Y$504,"Closed Won"))</f>
        <v/>
      </c>
      <c r="BH937" s="37" t="str">
        <f aca="false">IF(A937="","",SUMIFS('Demo Pipeline'!$Z$5:$Z$504,'Demo Pipeline'!$Q$5:$Q$504,A937))</f>
        <v/>
      </c>
      <c r="BI937" s="34" t="str">
        <f aca="false">IF(OR(AZ937="",N(AJ937)=0),"",AZ937/AJ937)</f>
        <v/>
      </c>
      <c r="BJ937" s="34" t="str">
        <f aca="false">IF(OR(BB937="",N(AZ937)=0),"",BB937/AZ937)</f>
        <v/>
      </c>
      <c r="BK937" s="34" t="str">
        <f aca="false">IF(OR(A937="",N(BB937)=0),"",BD937/BB937)</f>
        <v/>
      </c>
      <c r="BL937" s="34" t="str">
        <f aca="false">IF(OR(A937="",N(AZ937)=0),"",BD937/AZ937)</f>
        <v/>
      </c>
      <c r="BM937" s="37" t="str">
        <f aca="false">IF(OR(N(Q937)=0,N(BD937)=0),"",Q937/BD937)</f>
        <v/>
      </c>
      <c r="BN937" s="29"/>
      <c r="BO937" s="29"/>
      <c r="BP937" s="33" t="str">
        <f aca="false">IF(OR(AR937="",N(AO937)=0),"",AR937)</f>
        <v/>
      </c>
      <c r="BQ937" s="33" t="str">
        <f aca="false">IF(OR(AR937="",N(S937)=0),"",S937)</f>
        <v/>
      </c>
      <c r="BR937" s="38" t="str">
        <f aca="false">IF(AND(ISNUMBER(B937),B937&gt;=Dashboard!$C$4,B937&lt;=Dashboard!$F$4,ISNUMBER(AU937)),AU937+ROW()/10^9,"")</f>
        <v/>
      </c>
      <c r="BS937" s="38" t="str">
        <f aca="false">IF(AND(ISNUMBER(B937),B937&gt;=Dashboard!$C$4,B937&lt;=Dashboard!$F$4,A937&lt;&gt;""),N(BD937)+N(AU937)/100+ROW()/10^9,"")</f>
        <v/>
      </c>
    </row>
    <row r="938" customFormat="false" ht="15" hidden="false" customHeight="false" outlineLevel="0" collapsed="false">
      <c r="A938" s="24" t="str">
        <f aca="false">IF(OR(B938="",G938="",H938=""),"",IFERROR(INDEX(Settings!$E$5:$E$49,MATCH(G938,Settings!$D$5:$D$49,0))&amp;INDEX(Settings!$H$5:$H$47,MATCH(H938,Settings!$G$5:$G$47,0))&amp;"-"&amp;TEXT(B938,"yymmdd")&amp;"-"&amp;IF(C938="","0000",TEXT(C938,"hhmm")),"CHECK LISTS"))</f>
        <v/>
      </c>
      <c r="B938" s="39"/>
      <c r="C938" s="40"/>
      <c r="D938" s="24" t="str">
        <f aca="false">IF(B938="","",TEXT(B938,"ddd"))</f>
        <v/>
      </c>
      <c r="E938" s="27" t="str">
        <f aca="false">IF(B938="","",B938-WEEKDAY(B938,3))</f>
        <v/>
      </c>
      <c r="F938" s="24" t="str">
        <f aca="false">IF(B938="","",TEXT(B938,"yyyy-mm"))</f>
        <v/>
      </c>
      <c r="G938" s="29"/>
      <c r="H938" s="29"/>
      <c r="I938" s="29"/>
      <c r="J938" s="29"/>
      <c r="K938" s="29"/>
      <c r="L938" s="29"/>
      <c r="M938" s="29"/>
      <c r="N938" s="29"/>
      <c r="O938" s="29"/>
      <c r="P938" s="29"/>
      <c r="Q938" s="30"/>
      <c r="R938" s="29"/>
      <c r="S938" s="32"/>
      <c r="T938" s="29"/>
      <c r="U938" s="29"/>
      <c r="V938" s="24" t="str">
        <f aca="false">IF(A938="","",IFERROR(INDEX(Settings!$F$5:$F$49,MATCH(G938,Settings!$D$5:$D$49,0)),""))</f>
        <v/>
      </c>
      <c r="W938" s="24" t="str">
        <f aca="false">IF(A938="","",IF(OR(P938="",P938="Organic"),"social","paid_social"))</f>
        <v/>
      </c>
      <c r="X938" s="24" t="str">
        <f aca="false">IF(A938="","",IF(K938&lt;&gt;"",IFERROR(INDEX('Case Studies'!$C$5:$C$54,MATCH(K938,'Case Studies'!$B$5:$B$54,0))&amp;"","case-study"),IF(J938&lt;&gt;"",IFERROR(INDEX(Settings!$J$5:$J$55,MATCH(J938,Settings!$I$5:$I$55,0)),"general"),"general")))</f>
        <v/>
      </c>
      <c r="Y938" s="24" t="str">
        <f aca="false">IF(A938="","",LOWER(A938))</f>
        <v/>
      </c>
      <c r="Z938" s="24" t="str">
        <f aca="false">IF(A938="","",IF(T938="",Settings!$B$5,T938)&amp;IF(ISNUMBER(FIND("?",IF(T938="",Settings!$B$5,T938))),"&amp;","?")&amp;"utm_source="&amp;V938&amp;"&amp;utm_medium="&amp;W938&amp;"&amp;utm_campaign="&amp;X938&amp;"&amp;utm_content="&amp;Y938)</f>
        <v/>
      </c>
      <c r="AA938" s="29"/>
      <c r="AB938" s="39"/>
      <c r="AC938" s="32"/>
      <c r="AD938" s="32"/>
      <c r="AE938" s="32"/>
      <c r="AF938" s="32"/>
      <c r="AG938" s="32"/>
      <c r="AH938" s="32"/>
      <c r="AI938" s="32"/>
      <c r="AJ938" s="32"/>
      <c r="AK938" s="32"/>
      <c r="AL938" s="32"/>
      <c r="AM938" s="32"/>
      <c r="AN938" s="32"/>
      <c r="AO938" s="33" t="str">
        <f aca="false">IF(A938="","",IF(AD938&lt;&gt;"",AD938,IF(AC938&lt;&gt;"",AC938,"")))</f>
        <v/>
      </c>
      <c r="AP938" s="24" t="str">
        <f aca="false">IF(AO938="","",IF(AD938&lt;&gt;"","Reported reach","Impressions (proxy)"))</f>
        <v/>
      </c>
      <c r="AQ938" s="34" t="str">
        <f aca="false">IF(OR(AO938="",N(S938)=0),"",AO938/S938)</f>
        <v/>
      </c>
      <c r="AR938" s="33" t="str">
        <f aca="false">IF(A938="","",IF(COUNT(AF938:AJ938)=0,"",SUM(AF938:AJ938)))</f>
        <v/>
      </c>
      <c r="AS938" s="34" t="str">
        <f aca="false">IF(OR(AR938="",N(AO938)=0),"",AR938/AO938)</f>
        <v/>
      </c>
      <c r="AT938" s="34" t="str">
        <f aca="false">IF(OR(AR938="",N(AC938)=0),"",AR938/AC938)</f>
        <v/>
      </c>
      <c r="AU938" s="34" t="str">
        <f aca="false">IF(OR(AR938="",N(S938)=0),"",AR938/S938)</f>
        <v/>
      </c>
      <c r="AV938" s="34" t="str">
        <f aca="false">IF(OR(AJ938="",N(AC938)=0),"",AJ938/AC938)</f>
        <v/>
      </c>
      <c r="AW938" s="34" t="str">
        <f aca="false">IF(OR(AH938="",N(AO938)=0),"",AH938/AO938)</f>
        <v/>
      </c>
      <c r="AX938" s="35" t="str">
        <f aca="false">IF(OR(AR938="",N(AO938)=0),"",(N(AF938)*Settings!$B$6+N(AG938)*Settings!$B$7+N(AH938)*Settings!$B$8+N(AI938)*Settings!$B$9+N(AJ938)*Settings!$B$10)/AO938*1000)</f>
        <v/>
      </c>
      <c r="AY938" s="36" t="str">
        <f aca="false">IF(AS938="","",IFERROR(AS938/AVERAGEIFS('Post Tracker'!$AS$5:$AS$1004,'Post Tracker'!$G$5:$G$1004,G938),""))</f>
        <v/>
      </c>
      <c r="AZ938" s="32"/>
      <c r="BA938" s="32"/>
      <c r="BB938" s="32"/>
      <c r="BC938" s="32"/>
      <c r="BD938" s="33" t="str">
        <f aca="false">IF(A938="","",COUNTIFS('Demo Pipeline'!$Q$5:$Q$504,A938))</f>
        <v/>
      </c>
      <c r="BE938" s="33" t="str">
        <f aca="false">IF(A938="","",COUNTIFS('Demo Pipeline'!$Q$5:$Q$504,A938,'Demo Pipeline'!$W$5:$W$504,"Attended"))</f>
        <v/>
      </c>
      <c r="BF938" s="33" t="str">
        <f aca="false">IF(A938="","",COUNTIFS('Demo Pipeline'!$Q$5:$Q$504,A938,'Demo Pipeline'!$X$5:$X$504,"Yes"))</f>
        <v/>
      </c>
      <c r="BG938" s="33" t="str">
        <f aca="false">IF(A938="","",COUNTIFS('Demo Pipeline'!$Q$5:$Q$504,A938,'Demo Pipeline'!$Y$5:$Y$504,"Closed Won"))</f>
        <v/>
      </c>
      <c r="BH938" s="37" t="str">
        <f aca="false">IF(A938="","",SUMIFS('Demo Pipeline'!$Z$5:$Z$504,'Demo Pipeline'!$Q$5:$Q$504,A938))</f>
        <v/>
      </c>
      <c r="BI938" s="34" t="str">
        <f aca="false">IF(OR(AZ938="",N(AJ938)=0),"",AZ938/AJ938)</f>
        <v/>
      </c>
      <c r="BJ938" s="34" t="str">
        <f aca="false">IF(OR(BB938="",N(AZ938)=0),"",BB938/AZ938)</f>
        <v/>
      </c>
      <c r="BK938" s="34" t="str">
        <f aca="false">IF(OR(A938="",N(BB938)=0),"",BD938/BB938)</f>
        <v/>
      </c>
      <c r="BL938" s="34" t="str">
        <f aca="false">IF(OR(A938="",N(AZ938)=0),"",BD938/AZ938)</f>
        <v/>
      </c>
      <c r="BM938" s="37" t="str">
        <f aca="false">IF(OR(N(Q938)=0,N(BD938)=0),"",Q938/BD938)</f>
        <v/>
      </c>
      <c r="BN938" s="29"/>
      <c r="BO938" s="29"/>
      <c r="BP938" s="33" t="str">
        <f aca="false">IF(OR(AR938="",N(AO938)=0),"",AR938)</f>
        <v/>
      </c>
      <c r="BQ938" s="33" t="str">
        <f aca="false">IF(OR(AR938="",N(S938)=0),"",S938)</f>
        <v/>
      </c>
      <c r="BR938" s="38" t="str">
        <f aca="false">IF(AND(ISNUMBER(B938),B938&gt;=Dashboard!$C$4,B938&lt;=Dashboard!$F$4,ISNUMBER(AU938)),AU938+ROW()/10^9,"")</f>
        <v/>
      </c>
      <c r="BS938" s="38" t="str">
        <f aca="false">IF(AND(ISNUMBER(B938),B938&gt;=Dashboard!$C$4,B938&lt;=Dashboard!$F$4,A938&lt;&gt;""),N(BD938)+N(AU938)/100+ROW()/10^9,"")</f>
        <v/>
      </c>
    </row>
    <row r="939" customFormat="false" ht="15" hidden="false" customHeight="false" outlineLevel="0" collapsed="false">
      <c r="A939" s="24" t="str">
        <f aca="false">IF(OR(B939="",G939="",H939=""),"",IFERROR(INDEX(Settings!$E$5:$E$49,MATCH(G939,Settings!$D$5:$D$49,0))&amp;INDEX(Settings!$H$5:$H$47,MATCH(H939,Settings!$G$5:$G$47,0))&amp;"-"&amp;TEXT(B939,"yymmdd")&amp;"-"&amp;IF(C939="","0000",TEXT(C939,"hhmm")),"CHECK LISTS"))</f>
        <v/>
      </c>
      <c r="B939" s="39"/>
      <c r="C939" s="40"/>
      <c r="D939" s="24" t="str">
        <f aca="false">IF(B939="","",TEXT(B939,"ddd"))</f>
        <v/>
      </c>
      <c r="E939" s="27" t="str">
        <f aca="false">IF(B939="","",B939-WEEKDAY(B939,3))</f>
        <v/>
      </c>
      <c r="F939" s="24" t="str">
        <f aca="false">IF(B939="","",TEXT(B939,"yyyy-mm"))</f>
        <v/>
      </c>
      <c r="G939" s="29"/>
      <c r="H939" s="29"/>
      <c r="I939" s="29"/>
      <c r="J939" s="29"/>
      <c r="K939" s="29"/>
      <c r="L939" s="29"/>
      <c r="M939" s="29"/>
      <c r="N939" s="29"/>
      <c r="O939" s="29"/>
      <c r="P939" s="29"/>
      <c r="Q939" s="30"/>
      <c r="R939" s="29"/>
      <c r="S939" s="32"/>
      <c r="T939" s="29"/>
      <c r="U939" s="29"/>
      <c r="V939" s="24" t="str">
        <f aca="false">IF(A939="","",IFERROR(INDEX(Settings!$F$5:$F$49,MATCH(G939,Settings!$D$5:$D$49,0)),""))</f>
        <v/>
      </c>
      <c r="W939" s="24" t="str">
        <f aca="false">IF(A939="","",IF(OR(P939="",P939="Organic"),"social","paid_social"))</f>
        <v/>
      </c>
      <c r="X939" s="24" t="str">
        <f aca="false">IF(A939="","",IF(K939&lt;&gt;"",IFERROR(INDEX('Case Studies'!$C$5:$C$54,MATCH(K939,'Case Studies'!$B$5:$B$54,0))&amp;"","case-study"),IF(J939&lt;&gt;"",IFERROR(INDEX(Settings!$J$5:$J$55,MATCH(J939,Settings!$I$5:$I$55,0)),"general"),"general")))</f>
        <v/>
      </c>
      <c r="Y939" s="24" t="str">
        <f aca="false">IF(A939="","",LOWER(A939))</f>
        <v/>
      </c>
      <c r="Z939" s="24" t="str">
        <f aca="false">IF(A939="","",IF(T939="",Settings!$B$5,T939)&amp;IF(ISNUMBER(FIND("?",IF(T939="",Settings!$B$5,T939))),"&amp;","?")&amp;"utm_source="&amp;V939&amp;"&amp;utm_medium="&amp;W939&amp;"&amp;utm_campaign="&amp;X939&amp;"&amp;utm_content="&amp;Y939)</f>
        <v/>
      </c>
      <c r="AA939" s="29"/>
      <c r="AB939" s="39"/>
      <c r="AC939" s="32"/>
      <c r="AD939" s="32"/>
      <c r="AE939" s="32"/>
      <c r="AF939" s="32"/>
      <c r="AG939" s="32"/>
      <c r="AH939" s="32"/>
      <c r="AI939" s="32"/>
      <c r="AJ939" s="32"/>
      <c r="AK939" s="32"/>
      <c r="AL939" s="32"/>
      <c r="AM939" s="32"/>
      <c r="AN939" s="32"/>
      <c r="AO939" s="33" t="str">
        <f aca="false">IF(A939="","",IF(AD939&lt;&gt;"",AD939,IF(AC939&lt;&gt;"",AC939,"")))</f>
        <v/>
      </c>
      <c r="AP939" s="24" t="str">
        <f aca="false">IF(AO939="","",IF(AD939&lt;&gt;"","Reported reach","Impressions (proxy)"))</f>
        <v/>
      </c>
      <c r="AQ939" s="34" t="str">
        <f aca="false">IF(OR(AO939="",N(S939)=0),"",AO939/S939)</f>
        <v/>
      </c>
      <c r="AR939" s="33" t="str">
        <f aca="false">IF(A939="","",IF(COUNT(AF939:AJ939)=0,"",SUM(AF939:AJ939)))</f>
        <v/>
      </c>
      <c r="AS939" s="34" t="str">
        <f aca="false">IF(OR(AR939="",N(AO939)=0),"",AR939/AO939)</f>
        <v/>
      </c>
      <c r="AT939" s="34" t="str">
        <f aca="false">IF(OR(AR939="",N(AC939)=0),"",AR939/AC939)</f>
        <v/>
      </c>
      <c r="AU939" s="34" t="str">
        <f aca="false">IF(OR(AR939="",N(S939)=0),"",AR939/S939)</f>
        <v/>
      </c>
      <c r="AV939" s="34" t="str">
        <f aca="false">IF(OR(AJ939="",N(AC939)=0),"",AJ939/AC939)</f>
        <v/>
      </c>
      <c r="AW939" s="34" t="str">
        <f aca="false">IF(OR(AH939="",N(AO939)=0),"",AH939/AO939)</f>
        <v/>
      </c>
      <c r="AX939" s="35" t="str">
        <f aca="false">IF(OR(AR939="",N(AO939)=0),"",(N(AF939)*Settings!$B$6+N(AG939)*Settings!$B$7+N(AH939)*Settings!$B$8+N(AI939)*Settings!$B$9+N(AJ939)*Settings!$B$10)/AO939*1000)</f>
        <v/>
      </c>
      <c r="AY939" s="36" t="str">
        <f aca="false">IF(AS939="","",IFERROR(AS939/AVERAGEIFS('Post Tracker'!$AS$5:$AS$1004,'Post Tracker'!$G$5:$G$1004,G939),""))</f>
        <v/>
      </c>
      <c r="AZ939" s="32"/>
      <c r="BA939" s="32"/>
      <c r="BB939" s="32"/>
      <c r="BC939" s="32"/>
      <c r="BD939" s="33" t="str">
        <f aca="false">IF(A939="","",COUNTIFS('Demo Pipeline'!$Q$5:$Q$504,A939))</f>
        <v/>
      </c>
      <c r="BE939" s="33" t="str">
        <f aca="false">IF(A939="","",COUNTIFS('Demo Pipeline'!$Q$5:$Q$504,A939,'Demo Pipeline'!$W$5:$W$504,"Attended"))</f>
        <v/>
      </c>
      <c r="BF939" s="33" t="str">
        <f aca="false">IF(A939="","",COUNTIFS('Demo Pipeline'!$Q$5:$Q$504,A939,'Demo Pipeline'!$X$5:$X$504,"Yes"))</f>
        <v/>
      </c>
      <c r="BG939" s="33" t="str">
        <f aca="false">IF(A939="","",COUNTIFS('Demo Pipeline'!$Q$5:$Q$504,A939,'Demo Pipeline'!$Y$5:$Y$504,"Closed Won"))</f>
        <v/>
      </c>
      <c r="BH939" s="37" t="str">
        <f aca="false">IF(A939="","",SUMIFS('Demo Pipeline'!$Z$5:$Z$504,'Demo Pipeline'!$Q$5:$Q$504,A939))</f>
        <v/>
      </c>
      <c r="BI939" s="34" t="str">
        <f aca="false">IF(OR(AZ939="",N(AJ939)=0),"",AZ939/AJ939)</f>
        <v/>
      </c>
      <c r="BJ939" s="34" t="str">
        <f aca="false">IF(OR(BB939="",N(AZ939)=0),"",BB939/AZ939)</f>
        <v/>
      </c>
      <c r="BK939" s="34" t="str">
        <f aca="false">IF(OR(A939="",N(BB939)=0),"",BD939/BB939)</f>
        <v/>
      </c>
      <c r="BL939" s="34" t="str">
        <f aca="false">IF(OR(A939="",N(AZ939)=0),"",BD939/AZ939)</f>
        <v/>
      </c>
      <c r="BM939" s="37" t="str">
        <f aca="false">IF(OR(N(Q939)=0,N(BD939)=0),"",Q939/BD939)</f>
        <v/>
      </c>
      <c r="BN939" s="29"/>
      <c r="BO939" s="29"/>
      <c r="BP939" s="33" t="str">
        <f aca="false">IF(OR(AR939="",N(AO939)=0),"",AR939)</f>
        <v/>
      </c>
      <c r="BQ939" s="33" t="str">
        <f aca="false">IF(OR(AR939="",N(S939)=0),"",S939)</f>
        <v/>
      </c>
      <c r="BR939" s="38" t="str">
        <f aca="false">IF(AND(ISNUMBER(B939),B939&gt;=Dashboard!$C$4,B939&lt;=Dashboard!$F$4,ISNUMBER(AU939)),AU939+ROW()/10^9,"")</f>
        <v/>
      </c>
      <c r="BS939" s="38" t="str">
        <f aca="false">IF(AND(ISNUMBER(B939),B939&gt;=Dashboard!$C$4,B939&lt;=Dashboard!$F$4,A939&lt;&gt;""),N(BD939)+N(AU939)/100+ROW()/10^9,"")</f>
        <v/>
      </c>
    </row>
    <row r="940" customFormat="false" ht="15" hidden="false" customHeight="false" outlineLevel="0" collapsed="false">
      <c r="A940" s="24" t="str">
        <f aca="false">IF(OR(B940="",G940="",H940=""),"",IFERROR(INDEX(Settings!$E$5:$E$49,MATCH(G940,Settings!$D$5:$D$49,0))&amp;INDEX(Settings!$H$5:$H$47,MATCH(H940,Settings!$G$5:$G$47,0))&amp;"-"&amp;TEXT(B940,"yymmdd")&amp;"-"&amp;IF(C940="","0000",TEXT(C940,"hhmm")),"CHECK LISTS"))</f>
        <v/>
      </c>
      <c r="B940" s="39"/>
      <c r="C940" s="40"/>
      <c r="D940" s="24" t="str">
        <f aca="false">IF(B940="","",TEXT(B940,"ddd"))</f>
        <v/>
      </c>
      <c r="E940" s="27" t="str">
        <f aca="false">IF(B940="","",B940-WEEKDAY(B940,3))</f>
        <v/>
      </c>
      <c r="F940" s="24" t="str">
        <f aca="false">IF(B940="","",TEXT(B940,"yyyy-mm"))</f>
        <v/>
      </c>
      <c r="G940" s="29"/>
      <c r="H940" s="29"/>
      <c r="I940" s="29"/>
      <c r="J940" s="29"/>
      <c r="K940" s="29"/>
      <c r="L940" s="29"/>
      <c r="M940" s="29"/>
      <c r="N940" s="29"/>
      <c r="O940" s="29"/>
      <c r="P940" s="29"/>
      <c r="Q940" s="30"/>
      <c r="R940" s="29"/>
      <c r="S940" s="32"/>
      <c r="T940" s="29"/>
      <c r="U940" s="29"/>
      <c r="V940" s="24" t="str">
        <f aca="false">IF(A940="","",IFERROR(INDEX(Settings!$F$5:$F$49,MATCH(G940,Settings!$D$5:$D$49,0)),""))</f>
        <v/>
      </c>
      <c r="W940" s="24" t="str">
        <f aca="false">IF(A940="","",IF(OR(P940="",P940="Organic"),"social","paid_social"))</f>
        <v/>
      </c>
      <c r="X940" s="24" t="str">
        <f aca="false">IF(A940="","",IF(K940&lt;&gt;"",IFERROR(INDEX('Case Studies'!$C$5:$C$54,MATCH(K940,'Case Studies'!$B$5:$B$54,0))&amp;"","case-study"),IF(J940&lt;&gt;"",IFERROR(INDEX(Settings!$J$5:$J$55,MATCH(J940,Settings!$I$5:$I$55,0)),"general"),"general")))</f>
        <v/>
      </c>
      <c r="Y940" s="24" t="str">
        <f aca="false">IF(A940="","",LOWER(A940))</f>
        <v/>
      </c>
      <c r="Z940" s="24" t="str">
        <f aca="false">IF(A940="","",IF(T940="",Settings!$B$5,T940)&amp;IF(ISNUMBER(FIND("?",IF(T940="",Settings!$B$5,T940))),"&amp;","?")&amp;"utm_source="&amp;V940&amp;"&amp;utm_medium="&amp;W940&amp;"&amp;utm_campaign="&amp;X940&amp;"&amp;utm_content="&amp;Y940)</f>
        <v/>
      </c>
      <c r="AA940" s="29"/>
      <c r="AB940" s="39"/>
      <c r="AC940" s="32"/>
      <c r="AD940" s="32"/>
      <c r="AE940" s="32"/>
      <c r="AF940" s="32"/>
      <c r="AG940" s="32"/>
      <c r="AH940" s="32"/>
      <c r="AI940" s="32"/>
      <c r="AJ940" s="32"/>
      <c r="AK940" s="32"/>
      <c r="AL940" s="32"/>
      <c r="AM940" s="32"/>
      <c r="AN940" s="32"/>
      <c r="AO940" s="33" t="str">
        <f aca="false">IF(A940="","",IF(AD940&lt;&gt;"",AD940,IF(AC940&lt;&gt;"",AC940,"")))</f>
        <v/>
      </c>
      <c r="AP940" s="24" t="str">
        <f aca="false">IF(AO940="","",IF(AD940&lt;&gt;"","Reported reach","Impressions (proxy)"))</f>
        <v/>
      </c>
      <c r="AQ940" s="34" t="str">
        <f aca="false">IF(OR(AO940="",N(S940)=0),"",AO940/S940)</f>
        <v/>
      </c>
      <c r="AR940" s="33" t="str">
        <f aca="false">IF(A940="","",IF(COUNT(AF940:AJ940)=0,"",SUM(AF940:AJ940)))</f>
        <v/>
      </c>
      <c r="AS940" s="34" t="str">
        <f aca="false">IF(OR(AR940="",N(AO940)=0),"",AR940/AO940)</f>
        <v/>
      </c>
      <c r="AT940" s="34" t="str">
        <f aca="false">IF(OR(AR940="",N(AC940)=0),"",AR940/AC940)</f>
        <v/>
      </c>
      <c r="AU940" s="34" t="str">
        <f aca="false">IF(OR(AR940="",N(S940)=0),"",AR940/S940)</f>
        <v/>
      </c>
      <c r="AV940" s="34" t="str">
        <f aca="false">IF(OR(AJ940="",N(AC940)=0),"",AJ940/AC940)</f>
        <v/>
      </c>
      <c r="AW940" s="34" t="str">
        <f aca="false">IF(OR(AH940="",N(AO940)=0),"",AH940/AO940)</f>
        <v/>
      </c>
      <c r="AX940" s="35" t="str">
        <f aca="false">IF(OR(AR940="",N(AO940)=0),"",(N(AF940)*Settings!$B$6+N(AG940)*Settings!$B$7+N(AH940)*Settings!$B$8+N(AI940)*Settings!$B$9+N(AJ940)*Settings!$B$10)/AO940*1000)</f>
        <v/>
      </c>
      <c r="AY940" s="36" t="str">
        <f aca="false">IF(AS940="","",IFERROR(AS940/AVERAGEIFS('Post Tracker'!$AS$5:$AS$1004,'Post Tracker'!$G$5:$G$1004,G940),""))</f>
        <v/>
      </c>
      <c r="AZ940" s="32"/>
      <c r="BA940" s="32"/>
      <c r="BB940" s="32"/>
      <c r="BC940" s="32"/>
      <c r="BD940" s="33" t="str">
        <f aca="false">IF(A940="","",COUNTIFS('Demo Pipeline'!$Q$5:$Q$504,A940))</f>
        <v/>
      </c>
      <c r="BE940" s="33" t="str">
        <f aca="false">IF(A940="","",COUNTIFS('Demo Pipeline'!$Q$5:$Q$504,A940,'Demo Pipeline'!$W$5:$W$504,"Attended"))</f>
        <v/>
      </c>
      <c r="BF940" s="33" t="str">
        <f aca="false">IF(A940="","",COUNTIFS('Demo Pipeline'!$Q$5:$Q$504,A940,'Demo Pipeline'!$X$5:$X$504,"Yes"))</f>
        <v/>
      </c>
      <c r="BG940" s="33" t="str">
        <f aca="false">IF(A940="","",COUNTIFS('Demo Pipeline'!$Q$5:$Q$504,A940,'Demo Pipeline'!$Y$5:$Y$504,"Closed Won"))</f>
        <v/>
      </c>
      <c r="BH940" s="37" t="str">
        <f aca="false">IF(A940="","",SUMIFS('Demo Pipeline'!$Z$5:$Z$504,'Demo Pipeline'!$Q$5:$Q$504,A940))</f>
        <v/>
      </c>
      <c r="BI940" s="34" t="str">
        <f aca="false">IF(OR(AZ940="",N(AJ940)=0),"",AZ940/AJ940)</f>
        <v/>
      </c>
      <c r="BJ940" s="34" t="str">
        <f aca="false">IF(OR(BB940="",N(AZ940)=0),"",BB940/AZ940)</f>
        <v/>
      </c>
      <c r="BK940" s="34" t="str">
        <f aca="false">IF(OR(A940="",N(BB940)=0),"",BD940/BB940)</f>
        <v/>
      </c>
      <c r="BL940" s="34" t="str">
        <f aca="false">IF(OR(A940="",N(AZ940)=0),"",BD940/AZ940)</f>
        <v/>
      </c>
      <c r="BM940" s="37" t="str">
        <f aca="false">IF(OR(N(Q940)=0,N(BD940)=0),"",Q940/BD940)</f>
        <v/>
      </c>
      <c r="BN940" s="29"/>
      <c r="BO940" s="29"/>
      <c r="BP940" s="33" t="str">
        <f aca="false">IF(OR(AR940="",N(AO940)=0),"",AR940)</f>
        <v/>
      </c>
      <c r="BQ940" s="33" t="str">
        <f aca="false">IF(OR(AR940="",N(S940)=0),"",S940)</f>
        <v/>
      </c>
      <c r="BR940" s="38" t="str">
        <f aca="false">IF(AND(ISNUMBER(B940),B940&gt;=Dashboard!$C$4,B940&lt;=Dashboard!$F$4,ISNUMBER(AU940)),AU940+ROW()/10^9,"")</f>
        <v/>
      </c>
      <c r="BS940" s="38" t="str">
        <f aca="false">IF(AND(ISNUMBER(B940),B940&gt;=Dashboard!$C$4,B940&lt;=Dashboard!$F$4,A940&lt;&gt;""),N(BD940)+N(AU940)/100+ROW()/10^9,"")</f>
        <v/>
      </c>
    </row>
    <row r="941" customFormat="false" ht="15" hidden="false" customHeight="false" outlineLevel="0" collapsed="false">
      <c r="A941" s="24" t="str">
        <f aca="false">IF(OR(B941="",G941="",H941=""),"",IFERROR(INDEX(Settings!$E$5:$E$49,MATCH(G941,Settings!$D$5:$D$49,0))&amp;INDEX(Settings!$H$5:$H$47,MATCH(H941,Settings!$G$5:$G$47,0))&amp;"-"&amp;TEXT(B941,"yymmdd")&amp;"-"&amp;IF(C941="","0000",TEXT(C941,"hhmm")),"CHECK LISTS"))</f>
        <v/>
      </c>
      <c r="B941" s="39"/>
      <c r="C941" s="40"/>
      <c r="D941" s="24" t="str">
        <f aca="false">IF(B941="","",TEXT(B941,"ddd"))</f>
        <v/>
      </c>
      <c r="E941" s="27" t="str">
        <f aca="false">IF(B941="","",B941-WEEKDAY(B941,3))</f>
        <v/>
      </c>
      <c r="F941" s="24" t="str">
        <f aca="false">IF(B941="","",TEXT(B941,"yyyy-mm"))</f>
        <v/>
      </c>
      <c r="G941" s="29"/>
      <c r="H941" s="29"/>
      <c r="I941" s="29"/>
      <c r="J941" s="29"/>
      <c r="K941" s="29"/>
      <c r="L941" s="29"/>
      <c r="M941" s="29"/>
      <c r="N941" s="29"/>
      <c r="O941" s="29"/>
      <c r="P941" s="29"/>
      <c r="Q941" s="30"/>
      <c r="R941" s="29"/>
      <c r="S941" s="32"/>
      <c r="T941" s="29"/>
      <c r="U941" s="29"/>
      <c r="V941" s="24" t="str">
        <f aca="false">IF(A941="","",IFERROR(INDEX(Settings!$F$5:$F$49,MATCH(G941,Settings!$D$5:$D$49,0)),""))</f>
        <v/>
      </c>
      <c r="W941" s="24" t="str">
        <f aca="false">IF(A941="","",IF(OR(P941="",P941="Organic"),"social","paid_social"))</f>
        <v/>
      </c>
      <c r="X941" s="24" t="str">
        <f aca="false">IF(A941="","",IF(K941&lt;&gt;"",IFERROR(INDEX('Case Studies'!$C$5:$C$54,MATCH(K941,'Case Studies'!$B$5:$B$54,0))&amp;"","case-study"),IF(J941&lt;&gt;"",IFERROR(INDEX(Settings!$J$5:$J$55,MATCH(J941,Settings!$I$5:$I$55,0)),"general"),"general")))</f>
        <v/>
      </c>
      <c r="Y941" s="24" t="str">
        <f aca="false">IF(A941="","",LOWER(A941))</f>
        <v/>
      </c>
      <c r="Z941" s="24" t="str">
        <f aca="false">IF(A941="","",IF(T941="",Settings!$B$5,T941)&amp;IF(ISNUMBER(FIND("?",IF(T941="",Settings!$B$5,T941))),"&amp;","?")&amp;"utm_source="&amp;V941&amp;"&amp;utm_medium="&amp;W941&amp;"&amp;utm_campaign="&amp;X941&amp;"&amp;utm_content="&amp;Y941)</f>
        <v/>
      </c>
      <c r="AA941" s="29"/>
      <c r="AB941" s="39"/>
      <c r="AC941" s="32"/>
      <c r="AD941" s="32"/>
      <c r="AE941" s="32"/>
      <c r="AF941" s="32"/>
      <c r="AG941" s="32"/>
      <c r="AH941" s="32"/>
      <c r="AI941" s="32"/>
      <c r="AJ941" s="32"/>
      <c r="AK941" s="32"/>
      <c r="AL941" s="32"/>
      <c r="AM941" s="32"/>
      <c r="AN941" s="32"/>
      <c r="AO941" s="33" t="str">
        <f aca="false">IF(A941="","",IF(AD941&lt;&gt;"",AD941,IF(AC941&lt;&gt;"",AC941,"")))</f>
        <v/>
      </c>
      <c r="AP941" s="24" t="str">
        <f aca="false">IF(AO941="","",IF(AD941&lt;&gt;"","Reported reach","Impressions (proxy)"))</f>
        <v/>
      </c>
      <c r="AQ941" s="34" t="str">
        <f aca="false">IF(OR(AO941="",N(S941)=0),"",AO941/S941)</f>
        <v/>
      </c>
      <c r="AR941" s="33" t="str">
        <f aca="false">IF(A941="","",IF(COUNT(AF941:AJ941)=0,"",SUM(AF941:AJ941)))</f>
        <v/>
      </c>
      <c r="AS941" s="34" t="str">
        <f aca="false">IF(OR(AR941="",N(AO941)=0),"",AR941/AO941)</f>
        <v/>
      </c>
      <c r="AT941" s="34" t="str">
        <f aca="false">IF(OR(AR941="",N(AC941)=0),"",AR941/AC941)</f>
        <v/>
      </c>
      <c r="AU941" s="34" t="str">
        <f aca="false">IF(OR(AR941="",N(S941)=0),"",AR941/S941)</f>
        <v/>
      </c>
      <c r="AV941" s="34" t="str">
        <f aca="false">IF(OR(AJ941="",N(AC941)=0),"",AJ941/AC941)</f>
        <v/>
      </c>
      <c r="AW941" s="34" t="str">
        <f aca="false">IF(OR(AH941="",N(AO941)=0),"",AH941/AO941)</f>
        <v/>
      </c>
      <c r="AX941" s="35" t="str">
        <f aca="false">IF(OR(AR941="",N(AO941)=0),"",(N(AF941)*Settings!$B$6+N(AG941)*Settings!$B$7+N(AH941)*Settings!$B$8+N(AI941)*Settings!$B$9+N(AJ941)*Settings!$B$10)/AO941*1000)</f>
        <v/>
      </c>
      <c r="AY941" s="36" t="str">
        <f aca="false">IF(AS941="","",IFERROR(AS941/AVERAGEIFS('Post Tracker'!$AS$5:$AS$1004,'Post Tracker'!$G$5:$G$1004,G941),""))</f>
        <v/>
      </c>
      <c r="AZ941" s="32"/>
      <c r="BA941" s="32"/>
      <c r="BB941" s="32"/>
      <c r="BC941" s="32"/>
      <c r="BD941" s="33" t="str">
        <f aca="false">IF(A941="","",COUNTIFS('Demo Pipeline'!$Q$5:$Q$504,A941))</f>
        <v/>
      </c>
      <c r="BE941" s="33" t="str">
        <f aca="false">IF(A941="","",COUNTIFS('Demo Pipeline'!$Q$5:$Q$504,A941,'Demo Pipeline'!$W$5:$W$504,"Attended"))</f>
        <v/>
      </c>
      <c r="BF941" s="33" t="str">
        <f aca="false">IF(A941="","",COUNTIFS('Demo Pipeline'!$Q$5:$Q$504,A941,'Demo Pipeline'!$X$5:$X$504,"Yes"))</f>
        <v/>
      </c>
      <c r="BG941" s="33" t="str">
        <f aca="false">IF(A941="","",COUNTIFS('Demo Pipeline'!$Q$5:$Q$504,A941,'Demo Pipeline'!$Y$5:$Y$504,"Closed Won"))</f>
        <v/>
      </c>
      <c r="BH941" s="37" t="str">
        <f aca="false">IF(A941="","",SUMIFS('Demo Pipeline'!$Z$5:$Z$504,'Demo Pipeline'!$Q$5:$Q$504,A941))</f>
        <v/>
      </c>
      <c r="BI941" s="34" t="str">
        <f aca="false">IF(OR(AZ941="",N(AJ941)=0),"",AZ941/AJ941)</f>
        <v/>
      </c>
      <c r="BJ941" s="34" t="str">
        <f aca="false">IF(OR(BB941="",N(AZ941)=0),"",BB941/AZ941)</f>
        <v/>
      </c>
      <c r="BK941" s="34" t="str">
        <f aca="false">IF(OR(A941="",N(BB941)=0),"",BD941/BB941)</f>
        <v/>
      </c>
      <c r="BL941" s="34" t="str">
        <f aca="false">IF(OR(A941="",N(AZ941)=0),"",BD941/AZ941)</f>
        <v/>
      </c>
      <c r="BM941" s="37" t="str">
        <f aca="false">IF(OR(N(Q941)=0,N(BD941)=0),"",Q941/BD941)</f>
        <v/>
      </c>
      <c r="BN941" s="29"/>
      <c r="BO941" s="29"/>
      <c r="BP941" s="33" t="str">
        <f aca="false">IF(OR(AR941="",N(AO941)=0),"",AR941)</f>
        <v/>
      </c>
      <c r="BQ941" s="33" t="str">
        <f aca="false">IF(OR(AR941="",N(S941)=0),"",S941)</f>
        <v/>
      </c>
      <c r="BR941" s="38" t="str">
        <f aca="false">IF(AND(ISNUMBER(B941),B941&gt;=Dashboard!$C$4,B941&lt;=Dashboard!$F$4,ISNUMBER(AU941)),AU941+ROW()/10^9,"")</f>
        <v/>
      </c>
      <c r="BS941" s="38" t="str">
        <f aca="false">IF(AND(ISNUMBER(B941),B941&gt;=Dashboard!$C$4,B941&lt;=Dashboard!$F$4,A941&lt;&gt;""),N(BD941)+N(AU941)/100+ROW()/10^9,"")</f>
        <v/>
      </c>
    </row>
    <row r="942" customFormat="false" ht="15" hidden="false" customHeight="false" outlineLevel="0" collapsed="false">
      <c r="A942" s="24" t="str">
        <f aca="false">IF(OR(B942="",G942="",H942=""),"",IFERROR(INDEX(Settings!$E$5:$E$49,MATCH(G942,Settings!$D$5:$D$49,0))&amp;INDEX(Settings!$H$5:$H$47,MATCH(H942,Settings!$G$5:$G$47,0))&amp;"-"&amp;TEXT(B942,"yymmdd")&amp;"-"&amp;IF(C942="","0000",TEXT(C942,"hhmm")),"CHECK LISTS"))</f>
        <v/>
      </c>
      <c r="B942" s="39"/>
      <c r="C942" s="40"/>
      <c r="D942" s="24" t="str">
        <f aca="false">IF(B942="","",TEXT(B942,"ddd"))</f>
        <v/>
      </c>
      <c r="E942" s="27" t="str">
        <f aca="false">IF(B942="","",B942-WEEKDAY(B942,3))</f>
        <v/>
      </c>
      <c r="F942" s="24" t="str">
        <f aca="false">IF(B942="","",TEXT(B942,"yyyy-mm"))</f>
        <v/>
      </c>
      <c r="G942" s="29"/>
      <c r="H942" s="29"/>
      <c r="I942" s="29"/>
      <c r="J942" s="29"/>
      <c r="K942" s="29"/>
      <c r="L942" s="29"/>
      <c r="M942" s="29"/>
      <c r="N942" s="29"/>
      <c r="O942" s="29"/>
      <c r="P942" s="29"/>
      <c r="Q942" s="30"/>
      <c r="R942" s="29"/>
      <c r="S942" s="32"/>
      <c r="T942" s="29"/>
      <c r="U942" s="29"/>
      <c r="V942" s="24" t="str">
        <f aca="false">IF(A942="","",IFERROR(INDEX(Settings!$F$5:$F$49,MATCH(G942,Settings!$D$5:$D$49,0)),""))</f>
        <v/>
      </c>
      <c r="W942" s="24" t="str">
        <f aca="false">IF(A942="","",IF(OR(P942="",P942="Organic"),"social","paid_social"))</f>
        <v/>
      </c>
      <c r="X942" s="24" t="str">
        <f aca="false">IF(A942="","",IF(K942&lt;&gt;"",IFERROR(INDEX('Case Studies'!$C$5:$C$54,MATCH(K942,'Case Studies'!$B$5:$B$54,0))&amp;"","case-study"),IF(J942&lt;&gt;"",IFERROR(INDEX(Settings!$J$5:$J$55,MATCH(J942,Settings!$I$5:$I$55,0)),"general"),"general")))</f>
        <v/>
      </c>
      <c r="Y942" s="24" t="str">
        <f aca="false">IF(A942="","",LOWER(A942))</f>
        <v/>
      </c>
      <c r="Z942" s="24" t="str">
        <f aca="false">IF(A942="","",IF(T942="",Settings!$B$5,T942)&amp;IF(ISNUMBER(FIND("?",IF(T942="",Settings!$B$5,T942))),"&amp;","?")&amp;"utm_source="&amp;V942&amp;"&amp;utm_medium="&amp;W942&amp;"&amp;utm_campaign="&amp;X942&amp;"&amp;utm_content="&amp;Y942)</f>
        <v/>
      </c>
      <c r="AA942" s="29"/>
      <c r="AB942" s="39"/>
      <c r="AC942" s="32"/>
      <c r="AD942" s="32"/>
      <c r="AE942" s="32"/>
      <c r="AF942" s="32"/>
      <c r="AG942" s="32"/>
      <c r="AH942" s="32"/>
      <c r="AI942" s="32"/>
      <c r="AJ942" s="32"/>
      <c r="AK942" s="32"/>
      <c r="AL942" s="32"/>
      <c r="AM942" s="32"/>
      <c r="AN942" s="32"/>
      <c r="AO942" s="33" t="str">
        <f aca="false">IF(A942="","",IF(AD942&lt;&gt;"",AD942,IF(AC942&lt;&gt;"",AC942,"")))</f>
        <v/>
      </c>
      <c r="AP942" s="24" t="str">
        <f aca="false">IF(AO942="","",IF(AD942&lt;&gt;"","Reported reach","Impressions (proxy)"))</f>
        <v/>
      </c>
      <c r="AQ942" s="34" t="str">
        <f aca="false">IF(OR(AO942="",N(S942)=0),"",AO942/S942)</f>
        <v/>
      </c>
      <c r="AR942" s="33" t="str">
        <f aca="false">IF(A942="","",IF(COUNT(AF942:AJ942)=0,"",SUM(AF942:AJ942)))</f>
        <v/>
      </c>
      <c r="AS942" s="34" t="str">
        <f aca="false">IF(OR(AR942="",N(AO942)=0),"",AR942/AO942)</f>
        <v/>
      </c>
      <c r="AT942" s="34" t="str">
        <f aca="false">IF(OR(AR942="",N(AC942)=0),"",AR942/AC942)</f>
        <v/>
      </c>
      <c r="AU942" s="34" t="str">
        <f aca="false">IF(OR(AR942="",N(S942)=0),"",AR942/S942)</f>
        <v/>
      </c>
      <c r="AV942" s="34" t="str">
        <f aca="false">IF(OR(AJ942="",N(AC942)=0),"",AJ942/AC942)</f>
        <v/>
      </c>
      <c r="AW942" s="34" t="str">
        <f aca="false">IF(OR(AH942="",N(AO942)=0),"",AH942/AO942)</f>
        <v/>
      </c>
      <c r="AX942" s="35" t="str">
        <f aca="false">IF(OR(AR942="",N(AO942)=0),"",(N(AF942)*Settings!$B$6+N(AG942)*Settings!$B$7+N(AH942)*Settings!$B$8+N(AI942)*Settings!$B$9+N(AJ942)*Settings!$B$10)/AO942*1000)</f>
        <v/>
      </c>
      <c r="AY942" s="36" t="str">
        <f aca="false">IF(AS942="","",IFERROR(AS942/AVERAGEIFS('Post Tracker'!$AS$5:$AS$1004,'Post Tracker'!$G$5:$G$1004,G942),""))</f>
        <v/>
      </c>
      <c r="AZ942" s="32"/>
      <c r="BA942" s="32"/>
      <c r="BB942" s="32"/>
      <c r="BC942" s="32"/>
      <c r="BD942" s="33" t="str">
        <f aca="false">IF(A942="","",COUNTIFS('Demo Pipeline'!$Q$5:$Q$504,A942))</f>
        <v/>
      </c>
      <c r="BE942" s="33" t="str">
        <f aca="false">IF(A942="","",COUNTIFS('Demo Pipeline'!$Q$5:$Q$504,A942,'Demo Pipeline'!$W$5:$W$504,"Attended"))</f>
        <v/>
      </c>
      <c r="BF942" s="33" t="str">
        <f aca="false">IF(A942="","",COUNTIFS('Demo Pipeline'!$Q$5:$Q$504,A942,'Demo Pipeline'!$X$5:$X$504,"Yes"))</f>
        <v/>
      </c>
      <c r="BG942" s="33" t="str">
        <f aca="false">IF(A942="","",COUNTIFS('Demo Pipeline'!$Q$5:$Q$504,A942,'Demo Pipeline'!$Y$5:$Y$504,"Closed Won"))</f>
        <v/>
      </c>
      <c r="BH942" s="37" t="str">
        <f aca="false">IF(A942="","",SUMIFS('Demo Pipeline'!$Z$5:$Z$504,'Demo Pipeline'!$Q$5:$Q$504,A942))</f>
        <v/>
      </c>
      <c r="BI942" s="34" t="str">
        <f aca="false">IF(OR(AZ942="",N(AJ942)=0),"",AZ942/AJ942)</f>
        <v/>
      </c>
      <c r="BJ942" s="34" t="str">
        <f aca="false">IF(OR(BB942="",N(AZ942)=0),"",BB942/AZ942)</f>
        <v/>
      </c>
      <c r="BK942" s="34" t="str">
        <f aca="false">IF(OR(A942="",N(BB942)=0),"",BD942/BB942)</f>
        <v/>
      </c>
      <c r="BL942" s="34" t="str">
        <f aca="false">IF(OR(A942="",N(AZ942)=0),"",BD942/AZ942)</f>
        <v/>
      </c>
      <c r="BM942" s="37" t="str">
        <f aca="false">IF(OR(N(Q942)=0,N(BD942)=0),"",Q942/BD942)</f>
        <v/>
      </c>
      <c r="BN942" s="29"/>
      <c r="BO942" s="29"/>
      <c r="BP942" s="33" t="str">
        <f aca="false">IF(OR(AR942="",N(AO942)=0),"",AR942)</f>
        <v/>
      </c>
      <c r="BQ942" s="33" t="str">
        <f aca="false">IF(OR(AR942="",N(S942)=0),"",S942)</f>
        <v/>
      </c>
      <c r="BR942" s="38" t="str">
        <f aca="false">IF(AND(ISNUMBER(B942),B942&gt;=Dashboard!$C$4,B942&lt;=Dashboard!$F$4,ISNUMBER(AU942)),AU942+ROW()/10^9,"")</f>
        <v/>
      </c>
      <c r="BS942" s="38" t="str">
        <f aca="false">IF(AND(ISNUMBER(B942),B942&gt;=Dashboard!$C$4,B942&lt;=Dashboard!$F$4,A942&lt;&gt;""),N(BD942)+N(AU942)/100+ROW()/10^9,"")</f>
        <v/>
      </c>
    </row>
    <row r="943" customFormat="false" ht="15" hidden="false" customHeight="false" outlineLevel="0" collapsed="false">
      <c r="A943" s="24" t="str">
        <f aca="false">IF(OR(B943="",G943="",H943=""),"",IFERROR(INDEX(Settings!$E$5:$E$49,MATCH(G943,Settings!$D$5:$D$49,0))&amp;INDEX(Settings!$H$5:$H$47,MATCH(H943,Settings!$G$5:$G$47,0))&amp;"-"&amp;TEXT(B943,"yymmdd")&amp;"-"&amp;IF(C943="","0000",TEXT(C943,"hhmm")),"CHECK LISTS"))</f>
        <v/>
      </c>
      <c r="B943" s="39"/>
      <c r="C943" s="40"/>
      <c r="D943" s="24" t="str">
        <f aca="false">IF(B943="","",TEXT(B943,"ddd"))</f>
        <v/>
      </c>
      <c r="E943" s="27" t="str">
        <f aca="false">IF(B943="","",B943-WEEKDAY(B943,3))</f>
        <v/>
      </c>
      <c r="F943" s="24" t="str">
        <f aca="false">IF(B943="","",TEXT(B943,"yyyy-mm"))</f>
        <v/>
      </c>
      <c r="G943" s="29"/>
      <c r="H943" s="29"/>
      <c r="I943" s="29"/>
      <c r="J943" s="29"/>
      <c r="K943" s="29"/>
      <c r="L943" s="29"/>
      <c r="M943" s="29"/>
      <c r="N943" s="29"/>
      <c r="O943" s="29"/>
      <c r="P943" s="29"/>
      <c r="Q943" s="30"/>
      <c r="R943" s="29"/>
      <c r="S943" s="32"/>
      <c r="T943" s="29"/>
      <c r="U943" s="29"/>
      <c r="V943" s="24" t="str">
        <f aca="false">IF(A943="","",IFERROR(INDEX(Settings!$F$5:$F$49,MATCH(G943,Settings!$D$5:$D$49,0)),""))</f>
        <v/>
      </c>
      <c r="W943" s="24" t="str">
        <f aca="false">IF(A943="","",IF(OR(P943="",P943="Organic"),"social","paid_social"))</f>
        <v/>
      </c>
      <c r="X943" s="24" t="str">
        <f aca="false">IF(A943="","",IF(K943&lt;&gt;"",IFERROR(INDEX('Case Studies'!$C$5:$C$54,MATCH(K943,'Case Studies'!$B$5:$B$54,0))&amp;"","case-study"),IF(J943&lt;&gt;"",IFERROR(INDEX(Settings!$J$5:$J$55,MATCH(J943,Settings!$I$5:$I$55,0)),"general"),"general")))</f>
        <v/>
      </c>
      <c r="Y943" s="24" t="str">
        <f aca="false">IF(A943="","",LOWER(A943))</f>
        <v/>
      </c>
      <c r="Z943" s="24" t="str">
        <f aca="false">IF(A943="","",IF(T943="",Settings!$B$5,T943)&amp;IF(ISNUMBER(FIND("?",IF(T943="",Settings!$B$5,T943))),"&amp;","?")&amp;"utm_source="&amp;V943&amp;"&amp;utm_medium="&amp;W943&amp;"&amp;utm_campaign="&amp;X943&amp;"&amp;utm_content="&amp;Y943)</f>
        <v/>
      </c>
      <c r="AA943" s="29"/>
      <c r="AB943" s="39"/>
      <c r="AC943" s="32"/>
      <c r="AD943" s="32"/>
      <c r="AE943" s="32"/>
      <c r="AF943" s="32"/>
      <c r="AG943" s="32"/>
      <c r="AH943" s="32"/>
      <c r="AI943" s="32"/>
      <c r="AJ943" s="32"/>
      <c r="AK943" s="32"/>
      <c r="AL943" s="32"/>
      <c r="AM943" s="32"/>
      <c r="AN943" s="32"/>
      <c r="AO943" s="33" t="str">
        <f aca="false">IF(A943="","",IF(AD943&lt;&gt;"",AD943,IF(AC943&lt;&gt;"",AC943,"")))</f>
        <v/>
      </c>
      <c r="AP943" s="24" t="str">
        <f aca="false">IF(AO943="","",IF(AD943&lt;&gt;"","Reported reach","Impressions (proxy)"))</f>
        <v/>
      </c>
      <c r="AQ943" s="34" t="str">
        <f aca="false">IF(OR(AO943="",N(S943)=0),"",AO943/S943)</f>
        <v/>
      </c>
      <c r="AR943" s="33" t="str">
        <f aca="false">IF(A943="","",IF(COUNT(AF943:AJ943)=0,"",SUM(AF943:AJ943)))</f>
        <v/>
      </c>
      <c r="AS943" s="34" t="str">
        <f aca="false">IF(OR(AR943="",N(AO943)=0),"",AR943/AO943)</f>
        <v/>
      </c>
      <c r="AT943" s="34" t="str">
        <f aca="false">IF(OR(AR943="",N(AC943)=0),"",AR943/AC943)</f>
        <v/>
      </c>
      <c r="AU943" s="34" t="str">
        <f aca="false">IF(OR(AR943="",N(S943)=0),"",AR943/S943)</f>
        <v/>
      </c>
      <c r="AV943" s="34" t="str">
        <f aca="false">IF(OR(AJ943="",N(AC943)=0),"",AJ943/AC943)</f>
        <v/>
      </c>
      <c r="AW943" s="34" t="str">
        <f aca="false">IF(OR(AH943="",N(AO943)=0),"",AH943/AO943)</f>
        <v/>
      </c>
      <c r="AX943" s="35" t="str">
        <f aca="false">IF(OR(AR943="",N(AO943)=0),"",(N(AF943)*Settings!$B$6+N(AG943)*Settings!$B$7+N(AH943)*Settings!$B$8+N(AI943)*Settings!$B$9+N(AJ943)*Settings!$B$10)/AO943*1000)</f>
        <v/>
      </c>
      <c r="AY943" s="36" t="str">
        <f aca="false">IF(AS943="","",IFERROR(AS943/AVERAGEIFS('Post Tracker'!$AS$5:$AS$1004,'Post Tracker'!$G$5:$G$1004,G943),""))</f>
        <v/>
      </c>
      <c r="AZ943" s="32"/>
      <c r="BA943" s="32"/>
      <c r="BB943" s="32"/>
      <c r="BC943" s="32"/>
      <c r="BD943" s="33" t="str">
        <f aca="false">IF(A943="","",COUNTIFS('Demo Pipeline'!$Q$5:$Q$504,A943))</f>
        <v/>
      </c>
      <c r="BE943" s="33" t="str">
        <f aca="false">IF(A943="","",COUNTIFS('Demo Pipeline'!$Q$5:$Q$504,A943,'Demo Pipeline'!$W$5:$W$504,"Attended"))</f>
        <v/>
      </c>
      <c r="BF943" s="33" t="str">
        <f aca="false">IF(A943="","",COUNTIFS('Demo Pipeline'!$Q$5:$Q$504,A943,'Demo Pipeline'!$X$5:$X$504,"Yes"))</f>
        <v/>
      </c>
      <c r="BG943" s="33" t="str">
        <f aca="false">IF(A943="","",COUNTIFS('Demo Pipeline'!$Q$5:$Q$504,A943,'Demo Pipeline'!$Y$5:$Y$504,"Closed Won"))</f>
        <v/>
      </c>
      <c r="BH943" s="37" t="str">
        <f aca="false">IF(A943="","",SUMIFS('Demo Pipeline'!$Z$5:$Z$504,'Demo Pipeline'!$Q$5:$Q$504,A943))</f>
        <v/>
      </c>
      <c r="BI943" s="34" t="str">
        <f aca="false">IF(OR(AZ943="",N(AJ943)=0),"",AZ943/AJ943)</f>
        <v/>
      </c>
      <c r="BJ943" s="34" t="str">
        <f aca="false">IF(OR(BB943="",N(AZ943)=0),"",BB943/AZ943)</f>
        <v/>
      </c>
      <c r="BK943" s="34" t="str">
        <f aca="false">IF(OR(A943="",N(BB943)=0),"",BD943/BB943)</f>
        <v/>
      </c>
      <c r="BL943" s="34" t="str">
        <f aca="false">IF(OR(A943="",N(AZ943)=0),"",BD943/AZ943)</f>
        <v/>
      </c>
      <c r="BM943" s="37" t="str">
        <f aca="false">IF(OR(N(Q943)=0,N(BD943)=0),"",Q943/BD943)</f>
        <v/>
      </c>
      <c r="BN943" s="29"/>
      <c r="BO943" s="29"/>
      <c r="BP943" s="33" t="str">
        <f aca="false">IF(OR(AR943="",N(AO943)=0),"",AR943)</f>
        <v/>
      </c>
      <c r="BQ943" s="33" t="str">
        <f aca="false">IF(OR(AR943="",N(S943)=0),"",S943)</f>
        <v/>
      </c>
      <c r="BR943" s="38" t="str">
        <f aca="false">IF(AND(ISNUMBER(B943),B943&gt;=Dashboard!$C$4,B943&lt;=Dashboard!$F$4,ISNUMBER(AU943)),AU943+ROW()/10^9,"")</f>
        <v/>
      </c>
      <c r="BS943" s="38" t="str">
        <f aca="false">IF(AND(ISNUMBER(B943),B943&gt;=Dashboard!$C$4,B943&lt;=Dashboard!$F$4,A943&lt;&gt;""),N(BD943)+N(AU943)/100+ROW()/10^9,"")</f>
        <v/>
      </c>
    </row>
    <row r="944" customFormat="false" ht="15" hidden="false" customHeight="false" outlineLevel="0" collapsed="false">
      <c r="A944" s="24" t="str">
        <f aca="false">IF(OR(B944="",G944="",H944=""),"",IFERROR(INDEX(Settings!$E$5:$E$49,MATCH(G944,Settings!$D$5:$D$49,0))&amp;INDEX(Settings!$H$5:$H$47,MATCH(H944,Settings!$G$5:$G$47,0))&amp;"-"&amp;TEXT(B944,"yymmdd")&amp;"-"&amp;IF(C944="","0000",TEXT(C944,"hhmm")),"CHECK LISTS"))</f>
        <v/>
      </c>
      <c r="B944" s="39"/>
      <c r="C944" s="40"/>
      <c r="D944" s="24" t="str">
        <f aca="false">IF(B944="","",TEXT(B944,"ddd"))</f>
        <v/>
      </c>
      <c r="E944" s="27" t="str">
        <f aca="false">IF(B944="","",B944-WEEKDAY(B944,3))</f>
        <v/>
      </c>
      <c r="F944" s="24" t="str">
        <f aca="false">IF(B944="","",TEXT(B944,"yyyy-mm"))</f>
        <v/>
      </c>
      <c r="G944" s="29"/>
      <c r="H944" s="29"/>
      <c r="I944" s="29"/>
      <c r="J944" s="29"/>
      <c r="K944" s="29"/>
      <c r="L944" s="29"/>
      <c r="M944" s="29"/>
      <c r="N944" s="29"/>
      <c r="O944" s="29"/>
      <c r="P944" s="29"/>
      <c r="Q944" s="30"/>
      <c r="R944" s="29"/>
      <c r="S944" s="32"/>
      <c r="T944" s="29"/>
      <c r="U944" s="29"/>
      <c r="V944" s="24" t="str">
        <f aca="false">IF(A944="","",IFERROR(INDEX(Settings!$F$5:$F$49,MATCH(G944,Settings!$D$5:$D$49,0)),""))</f>
        <v/>
      </c>
      <c r="W944" s="24" t="str">
        <f aca="false">IF(A944="","",IF(OR(P944="",P944="Organic"),"social","paid_social"))</f>
        <v/>
      </c>
      <c r="X944" s="24" t="str">
        <f aca="false">IF(A944="","",IF(K944&lt;&gt;"",IFERROR(INDEX('Case Studies'!$C$5:$C$54,MATCH(K944,'Case Studies'!$B$5:$B$54,0))&amp;"","case-study"),IF(J944&lt;&gt;"",IFERROR(INDEX(Settings!$J$5:$J$55,MATCH(J944,Settings!$I$5:$I$55,0)),"general"),"general")))</f>
        <v/>
      </c>
      <c r="Y944" s="24" t="str">
        <f aca="false">IF(A944="","",LOWER(A944))</f>
        <v/>
      </c>
      <c r="Z944" s="24" t="str">
        <f aca="false">IF(A944="","",IF(T944="",Settings!$B$5,T944)&amp;IF(ISNUMBER(FIND("?",IF(T944="",Settings!$B$5,T944))),"&amp;","?")&amp;"utm_source="&amp;V944&amp;"&amp;utm_medium="&amp;W944&amp;"&amp;utm_campaign="&amp;X944&amp;"&amp;utm_content="&amp;Y944)</f>
        <v/>
      </c>
      <c r="AA944" s="29"/>
      <c r="AB944" s="39"/>
      <c r="AC944" s="32"/>
      <c r="AD944" s="32"/>
      <c r="AE944" s="32"/>
      <c r="AF944" s="32"/>
      <c r="AG944" s="32"/>
      <c r="AH944" s="32"/>
      <c r="AI944" s="32"/>
      <c r="AJ944" s="32"/>
      <c r="AK944" s="32"/>
      <c r="AL944" s="32"/>
      <c r="AM944" s="32"/>
      <c r="AN944" s="32"/>
      <c r="AO944" s="33" t="str">
        <f aca="false">IF(A944="","",IF(AD944&lt;&gt;"",AD944,IF(AC944&lt;&gt;"",AC944,"")))</f>
        <v/>
      </c>
      <c r="AP944" s="24" t="str">
        <f aca="false">IF(AO944="","",IF(AD944&lt;&gt;"","Reported reach","Impressions (proxy)"))</f>
        <v/>
      </c>
      <c r="AQ944" s="34" t="str">
        <f aca="false">IF(OR(AO944="",N(S944)=0),"",AO944/S944)</f>
        <v/>
      </c>
      <c r="AR944" s="33" t="str">
        <f aca="false">IF(A944="","",IF(COUNT(AF944:AJ944)=0,"",SUM(AF944:AJ944)))</f>
        <v/>
      </c>
      <c r="AS944" s="34" t="str">
        <f aca="false">IF(OR(AR944="",N(AO944)=0),"",AR944/AO944)</f>
        <v/>
      </c>
      <c r="AT944" s="34" t="str">
        <f aca="false">IF(OR(AR944="",N(AC944)=0),"",AR944/AC944)</f>
        <v/>
      </c>
      <c r="AU944" s="34" t="str">
        <f aca="false">IF(OR(AR944="",N(S944)=0),"",AR944/S944)</f>
        <v/>
      </c>
      <c r="AV944" s="34" t="str">
        <f aca="false">IF(OR(AJ944="",N(AC944)=0),"",AJ944/AC944)</f>
        <v/>
      </c>
      <c r="AW944" s="34" t="str">
        <f aca="false">IF(OR(AH944="",N(AO944)=0),"",AH944/AO944)</f>
        <v/>
      </c>
      <c r="AX944" s="35" t="str">
        <f aca="false">IF(OR(AR944="",N(AO944)=0),"",(N(AF944)*Settings!$B$6+N(AG944)*Settings!$B$7+N(AH944)*Settings!$B$8+N(AI944)*Settings!$B$9+N(AJ944)*Settings!$B$10)/AO944*1000)</f>
        <v/>
      </c>
      <c r="AY944" s="36" t="str">
        <f aca="false">IF(AS944="","",IFERROR(AS944/AVERAGEIFS('Post Tracker'!$AS$5:$AS$1004,'Post Tracker'!$G$5:$G$1004,G944),""))</f>
        <v/>
      </c>
      <c r="AZ944" s="32"/>
      <c r="BA944" s="32"/>
      <c r="BB944" s="32"/>
      <c r="BC944" s="32"/>
      <c r="BD944" s="33" t="str">
        <f aca="false">IF(A944="","",COUNTIFS('Demo Pipeline'!$Q$5:$Q$504,A944))</f>
        <v/>
      </c>
      <c r="BE944" s="33" t="str">
        <f aca="false">IF(A944="","",COUNTIFS('Demo Pipeline'!$Q$5:$Q$504,A944,'Demo Pipeline'!$W$5:$W$504,"Attended"))</f>
        <v/>
      </c>
      <c r="BF944" s="33" t="str">
        <f aca="false">IF(A944="","",COUNTIFS('Demo Pipeline'!$Q$5:$Q$504,A944,'Demo Pipeline'!$X$5:$X$504,"Yes"))</f>
        <v/>
      </c>
      <c r="BG944" s="33" t="str">
        <f aca="false">IF(A944="","",COUNTIFS('Demo Pipeline'!$Q$5:$Q$504,A944,'Demo Pipeline'!$Y$5:$Y$504,"Closed Won"))</f>
        <v/>
      </c>
      <c r="BH944" s="37" t="str">
        <f aca="false">IF(A944="","",SUMIFS('Demo Pipeline'!$Z$5:$Z$504,'Demo Pipeline'!$Q$5:$Q$504,A944))</f>
        <v/>
      </c>
      <c r="BI944" s="34" t="str">
        <f aca="false">IF(OR(AZ944="",N(AJ944)=0),"",AZ944/AJ944)</f>
        <v/>
      </c>
      <c r="BJ944" s="34" t="str">
        <f aca="false">IF(OR(BB944="",N(AZ944)=0),"",BB944/AZ944)</f>
        <v/>
      </c>
      <c r="BK944" s="34" t="str">
        <f aca="false">IF(OR(A944="",N(BB944)=0),"",BD944/BB944)</f>
        <v/>
      </c>
      <c r="BL944" s="34" t="str">
        <f aca="false">IF(OR(A944="",N(AZ944)=0),"",BD944/AZ944)</f>
        <v/>
      </c>
      <c r="BM944" s="37" t="str">
        <f aca="false">IF(OR(N(Q944)=0,N(BD944)=0),"",Q944/BD944)</f>
        <v/>
      </c>
      <c r="BN944" s="29"/>
      <c r="BO944" s="29"/>
      <c r="BP944" s="33" t="str">
        <f aca="false">IF(OR(AR944="",N(AO944)=0),"",AR944)</f>
        <v/>
      </c>
      <c r="BQ944" s="33" t="str">
        <f aca="false">IF(OR(AR944="",N(S944)=0),"",S944)</f>
        <v/>
      </c>
      <c r="BR944" s="38" t="str">
        <f aca="false">IF(AND(ISNUMBER(B944),B944&gt;=Dashboard!$C$4,B944&lt;=Dashboard!$F$4,ISNUMBER(AU944)),AU944+ROW()/10^9,"")</f>
        <v/>
      </c>
      <c r="BS944" s="38" t="str">
        <f aca="false">IF(AND(ISNUMBER(B944),B944&gt;=Dashboard!$C$4,B944&lt;=Dashboard!$F$4,A944&lt;&gt;""),N(BD944)+N(AU944)/100+ROW()/10^9,"")</f>
        <v/>
      </c>
    </row>
    <row r="945" customFormat="false" ht="15" hidden="false" customHeight="false" outlineLevel="0" collapsed="false">
      <c r="A945" s="24" t="str">
        <f aca="false">IF(OR(B945="",G945="",H945=""),"",IFERROR(INDEX(Settings!$E$5:$E$49,MATCH(G945,Settings!$D$5:$D$49,0))&amp;INDEX(Settings!$H$5:$H$47,MATCH(H945,Settings!$G$5:$G$47,0))&amp;"-"&amp;TEXT(B945,"yymmdd")&amp;"-"&amp;IF(C945="","0000",TEXT(C945,"hhmm")),"CHECK LISTS"))</f>
        <v/>
      </c>
      <c r="B945" s="39"/>
      <c r="C945" s="40"/>
      <c r="D945" s="24" t="str">
        <f aca="false">IF(B945="","",TEXT(B945,"ddd"))</f>
        <v/>
      </c>
      <c r="E945" s="27" t="str">
        <f aca="false">IF(B945="","",B945-WEEKDAY(B945,3))</f>
        <v/>
      </c>
      <c r="F945" s="24" t="str">
        <f aca="false">IF(B945="","",TEXT(B945,"yyyy-mm"))</f>
        <v/>
      </c>
      <c r="G945" s="29"/>
      <c r="H945" s="29"/>
      <c r="I945" s="29"/>
      <c r="J945" s="29"/>
      <c r="K945" s="29"/>
      <c r="L945" s="29"/>
      <c r="M945" s="29"/>
      <c r="N945" s="29"/>
      <c r="O945" s="29"/>
      <c r="P945" s="29"/>
      <c r="Q945" s="30"/>
      <c r="R945" s="29"/>
      <c r="S945" s="32"/>
      <c r="T945" s="29"/>
      <c r="U945" s="29"/>
      <c r="V945" s="24" t="str">
        <f aca="false">IF(A945="","",IFERROR(INDEX(Settings!$F$5:$F$49,MATCH(G945,Settings!$D$5:$D$49,0)),""))</f>
        <v/>
      </c>
      <c r="W945" s="24" t="str">
        <f aca="false">IF(A945="","",IF(OR(P945="",P945="Organic"),"social","paid_social"))</f>
        <v/>
      </c>
      <c r="X945" s="24" t="str">
        <f aca="false">IF(A945="","",IF(K945&lt;&gt;"",IFERROR(INDEX('Case Studies'!$C$5:$C$54,MATCH(K945,'Case Studies'!$B$5:$B$54,0))&amp;"","case-study"),IF(J945&lt;&gt;"",IFERROR(INDEX(Settings!$J$5:$J$55,MATCH(J945,Settings!$I$5:$I$55,0)),"general"),"general")))</f>
        <v/>
      </c>
      <c r="Y945" s="24" t="str">
        <f aca="false">IF(A945="","",LOWER(A945))</f>
        <v/>
      </c>
      <c r="Z945" s="24" t="str">
        <f aca="false">IF(A945="","",IF(T945="",Settings!$B$5,T945)&amp;IF(ISNUMBER(FIND("?",IF(T945="",Settings!$B$5,T945))),"&amp;","?")&amp;"utm_source="&amp;V945&amp;"&amp;utm_medium="&amp;W945&amp;"&amp;utm_campaign="&amp;X945&amp;"&amp;utm_content="&amp;Y945)</f>
        <v/>
      </c>
      <c r="AA945" s="29"/>
      <c r="AB945" s="39"/>
      <c r="AC945" s="32"/>
      <c r="AD945" s="32"/>
      <c r="AE945" s="32"/>
      <c r="AF945" s="32"/>
      <c r="AG945" s="32"/>
      <c r="AH945" s="32"/>
      <c r="AI945" s="32"/>
      <c r="AJ945" s="32"/>
      <c r="AK945" s="32"/>
      <c r="AL945" s="32"/>
      <c r="AM945" s="32"/>
      <c r="AN945" s="32"/>
      <c r="AO945" s="33" t="str">
        <f aca="false">IF(A945="","",IF(AD945&lt;&gt;"",AD945,IF(AC945&lt;&gt;"",AC945,"")))</f>
        <v/>
      </c>
      <c r="AP945" s="24" t="str">
        <f aca="false">IF(AO945="","",IF(AD945&lt;&gt;"","Reported reach","Impressions (proxy)"))</f>
        <v/>
      </c>
      <c r="AQ945" s="34" t="str">
        <f aca="false">IF(OR(AO945="",N(S945)=0),"",AO945/S945)</f>
        <v/>
      </c>
      <c r="AR945" s="33" t="str">
        <f aca="false">IF(A945="","",IF(COUNT(AF945:AJ945)=0,"",SUM(AF945:AJ945)))</f>
        <v/>
      </c>
      <c r="AS945" s="34" t="str">
        <f aca="false">IF(OR(AR945="",N(AO945)=0),"",AR945/AO945)</f>
        <v/>
      </c>
      <c r="AT945" s="34" t="str">
        <f aca="false">IF(OR(AR945="",N(AC945)=0),"",AR945/AC945)</f>
        <v/>
      </c>
      <c r="AU945" s="34" t="str">
        <f aca="false">IF(OR(AR945="",N(S945)=0),"",AR945/S945)</f>
        <v/>
      </c>
      <c r="AV945" s="34" t="str">
        <f aca="false">IF(OR(AJ945="",N(AC945)=0),"",AJ945/AC945)</f>
        <v/>
      </c>
      <c r="AW945" s="34" t="str">
        <f aca="false">IF(OR(AH945="",N(AO945)=0),"",AH945/AO945)</f>
        <v/>
      </c>
      <c r="AX945" s="35" t="str">
        <f aca="false">IF(OR(AR945="",N(AO945)=0),"",(N(AF945)*Settings!$B$6+N(AG945)*Settings!$B$7+N(AH945)*Settings!$B$8+N(AI945)*Settings!$B$9+N(AJ945)*Settings!$B$10)/AO945*1000)</f>
        <v/>
      </c>
      <c r="AY945" s="36" t="str">
        <f aca="false">IF(AS945="","",IFERROR(AS945/AVERAGEIFS('Post Tracker'!$AS$5:$AS$1004,'Post Tracker'!$G$5:$G$1004,G945),""))</f>
        <v/>
      </c>
      <c r="AZ945" s="32"/>
      <c r="BA945" s="32"/>
      <c r="BB945" s="32"/>
      <c r="BC945" s="32"/>
      <c r="BD945" s="33" t="str">
        <f aca="false">IF(A945="","",COUNTIFS('Demo Pipeline'!$Q$5:$Q$504,A945))</f>
        <v/>
      </c>
      <c r="BE945" s="33" t="str">
        <f aca="false">IF(A945="","",COUNTIFS('Demo Pipeline'!$Q$5:$Q$504,A945,'Demo Pipeline'!$W$5:$W$504,"Attended"))</f>
        <v/>
      </c>
      <c r="BF945" s="33" t="str">
        <f aca="false">IF(A945="","",COUNTIFS('Demo Pipeline'!$Q$5:$Q$504,A945,'Demo Pipeline'!$X$5:$X$504,"Yes"))</f>
        <v/>
      </c>
      <c r="BG945" s="33" t="str">
        <f aca="false">IF(A945="","",COUNTIFS('Demo Pipeline'!$Q$5:$Q$504,A945,'Demo Pipeline'!$Y$5:$Y$504,"Closed Won"))</f>
        <v/>
      </c>
      <c r="BH945" s="37" t="str">
        <f aca="false">IF(A945="","",SUMIFS('Demo Pipeline'!$Z$5:$Z$504,'Demo Pipeline'!$Q$5:$Q$504,A945))</f>
        <v/>
      </c>
      <c r="BI945" s="34" t="str">
        <f aca="false">IF(OR(AZ945="",N(AJ945)=0),"",AZ945/AJ945)</f>
        <v/>
      </c>
      <c r="BJ945" s="34" t="str">
        <f aca="false">IF(OR(BB945="",N(AZ945)=0),"",BB945/AZ945)</f>
        <v/>
      </c>
      <c r="BK945" s="34" t="str">
        <f aca="false">IF(OR(A945="",N(BB945)=0),"",BD945/BB945)</f>
        <v/>
      </c>
      <c r="BL945" s="34" t="str">
        <f aca="false">IF(OR(A945="",N(AZ945)=0),"",BD945/AZ945)</f>
        <v/>
      </c>
      <c r="BM945" s="37" t="str">
        <f aca="false">IF(OR(N(Q945)=0,N(BD945)=0),"",Q945/BD945)</f>
        <v/>
      </c>
      <c r="BN945" s="29"/>
      <c r="BO945" s="29"/>
      <c r="BP945" s="33" t="str">
        <f aca="false">IF(OR(AR945="",N(AO945)=0),"",AR945)</f>
        <v/>
      </c>
      <c r="BQ945" s="33" t="str">
        <f aca="false">IF(OR(AR945="",N(S945)=0),"",S945)</f>
        <v/>
      </c>
      <c r="BR945" s="38" t="str">
        <f aca="false">IF(AND(ISNUMBER(B945),B945&gt;=Dashboard!$C$4,B945&lt;=Dashboard!$F$4,ISNUMBER(AU945)),AU945+ROW()/10^9,"")</f>
        <v/>
      </c>
      <c r="BS945" s="38" t="str">
        <f aca="false">IF(AND(ISNUMBER(B945),B945&gt;=Dashboard!$C$4,B945&lt;=Dashboard!$F$4,A945&lt;&gt;""),N(BD945)+N(AU945)/100+ROW()/10^9,"")</f>
        <v/>
      </c>
    </row>
    <row r="946" customFormat="false" ht="15" hidden="false" customHeight="false" outlineLevel="0" collapsed="false">
      <c r="A946" s="24" t="str">
        <f aca="false">IF(OR(B946="",G946="",H946=""),"",IFERROR(INDEX(Settings!$E$5:$E$49,MATCH(G946,Settings!$D$5:$D$49,0))&amp;INDEX(Settings!$H$5:$H$47,MATCH(H946,Settings!$G$5:$G$47,0))&amp;"-"&amp;TEXT(B946,"yymmdd")&amp;"-"&amp;IF(C946="","0000",TEXT(C946,"hhmm")),"CHECK LISTS"))</f>
        <v/>
      </c>
      <c r="B946" s="39"/>
      <c r="C946" s="40"/>
      <c r="D946" s="24" t="str">
        <f aca="false">IF(B946="","",TEXT(B946,"ddd"))</f>
        <v/>
      </c>
      <c r="E946" s="27" t="str">
        <f aca="false">IF(B946="","",B946-WEEKDAY(B946,3))</f>
        <v/>
      </c>
      <c r="F946" s="24" t="str">
        <f aca="false">IF(B946="","",TEXT(B946,"yyyy-mm"))</f>
        <v/>
      </c>
      <c r="G946" s="29"/>
      <c r="H946" s="29"/>
      <c r="I946" s="29"/>
      <c r="J946" s="29"/>
      <c r="K946" s="29"/>
      <c r="L946" s="29"/>
      <c r="M946" s="29"/>
      <c r="N946" s="29"/>
      <c r="O946" s="29"/>
      <c r="P946" s="29"/>
      <c r="Q946" s="30"/>
      <c r="R946" s="29"/>
      <c r="S946" s="32"/>
      <c r="T946" s="29"/>
      <c r="U946" s="29"/>
      <c r="V946" s="24" t="str">
        <f aca="false">IF(A946="","",IFERROR(INDEX(Settings!$F$5:$F$49,MATCH(G946,Settings!$D$5:$D$49,0)),""))</f>
        <v/>
      </c>
      <c r="W946" s="24" t="str">
        <f aca="false">IF(A946="","",IF(OR(P946="",P946="Organic"),"social","paid_social"))</f>
        <v/>
      </c>
      <c r="X946" s="24" t="str">
        <f aca="false">IF(A946="","",IF(K946&lt;&gt;"",IFERROR(INDEX('Case Studies'!$C$5:$C$54,MATCH(K946,'Case Studies'!$B$5:$B$54,0))&amp;"","case-study"),IF(J946&lt;&gt;"",IFERROR(INDEX(Settings!$J$5:$J$55,MATCH(J946,Settings!$I$5:$I$55,0)),"general"),"general")))</f>
        <v/>
      </c>
      <c r="Y946" s="24" t="str">
        <f aca="false">IF(A946="","",LOWER(A946))</f>
        <v/>
      </c>
      <c r="Z946" s="24" t="str">
        <f aca="false">IF(A946="","",IF(T946="",Settings!$B$5,T946)&amp;IF(ISNUMBER(FIND("?",IF(T946="",Settings!$B$5,T946))),"&amp;","?")&amp;"utm_source="&amp;V946&amp;"&amp;utm_medium="&amp;W946&amp;"&amp;utm_campaign="&amp;X946&amp;"&amp;utm_content="&amp;Y946)</f>
        <v/>
      </c>
      <c r="AA946" s="29"/>
      <c r="AB946" s="39"/>
      <c r="AC946" s="32"/>
      <c r="AD946" s="32"/>
      <c r="AE946" s="32"/>
      <c r="AF946" s="32"/>
      <c r="AG946" s="32"/>
      <c r="AH946" s="32"/>
      <c r="AI946" s="32"/>
      <c r="AJ946" s="32"/>
      <c r="AK946" s="32"/>
      <c r="AL946" s="32"/>
      <c r="AM946" s="32"/>
      <c r="AN946" s="32"/>
      <c r="AO946" s="33" t="str">
        <f aca="false">IF(A946="","",IF(AD946&lt;&gt;"",AD946,IF(AC946&lt;&gt;"",AC946,"")))</f>
        <v/>
      </c>
      <c r="AP946" s="24" t="str">
        <f aca="false">IF(AO946="","",IF(AD946&lt;&gt;"","Reported reach","Impressions (proxy)"))</f>
        <v/>
      </c>
      <c r="AQ946" s="34" t="str">
        <f aca="false">IF(OR(AO946="",N(S946)=0),"",AO946/S946)</f>
        <v/>
      </c>
      <c r="AR946" s="33" t="str">
        <f aca="false">IF(A946="","",IF(COUNT(AF946:AJ946)=0,"",SUM(AF946:AJ946)))</f>
        <v/>
      </c>
      <c r="AS946" s="34" t="str">
        <f aca="false">IF(OR(AR946="",N(AO946)=0),"",AR946/AO946)</f>
        <v/>
      </c>
      <c r="AT946" s="34" t="str">
        <f aca="false">IF(OR(AR946="",N(AC946)=0),"",AR946/AC946)</f>
        <v/>
      </c>
      <c r="AU946" s="34" t="str">
        <f aca="false">IF(OR(AR946="",N(S946)=0),"",AR946/S946)</f>
        <v/>
      </c>
      <c r="AV946" s="34" t="str">
        <f aca="false">IF(OR(AJ946="",N(AC946)=0),"",AJ946/AC946)</f>
        <v/>
      </c>
      <c r="AW946" s="34" t="str">
        <f aca="false">IF(OR(AH946="",N(AO946)=0),"",AH946/AO946)</f>
        <v/>
      </c>
      <c r="AX946" s="35" t="str">
        <f aca="false">IF(OR(AR946="",N(AO946)=0),"",(N(AF946)*Settings!$B$6+N(AG946)*Settings!$B$7+N(AH946)*Settings!$B$8+N(AI946)*Settings!$B$9+N(AJ946)*Settings!$B$10)/AO946*1000)</f>
        <v/>
      </c>
      <c r="AY946" s="36" t="str">
        <f aca="false">IF(AS946="","",IFERROR(AS946/AVERAGEIFS('Post Tracker'!$AS$5:$AS$1004,'Post Tracker'!$G$5:$G$1004,G946),""))</f>
        <v/>
      </c>
      <c r="AZ946" s="32"/>
      <c r="BA946" s="32"/>
      <c r="BB946" s="32"/>
      <c r="BC946" s="32"/>
      <c r="BD946" s="33" t="str">
        <f aca="false">IF(A946="","",COUNTIFS('Demo Pipeline'!$Q$5:$Q$504,A946))</f>
        <v/>
      </c>
      <c r="BE946" s="33" t="str">
        <f aca="false">IF(A946="","",COUNTIFS('Demo Pipeline'!$Q$5:$Q$504,A946,'Demo Pipeline'!$W$5:$W$504,"Attended"))</f>
        <v/>
      </c>
      <c r="BF946" s="33" t="str">
        <f aca="false">IF(A946="","",COUNTIFS('Demo Pipeline'!$Q$5:$Q$504,A946,'Demo Pipeline'!$X$5:$X$504,"Yes"))</f>
        <v/>
      </c>
      <c r="BG946" s="33" t="str">
        <f aca="false">IF(A946="","",COUNTIFS('Demo Pipeline'!$Q$5:$Q$504,A946,'Demo Pipeline'!$Y$5:$Y$504,"Closed Won"))</f>
        <v/>
      </c>
      <c r="BH946" s="37" t="str">
        <f aca="false">IF(A946="","",SUMIFS('Demo Pipeline'!$Z$5:$Z$504,'Demo Pipeline'!$Q$5:$Q$504,A946))</f>
        <v/>
      </c>
      <c r="BI946" s="34" t="str">
        <f aca="false">IF(OR(AZ946="",N(AJ946)=0),"",AZ946/AJ946)</f>
        <v/>
      </c>
      <c r="BJ946" s="34" t="str">
        <f aca="false">IF(OR(BB946="",N(AZ946)=0),"",BB946/AZ946)</f>
        <v/>
      </c>
      <c r="BK946" s="34" t="str">
        <f aca="false">IF(OR(A946="",N(BB946)=0),"",BD946/BB946)</f>
        <v/>
      </c>
      <c r="BL946" s="34" t="str">
        <f aca="false">IF(OR(A946="",N(AZ946)=0),"",BD946/AZ946)</f>
        <v/>
      </c>
      <c r="BM946" s="37" t="str">
        <f aca="false">IF(OR(N(Q946)=0,N(BD946)=0),"",Q946/BD946)</f>
        <v/>
      </c>
      <c r="BN946" s="29"/>
      <c r="BO946" s="29"/>
      <c r="BP946" s="33" t="str">
        <f aca="false">IF(OR(AR946="",N(AO946)=0),"",AR946)</f>
        <v/>
      </c>
      <c r="BQ946" s="33" t="str">
        <f aca="false">IF(OR(AR946="",N(S946)=0),"",S946)</f>
        <v/>
      </c>
      <c r="BR946" s="38" t="str">
        <f aca="false">IF(AND(ISNUMBER(B946),B946&gt;=Dashboard!$C$4,B946&lt;=Dashboard!$F$4,ISNUMBER(AU946)),AU946+ROW()/10^9,"")</f>
        <v/>
      </c>
      <c r="BS946" s="38" t="str">
        <f aca="false">IF(AND(ISNUMBER(B946),B946&gt;=Dashboard!$C$4,B946&lt;=Dashboard!$F$4,A946&lt;&gt;""),N(BD946)+N(AU946)/100+ROW()/10^9,"")</f>
        <v/>
      </c>
    </row>
    <row r="947" customFormat="false" ht="15" hidden="false" customHeight="false" outlineLevel="0" collapsed="false">
      <c r="A947" s="24" t="str">
        <f aca="false">IF(OR(B947="",G947="",H947=""),"",IFERROR(INDEX(Settings!$E$5:$E$49,MATCH(G947,Settings!$D$5:$D$49,0))&amp;INDEX(Settings!$H$5:$H$47,MATCH(H947,Settings!$G$5:$G$47,0))&amp;"-"&amp;TEXT(B947,"yymmdd")&amp;"-"&amp;IF(C947="","0000",TEXT(C947,"hhmm")),"CHECK LISTS"))</f>
        <v/>
      </c>
      <c r="B947" s="39"/>
      <c r="C947" s="40"/>
      <c r="D947" s="24" t="str">
        <f aca="false">IF(B947="","",TEXT(B947,"ddd"))</f>
        <v/>
      </c>
      <c r="E947" s="27" t="str">
        <f aca="false">IF(B947="","",B947-WEEKDAY(B947,3))</f>
        <v/>
      </c>
      <c r="F947" s="24" t="str">
        <f aca="false">IF(B947="","",TEXT(B947,"yyyy-mm"))</f>
        <v/>
      </c>
      <c r="G947" s="29"/>
      <c r="H947" s="29"/>
      <c r="I947" s="29"/>
      <c r="J947" s="29"/>
      <c r="K947" s="29"/>
      <c r="L947" s="29"/>
      <c r="M947" s="29"/>
      <c r="N947" s="29"/>
      <c r="O947" s="29"/>
      <c r="P947" s="29"/>
      <c r="Q947" s="30"/>
      <c r="R947" s="29"/>
      <c r="S947" s="32"/>
      <c r="T947" s="29"/>
      <c r="U947" s="29"/>
      <c r="V947" s="24" t="str">
        <f aca="false">IF(A947="","",IFERROR(INDEX(Settings!$F$5:$F$49,MATCH(G947,Settings!$D$5:$D$49,0)),""))</f>
        <v/>
      </c>
      <c r="W947" s="24" t="str">
        <f aca="false">IF(A947="","",IF(OR(P947="",P947="Organic"),"social","paid_social"))</f>
        <v/>
      </c>
      <c r="X947" s="24" t="str">
        <f aca="false">IF(A947="","",IF(K947&lt;&gt;"",IFERROR(INDEX('Case Studies'!$C$5:$C$54,MATCH(K947,'Case Studies'!$B$5:$B$54,0))&amp;"","case-study"),IF(J947&lt;&gt;"",IFERROR(INDEX(Settings!$J$5:$J$55,MATCH(J947,Settings!$I$5:$I$55,0)),"general"),"general")))</f>
        <v/>
      </c>
      <c r="Y947" s="24" t="str">
        <f aca="false">IF(A947="","",LOWER(A947))</f>
        <v/>
      </c>
      <c r="Z947" s="24" t="str">
        <f aca="false">IF(A947="","",IF(T947="",Settings!$B$5,T947)&amp;IF(ISNUMBER(FIND("?",IF(T947="",Settings!$B$5,T947))),"&amp;","?")&amp;"utm_source="&amp;V947&amp;"&amp;utm_medium="&amp;W947&amp;"&amp;utm_campaign="&amp;X947&amp;"&amp;utm_content="&amp;Y947)</f>
        <v/>
      </c>
      <c r="AA947" s="29"/>
      <c r="AB947" s="39"/>
      <c r="AC947" s="32"/>
      <c r="AD947" s="32"/>
      <c r="AE947" s="32"/>
      <c r="AF947" s="32"/>
      <c r="AG947" s="32"/>
      <c r="AH947" s="32"/>
      <c r="AI947" s="32"/>
      <c r="AJ947" s="32"/>
      <c r="AK947" s="32"/>
      <c r="AL947" s="32"/>
      <c r="AM947" s="32"/>
      <c r="AN947" s="32"/>
      <c r="AO947" s="33" t="str">
        <f aca="false">IF(A947="","",IF(AD947&lt;&gt;"",AD947,IF(AC947&lt;&gt;"",AC947,"")))</f>
        <v/>
      </c>
      <c r="AP947" s="24" t="str">
        <f aca="false">IF(AO947="","",IF(AD947&lt;&gt;"","Reported reach","Impressions (proxy)"))</f>
        <v/>
      </c>
      <c r="AQ947" s="34" t="str">
        <f aca="false">IF(OR(AO947="",N(S947)=0),"",AO947/S947)</f>
        <v/>
      </c>
      <c r="AR947" s="33" t="str">
        <f aca="false">IF(A947="","",IF(COUNT(AF947:AJ947)=0,"",SUM(AF947:AJ947)))</f>
        <v/>
      </c>
      <c r="AS947" s="34" t="str">
        <f aca="false">IF(OR(AR947="",N(AO947)=0),"",AR947/AO947)</f>
        <v/>
      </c>
      <c r="AT947" s="34" t="str">
        <f aca="false">IF(OR(AR947="",N(AC947)=0),"",AR947/AC947)</f>
        <v/>
      </c>
      <c r="AU947" s="34" t="str">
        <f aca="false">IF(OR(AR947="",N(S947)=0),"",AR947/S947)</f>
        <v/>
      </c>
      <c r="AV947" s="34" t="str">
        <f aca="false">IF(OR(AJ947="",N(AC947)=0),"",AJ947/AC947)</f>
        <v/>
      </c>
      <c r="AW947" s="34" t="str">
        <f aca="false">IF(OR(AH947="",N(AO947)=0),"",AH947/AO947)</f>
        <v/>
      </c>
      <c r="AX947" s="35" t="str">
        <f aca="false">IF(OR(AR947="",N(AO947)=0),"",(N(AF947)*Settings!$B$6+N(AG947)*Settings!$B$7+N(AH947)*Settings!$B$8+N(AI947)*Settings!$B$9+N(AJ947)*Settings!$B$10)/AO947*1000)</f>
        <v/>
      </c>
      <c r="AY947" s="36" t="str">
        <f aca="false">IF(AS947="","",IFERROR(AS947/AVERAGEIFS('Post Tracker'!$AS$5:$AS$1004,'Post Tracker'!$G$5:$G$1004,G947),""))</f>
        <v/>
      </c>
      <c r="AZ947" s="32"/>
      <c r="BA947" s="32"/>
      <c r="BB947" s="32"/>
      <c r="BC947" s="32"/>
      <c r="BD947" s="33" t="str">
        <f aca="false">IF(A947="","",COUNTIFS('Demo Pipeline'!$Q$5:$Q$504,A947))</f>
        <v/>
      </c>
      <c r="BE947" s="33" t="str">
        <f aca="false">IF(A947="","",COUNTIFS('Demo Pipeline'!$Q$5:$Q$504,A947,'Demo Pipeline'!$W$5:$W$504,"Attended"))</f>
        <v/>
      </c>
      <c r="BF947" s="33" t="str">
        <f aca="false">IF(A947="","",COUNTIFS('Demo Pipeline'!$Q$5:$Q$504,A947,'Demo Pipeline'!$X$5:$X$504,"Yes"))</f>
        <v/>
      </c>
      <c r="BG947" s="33" t="str">
        <f aca="false">IF(A947="","",COUNTIFS('Demo Pipeline'!$Q$5:$Q$504,A947,'Demo Pipeline'!$Y$5:$Y$504,"Closed Won"))</f>
        <v/>
      </c>
      <c r="BH947" s="37" t="str">
        <f aca="false">IF(A947="","",SUMIFS('Demo Pipeline'!$Z$5:$Z$504,'Demo Pipeline'!$Q$5:$Q$504,A947))</f>
        <v/>
      </c>
      <c r="BI947" s="34" t="str">
        <f aca="false">IF(OR(AZ947="",N(AJ947)=0),"",AZ947/AJ947)</f>
        <v/>
      </c>
      <c r="BJ947" s="34" t="str">
        <f aca="false">IF(OR(BB947="",N(AZ947)=0),"",BB947/AZ947)</f>
        <v/>
      </c>
      <c r="BK947" s="34" t="str">
        <f aca="false">IF(OR(A947="",N(BB947)=0),"",BD947/BB947)</f>
        <v/>
      </c>
      <c r="BL947" s="34" t="str">
        <f aca="false">IF(OR(A947="",N(AZ947)=0),"",BD947/AZ947)</f>
        <v/>
      </c>
      <c r="BM947" s="37" t="str">
        <f aca="false">IF(OR(N(Q947)=0,N(BD947)=0),"",Q947/BD947)</f>
        <v/>
      </c>
      <c r="BN947" s="29"/>
      <c r="BO947" s="29"/>
      <c r="BP947" s="33" t="str">
        <f aca="false">IF(OR(AR947="",N(AO947)=0),"",AR947)</f>
        <v/>
      </c>
      <c r="BQ947" s="33" t="str">
        <f aca="false">IF(OR(AR947="",N(S947)=0),"",S947)</f>
        <v/>
      </c>
      <c r="BR947" s="38" t="str">
        <f aca="false">IF(AND(ISNUMBER(B947),B947&gt;=Dashboard!$C$4,B947&lt;=Dashboard!$F$4,ISNUMBER(AU947)),AU947+ROW()/10^9,"")</f>
        <v/>
      </c>
      <c r="BS947" s="38" t="str">
        <f aca="false">IF(AND(ISNUMBER(B947),B947&gt;=Dashboard!$C$4,B947&lt;=Dashboard!$F$4,A947&lt;&gt;""),N(BD947)+N(AU947)/100+ROW()/10^9,"")</f>
        <v/>
      </c>
    </row>
    <row r="948" customFormat="false" ht="15" hidden="false" customHeight="false" outlineLevel="0" collapsed="false">
      <c r="A948" s="24" t="str">
        <f aca="false">IF(OR(B948="",G948="",H948=""),"",IFERROR(INDEX(Settings!$E$5:$E$49,MATCH(G948,Settings!$D$5:$D$49,0))&amp;INDEX(Settings!$H$5:$H$47,MATCH(H948,Settings!$G$5:$G$47,0))&amp;"-"&amp;TEXT(B948,"yymmdd")&amp;"-"&amp;IF(C948="","0000",TEXT(C948,"hhmm")),"CHECK LISTS"))</f>
        <v/>
      </c>
      <c r="B948" s="39"/>
      <c r="C948" s="40"/>
      <c r="D948" s="24" t="str">
        <f aca="false">IF(B948="","",TEXT(B948,"ddd"))</f>
        <v/>
      </c>
      <c r="E948" s="27" t="str">
        <f aca="false">IF(B948="","",B948-WEEKDAY(B948,3))</f>
        <v/>
      </c>
      <c r="F948" s="24" t="str">
        <f aca="false">IF(B948="","",TEXT(B948,"yyyy-mm"))</f>
        <v/>
      </c>
      <c r="G948" s="29"/>
      <c r="H948" s="29"/>
      <c r="I948" s="29"/>
      <c r="J948" s="29"/>
      <c r="K948" s="29"/>
      <c r="L948" s="29"/>
      <c r="M948" s="29"/>
      <c r="N948" s="29"/>
      <c r="O948" s="29"/>
      <c r="P948" s="29"/>
      <c r="Q948" s="30"/>
      <c r="R948" s="29"/>
      <c r="S948" s="32"/>
      <c r="T948" s="29"/>
      <c r="U948" s="29"/>
      <c r="V948" s="24" t="str">
        <f aca="false">IF(A948="","",IFERROR(INDEX(Settings!$F$5:$F$49,MATCH(G948,Settings!$D$5:$D$49,0)),""))</f>
        <v/>
      </c>
      <c r="W948" s="24" t="str">
        <f aca="false">IF(A948="","",IF(OR(P948="",P948="Organic"),"social","paid_social"))</f>
        <v/>
      </c>
      <c r="X948" s="24" t="str">
        <f aca="false">IF(A948="","",IF(K948&lt;&gt;"",IFERROR(INDEX('Case Studies'!$C$5:$C$54,MATCH(K948,'Case Studies'!$B$5:$B$54,0))&amp;"","case-study"),IF(J948&lt;&gt;"",IFERROR(INDEX(Settings!$J$5:$J$55,MATCH(J948,Settings!$I$5:$I$55,0)),"general"),"general")))</f>
        <v/>
      </c>
      <c r="Y948" s="24" t="str">
        <f aca="false">IF(A948="","",LOWER(A948))</f>
        <v/>
      </c>
      <c r="Z948" s="24" t="str">
        <f aca="false">IF(A948="","",IF(T948="",Settings!$B$5,T948)&amp;IF(ISNUMBER(FIND("?",IF(T948="",Settings!$B$5,T948))),"&amp;","?")&amp;"utm_source="&amp;V948&amp;"&amp;utm_medium="&amp;W948&amp;"&amp;utm_campaign="&amp;X948&amp;"&amp;utm_content="&amp;Y948)</f>
        <v/>
      </c>
      <c r="AA948" s="29"/>
      <c r="AB948" s="39"/>
      <c r="AC948" s="32"/>
      <c r="AD948" s="32"/>
      <c r="AE948" s="32"/>
      <c r="AF948" s="32"/>
      <c r="AG948" s="32"/>
      <c r="AH948" s="32"/>
      <c r="AI948" s="32"/>
      <c r="AJ948" s="32"/>
      <c r="AK948" s="32"/>
      <c r="AL948" s="32"/>
      <c r="AM948" s="32"/>
      <c r="AN948" s="32"/>
      <c r="AO948" s="33" t="str">
        <f aca="false">IF(A948="","",IF(AD948&lt;&gt;"",AD948,IF(AC948&lt;&gt;"",AC948,"")))</f>
        <v/>
      </c>
      <c r="AP948" s="24" t="str">
        <f aca="false">IF(AO948="","",IF(AD948&lt;&gt;"","Reported reach","Impressions (proxy)"))</f>
        <v/>
      </c>
      <c r="AQ948" s="34" t="str">
        <f aca="false">IF(OR(AO948="",N(S948)=0),"",AO948/S948)</f>
        <v/>
      </c>
      <c r="AR948" s="33" t="str">
        <f aca="false">IF(A948="","",IF(COUNT(AF948:AJ948)=0,"",SUM(AF948:AJ948)))</f>
        <v/>
      </c>
      <c r="AS948" s="34" t="str">
        <f aca="false">IF(OR(AR948="",N(AO948)=0),"",AR948/AO948)</f>
        <v/>
      </c>
      <c r="AT948" s="34" t="str">
        <f aca="false">IF(OR(AR948="",N(AC948)=0),"",AR948/AC948)</f>
        <v/>
      </c>
      <c r="AU948" s="34" t="str">
        <f aca="false">IF(OR(AR948="",N(S948)=0),"",AR948/S948)</f>
        <v/>
      </c>
      <c r="AV948" s="34" t="str">
        <f aca="false">IF(OR(AJ948="",N(AC948)=0),"",AJ948/AC948)</f>
        <v/>
      </c>
      <c r="AW948" s="34" t="str">
        <f aca="false">IF(OR(AH948="",N(AO948)=0),"",AH948/AO948)</f>
        <v/>
      </c>
      <c r="AX948" s="35" t="str">
        <f aca="false">IF(OR(AR948="",N(AO948)=0),"",(N(AF948)*Settings!$B$6+N(AG948)*Settings!$B$7+N(AH948)*Settings!$B$8+N(AI948)*Settings!$B$9+N(AJ948)*Settings!$B$10)/AO948*1000)</f>
        <v/>
      </c>
      <c r="AY948" s="36" t="str">
        <f aca="false">IF(AS948="","",IFERROR(AS948/AVERAGEIFS('Post Tracker'!$AS$5:$AS$1004,'Post Tracker'!$G$5:$G$1004,G948),""))</f>
        <v/>
      </c>
      <c r="AZ948" s="32"/>
      <c r="BA948" s="32"/>
      <c r="BB948" s="32"/>
      <c r="BC948" s="32"/>
      <c r="BD948" s="33" t="str">
        <f aca="false">IF(A948="","",COUNTIFS('Demo Pipeline'!$Q$5:$Q$504,A948))</f>
        <v/>
      </c>
      <c r="BE948" s="33" t="str">
        <f aca="false">IF(A948="","",COUNTIFS('Demo Pipeline'!$Q$5:$Q$504,A948,'Demo Pipeline'!$W$5:$W$504,"Attended"))</f>
        <v/>
      </c>
      <c r="BF948" s="33" t="str">
        <f aca="false">IF(A948="","",COUNTIFS('Demo Pipeline'!$Q$5:$Q$504,A948,'Demo Pipeline'!$X$5:$X$504,"Yes"))</f>
        <v/>
      </c>
      <c r="BG948" s="33" t="str">
        <f aca="false">IF(A948="","",COUNTIFS('Demo Pipeline'!$Q$5:$Q$504,A948,'Demo Pipeline'!$Y$5:$Y$504,"Closed Won"))</f>
        <v/>
      </c>
      <c r="BH948" s="37" t="str">
        <f aca="false">IF(A948="","",SUMIFS('Demo Pipeline'!$Z$5:$Z$504,'Demo Pipeline'!$Q$5:$Q$504,A948))</f>
        <v/>
      </c>
      <c r="BI948" s="34" t="str">
        <f aca="false">IF(OR(AZ948="",N(AJ948)=0),"",AZ948/AJ948)</f>
        <v/>
      </c>
      <c r="BJ948" s="34" t="str">
        <f aca="false">IF(OR(BB948="",N(AZ948)=0),"",BB948/AZ948)</f>
        <v/>
      </c>
      <c r="BK948" s="34" t="str">
        <f aca="false">IF(OR(A948="",N(BB948)=0),"",BD948/BB948)</f>
        <v/>
      </c>
      <c r="BL948" s="34" t="str">
        <f aca="false">IF(OR(A948="",N(AZ948)=0),"",BD948/AZ948)</f>
        <v/>
      </c>
      <c r="BM948" s="37" t="str">
        <f aca="false">IF(OR(N(Q948)=0,N(BD948)=0),"",Q948/BD948)</f>
        <v/>
      </c>
      <c r="BN948" s="29"/>
      <c r="BO948" s="29"/>
      <c r="BP948" s="33" t="str">
        <f aca="false">IF(OR(AR948="",N(AO948)=0),"",AR948)</f>
        <v/>
      </c>
      <c r="BQ948" s="33" t="str">
        <f aca="false">IF(OR(AR948="",N(S948)=0),"",S948)</f>
        <v/>
      </c>
      <c r="BR948" s="38" t="str">
        <f aca="false">IF(AND(ISNUMBER(B948),B948&gt;=Dashboard!$C$4,B948&lt;=Dashboard!$F$4,ISNUMBER(AU948)),AU948+ROW()/10^9,"")</f>
        <v/>
      </c>
      <c r="BS948" s="38" t="str">
        <f aca="false">IF(AND(ISNUMBER(B948),B948&gt;=Dashboard!$C$4,B948&lt;=Dashboard!$F$4,A948&lt;&gt;""),N(BD948)+N(AU948)/100+ROW()/10^9,"")</f>
        <v/>
      </c>
    </row>
    <row r="949" customFormat="false" ht="15" hidden="false" customHeight="false" outlineLevel="0" collapsed="false">
      <c r="A949" s="24" t="str">
        <f aca="false">IF(OR(B949="",G949="",H949=""),"",IFERROR(INDEX(Settings!$E$5:$E$49,MATCH(G949,Settings!$D$5:$D$49,0))&amp;INDEX(Settings!$H$5:$H$47,MATCH(H949,Settings!$G$5:$G$47,0))&amp;"-"&amp;TEXT(B949,"yymmdd")&amp;"-"&amp;IF(C949="","0000",TEXT(C949,"hhmm")),"CHECK LISTS"))</f>
        <v/>
      </c>
      <c r="B949" s="39"/>
      <c r="C949" s="40"/>
      <c r="D949" s="24" t="str">
        <f aca="false">IF(B949="","",TEXT(B949,"ddd"))</f>
        <v/>
      </c>
      <c r="E949" s="27" t="str">
        <f aca="false">IF(B949="","",B949-WEEKDAY(B949,3))</f>
        <v/>
      </c>
      <c r="F949" s="24" t="str">
        <f aca="false">IF(B949="","",TEXT(B949,"yyyy-mm"))</f>
        <v/>
      </c>
      <c r="G949" s="29"/>
      <c r="H949" s="29"/>
      <c r="I949" s="29"/>
      <c r="J949" s="29"/>
      <c r="K949" s="29"/>
      <c r="L949" s="29"/>
      <c r="M949" s="29"/>
      <c r="N949" s="29"/>
      <c r="O949" s="29"/>
      <c r="P949" s="29"/>
      <c r="Q949" s="30"/>
      <c r="R949" s="29"/>
      <c r="S949" s="32"/>
      <c r="T949" s="29"/>
      <c r="U949" s="29"/>
      <c r="V949" s="24" t="str">
        <f aca="false">IF(A949="","",IFERROR(INDEX(Settings!$F$5:$F$49,MATCH(G949,Settings!$D$5:$D$49,0)),""))</f>
        <v/>
      </c>
      <c r="W949" s="24" t="str">
        <f aca="false">IF(A949="","",IF(OR(P949="",P949="Organic"),"social","paid_social"))</f>
        <v/>
      </c>
      <c r="X949" s="24" t="str">
        <f aca="false">IF(A949="","",IF(K949&lt;&gt;"",IFERROR(INDEX('Case Studies'!$C$5:$C$54,MATCH(K949,'Case Studies'!$B$5:$B$54,0))&amp;"","case-study"),IF(J949&lt;&gt;"",IFERROR(INDEX(Settings!$J$5:$J$55,MATCH(J949,Settings!$I$5:$I$55,0)),"general"),"general")))</f>
        <v/>
      </c>
      <c r="Y949" s="24" t="str">
        <f aca="false">IF(A949="","",LOWER(A949))</f>
        <v/>
      </c>
      <c r="Z949" s="24" t="str">
        <f aca="false">IF(A949="","",IF(T949="",Settings!$B$5,T949)&amp;IF(ISNUMBER(FIND("?",IF(T949="",Settings!$B$5,T949))),"&amp;","?")&amp;"utm_source="&amp;V949&amp;"&amp;utm_medium="&amp;W949&amp;"&amp;utm_campaign="&amp;X949&amp;"&amp;utm_content="&amp;Y949)</f>
        <v/>
      </c>
      <c r="AA949" s="29"/>
      <c r="AB949" s="39"/>
      <c r="AC949" s="32"/>
      <c r="AD949" s="32"/>
      <c r="AE949" s="32"/>
      <c r="AF949" s="32"/>
      <c r="AG949" s="32"/>
      <c r="AH949" s="32"/>
      <c r="AI949" s="32"/>
      <c r="AJ949" s="32"/>
      <c r="AK949" s="32"/>
      <c r="AL949" s="32"/>
      <c r="AM949" s="32"/>
      <c r="AN949" s="32"/>
      <c r="AO949" s="33" t="str">
        <f aca="false">IF(A949="","",IF(AD949&lt;&gt;"",AD949,IF(AC949&lt;&gt;"",AC949,"")))</f>
        <v/>
      </c>
      <c r="AP949" s="24" t="str">
        <f aca="false">IF(AO949="","",IF(AD949&lt;&gt;"","Reported reach","Impressions (proxy)"))</f>
        <v/>
      </c>
      <c r="AQ949" s="34" t="str">
        <f aca="false">IF(OR(AO949="",N(S949)=0),"",AO949/S949)</f>
        <v/>
      </c>
      <c r="AR949" s="33" t="str">
        <f aca="false">IF(A949="","",IF(COUNT(AF949:AJ949)=0,"",SUM(AF949:AJ949)))</f>
        <v/>
      </c>
      <c r="AS949" s="34" t="str">
        <f aca="false">IF(OR(AR949="",N(AO949)=0),"",AR949/AO949)</f>
        <v/>
      </c>
      <c r="AT949" s="34" t="str">
        <f aca="false">IF(OR(AR949="",N(AC949)=0),"",AR949/AC949)</f>
        <v/>
      </c>
      <c r="AU949" s="34" t="str">
        <f aca="false">IF(OR(AR949="",N(S949)=0),"",AR949/S949)</f>
        <v/>
      </c>
      <c r="AV949" s="34" t="str">
        <f aca="false">IF(OR(AJ949="",N(AC949)=0),"",AJ949/AC949)</f>
        <v/>
      </c>
      <c r="AW949" s="34" t="str">
        <f aca="false">IF(OR(AH949="",N(AO949)=0),"",AH949/AO949)</f>
        <v/>
      </c>
      <c r="AX949" s="35" t="str">
        <f aca="false">IF(OR(AR949="",N(AO949)=0),"",(N(AF949)*Settings!$B$6+N(AG949)*Settings!$B$7+N(AH949)*Settings!$B$8+N(AI949)*Settings!$B$9+N(AJ949)*Settings!$B$10)/AO949*1000)</f>
        <v/>
      </c>
      <c r="AY949" s="36" t="str">
        <f aca="false">IF(AS949="","",IFERROR(AS949/AVERAGEIFS('Post Tracker'!$AS$5:$AS$1004,'Post Tracker'!$G$5:$G$1004,G949),""))</f>
        <v/>
      </c>
      <c r="AZ949" s="32"/>
      <c r="BA949" s="32"/>
      <c r="BB949" s="32"/>
      <c r="BC949" s="32"/>
      <c r="BD949" s="33" t="str">
        <f aca="false">IF(A949="","",COUNTIFS('Demo Pipeline'!$Q$5:$Q$504,A949))</f>
        <v/>
      </c>
      <c r="BE949" s="33" t="str">
        <f aca="false">IF(A949="","",COUNTIFS('Demo Pipeline'!$Q$5:$Q$504,A949,'Demo Pipeline'!$W$5:$W$504,"Attended"))</f>
        <v/>
      </c>
      <c r="BF949" s="33" t="str">
        <f aca="false">IF(A949="","",COUNTIFS('Demo Pipeline'!$Q$5:$Q$504,A949,'Demo Pipeline'!$X$5:$X$504,"Yes"))</f>
        <v/>
      </c>
      <c r="BG949" s="33" t="str">
        <f aca="false">IF(A949="","",COUNTIFS('Demo Pipeline'!$Q$5:$Q$504,A949,'Demo Pipeline'!$Y$5:$Y$504,"Closed Won"))</f>
        <v/>
      </c>
      <c r="BH949" s="37" t="str">
        <f aca="false">IF(A949="","",SUMIFS('Demo Pipeline'!$Z$5:$Z$504,'Demo Pipeline'!$Q$5:$Q$504,A949))</f>
        <v/>
      </c>
      <c r="BI949" s="34" t="str">
        <f aca="false">IF(OR(AZ949="",N(AJ949)=0),"",AZ949/AJ949)</f>
        <v/>
      </c>
      <c r="BJ949" s="34" t="str">
        <f aca="false">IF(OR(BB949="",N(AZ949)=0),"",BB949/AZ949)</f>
        <v/>
      </c>
      <c r="BK949" s="34" t="str">
        <f aca="false">IF(OR(A949="",N(BB949)=0),"",BD949/BB949)</f>
        <v/>
      </c>
      <c r="BL949" s="34" t="str">
        <f aca="false">IF(OR(A949="",N(AZ949)=0),"",BD949/AZ949)</f>
        <v/>
      </c>
      <c r="BM949" s="37" t="str">
        <f aca="false">IF(OR(N(Q949)=0,N(BD949)=0),"",Q949/BD949)</f>
        <v/>
      </c>
      <c r="BN949" s="29"/>
      <c r="BO949" s="29"/>
      <c r="BP949" s="33" t="str">
        <f aca="false">IF(OR(AR949="",N(AO949)=0),"",AR949)</f>
        <v/>
      </c>
      <c r="BQ949" s="33" t="str">
        <f aca="false">IF(OR(AR949="",N(S949)=0),"",S949)</f>
        <v/>
      </c>
      <c r="BR949" s="38" t="str">
        <f aca="false">IF(AND(ISNUMBER(B949),B949&gt;=Dashboard!$C$4,B949&lt;=Dashboard!$F$4,ISNUMBER(AU949)),AU949+ROW()/10^9,"")</f>
        <v/>
      </c>
      <c r="BS949" s="38" t="str">
        <f aca="false">IF(AND(ISNUMBER(B949),B949&gt;=Dashboard!$C$4,B949&lt;=Dashboard!$F$4,A949&lt;&gt;""),N(BD949)+N(AU949)/100+ROW()/10^9,"")</f>
        <v/>
      </c>
    </row>
    <row r="950" customFormat="false" ht="15" hidden="false" customHeight="false" outlineLevel="0" collapsed="false">
      <c r="A950" s="24" t="str">
        <f aca="false">IF(OR(B950="",G950="",H950=""),"",IFERROR(INDEX(Settings!$E$5:$E$49,MATCH(G950,Settings!$D$5:$D$49,0))&amp;INDEX(Settings!$H$5:$H$47,MATCH(H950,Settings!$G$5:$G$47,0))&amp;"-"&amp;TEXT(B950,"yymmdd")&amp;"-"&amp;IF(C950="","0000",TEXT(C950,"hhmm")),"CHECK LISTS"))</f>
        <v/>
      </c>
      <c r="B950" s="39"/>
      <c r="C950" s="40"/>
      <c r="D950" s="24" t="str">
        <f aca="false">IF(B950="","",TEXT(B950,"ddd"))</f>
        <v/>
      </c>
      <c r="E950" s="27" t="str">
        <f aca="false">IF(B950="","",B950-WEEKDAY(B950,3))</f>
        <v/>
      </c>
      <c r="F950" s="24" t="str">
        <f aca="false">IF(B950="","",TEXT(B950,"yyyy-mm"))</f>
        <v/>
      </c>
      <c r="G950" s="29"/>
      <c r="H950" s="29"/>
      <c r="I950" s="29"/>
      <c r="J950" s="29"/>
      <c r="K950" s="29"/>
      <c r="L950" s="29"/>
      <c r="M950" s="29"/>
      <c r="N950" s="29"/>
      <c r="O950" s="29"/>
      <c r="P950" s="29"/>
      <c r="Q950" s="30"/>
      <c r="R950" s="29"/>
      <c r="S950" s="32"/>
      <c r="T950" s="29"/>
      <c r="U950" s="29"/>
      <c r="V950" s="24" t="str">
        <f aca="false">IF(A950="","",IFERROR(INDEX(Settings!$F$5:$F$49,MATCH(G950,Settings!$D$5:$D$49,0)),""))</f>
        <v/>
      </c>
      <c r="W950" s="24" t="str">
        <f aca="false">IF(A950="","",IF(OR(P950="",P950="Organic"),"social","paid_social"))</f>
        <v/>
      </c>
      <c r="X950" s="24" t="str">
        <f aca="false">IF(A950="","",IF(K950&lt;&gt;"",IFERROR(INDEX('Case Studies'!$C$5:$C$54,MATCH(K950,'Case Studies'!$B$5:$B$54,0))&amp;"","case-study"),IF(J950&lt;&gt;"",IFERROR(INDEX(Settings!$J$5:$J$55,MATCH(J950,Settings!$I$5:$I$55,0)),"general"),"general")))</f>
        <v/>
      </c>
      <c r="Y950" s="24" t="str">
        <f aca="false">IF(A950="","",LOWER(A950))</f>
        <v/>
      </c>
      <c r="Z950" s="24" t="str">
        <f aca="false">IF(A950="","",IF(T950="",Settings!$B$5,T950)&amp;IF(ISNUMBER(FIND("?",IF(T950="",Settings!$B$5,T950))),"&amp;","?")&amp;"utm_source="&amp;V950&amp;"&amp;utm_medium="&amp;W950&amp;"&amp;utm_campaign="&amp;X950&amp;"&amp;utm_content="&amp;Y950)</f>
        <v/>
      </c>
      <c r="AA950" s="29"/>
      <c r="AB950" s="39"/>
      <c r="AC950" s="32"/>
      <c r="AD950" s="32"/>
      <c r="AE950" s="32"/>
      <c r="AF950" s="32"/>
      <c r="AG950" s="32"/>
      <c r="AH950" s="32"/>
      <c r="AI950" s="32"/>
      <c r="AJ950" s="32"/>
      <c r="AK950" s="32"/>
      <c r="AL950" s="32"/>
      <c r="AM950" s="32"/>
      <c r="AN950" s="32"/>
      <c r="AO950" s="33" t="str">
        <f aca="false">IF(A950="","",IF(AD950&lt;&gt;"",AD950,IF(AC950&lt;&gt;"",AC950,"")))</f>
        <v/>
      </c>
      <c r="AP950" s="24" t="str">
        <f aca="false">IF(AO950="","",IF(AD950&lt;&gt;"","Reported reach","Impressions (proxy)"))</f>
        <v/>
      </c>
      <c r="AQ950" s="34" t="str">
        <f aca="false">IF(OR(AO950="",N(S950)=0),"",AO950/S950)</f>
        <v/>
      </c>
      <c r="AR950" s="33" t="str">
        <f aca="false">IF(A950="","",IF(COUNT(AF950:AJ950)=0,"",SUM(AF950:AJ950)))</f>
        <v/>
      </c>
      <c r="AS950" s="34" t="str">
        <f aca="false">IF(OR(AR950="",N(AO950)=0),"",AR950/AO950)</f>
        <v/>
      </c>
      <c r="AT950" s="34" t="str">
        <f aca="false">IF(OR(AR950="",N(AC950)=0),"",AR950/AC950)</f>
        <v/>
      </c>
      <c r="AU950" s="34" t="str">
        <f aca="false">IF(OR(AR950="",N(S950)=0),"",AR950/S950)</f>
        <v/>
      </c>
      <c r="AV950" s="34" t="str">
        <f aca="false">IF(OR(AJ950="",N(AC950)=0),"",AJ950/AC950)</f>
        <v/>
      </c>
      <c r="AW950" s="34" t="str">
        <f aca="false">IF(OR(AH950="",N(AO950)=0),"",AH950/AO950)</f>
        <v/>
      </c>
      <c r="AX950" s="35" t="str">
        <f aca="false">IF(OR(AR950="",N(AO950)=0),"",(N(AF950)*Settings!$B$6+N(AG950)*Settings!$B$7+N(AH950)*Settings!$B$8+N(AI950)*Settings!$B$9+N(AJ950)*Settings!$B$10)/AO950*1000)</f>
        <v/>
      </c>
      <c r="AY950" s="36" t="str">
        <f aca="false">IF(AS950="","",IFERROR(AS950/AVERAGEIFS('Post Tracker'!$AS$5:$AS$1004,'Post Tracker'!$G$5:$G$1004,G950),""))</f>
        <v/>
      </c>
      <c r="AZ950" s="32"/>
      <c r="BA950" s="32"/>
      <c r="BB950" s="32"/>
      <c r="BC950" s="32"/>
      <c r="BD950" s="33" t="str">
        <f aca="false">IF(A950="","",COUNTIFS('Demo Pipeline'!$Q$5:$Q$504,A950))</f>
        <v/>
      </c>
      <c r="BE950" s="33" t="str">
        <f aca="false">IF(A950="","",COUNTIFS('Demo Pipeline'!$Q$5:$Q$504,A950,'Demo Pipeline'!$W$5:$W$504,"Attended"))</f>
        <v/>
      </c>
      <c r="BF950" s="33" t="str">
        <f aca="false">IF(A950="","",COUNTIFS('Demo Pipeline'!$Q$5:$Q$504,A950,'Demo Pipeline'!$X$5:$X$504,"Yes"))</f>
        <v/>
      </c>
      <c r="BG950" s="33" t="str">
        <f aca="false">IF(A950="","",COUNTIFS('Demo Pipeline'!$Q$5:$Q$504,A950,'Demo Pipeline'!$Y$5:$Y$504,"Closed Won"))</f>
        <v/>
      </c>
      <c r="BH950" s="37" t="str">
        <f aca="false">IF(A950="","",SUMIFS('Demo Pipeline'!$Z$5:$Z$504,'Demo Pipeline'!$Q$5:$Q$504,A950))</f>
        <v/>
      </c>
      <c r="BI950" s="34" t="str">
        <f aca="false">IF(OR(AZ950="",N(AJ950)=0),"",AZ950/AJ950)</f>
        <v/>
      </c>
      <c r="BJ950" s="34" t="str">
        <f aca="false">IF(OR(BB950="",N(AZ950)=0),"",BB950/AZ950)</f>
        <v/>
      </c>
      <c r="BK950" s="34" t="str">
        <f aca="false">IF(OR(A950="",N(BB950)=0),"",BD950/BB950)</f>
        <v/>
      </c>
      <c r="BL950" s="34" t="str">
        <f aca="false">IF(OR(A950="",N(AZ950)=0),"",BD950/AZ950)</f>
        <v/>
      </c>
      <c r="BM950" s="37" t="str">
        <f aca="false">IF(OR(N(Q950)=0,N(BD950)=0),"",Q950/BD950)</f>
        <v/>
      </c>
      <c r="BN950" s="29"/>
      <c r="BO950" s="29"/>
      <c r="BP950" s="33" t="str">
        <f aca="false">IF(OR(AR950="",N(AO950)=0),"",AR950)</f>
        <v/>
      </c>
      <c r="BQ950" s="33" t="str">
        <f aca="false">IF(OR(AR950="",N(S950)=0),"",S950)</f>
        <v/>
      </c>
      <c r="BR950" s="38" t="str">
        <f aca="false">IF(AND(ISNUMBER(B950),B950&gt;=Dashboard!$C$4,B950&lt;=Dashboard!$F$4,ISNUMBER(AU950)),AU950+ROW()/10^9,"")</f>
        <v/>
      </c>
      <c r="BS950" s="38" t="str">
        <f aca="false">IF(AND(ISNUMBER(B950),B950&gt;=Dashboard!$C$4,B950&lt;=Dashboard!$F$4,A950&lt;&gt;""),N(BD950)+N(AU950)/100+ROW()/10^9,"")</f>
        <v/>
      </c>
    </row>
    <row r="951" customFormat="false" ht="15" hidden="false" customHeight="false" outlineLevel="0" collapsed="false">
      <c r="A951" s="24" t="str">
        <f aca="false">IF(OR(B951="",G951="",H951=""),"",IFERROR(INDEX(Settings!$E$5:$E$49,MATCH(G951,Settings!$D$5:$D$49,0))&amp;INDEX(Settings!$H$5:$H$47,MATCH(H951,Settings!$G$5:$G$47,0))&amp;"-"&amp;TEXT(B951,"yymmdd")&amp;"-"&amp;IF(C951="","0000",TEXT(C951,"hhmm")),"CHECK LISTS"))</f>
        <v/>
      </c>
      <c r="B951" s="39"/>
      <c r="C951" s="40"/>
      <c r="D951" s="24" t="str">
        <f aca="false">IF(B951="","",TEXT(B951,"ddd"))</f>
        <v/>
      </c>
      <c r="E951" s="27" t="str">
        <f aca="false">IF(B951="","",B951-WEEKDAY(B951,3))</f>
        <v/>
      </c>
      <c r="F951" s="24" t="str">
        <f aca="false">IF(B951="","",TEXT(B951,"yyyy-mm"))</f>
        <v/>
      </c>
      <c r="G951" s="29"/>
      <c r="H951" s="29"/>
      <c r="I951" s="29"/>
      <c r="J951" s="29"/>
      <c r="K951" s="29"/>
      <c r="L951" s="29"/>
      <c r="M951" s="29"/>
      <c r="N951" s="29"/>
      <c r="O951" s="29"/>
      <c r="P951" s="29"/>
      <c r="Q951" s="30"/>
      <c r="R951" s="29"/>
      <c r="S951" s="32"/>
      <c r="T951" s="29"/>
      <c r="U951" s="29"/>
      <c r="V951" s="24" t="str">
        <f aca="false">IF(A951="","",IFERROR(INDEX(Settings!$F$5:$F$49,MATCH(G951,Settings!$D$5:$D$49,0)),""))</f>
        <v/>
      </c>
      <c r="W951" s="24" t="str">
        <f aca="false">IF(A951="","",IF(OR(P951="",P951="Organic"),"social","paid_social"))</f>
        <v/>
      </c>
      <c r="X951" s="24" t="str">
        <f aca="false">IF(A951="","",IF(K951&lt;&gt;"",IFERROR(INDEX('Case Studies'!$C$5:$C$54,MATCH(K951,'Case Studies'!$B$5:$B$54,0))&amp;"","case-study"),IF(J951&lt;&gt;"",IFERROR(INDEX(Settings!$J$5:$J$55,MATCH(J951,Settings!$I$5:$I$55,0)),"general"),"general")))</f>
        <v/>
      </c>
      <c r="Y951" s="24" t="str">
        <f aca="false">IF(A951="","",LOWER(A951))</f>
        <v/>
      </c>
      <c r="Z951" s="24" t="str">
        <f aca="false">IF(A951="","",IF(T951="",Settings!$B$5,T951)&amp;IF(ISNUMBER(FIND("?",IF(T951="",Settings!$B$5,T951))),"&amp;","?")&amp;"utm_source="&amp;V951&amp;"&amp;utm_medium="&amp;W951&amp;"&amp;utm_campaign="&amp;X951&amp;"&amp;utm_content="&amp;Y951)</f>
        <v/>
      </c>
      <c r="AA951" s="29"/>
      <c r="AB951" s="39"/>
      <c r="AC951" s="32"/>
      <c r="AD951" s="32"/>
      <c r="AE951" s="32"/>
      <c r="AF951" s="32"/>
      <c r="AG951" s="32"/>
      <c r="AH951" s="32"/>
      <c r="AI951" s="32"/>
      <c r="AJ951" s="32"/>
      <c r="AK951" s="32"/>
      <c r="AL951" s="32"/>
      <c r="AM951" s="32"/>
      <c r="AN951" s="32"/>
      <c r="AO951" s="33" t="str">
        <f aca="false">IF(A951="","",IF(AD951&lt;&gt;"",AD951,IF(AC951&lt;&gt;"",AC951,"")))</f>
        <v/>
      </c>
      <c r="AP951" s="24" t="str">
        <f aca="false">IF(AO951="","",IF(AD951&lt;&gt;"","Reported reach","Impressions (proxy)"))</f>
        <v/>
      </c>
      <c r="AQ951" s="34" t="str">
        <f aca="false">IF(OR(AO951="",N(S951)=0),"",AO951/S951)</f>
        <v/>
      </c>
      <c r="AR951" s="33" t="str">
        <f aca="false">IF(A951="","",IF(COUNT(AF951:AJ951)=0,"",SUM(AF951:AJ951)))</f>
        <v/>
      </c>
      <c r="AS951" s="34" t="str">
        <f aca="false">IF(OR(AR951="",N(AO951)=0),"",AR951/AO951)</f>
        <v/>
      </c>
      <c r="AT951" s="34" t="str">
        <f aca="false">IF(OR(AR951="",N(AC951)=0),"",AR951/AC951)</f>
        <v/>
      </c>
      <c r="AU951" s="34" t="str">
        <f aca="false">IF(OR(AR951="",N(S951)=0),"",AR951/S951)</f>
        <v/>
      </c>
      <c r="AV951" s="34" t="str">
        <f aca="false">IF(OR(AJ951="",N(AC951)=0),"",AJ951/AC951)</f>
        <v/>
      </c>
      <c r="AW951" s="34" t="str">
        <f aca="false">IF(OR(AH951="",N(AO951)=0),"",AH951/AO951)</f>
        <v/>
      </c>
      <c r="AX951" s="35" t="str">
        <f aca="false">IF(OR(AR951="",N(AO951)=0),"",(N(AF951)*Settings!$B$6+N(AG951)*Settings!$B$7+N(AH951)*Settings!$B$8+N(AI951)*Settings!$B$9+N(AJ951)*Settings!$B$10)/AO951*1000)</f>
        <v/>
      </c>
      <c r="AY951" s="36" t="str">
        <f aca="false">IF(AS951="","",IFERROR(AS951/AVERAGEIFS('Post Tracker'!$AS$5:$AS$1004,'Post Tracker'!$G$5:$G$1004,G951),""))</f>
        <v/>
      </c>
      <c r="AZ951" s="32"/>
      <c r="BA951" s="32"/>
      <c r="BB951" s="32"/>
      <c r="BC951" s="32"/>
      <c r="BD951" s="33" t="str">
        <f aca="false">IF(A951="","",COUNTIFS('Demo Pipeline'!$Q$5:$Q$504,A951))</f>
        <v/>
      </c>
      <c r="BE951" s="33" t="str">
        <f aca="false">IF(A951="","",COUNTIFS('Demo Pipeline'!$Q$5:$Q$504,A951,'Demo Pipeline'!$W$5:$W$504,"Attended"))</f>
        <v/>
      </c>
      <c r="BF951" s="33" t="str">
        <f aca="false">IF(A951="","",COUNTIFS('Demo Pipeline'!$Q$5:$Q$504,A951,'Demo Pipeline'!$X$5:$X$504,"Yes"))</f>
        <v/>
      </c>
      <c r="BG951" s="33" t="str">
        <f aca="false">IF(A951="","",COUNTIFS('Demo Pipeline'!$Q$5:$Q$504,A951,'Demo Pipeline'!$Y$5:$Y$504,"Closed Won"))</f>
        <v/>
      </c>
      <c r="BH951" s="37" t="str">
        <f aca="false">IF(A951="","",SUMIFS('Demo Pipeline'!$Z$5:$Z$504,'Demo Pipeline'!$Q$5:$Q$504,A951))</f>
        <v/>
      </c>
      <c r="BI951" s="34" t="str">
        <f aca="false">IF(OR(AZ951="",N(AJ951)=0),"",AZ951/AJ951)</f>
        <v/>
      </c>
      <c r="BJ951" s="34" t="str">
        <f aca="false">IF(OR(BB951="",N(AZ951)=0),"",BB951/AZ951)</f>
        <v/>
      </c>
      <c r="BK951" s="34" t="str">
        <f aca="false">IF(OR(A951="",N(BB951)=0),"",BD951/BB951)</f>
        <v/>
      </c>
      <c r="BL951" s="34" t="str">
        <f aca="false">IF(OR(A951="",N(AZ951)=0),"",BD951/AZ951)</f>
        <v/>
      </c>
      <c r="BM951" s="37" t="str">
        <f aca="false">IF(OR(N(Q951)=0,N(BD951)=0),"",Q951/BD951)</f>
        <v/>
      </c>
      <c r="BN951" s="29"/>
      <c r="BO951" s="29"/>
      <c r="BP951" s="33" t="str">
        <f aca="false">IF(OR(AR951="",N(AO951)=0),"",AR951)</f>
        <v/>
      </c>
      <c r="BQ951" s="33" t="str">
        <f aca="false">IF(OR(AR951="",N(S951)=0),"",S951)</f>
        <v/>
      </c>
      <c r="BR951" s="38" t="str">
        <f aca="false">IF(AND(ISNUMBER(B951),B951&gt;=Dashboard!$C$4,B951&lt;=Dashboard!$F$4,ISNUMBER(AU951)),AU951+ROW()/10^9,"")</f>
        <v/>
      </c>
      <c r="BS951" s="38" t="str">
        <f aca="false">IF(AND(ISNUMBER(B951),B951&gt;=Dashboard!$C$4,B951&lt;=Dashboard!$F$4,A951&lt;&gt;""),N(BD951)+N(AU951)/100+ROW()/10^9,"")</f>
        <v/>
      </c>
    </row>
    <row r="952" customFormat="false" ht="15" hidden="false" customHeight="false" outlineLevel="0" collapsed="false">
      <c r="A952" s="24" t="str">
        <f aca="false">IF(OR(B952="",G952="",H952=""),"",IFERROR(INDEX(Settings!$E$5:$E$49,MATCH(G952,Settings!$D$5:$D$49,0))&amp;INDEX(Settings!$H$5:$H$47,MATCH(H952,Settings!$G$5:$G$47,0))&amp;"-"&amp;TEXT(B952,"yymmdd")&amp;"-"&amp;IF(C952="","0000",TEXT(C952,"hhmm")),"CHECK LISTS"))</f>
        <v/>
      </c>
      <c r="B952" s="39"/>
      <c r="C952" s="40"/>
      <c r="D952" s="24" t="str">
        <f aca="false">IF(B952="","",TEXT(B952,"ddd"))</f>
        <v/>
      </c>
      <c r="E952" s="27" t="str">
        <f aca="false">IF(B952="","",B952-WEEKDAY(B952,3))</f>
        <v/>
      </c>
      <c r="F952" s="24" t="str">
        <f aca="false">IF(B952="","",TEXT(B952,"yyyy-mm"))</f>
        <v/>
      </c>
      <c r="G952" s="29"/>
      <c r="H952" s="29"/>
      <c r="I952" s="29"/>
      <c r="J952" s="29"/>
      <c r="K952" s="29"/>
      <c r="L952" s="29"/>
      <c r="M952" s="29"/>
      <c r="N952" s="29"/>
      <c r="O952" s="29"/>
      <c r="P952" s="29"/>
      <c r="Q952" s="30"/>
      <c r="R952" s="29"/>
      <c r="S952" s="32"/>
      <c r="T952" s="29"/>
      <c r="U952" s="29"/>
      <c r="V952" s="24" t="str">
        <f aca="false">IF(A952="","",IFERROR(INDEX(Settings!$F$5:$F$49,MATCH(G952,Settings!$D$5:$D$49,0)),""))</f>
        <v/>
      </c>
      <c r="W952" s="24" t="str">
        <f aca="false">IF(A952="","",IF(OR(P952="",P952="Organic"),"social","paid_social"))</f>
        <v/>
      </c>
      <c r="X952" s="24" t="str">
        <f aca="false">IF(A952="","",IF(K952&lt;&gt;"",IFERROR(INDEX('Case Studies'!$C$5:$C$54,MATCH(K952,'Case Studies'!$B$5:$B$54,0))&amp;"","case-study"),IF(J952&lt;&gt;"",IFERROR(INDEX(Settings!$J$5:$J$55,MATCH(J952,Settings!$I$5:$I$55,0)),"general"),"general")))</f>
        <v/>
      </c>
      <c r="Y952" s="24" t="str">
        <f aca="false">IF(A952="","",LOWER(A952))</f>
        <v/>
      </c>
      <c r="Z952" s="24" t="str">
        <f aca="false">IF(A952="","",IF(T952="",Settings!$B$5,T952)&amp;IF(ISNUMBER(FIND("?",IF(T952="",Settings!$B$5,T952))),"&amp;","?")&amp;"utm_source="&amp;V952&amp;"&amp;utm_medium="&amp;W952&amp;"&amp;utm_campaign="&amp;X952&amp;"&amp;utm_content="&amp;Y952)</f>
        <v/>
      </c>
      <c r="AA952" s="29"/>
      <c r="AB952" s="39"/>
      <c r="AC952" s="32"/>
      <c r="AD952" s="32"/>
      <c r="AE952" s="32"/>
      <c r="AF952" s="32"/>
      <c r="AG952" s="32"/>
      <c r="AH952" s="32"/>
      <c r="AI952" s="32"/>
      <c r="AJ952" s="32"/>
      <c r="AK952" s="32"/>
      <c r="AL952" s="32"/>
      <c r="AM952" s="32"/>
      <c r="AN952" s="32"/>
      <c r="AO952" s="33" t="str">
        <f aca="false">IF(A952="","",IF(AD952&lt;&gt;"",AD952,IF(AC952&lt;&gt;"",AC952,"")))</f>
        <v/>
      </c>
      <c r="AP952" s="24" t="str">
        <f aca="false">IF(AO952="","",IF(AD952&lt;&gt;"","Reported reach","Impressions (proxy)"))</f>
        <v/>
      </c>
      <c r="AQ952" s="34" t="str">
        <f aca="false">IF(OR(AO952="",N(S952)=0),"",AO952/S952)</f>
        <v/>
      </c>
      <c r="AR952" s="33" t="str">
        <f aca="false">IF(A952="","",IF(COUNT(AF952:AJ952)=0,"",SUM(AF952:AJ952)))</f>
        <v/>
      </c>
      <c r="AS952" s="34" t="str">
        <f aca="false">IF(OR(AR952="",N(AO952)=0),"",AR952/AO952)</f>
        <v/>
      </c>
      <c r="AT952" s="34" t="str">
        <f aca="false">IF(OR(AR952="",N(AC952)=0),"",AR952/AC952)</f>
        <v/>
      </c>
      <c r="AU952" s="34" t="str">
        <f aca="false">IF(OR(AR952="",N(S952)=0),"",AR952/S952)</f>
        <v/>
      </c>
      <c r="AV952" s="34" t="str">
        <f aca="false">IF(OR(AJ952="",N(AC952)=0),"",AJ952/AC952)</f>
        <v/>
      </c>
      <c r="AW952" s="34" t="str">
        <f aca="false">IF(OR(AH952="",N(AO952)=0),"",AH952/AO952)</f>
        <v/>
      </c>
      <c r="AX952" s="35" t="str">
        <f aca="false">IF(OR(AR952="",N(AO952)=0),"",(N(AF952)*Settings!$B$6+N(AG952)*Settings!$B$7+N(AH952)*Settings!$B$8+N(AI952)*Settings!$B$9+N(AJ952)*Settings!$B$10)/AO952*1000)</f>
        <v/>
      </c>
      <c r="AY952" s="36" t="str">
        <f aca="false">IF(AS952="","",IFERROR(AS952/AVERAGEIFS('Post Tracker'!$AS$5:$AS$1004,'Post Tracker'!$G$5:$G$1004,G952),""))</f>
        <v/>
      </c>
      <c r="AZ952" s="32"/>
      <c r="BA952" s="32"/>
      <c r="BB952" s="32"/>
      <c r="BC952" s="32"/>
      <c r="BD952" s="33" t="str">
        <f aca="false">IF(A952="","",COUNTIFS('Demo Pipeline'!$Q$5:$Q$504,A952))</f>
        <v/>
      </c>
      <c r="BE952" s="33" t="str">
        <f aca="false">IF(A952="","",COUNTIFS('Demo Pipeline'!$Q$5:$Q$504,A952,'Demo Pipeline'!$W$5:$W$504,"Attended"))</f>
        <v/>
      </c>
      <c r="BF952" s="33" t="str">
        <f aca="false">IF(A952="","",COUNTIFS('Demo Pipeline'!$Q$5:$Q$504,A952,'Demo Pipeline'!$X$5:$X$504,"Yes"))</f>
        <v/>
      </c>
      <c r="BG952" s="33" t="str">
        <f aca="false">IF(A952="","",COUNTIFS('Demo Pipeline'!$Q$5:$Q$504,A952,'Demo Pipeline'!$Y$5:$Y$504,"Closed Won"))</f>
        <v/>
      </c>
      <c r="BH952" s="37" t="str">
        <f aca="false">IF(A952="","",SUMIFS('Demo Pipeline'!$Z$5:$Z$504,'Demo Pipeline'!$Q$5:$Q$504,A952))</f>
        <v/>
      </c>
      <c r="BI952" s="34" t="str">
        <f aca="false">IF(OR(AZ952="",N(AJ952)=0),"",AZ952/AJ952)</f>
        <v/>
      </c>
      <c r="BJ952" s="34" t="str">
        <f aca="false">IF(OR(BB952="",N(AZ952)=0),"",BB952/AZ952)</f>
        <v/>
      </c>
      <c r="BK952" s="34" t="str">
        <f aca="false">IF(OR(A952="",N(BB952)=0),"",BD952/BB952)</f>
        <v/>
      </c>
      <c r="BL952" s="34" t="str">
        <f aca="false">IF(OR(A952="",N(AZ952)=0),"",BD952/AZ952)</f>
        <v/>
      </c>
      <c r="BM952" s="37" t="str">
        <f aca="false">IF(OR(N(Q952)=0,N(BD952)=0),"",Q952/BD952)</f>
        <v/>
      </c>
      <c r="BN952" s="29"/>
      <c r="BO952" s="29"/>
      <c r="BP952" s="33" t="str">
        <f aca="false">IF(OR(AR952="",N(AO952)=0),"",AR952)</f>
        <v/>
      </c>
      <c r="BQ952" s="33" t="str">
        <f aca="false">IF(OR(AR952="",N(S952)=0),"",S952)</f>
        <v/>
      </c>
      <c r="BR952" s="38" t="str">
        <f aca="false">IF(AND(ISNUMBER(B952),B952&gt;=Dashboard!$C$4,B952&lt;=Dashboard!$F$4,ISNUMBER(AU952)),AU952+ROW()/10^9,"")</f>
        <v/>
      </c>
      <c r="BS952" s="38" t="str">
        <f aca="false">IF(AND(ISNUMBER(B952),B952&gt;=Dashboard!$C$4,B952&lt;=Dashboard!$F$4,A952&lt;&gt;""),N(BD952)+N(AU952)/100+ROW()/10^9,"")</f>
        <v/>
      </c>
    </row>
    <row r="953" customFormat="false" ht="15" hidden="false" customHeight="false" outlineLevel="0" collapsed="false">
      <c r="A953" s="24" t="str">
        <f aca="false">IF(OR(B953="",G953="",H953=""),"",IFERROR(INDEX(Settings!$E$5:$E$49,MATCH(G953,Settings!$D$5:$D$49,0))&amp;INDEX(Settings!$H$5:$H$47,MATCH(H953,Settings!$G$5:$G$47,0))&amp;"-"&amp;TEXT(B953,"yymmdd")&amp;"-"&amp;IF(C953="","0000",TEXT(C953,"hhmm")),"CHECK LISTS"))</f>
        <v/>
      </c>
      <c r="B953" s="39"/>
      <c r="C953" s="40"/>
      <c r="D953" s="24" t="str">
        <f aca="false">IF(B953="","",TEXT(B953,"ddd"))</f>
        <v/>
      </c>
      <c r="E953" s="27" t="str">
        <f aca="false">IF(B953="","",B953-WEEKDAY(B953,3))</f>
        <v/>
      </c>
      <c r="F953" s="24" t="str">
        <f aca="false">IF(B953="","",TEXT(B953,"yyyy-mm"))</f>
        <v/>
      </c>
      <c r="G953" s="29"/>
      <c r="H953" s="29"/>
      <c r="I953" s="29"/>
      <c r="J953" s="29"/>
      <c r="K953" s="29"/>
      <c r="L953" s="29"/>
      <c r="M953" s="29"/>
      <c r="N953" s="29"/>
      <c r="O953" s="29"/>
      <c r="P953" s="29"/>
      <c r="Q953" s="30"/>
      <c r="R953" s="29"/>
      <c r="S953" s="32"/>
      <c r="T953" s="29"/>
      <c r="U953" s="29"/>
      <c r="V953" s="24" t="str">
        <f aca="false">IF(A953="","",IFERROR(INDEX(Settings!$F$5:$F$49,MATCH(G953,Settings!$D$5:$D$49,0)),""))</f>
        <v/>
      </c>
      <c r="W953" s="24" t="str">
        <f aca="false">IF(A953="","",IF(OR(P953="",P953="Organic"),"social","paid_social"))</f>
        <v/>
      </c>
      <c r="X953" s="24" t="str">
        <f aca="false">IF(A953="","",IF(K953&lt;&gt;"",IFERROR(INDEX('Case Studies'!$C$5:$C$54,MATCH(K953,'Case Studies'!$B$5:$B$54,0))&amp;"","case-study"),IF(J953&lt;&gt;"",IFERROR(INDEX(Settings!$J$5:$J$55,MATCH(J953,Settings!$I$5:$I$55,0)),"general"),"general")))</f>
        <v/>
      </c>
      <c r="Y953" s="24" t="str">
        <f aca="false">IF(A953="","",LOWER(A953))</f>
        <v/>
      </c>
      <c r="Z953" s="24" t="str">
        <f aca="false">IF(A953="","",IF(T953="",Settings!$B$5,T953)&amp;IF(ISNUMBER(FIND("?",IF(T953="",Settings!$B$5,T953))),"&amp;","?")&amp;"utm_source="&amp;V953&amp;"&amp;utm_medium="&amp;W953&amp;"&amp;utm_campaign="&amp;X953&amp;"&amp;utm_content="&amp;Y953)</f>
        <v/>
      </c>
      <c r="AA953" s="29"/>
      <c r="AB953" s="39"/>
      <c r="AC953" s="32"/>
      <c r="AD953" s="32"/>
      <c r="AE953" s="32"/>
      <c r="AF953" s="32"/>
      <c r="AG953" s="32"/>
      <c r="AH953" s="32"/>
      <c r="AI953" s="32"/>
      <c r="AJ953" s="32"/>
      <c r="AK953" s="32"/>
      <c r="AL953" s="32"/>
      <c r="AM953" s="32"/>
      <c r="AN953" s="32"/>
      <c r="AO953" s="33" t="str">
        <f aca="false">IF(A953="","",IF(AD953&lt;&gt;"",AD953,IF(AC953&lt;&gt;"",AC953,"")))</f>
        <v/>
      </c>
      <c r="AP953" s="24" t="str">
        <f aca="false">IF(AO953="","",IF(AD953&lt;&gt;"","Reported reach","Impressions (proxy)"))</f>
        <v/>
      </c>
      <c r="AQ953" s="34" t="str">
        <f aca="false">IF(OR(AO953="",N(S953)=0),"",AO953/S953)</f>
        <v/>
      </c>
      <c r="AR953" s="33" t="str">
        <f aca="false">IF(A953="","",IF(COUNT(AF953:AJ953)=0,"",SUM(AF953:AJ953)))</f>
        <v/>
      </c>
      <c r="AS953" s="34" t="str">
        <f aca="false">IF(OR(AR953="",N(AO953)=0),"",AR953/AO953)</f>
        <v/>
      </c>
      <c r="AT953" s="34" t="str">
        <f aca="false">IF(OR(AR953="",N(AC953)=0),"",AR953/AC953)</f>
        <v/>
      </c>
      <c r="AU953" s="34" t="str">
        <f aca="false">IF(OR(AR953="",N(S953)=0),"",AR953/S953)</f>
        <v/>
      </c>
      <c r="AV953" s="34" t="str">
        <f aca="false">IF(OR(AJ953="",N(AC953)=0),"",AJ953/AC953)</f>
        <v/>
      </c>
      <c r="AW953" s="34" t="str">
        <f aca="false">IF(OR(AH953="",N(AO953)=0),"",AH953/AO953)</f>
        <v/>
      </c>
      <c r="AX953" s="35" t="str">
        <f aca="false">IF(OR(AR953="",N(AO953)=0),"",(N(AF953)*Settings!$B$6+N(AG953)*Settings!$B$7+N(AH953)*Settings!$B$8+N(AI953)*Settings!$B$9+N(AJ953)*Settings!$B$10)/AO953*1000)</f>
        <v/>
      </c>
      <c r="AY953" s="36" t="str">
        <f aca="false">IF(AS953="","",IFERROR(AS953/AVERAGEIFS('Post Tracker'!$AS$5:$AS$1004,'Post Tracker'!$G$5:$G$1004,G953),""))</f>
        <v/>
      </c>
      <c r="AZ953" s="32"/>
      <c r="BA953" s="32"/>
      <c r="BB953" s="32"/>
      <c r="BC953" s="32"/>
      <c r="BD953" s="33" t="str">
        <f aca="false">IF(A953="","",COUNTIFS('Demo Pipeline'!$Q$5:$Q$504,A953))</f>
        <v/>
      </c>
      <c r="BE953" s="33" t="str">
        <f aca="false">IF(A953="","",COUNTIFS('Demo Pipeline'!$Q$5:$Q$504,A953,'Demo Pipeline'!$W$5:$W$504,"Attended"))</f>
        <v/>
      </c>
      <c r="BF953" s="33" t="str">
        <f aca="false">IF(A953="","",COUNTIFS('Demo Pipeline'!$Q$5:$Q$504,A953,'Demo Pipeline'!$X$5:$X$504,"Yes"))</f>
        <v/>
      </c>
      <c r="BG953" s="33" t="str">
        <f aca="false">IF(A953="","",COUNTIFS('Demo Pipeline'!$Q$5:$Q$504,A953,'Demo Pipeline'!$Y$5:$Y$504,"Closed Won"))</f>
        <v/>
      </c>
      <c r="BH953" s="37" t="str">
        <f aca="false">IF(A953="","",SUMIFS('Demo Pipeline'!$Z$5:$Z$504,'Demo Pipeline'!$Q$5:$Q$504,A953))</f>
        <v/>
      </c>
      <c r="BI953" s="34" t="str">
        <f aca="false">IF(OR(AZ953="",N(AJ953)=0),"",AZ953/AJ953)</f>
        <v/>
      </c>
      <c r="BJ953" s="34" t="str">
        <f aca="false">IF(OR(BB953="",N(AZ953)=0),"",BB953/AZ953)</f>
        <v/>
      </c>
      <c r="BK953" s="34" t="str">
        <f aca="false">IF(OR(A953="",N(BB953)=0),"",BD953/BB953)</f>
        <v/>
      </c>
      <c r="BL953" s="34" t="str">
        <f aca="false">IF(OR(A953="",N(AZ953)=0),"",BD953/AZ953)</f>
        <v/>
      </c>
      <c r="BM953" s="37" t="str">
        <f aca="false">IF(OR(N(Q953)=0,N(BD953)=0),"",Q953/BD953)</f>
        <v/>
      </c>
      <c r="BN953" s="29"/>
      <c r="BO953" s="29"/>
      <c r="BP953" s="33" t="str">
        <f aca="false">IF(OR(AR953="",N(AO953)=0),"",AR953)</f>
        <v/>
      </c>
      <c r="BQ953" s="33" t="str">
        <f aca="false">IF(OR(AR953="",N(S953)=0),"",S953)</f>
        <v/>
      </c>
      <c r="BR953" s="38" t="str">
        <f aca="false">IF(AND(ISNUMBER(B953),B953&gt;=Dashboard!$C$4,B953&lt;=Dashboard!$F$4,ISNUMBER(AU953)),AU953+ROW()/10^9,"")</f>
        <v/>
      </c>
      <c r="BS953" s="38" t="str">
        <f aca="false">IF(AND(ISNUMBER(B953),B953&gt;=Dashboard!$C$4,B953&lt;=Dashboard!$F$4,A953&lt;&gt;""),N(BD953)+N(AU953)/100+ROW()/10^9,"")</f>
        <v/>
      </c>
    </row>
    <row r="954" customFormat="false" ht="15" hidden="false" customHeight="false" outlineLevel="0" collapsed="false">
      <c r="A954" s="24" t="str">
        <f aca="false">IF(OR(B954="",G954="",H954=""),"",IFERROR(INDEX(Settings!$E$5:$E$49,MATCH(G954,Settings!$D$5:$D$49,0))&amp;INDEX(Settings!$H$5:$H$47,MATCH(H954,Settings!$G$5:$G$47,0))&amp;"-"&amp;TEXT(B954,"yymmdd")&amp;"-"&amp;IF(C954="","0000",TEXT(C954,"hhmm")),"CHECK LISTS"))</f>
        <v/>
      </c>
      <c r="B954" s="39"/>
      <c r="C954" s="40"/>
      <c r="D954" s="24" t="str">
        <f aca="false">IF(B954="","",TEXT(B954,"ddd"))</f>
        <v/>
      </c>
      <c r="E954" s="27" t="str">
        <f aca="false">IF(B954="","",B954-WEEKDAY(B954,3))</f>
        <v/>
      </c>
      <c r="F954" s="24" t="str">
        <f aca="false">IF(B954="","",TEXT(B954,"yyyy-mm"))</f>
        <v/>
      </c>
      <c r="G954" s="29"/>
      <c r="H954" s="29"/>
      <c r="I954" s="29"/>
      <c r="J954" s="29"/>
      <c r="K954" s="29"/>
      <c r="L954" s="29"/>
      <c r="M954" s="29"/>
      <c r="N954" s="29"/>
      <c r="O954" s="29"/>
      <c r="P954" s="29"/>
      <c r="Q954" s="30"/>
      <c r="R954" s="29"/>
      <c r="S954" s="32"/>
      <c r="T954" s="29"/>
      <c r="U954" s="29"/>
      <c r="V954" s="24" t="str">
        <f aca="false">IF(A954="","",IFERROR(INDEX(Settings!$F$5:$F$49,MATCH(G954,Settings!$D$5:$D$49,0)),""))</f>
        <v/>
      </c>
      <c r="W954" s="24" t="str">
        <f aca="false">IF(A954="","",IF(OR(P954="",P954="Organic"),"social","paid_social"))</f>
        <v/>
      </c>
      <c r="X954" s="24" t="str">
        <f aca="false">IF(A954="","",IF(K954&lt;&gt;"",IFERROR(INDEX('Case Studies'!$C$5:$C$54,MATCH(K954,'Case Studies'!$B$5:$B$54,0))&amp;"","case-study"),IF(J954&lt;&gt;"",IFERROR(INDEX(Settings!$J$5:$J$55,MATCH(J954,Settings!$I$5:$I$55,0)),"general"),"general")))</f>
        <v/>
      </c>
      <c r="Y954" s="24" t="str">
        <f aca="false">IF(A954="","",LOWER(A954))</f>
        <v/>
      </c>
      <c r="Z954" s="24" t="str">
        <f aca="false">IF(A954="","",IF(T954="",Settings!$B$5,T954)&amp;IF(ISNUMBER(FIND("?",IF(T954="",Settings!$B$5,T954))),"&amp;","?")&amp;"utm_source="&amp;V954&amp;"&amp;utm_medium="&amp;W954&amp;"&amp;utm_campaign="&amp;X954&amp;"&amp;utm_content="&amp;Y954)</f>
        <v/>
      </c>
      <c r="AA954" s="29"/>
      <c r="AB954" s="39"/>
      <c r="AC954" s="32"/>
      <c r="AD954" s="32"/>
      <c r="AE954" s="32"/>
      <c r="AF954" s="32"/>
      <c r="AG954" s="32"/>
      <c r="AH954" s="32"/>
      <c r="AI954" s="32"/>
      <c r="AJ954" s="32"/>
      <c r="AK954" s="32"/>
      <c r="AL954" s="32"/>
      <c r="AM954" s="32"/>
      <c r="AN954" s="32"/>
      <c r="AO954" s="33" t="str">
        <f aca="false">IF(A954="","",IF(AD954&lt;&gt;"",AD954,IF(AC954&lt;&gt;"",AC954,"")))</f>
        <v/>
      </c>
      <c r="AP954" s="24" t="str">
        <f aca="false">IF(AO954="","",IF(AD954&lt;&gt;"","Reported reach","Impressions (proxy)"))</f>
        <v/>
      </c>
      <c r="AQ954" s="34" t="str">
        <f aca="false">IF(OR(AO954="",N(S954)=0),"",AO954/S954)</f>
        <v/>
      </c>
      <c r="AR954" s="33" t="str">
        <f aca="false">IF(A954="","",IF(COUNT(AF954:AJ954)=0,"",SUM(AF954:AJ954)))</f>
        <v/>
      </c>
      <c r="AS954" s="34" t="str">
        <f aca="false">IF(OR(AR954="",N(AO954)=0),"",AR954/AO954)</f>
        <v/>
      </c>
      <c r="AT954" s="34" t="str">
        <f aca="false">IF(OR(AR954="",N(AC954)=0),"",AR954/AC954)</f>
        <v/>
      </c>
      <c r="AU954" s="34" t="str">
        <f aca="false">IF(OR(AR954="",N(S954)=0),"",AR954/S954)</f>
        <v/>
      </c>
      <c r="AV954" s="34" t="str">
        <f aca="false">IF(OR(AJ954="",N(AC954)=0),"",AJ954/AC954)</f>
        <v/>
      </c>
      <c r="AW954" s="34" t="str">
        <f aca="false">IF(OR(AH954="",N(AO954)=0),"",AH954/AO954)</f>
        <v/>
      </c>
      <c r="AX954" s="35" t="str">
        <f aca="false">IF(OR(AR954="",N(AO954)=0),"",(N(AF954)*Settings!$B$6+N(AG954)*Settings!$B$7+N(AH954)*Settings!$B$8+N(AI954)*Settings!$B$9+N(AJ954)*Settings!$B$10)/AO954*1000)</f>
        <v/>
      </c>
      <c r="AY954" s="36" t="str">
        <f aca="false">IF(AS954="","",IFERROR(AS954/AVERAGEIFS('Post Tracker'!$AS$5:$AS$1004,'Post Tracker'!$G$5:$G$1004,G954),""))</f>
        <v/>
      </c>
      <c r="AZ954" s="32"/>
      <c r="BA954" s="32"/>
      <c r="BB954" s="32"/>
      <c r="BC954" s="32"/>
      <c r="BD954" s="33" t="str">
        <f aca="false">IF(A954="","",COUNTIFS('Demo Pipeline'!$Q$5:$Q$504,A954))</f>
        <v/>
      </c>
      <c r="BE954" s="33" t="str">
        <f aca="false">IF(A954="","",COUNTIFS('Demo Pipeline'!$Q$5:$Q$504,A954,'Demo Pipeline'!$W$5:$W$504,"Attended"))</f>
        <v/>
      </c>
      <c r="BF954" s="33" t="str">
        <f aca="false">IF(A954="","",COUNTIFS('Demo Pipeline'!$Q$5:$Q$504,A954,'Demo Pipeline'!$X$5:$X$504,"Yes"))</f>
        <v/>
      </c>
      <c r="BG954" s="33" t="str">
        <f aca="false">IF(A954="","",COUNTIFS('Demo Pipeline'!$Q$5:$Q$504,A954,'Demo Pipeline'!$Y$5:$Y$504,"Closed Won"))</f>
        <v/>
      </c>
      <c r="BH954" s="37" t="str">
        <f aca="false">IF(A954="","",SUMIFS('Demo Pipeline'!$Z$5:$Z$504,'Demo Pipeline'!$Q$5:$Q$504,A954))</f>
        <v/>
      </c>
      <c r="BI954" s="34" t="str">
        <f aca="false">IF(OR(AZ954="",N(AJ954)=0),"",AZ954/AJ954)</f>
        <v/>
      </c>
      <c r="BJ954" s="34" t="str">
        <f aca="false">IF(OR(BB954="",N(AZ954)=0),"",BB954/AZ954)</f>
        <v/>
      </c>
      <c r="BK954" s="34" t="str">
        <f aca="false">IF(OR(A954="",N(BB954)=0),"",BD954/BB954)</f>
        <v/>
      </c>
      <c r="BL954" s="34" t="str">
        <f aca="false">IF(OR(A954="",N(AZ954)=0),"",BD954/AZ954)</f>
        <v/>
      </c>
      <c r="BM954" s="37" t="str">
        <f aca="false">IF(OR(N(Q954)=0,N(BD954)=0),"",Q954/BD954)</f>
        <v/>
      </c>
      <c r="BN954" s="29"/>
      <c r="BO954" s="29"/>
      <c r="BP954" s="33" t="str">
        <f aca="false">IF(OR(AR954="",N(AO954)=0),"",AR954)</f>
        <v/>
      </c>
      <c r="BQ954" s="33" t="str">
        <f aca="false">IF(OR(AR954="",N(S954)=0),"",S954)</f>
        <v/>
      </c>
      <c r="BR954" s="38" t="str">
        <f aca="false">IF(AND(ISNUMBER(B954),B954&gt;=Dashboard!$C$4,B954&lt;=Dashboard!$F$4,ISNUMBER(AU954)),AU954+ROW()/10^9,"")</f>
        <v/>
      </c>
      <c r="BS954" s="38" t="str">
        <f aca="false">IF(AND(ISNUMBER(B954),B954&gt;=Dashboard!$C$4,B954&lt;=Dashboard!$F$4,A954&lt;&gt;""),N(BD954)+N(AU954)/100+ROW()/10^9,"")</f>
        <v/>
      </c>
    </row>
    <row r="955" customFormat="false" ht="15" hidden="false" customHeight="false" outlineLevel="0" collapsed="false">
      <c r="A955" s="24" t="str">
        <f aca="false">IF(OR(B955="",G955="",H955=""),"",IFERROR(INDEX(Settings!$E$5:$E$49,MATCH(G955,Settings!$D$5:$D$49,0))&amp;INDEX(Settings!$H$5:$H$47,MATCH(H955,Settings!$G$5:$G$47,0))&amp;"-"&amp;TEXT(B955,"yymmdd")&amp;"-"&amp;IF(C955="","0000",TEXT(C955,"hhmm")),"CHECK LISTS"))</f>
        <v/>
      </c>
      <c r="B955" s="39"/>
      <c r="C955" s="40"/>
      <c r="D955" s="24" t="str">
        <f aca="false">IF(B955="","",TEXT(B955,"ddd"))</f>
        <v/>
      </c>
      <c r="E955" s="27" t="str">
        <f aca="false">IF(B955="","",B955-WEEKDAY(B955,3))</f>
        <v/>
      </c>
      <c r="F955" s="24" t="str">
        <f aca="false">IF(B955="","",TEXT(B955,"yyyy-mm"))</f>
        <v/>
      </c>
      <c r="G955" s="29"/>
      <c r="H955" s="29"/>
      <c r="I955" s="29"/>
      <c r="J955" s="29"/>
      <c r="K955" s="29"/>
      <c r="L955" s="29"/>
      <c r="M955" s="29"/>
      <c r="N955" s="29"/>
      <c r="O955" s="29"/>
      <c r="P955" s="29"/>
      <c r="Q955" s="30"/>
      <c r="R955" s="29"/>
      <c r="S955" s="32"/>
      <c r="T955" s="29"/>
      <c r="U955" s="29"/>
      <c r="V955" s="24" t="str">
        <f aca="false">IF(A955="","",IFERROR(INDEX(Settings!$F$5:$F$49,MATCH(G955,Settings!$D$5:$D$49,0)),""))</f>
        <v/>
      </c>
      <c r="W955" s="24" t="str">
        <f aca="false">IF(A955="","",IF(OR(P955="",P955="Organic"),"social","paid_social"))</f>
        <v/>
      </c>
      <c r="X955" s="24" t="str">
        <f aca="false">IF(A955="","",IF(K955&lt;&gt;"",IFERROR(INDEX('Case Studies'!$C$5:$C$54,MATCH(K955,'Case Studies'!$B$5:$B$54,0))&amp;"","case-study"),IF(J955&lt;&gt;"",IFERROR(INDEX(Settings!$J$5:$J$55,MATCH(J955,Settings!$I$5:$I$55,0)),"general"),"general")))</f>
        <v/>
      </c>
      <c r="Y955" s="24" t="str">
        <f aca="false">IF(A955="","",LOWER(A955))</f>
        <v/>
      </c>
      <c r="Z955" s="24" t="str">
        <f aca="false">IF(A955="","",IF(T955="",Settings!$B$5,T955)&amp;IF(ISNUMBER(FIND("?",IF(T955="",Settings!$B$5,T955))),"&amp;","?")&amp;"utm_source="&amp;V955&amp;"&amp;utm_medium="&amp;W955&amp;"&amp;utm_campaign="&amp;X955&amp;"&amp;utm_content="&amp;Y955)</f>
        <v/>
      </c>
      <c r="AA955" s="29"/>
      <c r="AB955" s="39"/>
      <c r="AC955" s="32"/>
      <c r="AD955" s="32"/>
      <c r="AE955" s="32"/>
      <c r="AF955" s="32"/>
      <c r="AG955" s="32"/>
      <c r="AH955" s="32"/>
      <c r="AI955" s="32"/>
      <c r="AJ955" s="32"/>
      <c r="AK955" s="32"/>
      <c r="AL955" s="32"/>
      <c r="AM955" s="32"/>
      <c r="AN955" s="32"/>
      <c r="AO955" s="33" t="str">
        <f aca="false">IF(A955="","",IF(AD955&lt;&gt;"",AD955,IF(AC955&lt;&gt;"",AC955,"")))</f>
        <v/>
      </c>
      <c r="AP955" s="24" t="str">
        <f aca="false">IF(AO955="","",IF(AD955&lt;&gt;"","Reported reach","Impressions (proxy)"))</f>
        <v/>
      </c>
      <c r="AQ955" s="34" t="str">
        <f aca="false">IF(OR(AO955="",N(S955)=0),"",AO955/S955)</f>
        <v/>
      </c>
      <c r="AR955" s="33" t="str">
        <f aca="false">IF(A955="","",IF(COUNT(AF955:AJ955)=0,"",SUM(AF955:AJ955)))</f>
        <v/>
      </c>
      <c r="AS955" s="34" t="str">
        <f aca="false">IF(OR(AR955="",N(AO955)=0),"",AR955/AO955)</f>
        <v/>
      </c>
      <c r="AT955" s="34" t="str">
        <f aca="false">IF(OR(AR955="",N(AC955)=0),"",AR955/AC955)</f>
        <v/>
      </c>
      <c r="AU955" s="34" t="str">
        <f aca="false">IF(OR(AR955="",N(S955)=0),"",AR955/S955)</f>
        <v/>
      </c>
      <c r="AV955" s="34" t="str">
        <f aca="false">IF(OR(AJ955="",N(AC955)=0),"",AJ955/AC955)</f>
        <v/>
      </c>
      <c r="AW955" s="34" t="str">
        <f aca="false">IF(OR(AH955="",N(AO955)=0),"",AH955/AO955)</f>
        <v/>
      </c>
      <c r="AX955" s="35" t="str">
        <f aca="false">IF(OR(AR955="",N(AO955)=0),"",(N(AF955)*Settings!$B$6+N(AG955)*Settings!$B$7+N(AH955)*Settings!$B$8+N(AI955)*Settings!$B$9+N(AJ955)*Settings!$B$10)/AO955*1000)</f>
        <v/>
      </c>
      <c r="AY955" s="36" t="str">
        <f aca="false">IF(AS955="","",IFERROR(AS955/AVERAGEIFS('Post Tracker'!$AS$5:$AS$1004,'Post Tracker'!$G$5:$G$1004,G955),""))</f>
        <v/>
      </c>
      <c r="AZ955" s="32"/>
      <c r="BA955" s="32"/>
      <c r="BB955" s="32"/>
      <c r="BC955" s="32"/>
      <c r="BD955" s="33" t="str">
        <f aca="false">IF(A955="","",COUNTIFS('Demo Pipeline'!$Q$5:$Q$504,A955))</f>
        <v/>
      </c>
      <c r="BE955" s="33" t="str">
        <f aca="false">IF(A955="","",COUNTIFS('Demo Pipeline'!$Q$5:$Q$504,A955,'Demo Pipeline'!$W$5:$W$504,"Attended"))</f>
        <v/>
      </c>
      <c r="BF955" s="33" t="str">
        <f aca="false">IF(A955="","",COUNTIFS('Demo Pipeline'!$Q$5:$Q$504,A955,'Demo Pipeline'!$X$5:$X$504,"Yes"))</f>
        <v/>
      </c>
      <c r="BG955" s="33" t="str">
        <f aca="false">IF(A955="","",COUNTIFS('Demo Pipeline'!$Q$5:$Q$504,A955,'Demo Pipeline'!$Y$5:$Y$504,"Closed Won"))</f>
        <v/>
      </c>
      <c r="BH955" s="37" t="str">
        <f aca="false">IF(A955="","",SUMIFS('Demo Pipeline'!$Z$5:$Z$504,'Demo Pipeline'!$Q$5:$Q$504,A955))</f>
        <v/>
      </c>
      <c r="BI955" s="34" t="str">
        <f aca="false">IF(OR(AZ955="",N(AJ955)=0),"",AZ955/AJ955)</f>
        <v/>
      </c>
      <c r="BJ955" s="34" t="str">
        <f aca="false">IF(OR(BB955="",N(AZ955)=0),"",BB955/AZ955)</f>
        <v/>
      </c>
      <c r="BK955" s="34" t="str">
        <f aca="false">IF(OR(A955="",N(BB955)=0),"",BD955/BB955)</f>
        <v/>
      </c>
      <c r="BL955" s="34" t="str">
        <f aca="false">IF(OR(A955="",N(AZ955)=0),"",BD955/AZ955)</f>
        <v/>
      </c>
      <c r="BM955" s="37" t="str">
        <f aca="false">IF(OR(N(Q955)=0,N(BD955)=0),"",Q955/BD955)</f>
        <v/>
      </c>
      <c r="BN955" s="29"/>
      <c r="BO955" s="29"/>
      <c r="BP955" s="33" t="str">
        <f aca="false">IF(OR(AR955="",N(AO955)=0),"",AR955)</f>
        <v/>
      </c>
      <c r="BQ955" s="33" t="str">
        <f aca="false">IF(OR(AR955="",N(S955)=0),"",S955)</f>
        <v/>
      </c>
      <c r="BR955" s="38" t="str">
        <f aca="false">IF(AND(ISNUMBER(B955),B955&gt;=Dashboard!$C$4,B955&lt;=Dashboard!$F$4,ISNUMBER(AU955)),AU955+ROW()/10^9,"")</f>
        <v/>
      </c>
      <c r="BS955" s="38" t="str">
        <f aca="false">IF(AND(ISNUMBER(B955),B955&gt;=Dashboard!$C$4,B955&lt;=Dashboard!$F$4,A955&lt;&gt;""),N(BD955)+N(AU955)/100+ROW()/10^9,"")</f>
        <v/>
      </c>
    </row>
    <row r="956" customFormat="false" ht="15" hidden="false" customHeight="false" outlineLevel="0" collapsed="false">
      <c r="A956" s="24" t="str">
        <f aca="false">IF(OR(B956="",G956="",H956=""),"",IFERROR(INDEX(Settings!$E$5:$E$49,MATCH(G956,Settings!$D$5:$D$49,0))&amp;INDEX(Settings!$H$5:$H$47,MATCH(H956,Settings!$G$5:$G$47,0))&amp;"-"&amp;TEXT(B956,"yymmdd")&amp;"-"&amp;IF(C956="","0000",TEXT(C956,"hhmm")),"CHECK LISTS"))</f>
        <v/>
      </c>
      <c r="B956" s="39"/>
      <c r="C956" s="40"/>
      <c r="D956" s="24" t="str">
        <f aca="false">IF(B956="","",TEXT(B956,"ddd"))</f>
        <v/>
      </c>
      <c r="E956" s="27" t="str">
        <f aca="false">IF(B956="","",B956-WEEKDAY(B956,3))</f>
        <v/>
      </c>
      <c r="F956" s="24" t="str">
        <f aca="false">IF(B956="","",TEXT(B956,"yyyy-mm"))</f>
        <v/>
      </c>
      <c r="G956" s="29"/>
      <c r="H956" s="29"/>
      <c r="I956" s="29"/>
      <c r="J956" s="29"/>
      <c r="K956" s="29"/>
      <c r="L956" s="29"/>
      <c r="M956" s="29"/>
      <c r="N956" s="29"/>
      <c r="O956" s="29"/>
      <c r="P956" s="29"/>
      <c r="Q956" s="30"/>
      <c r="R956" s="29"/>
      <c r="S956" s="32"/>
      <c r="T956" s="29"/>
      <c r="U956" s="29"/>
      <c r="V956" s="24" t="str">
        <f aca="false">IF(A956="","",IFERROR(INDEX(Settings!$F$5:$F$49,MATCH(G956,Settings!$D$5:$D$49,0)),""))</f>
        <v/>
      </c>
      <c r="W956" s="24" t="str">
        <f aca="false">IF(A956="","",IF(OR(P956="",P956="Organic"),"social","paid_social"))</f>
        <v/>
      </c>
      <c r="X956" s="24" t="str">
        <f aca="false">IF(A956="","",IF(K956&lt;&gt;"",IFERROR(INDEX('Case Studies'!$C$5:$C$54,MATCH(K956,'Case Studies'!$B$5:$B$54,0))&amp;"","case-study"),IF(J956&lt;&gt;"",IFERROR(INDEX(Settings!$J$5:$J$55,MATCH(J956,Settings!$I$5:$I$55,0)),"general"),"general")))</f>
        <v/>
      </c>
      <c r="Y956" s="24" t="str">
        <f aca="false">IF(A956="","",LOWER(A956))</f>
        <v/>
      </c>
      <c r="Z956" s="24" t="str">
        <f aca="false">IF(A956="","",IF(T956="",Settings!$B$5,T956)&amp;IF(ISNUMBER(FIND("?",IF(T956="",Settings!$B$5,T956))),"&amp;","?")&amp;"utm_source="&amp;V956&amp;"&amp;utm_medium="&amp;W956&amp;"&amp;utm_campaign="&amp;X956&amp;"&amp;utm_content="&amp;Y956)</f>
        <v/>
      </c>
      <c r="AA956" s="29"/>
      <c r="AB956" s="39"/>
      <c r="AC956" s="32"/>
      <c r="AD956" s="32"/>
      <c r="AE956" s="32"/>
      <c r="AF956" s="32"/>
      <c r="AG956" s="32"/>
      <c r="AH956" s="32"/>
      <c r="AI956" s="32"/>
      <c r="AJ956" s="32"/>
      <c r="AK956" s="32"/>
      <c r="AL956" s="32"/>
      <c r="AM956" s="32"/>
      <c r="AN956" s="32"/>
      <c r="AO956" s="33" t="str">
        <f aca="false">IF(A956="","",IF(AD956&lt;&gt;"",AD956,IF(AC956&lt;&gt;"",AC956,"")))</f>
        <v/>
      </c>
      <c r="AP956" s="24" t="str">
        <f aca="false">IF(AO956="","",IF(AD956&lt;&gt;"","Reported reach","Impressions (proxy)"))</f>
        <v/>
      </c>
      <c r="AQ956" s="34" t="str">
        <f aca="false">IF(OR(AO956="",N(S956)=0),"",AO956/S956)</f>
        <v/>
      </c>
      <c r="AR956" s="33" t="str">
        <f aca="false">IF(A956="","",IF(COUNT(AF956:AJ956)=0,"",SUM(AF956:AJ956)))</f>
        <v/>
      </c>
      <c r="AS956" s="34" t="str">
        <f aca="false">IF(OR(AR956="",N(AO956)=0),"",AR956/AO956)</f>
        <v/>
      </c>
      <c r="AT956" s="34" t="str">
        <f aca="false">IF(OR(AR956="",N(AC956)=0),"",AR956/AC956)</f>
        <v/>
      </c>
      <c r="AU956" s="34" t="str">
        <f aca="false">IF(OR(AR956="",N(S956)=0),"",AR956/S956)</f>
        <v/>
      </c>
      <c r="AV956" s="34" t="str">
        <f aca="false">IF(OR(AJ956="",N(AC956)=0),"",AJ956/AC956)</f>
        <v/>
      </c>
      <c r="AW956" s="34" t="str">
        <f aca="false">IF(OR(AH956="",N(AO956)=0),"",AH956/AO956)</f>
        <v/>
      </c>
      <c r="AX956" s="35" t="str">
        <f aca="false">IF(OR(AR956="",N(AO956)=0),"",(N(AF956)*Settings!$B$6+N(AG956)*Settings!$B$7+N(AH956)*Settings!$B$8+N(AI956)*Settings!$B$9+N(AJ956)*Settings!$B$10)/AO956*1000)</f>
        <v/>
      </c>
      <c r="AY956" s="36" t="str">
        <f aca="false">IF(AS956="","",IFERROR(AS956/AVERAGEIFS('Post Tracker'!$AS$5:$AS$1004,'Post Tracker'!$G$5:$G$1004,G956),""))</f>
        <v/>
      </c>
      <c r="AZ956" s="32"/>
      <c r="BA956" s="32"/>
      <c r="BB956" s="32"/>
      <c r="BC956" s="32"/>
      <c r="BD956" s="33" t="str">
        <f aca="false">IF(A956="","",COUNTIFS('Demo Pipeline'!$Q$5:$Q$504,A956))</f>
        <v/>
      </c>
      <c r="BE956" s="33" t="str">
        <f aca="false">IF(A956="","",COUNTIFS('Demo Pipeline'!$Q$5:$Q$504,A956,'Demo Pipeline'!$W$5:$W$504,"Attended"))</f>
        <v/>
      </c>
      <c r="BF956" s="33" t="str">
        <f aca="false">IF(A956="","",COUNTIFS('Demo Pipeline'!$Q$5:$Q$504,A956,'Demo Pipeline'!$X$5:$X$504,"Yes"))</f>
        <v/>
      </c>
      <c r="BG956" s="33" t="str">
        <f aca="false">IF(A956="","",COUNTIFS('Demo Pipeline'!$Q$5:$Q$504,A956,'Demo Pipeline'!$Y$5:$Y$504,"Closed Won"))</f>
        <v/>
      </c>
      <c r="BH956" s="37" t="str">
        <f aca="false">IF(A956="","",SUMIFS('Demo Pipeline'!$Z$5:$Z$504,'Demo Pipeline'!$Q$5:$Q$504,A956))</f>
        <v/>
      </c>
      <c r="BI956" s="34" t="str">
        <f aca="false">IF(OR(AZ956="",N(AJ956)=0),"",AZ956/AJ956)</f>
        <v/>
      </c>
      <c r="BJ956" s="34" t="str">
        <f aca="false">IF(OR(BB956="",N(AZ956)=0),"",BB956/AZ956)</f>
        <v/>
      </c>
      <c r="BK956" s="34" t="str">
        <f aca="false">IF(OR(A956="",N(BB956)=0),"",BD956/BB956)</f>
        <v/>
      </c>
      <c r="BL956" s="34" t="str">
        <f aca="false">IF(OR(A956="",N(AZ956)=0),"",BD956/AZ956)</f>
        <v/>
      </c>
      <c r="BM956" s="37" t="str">
        <f aca="false">IF(OR(N(Q956)=0,N(BD956)=0),"",Q956/BD956)</f>
        <v/>
      </c>
      <c r="BN956" s="29"/>
      <c r="BO956" s="29"/>
      <c r="BP956" s="33" t="str">
        <f aca="false">IF(OR(AR956="",N(AO956)=0),"",AR956)</f>
        <v/>
      </c>
      <c r="BQ956" s="33" t="str">
        <f aca="false">IF(OR(AR956="",N(S956)=0),"",S956)</f>
        <v/>
      </c>
      <c r="BR956" s="38" t="str">
        <f aca="false">IF(AND(ISNUMBER(B956),B956&gt;=Dashboard!$C$4,B956&lt;=Dashboard!$F$4,ISNUMBER(AU956)),AU956+ROW()/10^9,"")</f>
        <v/>
      </c>
      <c r="BS956" s="38" t="str">
        <f aca="false">IF(AND(ISNUMBER(B956),B956&gt;=Dashboard!$C$4,B956&lt;=Dashboard!$F$4,A956&lt;&gt;""),N(BD956)+N(AU956)/100+ROW()/10^9,"")</f>
        <v/>
      </c>
    </row>
    <row r="957" customFormat="false" ht="15" hidden="false" customHeight="false" outlineLevel="0" collapsed="false">
      <c r="A957" s="24" t="str">
        <f aca="false">IF(OR(B957="",G957="",H957=""),"",IFERROR(INDEX(Settings!$E$5:$E$49,MATCH(G957,Settings!$D$5:$D$49,0))&amp;INDEX(Settings!$H$5:$H$47,MATCH(H957,Settings!$G$5:$G$47,0))&amp;"-"&amp;TEXT(B957,"yymmdd")&amp;"-"&amp;IF(C957="","0000",TEXT(C957,"hhmm")),"CHECK LISTS"))</f>
        <v/>
      </c>
      <c r="B957" s="39"/>
      <c r="C957" s="40"/>
      <c r="D957" s="24" t="str">
        <f aca="false">IF(B957="","",TEXT(B957,"ddd"))</f>
        <v/>
      </c>
      <c r="E957" s="27" t="str">
        <f aca="false">IF(B957="","",B957-WEEKDAY(B957,3))</f>
        <v/>
      </c>
      <c r="F957" s="24" t="str">
        <f aca="false">IF(B957="","",TEXT(B957,"yyyy-mm"))</f>
        <v/>
      </c>
      <c r="G957" s="29"/>
      <c r="H957" s="29"/>
      <c r="I957" s="29"/>
      <c r="J957" s="29"/>
      <c r="K957" s="29"/>
      <c r="L957" s="29"/>
      <c r="M957" s="29"/>
      <c r="N957" s="29"/>
      <c r="O957" s="29"/>
      <c r="P957" s="29"/>
      <c r="Q957" s="30"/>
      <c r="R957" s="29"/>
      <c r="S957" s="32"/>
      <c r="T957" s="29"/>
      <c r="U957" s="29"/>
      <c r="V957" s="24" t="str">
        <f aca="false">IF(A957="","",IFERROR(INDEX(Settings!$F$5:$F$49,MATCH(G957,Settings!$D$5:$D$49,0)),""))</f>
        <v/>
      </c>
      <c r="W957" s="24" t="str">
        <f aca="false">IF(A957="","",IF(OR(P957="",P957="Organic"),"social","paid_social"))</f>
        <v/>
      </c>
      <c r="X957" s="24" t="str">
        <f aca="false">IF(A957="","",IF(K957&lt;&gt;"",IFERROR(INDEX('Case Studies'!$C$5:$C$54,MATCH(K957,'Case Studies'!$B$5:$B$54,0))&amp;"","case-study"),IF(J957&lt;&gt;"",IFERROR(INDEX(Settings!$J$5:$J$55,MATCH(J957,Settings!$I$5:$I$55,0)),"general"),"general")))</f>
        <v/>
      </c>
      <c r="Y957" s="24" t="str">
        <f aca="false">IF(A957="","",LOWER(A957))</f>
        <v/>
      </c>
      <c r="Z957" s="24" t="str">
        <f aca="false">IF(A957="","",IF(T957="",Settings!$B$5,T957)&amp;IF(ISNUMBER(FIND("?",IF(T957="",Settings!$B$5,T957))),"&amp;","?")&amp;"utm_source="&amp;V957&amp;"&amp;utm_medium="&amp;W957&amp;"&amp;utm_campaign="&amp;X957&amp;"&amp;utm_content="&amp;Y957)</f>
        <v/>
      </c>
      <c r="AA957" s="29"/>
      <c r="AB957" s="39"/>
      <c r="AC957" s="32"/>
      <c r="AD957" s="32"/>
      <c r="AE957" s="32"/>
      <c r="AF957" s="32"/>
      <c r="AG957" s="32"/>
      <c r="AH957" s="32"/>
      <c r="AI957" s="32"/>
      <c r="AJ957" s="32"/>
      <c r="AK957" s="32"/>
      <c r="AL957" s="32"/>
      <c r="AM957" s="32"/>
      <c r="AN957" s="32"/>
      <c r="AO957" s="33" t="str">
        <f aca="false">IF(A957="","",IF(AD957&lt;&gt;"",AD957,IF(AC957&lt;&gt;"",AC957,"")))</f>
        <v/>
      </c>
      <c r="AP957" s="24" t="str">
        <f aca="false">IF(AO957="","",IF(AD957&lt;&gt;"","Reported reach","Impressions (proxy)"))</f>
        <v/>
      </c>
      <c r="AQ957" s="34" t="str">
        <f aca="false">IF(OR(AO957="",N(S957)=0),"",AO957/S957)</f>
        <v/>
      </c>
      <c r="AR957" s="33" t="str">
        <f aca="false">IF(A957="","",IF(COUNT(AF957:AJ957)=0,"",SUM(AF957:AJ957)))</f>
        <v/>
      </c>
      <c r="AS957" s="34" t="str">
        <f aca="false">IF(OR(AR957="",N(AO957)=0),"",AR957/AO957)</f>
        <v/>
      </c>
      <c r="AT957" s="34" t="str">
        <f aca="false">IF(OR(AR957="",N(AC957)=0),"",AR957/AC957)</f>
        <v/>
      </c>
      <c r="AU957" s="34" t="str">
        <f aca="false">IF(OR(AR957="",N(S957)=0),"",AR957/S957)</f>
        <v/>
      </c>
      <c r="AV957" s="34" t="str">
        <f aca="false">IF(OR(AJ957="",N(AC957)=0),"",AJ957/AC957)</f>
        <v/>
      </c>
      <c r="AW957" s="34" t="str">
        <f aca="false">IF(OR(AH957="",N(AO957)=0),"",AH957/AO957)</f>
        <v/>
      </c>
      <c r="AX957" s="35" t="str">
        <f aca="false">IF(OR(AR957="",N(AO957)=0),"",(N(AF957)*Settings!$B$6+N(AG957)*Settings!$B$7+N(AH957)*Settings!$B$8+N(AI957)*Settings!$B$9+N(AJ957)*Settings!$B$10)/AO957*1000)</f>
        <v/>
      </c>
      <c r="AY957" s="36" t="str">
        <f aca="false">IF(AS957="","",IFERROR(AS957/AVERAGEIFS('Post Tracker'!$AS$5:$AS$1004,'Post Tracker'!$G$5:$G$1004,G957),""))</f>
        <v/>
      </c>
      <c r="AZ957" s="32"/>
      <c r="BA957" s="32"/>
      <c r="BB957" s="32"/>
      <c r="BC957" s="32"/>
      <c r="BD957" s="33" t="str">
        <f aca="false">IF(A957="","",COUNTIFS('Demo Pipeline'!$Q$5:$Q$504,A957))</f>
        <v/>
      </c>
      <c r="BE957" s="33" t="str">
        <f aca="false">IF(A957="","",COUNTIFS('Demo Pipeline'!$Q$5:$Q$504,A957,'Demo Pipeline'!$W$5:$W$504,"Attended"))</f>
        <v/>
      </c>
      <c r="BF957" s="33" t="str">
        <f aca="false">IF(A957="","",COUNTIFS('Demo Pipeline'!$Q$5:$Q$504,A957,'Demo Pipeline'!$X$5:$X$504,"Yes"))</f>
        <v/>
      </c>
      <c r="BG957" s="33" t="str">
        <f aca="false">IF(A957="","",COUNTIFS('Demo Pipeline'!$Q$5:$Q$504,A957,'Demo Pipeline'!$Y$5:$Y$504,"Closed Won"))</f>
        <v/>
      </c>
      <c r="BH957" s="37" t="str">
        <f aca="false">IF(A957="","",SUMIFS('Demo Pipeline'!$Z$5:$Z$504,'Demo Pipeline'!$Q$5:$Q$504,A957))</f>
        <v/>
      </c>
      <c r="BI957" s="34" t="str">
        <f aca="false">IF(OR(AZ957="",N(AJ957)=0),"",AZ957/AJ957)</f>
        <v/>
      </c>
      <c r="BJ957" s="34" t="str">
        <f aca="false">IF(OR(BB957="",N(AZ957)=0),"",BB957/AZ957)</f>
        <v/>
      </c>
      <c r="BK957" s="34" t="str">
        <f aca="false">IF(OR(A957="",N(BB957)=0),"",BD957/BB957)</f>
        <v/>
      </c>
      <c r="BL957" s="34" t="str">
        <f aca="false">IF(OR(A957="",N(AZ957)=0),"",BD957/AZ957)</f>
        <v/>
      </c>
      <c r="BM957" s="37" t="str">
        <f aca="false">IF(OR(N(Q957)=0,N(BD957)=0),"",Q957/BD957)</f>
        <v/>
      </c>
      <c r="BN957" s="29"/>
      <c r="BO957" s="29"/>
      <c r="BP957" s="33" t="str">
        <f aca="false">IF(OR(AR957="",N(AO957)=0),"",AR957)</f>
        <v/>
      </c>
      <c r="BQ957" s="33" t="str">
        <f aca="false">IF(OR(AR957="",N(S957)=0),"",S957)</f>
        <v/>
      </c>
      <c r="BR957" s="38" t="str">
        <f aca="false">IF(AND(ISNUMBER(B957),B957&gt;=Dashboard!$C$4,B957&lt;=Dashboard!$F$4,ISNUMBER(AU957)),AU957+ROW()/10^9,"")</f>
        <v/>
      </c>
      <c r="BS957" s="38" t="str">
        <f aca="false">IF(AND(ISNUMBER(B957),B957&gt;=Dashboard!$C$4,B957&lt;=Dashboard!$F$4,A957&lt;&gt;""),N(BD957)+N(AU957)/100+ROW()/10^9,"")</f>
        <v/>
      </c>
    </row>
    <row r="958" customFormat="false" ht="15" hidden="false" customHeight="false" outlineLevel="0" collapsed="false">
      <c r="A958" s="24" t="str">
        <f aca="false">IF(OR(B958="",G958="",H958=""),"",IFERROR(INDEX(Settings!$E$5:$E$49,MATCH(G958,Settings!$D$5:$D$49,0))&amp;INDEX(Settings!$H$5:$H$47,MATCH(H958,Settings!$G$5:$G$47,0))&amp;"-"&amp;TEXT(B958,"yymmdd")&amp;"-"&amp;IF(C958="","0000",TEXT(C958,"hhmm")),"CHECK LISTS"))</f>
        <v/>
      </c>
      <c r="B958" s="39"/>
      <c r="C958" s="40"/>
      <c r="D958" s="24" t="str">
        <f aca="false">IF(B958="","",TEXT(B958,"ddd"))</f>
        <v/>
      </c>
      <c r="E958" s="27" t="str">
        <f aca="false">IF(B958="","",B958-WEEKDAY(B958,3))</f>
        <v/>
      </c>
      <c r="F958" s="24" t="str">
        <f aca="false">IF(B958="","",TEXT(B958,"yyyy-mm"))</f>
        <v/>
      </c>
      <c r="G958" s="29"/>
      <c r="H958" s="29"/>
      <c r="I958" s="29"/>
      <c r="J958" s="29"/>
      <c r="K958" s="29"/>
      <c r="L958" s="29"/>
      <c r="M958" s="29"/>
      <c r="N958" s="29"/>
      <c r="O958" s="29"/>
      <c r="P958" s="29"/>
      <c r="Q958" s="30"/>
      <c r="R958" s="29"/>
      <c r="S958" s="32"/>
      <c r="T958" s="29"/>
      <c r="U958" s="29"/>
      <c r="V958" s="24" t="str">
        <f aca="false">IF(A958="","",IFERROR(INDEX(Settings!$F$5:$F$49,MATCH(G958,Settings!$D$5:$D$49,0)),""))</f>
        <v/>
      </c>
      <c r="W958" s="24" t="str">
        <f aca="false">IF(A958="","",IF(OR(P958="",P958="Organic"),"social","paid_social"))</f>
        <v/>
      </c>
      <c r="X958" s="24" t="str">
        <f aca="false">IF(A958="","",IF(K958&lt;&gt;"",IFERROR(INDEX('Case Studies'!$C$5:$C$54,MATCH(K958,'Case Studies'!$B$5:$B$54,0))&amp;"","case-study"),IF(J958&lt;&gt;"",IFERROR(INDEX(Settings!$J$5:$J$55,MATCH(J958,Settings!$I$5:$I$55,0)),"general"),"general")))</f>
        <v/>
      </c>
      <c r="Y958" s="24" t="str">
        <f aca="false">IF(A958="","",LOWER(A958))</f>
        <v/>
      </c>
      <c r="Z958" s="24" t="str">
        <f aca="false">IF(A958="","",IF(T958="",Settings!$B$5,T958)&amp;IF(ISNUMBER(FIND("?",IF(T958="",Settings!$B$5,T958))),"&amp;","?")&amp;"utm_source="&amp;V958&amp;"&amp;utm_medium="&amp;W958&amp;"&amp;utm_campaign="&amp;X958&amp;"&amp;utm_content="&amp;Y958)</f>
        <v/>
      </c>
      <c r="AA958" s="29"/>
      <c r="AB958" s="39"/>
      <c r="AC958" s="32"/>
      <c r="AD958" s="32"/>
      <c r="AE958" s="32"/>
      <c r="AF958" s="32"/>
      <c r="AG958" s="32"/>
      <c r="AH958" s="32"/>
      <c r="AI958" s="32"/>
      <c r="AJ958" s="32"/>
      <c r="AK958" s="32"/>
      <c r="AL958" s="32"/>
      <c r="AM958" s="32"/>
      <c r="AN958" s="32"/>
      <c r="AO958" s="33" t="str">
        <f aca="false">IF(A958="","",IF(AD958&lt;&gt;"",AD958,IF(AC958&lt;&gt;"",AC958,"")))</f>
        <v/>
      </c>
      <c r="AP958" s="24" t="str">
        <f aca="false">IF(AO958="","",IF(AD958&lt;&gt;"","Reported reach","Impressions (proxy)"))</f>
        <v/>
      </c>
      <c r="AQ958" s="34" t="str">
        <f aca="false">IF(OR(AO958="",N(S958)=0),"",AO958/S958)</f>
        <v/>
      </c>
      <c r="AR958" s="33" t="str">
        <f aca="false">IF(A958="","",IF(COUNT(AF958:AJ958)=0,"",SUM(AF958:AJ958)))</f>
        <v/>
      </c>
      <c r="AS958" s="34" t="str">
        <f aca="false">IF(OR(AR958="",N(AO958)=0),"",AR958/AO958)</f>
        <v/>
      </c>
      <c r="AT958" s="34" t="str">
        <f aca="false">IF(OR(AR958="",N(AC958)=0),"",AR958/AC958)</f>
        <v/>
      </c>
      <c r="AU958" s="34" t="str">
        <f aca="false">IF(OR(AR958="",N(S958)=0),"",AR958/S958)</f>
        <v/>
      </c>
      <c r="AV958" s="34" t="str">
        <f aca="false">IF(OR(AJ958="",N(AC958)=0),"",AJ958/AC958)</f>
        <v/>
      </c>
      <c r="AW958" s="34" t="str">
        <f aca="false">IF(OR(AH958="",N(AO958)=0),"",AH958/AO958)</f>
        <v/>
      </c>
      <c r="AX958" s="35" t="str">
        <f aca="false">IF(OR(AR958="",N(AO958)=0),"",(N(AF958)*Settings!$B$6+N(AG958)*Settings!$B$7+N(AH958)*Settings!$B$8+N(AI958)*Settings!$B$9+N(AJ958)*Settings!$B$10)/AO958*1000)</f>
        <v/>
      </c>
      <c r="AY958" s="36" t="str">
        <f aca="false">IF(AS958="","",IFERROR(AS958/AVERAGEIFS('Post Tracker'!$AS$5:$AS$1004,'Post Tracker'!$G$5:$G$1004,G958),""))</f>
        <v/>
      </c>
      <c r="AZ958" s="32"/>
      <c r="BA958" s="32"/>
      <c r="BB958" s="32"/>
      <c r="BC958" s="32"/>
      <c r="BD958" s="33" t="str">
        <f aca="false">IF(A958="","",COUNTIFS('Demo Pipeline'!$Q$5:$Q$504,A958))</f>
        <v/>
      </c>
      <c r="BE958" s="33" t="str">
        <f aca="false">IF(A958="","",COUNTIFS('Demo Pipeline'!$Q$5:$Q$504,A958,'Demo Pipeline'!$W$5:$W$504,"Attended"))</f>
        <v/>
      </c>
      <c r="BF958" s="33" t="str">
        <f aca="false">IF(A958="","",COUNTIFS('Demo Pipeline'!$Q$5:$Q$504,A958,'Demo Pipeline'!$X$5:$X$504,"Yes"))</f>
        <v/>
      </c>
      <c r="BG958" s="33" t="str">
        <f aca="false">IF(A958="","",COUNTIFS('Demo Pipeline'!$Q$5:$Q$504,A958,'Demo Pipeline'!$Y$5:$Y$504,"Closed Won"))</f>
        <v/>
      </c>
      <c r="BH958" s="37" t="str">
        <f aca="false">IF(A958="","",SUMIFS('Demo Pipeline'!$Z$5:$Z$504,'Demo Pipeline'!$Q$5:$Q$504,A958))</f>
        <v/>
      </c>
      <c r="BI958" s="34" t="str">
        <f aca="false">IF(OR(AZ958="",N(AJ958)=0),"",AZ958/AJ958)</f>
        <v/>
      </c>
      <c r="BJ958" s="34" t="str">
        <f aca="false">IF(OR(BB958="",N(AZ958)=0),"",BB958/AZ958)</f>
        <v/>
      </c>
      <c r="BK958" s="34" t="str">
        <f aca="false">IF(OR(A958="",N(BB958)=0),"",BD958/BB958)</f>
        <v/>
      </c>
      <c r="BL958" s="34" t="str">
        <f aca="false">IF(OR(A958="",N(AZ958)=0),"",BD958/AZ958)</f>
        <v/>
      </c>
      <c r="BM958" s="37" t="str">
        <f aca="false">IF(OR(N(Q958)=0,N(BD958)=0),"",Q958/BD958)</f>
        <v/>
      </c>
      <c r="BN958" s="29"/>
      <c r="BO958" s="29"/>
      <c r="BP958" s="33" t="str">
        <f aca="false">IF(OR(AR958="",N(AO958)=0),"",AR958)</f>
        <v/>
      </c>
      <c r="BQ958" s="33" t="str">
        <f aca="false">IF(OR(AR958="",N(S958)=0),"",S958)</f>
        <v/>
      </c>
      <c r="BR958" s="38" t="str">
        <f aca="false">IF(AND(ISNUMBER(B958),B958&gt;=Dashboard!$C$4,B958&lt;=Dashboard!$F$4,ISNUMBER(AU958)),AU958+ROW()/10^9,"")</f>
        <v/>
      </c>
      <c r="BS958" s="38" t="str">
        <f aca="false">IF(AND(ISNUMBER(B958),B958&gt;=Dashboard!$C$4,B958&lt;=Dashboard!$F$4,A958&lt;&gt;""),N(BD958)+N(AU958)/100+ROW()/10^9,"")</f>
        <v/>
      </c>
    </row>
    <row r="959" customFormat="false" ht="15" hidden="false" customHeight="false" outlineLevel="0" collapsed="false">
      <c r="A959" s="24" t="str">
        <f aca="false">IF(OR(B959="",G959="",H959=""),"",IFERROR(INDEX(Settings!$E$5:$E$49,MATCH(G959,Settings!$D$5:$D$49,0))&amp;INDEX(Settings!$H$5:$H$47,MATCH(H959,Settings!$G$5:$G$47,0))&amp;"-"&amp;TEXT(B959,"yymmdd")&amp;"-"&amp;IF(C959="","0000",TEXT(C959,"hhmm")),"CHECK LISTS"))</f>
        <v/>
      </c>
      <c r="B959" s="39"/>
      <c r="C959" s="40"/>
      <c r="D959" s="24" t="str">
        <f aca="false">IF(B959="","",TEXT(B959,"ddd"))</f>
        <v/>
      </c>
      <c r="E959" s="27" t="str">
        <f aca="false">IF(B959="","",B959-WEEKDAY(B959,3))</f>
        <v/>
      </c>
      <c r="F959" s="24" t="str">
        <f aca="false">IF(B959="","",TEXT(B959,"yyyy-mm"))</f>
        <v/>
      </c>
      <c r="G959" s="29"/>
      <c r="H959" s="29"/>
      <c r="I959" s="29"/>
      <c r="J959" s="29"/>
      <c r="K959" s="29"/>
      <c r="L959" s="29"/>
      <c r="M959" s="29"/>
      <c r="N959" s="29"/>
      <c r="O959" s="29"/>
      <c r="P959" s="29"/>
      <c r="Q959" s="30"/>
      <c r="R959" s="29"/>
      <c r="S959" s="32"/>
      <c r="T959" s="29"/>
      <c r="U959" s="29"/>
      <c r="V959" s="24" t="str">
        <f aca="false">IF(A959="","",IFERROR(INDEX(Settings!$F$5:$F$49,MATCH(G959,Settings!$D$5:$D$49,0)),""))</f>
        <v/>
      </c>
      <c r="W959" s="24" t="str">
        <f aca="false">IF(A959="","",IF(OR(P959="",P959="Organic"),"social","paid_social"))</f>
        <v/>
      </c>
      <c r="X959" s="24" t="str">
        <f aca="false">IF(A959="","",IF(K959&lt;&gt;"",IFERROR(INDEX('Case Studies'!$C$5:$C$54,MATCH(K959,'Case Studies'!$B$5:$B$54,0))&amp;"","case-study"),IF(J959&lt;&gt;"",IFERROR(INDEX(Settings!$J$5:$J$55,MATCH(J959,Settings!$I$5:$I$55,0)),"general"),"general")))</f>
        <v/>
      </c>
      <c r="Y959" s="24" t="str">
        <f aca="false">IF(A959="","",LOWER(A959))</f>
        <v/>
      </c>
      <c r="Z959" s="24" t="str">
        <f aca="false">IF(A959="","",IF(T959="",Settings!$B$5,T959)&amp;IF(ISNUMBER(FIND("?",IF(T959="",Settings!$B$5,T959))),"&amp;","?")&amp;"utm_source="&amp;V959&amp;"&amp;utm_medium="&amp;W959&amp;"&amp;utm_campaign="&amp;X959&amp;"&amp;utm_content="&amp;Y959)</f>
        <v/>
      </c>
      <c r="AA959" s="29"/>
      <c r="AB959" s="39"/>
      <c r="AC959" s="32"/>
      <c r="AD959" s="32"/>
      <c r="AE959" s="32"/>
      <c r="AF959" s="32"/>
      <c r="AG959" s="32"/>
      <c r="AH959" s="32"/>
      <c r="AI959" s="32"/>
      <c r="AJ959" s="32"/>
      <c r="AK959" s="32"/>
      <c r="AL959" s="32"/>
      <c r="AM959" s="32"/>
      <c r="AN959" s="32"/>
      <c r="AO959" s="33" t="str">
        <f aca="false">IF(A959="","",IF(AD959&lt;&gt;"",AD959,IF(AC959&lt;&gt;"",AC959,"")))</f>
        <v/>
      </c>
      <c r="AP959" s="24" t="str">
        <f aca="false">IF(AO959="","",IF(AD959&lt;&gt;"","Reported reach","Impressions (proxy)"))</f>
        <v/>
      </c>
      <c r="AQ959" s="34" t="str">
        <f aca="false">IF(OR(AO959="",N(S959)=0),"",AO959/S959)</f>
        <v/>
      </c>
      <c r="AR959" s="33" t="str">
        <f aca="false">IF(A959="","",IF(COUNT(AF959:AJ959)=0,"",SUM(AF959:AJ959)))</f>
        <v/>
      </c>
      <c r="AS959" s="34" t="str">
        <f aca="false">IF(OR(AR959="",N(AO959)=0),"",AR959/AO959)</f>
        <v/>
      </c>
      <c r="AT959" s="34" t="str">
        <f aca="false">IF(OR(AR959="",N(AC959)=0),"",AR959/AC959)</f>
        <v/>
      </c>
      <c r="AU959" s="34" t="str">
        <f aca="false">IF(OR(AR959="",N(S959)=0),"",AR959/S959)</f>
        <v/>
      </c>
      <c r="AV959" s="34" t="str">
        <f aca="false">IF(OR(AJ959="",N(AC959)=0),"",AJ959/AC959)</f>
        <v/>
      </c>
      <c r="AW959" s="34" t="str">
        <f aca="false">IF(OR(AH959="",N(AO959)=0),"",AH959/AO959)</f>
        <v/>
      </c>
      <c r="AX959" s="35" t="str">
        <f aca="false">IF(OR(AR959="",N(AO959)=0),"",(N(AF959)*Settings!$B$6+N(AG959)*Settings!$B$7+N(AH959)*Settings!$B$8+N(AI959)*Settings!$B$9+N(AJ959)*Settings!$B$10)/AO959*1000)</f>
        <v/>
      </c>
      <c r="AY959" s="36" t="str">
        <f aca="false">IF(AS959="","",IFERROR(AS959/AVERAGEIFS('Post Tracker'!$AS$5:$AS$1004,'Post Tracker'!$G$5:$G$1004,G959),""))</f>
        <v/>
      </c>
      <c r="AZ959" s="32"/>
      <c r="BA959" s="32"/>
      <c r="BB959" s="32"/>
      <c r="BC959" s="32"/>
      <c r="BD959" s="33" t="str">
        <f aca="false">IF(A959="","",COUNTIFS('Demo Pipeline'!$Q$5:$Q$504,A959))</f>
        <v/>
      </c>
      <c r="BE959" s="33" t="str">
        <f aca="false">IF(A959="","",COUNTIFS('Demo Pipeline'!$Q$5:$Q$504,A959,'Demo Pipeline'!$W$5:$W$504,"Attended"))</f>
        <v/>
      </c>
      <c r="BF959" s="33" t="str">
        <f aca="false">IF(A959="","",COUNTIFS('Demo Pipeline'!$Q$5:$Q$504,A959,'Demo Pipeline'!$X$5:$X$504,"Yes"))</f>
        <v/>
      </c>
      <c r="BG959" s="33" t="str">
        <f aca="false">IF(A959="","",COUNTIFS('Demo Pipeline'!$Q$5:$Q$504,A959,'Demo Pipeline'!$Y$5:$Y$504,"Closed Won"))</f>
        <v/>
      </c>
      <c r="BH959" s="37" t="str">
        <f aca="false">IF(A959="","",SUMIFS('Demo Pipeline'!$Z$5:$Z$504,'Demo Pipeline'!$Q$5:$Q$504,A959))</f>
        <v/>
      </c>
      <c r="BI959" s="34" t="str">
        <f aca="false">IF(OR(AZ959="",N(AJ959)=0),"",AZ959/AJ959)</f>
        <v/>
      </c>
      <c r="BJ959" s="34" t="str">
        <f aca="false">IF(OR(BB959="",N(AZ959)=0),"",BB959/AZ959)</f>
        <v/>
      </c>
      <c r="BK959" s="34" t="str">
        <f aca="false">IF(OR(A959="",N(BB959)=0),"",BD959/BB959)</f>
        <v/>
      </c>
      <c r="BL959" s="34" t="str">
        <f aca="false">IF(OR(A959="",N(AZ959)=0),"",BD959/AZ959)</f>
        <v/>
      </c>
      <c r="BM959" s="37" t="str">
        <f aca="false">IF(OR(N(Q959)=0,N(BD959)=0),"",Q959/BD959)</f>
        <v/>
      </c>
      <c r="BN959" s="29"/>
      <c r="BO959" s="29"/>
      <c r="BP959" s="33" t="str">
        <f aca="false">IF(OR(AR959="",N(AO959)=0),"",AR959)</f>
        <v/>
      </c>
      <c r="BQ959" s="33" t="str">
        <f aca="false">IF(OR(AR959="",N(S959)=0),"",S959)</f>
        <v/>
      </c>
      <c r="BR959" s="38" t="str">
        <f aca="false">IF(AND(ISNUMBER(B959),B959&gt;=Dashboard!$C$4,B959&lt;=Dashboard!$F$4,ISNUMBER(AU959)),AU959+ROW()/10^9,"")</f>
        <v/>
      </c>
      <c r="BS959" s="38" t="str">
        <f aca="false">IF(AND(ISNUMBER(B959),B959&gt;=Dashboard!$C$4,B959&lt;=Dashboard!$F$4,A959&lt;&gt;""),N(BD959)+N(AU959)/100+ROW()/10^9,"")</f>
        <v/>
      </c>
    </row>
    <row r="960" customFormat="false" ht="15" hidden="false" customHeight="false" outlineLevel="0" collapsed="false">
      <c r="A960" s="24" t="str">
        <f aca="false">IF(OR(B960="",G960="",H960=""),"",IFERROR(INDEX(Settings!$E$5:$E$49,MATCH(G960,Settings!$D$5:$D$49,0))&amp;INDEX(Settings!$H$5:$H$47,MATCH(H960,Settings!$G$5:$G$47,0))&amp;"-"&amp;TEXT(B960,"yymmdd")&amp;"-"&amp;IF(C960="","0000",TEXT(C960,"hhmm")),"CHECK LISTS"))</f>
        <v/>
      </c>
      <c r="B960" s="39"/>
      <c r="C960" s="40"/>
      <c r="D960" s="24" t="str">
        <f aca="false">IF(B960="","",TEXT(B960,"ddd"))</f>
        <v/>
      </c>
      <c r="E960" s="27" t="str">
        <f aca="false">IF(B960="","",B960-WEEKDAY(B960,3))</f>
        <v/>
      </c>
      <c r="F960" s="24" t="str">
        <f aca="false">IF(B960="","",TEXT(B960,"yyyy-mm"))</f>
        <v/>
      </c>
      <c r="G960" s="29"/>
      <c r="H960" s="29"/>
      <c r="I960" s="29"/>
      <c r="J960" s="29"/>
      <c r="K960" s="29"/>
      <c r="L960" s="29"/>
      <c r="M960" s="29"/>
      <c r="N960" s="29"/>
      <c r="O960" s="29"/>
      <c r="P960" s="29"/>
      <c r="Q960" s="30"/>
      <c r="R960" s="29"/>
      <c r="S960" s="32"/>
      <c r="T960" s="29"/>
      <c r="U960" s="29"/>
      <c r="V960" s="24" t="str">
        <f aca="false">IF(A960="","",IFERROR(INDEX(Settings!$F$5:$F$49,MATCH(G960,Settings!$D$5:$D$49,0)),""))</f>
        <v/>
      </c>
      <c r="W960" s="24" t="str">
        <f aca="false">IF(A960="","",IF(OR(P960="",P960="Organic"),"social","paid_social"))</f>
        <v/>
      </c>
      <c r="X960" s="24" t="str">
        <f aca="false">IF(A960="","",IF(K960&lt;&gt;"",IFERROR(INDEX('Case Studies'!$C$5:$C$54,MATCH(K960,'Case Studies'!$B$5:$B$54,0))&amp;"","case-study"),IF(J960&lt;&gt;"",IFERROR(INDEX(Settings!$J$5:$J$55,MATCH(J960,Settings!$I$5:$I$55,0)),"general"),"general")))</f>
        <v/>
      </c>
      <c r="Y960" s="24" t="str">
        <f aca="false">IF(A960="","",LOWER(A960))</f>
        <v/>
      </c>
      <c r="Z960" s="24" t="str">
        <f aca="false">IF(A960="","",IF(T960="",Settings!$B$5,T960)&amp;IF(ISNUMBER(FIND("?",IF(T960="",Settings!$B$5,T960))),"&amp;","?")&amp;"utm_source="&amp;V960&amp;"&amp;utm_medium="&amp;W960&amp;"&amp;utm_campaign="&amp;X960&amp;"&amp;utm_content="&amp;Y960)</f>
        <v/>
      </c>
      <c r="AA960" s="29"/>
      <c r="AB960" s="39"/>
      <c r="AC960" s="32"/>
      <c r="AD960" s="32"/>
      <c r="AE960" s="32"/>
      <c r="AF960" s="32"/>
      <c r="AG960" s="32"/>
      <c r="AH960" s="32"/>
      <c r="AI960" s="32"/>
      <c r="AJ960" s="32"/>
      <c r="AK960" s="32"/>
      <c r="AL960" s="32"/>
      <c r="AM960" s="32"/>
      <c r="AN960" s="32"/>
      <c r="AO960" s="33" t="str">
        <f aca="false">IF(A960="","",IF(AD960&lt;&gt;"",AD960,IF(AC960&lt;&gt;"",AC960,"")))</f>
        <v/>
      </c>
      <c r="AP960" s="24" t="str">
        <f aca="false">IF(AO960="","",IF(AD960&lt;&gt;"","Reported reach","Impressions (proxy)"))</f>
        <v/>
      </c>
      <c r="AQ960" s="34" t="str">
        <f aca="false">IF(OR(AO960="",N(S960)=0),"",AO960/S960)</f>
        <v/>
      </c>
      <c r="AR960" s="33" t="str">
        <f aca="false">IF(A960="","",IF(COUNT(AF960:AJ960)=0,"",SUM(AF960:AJ960)))</f>
        <v/>
      </c>
      <c r="AS960" s="34" t="str">
        <f aca="false">IF(OR(AR960="",N(AO960)=0),"",AR960/AO960)</f>
        <v/>
      </c>
      <c r="AT960" s="34" t="str">
        <f aca="false">IF(OR(AR960="",N(AC960)=0),"",AR960/AC960)</f>
        <v/>
      </c>
      <c r="AU960" s="34" t="str">
        <f aca="false">IF(OR(AR960="",N(S960)=0),"",AR960/S960)</f>
        <v/>
      </c>
      <c r="AV960" s="34" t="str">
        <f aca="false">IF(OR(AJ960="",N(AC960)=0),"",AJ960/AC960)</f>
        <v/>
      </c>
      <c r="AW960" s="34" t="str">
        <f aca="false">IF(OR(AH960="",N(AO960)=0),"",AH960/AO960)</f>
        <v/>
      </c>
      <c r="AX960" s="35" t="str">
        <f aca="false">IF(OR(AR960="",N(AO960)=0),"",(N(AF960)*Settings!$B$6+N(AG960)*Settings!$B$7+N(AH960)*Settings!$B$8+N(AI960)*Settings!$B$9+N(AJ960)*Settings!$B$10)/AO960*1000)</f>
        <v/>
      </c>
      <c r="AY960" s="36" t="str">
        <f aca="false">IF(AS960="","",IFERROR(AS960/AVERAGEIFS('Post Tracker'!$AS$5:$AS$1004,'Post Tracker'!$G$5:$G$1004,G960),""))</f>
        <v/>
      </c>
      <c r="AZ960" s="32"/>
      <c r="BA960" s="32"/>
      <c r="BB960" s="32"/>
      <c r="BC960" s="32"/>
      <c r="BD960" s="33" t="str">
        <f aca="false">IF(A960="","",COUNTIFS('Demo Pipeline'!$Q$5:$Q$504,A960))</f>
        <v/>
      </c>
      <c r="BE960" s="33" t="str">
        <f aca="false">IF(A960="","",COUNTIFS('Demo Pipeline'!$Q$5:$Q$504,A960,'Demo Pipeline'!$W$5:$W$504,"Attended"))</f>
        <v/>
      </c>
      <c r="BF960" s="33" t="str">
        <f aca="false">IF(A960="","",COUNTIFS('Demo Pipeline'!$Q$5:$Q$504,A960,'Demo Pipeline'!$X$5:$X$504,"Yes"))</f>
        <v/>
      </c>
      <c r="BG960" s="33" t="str">
        <f aca="false">IF(A960="","",COUNTIFS('Demo Pipeline'!$Q$5:$Q$504,A960,'Demo Pipeline'!$Y$5:$Y$504,"Closed Won"))</f>
        <v/>
      </c>
      <c r="BH960" s="37" t="str">
        <f aca="false">IF(A960="","",SUMIFS('Demo Pipeline'!$Z$5:$Z$504,'Demo Pipeline'!$Q$5:$Q$504,A960))</f>
        <v/>
      </c>
      <c r="BI960" s="34" t="str">
        <f aca="false">IF(OR(AZ960="",N(AJ960)=0),"",AZ960/AJ960)</f>
        <v/>
      </c>
      <c r="BJ960" s="34" t="str">
        <f aca="false">IF(OR(BB960="",N(AZ960)=0),"",BB960/AZ960)</f>
        <v/>
      </c>
      <c r="BK960" s="34" t="str">
        <f aca="false">IF(OR(A960="",N(BB960)=0),"",BD960/BB960)</f>
        <v/>
      </c>
      <c r="BL960" s="34" t="str">
        <f aca="false">IF(OR(A960="",N(AZ960)=0),"",BD960/AZ960)</f>
        <v/>
      </c>
      <c r="BM960" s="37" t="str">
        <f aca="false">IF(OR(N(Q960)=0,N(BD960)=0),"",Q960/BD960)</f>
        <v/>
      </c>
      <c r="BN960" s="29"/>
      <c r="BO960" s="29"/>
      <c r="BP960" s="33" t="str">
        <f aca="false">IF(OR(AR960="",N(AO960)=0),"",AR960)</f>
        <v/>
      </c>
      <c r="BQ960" s="33" t="str">
        <f aca="false">IF(OR(AR960="",N(S960)=0),"",S960)</f>
        <v/>
      </c>
      <c r="BR960" s="38" t="str">
        <f aca="false">IF(AND(ISNUMBER(B960),B960&gt;=Dashboard!$C$4,B960&lt;=Dashboard!$F$4,ISNUMBER(AU960)),AU960+ROW()/10^9,"")</f>
        <v/>
      </c>
      <c r="BS960" s="38" t="str">
        <f aca="false">IF(AND(ISNUMBER(B960),B960&gt;=Dashboard!$C$4,B960&lt;=Dashboard!$F$4,A960&lt;&gt;""),N(BD960)+N(AU960)/100+ROW()/10^9,"")</f>
        <v/>
      </c>
    </row>
    <row r="961" customFormat="false" ht="15" hidden="false" customHeight="false" outlineLevel="0" collapsed="false">
      <c r="A961" s="24" t="str">
        <f aca="false">IF(OR(B961="",G961="",H961=""),"",IFERROR(INDEX(Settings!$E$5:$E$49,MATCH(G961,Settings!$D$5:$D$49,0))&amp;INDEX(Settings!$H$5:$H$47,MATCH(H961,Settings!$G$5:$G$47,0))&amp;"-"&amp;TEXT(B961,"yymmdd")&amp;"-"&amp;IF(C961="","0000",TEXT(C961,"hhmm")),"CHECK LISTS"))</f>
        <v/>
      </c>
      <c r="B961" s="39"/>
      <c r="C961" s="40"/>
      <c r="D961" s="24" t="str">
        <f aca="false">IF(B961="","",TEXT(B961,"ddd"))</f>
        <v/>
      </c>
      <c r="E961" s="27" t="str">
        <f aca="false">IF(B961="","",B961-WEEKDAY(B961,3))</f>
        <v/>
      </c>
      <c r="F961" s="24" t="str">
        <f aca="false">IF(B961="","",TEXT(B961,"yyyy-mm"))</f>
        <v/>
      </c>
      <c r="G961" s="29"/>
      <c r="H961" s="29"/>
      <c r="I961" s="29"/>
      <c r="J961" s="29"/>
      <c r="K961" s="29"/>
      <c r="L961" s="29"/>
      <c r="M961" s="29"/>
      <c r="N961" s="29"/>
      <c r="O961" s="29"/>
      <c r="P961" s="29"/>
      <c r="Q961" s="30"/>
      <c r="R961" s="29"/>
      <c r="S961" s="32"/>
      <c r="T961" s="29"/>
      <c r="U961" s="29"/>
      <c r="V961" s="24" t="str">
        <f aca="false">IF(A961="","",IFERROR(INDEX(Settings!$F$5:$F$49,MATCH(G961,Settings!$D$5:$D$49,0)),""))</f>
        <v/>
      </c>
      <c r="W961" s="24" t="str">
        <f aca="false">IF(A961="","",IF(OR(P961="",P961="Organic"),"social","paid_social"))</f>
        <v/>
      </c>
      <c r="X961" s="24" t="str">
        <f aca="false">IF(A961="","",IF(K961&lt;&gt;"",IFERROR(INDEX('Case Studies'!$C$5:$C$54,MATCH(K961,'Case Studies'!$B$5:$B$54,0))&amp;"","case-study"),IF(J961&lt;&gt;"",IFERROR(INDEX(Settings!$J$5:$J$55,MATCH(J961,Settings!$I$5:$I$55,0)),"general"),"general")))</f>
        <v/>
      </c>
      <c r="Y961" s="24" t="str">
        <f aca="false">IF(A961="","",LOWER(A961))</f>
        <v/>
      </c>
      <c r="Z961" s="24" t="str">
        <f aca="false">IF(A961="","",IF(T961="",Settings!$B$5,T961)&amp;IF(ISNUMBER(FIND("?",IF(T961="",Settings!$B$5,T961))),"&amp;","?")&amp;"utm_source="&amp;V961&amp;"&amp;utm_medium="&amp;W961&amp;"&amp;utm_campaign="&amp;X961&amp;"&amp;utm_content="&amp;Y961)</f>
        <v/>
      </c>
      <c r="AA961" s="29"/>
      <c r="AB961" s="39"/>
      <c r="AC961" s="32"/>
      <c r="AD961" s="32"/>
      <c r="AE961" s="32"/>
      <c r="AF961" s="32"/>
      <c r="AG961" s="32"/>
      <c r="AH961" s="32"/>
      <c r="AI961" s="32"/>
      <c r="AJ961" s="32"/>
      <c r="AK961" s="32"/>
      <c r="AL961" s="32"/>
      <c r="AM961" s="32"/>
      <c r="AN961" s="32"/>
      <c r="AO961" s="33" t="str">
        <f aca="false">IF(A961="","",IF(AD961&lt;&gt;"",AD961,IF(AC961&lt;&gt;"",AC961,"")))</f>
        <v/>
      </c>
      <c r="AP961" s="24" t="str">
        <f aca="false">IF(AO961="","",IF(AD961&lt;&gt;"","Reported reach","Impressions (proxy)"))</f>
        <v/>
      </c>
      <c r="AQ961" s="34" t="str">
        <f aca="false">IF(OR(AO961="",N(S961)=0),"",AO961/S961)</f>
        <v/>
      </c>
      <c r="AR961" s="33" t="str">
        <f aca="false">IF(A961="","",IF(COUNT(AF961:AJ961)=0,"",SUM(AF961:AJ961)))</f>
        <v/>
      </c>
      <c r="AS961" s="34" t="str">
        <f aca="false">IF(OR(AR961="",N(AO961)=0),"",AR961/AO961)</f>
        <v/>
      </c>
      <c r="AT961" s="34" t="str">
        <f aca="false">IF(OR(AR961="",N(AC961)=0),"",AR961/AC961)</f>
        <v/>
      </c>
      <c r="AU961" s="34" t="str">
        <f aca="false">IF(OR(AR961="",N(S961)=0),"",AR961/S961)</f>
        <v/>
      </c>
      <c r="AV961" s="34" t="str">
        <f aca="false">IF(OR(AJ961="",N(AC961)=0),"",AJ961/AC961)</f>
        <v/>
      </c>
      <c r="AW961" s="34" t="str">
        <f aca="false">IF(OR(AH961="",N(AO961)=0),"",AH961/AO961)</f>
        <v/>
      </c>
      <c r="AX961" s="35" t="str">
        <f aca="false">IF(OR(AR961="",N(AO961)=0),"",(N(AF961)*Settings!$B$6+N(AG961)*Settings!$B$7+N(AH961)*Settings!$B$8+N(AI961)*Settings!$B$9+N(AJ961)*Settings!$B$10)/AO961*1000)</f>
        <v/>
      </c>
      <c r="AY961" s="36" t="str">
        <f aca="false">IF(AS961="","",IFERROR(AS961/AVERAGEIFS('Post Tracker'!$AS$5:$AS$1004,'Post Tracker'!$G$5:$G$1004,G961),""))</f>
        <v/>
      </c>
      <c r="AZ961" s="32"/>
      <c r="BA961" s="32"/>
      <c r="BB961" s="32"/>
      <c r="BC961" s="32"/>
      <c r="BD961" s="33" t="str">
        <f aca="false">IF(A961="","",COUNTIFS('Demo Pipeline'!$Q$5:$Q$504,A961))</f>
        <v/>
      </c>
      <c r="BE961" s="33" t="str">
        <f aca="false">IF(A961="","",COUNTIFS('Demo Pipeline'!$Q$5:$Q$504,A961,'Demo Pipeline'!$W$5:$W$504,"Attended"))</f>
        <v/>
      </c>
      <c r="BF961" s="33" t="str">
        <f aca="false">IF(A961="","",COUNTIFS('Demo Pipeline'!$Q$5:$Q$504,A961,'Demo Pipeline'!$X$5:$X$504,"Yes"))</f>
        <v/>
      </c>
      <c r="BG961" s="33" t="str">
        <f aca="false">IF(A961="","",COUNTIFS('Demo Pipeline'!$Q$5:$Q$504,A961,'Demo Pipeline'!$Y$5:$Y$504,"Closed Won"))</f>
        <v/>
      </c>
      <c r="BH961" s="37" t="str">
        <f aca="false">IF(A961="","",SUMIFS('Demo Pipeline'!$Z$5:$Z$504,'Demo Pipeline'!$Q$5:$Q$504,A961))</f>
        <v/>
      </c>
      <c r="BI961" s="34" t="str">
        <f aca="false">IF(OR(AZ961="",N(AJ961)=0),"",AZ961/AJ961)</f>
        <v/>
      </c>
      <c r="BJ961" s="34" t="str">
        <f aca="false">IF(OR(BB961="",N(AZ961)=0),"",BB961/AZ961)</f>
        <v/>
      </c>
      <c r="BK961" s="34" t="str">
        <f aca="false">IF(OR(A961="",N(BB961)=0),"",BD961/BB961)</f>
        <v/>
      </c>
      <c r="BL961" s="34" t="str">
        <f aca="false">IF(OR(A961="",N(AZ961)=0),"",BD961/AZ961)</f>
        <v/>
      </c>
      <c r="BM961" s="37" t="str">
        <f aca="false">IF(OR(N(Q961)=0,N(BD961)=0),"",Q961/BD961)</f>
        <v/>
      </c>
      <c r="BN961" s="29"/>
      <c r="BO961" s="29"/>
      <c r="BP961" s="33" t="str">
        <f aca="false">IF(OR(AR961="",N(AO961)=0),"",AR961)</f>
        <v/>
      </c>
      <c r="BQ961" s="33" t="str">
        <f aca="false">IF(OR(AR961="",N(S961)=0),"",S961)</f>
        <v/>
      </c>
      <c r="BR961" s="38" t="str">
        <f aca="false">IF(AND(ISNUMBER(B961),B961&gt;=Dashboard!$C$4,B961&lt;=Dashboard!$F$4,ISNUMBER(AU961)),AU961+ROW()/10^9,"")</f>
        <v/>
      </c>
      <c r="BS961" s="38" t="str">
        <f aca="false">IF(AND(ISNUMBER(B961),B961&gt;=Dashboard!$C$4,B961&lt;=Dashboard!$F$4,A961&lt;&gt;""),N(BD961)+N(AU961)/100+ROW()/10^9,"")</f>
        <v/>
      </c>
    </row>
    <row r="962" customFormat="false" ht="15" hidden="false" customHeight="false" outlineLevel="0" collapsed="false">
      <c r="A962" s="24" t="str">
        <f aca="false">IF(OR(B962="",G962="",H962=""),"",IFERROR(INDEX(Settings!$E$5:$E$49,MATCH(G962,Settings!$D$5:$D$49,0))&amp;INDEX(Settings!$H$5:$H$47,MATCH(H962,Settings!$G$5:$G$47,0))&amp;"-"&amp;TEXT(B962,"yymmdd")&amp;"-"&amp;IF(C962="","0000",TEXT(C962,"hhmm")),"CHECK LISTS"))</f>
        <v/>
      </c>
      <c r="B962" s="39"/>
      <c r="C962" s="40"/>
      <c r="D962" s="24" t="str">
        <f aca="false">IF(B962="","",TEXT(B962,"ddd"))</f>
        <v/>
      </c>
      <c r="E962" s="27" t="str">
        <f aca="false">IF(B962="","",B962-WEEKDAY(B962,3))</f>
        <v/>
      </c>
      <c r="F962" s="24" t="str">
        <f aca="false">IF(B962="","",TEXT(B962,"yyyy-mm"))</f>
        <v/>
      </c>
      <c r="G962" s="29"/>
      <c r="H962" s="29"/>
      <c r="I962" s="29"/>
      <c r="J962" s="29"/>
      <c r="K962" s="29"/>
      <c r="L962" s="29"/>
      <c r="M962" s="29"/>
      <c r="N962" s="29"/>
      <c r="O962" s="29"/>
      <c r="P962" s="29"/>
      <c r="Q962" s="30"/>
      <c r="R962" s="29"/>
      <c r="S962" s="32"/>
      <c r="T962" s="29"/>
      <c r="U962" s="29"/>
      <c r="V962" s="24" t="str">
        <f aca="false">IF(A962="","",IFERROR(INDEX(Settings!$F$5:$F$49,MATCH(G962,Settings!$D$5:$D$49,0)),""))</f>
        <v/>
      </c>
      <c r="W962" s="24" t="str">
        <f aca="false">IF(A962="","",IF(OR(P962="",P962="Organic"),"social","paid_social"))</f>
        <v/>
      </c>
      <c r="X962" s="24" t="str">
        <f aca="false">IF(A962="","",IF(K962&lt;&gt;"",IFERROR(INDEX('Case Studies'!$C$5:$C$54,MATCH(K962,'Case Studies'!$B$5:$B$54,0))&amp;"","case-study"),IF(J962&lt;&gt;"",IFERROR(INDEX(Settings!$J$5:$J$55,MATCH(J962,Settings!$I$5:$I$55,0)),"general"),"general")))</f>
        <v/>
      </c>
      <c r="Y962" s="24" t="str">
        <f aca="false">IF(A962="","",LOWER(A962))</f>
        <v/>
      </c>
      <c r="Z962" s="24" t="str">
        <f aca="false">IF(A962="","",IF(T962="",Settings!$B$5,T962)&amp;IF(ISNUMBER(FIND("?",IF(T962="",Settings!$B$5,T962))),"&amp;","?")&amp;"utm_source="&amp;V962&amp;"&amp;utm_medium="&amp;W962&amp;"&amp;utm_campaign="&amp;X962&amp;"&amp;utm_content="&amp;Y962)</f>
        <v/>
      </c>
      <c r="AA962" s="29"/>
      <c r="AB962" s="39"/>
      <c r="AC962" s="32"/>
      <c r="AD962" s="32"/>
      <c r="AE962" s="32"/>
      <c r="AF962" s="32"/>
      <c r="AG962" s="32"/>
      <c r="AH962" s="32"/>
      <c r="AI962" s="32"/>
      <c r="AJ962" s="32"/>
      <c r="AK962" s="32"/>
      <c r="AL962" s="32"/>
      <c r="AM962" s="32"/>
      <c r="AN962" s="32"/>
      <c r="AO962" s="33" t="str">
        <f aca="false">IF(A962="","",IF(AD962&lt;&gt;"",AD962,IF(AC962&lt;&gt;"",AC962,"")))</f>
        <v/>
      </c>
      <c r="AP962" s="24" t="str">
        <f aca="false">IF(AO962="","",IF(AD962&lt;&gt;"","Reported reach","Impressions (proxy)"))</f>
        <v/>
      </c>
      <c r="AQ962" s="34" t="str">
        <f aca="false">IF(OR(AO962="",N(S962)=0),"",AO962/S962)</f>
        <v/>
      </c>
      <c r="AR962" s="33" t="str">
        <f aca="false">IF(A962="","",IF(COUNT(AF962:AJ962)=0,"",SUM(AF962:AJ962)))</f>
        <v/>
      </c>
      <c r="AS962" s="34" t="str">
        <f aca="false">IF(OR(AR962="",N(AO962)=0),"",AR962/AO962)</f>
        <v/>
      </c>
      <c r="AT962" s="34" t="str">
        <f aca="false">IF(OR(AR962="",N(AC962)=0),"",AR962/AC962)</f>
        <v/>
      </c>
      <c r="AU962" s="34" t="str">
        <f aca="false">IF(OR(AR962="",N(S962)=0),"",AR962/S962)</f>
        <v/>
      </c>
      <c r="AV962" s="34" t="str">
        <f aca="false">IF(OR(AJ962="",N(AC962)=0),"",AJ962/AC962)</f>
        <v/>
      </c>
      <c r="AW962" s="34" t="str">
        <f aca="false">IF(OR(AH962="",N(AO962)=0),"",AH962/AO962)</f>
        <v/>
      </c>
      <c r="AX962" s="35" t="str">
        <f aca="false">IF(OR(AR962="",N(AO962)=0),"",(N(AF962)*Settings!$B$6+N(AG962)*Settings!$B$7+N(AH962)*Settings!$B$8+N(AI962)*Settings!$B$9+N(AJ962)*Settings!$B$10)/AO962*1000)</f>
        <v/>
      </c>
      <c r="AY962" s="36" t="str">
        <f aca="false">IF(AS962="","",IFERROR(AS962/AVERAGEIFS('Post Tracker'!$AS$5:$AS$1004,'Post Tracker'!$G$5:$G$1004,G962),""))</f>
        <v/>
      </c>
      <c r="AZ962" s="32"/>
      <c r="BA962" s="32"/>
      <c r="BB962" s="32"/>
      <c r="BC962" s="32"/>
      <c r="BD962" s="33" t="str">
        <f aca="false">IF(A962="","",COUNTIFS('Demo Pipeline'!$Q$5:$Q$504,A962))</f>
        <v/>
      </c>
      <c r="BE962" s="33" t="str">
        <f aca="false">IF(A962="","",COUNTIFS('Demo Pipeline'!$Q$5:$Q$504,A962,'Demo Pipeline'!$W$5:$W$504,"Attended"))</f>
        <v/>
      </c>
      <c r="BF962" s="33" t="str">
        <f aca="false">IF(A962="","",COUNTIFS('Demo Pipeline'!$Q$5:$Q$504,A962,'Demo Pipeline'!$X$5:$X$504,"Yes"))</f>
        <v/>
      </c>
      <c r="BG962" s="33" t="str">
        <f aca="false">IF(A962="","",COUNTIFS('Demo Pipeline'!$Q$5:$Q$504,A962,'Demo Pipeline'!$Y$5:$Y$504,"Closed Won"))</f>
        <v/>
      </c>
      <c r="BH962" s="37" t="str">
        <f aca="false">IF(A962="","",SUMIFS('Demo Pipeline'!$Z$5:$Z$504,'Demo Pipeline'!$Q$5:$Q$504,A962))</f>
        <v/>
      </c>
      <c r="BI962" s="34" t="str">
        <f aca="false">IF(OR(AZ962="",N(AJ962)=0),"",AZ962/AJ962)</f>
        <v/>
      </c>
      <c r="BJ962" s="34" t="str">
        <f aca="false">IF(OR(BB962="",N(AZ962)=0),"",BB962/AZ962)</f>
        <v/>
      </c>
      <c r="BK962" s="34" t="str">
        <f aca="false">IF(OR(A962="",N(BB962)=0),"",BD962/BB962)</f>
        <v/>
      </c>
      <c r="BL962" s="34" t="str">
        <f aca="false">IF(OR(A962="",N(AZ962)=0),"",BD962/AZ962)</f>
        <v/>
      </c>
      <c r="BM962" s="37" t="str">
        <f aca="false">IF(OR(N(Q962)=0,N(BD962)=0),"",Q962/BD962)</f>
        <v/>
      </c>
      <c r="BN962" s="29"/>
      <c r="BO962" s="29"/>
      <c r="BP962" s="33" t="str">
        <f aca="false">IF(OR(AR962="",N(AO962)=0),"",AR962)</f>
        <v/>
      </c>
      <c r="BQ962" s="33" t="str">
        <f aca="false">IF(OR(AR962="",N(S962)=0),"",S962)</f>
        <v/>
      </c>
      <c r="BR962" s="38" t="str">
        <f aca="false">IF(AND(ISNUMBER(B962),B962&gt;=Dashboard!$C$4,B962&lt;=Dashboard!$F$4,ISNUMBER(AU962)),AU962+ROW()/10^9,"")</f>
        <v/>
      </c>
      <c r="BS962" s="38" t="str">
        <f aca="false">IF(AND(ISNUMBER(B962),B962&gt;=Dashboard!$C$4,B962&lt;=Dashboard!$F$4,A962&lt;&gt;""),N(BD962)+N(AU962)/100+ROW()/10^9,"")</f>
        <v/>
      </c>
    </row>
    <row r="963" customFormat="false" ht="15" hidden="false" customHeight="false" outlineLevel="0" collapsed="false">
      <c r="A963" s="24" t="str">
        <f aca="false">IF(OR(B963="",G963="",H963=""),"",IFERROR(INDEX(Settings!$E$5:$E$49,MATCH(G963,Settings!$D$5:$D$49,0))&amp;INDEX(Settings!$H$5:$H$47,MATCH(H963,Settings!$G$5:$G$47,0))&amp;"-"&amp;TEXT(B963,"yymmdd")&amp;"-"&amp;IF(C963="","0000",TEXT(C963,"hhmm")),"CHECK LISTS"))</f>
        <v/>
      </c>
      <c r="B963" s="39"/>
      <c r="C963" s="40"/>
      <c r="D963" s="24" t="str">
        <f aca="false">IF(B963="","",TEXT(B963,"ddd"))</f>
        <v/>
      </c>
      <c r="E963" s="27" t="str">
        <f aca="false">IF(B963="","",B963-WEEKDAY(B963,3))</f>
        <v/>
      </c>
      <c r="F963" s="24" t="str">
        <f aca="false">IF(B963="","",TEXT(B963,"yyyy-mm"))</f>
        <v/>
      </c>
      <c r="G963" s="29"/>
      <c r="H963" s="29"/>
      <c r="I963" s="29"/>
      <c r="J963" s="29"/>
      <c r="K963" s="29"/>
      <c r="L963" s="29"/>
      <c r="M963" s="29"/>
      <c r="N963" s="29"/>
      <c r="O963" s="29"/>
      <c r="P963" s="29"/>
      <c r="Q963" s="30"/>
      <c r="R963" s="29"/>
      <c r="S963" s="32"/>
      <c r="T963" s="29"/>
      <c r="U963" s="29"/>
      <c r="V963" s="24" t="str">
        <f aca="false">IF(A963="","",IFERROR(INDEX(Settings!$F$5:$F$49,MATCH(G963,Settings!$D$5:$D$49,0)),""))</f>
        <v/>
      </c>
      <c r="W963" s="24" t="str">
        <f aca="false">IF(A963="","",IF(OR(P963="",P963="Organic"),"social","paid_social"))</f>
        <v/>
      </c>
      <c r="X963" s="24" t="str">
        <f aca="false">IF(A963="","",IF(K963&lt;&gt;"",IFERROR(INDEX('Case Studies'!$C$5:$C$54,MATCH(K963,'Case Studies'!$B$5:$B$54,0))&amp;"","case-study"),IF(J963&lt;&gt;"",IFERROR(INDEX(Settings!$J$5:$J$55,MATCH(J963,Settings!$I$5:$I$55,0)),"general"),"general")))</f>
        <v/>
      </c>
      <c r="Y963" s="24" t="str">
        <f aca="false">IF(A963="","",LOWER(A963))</f>
        <v/>
      </c>
      <c r="Z963" s="24" t="str">
        <f aca="false">IF(A963="","",IF(T963="",Settings!$B$5,T963)&amp;IF(ISNUMBER(FIND("?",IF(T963="",Settings!$B$5,T963))),"&amp;","?")&amp;"utm_source="&amp;V963&amp;"&amp;utm_medium="&amp;W963&amp;"&amp;utm_campaign="&amp;X963&amp;"&amp;utm_content="&amp;Y963)</f>
        <v/>
      </c>
      <c r="AA963" s="29"/>
      <c r="AB963" s="39"/>
      <c r="AC963" s="32"/>
      <c r="AD963" s="32"/>
      <c r="AE963" s="32"/>
      <c r="AF963" s="32"/>
      <c r="AG963" s="32"/>
      <c r="AH963" s="32"/>
      <c r="AI963" s="32"/>
      <c r="AJ963" s="32"/>
      <c r="AK963" s="32"/>
      <c r="AL963" s="32"/>
      <c r="AM963" s="32"/>
      <c r="AN963" s="32"/>
      <c r="AO963" s="33" t="str">
        <f aca="false">IF(A963="","",IF(AD963&lt;&gt;"",AD963,IF(AC963&lt;&gt;"",AC963,"")))</f>
        <v/>
      </c>
      <c r="AP963" s="24" t="str">
        <f aca="false">IF(AO963="","",IF(AD963&lt;&gt;"","Reported reach","Impressions (proxy)"))</f>
        <v/>
      </c>
      <c r="AQ963" s="34" t="str">
        <f aca="false">IF(OR(AO963="",N(S963)=0),"",AO963/S963)</f>
        <v/>
      </c>
      <c r="AR963" s="33" t="str">
        <f aca="false">IF(A963="","",IF(COUNT(AF963:AJ963)=0,"",SUM(AF963:AJ963)))</f>
        <v/>
      </c>
      <c r="AS963" s="34" t="str">
        <f aca="false">IF(OR(AR963="",N(AO963)=0),"",AR963/AO963)</f>
        <v/>
      </c>
      <c r="AT963" s="34" t="str">
        <f aca="false">IF(OR(AR963="",N(AC963)=0),"",AR963/AC963)</f>
        <v/>
      </c>
      <c r="AU963" s="34" t="str">
        <f aca="false">IF(OR(AR963="",N(S963)=0),"",AR963/S963)</f>
        <v/>
      </c>
      <c r="AV963" s="34" t="str">
        <f aca="false">IF(OR(AJ963="",N(AC963)=0),"",AJ963/AC963)</f>
        <v/>
      </c>
      <c r="AW963" s="34" t="str">
        <f aca="false">IF(OR(AH963="",N(AO963)=0),"",AH963/AO963)</f>
        <v/>
      </c>
      <c r="AX963" s="35" t="str">
        <f aca="false">IF(OR(AR963="",N(AO963)=0),"",(N(AF963)*Settings!$B$6+N(AG963)*Settings!$B$7+N(AH963)*Settings!$B$8+N(AI963)*Settings!$B$9+N(AJ963)*Settings!$B$10)/AO963*1000)</f>
        <v/>
      </c>
      <c r="AY963" s="36" t="str">
        <f aca="false">IF(AS963="","",IFERROR(AS963/AVERAGEIFS('Post Tracker'!$AS$5:$AS$1004,'Post Tracker'!$G$5:$G$1004,G963),""))</f>
        <v/>
      </c>
      <c r="AZ963" s="32"/>
      <c r="BA963" s="32"/>
      <c r="BB963" s="32"/>
      <c r="BC963" s="32"/>
      <c r="BD963" s="33" t="str">
        <f aca="false">IF(A963="","",COUNTIFS('Demo Pipeline'!$Q$5:$Q$504,A963))</f>
        <v/>
      </c>
      <c r="BE963" s="33" t="str">
        <f aca="false">IF(A963="","",COUNTIFS('Demo Pipeline'!$Q$5:$Q$504,A963,'Demo Pipeline'!$W$5:$W$504,"Attended"))</f>
        <v/>
      </c>
      <c r="BF963" s="33" t="str">
        <f aca="false">IF(A963="","",COUNTIFS('Demo Pipeline'!$Q$5:$Q$504,A963,'Demo Pipeline'!$X$5:$X$504,"Yes"))</f>
        <v/>
      </c>
      <c r="BG963" s="33" t="str">
        <f aca="false">IF(A963="","",COUNTIFS('Demo Pipeline'!$Q$5:$Q$504,A963,'Demo Pipeline'!$Y$5:$Y$504,"Closed Won"))</f>
        <v/>
      </c>
      <c r="BH963" s="37" t="str">
        <f aca="false">IF(A963="","",SUMIFS('Demo Pipeline'!$Z$5:$Z$504,'Demo Pipeline'!$Q$5:$Q$504,A963))</f>
        <v/>
      </c>
      <c r="BI963" s="34" t="str">
        <f aca="false">IF(OR(AZ963="",N(AJ963)=0),"",AZ963/AJ963)</f>
        <v/>
      </c>
      <c r="BJ963" s="34" t="str">
        <f aca="false">IF(OR(BB963="",N(AZ963)=0),"",BB963/AZ963)</f>
        <v/>
      </c>
      <c r="BK963" s="34" t="str">
        <f aca="false">IF(OR(A963="",N(BB963)=0),"",BD963/BB963)</f>
        <v/>
      </c>
      <c r="BL963" s="34" t="str">
        <f aca="false">IF(OR(A963="",N(AZ963)=0),"",BD963/AZ963)</f>
        <v/>
      </c>
      <c r="BM963" s="37" t="str">
        <f aca="false">IF(OR(N(Q963)=0,N(BD963)=0),"",Q963/BD963)</f>
        <v/>
      </c>
      <c r="BN963" s="29"/>
      <c r="BO963" s="29"/>
      <c r="BP963" s="33" t="str">
        <f aca="false">IF(OR(AR963="",N(AO963)=0),"",AR963)</f>
        <v/>
      </c>
      <c r="BQ963" s="33" t="str">
        <f aca="false">IF(OR(AR963="",N(S963)=0),"",S963)</f>
        <v/>
      </c>
      <c r="BR963" s="38" t="str">
        <f aca="false">IF(AND(ISNUMBER(B963),B963&gt;=Dashboard!$C$4,B963&lt;=Dashboard!$F$4,ISNUMBER(AU963)),AU963+ROW()/10^9,"")</f>
        <v/>
      </c>
      <c r="BS963" s="38" t="str">
        <f aca="false">IF(AND(ISNUMBER(B963),B963&gt;=Dashboard!$C$4,B963&lt;=Dashboard!$F$4,A963&lt;&gt;""),N(BD963)+N(AU963)/100+ROW()/10^9,"")</f>
        <v/>
      </c>
    </row>
    <row r="964" customFormat="false" ht="15" hidden="false" customHeight="false" outlineLevel="0" collapsed="false">
      <c r="A964" s="24" t="str">
        <f aca="false">IF(OR(B964="",G964="",H964=""),"",IFERROR(INDEX(Settings!$E$5:$E$49,MATCH(G964,Settings!$D$5:$D$49,0))&amp;INDEX(Settings!$H$5:$H$47,MATCH(H964,Settings!$G$5:$G$47,0))&amp;"-"&amp;TEXT(B964,"yymmdd")&amp;"-"&amp;IF(C964="","0000",TEXT(C964,"hhmm")),"CHECK LISTS"))</f>
        <v/>
      </c>
      <c r="B964" s="39"/>
      <c r="C964" s="40"/>
      <c r="D964" s="24" t="str">
        <f aca="false">IF(B964="","",TEXT(B964,"ddd"))</f>
        <v/>
      </c>
      <c r="E964" s="27" t="str">
        <f aca="false">IF(B964="","",B964-WEEKDAY(B964,3))</f>
        <v/>
      </c>
      <c r="F964" s="24" t="str">
        <f aca="false">IF(B964="","",TEXT(B964,"yyyy-mm"))</f>
        <v/>
      </c>
      <c r="G964" s="29"/>
      <c r="H964" s="29"/>
      <c r="I964" s="29"/>
      <c r="J964" s="29"/>
      <c r="K964" s="29"/>
      <c r="L964" s="29"/>
      <c r="M964" s="29"/>
      <c r="N964" s="29"/>
      <c r="O964" s="29"/>
      <c r="P964" s="29"/>
      <c r="Q964" s="30"/>
      <c r="R964" s="29"/>
      <c r="S964" s="32"/>
      <c r="T964" s="29"/>
      <c r="U964" s="29"/>
      <c r="V964" s="24" t="str">
        <f aca="false">IF(A964="","",IFERROR(INDEX(Settings!$F$5:$F$49,MATCH(G964,Settings!$D$5:$D$49,0)),""))</f>
        <v/>
      </c>
      <c r="W964" s="24" t="str">
        <f aca="false">IF(A964="","",IF(OR(P964="",P964="Organic"),"social","paid_social"))</f>
        <v/>
      </c>
      <c r="X964" s="24" t="str">
        <f aca="false">IF(A964="","",IF(K964&lt;&gt;"",IFERROR(INDEX('Case Studies'!$C$5:$C$54,MATCH(K964,'Case Studies'!$B$5:$B$54,0))&amp;"","case-study"),IF(J964&lt;&gt;"",IFERROR(INDEX(Settings!$J$5:$J$55,MATCH(J964,Settings!$I$5:$I$55,0)),"general"),"general")))</f>
        <v/>
      </c>
      <c r="Y964" s="24" t="str">
        <f aca="false">IF(A964="","",LOWER(A964))</f>
        <v/>
      </c>
      <c r="Z964" s="24" t="str">
        <f aca="false">IF(A964="","",IF(T964="",Settings!$B$5,T964)&amp;IF(ISNUMBER(FIND("?",IF(T964="",Settings!$B$5,T964))),"&amp;","?")&amp;"utm_source="&amp;V964&amp;"&amp;utm_medium="&amp;W964&amp;"&amp;utm_campaign="&amp;X964&amp;"&amp;utm_content="&amp;Y964)</f>
        <v/>
      </c>
      <c r="AA964" s="29"/>
      <c r="AB964" s="39"/>
      <c r="AC964" s="32"/>
      <c r="AD964" s="32"/>
      <c r="AE964" s="32"/>
      <c r="AF964" s="32"/>
      <c r="AG964" s="32"/>
      <c r="AH964" s="32"/>
      <c r="AI964" s="32"/>
      <c r="AJ964" s="32"/>
      <c r="AK964" s="32"/>
      <c r="AL964" s="32"/>
      <c r="AM964" s="32"/>
      <c r="AN964" s="32"/>
      <c r="AO964" s="33" t="str">
        <f aca="false">IF(A964="","",IF(AD964&lt;&gt;"",AD964,IF(AC964&lt;&gt;"",AC964,"")))</f>
        <v/>
      </c>
      <c r="AP964" s="24" t="str">
        <f aca="false">IF(AO964="","",IF(AD964&lt;&gt;"","Reported reach","Impressions (proxy)"))</f>
        <v/>
      </c>
      <c r="AQ964" s="34" t="str">
        <f aca="false">IF(OR(AO964="",N(S964)=0),"",AO964/S964)</f>
        <v/>
      </c>
      <c r="AR964" s="33" t="str">
        <f aca="false">IF(A964="","",IF(COUNT(AF964:AJ964)=0,"",SUM(AF964:AJ964)))</f>
        <v/>
      </c>
      <c r="AS964" s="34" t="str">
        <f aca="false">IF(OR(AR964="",N(AO964)=0),"",AR964/AO964)</f>
        <v/>
      </c>
      <c r="AT964" s="34" t="str">
        <f aca="false">IF(OR(AR964="",N(AC964)=0),"",AR964/AC964)</f>
        <v/>
      </c>
      <c r="AU964" s="34" t="str">
        <f aca="false">IF(OR(AR964="",N(S964)=0),"",AR964/S964)</f>
        <v/>
      </c>
      <c r="AV964" s="34" t="str">
        <f aca="false">IF(OR(AJ964="",N(AC964)=0),"",AJ964/AC964)</f>
        <v/>
      </c>
      <c r="AW964" s="34" t="str">
        <f aca="false">IF(OR(AH964="",N(AO964)=0),"",AH964/AO964)</f>
        <v/>
      </c>
      <c r="AX964" s="35" t="str">
        <f aca="false">IF(OR(AR964="",N(AO964)=0),"",(N(AF964)*Settings!$B$6+N(AG964)*Settings!$B$7+N(AH964)*Settings!$B$8+N(AI964)*Settings!$B$9+N(AJ964)*Settings!$B$10)/AO964*1000)</f>
        <v/>
      </c>
      <c r="AY964" s="36" t="str">
        <f aca="false">IF(AS964="","",IFERROR(AS964/AVERAGEIFS('Post Tracker'!$AS$5:$AS$1004,'Post Tracker'!$G$5:$G$1004,G964),""))</f>
        <v/>
      </c>
      <c r="AZ964" s="32"/>
      <c r="BA964" s="32"/>
      <c r="BB964" s="32"/>
      <c r="BC964" s="32"/>
      <c r="BD964" s="33" t="str">
        <f aca="false">IF(A964="","",COUNTIFS('Demo Pipeline'!$Q$5:$Q$504,A964))</f>
        <v/>
      </c>
      <c r="BE964" s="33" t="str">
        <f aca="false">IF(A964="","",COUNTIFS('Demo Pipeline'!$Q$5:$Q$504,A964,'Demo Pipeline'!$W$5:$W$504,"Attended"))</f>
        <v/>
      </c>
      <c r="BF964" s="33" t="str">
        <f aca="false">IF(A964="","",COUNTIFS('Demo Pipeline'!$Q$5:$Q$504,A964,'Demo Pipeline'!$X$5:$X$504,"Yes"))</f>
        <v/>
      </c>
      <c r="BG964" s="33" t="str">
        <f aca="false">IF(A964="","",COUNTIFS('Demo Pipeline'!$Q$5:$Q$504,A964,'Demo Pipeline'!$Y$5:$Y$504,"Closed Won"))</f>
        <v/>
      </c>
      <c r="BH964" s="37" t="str">
        <f aca="false">IF(A964="","",SUMIFS('Demo Pipeline'!$Z$5:$Z$504,'Demo Pipeline'!$Q$5:$Q$504,A964))</f>
        <v/>
      </c>
      <c r="BI964" s="34" t="str">
        <f aca="false">IF(OR(AZ964="",N(AJ964)=0),"",AZ964/AJ964)</f>
        <v/>
      </c>
      <c r="BJ964" s="34" t="str">
        <f aca="false">IF(OR(BB964="",N(AZ964)=0),"",BB964/AZ964)</f>
        <v/>
      </c>
      <c r="BK964" s="34" t="str">
        <f aca="false">IF(OR(A964="",N(BB964)=0),"",BD964/BB964)</f>
        <v/>
      </c>
      <c r="BL964" s="34" t="str">
        <f aca="false">IF(OR(A964="",N(AZ964)=0),"",BD964/AZ964)</f>
        <v/>
      </c>
      <c r="BM964" s="37" t="str">
        <f aca="false">IF(OR(N(Q964)=0,N(BD964)=0),"",Q964/BD964)</f>
        <v/>
      </c>
      <c r="BN964" s="29"/>
      <c r="BO964" s="29"/>
      <c r="BP964" s="33" t="str">
        <f aca="false">IF(OR(AR964="",N(AO964)=0),"",AR964)</f>
        <v/>
      </c>
      <c r="BQ964" s="33" t="str">
        <f aca="false">IF(OR(AR964="",N(S964)=0),"",S964)</f>
        <v/>
      </c>
      <c r="BR964" s="38" t="str">
        <f aca="false">IF(AND(ISNUMBER(B964),B964&gt;=Dashboard!$C$4,B964&lt;=Dashboard!$F$4,ISNUMBER(AU964)),AU964+ROW()/10^9,"")</f>
        <v/>
      </c>
      <c r="BS964" s="38" t="str">
        <f aca="false">IF(AND(ISNUMBER(B964),B964&gt;=Dashboard!$C$4,B964&lt;=Dashboard!$F$4,A964&lt;&gt;""),N(BD964)+N(AU964)/100+ROW()/10^9,"")</f>
        <v/>
      </c>
    </row>
    <row r="965" customFormat="false" ht="15" hidden="false" customHeight="false" outlineLevel="0" collapsed="false">
      <c r="A965" s="24" t="str">
        <f aca="false">IF(OR(B965="",G965="",H965=""),"",IFERROR(INDEX(Settings!$E$5:$E$49,MATCH(G965,Settings!$D$5:$D$49,0))&amp;INDEX(Settings!$H$5:$H$47,MATCH(H965,Settings!$G$5:$G$47,0))&amp;"-"&amp;TEXT(B965,"yymmdd")&amp;"-"&amp;IF(C965="","0000",TEXT(C965,"hhmm")),"CHECK LISTS"))</f>
        <v/>
      </c>
      <c r="B965" s="39"/>
      <c r="C965" s="40"/>
      <c r="D965" s="24" t="str">
        <f aca="false">IF(B965="","",TEXT(B965,"ddd"))</f>
        <v/>
      </c>
      <c r="E965" s="27" t="str">
        <f aca="false">IF(B965="","",B965-WEEKDAY(B965,3))</f>
        <v/>
      </c>
      <c r="F965" s="24" t="str">
        <f aca="false">IF(B965="","",TEXT(B965,"yyyy-mm"))</f>
        <v/>
      </c>
      <c r="G965" s="29"/>
      <c r="H965" s="29"/>
      <c r="I965" s="29"/>
      <c r="J965" s="29"/>
      <c r="K965" s="29"/>
      <c r="L965" s="29"/>
      <c r="M965" s="29"/>
      <c r="N965" s="29"/>
      <c r="O965" s="29"/>
      <c r="P965" s="29"/>
      <c r="Q965" s="30"/>
      <c r="R965" s="29"/>
      <c r="S965" s="32"/>
      <c r="T965" s="29"/>
      <c r="U965" s="29"/>
      <c r="V965" s="24" t="str">
        <f aca="false">IF(A965="","",IFERROR(INDEX(Settings!$F$5:$F$49,MATCH(G965,Settings!$D$5:$D$49,0)),""))</f>
        <v/>
      </c>
      <c r="W965" s="24" t="str">
        <f aca="false">IF(A965="","",IF(OR(P965="",P965="Organic"),"social","paid_social"))</f>
        <v/>
      </c>
      <c r="X965" s="24" t="str">
        <f aca="false">IF(A965="","",IF(K965&lt;&gt;"",IFERROR(INDEX('Case Studies'!$C$5:$C$54,MATCH(K965,'Case Studies'!$B$5:$B$54,0))&amp;"","case-study"),IF(J965&lt;&gt;"",IFERROR(INDEX(Settings!$J$5:$J$55,MATCH(J965,Settings!$I$5:$I$55,0)),"general"),"general")))</f>
        <v/>
      </c>
      <c r="Y965" s="24" t="str">
        <f aca="false">IF(A965="","",LOWER(A965))</f>
        <v/>
      </c>
      <c r="Z965" s="24" t="str">
        <f aca="false">IF(A965="","",IF(T965="",Settings!$B$5,T965)&amp;IF(ISNUMBER(FIND("?",IF(T965="",Settings!$B$5,T965))),"&amp;","?")&amp;"utm_source="&amp;V965&amp;"&amp;utm_medium="&amp;W965&amp;"&amp;utm_campaign="&amp;X965&amp;"&amp;utm_content="&amp;Y965)</f>
        <v/>
      </c>
      <c r="AA965" s="29"/>
      <c r="AB965" s="39"/>
      <c r="AC965" s="32"/>
      <c r="AD965" s="32"/>
      <c r="AE965" s="32"/>
      <c r="AF965" s="32"/>
      <c r="AG965" s="32"/>
      <c r="AH965" s="32"/>
      <c r="AI965" s="32"/>
      <c r="AJ965" s="32"/>
      <c r="AK965" s="32"/>
      <c r="AL965" s="32"/>
      <c r="AM965" s="32"/>
      <c r="AN965" s="32"/>
      <c r="AO965" s="33" t="str">
        <f aca="false">IF(A965="","",IF(AD965&lt;&gt;"",AD965,IF(AC965&lt;&gt;"",AC965,"")))</f>
        <v/>
      </c>
      <c r="AP965" s="24" t="str">
        <f aca="false">IF(AO965="","",IF(AD965&lt;&gt;"","Reported reach","Impressions (proxy)"))</f>
        <v/>
      </c>
      <c r="AQ965" s="34" t="str">
        <f aca="false">IF(OR(AO965="",N(S965)=0),"",AO965/S965)</f>
        <v/>
      </c>
      <c r="AR965" s="33" t="str">
        <f aca="false">IF(A965="","",IF(COUNT(AF965:AJ965)=0,"",SUM(AF965:AJ965)))</f>
        <v/>
      </c>
      <c r="AS965" s="34" t="str">
        <f aca="false">IF(OR(AR965="",N(AO965)=0),"",AR965/AO965)</f>
        <v/>
      </c>
      <c r="AT965" s="34" t="str">
        <f aca="false">IF(OR(AR965="",N(AC965)=0),"",AR965/AC965)</f>
        <v/>
      </c>
      <c r="AU965" s="34" t="str">
        <f aca="false">IF(OR(AR965="",N(S965)=0),"",AR965/S965)</f>
        <v/>
      </c>
      <c r="AV965" s="34" t="str">
        <f aca="false">IF(OR(AJ965="",N(AC965)=0),"",AJ965/AC965)</f>
        <v/>
      </c>
      <c r="AW965" s="34" t="str">
        <f aca="false">IF(OR(AH965="",N(AO965)=0),"",AH965/AO965)</f>
        <v/>
      </c>
      <c r="AX965" s="35" t="str">
        <f aca="false">IF(OR(AR965="",N(AO965)=0),"",(N(AF965)*Settings!$B$6+N(AG965)*Settings!$B$7+N(AH965)*Settings!$B$8+N(AI965)*Settings!$B$9+N(AJ965)*Settings!$B$10)/AO965*1000)</f>
        <v/>
      </c>
      <c r="AY965" s="36" t="str">
        <f aca="false">IF(AS965="","",IFERROR(AS965/AVERAGEIFS('Post Tracker'!$AS$5:$AS$1004,'Post Tracker'!$G$5:$G$1004,G965),""))</f>
        <v/>
      </c>
      <c r="AZ965" s="32"/>
      <c r="BA965" s="32"/>
      <c r="BB965" s="32"/>
      <c r="BC965" s="32"/>
      <c r="BD965" s="33" t="str">
        <f aca="false">IF(A965="","",COUNTIFS('Demo Pipeline'!$Q$5:$Q$504,A965))</f>
        <v/>
      </c>
      <c r="BE965" s="33" t="str">
        <f aca="false">IF(A965="","",COUNTIFS('Demo Pipeline'!$Q$5:$Q$504,A965,'Demo Pipeline'!$W$5:$W$504,"Attended"))</f>
        <v/>
      </c>
      <c r="BF965" s="33" t="str">
        <f aca="false">IF(A965="","",COUNTIFS('Demo Pipeline'!$Q$5:$Q$504,A965,'Demo Pipeline'!$X$5:$X$504,"Yes"))</f>
        <v/>
      </c>
      <c r="BG965" s="33" t="str">
        <f aca="false">IF(A965="","",COUNTIFS('Demo Pipeline'!$Q$5:$Q$504,A965,'Demo Pipeline'!$Y$5:$Y$504,"Closed Won"))</f>
        <v/>
      </c>
      <c r="BH965" s="37" t="str">
        <f aca="false">IF(A965="","",SUMIFS('Demo Pipeline'!$Z$5:$Z$504,'Demo Pipeline'!$Q$5:$Q$504,A965))</f>
        <v/>
      </c>
      <c r="BI965" s="34" t="str">
        <f aca="false">IF(OR(AZ965="",N(AJ965)=0),"",AZ965/AJ965)</f>
        <v/>
      </c>
      <c r="BJ965" s="34" t="str">
        <f aca="false">IF(OR(BB965="",N(AZ965)=0),"",BB965/AZ965)</f>
        <v/>
      </c>
      <c r="BK965" s="34" t="str">
        <f aca="false">IF(OR(A965="",N(BB965)=0),"",BD965/BB965)</f>
        <v/>
      </c>
      <c r="BL965" s="34" t="str">
        <f aca="false">IF(OR(A965="",N(AZ965)=0),"",BD965/AZ965)</f>
        <v/>
      </c>
      <c r="BM965" s="37" t="str">
        <f aca="false">IF(OR(N(Q965)=0,N(BD965)=0),"",Q965/BD965)</f>
        <v/>
      </c>
      <c r="BN965" s="29"/>
      <c r="BO965" s="29"/>
      <c r="BP965" s="33" t="str">
        <f aca="false">IF(OR(AR965="",N(AO965)=0),"",AR965)</f>
        <v/>
      </c>
      <c r="BQ965" s="33" t="str">
        <f aca="false">IF(OR(AR965="",N(S965)=0),"",S965)</f>
        <v/>
      </c>
      <c r="BR965" s="38" t="str">
        <f aca="false">IF(AND(ISNUMBER(B965),B965&gt;=Dashboard!$C$4,B965&lt;=Dashboard!$F$4,ISNUMBER(AU965)),AU965+ROW()/10^9,"")</f>
        <v/>
      </c>
      <c r="BS965" s="38" t="str">
        <f aca="false">IF(AND(ISNUMBER(B965),B965&gt;=Dashboard!$C$4,B965&lt;=Dashboard!$F$4,A965&lt;&gt;""),N(BD965)+N(AU965)/100+ROW()/10^9,"")</f>
        <v/>
      </c>
    </row>
    <row r="966" customFormat="false" ht="15" hidden="false" customHeight="false" outlineLevel="0" collapsed="false">
      <c r="A966" s="24" t="str">
        <f aca="false">IF(OR(B966="",G966="",H966=""),"",IFERROR(INDEX(Settings!$E$5:$E$49,MATCH(G966,Settings!$D$5:$D$49,0))&amp;INDEX(Settings!$H$5:$H$47,MATCH(H966,Settings!$G$5:$G$47,0))&amp;"-"&amp;TEXT(B966,"yymmdd")&amp;"-"&amp;IF(C966="","0000",TEXT(C966,"hhmm")),"CHECK LISTS"))</f>
        <v/>
      </c>
      <c r="B966" s="39"/>
      <c r="C966" s="40"/>
      <c r="D966" s="24" t="str">
        <f aca="false">IF(B966="","",TEXT(B966,"ddd"))</f>
        <v/>
      </c>
      <c r="E966" s="27" t="str">
        <f aca="false">IF(B966="","",B966-WEEKDAY(B966,3))</f>
        <v/>
      </c>
      <c r="F966" s="24" t="str">
        <f aca="false">IF(B966="","",TEXT(B966,"yyyy-mm"))</f>
        <v/>
      </c>
      <c r="G966" s="29"/>
      <c r="H966" s="29"/>
      <c r="I966" s="29"/>
      <c r="J966" s="29"/>
      <c r="K966" s="29"/>
      <c r="L966" s="29"/>
      <c r="M966" s="29"/>
      <c r="N966" s="29"/>
      <c r="O966" s="29"/>
      <c r="P966" s="29"/>
      <c r="Q966" s="30"/>
      <c r="R966" s="29"/>
      <c r="S966" s="32"/>
      <c r="T966" s="29"/>
      <c r="U966" s="29"/>
      <c r="V966" s="24" t="str">
        <f aca="false">IF(A966="","",IFERROR(INDEX(Settings!$F$5:$F$49,MATCH(G966,Settings!$D$5:$D$49,0)),""))</f>
        <v/>
      </c>
      <c r="W966" s="24" t="str">
        <f aca="false">IF(A966="","",IF(OR(P966="",P966="Organic"),"social","paid_social"))</f>
        <v/>
      </c>
      <c r="X966" s="24" t="str">
        <f aca="false">IF(A966="","",IF(K966&lt;&gt;"",IFERROR(INDEX('Case Studies'!$C$5:$C$54,MATCH(K966,'Case Studies'!$B$5:$B$54,0))&amp;"","case-study"),IF(J966&lt;&gt;"",IFERROR(INDEX(Settings!$J$5:$J$55,MATCH(J966,Settings!$I$5:$I$55,0)),"general"),"general")))</f>
        <v/>
      </c>
      <c r="Y966" s="24" t="str">
        <f aca="false">IF(A966="","",LOWER(A966))</f>
        <v/>
      </c>
      <c r="Z966" s="24" t="str">
        <f aca="false">IF(A966="","",IF(T966="",Settings!$B$5,T966)&amp;IF(ISNUMBER(FIND("?",IF(T966="",Settings!$B$5,T966))),"&amp;","?")&amp;"utm_source="&amp;V966&amp;"&amp;utm_medium="&amp;W966&amp;"&amp;utm_campaign="&amp;X966&amp;"&amp;utm_content="&amp;Y966)</f>
        <v/>
      </c>
      <c r="AA966" s="29"/>
      <c r="AB966" s="39"/>
      <c r="AC966" s="32"/>
      <c r="AD966" s="32"/>
      <c r="AE966" s="32"/>
      <c r="AF966" s="32"/>
      <c r="AG966" s="32"/>
      <c r="AH966" s="32"/>
      <c r="AI966" s="32"/>
      <c r="AJ966" s="32"/>
      <c r="AK966" s="32"/>
      <c r="AL966" s="32"/>
      <c r="AM966" s="32"/>
      <c r="AN966" s="32"/>
      <c r="AO966" s="33" t="str">
        <f aca="false">IF(A966="","",IF(AD966&lt;&gt;"",AD966,IF(AC966&lt;&gt;"",AC966,"")))</f>
        <v/>
      </c>
      <c r="AP966" s="24" t="str">
        <f aca="false">IF(AO966="","",IF(AD966&lt;&gt;"","Reported reach","Impressions (proxy)"))</f>
        <v/>
      </c>
      <c r="AQ966" s="34" t="str">
        <f aca="false">IF(OR(AO966="",N(S966)=0),"",AO966/S966)</f>
        <v/>
      </c>
      <c r="AR966" s="33" t="str">
        <f aca="false">IF(A966="","",IF(COUNT(AF966:AJ966)=0,"",SUM(AF966:AJ966)))</f>
        <v/>
      </c>
      <c r="AS966" s="34" t="str">
        <f aca="false">IF(OR(AR966="",N(AO966)=0),"",AR966/AO966)</f>
        <v/>
      </c>
      <c r="AT966" s="34" t="str">
        <f aca="false">IF(OR(AR966="",N(AC966)=0),"",AR966/AC966)</f>
        <v/>
      </c>
      <c r="AU966" s="34" t="str">
        <f aca="false">IF(OR(AR966="",N(S966)=0),"",AR966/S966)</f>
        <v/>
      </c>
      <c r="AV966" s="34" t="str">
        <f aca="false">IF(OR(AJ966="",N(AC966)=0),"",AJ966/AC966)</f>
        <v/>
      </c>
      <c r="AW966" s="34" t="str">
        <f aca="false">IF(OR(AH966="",N(AO966)=0),"",AH966/AO966)</f>
        <v/>
      </c>
      <c r="AX966" s="35" t="str">
        <f aca="false">IF(OR(AR966="",N(AO966)=0),"",(N(AF966)*Settings!$B$6+N(AG966)*Settings!$B$7+N(AH966)*Settings!$B$8+N(AI966)*Settings!$B$9+N(AJ966)*Settings!$B$10)/AO966*1000)</f>
        <v/>
      </c>
      <c r="AY966" s="36" t="str">
        <f aca="false">IF(AS966="","",IFERROR(AS966/AVERAGEIFS('Post Tracker'!$AS$5:$AS$1004,'Post Tracker'!$G$5:$G$1004,G966),""))</f>
        <v/>
      </c>
      <c r="AZ966" s="32"/>
      <c r="BA966" s="32"/>
      <c r="BB966" s="32"/>
      <c r="BC966" s="32"/>
      <c r="BD966" s="33" t="str">
        <f aca="false">IF(A966="","",COUNTIFS('Demo Pipeline'!$Q$5:$Q$504,A966))</f>
        <v/>
      </c>
      <c r="BE966" s="33" t="str">
        <f aca="false">IF(A966="","",COUNTIFS('Demo Pipeline'!$Q$5:$Q$504,A966,'Demo Pipeline'!$W$5:$W$504,"Attended"))</f>
        <v/>
      </c>
      <c r="BF966" s="33" t="str">
        <f aca="false">IF(A966="","",COUNTIFS('Demo Pipeline'!$Q$5:$Q$504,A966,'Demo Pipeline'!$X$5:$X$504,"Yes"))</f>
        <v/>
      </c>
      <c r="BG966" s="33" t="str">
        <f aca="false">IF(A966="","",COUNTIFS('Demo Pipeline'!$Q$5:$Q$504,A966,'Demo Pipeline'!$Y$5:$Y$504,"Closed Won"))</f>
        <v/>
      </c>
      <c r="BH966" s="37" t="str">
        <f aca="false">IF(A966="","",SUMIFS('Demo Pipeline'!$Z$5:$Z$504,'Demo Pipeline'!$Q$5:$Q$504,A966))</f>
        <v/>
      </c>
      <c r="BI966" s="34" t="str">
        <f aca="false">IF(OR(AZ966="",N(AJ966)=0),"",AZ966/AJ966)</f>
        <v/>
      </c>
      <c r="BJ966" s="34" t="str">
        <f aca="false">IF(OR(BB966="",N(AZ966)=0),"",BB966/AZ966)</f>
        <v/>
      </c>
      <c r="BK966" s="34" t="str">
        <f aca="false">IF(OR(A966="",N(BB966)=0),"",BD966/BB966)</f>
        <v/>
      </c>
      <c r="BL966" s="34" t="str">
        <f aca="false">IF(OR(A966="",N(AZ966)=0),"",BD966/AZ966)</f>
        <v/>
      </c>
      <c r="BM966" s="37" t="str">
        <f aca="false">IF(OR(N(Q966)=0,N(BD966)=0),"",Q966/BD966)</f>
        <v/>
      </c>
      <c r="BN966" s="29"/>
      <c r="BO966" s="29"/>
      <c r="BP966" s="33" t="str">
        <f aca="false">IF(OR(AR966="",N(AO966)=0),"",AR966)</f>
        <v/>
      </c>
      <c r="BQ966" s="33" t="str">
        <f aca="false">IF(OR(AR966="",N(S966)=0),"",S966)</f>
        <v/>
      </c>
      <c r="BR966" s="38" t="str">
        <f aca="false">IF(AND(ISNUMBER(B966),B966&gt;=Dashboard!$C$4,B966&lt;=Dashboard!$F$4,ISNUMBER(AU966)),AU966+ROW()/10^9,"")</f>
        <v/>
      </c>
      <c r="BS966" s="38" t="str">
        <f aca="false">IF(AND(ISNUMBER(B966),B966&gt;=Dashboard!$C$4,B966&lt;=Dashboard!$F$4,A966&lt;&gt;""),N(BD966)+N(AU966)/100+ROW()/10^9,"")</f>
        <v/>
      </c>
    </row>
    <row r="967" customFormat="false" ht="15" hidden="false" customHeight="false" outlineLevel="0" collapsed="false">
      <c r="A967" s="24" t="str">
        <f aca="false">IF(OR(B967="",G967="",H967=""),"",IFERROR(INDEX(Settings!$E$5:$E$49,MATCH(G967,Settings!$D$5:$D$49,0))&amp;INDEX(Settings!$H$5:$H$47,MATCH(H967,Settings!$G$5:$G$47,0))&amp;"-"&amp;TEXT(B967,"yymmdd")&amp;"-"&amp;IF(C967="","0000",TEXT(C967,"hhmm")),"CHECK LISTS"))</f>
        <v/>
      </c>
      <c r="B967" s="39"/>
      <c r="C967" s="40"/>
      <c r="D967" s="24" t="str">
        <f aca="false">IF(B967="","",TEXT(B967,"ddd"))</f>
        <v/>
      </c>
      <c r="E967" s="27" t="str">
        <f aca="false">IF(B967="","",B967-WEEKDAY(B967,3))</f>
        <v/>
      </c>
      <c r="F967" s="24" t="str">
        <f aca="false">IF(B967="","",TEXT(B967,"yyyy-mm"))</f>
        <v/>
      </c>
      <c r="G967" s="29"/>
      <c r="H967" s="29"/>
      <c r="I967" s="29"/>
      <c r="J967" s="29"/>
      <c r="K967" s="29"/>
      <c r="L967" s="29"/>
      <c r="M967" s="29"/>
      <c r="N967" s="29"/>
      <c r="O967" s="29"/>
      <c r="P967" s="29"/>
      <c r="Q967" s="30"/>
      <c r="R967" s="29"/>
      <c r="S967" s="32"/>
      <c r="T967" s="29"/>
      <c r="U967" s="29"/>
      <c r="V967" s="24" t="str">
        <f aca="false">IF(A967="","",IFERROR(INDEX(Settings!$F$5:$F$49,MATCH(G967,Settings!$D$5:$D$49,0)),""))</f>
        <v/>
      </c>
      <c r="W967" s="24" t="str">
        <f aca="false">IF(A967="","",IF(OR(P967="",P967="Organic"),"social","paid_social"))</f>
        <v/>
      </c>
      <c r="X967" s="24" t="str">
        <f aca="false">IF(A967="","",IF(K967&lt;&gt;"",IFERROR(INDEX('Case Studies'!$C$5:$C$54,MATCH(K967,'Case Studies'!$B$5:$B$54,0))&amp;"","case-study"),IF(J967&lt;&gt;"",IFERROR(INDEX(Settings!$J$5:$J$55,MATCH(J967,Settings!$I$5:$I$55,0)),"general"),"general")))</f>
        <v/>
      </c>
      <c r="Y967" s="24" t="str">
        <f aca="false">IF(A967="","",LOWER(A967))</f>
        <v/>
      </c>
      <c r="Z967" s="24" t="str">
        <f aca="false">IF(A967="","",IF(T967="",Settings!$B$5,T967)&amp;IF(ISNUMBER(FIND("?",IF(T967="",Settings!$B$5,T967))),"&amp;","?")&amp;"utm_source="&amp;V967&amp;"&amp;utm_medium="&amp;W967&amp;"&amp;utm_campaign="&amp;X967&amp;"&amp;utm_content="&amp;Y967)</f>
        <v/>
      </c>
      <c r="AA967" s="29"/>
      <c r="AB967" s="39"/>
      <c r="AC967" s="32"/>
      <c r="AD967" s="32"/>
      <c r="AE967" s="32"/>
      <c r="AF967" s="32"/>
      <c r="AG967" s="32"/>
      <c r="AH967" s="32"/>
      <c r="AI967" s="32"/>
      <c r="AJ967" s="32"/>
      <c r="AK967" s="32"/>
      <c r="AL967" s="32"/>
      <c r="AM967" s="32"/>
      <c r="AN967" s="32"/>
      <c r="AO967" s="33" t="str">
        <f aca="false">IF(A967="","",IF(AD967&lt;&gt;"",AD967,IF(AC967&lt;&gt;"",AC967,"")))</f>
        <v/>
      </c>
      <c r="AP967" s="24" t="str">
        <f aca="false">IF(AO967="","",IF(AD967&lt;&gt;"","Reported reach","Impressions (proxy)"))</f>
        <v/>
      </c>
      <c r="AQ967" s="34" t="str">
        <f aca="false">IF(OR(AO967="",N(S967)=0),"",AO967/S967)</f>
        <v/>
      </c>
      <c r="AR967" s="33" t="str">
        <f aca="false">IF(A967="","",IF(COUNT(AF967:AJ967)=0,"",SUM(AF967:AJ967)))</f>
        <v/>
      </c>
      <c r="AS967" s="34" t="str">
        <f aca="false">IF(OR(AR967="",N(AO967)=0),"",AR967/AO967)</f>
        <v/>
      </c>
      <c r="AT967" s="34" t="str">
        <f aca="false">IF(OR(AR967="",N(AC967)=0),"",AR967/AC967)</f>
        <v/>
      </c>
      <c r="AU967" s="34" t="str">
        <f aca="false">IF(OR(AR967="",N(S967)=0),"",AR967/S967)</f>
        <v/>
      </c>
      <c r="AV967" s="34" t="str">
        <f aca="false">IF(OR(AJ967="",N(AC967)=0),"",AJ967/AC967)</f>
        <v/>
      </c>
      <c r="AW967" s="34" t="str">
        <f aca="false">IF(OR(AH967="",N(AO967)=0),"",AH967/AO967)</f>
        <v/>
      </c>
      <c r="AX967" s="35" t="str">
        <f aca="false">IF(OR(AR967="",N(AO967)=0),"",(N(AF967)*Settings!$B$6+N(AG967)*Settings!$B$7+N(AH967)*Settings!$B$8+N(AI967)*Settings!$B$9+N(AJ967)*Settings!$B$10)/AO967*1000)</f>
        <v/>
      </c>
      <c r="AY967" s="36" t="str">
        <f aca="false">IF(AS967="","",IFERROR(AS967/AVERAGEIFS('Post Tracker'!$AS$5:$AS$1004,'Post Tracker'!$G$5:$G$1004,G967),""))</f>
        <v/>
      </c>
      <c r="AZ967" s="32"/>
      <c r="BA967" s="32"/>
      <c r="BB967" s="32"/>
      <c r="BC967" s="32"/>
      <c r="BD967" s="33" t="str">
        <f aca="false">IF(A967="","",COUNTIFS('Demo Pipeline'!$Q$5:$Q$504,A967))</f>
        <v/>
      </c>
      <c r="BE967" s="33" t="str">
        <f aca="false">IF(A967="","",COUNTIFS('Demo Pipeline'!$Q$5:$Q$504,A967,'Demo Pipeline'!$W$5:$W$504,"Attended"))</f>
        <v/>
      </c>
      <c r="BF967" s="33" t="str">
        <f aca="false">IF(A967="","",COUNTIFS('Demo Pipeline'!$Q$5:$Q$504,A967,'Demo Pipeline'!$X$5:$X$504,"Yes"))</f>
        <v/>
      </c>
      <c r="BG967" s="33" t="str">
        <f aca="false">IF(A967="","",COUNTIFS('Demo Pipeline'!$Q$5:$Q$504,A967,'Demo Pipeline'!$Y$5:$Y$504,"Closed Won"))</f>
        <v/>
      </c>
      <c r="BH967" s="37" t="str">
        <f aca="false">IF(A967="","",SUMIFS('Demo Pipeline'!$Z$5:$Z$504,'Demo Pipeline'!$Q$5:$Q$504,A967))</f>
        <v/>
      </c>
      <c r="BI967" s="34" t="str">
        <f aca="false">IF(OR(AZ967="",N(AJ967)=0),"",AZ967/AJ967)</f>
        <v/>
      </c>
      <c r="BJ967" s="34" t="str">
        <f aca="false">IF(OR(BB967="",N(AZ967)=0),"",BB967/AZ967)</f>
        <v/>
      </c>
      <c r="BK967" s="34" t="str">
        <f aca="false">IF(OR(A967="",N(BB967)=0),"",BD967/BB967)</f>
        <v/>
      </c>
      <c r="BL967" s="34" t="str">
        <f aca="false">IF(OR(A967="",N(AZ967)=0),"",BD967/AZ967)</f>
        <v/>
      </c>
      <c r="BM967" s="37" t="str">
        <f aca="false">IF(OR(N(Q967)=0,N(BD967)=0),"",Q967/BD967)</f>
        <v/>
      </c>
      <c r="BN967" s="29"/>
      <c r="BO967" s="29"/>
      <c r="BP967" s="33" t="str">
        <f aca="false">IF(OR(AR967="",N(AO967)=0),"",AR967)</f>
        <v/>
      </c>
      <c r="BQ967" s="33" t="str">
        <f aca="false">IF(OR(AR967="",N(S967)=0),"",S967)</f>
        <v/>
      </c>
      <c r="BR967" s="38" t="str">
        <f aca="false">IF(AND(ISNUMBER(B967),B967&gt;=Dashboard!$C$4,B967&lt;=Dashboard!$F$4,ISNUMBER(AU967)),AU967+ROW()/10^9,"")</f>
        <v/>
      </c>
      <c r="BS967" s="38" t="str">
        <f aca="false">IF(AND(ISNUMBER(B967),B967&gt;=Dashboard!$C$4,B967&lt;=Dashboard!$F$4,A967&lt;&gt;""),N(BD967)+N(AU967)/100+ROW()/10^9,"")</f>
        <v/>
      </c>
    </row>
    <row r="968" customFormat="false" ht="15" hidden="false" customHeight="false" outlineLevel="0" collapsed="false">
      <c r="A968" s="24" t="str">
        <f aca="false">IF(OR(B968="",G968="",H968=""),"",IFERROR(INDEX(Settings!$E$5:$E$49,MATCH(G968,Settings!$D$5:$D$49,0))&amp;INDEX(Settings!$H$5:$H$47,MATCH(H968,Settings!$G$5:$G$47,0))&amp;"-"&amp;TEXT(B968,"yymmdd")&amp;"-"&amp;IF(C968="","0000",TEXT(C968,"hhmm")),"CHECK LISTS"))</f>
        <v/>
      </c>
      <c r="B968" s="39"/>
      <c r="C968" s="40"/>
      <c r="D968" s="24" t="str">
        <f aca="false">IF(B968="","",TEXT(B968,"ddd"))</f>
        <v/>
      </c>
      <c r="E968" s="27" t="str">
        <f aca="false">IF(B968="","",B968-WEEKDAY(B968,3))</f>
        <v/>
      </c>
      <c r="F968" s="24" t="str">
        <f aca="false">IF(B968="","",TEXT(B968,"yyyy-mm"))</f>
        <v/>
      </c>
      <c r="G968" s="29"/>
      <c r="H968" s="29"/>
      <c r="I968" s="29"/>
      <c r="J968" s="29"/>
      <c r="K968" s="29"/>
      <c r="L968" s="29"/>
      <c r="M968" s="29"/>
      <c r="N968" s="29"/>
      <c r="O968" s="29"/>
      <c r="P968" s="29"/>
      <c r="Q968" s="30"/>
      <c r="R968" s="29"/>
      <c r="S968" s="32"/>
      <c r="T968" s="29"/>
      <c r="U968" s="29"/>
      <c r="V968" s="24" t="str">
        <f aca="false">IF(A968="","",IFERROR(INDEX(Settings!$F$5:$F$49,MATCH(G968,Settings!$D$5:$D$49,0)),""))</f>
        <v/>
      </c>
      <c r="W968" s="24" t="str">
        <f aca="false">IF(A968="","",IF(OR(P968="",P968="Organic"),"social","paid_social"))</f>
        <v/>
      </c>
      <c r="X968" s="24" t="str">
        <f aca="false">IF(A968="","",IF(K968&lt;&gt;"",IFERROR(INDEX('Case Studies'!$C$5:$C$54,MATCH(K968,'Case Studies'!$B$5:$B$54,0))&amp;"","case-study"),IF(J968&lt;&gt;"",IFERROR(INDEX(Settings!$J$5:$J$55,MATCH(J968,Settings!$I$5:$I$55,0)),"general"),"general")))</f>
        <v/>
      </c>
      <c r="Y968" s="24" t="str">
        <f aca="false">IF(A968="","",LOWER(A968))</f>
        <v/>
      </c>
      <c r="Z968" s="24" t="str">
        <f aca="false">IF(A968="","",IF(T968="",Settings!$B$5,T968)&amp;IF(ISNUMBER(FIND("?",IF(T968="",Settings!$B$5,T968))),"&amp;","?")&amp;"utm_source="&amp;V968&amp;"&amp;utm_medium="&amp;W968&amp;"&amp;utm_campaign="&amp;X968&amp;"&amp;utm_content="&amp;Y968)</f>
        <v/>
      </c>
      <c r="AA968" s="29"/>
      <c r="AB968" s="39"/>
      <c r="AC968" s="32"/>
      <c r="AD968" s="32"/>
      <c r="AE968" s="32"/>
      <c r="AF968" s="32"/>
      <c r="AG968" s="32"/>
      <c r="AH968" s="32"/>
      <c r="AI968" s="32"/>
      <c r="AJ968" s="32"/>
      <c r="AK968" s="32"/>
      <c r="AL968" s="32"/>
      <c r="AM968" s="32"/>
      <c r="AN968" s="32"/>
      <c r="AO968" s="33" t="str">
        <f aca="false">IF(A968="","",IF(AD968&lt;&gt;"",AD968,IF(AC968&lt;&gt;"",AC968,"")))</f>
        <v/>
      </c>
      <c r="AP968" s="24" t="str">
        <f aca="false">IF(AO968="","",IF(AD968&lt;&gt;"","Reported reach","Impressions (proxy)"))</f>
        <v/>
      </c>
      <c r="AQ968" s="34" t="str">
        <f aca="false">IF(OR(AO968="",N(S968)=0),"",AO968/S968)</f>
        <v/>
      </c>
      <c r="AR968" s="33" t="str">
        <f aca="false">IF(A968="","",IF(COUNT(AF968:AJ968)=0,"",SUM(AF968:AJ968)))</f>
        <v/>
      </c>
      <c r="AS968" s="34" t="str">
        <f aca="false">IF(OR(AR968="",N(AO968)=0),"",AR968/AO968)</f>
        <v/>
      </c>
      <c r="AT968" s="34" t="str">
        <f aca="false">IF(OR(AR968="",N(AC968)=0),"",AR968/AC968)</f>
        <v/>
      </c>
      <c r="AU968" s="34" t="str">
        <f aca="false">IF(OR(AR968="",N(S968)=0),"",AR968/S968)</f>
        <v/>
      </c>
      <c r="AV968" s="34" t="str">
        <f aca="false">IF(OR(AJ968="",N(AC968)=0),"",AJ968/AC968)</f>
        <v/>
      </c>
      <c r="AW968" s="34" t="str">
        <f aca="false">IF(OR(AH968="",N(AO968)=0),"",AH968/AO968)</f>
        <v/>
      </c>
      <c r="AX968" s="35" t="str">
        <f aca="false">IF(OR(AR968="",N(AO968)=0),"",(N(AF968)*Settings!$B$6+N(AG968)*Settings!$B$7+N(AH968)*Settings!$B$8+N(AI968)*Settings!$B$9+N(AJ968)*Settings!$B$10)/AO968*1000)</f>
        <v/>
      </c>
      <c r="AY968" s="36" t="str">
        <f aca="false">IF(AS968="","",IFERROR(AS968/AVERAGEIFS('Post Tracker'!$AS$5:$AS$1004,'Post Tracker'!$G$5:$G$1004,G968),""))</f>
        <v/>
      </c>
      <c r="AZ968" s="32"/>
      <c r="BA968" s="32"/>
      <c r="BB968" s="32"/>
      <c r="BC968" s="32"/>
      <c r="BD968" s="33" t="str">
        <f aca="false">IF(A968="","",COUNTIFS('Demo Pipeline'!$Q$5:$Q$504,A968))</f>
        <v/>
      </c>
      <c r="BE968" s="33" t="str">
        <f aca="false">IF(A968="","",COUNTIFS('Demo Pipeline'!$Q$5:$Q$504,A968,'Demo Pipeline'!$W$5:$W$504,"Attended"))</f>
        <v/>
      </c>
      <c r="BF968" s="33" t="str">
        <f aca="false">IF(A968="","",COUNTIFS('Demo Pipeline'!$Q$5:$Q$504,A968,'Demo Pipeline'!$X$5:$X$504,"Yes"))</f>
        <v/>
      </c>
      <c r="BG968" s="33" t="str">
        <f aca="false">IF(A968="","",COUNTIFS('Demo Pipeline'!$Q$5:$Q$504,A968,'Demo Pipeline'!$Y$5:$Y$504,"Closed Won"))</f>
        <v/>
      </c>
      <c r="BH968" s="37" t="str">
        <f aca="false">IF(A968="","",SUMIFS('Demo Pipeline'!$Z$5:$Z$504,'Demo Pipeline'!$Q$5:$Q$504,A968))</f>
        <v/>
      </c>
      <c r="BI968" s="34" t="str">
        <f aca="false">IF(OR(AZ968="",N(AJ968)=0),"",AZ968/AJ968)</f>
        <v/>
      </c>
      <c r="BJ968" s="34" t="str">
        <f aca="false">IF(OR(BB968="",N(AZ968)=0),"",BB968/AZ968)</f>
        <v/>
      </c>
      <c r="BK968" s="34" t="str">
        <f aca="false">IF(OR(A968="",N(BB968)=0),"",BD968/BB968)</f>
        <v/>
      </c>
      <c r="BL968" s="34" t="str">
        <f aca="false">IF(OR(A968="",N(AZ968)=0),"",BD968/AZ968)</f>
        <v/>
      </c>
      <c r="BM968" s="37" t="str">
        <f aca="false">IF(OR(N(Q968)=0,N(BD968)=0),"",Q968/BD968)</f>
        <v/>
      </c>
      <c r="BN968" s="29"/>
      <c r="BO968" s="29"/>
      <c r="BP968" s="33" t="str">
        <f aca="false">IF(OR(AR968="",N(AO968)=0),"",AR968)</f>
        <v/>
      </c>
      <c r="BQ968" s="33" t="str">
        <f aca="false">IF(OR(AR968="",N(S968)=0),"",S968)</f>
        <v/>
      </c>
      <c r="BR968" s="38" t="str">
        <f aca="false">IF(AND(ISNUMBER(B968),B968&gt;=Dashboard!$C$4,B968&lt;=Dashboard!$F$4,ISNUMBER(AU968)),AU968+ROW()/10^9,"")</f>
        <v/>
      </c>
      <c r="BS968" s="38" t="str">
        <f aca="false">IF(AND(ISNUMBER(B968),B968&gt;=Dashboard!$C$4,B968&lt;=Dashboard!$F$4,A968&lt;&gt;""),N(BD968)+N(AU968)/100+ROW()/10^9,"")</f>
        <v/>
      </c>
    </row>
    <row r="969" customFormat="false" ht="15" hidden="false" customHeight="false" outlineLevel="0" collapsed="false">
      <c r="A969" s="24" t="str">
        <f aca="false">IF(OR(B969="",G969="",H969=""),"",IFERROR(INDEX(Settings!$E$5:$E$49,MATCH(G969,Settings!$D$5:$D$49,0))&amp;INDEX(Settings!$H$5:$H$47,MATCH(H969,Settings!$G$5:$G$47,0))&amp;"-"&amp;TEXT(B969,"yymmdd")&amp;"-"&amp;IF(C969="","0000",TEXT(C969,"hhmm")),"CHECK LISTS"))</f>
        <v/>
      </c>
      <c r="B969" s="39"/>
      <c r="C969" s="40"/>
      <c r="D969" s="24" t="str">
        <f aca="false">IF(B969="","",TEXT(B969,"ddd"))</f>
        <v/>
      </c>
      <c r="E969" s="27" t="str">
        <f aca="false">IF(B969="","",B969-WEEKDAY(B969,3))</f>
        <v/>
      </c>
      <c r="F969" s="24" t="str">
        <f aca="false">IF(B969="","",TEXT(B969,"yyyy-mm"))</f>
        <v/>
      </c>
      <c r="G969" s="29"/>
      <c r="H969" s="29"/>
      <c r="I969" s="29"/>
      <c r="J969" s="29"/>
      <c r="K969" s="29"/>
      <c r="L969" s="29"/>
      <c r="M969" s="29"/>
      <c r="N969" s="29"/>
      <c r="O969" s="29"/>
      <c r="P969" s="29"/>
      <c r="Q969" s="30"/>
      <c r="R969" s="29"/>
      <c r="S969" s="32"/>
      <c r="T969" s="29"/>
      <c r="U969" s="29"/>
      <c r="V969" s="24" t="str">
        <f aca="false">IF(A969="","",IFERROR(INDEX(Settings!$F$5:$F$49,MATCH(G969,Settings!$D$5:$D$49,0)),""))</f>
        <v/>
      </c>
      <c r="W969" s="24" t="str">
        <f aca="false">IF(A969="","",IF(OR(P969="",P969="Organic"),"social","paid_social"))</f>
        <v/>
      </c>
      <c r="X969" s="24" t="str">
        <f aca="false">IF(A969="","",IF(K969&lt;&gt;"",IFERROR(INDEX('Case Studies'!$C$5:$C$54,MATCH(K969,'Case Studies'!$B$5:$B$54,0))&amp;"","case-study"),IF(J969&lt;&gt;"",IFERROR(INDEX(Settings!$J$5:$J$55,MATCH(J969,Settings!$I$5:$I$55,0)),"general"),"general")))</f>
        <v/>
      </c>
      <c r="Y969" s="24" t="str">
        <f aca="false">IF(A969="","",LOWER(A969))</f>
        <v/>
      </c>
      <c r="Z969" s="24" t="str">
        <f aca="false">IF(A969="","",IF(T969="",Settings!$B$5,T969)&amp;IF(ISNUMBER(FIND("?",IF(T969="",Settings!$B$5,T969))),"&amp;","?")&amp;"utm_source="&amp;V969&amp;"&amp;utm_medium="&amp;W969&amp;"&amp;utm_campaign="&amp;X969&amp;"&amp;utm_content="&amp;Y969)</f>
        <v/>
      </c>
      <c r="AA969" s="29"/>
      <c r="AB969" s="39"/>
      <c r="AC969" s="32"/>
      <c r="AD969" s="32"/>
      <c r="AE969" s="32"/>
      <c r="AF969" s="32"/>
      <c r="AG969" s="32"/>
      <c r="AH969" s="32"/>
      <c r="AI969" s="32"/>
      <c r="AJ969" s="32"/>
      <c r="AK969" s="32"/>
      <c r="AL969" s="32"/>
      <c r="AM969" s="32"/>
      <c r="AN969" s="32"/>
      <c r="AO969" s="33" t="str">
        <f aca="false">IF(A969="","",IF(AD969&lt;&gt;"",AD969,IF(AC969&lt;&gt;"",AC969,"")))</f>
        <v/>
      </c>
      <c r="AP969" s="24" t="str">
        <f aca="false">IF(AO969="","",IF(AD969&lt;&gt;"","Reported reach","Impressions (proxy)"))</f>
        <v/>
      </c>
      <c r="AQ969" s="34" t="str">
        <f aca="false">IF(OR(AO969="",N(S969)=0),"",AO969/S969)</f>
        <v/>
      </c>
      <c r="AR969" s="33" t="str">
        <f aca="false">IF(A969="","",IF(COUNT(AF969:AJ969)=0,"",SUM(AF969:AJ969)))</f>
        <v/>
      </c>
      <c r="AS969" s="34" t="str">
        <f aca="false">IF(OR(AR969="",N(AO969)=0),"",AR969/AO969)</f>
        <v/>
      </c>
      <c r="AT969" s="34" t="str">
        <f aca="false">IF(OR(AR969="",N(AC969)=0),"",AR969/AC969)</f>
        <v/>
      </c>
      <c r="AU969" s="34" t="str">
        <f aca="false">IF(OR(AR969="",N(S969)=0),"",AR969/S969)</f>
        <v/>
      </c>
      <c r="AV969" s="34" t="str">
        <f aca="false">IF(OR(AJ969="",N(AC969)=0),"",AJ969/AC969)</f>
        <v/>
      </c>
      <c r="AW969" s="34" t="str">
        <f aca="false">IF(OR(AH969="",N(AO969)=0),"",AH969/AO969)</f>
        <v/>
      </c>
      <c r="AX969" s="35" t="str">
        <f aca="false">IF(OR(AR969="",N(AO969)=0),"",(N(AF969)*Settings!$B$6+N(AG969)*Settings!$B$7+N(AH969)*Settings!$B$8+N(AI969)*Settings!$B$9+N(AJ969)*Settings!$B$10)/AO969*1000)</f>
        <v/>
      </c>
      <c r="AY969" s="36" t="str">
        <f aca="false">IF(AS969="","",IFERROR(AS969/AVERAGEIFS('Post Tracker'!$AS$5:$AS$1004,'Post Tracker'!$G$5:$G$1004,G969),""))</f>
        <v/>
      </c>
      <c r="AZ969" s="32"/>
      <c r="BA969" s="32"/>
      <c r="BB969" s="32"/>
      <c r="BC969" s="32"/>
      <c r="BD969" s="33" t="str">
        <f aca="false">IF(A969="","",COUNTIFS('Demo Pipeline'!$Q$5:$Q$504,A969))</f>
        <v/>
      </c>
      <c r="BE969" s="33" t="str">
        <f aca="false">IF(A969="","",COUNTIFS('Demo Pipeline'!$Q$5:$Q$504,A969,'Demo Pipeline'!$W$5:$W$504,"Attended"))</f>
        <v/>
      </c>
      <c r="BF969" s="33" t="str">
        <f aca="false">IF(A969="","",COUNTIFS('Demo Pipeline'!$Q$5:$Q$504,A969,'Demo Pipeline'!$X$5:$X$504,"Yes"))</f>
        <v/>
      </c>
      <c r="BG969" s="33" t="str">
        <f aca="false">IF(A969="","",COUNTIFS('Demo Pipeline'!$Q$5:$Q$504,A969,'Demo Pipeline'!$Y$5:$Y$504,"Closed Won"))</f>
        <v/>
      </c>
      <c r="BH969" s="37" t="str">
        <f aca="false">IF(A969="","",SUMIFS('Demo Pipeline'!$Z$5:$Z$504,'Demo Pipeline'!$Q$5:$Q$504,A969))</f>
        <v/>
      </c>
      <c r="BI969" s="34" t="str">
        <f aca="false">IF(OR(AZ969="",N(AJ969)=0),"",AZ969/AJ969)</f>
        <v/>
      </c>
      <c r="BJ969" s="34" t="str">
        <f aca="false">IF(OR(BB969="",N(AZ969)=0),"",BB969/AZ969)</f>
        <v/>
      </c>
      <c r="BK969" s="34" t="str">
        <f aca="false">IF(OR(A969="",N(BB969)=0),"",BD969/BB969)</f>
        <v/>
      </c>
      <c r="BL969" s="34" t="str">
        <f aca="false">IF(OR(A969="",N(AZ969)=0),"",BD969/AZ969)</f>
        <v/>
      </c>
      <c r="BM969" s="37" t="str">
        <f aca="false">IF(OR(N(Q969)=0,N(BD969)=0),"",Q969/BD969)</f>
        <v/>
      </c>
      <c r="BN969" s="29"/>
      <c r="BO969" s="29"/>
      <c r="BP969" s="33" t="str">
        <f aca="false">IF(OR(AR969="",N(AO969)=0),"",AR969)</f>
        <v/>
      </c>
      <c r="BQ969" s="33" t="str">
        <f aca="false">IF(OR(AR969="",N(S969)=0),"",S969)</f>
        <v/>
      </c>
      <c r="BR969" s="38" t="str">
        <f aca="false">IF(AND(ISNUMBER(B969),B969&gt;=Dashboard!$C$4,B969&lt;=Dashboard!$F$4,ISNUMBER(AU969)),AU969+ROW()/10^9,"")</f>
        <v/>
      </c>
      <c r="BS969" s="38" t="str">
        <f aca="false">IF(AND(ISNUMBER(B969),B969&gt;=Dashboard!$C$4,B969&lt;=Dashboard!$F$4,A969&lt;&gt;""),N(BD969)+N(AU969)/100+ROW()/10^9,"")</f>
        <v/>
      </c>
    </row>
    <row r="970" customFormat="false" ht="15" hidden="false" customHeight="false" outlineLevel="0" collapsed="false">
      <c r="A970" s="24" t="str">
        <f aca="false">IF(OR(B970="",G970="",H970=""),"",IFERROR(INDEX(Settings!$E$5:$E$49,MATCH(G970,Settings!$D$5:$D$49,0))&amp;INDEX(Settings!$H$5:$H$47,MATCH(H970,Settings!$G$5:$G$47,0))&amp;"-"&amp;TEXT(B970,"yymmdd")&amp;"-"&amp;IF(C970="","0000",TEXT(C970,"hhmm")),"CHECK LISTS"))</f>
        <v/>
      </c>
      <c r="B970" s="39"/>
      <c r="C970" s="40"/>
      <c r="D970" s="24" t="str">
        <f aca="false">IF(B970="","",TEXT(B970,"ddd"))</f>
        <v/>
      </c>
      <c r="E970" s="27" t="str">
        <f aca="false">IF(B970="","",B970-WEEKDAY(B970,3))</f>
        <v/>
      </c>
      <c r="F970" s="24" t="str">
        <f aca="false">IF(B970="","",TEXT(B970,"yyyy-mm"))</f>
        <v/>
      </c>
      <c r="G970" s="29"/>
      <c r="H970" s="29"/>
      <c r="I970" s="29"/>
      <c r="J970" s="29"/>
      <c r="K970" s="29"/>
      <c r="L970" s="29"/>
      <c r="M970" s="29"/>
      <c r="N970" s="29"/>
      <c r="O970" s="29"/>
      <c r="P970" s="29"/>
      <c r="Q970" s="30"/>
      <c r="R970" s="29"/>
      <c r="S970" s="32"/>
      <c r="T970" s="29"/>
      <c r="U970" s="29"/>
      <c r="V970" s="24" t="str">
        <f aca="false">IF(A970="","",IFERROR(INDEX(Settings!$F$5:$F$49,MATCH(G970,Settings!$D$5:$D$49,0)),""))</f>
        <v/>
      </c>
      <c r="W970" s="24" t="str">
        <f aca="false">IF(A970="","",IF(OR(P970="",P970="Organic"),"social","paid_social"))</f>
        <v/>
      </c>
      <c r="X970" s="24" t="str">
        <f aca="false">IF(A970="","",IF(K970&lt;&gt;"",IFERROR(INDEX('Case Studies'!$C$5:$C$54,MATCH(K970,'Case Studies'!$B$5:$B$54,0))&amp;"","case-study"),IF(J970&lt;&gt;"",IFERROR(INDEX(Settings!$J$5:$J$55,MATCH(J970,Settings!$I$5:$I$55,0)),"general"),"general")))</f>
        <v/>
      </c>
      <c r="Y970" s="24" t="str">
        <f aca="false">IF(A970="","",LOWER(A970))</f>
        <v/>
      </c>
      <c r="Z970" s="24" t="str">
        <f aca="false">IF(A970="","",IF(T970="",Settings!$B$5,T970)&amp;IF(ISNUMBER(FIND("?",IF(T970="",Settings!$B$5,T970))),"&amp;","?")&amp;"utm_source="&amp;V970&amp;"&amp;utm_medium="&amp;W970&amp;"&amp;utm_campaign="&amp;X970&amp;"&amp;utm_content="&amp;Y970)</f>
        <v/>
      </c>
      <c r="AA970" s="29"/>
      <c r="AB970" s="39"/>
      <c r="AC970" s="32"/>
      <c r="AD970" s="32"/>
      <c r="AE970" s="32"/>
      <c r="AF970" s="32"/>
      <c r="AG970" s="32"/>
      <c r="AH970" s="32"/>
      <c r="AI970" s="32"/>
      <c r="AJ970" s="32"/>
      <c r="AK970" s="32"/>
      <c r="AL970" s="32"/>
      <c r="AM970" s="32"/>
      <c r="AN970" s="32"/>
      <c r="AO970" s="33" t="str">
        <f aca="false">IF(A970="","",IF(AD970&lt;&gt;"",AD970,IF(AC970&lt;&gt;"",AC970,"")))</f>
        <v/>
      </c>
      <c r="AP970" s="24" t="str">
        <f aca="false">IF(AO970="","",IF(AD970&lt;&gt;"","Reported reach","Impressions (proxy)"))</f>
        <v/>
      </c>
      <c r="AQ970" s="34" t="str">
        <f aca="false">IF(OR(AO970="",N(S970)=0),"",AO970/S970)</f>
        <v/>
      </c>
      <c r="AR970" s="33" t="str">
        <f aca="false">IF(A970="","",IF(COUNT(AF970:AJ970)=0,"",SUM(AF970:AJ970)))</f>
        <v/>
      </c>
      <c r="AS970" s="34" t="str">
        <f aca="false">IF(OR(AR970="",N(AO970)=0),"",AR970/AO970)</f>
        <v/>
      </c>
      <c r="AT970" s="34" t="str">
        <f aca="false">IF(OR(AR970="",N(AC970)=0),"",AR970/AC970)</f>
        <v/>
      </c>
      <c r="AU970" s="34" t="str">
        <f aca="false">IF(OR(AR970="",N(S970)=0),"",AR970/S970)</f>
        <v/>
      </c>
      <c r="AV970" s="34" t="str">
        <f aca="false">IF(OR(AJ970="",N(AC970)=0),"",AJ970/AC970)</f>
        <v/>
      </c>
      <c r="AW970" s="34" t="str">
        <f aca="false">IF(OR(AH970="",N(AO970)=0),"",AH970/AO970)</f>
        <v/>
      </c>
      <c r="AX970" s="35" t="str">
        <f aca="false">IF(OR(AR970="",N(AO970)=0),"",(N(AF970)*Settings!$B$6+N(AG970)*Settings!$B$7+N(AH970)*Settings!$B$8+N(AI970)*Settings!$B$9+N(AJ970)*Settings!$B$10)/AO970*1000)</f>
        <v/>
      </c>
      <c r="AY970" s="36" t="str">
        <f aca="false">IF(AS970="","",IFERROR(AS970/AVERAGEIFS('Post Tracker'!$AS$5:$AS$1004,'Post Tracker'!$G$5:$G$1004,G970),""))</f>
        <v/>
      </c>
      <c r="AZ970" s="32"/>
      <c r="BA970" s="32"/>
      <c r="BB970" s="32"/>
      <c r="BC970" s="32"/>
      <c r="BD970" s="33" t="str">
        <f aca="false">IF(A970="","",COUNTIFS('Demo Pipeline'!$Q$5:$Q$504,A970))</f>
        <v/>
      </c>
      <c r="BE970" s="33" t="str">
        <f aca="false">IF(A970="","",COUNTIFS('Demo Pipeline'!$Q$5:$Q$504,A970,'Demo Pipeline'!$W$5:$W$504,"Attended"))</f>
        <v/>
      </c>
      <c r="BF970" s="33" t="str">
        <f aca="false">IF(A970="","",COUNTIFS('Demo Pipeline'!$Q$5:$Q$504,A970,'Demo Pipeline'!$X$5:$X$504,"Yes"))</f>
        <v/>
      </c>
      <c r="BG970" s="33" t="str">
        <f aca="false">IF(A970="","",COUNTIFS('Demo Pipeline'!$Q$5:$Q$504,A970,'Demo Pipeline'!$Y$5:$Y$504,"Closed Won"))</f>
        <v/>
      </c>
      <c r="BH970" s="37" t="str">
        <f aca="false">IF(A970="","",SUMIFS('Demo Pipeline'!$Z$5:$Z$504,'Demo Pipeline'!$Q$5:$Q$504,A970))</f>
        <v/>
      </c>
      <c r="BI970" s="34" t="str">
        <f aca="false">IF(OR(AZ970="",N(AJ970)=0),"",AZ970/AJ970)</f>
        <v/>
      </c>
      <c r="BJ970" s="34" t="str">
        <f aca="false">IF(OR(BB970="",N(AZ970)=0),"",BB970/AZ970)</f>
        <v/>
      </c>
      <c r="BK970" s="34" t="str">
        <f aca="false">IF(OR(A970="",N(BB970)=0),"",BD970/BB970)</f>
        <v/>
      </c>
      <c r="BL970" s="34" t="str">
        <f aca="false">IF(OR(A970="",N(AZ970)=0),"",BD970/AZ970)</f>
        <v/>
      </c>
      <c r="BM970" s="37" t="str">
        <f aca="false">IF(OR(N(Q970)=0,N(BD970)=0),"",Q970/BD970)</f>
        <v/>
      </c>
      <c r="BN970" s="29"/>
      <c r="BO970" s="29"/>
      <c r="BP970" s="33" t="str">
        <f aca="false">IF(OR(AR970="",N(AO970)=0),"",AR970)</f>
        <v/>
      </c>
      <c r="BQ970" s="33" t="str">
        <f aca="false">IF(OR(AR970="",N(S970)=0),"",S970)</f>
        <v/>
      </c>
      <c r="BR970" s="38" t="str">
        <f aca="false">IF(AND(ISNUMBER(B970),B970&gt;=Dashboard!$C$4,B970&lt;=Dashboard!$F$4,ISNUMBER(AU970)),AU970+ROW()/10^9,"")</f>
        <v/>
      </c>
      <c r="BS970" s="38" t="str">
        <f aca="false">IF(AND(ISNUMBER(B970),B970&gt;=Dashboard!$C$4,B970&lt;=Dashboard!$F$4,A970&lt;&gt;""),N(BD970)+N(AU970)/100+ROW()/10^9,"")</f>
        <v/>
      </c>
    </row>
    <row r="971" customFormat="false" ht="15" hidden="false" customHeight="false" outlineLevel="0" collapsed="false">
      <c r="A971" s="24" t="str">
        <f aca="false">IF(OR(B971="",G971="",H971=""),"",IFERROR(INDEX(Settings!$E$5:$E$49,MATCH(G971,Settings!$D$5:$D$49,0))&amp;INDEX(Settings!$H$5:$H$47,MATCH(H971,Settings!$G$5:$G$47,0))&amp;"-"&amp;TEXT(B971,"yymmdd")&amp;"-"&amp;IF(C971="","0000",TEXT(C971,"hhmm")),"CHECK LISTS"))</f>
        <v/>
      </c>
      <c r="B971" s="39"/>
      <c r="C971" s="40"/>
      <c r="D971" s="24" t="str">
        <f aca="false">IF(B971="","",TEXT(B971,"ddd"))</f>
        <v/>
      </c>
      <c r="E971" s="27" t="str">
        <f aca="false">IF(B971="","",B971-WEEKDAY(B971,3))</f>
        <v/>
      </c>
      <c r="F971" s="24" t="str">
        <f aca="false">IF(B971="","",TEXT(B971,"yyyy-mm"))</f>
        <v/>
      </c>
      <c r="G971" s="29"/>
      <c r="H971" s="29"/>
      <c r="I971" s="29"/>
      <c r="J971" s="29"/>
      <c r="K971" s="29"/>
      <c r="L971" s="29"/>
      <c r="M971" s="29"/>
      <c r="N971" s="29"/>
      <c r="O971" s="29"/>
      <c r="P971" s="29"/>
      <c r="Q971" s="30"/>
      <c r="R971" s="29"/>
      <c r="S971" s="32"/>
      <c r="T971" s="29"/>
      <c r="U971" s="29"/>
      <c r="V971" s="24" t="str">
        <f aca="false">IF(A971="","",IFERROR(INDEX(Settings!$F$5:$F$49,MATCH(G971,Settings!$D$5:$D$49,0)),""))</f>
        <v/>
      </c>
      <c r="W971" s="24" t="str">
        <f aca="false">IF(A971="","",IF(OR(P971="",P971="Organic"),"social","paid_social"))</f>
        <v/>
      </c>
      <c r="X971" s="24" t="str">
        <f aca="false">IF(A971="","",IF(K971&lt;&gt;"",IFERROR(INDEX('Case Studies'!$C$5:$C$54,MATCH(K971,'Case Studies'!$B$5:$B$54,0))&amp;"","case-study"),IF(J971&lt;&gt;"",IFERROR(INDEX(Settings!$J$5:$J$55,MATCH(J971,Settings!$I$5:$I$55,0)),"general"),"general")))</f>
        <v/>
      </c>
      <c r="Y971" s="24" t="str">
        <f aca="false">IF(A971="","",LOWER(A971))</f>
        <v/>
      </c>
      <c r="Z971" s="24" t="str">
        <f aca="false">IF(A971="","",IF(T971="",Settings!$B$5,T971)&amp;IF(ISNUMBER(FIND("?",IF(T971="",Settings!$B$5,T971))),"&amp;","?")&amp;"utm_source="&amp;V971&amp;"&amp;utm_medium="&amp;W971&amp;"&amp;utm_campaign="&amp;X971&amp;"&amp;utm_content="&amp;Y971)</f>
        <v/>
      </c>
      <c r="AA971" s="29"/>
      <c r="AB971" s="39"/>
      <c r="AC971" s="32"/>
      <c r="AD971" s="32"/>
      <c r="AE971" s="32"/>
      <c r="AF971" s="32"/>
      <c r="AG971" s="32"/>
      <c r="AH971" s="32"/>
      <c r="AI971" s="32"/>
      <c r="AJ971" s="32"/>
      <c r="AK971" s="32"/>
      <c r="AL971" s="32"/>
      <c r="AM971" s="32"/>
      <c r="AN971" s="32"/>
      <c r="AO971" s="33" t="str">
        <f aca="false">IF(A971="","",IF(AD971&lt;&gt;"",AD971,IF(AC971&lt;&gt;"",AC971,"")))</f>
        <v/>
      </c>
      <c r="AP971" s="24" t="str">
        <f aca="false">IF(AO971="","",IF(AD971&lt;&gt;"","Reported reach","Impressions (proxy)"))</f>
        <v/>
      </c>
      <c r="AQ971" s="34" t="str">
        <f aca="false">IF(OR(AO971="",N(S971)=0),"",AO971/S971)</f>
        <v/>
      </c>
      <c r="AR971" s="33" t="str">
        <f aca="false">IF(A971="","",IF(COUNT(AF971:AJ971)=0,"",SUM(AF971:AJ971)))</f>
        <v/>
      </c>
      <c r="AS971" s="34" t="str">
        <f aca="false">IF(OR(AR971="",N(AO971)=0),"",AR971/AO971)</f>
        <v/>
      </c>
      <c r="AT971" s="34" t="str">
        <f aca="false">IF(OR(AR971="",N(AC971)=0),"",AR971/AC971)</f>
        <v/>
      </c>
      <c r="AU971" s="34" t="str">
        <f aca="false">IF(OR(AR971="",N(S971)=0),"",AR971/S971)</f>
        <v/>
      </c>
      <c r="AV971" s="34" t="str">
        <f aca="false">IF(OR(AJ971="",N(AC971)=0),"",AJ971/AC971)</f>
        <v/>
      </c>
      <c r="AW971" s="34" t="str">
        <f aca="false">IF(OR(AH971="",N(AO971)=0),"",AH971/AO971)</f>
        <v/>
      </c>
      <c r="AX971" s="35" t="str">
        <f aca="false">IF(OR(AR971="",N(AO971)=0),"",(N(AF971)*Settings!$B$6+N(AG971)*Settings!$B$7+N(AH971)*Settings!$B$8+N(AI971)*Settings!$B$9+N(AJ971)*Settings!$B$10)/AO971*1000)</f>
        <v/>
      </c>
      <c r="AY971" s="36" t="str">
        <f aca="false">IF(AS971="","",IFERROR(AS971/AVERAGEIFS('Post Tracker'!$AS$5:$AS$1004,'Post Tracker'!$G$5:$G$1004,G971),""))</f>
        <v/>
      </c>
      <c r="AZ971" s="32"/>
      <c r="BA971" s="32"/>
      <c r="BB971" s="32"/>
      <c r="BC971" s="32"/>
      <c r="BD971" s="33" t="str">
        <f aca="false">IF(A971="","",COUNTIFS('Demo Pipeline'!$Q$5:$Q$504,A971))</f>
        <v/>
      </c>
      <c r="BE971" s="33" t="str">
        <f aca="false">IF(A971="","",COUNTIFS('Demo Pipeline'!$Q$5:$Q$504,A971,'Demo Pipeline'!$W$5:$W$504,"Attended"))</f>
        <v/>
      </c>
      <c r="BF971" s="33" t="str">
        <f aca="false">IF(A971="","",COUNTIFS('Demo Pipeline'!$Q$5:$Q$504,A971,'Demo Pipeline'!$X$5:$X$504,"Yes"))</f>
        <v/>
      </c>
      <c r="BG971" s="33" t="str">
        <f aca="false">IF(A971="","",COUNTIFS('Demo Pipeline'!$Q$5:$Q$504,A971,'Demo Pipeline'!$Y$5:$Y$504,"Closed Won"))</f>
        <v/>
      </c>
      <c r="BH971" s="37" t="str">
        <f aca="false">IF(A971="","",SUMIFS('Demo Pipeline'!$Z$5:$Z$504,'Demo Pipeline'!$Q$5:$Q$504,A971))</f>
        <v/>
      </c>
      <c r="BI971" s="34" t="str">
        <f aca="false">IF(OR(AZ971="",N(AJ971)=0),"",AZ971/AJ971)</f>
        <v/>
      </c>
      <c r="BJ971" s="34" t="str">
        <f aca="false">IF(OR(BB971="",N(AZ971)=0),"",BB971/AZ971)</f>
        <v/>
      </c>
      <c r="BK971" s="34" t="str">
        <f aca="false">IF(OR(A971="",N(BB971)=0),"",BD971/BB971)</f>
        <v/>
      </c>
      <c r="BL971" s="34" t="str">
        <f aca="false">IF(OR(A971="",N(AZ971)=0),"",BD971/AZ971)</f>
        <v/>
      </c>
      <c r="BM971" s="37" t="str">
        <f aca="false">IF(OR(N(Q971)=0,N(BD971)=0),"",Q971/BD971)</f>
        <v/>
      </c>
      <c r="BN971" s="29"/>
      <c r="BO971" s="29"/>
      <c r="BP971" s="33" t="str">
        <f aca="false">IF(OR(AR971="",N(AO971)=0),"",AR971)</f>
        <v/>
      </c>
      <c r="BQ971" s="33" t="str">
        <f aca="false">IF(OR(AR971="",N(S971)=0),"",S971)</f>
        <v/>
      </c>
      <c r="BR971" s="38" t="str">
        <f aca="false">IF(AND(ISNUMBER(B971),B971&gt;=Dashboard!$C$4,B971&lt;=Dashboard!$F$4,ISNUMBER(AU971)),AU971+ROW()/10^9,"")</f>
        <v/>
      </c>
      <c r="BS971" s="38" t="str">
        <f aca="false">IF(AND(ISNUMBER(B971),B971&gt;=Dashboard!$C$4,B971&lt;=Dashboard!$F$4,A971&lt;&gt;""),N(BD971)+N(AU971)/100+ROW()/10^9,"")</f>
        <v/>
      </c>
    </row>
    <row r="972" customFormat="false" ht="15" hidden="false" customHeight="false" outlineLevel="0" collapsed="false">
      <c r="A972" s="24" t="str">
        <f aca="false">IF(OR(B972="",G972="",H972=""),"",IFERROR(INDEX(Settings!$E$5:$E$49,MATCH(G972,Settings!$D$5:$D$49,0))&amp;INDEX(Settings!$H$5:$H$47,MATCH(H972,Settings!$G$5:$G$47,0))&amp;"-"&amp;TEXT(B972,"yymmdd")&amp;"-"&amp;IF(C972="","0000",TEXT(C972,"hhmm")),"CHECK LISTS"))</f>
        <v/>
      </c>
      <c r="B972" s="39"/>
      <c r="C972" s="40"/>
      <c r="D972" s="24" t="str">
        <f aca="false">IF(B972="","",TEXT(B972,"ddd"))</f>
        <v/>
      </c>
      <c r="E972" s="27" t="str">
        <f aca="false">IF(B972="","",B972-WEEKDAY(B972,3))</f>
        <v/>
      </c>
      <c r="F972" s="24" t="str">
        <f aca="false">IF(B972="","",TEXT(B972,"yyyy-mm"))</f>
        <v/>
      </c>
      <c r="G972" s="29"/>
      <c r="H972" s="29"/>
      <c r="I972" s="29"/>
      <c r="J972" s="29"/>
      <c r="K972" s="29"/>
      <c r="L972" s="29"/>
      <c r="M972" s="29"/>
      <c r="N972" s="29"/>
      <c r="O972" s="29"/>
      <c r="P972" s="29"/>
      <c r="Q972" s="30"/>
      <c r="R972" s="29"/>
      <c r="S972" s="32"/>
      <c r="T972" s="29"/>
      <c r="U972" s="29"/>
      <c r="V972" s="24" t="str">
        <f aca="false">IF(A972="","",IFERROR(INDEX(Settings!$F$5:$F$49,MATCH(G972,Settings!$D$5:$D$49,0)),""))</f>
        <v/>
      </c>
      <c r="W972" s="24" t="str">
        <f aca="false">IF(A972="","",IF(OR(P972="",P972="Organic"),"social","paid_social"))</f>
        <v/>
      </c>
      <c r="X972" s="24" t="str">
        <f aca="false">IF(A972="","",IF(K972&lt;&gt;"",IFERROR(INDEX('Case Studies'!$C$5:$C$54,MATCH(K972,'Case Studies'!$B$5:$B$54,0))&amp;"","case-study"),IF(J972&lt;&gt;"",IFERROR(INDEX(Settings!$J$5:$J$55,MATCH(J972,Settings!$I$5:$I$55,0)),"general"),"general")))</f>
        <v/>
      </c>
      <c r="Y972" s="24" t="str">
        <f aca="false">IF(A972="","",LOWER(A972))</f>
        <v/>
      </c>
      <c r="Z972" s="24" t="str">
        <f aca="false">IF(A972="","",IF(T972="",Settings!$B$5,T972)&amp;IF(ISNUMBER(FIND("?",IF(T972="",Settings!$B$5,T972))),"&amp;","?")&amp;"utm_source="&amp;V972&amp;"&amp;utm_medium="&amp;W972&amp;"&amp;utm_campaign="&amp;X972&amp;"&amp;utm_content="&amp;Y972)</f>
        <v/>
      </c>
      <c r="AA972" s="29"/>
      <c r="AB972" s="39"/>
      <c r="AC972" s="32"/>
      <c r="AD972" s="32"/>
      <c r="AE972" s="32"/>
      <c r="AF972" s="32"/>
      <c r="AG972" s="32"/>
      <c r="AH972" s="32"/>
      <c r="AI972" s="32"/>
      <c r="AJ972" s="32"/>
      <c r="AK972" s="32"/>
      <c r="AL972" s="32"/>
      <c r="AM972" s="32"/>
      <c r="AN972" s="32"/>
      <c r="AO972" s="33" t="str">
        <f aca="false">IF(A972="","",IF(AD972&lt;&gt;"",AD972,IF(AC972&lt;&gt;"",AC972,"")))</f>
        <v/>
      </c>
      <c r="AP972" s="24" t="str">
        <f aca="false">IF(AO972="","",IF(AD972&lt;&gt;"","Reported reach","Impressions (proxy)"))</f>
        <v/>
      </c>
      <c r="AQ972" s="34" t="str">
        <f aca="false">IF(OR(AO972="",N(S972)=0),"",AO972/S972)</f>
        <v/>
      </c>
      <c r="AR972" s="33" t="str">
        <f aca="false">IF(A972="","",IF(COUNT(AF972:AJ972)=0,"",SUM(AF972:AJ972)))</f>
        <v/>
      </c>
      <c r="AS972" s="34" t="str">
        <f aca="false">IF(OR(AR972="",N(AO972)=0),"",AR972/AO972)</f>
        <v/>
      </c>
      <c r="AT972" s="34" t="str">
        <f aca="false">IF(OR(AR972="",N(AC972)=0),"",AR972/AC972)</f>
        <v/>
      </c>
      <c r="AU972" s="34" t="str">
        <f aca="false">IF(OR(AR972="",N(S972)=0),"",AR972/S972)</f>
        <v/>
      </c>
      <c r="AV972" s="34" t="str">
        <f aca="false">IF(OR(AJ972="",N(AC972)=0),"",AJ972/AC972)</f>
        <v/>
      </c>
      <c r="AW972" s="34" t="str">
        <f aca="false">IF(OR(AH972="",N(AO972)=0),"",AH972/AO972)</f>
        <v/>
      </c>
      <c r="AX972" s="35" t="str">
        <f aca="false">IF(OR(AR972="",N(AO972)=0),"",(N(AF972)*Settings!$B$6+N(AG972)*Settings!$B$7+N(AH972)*Settings!$B$8+N(AI972)*Settings!$B$9+N(AJ972)*Settings!$B$10)/AO972*1000)</f>
        <v/>
      </c>
      <c r="AY972" s="36" t="str">
        <f aca="false">IF(AS972="","",IFERROR(AS972/AVERAGEIFS('Post Tracker'!$AS$5:$AS$1004,'Post Tracker'!$G$5:$G$1004,G972),""))</f>
        <v/>
      </c>
      <c r="AZ972" s="32"/>
      <c r="BA972" s="32"/>
      <c r="BB972" s="32"/>
      <c r="BC972" s="32"/>
      <c r="BD972" s="33" t="str">
        <f aca="false">IF(A972="","",COUNTIFS('Demo Pipeline'!$Q$5:$Q$504,A972))</f>
        <v/>
      </c>
      <c r="BE972" s="33" t="str">
        <f aca="false">IF(A972="","",COUNTIFS('Demo Pipeline'!$Q$5:$Q$504,A972,'Demo Pipeline'!$W$5:$W$504,"Attended"))</f>
        <v/>
      </c>
      <c r="BF972" s="33" t="str">
        <f aca="false">IF(A972="","",COUNTIFS('Demo Pipeline'!$Q$5:$Q$504,A972,'Demo Pipeline'!$X$5:$X$504,"Yes"))</f>
        <v/>
      </c>
      <c r="BG972" s="33" t="str">
        <f aca="false">IF(A972="","",COUNTIFS('Demo Pipeline'!$Q$5:$Q$504,A972,'Demo Pipeline'!$Y$5:$Y$504,"Closed Won"))</f>
        <v/>
      </c>
      <c r="BH972" s="37" t="str">
        <f aca="false">IF(A972="","",SUMIFS('Demo Pipeline'!$Z$5:$Z$504,'Demo Pipeline'!$Q$5:$Q$504,A972))</f>
        <v/>
      </c>
      <c r="BI972" s="34" t="str">
        <f aca="false">IF(OR(AZ972="",N(AJ972)=0),"",AZ972/AJ972)</f>
        <v/>
      </c>
      <c r="BJ972" s="34" t="str">
        <f aca="false">IF(OR(BB972="",N(AZ972)=0),"",BB972/AZ972)</f>
        <v/>
      </c>
      <c r="BK972" s="34" t="str">
        <f aca="false">IF(OR(A972="",N(BB972)=0),"",BD972/BB972)</f>
        <v/>
      </c>
      <c r="BL972" s="34" t="str">
        <f aca="false">IF(OR(A972="",N(AZ972)=0),"",BD972/AZ972)</f>
        <v/>
      </c>
      <c r="BM972" s="37" t="str">
        <f aca="false">IF(OR(N(Q972)=0,N(BD972)=0),"",Q972/BD972)</f>
        <v/>
      </c>
      <c r="BN972" s="29"/>
      <c r="BO972" s="29"/>
      <c r="BP972" s="33" t="str">
        <f aca="false">IF(OR(AR972="",N(AO972)=0),"",AR972)</f>
        <v/>
      </c>
      <c r="BQ972" s="33" t="str">
        <f aca="false">IF(OR(AR972="",N(S972)=0),"",S972)</f>
        <v/>
      </c>
      <c r="BR972" s="38" t="str">
        <f aca="false">IF(AND(ISNUMBER(B972),B972&gt;=Dashboard!$C$4,B972&lt;=Dashboard!$F$4,ISNUMBER(AU972)),AU972+ROW()/10^9,"")</f>
        <v/>
      </c>
      <c r="BS972" s="38" t="str">
        <f aca="false">IF(AND(ISNUMBER(B972),B972&gt;=Dashboard!$C$4,B972&lt;=Dashboard!$F$4,A972&lt;&gt;""),N(BD972)+N(AU972)/100+ROW()/10^9,"")</f>
        <v/>
      </c>
    </row>
    <row r="973" customFormat="false" ht="15" hidden="false" customHeight="false" outlineLevel="0" collapsed="false">
      <c r="A973" s="24" t="str">
        <f aca="false">IF(OR(B973="",G973="",H973=""),"",IFERROR(INDEX(Settings!$E$5:$E$49,MATCH(G973,Settings!$D$5:$D$49,0))&amp;INDEX(Settings!$H$5:$H$47,MATCH(H973,Settings!$G$5:$G$47,0))&amp;"-"&amp;TEXT(B973,"yymmdd")&amp;"-"&amp;IF(C973="","0000",TEXT(C973,"hhmm")),"CHECK LISTS"))</f>
        <v/>
      </c>
      <c r="B973" s="39"/>
      <c r="C973" s="40"/>
      <c r="D973" s="24" t="str">
        <f aca="false">IF(B973="","",TEXT(B973,"ddd"))</f>
        <v/>
      </c>
      <c r="E973" s="27" t="str">
        <f aca="false">IF(B973="","",B973-WEEKDAY(B973,3))</f>
        <v/>
      </c>
      <c r="F973" s="24" t="str">
        <f aca="false">IF(B973="","",TEXT(B973,"yyyy-mm"))</f>
        <v/>
      </c>
      <c r="G973" s="29"/>
      <c r="H973" s="29"/>
      <c r="I973" s="29"/>
      <c r="J973" s="29"/>
      <c r="K973" s="29"/>
      <c r="L973" s="29"/>
      <c r="M973" s="29"/>
      <c r="N973" s="29"/>
      <c r="O973" s="29"/>
      <c r="P973" s="29"/>
      <c r="Q973" s="30"/>
      <c r="R973" s="29"/>
      <c r="S973" s="32"/>
      <c r="T973" s="29"/>
      <c r="U973" s="29"/>
      <c r="V973" s="24" t="str">
        <f aca="false">IF(A973="","",IFERROR(INDEX(Settings!$F$5:$F$49,MATCH(G973,Settings!$D$5:$D$49,0)),""))</f>
        <v/>
      </c>
      <c r="W973" s="24" t="str">
        <f aca="false">IF(A973="","",IF(OR(P973="",P973="Organic"),"social","paid_social"))</f>
        <v/>
      </c>
      <c r="X973" s="24" t="str">
        <f aca="false">IF(A973="","",IF(K973&lt;&gt;"",IFERROR(INDEX('Case Studies'!$C$5:$C$54,MATCH(K973,'Case Studies'!$B$5:$B$54,0))&amp;"","case-study"),IF(J973&lt;&gt;"",IFERROR(INDEX(Settings!$J$5:$J$55,MATCH(J973,Settings!$I$5:$I$55,0)),"general"),"general")))</f>
        <v/>
      </c>
      <c r="Y973" s="24" t="str">
        <f aca="false">IF(A973="","",LOWER(A973))</f>
        <v/>
      </c>
      <c r="Z973" s="24" t="str">
        <f aca="false">IF(A973="","",IF(T973="",Settings!$B$5,T973)&amp;IF(ISNUMBER(FIND("?",IF(T973="",Settings!$B$5,T973))),"&amp;","?")&amp;"utm_source="&amp;V973&amp;"&amp;utm_medium="&amp;W973&amp;"&amp;utm_campaign="&amp;X973&amp;"&amp;utm_content="&amp;Y973)</f>
        <v/>
      </c>
      <c r="AA973" s="29"/>
      <c r="AB973" s="39"/>
      <c r="AC973" s="32"/>
      <c r="AD973" s="32"/>
      <c r="AE973" s="32"/>
      <c r="AF973" s="32"/>
      <c r="AG973" s="32"/>
      <c r="AH973" s="32"/>
      <c r="AI973" s="32"/>
      <c r="AJ973" s="32"/>
      <c r="AK973" s="32"/>
      <c r="AL973" s="32"/>
      <c r="AM973" s="32"/>
      <c r="AN973" s="32"/>
      <c r="AO973" s="33" t="str">
        <f aca="false">IF(A973="","",IF(AD973&lt;&gt;"",AD973,IF(AC973&lt;&gt;"",AC973,"")))</f>
        <v/>
      </c>
      <c r="AP973" s="24" t="str">
        <f aca="false">IF(AO973="","",IF(AD973&lt;&gt;"","Reported reach","Impressions (proxy)"))</f>
        <v/>
      </c>
      <c r="AQ973" s="34" t="str">
        <f aca="false">IF(OR(AO973="",N(S973)=0),"",AO973/S973)</f>
        <v/>
      </c>
      <c r="AR973" s="33" t="str">
        <f aca="false">IF(A973="","",IF(COUNT(AF973:AJ973)=0,"",SUM(AF973:AJ973)))</f>
        <v/>
      </c>
      <c r="AS973" s="34" t="str">
        <f aca="false">IF(OR(AR973="",N(AO973)=0),"",AR973/AO973)</f>
        <v/>
      </c>
      <c r="AT973" s="34" t="str">
        <f aca="false">IF(OR(AR973="",N(AC973)=0),"",AR973/AC973)</f>
        <v/>
      </c>
      <c r="AU973" s="34" t="str">
        <f aca="false">IF(OR(AR973="",N(S973)=0),"",AR973/S973)</f>
        <v/>
      </c>
      <c r="AV973" s="34" t="str">
        <f aca="false">IF(OR(AJ973="",N(AC973)=0),"",AJ973/AC973)</f>
        <v/>
      </c>
      <c r="AW973" s="34" t="str">
        <f aca="false">IF(OR(AH973="",N(AO973)=0),"",AH973/AO973)</f>
        <v/>
      </c>
      <c r="AX973" s="35" t="str">
        <f aca="false">IF(OR(AR973="",N(AO973)=0),"",(N(AF973)*Settings!$B$6+N(AG973)*Settings!$B$7+N(AH973)*Settings!$B$8+N(AI973)*Settings!$B$9+N(AJ973)*Settings!$B$10)/AO973*1000)</f>
        <v/>
      </c>
      <c r="AY973" s="36" t="str">
        <f aca="false">IF(AS973="","",IFERROR(AS973/AVERAGEIFS('Post Tracker'!$AS$5:$AS$1004,'Post Tracker'!$G$5:$G$1004,G973),""))</f>
        <v/>
      </c>
      <c r="AZ973" s="32"/>
      <c r="BA973" s="32"/>
      <c r="BB973" s="32"/>
      <c r="BC973" s="32"/>
      <c r="BD973" s="33" t="str">
        <f aca="false">IF(A973="","",COUNTIFS('Demo Pipeline'!$Q$5:$Q$504,A973))</f>
        <v/>
      </c>
      <c r="BE973" s="33" t="str">
        <f aca="false">IF(A973="","",COUNTIFS('Demo Pipeline'!$Q$5:$Q$504,A973,'Demo Pipeline'!$W$5:$W$504,"Attended"))</f>
        <v/>
      </c>
      <c r="BF973" s="33" t="str">
        <f aca="false">IF(A973="","",COUNTIFS('Demo Pipeline'!$Q$5:$Q$504,A973,'Demo Pipeline'!$X$5:$X$504,"Yes"))</f>
        <v/>
      </c>
      <c r="BG973" s="33" t="str">
        <f aca="false">IF(A973="","",COUNTIFS('Demo Pipeline'!$Q$5:$Q$504,A973,'Demo Pipeline'!$Y$5:$Y$504,"Closed Won"))</f>
        <v/>
      </c>
      <c r="BH973" s="37" t="str">
        <f aca="false">IF(A973="","",SUMIFS('Demo Pipeline'!$Z$5:$Z$504,'Demo Pipeline'!$Q$5:$Q$504,A973))</f>
        <v/>
      </c>
      <c r="BI973" s="34" t="str">
        <f aca="false">IF(OR(AZ973="",N(AJ973)=0),"",AZ973/AJ973)</f>
        <v/>
      </c>
      <c r="BJ973" s="34" t="str">
        <f aca="false">IF(OR(BB973="",N(AZ973)=0),"",BB973/AZ973)</f>
        <v/>
      </c>
      <c r="BK973" s="34" t="str">
        <f aca="false">IF(OR(A973="",N(BB973)=0),"",BD973/BB973)</f>
        <v/>
      </c>
      <c r="BL973" s="34" t="str">
        <f aca="false">IF(OR(A973="",N(AZ973)=0),"",BD973/AZ973)</f>
        <v/>
      </c>
      <c r="BM973" s="37" t="str">
        <f aca="false">IF(OR(N(Q973)=0,N(BD973)=0),"",Q973/BD973)</f>
        <v/>
      </c>
      <c r="BN973" s="29"/>
      <c r="BO973" s="29"/>
      <c r="BP973" s="33" t="str">
        <f aca="false">IF(OR(AR973="",N(AO973)=0),"",AR973)</f>
        <v/>
      </c>
      <c r="BQ973" s="33" t="str">
        <f aca="false">IF(OR(AR973="",N(S973)=0),"",S973)</f>
        <v/>
      </c>
      <c r="BR973" s="38" t="str">
        <f aca="false">IF(AND(ISNUMBER(B973),B973&gt;=Dashboard!$C$4,B973&lt;=Dashboard!$F$4,ISNUMBER(AU973)),AU973+ROW()/10^9,"")</f>
        <v/>
      </c>
      <c r="BS973" s="38" t="str">
        <f aca="false">IF(AND(ISNUMBER(B973),B973&gt;=Dashboard!$C$4,B973&lt;=Dashboard!$F$4,A973&lt;&gt;""),N(BD973)+N(AU973)/100+ROW()/10^9,"")</f>
        <v/>
      </c>
    </row>
    <row r="974" customFormat="false" ht="15" hidden="false" customHeight="false" outlineLevel="0" collapsed="false">
      <c r="A974" s="24" t="str">
        <f aca="false">IF(OR(B974="",G974="",H974=""),"",IFERROR(INDEX(Settings!$E$5:$E$49,MATCH(G974,Settings!$D$5:$D$49,0))&amp;INDEX(Settings!$H$5:$H$47,MATCH(H974,Settings!$G$5:$G$47,0))&amp;"-"&amp;TEXT(B974,"yymmdd")&amp;"-"&amp;IF(C974="","0000",TEXT(C974,"hhmm")),"CHECK LISTS"))</f>
        <v/>
      </c>
      <c r="B974" s="39"/>
      <c r="C974" s="40"/>
      <c r="D974" s="24" t="str">
        <f aca="false">IF(B974="","",TEXT(B974,"ddd"))</f>
        <v/>
      </c>
      <c r="E974" s="27" t="str">
        <f aca="false">IF(B974="","",B974-WEEKDAY(B974,3))</f>
        <v/>
      </c>
      <c r="F974" s="24" t="str">
        <f aca="false">IF(B974="","",TEXT(B974,"yyyy-mm"))</f>
        <v/>
      </c>
      <c r="G974" s="29"/>
      <c r="H974" s="29"/>
      <c r="I974" s="29"/>
      <c r="J974" s="29"/>
      <c r="K974" s="29"/>
      <c r="L974" s="29"/>
      <c r="M974" s="29"/>
      <c r="N974" s="29"/>
      <c r="O974" s="29"/>
      <c r="P974" s="29"/>
      <c r="Q974" s="30"/>
      <c r="R974" s="29"/>
      <c r="S974" s="32"/>
      <c r="T974" s="29"/>
      <c r="U974" s="29"/>
      <c r="V974" s="24" t="str">
        <f aca="false">IF(A974="","",IFERROR(INDEX(Settings!$F$5:$F$49,MATCH(G974,Settings!$D$5:$D$49,0)),""))</f>
        <v/>
      </c>
      <c r="W974" s="24" t="str">
        <f aca="false">IF(A974="","",IF(OR(P974="",P974="Organic"),"social","paid_social"))</f>
        <v/>
      </c>
      <c r="X974" s="24" t="str">
        <f aca="false">IF(A974="","",IF(K974&lt;&gt;"",IFERROR(INDEX('Case Studies'!$C$5:$C$54,MATCH(K974,'Case Studies'!$B$5:$B$54,0))&amp;"","case-study"),IF(J974&lt;&gt;"",IFERROR(INDEX(Settings!$J$5:$J$55,MATCH(J974,Settings!$I$5:$I$55,0)),"general"),"general")))</f>
        <v/>
      </c>
      <c r="Y974" s="24" t="str">
        <f aca="false">IF(A974="","",LOWER(A974))</f>
        <v/>
      </c>
      <c r="Z974" s="24" t="str">
        <f aca="false">IF(A974="","",IF(T974="",Settings!$B$5,T974)&amp;IF(ISNUMBER(FIND("?",IF(T974="",Settings!$B$5,T974))),"&amp;","?")&amp;"utm_source="&amp;V974&amp;"&amp;utm_medium="&amp;W974&amp;"&amp;utm_campaign="&amp;X974&amp;"&amp;utm_content="&amp;Y974)</f>
        <v/>
      </c>
      <c r="AA974" s="29"/>
      <c r="AB974" s="39"/>
      <c r="AC974" s="32"/>
      <c r="AD974" s="32"/>
      <c r="AE974" s="32"/>
      <c r="AF974" s="32"/>
      <c r="AG974" s="32"/>
      <c r="AH974" s="32"/>
      <c r="AI974" s="32"/>
      <c r="AJ974" s="32"/>
      <c r="AK974" s="32"/>
      <c r="AL974" s="32"/>
      <c r="AM974" s="32"/>
      <c r="AN974" s="32"/>
      <c r="AO974" s="33" t="str">
        <f aca="false">IF(A974="","",IF(AD974&lt;&gt;"",AD974,IF(AC974&lt;&gt;"",AC974,"")))</f>
        <v/>
      </c>
      <c r="AP974" s="24" t="str">
        <f aca="false">IF(AO974="","",IF(AD974&lt;&gt;"","Reported reach","Impressions (proxy)"))</f>
        <v/>
      </c>
      <c r="AQ974" s="34" t="str">
        <f aca="false">IF(OR(AO974="",N(S974)=0),"",AO974/S974)</f>
        <v/>
      </c>
      <c r="AR974" s="33" t="str">
        <f aca="false">IF(A974="","",IF(COUNT(AF974:AJ974)=0,"",SUM(AF974:AJ974)))</f>
        <v/>
      </c>
      <c r="AS974" s="34" t="str">
        <f aca="false">IF(OR(AR974="",N(AO974)=0),"",AR974/AO974)</f>
        <v/>
      </c>
      <c r="AT974" s="34" t="str">
        <f aca="false">IF(OR(AR974="",N(AC974)=0),"",AR974/AC974)</f>
        <v/>
      </c>
      <c r="AU974" s="34" t="str">
        <f aca="false">IF(OR(AR974="",N(S974)=0),"",AR974/S974)</f>
        <v/>
      </c>
      <c r="AV974" s="34" t="str">
        <f aca="false">IF(OR(AJ974="",N(AC974)=0),"",AJ974/AC974)</f>
        <v/>
      </c>
      <c r="AW974" s="34" t="str">
        <f aca="false">IF(OR(AH974="",N(AO974)=0),"",AH974/AO974)</f>
        <v/>
      </c>
      <c r="AX974" s="35" t="str">
        <f aca="false">IF(OR(AR974="",N(AO974)=0),"",(N(AF974)*Settings!$B$6+N(AG974)*Settings!$B$7+N(AH974)*Settings!$B$8+N(AI974)*Settings!$B$9+N(AJ974)*Settings!$B$10)/AO974*1000)</f>
        <v/>
      </c>
      <c r="AY974" s="36" t="str">
        <f aca="false">IF(AS974="","",IFERROR(AS974/AVERAGEIFS('Post Tracker'!$AS$5:$AS$1004,'Post Tracker'!$G$5:$G$1004,G974),""))</f>
        <v/>
      </c>
      <c r="AZ974" s="32"/>
      <c r="BA974" s="32"/>
      <c r="BB974" s="32"/>
      <c r="BC974" s="32"/>
      <c r="BD974" s="33" t="str">
        <f aca="false">IF(A974="","",COUNTIFS('Demo Pipeline'!$Q$5:$Q$504,A974))</f>
        <v/>
      </c>
      <c r="BE974" s="33" t="str">
        <f aca="false">IF(A974="","",COUNTIFS('Demo Pipeline'!$Q$5:$Q$504,A974,'Demo Pipeline'!$W$5:$W$504,"Attended"))</f>
        <v/>
      </c>
      <c r="BF974" s="33" t="str">
        <f aca="false">IF(A974="","",COUNTIFS('Demo Pipeline'!$Q$5:$Q$504,A974,'Demo Pipeline'!$X$5:$X$504,"Yes"))</f>
        <v/>
      </c>
      <c r="BG974" s="33" t="str">
        <f aca="false">IF(A974="","",COUNTIFS('Demo Pipeline'!$Q$5:$Q$504,A974,'Demo Pipeline'!$Y$5:$Y$504,"Closed Won"))</f>
        <v/>
      </c>
      <c r="BH974" s="37" t="str">
        <f aca="false">IF(A974="","",SUMIFS('Demo Pipeline'!$Z$5:$Z$504,'Demo Pipeline'!$Q$5:$Q$504,A974))</f>
        <v/>
      </c>
      <c r="BI974" s="34" t="str">
        <f aca="false">IF(OR(AZ974="",N(AJ974)=0),"",AZ974/AJ974)</f>
        <v/>
      </c>
      <c r="BJ974" s="34" t="str">
        <f aca="false">IF(OR(BB974="",N(AZ974)=0),"",BB974/AZ974)</f>
        <v/>
      </c>
      <c r="BK974" s="34" t="str">
        <f aca="false">IF(OR(A974="",N(BB974)=0),"",BD974/BB974)</f>
        <v/>
      </c>
      <c r="BL974" s="34" t="str">
        <f aca="false">IF(OR(A974="",N(AZ974)=0),"",BD974/AZ974)</f>
        <v/>
      </c>
      <c r="BM974" s="37" t="str">
        <f aca="false">IF(OR(N(Q974)=0,N(BD974)=0),"",Q974/BD974)</f>
        <v/>
      </c>
      <c r="BN974" s="29"/>
      <c r="BO974" s="29"/>
      <c r="BP974" s="33" t="str">
        <f aca="false">IF(OR(AR974="",N(AO974)=0),"",AR974)</f>
        <v/>
      </c>
      <c r="BQ974" s="33" t="str">
        <f aca="false">IF(OR(AR974="",N(S974)=0),"",S974)</f>
        <v/>
      </c>
      <c r="BR974" s="38" t="str">
        <f aca="false">IF(AND(ISNUMBER(B974),B974&gt;=Dashboard!$C$4,B974&lt;=Dashboard!$F$4,ISNUMBER(AU974)),AU974+ROW()/10^9,"")</f>
        <v/>
      </c>
      <c r="BS974" s="38" t="str">
        <f aca="false">IF(AND(ISNUMBER(B974),B974&gt;=Dashboard!$C$4,B974&lt;=Dashboard!$F$4,A974&lt;&gt;""),N(BD974)+N(AU974)/100+ROW()/10^9,"")</f>
        <v/>
      </c>
    </row>
    <row r="975" customFormat="false" ht="15" hidden="false" customHeight="false" outlineLevel="0" collapsed="false">
      <c r="A975" s="24" t="str">
        <f aca="false">IF(OR(B975="",G975="",H975=""),"",IFERROR(INDEX(Settings!$E$5:$E$49,MATCH(G975,Settings!$D$5:$D$49,0))&amp;INDEX(Settings!$H$5:$H$47,MATCH(H975,Settings!$G$5:$G$47,0))&amp;"-"&amp;TEXT(B975,"yymmdd")&amp;"-"&amp;IF(C975="","0000",TEXT(C975,"hhmm")),"CHECK LISTS"))</f>
        <v/>
      </c>
      <c r="B975" s="39"/>
      <c r="C975" s="40"/>
      <c r="D975" s="24" t="str">
        <f aca="false">IF(B975="","",TEXT(B975,"ddd"))</f>
        <v/>
      </c>
      <c r="E975" s="27" t="str">
        <f aca="false">IF(B975="","",B975-WEEKDAY(B975,3))</f>
        <v/>
      </c>
      <c r="F975" s="24" t="str">
        <f aca="false">IF(B975="","",TEXT(B975,"yyyy-mm"))</f>
        <v/>
      </c>
      <c r="G975" s="29"/>
      <c r="H975" s="29"/>
      <c r="I975" s="29"/>
      <c r="J975" s="29"/>
      <c r="K975" s="29"/>
      <c r="L975" s="29"/>
      <c r="M975" s="29"/>
      <c r="N975" s="29"/>
      <c r="O975" s="29"/>
      <c r="P975" s="29"/>
      <c r="Q975" s="30"/>
      <c r="R975" s="29"/>
      <c r="S975" s="32"/>
      <c r="T975" s="29"/>
      <c r="U975" s="29"/>
      <c r="V975" s="24" t="str">
        <f aca="false">IF(A975="","",IFERROR(INDEX(Settings!$F$5:$F$49,MATCH(G975,Settings!$D$5:$D$49,0)),""))</f>
        <v/>
      </c>
      <c r="W975" s="24" t="str">
        <f aca="false">IF(A975="","",IF(OR(P975="",P975="Organic"),"social","paid_social"))</f>
        <v/>
      </c>
      <c r="X975" s="24" t="str">
        <f aca="false">IF(A975="","",IF(K975&lt;&gt;"",IFERROR(INDEX('Case Studies'!$C$5:$C$54,MATCH(K975,'Case Studies'!$B$5:$B$54,0))&amp;"","case-study"),IF(J975&lt;&gt;"",IFERROR(INDEX(Settings!$J$5:$J$55,MATCH(J975,Settings!$I$5:$I$55,0)),"general"),"general")))</f>
        <v/>
      </c>
      <c r="Y975" s="24" t="str">
        <f aca="false">IF(A975="","",LOWER(A975))</f>
        <v/>
      </c>
      <c r="Z975" s="24" t="str">
        <f aca="false">IF(A975="","",IF(T975="",Settings!$B$5,T975)&amp;IF(ISNUMBER(FIND("?",IF(T975="",Settings!$B$5,T975))),"&amp;","?")&amp;"utm_source="&amp;V975&amp;"&amp;utm_medium="&amp;W975&amp;"&amp;utm_campaign="&amp;X975&amp;"&amp;utm_content="&amp;Y975)</f>
        <v/>
      </c>
      <c r="AA975" s="29"/>
      <c r="AB975" s="39"/>
      <c r="AC975" s="32"/>
      <c r="AD975" s="32"/>
      <c r="AE975" s="32"/>
      <c r="AF975" s="32"/>
      <c r="AG975" s="32"/>
      <c r="AH975" s="32"/>
      <c r="AI975" s="32"/>
      <c r="AJ975" s="32"/>
      <c r="AK975" s="32"/>
      <c r="AL975" s="32"/>
      <c r="AM975" s="32"/>
      <c r="AN975" s="32"/>
      <c r="AO975" s="33" t="str">
        <f aca="false">IF(A975="","",IF(AD975&lt;&gt;"",AD975,IF(AC975&lt;&gt;"",AC975,"")))</f>
        <v/>
      </c>
      <c r="AP975" s="24" t="str">
        <f aca="false">IF(AO975="","",IF(AD975&lt;&gt;"","Reported reach","Impressions (proxy)"))</f>
        <v/>
      </c>
      <c r="AQ975" s="34" t="str">
        <f aca="false">IF(OR(AO975="",N(S975)=0),"",AO975/S975)</f>
        <v/>
      </c>
      <c r="AR975" s="33" t="str">
        <f aca="false">IF(A975="","",IF(COUNT(AF975:AJ975)=0,"",SUM(AF975:AJ975)))</f>
        <v/>
      </c>
      <c r="AS975" s="34" t="str">
        <f aca="false">IF(OR(AR975="",N(AO975)=0),"",AR975/AO975)</f>
        <v/>
      </c>
      <c r="AT975" s="34" t="str">
        <f aca="false">IF(OR(AR975="",N(AC975)=0),"",AR975/AC975)</f>
        <v/>
      </c>
      <c r="AU975" s="34" t="str">
        <f aca="false">IF(OR(AR975="",N(S975)=0),"",AR975/S975)</f>
        <v/>
      </c>
      <c r="AV975" s="34" t="str">
        <f aca="false">IF(OR(AJ975="",N(AC975)=0),"",AJ975/AC975)</f>
        <v/>
      </c>
      <c r="AW975" s="34" t="str">
        <f aca="false">IF(OR(AH975="",N(AO975)=0),"",AH975/AO975)</f>
        <v/>
      </c>
      <c r="AX975" s="35" t="str">
        <f aca="false">IF(OR(AR975="",N(AO975)=0),"",(N(AF975)*Settings!$B$6+N(AG975)*Settings!$B$7+N(AH975)*Settings!$B$8+N(AI975)*Settings!$B$9+N(AJ975)*Settings!$B$10)/AO975*1000)</f>
        <v/>
      </c>
      <c r="AY975" s="36" t="str">
        <f aca="false">IF(AS975="","",IFERROR(AS975/AVERAGEIFS('Post Tracker'!$AS$5:$AS$1004,'Post Tracker'!$G$5:$G$1004,G975),""))</f>
        <v/>
      </c>
      <c r="AZ975" s="32"/>
      <c r="BA975" s="32"/>
      <c r="BB975" s="32"/>
      <c r="BC975" s="32"/>
      <c r="BD975" s="33" t="str">
        <f aca="false">IF(A975="","",COUNTIFS('Demo Pipeline'!$Q$5:$Q$504,A975))</f>
        <v/>
      </c>
      <c r="BE975" s="33" t="str">
        <f aca="false">IF(A975="","",COUNTIFS('Demo Pipeline'!$Q$5:$Q$504,A975,'Demo Pipeline'!$W$5:$W$504,"Attended"))</f>
        <v/>
      </c>
      <c r="BF975" s="33" t="str">
        <f aca="false">IF(A975="","",COUNTIFS('Demo Pipeline'!$Q$5:$Q$504,A975,'Demo Pipeline'!$X$5:$X$504,"Yes"))</f>
        <v/>
      </c>
      <c r="BG975" s="33" t="str">
        <f aca="false">IF(A975="","",COUNTIFS('Demo Pipeline'!$Q$5:$Q$504,A975,'Demo Pipeline'!$Y$5:$Y$504,"Closed Won"))</f>
        <v/>
      </c>
      <c r="BH975" s="37" t="str">
        <f aca="false">IF(A975="","",SUMIFS('Demo Pipeline'!$Z$5:$Z$504,'Demo Pipeline'!$Q$5:$Q$504,A975))</f>
        <v/>
      </c>
      <c r="BI975" s="34" t="str">
        <f aca="false">IF(OR(AZ975="",N(AJ975)=0),"",AZ975/AJ975)</f>
        <v/>
      </c>
      <c r="BJ975" s="34" t="str">
        <f aca="false">IF(OR(BB975="",N(AZ975)=0),"",BB975/AZ975)</f>
        <v/>
      </c>
      <c r="BK975" s="34" t="str">
        <f aca="false">IF(OR(A975="",N(BB975)=0),"",BD975/BB975)</f>
        <v/>
      </c>
      <c r="BL975" s="34" t="str">
        <f aca="false">IF(OR(A975="",N(AZ975)=0),"",BD975/AZ975)</f>
        <v/>
      </c>
      <c r="BM975" s="37" t="str">
        <f aca="false">IF(OR(N(Q975)=0,N(BD975)=0),"",Q975/BD975)</f>
        <v/>
      </c>
      <c r="BN975" s="29"/>
      <c r="BO975" s="29"/>
      <c r="BP975" s="33" t="str">
        <f aca="false">IF(OR(AR975="",N(AO975)=0),"",AR975)</f>
        <v/>
      </c>
      <c r="BQ975" s="33" t="str">
        <f aca="false">IF(OR(AR975="",N(S975)=0),"",S975)</f>
        <v/>
      </c>
      <c r="BR975" s="38" t="str">
        <f aca="false">IF(AND(ISNUMBER(B975),B975&gt;=Dashboard!$C$4,B975&lt;=Dashboard!$F$4,ISNUMBER(AU975)),AU975+ROW()/10^9,"")</f>
        <v/>
      </c>
      <c r="BS975" s="38" t="str">
        <f aca="false">IF(AND(ISNUMBER(B975),B975&gt;=Dashboard!$C$4,B975&lt;=Dashboard!$F$4,A975&lt;&gt;""),N(BD975)+N(AU975)/100+ROW()/10^9,"")</f>
        <v/>
      </c>
    </row>
    <row r="976" customFormat="false" ht="15" hidden="false" customHeight="false" outlineLevel="0" collapsed="false">
      <c r="A976" s="24" t="str">
        <f aca="false">IF(OR(B976="",G976="",H976=""),"",IFERROR(INDEX(Settings!$E$5:$E$49,MATCH(G976,Settings!$D$5:$D$49,0))&amp;INDEX(Settings!$H$5:$H$47,MATCH(H976,Settings!$G$5:$G$47,0))&amp;"-"&amp;TEXT(B976,"yymmdd")&amp;"-"&amp;IF(C976="","0000",TEXT(C976,"hhmm")),"CHECK LISTS"))</f>
        <v/>
      </c>
      <c r="B976" s="39"/>
      <c r="C976" s="40"/>
      <c r="D976" s="24" t="str">
        <f aca="false">IF(B976="","",TEXT(B976,"ddd"))</f>
        <v/>
      </c>
      <c r="E976" s="27" t="str">
        <f aca="false">IF(B976="","",B976-WEEKDAY(B976,3))</f>
        <v/>
      </c>
      <c r="F976" s="24" t="str">
        <f aca="false">IF(B976="","",TEXT(B976,"yyyy-mm"))</f>
        <v/>
      </c>
      <c r="G976" s="29"/>
      <c r="H976" s="29"/>
      <c r="I976" s="29"/>
      <c r="J976" s="29"/>
      <c r="K976" s="29"/>
      <c r="L976" s="29"/>
      <c r="M976" s="29"/>
      <c r="N976" s="29"/>
      <c r="O976" s="29"/>
      <c r="P976" s="29"/>
      <c r="Q976" s="30"/>
      <c r="R976" s="29"/>
      <c r="S976" s="32"/>
      <c r="T976" s="29"/>
      <c r="U976" s="29"/>
      <c r="V976" s="24" t="str">
        <f aca="false">IF(A976="","",IFERROR(INDEX(Settings!$F$5:$F$49,MATCH(G976,Settings!$D$5:$D$49,0)),""))</f>
        <v/>
      </c>
      <c r="W976" s="24" t="str">
        <f aca="false">IF(A976="","",IF(OR(P976="",P976="Organic"),"social","paid_social"))</f>
        <v/>
      </c>
      <c r="X976" s="24" t="str">
        <f aca="false">IF(A976="","",IF(K976&lt;&gt;"",IFERROR(INDEX('Case Studies'!$C$5:$C$54,MATCH(K976,'Case Studies'!$B$5:$B$54,0))&amp;"","case-study"),IF(J976&lt;&gt;"",IFERROR(INDEX(Settings!$J$5:$J$55,MATCH(J976,Settings!$I$5:$I$55,0)),"general"),"general")))</f>
        <v/>
      </c>
      <c r="Y976" s="24" t="str">
        <f aca="false">IF(A976="","",LOWER(A976))</f>
        <v/>
      </c>
      <c r="Z976" s="24" t="str">
        <f aca="false">IF(A976="","",IF(T976="",Settings!$B$5,T976)&amp;IF(ISNUMBER(FIND("?",IF(T976="",Settings!$B$5,T976))),"&amp;","?")&amp;"utm_source="&amp;V976&amp;"&amp;utm_medium="&amp;W976&amp;"&amp;utm_campaign="&amp;X976&amp;"&amp;utm_content="&amp;Y976)</f>
        <v/>
      </c>
      <c r="AA976" s="29"/>
      <c r="AB976" s="39"/>
      <c r="AC976" s="32"/>
      <c r="AD976" s="32"/>
      <c r="AE976" s="32"/>
      <c r="AF976" s="32"/>
      <c r="AG976" s="32"/>
      <c r="AH976" s="32"/>
      <c r="AI976" s="32"/>
      <c r="AJ976" s="32"/>
      <c r="AK976" s="32"/>
      <c r="AL976" s="32"/>
      <c r="AM976" s="32"/>
      <c r="AN976" s="32"/>
      <c r="AO976" s="33" t="str">
        <f aca="false">IF(A976="","",IF(AD976&lt;&gt;"",AD976,IF(AC976&lt;&gt;"",AC976,"")))</f>
        <v/>
      </c>
      <c r="AP976" s="24" t="str">
        <f aca="false">IF(AO976="","",IF(AD976&lt;&gt;"","Reported reach","Impressions (proxy)"))</f>
        <v/>
      </c>
      <c r="AQ976" s="34" t="str">
        <f aca="false">IF(OR(AO976="",N(S976)=0),"",AO976/S976)</f>
        <v/>
      </c>
      <c r="AR976" s="33" t="str">
        <f aca="false">IF(A976="","",IF(COUNT(AF976:AJ976)=0,"",SUM(AF976:AJ976)))</f>
        <v/>
      </c>
      <c r="AS976" s="34" t="str">
        <f aca="false">IF(OR(AR976="",N(AO976)=0),"",AR976/AO976)</f>
        <v/>
      </c>
      <c r="AT976" s="34" t="str">
        <f aca="false">IF(OR(AR976="",N(AC976)=0),"",AR976/AC976)</f>
        <v/>
      </c>
      <c r="AU976" s="34" t="str">
        <f aca="false">IF(OR(AR976="",N(S976)=0),"",AR976/S976)</f>
        <v/>
      </c>
      <c r="AV976" s="34" t="str">
        <f aca="false">IF(OR(AJ976="",N(AC976)=0),"",AJ976/AC976)</f>
        <v/>
      </c>
      <c r="AW976" s="34" t="str">
        <f aca="false">IF(OR(AH976="",N(AO976)=0),"",AH976/AO976)</f>
        <v/>
      </c>
      <c r="AX976" s="35" t="str">
        <f aca="false">IF(OR(AR976="",N(AO976)=0),"",(N(AF976)*Settings!$B$6+N(AG976)*Settings!$B$7+N(AH976)*Settings!$B$8+N(AI976)*Settings!$B$9+N(AJ976)*Settings!$B$10)/AO976*1000)</f>
        <v/>
      </c>
      <c r="AY976" s="36" t="str">
        <f aca="false">IF(AS976="","",IFERROR(AS976/AVERAGEIFS('Post Tracker'!$AS$5:$AS$1004,'Post Tracker'!$G$5:$G$1004,G976),""))</f>
        <v/>
      </c>
      <c r="AZ976" s="32"/>
      <c r="BA976" s="32"/>
      <c r="BB976" s="32"/>
      <c r="BC976" s="32"/>
      <c r="BD976" s="33" t="str">
        <f aca="false">IF(A976="","",COUNTIFS('Demo Pipeline'!$Q$5:$Q$504,A976))</f>
        <v/>
      </c>
      <c r="BE976" s="33" t="str">
        <f aca="false">IF(A976="","",COUNTIFS('Demo Pipeline'!$Q$5:$Q$504,A976,'Demo Pipeline'!$W$5:$W$504,"Attended"))</f>
        <v/>
      </c>
      <c r="BF976" s="33" t="str">
        <f aca="false">IF(A976="","",COUNTIFS('Demo Pipeline'!$Q$5:$Q$504,A976,'Demo Pipeline'!$X$5:$X$504,"Yes"))</f>
        <v/>
      </c>
      <c r="BG976" s="33" t="str">
        <f aca="false">IF(A976="","",COUNTIFS('Demo Pipeline'!$Q$5:$Q$504,A976,'Demo Pipeline'!$Y$5:$Y$504,"Closed Won"))</f>
        <v/>
      </c>
      <c r="BH976" s="37" t="str">
        <f aca="false">IF(A976="","",SUMIFS('Demo Pipeline'!$Z$5:$Z$504,'Demo Pipeline'!$Q$5:$Q$504,A976))</f>
        <v/>
      </c>
      <c r="BI976" s="34" t="str">
        <f aca="false">IF(OR(AZ976="",N(AJ976)=0),"",AZ976/AJ976)</f>
        <v/>
      </c>
      <c r="BJ976" s="34" t="str">
        <f aca="false">IF(OR(BB976="",N(AZ976)=0),"",BB976/AZ976)</f>
        <v/>
      </c>
      <c r="BK976" s="34" t="str">
        <f aca="false">IF(OR(A976="",N(BB976)=0),"",BD976/BB976)</f>
        <v/>
      </c>
      <c r="BL976" s="34" t="str">
        <f aca="false">IF(OR(A976="",N(AZ976)=0),"",BD976/AZ976)</f>
        <v/>
      </c>
      <c r="BM976" s="37" t="str">
        <f aca="false">IF(OR(N(Q976)=0,N(BD976)=0),"",Q976/BD976)</f>
        <v/>
      </c>
      <c r="BN976" s="29"/>
      <c r="BO976" s="29"/>
      <c r="BP976" s="33" t="str">
        <f aca="false">IF(OR(AR976="",N(AO976)=0),"",AR976)</f>
        <v/>
      </c>
      <c r="BQ976" s="33" t="str">
        <f aca="false">IF(OR(AR976="",N(S976)=0),"",S976)</f>
        <v/>
      </c>
      <c r="BR976" s="38" t="str">
        <f aca="false">IF(AND(ISNUMBER(B976),B976&gt;=Dashboard!$C$4,B976&lt;=Dashboard!$F$4,ISNUMBER(AU976)),AU976+ROW()/10^9,"")</f>
        <v/>
      </c>
      <c r="BS976" s="38" t="str">
        <f aca="false">IF(AND(ISNUMBER(B976),B976&gt;=Dashboard!$C$4,B976&lt;=Dashboard!$F$4,A976&lt;&gt;""),N(BD976)+N(AU976)/100+ROW()/10^9,"")</f>
        <v/>
      </c>
    </row>
    <row r="977" customFormat="false" ht="15" hidden="false" customHeight="false" outlineLevel="0" collapsed="false">
      <c r="A977" s="24" t="str">
        <f aca="false">IF(OR(B977="",G977="",H977=""),"",IFERROR(INDEX(Settings!$E$5:$E$49,MATCH(G977,Settings!$D$5:$D$49,0))&amp;INDEX(Settings!$H$5:$H$47,MATCH(H977,Settings!$G$5:$G$47,0))&amp;"-"&amp;TEXT(B977,"yymmdd")&amp;"-"&amp;IF(C977="","0000",TEXT(C977,"hhmm")),"CHECK LISTS"))</f>
        <v/>
      </c>
      <c r="B977" s="39"/>
      <c r="C977" s="40"/>
      <c r="D977" s="24" t="str">
        <f aca="false">IF(B977="","",TEXT(B977,"ddd"))</f>
        <v/>
      </c>
      <c r="E977" s="27" t="str">
        <f aca="false">IF(B977="","",B977-WEEKDAY(B977,3))</f>
        <v/>
      </c>
      <c r="F977" s="24" t="str">
        <f aca="false">IF(B977="","",TEXT(B977,"yyyy-mm"))</f>
        <v/>
      </c>
      <c r="G977" s="29"/>
      <c r="H977" s="29"/>
      <c r="I977" s="29"/>
      <c r="J977" s="29"/>
      <c r="K977" s="29"/>
      <c r="L977" s="29"/>
      <c r="M977" s="29"/>
      <c r="N977" s="29"/>
      <c r="O977" s="29"/>
      <c r="P977" s="29"/>
      <c r="Q977" s="30"/>
      <c r="R977" s="29"/>
      <c r="S977" s="32"/>
      <c r="T977" s="29"/>
      <c r="U977" s="29"/>
      <c r="V977" s="24" t="str">
        <f aca="false">IF(A977="","",IFERROR(INDEX(Settings!$F$5:$F$49,MATCH(G977,Settings!$D$5:$D$49,0)),""))</f>
        <v/>
      </c>
      <c r="W977" s="24" t="str">
        <f aca="false">IF(A977="","",IF(OR(P977="",P977="Organic"),"social","paid_social"))</f>
        <v/>
      </c>
      <c r="X977" s="24" t="str">
        <f aca="false">IF(A977="","",IF(K977&lt;&gt;"",IFERROR(INDEX('Case Studies'!$C$5:$C$54,MATCH(K977,'Case Studies'!$B$5:$B$54,0))&amp;"","case-study"),IF(J977&lt;&gt;"",IFERROR(INDEX(Settings!$J$5:$J$55,MATCH(J977,Settings!$I$5:$I$55,0)),"general"),"general")))</f>
        <v/>
      </c>
      <c r="Y977" s="24" t="str">
        <f aca="false">IF(A977="","",LOWER(A977))</f>
        <v/>
      </c>
      <c r="Z977" s="24" t="str">
        <f aca="false">IF(A977="","",IF(T977="",Settings!$B$5,T977)&amp;IF(ISNUMBER(FIND("?",IF(T977="",Settings!$B$5,T977))),"&amp;","?")&amp;"utm_source="&amp;V977&amp;"&amp;utm_medium="&amp;W977&amp;"&amp;utm_campaign="&amp;X977&amp;"&amp;utm_content="&amp;Y977)</f>
        <v/>
      </c>
      <c r="AA977" s="29"/>
      <c r="AB977" s="39"/>
      <c r="AC977" s="32"/>
      <c r="AD977" s="32"/>
      <c r="AE977" s="32"/>
      <c r="AF977" s="32"/>
      <c r="AG977" s="32"/>
      <c r="AH977" s="32"/>
      <c r="AI977" s="32"/>
      <c r="AJ977" s="32"/>
      <c r="AK977" s="32"/>
      <c r="AL977" s="32"/>
      <c r="AM977" s="32"/>
      <c r="AN977" s="32"/>
      <c r="AO977" s="33" t="str">
        <f aca="false">IF(A977="","",IF(AD977&lt;&gt;"",AD977,IF(AC977&lt;&gt;"",AC977,"")))</f>
        <v/>
      </c>
      <c r="AP977" s="24" t="str">
        <f aca="false">IF(AO977="","",IF(AD977&lt;&gt;"","Reported reach","Impressions (proxy)"))</f>
        <v/>
      </c>
      <c r="AQ977" s="34" t="str">
        <f aca="false">IF(OR(AO977="",N(S977)=0),"",AO977/S977)</f>
        <v/>
      </c>
      <c r="AR977" s="33" t="str">
        <f aca="false">IF(A977="","",IF(COUNT(AF977:AJ977)=0,"",SUM(AF977:AJ977)))</f>
        <v/>
      </c>
      <c r="AS977" s="34" t="str">
        <f aca="false">IF(OR(AR977="",N(AO977)=0),"",AR977/AO977)</f>
        <v/>
      </c>
      <c r="AT977" s="34" t="str">
        <f aca="false">IF(OR(AR977="",N(AC977)=0),"",AR977/AC977)</f>
        <v/>
      </c>
      <c r="AU977" s="34" t="str">
        <f aca="false">IF(OR(AR977="",N(S977)=0),"",AR977/S977)</f>
        <v/>
      </c>
      <c r="AV977" s="34" t="str">
        <f aca="false">IF(OR(AJ977="",N(AC977)=0),"",AJ977/AC977)</f>
        <v/>
      </c>
      <c r="AW977" s="34" t="str">
        <f aca="false">IF(OR(AH977="",N(AO977)=0),"",AH977/AO977)</f>
        <v/>
      </c>
      <c r="AX977" s="35" t="str">
        <f aca="false">IF(OR(AR977="",N(AO977)=0),"",(N(AF977)*Settings!$B$6+N(AG977)*Settings!$B$7+N(AH977)*Settings!$B$8+N(AI977)*Settings!$B$9+N(AJ977)*Settings!$B$10)/AO977*1000)</f>
        <v/>
      </c>
      <c r="AY977" s="36" t="str">
        <f aca="false">IF(AS977="","",IFERROR(AS977/AVERAGEIFS('Post Tracker'!$AS$5:$AS$1004,'Post Tracker'!$G$5:$G$1004,G977),""))</f>
        <v/>
      </c>
      <c r="AZ977" s="32"/>
      <c r="BA977" s="32"/>
      <c r="BB977" s="32"/>
      <c r="BC977" s="32"/>
      <c r="BD977" s="33" t="str">
        <f aca="false">IF(A977="","",COUNTIFS('Demo Pipeline'!$Q$5:$Q$504,A977))</f>
        <v/>
      </c>
      <c r="BE977" s="33" t="str">
        <f aca="false">IF(A977="","",COUNTIFS('Demo Pipeline'!$Q$5:$Q$504,A977,'Demo Pipeline'!$W$5:$W$504,"Attended"))</f>
        <v/>
      </c>
      <c r="BF977" s="33" t="str">
        <f aca="false">IF(A977="","",COUNTIFS('Demo Pipeline'!$Q$5:$Q$504,A977,'Demo Pipeline'!$X$5:$X$504,"Yes"))</f>
        <v/>
      </c>
      <c r="BG977" s="33" t="str">
        <f aca="false">IF(A977="","",COUNTIFS('Demo Pipeline'!$Q$5:$Q$504,A977,'Demo Pipeline'!$Y$5:$Y$504,"Closed Won"))</f>
        <v/>
      </c>
      <c r="BH977" s="37" t="str">
        <f aca="false">IF(A977="","",SUMIFS('Demo Pipeline'!$Z$5:$Z$504,'Demo Pipeline'!$Q$5:$Q$504,A977))</f>
        <v/>
      </c>
      <c r="BI977" s="34" t="str">
        <f aca="false">IF(OR(AZ977="",N(AJ977)=0),"",AZ977/AJ977)</f>
        <v/>
      </c>
      <c r="BJ977" s="34" t="str">
        <f aca="false">IF(OR(BB977="",N(AZ977)=0),"",BB977/AZ977)</f>
        <v/>
      </c>
      <c r="BK977" s="34" t="str">
        <f aca="false">IF(OR(A977="",N(BB977)=0),"",BD977/BB977)</f>
        <v/>
      </c>
      <c r="BL977" s="34" t="str">
        <f aca="false">IF(OR(A977="",N(AZ977)=0),"",BD977/AZ977)</f>
        <v/>
      </c>
      <c r="BM977" s="37" t="str">
        <f aca="false">IF(OR(N(Q977)=0,N(BD977)=0),"",Q977/BD977)</f>
        <v/>
      </c>
      <c r="BN977" s="29"/>
      <c r="BO977" s="29"/>
      <c r="BP977" s="33" t="str">
        <f aca="false">IF(OR(AR977="",N(AO977)=0),"",AR977)</f>
        <v/>
      </c>
      <c r="BQ977" s="33" t="str">
        <f aca="false">IF(OR(AR977="",N(S977)=0),"",S977)</f>
        <v/>
      </c>
      <c r="BR977" s="38" t="str">
        <f aca="false">IF(AND(ISNUMBER(B977),B977&gt;=Dashboard!$C$4,B977&lt;=Dashboard!$F$4,ISNUMBER(AU977)),AU977+ROW()/10^9,"")</f>
        <v/>
      </c>
      <c r="BS977" s="38" t="str">
        <f aca="false">IF(AND(ISNUMBER(B977),B977&gt;=Dashboard!$C$4,B977&lt;=Dashboard!$F$4,A977&lt;&gt;""),N(BD977)+N(AU977)/100+ROW()/10^9,"")</f>
        <v/>
      </c>
    </row>
    <row r="978" customFormat="false" ht="15" hidden="false" customHeight="false" outlineLevel="0" collapsed="false">
      <c r="A978" s="24" t="str">
        <f aca="false">IF(OR(B978="",G978="",H978=""),"",IFERROR(INDEX(Settings!$E$5:$E$49,MATCH(G978,Settings!$D$5:$D$49,0))&amp;INDEX(Settings!$H$5:$H$47,MATCH(H978,Settings!$G$5:$G$47,0))&amp;"-"&amp;TEXT(B978,"yymmdd")&amp;"-"&amp;IF(C978="","0000",TEXT(C978,"hhmm")),"CHECK LISTS"))</f>
        <v/>
      </c>
      <c r="B978" s="39"/>
      <c r="C978" s="40"/>
      <c r="D978" s="24" t="str">
        <f aca="false">IF(B978="","",TEXT(B978,"ddd"))</f>
        <v/>
      </c>
      <c r="E978" s="27" t="str">
        <f aca="false">IF(B978="","",B978-WEEKDAY(B978,3))</f>
        <v/>
      </c>
      <c r="F978" s="24" t="str">
        <f aca="false">IF(B978="","",TEXT(B978,"yyyy-mm"))</f>
        <v/>
      </c>
      <c r="G978" s="29"/>
      <c r="H978" s="29"/>
      <c r="I978" s="29"/>
      <c r="J978" s="29"/>
      <c r="K978" s="29"/>
      <c r="L978" s="29"/>
      <c r="M978" s="29"/>
      <c r="N978" s="29"/>
      <c r="O978" s="29"/>
      <c r="P978" s="29"/>
      <c r="Q978" s="30"/>
      <c r="R978" s="29"/>
      <c r="S978" s="32"/>
      <c r="T978" s="29"/>
      <c r="U978" s="29"/>
      <c r="V978" s="24" t="str">
        <f aca="false">IF(A978="","",IFERROR(INDEX(Settings!$F$5:$F$49,MATCH(G978,Settings!$D$5:$D$49,0)),""))</f>
        <v/>
      </c>
      <c r="W978" s="24" t="str">
        <f aca="false">IF(A978="","",IF(OR(P978="",P978="Organic"),"social","paid_social"))</f>
        <v/>
      </c>
      <c r="X978" s="24" t="str">
        <f aca="false">IF(A978="","",IF(K978&lt;&gt;"",IFERROR(INDEX('Case Studies'!$C$5:$C$54,MATCH(K978,'Case Studies'!$B$5:$B$54,0))&amp;"","case-study"),IF(J978&lt;&gt;"",IFERROR(INDEX(Settings!$J$5:$J$55,MATCH(J978,Settings!$I$5:$I$55,0)),"general"),"general")))</f>
        <v/>
      </c>
      <c r="Y978" s="24" t="str">
        <f aca="false">IF(A978="","",LOWER(A978))</f>
        <v/>
      </c>
      <c r="Z978" s="24" t="str">
        <f aca="false">IF(A978="","",IF(T978="",Settings!$B$5,T978)&amp;IF(ISNUMBER(FIND("?",IF(T978="",Settings!$B$5,T978))),"&amp;","?")&amp;"utm_source="&amp;V978&amp;"&amp;utm_medium="&amp;W978&amp;"&amp;utm_campaign="&amp;X978&amp;"&amp;utm_content="&amp;Y978)</f>
        <v/>
      </c>
      <c r="AA978" s="29"/>
      <c r="AB978" s="39"/>
      <c r="AC978" s="32"/>
      <c r="AD978" s="32"/>
      <c r="AE978" s="32"/>
      <c r="AF978" s="32"/>
      <c r="AG978" s="32"/>
      <c r="AH978" s="32"/>
      <c r="AI978" s="32"/>
      <c r="AJ978" s="32"/>
      <c r="AK978" s="32"/>
      <c r="AL978" s="32"/>
      <c r="AM978" s="32"/>
      <c r="AN978" s="32"/>
      <c r="AO978" s="33" t="str">
        <f aca="false">IF(A978="","",IF(AD978&lt;&gt;"",AD978,IF(AC978&lt;&gt;"",AC978,"")))</f>
        <v/>
      </c>
      <c r="AP978" s="24" t="str">
        <f aca="false">IF(AO978="","",IF(AD978&lt;&gt;"","Reported reach","Impressions (proxy)"))</f>
        <v/>
      </c>
      <c r="AQ978" s="34" t="str">
        <f aca="false">IF(OR(AO978="",N(S978)=0),"",AO978/S978)</f>
        <v/>
      </c>
      <c r="AR978" s="33" t="str">
        <f aca="false">IF(A978="","",IF(COUNT(AF978:AJ978)=0,"",SUM(AF978:AJ978)))</f>
        <v/>
      </c>
      <c r="AS978" s="34" t="str">
        <f aca="false">IF(OR(AR978="",N(AO978)=0),"",AR978/AO978)</f>
        <v/>
      </c>
      <c r="AT978" s="34" t="str">
        <f aca="false">IF(OR(AR978="",N(AC978)=0),"",AR978/AC978)</f>
        <v/>
      </c>
      <c r="AU978" s="34" t="str">
        <f aca="false">IF(OR(AR978="",N(S978)=0),"",AR978/S978)</f>
        <v/>
      </c>
      <c r="AV978" s="34" t="str">
        <f aca="false">IF(OR(AJ978="",N(AC978)=0),"",AJ978/AC978)</f>
        <v/>
      </c>
      <c r="AW978" s="34" t="str">
        <f aca="false">IF(OR(AH978="",N(AO978)=0),"",AH978/AO978)</f>
        <v/>
      </c>
      <c r="AX978" s="35" t="str">
        <f aca="false">IF(OR(AR978="",N(AO978)=0),"",(N(AF978)*Settings!$B$6+N(AG978)*Settings!$B$7+N(AH978)*Settings!$B$8+N(AI978)*Settings!$B$9+N(AJ978)*Settings!$B$10)/AO978*1000)</f>
        <v/>
      </c>
      <c r="AY978" s="36" t="str">
        <f aca="false">IF(AS978="","",IFERROR(AS978/AVERAGEIFS('Post Tracker'!$AS$5:$AS$1004,'Post Tracker'!$G$5:$G$1004,G978),""))</f>
        <v/>
      </c>
      <c r="AZ978" s="32"/>
      <c r="BA978" s="32"/>
      <c r="BB978" s="32"/>
      <c r="BC978" s="32"/>
      <c r="BD978" s="33" t="str">
        <f aca="false">IF(A978="","",COUNTIFS('Demo Pipeline'!$Q$5:$Q$504,A978))</f>
        <v/>
      </c>
      <c r="BE978" s="33" t="str">
        <f aca="false">IF(A978="","",COUNTIFS('Demo Pipeline'!$Q$5:$Q$504,A978,'Demo Pipeline'!$W$5:$W$504,"Attended"))</f>
        <v/>
      </c>
      <c r="BF978" s="33" t="str">
        <f aca="false">IF(A978="","",COUNTIFS('Demo Pipeline'!$Q$5:$Q$504,A978,'Demo Pipeline'!$X$5:$X$504,"Yes"))</f>
        <v/>
      </c>
      <c r="BG978" s="33" t="str">
        <f aca="false">IF(A978="","",COUNTIFS('Demo Pipeline'!$Q$5:$Q$504,A978,'Demo Pipeline'!$Y$5:$Y$504,"Closed Won"))</f>
        <v/>
      </c>
      <c r="BH978" s="37" t="str">
        <f aca="false">IF(A978="","",SUMIFS('Demo Pipeline'!$Z$5:$Z$504,'Demo Pipeline'!$Q$5:$Q$504,A978))</f>
        <v/>
      </c>
      <c r="BI978" s="34" t="str">
        <f aca="false">IF(OR(AZ978="",N(AJ978)=0),"",AZ978/AJ978)</f>
        <v/>
      </c>
      <c r="BJ978" s="34" t="str">
        <f aca="false">IF(OR(BB978="",N(AZ978)=0),"",BB978/AZ978)</f>
        <v/>
      </c>
      <c r="BK978" s="34" t="str">
        <f aca="false">IF(OR(A978="",N(BB978)=0),"",BD978/BB978)</f>
        <v/>
      </c>
      <c r="BL978" s="34" t="str">
        <f aca="false">IF(OR(A978="",N(AZ978)=0),"",BD978/AZ978)</f>
        <v/>
      </c>
      <c r="BM978" s="37" t="str">
        <f aca="false">IF(OR(N(Q978)=0,N(BD978)=0),"",Q978/BD978)</f>
        <v/>
      </c>
      <c r="BN978" s="29"/>
      <c r="BO978" s="29"/>
      <c r="BP978" s="33" t="str">
        <f aca="false">IF(OR(AR978="",N(AO978)=0),"",AR978)</f>
        <v/>
      </c>
      <c r="BQ978" s="33" t="str">
        <f aca="false">IF(OR(AR978="",N(S978)=0),"",S978)</f>
        <v/>
      </c>
      <c r="BR978" s="38" t="str">
        <f aca="false">IF(AND(ISNUMBER(B978),B978&gt;=Dashboard!$C$4,B978&lt;=Dashboard!$F$4,ISNUMBER(AU978)),AU978+ROW()/10^9,"")</f>
        <v/>
      </c>
      <c r="BS978" s="38" t="str">
        <f aca="false">IF(AND(ISNUMBER(B978),B978&gt;=Dashboard!$C$4,B978&lt;=Dashboard!$F$4,A978&lt;&gt;""),N(BD978)+N(AU978)/100+ROW()/10^9,"")</f>
        <v/>
      </c>
    </row>
    <row r="979" customFormat="false" ht="15" hidden="false" customHeight="false" outlineLevel="0" collapsed="false">
      <c r="A979" s="24" t="str">
        <f aca="false">IF(OR(B979="",G979="",H979=""),"",IFERROR(INDEX(Settings!$E$5:$E$49,MATCH(G979,Settings!$D$5:$D$49,0))&amp;INDEX(Settings!$H$5:$H$47,MATCH(H979,Settings!$G$5:$G$47,0))&amp;"-"&amp;TEXT(B979,"yymmdd")&amp;"-"&amp;IF(C979="","0000",TEXT(C979,"hhmm")),"CHECK LISTS"))</f>
        <v/>
      </c>
      <c r="B979" s="39"/>
      <c r="C979" s="40"/>
      <c r="D979" s="24" t="str">
        <f aca="false">IF(B979="","",TEXT(B979,"ddd"))</f>
        <v/>
      </c>
      <c r="E979" s="27" t="str">
        <f aca="false">IF(B979="","",B979-WEEKDAY(B979,3))</f>
        <v/>
      </c>
      <c r="F979" s="24" t="str">
        <f aca="false">IF(B979="","",TEXT(B979,"yyyy-mm"))</f>
        <v/>
      </c>
      <c r="G979" s="29"/>
      <c r="H979" s="29"/>
      <c r="I979" s="29"/>
      <c r="J979" s="29"/>
      <c r="K979" s="29"/>
      <c r="L979" s="29"/>
      <c r="M979" s="29"/>
      <c r="N979" s="29"/>
      <c r="O979" s="29"/>
      <c r="P979" s="29"/>
      <c r="Q979" s="30"/>
      <c r="R979" s="29"/>
      <c r="S979" s="32"/>
      <c r="T979" s="29"/>
      <c r="U979" s="29"/>
      <c r="V979" s="24" t="str">
        <f aca="false">IF(A979="","",IFERROR(INDEX(Settings!$F$5:$F$49,MATCH(G979,Settings!$D$5:$D$49,0)),""))</f>
        <v/>
      </c>
      <c r="W979" s="24" t="str">
        <f aca="false">IF(A979="","",IF(OR(P979="",P979="Organic"),"social","paid_social"))</f>
        <v/>
      </c>
      <c r="X979" s="24" t="str">
        <f aca="false">IF(A979="","",IF(K979&lt;&gt;"",IFERROR(INDEX('Case Studies'!$C$5:$C$54,MATCH(K979,'Case Studies'!$B$5:$B$54,0))&amp;"","case-study"),IF(J979&lt;&gt;"",IFERROR(INDEX(Settings!$J$5:$J$55,MATCH(J979,Settings!$I$5:$I$55,0)),"general"),"general")))</f>
        <v/>
      </c>
      <c r="Y979" s="24" t="str">
        <f aca="false">IF(A979="","",LOWER(A979))</f>
        <v/>
      </c>
      <c r="Z979" s="24" t="str">
        <f aca="false">IF(A979="","",IF(T979="",Settings!$B$5,T979)&amp;IF(ISNUMBER(FIND("?",IF(T979="",Settings!$B$5,T979))),"&amp;","?")&amp;"utm_source="&amp;V979&amp;"&amp;utm_medium="&amp;W979&amp;"&amp;utm_campaign="&amp;X979&amp;"&amp;utm_content="&amp;Y979)</f>
        <v/>
      </c>
      <c r="AA979" s="29"/>
      <c r="AB979" s="39"/>
      <c r="AC979" s="32"/>
      <c r="AD979" s="32"/>
      <c r="AE979" s="32"/>
      <c r="AF979" s="32"/>
      <c r="AG979" s="32"/>
      <c r="AH979" s="32"/>
      <c r="AI979" s="32"/>
      <c r="AJ979" s="32"/>
      <c r="AK979" s="32"/>
      <c r="AL979" s="32"/>
      <c r="AM979" s="32"/>
      <c r="AN979" s="32"/>
      <c r="AO979" s="33" t="str">
        <f aca="false">IF(A979="","",IF(AD979&lt;&gt;"",AD979,IF(AC979&lt;&gt;"",AC979,"")))</f>
        <v/>
      </c>
      <c r="AP979" s="24" t="str">
        <f aca="false">IF(AO979="","",IF(AD979&lt;&gt;"","Reported reach","Impressions (proxy)"))</f>
        <v/>
      </c>
      <c r="AQ979" s="34" t="str">
        <f aca="false">IF(OR(AO979="",N(S979)=0),"",AO979/S979)</f>
        <v/>
      </c>
      <c r="AR979" s="33" t="str">
        <f aca="false">IF(A979="","",IF(COUNT(AF979:AJ979)=0,"",SUM(AF979:AJ979)))</f>
        <v/>
      </c>
      <c r="AS979" s="34" t="str">
        <f aca="false">IF(OR(AR979="",N(AO979)=0),"",AR979/AO979)</f>
        <v/>
      </c>
      <c r="AT979" s="34" t="str">
        <f aca="false">IF(OR(AR979="",N(AC979)=0),"",AR979/AC979)</f>
        <v/>
      </c>
      <c r="AU979" s="34" t="str">
        <f aca="false">IF(OR(AR979="",N(S979)=0),"",AR979/S979)</f>
        <v/>
      </c>
      <c r="AV979" s="34" t="str">
        <f aca="false">IF(OR(AJ979="",N(AC979)=0),"",AJ979/AC979)</f>
        <v/>
      </c>
      <c r="AW979" s="34" t="str">
        <f aca="false">IF(OR(AH979="",N(AO979)=0),"",AH979/AO979)</f>
        <v/>
      </c>
      <c r="AX979" s="35" t="str">
        <f aca="false">IF(OR(AR979="",N(AO979)=0),"",(N(AF979)*Settings!$B$6+N(AG979)*Settings!$B$7+N(AH979)*Settings!$B$8+N(AI979)*Settings!$B$9+N(AJ979)*Settings!$B$10)/AO979*1000)</f>
        <v/>
      </c>
      <c r="AY979" s="36" t="str">
        <f aca="false">IF(AS979="","",IFERROR(AS979/AVERAGEIFS('Post Tracker'!$AS$5:$AS$1004,'Post Tracker'!$G$5:$G$1004,G979),""))</f>
        <v/>
      </c>
      <c r="AZ979" s="32"/>
      <c r="BA979" s="32"/>
      <c r="BB979" s="32"/>
      <c r="BC979" s="32"/>
      <c r="BD979" s="33" t="str">
        <f aca="false">IF(A979="","",COUNTIFS('Demo Pipeline'!$Q$5:$Q$504,A979))</f>
        <v/>
      </c>
      <c r="BE979" s="33" t="str">
        <f aca="false">IF(A979="","",COUNTIFS('Demo Pipeline'!$Q$5:$Q$504,A979,'Demo Pipeline'!$W$5:$W$504,"Attended"))</f>
        <v/>
      </c>
      <c r="BF979" s="33" t="str">
        <f aca="false">IF(A979="","",COUNTIFS('Demo Pipeline'!$Q$5:$Q$504,A979,'Demo Pipeline'!$X$5:$X$504,"Yes"))</f>
        <v/>
      </c>
      <c r="BG979" s="33" t="str">
        <f aca="false">IF(A979="","",COUNTIFS('Demo Pipeline'!$Q$5:$Q$504,A979,'Demo Pipeline'!$Y$5:$Y$504,"Closed Won"))</f>
        <v/>
      </c>
      <c r="BH979" s="37" t="str">
        <f aca="false">IF(A979="","",SUMIFS('Demo Pipeline'!$Z$5:$Z$504,'Demo Pipeline'!$Q$5:$Q$504,A979))</f>
        <v/>
      </c>
      <c r="BI979" s="34" t="str">
        <f aca="false">IF(OR(AZ979="",N(AJ979)=0),"",AZ979/AJ979)</f>
        <v/>
      </c>
      <c r="BJ979" s="34" t="str">
        <f aca="false">IF(OR(BB979="",N(AZ979)=0),"",BB979/AZ979)</f>
        <v/>
      </c>
      <c r="BK979" s="34" t="str">
        <f aca="false">IF(OR(A979="",N(BB979)=0),"",BD979/BB979)</f>
        <v/>
      </c>
      <c r="BL979" s="34" t="str">
        <f aca="false">IF(OR(A979="",N(AZ979)=0),"",BD979/AZ979)</f>
        <v/>
      </c>
      <c r="BM979" s="37" t="str">
        <f aca="false">IF(OR(N(Q979)=0,N(BD979)=0),"",Q979/BD979)</f>
        <v/>
      </c>
      <c r="BN979" s="29"/>
      <c r="BO979" s="29"/>
      <c r="BP979" s="33" t="str">
        <f aca="false">IF(OR(AR979="",N(AO979)=0),"",AR979)</f>
        <v/>
      </c>
      <c r="BQ979" s="33" t="str">
        <f aca="false">IF(OR(AR979="",N(S979)=0),"",S979)</f>
        <v/>
      </c>
      <c r="BR979" s="38" t="str">
        <f aca="false">IF(AND(ISNUMBER(B979),B979&gt;=Dashboard!$C$4,B979&lt;=Dashboard!$F$4,ISNUMBER(AU979)),AU979+ROW()/10^9,"")</f>
        <v/>
      </c>
      <c r="BS979" s="38" t="str">
        <f aca="false">IF(AND(ISNUMBER(B979),B979&gt;=Dashboard!$C$4,B979&lt;=Dashboard!$F$4,A979&lt;&gt;""),N(BD979)+N(AU979)/100+ROW()/10^9,"")</f>
        <v/>
      </c>
    </row>
    <row r="980" customFormat="false" ht="15" hidden="false" customHeight="false" outlineLevel="0" collapsed="false">
      <c r="A980" s="24" t="str">
        <f aca="false">IF(OR(B980="",G980="",H980=""),"",IFERROR(INDEX(Settings!$E$5:$E$49,MATCH(G980,Settings!$D$5:$D$49,0))&amp;INDEX(Settings!$H$5:$H$47,MATCH(H980,Settings!$G$5:$G$47,0))&amp;"-"&amp;TEXT(B980,"yymmdd")&amp;"-"&amp;IF(C980="","0000",TEXT(C980,"hhmm")),"CHECK LISTS"))</f>
        <v/>
      </c>
      <c r="B980" s="39"/>
      <c r="C980" s="40"/>
      <c r="D980" s="24" t="str">
        <f aca="false">IF(B980="","",TEXT(B980,"ddd"))</f>
        <v/>
      </c>
      <c r="E980" s="27" t="str">
        <f aca="false">IF(B980="","",B980-WEEKDAY(B980,3))</f>
        <v/>
      </c>
      <c r="F980" s="24" t="str">
        <f aca="false">IF(B980="","",TEXT(B980,"yyyy-mm"))</f>
        <v/>
      </c>
      <c r="G980" s="29"/>
      <c r="H980" s="29"/>
      <c r="I980" s="29"/>
      <c r="J980" s="29"/>
      <c r="K980" s="29"/>
      <c r="L980" s="29"/>
      <c r="M980" s="29"/>
      <c r="N980" s="29"/>
      <c r="O980" s="29"/>
      <c r="P980" s="29"/>
      <c r="Q980" s="30"/>
      <c r="R980" s="29"/>
      <c r="S980" s="32"/>
      <c r="T980" s="29"/>
      <c r="U980" s="29"/>
      <c r="V980" s="24" t="str">
        <f aca="false">IF(A980="","",IFERROR(INDEX(Settings!$F$5:$F$49,MATCH(G980,Settings!$D$5:$D$49,0)),""))</f>
        <v/>
      </c>
      <c r="W980" s="24" t="str">
        <f aca="false">IF(A980="","",IF(OR(P980="",P980="Organic"),"social","paid_social"))</f>
        <v/>
      </c>
      <c r="X980" s="24" t="str">
        <f aca="false">IF(A980="","",IF(K980&lt;&gt;"",IFERROR(INDEX('Case Studies'!$C$5:$C$54,MATCH(K980,'Case Studies'!$B$5:$B$54,0))&amp;"","case-study"),IF(J980&lt;&gt;"",IFERROR(INDEX(Settings!$J$5:$J$55,MATCH(J980,Settings!$I$5:$I$55,0)),"general"),"general")))</f>
        <v/>
      </c>
      <c r="Y980" s="24" t="str">
        <f aca="false">IF(A980="","",LOWER(A980))</f>
        <v/>
      </c>
      <c r="Z980" s="24" t="str">
        <f aca="false">IF(A980="","",IF(T980="",Settings!$B$5,T980)&amp;IF(ISNUMBER(FIND("?",IF(T980="",Settings!$B$5,T980))),"&amp;","?")&amp;"utm_source="&amp;V980&amp;"&amp;utm_medium="&amp;W980&amp;"&amp;utm_campaign="&amp;X980&amp;"&amp;utm_content="&amp;Y980)</f>
        <v/>
      </c>
      <c r="AA980" s="29"/>
      <c r="AB980" s="39"/>
      <c r="AC980" s="32"/>
      <c r="AD980" s="32"/>
      <c r="AE980" s="32"/>
      <c r="AF980" s="32"/>
      <c r="AG980" s="32"/>
      <c r="AH980" s="32"/>
      <c r="AI980" s="32"/>
      <c r="AJ980" s="32"/>
      <c r="AK980" s="32"/>
      <c r="AL980" s="32"/>
      <c r="AM980" s="32"/>
      <c r="AN980" s="32"/>
      <c r="AO980" s="33" t="str">
        <f aca="false">IF(A980="","",IF(AD980&lt;&gt;"",AD980,IF(AC980&lt;&gt;"",AC980,"")))</f>
        <v/>
      </c>
      <c r="AP980" s="24" t="str">
        <f aca="false">IF(AO980="","",IF(AD980&lt;&gt;"","Reported reach","Impressions (proxy)"))</f>
        <v/>
      </c>
      <c r="AQ980" s="34" t="str">
        <f aca="false">IF(OR(AO980="",N(S980)=0),"",AO980/S980)</f>
        <v/>
      </c>
      <c r="AR980" s="33" t="str">
        <f aca="false">IF(A980="","",IF(COUNT(AF980:AJ980)=0,"",SUM(AF980:AJ980)))</f>
        <v/>
      </c>
      <c r="AS980" s="34" t="str">
        <f aca="false">IF(OR(AR980="",N(AO980)=0),"",AR980/AO980)</f>
        <v/>
      </c>
      <c r="AT980" s="34" t="str">
        <f aca="false">IF(OR(AR980="",N(AC980)=0),"",AR980/AC980)</f>
        <v/>
      </c>
      <c r="AU980" s="34" t="str">
        <f aca="false">IF(OR(AR980="",N(S980)=0),"",AR980/S980)</f>
        <v/>
      </c>
      <c r="AV980" s="34" t="str">
        <f aca="false">IF(OR(AJ980="",N(AC980)=0),"",AJ980/AC980)</f>
        <v/>
      </c>
      <c r="AW980" s="34" t="str">
        <f aca="false">IF(OR(AH980="",N(AO980)=0),"",AH980/AO980)</f>
        <v/>
      </c>
      <c r="AX980" s="35" t="str">
        <f aca="false">IF(OR(AR980="",N(AO980)=0),"",(N(AF980)*Settings!$B$6+N(AG980)*Settings!$B$7+N(AH980)*Settings!$B$8+N(AI980)*Settings!$B$9+N(AJ980)*Settings!$B$10)/AO980*1000)</f>
        <v/>
      </c>
      <c r="AY980" s="36" t="str">
        <f aca="false">IF(AS980="","",IFERROR(AS980/AVERAGEIFS('Post Tracker'!$AS$5:$AS$1004,'Post Tracker'!$G$5:$G$1004,G980),""))</f>
        <v/>
      </c>
      <c r="AZ980" s="32"/>
      <c r="BA980" s="32"/>
      <c r="BB980" s="32"/>
      <c r="BC980" s="32"/>
      <c r="BD980" s="33" t="str">
        <f aca="false">IF(A980="","",COUNTIFS('Demo Pipeline'!$Q$5:$Q$504,A980))</f>
        <v/>
      </c>
      <c r="BE980" s="33" t="str">
        <f aca="false">IF(A980="","",COUNTIFS('Demo Pipeline'!$Q$5:$Q$504,A980,'Demo Pipeline'!$W$5:$W$504,"Attended"))</f>
        <v/>
      </c>
      <c r="BF980" s="33" t="str">
        <f aca="false">IF(A980="","",COUNTIFS('Demo Pipeline'!$Q$5:$Q$504,A980,'Demo Pipeline'!$X$5:$X$504,"Yes"))</f>
        <v/>
      </c>
      <c r="BG980" s="33" t="str">
        <f aca="false">IF(A980="","",COUNTIFS('Demo Pipeline'!$Q$5:$Q$504,A980,'Demo Pipeline'!$Y$5:$Y$504,"Closed Won"))</f>
        <v/>
      </c>
      <c r="BH980" s="37" t="str">
        <f aca="false">IF(A980="","",SUMIFS('Demo Pipeline'!$Z$5:$Z$504,'Demo Pipeline'!$Q$5:$Q$504,A980))</f>
        <v/>
      </c>
      <c r="BI980" s="34" t="str">
        <f aca="false">IF(OR(AZ980="",N(AJ980)=0),"",AZ980/AJ980)</f>
        <v/>
      </c>
      <c r="BJ980" s="34" t="str">
        <f aca="false">IF(OR(BB980="",N(AZ980)=0),"",BB980/AZ980)</f>
        <v/>
      </c>
      <c r="BK980" s="34" t="str">
        <f aca="false">IF(OR(A980="",N(BB980)=0),"",BD980/BB980)</f>
        <v/>
      </c>
      <c r="BL980" s="34" t="str">
        <f aca="false">IF(OR(A980="",N(AZ980)=0),"",BD980/AZ980)</f>
        <v/>
      </c>
      <c r="BM980" s="37" t="str">
        <f aca="false">IF(OR(N(Q980)=0,N(BD980)=0),"",Q980/BD980)</f>
        <v/>
      </c>
      <c r="BN980" s="29"/>
      <c r="BO980" s="29"/>
      <c r="BP980" s="33" t="str">
        <f aca="false">IF(OR(AR980="",N(AO980)=0),"",AR980)</f>
        <v/>
      </c>
      <c r="BQ980" s="33" t="str">
        <f aca="false">IF(OR(AR980="",N(S980)=0),"",S980)</f>
        <v/>
      </c>
      <c r="BR980" s="38" t="str">
        <f aca="false">IF(AND(ISNUMBER(B980),B980&gt;=Dashboard!$C$4,B980&lt;=Dashboard!$F$4,ISNUMBER(AU980)),AU980+ROW()/10^9,"")</f>
        <v/>
      </c>
      <c r="BS980" s="38" t="str">
        <f aca="false">IF(AND(ISNUMBER(B980),B980&gt;=Dashboard!$C$4,B980&lt;=Dashboard!$F$4,A980&lt;&gt;""),N(BD980)+N(AU980)/100+ROW()/10^9,"")</f>
        <v/>
      </c>
    </row>
    <row r="981" customFormat="false" ht="15" hidden="false" customHeight="false" outlineLevel="0" collapsed="false">
      <c r="A981" s="24" t="str">
        <f aca="false">IF(OR(B981="",G981="",H981=""),"",IFERROR(INDEX(Settings!$E$5:$E$49,MATCH(G981,Settings!$D$5:$D$49,0))&amp;INDEX(Settings!$H$5:$H$47,MATCH(H981,Settings!$G$5:$G$47,0))&amp;"-"&amp;TEXT(B981,"yymmdd")&amp;"-"&amp;IF(C981="","0000",TEXT(C981,"hhmm")),"CHECK LISTS"))</f>
        <v/>
      </c>
      <c r="B981" s="39"/>
      <c r="C981" s="40"/>
      <c r="D981" s="24" t="str">
        <f aca="false">IF(B981="","",TEXT(B981,"ddd"))</f>
        <v/>
      </c>
      <c r="E981" s="27" t="str">
        <f aca="false">IF(B981="","",B981-WEEKDAY(B981,3))</f>
        <v/>
      </c>
      <c r="F981" s="24" t="str">
        <f aca="false">IF(B981="","",TEXT(B981,"yyyy-mm"))</f>
        <v/>
      </c>
      <c r="G981" s="29"/>
      <c r="H981" s="29"/>
      <c r="I981" s="29"/>
      <c r="J981" s="29"/>
      <c r="K981" s="29"/>
      <c r="L981" s="29"/>
      <c r="M981" s="29"/>
      <c r="N981" s="29"/>
      <c r="O981" s="29"/>
      <c r="P981" s="29"/>
      <c r="Q981" s="30"/>
      <c r="R981" s="29"/>
      <c r="S981" s="32"/>
      <c r="T981" s="29"/>
      <c r="U981" s="29"/>
      <c r="V981" s="24" t="str">
        <f aca="false">IF(A981="","",IFERROR(INDEX(Settings!$F$5:$F$49,MATCH(G981,Settings!$D$5:$D$49,0)),""))</f>
        <v/>
      </c>
      <c r="W981" s="24" t="str">
        <f aca="false">IF(A981="","",IF(OR(P981="",P981="Organic"),"social","paid_social"))</f>
        <v/>
      </c>
      <c r="X981" s="24" t="str">
        <f aca="false">IF(A981="","",IF(K981&lt;&gt;"",IFERROR(INDEX('Case Studies'!$C$5:$C$54,MATCH(K981,'Case Studies'!$B$5:$B$54,0))&amp;"","case-study"),IF(J981&lt;&gt;"",IFERROR(INDEX(Settings!$J$5:$J$55,MATCH(J981,Settings!$I$5:$I$55,0)),"general"),"general")))</f>
        <v/>
      </c>
      <c r="Y981" s="24" t="str">
        <f aca="false">IF(A981="","",LOWER(A981))</f>
        <v/>
      </c>
      <c r="Z981" s="24" t="str">
        <f aca="false">IF(A981="","",IF(T981="",Settings!$B$5,T981)&amp;IF(ISNUMBER(FIND("?",IF(T981="",Settings!$B$5,T981))),"&amp;","?")&amp;"utm_source="&amp;V981&amp;"&amp;utm_medium="&amp;W981&amp;"&amp;utm_campaign="&amp;X981&amp;"&amp;utm_content="&amp;Y981)</f>
        <v/>
      </c>
      <c r="AA981" s="29"/>
      <c r="AB981" s="39"/>
      <c r="AC981" s="32"/>
      <c r="AD981" s="32"/>
      <c r="AE981" s="32"/>
      <c r="AF981" s="32"/>
      <c r="AG981" s="32"/>
      <c r="AH981" s="32"/>
      <c r="AI981" s="32"/>
      <c r="AJ981" s="32"/>
      <c r="AK981" s="32"/>
      <c r="AL981" s="32"/>
      <c r="AM981" s="32"/>
      <c r="AN981" s="32"/>
      <c r="AO981" s="33" t="str">
        <f aca="false">IF(A981="","",IF(AD981&lt;&gt;"",AD981,IF(AC981&lt;&gt;"",AC981,"")))</f>
        <v/>
      </c>
      <c r="AP981" s="24" t="str">
        <f aca="false">IF(AO981="","",IF(AD981&lt;&gt;"","Reported reach","Impressions (proxy)"))</f>
        <v/>
      </c>
      <c r="AQ981" s="34" t="str">
        <f aca="false">IF(OR(AO981="",N(S981)=0),"",AO981/S981)</f>
        <v/>
      </c>
      <c r="AR981" s="33" t="str">
        <f aca="false">IF(A981="","",IF(COUNT(AF981:AJ981)=0,"",SUM(AF981:AJ981)))</f>
        <v/>
      </c>
      <c r="AS981" s="34" t="str">
        <f aca="false">IF(OR(AR981="",N(AO981)=0),"",AR981/AO981)</f>
        <v/>
      </c>
      <c r="AT981" s="34" t="str">
        <f aca="false">IF(OR(AR981="",N(AC981)=0),"",AR981/AC981)</f>
        <v/>
      </c>
      <c r="AU981" s="34" t="str">
        <f aca="false">IF(OR(AR981="",N(S981)=0),"",AR981/S981)</f>
        <v/>
      </c>
      <c r="AV981" s="34" t="str">
        <f aca="false">IF(OR(AJ981="",N(AC981)=0),"",AJ981/AC981)</f>
        <v/>
      </c>
      <c r="AW981" s="34" t="str">
        <f aca="false">IF(OR(AH981="",N(AO981)=0),"",AH981/AO981)</f>
        <v/>
      </c>
      <c r="AX981" s="35" t="str">
        <f aca="false">IF(OR(AR981="",N(AO981)=0),"",(N(AF981)*Settings!$B$6+N(AG981)*Settings!$B$7+N(AH981)*Settings!$B$8+N(AI981)*Settings!$B$9+N(AJ981)*Settings!$B$10)/AO981*1000)</f>
        <v/>
      </c>
      <c r="AY981" s="36" t="str">
        <f aca="false">IF(AS981="","",IFERROR(AS981/AVERAGEIFS('Post Tracker'!$AS$5:$AS$1004,'Post Tracker'!$G$5:$G$1004,G981),""))</f>
        <v/>
      </c>
      <c r="AZ981" s="32"/>
      <c r="BA981" s="32"/>
      <c r="BB981" s="32"/>
      <c r="BC981" s="32"/>
      <c r="BD981" s="33" t="str">
        <f aca="false">IF(A981="","",COUNTIFS('Demo Pipeline'!$Q$5:$Q$504,A981))</f>
        <v/>
      </c>
      <c r="BE981" s="33" t="str">
        <f aca="false">IF(A981="","",COUNTIFS('Demo Pipeline'!$Q$5:$Q$504,A981,'Demo Pipeline'!$W$5:$W$504,"Attended"))</f>
        <v/>
      </c>
      <c r="BF981" s="33" t="str">
        <f aca="false">IF(A981="","",COUNTIFS('Demo Pipeline'!$Q$5:$Q$504,A981,'Demo Pipeline'!$X$5:$X$504,"Yes"))</f>
        <v/>
      </c>
      <c r="BG981" s="33" t="str">
        <f aca="false">IF(A981="","",COUNTIFS('Demo Pipeline'!$Q$5:$Q$504,A981,'Demo Pipeline'!$Y$5:$Y$504,"Closed Won"))</f>
        <v/>
      </c>
      <c r="BH981" s="37" t="str">
        <f aca="false">IF(A981="","",SUMIFS('Demo Pipeline'!$Z$5:$Z$504,'Demo Pipeline'!$Q$5:$Q$504,A981))</f>
        <v/>
      </c>
      <c r="BI981" s="34" t="str">
        <f aca="false">IF(OR(AZ981="",N(AJ981)=0),"",AZ981/AJ981)</f>
        <v/>
      </c>
      <c r="BJ981" s="34" t="str">
        <f aca="false">IF(OR(BB981="",N(AZ981)=0),"",BB981/AZ981)</f>
        <v/>
      </c>
      <c r="BK981" s="34" t="str">
        <f aca="false">IF(OR(A981="",N(BB981)=0),"",BD981/BB981)</f>
        <v/>
      </c>
      <c r="BL981" s="34" t="str">
        <f aca="false">IF(OR(A981="",N(AZ981)=0),"",BD981/AZ981)</f>
        <v/>
      </c>
      <c r="BM981" s="37" t="str">
        <f aca="false">IF(OR(N(Q981)=0,N(BD981)=0),"",Q981/BD981)</f>
        <v/>
      </c>
      <c r="BN981" s="29"/>
      <c r="BO981" s="29"/>
      <c r="BP981" s="33" t="str">
        <f aca="false">IF(OR(AR981="",N(AO981)=0),"",AR981)</f>
        <v/>
      </c>
      <c r="BQ981" s="33" t="str">
        <f aca="false">IF(OR(AR981="",N(S981)=0),"",S981)</f>
        <v/>
      </c>
      <c r="BR981" s="38" t="str">
        <f aca="false">IF(AND(ISNUMBER(B981),B981&gt;=Dashboard!$C$4,B981&lt;=Dashboard!$F$4,ISNUMBER(AU981)),AU981+ROW()/10^9,"")</f>
        <v/>
      </c>
      <c r="BS981" s="38" t="str">
        <f aca="false">IF(AND(ISNUMBER(B981),B981&gt;=Dashboard!$C$4,B981&lt;=Dashboard!$F$4,A981&lt;&gt;""),N(BD981)+N(AU981)/100+ROW()/10^9,"")</f>
        <v/>
      </c>
    </row>
    <row r="982" customFormat="false" ht="15" hidden="false" customHeight="false" outlineLevel="0" collapsed="false">
      <c r="A982" s="24" t="str">
        <f aca="false">IF(OR(B982="",G982="",H982=""),"",IFERROR(INDEX(Settings!$E$5:$E$49,MATCH(G982,Settings!$D$5:$D$49,0))&amp;INDEX(Settings!$H$5:$H$47,MATCH(H982,Settings!$G$5:$G$47,0))&amp;"-"&amp;TEXT(B982,"yymmdd")&amp;"-"&amp;IF(C982="","0000",TEXT(C982,"hhmm")),"CHECK LISTS"))</f>
        <v/>
      </c>
      <c r="B982" s="39"/>
      <c r="C982" s="40"/>
      <c r="D982" s="24" t="str">
        <f aca="false">IF(B982="","",TEXT(B982,"ddd"))</f>
        <v/>
      </c>
      <c r="E982" s="27" t="str">
        <f aca="false">IF(B982="","",B982-WEEKDAY(B982,3))</f>
        <v/>
      </c>
      <c r="F982" s="24" t="str">
        <f aca="false">IF(B982="","",TEXT(B982,"yyyy-mm"))</f>
        <v/>
      </c>
      <c r="G982" s="29"/>
      <c r="H982" s="29"/>
      <c r="I982" s="29"/>
      <c r="J982" s="29"/>
      <c r="K982" s="29"/>
      <c r="L982" s="29"/>
      <c r="M982" s="29"/>
      <c r="N982" s="29"/>
      <c r="O982" s="29"/>
      <c r="P982" s="29"/>
      <c r="Q982" s="30"/>
      <c r="R982" s="29"/>
      <c r="S982" s="32"/>
      <c r="T982" s="29"/>
      <c r="U982" s="29"/>
      <c r="V982" s="24" t="str">
        <f aca="false">IF(A982="","",IFERROR(INDEX(Settings!$F$5:$F$49,MATCH(G982,Settings!$D$5:$D$49,0)),""))</f>
        <v/>
      </c>
      <c r="W982" s="24" t="str">
        <f aca="false">IF(A982="","",IF(OR(P982="",P982="Organic"),"social","paid_social"))</f>
        <v/>
      </c>
      <c r="X982" s="24" t="str">
        <f aca="false">IF(A982="","",IF(K982&lt;&gt;"",IFERROR(INDEX('Case Studies'!$C$5:$C$54,MATCH(K982,'Case Studies'!$B$5:$B$54,0))&amp;"","case-study"),IF(J982&lt;&gt;"",IFERROR(INDEX(Settings!$J$5:$J$55,MATCH(J982,Settings!$I$5:$I$55,0)),"general"),"general")))</f>
        <v/>
      </c>
      <c r="Y982" s="24" t="str">
        <f aca="false">IF(A982="","",LOWER(A982))</f>
        <v/>
      </c>
      <c r="Z982" s="24" t="str">
        <f aca="false">IF(A982="","",IF(T982="",Settings!$B$5,T982)&amp;IF(ISNUMBER(FIND("?",IF(T982="",Settings!$B$5,T982))),"&amp;","?")&amp;"utm_source="&amp;V982&amp;"&amp;utm_medium="&amp;W982&amp;"&amp;utm_campaign="&amp;X982&amp;"&amp;utm_content="&amp;Y982)</f>
        <v/>
      </c>
      <c r="AA982" s="29"/>
      <c r="AB982" s="39"/>
      <c r="AC982" s="32"/>
      <c r="AD982" s="32"/>
      <c r="AE982" s="32"/>
      <c r="AF982" s="32"/>
      <c r="AG982" s="32"/>
      <c r="AH982" s="32"/>
      <c r="AI982" s="32"/>
      <c r="AJ982" s="32"/>
      <c r="AK982" s="32"/>
      <c r="AL982" s="32"/>
      <c r="AM982" s="32"/>
      <c r="AN982" s="32"/>
      <c r="AO982" s="33" t="str">
        <f aca="false">IF(A982="","",IF(AD982&lt;&gt;"",AD982,IF(AC982&lt;&gt;"",AC982,"")))</f>
        <v/>
      </c>
      <c r="AP982" s="24" t="str">
        <f aca="false">IF(AO982="","",IF(AD982&lt;&gt;"","Reported reach","Impressions (proxy)"))</f>
        <v/>
      </c>
      <c r="AQ982" s="34" t="str">
        <f aca="false">IF(OR(AO982="",N(S982)=0),"",AO982/S982)</f>
        <v/>
      </c>
      <c r="AR982" s="33" t="str">
        <f aca="false">IF(A982="","",IF(COUNT(AF982:AJ982)=0,"",SUM(AF982:AJ982)))</f>
        <v/>
      </c>
      <c r="AS982" s="34" t="str">
        <f aca="false">IF(OR(AR982="",N(AO982)=0),"",AR982/AO982)</f>
        <v/>
      </c>
      <c r="AT982" s="34" t="str">
        <f aca="false">IF(OR(AR982="",N(AC982)=0),"",AR982/AC982)</f>
        <v/>
      </c>
      <c r="AU982" s="34" t="str">
        <f aca="false">IF(OR(AR982="",N(S982)=0),"",AR982/S982)</f>
        <v/>
      </c>
      <c r="AV982" s="34" t="str">
        <f aca="false">IF(OR(AJ982="",N(AC982)=0),"",AJ982/AC982)</f>
        <v/>
      </c>
      <c r="AW982" s="34" t="str">
        <f aca="false">IF(OR(AH982="",N(AO982)=0),"",AH982/AO982)</f>
        <v/>
      </c>
      <c r="AX982" s="35" t="str">
        <f aca="false">IF(OR(AR982="",N(AO982)=0),"",(N(AF982)*Settings!$B$6+N(AG982)*Settings!$B$7+N(AH982)*Settings!$B$8+N(AI982)*Settings!$B$9+N(AJ982)*Settings!$B$10)/AO982*1000)</f>
        <v/>
      </c>
      <c r="AY982" s="36" t="str">
        <f aca="false">IF(AS982="","",IFERROR(AS982/AVERAGEIFS('Post Tracker'!$AS$5:$AS$1004,'Post Tracker'!$G$5:$G$1004,G982),""))</f>
        <v/>
      </c>
      <c r="AZ982" s="32"/>
      <c r="BA982" s="32"/>
      <c r="BB982" s="32"/>
      <c r="BC982" s="32"/>
      <c r="BD982" s="33" t="str">
        <f aca="false">IF(A982="","",COUNTIFS('Demo Pipeline'!$Q$5:$Q$504,A982))</f>
        <v/>
      </c>
      <c r="BE982" s="33" t="str">
        <f aca="false">IF(A982="","",COUNTIFS('Demo Pipeline'!$Q$5:$Q$504,A982,'Demo Pipeline'!$W$5:$W$504,"Attended"))</f>
        <v/>
      </c>
      <c r="BF982" s="33" t="str">
        <f aca="false">IF(A982="","",COUNTIFS('Demo Pipeline'!$Q$5:$Q$504,A982,'Demo Pipeline'!$X$5:$X$504,"Yes"))</f>
        <v/>
      </c>
      <c r="BG982" s="33" t="str">
        <f aca="false">IF(A982="","",COUNTIFS('Demo Pipeline'!$Q$5:$Q$504,A982,'Demo Pipeline'!$Y$5:$Y$504,"Closed Won"))</f>
        <v/>
      </c>
      <c r="BH982" s="37" t="str">
        <f aca="false">IF(A982="","",SUMIFS('Demo Pipeline'!$Z$5:$Z$504,'Demo Pipeline'!$Q$5:$Q$504,A982))</f>
        <v/>
      </c>
      <c r="BI982" s="34" t="str">
        <f aca="false">IF(OR(AZ982="",N(AJ982)=0),"",AZ982/AJ982)</f>
        <v/>
      </c>
      <c r="BJ982" s="34" t="str">
        <f aca="false">IF(OR(BB982="",N(AZ982)=0),"",BB982/AZ982)</f>
        <v/>
      </c>
      <c r="BK982" s="34" t="str">
        <f aca="false">IF(OR(A982="",N(BB982)=0),"",BD982/BB982)</f>
        <v/>
      </c>
      <c r="BL982" s="34" t="str">
        <f aca="false">IF(OR(A982="",N(AZ982)=0),"",BD982/AZ982)</f>
        <v/>
      </c>
      <c r="BM982" s="37" t="str">
        <f aca="false">IF(OR(N(Q982)=0,N(BD982)=0),"",Q982/BD982)</f>
        <v/>
      </c>
      <c r="BN982" s="29"/>
      <c r="BO982" s="29"/>
      <c r="BP982" s="33" t="str">
        <f aca="false">IF(OR(AR982="",N(AO982)=0),"",AR982)</f>
        <v/>
      </c>
      <c r="BQ982" s="33" t="str">
        <f aca="false">IF(OR(AR982="",N(S982)=0),"",S982)</f>
        <v/>
      </c>
      <c r="BR982" s="38" t="str">
        <f aca="false">IF(AND(ISNUMBER(B982),B982&gt;=Dashboard!$C$4,B982&lt;=Dashboard!$F$4,ISNUMBER(AU982)),AU982+ROW()/10^9,"")</f>
        <v/>
      </c>
      <c r="BS982" s="38" t="str">
        <f aca="false">IF(AND(ISNUMBER(B982),B982&gt;=Dashboard!$C$4,B982&lt;=Dashboard!$F$4,A982&lt;&gt;""),N(BD982)+N(AU982)/100+ROW()/10^9,"")</f>
        <v/>
      </c>
    </row>
    <row r="983" customFormat="false" ht="15" hidden="false" customHeight="false" outlineLevel="0" collapsed="false">
      <c r="A983" s="24" t="str">
        <f aca="false">IF(OR(B983="",G983="",H983=""),"",IFERROR(INDEX(Settings!$E$5:$E$49,MATCH(G983,Settings!$D$5:$D$49,0))&amp;INDEX(Settings!$H$5:$H$47,MATCH(H983,Settings!$G$5:$G$47,0))&amp;"-"&amp;TEXT(B983,"yymmdd")&amp;"-"&amp;IF(C983="","0000",TEXT(C983,"hhmm")),"CHECK LISTS"))</f>
        <v/>
      </c>
      <c r="B983" s="39"/>
      <c r="C983" s="40"/>
      <c r="D983" s="24" t="str">
        <f aca="false">IF(B983="","",TEXT(B983,"ddd"))</f>
        <v/>
      </c>
      <c r="E983" s="27" t="str">
        <f aca="false">IF(B983="","",B983-WEEKDAY(B983,3))</f>
        <v/>
      </c>
      <c r="F983" s="24" t="str">
        <f aca="false">IF(B983="","",TEXT(B983,"yyyy-mm"))</f>
        <v/>
      </c>
      <c r="G983" s="29"/>
      <c r="H983" s="29"/>
      <c r="I983" s="29"/>
      <c r="J983" s="29"/>
      <c r="K983" s="29"/>
      <c r="L983" s="29"/>
      <c r="M983" s="29"/>
      <c r="N983" s="29"/>
      <c r="O983" s="29"/>
      <c r="P983" s="29"/>
      <c r="Q983" s="30"/>
      <c r="R983" s="29"/>
      <c r="S983" s="32"/>
      <c r="T983" s="29"/>
      <c r="U983" s="29"/>
      <c r="V983" s="24" t="str">
        <f aca="false">IF(A983="","",IFERROR(INDEX(Settings!$F$5:$F$49,MATCH(G983,Settings!$D$5:$D$49,0)),""))</f>
        <v/>
      </c>
      <c r="W983" s="24" t="str">
        <f aca="false">IF(A983="","",IF(OR(P983="",P983="Organic"),"social","paid_social"))</f>
        <v/>
      </c>
      <c r="X983" s="24" t="str">
        <f aca="false">IF(A983="","",IF(K983&lt;&gt;"",IFERROR(INDEX('Case Studies'!$C$5:$C$54,MATCH(K983,'Case Studies'!$B$5:$B$54,0))&amp;"","case-study"),IF(J983&lt;&gt;"",IFERROR(INDEX(Settings!$J$5:$J$55,MATCH(J983,Settings!$I$5:$I$55,0)),"general"),"general")))</f>
        <v/>
      </c>
      <c r="Y983" s="24" t="str">
        <f aca="false">IF(A983="","",LOWER(A983))</f>
        <v/>
      </c>
      <c r="Z983" s="24" t="str">
        <f aca="false">IF(A983="","",IF(T983="",Settings!$B$5,T983)&amp;IF(ISNUMBER(FIND("?",IF(T983="",Settings!$B$5,T983))),"&amp;","?")&amp;"utm_source="&amp;V983&amp;"&amp;utm_medium="&amp;W983&amp;"&amp;utm_campaign="&amp;X983&amp;"&amp;utm_content="&amp;Y983)</f>
        <v/>
      </c>
      <c r="AA983" s="29"/>
      <c r="AB983" s="39"/>
      <c r="AC983" s="32"/>
      <c r="AD983" s="32"/>
      <c r="AE983" s="32"/>
      <c r="AF983" s="32"/>
      <c r="AG983" s="32"/>
      <c r="AH983" s="32"/>
      <c r="AI983" s="32"/>
      <c r="AJ983" s="32"/>
      <c r="AK983" s="32"/>
      <c r="AL983" s="32"/>
      <c r="AM983" s="32"/>
      <c r="AN983" s="32"/>
      <c r="AO983" s="33" t="str">
        <f aca="false">IF(A983="","",IF(AD983&lt;&gt;"",AD983,IF(AC983&lt;&gt;"",AC983,"")))</f>
        <v/>
      </c>
      <c r="AP983" s="24" t="str">
        <f aca="false">IF(AO983="","",IF(AD983&lt;&gt;"","Reported reach","Impressions (proxy)"))</f>
        <v/>
      </c>
      <c r="AQ983" s="34" t="str">
        <f aca="false">IF(OR(AO983="",N(S983)=0),"",AO983/S983)</f>
        <v/>
      </c>
      <c r="AR983" s="33" t="str">
        <f aca="false">IF(A983="","",IF(COUNT(AF983:AJ983)=0,"",SUM(AF983:AJ983)))</f>
        <v/>
      </c>
      <c r="AS983" s="34" t="str">
        <f aca="false">IF(OR(AR983="",N(AO983)=0),"",AR983/AO983)</f>
        <v/>
      </c>
      <c r="AT983" s="34" t="str">
        <f aca="false">IF(OR(AR983="",N(AC983)=0),"",AR983/AC983)</f>
        <v/>
      </c>
      <c r="AU983" s="34" t="str">
        <f aca="false">IF(OR(AR983="",N(S983)=0),"",AR983/S983)</f>
        <v/>
      </c>
      <c r="AV983" s="34" t="str">
        <f aca="false">IF(OR(AJ983="",N(AC983)=0),"",AJ983/AC983)</f>
        <v/>
      </c>
      <c r="AW983" s="34" t="str">
        <f aca="false">IF(OR(AH983="",N(AO983)=0),"",AH983/AO983)</f>
        <v/>
      </c>
      <c r="AX983" s="35" t="str">
        <f aca="false">IF(OR(AR983="",N(AO983)=0),"",(N(AF983)*Settings!$B$6+N(AG983)*Settings!$B$7+N(AH983)*Settings!$B$8+N(AI983)*Settings!$B$9+N(AJ983)*Settings!$B$10)/AO983*1000)</f>
        <v/>
      </c>
      <c r="AY983" s="36" t="str">
        <f aca="false">IF(AS983="","",IFERROR(AS983/AVERAGEIFS('Post Tracker'!$AS$5:$AS$1004,'Post Tracker'!$G$5:$G$1004,G983),""))</f>
        <v/>
      </c>
      <c r="AZ983" s="32"/>
      <c r="BA983" s="32"/>
      <c r="BB983" s="32"/>
      <c r="BC983" s="32"/>
      <c r="BD983" s="33" t="str">
        <f aca="false">IF(A983="","",COUNTIFS('Demo Pipeline'!$Q$5:$Q$504,A983))</f>
        <v/>
      </c>
      <c r="BE983" s="33" t="str">
        <f aca="false">IF(A983="","",COUNTIFS('Demo Pipeline'!$Q$5:$Q$504,A983,'Demo Pipeline'!$W$5:$W$504,"Attended"))</f>
        <v/>
      </c>
      <c r="BF983" s="33" t="str">
        <f aca="false">IF(A983="","",COUNTIFS('Demo Pipeline'!$Q$5:$Q$504,A983,'Demo Pipeline'!$X$5:$X$504,"Yes"))</f>
        <v/>
      </c>
      <c r="BG983" s="33" t="str">
        <f aca="false">IF(A983="","",COUNTIFS('Demo Pipeline'!$Q$5:$Q$504,A983,'Demo Pipeline'!$Y$5:$Y$504,"Closed Won"))</f>
        <v/>
      </c>
      <c r="BH983" s="37" t="str">
        <f aca="false">IF(A983="","",SUMIFS('Demo Pipeline'!$Z$5:$Z$504,'Demo Pipeline'!$Q$5:$Q$504,A983))</f>
        <v/>
      </c>
      <c r="BI983" s="34" t="str">
        <f aca="false">IF(OR(AZ983="",N(AJ983)=0),"",AZ983/AJ983)</f>
        <v/>
      </c>
      <c r="BJ983" s="34" t="str">
        <f aca="false">IF(OR(BB983="",N(AZ983)=0),"",BB983/AZ983)</f>
        <v/>
      </c>
      <c r="BK983" s="34" t="str">
        <f aca="false">IF(OR(A983="",N(BB983)=0),"",BD983/BB983)</f>
        <v/>
      </c>
      <c r="BL983" s="34" t="str">
        <f aca="false">IF(OR(A983="",N(AZ983)=0),"",BD983/AZ983)</f>
        <v/>
      </c>
      <c r="BM983" s="37" t="str">
        <f aca="false">IF(OR(N(Q983)=0,N(BD983)=0),"",Q983/BD983)</f>
        <v/>
      </c>
      <c r="BN983" s="29"/>
      <c r="BO983" s="29"/>
      <c r="BP983" s="33" t="str">
        <f aca="false">IF(OR(AR983="",N(AO983)=0),"",AR983)</f>
        <v/>
      </c>
      <c r="BQ983" s="33" t="str">
        <f aca="false">IF(OR(AR983="",N(S983)=0),"",S983)</f>
        <v/>
      </c>
      <c r="BR983" s="38" t="str">
        <f aca="false">IF(AND(ISNUMBER(B983),B983&gt;=Dashboard!$C$4,B983&lt;=Dashboard!$F$4,ISNUMBER(AU983)),AU983+ROW()/10^9,"")</f>
        <v/>
      </c>
      <c r="BS983" s="38" t="str">
        <f aca="false">IF(AND(ISNUMBER(B983),B983&gt;=Dashboard!$C$4,B983&lt;=Dashboard!$F$4,A983&lt;&gt;""),N(BD983)+N(AU983)/100+ROW()/10^9,"")</f>
        <v/>
      </c>
    </row>
    <row r="984" customFormat="false" ht="15" hidden="false" customHeight="false" outlineLevel="0" collapsed="false">
      <c r="A984" s="24" t="str">
        <f aca="false">IF(OR(B984="",G984="",H984=""),"",IFERROR(INDEX(Settings!$E$5:$E$49,MATCH(G984,Settings!$D$5:$D$49,0))&amp;INDEX(Settings!$H$5:$H$47,MATCH(H984,Settings!$G$5:$G$47,0))&amp;"-"&amp;TEXT(B984,"yymmdd")&amp;"-"&amp;IF(C984="","0000",TEXT(C984,"hhmm")),"CHECK LISTS"))</f>
        <v/>
      </c>
      <c r="B984" s="39"/>
      <c r="C984" s="40"/>
      <c r="D984" s="24" t="str">
        <f aca="false">IF(B984="","",TEXT(B984,"ddd"))</f>
        <v/>
      </c>
      <c r="E984" s="27" t="str">
        <f aca="false">IF(B984="","",B984-WEEKDAY(B984,3))</f>
        <v/>
      </c>
      <c r="F984" s="24" t="str">
        <f aca="false">IF(B984="","",TEXT(B984,"yyyy-mm"))</f>
        <v/>
      </c>
      <c r="G984" s="29"/>
      <c r="H984" s="29"/>
      <c r="I984" s="29"/>
      <c r="J984" s="29"/>
      <c r="K984" s="29"/>
      <c r="L984" s="29"/>
      <c r="M984" s="29"/>
      <c r="N984" s="29"/>
      <c r="O984" s="29"/>
      <c r="P984" s="29"/>
      <c r="Q984" s="30"/>
      <c r="R984" s="29"/>
      <c r="S984" s="32"/>
      <c r="T984" s="29"/>
      <c r="U984" s="29"/>
      <c r="V984" s="24" t="str">
        <f aca="false">IF(A984="","",IFERROR(INDEX(Settings!$F$5:$F$49,MATCH(G984,Settings!$D$5:$D$49,0)),""))</f>
        <v/>
      </c>
      <c r="W984" s="24" t="str">
        <f aca="false">IF(A984="","",IF(OR(P984="",P984="Organic"),"social","paid_social"))</f>
        <v/>
      </c>
      <c r="X984" s="24" t="str">
        <f aca="false">IF(A984="","",IF(K984&lt;&gt;"",IFERROR(INDEX('Case Studies'!$C$5:$C$54,MATCH(K984,'Case Studies'!$B$5:$B$54,0))&amp;"","case-study"),IF(J984&lt;&gt;"",IFERROR(INDEX(Settings!$J$5:$J$55,MATCH(J984,Settings!$I$5:$I$55,0)),"general"),"general")))</f>
        <v/>
      </c>
      <c r="Y984" s="24" t="str">
        <f aca="false">IF(A984="","",LOWER(A984))</f>
        <v/>
      </c>
      <c r="Z984" s="24" t="str">
        <f aca="false">IF(A984="","",IF(T984="",Settings!$B$5,T984)&amp;IF(ISNUMBER(FIND("?",IF(T984="",Settings!$B$5,T984))),"&amp;","?")&amp;"utm_source="&amp;V984&amp;"&amp;utm_medium="&amp;W984&amp;"&amp;utm_campaign="&amp;X984&amp;"&amp;utm_content="&amp;Y984)</f>
        <v/>
      </c>
      <c r="AA984" s="29"/>
      <c r="AB984" s="39"/>
      <c r="AC984" s="32"/>
      <c r="AD984" s="32"/>
      <c r="AE984" s="32"/>
      <c r="AF984" s="32"/>
      <c r="AG984" s="32"/>
      <c r="AH984" s="32"/>
      <c r="AI984" s="32"/>
      <c r="AJ984" s="32"/>
      <c r="AK984" s="32"/>
      <c r="AL984" s="32"/>
      <c r="AM984" s="32"/>
      <c r="AN984" s="32"/>
      <c r="AO984" s="33" t="str">
        <f aca="false">IF(A984="","",IF(AD984&lt;&gt;"",AD984,IF(AC984&lt;&gt;"",AC984,"")))</f>
        <v/>
      </c>
      <c r="AP984" s="24" t="str">
        <f aca="false">IF(AO984="","",IF(AD984&lt;&gt;"","Reported reach","Impressions (proxy)"))</f>
        <v/>
      </c>
      <c r="AQ984" s="34" t="str">
        <f aca="false">IF(OR(AO984="",N(S984)=0),"",AO984/S984)</f>
        <v/>
      </c>
      <c r="AR984" s="33" t="str">
        <f aca="false">IF(A984="","",IF(COUNT(AF984:AJ984)=0,"",SUM(AF984:AJ984)))</f>
        <v/>
      </c>
      <c r="AS984" s="34" t="str">
        <f aca="false">IF(OR(AR984="",N(AO984)=0),"",AR984/AO984)</f>
        <v/>
      </c>
      <c r="AT984" s="34" t="str">
        <f aca="false">IF(OR(AR984="",N(AC984)=0),"",AR984/AC984)</f>
        <v/>
      </c>
      <c r="AU984" s="34" t="str">
        <f aca="false">IF(OR(AR984="",N(S984)=0),"",AR984/S984)</f>
        <v/>
      </c>
      <c r="AV984" s="34" t="str">
        <f aca="false">IF(OR(AJ984="",N(AC984)=0),"",AJ984/AC984)</f>
        <v/>
      </c>
      <c r="AW984" s="34" t="str">
        <f aca="false">IF(OR(AH984="",N(AO984)=0),"",AH984/AO984)</f>
        <v/>
      </c>
      <c r="AX984" s="35" t="str">
        <f aca="false">IF(OR(AR984="",N(AO984)=0),"",(N(AF984)*Settings!$B$6+N(AG984)*Settings!$B$7+N(AH984)*Settings!$B$8+N(AI984)*Settings!$B$9+N(AJ984)*Settings!$B$10)/AO984*1000)</f>
        <v/>
      </c>
      <c r="AY984" s="36" t="str">
        <f aca="false">IF(AS984="","",IFERROR(AS984/AVERAGEIFS('Post Tracker'!$AS$5:$AS$1004,'Post Tracker'!$G$5:$G$1004,G984),""))</f>
        <v/>
      </c>
      <c r="AZ984" s="32"/>
      <c r="BA984" s="32"/>
      <c r="BB984" s="32"/>
      <c r="BC984" s="32"/>
      <c r="BD984" s="33" t="str">
        <f aca="false">IF(A984="","",COUNTIFS('Demo Pipeline'!$Q$5:$Q$504,A984))</f>
        <v/>
      </c>
      <c r="BE984" s="33" t="str">
        <f aca="false">IF(A984="","",COUNTIFS('Demo Pipeline'!$Q$5:$Q$504,A984,'Demo Pipeline'!$W$5:$W$504,"Attended"))</f>
        <v/>
      </c>
      <c r="BF984" s="33" t="str">
        <f aca="false">IF(A984="","",COUNTIFS('Demo Pipeline'!$Q$5:$Q$504,A984,'Demo Pipeline'!$X$5:$X$504,"Yes"))</f>
        <v/>
      </c>
      <c r="BG984" s="33" t="str">
        <f aca="false">IF(A984="","",COUNTIFS('Demo Pipeline'!$Q$5:$Q$504,A984,'Demo Pipeline'!$Y$5:$Y$504,"Closed Won"))</f>
        <v/>
      </c>
      <c r="BH984" s="37" t="str">
        <f aca="false">IF(A984="","",SUMIFS('Demo Pipeline'!$Z$5:$Z$504,'Demo Pipeline'!$Q$5:$Q$504,A984))</f>
        <v/>
      </c>
      <c r="BI984" s="34" t="str">
        <f aca="false">IF(OR(AZ984="",N(AJ984)=0),"",AZ984/AJ984)</f>
        <v/>
      </c>
      <c r="BJ984" s="34" t="str">
        <f aca="false">IF(OR(BB984="",N(AZ984)=0),"",BB984/AZ984)</f>
        <v/>
      </c>
      <c r="BK984" s="34" t="str">
        <f aca="false">IF(OR(A984="",N(BB984)=0),"",BD984/BB984)</f>
        <v/>
      </c>
      <c r="BL984" s="34" t="str">
        <f aca="false">IF(OR(A984="",N(AZ984)=0),"",BD984/AZ984)</f>
        <v/>
      </c>
      <c r="BM984" s="37" t="str">
        <f aca="false">IF(OR(N(Q984)=0,N(BD984)=0),"",Q984/BD984)</f>
        <v/>
      </c>
      <c r="BN984" s="29"/>
      <c r="BO984" s="29"/>
      <c r="BP984" s="33" t="str">
        <f aca="false">IF(OR(AR984="",N(AO984)=0),"",AR984)</f>
        <v/>
      </c>
      <c r="BQ984" s="33" t="str">
        <f aca="false">IF(OR(AR984="",N(S984)=0),"",S984)</f>
        <v/>
      </c>
      <c r="BR984" s="38" t="str">
        <f aca="false">IF(AND(ISNUMBER(B984),B984&gt;=Dashboard!$C$4,B984&lt;=Dashboard!$F$4,ISNUMBER(AU984)),AU984+ROW()/10^9,"")</f>
        <v/>
      </c>
      <c r="BS984" s="38" t="str">
        <f aca="false">IF(AND(ISNUMBER(B984),B984&gt;=Dashboard!$C$4,B984&lt;=Dashboard!$F$4,A984&lt;&gt;""),N(BD984)+N(AU984)/100+ROW()/10^9,"")</f>
        <v/>
      </c>
    </row>
    <row r="985" customFormat="false" ht="15" hidden="false" customHeight="false" outlineLevel="0" collapsed="false">
      <c r="A985" s="24" t="str">
        <f aca="false">IF(OR(B985="",G985="",H985=""),"",IFERROR(INDEX(Settings!$E$5:$E$49,MATCH(G985,Settings!$D$5:$D$49,0))&amp;INDEX(Settings!$H$5:$H$47,MATCH(H985,Settings!$G$5:$G$47,0))&amp;"-"&amp;TEXT(B985,"yymmdd")&amp;"-"&amp;IF(C985="","0000",TEXT(C985,"hhmm")),"CHECK LISTS"))</f>
        <v/>
      </c>
      <c r="B985" s="39"/>
      <c r="C985" s="40"/>
      <c r="D985" s="24" t="str">
        <f aca="false">IF(B985="","",TEXT(B985,"ddd"))</f>
        <v/>
      </c>
      <c r="E985" s="27" t="str">
        <f aca="false">IF(B985="","",B985-WEEKDAY(B985,3))</f>
        <v/>
      </c>
      <c r="F985" s="24" t="str">
        <f aca="false">IF(B985="","",TEXT(B985,"yyyy-mm"))</f>
        <v/>
      </c>
      <c r="G985" s="29"/>
      <c r="H985" s="29"/>
      <c r="I985" s="29"/>
      <c r="J985" s="29"/>
      <c r="K985" s="29"/>
      <c r="L985" s="29"/>
      <c r="M985" s="29"/>
      <c r="N985" s="29"/>
      <c r="O985" s="29"/>
      <c r="P985" s="29"/>
      <c r="Q985" s="30"/>
      <c r="R985" s="29"/>
      <c r="S985" s="32"/>
      <c r="T985" s="29"/>
      <c r="U985" s="29"/>
      <c r="V985" s="24" t="str">
        <f aca="false">IF(A985="","",IFERROR(INDEX(Settings!$F$5:$F$49,MATCH(G985,Settings!$D$5:$D$49,0)),""))</f>
        <v/>
      </c>
      <c r="W985" s="24" t="str">
        <f aca="false">IF(A985="","",IF(OR(P985="",P985="Organic"),"social","paid_social"))</f>
        <v/>
      </c>
      <c r="X985" s="24" t="str">
        <f aca="false">IF(A985="","",IF(K985&lt;&gt;"",IFERROR(INDEX('Case Studies'!$C$5:$C$54,MATCH(K985,'Case Studies'!$B$5:$B$54,0))&amp;"","case-study"),IF(J985&lt;&gt;"",IFERROR(INDEX(Settings!$J$5:$J$55,MATCH(J985,Settings!$I$5:$I$55,0)),"general"),"general")))</f>
        <v/>
      </c>
      <c r="Y985" s="24" t="str">
        <f aca="false">IF(A985="","",LOWER(A985))</f>
        <v/>
      </c>
      <c r="Z985" s="24" t="str">
        <f aca="false">IF(A985="","",IF(T985="",Settings!$B$5,T985)&amp;IF(ISNUMBER(FIND("?",IF(T985="",Settings!$B$5,T985))),"&amp;","?")&amp;"utm_source="&amp;V985&amp;"&amp;utm_medium="&amp;W985&amp;"&amp;utm_campaign="&amp;X985&amp;"&amp;utm_content="&amp;Y985)</f>
        <v/>
      </c>
      <c r="AA985" s="29"/>
      <c r="AB985" s="39"/>
      <c r="AC985" s="32"/>
      <c r="AD985" s="32"/>
      <c r="AE985" s="32"/>
      <c r="AF985" s="32"/>
      <c r="AG985" s="32"/>
      <c r="AH985" s="32"/>
      <c r="AI985" s="32"/>
      <c r="AJ985" s="32"/>
      <c r="AK985" s="32"/>
      <c r="AL985" s="32"/>
      <c r="AM985" s="32"/>
      <c r="AN985" s="32"/>
      <c r="AO985" s="33" t="str">
        <f aca="false">IF(A985="","",IF(AD985&lt;&gt;"",AD985,IF(AC985&lt;&gt;"",AC985,"")))</f>
        <v/>
      </c>
      <c r="AP985" s="24" t="str">
        <f aca="false">IF(AO985="","",IF(AD985&lt;&gt;"","Reported reach","Impressions (proxy)"))</f>
        <v/>
      </c>
      <c r="AQ985" s="34" t="str">
        <f aca="false">IF(OR(AO985="",N(S985)=0),"",AO985/S985)</f>
        <v/>
      </c>
      <c r="AR985" s="33" t="str">
        <f aca="false">IF(A985="","",IF(COUNT(AF985:AJ985)=0,"",SUM(AF985:AJ985)))</f>
        <v/>
      </c>
      <c r="AS985" s="34" t="str">
        <f aca="false">IF(OR(AR985="",N(AO985)=0),"",AR985/AO985)</f>
        <v/>
      </c>
      <c r="AT985" s="34" t="str">
        <f aca="false">IF(OR(AR985="",N(AC985)=0),"",AR985/AC985)</f>
        <v/>
      </c>
      <c r="AU985" s="34" t="str">
        <f aca="false">IF(OR(AR985="",N(S985)=0),"",AR985/S985)</f>
        <v/>
      </c>
      <c r="AV985" s="34" t="str">
        <f aca="false">IF(OR(AJ985="",N(AC985)=0),"",AJ985/AC985)</f>
        <v/>
      </c>
      <c r="AW985" s="34" t="str">
        <f aca="false">IF(OR(AH985="",N(AO985)=0),"",AH985/AO985)</f>
        <v/>
      </c>
      <c r="AX985" s="35" t="str">
        <f aca="false">IF(OR(AR985="",N(AO985)=0),"",(N(AF985)*Settings!$B$6+N(AG985)*Settings!$B$7+N(AH985)*Settings!$B$8+N(AI985)*Settings!$B$9+N(AJ985)*Settings!$B$10)/AO985*1000)</f>
        <v/>
      </c>
      <c r="AY985" s="36" t="str">
        <f aca="false">IF(AS985="","",IFERROR(AS985/AVERAGEIFS('Post Tracker'!$AS$5:$AS$1004,'Post Tracker'!$G$5:$G$1004,G985),""))</f>
        <v/>
      </c>
      <c r="AZ985" s="32"/>
      <c r="BA985" s="32"/>
      <c r="BB985" s="32"/>
      <c r="BC985" s="32"/>
      <c r="BD985" s="33" t="str">
        <f aca="false">IF(A985="","",COUNTIFS('Demo Pipeline'!$Q$5:$Q$504,A985))</f>
        <v/>
      </c>
      <c r="BE985" s="33" t="str">
        <f aca="false">IF(A985="","",COUNTIFS('Demo Pipeline'!$Q$5:$Q$504,A985,'Demo Pipeline'!$W$5:$W$504,"Attended"))</f>
        <v/>
      </c>
      <c r="BF985" s="33" t="str">
        <f aca="false">IF(A985="","",COUNTIFS('Demo Pipeline'!$Q$5:$Q$504,A985,'Demo Pipeline'!$X$5:$X$504,"Yes"))</f>
        <v/>
      </c>
      <c r="BG985" s="33" t="str">
        <f aca="false">IF(A985="","",COUNTIFS('Demo Pipeline'!$Q$5:$Q$504,A985,'Demo Pipeline'!$Y$5:$Y$504,"Closed Won"))</f>
        <v/>
      </c>
      <c r="BH985" s="37" t="str">
        <f aca="false">IF(A985="","",SUMIFS('Demo Pipeline'!$Z$5:$Z$504,'Demo Pipeline'!$Q$5:$Q$504,A985))</f>
        <v/>
      </c>
      <c r="BI985" s="34" t="str">
        <f aca="false">IF(OR(AZ985="",N(AJ985)=0),"",AZ985/AJ985)</f>
        <v/>
      </c>
      <c r="BJ985" s="34" t="str">
        <f aca="false">IF(OR(BB985="",N(AZ985)=0),"",BB985/AZ985)</f>
        <v/>
      </c>
      <c r="BK985" s="34" t="str">
        <f aca="false">IF(OR(A985="",N(BB985)=0),"",BD985/BB985)</f>
        <v/>
      </c>
      <c r="BL985" s="34" t="str">
        <f aca="false">IF(OR(A985="",N(AZ985)=0),"",BD985/AZ985)</f>
        <v/>
      </c>
      <c r="BM985" s="37" t="str">
        <f aca="false">IF(OR(N(Q985)=0,N(BD985)=0),"",Q985/BD985)</f>
        <v/>
      </c>
      <c r="BN985" s="29"/>
      <c r="BO985" s="29"/>
      <c r="BP985" s="33" t="str">
        <f aca="false">IF(OR(AR985="",N(AO985)=0),"",AR985)</f>
        <v/>
      </c>
      <c r="BQ985" s="33" t="str">
        <f aca="false">IF(OR(AR985="",N(S985)=0),"",S985)</f>
        <v/>
      </c>
      <c r="BR985" s="38" t="str">
        <f aca="false">IF(AND(ISNUMBER(B985),B985&gt;=Dashboard!$C$4,B985&lt;=Dashboard!$F$4,ISNUMBER(AU985)),AU985+ROW()/10^9,"")</f>
        <v/>
      </c>
      <c r="BS985" s="38" t="str">
        <f aca="false">IF(AND(ISNUMBER(B985),B985&gt;=Dashboard!$C$4,B985&lt;=Dashboard!$F$4,A985&lt;&gt;""),N(BD985)+N(AU985)/100+ROW()/10^9,"")</f>
        <v/>
      </c>
    </row>
    <row r="986" customFormat="false" ht="15" hidden="false" customHeight="false" outlineLevel="0" collapsed="false">
      <c r="A986" s="24" t="str">
        <f aca="false">IF(OR(B986="",G986="",H986=""),"",IFERROR(INDEX(Settings!$E$5:$E$49,MATCH(G986,Settings!$D$5:$D$49,0))&amp;INDEX(Settings!$H$5:$H$47,MATCH(H986,Settings!$G$5:$G$47,0))&amp;"-"&amp;TEXT(B986,"yymmdd")&amp;"-"&amp;IF(C986="","0000",TEXT(C986,"hhmm")),"CHECK LISTS"))</f>
        <v/>
      </c>
      <c r="B986" s="39"/>
      <c r="C986" s="40"/>
      <c r="D986" s="24" t="str">
        <f aca="false">IF(B986="","",TEXT(B986,"ddd"))</f>
        <v/>
      </c>
      <c r="E986" s="27" t="str">
        <f aca="false">IF(B986="","",B986-WEEKDAY(B986,3))</f>
        <v/>
      </c>
      <c r="F986" s="24" t="str">
        <f aca="false">IF(B986="","",TEXT(B986,"yyyy-mm"))</f>
        <v/>
      </c>
      <c r="G986" s="29"/>
      <c r="H986" s="29"/>
      <c r="I986" s="29"/>
      <c r="J986" s="29"/>
      <c r="K986" s="29"/>
      <c r="L986" s="29"/>
      <c r="M986" s="29"/>
      <c r="N986" s="29"/>
      <c r="O986" s="29"/>
      <c r="P986" s="29"/>
      <c r="Q986" s="30"/>
      <c r="R986" s="29"/>
      <c r="S986" s="32"/>
      <c r="T986" s="29"/>
      <c r="U986" s="29"/>
      <c r="V986" s="24" t="str">
        <f aca="false">IF(A986="","",IFERROR(INDEX(Settings!$F$5:$F$49,MATCH(G986,Settings!$D$5:$D$49,0)),""))</f>
        <v/>
      </c>
      <c r="W986" s="24" t="str">
        <f aca="false">IF(A986="","",IF(OR(P986="",P986="Organic"),"social","paid_social"))</f>
        <v/>
      </c>
      <c r="X986" s="24" t="str">
        <f aca="false">IF(A986="","",IF(K986&lt;&gt;"",IFERROR(INDEX('Case Studies'!$C$5:$C$54,MATCH(K986,'Case Studies'!$B$5:$B$54,0))&amp;"","case-study"),IF(J986&lt;&gt;"",IFERROR(INDEX(Settings!$J$5:$J$55,MATCH(J986,Settings!$I$5:$I$55,0)),"general"),"general")))</f>
        <v/>
      </c>
      <c r="Y986" s="24" t="str">
        <f aca="false">IF(A986="","",LOWER(A986))</f>
        <v/>
      </c>
      <c r="Z986" s="24" t="str">
        <f aca="false">IF(A986="","",IF(T986="",Settings!$B$5,T986)&amp;IF(ISNUMBER(FIND("?",IF(T986="",Settings!$B$5,T986))),"&amp;","?")&amp;"utm_source="&amp;V986&amp;"&amp;utm_medium="&amp;W986&amp;"&amp;utm_campaign="&amp;X986&amp;"&amp;utm_content="&amp;Y986)</f>
        <v/>
      </c>
      <c r="AA986" s="29"/>
      <c r="AB986" s="39"/>
      <c r="AC986" s="32"/>
      <c r="AD986" s="32"/>
      <c r="AE986" s="32"/>
      <c r="AF986" s="32"/>
      <c r="AG986" s="32"/>
      <c r="AH986" s="32"/>
      <c r="AI986" s="32"/>
      <c r="AJ986" s="32"/>
      <c r="AK986" s="32"/>
      <c r="AL986" s="32"/>
      <c r="AM986" s="32"/>
      <c r="AN986" s="32"/>
      <c r="AO986" s="33" t="str">
        <f aca="false">IF(A986="","",IF(AD986&lt;&gt;"",AD986,IF(AC986&lt;&gt;"",AC986,"")))</f>
        <v/>
      </c>
      <c r="AP986" s="24" t="str">
        <f aca="false">IF(AO986="","",IF(AD986&lt;&gt;"","Reported reach","Impressions (proxy)"))</f>
        <v/>
      </c>
      <c r="AQ986" s="34" t="str">
        <f aca="false">IF(OR(AO986="",N(S986)=0),"",AO986/S986)</f>
        <v/>
      </c>
      <c r="AR986" s="33" t="str">
        <f aca="false">IF(A986="","",IF(COUNT(AF986:AJ986)=0,"",SUM(AF986:AJ986)))</f>
        <v/>
      </c>
      <c r="AS986" s="34" t="str">
        <f aca="false">IF(OR(AR986="",N(AO986)=0),"",AR986/AO986)</f>
        <v/>
      </c>
      <c r="AT986" s="34" t="str">
        <f aca="false">IF(OR(AR986="",N(AC986)=0),"",AR986/AC986)</f>
        <v/>
      </c>
      <c r="AU986" s="34" t="str">
        <f aca="false">IF(OR(AR986="",N(S986)=0),"",AR986/S986)</f>
        <v/>
      </c>
      <c r="AV986" s="34" t="str">
        <f aca="false">IF(OR(AJ986="",N(AC986)=0),"",AJ986/AC986)</f>
        <v/>
      </c>
      <c r="AW986" s="34" t="str">
        <f aca="false">IF(OR(AH986="",N(AO986)=0),"",AH986/AO986)</f>
        <v/>
      </c>
      <c r="AX986" s="35" t="str">
        <f aca="false">IF(OR(AR986="",N(AO986)=0),"",(N(AF986)*Settings!$B$6+N(AG986)*Settings!$B$7+N(AH986)*Settings!$B$8+N(AI986)*Settings!$B$9+N(AJ986)*Settings!$B$10)/AO986*1000)</f>
        <v/>
      </c>
      <c r="AY986" s="36" t="str">
        <f aca="false">IF(AS986="","",IFERROR(AS986/AVERAGEIFS('Post Tracker'!$AS$5:$AS$1004,'Post Tracker'!$G$5:$G$1004,G986),""))</f>
        <v/>
      </c>
      <c r="AZ986" s="32"/>
      <c r="BA986" s="32"/>
      <c r="BB986" s="32"/>
      <c r="BC986" s="32"/>
      <c r="BD986" s="33" t="str">
        <f aca="false">IF(A986="","",COUNTIFS('Demo Pipeline'!$Q$5:$Q$504,A986))</f>
        <v/>
      </c>
      <c r="BE986" s="33" t="str">
        <f aca="false">IF(A986="","",COUNTIFS('Demo Pipeline'!$Q$5:$Q$504,A986,'Demo Pipeline'!$W$5:$W$504,"Attended"))</f>
        <v/>
      </c>
      <c r="BF986" s="33" t="str">
        <f aca="false">IF(A986="","",COUNTIFS('Demo Pipeline'!$Q$5:$Q$504,A986,'Demo Pipeline'!$X$5:$X$504,"Yes"))</f>
        <v/>
      </c>
      <c r="BG986" s="33" t="str">
        <f aca="false">IF(A986="","",COUNTIFS('Demo Pipeline'!$Q$5:$Q$504,A986,'Demo Pipeline'!$Y$5:$Y$504,"Closed Won"))</f>
        <v/>
      </c>
      <c r="BH986" s="37" t="str">
        <f aca="false">IF(A986="","",SUMIFS('Demo Pipeline'!$Z$5:$Z$504,'Demo Pipeline'!$Q$5:$Q$504,A986))</f>
        <v/>
      </c>
      <c r="BI986" s="34" t="str">
        <f aca="false">IF(OR(AZ986="",N(AJ986)=0),"",AZ986/AJ986)</f>
        <v/>
      </c>
      <c r="BJ986" s="34" t="str">
        <f aca="false">IF(OR(BB986="",N(AZ986)=0),"",BB986/AZ986)</f>
        <v/>
      </c>
      <c r="BK986" s="34" t="str">
        <f aca="false">IF(OR(A986="",N(BB986)=0),"",BD986/BB986)</f>
        <v/>
      </c>
      <c r="BL986" s="34" t="str">
        <f aca="false">IF(OR(A986="",N(AZ986)=0),"",BD986/AZ986)</f>
        <v/>
      </c>
      <c r="BM986" s="37" t="str">
        <f aca="false">IF(OR(N(Q986)=0,N(BD986)=0),"",Q986/BD986)</f>
        <v/>
      </c>
      <c r="BN986" s="29"/>
      <c r="BO986" s="29"/>
      <c r="BP986" s="33" t="str">
        <f aca="false">IF(OR(AR986="",N(AO986)=0),"",AR986)</f>
        <v/>
      </c>
      <c r="BQ986" s="33" t="str">
        <f aca="false">IF(OR(AR986="",N(S986)=0),"",S986)</f>
        <v/>
      </c>
      <c r="BR986" s="38" t="str">
        <f aca="false">IF(AND(ISNUMBER(B986),B986&gt;=Dashboard!$C$4,B986&lt;=Dashboard!$F$4,ISNUMBER(AU986)),AU986+ROW()/10^9,"")</f>
        <v/>
      </c>
      <c r="BS986" s="38" t="str">
        <f aca="false">IF(AND(ISNUMBER(B986),B986&gt;=Dashboard!$C$4,B986&lt;=Dashboard!$F$4,A986&lt;&gt;""),N(BD986)+N(AU986)/100+ROW()/10^9,"")</f>
        <v/>
      </c>
    </row>
    <row r="987" customFormat="false" ht="15" hidden="false" customHeight="false" outlineLevel="0" collapsed="false">
      <c r="A987" s="24" t="str">
        <f aca="false">IF(OR(B987="",G987="",H987=""),"",IFERROR(INDEX(Settings!$E$5:$E$49,MATCH(G987,Settings!$D$5:$D$49,0))&amp;INDEX(Settings!$H$5:$H$47,MATCH(H987,Settings!$G$5:$G$47,0))&amp;"-"&amp;TEXT(B987,"yymmdd")&amp;"-"&amp;IF(C987="","0000",TEXT(C987,"hhmm")),"CHECK LISTS"))</f>
        <v/>
      </c>
      <c r="B987" s="39"/>
      <c r="C987" s="40"/>
      <c r="D987" s="24" t="str">
        <f aca="false">IF(B987="","",TEXT(B987,"ddd"))</f>
        <v/>
      </c>
      <c r="E987" s="27" t="str">
        <f aca="false">IF(B987="","",B987-WEEKDAY(B987,3))</f>
        <v/>
      </c>
      <c r="F987" s="24" t="str">
        <f aca="false">IF(B987="","",TEXT(B987,"yyyy-mm"))</f>
        <v/>
      </c>
      <c r="G987" s="29"/>
      <c r="H987" s="29"/>
      <c r="I987" s="29"/>
      <c r="J987" s="29"/>
      <c r="K987" s="29"/>
      <c r="L987" s="29"/>
      <c r="M987" s="29"/>
      <c r="N987" s="29"/>
      <c r="O987" s="29"/>
      <c r="P987" s="29"/>
      <c r="Q987" s="30"/>
      <c r="R987" s="29"/>
      <c r="S987" s="32"/>
      <c r="T987" s="29"/>
      <c r="U987" s="29"/>
      <c r="V987" s="24" t="str">
        <f aca="false">IF(A987="","",IFERROR(INDEX(Settings!$F$5:$F$49,MATCH(G987,Settings!$D$5:$D$49,0)),""))</f>
        <v/>
      </c>
      <c r="W987" s="24" t="str">
        <f aca="false">IF(A987="","",IF(OR(P987="",P987="Organic"),"social","paid_social"))</f>
        <v/>
      </c>
      <c r="X987" s="24" t="str">
        <f aca="false">IF(A987="","",IF(K987&lt;&gt;"",IFERROR(INDEX('Case Studies'!$C$5:$C$54,MATCH(K987,'Case Studies'!$B$5:$B$54,0))&amp;"","case-study"),IF(J987&lt;&gt;"",IFERROR(INDEX(Settings!$J$5:$J$55,MATCH(J987,Settings!$I$5:$I$55,0)),"general"),"general")))</f>
        <v/>
      </c>
      <c r="Y987" s="24" t="str">
        <f aca="false">IF(A987="","",LOWER(A987))</f>
        <v/>
      </c>
      <c r="Z987" s="24" t="str">
        <f aca="false">IF(A987="","",IF(T987="",Settings!$B$5,T987)&amp;IF(ISNUMBER(FIND("?",IF(T987="",Settings!$B$5,T987))),"&amp;","?")&amp;"utm_source="&amp;V987&amp;"&amp;utm_medium="&amp;W987&amp;"&amp;utm_campaign="&amp;X987&amp;"&amp;utm_content="&amp;Y987)</f>
        <v/>
      </c>
      <c r="AA987" s="29"/>
      <c r="AB987" s="39"/>
      <c r="AC987" s="32"/>
      <c r="AD987" s="32"/>
      <c r="AE987" s="32"/>
      <c r="AF987" s="32"/>
      <c r="AG987" s="32"/>
      <c r="AH987" s="32"/>
      <c r="AI987" s="32"/>
      <c r="AJ987" s="32"/>
      <c r="AK987" s="32"/>
      <c r="AL987" s="32"/>
      <c r="AM987" s="32"/>
      <c r="AN987" s="32"/>
      <c r="AO987" s="33" t="str">
        <f aca="false">IF(A987="","",IF(AD987&lt;&gt;"",AD987,IF(AC987&lt;&gt;"",AC987,"")))</f>
        <v/>
      </c>
      <c r="AP987" s="24" t="str">
        <f aca="false">IF(AO987="","",IF(AD987&lt;&gt;"","Reported reach","Impressions (proxy)"))</f>
        <v/>
      </c>
      <c r="AQ987" s="34" t="str">
        <f aca="false">IF(OR(AO987="",N(S987)=0),"",AO987/S987)</f>
        <v/>
      </c>
      <c r="AR987" s="33" t="str">
        <f aca="false">IF(A987="","",IF(COUNT(AF987:AJ987)=0,"",SUM(AF987:AJ987)))</f>
        <v/>
      </c>
      <c r="AS987" s="34" t="str">
        <f aca="false">IF(OR(AR987="",N(AO987)=0),"",AR987/AO987)</f>
        <v/>
      </c>
      <c r="AT987" s="34" t="str">
        <f aca="false">IF(OR(AR987="",N(AC987)=0),"",AR987/AC987)</f>
        <v/>
      </c>
      <c r="AU987" s="34" t="str">
        <f aca="false">IF(OR(AR987="",N(S987)=0),"",AR987/S987)</f>
        <v/>
      </c>
      <c r="AV987" s="34" t="str">
        <f aca="false">IF(OR(AJ987="",N(AC987)=0),"",AJ987/AC987)</f>
        <v/>
      </c>
      <c r="AW987" s="34" t="str">
        <f aca="false">IF(OR(AH987="",N(AO987)=0),"",AH987/AO987)</f>
        <v/>
      </c>
      <c r="AX987" s="35" t="str">
        <f aca="false">IF(OR(AR987="",N(AO987)=0),"",(N(AF987)*Settings!$B$6+N(AG987)*Settings!$B$7+N(AH987)*Settings!$B$8+N(AI987)*Settings!$B$9+N(AJ987)*Settings!$B$10)/AO987*1000)</f>
        <v/>
      </c>
      <c r="AY987" s="36" t="str">
        <f aca="false">IF(AS987="","",IFERROR(AS987/AVERAGEIFS('Post Tracker'!$AS$5:$AS$1004,'Post Tracker'!$G$5:$G$1004,G987),""))</f>
        <v/>
      </c>
      <c r="AZ987" s="32"/>
      <c r="BA987" s="32"/>
      <c r="BB987" s="32"/>
      <c r="BC987" s="32"/>
      <c r="BD987" s="33" t="str">
        <f aca="false">IF(A987="","",COUNTIFS('Demo Pipeline'!$Q$5:$Q$504,A987))</f>
        <v/>
      </c>
      <c r="BE987" s="33" t="str">
        <f aca="false">IF(A987="","",COUNTIFS('Demo Pipeline'!$Q$5:$Q$504,A987,'Demo Pipeline'!$W$5:$W$504,"Attended"))</f>
        <v/>
      </c>
      <c r="BF987" s="33" t="str">
        <f aca="false">IF(A987="","",COUNTIFS('Demo Pipeline'!$Q$5:$Q$504,A987,'Demo Pipeline'!$X$5:$X$504,"Yes"))</f>
        <v/>
      </c>
      <c r="BG987" s="33" t="str">
        <f aca="false">IF(A987="","",COUNTIFS('Demo Pipeline'!$Q$5:$Q$504,A987,'Demo Pipeline'!$Y$5:$Y$504,"Closed Won"))</f>
        <v/>
      </c>
      <c r="BH987" s="37" t="str">
        <f aca="false">IF(A987="","",SUMIFS('Demo Pipeline'!$Z$5:$Z$504,'Demo Pipeline'!$Q$5:$Q$504,A987))</f>
        <v/>
      </c>
      <c r="BI987" s="34" t="str">
        <f aca="false">IF(OR(AZ987="",N(AJ987)=0),"",AZ987/AJ987)</f>
        <v/>
      </c>
      <c r="BJ987" s="34" t="str">
        <f aca="false">IF(OR(BB987="",N(AZ987)=0),"",BB987/AZ987)</f>
        <v/>
      </c>
      <c r="BK987" s="34" t="str">
        <f aca="false">IF(OR(A987="",N(BB987)=0),"",BD987/BB987)</f>
        <v/>
      </c>
      <c r="BL987" s="34" t="str">
        <f aca="false">IF(OR(A987="",N(AZ987)=0),"",BD987/AZ987)</f>
        <v/>
      </c>
      <c r="BM987" s="37" t="str">
        <f aca="false">IF(OR(N(Q987)=0,N(BD987)=0),"",Q987/BD987)</f>
        <v/>
      </c>
      <c r="BN987" s="29"/>
      <c r="BO987" s="29"/>
      <c r="BP987" s="33" t="str">
        <f aca="false">IF(OR(AR987="",N(AO987)=0),"",AR987)</f>
        <v/>
      </c>
      <c r="BQ987" s="33" t="str">
        <f aca="false">IF(OR(AR987="",N(S987)=0),"",S987)</f>
        <v/>
      </c>
      <c r="BR987" s="38" t="str">
        <f aca="false">IF(AND(ISNUMBER(B987),B987&gt;=Dashboard!$C$4,B987&lt;=Dashboard!$F$4,ISNUMBER(AU987)),AU987+ROW()/10^9,"")</f>
        <v/>
      </c>
      <c r="BS987" s="38" t="str">
        <f aca="false">IF(AND(ISNUMBER(B987),B987&gt;=Dashboard!$C$4,B987&lt;=Dashboard!$F$4,A987&lt;&gt;""),N(BD987)+N(AU987)/100+ROW()/10^9,"")</f>
        <v/>
      </c>
    </row>
    <row r="988" customFormat="false" ht="15" hidden="false" customHeight="false" outlineLevel="0" collapsed="false">
      <c r="A988" s="24" t="str">
        <f aca="false">IF(OR(B988="",G988="",H988=""),"",IFERROR(INDEX(Settings!$E$5:$E$49,MATCH(G988,Settings!$D$5:$D$49,0))&amp;INDEX(Settings!$H$5:$H$47,MATCH(H988,Settings!$G$5:$G$47,0))&amp;"-"&amp;TEXT(B988,"yymmdd")&amp;"-"&amp;IF(C988="","0000",TEXT(C988,"hhmm")),"CHECK LISTS"))</f>
        <v/>
      </c>
      <c r="B988" s="39"/>
      <c r="C988" s="40"/>
      <c r="D988" s="24" t="str">
        <f aca="false">IF(B988="","",TEXT(B988,"ddd"))</f>
        <v/>
      </c>
      <c r="E988" s="27" t="str">
        <f aca="false">IF(B988="","",B988-WEEKDAY(B988,3))</f>
        <v/>
      </c>
      <c r="F988" s="24" t="str">
        <f aca="false">IF(B988="","",TEXT(B988,"yyyy-mm"))</f>
        <v/>
      </c>
      <c r="G988" s="29"/>
      <c r="H988" s="29"/>
      <c r="I988" s="29"/>
      <c r="J988" s="29"/>
      <c r="K988" s="29"/>
      <c r="L988" s="29"/>
      <c r="M988" s="29"/>
      <c r="N988" s="29"/>
      <c r="O988" s="29"/>
      <c r="P988" s="29"/>
      <c r="Q988" s="30"/>
      <c r="R988" s="29"/>
      <c r="S988" s="32"/>
      <c r="T988" s="29"/>
      <c r="U988" s="29"/>
      <c r="V988" s="24" t="str">
        <f aca="false">IF(A988="","",IFERROR(INDEX(Settings!$F$5:$F$49,MATCH(G988,Settings!$D$5:$D$49,0)),""))</f>
        <v/>
      </c>
      <c r="W988" s="24" t="str">
        <f aca="false">IF(A988="","",IF(OR(P988="",P988="Organic"),"social","paid_social"))</f>
        <v/>
      </c>
      <c r="X988" s="24" t="str">
        <f aca="false">IF(A988="","",IF(K988&lt;&gt;"",IFERROR(INDEX('Case Studies'!$C$5:$C$54,MATCH(K988,'Case Studies'!$B$5:$B$54,0))&amp;"","case-study"),IF(J988&lt;&gt;"",IFERROR(INDEX(Settings!$J$5:$J$55,MATCH(J988,Settings!$I$5:$I$55,0)),"general"),"general")))</f>
        <v/>
      </c>
      <c r="Y988" s="24" t="str">
        <f aca="false">IF(A988="","",LOWER(A988))</f>
        <v/>
      </c>
      <c r="Z988" s="24" t="str">
        <f aca="false">IF(A988="","",IF(T988="",Settings!$B$5,T988)&amp;IF(ISNUMBER(FIND("?",IF(T988="",Settings!$B$5,T988))),"&amp;","?")&amp;"utm_source="&amp;V988&amp;"&amp;utm_medium="&amp;W988&amp;"&amp;utm_campaign="&amp;X988&amp;"&amp;utm_content="&amp;Y988)</f>
        <v/>
      </c>
      <c r="AA988" s="29"/>
      <c r="AB988" s="39"/>
      <c r="AC988" s="32"/>
      <c r="AD988" s="32"/>
      <c r="AE988" s="32"/>
      <c r="AF988" s="32"/>
      <c r="AG988" s="32"/>
      <c r="AH988" s="32"/>
      <c r="AI988" s="32"/>
      <c r="AJ988" s="32"/>
      <c r="AK988" s="32"/>
      <c r="AL988" s="32"/>
      <c r="AM988" s="32"/>
      <c r="AN988" s="32"/>
      <c r="AO988" s="33" t="str">
        <f aca="false">IF(A988="","",IF(AD988&lt;&gt;"",AD988,IF(AC988&lt;&gt;"",AC988,"")))</f>
        <v/>
      </c>
      <c r="AP988" s="24" t="str">
        <f aca="false">IF(AO988="","",IF(AD988&lt;&gt;"","Reported reach","Impressions (proxy)"))</f>
        <v/>
      </c>
      <c r="AQ988" s="34" t="str">
        <f aca="false">IF(OR(AO988="",N(S988)=0),"",AO988/S988)</f>
        <v/>
      </c>
      <c r="AR988" s="33" t="str">
        <f aca="false">IF(A988="","",IF(COUNT(AF988:AJ988)=0,"",SUM(AF988:AJ988)))</f>
        <v/>
      </c>
      <c r="AS988" s="34" t="str">
        <f aca="false">IF(OR(AR988="",N(AO988)=0),"",AR988/AO988)</f>
        <v/>
      </c>
      <c r="AT988" s="34" t="str">
        <f aca="false">IF(OR(AR988="",N(AC988)=0),"",AR988/AC988)</f>
        <v/>
      </c>
      <c r="AU988" s="34" t="str">
        <f aca="false">IF(OR(AR988="",N(S988)=0),"",AR988/S988)</f>
        <v/>
      </c>
      <c r="AV988" s="34" t="str">
        <f aca="false">IF(OR(AJ988="",N(AC988)=0),"",AJ988/AC988)</f>
        <v/>
      </c>
      <c r="AW988" s="34" t="str">
        <f aca="false">IF(OR(AH988="",N(AO988)=0),"",AH988/AO988)</f>
        <v/>
      </c>
      <c r="AX988" s="35" t="str">
        <f aca="false">IF(OR(AR988="",N(AO988)=0),"",(N(AF988)*Settings!$B$6+N(AG988)*Settings!$B$7+N(AH988)*Settings!$B$8+N(AI988)*Settings!$B$9+N(AJ988)*Settings!$B$10)/AO988*1000)</f>
        <v/>
      </c>
      <c r="AY988" s="36" t="str">
        <f aca="false">IF(AS988="","",IFERROR(AS988/AVERAGEIFS('Post Tracker'!$AS$5:$AS$1004,'Post Tracker'!$G$5:$G$1004,G988),""))</f>
        <v/>
      </c>
      <c r="AZ988" s="32"/>
      <c r="BA988" s="32"/>
      <c r="BB988" s="32"/>
      <c r="BC988" s="32"/>
      <c r="BD988" s="33" t="str">
        <f aca="false">IF(A988="","",COUNTIFS('Demo Pipeline'!$Q$5:$Q$504,A988))</f>
        <v/>
      </c>
      <c r="BE988" s="33" t="str">
        <f aca="false">IF(A988="","",COUNTIFS('Demo Pipeline'!$Q$5:$Q$504,A988,'Demo Pipeline'!$W$5:$W$504,"Attended"))</f>
        <v/>
      </c>
      <c r="BF988" s="33" t="str">
        <f aca="false">IF(A988="","",COUNTIFS('Demo Pipeline'!$Q$5:$Q$504,A988,'Demo Pipeline'!$X$5:$X$504,"Yes"))</f>
        <v/>
      </c>
      <c r="BG988" s="33" t="str">
        <f aca="false">IF(A988="","",COUNTIFS('Demo Pipeline'!$Q$5:$Q$504,A988,'Demo Pipeline'!$Y$5:$Y$504,"Closed Won"))</f>
        <v/>
      </c>
      <c r="BH988" s="37" t="str">
        <f aca="false">IF(A988="","",SUMIFS('Demo Pipeline'!$Z$5:$Z$504,'Demo Pipeline'!$Q$5:$Q$504,A988))</f>
        <v/>
      </c>
      <c r="BI988" s="34" t="str">
        <f aca="false">IF(OR(AZ988="",N(AJ988)=0),"",AZ988/AJ988)</f>
        <v/>
      </c>
      <c r="BJ988" s="34" t="str">
        <f aca="false">IF(OR(BB988="",N(AZ988)=0),"",BB988/AZ988)</f>
        <v/>
      </c>
      <c r="BK988" s="34" t="str">
        <f aca="false">IF(OR(A988="",N(BB988)=0),"",BD988/BB988)</f>
        <v/>
      </c>
      <c r="BL988" s="34" t="str">
        <f aca="false">IF(OR(A988="",N(AZ988)=0),"",BD988/AZ988)</f>
        <v/>
      </c>
      <c r="BM988" s="37" t="str">
        <f aca="false">IF(OR(N(Q988)=0,N(BD988)=0),"",Q988/BD988)</f>
        <v/>
      </c>
      <c r="BN988" s="29"/>
      <c r="BO988" s="29"/>
      <c r="BP988" s="33" t="str">
        <f aca="false">IF(OR(AR988="",N(AO988)=0),"",AR988)</f>
        <v/>
      </c>
      <c r="BQ988" s="33" t="str">
        <f aca="false">IF(OR(AR988="",N(S988)=0),"",S988)</f>
        <v/>
      </c>
      <c r="BR988" s="38" t="str">
        <f aca="false">IF(AND(ISNUMBER(B988),B988&gt;=Dashboard!$C$4,B988&lt;=Dashboard!$F$4,ISNUMBER(AU988)),AU988+ROW()/10^9,"")</f>
        <v/>
      </c>
      <c r="BS988" s="38" t="str">
        <f aca="false">IF(AND(ISNUMBER(B988),B988&gt;=Dashboard!$C$4,B988&lt;=Dashboard!$F$4,A988&lt;&gt;""),N(BD988)+N(AU988)/100+ROW()/10^9,"")</f>
        <v/>
      </c>
    </row>
    <row r="989" customFormat="false" ht="15" hidden="false" customHeight="false" outlineLevel="0" collapsed="false">
      <c r="A989" s="24" t="str">
        <f aca="false">IF(OR(B989="",G989="",H989=""),"",IFERROR(INDEX(Settings!$E$5:$E$49,MATCH(G989,Settings!$D$5:$D$49,0))&amp;INDEX(Settings!$H$5:$H$47,MATCH(H989,Settings!$G$5:$G$47,0))&amp;"-"&amp;TEXT(B989,"yymmdd")&amp;"-"&amp;IF(C989="","0000",TEXT(C989,"hhmm")),"CHECK LISTS"))</f>
        <v/>
      </c>
      <c r="B989" s="39"/>
      <c r="C989" s="40"/>
      <c r="D989" s="24" t="str">
        <f aca="false">IF(B989="","",TEXT(B989,"ddd"))</f>
        <v/>
      </c>
      <c r="E989" s="27" t="str">
        <f aca="false">IF(B989="","",B989-WEEKDAY(B989,3))</f>
        <v/>
      </c>
      <c r="F989" s="24" t="str">
        <f aca="false">IF(B989="","",TEXT(B989,"yyyy-mm"))</f>
        <v/>
      </c>
      <c r="G989" s="29"/>
      <c r="H989" s="29"/>
      <c r="I989" s="29"/>
      <c r="J989" s="29"/>
      <c r="K989" s="29"/>
      <c r="L989" s="29"/>
      <c r="M989" s="29"/>
      <c r="N989" s="29"/>
      <c r="O989" s="29"/>
      <c r="P989" s="29"/>
      <c r="Q989" s="30"/>
      <c r="R989" s="29"/>
      <c r="S989" s="32"/>
      <c r="T989" s="29"/>
      <c r="U989" s="29"/>
      <c r="V989" s="24" t="str">
        <f aca="false">IF(A989="","",IFERROR(INDEX(Settings!$F$5:$F$49,MATCH(G989,Settings!$D$5:$D$49,0)),""))</f>
        <v/>
      </c>
      <c r="W989" s="24" t="str">
        <f aca="false">IF(A989="","",IF(OR(P989="",P989="Organic"),"social","paid_social"))</f>
        <v/>
      </c>
      <c r="X989" s="24" t="str">
        <f aca="false">IF(A989="","",IF(K989&lt;&gt;"",IFERROR(INDEX('Case Studies'!$C$5:$C$54,MATCH(K989,'Case Studies'!$B$5:$B$54,0))&amp;"","case-study"),IF(J989&lt;&gt;"",IFERROR(INDEX(Settings!$J$5:$J$55,MATCH(J989,Settings!$I$5:$I$55,0)),"general"),"general")))</f>
        <v/>
      </c>
      <c r="Y989" s="24" t="str">
        <f aca="false">IF(A989="","",LOWER(A989))</f>
        <v/>
      </c>
      <c r="Z989" s="24" t="str">
        <f aca="false">IF(A989="","",IF(T989="",Settings!$B$5,T989)&amp;IF(ISNUMBER(FIND("?",IF(T989="",Settings!$B$5,T989))),"&amp;","?")&amp;"utm_source="&amp;V989&amp;"&amp;utm_medium="&amp;W989&amp;"&amp;utm_campaign="&amp;X989&amp;"&amp;utm_content="&amp;Y989)</f>
        <v/>
      </c>
      <c r="AA989" s="29"/>
      <c r="AB989" s="39"/>
      <c r="AC989" s="32"/>
      <c r="AD989" s="32"/>
      <c r="AE989" s="32"/>
      <c r="AF989" s="32"/>
      <c r="AG989" s="32"/>
      <c r="AH989" s="32"/>
      <c r="AI989" s="32"/>
      <c r="AJ989" s="32"/>
      <c r="AK989" s="32"/>
      <c r="AL989" s="32"/>
      <c r="AM989" s="32"/>
      <c r="AN989" s="32"/>
      <c r="AO989" s="33" t="str">
        <f aca="false">IF(A989="","",IF(AD989&lt;&gt;"",AD989,IF(AC989&lt;&gt;"",AC989,"")))</f>
        <v/>
      </c>
      <c r="AP989" s="24" t="str">
        <f aca="false">IF(AO989="","",IF(AD989&lt;&gt;"","Reported reach","Impressions (proxy)"))</f>
        <v/>
      </c>
      <c r="AQ989" s="34" t="str">
        <f aca="false">IF(OR(AO989="",N(S989)=0),"",AO989/S989)</f>
        <v/>
      </c>
      <c r="AR989" s="33" t="str">
        <f aca="false">IF(A989="","",IF(COUNT(AF989:AJ989)=0,"",SUM(AF989:AJ989)))</f>
        <v/>
      </c>
      <c r="AS989" s="34" t="str">
        <f aca="false">IF(OR(AR989="",N(AO989)=0),"",AR989/AO989)</f>
        <v/>
      </c>
      <c r="AT989" s="34" t="str">
        <f aca="false">IF(OR(AR989="",N(AC989)=0),"",AR989/AC989)</f>
        <v/>
      </c>
      <c r="AU989" s="34" t="str">
        <f aca="false">IF(OR(AR989="",N(S989)=0),"",AR989/S989)</f>
        <v/>
      </c>
      <c r="AV989" s="34" t="str">
        <f aca="false">IF(OR(AJ989="",N(AC989)=0),"",AJ989/AC989)</f>
        <v/>
      </c>
      <c r="AW989" s="34" t="str">
        <f aca="false">IF(OR(AH989="",N(AO989)=0),"",AH989/AO989)</f>
        <v/>
      </c>
      <c r="AX989" s="35" t="str">
        <f aca="false">IF(OR(AR989="",N(AO989)=0),"",(N(AF989)*Settings!$B$6+N(AG989)*Settings!$B$7+N(AH989)*Settings!$B$8+N(AI989)*Settings!$B$9+N(AJ989)*Settings!$B$10)/AO989*1000)</f>
        <v/>
      </c>
      <c r="AY989" s="36" t="str">
        <f aca="false">IF(AS989="","",IFERROR(AS989/AVERAGEIFS('Post Tracker'!$AS$5:$AS$1004,'Post Tracker'!$G$5:$G$1004,G989),""))</f>
        <v/>
      </c>
      <c r="AZ989" s="32"/>
      <c r="BA989" s="32"/>
      <c r="BB989" s="32"/>
      <c r="BC989" s="32"/>
      <c r="BD989" s="33" t="str">
        <f aca="false">IF(A989="","",COUNTIFS('Demo Pipeline'!$Q$5:$Q$504,A989))</f>
        <v/>
      </c>
      <c r="BE989" s="33" t="str">
        <f aca="false">IF(A989="","",COUNTIFS('Demo Pipeline'!$Q$5:$Q$504,A989,'Demo Pipeline'!$W$5:$W$504,"Attended"))</f>
        <v/>
      </c>
      <c r="BF989" s="33" t="str">
        <f aca="false">IF(A989="","",COUNTIFS('Demo Pipeline'!$Q$5:$Q$504,A989,'Demo Pipeline'!$X$5:$X$504,"Yes"))</f>
        <v/>
      </c>
      <c r="BG989" s="33" t="str">
        <f aca="false">IF(A989="","",COUNTIFS('Demo Pipeline'!$Q$5:$Q$504,A989,'Demo Pipeline'!$Y$5:$Y$504,"Closed Won"))</f>
        <v/>
      </c>
      <c r="BH989" s="37" t="str">
        <f aca="false">IF(A989="","",SUMIFS('Demo Pipeline'!$Z$5:$Z$504,'Demo Pipeline'!$Q$5:$Q$504,A989))</f>
        <v/>
      </c>
      <c r="BI989" s="34" t="str">
        <f aca="false">IF(OR(AZ989="",N(AJ989)=0),"",AZ989/AJ989)</f>
        <v/>
      </c>
      <c r="BJ989" s="34" t="str">
        <f aca="false">IF(OR(BB989="",N(AZ989)=0),"",BB989/AZ989)</f>
        <v/>
      </c>
      <c r="BK989" s="34" t="str">
        <f aca="false">IF(OR(A989="",N(BB989)=0),"",BD989/BB989)</f>
        <v/>
      </c>
      <c r="BL989" s="34" t="str">
        <f aca="false">IF(OR(A989="",N(AZ989)=0),"",BD989/AZ989)</f>
        <v/>
      </c>
      <c r="BM989" s="37" t="str">
        <f aca="false">IF(OR(N(Q989)=0,N(BD989)=0),"",Q989/BD989)</f>
        <v/>
      </c>
      <c r="BN989" s="29"/>
      <c r="BO989" s="29"/>
      <c r="BP989" s="33" t="str">
        <f aca="false">IF(OR(AR989="",N(AO989)=0),"",AR989)</f>
        <v/>
      </c>
      <c r="BQ989" s="33" t="str">
        <f aca="false">IF(OR(AR989="",N(S989)=0),"",S989)</f>
        <v/>
      </c>
      <c r="BR989" s="38" t="str">
        <f aca="false">IF(AND(ISNUMBER(B989),B989&gt;=Dashboard!$C$4,B989&lt;=Dashboard!$F$4,ISNUMBER(AU989)),AU989+ROW()/10^9,"")</f>
        <v/>
      </c>
      <c r="BS989" s="38" t="str">
        <f aca="false">IF(AND(ISNUMBER(B989),B989&gt;=Dashboard!$C$4,B989&lt;=Dashboard!$F$4,A989&lt;&gt;""),N(BD989)+N(AU989)/100+ROW()/10^9,"")</f>
        <v/>
      </c>
    </row>
    <row r="990" customFormat="false" ht="15" hidden="false" customHeight="false" outlineLevel="0" collapsed="false">
      <c r="A990" s="24" t="str">
        <f aca="false">IF(OR(B990="",G990="",H990=""),"",IFERROR(INDEX(Settings!$E$5:$E$49,MATCH(G990,Settings!$D$5:$D$49,0))&amp;INDEX(Settings!$H$5:$H$47,MATCH(H990,Settings!$G$5:$G$47,0))&amp;"-"&amp;TEXT(B990,"yymmdd")&amp;"-"&amp;IF(C990="","0000",TEXT(C990,"hhmm")),"CHECK LISTS"))</f>
        <v/>
      </c>
      <c r="B990" s="39"/>
      <c r="C990" s="40"/>
      <c r="D990" s="24" t="str">
        <f aca="false">IF(B990="","",TEXT(B990,"ddd"))</f>
        <v/>
      </c>
      <c r="E990" s="27" t="str">
        <f aca="false">IF(B990="","",B990-WEEKDAY(B990,3))</f>
        <v/>
      </c>
      <c r="F990" s="24" t="str">
        <f aca="false">IF(B990="","",TEXT(B990,"yyyy-mm"))</f>
        <v/>
      </c>
      <c r="G990" s="29"/>
      <c r="H990" s="29"/>
      <c r="I990" s="29"/>
      <c r="J990" s="29"/>
      <c r="K990" s="29"/>
      <c r="L990" s="29"/>
      <c r="M990" s="29"/>
      <c r="N990" s="29"/>
      <c r="O990" s="29"/>
      <c r="P990" s="29"/>
      <c r="Q990" s="30"/>
      <c r="R990" s="29"/>
      <c r="S990" s="32"/>
      <c r="T990" s="29"/>
      <c r="U990" s="29"/>
      <c r="V990" s="24" t="str">
        <f aca="false">IF(A990="","",IFERROR(INDEX(Settings!$F$5:$F$49,MATCH(G990,Settings!$D$5:$D$49,0)),""))</f>
        <v/>
      </c>
      <c r="W990" s="24" t="str">
        <f aca="false">IF(A990="","",IF(OR(P990="",P990="Organic"),"social","paid_social"))</f>
        <v/>
      </c>
      <c r="X990" s="24" t="str">
        <f aca="false">IF(A990="","",IF(K990&lt;&gt;"",IFERROR(INDEX('Case Studies'!$C$5:$C$54,MATCH(K990,'Case Studies'!$B$5:$B$54,0))&amp;"","case-study"),IF(J990&lt;&gt;"",IFERROR(INDEX(Settings!$J$5:$J$55,MATCH(J990,Settings!$I$5:$I$55,0)),"general"),"general")))</f>
        <v/>
      </c>
      <c r="Y990" s="24" t="str">
        <f aca="false">IF(A990="","",LOWER(A990))</f>
        <v/>
      </c>
      <c r="Z990" s="24" t="str">
        <f aca="false">IF(A990="","",IF(T990="",Settings!$B$5,T990)&amp;IF(ISNUMBER(FIND("?",IF(T990="",Settings!$B$5,T990))),"&amp;","?")&amp;"utm_source="&amp;V990&amp;"&amp;utm_medium="&amp;W990&amp;"&amp;utm_campaign="&amp;X990&amp;"&amp;utm_content="&amp;Y990)</f>
        <v/>
      </c>
      <c r="AA990" s="29"/>
      <c r="AB990" s="39"/>
      <c r="AC990" s="32"/>
      <c r="AD990" s="32"/>
      <c r="AE990" s="32"/>
      <c r="AF990" s="32"/>
      <c r="AG990" s="32"/>
      <c r="AH990" s="32"/>
      <c r="AI990" s="32"/>
      <c r="AJ990" s="32"/>
      <c r="AK990" s="32"/>
      <c r="AL990" s="32"/>
      <c r="AM990" s="32"/>
      <c r="AN990" s="32"/>
      <c r="AO990" s="33" t="str">
        <f aca="false">IF(A990="","",IF(AD990&lt;&gt;"",AD990,IF(AC990&lt;&gt;"",AC990,"")))</f>
        <v/>
      </c>
      <c r="AP990" s="24" t="str">
        <f aca="false">IF(AO990="","",IF(AD990&lt;&gt;"","Reported reach","Impressions (proxy)"))</f>
        <v/>
      </c>
      <c r="AQ990" s="34" t="str">
        <f aca="false">IF(OR(AO990="",N(S990)=0),"",AO990/S990)</f>
        <v/>
      </c>
      <c r="AR990" s="33" t="str">
        <f aca="false">IF(A990="","",IF(COUNT(AF990:AJ990)=0,"",SUM(AF990:AJ990)))</f>
        <v/>
      </c>
      <c r="AS990" s="34" t="str">
        <f aca="false">IF(OR(AR990="",N(AO990)=0),"",AR990/AO990)</f>
        <v/>
      </c>
      <c r="AT990" s="34" t="str">
        <f aca="false">IF(OR(AR990="",N(AC990)=0),"",AR990/AC990)</f>
        <v/>
      </c>
      <c r="AU990" s="34" t="str">
        <f aca="false">IF(OR(AR990="",N(S990)=0),"",AR990/S990)</f>
        <v/>
      </c>
      <c r="AV990" s="34" t="str">
        <f aca="false">IF(OR(AJ990="",N(AC990)=0),"",AJ990/AC990)</f>
        <v/>
      </c>
      <c r="AW990" s="34" t="str">
        <f aca="false">IF(OR(AH990="",N(AO990)=0),"",AH990/AO990)</f>
        <v/>
      </c>
      <c r="AX990" s="35" t="str">
        <f aca="false">IF(OR(AR990="",N(AO990)=0),"",(N(AF990)*Settings!$B$6+N(AG990)*Settings!$B$7+N(AH990)*Settings!$B$8+N(AI990)*Settings!$B$9+N(AJ990)*Settings!$B$10)/AO990*1000)</f>
        <v/>
      </c>
      <c r="AY990" s="36" t="str">
        <f aca="false">IF(AS990="","",IFERROR(AS990/AVERAGEIFS('Post Tracker'!$AS$5:$AS$1004,'Post Tracker'!$G$5:$G$1004,G990),""))</f>
        <v/>
      </c>
      <c r="AZ990" s="32"/>
      <c r="BA990" s="32"/>
      <c r="BB990" s="32"/>
      <c r="BC990" s="32"/>
      <c r="BD990" s="33" t="str">
        <f aca="false">IF(A990="","",COUNTIFS('Demo Pipeline'!$Q$5:$Q$504,A990))</f>
        <v/>
      </c>
      <c r="BE990" s="33" t="str">
        <f aca="false">IF(A990="","",COUNTIFS('Demo Pipeline'!$Q$5:$Q$504,A990,'Demo Pipeline'!$W$5:$W$504,"Attended"))</f>
        <v/>
      </c>
      <c r="BF990" s="33" t="str">
        <f aca="false">IF(A990="","",COUNTIFS('Demo Pipeline'!$Q$5:$Q$504,A990,'Demo Pipeline'!$X$5:$X$504,"Yes"))</f>
        <v/>
      </c>
      <c r="BG990" s="33" t="str">
        <f aca="false">IF(A990="","",COUNTIFS('Demo Pipeline'!$Q$5:$Q$504,A990,'Demo Pipeline'!$Y$5:$Y$504,"Closed Won"))</f>
        <v/>
      </c>
      <c r="BH990" s="37" t="str">
        <f aca="false">IF(A990="","",SUMIFS('Demo Pipeline'!$Z$5:$Z$504,'Demo Pipeline'!$Q$5:$Q$504,A990))</f>
        <v/>
      </c>
      <c r="BI990" s="34" t="str">
        <f aca="false">IF(OR(AZ990="",N(AJ990)=0),"",AZ990/AJ990)</f>
        <v/>
      </c>
      <c r="BJ990" s="34" t="str">
        <f aca="false">IF(OR(BB990="",N(AZ990)=0),"",BB990/AZ990)</f>
        <v/>
      </c>
      <c r="BK990" s="34" t="str">
        <f aca="false">IF(OR(A990="",N(BB990)=0),"",BD990/BB990)</f>
        <v/>
      </c>
      <c r="BL990" s="34" t="str">
        <f aca="false">IF(OR(A990="",N(AZ990)=0),"",BD990/AZ990)</f>
        <v/>
      </c>
      <c r="BM990" s="37" t="str">
        <f aca="false">IF(OR(N(Q990)=0,N(BD990)=0),"",Q990/BD990)</f>
        <v/>
      </c>
      <c r="BN990" s="29"/>
      <c r="BO990" s="29"/>
      <c r="BP990" s="33" t="str">
        <f aca="false">IF(OR(AR990="",N(AO990)=0),"",AR990)</f>
        <v/>
      </c>
      <c r="BQ990" s="33" t="str">
        <f aca="false">IF(OR(AR990="",N(S990)=0),"",S990)</f>
        <v/>
      </c>
      <c r="BR990" s="38" t="str">
        <f aca="false">IF(AND(ISNUMBER(B990),B990&gt;=Dashboard!$C$4,B990&lt;=Dashboard!$F$4,ISNUMBER(AU990)),AU990+ROW()/10^9,"")</f>
        <v/>
      </c>
      <c r="BS990" s="38" t="str">
        <f aca="false">IF(AND(ISNUMBER(B990),B990&gt;=Dashboard!$C$4,B990&lt;=Dashboard!$F$4,A990&lt;&gt;""),N(BD990)+N(AU990)/100+ROW()/10^9,"")</f>
        <v/>
      </c>
    </row>
    <row r="991" customFormat="false" ht="15" hidden="false" customHeight="false" outlineLevel="0" collapsed="false">
      <c r="A991" s="24" t="str">
        <f aca="false">IF(OR(B991="",G991="",H991=""),"",IFERROR(INDEX(Settings!$E$5:$E$49,MATCH(G991,Settings!$D$5:$D$49,0))&amp;INDEX(Settings!$H$5:$H$47,MATCH(H991,Settings!$G$5:$G$47,0))&amp;"-"&amp;TEXT(B991,"yymmdd")&amp;"-"&amp;IF(C991="","0000",TEXT(C991,"hhmm")),"CHECK LISTS"))</f>
        <v/>
      </c>
      <c r="B991" s="39"/>
      <c r="C991" s="40"/>
      <c r="D991" s="24" t="str">
        <f aca="false">IF(B991="","",TEXT(B991,"ddd"))</f>
        <v/>
      </c>
      <c r="E991" s="27" t="str">
        <f aca="false">IF(B991="","",B991-WEEKDAY(B991,3))</f>
        <v/>
      </c>
      <c r="F991" s="24" t="str">
        <f aca="false">IF(B991="","",TEXT(B991,"yyyy-mm"))</f>
        <v/>
      </c>
      <c r="G991" s="29"/>
      <c r="H991" s="29"/>
      <c r="I991" s="29"/>
      <c r="J991" s="29"/>
      <c r="K991" s="29"/>
      <c r="L991" s="29"/>
      <c r="M991" s="29"/>
      <c r="N991" s="29"/>
      <c r="O991" s="29"/>
      <c r="P991" s="29"/>
      <c r="Q991" s="30"/>
      <c r="R991" s="29"/>
      <c r="S991" s="32"/>
      <c r="T991" s="29"/>
      <c r="U991" s="29"/>
      <c r="V991" s="24" t="str">
        <f aca="false">IF(A991="","",IFERROR(INDEX(Settings!$F$5:$F$49,MATCH(G991,Settings!$D$5:$D$49,0)),""))</f>
        <v/>
      </c>
      <c r="W991" s="24" t="str">
        <f aca="false">IF(A991="","",IF(OR(P991="",P991="Organic"),"social","paid_social"))</f>
        <v/>
      </c>
      <c r="X991" s="24" t="str">
        <f aca="false">IF(A991="","",IF(K991&lt;&gt;"",IFERROR(INDEX('Case Studies'!$C$5:$C$54,MATCH(K991,'Case Studies'!$B$5:$B$54,0))&amp;"","case-study"),IF(J991&lt;&gt;"",IFERROR(INDEX(Settings!$J$5:$J$55,MATCH(J991,Settings!$I$5:$I$55,0)),"general"),"general")))</f>
        <v/>
      </c>
      <c r="Y991" s="24" t="str">
        <f aca="false">IF(A991="","",LOWER(A991))</f>
        <v/>
      </c>
      <c r="Z991" s="24" t="str">
        <f aca="false">IF(A991="","",IF(T991="",Settings!$B$5,T991)&amp;IF(ISNUMBER(FIND("?",IF(T991="",Settings!$B$5,T991))),"&amp;","?")&amp;"utm_source="&amp;V991&amp;"&amp;utm_medium="&amp;W991&amp;"&amp;utm_campaign="&amp;X991&amp;"&amp;utm_content="&amp;Y991)</f>
        <v/>
      </c>
      <c r="AA991" s="29"/>
      <c r="AB991" s="39"/>
      <c r="AC991" s="32"/>
      <c r="AD991" s="32"/>
      <c r="AE991" s="32"/>
      <c r="AF991" s="32"/>
      <c r="AG991" s="32"/>
      <c r="AH991" s="32"/>
      <c r="AI991" s="32"/>
      <c r="AJ991" s="32"/>
      <c r="AK991" s="32"/>
      <c r="AL991" s="32"/>
      <c r="AM991" s="32"/>
      <c r="AN991" s="32"/>
      <c r="AO991" s="33" t="str">
        <f aca="false">IF(A991="","",IF(AD991&lt;&gt;"",AD991,IF(AC991&lt;&gt;"",AC991,"")))</f>
        <v/>
      </c>
      <c r="AP991" s="24" t="str">
        <f aca="false">IF(AO991="","",IF(AD991&lt;&gt;"","Reported reach","Impressions (proxy)"))</f>
        <v/>
      </c>
      <c r="AQ991" s="34" t="str">
        <f aca="false">IF(OR(AO991="",N(S991)=0),"",AO991/S991)</f>
        <v/>
      </c>
      <c r="AR991" s="33" t="str">
        <f aca="false">IF(A991="","",IF(COUNT(AF991:AJ991)=0,"",SUM(AF991:AJ991)))</f>
        <v/>
      </c>
      <c r="AS991" s="34" t="str">
        <f aca="false">IF(OR(AR991="",N(AO991)=0),"",AR991/AO991)</f>
        <v/>
      </c>
      <c r="AT991" s="34" t="str">
        <f aca="false">IF(OR(AR991="",N(AC991)=0),"",AR991/AC991)</f>
        <v/>
      </c>
      <c r="AU991" s="34" t="str">
        <f aca="false">IF(OR(AR991="",N(S991)=0),"",AR991/S991)</f>
        <v/>
      </c>
      <c r="AV991" s="34" t="str">
        <f aca="false">IF(OR(AJ991="",N(AC991)=0),"",AJ991/AC991)</f>
        <v/>
      </c>
      <c r="AW991" s="34" t="str">
        <f aca="false">IF(OR(AH991="",N(AO991)=0),"",AH991/AO991)</f>
        <v/>
      </c>
      <c r="AX991" s="35" t="str">
        <f aca="false">IF(OR(AR991="",N(AO991)=0),"",(N(AF991)*Settings!$B$6+N(AG991)*Settings!$B$7+N(AH991)*Settings!$B$8+N(AI991)*Settings!$B$9+N(AJ991)*Settings!$B$10)/AO991*1000)</f>
        <v/>
      </c>
      <c r="AY991" s="36" t="str">
        <f aca="false">IF(AS991="","",IFERROR(AS991/AVERAGEIFS('Post Tracker'!$AS$5:$AS$1004,'Post Tracker'!$G$5:$G$1004,G991),""))</f>
        <v/>
      </c>
      <c r="AZ991" s="32"/>
      <c r="BA991" s="32"/>
      <c r="BB991" s="32"/>
      <c r="BC991" s="32"/>
      <c r="BD991" s="33" t="str">
        <f aca="false">IF(A991="","",COUNTIFS('Demo Pipeline'!$Q$5:$Q$504,A991))</f>
        <v/>
      </c>
      <c r="BE991" s="33" t="str">
        <f aca="false">IF(A991="","",COUNTIFS('Demo Pipeline'!$Q$5:$Q$504,A991,'Demo Pipeline'!$W$5:$W$504,"Attended"))</f>
        <v/>
      </c>
      <c r="BF991" s="33" t="str">
        <f aca="false">IF(A991="","",COUNTIFS('Demo Pipeline'!$Q$5:$Q$504,A991,'Demo Pipeline'!$X$5:$X$504,"Yes"))</f>
        <v/>
      </c>
      <c r="BG991" s="33" t="str">
        <f aca="false">IF(A991="","",COUNTIFS('Demo Pipeline'!$Q$5:$Q$504,A991,'Demo Pipeline'!$Y$5:$Y$504,"Closed Won"))</f>
        <v/>
      </c>
      <c r="BH991" s="37" t="str">
        <f aca="false">IF(A991="","",SUMIFS('Demo Pipeline'!$Z$5:$Z$504,'Demo Pipeline'!$Q$5:$Q$504,A991))</f>
        <v/>
      </c>
      <c r="BI991" s="34" t="str">
        <f aca="false">IF(OR(AZ991="",N(AJ991)=0),"",AZ991/AJ991)</f>
        <v/>
      </c>
      <c r="BJ991" s="34" t="str">
        <f aca="false">IF(OR(BB991="",N(AZ991)=0),"",BB991/AZ991)</f>
        <v/>
      </c>
      <c r="BK991" s="34" t="str">
        <f aca="false">IF(OR(A991="",N(BB991)=0),"",BD991/BB991)</f>
        <v/>
      </c>
      <c r="BL991" s="34" t="str">
        <f aca="false">IF(OR(A991="",N(AZ991)=0),"",BD991/AZ991)</f>
        <v/>
      </c>
      <c r="BM991" s="37" t="str">
        <f aca="false">IF(OR(N(Q991)=0,N(BD991)=0),"",Q991/BD991)</f>
        <v/>
      </c>
      <c r="BN991" s="29"/>
      <c r="BO991" s="29"/>
      <c r="BP991" s="33" t="str">
        <f aca="false">IF(OR(AR991="",N(AO991)=0),"",AR991)</f>
        <v/>
      </c>
      <c r="BQ991" s="33" t="str">
        <f aca="false">IF(OR(AR991="",N(S991)=0),"",S991)</f>
        <v/>
      </c>
      <c r="BR991" s="38" t="str">
        <f aca="false">IF(AND(ISNUMBER(B991),B991&gt;=Dashboard!$C$4,B991&lt;=Dashboard!$F$4,ISNUMBER(AU991)),AU991+ROW()/10^9,"")</f>
        <v/>
      </c>
      <c r="BS991" s="38" t="str">
        <f aca="false">IF(AND(ISNUMBER(B991),B991&gt;=Dashboard!$C$4,B991&lt;=Dashboard!$F$4,A991&lt;&gt;""),N(BD991)+N(AU991)/100+ROW()/10^9,"")</f>
        <v/>
      </c>
    </row>
    <row r="992" customFormat="false" ht="15" hidden="false" customHeight="false" outlineLevel="0" collapsed="false">
      <c r="A992" s="24" t="str">
        <f aca="false">IF(OR(B992="",G992="",H992=""),"",IFERROR(INDEX(Settings!$E$5:$E$49,MATCH(G992,Settings!$D$5:$D$49,0))&amp;INDEX(Settings!$H$5:$H$47,MATCH(H992,Settings!$G$5:$G$47,0))&amp;"-"&amp;TEXT(B992,"yymmdd")&amp;"-"&amp;IF(C992="","0000",TEXT(C992,"hhmm")),"CHECK LISTS"))</f>
        <v/>
      </c>
      <c r="B992" s="39"/>
      <c r="C992" s="40"/>
      <c r="D992" s="24" t="str">
        <f aca="false">IF(B992="","",TEXT(B992,"ddd"))</f>
        <v/>
      </c>
      <c r="E992" s="27" t="str">
        <f aca="false">IF(B992="","",B992-WEEKDAY(B992,3))</f>
        <v/>
      </c>
      <c r="F992" s="24" t="str">
        <f aca="false">IF(B992="","",TEXT(B992,"yyyy-mm"))</f>
        <v/>
      </c>
      <c r="G992" s="29"/>
      <c r="H992" s="29"/>
      <c r="I992" s="29"/>
      <c r="J992" s="29"/>
      <c r="K992" s="29"/>
      <c r="L992" s="29"/>
      <c r="M992" s="29"/>
      <c r="N992" s="29"/>
      <c r="O992" s="29"/>
      <c r="P992" s="29"/>
      <c r="Q992" s="30"/>
      <c r="R992" s="29"/>
      <c r="S992" s="32"/>
      <c r="T992" s="29"/>
      <c r="U992" s="29"/>
      <c r="V992" s="24" t="str">
        <f aca="false">IF(A992="","",IFERROR(INDEX(Settings!$F$5:$F$49,MATCH(G992,Settings!$D$5:$D$49,0)),""))</f>
        <v/>
      </c>
      <c r="W992" s="24" t="str">
        <f aca="false">IF(A992="","",IF(OR(P992="",P992="Organic"),"social","paid_social"))</f>
        <v/>
      </c>
      <c r="X992" s="24" t="str">
        <f aca="false">IF(A992="","",IF(K992&lt;&gt;"",IFERROR(INDEX('Case Studies'!$C$5:$C$54,MATCH(K992,'Case Studies'!$B$5:$B$54,0))&amp;"","case-study"),IF(J992&lt;&gt;"",IFERROR(INDEX(Settings!$J$5:$J$55,MATCH(J992,Settings!$I$5:$I$55,0)),"general"),"general")))</f>
        <v/>
      </c>
      <c r="Y992" s="24" t="str">
        <f aca="false">IF(A992="","",LOWER(A992))</f>
        <v/>
      </c>
      <c r="Z992" s="24" t="str">
        <f aca="false">IF(A992="","",IF(T992="",Settings!$B$5,T992)&amp;IF(ISNUMBER(FIND("?",IF(T992="",Settings!$B$5,T992))),"&amp;","?")&amp;"utm_source="&amp;V992&amp;"&amp;utm_medium="&amp;W992&amp;"&amp;utm_campaign="&amp;X992&amp;"&amp;utm_content="&amp;Y992)</f>
        <v/>
      </c>
      <c r="AA992" s="29"/>
      <c r="AB992" s="39"/>
      <c r="AC992" s="32"/>
      <c r="AD992" s="32"/>
      <c r="AE992" s="32"/>
      <c r="AF992" s="32"/>
      <c r="AG992" s="32"/>
      <c r="AH992" s="32"/>
      <c r="AI992" s="32"/>
      <c r="AJ992" s="32"/>
      <c r="AK992" s="32"/>
      <c r="AL992" s="32"/>
      <c r="AM992" s="32"/>
      <c r="AN992" s="32"/>
      <c r="AO992" s="33" t="str">
        <f aca="false">IF(A992="","",IF(AD992&lt;&gt;"",AD992,IF(AC992&lt;&gt;"",AC992,"")))</f>
        <v/>
      </c>
      <c r="AP992" s="24" t="str">
        <f aca="false">IF(AO992="","",IF(AD992&lt;&gt;"","Reported reach","Impressions (proxy)"))</f>
        <v/>
      </c>
      <c r="AQ992" s="34" t="str">
        <f aca="false">IF(OR(AO992="",N(S992)=0),"",AO992/S992)</f>
        <v/>
      </c>
      <c r="AR992" s="33" t="str">
        <f aca="false">IF(A992="","",IF(COUNT(AF992:AJ992)=0,"",SUM(AF992:AJ992)))</f>
        <v/>
      </c>
      <c r="AS992" s="34" t="str">
        <f aca="false">IF(OR(AR992="",N(AO992)=0),"",AR992/AO992)</f>
        <v/>
      </c>
      <c r="AT992" s="34" t="str">
        <f aca="false">IF(OR(AR992="",N(AC992)=0),"",AR992/AC992)</f>
        <v/>
      </c>
      <c r="AU992" s="34" t="str">
        <f aca="false">IF(OR(AR992="",N(S992)=0),"",AR992/S992)</f>
        <v/>
      </c>
      <c r="AV992" s="34" t="str">
        <f aca="false">IF(OR(AJ992="",N(AC992)=0),"",AJ992/AC992)</f>
        <v/>
      </c>
      <c r="AW992" s="34" t="str">
        <f aca="false">IF(OR(AH992="",N(AO992)=0),"",AH992/AO992)</f>
        <v/>
      </c>
      <c r="AX992" s="35" t="str">
        <f aca="false">IF(OR(AR992="",N(AO992)=0),"",(N(AF992)*Settings!$B$6+N(AG992)*Settings!$B$7+N(AH992)*Settings!$B$8+N(AI992)*Settings!$B$9+N(AJ992)*Settings!$B$10)/AO992*1000)</f>
        <v/>
      </c>
      <c r="AY992" s="36" t="str">
        <f aca="false">IF(AS992="","",IFERROR(AS992/AVERAGEIFS('Post Tracker'!$AS$5:$AS$1004,'Post Tracker'!$G$5:$G$1004,G992),""))</f>
        <v/>
      </c>
      <c r="AZ992" s="32"/>
      <c r="BA992" s="32"/>
      <c r="BB992" s="32"/>
      <c r="BC992" s="32"/>
      <c r="BD992" s="33" t="str">
        <f aca="false">IF(A992="","",COUNTIFS('Demo Pipeline'!$Q$5:$Q$504,A992))</f>
        <v/>
      </c>
      <c r="BE992" s="33" t="str">
        <f aca="false">IF(A992="","",COUNTIFS('Demo Pipeline'!$Q$5:$Q$504,A992,'Demo Pipeline'!$W$5:$W$504,"Attended"))</f>
        <v/>
      </c>
      <c r="BF992" s="33" t="str">
        <f aca="false">IF(A992="","",COUNTIFS('Demo Pipeline'!$Q$5:$Q$504,A992,'Demo Pipeline'!$X$5:$X$504,"Yes"))</f>
        <v/>
      </c>
      <c r="BG992" s="33" t="str">
        <f aca="false">IF(A992="","",COUNTIFS('Demo Pipeline'!$Q$5:$Q$504,A992,'Demo Pipeline'!$Y$5:$Y$504,"Closed Won"))</f>
        <v/>
      </c>
      <c r="BH992" s="37" t="str">
        <f aca="false">IF(A992="","",SUMIFS('Demo Pipeline'!$Z$5:$Z$504,'Demo Pipeline'!$Q$5:$Q$504,A992))</f>
        <v/>
      </c>
      <c r="BI992" s="34" t="str">
        <f aca="false">IF(OR(AZ992="",N(AJ992)=0),"",AZ992/AJ992)</f>
        <v/>
      </c>
      <c r="BJ992" s="34" t="str">
        <f aca="false">IF(OR(BB992="",N(AZ992)=0),"",BB992/AZ992)</f>
        <v/>
      </c>
      <c r="BK992" s="34" t="str">
        <f aca="false">IF(OR(A992="",N(BB992)=0),"",BD992/BB992)</f>
        <v/>
      </c>
      <c r="BL992" s="34" t="str">
        <f aca="false">IF(OR(A992="",N(AZ992)=0),"",BD992/AZ992)</f>
        <v/>
      </c>
      <c r="BM992" s="37" t="str">
        <f aca="false">IF(OR(N(Q992)=0,N(BD992)=0),"",Q992/BD992)</f>
        <v/>
      </c>
      <c r="BN992" s="29"/>
      <c r="BO992" s="29"/>
      <c r="BP992" s="33" t="str">
        <f aca="false">IF(OR(AR992="",N(AO992)=0),"",AR992)</f>
        <v/>
      </c>
      <c r="BQ992" s="33" t="str">
        <f aca="false">IF(OR(AR992="",N(S992)=0),"",S992)</f>
        <v/>
      </c>
      <c r="BR992" s="38" t="str">
        <f aca="false">IF(AND(ISNUMBER(B992),B992&gt;=Dashboard!$C$4,B992&lt;=Dashboard!$F$4,ISNUMBER(AU992)),AU992+ROW()/10^9,"")</f>
        <v/>
      </c>
      <c r="BS992" s="38" t="str">
        <f aca="false">IF(AND(ISNUMBER(B992),B992&gt;=Dashboard!$C$4,B992&lt;=Dashboard!$F$4,A992&lt;&gt;""),N(BD992)+N(AU992)/100+ROW()/10^9,"")</f>
        <v/>
      </c>
    </row>
    <row r="993" customFormat="false" ht="15" hidden="false" customHeight="false" outlineLevel="0" collapsed="false">
      <c r="A993" s="24" t="str">
        <f aca="false">IF(OR(B993="",G993="",H993=""),"",IFERROR(INDEX(Settings!$E$5:$E$49,MATCH(G993,Settings!$D$5:$D$49,0))&amp;INDEX(Settings!$H$5:$H$47,MATCH(H993,Settings!$G$5:$G$47,0))&amp;"-"&amp;TEXT(B993,"yymmdd")&amp;"-"&amp;IF(C993="","0000",TEXT(C993,"hhmm")),"CHECK LISTS"))</f>
        <v/>
      </c>
      <c r="B993" s="39"/>
      <c r="C993" s="40"/>
      <c r="D993" s="24" t="str">
        <f aca="false">IF(B993="","",TEXT(B993,"ddd"))</f>
        <v/>
      </c>
      <c r="E993" s="27" t="str">
        <f aca="false">IF(B993="","",B993-WEEKDAY(B993,3))</f>
        <v/>
      </c>
      <c r="F993" s="24" t="str">
        <f aca="false">IF(B993="","",TEXT(B993,"yyyy-mm"))</f>
        <v/>
      </c>
      <c r="G993" s="29"/>
      <c r="H993" s="29"/>
      <c r="I993" s="29"/>
      <c r="J993" s="29"/>
      <c r="K993" s="29"/>
      <c r="L993" s="29"/>
      <c r="M993" s="29"/>
      <c r="N993" s="29"/>
      <c r="O993" s="29"/>
      <c r="P993" s="29"/>
      <c r="Q993" s="30"/>
      <c r="R993" s="29"/>
      <c r="S993" s="32"/>
      <c r="T993" s="29"/>
      <c r="U993" s="29"/>
      <c r="V993" s="24" t="str">
        <f aca="false">IF(A993="","",IFERROR(INDEX(Settings!$F$5:$F$49,MATCH(G993,Settings!$D$5:$D$49,0)),""))</f>
        <v/>
      </c>
      <c r="W993" s="24" t="str">
        <f aca="false">IF(A993="","",IF(OR(P993="",P993="Organic"),"social","paid_social"))</f>
        <v/>
      </c>
      <c r="X993" s="24" t="str">
        <f aca="false">IF(A993="","",IF(K993&lt;&gt;"",IFERROR(INDEX('Case Studies'!$C$5:$C$54,MATCH(K993,'Case Studies'!$B$5:$B$54,0))&amp;"","case-study"),IF(J993&lt;&gt;"",IFERROR(INDEX(Settings!$J$5:$J$55,MATCH(J993,Settings!$I$5:$I$55,0)),"general"),"general")))</f>
        <v/>
      </c>
      <c r="Y993" s="24" t="str">
        <f aca="false">IF(A993="","",LOWER(A993))</f>
        <v/>
      </c>
      <c r="Z993" s="24" t="str">
        <f aca="false">IF(A993="","",IF(T993="",Settings!$B$5,T993)&amp;IF(ISNUMBER(FIND("?",IF(T993="",Settings!$B$5,T993))),"&amp;","?")&amp;"utm_source="&amp;V993&amp;"&amp;utm_medium="&amp;W993&amp;"&amp;utm_campaign="&amp;X993&amp;"&amp;utm_content="&amp;Y993)</f>
        <v/>
      </c>
      <c r="AA993" s="29"/>
      <c r="AB993" s="39"/>
      <c r="AC993" s="32"/>
      <c r="AD993" s="32"/>
      <c r="AE993" s="32"/>
      <c r="AF993" s="32"/>
      <c r="AG993" s="32"/>
      <c r="AH993" s="32"/>
      <c r="AI993" s="32"/>
      <c r="AJ993" s="32"/>
      <c r="AK993" s="32"/>
      <c r="AL993" s="32"/>
      <c r="AM993" s="32"/>
      <c r="AN993" s="32"/>
      <c r="AO993" s="33" t="str">
        <f aca="false">IF(A993="","",IF(AD993&lt;&gt;"",AD993,IF(AC993&lt;&gt;"",AC993,"")))</f>
        <v/>
      </c>
      <c r="AP993" s="24" t="str">
        <f aca="false">IF(AO993="","",IF(AD993&lt;&gt;"","Reported reach","Impressions (proxy)"))</f>
        <v/>
      </c>
      <c r="AQ993" s="34" t="str">
        <f aca="false">IF(OR(AO993="",N(S993)=0),"",AO993/S993)</f>
        <v/>
      </c>
      <c r="AR993" s="33" t="str">
        <f aca="false">IF(A993="","",IF(COUNT(AF993:AJ993)=0,"",SUM(AF993:AJ993)))</f>
        <v/>
      </c>
      <c r="AS993" s="34" t="str">
        <f aca="false">IF(OR(AR993="",N(AO993)=0),"",AR993/AO993)</f>
        <v/>
      </c>
      <c r="AT993" s="34" t="str">
        <f aca="false">IF(OR(AR993="",N(AC993)=0),"",AR993/AC993)</f>
        <v/>
      </c>
      <c r="AU993" s="34" t="str">
        <f aca="false">IF(OR(AR993="",N(S993)=0),"",AR993/S993)</f>
        <v/>
      </c>
      <c r="AV993" s="34" t="str">
        <f aca="false">IF(OR(AJ993="",N(AC993)=0),"",AJ993/AC993)</f>
        <v/>
      </c>
      <c r="AW993" s="34" t="str">
        <f aca="false">IF(OR(AH993="",N(AO993)=0),"",AH993/AO993)</f>
        <v/>
      </c>
      <c r="AX993" s="35" t="str">
        <f aca="false">IF(OR(AR993="",N(AO993)=0),"",(N(AF993)*Settings!$B$6+N(AG993)*Settings!$B$7+N(AH993)*Settings!$B$8+N(AI993)*Settings!$B$9+N(AJ993)*Settings!$B$10)/AO993*1000)</f>
        <v/>
      </c>
      <c r="AY993" s="36" t="str">
        <f aca="false">IF(AS993="","",IFERROR(AS993/AVERAGEIFS('Post Tracker'!$AS$5:$AS$1004,'Post Tracker'!$G$5:$G$1004,G993),""))</f>
        <v/>
      </c>
      <c r="AZ993" s="32"/>
      <c r="BA993" s="32"/>
      <c r="BB993" s="32"/>
      <c r="BC993" s="32"/>
      <c r="BD993" s="33" t="str">
        <f aca="false">IF(A993="","",COUNTIFS('Demo Pipeline'!$Q$5:$Q$504,A993))</f>
        <v/>
      </c>
      <c r="BE993" s="33" t="str">
        <f aca="false">IF(A993="","",COUNTIFS('Demo Pipeline'!$Q$5:$Q$504,A993,'Demo Pipeline'!$W$5:$W$504,"Attended"))</f>
        <v/>
      </c>
      <c r="BF993" s="33" t="str">
        <f aca="false">IF(A993="","",COUNTIFS('Demo Pipeline'!$Q$5:$Q$504,A993,'Demo Pipeline'!$X$5:$X$504,"Yes"))</f>
        <v/>
      </c>
      <c r="BG993" s="33" t="str">
        <f aca="false">IF(A993="","",COUNTIFS('Demo Pipeline'!$Q$5:$Q$504,A993,'Demo Pipeline'!$Y$5:$Y$504,"Closed Won"))</f>
        <v/>
      </c>
      <c r="BH993" s="37" t="str">
        <f aca="false">IF(A993="","",SUMIFS('Demo Pipeline'!$Z$5:$Z$504,'Demo Pipeline'!$Q$5:$Q$504,A993))</f>
        <v/>
      </c>
      <c r="BI993" s="34" t="str">
        <f aca="false">IF(OR(AZ993="",N(AJ993)=0),"",AZ993/AJ993)</f>
        <v/>
      </c>
      <c r="BJ993" s="34" t="str">
        <f aca="false">IF(OR(BB993="",N(AZ993)=0),"",BB993/AZ993)</f>
        <v/>
      </c>
      <c r="BK993" s="34" t="str">
        <f aca="false">IF(OR(A993="",N(BB993)=0),"",BD993/BB993)</f>
        <v/>
      </c>
      <c r="BL993" s="34" t="str">
        <f aca="false">IF(OR(A993="",N(AZ993)=0),"",BD993/AZ993)</f>
        <v/>
      </c>
      <c r="BM993" s="37" t="str">
        <f aca="false">IF(OR(N(Q993)=0,N(BD993)=0),"",Q993/BD993)</f>
        <v/>
      </c>
      <c r="BN993" s="29"/>
      <c r="BO993" s="29"/>
      <c r="BP993" s="33" t="str">
        <f aca="false">IF(OR(AR993="",N(AO993)=0),"",AR993)</f>
        <v/>
      </c>
      <c r="BQ993" s="33" t="str">
        <f aca="false">IF(OR(AR993="",N(S993)=0),"",S993)</f>
        <v/>
      </c>
      <c r="BR993" s="38" t="str">
        <f aca="false">IF(AND(ISNUMBER(B993),B993&gt;=Dashboard!$C$4,B993&lt;=Dashboard!$F$4,ISNUMBER(AU993)),AU993+ROW()/10^9,"")</f>
        <v/>
      </c>
      <c r="BS993" s="38" t="str">
        <f aca="false">IF(AND(ISNUMBER(B993),B993&gt;=Dashboard!$C$4,B993&lt;=Dashboard!$F$4,A993&lt;&gt;""),N(BD993)+N(AU993)/100+ROW()/10^9,"")</f>
        <v/>
      </c>
    </row>
    <row r="994" customFormat="false" ht="15" hidden="false" customHeight="false" outlineLevel="0" collapsed="false">
      <c r="A994" s="24" t="str">
        <f aca="false">IF(OR(B994="",G994="",H994=""),"",IFERROR(INDEX(Settings!$E$5:$E$49,MATCH(G994,Settings!$D$5:$D$49,0))&amp;INDEX(Settings!$H$5:$H$47,MATCH(H994,Settings!$G$5:$G$47,0))&amp;"-"&amp;TEXT(B994,"yymmdd")&amp;"-"&amp;IF(C994="","0000",TEXT(C994,"hhmm")),"CHECK LISTS"))</f>
        <v/>
      </c>
      <c r="B994" s="39"/>
      <c r="C994" s="40"/>
      <c r="D994" s="24" t="str">
        <f aca="false">IF(B994="","",TEXT(B994,"ddd"))</f>
        <v/>
      </c>
      <c r="E994" s="27" t="str">
        <f aca="false">IF(B994="","",B994-WEEKDAY(B994,3))</f>
        <v/>
      </c>
      <c r="F994" s="24" t="str">
        <f aca="false">IF(B994="","",TEXT(B994,"yyyy-mm"))</f>
        <v/>
      </c>
      <c r="G994" s="29"/>
      <c r="H994" s="29"/>
      <c r="I994" s="29"/>
      <c r="J994" s="29"/>
      <c r="K994" s="29"/>
      <c r="L994" s="29"/>
      <c r="M994" s="29"/>
      <c r="N994" s="29"/>
      <c r="O994" s="29"/>
      <c r="P994" s="29"/>
      <c r="Q994" s="30"/>
      <c r="R994" s="29"/>
      <c r="S994" s="32"/>
      <c r="T994" s="29"/>
      <c r="U994" s="29"/>
      <c r="V994" s="24" t="str">
        <f aca="false">IF(A994="","",IFERROR(INDEX(Settings!$F$5:$F$49,MATCH(G994,Settings!$D$5:$D$49,0)),""))</f>
        <v/>
      </c>
      <c r="W994" s="24" t="str">
        <f aca="false">IF(A994="","",IF(OR(P994="",P994="Organic"),"social","paid_social"))</f>
        <v/>
      </c>
      <c r="X994" s="24" t="str">
        <f aca="false">IF(A994="","",IF(K994&lt;&gt;"",IFERROR(INDEX('Case Studies'!$C$5:$C$54,MATCH(K994,'Case Studies'!$B$5:$B$54,0))&amp;"","case-study"),IF(J994&lt;&gt;"",IFERROR(INDEX(Settings!$J$5:$J$55,MATCH(J994,Settings!$I$5:$I$55,0)),"general"),"general")))</f>
        <v/>
      </c>
      <c r="Y994" s="24" t="str">
        <f aca="false">IF(A994="","",LOWER(A994))</f>
        <v/>
      </c>
      <c r="Z994" s="24" t="str">
        <f aca="false">IF(A994="","",IF(T994="",Settings!$B$5,T994)&amp;IF(ISNUMBER(FIND("?",IF(T994="",Settings!$B$5,T994))),"&amp;","?")&amp;"utm_source="&amp;V994&amp;"&amp;utm_medium="&amp;W994&amp;"&amp;utm_campaign="&amp;X994&amp;"&amp;utm_content="&amp;Y994)</f>
        <v/>
      </c>
      <c r="AA994" s="29"/>
      <c r="AB994" s="39"/>
      <c r="AC994" s="32"/>
      <c r="AD994" s="32"/>
      <c r="AE994" s="32"/>
      <c r="AF994" s="32"/>
      <c r="AG994" s="32"/>
      <c r="AH994" s="32"/>
      <c r="AI994" s="32"/>
      <c r="AJ994" s="32"/>
      <c r="AK994" s="32"/>
      <c r="AL994" s="32"/>
      <c r="AM994" s="32"/>
      <c r="AN994" s="32"/>
      <c r="AO994" s="33" t="str">
        <f aca="false">IF(A994="","",IF(AD994&lt;&gt;"",AD994,IF(AC994&lt;&gt;"",AC994,"")))</f>
        <v/>
      </c>
      <c r="AP994" s="24" t="str">
        <f aca="false">IF(AO994="","",IF(AD994&lt;&gt;"","Reported reach","Impressions (proxy)"))</f>
        <v/>
      </c>
      <c r="AQ994" s="34" t="str">
        <f aca="false">IF(OR(AO994="",N(S994)=0),"",AO994/S994)</f>
        <v/>
      </c>
      <c r="AR994" s="33" t="str">
        <f aca="false">IF(A994="","",IF(COUNT(AF994:AJ994)=0,"",SUM(AF994:AJ994)))</f>
        <v/>
      </c>
      <c r="AS994" s="34" t="str">
        <f aca="false">IF(OR(AR994="",N(AO994)=0),"",AR994/AO994)</f>
        <v/>
      </c>
      <c r="AT994" s="34" t="str">
        <f aca="false">IF(OR(AR994="",N(AC994)=0),"",AR994/AC994)</f>
        <v/>
      </c>
      <c r="AU994" s="34" t="str">
        <f aca="false">IF(OR(AR994="",N(S994)=0),"",AR994/S994)</f>
        <v/>
      </c>
      <c r="AV994" s="34" t="str">
        <f aca="false">IF(OR(AJ994="",N(AC994)=0),"",AJ994/AC994)</f>
        <v/>
      </c>
      <c r="AW994" s="34" t="str">
        <f aca="false">IF(OR(AH994="",N(AO994)=0),"",AH994/AO994)</f>
        <v/>
      </c>
      <c r="AX994" s="35" t="str">
        <f aca="false">IF(OR(AR994="",N(AO994)=0),"",(N(AF994)*Settings!$B$6+N(AG994)*Settings!$B$7+N(AH994)*Settings!$B$8+N(AI994)*Settings!$B$9+N(AJ994)*Settings!$B$10)/AO994*1000)</f>
        <v/>
      </c>
      <c r="AY994" s="36" t="str">
        <f aca="false">IF(AS994="","",IFERROR(AS994/AVERAGEIFS('Post Tracker'!$AS$5:$AS$1004,'Post Tracker'!$G$5:$G$1004,G994),""))</f>
        <v/>
      </c>
      <c r="AZ994" s="32"/>
      <c r="BA994" s="32"/>
      <c r="BB994" s="32"/>
      <c r="BC994" s="32"/>
      <c r="BD994" s="33" t="str">
        <f aca="false">IF(A994="","",COUNTIFS('Demo Pipeline'!$Q$5:$Q$504,A994))</f>
        <v/>
      </c>
      <c r="BE994" s="33" t="str">
        <f aca="false">IF(A994="","",COUNTIFS('Demo Pipeline'!$Q$5:$Q$504,A994,'Demo Pipeline'!$W$5:$W$504,"Attended"))</f>
        <v/>
      </c>
      <c r="BF994" s="33" t="str">
        <f aca="false">IF(A994="","",COUNTIFS('Demo Pipeline'!$Q$5:$Q$504,A994,'Demo Pipeline'!$X$5:$X$504,"Yes"))</f>
        <v/>
      </c>
      <c r="BG994" s="33" t="str">
        <f aca="false">IF(A994="","",COUNTIFS('Demo Pipeline'!$Q$5:$Q$504,A994,'Demo Pipeline'!$Y$5:$Y$504,"Closed Won"))</f>
        <v/>
      </c>
      <c r="BH994" s="37" t="str">
        <f aca="false">IF(A994="","",SUMIFS('Demo Pipeline'!$Z$5:$Z$504,'Demo Pipeline'!$Q$5:$Q$504,A994))</f>
        <v/>
      </c>
      <c r="BI994" s="34" t="str">
        <f aca="false">IF(OR(AZ994="",N(AJ994)=0),"",AZ994/AJ994)</f>
        <v/>
      </c>
      <c r="BJ994" s="34" t="str">
        <f aca="false">IF(OR(BB994="",N(AZ994)=0),"",BB994/AZ994)</f>
        <v/>
      </c>
      <c r="BK994" s="34" t="str">
        <f aca="false">IF(OR(A994="",N(BB994)=0),"",BD994/BB994)</f>
        <v/>
      </c>
      <c r="BL994" s="34" t="str">
        <f aca="false">IF(OR(A994="",N(AZ994)=0),"",BD994/AZ994)</f>
        <v/>
      </c>
      <c r="BM994" s="37" t="str">
        <f aca="false">IF(OR(N(Q994)=0,N(BD994)=0),"",Q994/BD994)</f>
        <v/>
      </c>
      <c r="BN994" s="29"/>
      <c r="BO994" s="29"/>
      <c r="BP994" s="33" t="str">
        <f aca="false">IF(OR(AR994="",N(AO994)=0),"",AR994)</f>
        <v/>
      </c>
      <c r="BQ994" s="33" t="str">
        <f aca="false">IF(OR(AR994="",N(S994)=0),"",S994)</f>
        <v/>
      </c>
      <c r="BR994" s="38" t="str">
        <f aca="false">IF(AND(ISNUMBER(B994),B994&gt;=Dashboard!$C$4,B994&lt;=Dashboard!$F$4,ISNUMBER(AU994)),AU994+ROW()/10^9,"")</f>
        <v/>
      </c>
      <c r="BS994" s="38" t="str">
        <f aca="false">IF(AND(ISNUMBER(B994),B994&gt;=Dashboard!$C$4,B994&lt;=Dashboard!$F$4,A994&lt;&gt;""),N(BD994)+N(AU994)/100+ROW()/10^9,"")</f>
        <v/>
      </c>
    </row>
    <row r="995" customFormat="false" ht="15" hidden="false" customHeight="false" outlineLevel="0" collapsed="false">
      <c r="A995" s="24" t="str">
        <f aca="false">IF(OR(B995="",G995="",H995=""),"",IFERROR(INDEX(Settings!$E$5:$E$49,MATCH(G995,Settings!$D$5:$D$49,0))&amp;INDEX(Settings!$H$5:$H$47,MATCH(H995,Settings!$G$5:$G$47,0))&amp;"-"&amp;TEXT(B995,"yymmdd")&amp;"-"&amp;IF(C995="","0000",TEXT(C995,"hhmm")),"CHECK LISTS"))</f>
        <v/>
      </c>
      <c r="B995" s="39"/>
      <c r="C995" s="40"/>
      <c r="D995" s="24" t="str">
        <f aca="false">IF(B995="","",TEXT(B995,"ddd"))</f>
        <v/>
      </c>
      <c r="E995" s="27" t="str">
        <f aca="false">IF(B995="","",B995-WEEKDAY(B995,3))</f>
        <v/>
      </c>
      <c r="F995" s="24" t="str">
        <f aca="false">IF(B995="","",TEXT(B995,"yyyy-mm"))</f>
        <v/>
      </c>
      <c r="G995" s="29"/>
      <c r="H995" s="29"/>
      <c r="I995" s="29"/>
      <c r="J995" s="29"/>
      <c r="K995" s="29"/>
      <c r="L995" s="29"/>
      <c r="M995" s="29"/>
      <c r="N995" s="29"/>
      <c r="O995" s="29"/>
      <c r="P995" s="29"/>
      <c r="Q995" s="30"/>
      <c r="R995" s="29"/>
      <c r="S995" s="32"/>
      <c r="T995" s="29"/>
      <c r="U995" s="29"/>
      <c r="V995" s="24" t="str">
        <f aca="false">IF(A995="","",IFERROR(INDEX(Settings!$F$5:$F$49,MATCH(G995,Settings!$D$5:$D$49,0)),""))</f>
        <v/>
      </c>
      <c r="W995" s="24" t="str">
        <f aca="false">IF(A995="","",IF(OR(P995="",P995="Organic"),"social","paid_social"))</f>
        <v/>
      </c>
      <c r="X995" s="24" t="str">
        <f aca="false">IF(A995="","",IF(K995&lt;&gt;"",IFERROR(INDEX('Case Studies'!$C$5:$C$54,MATCH(K995,'Case Studies'!$B$5:$B$54,0))&amp;"","case-study"),IF(J995&lt;&gt;"",IFERROR(INDEX(Settings!$J$5:$J$55,MATCH(J995,Settings!$I$5:$I$55,0)),"general"),"general")))</f>
        <v/>
      </c>
      <c r="Y995" s="24" t="str">
        <f aca="false">IF(A995="","",LOWER(A995))</f>
        <v/>
      </c>
      <c r="Z995" s="24" t="str">
        <f aca="false">IF(A995="","",IF(T995="",Settings!$B$5,T995)&amp;IF(ISNUMBER(FIND("?",IF(T995="",Settings!$B$5,T995))),"&amp;","?")&amp;"utm_source="&amp;V995&amp;"&amp;utm_medium="&amp;W995&amp;"&amp;utm_campaign="&amp;X995&amp;"&amp;utm_content="&amp;Y995)</f>
        <v/>
      </c>
      <c r="AA995" s="29"/>
      <c r="AB995" s="39"/>
      <c r="AC995" s="32"/>
      <c r="AD995" s="32"/>
      <c r="AE995" s="32"/>
      <c r="AF995" s="32"/>
      <c r="AG995" s="32"/>
      <c r="AH995" s="32"/>
      <c r="AI995" s="32"/>
      <c r="AJ995" s="32"/>
      <c r="AK995" s="32"/>
      <c r="AL995" s="32"/>
      <c r="AM995" s="32"/>
      <c r="AN995" s="32"/>
      <c r="AO995" s="33" t="str">
        <f aca="false">IF(A995="","",IF(AD995&lt;&gt;"",AD995,IF(AC995&lt;&gt;"",AC995,"")))</f>
        <v/>
      </c>
      <c r="AP995" s="24" t="str">
        <f aca="false">IF(AO995="","",IF(AD995&lt;&gt;"","Reported reach","Impressions (proxy)"))</f>
        <v/>
      </c>
      <c r="AQ995" s="34" t="str">
        <f aca="false">IF(OR(AO995="",N(S995)=0),"",AO995/S995)</f>
        <v/>
      </c>
      <c r="AR995" s="33" t="str">
        <f aca="false">IF(A995="","",IF(COUNT(AF995:AJ995)=0,"",SUM(AF995:AJ995)))</f>
        <v/>
      </c>
      <c r="AS995" s="34" t="str">
        <f aca="false">IF(OR(AR995="",N(AO995)=0),"",AR995/AO995)</f>
        <v/>
      </c>
      <c r="AT995" s="34" t="str">
        <f aca="false">IF(OR(AR995="",N(AC995)=0),"",AR995/AC995)</f>
        <v/>
      </c>
      <c r="AU995" s="34" t="str">
        <f aca="false">IF(OR(AR995="",N(S995)=0),"",AR995/S995)</f>
        <v/>
      </c>
      <c r="AV995" s="34" t="str">
        <f aca="false">IF(OR(AJ995="",N(AC995)=0),"",AJ995/AC995)</f>
        <v/>
      </c>
      <c r="AW995" s="34" t="str">
        <f aca="false">IF(OR(AH995="",N(AO995)=0),"",AH995/AO995)</f>
        <v/>
      </c>
      <c r="AX995" s="35" t="str">
        <f aca="false">IF(OR(AR995="",N(AO995)=0),"",(N(AF995)*Settings!$B$6+N(AG995)*Settings!$B$7+N(AH995)*Settings!$B$8+N(AI995)*Settings!$B$9+N(AJ995)*Settings!$B$10)/AO995*1000)</f>
        <v/>
      </c>
      <c r="AY995" s="36" t="str">
        <f aca="false">IF(AS995="","",IFERROR(AS995/AVERAGEIFS('Post Tracker'!$AS$5:$AS$1004,'Post Tracker'!$G$5:$G$1004,G995),""))</f>
        <v/>
      </c>
      <c r="AZ995" s="32"/>
      <c r="BA995" s="32"/>
      <c r="BB995" s="32"/>
      <c r="BC995" s="32"/>
      <c r="BD995" s="33" t="str">
        <f aca="false">IF(A995="","",COUNTIFS('Demo Pipeline'!$Q$5:$Q$504,A995))</f>
        <v/>
      </c>
      <c r="BE995" s="33" t="str">
        <f aca="false">IF(A995="","",COUNTIFS('Demo Pipeline'!$Q$5:$Q$504,A995,'Demo Pipeline'!$W$5:$W$504,"Attended"))</f>
        <v/>
      </c>
      <c r="BF995" s="33" t="str">
        <f aca="false">IF(A995="","",COUNTIFS('Demo Pipeline'!$Q$5:$Q$504,A995,'Demo Pipeline'!$X$5:$X$504,"Yes"))</f>
        <v/>
      </c>
      <c r="BG995" s="33" t="str">
        <f aca="false">IF(A995="","",COUNTIFS('Demo Pipeline'!$Q$5:$Q$504,A995,'Demo Pipeline'!$Y$5:$Y$504,"Closed Won"))</f>
        <v/>
      </c>
      <c r="BH995" s="37" t="str">
        <f aca="false">IF(A995="","",SUMIFS('Demo Pipeline'!$Z$5:$Z$504,'Demo Pipeline'!$Q$5:$Q$504,A995))</f>
        <v/>
      </c>
      <c r="BI995" s="34" t="str">
        <f aca="false">IF(OR(AZ995="",N(AJ995)=0),"",AZ995/AJ995)</f>
        <v/>
      </c>
      <c r="BJ995" s="34" t="str">
        <f aca="false">IF(OR(BB995="",N(AZ995)=0),"",BB995/AZ995)</f>
        <v/>
      </c>
      <c r="BK995" s="34" t="str">
        <f aca="false">IF(OR(A995="",N(BB995)=0),"",BD995/BB995)</f>
        <v/>
      </c>
      <c r="BL995" s="34" t="str">
        <f aca="false">IF(OR(A995="",N(AZ995)=0),"",BD995/AZ995)</f>
        <v/>
      </c>
      <c r="BM995" s="37" t="str">
        <f aca="false">IF(OR(N(Q995)=0,N(BD995)=0),"",Q995/BD995)</f>
        <v/>
      </c>
      <c r="BN995" s="29"/>
      <c r="BO995" s="29"/>
      <c r="BP995" s="33" t="str">
        <f aca="false">IF(OR(AR995="",N(AO995)=0),"",AR995)</f>
        <v/>
      </c>
      <c r="BQ995" s="33" t="str">
        <f aca="false">IF(OR(AR995="",N(S995)=0),"",S995)</f>
        <v/>
      </c>
      <c r="BR995" s="38" t="str">
        <f aca="false">IF(AND(ISNUMBER(B995),B995&gt;=Dashboard!$C$4,B995&lt;=Dashboard!$F$4,ISNUMBER(AU995)),AU995+ROW()/10^9,"")</f>
        <v/>
      </c>
      <c r="BS995" s="38" t="str">
        <f aca="false">IF(AND(ISNUMBER(B995),B995&gt;=Dashboard!$C$4,B995&lt;=Dashboard!$F$4,A995&lt;&gt;""),N(BD995)+N(AU995)/100+ROW()/10^9,"")</f>
        <v/>
      </c>
    </row>
    <row r="996" customFormat="false" ht="15" hidden="false" customHeight="false" outlineLevel="0" collapsed="false">
      <c r="A996" s="24" t="str">
        <f aca="false">IF(OR(B996="",G996="",H996=""),"",IFERROR(INDEX(Settings!$E$5:$E$49,MATCH(G996,Settings!$D$5:$D$49,0))&amp;INDEX(Settings!$H$5:$H$47,MATCH(H996,Settings!$G$5:$G$47,0))&amp;"-"&amp;TEXT(B996,"yymmdd")&amp;"-"&amp;IF(C996="","0000",TEXT(C996,"hhmm")),"CHECK LISTS"))</f>
        <v/>
      </c>
      <c r="B996" s="39"/>
      <c r="C996" s="40"/>
      <c r="D996" s="24" t="str">
        <f aca="false">IF(B996="","",TEXT(B996,"ddd"))</f>
        <v/>
      </c>
      <c r="E996" s="27" t="str">
        <f aca="false">IF(B996="","",B996-WEEKDAY(B996,3))</f>
        <v/>
      </c>
      <c r="F996" s="24" t="str">
        <f aca="false">IF(B996="","",TEXT(B996,"yyyy-mm"))</f>
        <v/>
      </c>
      <c r="G996" s="29"/>
      <c r="H996" s="29"/>
      <c r="I996" s="29"/>
      <c r="J996" s="29"/>
      <c r="K996" s="29"/>
      <c r="L996" s="29"/>
      <c r="M996" s="29"/>
      <c r="N996" s="29"/>
      <c r="O996" s="29"/>
      <c r="P996" s="29"/>
      <c r="Q996" s="30"/>
      <c r="R996" s="29"/>
      <c r="S996" s="32"/>
      <c r="T996" s="29"/>
      <c r="U996" s="29"/>
      <c r="V996" s="24" t="str">
        <f aca="false">IF(A996="","",IFERROR(INDEX(Settings!$F$5:$F$49,MATCH(G996,Settings!$D$5:$D$49,0)),""))</f>
        <v/>
      </c>
      <c r="W996" s="24" t="str">
        <f aca="false">IF(A996="","",IF(OR(P996="",P996="Organic"),"social","paid_social"))</f>
        <v/>
      </c>
      <c r="X996" s="24" t="str">
        <f aca="false">IF(A996="","",IF(K996&lt;&gt;"",IFERROR(INDEX('Case Studies'!$C$5:$C$54,MATCH(K996,'Case Studies'!$B$5:$B$54,0))&amp;"","case-study"),IF(J996&lt;&gt;"",IFERROR(INDEX(Settings!$J$5:$J$55,MATCH(J996,Settings!$I$5:$I$55,0)),"general"),"general")))</f>
        <v/>
      </c>
      <c r="Y996" s="24" t="str">
        <f aca="false">IF(A996="","",LOWER(A996))</f>
        <v/>
      </c>
      <c r="Z996" s="24" t="str">
        <f aca="false">IF(A996="","",IF(T996="",Settings!$B$5,T996)&amp;IF(ISNUMBER(FIND("?",IF(T996="",Settings!$B$5,T996))),"&amp;","?")&amp;"utm_source="&amp;V996&amp;"&amp;utm_medium="&amp;W996&amp;"&amp;utm_campaign="&amp;X996&amp;"&amp;utm_content="&amp;Y996)</f>
        <v/>
      </c>
      <c r="AA996" s="29"/>
      <c r="AB996" s="39"/>
      <c r="AC996" s="32"/>
      <c r="AD996" s="32"/>
      <c r="AE996" s="32"/>
      <c r="AF996" s="32"/>
      <c r="AG996" s="32"/>
      <c r="AH996" s="32"/>
      <c r="AI996" s="32"/>
      <c r="AJ996" s="32"/>
      <c r="AK996" s="32"/>
      <c r="AL996" s="32"/>
      <c r="AM996" s="32"/>
      <c r="AN996" s="32"/>
      <c r="AO996" s="33" t="str">
        <f aca="false">IF(A996="","",IF(AD996&lt;&gt;"",AD996,IF(AC996&lt;&gt;"",AC996,"")))</f>
        <v/>
      </c>
      <c r="AP996" s="24" t="str">
        <f aca="false">IF(AO996="","",IF(AD996&lt;&gt;"","Reported reach","Impressions (proxy)"))</f>
        <v/>
      </c>
      <c r="AQ996" s="34" t="str">
        <f aca="false">IF(OR(AO996="",N(S996)=0),"",AO996/S996)</f>
        <v/>
      </c>
      <c r="AR996" s="33" t="str">
        <f aca="false">IF(A996="","",IF(COUNT(AF996:AJ996)=0,"",SUM(AF996:AJ996)))</f>
        <v/>
      </c>
      <c r="AS996" s="34" t="str">
        <f aca="false">IF(OR(AR996="",N(AO996)=0),"",AR996/AO996)</f>
        <v/>
      </c>
      <c r="AT996" s="34" t="str">
        <f aca="false">IF(OR(AR996="",N(AC996)=0),"",AR996/AC996)</f>
        <v/>
      </c>
      <c r="AU996" s="34" t="str">
        <f aca="false">IF(OR(AR996="",N(S996)=0),"",AR996/S996)</f>
        <v/>
      </c>
      <c r="AV996" s="34" t="str">
        <f aca="false">IF(OR(AJ996="",N(AC996)=0),"",AJ996/AC996)</f>
        <v/>
      </c>
      <c r="AW996" s="34" t="str">
        <f aca="false">IF(OR(AH996="",N(AO996)=0),"",AH996/AO996)</f>
        <v/>
      </c>
      <c r="AX996" s="35" t="str">
        <f aca="false">IF(OR(AR996="",N(AO996)=0),"",(N(AF996)*Settings!$B$6+N(AG996)*Settings!$B$7+N(AH996)*Settings!$B$8+N(AI996)*Settings!$B$9+N(AJ996)*Settings!$B$10)/AO996*1000)</f>
        <v/>
      </c>
      <c r="AY996" s="36" t="str">
        <f aca="false">IF(AS996="","",IFERROR(AS996/AVERAGEIFS('Post Tracker'!$AS$5:$AS$1004,'Post Tracker'!$G$5:$G$1004,G996),""))</f>
        <v/>
      </c>
      <c r="AZ996" s="32"/>
      <c r="BA996" s="32"/>
      <c r="BB996" s="32"/>
      <c r="BC996" s="32"/>
      <c r="BD996" s="33" t="str">
        <f aca="false">IF(A996="","",COUNTIFS('Demo Pipeline'!$Q$5:$Q$504,A996))</f>
        <v/>
      </c>
      <c r="BE996" s="33" t="str">
        <f aca="false">IF(A996="","",COUNTIFS('Demo Pipeline'!$Q$5:$Q$504,A996,'Demo Pipeline'!$W$5:$W$504,"Attended"))</f>
        <v/>
      </c>
      <c r="BF996" s="33" t="str">
        <f aca="false">IF(A996="","",COUNTIFS('Demo Pipeline'!$Q$5:$Q$504,A996,'Demo Pipeline'!$X$5:$X$504,"Yes"))</f>
        <v/>
      </c>
      <c r="BG996" s="33" t="str">
        <f aca="false">IF(A996="","",COUNTIFS('Demo Pipeline'!$Q$5:$Q$504,A996,'Demo Pipeline'!$Y$5:$Y$504,"Closed Won"))</f>
        <v/>
      </c>
      <c r="BH996" s="37" t="str">
        <f aca="false">IF(A996="","",SUMIFS('Demo Pipeline'!$Z$5:$Z$504,'Demo Pipeline'!$Q$5:$Q$504,A996))</f>
        <v/>
      </c>
      <c r="BI996" s="34" t="str">
        <f aca="false">IF(OR(AZ996="",N(AJ996)=0),"",AZ996/AJ996)</f>
        <v/>
      </c>
      <c r="BJ996" s="34" t="str">
        <f aca="false">IF(OR(BB996="",N(AZ996)=0),"",BB996/AZ996)</f>
        <v/>
      </c>
      <c r="BK996" s="34" t="str">
        <f aca="false">IF(OR(A996="",N(BB996)=0),"",BD996/BB996)</f>
        <v/>
      </c>
      <c r="BL996" s="34" t="str">
        <f aca="false">IF(OR(A996="",N(AZ996)=0),"",BD996/AZ996)</f>
        <v/>
      </c>
      <c r="BM996" s="37" t="str">
        <f aca="false">IF(OR(N(Q996)=0,N(BD996)=0),"",Q996/BD996)</f>
        <v/>
      </c>
      <c r="BN996" s="29"/>
      <c r="BO996" s="29"/>
      <c r="BP996" s="33" t="str">
        <f aca="false">IF(OR(AR996="",N(AO996)=0),"",AR996)</f>
        <v/>
      </c>
      <c r="BQ996" s="33" t="str">
        <f aca="false">IF(OR(AR996="",N(S996)=0),"",S996)</f>
        <v/>
      </c>
      <c r="BR996" s="38" t="str">
        <f aca="false">IF(AND(ISNUMBER(B996),B996&gt;=Dashboard!$C$4,B996&lt;=Dashboard!$F$4,ISNUMBER(AU996)),AU996+ROW()/10^9,"")</f>
        <v/>
      </c>
      <c r="BS996" s="38" t="str">
        <f aca="false">IF(AND(ISNUMBER(B996),B996&gt;=Dashboard!$C$4,B996&lt;=Dashboard!$F$4,A996&lt;&gt;""),N(BD996)+N(AU996)/100+ROW()/10^9,"")</f>
        <v/>
      </c>
    </row>
    <row r="997" customFormat="false" ht="15" hidden="false" customHeight="false" outlineLevel="0" collapsed="false">
      <c r="A997" s="24" t="str">
        <f aca="false">IF(OR(B997="",G997="",H997=""),"",IFERROR(INDEX(Settings!$E$5:$E$49,MATCH(G997,Settings!$D$5:$D$49,0))&amp;INDEX(Settings!$H$5:$H$47,MATCH(H997,Settings!$G$5:$G$47,0))&amp;"-"&amp;TEXT(B997,"yymmdd")&amp;"-"&amp;IF(C997="","0000",TEXT(C997,"hhmm")),"CHECK LISTS"))</f>
        <v/>
      </c>
      <c r="B997" s="39"/>
      <c r="C997" s="40"/>
      <c r="D997" s="24" t="str">
        <f aca="false">IF(B997="","",TEXT(B997,"ddd"))</f>
        <v/>
      </c>
      <c r="E997" s="27" t="str">
        <f aca="false">IF(B997="","",B997-WEEKDAY(B997,3))</f>
        <v/>
      </c>
      <c r="F997" s="24" t="str">
        <f aca="false">IF(B997="","",TEXT(B997,"yyyy-mm"))</f>
        <v/>
      </c>
      <c r="G997" s="29"/>
      <c r="H997" s="29"/>
      <c r="I997" s="29"/>
      <c r="J997" s="29"/>
      <c r="K997" s="29"/>
      <c r="L997" s="29"/>
      <c r="M997" s="29"/>
      <c r="N997" s="29"/>
      <c r="O997" s="29"/>
      <c r="P997" s="29"/>
      <c r="Q997" s="30"/>
      <c r="R997" s="29"/>
      <c r="S997" s="32"/>
      <c r="T997" s="29"/>
      <c r="U997" s="29"/>
      <c r="V997" s="24" t="str">
        <f aca="false">IF(A997="","",IFERROR(INDEX(Settings!$F$5:$F$49,MATCH(G997,Settings!$D$5:$D$49,0)),""))</f>
        <v/>
      </c>
      <c r="W997" s="24" t="str">
        <f aca="false">IF(A997="","",IF(OR(P997="",P997="Organic"),"social","paid_social"))</f>
        <v/>
      </c>
      <c r="X997" s="24" t="str">
        <f aca="false">IF(A997="","",IF(K997&lt;&gt;"",IFERROR(INDEX('Case Studies'!$C$5:$C$54,MATCH(K997,'Case Studies'!$B$5:$B$54,0))&amp;"","case-study"),IF(J997&lt;&gt;"",IFERROR(INDEX(Settings!$J$5:$J$55,MATCH(J997,Settings!$I$5:$I$55,0)),"general"),"general")))</f>
        <v/>
      </c>
      <c r="Y997" s="24" t="str">
        <f aca="false">IF(A997="","",LOWER(A997))</f>
        <v/>
      </c>
      <c r="Z997" s="24" t="str">
        <f aca="false">IF(A997="","",IF(T997="",Settings!$B$5,T997)&amp;IF(ISNUMBER(FIND("?",IF(T997="",Settings!$B$5,T997))),"&amp;","?")&amp;"utm_source="&amp;V997&amp;"&amp;utm_medium="&amp;W997&amp;"&amp;utm_campaign="&amp;X997&amp;"&amp;utm_content="&amp;Y997)</f>
        <v/>
      </c>
      <c r="AA997" s="29"/>
      <c r="AB997" s="39"/>
      <c r="AC997" s="32"/>
      <c r="AD997" s="32"/>
      <c r="AE997" s="32"/>
      <c r="AF997" s="32"/>
      <c r="AG997" s="32"/>
      <c r="AH997" s="32"/>
      <c r="AI997" s="32"/>
      <c r="AJ997" s="32"/>
      <c r="AK997" s="32"/>
      <c r="AL997" s="32"/>
      <c r="AM997" s="32"/>
      <c r="AN997" s="32"/>
      <c r="AO997" s="33" t="str">
        <f aca="false">IF(A997="","",IF(AD997&lt;&gt;"",AD997,IF(AC997&lt;&gt;"",AC997,"")))</f>
        <v/>
      </c>
      <c r="AP997" s="24" t="str">
        <f aca="false">IF(AO997="","",IF(AD997&lt;&gt;"","Reported reach","Impressions (proxy)"))</f>
        <v/>
      </c>
      <c r="AQ997" s="34" t="str">
        <f aca="false">IF(OR(AO997="",N(S997)=0),"",AO997/S997)</f>
        <v/>
      </c>
      <c r="AR997" s="33" t="str">
        <f aca="false">IF(A997="","",IF(COUNT(AF997:AJ997)=0,"",SUM(AF997:AJ997)))</f>
        <v/>
      </c>
      <c r="AS997" s="34" t="str">
        <f aca="false">IF(OR(AR997="",N(AO997)=0),"",AR997/AO997)</f>
        <v/>
      </c>
      <c r="AT997" s="34" t="str">
        <f aca="false">IF(OR(AR997="",N(AC997)=0),"",AR997/AC997)</f>
        <v/>
      </c>
      <c r="AU997" s="34" t="str">
        <f aca="false">IF(OR(AR997="",N(S997)=0),"",AR997/S997)</f>
        <v/>
      </c>
      <c r="AV997" s="34" t="str">
        <f aca="false">IF(OR(AJ997="",N(AC997)=0),"",AJ997/AC997)</f>
        <v/>
      </c>
      <c r="AW997" s="34" t="str">
        <f aca="false">IF(OR(AH997="",N(AO997)=0),"",AH997/AO997)</f>
        <v/>
      </c>
      <c r="AX997" s="35" t="str">
        <f aca="false">IF(OR(AR997="",N(AO997)=0),"",(N(AF997)*Settings!$B$6+N(AG997)*Settings!$B$7+N(AH997)*Settings!$B$8+N(AI997)*Settings!$B$9+N(AJ997)*Settings!$B$10)/AO997*1000)</f>
        <v/>
      </c>
      <c r="AY997" s="36" t="str">
        <f aca="false">IF(AS997="","",IFERROR(AS997/AVERAGEIFS('Post Tracker'!$AS$5:$AS$1004,'Post Tracker'!$G$5:$G$1004,G997),""))</f>
        <v/>
      </c>
      <c r="AZ997" s="32"/>
      <c r="BA997" s="32"/>
      <c r="BB997" s="32"/>
      <c r="BC997" s="32"/>
      <c r="BD997" s="33" t="str">
        <f aca="false">IF(A997="","",COUNTIFS('Demo Pipeline'!$Q$5:$Q$504,A997))</f>
        <v/>
      </c>
      <c r="BE997" s="33" t="str">
        <f aca="false">IF(A997="","",COUNTIFS('Demo Pipeline'!$Q$5:$Q$504,A997,'Demo Pipeline'!$W$5:$W$504,"Attended"))</f>
        <v/>
      </c>
      <c r="BF997" s="33" t="str">
        <f aca="false">IF(A997="","",COUNTIFS('Demo Pipeline'!$Q$5:$Q$504,A997,'Demo Pipeline'!$X$5:$X$504,"Yes"))</f>
        <v/>
      </c>
      <c r="BG997" s="33" t="str">
        <f aca="false">IF(A997="","",COUNTIFS('Demo Pipeline'!$Q$5:$Q$504,A997,'Demo Pipeline'!$Y$5:$Y$504,"Closed Won"))</f>
        <v/>
      </c>
      <c r="BH997" s="37" t="str">
        <f aca="false">IF(A997="","",SUMIFS('Demo Pipeline'!$Z$5:$Z$504,'Demo Pipeline'!$Q$5:$Q$504,A997))</f>
        <v/>
      </c>
      <c r="BI997" s="34" t="str">
        <f aca="false">IF(OR(AZ997="",N(AJ997)=0),"",AZ997/AJ997)</f>
        <v/>
      </c>
      <c r="BJ997" s="34" t="str">
        <f aca="false">IF(OR(BB997="",N(AZ997)=0),"",BB997/AZ997)</f>
        <v/>
      </c>
      <c r="BK997" s="34" t="str">
        <f aca="false">IF(OR(A997="",N(BB997)=0),"",BD997/BB997)</f>
        <v/>
      </c>
      <c r="BL997" s="34" t="str">
        <f aca="false">IF(OR(A997="",N(AZ997)=0),"",BD997/AZ997)</f>
        <v/>
      </c>
      <c r="BM997" s="37" t="str">
        <f aca="false">IF(OR(N(Q997)=0,N(BD997)=0),"",Q997/BD997)</f>
        <v/>
      </c>
      <c r="BN997" s="29"/>
      <c r="BO997" s="29"/>
      <c r="BP997" s="33" t="str">
        <f aca="false">IF(OR(AR997="",N(AO997)=0),"",AR997)</f>
        <v/>
      </c>
      <c r="BQ997" s="33" t="str">
        <f aca="false">IF(OR(AR997="",N(S997)=0),"",S997)</f>
        <v/>
      </c>
      <c r="BR997" s="38" t="str">
        <f aca="false">IF(AND(ISNUMBER(B997),B997&gt;=Dashboard!$C$4,B997&lt;=Dashboard!$F$4,ISNUMBER(AU997)),AU997+ROW()/10^9,"")</f>
        <v/>
      </c>
      <c r="BS997" s="38" t="str">
        <f aca="false">IF(AND(ISNUMBER(B997),B997&gt;=Dashboard!$C$4,B997&lt;=Dashboard!$F$4,A997&lt;&gt;""),N(BD997)+N(AU997)/100+ROW()/10^9,"")</f>
        <v/>
      </c>
    </row>
    <row r="998" customFormat="false" ht="15" hidden="false" customHeight="false" outlineLevel="0" collapsed="false">
      <c r="A998" s="24" t="str">
        <f aca="false">IF(OR(B998="",G998="",H998=""),"",IFERROR(INDEX(Settings!$E$5:$E$49,MATCH(G998,Settings!$D$5:$D$49,0))&amp;INDEX(Settings!$H$5:$H$47,MATCH(H998,Settings!$G$5:$G$47,0))&amp;"-"&amp;TEXT(B998,"yymmdd")&amp;"-"&amp;IF(C998="","0000",TEXT(C998,"hhmm")),"CHECK LISTS"))</f>
        <v/>
      </c>
      <c r="B998" s="39"/>
      <c r="C998" s="40"/>
      <c r="D998" s="24" t="str">
        <f aca="false">IF(B998="","",TEXT(B998,"ddd"))</f>
        <v/>
      </c>
      <c r="E998" s="27" t="str">
        <f aca="false">IF(B998="","",B998-WEEKDAY(B998,3))</f>
        <v/>
      </c>
      <c r="F998" s="24" t="str">
        <f aca="false">IF(B998="","",TEXT(B998,"yyyy-mm"))</f>
        <v/>
      </c>
      <c r="G998" s="29"/>
      <c r="H998" s="29"/>
      <c r="I998" s="29"/>
      <c r="J998" s="29"/>
      <c r="K998" s="29"/>
      <c r="L998" s="29"/>
      <c r="M998" s="29"/>
      <c r="N998" s="29"/>
      <c r="O998" s="29"/>
      <c r="P998" s="29"/>
      <c r="Q998" s="30"/>
      <c r="R998" s="29"/>
      <c r="S998" s="32"/>
      <c r="T998" s="29"/>
      <c r="U998" s="29"/>
      <c r="V998" s="24" t="str">
        <f aca="false">IF(A998="","",IFERROR(INDEX(Settings!$F$5:$F$49,MATCH(G998,Settings!$D$5:$D$49,0)),""))</f>
        <v/>
      </c>
      <c r="W998" s="24" t="str">
        <f aca="false">IF(A998="","",IF(OR(P998="",P998="Organic"),"social","paid_social"))</f>
        <v/>
      </c>
      <c r="X998" s="24" t="str">
        <f aca="false">IF(A998="","",IF(K998&lt;&gt;"",IFERROR(INDEX('Case Studies'!$C$5:$C$54,MATCH(K998,'Case Studies'!$B$5:$B$54,0))&amp;"","case-study"),IF(J998&lt;&gt;"",IFERROR(INDEX(Settings!$J$5:$J$55,MATCH(J998,Settings!$I$5:$I$55,0)),"general"),"general")))</f>
        <v/>
      </c>
      <c r="Y998" s="24" t="str">
        <f aca="false">IF(A998="","",LOWER(A998))</f>
        <v/>
      </c>
      <c r="Z998" s="24" t="str">
        <f aca="false">IF(A998="","",IF(T998="",Settings!$B$5,T998)&amp;IF(ISNUMBER(FIND("?",IF(T998="",Settings!$B$5,T998))),"&amp;","?")&amp;"utm_source="&amp;V998&amp;"&amp;utm_medium="&amp;W998&amp;"&amp;utm_campaign="&amp;X998&amp;"&amp;utm_content="&amp;Y998)</f>
        <v/>
      </c>
      <c r="AA998" s="29"/>
      <c r="AB998" s="39"/>
      <c r="AC998" s="32"/>
      <c r="AD998" s="32"/>
      <c r="AE998" s="32"/>
      <c r="AF998" s="32"/>
      <c r="AG998" s="32"/>
      <c r="AH998" s="32"/>
      <c r="AI998" s="32"/>
      <c r="AJ998" s="32"/>
      <c r="AK998" s="32"/>
      <c r="AL998" s="32"/>
      <c r="AM998" s="32"/>
      <c r="AN998" s="32"/>
      <c r="AO998" s="33" t="str">
        <f aca="false">IF(A998="","",IF(AD998&lt;&gt;"",AD998,IF(AC998&lt;&gt;"",AC998,"")))</f>
        <v/>
      </c>
      <c r="AP998" s="24" t="str">
        <f aca="false">IF(AO998="","",IF(AD998&lt;&gt;"","Reported reach","Impressions (proxy)"))</f>
        <v/>
      </c>
      <c r="AQ998" s="34" t="str">
        <f aca="false">IF(OR(AO998="",N(S998)=0),"",AO998/S998)</f>
        <v/>
      </c>
      <c r="AR998" s="33" t="str">
        <f aca="false">IF(A998="","",IF(COUNT(AF998:AJ998)=0,"",SUM(AF998:AJ998)))</f>
        <v/>
      </c>
      <c r="AS998" s="34" t="str">
        <f aca="false">IF(OR(AR998="",N(AO998)=0),"",AR998/AO998)</f>
        <v/>
      </c>
      <c r="AT998" s="34" t="str">
        <f aca="false">IF(OR(AR998="",N(AC998)=0),"",AR998/AC998)</f>
        <v/>
      </c>
      <c r="AU998" s="34" t="str">
        <f aca="false">IF(OR(AR998="",N(S998)=0),"",AR998/S998)</f>
        <v/>
      </c>
      <c r="AV998" s="34" t="str">
        <f aca="false">IF(OR(AJ998="",N(AC998)=0),"",AJ998/AC998)</f>
        <v/>
      </c>
      <c r="AW998" s="34" t="str">
        <f aca="false">IF(OR(AH998="",N(AO998)=0),"",AH998/AO998)</f>
        <v/>
      </c>
      <c r="AX998" s="35" t="str">
        <f aca="false">IF(OR(AR998="",N(AO998)=0),"",(N(AF998)*Settings!$B$6+N(AG998)*Settings!$B$7+N(AH998)*Settings!$B$8+N(AI998)*Settings!$B$9+N(AJ998)*Settings!$B$10)/AO998*1000)</f>
        <v/>
      </c>
      <c r="AY998" s="36" t="str">
        <f aca="false">IF(AS998="","",IFERROR(AS998/AVERAGEIFS('Post Tracker'!$AS$5:$AS$1004,'Post Tracker'!$G$5:$G$1004,G998),""))</f>
        <v/>
      </c>
      <c r="AZ998" s="32"/>
      <c r="BA998" s="32"/>
      <c r="BB998" s="32"/>
      <c r="BC998" s="32"/>
      <c r="BD998" s="33" t="str">
        <f aca="false">IF(A998="","",COUNTIFS('Demo Pipeline'!$Q$5:$Q$504,A998))</f>
        <v/>
      </c>
      <c r="BE998" s="33" t="str">
        <f aca="false">IF(A998="","",COUNTIFS('Demo Pipeline'!$Q$5:$Q$504,A998,'Demo Pipeline'!$W$5:$W$504,"Attended"))</f>
        <v/>
      </c>
      <c r="BF998" s="33" t="str">
        <f aca="false">IF(A998="","",COUNTIFS('Demo Pipeline'!$Q$5:$Q$504,A998,'Demo Pipeline'!$X$5:$X$504,"Yes"))</f>
        <v/>
      </c>
      <c r="BG998" s="33" t="str">
        <f aca="false">IF(A998="","",COUNTIFS('Demo Pipeline'!$Q$5:$Q$504,A998,'Demo Pipeline'!$Y$5:$Y$504,"Closed Won"))</f>
        <v/>
      </c>
      <c r="BH998" s="37" t="str">
        <f aca="false">IF(A998="","",SUMIFS('Demo Pipeline'!$Z$5:$Z$504,'Demo Pipeline'!$Q$5:$Q$504,A998))</f>
        <v/>
      </c>
      <c r="BI998" s="34" t="str">
        <f aca="false">IF(OR(AZ998="",N(AJ998)=0),"",AZ998/AJ998)</f>
        <v/>
      </c>
      <c r="BJ998" s="34" t="str">
        <f aca="false">IF(OR(BB998="",N(AZ998)=0),"",BB998/AZ998)</f>
        <v/>
      </c>
      <c r="BK998" s="34" t="str">
        <f aca="false">IF(OR(A998="",N(BB998)=0),"",BD998/BB998)</f>
        <v/>
      </c>
      <c r="BL998" s="34" t="str">
        <f aca="false">IF(OR(A998="",N(AZ998)=0),"",BD998/AZ998)</f>
        <v/>
      </c>
      <c r="BM998" s="37" t="str">
        <f aca="false">IF(OR(N(Q998)=0,N(BD998)=0),"",Q998/BD998)</f>
        <v/>
      </c>
      <c r="BN998" s="29"/>
      <c r="BO998" s="29"/>
      <c r="BP998" s="33" t="str">
        <f aca="false">IF(OR(AR998="",N(AO998)=0),"",AR998)</f>
        <v/>
      </c>
      <c r="BQ998" s="33" t="str">
        <f aca="false">IF(OR(AR998="",N(S998)=0),"",S998)</f>
        <v/>
      </c>
      <c r="BR998" s="38" t="str">
        <f aca="false">IF(AND(ISNUMBER(B998),B998&gt;=Dashboard!$C$4,B998&lt;=Dashboard!$F$4,ISNUMBER(AU998)),AU998+ROW()/10^9,"")</f>
        <v/>
      </c>
      <c r="BS998" s="38" t="str">
        <f aca="false">IF(AND(ISNUMBER(B998),B998&gt;=Dashboard!$C$4,B998&lt;=Dashboard!$F$4,A998&lt;&gt;""),N(BD998)+N(AU998)/100+ROW()/10^9,"")</f>
        <v/>
      </c>
    </row>
    <row r="999" customFormat="false" ht="15" hidden="false" customHeight="false" outlineLevel="0" collapsed="false">
      <c r="A999" s="24" t="str">
        <f aca="false">IF(OR(B999="",G999="",H999=""),"",IFERROR(INDEX(Settings!$E$5:$E$49,MATCH(G999,Settings!$D$5:$D$49,0))&amp;INDEX(Settings!$H$5:$H$47,MATCH(H999,Settings!$G$5:$G$47,0))&amp;"-"&amp;TEXT(B999,"yymmdd")&amp;"-"&amp;IF(C999="","0000",TEXT(C999,"hhmm")),"CHECK LISTS"))</f>
        <v/>
      </c>
      <c r="B999" s="39"/>
      <c r="C999" s="40"/>
      <c r="D999" s="24" t="str">
        <f aca="false">IF(B999="","",TEXT(B999,"ddd"))</f>
        <v/>
      </c>
      <c r="E999" s="27" t="str">
        <f aca="false">IF(B999="","",B999-WEEKDAY(B999,3))</f>
        <v/>
      </c>
      <c r="F999" s="24" t="str">
        <f aca="false">IF(B999="","",TEXT(B999,"yyyy-mm"))</f>
        <v/>
      </c>
      <c r="G999" s="29"/>
      <c r="H999" s="29"/>
      <c r="I999" s="29"/>
      <c r="J999" s="29"/>
      <c r="K999" s="29"/>
      <c r="L999" s="29"/>
      <c r="M999" s="29"/>
      <c r="N999" s="29"/>
      <c r="O999" s="29"/>
      <c r="P999" s="29"/>
      <c r="Q999" s="30"/>
      <c r="R999" s="29"/>
      <c r="S999" s="32"/>
      <c r="T999" s="29"/>
      <c r="U999" s="29"/>
      <c r="V999" s="24" t="str">
        <f aca="false">IF(A999="","",IFERROR(INDEX(Settings!$F$5:$F$49,MATCH(G999,Settings!$D$5:$D$49,0)),""))</f>
        <v/>
      </c>
      <c r="W999" s="24" t="str">
        <f aca="false">IF(A999="","",IF(OR(P999="",P999="Organic"),"social","paid_social"))</f>
        <v/>
      </c>
      <c r="X999" s="24" t="str">
        <f aca="false">IF(A999="","",IF(K999&lt;&gt;"",IFERROR(INDEX('Case Studies'!$C$5:$C$54,MATCH(K999,'Case Studies'!$B$5:$B$54,0))&amp;"","case-study"),IF(J999&lt;&gt;"",IFERROR(INDEX(Settings!$J$5:$J$55,MATCH(J999,Settings!$I$5:$I$55,0)),"general"),"general")))</f>
        <v/>
      </c>
      <c r="Y999" s="24" t="str">
        <f aca="false">IF(A999="","",LOWER(A999))</f>
        <v/>
      </c>
      <c r="Z999" s="24" t="str">
        <f aca="false">IF(A999="","",IF(T999="",Settings!$B$5,T999)&amp;IF(ISNUMBER(FIND("?",IF(T999="",Settings!$B$5,T999))),"&amp;","?")&amp;"utm_source="&amp;V999&amp;"&amp;utm_medium="&amp;W999&amp;"&amp;utm_campaign="&amp;X999&amp;"&amp;utm_content="&amp;Y999)</f>
        <v/>
      </c>
      <c r="AA999" s="29"/>
      <c r="AB999" s="39"/>
      <c r="AC999" s="32"/>
      <c r="AD999" s="32"/>
      <c r="AE999" s="32"/>
      <c r="AF999" s="32"/>
      <c r="AG999" s="32"/>
      <c r="AH999" s="32"/>
      <c r="AI999" s="32"/>
      <c r="AJ999" s="32"/>
      <c r="AK999" s="32"/>
      <c r="AL999" s="32"/>
      <c r="AM999" s="32"/>
      <c r="AN999" s="32"/>
      <c r="AO999" s="33" t="str">
        <f aca="false">IF(A999="","",IF(AD999&lt;&gt;"",AD999,IF(AC999&lt;&gt;"",AC999,"")))</f>
        <v/>
      </c>
      <c r="AP999" s="24" t="str">
        <f aca="false">IF(AO999="","",IF(AD999&lt;&gt;"","Reported reach","Impressions (proxy)"))</f>
        <v/>
      </c>
      <c r="AQ999" s="34" t="str">
        <f aca="false">IF(OR(AO999="",N(S999)=0),"",AO999/S999)</f>
        <v/>
      </c>
      <c r="AR999" s="33" t="str">
        <f aca="false">IF(A999="","",IF(COUNT(AF999:AJ999)=0,"",SUM(AF999:AJ999)))</f>
        <v/>
      </c>
      <c r="AS999" s="34" t="str">
        <f aca="false">IF(OR(AR999="",N(AO999)=0),"",AR999/AO999)</f>
        <v/>
      </c>
      <c r="AT999" s="34" t="str">
        <f aca="false">IF(OR(AR999="",N(AC999)=0),"",AR999/AC999)</f>
        <v/>
      </c>
      <c r="AU999" s="34" t="str">
        <f aca="false">IF(OR(AR999="",N(S999)=0),"",AR999/S999)</f>
        <v/>
      </c>
      <c r="AV999" s="34" t="str">
        <f aca="false">IF(OR(AJ999="",N(AC999)=0),"",AJ999/AC999)</f>
        <v/>
      </c>
      <c r="AW999" s="34" t="str">
        <f aca="false">IF(OR(AH999="",N(AO999)=0),"",AH999/AO999)</f>
        <v/>
      </c>
      <c r="AX999" s="35" t="str">
        <f aca="false">IF(OR(AR999="",N(AO999)=0),"",(N(AF999)*Settings!$B$6+N(AG999)*Settings!$B$7+N(AH999)*Settings!$B$8+N(AI999)*Settings!$B$9+N(AJ999)*Settings!$B$10)/AO999*1000)</f>
        <v/>
      </c>
      <c r="AY999" s="36" t="str">
        <f aca="false">IF(AS999="","",IFERROR(AS999/AVERAGEIFS('Post Tracker'!$AS$5:$AS$1004,'Post Tracker'!$G$5:$G$1004,G999),""))</f>
        <v/>
      </c>
      <c r="AZ999" s="32"/>
      <c r="BA999" s="32"/>
      <c r="BB999" s="32"/>
      <c r="BC999" s="32"/>
      <c r="BD999" s="33" t="str">
        <f aca="false">IF(A999="","",COUNTIFS('Demo Pipeline'!$Q$5:$Q$504,A999))</f>
        <v/>
      </c>
      <c r="BE999" s="33" t="str">
        <f aca="false">IF(A999="","",COUNTIFS('Demo Pipeline'!$Q$5:$Q$504,A999,'Demo Pipeline'!$W$5:$W$504,"Attended"))</f>
        <v/>
      </c>
      <c r="BF999" s="33" t="str">
        <f aca="false">IF(A999="","",COUNTIFS('Demo Pipeline'!$Q$5:$Q$504,A999,'Demo Pipeline'!$X$5:$X$504,"Yes"))</f>
        <v/>
      </c>
      <c r="BG999" s="33" t="str">
        <f aca="false">IF(A999="","",COUNTIFS('Demo Pipeline'!$Q$5:$Q$504,A999,'Demo Pipeline'!$Y$5:$Y$504,"Closed Won"))</f>
        <v/>
      </c>
      <c r="BH999" s="37" t="str">
        <f aca="false">IF(A999="","",SUMIFS('Demo Pipeline'!$Z$5:$Z$504,'Demo Pipeline'!$Q$5:$Q$504,A999))</f>
        <v/>
      </c>
      <c r="BI999" s="34" t="str">
        <f aca="false">IF(OR(AZ999="",N(AJ999)=0),"",AZ999/AJ999)</f>
        <v/>
      </c>
      <c r="BJ999" s="34" t="str">
        <f aca="false">IF(OR(BB999="",N(AZ999)=0),"",BB999/AZ999)</f>
        <v/>
      </c>
      <c r="BK999" s="34" t="str">
        <f aca="false">IF(OR(A999="",N(BB999)=0),"",BD999/BB999)</f>
        <v/>
      </c>
      <c r="BL999" s="34" t="str">
        <f aca="false">IF(OR(A999="",N(AZ999)=0),"",BD999/AZ999)</f>
        <v/>
      </c>
      <c r="BM999" s="37" t="str">
        <f aca="false">IF(OR(N(Q999)=0,N(BD999)=0),"",Q999/BD999)</f>
        <v/>
      </c>
      <c r="BN999" s="29"/>
      <c r="BO999" s="29"/>
      <c r="BP999" s="33" t="str">
        <f aca="false">IF(OR(AR999="",N(AO999)=0),"",AR999)</f>
        <v/>
      </c>
      <c r="BQ999" s="33" t="str">
        <f aca="false">IF(OR(AR999="",N(S999)=0),"",S999)</f>
        <v/>
      </c>
      <c r="BR999" s="38" t="str">
        <f aca="false">IF(AND(ISNUMBER(B999),B999&gt;=Dashboard!$C$4,B999&lt;=Dashboard!$F$4,ISNUMBER(AU999)),AU999+ROW()/10^9,"")</f>
        <v/>
      </c>
      <c r="BS999" s="38" t="str">
        <f aca="false">IF(AND(ISNUMBER(B999),B999&gt;=Dashboard!$C$4,B999&lt;=Dashboard!$F$4,A999&lt;&gt;""),N(BD999)+N(AU999)/100+ROW()/10^9,"")</f>
        <v/>
      </c>
    </row>
    <row r="1000" customFormat="false" ht="15" hidden="false" customHeight="false" outlineLevel="0" collapsed="false">
      <c r="A1000" s="24" t="str">
        <f aca="false">IF(OR(B1000="",G1000="",H1000=""),"",IFERROR(INDEX(Settings!$E$5:$E$49,MATCH(G1000,Settings!$D$5:$D$49,0))&amp;INDEX(Settings!$H$5:$H$47,MATCH(H1000,Settings!$G$5:$G$47,0))&amp;"-"&amp;TEXT(B1000,"yymmdd")&amp;"-"&amp;IF(C1000="","0000",TEXT(C1000,"hhmm")),"CHECK LISTS"))</f>
        <v/>
      </c>
      <c r="B1000" s="39"/>
      <c r="C1000" s="40"/>
      <c r="D1000" s="24" t="str">
        <f aca="false">IF(B1000="","",TEXT(B1000,"ddd"))</f>
        <v/>
      </c>
      <c r="E1000" s="27" t="str">
        <f aca="false">IF(B1000="","",B1000-WEEKDAY(B1000,3))</f>
        <v/>
      </c>
      <c r="F1000" s="24" t="str">
        <f aca="false">IF(B1000="","",TEXT(B1000,"yyyy-mm"))</f>
        <v/>
      </c>
      <c r="G1000" s="29"/>
      <c r="H1000" s="29"/>
      <c r="I1000" s="29"/>
      <c r="J1000" s="29"/>
      <c r="K1000" s="29"/>
      <c r="L1000" s="29"/>
      <c r="M1000" s="29"/>
      <c r="N1000" s="29"/>
      <c r="O1000" s="29"/>
      <c r="P1000" s="29"/>
      <c r="Q1000" s="30"/>
      <c r="R1000" s="29"/>
      <c r="S1000" s="32"/>
      <c r="T1000" s="29"/>
      <c r="U1000" s="29"/>
      <c r="V1000" s="24" t="str">
        <f aca="false">IF(A1000="","",IFERROR(INDEX(Settings!$F$5:$F$49,MATCH(G1000,Settings!$D$5:$D$49,0)),""))</f>
        <v/>
      </c>
      <c r="W1000" s="24" t="str">
        <f aca="false">IF(A1000="","",IF(OR(P1000="",P1000="Organic"),"social","paid_social"))</f>
        <v/>
      </c>
      <c r="X1000" s="24" t="str">
        <f aca="false">IF(A1000="","",IF(K1000&lt;&gt;"",IFERROR(INDEX('Case Studies'!$C$5:$C$54,MATCH(K1000,'Case Studies'!$B$5:$B$54,0))&amp;"","case-study"),IF(J1000&lt;&gt;"",IFERROR(INDEX(Settings!$J$5:$J$55,MATCH(J1000,Settings!$I$5:$I$55,0)),"general"),"general")))</f>
        <v/>
      </c>
      <c r="Y1000" s="24" t="str">
        <f aca="false">IF(A1000="","",LOWER(A1000))</f>
        <v/>
      </c>
      <c r="Z1000" s="24" t="str">
        <f aca="false">IF(A1000="","",IF(T1000="",Settings!$B$5,T1000)&amp;IF(ISNUMBER(FIND("?",IF(T1000="",Settings!$B$5,T1000))),"&amp;","?")&amp;"utm_source="&amp;V1000&amp;"&amp;utm_medium="&amp;W1000&amp;"&amp;utm_campaign="&amp;X1000&amp;"&amp;utm_content="&amp;Y1000)</f>
        <v/>
      </c>
      <c r="AA1000" s="29"/>
      <c r="AB1000" s="39"/>
      <c r="AC1000" s="32"/>
      <c r="AD1000" s="32"/>
      <c r="AE1000" s="32"/>
      <c r="AF1000" s="32"/>
      <c r="AG1000" s="32"/>
      <c r="AH1000" s="32"/>
      <c r="AI1000" s="32"/>
      <c r="AJ1000" s="32"/>
      <c r="AK1000" s="32"/>
      <c r="AL1000" s="32"/>
      <c r="AM1000" s="32"/>
      <c r="AN1000" s="32"/>
      <c r="AO1000" s="33" t="str">
        <f aca="false">IF(A1000="","",IF(AD1000&lt;&gt;"",AD1000,IF(AC1000&lt;&gt;"",AC1000,"")))</f>
        <v/>
      </c>
      <c r="AP1000" s="24" t="str">
        <f aca="false">IF(AO1000="","",IF(AD1000&lt;&gt;"","Reported reach","Impressions (proxy)"))</f>
        <v/>
      </c>
      <c r="AQ1000" s="34" t="str">
        <f aca="false">IF(OR(AO1000="",N(S1000)=0),"",AO1000/S1000)</f>
        <v/>
      </c>
      <c r="AR1000" s="33" t="str">
        <f aca="false">IF(A1000="","",IF(COUNT(AF1000:AJ1000)=0,"",SUM(AF1000:AJ1000)))</f>
        <v/>
      </c>
      <c r="AS1000" s="34" t="str">
        <f aca="false">IF(OR(AR1000="",N(AO1000)=0),"",AR1000/AO1000)</f>
        <v/>
      </c>
      <c r="AT1000" s="34" t="str">
        <f aca="false">IF(OR(AR1000="",N(AC1000)=0),"",AR1000/AC1000)</f>
        <v/>
      </c>
      <c r="AU1000" s="34" t="str">
        <f aca="false">IF(OR(AR1000="",N(S1000)=0),"",AR1000/S1000)</f>
        <v/>
      </c>
      <c r="AV1000" s="34" t="str">
        <f aca="false">IF(OR(AJ1000="",N(AC1000)=0),"",AJ1000/AC1000)</f>
        <v/>
      </c>
      <c r="AW1000" s="34" t="str">
        <f aca="false">IF(OR(AH1000="",N(AO1000)=0),"",AH1000/AO1000)</f>
        <v/>
      </c>
      <c r="AX1000" s="35" t="str">
        <f aca="false">IF(OR(AR1000="",N(AO1000)=0),"",(N(AF1000)*Settings!$B$6+N(AG1000)*Settings!$B$7+N(AH1000)*Settings!$B$8+N(AI1000)*Settings!$B$9+N(AJ1000)*Settings!$B$10)/AO1000*1000)</f>
        <v/>
      </c>
      <c r="AY1000" s="36" t="str">
        <f aca="false">IF(AS1000="","",IFERROR(AS1000/AVERAGEIFS('Post Tracker'!$AS$5:$AS$1004,'Post Tracker'!$G$5:$G$1004,G1000),""))</f>
        <v/>
      </c>
      <c r="AZ1000" s="32"/>
      <c r="BA1000" s="32"/>
      <c r="BB1000" s="32"/>
      <c r="BC1000" s="32"/>
      <c r="BD1000" s="33" t="str">
        <f aca="false">IF(A1000="","",COUNTIFS('Demo Pipeline'!$Q$5:$Q$504,A1000))</f>
        <v/>
      </c>
      <c r="BE1000" s="33" t="str">
        <f aca="false">IF(A1000="","",COUNTIFS('Demo Pipeline'!$Q$5:$Q$504,A1000,'Demo Pipeline'!$W$5:$W$504,"Attended"))</f>
        <v/>
      </c>
      <c r="BF1000" s="33" t="str">
        <f aca="false">IF(A1000="","",COUNTIFS('Demo Pipeline'!$Q$5:$Q$504,A1000,'Demo Pipeline'!$X$5:$X$504,"Yes"))</f>
        <v/>
      </c>
      <c r="BG1000" s="33" t="str">
        <f aca="false">IF(A1000="","",COUNTIFS('Demo Pipeline'!$Q$5:$Q$504,A1000,'Demo Pipeline'!$Y$5:$Y$504,"Closed Won"))</f>
        <v/>
      </c>
      <c r="BH1000" s="37" t="str">
        <f aca="false">IF(A1000="","",SUMIFS('Demo Pipeline'!$Z$5:$Z$504,'Demo Pipeline'!$Q$5:$Q$504,A1000))</f>
        <v/>
      </c>
      <c r="BI1000" s="34" t="str">
        <f aca="false">IF(OR(AZ1000="",N(AJ1000)=0),"",AZ1000/AJ1000)</f>
        <v/>
      </c>
      <c r="BJ1000" s="34" t="str">
        <f aca="false">IF(OR(BB1000="",N(AZ1000)=0),"",BB1000/AZ1000)</f>
        <v/>
      </c>
      <c r="BK1000" s="34" t="str">
        <f aca="false">IF(OR(A1000="",N(BB1000)=0),"",BD1000/BB1000)</f>
        <v/>
      </c>
      <c r="BL1000" s="34" t="str">
        <f aca="false">IF(OR(A1000="",N(AZ1000)=0),"",BD1000/AZ1000)</f>
        <v/>
      </c>
      <c r="BM1000" s="37" t="str">
        <f aca="false">IF(OR(N(Q1000)=0,N(BD1000)=0),"",Q1000/BD1000)</f>
        <v/>
      </c>
      <c r="BN1000" s="29"/>
      <c r="BO1000" s="29"/>
      <c r="BP1000" s="33" t="str">
        <f aca="false">IF(OR(AR1000="",N(AO1000)=0),"",AR1000)</f>
        <v/>
      </c>
      <c r="BQ1000" s="33" t="str">
        <f aca="false">IF(OR(AR1000="",N(S1000)=0),"",S1000)</f>
        <v/>
      </c>
      <c r="BR1000" s="38" t="str">
        <f aca="false">IF(AND(ISNUMBER(B1000),B1000&gt;=Dashboard!$C$4,B1000&lt;=Dashboard!$F$4,ISNUMBER(AU1000)),AU1000+ROW()/10^9,"")</f>
        <v/>
      </c>
      <c r="BS1000" s="38" t="str">
        <f aca="false">IF(AND(ISNUMBER(B1000),B1000&gt;=Dashboard!$C$4,B1000&lt;=Dashboard!$F$4,A1000&lt;&gt;""),N(BD1000)+N(AU1000)/100+ROW()/10^9,"")</f>
        <v/>
      </c>
    </row>
    <row r="1001" customFormat="false" ht="15" hidden="false" customHeight="false" outlineLevel="0" collapsed="false">
      <c r="A1001" s="24" t="str">
        <f aca="false">IF(OR(B1001="",G1001="",H1001=""),"",IFERROR(INDEX(Settings!$E$5:$E$49,MATCH(G1001,Settings!$D$5:$D$49,0))&amp;INDEX(Settings!$H$5:$H$47,MATCH(H1001,Settings!$G$5:$G$47,0))&amp;"-"&amp;TEXT(B1001,"yymmdd")&amp;"-"&amp;IF(C1001="","0000",TEXT(C1001,"hhmm")),"CHECK LISTS"))</f>
        <v/>
      </c>
      <c r="B1001" s="39"/>
      <c r="C1001" s="40"/>
      <c r="D1001" s="24" t="str">
        <f aca="false">IF(B1001="","",TEXT(B1001,"ddd"))</f>
        <v/>
      </c>
      <c r="E1001" s="27" t="str">
        <f aca="false">IF(B1001="","",B1001-WEEKDAY(B1001,3))</f>
        <v/>
      </c>
      <c r="F1001" s="24" t="str">
        <f aca="false">IF(B1001="","",TEXT(B1001,"yyyy-mm"))</f>
        <v/>
      </c>
      <c r="G1001" s="29"/>
      <c r="H1001" s="29"/>
      <c r="I1001" s="29"/>
      <c r="J1001" s="29"/>
      <c r="K1001" s="29"/>
      <c r="L1001" s="29"/>
      <c r="M1001" s="29"/>
      <c r="N1001" s="29"/>
      <c r="O1001" s="29"/>
      <c r="P1001" s="29"/>
      <c r="Q1001" s="30"/>
      <c r="R1001" s="29"/>
      <c r="S1001" s="32"/>
      <c r="T1001" s="29"/>
      <c r="U1001" s="29"/>
      <c r="V1001" s="24" t="str">
        <f aca="false">IF(A1001="","",IFERROR(INDEX(Settings!$F$5:$F$49,MATCH(G1001,Settings!$D$5:$D$49,0)),""))</f>
        <v/>
      </c>
      <c r="W1001" s="24" t="str">
        <f aca="false">IF(A1001="","",IF(OR(P1001="",P1001="Organic"),"social","paid_social"))</f>
        <v/>
      </c>
      <c r="X1001" s="24" t="str">
        <f aca="false">IF(A1001="","",IF(K1001&lt;&gt;"",IFERROR(INDEX('Case Studies'!$C$5:$C$54,MATCH(K1001,'Case Studies'!$B$5:$B$54,0))&amp;"","case-study"),IF(J1001&lt;&gt;"",IFERROR(INDEX(Settings!$J$5:$J$55,MATCH(J1001,Settings!$I$5:$I$55,0)),"general"),"general")))</f>
        <v/>
      </c>
      <c r="Y1001" s="24" t="str">
        <f aca="false">IF(A1001="","",LOWER(A1001))</f>
        <v/>
      </c>
      <c r="Z1001" s="24" t="str">
        <f aca="false">IF(A1001="","",IF(T1001="",Settings!$B$5,T1001)&amp;IF(ISNUMBER(FIND("?",IF(T1001="",Settings!$B$5,T1001))),"&amp;","?")&amp;"utm_source="&amp;V1001&amp;"&amp;utm_medium="&amp;W1001&amp;"&amp;utm_campaign="&amp;X1001&amp;"&amp;utm_content="&amp;Y1001)</f>
        <v/>
      </c>
      <c r="AA1001" s="29"/>
      <c r="AB1001" s="39"/>
      <c r="AC1001" s="32"/>
      <c r="AD1001" s="32"/>
      <c r="AE1001" s="32"/>
      <c r="AF1001" s="32"/>
      <c r="AG1001" s="32"/>
      <c r="AH1001" s="32"/>
      <c r="AI1001" s="32"/>
      <c r="AJ1001" s="32"/>
      <c r="AK1001" s="32"/>
      <c r="AL1001" s="32"/>
      <c r="AM1001" s="32"/>
      <c r="AN1001" s="32"/>
      <c r="AO1001" s="33" t="str">
        <f aca="false">IF(A1001="","",IF(AD1001&lt;&gt;"",AD1001,IF(AC1001&lt;&gt;"",AC1001,"")))</f>
        <v/>
      </c>
      <c r="AP1001" s="24" t="str">
        <f aca="false">IF(AO1001="","",IF(AD1001&lt;&gt;"","Reported reach","Impressions (proxy)"))</f>
        <v/>
      </c>
      <c r="AQ1001" s="34" t="str">
        <f aca="false">IF(OR(AO1001="",N(S1001)=0),"",AO1001/S1001)</f>
        <v/>
      </c>
      <c r="AR1001" s="33" t="str">
        <f aca="false">IF(A1001="","",IF(COUNT(AF1001:AJ1001)=0,"",SUM(AF1001:AJ1001)))</f>
        <v/>
      </c>
      <c r="AS1001" s="34" t="str">
        <f aca="false">IF(OR(AR1001="",N(AO1001)=0),"",AR1001/AO1001)</f>
        <v/>
      </c>
      <c r="AT1001" s="34" t="str">
        <f aca="false">IF(OR(AR1001="",N(AC1001)=0),"",AR1001/AC1001)</f>
        <v/>
      </c>
      <c r="AU1001" s="34" t="str">
        <f aca="false">IF(OR(AR1001="",N(S1001)=0),"",AR1001/S1001)</f>
        <v/>
      </c>
      <c r="AV1001" s="34" t="str">
        <f aca="false">IF(OR(AJ1001="",N(AC1001)=0),"",AJ1001/AC1001)</f>
        <v/>
      </c>
      <c r="AW1001" s="34" t="str">
        <f aca="false">IF(OR(AH1001="",N(AO1001)=0),"",AH1001/AO1001)</f>
        <v/>
      </c>
      <c r="AX1001" s="35" t="str">
        <f aca="false">IF(OR(AR1001="",N(AO1001)=0),"",(N(AF1001)*Settings!$B$6+N(AG1001)*Settings!$B$7+N(AH1001)*Settings!$B$8+N(AI1001)*Settings!$B$9+N(AJ1001)*Settings!$B$10)/AO1001*1000)</f>
        <v/>
      </c>
      <c r="AY1001" s="36" t="str">
        <f aca="false">IF(AS1001="","",IFERROR(AS1001/AVERAGEIFS('Post Tracker'!$AS$5:$AS$1004,'Post Tracker'!$G$5:$G$1004,G1001),""))</f>
        <v/>
      </c>
      <c r="AZ1001" s="32"/>
      <c r="BA1001" s="32"/>
      <c r="BB1001" s="32"/>
      <c r="BC1001" s="32"/>
      <c r="BD1001" s="33" t="str">
        <f aca="false">IF(A1001="","",COUNTIFS('Demo Pipeline'!$Q$5:$Q$504,A1001))</f>
        <v/>
      </c>
      <c r="BE1001" s="33" t="str">
        <f aca="false">IF(A1001="","",COUNTIFS('Demo Pipeline'!$Q$5:$Q$504,A1001,'Demo Pipeline'!$W$5:$W$504,"Attended"))</f>
        <v/>
      </c>
      <c r="BF1001" s="33" t="str">
        <f aca="false">IF(A1001="","",COUNTIFS('Demo Pipeline'!$Q$5:$Q$504,A1001,'Demo Pipeline'!$X$5:$X$504,"Yes"))</f>
        <v/>
      </c>
      <c r="BG1001" s="33" t="str">
        <f aca="false">IF(A1001="","",COUNTIFS('Demo Pipeline'!$Q$5:$Q$504,A1001,'Demo Pipeline'!$Y$5:$Y$504,"Closed Won"))</f>
        <v/>
      </c>
      <c r="BH1001" s="37" t="str">
        <f aca="false">IF(A1001="","",SUMIFS('Demo Pipeline'!$Z$5:$Z$504,'Demo Pipeline'!$Q$5:$Q$504,A1001))</f>
        <v/>
      </c>
      <c r="BI1001" s="34" t="str">
        <f aca="false">IF(OR(AZ1001="",N(AJ1001)=0),"",AZ1001/AJ1001)</f>
        <v/>
      </c>
      <c r="BJ1001" s="34" t="str">
        <f aca="false">IF(OR(BB1001="",N(AZ1001)=0),"",BB1001/AZ1001)</f>
        <v/>
      </c>
      <c r="BK1001" s="34" t="str">
        <f aca="false">IF(OR(A1001="",N(BB1001)=0),"",BD1001/BB1001)</f>
        <v/>
      </c>
      <c r="BL1001" s="34" t="str">
        <f aca="false">IF(OR(A1001="",N(AZ1001)=0),"",BD1001/AZ1001)</f>
        <v/>
      </c>
      <c r="BM1001" s="37" t="str">
        <f aca="false">IF(OR(N(Q1001)=0,N(BD1001)=0),"",Q1001/BD1001)</f>
        <v/>
      </c>
      <c r="BN1001" s="29"/>
      <c r="BO1001" s="29"/>
      <c r="BP1001" s="33" t="str">
        <f aca="false">IF(OR(AR1001="",N(AO1001)=0),"",AR1001)</f>
        <v/>
      </c>
      <c r="BQ1001" s="33" t="str">
        <f aca="false">IF(OR(AR1001="",N(S1001)=0),"",S1001)</f>
        <v/>
      </c>
      <c r="BR1001" s="38" t="str">
        <f aca="false">IF(AND(ISNUMBER(B1001),B1001&gt;=Dashboard!$C$4,B1001&lt;=Dashboard!$F$4,ISNUMBER(AU1001)),AU1001+ROW()/10^9,"")</f>
        <v/>
      </c>
      <c r="BS1001" s="38" t="str">
        <f aca="false">IF(AND(ISNUMBER(B1001),B1001&gt;=Dashboard!$C$4,B1001&lt;=Dashboard!$F$4,A1001&lt;&gt;""),N(BD1001)+N(AU1001)/100+ROW()/10^9,"")</f>
        <v/>
      </c>
    </row>
    <row r="1002" customFormat="false" ht="15" hidden="false" customHeight="false" outlineLevel="0" collapsed="false">
      <c r="A1002" s="24" t="str">
        <f aca="false">IF(OR(B1002="",G1002="",H1002=""),"",IFERROR(INDEX(Settings!$E$5:$E$49,MATCH(G1002,Settings!$D$5:$D$49,0))&amp;INDEX(Settings!$H$5:$H$47,MATCH(H1002,Settings!$G$5:$G$47,0))&amp;"-"&amp;TEXT(B1002,"yymmdd")&amp;"-"&amp;IF(C1002="","0000",TEXT(C1002,"hhmm")),"CHECK LISTS"))</f>
        <v/>
      </c>
      <c r="B1002" s="39"/>
      <c r="C1002" s="40"/>
      <c r="D1002" s="24" t="str">
        <f aca="false">IF(B1002="","",TEXT(B1002,"ddd"))</f>
        <v/>
      </c>
      <c r="E1002" s="27" t="str">
        <f aca="false">IF(B1002="","",B1002-WEEKDAY(B1002,3))</f>
        <v/>
      </c>
      <c r="F1002" s="24" t="str">
        <f aca="false">IF(B1002="","",TEXT(B1002,"yyyy-mm"))</f>
        <v/>
      </c>
      <c r="G1002" s="29"/>
      <c r="H1002" s="29"/>
      <c r="I1002" s="29"/>
      <c r="J1002" s="29"/>
      <c r="K1002" s="29"/>
      <c r="L1002" s="29"/>
      <c r="M1002" s="29"/>
      <c r="N1002" s="29"/>
      <c r="O1002" s="29"/>
      <c r="P1002" s="29"/>
      <c r="Q1002" s="30"/>
      <c r="R1002" s="29"/>
      <c r="S1002" s="32"/>
      <c r="T1002" s="29"/>
      <c r="U1002" s="29"/>
      <c r="V1002" s="24" t="str">
        <f aca="false">IF(A1002="","",IFERROR(INDEX(Settings!$F$5:$F$49,MATCH(G1002,Settings!$D$5:$D$49,0)),""))</f>
        <v/>
      </c>
      <c r="W1002" s="24" t="str">
        <f aca="false">IF(A1002="","",IF(OR(P1002="",P1002="Organic"),"social","paid_social"))</f>
        <v/>
      </c>
      <c r="X1002" s="24" t="str">
        <f aca="false">IF(A1002="","",IF(K1002&lt;&gt;"",IFERROR(INDEX('Case Studies'!$C$5:$C$54,MATCH(K1002,'Case Studies'!$B$5:$B$54,0))&amp;"","case-study"),IF(J1002&lt;&gt;"",IFERROR(INDEX(Settings!$J$5:$J$55,MATCH(J1002,Settings!$I$5:$I$55,0)),"general"),"general")))</f>
        <v/>
      </c>
      <c r="Y1002" s="24" t="str">
        <f aca="false">IF(A1002="","",LOWER(A1002))</f>
        <v/>
      </c>
      <c r="Z1002" s="24" t="str">
        <f aca="false">IF(A1002="","",IF(T1002="",Settings!$B$5,T1002)&amp;IF(ISNUMBER(FIND("?",IF(T1002="",Settings!$B$5,T1002))),"&amp;","?")&amp;"utm_source="&amp;V1002&amp;"&amp;utm_medium="&amp;W1002&amp;"&amp;utm_campaign="&amp;X1002&amp;"&amp;utm_content="&amp;Y1002)</f>
        <v/>
      </c>
      <c r="AA1002" s="29"/>
      <c r="AB1002" s="39"/>
      <c r="AC1002" s="32"/>
      <c r="AD1002" s="32"/>
      <c r="AE1002" s="32"/>
      <c r="AF1002" s="32"/>
      <c r="AG1002" s="32"/>
      <c r="AH1002" s="32"/>
      <c r="AI1002" s="32"/>
      <c r="AJ1002" s="32"/>
      <c r="AK1002" s="32"/>
      <c r="AL1002" s="32"/>
      <c r="AM1002" s="32"/>
      <c r="AN1002" s="32"/>
      <c r="AO1002" s="33" t="str">
        <f aca="false">IF(A1002="","",IF(AD1002&lt;&gt;"",AD1002,IF(AC1002&lt;&gt;"",AC1002,"")))</f>
        <v/>
      </c>
      <c r="AP1002" s="24" t="str">
        <f aca="false">IF(AO1002="","",IF(AD1002&lt;&gt;"","Reported reach","Impressions (proxy)"))</f>
        <v/>
      </c>
      <c r="AQ1002" s="34" t="str">
        <f aca="false">IF(OR(AO1002="",N(S1002)=0),"",AO1002/S1002)</f>
        <v/>
      </c>
      <c r="AR1002" s="33" t="str">
        <f aca="false">IF(A1002="","",IF(COUNT(AF1002:AJ1002)=0,"",SUM(AF1002:AJ1002)))</f>
        <v/>
      </c>
      <c r="AS1002" s="34" t="str">
        <f aca="false">IF(OR(AR1002="",N(AO1002)=0),"",AR1002/AO1002)</f>
        <v/>
      </c>
      <c r="AT1002" s="34" t="str">
        <f aca="false">IF(OR(AR1002="",N(AC1002)=0),"",AR1002/AC1002)</f>
        <v/>
      </c>
      <c r="AU1002" s="34" t="str">
        <f aca="false">IF(OR(AR1002="",N(S1002)=0),"",AR1002/S1002)</f>
        <v/>
      </c>
      <c r="AV1002" s="34" t="str">
        <f aca="false">IF(OR(AJ1002="",N(AC1002)=0),"",AJ1002/AC1002)</f>
        <v/>
      </c>
      <c r="AW1002" s="34" t="str">
        <f aca="false">IF(OR(AH1002="",N(AO1002)=0),"",AH1002/AO1002)</f>
        <v/>
      </c>
      <c r="AX1002" s="35" t="str">
        <f aca="false">IF(OR(AR1002="",N(AO1002)=0),"",(N(AF1002)*Settings!$B$6+N(AG1002)*Settings!$B$7+N(AH1002)*Settings!$B$8+N(AI1002)*Settings!$B$9+N(AJ1002)*Settings!$B$10)/AO1002*1000)</f>
        <v/>
      </c>
      <c r="AY1002" s="36" t="str">
        <f aca="false">IF(AS1002="","",IFERROR(AS1002/AVERAGEIFS('Post Tracker'!$AS$5:$AS$1004,'Post Tracker'!$G$5:$G$1004,G1002),""))</f>
        <v/>
      </c>
      <c r="AZ1002" s="32"/>
      <c r="BA1002" s="32"/>
      <c r="BB1002" s="32"/>
      <c r="BC1002" s="32"/>
      <c r="BD1002" s="33" t="str">
        <f aca="false">IF(A1002="","",COUNTIFS('Demo Pipeline'!$Q$5:$Q$504,A1002))</f>
        <v/>
      </c>
      <c r="BE1002" s="33" t="str">
        <f aca="false">IF(A1002="","",COUNTIFS('Demo Pipeline'!$Q$5:$Q$504,A1002,'Demo Pipeline'!$W$5:$W$504,"Attended"))</f>
        <v/>
      </c>
      <c r="BF1002" s="33" t="str">
        <f aca="false">IF(A1002="","",COUNTIFS('Demo Pipeline'!$Q$5:$Q$504,A1002,'Demo Pipeline'!$X$5:$X$504,"Yes"))</f>
        <v/>
      </c>
      <c r="BG1002" s="33" t="str">
        <f aca="false">IF(A1002="","",COUNTIFS('Demo Pipeline'!$Q$5:$Q$504,A1002,'Demo Pipeline'!$Y$5:$Y$504,"Closed Won"))</f>
        <v/>
      </c>
      <c r="BH1002" s="37" t="str">
        <f aca="false">IF(A1002="","",SUMIFS('Demo Pipeline'!$Z$5:$Z$504,'Demo Pipeline'!$Q$5:$Q$504,A1002))</f>
        <v/>
      </c>
      <c r="BI1002" s="34" t="str">
        <f aca="false">IF(OR(AZ1002="",N(AJ1002)=0),"",AZ1002/AJ1002)</f>
        <v/>
      </c>
      <c r="BJ1002" s="34" t="str">
        <f aca="false">IF(OR(BB1002="",N(AZ1002)=0),"",BB1002/AZ1002)</f>
        <v/>
      </c>
      <c r="BK1002" s="34" t="str">
        <f aca="false">IF(OR(A1002="",N(BB1002)=0),"",BD1002/BB1002)</f>
        <v/>
      </c>
      <c r="BL1002" s="34" t="str">
        <f aca="false">IF(OR(A1002="",N(AZ1002)=0),"",BD1002/AZ1002)</f>
        <v/>
      </c>
      <c r="BM1002" s="37" t="str">
        <f aca="false">IF(OR(N(Q1002)=0,N(BD1002)=0),"",Q1002/BD1002)</f>
        <v/>
      </c>
      <c r="BN1002" s="29"/>
      <c r="BO1002" s="29"/>
      <c r="BP1002" s="33" t="str">
        <f aca="false">IF(OR(AR1002="",N(AO1002)=0),"",AR1002)</f>
        <v/>
      </c>
      <c r="BQ1002" s="33" t="str">
        <f aca="false">IF(OR(AR1002="",N(S1002)=0),"",S1002)</f>
        <v/>
      </c>
      <c r="BR1002" s="38" t="str">
        <f aca="false">IF(AND(ISNUMBER(B1002),B1002&gt;=Dashboard!$C$4,B1002&lt;=Dashboard!$F$4,ISNUMBER(AU1002)),AU1002+ROW()/10^9,"")</f>
        <v/>
      </c>
      <c r="BS1002" s="38" t="str">
        <f aca="false">IF(AND(ISNUMBER(B1002),B1002&gt;=Dashboard!$C$4,B1002&lt;=Dashboard!$F$4,A1002&lt;&gt;""),N(BD1002)+N(AU1002)/100+ROW()/10^9,"")</f>
        <v/>
      </c>
    </row>
    <row r="1003" customFormat="false" ht="15" hidden="false" customHeight="false" outlineLevel="0" collapsed="false">
      <c r="A1003" s="24" t="str">
        <f aca="false">IF(OR(B1003="",G1003="",H1003=""),"",IFERROR(INDEX(Settings!$E$5:$E$49,MATCH(G1003,Settings!$D$5:$D$49,0))&amp;INDEX(Settings!$H$5:$H$47,MATCH(H1003,Settings!$G$5:$G$47,0))&amp;"-"&amp;TEXT(B1003,"yymmdd")&amp;"-"&amp;IF(C1003="","0000",TEXT(C1003,"hhmm")),"CHECK LISTS"))</f>
        <v/>
      </c>
      <c r="B1003" s="39"/>
      <c r="C1003" s="40"/>
      <c r="D1003" s="24" t="str">
        <f aca="false">IF(B1003="","",TEXT(B1003,"ddd"))</f>
        <v/>
      </c>
      <c r="E1003" s="27" t="str">
        <f aca="false">IF(B1003="","",B1003-WEEKDAY(B1003,3))</f>
        <v/>
      </c>
      <c r="F1003" s="24" t="str">
        <f aca="false">IF(B1003="","",TEXT(B1003,"yyyy-mm"))</f>
        <v/>
      </c>
      <c r="G1003" s="29"/>
      <c r="H1003" s="29"/>
      <c r="I1003" s="29"/>
      <c r="J1003" s="29"/>
      <c r="K1003" s="29"/>
      <c r="L1003" s="29"/>
      <c r="M1003" s="29"/>
      <c r="N1003" s="29"/>
      <c r="O1003" s="29"/>
      <c r="P1003" s="29"/>
      <c r="Q1003" s="30"/>
      <c r="R1003" s="29"/>
      <c r="S1003" s="32"/>
      <c r="T1003" s="29"/>
      <c r="U1003" s="29"/>
      <c r="V1003" s="24" t="str">
        <f aca="false">IF(A1003="","",IFERROR(INDEX(Settings!$F$5:$F$49,MATCH(G1003,Settings!$D$5:$D$49,0)),""))</f>
        <v/>
      </c>
      <c r="W1003" s="24" t="str">
        <f aca="false">IF(A1003="","",IF(OR(P1003="",P1003="Organic"),"social","paid_social"))</f>
        <v/>
      </c>
      <c r="X1003" s="24" t="str">
        <f aca="false">IF(A1003="","",IF(K1003&lt;&gt;"",IFERROR(INDEX('Case Studies'!$C$5:$C$54,MATCH(K1003,'Case Studies'!$B$5:$B$54,0))&amp;"","case-study"),IF(J1003&lt;&gt;"",IFERROR(INDEX(Settings!$J$5:$J$55,MATCH(J1003,Settings!$I$5:$I$55,0)),"general"),"general")))</f>
        <v/>
      </c>
      <c r="Y1003" s="24" t="str">
        <f aca="false">IF(A1003="","",LOWER(A1003))</f>
        <v/>
      </c>
      <c r="Z1003" s="24" t="str">
        <f aca="false">IF(A1003="","",IF(T1003="",Settings!$B$5,T1003)&amp;IF(ISNUMBER(FIND("?",IF(T1003="",Settings!$B$5,T1003))),"&amp;","?")&amp;"utm_source="&amp;V1003&amp;"&amp;utm_medium="&amp;W1003&amp;"&amp;utm_campaign="&amp;X1003&amp;"&amp;utm_content="&amp;Y1003)</f>
        <v/>
      </c>
      <c r="AA1003" s="29"/>
      <c r="AB1003" s="39"/>
      <c r="AC1003" s="32"/>
      <c r="AD1003" s="32"/>
      <c r="AE1003" s="32"/>
      <c r="AF1003" s="32"/>
      <c r="AG1003" s="32"/>
      <c r="AH1003" s="32"/>
      <c r="AI1003" s="32"/>
      <c r="AJ1003" s="32"/>
      <c r="AK1003" s="32"/>
      <c r="AL1003" s="32"/>
      <c r="AM1003" s="32"/>
      <c r="AN1003" s="32"/>
      <c r="AO1003" s="33" t="str">
        <f aca="false">IF(A1003="","",IF(AD1003&lt;&gt;"",AD1003,IF(AC1003&lt;&gt;"",AC1003,"")))</f>
        <v/>
      </c>
      <c r="AP1003" s="24" t="str">
        <f aca="false">IF(AO1003="","",IF(AD1003&lt;&gt;"","Reported reach","Impressions (proxy)"))</f>
        <v/>
      </c>
      <c r="AQ1003" s="34" t="str">
        <f aca="false">IF(OR(AO1003="",N(S1003)=0),"",AO1003/S1003)</f>
        <v/>
      </c>
      <c r="AR1003" s="33" t="str">
        <f aca="false">IF(A1003="","",IF(COUNT(AF1003:AJ1003)=0,"",SUM(AF1003:AJ1003)))</f>
        <v/>
      </c>
      <c r="AS1003" s="34" t="str">
        <f aca="false">IF(OR(AR1003="",N(AO1003)=0),"",AR1003/AO1003)</f>
        <v/>
      </c>
      <c r="AT1003" s="34" t="str">
        <f aca="false">IF(OR(AR1003="",N(AC1003)=0),"",AR1003/AC1003)</f>
        <v/>
      </c>
      <c r="AU1003" s="34" t="str">
        <f aca="false">IF(OR(AR1003="",N(S1003)=0),"",AR1003/S1003)</f>
        <v/>
      </c>
      <c r="AV1003" s="34" t="str">
        <f aca="false">IF(OR(AJ1003="",N(AC1003)=0),"",AJ1003/AC1003)</f>
        <v/>
      </c>
      <c r="AW1003" s="34" t="str">
        <f aca="false">IF(OR(AH1003="",N(AO1003)=0),"",AH1003/AO1003)</f>
        <v/>
      </c>
      <c r="AX1003" s="35" t="str">
        <f aca="false">IF(OR(AR1003="",N(AO1003)=0),"",(N(AF1003)*Settings!$B$6+N(AG1003)*Settings!$B$7+N(AH1003)*Settings!$B$8+N(AI1003)*Settings!$B$9+N(AJ1003)*Settings!$B$10)/AO1003*1000)</f>
        <v/>
      </c>
      <c r="AY1003" s="36" t="str">
        <f aca="false">IF(AS1003="","",IFERROR(AS1003/AVERAGEIFS('Post Tracker'!$AS$5:$AS$1004,'Post Tracker'!$G$5:$G$1004,G1003),""))</f>
        <v/>
      </c>
      <c r="AZ1003" s="32"/>
      <c r="BA1003" s="32"/>
      <c r="BB1003" s="32"/>
      <c r="BC1003" s="32"/>
      <c r="BD1003" s="33" t="str">
        <f aca="false">IF(A1003="","",COUNTIFS('Demo Pipeline'!$Q$5:$Q$504,A1003))</f>
        <v/>
      </c>
      <c r="BE1003" s="33" t="str">
        <f aca="false">IF(A1003="","",COUNTIFS('Demo Pipeline'!$Q$5:$Q$504,A1003,'Demo Pipeline'!$W$5:$W$504,"Attended"))</f>
        <v/>
      </c>
      <c r="BF1003" s="33" t="str">
        <f aca="false">IF(A1003="","",COUNTIFS('Demo Pipeline'!$Q$5:$Q$504,A1003,'Demo Pipeline'!$X$5:$X$504,"Yes"))</f>
        <v/>
      </c>
      <c r="BG1003" s="33" t="str">
        <f aca="false">IF(A1003="","",COUNTIFS('Demo Pipeline'!$Q$5:$Q$504,A1003,'Demo Pipeline'!$Y$5:$Y$504,"Closed Won"))</f>
        <v/>
      </c>
      <c r="BH1003" s="37" t="str">
        <f aca="false">IF(A1003="","",SUMIFS('Demo Pipeline'!$Z$5:$Z$504,'Demo Pipeline'!$Q$5:$Q$504,A1003))</f>
        <v/>
      </c>
      <c r="BI1003" s="34" t="str">
        <f aca="false">IF(OR(AZ1003="",N(AJ1003)=0),"",AZ1003/AJ1003)</f>
        <v/>
      </c>
      <c r="BJ1003" s="34" t="str">
        <f aca="false">IF(OR(BB1003="",N(AZ1003)=0),"",BB1003/AZ1003)</f>
        <v/>
      </c>
      <c r="BK1003" s="34" t="str">
        <f aca="false">IF(OR(A1003="",N(BB1003)=0),"",BD1003/BB1003)</f>
        <v/>
      </c>
      <c r="BL1003" s="34" t="str">
        <f aca="false">IF(OR(A1003="",N(AZ1003)=0),"",BD1003/AZ1003)</f>
        <v/>
      </c>
      <c r="BM1003" s="37" t="str">
        <f aca="false">IF(OR(N(Q1003)=0,N(BD1003)=0),"",Q1003/BD1003)</f>
        <v/>
      </c>
      <c r="BN1003" s="29"/>
      <c r="BO1003" s="29"/>
      <c r="BP1003" s="33" t="str">
        <f aca="false">IF(OR(AR1003="",N(AO1003)=0),"",AR1003)</f>
        <v/>
      </c>
      <c r="BQ1003" s="33" t="str">
        <f aca="false">IF(OR(AR1003="",N(S1003)=0),"",S1003)</f>
        <v/>
      </c>
      <c r="BR1003" s="38" t="str">
        <f aca="false">IF(AND(ISNUMBER(B1003),B1003&gt;=Dashboard!$C$4,B1003&lt;=Dashboard!$F$4,ISNUMBER(AU1003)),AU1003+ROW()/10^9,"")</f>
        <v/>
      </c>
      <c r="BS1003" s="38" t="str">
        <f aca="false">IF(AND(ISNUMBER(B1003),B1003&gt;=Dashboard!$C$4,B1003&lt;=Dashboard!$F$4,A1003&lt;&gt;""),N(BD1003)+N(AU1003)/100+ROW()/10^9,"")</f>
        <v/>
      </c>
    </row>
    <row r="1004" customFormat="false" ht="15" hidden="false" customHeight="false" outlineLevel="0" collapsed="false">
      <c r="A1004" s="24" t="str">
        <f aca="false">IF(OR(B1004="",G1004="",H1004=""),"",IFERROR(INDEX(Settings!$E$5:$E$49,MATCH(G1004,Settings!$D$5:$D$49,0))&amp;INDEX(Settings!$H$5:$H$47,MATCH(H1004,Settings!$G$5:$G$47,0))&amp;"-"&amp;TEXT(B1004,"yymmdd")&amp;"-"&amp;IF(C1004="","0000",TEXT(C1004,"hhmm")),"CHECK LISTS"))</f>
        <v/>
      </c>
      <c r="B1004" s="39"/>
      <c r="C1004" s="40"/>
      <c r="D1004" s="24" t="str">
        <f aca="false">IF(B1004="","",TEXT(B1004,"ddd"))</f>
        <v/>
      </c>
      <c r="E1004" s="27" t="str">
        <f aca="false">IF(B1004="","",B1004-WEEKDAY(B1004,3))</f>
        <v/>
      </c>
      <c r="F1004" s="24" t="str">
        <f aca="false">IF(B1004="","",TEXT(B1004,"yyyy-mm"))</f>
        <v/>
      </c>
      <c r="G1004" s="29"/>
      <c r="H1004" s="29"/>
      <c r="I1004" s="29"/>
      <c r="J1004" s="29"/>
      <c r="K1004" s="29"/>
      <c r="L1004" s="29"/>
      <c r="M1004" s="29"/>
      <c r="N1004" s="29"/>
      <c r="O1004" s="29"/>
      <c r="P1004" s="29"/>
      <c r="Q1004" s="30"/>
      <c r="R1004" s="29"/>
      <c r="S1004" s="32"/>
      <c r="T1004" s="29"/>
      <c r="U1004" s="29"/>
      <c r="V1004" s="24" t="str">
        <f aca="false">IF(A1004="","",IFERROR(INDEX(Settings!$F$5:$F$49,MATCH(G1004,Settings!$D$5:$D$49,0)),""))</f>
        <v/>
      </c>
      <c r="W1004" s="24" t="str">
        <f aca="false">IF(A1004="","",IF(OR(P1004="",P1004="Organic"),"social","paid_social"))</f>
        <v/>
      </c>
      <c r="X1004" s="24" t="str">
        <f aca="false">IF(A1004="","",IF(K1004&lt;&gt;"",IFERROR(INDEX('Case Studies'!$C$5:$C$54,MATCH(K1004,'Case Studies'!$B$5:$B$54,0))&amp;"","case-study"),IF(J1004&lt;&gt;"",IFERROR(INDEX(Settings!$J$5:$J$55,MATCH(J1004,Settings!$I$5:$I$55,0)),"general"),"general")))</f>
        <v/>
      </c>
      <c r="Y1004" s="24" t="str">
        <f aca="false">IF(A1004="","",LOWER(A1004))</f>
        <v/>
      </c>
      <c r="Z1004" s="24" t="str">
        <f aca="false">IF(A1004="","",IF(T1004="",Settings!$B$5,T1004)&amp;IF(ISNUMBER(FIND("?",IF(T1004="",Settings!$B$5,T1004))),"&amp;","?")&amp;"utm_source="&amp;V1004&amp;"&amp;utm_medium="&amp;W1004&amp;"&amp;utm_campaign="&amp;X1004&amp;"&amp;utm_content="&amp;Y1004)</f>
        <v/>
      </c>
      <c r="AA1004" s="29"/>
      <c r="AB1004" s="39"/>
      <c r="AC1004" s="32"/>
      <c r="AD1004" s="32"/>
      <c r="AE1004" s="32"/>
      <c r="AF1004" s="32"/>
      <c r="AG1004" s="32"/>
      <c r="AH1004" s="32"/>
      <c r="AI1004" s="32"/>
      <c r="AJ1004" s="32"/>
      <c r="AK1004" s="32"/>
      <c r="AL1004" s="32"/>
      <c r="AM1004" s="32"/>
      <c r="AN1004" s="32"/>
      <c r="AO1004" s="33" t="str">
        <f aca="false">IF(A1004="","",IF(AD1004&lt;&gt;"",AD1004,IF(AC1004&lt;&gt;"",AC1004,"")))</f>
        <v/>
      </c>
      <c r="AP1004" s="24" t="str">
        <f aca="false">IF(AO1004="","",IF(AD1004&lt;&gt;"","Reported reach","Impressions (proxy)"))</f>
        <v/>
      </c>
      <c r="AQ1004" s="34" t="str">
        <f aca="false">IF(OR(AO1004="",N(S1004)=0),"",AO1004/S1004)</f>
        <v/>
      </c>
      <c r="AR1004" s="33" t="str">
        <f aca="false">IF(A1004="","",IF(COUNT(AF1004:AJ1004)=0,"",SUM(AF1004:AJ1004)))</f>
        <v/>
      </c>
      <c r="AS1004" s="34" t="str">
        <f aca="false">IF(OR(AR1004="",N(AO1004)=0),"",AR1004/AO1004)</f>
        <v/>
      </c>
      <c r="AT1004" s="34" t="str">
        <f aca="false">IF(OR(AR1004="",N(AC1004)=0),"",AR1004/AC1004)</f>
        <v/>
      </c>
      <c r="AU1004" s="34" t="str">
        <f aca="false">IF(OR(AR1004="",N(S1004)=0),"",AR1004/S1004)</f>
        <v/>
      </c>
      <c r="AV1004" s="34" t="str">
        <f aca="false">IF(OR(AJ1004="",N(AC1004)=0),"",AJ1004/AC1004)</f>
        <v/>
      </c>
      <c r="AW1004" s="34" t="str">
        <f aca="false">IF(OR(AH1004="",N(AO1004)=0),"",AH1004/AO1004)</f>
        <v/>
      </c>
      <c r="AX1004" s="35" t="str">
        <f aca="false">IF(OR(AR1004="",N(AO1004)=0),"",(N(AF1004)*Settings!$B$6+N(AG1004)*Settings!$B$7+N(AH1004)*Settings!$B$8+N(AI1004)*Settings!$B$9+N(AJ1004)*Settings!$B$10)/AO1004*1000)</f>
        <v/>
      </c>
      <c r="AY1004" s="36" t="str">
        <f aca="false">IF(AS1004="","",IFERROR(AS1004/AVERAGEIFS('Post Tracker'!$AS$5:$AS$1004,'Post Tracker'!$G$5:$G$1004,G1004),""))</f>
        <v/>
      </c>
      <c r="AZ1004" s="32"/>
      <c r="BA1004" s="32"/>
      <c r="BB1004" s="32"/>
      <c r="BC1004" s="32"/>
      <c r="BD1004" s="33" t="str">
        <f aca="false">IF(A1004="","",COUNTIFS('Demo Pipeline'!$Q$5:$Q$504,A1004))</f>
        <v/>
      </c>
      <c r="BE1004" s="33" t="str">
        <f aca="false">IF(A1004="","",COUNTIFS('Demo Pipeline'!$Q$5:$Q$504,A1004,'Demo Pipeline'!$W$5:$W$504,"Attended"))</f>
        <v/>
      </c>
      <c r="BF1004" s="33" t="str">
        <f aca="false">IF(A1004="","",COUNTIFS('Demo Pipeline'!$Q$5:$Q$504,A1004,'Demo Pipeline'!$X$5:$X$504,"Yes"))</f>
        <v/>
      </c>
      <c r="BG1004" s="33" t="str">
        <f aca="false">IF(A1004="","",COUNTIFS('Demo Pipeline'!$Q$5:$Q$504,A1004,'Demo Pipeline'!$Y$5:$Y$504,"Closed Won"))</f>
        <v/>
      </c>
      <c r="BH1004" s="37" t="str">
        <f aca="false">IF(A1004="","",SUMIFS('Demo Pipeline'!$Z$5:$Z$504,'Demo Pipeline'!$Q$5:$Q$504,A1004))</f>
        <v/>
      </c>
      <c r="BI1004" s="34" t="str">
        <f aca="false">IF(OR(AZ1004="",N(AJ1004)=0),"",AZ1004/AJ1004)</f>
        <v/>
      </c>
      <c r="BJ1004" s="34" t="str">
        <f aca="false">IF(OR(BB1004="",N(AZ1004)=0),"",BB1004/AZ1004)</f>
        <v/>
      </c>
      <c r="BK1004" s="34" t="str">
        <f aca="false">IF(OR(A1004="",N(BB1004)=0),"",BD1004/BB1004)</f>
        <v/>
      </c>
      <c r="BL1004" s="34" t="str">
        <f aca="false">IF(OR(A1004="",N(AZ1004)=0),"",BD1004/AZ1004)</f>
        <v/>
      </c>
      <c r="BM1004" s="37" t="str">
        <f aca="false">IF(OR(N(Q1004)=0,N(BD1004)=0),"",Q1004/BD1004)</f>
        <v/>
      </c>
      <c r="BN1004" s="29"/>
      <c r="BO1004" s="29"/>
      <c r="BP1004" s="33" t="str">
        <f aca="false">IF(OR(AR1004="",N(AO1004)=0),"",AR1004)</f>
        <v/>
      </c>
      <c r="BQ1004" s="33" t="str">
        <f aca="false">IF(OR(AR1004="",N(S1004)=0),"",S1004)</f>
        <v/>
      </c>
      <c r="BR1004" s="38" t="str">
        <f aca="false">IF(AND(ISNUMBER(B1004),B1004&gt;=Dashboard!$C$4,B1004&lt;=Dashboard!$F$4,ISNUMBER(AU1004)),AU1004+ROW()/10^9,"")</f>
        <v/>
      </c>
      <c r="BS1004" s="38" t="str">
        <f aca="false">IF(AND(ISNUMBER(B1004),B1004&gt;=Dashboard!$C$4,B1004&lt;=Dashboard!$F$4,A1004&lt;&gt;""),N(BD1004)+N(AU1004)/100+ROW()/10^9,"")</f>
        <v/>
      </c>
    </row>
  </sheetData>
  <autoFilter ref="A4:BS1004"/>
  <mergeCells count="7">
    <mergeCell ref="A3:S3"/>
    <mergeCell ref="T3:AA3"/>
    <mergeCell ref="AB3:AN3"/>
    <mergeCell ref="AO3:AY3"/>
    <mergeCell ref="AZ3:BM3"/>
    <mergeCell ref="BN3:BO3"/>
    <mergeCell ref="BP3:BS3"/>
  </mergeCells>
  <conditionalFormatting sqref="A5:A1004">
    <cfRule type="expression" priority="2" aboveAverage="0" equalAverage="0" bottom="0" percent="0" rank="0" text="" dxfId="17">
      <formula>AND($A5&lt;&gt;"",COUNTIF($A$5:$A$1004,$A5)&gt;1)</formula>
    </cfRule>
  </conditionalFormatting>
  <conditionalFormatting sqref="AY5:AY1004">
    <cfRule type="cellIs" priority="3" operator="greaterThanOrEqual" aboveAverage="0" equalAverage="0" bottom="0" percent="0" rank="0" text="" dxfId="18">
      <formula>1.2</formula>
    </cfRule>
    <cfRule type="cellIs" priority="4" operator="between" aboveAverage="0" equalAverage="0" bottom="0" percent="0" rank="0" text="" dxfId="19">
      <formula>0.0001</formula>
      <formula>0.8</formula>
    </cfRule>
  </conditionalFormatting>
  <conditionalFormatting sqref="AS5:AS1004">
    <cfRule type="colorScale" priority="5">
      <colorScale>
        <cfvo type="min" val="0"/>
        <cfvo type="percentile" val="50"/>
        <cfvo type="max" val="0"/>
        <color rgb="FFF8696B"/>
        <color rgb="FFFFEB84"/>
        <color rgb="FF63BE7B"/>
      </colorScale>
    </cfRule>
  </conditionalFormatting>
  <conditionalFormatting sqref="BD5:BD1004">
    <cfRule type="cellIs" priority="6" operator="greaterThan" aboveAverage="0" equalAverage="0" bottom="0" percent="0" rank="0" text="" dxfId="18">
      <formula>0</formula>
    </cfRule>
  </conditionalFormatting>
  <dataValidations count="11">
    <dataValidation allowBlank="true" error="Pick a value from the dropdown (lists live on the Settings sheet)." errorStyle="stop" errorTitle="Invalid entry" operator="between" showDropDown="false" showErrorMessage="true" showInputMessage="false" sqref="G5:G1004" type="list">
      <formula1>Settings!$D$5:$D$49</formula1>
      <formula2>0</formula2>
    </dataValidation>
    <dataValidation allowBlank="true" error="Pick a value from the dropdown (lists live on the Settings sheet)." errorStyle="stop" errorTitle="Invalid entry" operator="between" showDropDown="false" showErrorMessage="true" showInputMessage="false" sqref="H5:H1004" type="list">
      <formula1>Settings!$G$5:$G$47</formula1>
      <formula2>0</formula2>
    </dataValidation>
    <dataValidation allowBlank="true" error="Pick a value from the dropdown (lists live on the Settings sheet)." errorStyle="stop" errorTitle="Invalid entry" operator="between" showDropDown="false" showErrorMessage="true" showInputMessage="false" sqref="I5:I1004" type="list">
      <formula1>Settings!$K$5:$K$55</formula1>
      <formula2>0</formula2>
    </dataValidation>
    <dataValidation allowBlank="true" error="Pick a value from the dropdown (lists live on the Settings sheet)." errorStyle="stop" errorTitle="Invalid entry" operator="between" showDropDown="false" showErrorMessage="true" showInputMessage="false" sqref="J5:J1004" type="list">
      <formula1>Settings!$I$5:$I$55</formula1>
      <formula2>0</formula2>
    </dataValidation>
    <dataValidation allowBlank="true" error="Pick a value from the dropdown (lists live on the Settings sheet)." errorStyle="stop" errorTitle="Invalid entry" operator="between" showDropDown="false" showErrorMessage="true" showInputMessage="false" sqref="M5:M1004" type="list">
      <formula1>Settings!$L$5:$L$52</formula1>
      <formula2>0</formula2>
    </dataValidation>
    <dataValidation allowBlank="true" error="Pick a value from the dropdown (lists live on the Settings sheet)." errorStyle="stop" errorTitle="Invalid entry" operator="between" showDropDown="false" showErrorMessage="true" showInputMessage="false" sqref="N5:N1004" type="list">
      <formula1>Settings!$M$5:$M$51</formula1>
      <formula2>0</formula2>
    </dataValidation>
    <dataValidation allowBlank="true" error="Pick a value from the dropdown (lists live on the Settings sheet)." errorStyle="stop" errorTitle="Invalid entry" operator="between" showDropDown="false" showErrorMessage="true" showInputMessage="false" sqref="O5:O1004" type="list">
      <formula1>Settings!$N$5:$N$51</formula1>
      <formula2>0</formula2>
    </dataValidation>
    <dataValidation allowBlank="true" error="Pick a value from the dropdown (lists live on the Settings sheet)." errorStyle="stop" errorTitle="Invalid entry" operator="between" showDropDown="false" showErrorMessage="true" showInputMessage="false" sqref="P5:P1004" type="list">
      <formula1>Settings!$O$5:$O$47</formula1>
      <formula2>0</formula2>
    </dataValidation>
    <dataValidation allowBlank="true" error="Pick a value from the dropdown (lists live on the Settings sheet)." errorStyle="stop" errorTitle="Invalid entry" operator="between" showDropDown="false" showErrorMessage="true" showInputMessage="false" sqref="U5:U1004" type="list">
      <formula1>Settings!$P$5:$P$50</formula1>
      <formula2>0</formula2>
    </dataValidation>
    <dataValidation allowBlank="true" error="Pick a value from the dropdown (lists live on the Settings sheet)." errorStyle="stop" errorTitle="Invalid entry" operator="between" showDropDown="false" showErrorMessage="true" showInputMessage="false" sqref="BO5:BO1004" type="list">
      <formula1>Settings!$Q$5:$Q$48</formula1>
      <formula2>0</formula2>
    </dataValidation>
    <dataValidation allowBlank="true" error="Pick a value from the dropdown (lists live on the Settings sheet)." errorStyle="stop" errorTitle="Invalid entry" operator="between" showDropDown="false" showErrorMessage="true" showInputMessage="false" sqref="K5:K1004" type="list">
      <formula1>'Case Studies'!$B$5:$B$54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AB5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20"/>
    <col collapsed="false" customWidth="true" hidden="false" outlineLevel="0" max="4" min="4" style="0" width="22"/>
    <col collapsed="false" customWidth="true" hidden="false" outlineLevel="0" max="5" min="5" style="0" width="28"/>
    <col collapsed="false" customWidth="true" hidden="false" outlineLevel="0" max="6" min="6" style="0" width="14"/>
    <col collapsed="false" customWidth="true" hidden="false" outlineLevel="0" max="7" min="7" style="0" width="7"/>
    <col collapsed="false" customWidth="true" hidden="false" outlineLevel="0" max="8" min="8" style="0" width="9"/>
    <col collapsed="false" customWidth="true" hidden="false" outlineLevel="0" max="9" min="9" style="0" width="18"/>
    <col collapsed="false" customWidth="true" hidden="false" outlineLevel="0" max="10" min="10" style="0" width="16"/>
    <col collapsed="false" customWidth="true" hidden="false" outlineLevel="0" max="12" min="11" style="0" width="11"/>
    <col collapsed="false" customWidth="true" hidden="false" outlineLevel="0" max="13" min="13" style="0" width="18"/>
    <col collapsed="false" customWidth="true" hidden="false" outlineLevel="0" max="14" min="14" style="0" width="17"/>
    <col collapsed="false" customWidth="true" hidden="false" outlineLevel="0" max="15" min="15" style="0" width="24"/>
    <col collapsed="false" customWidth="true" hidden="false" outlineLevel="0" max="17" min="16" style="0" width="17"/>
    <col collapsed="false" customWidth="true" hidden="false" outlineLevel="0" max="18" min="18" style="0" width="18"/>
    <col collapsed="false" customWidth="true" hidden="false" outlineLevel="0" max="19" min="19" style="0" width="11"/>
    <col collapsed="false" customWidth="true" hidden="false" outlineLevel="0" max="20" min="20" style="0" width="24"/>
    <col collapsed="false" customWidth="true" hidden="false" outlineLevel="0" max="21" min="21" style="0" width="10"/>
    <col collapsed="false" customWidth="true" hidden="false" outlineLevel="0" max="23" min="22" style="0" width="12"/>
    <col collapsed="false" customWidth="true" hidden="false" outlineLevel="0" max="24" min="24" style="0" width="10"/>
    <col collapsed="false" customWidth="true" hidden="false" outlineLevel="0" max="25" min="25" style="0" width="15"/>
    <col collapsed="false" customWidth="true" hidden="false" outlineLevel="0" max="26" min="26" style="0" width="12"/>
    <col collapsed="false" customWidth="true" hidden="false" outlineLevel="0" max="27" min="27" style="0" width="24"/>
    <col collapsed="false" customWidth="true" hidden="false" outlineLevel="0" max="28" min="28" style="0" width="30"/>
  </cols>
  <sheetData>
    <row r="1" customFormat="false" ht="19.7" hidden="false" customHeight="false" outlineLevel="0" collapsed="false">
      <c r="A1" s="1" t="s">
        <v>190</v>
      </c>
    </row>
    <row r="2" customFormat="false" ht="15" hidden="false" customHeight="false" outlineLevel="0" collapsed="false">
      <c r="A2" s="2" t="s">
        <v>191</v>
      </c>
    </row>
    <row r="4" customFormat="false" ht="45" hidden="false" customHeight="true" outlineLevel="0" collapsed="false">
      <c r="A4" s="22" t="s">
        <v>192</v>
      </c>
      <c r="B4" s="19" t="s">
        <v>193</v>
      </c>
      <c r="C4" s="19" t="s">
        <v>194</v>
      </c>
      <c r="D4" s="19" t="s">
        <v>195</v>
      </c>
      <c r="E4" s="19" t="s">
        <v>196</v>
      </c>
      <c r="F4" s="19" t="s">
        <v>197</v>
      </c>
      <c r="G4" s="19" t="s">
        <v>198</v>
      </c>
      <c r="H4" s="19" t="s">
        <v>199</v>
      </c>
      <c r="I4" s="19" t="s">
        <v>200</v>
      </c>
      <c r="J4" s="19" t="s">
        <v>201</v>
      </c>
      <c r="K4" s="19" t="s">
        <v>92</v>
      </c>
      <c r="L4" s="19" t="s">
        <v>93</v>
      </c>
      <c r="M4" s="19" t="s">
        <v>94</v>
      </c>
      <c r="N4" s="19" t="s">
        <v>95</v>
      </c>
      <c r="O4" s="19" t="s">
        <v>202</v>
      </c>
      <c r="P4" s="19" t="s">
        <v>203</v>
      </c>
      <c r="Q4" s="22" t="s">
        <v>204</v>
      </c>
      <c r="R4" s="22" t="s">
        <v>205</v>
      </c>
      <c r="S4" s="22" t="s">
        <v>206</v>
      </c>
      <c r="T4" s="22" t="s">
        <v>207</v>
      </c>
      <c r="U4" s="22" t="s">
        <v>208</v>
      </c>
      <c r="V4" s="19" t="s">
        <v>209</v>
      </c>
      <c r="W4" s="19" t="s">
        <v>210</v>
      </c>
      <c r="X4" s="19" t="s">
        <v>211</v>
      </c>
      <c r="Y4" s="19" t="s">
        <v>212</v>
      </c>
      <c r="Z4" s="19" t="s">
        <v>213</v>
      </c>
      <c r="AA4" s="19" t="s">
        <v>214</v>
      </c>
      <c r="AB4" s="19" t="s">
        <v>215</v>
      </c>
    </row>
    <row r="5" customFormat="false" ht="15" hidden="false" customHeight="false" outlineLevel="0" collapsed="false">
      <c r="A5" s="41" t="str">
        <f aca="false">IF(B5="","",ROW()-4)</f>
        <v/>
      </c>
      <c r="B5" s="39"/>
      <c r="C5" s="29"/>
      <c r="D5" s="29"/>
      <c r="E5" s="29"/>
      <c r="F5" s="29"/>
      <c r="G5" s="29"/>
      <c r="H5" s="32"/>
      <c r="I5" s="29"/>
      <c r="J5" s="29"/>
      <c r="K5" s="29"/>
      <c r="L5" s="29"/>
      <c r="M5" s="29"/>
      <c r="N5" s="29"/>
      <c r="O5" s="29"/>
      <c r="P5" s="29"/>
      <c r="Q5" s="24" t="str">
        <f aca="false">IF(N5&lt;&gt;"",UPPER(TRIM(N5)),IF(P5&lt;&gt;"",UPPER(TRIM(P5)),""))</f>
        <v/>
      </c>
      <c r="R5" s="24" t="str">
        <f aca="false">IF(B5="","",IF(N5&lt;&gt;"","UTM tracked",IF(P5&lt;&gt;"","Manual / self-reported",IF(O5&lt;&gt;"","Self-reported channel only","Unattributed"))))</f>
        <v/>
      </c>
      <c r="S5" s="24" t="str">
        <f aca="false">IF(Q5="","",IFERROR(INDEX('Post Tracker'!$G$5:$G$1004,MATCH(Q5,'Post Tracker'!$A$5:$A$1004,0)),"ID NOT FOUND"))</f>
        <v/>
      </c>
      <c r="T5" s="24" t="str">
        <f aca="false">IF(Q5="","",IFERROR(INDEX('Post Tracker'!$K$5:$K$1004,MATCH(Q5,'Post Tracker'!$A$5:$A$1004,0))&amp;"",""))</f>
        <v/>
      </c>
      <c r="U5" s="33" t="str">
        <f aca="false">IF(OR(Q5="",B5=""),"",IFERROR(B5-INDEX('Post Tracker'!$B$5:$B$1004,MATCH(Q5,'Post Tracker'!$A$5:$A$1004,0)),""))</f>
        <v/>
      </c>
      <c r="V5" s="39"/>
      <c r="W5" s="29"/>
      <c r="X5" s="29"/>
      <c r="Y5" s="29"/>
      <c r="Z5" s="30"/>
      <c r="AA5" s="29"/>
      <c r="AB5" s="29"/>
    </row>
    <row r="6" customFormat="false" ht="15" hidden="false" customHeight="false" outlineLevel="0" collapsed="false">
      <c r="A6" s="41" t="str">
        <f aca="false">IF(B6="","",ROW()-4)</f>
        <v/>
      </c>
      <c r="B6" s="39"/>
      <c r="C6" s="29"/>
      <c r="D6" s="29"/>
      <c r="E6" s="29"/>
      <c r="F6" s="29"/>
      <c r="G6" s="29"/>
      <c r="H6" s="32"/>
      <c r="I6" s="29"/>
      <c r="J6" s="29"/>
      <c r="K6" s="29"/>
      <c r="L6" s="29"/>
      <c r="M6" s="29"/>
      <c r="N6" s="29"/>
      <c r="O6" s="29"/>
      <c r="P6" s="29"/>
      <c r="Q6" s="24" t="str">
        <f aca="false">IF(N6&lt;&gt;"",UPPER(TRIM(N6)),IF(P6&lt;&gt;"",UPPER(TRIM(P6)),""))</f>
        <v/>
      </c>
      <c r="R6" s="24" t="str">
        <f aca="false">IF(B6="","",IF(N6&lt;&gt;"","UTM tracked",IF(P6&lt;&gt;"","Manual / self-reported",IF(O6&lt;&gt;"","Self-reported channel only","Unattributed"))))</f>
        <v/>
      </c>
      <c r="S6" s="24" t="str">
        <f aca="false">IF(Q6="","",IFERROR(INDEX('Post Tracker'!$G$5:$G$1004,MATCH(Q6,'Post Tracker'!$A$5:$A$1004,0)),"ID NOT FOUND"))</f>
        <v/>
      </c>
      <c r="T6" s="24" t="str">
        <f aca="false">IF(Q6="","",IFERROR(INDEX('Post Tracker'!$K$5:$K$1004,MATCH(Q6,'Post Tracker'!$A$5:$A$1004,0))&amp;"",""))</f>
        <v/>
      </c>
      <c r="U6" s="33" t="str">
        <f aca="false">IF(OR(Q6="",B6=""),"",IFERROR(B6-INDEX('Post Tracker'!$B$5:$B$1004,MATCH(Q6,'Post Tracker'!$A$5:$A$1004,0)),""))</f>
        <v/>
      </c>
      <c r="V6" s="39"/>
      <c r="W6" s="29"/>
      <c r="X6" s="29"/>
      <c r="Y6" s="29"/>
      <c r="Z6" s="30"/>
      <c r="AA6" s="29"/>
      <c r="AB6" s="29"/>
    </row>
    <row r="7" customFormat="false" ht="15" hidden="false" customHeight="false" outlineLevel="0" collapsed="false">
      <c r="A7" s="41" t="str">
        <f aca="false">IF(B7="","",ROW()-4)</f>
        <v/>
      </c>
      <c r="B7" s="39"/>
      <c r="C7" s="29"/>
      <c r="D7" s="29"/>
      <c r="E7" s="29"/>
      <c r="F7" s="29"/>
      <c r="G7" s="29"/>
      <c r="H7" s="32"/>
      <c r="I7" s="29"/>
      <c r="J7" s="29"/>
      <c r="K7" s="29"/>
      <c r="L7" s="29"/>
      <c r="M7" s="29"/>
      <c r="N7" s="29"/>
      <c r="O7" s="29"/>
      <c r="P7" s="29"/>
      <c r="Q7" s="24" t="str">
        <f aca="false">IF(N7&lt;&gt;"",UPPER(TRIM(N7)),IF(P7&lt;&gt;"",UPPER(TRIM(P7)),""))</f>
        <v/>
      </c>
      <c r="R7" s="24" t="str">
        <f aca="false">IF(B7="","",IF(N7&lt;&gt;"","UTM tracked",IF(P7&lt;&gt;"","Manual / self-reported",IF(O7&lt;&gt;"","Self-reported channel only","Unattributed"))))</f>
        <v/>
      </c>
      <c r="S7" s="24" t="str">
        <f aca="false">IF(Q7="","",IFERROR(INDEX('Post Tracker'!$G$5:$G$1004,MATCH(Q7,'Post Tracker'!$A$5:$A$1004,0)),"ID NOT FOUND"))</f>
        <v/>
      </c>
      <c r="T7" s="24" t="str">
        <f aca="false">IF(Q7="","",IFERROR(INDEX('Post Tracker'!$K$5:$K$1004,MATCH(Q7,'Post Tracker'!$A$5:$A$1004,0))&amp;"",""))</f>
        <v/>
      </c>
      <c r="U7" s="33" t="str">
        <f aca="false">IF(OR(Q7="",B7=""),"",IFERROR(B7-INDEX('Post Tracker'!$B$5:$B$1004,MATCH(Q7,'Post Tracker'!$A$5:$A$1004,0)),""))</f>
        <v/>
      </c>
      <c r="V7" s="39"/>
      <c r="W7" s="29"/>
      <c r="X7" s="29"/>
      <c r="Y7" s="29"/>
      <c r="Z7" s="30"/>
      <c r="AA7" s="29"/>
      <c r="AB7" s="29"/>
    </row>
    <row r="8" customFormat="false" ht="15" hidden="false" customHeight="false" outlineLevel="0" collapsed="false">
      <c r="A8" s="41" t="str">
        <f aca="false">IF(B8="","",ROW()-4)</f>
        <v/>
      </c>
      <c r="B8" s="39"/>
      <c r="C8" s="29"/>
      <c r="D8" s="29"/>
      <c r="E8" s="29"/>
      <c r="F8" s="29"/>
      <c r="G8" s="29"/>
      <c r="H8" s="32"/>
      <c r="I8" s="29"/>
      <c r="J8" s="29"/>
      <c r="K8" s="29"/>
      <c r="L8" s="29"/>
      <c r="M8" s="29"/>
      <c r="N8" s="29"/>
      <c r="O8" s="29"/>
      <c r="P8" s="29"/>
      <c r="Q8" s="24" t="str">
        <f aca="false">IF(N8&lt;&gt;"",UPPER(TRIM(N8)),IF(P8&lt;&gt;"",UPPER(TRIM(P8)),""))</f>
        <v/>
      </c>
      <c r="R8" s="24" t="str">
        <f aca="false">IF(B8="","",IF(N8&lt;&gt;"","UTM tracked",IF(P8&lt;&gt;"","Manual / self-reported",IF(O8&lt;&gt;"","Self-reported channel only","Unattributed"))))</f>
        <v/>
      </c>
      <c r="S8" s="24" t="str">
        <f aca="false">IF(Q8="","",IFERROR(INDEX('Post Tracker'!$G$5:$G$1004,MATCH(Q8,'Post Tracker'!$A$5:$A$1004,0)),"ID NOT FOUND"))</f>
        <v/>
      </c>
      <c r="T8" s="24" t="str">
        <f aca="false">IF(Q8="","",IFERROR(INDEX('Post Tracker'!$K$5:$K$1004,MATCH(Q8,'Post Tracker'!$A$5:$A$1004,0))&amp;"",""))</f>
        <v/>
      </c>
      <c r="U8" s="33" t="str">
        <f aca="false">IF(OR(Q8="",B8=""),"",IFERROR(B8-INDEX('Post Tracker'!$B$5:$B$1004,MATCH(Q8,'Post Tracker'!$A$5:$A$1004,0)),""))</f>
        <v/>
      </c>
      <c r="V8" s="39"/>
      <c r="W8" s="29"/>
      <c r="X8" s="29"/>
      <c r="Y8" s="29"/>
      <c r="Z8" s="30"/>
      <c r="AA8" s="29"/>
      <c r="AB8" s="29"/>
    </row>
    <row r="9" customFormat="false" ht="15" hidden="false" customHeight="false" outlineLevel="0" collapsed="false">
      <c r="A9" s="41" t="str">
        <f aca="false">IF(B9="","",ROW()-4)</f>
        <v/>
      </c>
      <c r="B9" s="39"/>
      <c r="C9" s="29"/>
      <c r="D9" s="29"/>
      <c r="E9" s="29"/>
      <c r="F9" s="29"/>
      <c r="G9" s="29"/>
      <c r="H9" s="32"/>
      <c r="I9" s="29"/>
      <c r="J9" s="29"/>
      <c r="K9" s="29"/>
      <c r="L9" s="29"/>
      <c r="M9" s="29"/>
      <c r="N9" s="29"/>
      <c r="O9" s="29"/>
      <c r="P9" s="29"/>
      <c r="Q9" s="24" t="str">
        <f aca="false">IF(N9&lt;&gt;"",UPPER(TRIM(N9)),IF(P9&lt;&gt;"",UPPER(TRIM(P9)),""))</f>
        <v/>
      </c>
      <c r="R9" s="24" t="str">
        <f aca="false">IF(B9="","",IF(N9&lt;&gt;"","UTM tracked",IF(P9&lt;&gt;"","Manual / self-reported",IF(O9&lt;&gt;"","Self-reported channel only","Unattributed"))))</f>
        <v/>
      </c>
      <c r="S9" s="24" t="str">
        <f aca="false">IF(Q9="","",IFERROR(INDEX('Post Tracker'!$G$5:$G$1004,MATCH(Q9,'Post Tracker'!$A$5:$A$1004,0)),"ID NOT FOUND"))</f>
        <v/>
      </c>
      <c r="T9" s="24" t="str">
        <f aca="false">IF(Q9="","",IFERROR(INDEX('Post Tracker'!$K$5:$K$1004,MATCH(Q9,'Post Tracker'!$A$5:$A$1004,0))&amp;"",""))</f>
        <v/>
      </c>
      <c r="U9" s="33" t="str">
        <f aca="false">IF(OR(Q9="",B9=""),"",IFERROR(B9-INDEX('Post Tracker'!$B$5:$B$1004,MATCH(Q9,'Post Tracker'!$A$5:$A$1004,0)),""))</f>
        <v/>
      </c>
      <c r="V9" s="39"/>
      <c r="W9" s="29"/>
      <c r="X9" s="29"/>
      <c r="Y9" s="29"/>
      <c r="Z9" s="30"/>
      <c r="AA9" s="29"/>
      <c r="AB9" s="29"/>
    </row>
    <row r="10" customFormat="false" ht="15" hidden="false" customHeight="false" outlineLevel="0" collapsed="false">
      <c r="A10" s="41" t="str">
        <f aca="false">IF(B10="","",ROW()-4)</f>
        <v/>
      </c>
      <c r="B10" s="39"/>
      <c r="C10" s="29"/>
      <c r="D10" s="29"/>
      <c r="E10" s="29"/>
      <c r="F10" s="29"/>
      <c r="G10" s="29"/>
      <c r="H10" s="32"/>
      <c r="I10" s="29"/>
      <c r="J10" s="29"/>
      <c r="K10" s="29"/>
      <c r="L10" s="29"/>
      <c r="M10" s="29"/>
      <c r="N10" s="29"/>
      <c r="O10" s="29"/>
      <c r="P10" s="29"/>
      <c r="Q10" s="24" t="str">
        <f aca="false">IF(N10&lt;&gt;"",UPPER(TRIM(N10)),IF(P10&lt;&gt;"",UPPER(TRIM(P10)),""))</f>
        <v/>
      </c>
      <c r="R10" s="24" t="str">
        <f aca="false">IF(B10="","",IF(N10&lt;&gt;"","UTM tracked",IF(P10&lt;&gt;"","Manual / self-reported",IF(O10&lt;&gt;"","Self-reported channel only","Unattributed"))))</f>
        <v/>
      </c>
      <c r="S10" s="24" t="str">
        <f aca="false">IF(Q10="","",IFERROR(INDEX('Post Tracker'!$G$5:$G$1004,MATCH(Q10,'Post Tracker'!$A$5:$A$1004,0)),"ID NOT FOUND"))</f>
        <v/>
      </c>
      <c r="T10" s="24" t="str">
        <f aca="false">IF(Q10="","",IFERROR(INDEX('Post Tracker'!$K$5:$K$1004,MATCH(Q10,'Post Tracker'!$A$5:$A$1004,0))&amp;"",""))</f>
        <v/>
      </c>
      <c r="U10" s="33" t="str">
        <f aca="false">IF(OR(Q10="",B10=""),"",IFERROR(B10-INDEX('Post Tracker'!$B$5:$B$1004,MATCH(Q10,'Post Tracker'!$A$5:$A$1004,0)),""))</f>
        <v/>
      </c>
      <c r="V10" s="39"/>
      <c r="W10" s="29"/>
      <c r="X10" s="29"/>
      <c r="Y10" s="29"/>
      <c r="Z10" s="30"/>
      <c r="AA10" s="29"/>
      <c r="AB10" s="29"/>
    </row>
    <row r="11" customFormat="false" ht="15" hidden="false" customHeight="false" outlineLevel="0" collapsed="false">
      <c r="A11" s="41" t="str">
        <f aca="false">IF(B11="","",ROW()-4)</f>
        <v/>
      </c>
      <c r="B11" s="39"/>
      <c r="C11" s="29"/>
      <c r="D11" s="29"/>
      <c r="E11" s="29"/>
      <c r="F11" s="29"/>
      <c r="G11" s="29"/>
      <c r="H11" s="32"/>
      <c r="I11" s="29"/>
      <c r="J11" s="29"/>
      <c r="K11" s="29"/>
      <c r="L11" s="29"/>
      <c r="M11" s="29"/>
      <c r="N11" s="29"/>
      <c r="O11" s="29"/>
      <c r="P11" s="29"/>
      <c r="Q11" s="24" t="str">
        <f aca="false">IF(N11&lt;&gt;"",UPPER(TRIM(N11)),IF(P11&lt;&gt;"",UPPER(TRIM(P11)),""))</f>
        <v/>
      </c>
      <c r="R11" s="24" t="str">
        <f aca="false">IF(B11="","",IF(N11&lt;&gt;"","UTM tracked",IF(P11&lt;&gt;"","Manual / self-reported",IF(O11&lt;&gt;"","Self-reported channel only","Unattributed"))))</f>
        <v/>
      </c>
      <c r="S11" s="24" t="str">
        <f aca="false">IF(Q11="","",IFERROR(INDEX('Post Tracker'!$G$5:$G$1004,MATCH(Q11,'Post Tracker'!$A$5:$A$1004,0)),"ID NOT FOUND"))</f>
        <v/>
      </c>
      <c r="T11" s="24" t="str">
        <f aca="false">IF(Q11="","",IFERROR(INDEX('Post Tracker'!$K$5:$K$1004,MATCH(Q11,'Post Tracker'!$A$5:$A$1004,0))&amp;"",""))</f>
        <v/>
      </c>
      <c r="U11" s="33" t="str">
        <f aca="false">IF(OR(Q11="",B11=""),"",IFERROR(B11-INDEX('Post Tracker'!$B$5:$B$1004,MATCH(Q11,'Post Tracker'!$A$5:$A$1004,0)),""))</f>
        <v/>
      </c>
      <c r="V11" s="39"/>
      <c r="W11" s="29"/>
      <c r="X11" s="29"/>
      <c r="Y11" s="29"/>
      <c r="Z11" s="30"/>
      <c r="AA11" s="29"/>
      <c r="AB11" s="29"/>
    </row>
    <row r="12" customFormat="false" ht="15" hidden="false" customHeight="false" outlineLevel="0" collapsed="false">
      <c r="A12" s="41" t="str">
        <f aca="false">IF(B12="","",ROW()-4)</f>
        <v/>
      </c>
      <c r="B12" s="39"/>
      <c r="C12" s="29"/>
      <c r="D12" s="29"/>
      <c r="E12" s="29"/>
      <c r="F12" s="29"/>
      <c r="G12" s="29"/>
      <c r="H12" s="32"/>
      <c r="I12" s="29"/>
      <c r="J12" s="29"/>
      <c r="K12" s="29"/>
      <c r="L12" s="29"/>
      <c r="M12" s="29"/>
      <c r="N12" s="29"/>
      <c r="O12" s="29"/>
      <c r="P12" s="29"/>
      <c r="Q12" s="24" t="str">
        <f aca="false">IF(N12&lt;&gt;"",UPPER(TRIM(N12)),IF(P12&lt;&gt;"",UPPER(TRIM(P12)),""))</f>
        <v/>
      </c>
      <c r="R12" s="24" t="str">
        <f aca="false">IF(B12="","",IF(N12&lt;&gt;"","UTM tracked",IF(P12&lt;&gt;"","Manual / self-reported",IF(O12&lt;&gt;"","Self-reported channel only","Unattributed"))))</f>
        <v/>
      </c>
      <c r="S12" s="24" t="str">
        <f aca="false">IF(Q12="","",IFERROR(INDEX('Post Tracker'!$G$5:$G$1004,MATCH(Q12,'Post Tracker'!$A$5:$A$1004,0)),"ID NOT FOUND"))</f>
        <v/>
      </c>
      <c r="T12" s="24" t="str">
        <f aca="false">IF(Q12="","",IFERROR(INDEX('Post Tracker'!$K$5:$K$1004,MATCH(Q12,'Post Tracker'!$A$5:$A$1004,0))&amp;"",""))</f>
        <v/>
      </c>
      <c r="U12" s="33" t="str">
        <f aca="false">IF(OR(Q12="",B12=""),"",IFERROR(B12-INDEX('Post Tracker'!$B$5:$B$1004,MATCH(Q12,'Post Tracker'!$A$5:$A$1004,0)),""))</f>
        <v/>
      </c>
      <c r="V12" s="39"/>
      <c r="W12" s="29"/>
      <c r="X12" s="29"/>
      <c r="Y12" s="29"/>
      <c r="Z12" s="30"/>
      <c r="AA12" s="29"/>
      <c r="AB12" s="29"/>
    </row>
    <row r="13" customFormat="false" ht="15" hidden="false" customHeight="false" outlineLevel="0" collapsed="false">
      <c r="A13" s="41" t="str">
        <f aca="false">IF(B13="","",ROW()-4)</f>
        <v/>
      </c>
      <c r="B13" s="39"/>
      <c r="C13" s="29"/>
      <c r="D13" s="29"/>
      <c r="E13" s="29"/>
      <c r="F13" s="29"/>
      <c r="G13" s="29"/>
      <c r="H13" s="32"/>
      <c r="I13" s="29"/>
      <c r="J13" s="29"/>
      <c r="K13" s="29"/>
      <c r="L13" s="29"/>
      <c r="M13" s="29"/>
      <c r="N13" s="29"/>
      <c r="O13" s="29"/>
      <c r="P13" s="29"/>
      <c r="Q13" s="24" t="str">
        <f aca="false">IF(N13&lt;&gt;"",UPPER(TRIM(N13)),IF(P13&lt;&gt;"",UPPER(TRIM(P13)),""))</f>
        <v/>
      </c>
      <c r="R13" s="24" t="str">
        <f aca="false">IF(B13="","",IF(N13&lt;&gt;"","UTM tracked",IF(P13&lt;&gt;"","Manual / self-reported",IF(O13&lt;&gt;"","Self-reported channel only","Unattributed"))))</f>
        <v/>
      </c>
      <c r="S13" s="24" t="str">
        <f aca="false">IF(Q13="","",IFERROR(INDEX('Post Tracker'!$G$5:$G$1004,MATCH(Q13,'Post Tracker'!$A$5:$A$1004,0)),"ID NOT FOUND"))</f>
        <v/>
      </c>
      <c r="T13" s="24" t="str">
        <f aca="false">IF(Q13="","",IFERROR(INDEX('Post Tracker'!$K$5:$K$1004,MATCH(Q13,'Post Tracker'!$A$5:$A$1004,0))&amp;"",""))</f>
        <v/>
      </c>
      <c r="U13" s="33" t="str">
        <f aca="false">IF(OR(Q13="",B13=""),"",IFERROR(B13-INDEX('Post Tracker'!$B$5:$B$1004,MATCH(Q13,'Post Tracker'!$A$5:$A$1004,0)),""))</f>
        <v/>
      </c>
      <c r="V13" s="39"/>
      <c r="W13" s="29"/>
      <c r="X13" s="29"/>
      <c r="Y13" s="29"/>
      <c r="Z13" s="30"/>
      <c r="AA13" s="29"/>
      <c r="AB13" s="29"/>
    </row>
    <row r="14" customFormat="false" ht="15" hidden="false" customHeight="false" outlineLevel="0" collapsed="false">
      <c r="A14" s="41" t="str">
        <f aca="false">IF(B14="","",ROW()-4)</f>
        <v/>
      </c>
      <c r="B14" s="39"/>
      <c r="C14" s="29"/>
      <c r="D14" s="29"/>
      <c r="E14" s="29"/>
      <c r="F14" s="29"/>
      <c r="G14" s="29"/>
      <c r="H14" s="32"/>
      <c r="I14" s="29"/>
      <c r="J14" s="29"/>
      <c r="K14" s="29"/>
      <c r="L14" s="29"/>
      <c r="M14" s="29"/>
      <c r="N14" s="29"/>
      <c r="O14" s="29"/>
      <c r="P14" s="29"/>
      <c r="Q14" s="24" t="str">
        <f aca="false">IF(N14&lt;&gt;"",UPPER(TRIM(N14)),IF(P14&lt;&gt;"",UPPER(TRIM(P14)),""))</f>
        <v/>
      </c>
      <c r="R14" s="24" t="str">
        <f aca="false">IF(B14="","",IF(N14&lt;&gt;"","UTM tracked",IF(P14&lt;&gt;"","Manual / self-reported",IF(O14&lt;&gt;"","Self-reported channel only","Unattributed"))))</f>
        <v/>
      </c>
      <c r="S14" s="24" t="str">
        <f aca="false">IF(Q14="","",IFERROR(INDEX('Post Tracker'!$G$5:$G$1004,MATCH(Q14,'Post Tracker'!$A$5:$A$1004,0)),"ID NOT FOUND"))</f>
        <v/>
      </c>
      <c r="T14" s="24" t="str">
        <f aca="false">IF(Q14="","",IFERROR(INDEX('Post Tracker'!$K$5:$K$1004,MATCH(Q14,'Post Tracker'!$A$5:$A$1004,0))&amp;"",""))</f>
        <v/>
      </c>
      <c r="U14" s="33" t="str">
        <f aca="false">IF(OR(Q14="",B14=""),"",IFERROR(B14-INDEX('Post Tracker'!$B$5:$B$1004,MATCH(Q14,'Post Tracker'!$A$5:$A$1004,0)),""))</f>
        <v/>
      </c>
      <c r="V14" s="39"/>
      <c r="W14" s="29"/>
      <c r="X14" s="29"/>
      <c r="Y14" s="29"/>
      <c r="Z14" s="30"/>
      <c r="AA14" s="29"/>
      <c r="AB14" s="29"/>
    </row>
    <row r="15" customFormat="false" ht="15" hidden="false" customHeight="false" outlineLevel="0" collapsed="false">
      <c r="A15" s="41" t="str">
        <f aca="false">IF(B15="","",ROW()-4)</f>
        <v/>
      </c>
      <c r="B15" s="39"/>
      <c r="C15" s="29"/>
      <c r="D15" s="29"/>
      <c r="E15" s="29"/>
      <c r="F15" s="29"/>
      <c r="G15" s="29"/>
      <c r="H15" s="32"/>
      <c r="I15" s="29"/>
      <c r="J15" s="29"/>
      <c r="K15" s="29"/>
      <c r="L15" s="29"/>
      <c r="M15" s="29"/>
      <c r="N15" s="29"/>
      <c r="O15" s="29"/>
      <c r="P15" s="29"/>
      <c r="Q15" s="24" t="str">
        <f aca="false">IF(N15&lt;&gt;"",UPPER(TRIM(N15)),IF(P15&lt;&gt;"",UPPER(TRIM(P15)),""))</f>
        <v/>
      </c>
      <c r="R15" s="24" t="str">
        <f aca="false">IF(B15="","",IF(N15&lt;&gt;"","UTM tracked",IF(P15&lt;&gt;"","Manual / self-reported",IF(O15&lt;&gt;"","Self-reported channel only","Unattributed"))))</f>
        <v/>
      </c>
      <c r="S15" s="24" t="str">
        <f aca="false">IF(Q15="","",IFERROR(INDEX('Post Tracker'!$G$5:$G$1004,MATCH(Q15,'Post Tracker'!$A$5:$A$1004,0)),"ID NOT FOUND"))</f>
        <v/>
      </c>
      <c r="T15" s="24" t="str">
        <f aca="false">IF(Q15="","",IFERROR(INDEX('Post Tracker'!$K$5:$K$1004,MATCH(Q15,'Post Tracker'!$A$5:$A$1004,0))&amp;"",""))</f>
        <v/>
      </c>
      <c r="U15" s="33" t="str">
        <f aca="false">IF(OR(Q15="",B15=""),"",IFERROR(B15-INDEX('Post Tracker'!$B$5:$B$1004,MATCH(Q15,'Post Tracker'!$A$5:$A$1004,0)),""))</f>
        <v/>
      </c>
      <c r="V15" s="39"/>
      <c r="W15" s="29"/>
      <c r="X15" s="29"/>
      <c r="Y15" s="29"/>
      <c r="Z15" s="30"/>
      <c r="AA15" s="29"/>
      <c r="AB15" s="29"/>
    </row>
    <row r="16" customFormat="false" ht="15" hidden="false" customHeight="false" outlineLevel="0" collapsed="false">
      <c r="A16" s="41" t="str">
        <f aca="false">IF(B16="","",ROW()-4)</f>
        <v/>
      </c>
      <c r="B16" s="39"/>
      <c r="C16" s="29"/>
      <c r="D16" s="29"/>
      <c r="E16" s="29"/>
      <c r="F16" s="29"/>
      <c r="G16" s="29"/>
      <c r="H16" s="32"/>
      <c r="I16" s="29"/>
      <c r="J16" s="29"/>
      <c r="K16" s="29"/>
      <c r="L16" s="29"/>
      <c r="M16" s="29"/>
      <c r="N16" s="29"/>
      <c r="O16" s="29"/>
      <c r="P16" s="29"/>
      <c r="Q16" s="24" t="str">
        <f aca="false">IF(N16&lt;&gt;"",UPPER(TRIM(N16)),IF(P16&lt;&gt;"",UPPER(TRIM(P16)),""))</f>
        <v/>
      </c>
      <c r="R16" s="24" t="str">
        <f aca="false">IF(B16="","",IF(N16&lt;&gt;"","UTM tracked",IF(P16&lt;&gt;"","Manual / self-reported",IF(O16&lt;&gt;"","Self-reported channel only","Unattributed"))))</f>
        <v/>
      </c>
      <c r="S16" s="24" t="str">
        <f aca="false">IF(Q16="","",IFERROR(INDEX('Post Tracker'!$G$5:$G$1004,MATCH(Q16,'Post Tracker'!$A$5:$A$1004,0)),"ID NOT FOUND"))</f>
        <v/>
      </c>
      <c r="T16" s="24" t="str">
        <f aca="false">IF(Q16="","",IFERROR(INDEX('Post Tracker'!$K$5:$K$1004,MATCH(Q16,'Post Tracker'!$A$5:$A$1004,0))&amp;"",""))</f>
        <v/>
      </c>
      <c r="U16" s="33" t="str">
        <f aca="false">IF(OR(Q16="",B16=""),"",IFERROR(B16-INDEX('Post Tracker'!$B$5:$B$1004,MATCH(Q16,'Post Tracker'!$A$5:$A$1004,0)),""))</f>
        <v/>
      </c>
      <c r="V16" s="39"/>
      <c r="W16" s="29"/>
      <c r="X16" s="29"/>
      <c r="Y16" s="29"/>
      <c r="Z16" s="30"/>
      <c r="AA16" s="29"/>
      <c r="AB16" s="29"/>
    </row>
    <row r="17" customFormat="false" ht="15" hidden="false" customHeight="false" outlineLevel="0" collapsed="false">
      <c r="A17" s="41" t="str">
        <f aca="false">IF(B17="","",ROW()-4)</f>
        <v/>
      </c>
      <c r="B17" s="39"/>
      <c r="C17" s="29"/>
      <c r="D17" s="29"/>
      <c r="E17" s="29"/>
      <c r="F17" s="29"/>
      <c r="G17" s="29"/>
      <c r="H17" s="32"/>
      <c r="I17" s="29"/>
      <c r="J17" s="29"/>
      <c r="K17" s="29"/>
      <c r="L17" s="29"/>
      <c r="M17" s="29"/>
      <c r="N17" s="29"/>
      <c r="O17" s="29"/>
      <c r="P17" s="29"/>
      <c r="Q17" s="24" t="str">
        <f aca="false">IF(N17&lt;&gt;"",UPPER(TRIM(N17)),IF(P17&lt;&gt;"",UPPER(TRIM(P17)),""))</f>
        <v/>
      </c>
      <c r="R17" s="24" t="str">
        <f aca="false">IF(B17="","",IF(N17&lt;&gt;"","UTM tracked",IF(P17&lt;&gt;"","Manual / self-reported",IF(O17&lt;&gt;"","Self-reported channel only","Unattributed"))))</f>
        <v/>
      </c>
      <c r="S17" s="24" t="str">
        <f aca="false">IF(Q17="","",IFERROR(INDEX('Post Tracker'!$G$5:$G$1004,MATCH(Q17,'Post Tracker'!$A$5:$A$1004,0)),"ID NOT FOUND"))</f>
        <v/>
      </c>
      <c r="T17" s="24" t="str">
        <f aca="false">IF(Q17="","",IFERROR(INDEX('Post Tracker'!$K$5:$K$1004,MATCH(Q17,'Post Tracker'!$A$5:$A$1004,0))&amp;"",""))</f>
        <v/>
      </c>
      <c r="U17" s="33" t="str">
        <f aca="false">IF(OR(Q17="",B17=""),"",IFERROR(B17-INDEX('Post Tracker'!$B$5:$B$1004,MATCH(Q17,'Post Tracker'!$A$5:$A$1004,0)),""))</f>
        <v/>
      </c>
      <c r="V17" s="39"/>
      <c r="W17" s="29"/>
      <c r="X17" s="29"/>
      <c r="Y17" s="29"/>
      <c r="Z17" s="30"/>
      <c r="AA17" s="29"/>
      <c r="AB17" s="29"/>
    </row>
    <row r="18" customFormat="false" ht="15" hidden="false" customHeight="false" outlineLevel="0" collapsed="false">
      <c r="A18" s="41" t="str">
        <f aca="false">IF(B18="","",ROW()-4)</f>
        <v/>
      </c>
      <c r="B18" s="39"/>
      <c r="C18" s="29"/>
      <c r="D18" s="29"/>
      <c r="E18" s="29"/>
      <c r="F18" s="29"/>
      <c r="G18" s="29"/>
      <c r="H18" s="32"/>
      <c r="I18" s="29"/>
      <c r="J18" s="29"/>
      <c r="K18" s="29"/>
      <c r="L18" s="29"/>
      <c r="M18" s="29"/>
      <c r="N18" s="29"/>
      <c r="O18" s="29"/>
      <c r="P18" s="29"/>
      <c r="Q18" s="24" t="str">
        <f aca="false">IF(N18&lt;&gt;"",UPPER(TRIM(N18)),IF(P18&lt;&gt;"",UPPER(TRIM(P18)),""))</f>
        <v/>
      </c>
      <c r="R18" s="24" t="str">
        <f aca="false">IF(B18="","",IF(N18&lt;&gt;"","UTM tracked",IF(P18&lt;&gt;"","Manual / self-reported",IF(O18&lt;&gt;"","Self-reported channel only","Unattributed"))))</f>
        <v/>
      </c>
      <c r="S18" s="24" t="str">
        <f aca="false">IF(Q18="","",IFERROR(INDEX('Post Tracker'!$G$5:$G$1004,MATCH(Q18,'Post Tracker'!$A$5:$A$1004,0)),"ID NOT FOUND"))</f>
        <v/>
      </c>
      <c r="T18" s="24" t="str">
        <f aca="false">IF(Q18="","",IFERROR(INDEX('Post Tracker'!$K$5:$K$1004,MATCH(Q18,'Post Tracker'!$A$5:$A$1004,0))&amp;"",""))</f>
        <v/>
      </c>
      <c r="U18" s="33" t="str">
        <f aca="false">IF(OR(Q18="",B18=""),"",IFERROR(B18-INDEX('Post Tracker'!$B$5:$B$1004,MATCH(Q18,'Post Tracker'!$A$5:$A$1004,0)),""))</f>
        <v/>
      </c>
      <c r="V18" s="39"/>
      <c r="W18" s="29"/>
      <c r="X18" s="29"/>
      <c r="Y18" s="29"/>
      <c r="Z18" s="30"/>
      <c r="AA18" s="29"/>
      <c r="AB18" s="29"/>
    </row>
    <row r="19" customFormat="false" ht="15" hidden="false" customHeight="false" outlineLevel="0" collapsed="false">
      <c r="A19" s="41" t="str">
        <f aca="false">IF(B19="","",ROW()-4)</f>
        <v/>
      </c>
      <c r="B19" s="39"/>
      <c r="C19" s="29"/>
      <c r="D19" s="29"/>
      <c r="E19" s="29"/>
      <c r="F19" s="29"/>
      <c r="G19" s="29"/>
      <c r="H19" s="32"/>
      <c r="I19" s="29"/>
      <c r="J19" s="29"/>
      <c r="K19" s="29"/>
      <c r="L19" s="29"/>
      <c r="M19" s="29"/>
      <c r="N19" s="29"/>
      <c r="O19" s="29"/>
      <c r="P19" s="29"/>
      <c r="Q19" s="24" t="str">
        <f aca="false">IF(N19&lt;&gt;"",UPPER(TRIM(N19)),IF(P19&lt;&gt;"",UPPER(TRIM(P19)),""))</f>
        <v/>
      </c>
      <c r="R19" s="24" t="str">
        <f aca="false">IF(B19="","",IF(N19&lt;&gt;"","UTM tracked",IF(P19&lt;&gt;"","Manual / self-reported",IF(O19&lt;&gt;"","Self-reported channel only","Unattributed"))))</f>
        <v/>
      </c>
      <c r="S19" s="24" t="str">
        <f aca="false">IF(Q19="","",IFERROR(INDEX('Post Tracker'!$G$5:$G$1004,MATCH(Q19,'Post Tracker'!$A$5:$A$1004,0)),"ID NOT FOUND"))</f>
        <v/>
      </c>
      <c r="T19" s="24" t="str">
        <f aca="false">IF(Q19="","",IFERROR(INDEX('Post Tracker'!$K$5:$K$1004,MATCH(Q19,'Post Tracker'!$A$5:$A$1004,0))&amp;"",""))</f>
        <v/>
      </c>
      <c r="U19" s="33" t="str">
        <f aca="false">IF(OR(Q19="",B19=""),"",IFERROR(B19-INDEX('Post Tracker'!$B$5:$B$1004,MATCH(Q19,'Post Tracker'!$A$5:$A$1004,0)),""))</f>
        <v/>
      </c>
      <c r="V19" s="39"/>
      <c r="W19" s="29"/>
      <c r="X19" s="29"/>
      <c r="Y19" s="29"/>
      <c r="Z19" s="30"/>
      <c r="AA19" s="29"/>
      <c r="AB19" s="29"/>
    </row>
    <row r="20" customFormat="false" ht="15" hidden="false" customHeight="false" outlineLevel="0" collapsed="false">
      <c r="A20" s="41" t="str">
        <f aca="false">IF(B20="","",ROW()-4)</f>
        <v/>
      </c>
      <c r="B20" s="39"/>
      <c r="C20" s="29"/>
      <c r="D20" s="29"/>
      <c r="E20" s="29"/>
      <c r="F20" s="29"/>
      <c r="G20" s="29"/>
      <c r="H20" s="32"/>
      <c r="I20" s="29"/>
      <c r="J20" s="29"/>
      <c r="K20" s="29"/>
      <c r="L20" s="29"/>
      <c r="M20" s="29"/>
      <c r="N20" s="29"/>
      <c r="O20" s="29"/>
      <c r="P20" s="29"/>
      <c r="Q20" s="24" t="str">
        <f aca="false">IF(N20&lt;&gt;"",UPPER(TRIM(N20)),IF(P20&lt;&gt;"",UPPER(TRIM(P20)),""))</f>
        <v/>
      </c>
      <c r="R20" s="24" t="str">
        <f aca="false">IF(B20="","",IF(N20&lt;&gt;"","UTM tracked",IF(P20&lt;&gt;"","Manual / self-reported",IF(O20&lt;&gt;"","Self-reported channel only","Unattributed"))))</f>
        <v/>
      </c>
      <c r="S20" s="24" t="str">
        <f aca="false">IF(Q20="","",IFERROR(INDEX('Post Tracker'!$G$5:$G$1004,MATCH(Q20,'Post Tracker'!$A$5:$A$1004,0)),"ID NOT FOUND"))</f>
        <v/>
      </c>
      <c r="T20" s="24" t="str">
        <f aca="false">IF(Q20="","",IFERROR(INDEX('Post Tracker'!$K$5:$K$1004,MATCH(Q20,'Post Tracker'!$A$5:$A$1004,0))&amp;"",""))</f>
        <v/>
      </c>
      <c r="U20" s="33" t="str">
        <f aca="false">IF(OR(Q20="",B20=""),"",IFERROR(B20-INDEX('Post Tracker'!$B$5:$B$1004,MATCH(Q20,'Post Tracker'!$A$5:$A$1004,0)),""))</f>
        <v/>
      </c>
      <c r="V20" s="39"/>
      <c r="W20" s="29"/>
      <c r="X20" s="29"/>
      <c r="Y20" s="29"/>
      <c r="Z20" s="30"/>
      <c r="AA20" s="29"/>
      <c r="AB20" s="29"/>
    </row>
    <row r="21" customFormat="false" ht="15" hidden="false" customHeight="false" outlineLevel="0" collapsed="false">
      <c r="A21" s="41" t="str">
        <f aca="false">IF(B21="","",ROW()-4)</f>
        <v/>
      </c>
      <c r="B21" s="39"/>
      <c r="C21" s="29"/>
      <c r="D21" s="29"/>
      <c r="E21" s="29"/>
      <c r="F21" s="29"/>
      <c r="G21" s="29"/>
      <c r="H21" s="32"/>
      <c r="I21" s="29"/>
      <c r="J21" s="29"/>
      <c r="K21" s="29"/>
      <c r="L21" s="29"/>
      <c r="M21" s="29"/>
      <c r="N21" s="29"/>
      <c r="O21" s="29"/>
      <c r="P21" s="29"/>
      <c r="Q21" s="24" t="str">
        <f aca="false">IF(N21&lt;&gt;"",UPPER(TRIM(N21)),IF(P21&lt;&gt;"",UPPER(TRIM(P21)),""))</f>
        <v/>
      </c>
      <c r="R21" s="24" t="str">
        <f aca="false">IF(B21="","",IF(N21&lt;&gt;"","UTM tracked",IF(P21&lt;&gt;"","Manual / self-reported",IF(O21&lt;&gt;"","Self-reported channel only","Unattributed"))))</f>
        <v/>
      </c>
      <c r="S21" s="24" t="str">
        <f aca="false">IF(Q21="","",IFERROR(INDEX('Post Tracker'!$G$5:$G$1004,MATCH(Q21,'Post Tracker'!$A$5:$A$1004,0)),"ID NOT FOUND"))</f>
        <v/>
      </c>
      <c r="T21" s="24" t="str">
        <f aca="false">IF(Q21="","",IFERROR(INDEX('Post Tracker'!$K$5:$K$1004,MATCH(Q21,'Post Tracker'!$A$5:$A$1004,0))&amp;"",""))</f>
        <v/>
      </c>
      <c r="U21" s="33" t="str">
        <f aca="false">IF(OR(Q21="",B21=""),"",IFERROR(B21-INDEX('Post Tracker'!$B$5:$B$1004,MATCH(Q21,'Post Tracker'!$A$5:$A$1004,0)),""))</f>
        <v/>
      </c>
      <c r="V21" s="39"/>
      <c r="W21" s="29"/>
      <c r="X21" s="29"/>
      <c r="Y21" s="29"/>
      <c r="Z21" s="30"/>
      <c r="AA21" s="29"/>
      <c r="AB21" s="29"/>
    </row>
    <row r="22" customFormat="false" ht="15" hidden="false" customHeight="false" outlineLevel="0" collapsed="false">
      <c r="A22" s="41" t="str">
        <f aca="false">IF(B22="","",ROW()-4)</f>
        <v/>
      </c>
      <c r="B22" s="39"/>
      <c r="C22" s="29"/>
      <c r="D22" s="29"/>
      <c r="E22" s="29"/>
      <c r="F22" s="29"/>
      <c r="G22" s="29"/>
      <c r="H22" s="32"/>
      <c r="I22" s="29"/>
      <c r="J22" s="29"/>
      <c r="K22" s="29"/>
      <c r="L22" s="29"/>
      <c r="M22" s="29"/>
      <c r="N22" s="29"/>
      <c r="O22" s="29"/>
      <c r="P22" s="29"/>
      <c r="Q22" s="24" t="str">
        <f aca="false">IF(N22&lt;&gt;"",UPPER(TRIM(N22)),IF(P22&lt;&gt;"",UPPER(TRIM(P22)),""))</f>
        <v/>
      </c>
      <c r="R22" s="24" t="str">
        <f aca="false">IF(B22="","",IF(N22&lt;&gt;"","UTM tracked",IF(P22&lt;&gt;"","Manual / self-reported",IF(O22&lt;&gt;"","Self-reported channel only","Unattributed"))))</f>
        <v/>
      </c>
      <c r="S22" s="24" t="str">
        <f aca="false">IF(Q22="","",IFERROR(INDEX('Post Tracker'!$G$5:$G$1004,MATCH(Q22,'Post Tracker'!$A$5:$A$1004,0)),"ID NOT FOUND"))</f>
        <v/>
      </c>
      <c r="T22" s="24" t="str">
        <f aca="false">IF(Q22="","",IFERROR(INDEX('Post Tracker'!$K$5:$K$1004,MATCH(Q22,'Post Tracker'!$A$5:$A$1004,0))&amp;"",""))</f>
        <v/>
      </c>
      <c r="U22" s="33" t="str">
        <f aca="false">IF(OR(Q22="",B22=""),"",IFERROR(B22-INDEX('Post Tracker'!$B$5:$B$1004,MATCH(Q22,'Post Tracker'!$A$5:$A$1004,0)),""))</f>
        <v/>
      </c>
      <c r="V22" s="39"/>
      <c r="W22" s="29"/>
      <c r="X22" s="29"/>
      <c r="Y22" s="29"/>
      <c r="Z22" s="30"/>
      <c r="AA22" s="29"/>
      <c r="AB22" s="29"/>
    </row>
    <row r="23" customFormat="false" ht="15" hidden="false" customHeight="false" outlineLevel="0" collapsed="false">
      <c r="A23" s="41" t="str">
        <f aca="false">IF(B23="","",ROW()-4)</f>
        <v/>
      </c>
      <c r="B23" s="39"/>
      <c r="C23" s="29"/>
      <c r="D23" s="29"/>
      <c r="E23" s="29"/>
      <c r="F23" s="29"/>
      <c r="G23" s="29"/>
      <c r="H23" s="32"/>
      <c r="I23" s="29"/>
      <c r="J23" s="29"/>
      <c r="K23" s="29"/>
      <c r="L23" s="29"/>
      <c r="M23" s="29"/>
      <c r="N23" s="29"/>
      <c r="O23" s="29"/>
      <c r="P23" s="29"/>
      <c r="Q23" s="24" t="str">
        <f aca="false">IF(N23&lt;&gt;"",UPPER(TRIM(N23)),IF(P23&lt;&gt;"",UPPER(TRIM(P23)),""))</f>
        <v/>
      </c>
      <c r="R23" s="24" t="str">
        <f aca="false">IF(B23="","",IF(N23&lt;&gt;"","UTM tracked",IF(P23&lt;&gt;"","Manual / self-reported",IF(O23&lt;&gt;"","Self-reported channel only","Unattributed"))))</f>
        <v/>
      </c>
      <c r="S23" s="24" t="str">
        <f aca="false">IF(Q23="","",IFERROR(INDEX('Post Tracker'!$G$5:$G$1004,MATCH(Q23,'Post Tracker'!$A$5:$A$1004,0)),"ID NOT FOUND"))</f>
        <v/>
      </c>
      <c r="T23" s="24" t="str">
        <f aca="false">IF(Q23="","",IFERROR(INDEX('Post Tracker'!$K$5:$K$1004,MATCH(Q23,'Post Tracker'!$A$5:$A$1004,0))&amp;"",""))</f>
        <v/>
      </c>
      <c r="U23" s="33" t="str">
        <f aca="false">IF(OR(Q23="",B23=""),"",IFERROR(B23-INDEX('Post Tracker'!$B$5:$B$1004,MATCH(Q23,'Post Tracker'!$A$5:$A$1004,0)),""))</f>
        <v/>
      </c>
      <c r="V23" s="39"/>
      <c r="W23" s="29"/>
      <c r="X23" s="29"/>
      <c r="Y23" s="29"/>
      <c r="Z23" s="30"/>
      <c r="AA23" s="29"/>
      <c r="AB23" s="29"/>
    </row>
    <row r="24" customFormat="false" ht="15" hidden="false" customHeight="false" outlineLevel="0" collapsed="false">
      <c r="A24" s="41" t="str">
        <f aca="false">IF(B24="","",ROW()-4)</f>
        <v/>
      </c>
      <c r="B24" s="39"/>
      <c r="C24" s="29"/>
      <c r="D24" s="29"/>
      <c r="E24" s="29"/>
      <c r="F24" s="29"/>
      <c r="G24" s="29"/>
      <c r="H24" s="32"/>
      <c r="I24" s="29"/>
      <c r="J24" s="29"/>
      <c r="K24" s="29"/>
      <c r="L24" s="29"/>
      <c r="M24" s="29"/>
      <c r="N24" s="29"/>
      <c r="O24" s="29"/>
      <c r="P24" s="29"/>
      <c r="Q24" s="24" t="str">
        <f aca="false">IF(N24&lt;&gt;"",UPPER(TRIM(N24)),IF(P24&lt;&gt;"",UPPER(TRIM(P24)),""))</f>
        <v/>
      </c>
      <c r="R24" s="24" t="str">
        <f aca="false">IF(B24="","",IF(N24&lt;&gt;"","UTM tracked",IF(P24&lt;&gt;"","Manual / self-reported",IF(O24&lt;&gt;"","Self-reported channel only","Unattributed"))))</f>
        <v/>
      </c>
      <c r="S24" s="24" t="str">
        <f aca="false">IF(Q24="","",IFERROR(INDEX('Post Tracker'!$G$5:$G$1004,MATCH(Q24,'Post Tracker'!$A$5:$A$1004,0)),"ID NOT FOUND"))</f>
        <v/>
      </c>
      <c r="T24" s="24" t="str">
        <f aca="false">IF(Q24="","",IFERROR(INDEX('Post Tracker'!$K$5:$K$1004,MATCH(Q24,'Post Tracker'!$A$5:$A$1004,0))&amp;"",""))</f>
        <v/>
      </c>
      <c r="U24" s="33" t="str">
        <f aca="false">IF(OR(Q24="",B24=""),"",IFERROR(B24-INDEX('Post Tracker'!$B$5:$B$1004,MATCH(Q24,'Post Tracker'!$A$5:$A$1004,0)),""))</f>
        <v/>
      </c>
      <c r="V24" s="39"/>
      <c r="W24" s="29"/>
      <c r="X24" s="29"/>
      <c r="Y24" s="29"/>
      <c r="Z24" s="30"/>
      <c r="AA24" s="29"/>
      <c r="AB24" s="29"/>
    </row>
    <row r="25" customFormat="false" ht="15" hidden="false" customHeight="false" outlineLevel="0" collapsed="false">
      <c r="A25" s="41" t="str">
        <f aca="false">IF(B25="","",ROW()-4)</f>
        <v/>
      </c>
      <c r="B25" s="39"/>
      <c r="C25" s="29"/>
      <c r="D25" s="29"/>
      <c r="E25" s="29"/>
      <c r="F25" s="29"/>
      <c r="G25" s="29"/>
      <c r="H25" s="32"/>
      <c r="I25" s="29"/>
      <c r="J25" s="29"/>
      <c r="K25" s="29"/>
      <c r="L25" s="29"/>
      <c r="M25" s="29"/>
      <c r="N25" s="29"/>
      <c r="O25" s="29"/>
      <c r="P25" s="29"/>
      <c r="Q25" s="24" t="str">
        <f aca="false">IF(N25&lt;&gt;"",UPPER(TRIM(N25)),IF(P25&lt;&gt;"",UPPER(TRIM(P25)),""))</f>
        <v/>
      </c>
      <c r="R25" s="24" t="str">
        <f aca="false">IF(B25="","",IF(N25&lt;&gt;"","UTM tracked",IF(P25&lt;&gt;"","Manual / self-reported",IF(O25&lt;&gt;"","Self-reported channel only","Unattributed"))))</f>
        <v/>
      </c>
      <c r="S25" s="24" t="str">
        <f aca="false">IF(Q25="","",IFERROR(INDEX('Post Tracker'!$G$5:$G$1004,MATCH(Q25,'Post Tracker'!$A$5:$A$1004,0)),"ID NOT FOUND"))</f>
        <v/>
      </c>
      <c r="T25" s="24" t="str">
        <f aca="false">IF(Q25="","",IFERROR(INDEX('Post Tracker'!$K$5:$K$1004,MATCH(Q25,'Post Tracker'!$A$5:$A$1004,0))&amp;"",""))</f>
        <v/>
      </c>
      <c r="U25" s="33" t="str">
        <f aca="false">IF(OR(Q25="",B25=""),"",IFERROR(B25-INDEX('Post Tracker'!$B$5:$B$1004,MATCH(Q25,'Post Tracker'!$A$5:$A$1004,0)),""))</f>
        <v/>
      </c>
      <c r="V25" s="39"/>
      <c r="W25" s="29"/>
      <c r="X25" s="29"/>
      <c r="Y25" s="29"/>
      <c r="Z25" s="30"/>
      <c r="AA25" s="29"/>
      <c r="AB25" s="29"/>
    </row>
    <row r="26" customFormat="false" ht="15" hidden="false" customHeight="false" outlineLevel="0" collapsed="false">
      <c r="A26" s="41" t="str">
        <f aca="false">IF(B26="","",ROW()-4)</f>
        <v/>
      </c>
      <c r="B26" s="39"/>
      <c r="C26" s="29"/>
      <c r="D26" s="29"/>
      <c r="E26" s="29"/>
      <c r="F26" s="29"/>
      <c r="G26" s="29"/>
      <c r="H26" s="32"/>
      <c r="I26" s="29"/>
      <c r="J26" s="29"/>
      <c r="K26" s="29"/>
      <c r="L26" s="29"/>
      <c r="M26" s="29"/>
      <c r="N26" s="29"/>
      <c r="O26" s="29"/>
      <c r="P26" s="29"/>
      <c r="Q26" s="24" t="str">
        <f aca="false">IF(N26&lt;&gt;"",UPPER(TRIM(N26)),IF(P26&lt;&gt;"",UPPER(TRIM(P26)),""))</f>
        <v/>
      </c>
      <c r="R26" s="24" t="str">
        <f aca="false">IF(B26="","",IF(N26&lt;&gt;"","UTM tracked",IF(P26&lt;&gt;"","Manual / self-reported",IF(O26&lt;&gt;"","Self-reported channel only","Unattributed"))))</f>
        <v/>
      </c>
      <c r="S26" s="24" t="str">
        <f aca="false">IF(Q26="","",IFERROR(INDEX('Post Tracker'!$G$5:$G$1004,MATCH(Q26,'Post Tracker'!$A$5:$A$1004,0)),"ID NOT FOUND"))</f>
        <v/>
      </c>
      <c r="T26" s="24" t="str">
        <f aca="false">IF(Q26="","",IFERROR(INDEX('Post Tracker'!$K$5:$K$1004,MATCH(Q26,'Post Tracker'!$A$5:$A$1004,0))&amp;"",""))</f>
        <v/>
      </c>
      <c r="U26" s="33" t="str">
        <f aca="false">IF(OR(Q26="",B26=""),"",IFERROR(B26-INDEX('Post Tracker'!$B$5:$B$1004,MATCH(Q26,'Post Tracker'!$A$5:$A$1004,0)),""))</f>
        <v/>
      </c>
      <c r="V26" s="39"/>
      <c r="W26" s="29"/>
      <c r="X26" s="29"/>
      <c r="Y26" s="29"/>
      <c r="Z26" s="30"/>
      <c r="AA26" s="29"/>
      <c r="AB26" s="29"/>
    </row>
    <row r="27" customFormat="false" ht="15" hidden="false" customHeight="false" outlineLevel="0" collapsed="false">
      <c r="A27" s="41" t="str">
        <f aca="false">IF(B27="","",ROW()-4)</f>
        <v/>
      </c>
      <c r="B27" s="39"/>
      <c r="C27" s="29"/>
      <c r="D27" s="29"/>
      <c r="E27" s="29"/>
      <c r="F27" s="29"/>
      <c r="G27" s="29"/>
      <c r="H27" s="32"/>
      <c r="I27" s="29"/>
      <c r="J27" s="29"/>
      <c r="K27" s="29"/>
      <c r="L27" s="29"/>
      <c r="M27" s="29"/>
      <c r="N27" s="29"/>
      <c r="O27" s="29"/>
      <c r="P27" s="29"/>
      <c r="Q27" s="24" t="str">
        <f aca="false">IF(N27&lt;&gt;"",UPPER(TRIM(N27)),IF(P27&lt;&gt;"",UPPER(TRIM(P27)),""))</f>
        <v/>
      </c>
      <c r="R27" s="24" t="str">
        <f aca="false">IF(B27="","",IF(N27&lt;&gt;"","UTM tracked",IF(P27&lt;&gt;"","Manual / self-reported",IF(O27&lt;&gt;"","Self-reported channel only","Unattributed"))))</f>
        <v/>
      </c>
      <c r="S27" s="24" t="str">
        <f aca="false">IF(Q27="","",IFERROR(INDEX('Post Tracker'!$G$5:$G$1004,MATCH(Q27,'Post Tracker'!$A$5:$A$1004,0)),"ID NOT FOUND"))</f>
        <v/>
      </c>
      <c r="T27" s="24" t="str">
        <f aca="false">IF(Q27="","",IFERROR(INDEX('Post Tracker'!$K$5:$K$1004,MATCH(Q27,'Post Tracker'!$A$5:$A$1004,0))&amp;"",""))</f>
        <v/>
      </c>
      <c r="U27" s="33" t="str">
        <f aca="false">IF(OR(Q27="",B27=""),"",IFERROR(B27-INDEX('Post Tracker'!$B$5:$B$1004,MATCH(Q27,'Post Tracker'!$A$5:$A$1004,0)),""))</f>
        <v/>
      </c>
      <c r="V27" s="39"/>
      <c r="W27" s="29"/>
      <c r="X27" s="29"/>
      <c r="Y27" s="29"/>
      <c r="Z27" s="30"/>
      <c r="AA27" s="29"/>
      <c r="AB27" s="29"/>
    </row>
    <row r="28" customFormat="false" ht="15" hidden="false" customHeight="false" outlineLevel="0" collapsed="false">
      <c r="A28" s="41" t="str">
        <f aca="false">IF(B28="","",ROW()-4)</f>
        <v/>
      </c>
      <c r="B28" s="39"/>
      <c r="C28" s="29"/>
      <c r="D28" s="29"/>
      <c r="E28" s="29"/>
      <c r="F28" s="29"/>
      <c r="G28" s="29"/>
      <c r="H28" s="32"/>
      <c r="I28" s="29"/>
      <c r="J28" s="29"/>
      <c r="K28" s="29"/>
      <c r="L28" s="29"/>
      <c r="M28" s="29"/>
      <c r="N28" s="29"/>
      <c r="O28" s="29"/>
      <c r="P28" s="29"/>
      <c r="Q28" s="24" t="str">
        <f aca="false">IF(N28&lt;&gt;"",UPPER(TRIM(N28)),IF(P28&lt;&gt;"",UPPER(TRIM(P28)),""))</f>
        <v/>
      </c>
      <c r="R28" s="24" t="str">
        <f aca="false">IF(B28="","",IF(N28&lt;&gt;"","UTM tracked",IF(P28&lt;&gt;"","Manual / self-reported",IF(O28&lt;&gt;"","Self-reported channel only","Unattributed"))))</f>
        <v/>
      </c>
      <c r="S28" s="24" t="str">
        <f aca="false">IF(Q28="","",IFERROR(INDEX('Post Tracker'!$G$5:$G$1004,MATCH(Q28,'Post Tracker'!$A$5:$A$1004,0)),"ID NOT FOUND"))</f>
        <v/>
      </c>
      <c r="T28" s="24" t="str">
        <f aca="false">IF(Q28="","",IFERROR(INDEX('Post Tracker'!$K$5:$K$1004,MATCH(Q28,'Post Tracker'!$A$5:$A$1004,0))&amp;"",""))</f>
        <v/>
      </c>
      <c r="U28" s="33" t="str">
        <f aca="false">IF(OR(Q28="",B28=""),"",IFERROR(B28-INDEX('Post Tracker'!$B$5:$B$1004,MATCH(Q28,'Post Tracker'!$A$5:$A$1004,0)),""))</f>
        <v/>
      </c>
      <c r="V28" s="39"/>
      <c r="W28" s="29"/>
      <c r="X28" s="29"/>
      <c r="Y28" s="29"/>
      <c r="Z28" s="30"/>
      <c r="AA28" s="29"/>
      <c r="AB28" s="29"/>
    </row>
    <row r="29" customFormat="false" ht="15" hidden="false" customHeight="false" outlineLevel="0" collapsed="false">
      <c r="A29" s="41" t="str">
        <f aca="false">IF(B29="","",ROW()-4)</f>
        <v/>
      </c>
      <c r="B29" s="39"/>
      <c r="C29" s="29"/>
      <c r="D29" s="29"/>
      <c r="E29" s="29"/>
      <c r="F29" s="29"/>
      <c r="G29" s="29"/>
      <c r="H29" s="32"/>
      <c r="I29" s="29"/>
      <c r="J29" s="29"/>
      <c r="K29" s="29"/>
      <c r="L29" s="29"/>
      <c r="M29" s="29"/>
      <c r="N29" s="29"/>
      <c r="O29" s="29"/>
      <c r="P29" s="29"/>
      <c r="Q29" s="24" t="str">
        <f aca="false">IF(N29&lt;&gt;"",UPPER(TRIM(N29)),IF(P29&lt;&gt;"",UPPER(TRIM(P29)),""))</f>
        <v/>
      </c>
      <c r="R29" s="24" t="str">
        <f aca="false">IF(B29="","",IF(N29&lt;&gt;"","UTM tracked",IF(P29&lt;&gt;"","Manual / self-reported",IF(O29&lt;&gt;"","Self-reported channel only","Unattributed"))))</f>
        <v/>
      </c>
      <c r="S29" s="24" t="str">
        <f aca="false">IF(Q29="","",IFERROR(INDEX('Post Tracker'!$G$5:$G$1004,MATCH(Q29,'Post Tracker'!$A$5:$A$1004,0)),"ID NOT FOUND"))</f>
        <v/>
      </c>
      <c r="T29" s="24" t="str">
        <f aca="false">IF(Q29="","",IFERROR(INDEX('Post Tracker'!$K$5:$K$1004,MATCH(Q29,'Post Tracker'!$A$5:$A$1004,0))&amp;"",""))</f>
        <v/>
      </c>
      <c r="U29" s="33" t="str">
        <f aca="false">IF(OR(Q29="",B29=""),"",IFERROR(B29-INDEX('Post Tracker'!$B$5:$B$1004,MATCH(Q29,'Post Tracker'!$A$5:$A$1004,0)),""))</f>
        <v/>
      </c>
      <c r="V29" s="39"/>
      <c r="W29" s="29"/>
      <c r="X29" s="29"/>
      <c r="Y29" s="29"/>
      <c r="Z29" s="30"/>
      <c r="AA29" s="29"/>
      <c r="AB29" s="29"/>
    </row>
    <row r="30" customFormat="false" ht="15" hidden="false" customHeight="false" outlineLevel="0" collapsed="false">
      <c r="A30" s="41" t="str">
        <f aca="false">IF(B30="","",ROW()-4)</f>
        <v/>
      </c>
      <c r="B30" s="39"/>
      <c r="C30" s="29"/>
      <c r="D30" s="29"/>
      <c r="E30" s="29"/>
      <c r="F30" s="29"/>
      <c r="G30" s="29"/>
      <c r="H30" s="32"/>
      <c r="I30" s="29"/>
      <c r="J30" s="29"/>
      <c r="K30" s="29"/>
      <c r="L30" s="29"/>
      <c r="M30" s="29"/>
      <c r="N30" s="29"/>
      <c r="O30" s="29"/>
      <c r="P30" s="29"/>
      <c r="Q30" s="24" t="str">
        <f aca="false">IF(N30&lt;&gt;"",UPPER(TRIM(N30)),IF(P30&lt;&gt;"",UPPER(TRIM(P30)),""))</f>
        <v/>
      </c>
      <c r="R30" s="24" t="str">
        <f aca="false">IF(B30="","",IF(N30&lt;&gt;"","UTM tracked",IF(P30&lt;&gt;"","Manual / self-reported",IF(O30&lt;&gt;"","Self-reported channel only","Unattributed"))))</f>
        <v/>
      </c>
      <c r="S30" s="24" t="str">
        <f aca="false">IF(Q30="","",IFERROR(INDEX('Post Tracker'!$G$5:$G$1004,MATCH(Q30,'Post Tracker'!$A$5:$A$1004,0)),"ID NOT FOUND"))</f>
        <v/>
      </c>
      <c r="T30" s="24" t="str">
        <f aca="false">IF(Q30="","",IFERROR(INDEX('Post Tracker'!$K$5:$K$1004,MATCH(Q30,'Post Tracker'!$A$5:$A$1004,0))&amp;"",""))</f>
        <v/>
      </c>
      <c r="U30" s="33" t="str">
        <f aca="false">IF(OR(Q30="",B30=""),"",IFERROR(B30-INDEX('Post Tracker'!$B$5:$B$1004,MATCH(Q30,'Post Tracker'!$A$5:$A$1004,0)),""))</f>
        <v/>
      </c>
      <c r="V30" s="39"/>
      <c r="W30" s="29"/>
      <c r="X30" s="29"/>
      <c r="Y30" s="29"/>
      <c r="Z30" s="30"/>
      <c r="AA30" s="29"/>
      <c r="AB30" s="29"/>
    </row>
    <row r="31" customFormat="false" ht="15" hidden="false" customHeight="false" outlineLevel="0" collapsed="false">
      <c r="A31" s="41" t="str">
        <f aca="false">IF(B31="","",ROW()-4)</f>
        <v/>
      </c>
      <c r="B31" s="39"/>
      <c r="C31" s="29"/>
      <c r="D31" s="29"/>
      <c r="E31" s="29"/>
      <c r="F31" s="29"/>
      <c r="G31" s="29"/>
      <c r="H31" s="32"/>
      <c r="I31" s="29"/>
      <c r="J31" s="29"/>
      <c r="K31" s="29"/>
      <c r="L31" s="29"/>
      <c r="M31" s="29"/>
      <c r="N31" s="29"/>
      <c r="O31" s="29"/>
      <c r="P31" s="29"/>
      <c r="Q31" s="24" t="str">
        <f aca="false">IF(N31&lt;&gt;"",UPPER(TRIM(N31)),IF(P31&lt;&gt;"",UPPER(TRIM(P31)),""))</f>
        <v/>
      </c>
      <c r="R31" s="24" t="str">
        <f aca="false">IF(B31="","",IF(N31&lt;&gt;"","UTM tracked",IF(P31&lt;&gt;"","Manual / self-reported",IF(O31&lt;&gt;"","Self-reported channel only","Unattributed"))))</f>
        <v/>
      </c>
      <c r="S31" s="24" t="str">
        <f aca="false">IF(Q31="","",IFERROR(INDEX('Post Tracker'!$G$5:$G$1004,MATCH(Q31,'Post Tracker'!$A$5:$A$1004,0)),"ID NOT FOUND"))</f>
        <v/>
      </c>
      <c r="T31" s="24" t="str">
        <f aca="false">IF(Q31="","",IFERROR(INDEX('Post Tracker'!$K$5:$K$1004,MATCH(Q31,'Post Tracker'!$A$5:$A$1004,0))&amp;"",""))</f>
        <v/>
      </c>
      <c r="U31" s="33" t="str">
        <f aca="false">IF(OR(Q31="",B31=""),"",IFERROR(B31-INDEX('Post Tracker'!$B$5:$B$1004,MATCH(Q31,'Post Tracker'!$A$5:$A$1004,0)),""))</f>
        <v/>
      </c>
      <c r="V31" s="39"/>
      <c r="W31" s="29"/>
      <c r="X31" s="29"/>
      <c r="Y31" s="29"/>
      <c r="Z31" s="30"/>
      <c r="AA31" s="29"/>
      <c r="AB31" s="29"/>
    </row>
    <row r="32" customFormat="false" ht="15" hidden="false" customHeight="false" outlineLevel="0" collapsed="false">
      <c r="A32" s="41" t="str">
        <f aca="false">IF(B32="","",ROW()-4)</f>
        <v/>
      </c>
      <c r="B32" s="39"/>
      <c r="C32" s="29"/>
      <c r="D32" s="29"/>
      <c r="E32" s="29"/>
      <c r="F32" s="29"/>
      <c r="G32" s="29"/>
      <c r="H32" s="32"/>
      <c r="I32" s="29"/>
      <c r="J32" s="29"/>
      <c r="K32" s="29"/>
      <c r="L32" s="29"/>
      <c r="M32" s="29"/>
      <c r="N32" s="29"/>
      <c r="O32" s="29"/>
      <c r="P32" s="29"/>
      <c r="Q32" s="24" t="str">
        <f aca="false">IF(N32&lt;&gt;"",UPPER(TRIM(N32)),IF(P32&lt;&gt;"",UPPER(TRIM(P32)),""))</f>
        <v/>
      </c>
      <c r="R32" s="24" t="str">
        <f aca="false">IF(B32="","",IF(N32&lt;&gt;"","UTM tracked",IF(P32&lt;&gt;"","Manual / self-reported",IF(O32&lt;&gt;"","Self-reported channel only","Unattributed"))))</f>
        <v/>
      </c>
      <c r="S32" s="24" t="str">
        <f aca="false">IF(Q32="","",IFERROR(INDEX('Post Tracker'!$G$5:$G$1004,MATCH(Q32,'Post Tracker'!$A$5:$A$1004,0)),"ID NOT FOUND"))</f>
        <v/>
      </c>
      <c r="T32" s="24" t="str">
        <f aca="false">IF(Q32="","",IFERROR(INDEX('Post Tracker'!$K$5:$K$1004,MATCH(Q32,'Post Tracker'!$A$5:$A$1004,0))&amp;"",""))</f>
        <v/>
      </c>
      <c r="U32" s="33" t="str">
        <f aca="false">IF(OR(Q32="",B32=""),"",IFERROR(B32-INDEX('Post Tracker'!$B$5:$B$1004,MATCH(Q32,'Post Tracker'!$A$5:$A$1004,0)),""))</f>
        <v/>
      </c>
      <c r="V32" s="39"/>
      <c r="W32" s="29"/>
      <c r="X32" s="29"/>
      <c r="Y32" s="29"/>
      <c r="Z32" s="30"/>
      <c r="AA32" s="29"/>
      <c r="AB32" s="29"/>
    </row>
    <row r="33" customFormat="false" ht="15" hidden="false" customHeight="false" outlineLevel="0" collapsed="false">
      <c r="A33" s="41" t="str">
        <f aca="false">IF(B33="","",ROW()-4)</f>
        <v/>
      </c>
      <c r="B33" s="39"/>
      <c r="C33" s="29"/>
      <c r="D33" s="29"/>
      <c r="E33" s="29"/>
      <c r="F33" s="29"/>
      <c r="G33" s="29"/>
      <c r="H33" s="32"/>
      <c r="I33" s="29"/>
      <c r="J33" s="29"/>
      <c r="K33" s="29"/>
      <c r="L33" s="29"/>
      <c r="M33" s="29"/>
      <c r="N33" s="29"/>
      <c r="O33" s="29"/>
      <c r="P33" s="29"/>
      <c r="Q33" s="24" t="str">
        <f aca="false">IF(N33&lt;&gt;"",UPPER(TRIM(N33)),IF(P33&lt;&gt;"",UPPER(TRIM(P33)),""))</f>
        <v/>
      </c>
      <c r="R33" s="24" t="str">
        <f aca="false">IF(B33="","",IF(N33&lt;&gt;"","UTM tracked",IF(P33&lt;&gt;"","Manual / self-reported",IF(O33&lt;&gt;"","Self-reported channel only","Unattributed"))))</f>
        <v/>
      </c>
      <c r="S33" s="24" t="str">
        <f aca="false">IF(Q33="","",IFERROR(INDEX('Post Tracker'!$G$5:$G$1004,MATCH(Q33,'Post Tracker'!$A$5:$A$1004,0)),"ID NOT FOUND"))</f>
        <v/>
      </c>
      <c r="T33" s="24" t="str">
        <f aca="false">IF(Q33="","",IFERROR(INDEX('Post Tracker'!$K$5:$K$1004,MATCH(Q33,'Post Tracker'!$A$5:$A$1004,0))&amp;"",""))</f>
        <v/>
      </c>
      <c r="U33" s="33" t="str">
        <f aca="false">IF(OR(Q33="",B33=""),"",IFERROR(B33-INDEX('Post Tracker'!$B$5:$B$1004,MATCH(Q33,'Post Tracker'!$A$5:$A$1004,0)),""))</f>
        <v/>
      </c>
      <c r="V33" s="39"/>
      <c r="W33" s="29"/>
      <c r="X33" s="29"/>
      <c r="Y33" s="29"/>
      <c r="Z33" s="30"/>
      <c r="AA33" s="29"/>
      <c r="AB33" s="29"/>
    </row>
    <row r="34" customFormat="false" ht="15" hidden="false" customHeight="false" outlineLevel="0" collapsed="false">
      <c r="A34" s="41" t="str">
        <f aca="false">IF(B34="","",ROW()-4)</f>
        <v/>
      </c>
      <c r="B34" s="39"/>
      <c r="C34" s="29"/>
      <c r="D34" s="29"/>
      <c r="E34" s="29"/>
      <c r="F34" s="29"/>
      <c r="G34" s="29"/>
      <c r="H34" s="32"/>
      <c r="I34" s="29"/>
      <c r="J34" s="29"/>
      <c r="K34" s="29"/>
      <c r="L34" s="29"/>
      <c r="M34" s="29"/>
      <c r="N34" s="29"/>
      <c r="O34" s="29"/>
      <c r="P34" s="29"/>
      <c r="Q34" s="24" t="str">
        <f aca="false">IF(N34&lt;&gt;"",UPPER(TRIM(N34)),IF(P34&lt;&gt;"",UPPER(TRIM(P34)),""))</f>
        <v/>
      </c>
      <c r="R34" s="24" t="str">
        <f aca="false">IF(B34="","",IF(N34&lt;&gt;"","UTM tracked",IF(P34&lt;&gt;"","Manual / self-reported",IF(O34&lt;&gt;"","Self-reported channel only","Unattributed"))))</f>
        <v/>
      </c>
      <c r="S34" s="24" t="str">
        <f aca="false">IF(Q34="","",IFERROR(INDEX('Post Tracker'!$G$5:$G$1004,MATCH(Q34,'Post Tracker'!$A$5:$A$1004,0)),"ID NOT FOUND"))</f>
        <v/>
      </c>
      <c r="T34" s="24" t="str">
        <f aca="false">IF(Q34="","",IFERROR(INDEX('Post Tracker'!$K$5:$K$1004,MATCH(Q34,'Post Tracker'!$A$5:$A$1004,0))&amp;"",""))</f>
        <v/>
      </c>
      <c r="U34" s="33" t="str">
        <f aca="false">IF(OR(Q34="",B34=""),"",IFERROR(B34-INDEX('Post Tracker'!$B$5:$B$1004,MATCH(Q34,'Post Tracker'!$A$5:$A$1004,0)),""))</f>
        <v/>
      </c>
      <c r="V34" s="39"/>
      <c r="W34" s="29"/>
      <c r="X34" s="29"/>
      <c r="Y34" s="29"/>
      <c r="Z34" s="30"/>
      <c r="AA34" s="29"/>
      <c r="AB34" s="29"/>
    </row>
    <row r="35" customFormat="false" ht="15" hidden="false" customHeight="false" outlineLevel="0" collapsed="false">
      <c r="A35" s="41" t="str">
        <f aca="false">IF(B35="","",ROW()-4)</f>
        <v/>
      </c>
      <c r="B35" s="39"/>
      <c r="C35" s="29"/>
      <c r="D35" s="29"/>
      <c r="E35" s="29"/>
      <c r="F35" s="29"/>
      <c r="G35" s="29"/>
      <c r="H35" s="32"/>
      <c r="I35" s="29"/>
      <c r="J35" s="29"/>
      <c r="K35" s="29"/>
      <c r="L35" s="29"/>
      <c r="M35" s="29"/>
      <c r="N35" s="29"/>
      <c r="O35" s="29"/>
      <c r="P35" s="29"/>
      <c r="Q35" s="24" t="str">
        <f aca="false">IF(N35&lt;&gt;"",UPPER(TRIM(N35)),IF(P35&lt;&gt;"",UPPER(TRIM(P35)),""))</f>
        <v/>
      </c>
      <c r="R35" s="24" t="str">
        <f aca="false">IF(B35="","",IF(N35&lt;&gt;"","UTM tracked",IF(P35&lt;&gt;"","Manual / self-reported",IF(O35&lt;&gt;"","Self-reported channel only","Unattributed"))))</f>
        <v/>
      </c>
      <c r="S35" s="24" t="str">
        <f aca="false">IF(Q35="","",IFERROR(INDEX('Post Tracker'!$G$5:$G$1004,MATCH(Q35,'Post Tracker'!$A$5:$A$1004,0)),"ID NOT FOUND"))</f>
        <v/>
      </c>
      <c r="T35" s="24" t="str">
        <f aca="false">IF(Q35="","",IFERROR(INDEX('Post Tracker'!$K$5:$K$1004,MATCH(Q35,'Post Tracker'!$A$5:$A$1004,0))&amp;"",""))</f>
        <v/>
      </c>
      <c r="U35" s="33" t="str">
        <f aca="false">IF(OR(Q35="",B35=""),"",IFERROR(B35-INDEX('Post Tracker'!$B$5:$B$1004,MATCH(Q35,'Post Tracker'!$A$5:$A$1004,0)),""))</f>
        <v/>
      </c>
      <c r="V35" s="39"/>
      <c r="W35" s="29"/>
      <c r="X35" s="29"/>
      <c r="Y35" s="29"/>
      <c r="Z35" s="30"/>
      <c r="AA35" s="29"/>
      <c r="AB35" s="29"/>
    </row>
    <row r="36" customFormat="false" ht="15" hidden="false" customHeight="false" outlineLevel="0" collapsed="false">
      <c r="A36" s="41" t="str">
        <f aca="false">IF(B36="","",ROW()-4)</f>
        <v/>
      </c>
      <c r="B36" s="39"/>
      <c r="C36" s="29"/>
      <c r="D36" s="29"/>
      <c r="E36" s="29"/>
      <c r="F36" s="29"/>
      <c r="G36" s="29"/>
      <c r="H36" s="32"/>
      <c r="I36" s="29"/>
      <c r="J36" s="29"/>
      <c r="K36" s="29"/>
      <c r="L36" s="29"/>
      <c r="M36" s="29"/>
      <c r="N36" s="29"/>
      <c r="O36" s="29"/>
      <c r="P36" s="29"/>
      <c r="Q36" s="24" t="str">
        <f aca="false">IF(N36&lt;&gt;"",UPPER(TRIM(N36)),IF(P36&lt;&gt;"",UPPER(TRIM(P36)),""))</f>
        <v/>
      </c>
      <c r="R36" s="24" t="str">
        <f aca="false">IF(B36="","",IF(N36&lt;&gt;"","UTM tracked",IF(P36&lt;&gt;"","Manual / self-reported",IF(O36&lt;&gt;"","Self-reported channel only","Unattributed"))))</f>
        <v/>
      </c>
      <c r="S36" s="24" t="str">
        <f aca="false">IF(Q36="","",IFERROR(INDEX('Post Tracker'!$G$5:$G$1004,MATCH(Q36,'Post Tracker'!$A$5:$A$1004,0)),"ID NOT FOUND"))</f>
        <v/>
      </c>
      <c r="T36" s="24" t="str">
        <f aca="false">IF(Q36="","",IFERROR(INDEX('Post Tracker'!$K$5:$K$1004,MATCH(Q36,'Post Tracker'!$A$5:$A$1004,0))&amp;"",""))</f>
        <v/>
      </c>
      <c r="U36" s="33" t="str">
        <f aca="false">IF(OR(Q36="",B36=""),"",IFERROR(B36-INDEX('Post Tracker'!$B$5:$B$1004,MATCH(Q36,'Post Tracker'!$A$5:$A$1004,0)),""))</f>
        <v/>
      </c>
      <c r="V36" s="39"/>
      <c r="W36" s="29"/>
      <c r="X36" s="29"/>
      <c r="Y36" s="29"/>
      <c r="Z36" s="30"/>
      <c r="AA36" s="29"/>
      <c r="AB36" s="29"/>
    </row>
    <row r="37" customFormat="false" ht="15" hidden="false" customHeight="false" outlineLevel="0" collapsed="false">
      <c r="A37" s="41" t="str">
        <f aca="false">IF(B37="","",ROW()-4)</f>
        <v/>
      </c>
      <c r="B37" s="39"/>
      <c r="C37" s="29"/>
      <c r="D37" s="29"/>
      <c r="E37" s="29"/>
      <c r="F37" s="29"/>
      <c r="G37" s="29"/>
      <c r="H37" s="32"/>
      <c r="I37" s="29"/>
      <c r="J37" s="29"/>
      <c r="K37" s="29"/>
      <c r="L37" s="29"/>
      <c r="M37" s="29"/>
      <c r="N37" s="29"/>
      <c r="O37" s="29"/>
      <c r="P37" s="29"/>
      <c r="Q37" s="24" t="str">
        <f aca="false">IF(N37&lt;&gt;"",UPPER(TRIM(N37)),IF(P37&lt;&gt;"",UPPER(TRIM(P37)),""))</f>
        <v/>
      </c>
      <c r="R37" s="24" t="str">
        <f aca="false">IF(B37="","",IF(N37&lt;&gt;"","UTM tracked",IF(P37&lt;&gt;"","Manual / self-reported",IF(O37&lt;&gt;"","Self-reported channel only","Unattributed"))))</f>
        <v/>
      </c>
      <c r="S37" s="24" t="str">
        <f aca="false">IF(Q37="","",IFERROR(INDEX('Post Tracker'!$G$5:$G$1004,MATCH(Q37,'Post Tracker'!$A$5:$A$1004,0)),"ID NOT FOUND"))</f>
        <v/>
      </c>
      <c r="T37" s="24" t="str">
        <f aca="false">IF(Q37="","",IFERROR(INDEX('Post Tracker'!$K$5:$K$1004,MATCH(Q37,'Post Tracker'!$A$5:$A$1004,0))&amp;"",""))</f>
        <v/>
      </c>
      <c r="U37" s="33" t="str">
        <f aca="false">IF(OR(Q37="",B37=""),"",IFERROR(B37-INDEX('Post Tracker'!$B$5:$B$1004,MATCH(Q37,'Post Tracker'!$A$5:$A$1004,0)),""))</f>
        <v/>
      </c>
      <c r="V37" s="39"/>
      <c r="W37" s="29"/>
      <c r="X37" s="29"/>
      <c r="Y37" s="29"/>
      <c r="Z37" s="30"/>
      <c r="AA37" s="29"/>
      <c r="AB37" s="29"/>
    </row>
    <row r="38" customFormat="false" ht="15" hidden="false" customHeight="false" outlineLevel="0" collapsed="false">
      <c r="A38" s="41" t="str">
        <f aca="false">IF(B38="","",ROW()-4)</f>
        <v/>
      </c>
      <c r="B38" s="39"/>
      <c r="C38" s="29"/>
      <c r="D38" s="29"/>
      <c r="E38" s="29"/>
      <c r="F38" s="29"/>
      <c r="G38" s="29"/>
      <c r="H38" s="32"/>
      <c r="I38" s="29"/>
      <c r="J38" s="29"/>
      <c r="K38" s="29"/>
      <c r="L38" s="29"/>
      <c r="M38" s="29"/>
      <c r="N38" s="29"/>
      <c r="O38" s="29"/>
      <c r="P38" s="29"/>
      <c r="Q38" s="24" t="str">
        <f aca="false">IF(N38&lt;&gt;"",UPPER(TRIM(N38)),IF(P38&lt;&gt;"",UPPER(TRIM(P38)),""))</f>
        <v/>
      </c>
      <c r="R38" s="24" t="str">
        <f aca="false">IF(B38="","",IF(N38&lt;&gt;"","UTM tracked",IF(P38&lt;&gt;"","Manual / self-reported",IF(O38&lt;&gt;"","Self-reported channel only","Unattributed"))))</f>
        <v/>
      </c>
      <c r="S38" s="24" t="str">
        <f aca="false">IF(Q38="","",IFERROR(INDEX('Post Tracker'!$G$5:$G$1004,MATCH(Q38,'Post Tracker'!$A$5:$A$1004,0)),"ID NOT FOUND"))</f>
        <v/>
      </c>
      <c r="T38" s="24" t="str">
        <f aca="false">IF(Q38="","",IFERROR(INDEX('Post Tracker'!$K$5:$K$1004,MATCH(Q38,'Post Tracker'!$A$5:$A$1004,0))&amp;"",""))</f>
        <v/>
      </c>
      <c r="U38" s="33" t="str">
        <f aca="false">IF(OR(Q38="",B38=""),"",IFERROR(B38-INDEX('Post Tracker'!$B$5:$B$1004,MATCH(Q38,'Post Tracker'!$A$5:$A$1004,0)),""))</f>
        <v/>
      </c>
      <c r="V38" s="39"/>
      <c r="W38" s="29"/>
      <c r="X38" s="29"/>
      <c r="Y38" s="29"/>
      <c r="Z38" s="30"/>
      <c r="AA38" s="29"/>
      <c r="AB38" s="29"/>
    </row>
    <row r="39" customFormat="false" ht="15" hidden="false" customHeight="false" outlineLevel="0" collapsed="false">
      <c r="A39" s="41" t="str">
        <f aca="false">IF(B39="","",ROW()-4)</f>
        <v/>
      </c>
      <c r="B39" s="39"/>
      <c r="C39" s="29"/>
      <c r="D39" s="29"/>
      <c r="E39" s="29"/>
      <c r="F39" s="29"/>
      <c r="G39" s="29"/>
      <c r="H39" s="32"/>
      <c r="I39" s="29"/>
      <c r="J39" s="29"/>
      <c r="K39" s="29"/>
      <c r="L39" s="29"/>
      <c r="M39" s="29"/>
      <c r="N39" s="29"/>
      <c r="O39" s="29"/>
      <c r="P39" s="29"/>
      <c r="Q39" s="24" t="str">
        <f aca="false">IF(N39&lt;&gt;"",UPPER(TRIM(N39)),IF(P39&lt;&gt;"",UPPER(TRIM(P39)),""))</f>
        <v/>
      </c>
      <c r="R39" s="24" t="str">
        <f aca="false">IF(B39="","",IF(N39&lt;&gt;"","UTM tracked",IF(P39&lt;&gt;"","Manual / self-reported",IF(O39&lt;&gt;"","Self-reported channel only","Unattributed"))))</f>
        <v/>
      </c>
      <c r="S39" s="24" t="str">
        <f aca="false">IF(Q39="","",IFERROR(INDEX('Post Tracker'!$G$5:$G$1004,MATCH(Q39,'Post Tracker'!$A$5:$A$1004,0)),"ID NOT FOUND"))</f>
        <v/>
      </c>
      <c r="T39" s="24" t="str">
        <f aca="false">IF(Q39="","",IFERROR(INDEX('Post Tracker'!$K$5:$K$1004,MATCH(Q39,'Post Tracker'!$A$5:$A$1004,0))&amp;"",""))</f>
        <v/>
      </c>
      <c r="U39" s="33" t="str">
        <f aca="false">IF(OR(Q39="",B39=""),"",IFERROR(B39-INDEX('Post Tracker'!$B$5:$B$1004,MATCH(Q39,'Post Tracker'!$A$5:$A$1004,0)),""))</f>
        <v/>
      </c>
      <c r="V39" s="39"/>
      <c r="W39" s="29"/>
      <c r="X39" s="29"/>
      <c r="Y39" s="29"/>
      <c r="Z39" s="30"/>
      <c r="AA39" s="29"/>
      <c r="AB39" s="29"/>
    </row>
    <row r="40" customFormat="false" ht="15" hidden="false" customHeight="false" outlineLevel="0" collapsed="false">
      <c r="A40" s="41" t="str">
        <f aca="false">IF(B40="","",ROW()-4)</f>
        <v/>
      </c>
      <c r="B40" s="39"/>
      <c r="C40" s="29"/>
      <c r="D40" s="29"/>
      <c r="E40" s="29"/>
      <c r="F40" s="29"/>
      <c r="G40" s="29"/>
      <c r="H40" s="32"/>
      <c r="I40" s="29"/>
      <c r="J40" s="29"/>
      <c r="K40" s="29"/>
      <c r="L40" s="29"/>
      <c r="M40" s="29"/>
      <c r="N40" s="29"/>
      <c r="O40" s="29"/>
      <c r="P40" s="29"/>
      <c r="Q40" s="24" t="str">
        <f aca="false">IF(N40&lt;&gt;"",UPPER(TRIM(N40)),IF(P40&lt;&gt;"",UPPER(TRIM(P40)),""))</f>
        <v/>
      </c>
      <c r="R40" s="24" t="str">
        <f aca="false">IF(B40="","",IF(N40&lt;&gt;"","UTM tracked",IF(P40&lt;&gt;"","Manual / self-reported",IF(O40&lt;&gt;"","Self-reported channel only","Unattributed"))))</f>
        <v/>
      </c>
      <c r="S40" s="24" t="str">
        <f aca="false">IF(Q40="","",IFERROR(INDEX('Post Tracker'!$G$5:$G$1004,MATCH(Q40,'Post Tracker'!$A$5:$A$1004,0)),"ID NOT FOUND"))</f>
        <v/>
      </c>
      <c r="T40" s="24" t="str">
        <f aca="false">IF(Q40="","",IFERROR(INDEX('Post Tracker'!$K$5:$K$1004,MATCH(Q40,'Post Tracker'!$A$5:$A$1004,0))&amp;"",""))</f>
        <v/>
      </c>
      <c r="U40" s="33" t="str">
        <f aca="false">IF(OR(Q40="",B40=""),"",IFERROR(B40-INDEX('Post Tracker'!$B$5:$B$1004,MATCH(Q40,'Post Tracker'!$A$5:$A$1004,0)),""))</f>
        <v/>
      </c>
      <c r="V40" s="39"/>
      <c r="W40" s="29"/>
      <c r="X40" s="29"/>
      <c r="Y40" s="29"/>
      <c r="Z40" s="30"/>
      <c r="AA40" s="29"/>
      <c r="AB40" s="29"/>
    </row>
    <row r="41" customFormat="false" ht="15" hidden="false" customHeight="false" outlineLevel="0" collapsed="false">
      <c r="A41" s="41" t="str">
        <f aca="false">IF(B41="","",ROW()-4)</f>
        <v/>
      </c>
      <c r="B41" s="39"/>
      <c r="C41" s="29"/>
      <c r="D41" s="29"/>
      <c r="E41" s="29"/>
      <c r="F41" s="29"/>
      <c r="G41" s="29"/>
      <c r="H41" s="32"/>
      <c r="I41" s="29"/>
      <c r="J41" s="29"/>
      <c r="K41" s="29"/>
      <c r="L41" s="29"/>
      <c r="M41" s="29"/>
      <c r="N41" s="29"/>
      <c r="O41" s="29"/>
      <c r="P41" s="29"/>
      <c r="Q41" s="24" t="str">
        <f aca="false">IF(N41&lt;&gt;"",UPPER(TRIM(N41)),IF(P41&lt;&gt;"",UPPER(TRIM(P41)),""))</f>
        <v/>
      </c>
      <c r="R41" s="24" t="str">
        <f aca="false">IF(B41="","",IF(N41&lt;&gt;"","UTM tracked",IF(P41&lt;&gt;"","Manual / self-reported",IF(O41&lt;&gt;"","Self-reported channel only","Unattributed"))))</f>
        <v/>
      </c>
      <c r="S41" s="24" t="str">
        <f aca="false">IF(Q41="","",IFERROR(INDEX('Post Tracker'!$G$5:$G$1004,MATCH(Q41,'Post Tracker'!$A$5:$A$1004,0)),"ID NOT FOUND"))</f>
        <v/>
      </c>
      <c r="T41" s="24" t="str">
        <f aca="false">IF(Q41="","",IFERROR(INDEX('Post Tracker'!$K$5:$K$1004,MATCH(Q41,'Post Tracker'!$A$5:$A$1004,0))&amp;"",""))</f>
        <v/>
      </c>
      <c r="U41" s="33" t="str">
        <f aca="false">IF(OR(Q41="",B41=""),"",IFERROR(B41-INDEX('Post Tracker'!$B$5:$B$1004,MATCH(Q41,'Post Tracker'!$A$5:$A$1004,0)),""))</f>
        <v/>
      </c>
      <c r="V41" s="39"/>
      <c r="W41" s="29"/>
      <c r="X41" s="29"/>
      <c r="Y41" s="29"/>
      <c r="Z41" s="30"/>
      <c r="AA41" s="29"/>
      <c r="AB41" s="29"/>
    </row>
    <row r="42" customFormat="false" ht="15" hidden="false" customHeight="false" outlineLevel="0" collapsed="false">
      <c r="A42" s="41" t="str">
        <f aca="false">IF(B42="","",ROW()-4)</f>
        <v/>
      </c>
      <c r="B42" s="39"/>
      <c r="C42" s="29"/>
      <c r="D42" s="29"/>
      <c r="E42" s="29"/>
      <c r="F42" s="29"/>
      <c r="G42" s="29"/>
      <c r="H42" s="32"/>
      <c r="I42" s="29"/>
      <c r="J42" s="29"/>
      <c r="K42" s="29"/>
      <c r="L42" s="29"/>
      <c r="M42" s="29"/>
      <c r="N42" s="29"/>
      <c r="O42" s="29"/>
      <c r="P42" s="29"/>
      <c r="Q42" s="24" t="str">
        <f aca="false">IF(N42&lt;&gt;"",UPPER(TRIM(N42)),IF(P42&lt;&gt;"",UPPER(TRIM(P42)),""))</f>
        <v/>
      </c>
      <c r="R42" s="24" t="str">
        <f aca="false">IF(B42="","",IF(N42&lt;&gt;"","UTM tracked",IF(P42&lt;&gt;"","Manual / self-reported",IF(O42&lt;&gt;"","Self-reported channel only","Unattributed"))))</f>
        <v/>
      </c>
      <c r="S42" s="24" t="str">
        <f aca="false">IF(Q42="","",IFERROR(INDEX('Post Tracker'!$G$5:$G$1004,MATCH(Q42,'Post Tracker'!$A$5:$A$1004,0)),"ID NOT FOUND"))</f>
        <v/>
      </c>
      <c r="T42" s="24" t="str">
        <f aca="false">IF(Q42="","",IFERROR(INDEX('Post Tracker'!$K$5:$K$1004,MATCH(Q42,'Post Tracker'!$A$5:$A$1004,0))&amp;"",""))</f>
        <v/>
      </c>
      <c r="U42" s="33" t="str">
        <f aca="false">IF(OR(Q42="",B42=""),"",IFERROR(B42-INDEX('Post Tracker'!$B$5:$B$1004,MATCH(Q42,'Post Tracker'!$A$5:$A$1004,0)),""))</f>
        <v/>
      </c>
      <c r="V42" s="39"/>
      <c r="W42" s="29"/>
      <c r="X42" s="29"/>
      <c r="Y42" s="29"/>
      <c r="Z42" s="30"/>
      <c r="AA42" s="29"/>
      <c r="AB42" s="29"/>
    </row>
    <row r="43" customFormat="false" ht="15" hidden="false" customHeight="false" outlineLevel="0" collapsed="false">
      <c r="A43" s="41" t="str">
        <f aca="false">IF(B43="","",ROW()-4)</f>
        <v/>
      </c>
      <c r="B43" s="39"/>
      <c r="C43" s="29"/>
      <c r="D43" s="29"/>
      <c r="E43" s="29"/>
      <c r="F43" s="29"/>
      <c r="G43" s="29"/>
      <c r="H43" s="32"/>
      <c r="I43" s="29"/>
      <c r="J43" s="29"/>
      <c r="K43" s="29"/>
      <c r="L43" s="29"/>
      <c r="M43" s="29"/>
      <c r="N43" s="29"/>
      <c r="O43" s="29"/>
      <c r="P43" s="29"/>
      <c r="Q43" s="24" t="str">
        <f aca="false">IF(N43&lt;&gt;"",UPPER(TRIM(N43)),IF(P43&lt;&gt;"",UPPER(TRIM(P43)),""))</f>
        <v/>
      </c>
      <c r="R43" s="24" t="str">
        <f aca="false">IF(B43="","",IF(N43&lt;&gt;"","UTM tracked",IF(P43&lt;&gt;"","Manual / self-reported",IF(O43&lt;&gt;"","Self-reported channel only","Unattributed"))))</f>
        <v/>
      </c>
      <c r="S43" s="24" t="str">
        <f aca="false">IF(Q43="","",IFERROR(INDEX('Post Tracker'!$G$5:$G$1004,MATCH(Q43,'Post Tracker'!$A$5:$A$1004,0)),"ID NOT FOUND"))</f>
        <v/>
      </c>
      <c r="T43" s="24" t="str">
        <f aca="false">IF(Q43="","",IFERROR(INDEX('Post Tracker'!$K$5:$K$1004,MATCH(Q43,'Post Tracker'!$A$5:$A$1004,0))&amp;"",""))</f>
        <v/>
      </c>
      <c r="U43" s="33" t="str">
        <f aca="false">IF(OR(Q43="",B43=""),"",IFERROR(B43-INDEX('Post Tracker'!$B$5:$B$1004,MATCH(Q43,'Post Tracker'!$A$5:$A$1004,0)),""))</f>
        <v/>
      </c>
      <c r="V43" s="39"/>
      <c r="W43" s="29"/>
      <c r="X43" s="29"/>
      <c r="Y43" s="29"/>
      <c r="Z43" s="30"/>
      <c r="AA43" s="29"/>
      <c r="AB43" s="29"/>
    </row>
    <row r="44" customFormat="false" ht="15" hidden="false" customHeight="false" outlineLevel="0" collapsed="false">
      <c r="A44" s="41" t="str">
        <f aca="false">IF(B44="","",ROW()-4)</f>
        <v/>
      </c>
      <c r="B44" s="39"/>
      <c r="C44" s="29"/>
      <c r="D44" s="29"/>
      <c r="E44" s="29"/>
      <c r="F44" s="29"/>
      <c r="G44" s="29"/>
      <c r="H44" s="32"/>
      <c r="I44" s="29"/>
      <c r="J44" s="29"/>
      <c r="K44" s="29"/>
      <c r="L44" s="29"/>
      <c r="M44" s="29"/>
      <c r="N44" s="29"/>
      <c r="O44" s="29"/>
      <c r="P44" s="29"/>
      <c r="Q44" s="24" t="str">
        <f aca="false">IF(N44&lt;&gt;"",UPPER(TRIM(N44)),IF(P44&lt;&gt;"",UPPER(TRIM(P44)),""))</f>
        <v/>
      </c>
      <c r="R44" s="24" t="str">
        <f aca="false">IF(B44="","",IF(N44&lt;&gt;"","UTM tracked",IF(P44&lt;&gt;"","Manual / self-reported",IF(O44&lt;&gt;"","Self-reported channel only","Unattributed"))))</f>
        <v/>
      </c>
      <c r="S44" s="24" t="str">
        <f aca="false">IF(Q44="","",IFERROR(INDEX('Post Tracker'!$G$5:$G$1004,MATCH(Q44,'Post Tracker'!$A$5:$A$1004,0)),"ID NOT FOUND"))</f>
        <v/>
      </c>
      <c r="T44" s="24" t="str">
        <f aca="false">IF(Q44="","",IFERROR(INDEX('Post Tracker'!$K$5:$K$1004,MATCH(Q44,'Post Tracker'!$A$5:$A$1004,0))&amp;"",""))</f>
        <v/>
      </c>
      <c r="U44" s="33" t="str">
        <f aca="false">IF(OR(Q44="",B44=""),"",IFERROR(B44-INDEX('Post Tracker'!$B$5:$B$1004,MATCH(Q44,'Post Tracker'!$A$5:$A$1004,0)),""))</f>
        <v/>
      </c>
      <c r="V44" s="39"/>
      <c r="W44" s="29"/>
      <c r="X44" s="29"/>
      <c r="Y44" s="29"/>
      <c r="Z44" s="30"/>
      <c r="AA44" s="29"/>
      <c r="AB44" s="29"/>
    </row>
    <row r="45" customFormat="false" ht="15" hidden="false" customHeight="false" outlineLevel="0" collapsed="false">
      <c r="A45" s="41" t="str">
        <f aca="false">IF(B45="","",ROW()-4)</f>
        <v/>
      </c>
      <c r="B45" s="39"/>
      <c r="C45" s="29"/>
      <c r="D45" s="29"/>
      <c r="E45" s="29"/>
      <c r="F45" s="29"/>
      <c r="G45" s="29"/>
      <c r="H45" s="32"/>
      <c r="I45" s="29"/>
      <c r="J45" s="29"/>
      <c r="K45" s="29"/>
      <c r="L45" s="29"/>
      <c r="M45" s="29"/>
      <c r="N45" s="29"/>
      <c r="O45" s="29"/>
      <c r="P45" s="29"/>
      <c r="Q45" s="24" t="str">
        <f aca="false">IF(N45&lt;&gt;"",UPPER(TRIM(N45)),IF(P45&lt;&gt;"",UPPER(TRIM(P45)),""))</f>
        <v/>
      </c>
      <c r="R45" s="24" t="str">
        <f aca="false">IF(B45="","",IF(N45&lt;&gt;"","UTM tracked",IF(P45&lt;&gt;"","Manual / self-reported",IF(O45&lt;&gt;"","Self-reported channel only","Unattributed"))))</f>
        <v/>
      </c>
      <c r="S45" s="24" t="str">
        <f aca="false">IF(Q45="","",IFERROR(INDEX('Post Tracker'!$G$5:$G$1004,MATCH(Q45,'Post Tracker'!$A$5:$A$1004,0)),"ID NOT FOUND"))</f>
        <v/>
      </c>
      <c r="T45" s="24" t="str">
        <f aca="false">IF(Q45="","",IFERROR(INDEX('Post Tracker'!$K$5:$K$1004,MATCH(Q45,'Post Tracker'!$A$5:$A$1004,0))&amp;"",""))</f>
        <v/>
      </c>
      <c r="U45" s="33" t="str">
        <f aca="false">IF(OR(Q45="",B45=""),"",IFERROR(B45-INDEX('Post Tracker'!$B$5:$B$1004,MATCH(Q45,'Post Tracker'!$A$5:$A$1004,0)),""))</f>
        <v/>
      </c>
      <c r="V45" s="39"/>
      <c r="W45" s="29"/>
      <c r="X45" s="29"/>
      <c r="Y45" s="29"/>
      <c r="Z45" s="30"/>
      <c r="AA45" s="29"/>
      <c r="AB45" s="29"/>
    </row>
    <row r="46" customFormat="false" ht="15" hidden="false" customHeight="false" outlineLevel="0" collapsed="false">
      <c r="A46" s="41" t="str">
        <f aca="false">IF(B46="","",ROW()-4)</f>
        <v/>
      </c>
      <c r="B46" s="39"/>
      <c r="C46" s="29"/>
      <c r="D46" s="29"/>
      <c r="E46" s="29"/>
      <c r="F46" s="29"/>
      <c r="G46" s="29"/>
      <c r="H46" s="32"/>
      <c r="I46" s="29"/>
      <c r="J46" s="29"/>
      <c r="K46" s="29"/>
      <c r="L46" s="29"/>
      <c r="M46" s="29"/>
      <c r="N46" s="29"/>
      <c r="O46" s="29"/>
      <c r="P46" s="29"/>
      <c r="Q46" s="24" t="str">
        <f aca="false">IF(N46&lt;&gt;"",UPPER(TRIM(N46)),IF(P46&lt;&gt;"",UPPER(TRIM(P46)),""))</f>
        <v/>
      </c>
      <c r="R46" s="24" t="str">
        <f aca="false">IF(B46="","",IF(N46&lt;&gt;"","UTM tracked",IF(P46&lt;&gt;"","Manual / self-reported",IF(O46&lt;&gt;"","Self-reported channel only","Unattributed"))))</f>
        <v/>
      </c>
      <c r="S46" s="24" t="str">
        <f aca="false">IF(Q46="","",IFERROR(INDEX('Post Tracker'!$G$5:$G$1004,MATCH(Q46,'Post Tracker'!$A$5:$A$1004,0)),"ID NOT FOUND"))</f>
        <v/>
      </c>
      <c r="T46" s="24" t="str">
        <f aca="false">IF(Q46="","",IFERROR(INDEX('Post Tracker'!$K$5:$K$1004,MATCH(Q46,'Post Tracker'!$A$5:$A$1004,0))&amp;"",""))</f>
        <v/>
      </c>
      <c r="U46" s="33" t="str">
        <f aca="false">IF(OR(Q46="",B46=""),"",IFERROR(B46-INDEX('Post Tracker'!$B$5:$B$1004,MATCH(Q46,'Post Tracker'!$A$5:$A$1004,0)),""))</f>
        <v/>
      </c>
      <c r="V46" s="39"/>
      <c r="W46" s="29"/>
      <c r="X46" s="29"/>
      <c r="Y46" s="29"/>
      <c r="Z46" s="30"/>
      <c r="AA46" s="29"/>
      <c r="AB46" s="29"/>
    </row>
    <row r="47" customFormat="false" ht="15" hidden="false" customHeight="false" outlineLevel="0" collapsed="false">
      <c r="A47" s="41" t="str">
        <f aca="false">IF(B47="","",ROW()-4)</f>
        <v/>
      </c>
      <c r="B47" s="39"/>
      <c r="C47" s="29"/>
      <c r="D47" s="29"/>
      <c r="E47" s="29"/>
      <c r="F47" s="29"/>
      <c r="G47" s="29"/>
      <c r="H47" s="32"/>
      <c r="I47" s="29"/>
      <c r="J47" s="29"/>
      <c r="K47" s="29"/>
      <c r="L47" s="29"/>
      <c r="M47" s="29"/>
      <c r="N47" s="29"/>
      <c r="O47" s="29"/>
      <c r="P47" s="29"/>
      <c r="Q47" s="24" t="str">
        <f aca="false">IF(N47&lt;&gt;"",UPPER(TRIM(N47)),IF(P47&lt;&gt;"",UPPER(TRIM(P47)),""))</f>
        <v/>
      </c>
      <c r="R47" s="24" t="str">
        <f aca="false">IF(B47="","",IF(N47&lt;&gt;"","UTM tracked",IF(P47&lt;&gt;"","Manual / self-reported",IF(O47&lt;&gt;"","Self-reported channel only","Unattributed"))))</f>
        <v/>
      </c>
      <c r="S47" s="24" t="str">
        <f aca="false">IF(Q47="","",IFERROR(INDEX('Post Tracker'!$G$5:$G$1004,MATCH(Q47,'Post Tracker'!$A$5:$A$1004,0)),"ID NOT FOUND"))</f>
        <v/>
      </c>
      <c r="T47" s="24" t="str">
        <f aca="false">IF(Q47="","",IFERROR(INDEX('Post Tracker'!$K$5:$K$1004,MATCH(Q47,'Post Tracker'!$A$5:$A$1004,0))&amp;"",""))</f>
        <v/>
      </c>
      <c r="U47" s="33" t="str">
        <f aca="false">IF(OR(Q47="",B47=""),"",IFERROR(B47-INDEX('Post Tracker'!$B$5:$B$1004,MATCH(Q47,'Post Tracker'!$A$5:$A$1004,0)),""))</f>
        <v/>
      </c>
      <c r="V47" s="39"/>
      <c r="W47" s="29"/>
      <c r="X47" s="29"/>
      <c r="Y47" s="29"/>
      <c r="Z47" s="30"/>
      <c r="AA47" s="29"/>
      <c r="AB47" s="29"/>
    </row>
    <row r="48" customFormat="false" ht="15" hidden="false" customHeight="false" outlineLevel="0" collapsed="false">
      <c r="A48" s="41" t="str">
        <f aca="false">IF(B48="","",ROW()-4)</f>
        <v/>
      </c>
      <c r="B48" s="39"/>
      <c r="C48" s="29"/>
      <c r="D48" s="29"/>
      <c r="E48" s="29"/>
      <c r="F48" s="29"/>
      <c r="G48" s="29"/>
      <c r="H48" s="32"/>
      <c r="I48" s="29"/>
      <c r="J48" s="29"/>
      <c r="K48" s="29"/>
      <c r="L48" s="29"/>
      <c r="M48" s="29"/>
      <c r="N48" s="29"/>
      <c r="O48" s="29"/>
      <c r="P48" s="29"/>
      <c r="Q48" s="24" t="str">
        <f aca="false">IF(N48&lt;&gt;"",UPPER(TRIM(N48)),IF(P48&lt;&gt;"",UPPER(TRIM(P48)),""))</f>
        <v/>
      </c>
      <c r="R48" s="24" t="str">
        <f aca="false">IF(B48="","",IF(N48&lt;&gt;"","UTM tracked",IF(P48&lt;&gt;"","Manual / self-reported",IF(O48&lt;&gt;"","Self-reported channel only","Unattributed"))))</f>
        <v/>
      </c>
      <c r="S48" s="24" t="str">
        <f aca="false">IF(Q48="","",IFERROR(INDEX('Post Tracker'!$G$5:$G$1004,MATCH(Q48,'Post Tracker'!$A$5:$A$1004,0)),"ID NOT FOUND"))</f>
        <v/>
      </c>
      <c r="T48" s="24" t="str">
        <f aca="false">IF(Q48="","",IFERROR(INDEX('Post Tracker'!$K$5:$K$1004,MATCH(Q48,'Post Tracker'!$A$5:$A$1004,0))&amp;"",""))</f>
        <v/>
      </c>
      <c r="U48" s="33" t="str">
        <f aca="false">IF(OR(Q48="",B48=""),"",IFERROR(B48-INDEX('Post Tracker'!$B$5:$B$1004,MATCH(Q48,'Post Tracker'!$A$5:$A$1004,0)),""))</f>
        <v/>
      </c>
      <c r="V48" s="39"/>
      <c r="W48" s="29"/>
      <c r="X48" s="29"/>
      <c r="Y48" s="29"/>
      <c r="Z48" s="30"/>
      <c r="AA48" s="29"/>
      <c r="AB48" s="29"/>
    </row>
    <row r="49" customFormat="false" ht="15" hidden="false" customHeight="false" outlineLevel="0" collapsed="false">
      <c r="A49" s="41" t="str">
        <f aca="false">IF(B49="","",ROW()-4)</f>
        <v/>
      </c>
      <c r="B49" s="39"/>
      <c r="C49" s="29"/>
      <c r="D49" s="29"/>
      <c r="E49" s="29"/>
      <c r="F49" s="29"/>
      <c r="G49" s="29"/>
      <c r="H49" s="32"/>
      <c r="I49" s="29"/>
      <c r="J49" s="29"/>
      <c r="K49" s="29"/>
      <c r="L49" s="29"/>
      <c r="M49" s="29"/>
      <c r="N49" s="29"/>
      <c r="O49" s="29"/>
      <c r="P49" s="29"/>
      <c r="Q49" s="24" t="str">
        <f aca="false">IF(N49&lt;&gt;"",UPPER(TRIM(N49)),IF(P49&lt;&gt;"",UPPER(TRIM(P49)),""))</f>
        <v/>
      </c>
      <c r="R49" s="24" t="str">
        <f aca="false">IF(B49="","",IF(N49&lt;&gt;"","UTM tracked",IF(P49&lt;&gt;"","Manual / self-reported",IF(O49&lt;&gt;"","Self-reported channel only","Unattributed"))))</f>
        <v/>
      </c>
      <c r="S49" s="24" t="str">
        <f aca="false">IF(Q49="","",IFERROR(INDEX('Post Tracker'!$G$5:$G$1004,MATCH(Q49,'Post Tracker'!$A$5:$A$1004,0)),"ID NOT FOUND"))</f>
        <v/>
      </c>
      <c r="T49" s="24" t="str">
        <f aca="false">IF(Q49="","",IFERROR(INDEX('Post Tracker'!$K$5:$K$1004,MATCH(Q49,'Post Tracker'!$A$5:$A$1004,0))&amp;"",""))</f>
        <v/>
      </c>
      <c r="U49" s="33" t="str">
        <f aca="false">IF(OR(Q49="",B49=""),"",IFERROR(B49-INDEX('Post Tracker'!$B$5:$B$1004,MATCH(Q49,'Post Tracker'!$A$5:$A$1004,0)),""))</f>
        <v/>
      </c>
      <c r="V49" s="39"/>
      <c r="W49" s="29"/>
      <c r="X49" s="29"/>
      <c r="Y49" s="29"/>
      <c r="Z49" s="30"/>
      <c r="AA49" s="29"/>
      <c r="AB49" s="29"/>
    </row>
    <row r="50" customFormat="false" ht="15" hidden="false" customHeight="false" outlineLevel="0" collapsed="false">
      <c r="A50" s="41" t="str">
        <f aca="false">IF(B50="","",ROW()-4)</f>
        <v/>
      </c>
      <c r="B50" s="39"/>
      <c r="C50" s="29"/>
      <c r="D50" s="29"/>
      <c r="E50" s="29"/>
      <c r="F50" s="29"/>
      <c r="G50" s="29"/>
      <c r="H50" s="32"/>
      <c r="I50" s="29"/>
      <c r="J50" s="29"/>
      <c r="K50" s="29"/>
      <c r="L50" s="29"/>
      <c r="M50" s="29"/>
      <c r="N50" s="29"/>
      <c r="O50" s="29"/>
      <c r="P50" s="29"/>
      <c r="Q50" s="24" t="str">
        <f aca="false">IF(N50&lt;&gt;"",UPPER(TRIM(N50)),IF(P50&lt;&gt;"",UPPER(TRIM(P50)),""))</f>
        <v/>
      </c>
      <c r="R50" s="24" t="str">
        <f aca="false">IF(B50="","",IF(N50&lt;&gt;"","UTM tracked",IF(P50&lt;&gt;"","Manual / self-reported",IF(O50&lt;&gt;"","Self-reported channel only","Unattributed"))))</f>
        <v/>
      </c>
      <c r="S50" s="24" t="str">
        <f aca="false">IF(Q50="","",IFERROR(INDEX('Post Tracker'!$G$5:$G$1004,MATCH(Q50,'Post Tracker'!$A$5:$A$1004,0)),"ID NOT FOUND"))</f>
        <v/>
      </c>
      <c r="T50" s="24" t="str">
        <f aca="false">IF(Q50="","",IFERROR(INDEX('Post Tracker'!$K$5:$K$1004,MATCH(Q50,'Post Tracker'!$A$5:$A$1004,0))&amp;"",""))</f>
        <v/>
      </c>
      <c r="U50" s="33" t="str">
        <f aca="false">IF(OR(Q50="",B50=""),"",IFERROR(B50-INDEX('Post Tracker'!$B$5:$B$1004,MATCH(Q50,'Post Tracker'!$A$5:$A$1004,0)),""))</f>
        <v/>
      </c>
      <c r="V50" s="39"/>
      <c r="W50" s="29"/>
      <c r="X50" s="29"/>
      <c r="Y50" s="29"/>
      <c r="Z50" s="30"/>
      <c r="AA50" s="29"/>
      <c r="AB50" s="29"/>
    </row>
    <row r="51" customFormat="false" ht="15" hidden="false" customHeight="false" outlineLevel="0" collapsed="false">
      <c r="A51" s="41" t="str">
        <f aca="false">IF(B51="","",ROW()-4)</f>
        <v/>
      </c>
      <c r="B51" s="39"/>
      <c r="C51" s="29"/>
      <c r="D51" s="29"/>
      <c r="E51" s="29"/>
      <c r="F51" s="29"/>
      <c r="G51" s="29"/>
      <c r="H51" s="32"/>
      <c r="I51" s="29"/>
      <c r="J51" s="29"/>
      <c r="K51" s="29"/>
      <c r="L51" s="29"/>
      <c r="M51" s="29"/>
      <c r="N51" s="29"/>
      <c r="O51" s="29"/>
      <c r="P51" s="29"/>
      <c r="Q51" s="24" t="str">
        <f aca="false">IF(N51&lt;&gt;"",UPPER(TRIM(N51)),IF(P51&lt;&gt;"",UPPER(TRIM(P51)),""))</f>
        <v/>
      </c>
      <c r="R51" s="24" t="str">
        <f aca="false">IF(B51="","",IF(N51&lt;&gt;"","UTM tracked",IF(P51&lt;&gt;"","Manual / self-reported",IF(O51&lt;&gt;"","Self-reported channel only","Unattributed"))))</f>
        <v/>
      </c>
      <c r="S51" s="24" t="str">
        <f aca="false">IF(Q51="","",IFERROR(INDEX('Post Tracker'!$G$5:$G$1004,MATCH(Q51,'Post Tracker'!$A$5:$A$1004,0)),"ID NOT FOUND"))</f>
        <v/>
      </c>
      <c r="T51" s="24" t="str">
        <f aca="false">IF(Q51="","",IFERROR(INDEX('Post Tracker'!$K$5:$K$1004,MATCH(Q51,'Post Tracker'!$A$5:$A$1004,0))&amp;"",""))</f>
        <v/>
      </c>
      <c r="U51" s="33" t="str">
        <f aca="false">IF(OR(Q51="",B51=""),"",IFERROR(B51-INDEX('Post Tracker'!$B$5:$B$1004,MATCH(Q51,'Post Tracker'!$A$5:$A$1004,0)),""))</f>
        <v/>
      </c>
      <c r="V51" s="39"/>
      <c r="W51" s="29"/>
      <c r="X51" s="29"/>
      <c r="Y51" s="29"/>
      <c r="Z51" s="30"/>
      <c r="AA51" s="29"/>
      <c r="AB51" s="29"/>
    </row>
    <row r="52" customFormat="false" ht="15" hidden="false" customHeight="false" outlineLevel="0" collapsed="false">
      <c r="A52" s="41" t="str">
        <f aca="false">IF(B52="","",ROW()-4)</f>
        <v/>
      </c>
      <c r="B52" s="39"/>
      <c r="C52" s="29"/>
      <c r="D52" s="29"/>
      <c r="E52" s="29"/>
      <c r="F52" s="29"/>
      <c r="G52" s="29"/>
      <c r="H52" s="32"/>
      <c r="I52" s="29"/>
      <c r="J52" s="29"/>
      <c r="K52" s="29"/>
      <c r="L52" s="29"/>
      <c r="M52" s="29"/>
      <c r="N52" s="29"/>
      <c r="O52" s="29"/>
      <c r="P52" s="29"/>
      <c r="Q52" s="24" t="str">
        <f aca="false">IF(N52&lt;&gt;"",UPPER(TRIM(N52)),IF(P52&lt;&gt;"",UPPER(TRIM(P52)),""))</f>
        <v/>
      </c>
      <c r="R52" s="24" t="str">
        <f aca="false">IF(B52="","",IF(N52&lt;&gt;"","UTM tracked",IF(P52&lt;&gt;"","Manual / self-reported",IF(O52&lt;&gt;"","Self-reported channel only","Unattributed"))))</f>
        <v/>
      </c>
      <c r="S52" s="24" t="str">
        <f aca="false">IF(Q52="","",IFERROR(INDEX('Post Tracker'!$G$5:$G$1004,MATCH(Q52,'Post Tracker'!$A$5:$A$1004,0)),"ID NOT FOUND"))</f>
        <v/>
      </c>
      <c r="T52" s="24" t="str">
        <f aca="false">IF(Q52="","",IFERROR(INDEX('Post Tracker'!$K$5:$K$1004,MATCH(Q52,'Post Tracker'!$A$5:$A$1004,0))&amp;"",""))</f>
        <v/>
      </c>
      <c r="U52" s="33" t="str">
        <f aca="false">IF(OR(Q52="",B52=""),"",IFERROR(B52-INDEX('Post Tracker'!$B$5:$B$1004,MATCH(Q52,'Post Tracker'!$A$5:$A$1004,0)),""))</f>
        <v/>
      </c>
      <c r="V52" s="39"/>
      <c r="W52" s="29"/>
      <c r="X52" s="29"/>
      <c r="Y52" s="29"/>
      <c r="Z52" s="30"/>
      <c r="AA52" s="29"/>
      <c r="AB52" s="29"/>
    </row>
    <row r="53" customFormat="false" ht="15" hidden="false" customHeight="false" outlineLevel="0" collapsed="false">
      <c r="A53" s="41" t="str">
        <f aca="false">IF(B53="","",ROW()-4)</f>
        <v/>
      </c>
      <c r="B53" s="39"/>
      <c r="C53" s="29"/>
      <c r="D53" s="29"/>
      <c r="E53" s="29"/>
      <c r="F53" s="29"/>
      <c r="G53" s="29"/>
      <c r="H53" s="32"/>
      <c r="I53" s="29"/>
      <c r="J53" s="29"/>
      <c r="K53" s="29"/>
      <c r="L53" s="29"/>
      <c r="M53" s="29"/>
      <c r="N53" s="29"/>
      <c r="O53" s="29"/>
      <c r="P53" s="29"/>
      <c r="Q53" s="24" t="str">
        <f aca="false">IF(N53&lt;&gt;"",UPPER(TRIM(N53)),IF(P53&lt;&gt;"",UPPER(TRIM(P53)),""))</f>
        <v/>
      </c>
      <c r="R53" s="24" t="str">
        <f aca="false">IF(B53="","",IF(N53&lt;&gt;"","UTM tracked",IF(P53&lt;&gt;"","Manual / self-reported",IF(O53&lt;&gt;"","Self-reported channel only","Unattributed"))))</f>
        <v/>
      </c>
      <c r="S53" s="24" t="str">
        <f aca="false">IF(Q53="","",IFERROR(INDEX('Post Tracker'!$G$5:$G$1004,MATCH(Q53,'Post Tracker'!$A$5:$A$1004,0)),"ID NOT FOUND"))</f>
        <v/>
      </c>
      <c r="T53" s="24" t="str">
        <f aca="false">IF(Q53="","",IFERROR(INDEX('Post Tracker'!$K$5:$K$1004,MATCH(Q53,'Post Tracker'!$A$5:$A$1004,0))&amp;"",""))</f>
        <v/>
      </c>
      <c r="U53" s="33" t="str">
        <f aca="false">IF(OR(Q53="",B53=""),"",IFERROR(B53-INDEX('Post Tracker'!$B$5:$B$1004,MATCH(Q53,'Post Tracker'!$A$5:$A$1004,0)),""))</f>
        <v/>
      </c>
      <c r="V53" s="39"/>
      <c r="W53" s="29"/>
      <c r="X53" s="29"/>
      <c r="Y53" s="29"/>
      <c r="Z53" s="30"/>
      <c r="AA53" s="29"/>
      <c r="AB53" s="29"/>
    </row>
    <row r="54" customFormat="false" ht="15" hidden="false" customHeight="false" outlineLevel="0" collapsed="false">
      <c r="A54" s="41" t="str">
        <f aca="false">IF(B54="","",ROW()-4)</f>
        <v/>
      </c>
      <c r="B54" s="39"/>
      <c r="C54" s="29"/>
      <c r="D54" s="29"/>
      <c r="E54" s="29"/>
      <c r="F54" s="29"/>
      <c r="G54" s="29"/>
      <c r="H54" s="32"/>
      <c r="I54" s="29"/>
      <c r="J54" s="29"/>
      <c r="K54" s="29"/>
      <c r="L54" s="29"/>
      <c r="M54" s="29"/>
      <c r="N54" s="29"/>
      <c r="O54" s="29"/>
      <c r="P54" s="29"/>
      <c r="Q54" s="24" t="str">
        <f aca="false">IF(N54&lt;&gt;"",UPPER(TRIM(N54)),IF(P54&lt;&gt;"",UPPER(TRIM(P54)),""))</f>
        <v/>
      </c>
      <c r="R54" s="24" t="str">
        <f aca="false">IF(B54="","",IF(N54&lt;&gt;"","UTM tracked",IF(P54&lt;&gt;"","Manual / self-reported",IF(O54&lt;&gt;"","Self-reported channel only","Unattributed"))))</f>
        <v/>
      </c>
      <c r="S54" s="24" t="str">
        <f aca="false">IF(Q54="","",IFERROR(INDEX('Post Tracker'!$G$5:$G$1004,MATCH(Q54,'Post Tracker'!$A$5:$A$1004,0)),"ID NOT FOUND"))</f>
        <v/>
      </c>
      <c r="T54" s="24" t="str">
        <f aca="false">IF(Q54="","",IFERROR(INDEX('Post Tracker'!$K$5:$K$1004,MATCH(Q54,'Post Tracker'!$A$5:$A$1004,0))&amp;"",""))</f>
        <v/>
      </c>
      <c r="U54" s="33" t="str">
        <f aca="false">IF(OR(Q54="",B54=""),"",IFERROR(B54-INDEX('Post Tracker'!$B$5:$B$1004,MATCH(Q54,'Post Tracker'!$A$5:$A$1004,0)),""))</f>
        <v/>
      </c>
      <c r="V54" s="39"/>
      <c r="W54" s="29"/>
      <c r="X54" s="29"/>
      <c r="Y54" s="29"/>
      <c r="Z54" s="30"/>
      <c r="AA54" s="29"/>
      <c r="AB54" s="29"/>
    </row>
    <row r="55" customFormat="false" ht="15" hidden="false" customHeight="false" outlineLevel="0" collapsed="false">
      <c r="A55" s="41" t="str">
        <f aca="false">IF(B55="","",ROW()-4)</f>
        <v/>
      </c>
      <c r="B55" s="39"/>
      <c r="C55" s="29"/>
      <c r="D55" s="29"/>
      <c r="E55" s="29"/>
      <c r="F55" s="29"/>
      <c r="G55" s="29"/>
      <c r="H55" s="32"/>
      <c r="I55" s="29"/>
      <c r="J55" s="29"/>
      <c r="K55" s="29"/>
      <c r="L55" s="29"/>
      <c r="M55" s="29"/>
      <c r="N55" s="29"/>
      <c r="O55" s="29"/>
      <c r="P55" s="29"/>
      <c r="Q55" s="24" t="str">
        <f aca="false">IF(N55&lt;&gt;"",UPPER(TRIM(N55)),IF(P55&lt;&gt;"",UPPER(TRIM(P55)),""))</f>
        <v/>
      </c>
      <c r="R55" s="24" t="str">
        <f aca="false">IF(B55="","",IF(N55&lt;&gt;"","UTM tracked",IF(P55&lt;&gt;"","Manual / self-reported",IF(O55&lt;&gt;"","Self-reported channel only","Unattributed"))))</f>
        <v/>
      </c>
      <c r="S55" s="24" t="str">
        <f aca="false">IF(Q55="","",IFERROR(INDEX('Post Tracker'!$G$5:$G$1004,MATCH(Q55,'Post Tracker'!$A$5:$A$1004,0)),"ID NOT FOUND"))</f>
        <v/>
      </c>
      <c r="T55" s="24" t="str">
        <f aca="false">IF(Q55="","",IFERROR(INDEX('Post Tracker'!$K$5:$K$1004,MATCH(Q55,'Post Tracker'!$A$5:$A$1004,0))&amp;"",""))</f>
        <v/>
      </c>
      <c r="U55" s="33" t="str">
        <f aca="false">IF(OR(Q55="",B55=""),"",IFERROR(B55-INDEX('Post Tracker'!$B$5:$B$1004,MATCH(Q55,'Post Tracker'!$A$5:$A$1004,0)),""))</f>
        <v/>
      </c>
      <c r="V55" s="39"/>
      <c r="W55" s="29"/>
      <c r="X55" s="29"/>
      <c r="Y55" s="29"/>
      <c r="Z55" s="30"/>
      <c r="AA55" s="29"/>
      <c r="AB55" s="29"/>
    </row>
    <row r="56" customFormat="false" ht="15" hidden="false" customHeight="false" outlineLevel="0" collapsed="false">
      <c r="A56" s="41" t="str">
        <f aca="false">IF(B56="","",ROW()-4)</f>
        <v/>
      </c>
      <c r="B56" s="39"/>
      <c r="C56" s="29"/>
      <c r="D56" s="29"/>
      <c r="E56" s="29"/>
      <c r="F56" s="29"/>
      <c r="G56" s="29"/>
      <c r="H56" s="32"/>
      <c r="I56" s="29"/>
      <c r="J56" s="29"/>
      <c r="K56" s="29"/>
      <c r="L56" s="29"/>
      <c r="M56" s="29"/>
      <c r="N56" s="29"/>
      <c r="O56" s="29"/>
      <c r="P56" s="29"/>
      <c r="Q56" s="24" t="str">
        <f aca="false">IF(N56&lt;&gt;"",UPPER(TRIM(N56)),IF(P56&lt;&gt;"",UPPER(TRIM(P56)),""))</f>
        <v/>
      </c>
      <c r="R56" s="24" t="str">
        <f aca="false">IF(B56="","",IF(N56&lt;&gt;"","UTM tracked",IF(P56&lt;&gt;"","Manual / self-reported",IF(O56&lt;&gt;"","Self-reported channel only","Unattributed"))))</f>
        <v/>
      </c>
      <c r="S56" s="24" t="str">
        <f aca="false">IF(Q56="","",IFERROR(INDEX('Post Tracker'!$G$5:$G$1004,MATCH(Q56,'Post Tracker'!$A$5:$A$1004,0)),"ID NOT FOUND"))</f>
        <v/>
      </c>
      <c r="T56" s="24" t="str">
        <f aca="false">IF(Q56="","",IFERROR(INDEX('Post Tracker'!$K$5:$K$1004,MATCH(Q56,'Post Tracker'!$A$5:$A$1004,0))&amp;"",""))</f>
        <v/>
      </c>
      <c r="U56" s="33" t="str">
        <f aca="false">IF(OR(Q56="",B56=""),"",IFERROR(B56-INDEX('Post Tracker'!$B$5:$B$1004,MATCH(Q56,'Post Tracker'!$A$5:$A$1004,0)),""))</f>
        <v/>
      </c>
      <c r="V56" s="39"/>
      <c r="W56" s="29"/>
      <c r="X56" s="29"/>
      <c r="Y56" s="29"/>
      <c r="Z56" s="30"/>
      <c r="AA56" s="29"/>
      <c r="AB56" s="29"/>
    </row>
    <row r="57" customFormat="false" ht="15" hidden="false" customHeight="false" outlineLevel="0" collapsed="false">
      <c r="A57" s="41" t="str">
        <f aca="false">IF(B57="","",ROW()-4)</f>
        <v/>
      </c>
      <c r="B57" s="39"/>
      <c r="C57" s="29"/>
      <c r="D57" s="29"/>
      <c r="E57" s="29"/>
      <c r="F57" s="29"/>
      <c r="G57" s="29"/>
      <c r="H57" s="32"/>
      <c r="I57" s="29"/>
      <c r="J57" s="29"/>
      <c r="K57" s="29"/>
      <c r="L57" s="29"/>
      <c r="M57" s="29"/>
      <c r="N57" s="29"/>
      <c r="O57" s="29"/>
      <c r="P57" s="29"/>
      <c r="Q57" s="24" t="str">
        <f aca="false">IF(N57&lt;&gt;"",UPPER(TRIM(N57)),IF(P57&lt;&gt;"",UPPER(TRIM(P57)),""))</f>
        <v/>
      </c>
      <c r="R57" s="24" t="str">
        <f aca="false">IF(B57="","",IF(N57&lt;&gt;"","UTM tracked",IF(P57&lt;&gt;"","Manual / self-reported",IF(O57&lt;&gt;"","Self-reported channel only","Unattributed"))))</f>
        <v/>
      </c>
      <c r="S57" s="24" t="str">
        <f aca="false">IF(Q57="","",IFERROR(INDEX('Post Tracker'!$G$5:$G$1004,MATCH(Q57,'Post Tracker'!$A$5:$A$1004,0)),"ID NOT FOUND"))</f>
        <v/>
      </c>
      <c r="T57" s="24" t="str">
        <f aca="false">IF(Q57="","",IFERROR(INDEX('Post Tracker'!$K$5:$K$1004,MATCH(Q57,'Post Tracker'!$A$5:$A$1004,0))&amp;"",""))</f>
        <v/>
      </c>
      <c r="U57" s="33" t="str">
        <f aca="false">IF(OR(Q57="",B57=""),"",IFERROR(B57-INDEX('Post Tracker'!$B$5:$B$1004,MATCH(Q57,'Post Tracker'!$A$5:$A$1004,0)),""))</f>
        <v/>
      </c>
      <c r="V57" s="39"/>
      <c r="W57" s="29"/>
      <c r="X57" s="29"/>
      <c r="Y57" s="29"/>
      <c r="Z57" s="30"/>
      <c r="AA57" s="29"/>
      <c r="AB57" s="29"/>
    </row>
    <row r="58" customFormat="false" ht="15" hidden="false" customHeight="false" outlineLevel="0" collapsed="false">
      <c r="A58" s="41" t="str">
        <f aca="false">IF(B58="","",ROW()-4)</f>
        <v/>
      </c>
      <c r="B58" s="39"/>
      <c r="C58" s="29"/>
      <c r="D58" s="29"/>
      <c r="E58" s="29"/>
      <c r="F58" s="29"/>
      <c r="G58" s="29"/>
      <c r="H58" s="32"/>
      <c r="I58" s="29"/>
      <c r="J58" s="29"/>
      <c r="K58" s="29"/>
      <c r="L58" s="29"/>
      <c r="M58" s="29"/>
      <c r="N58" s="29"/>
      <c r="O58" s="29"/>
      <c r="P58" s="29"/>
      <c r="Q58" s="24" t="str">
        <f aca="false">IF(N58&lt;&gt;"",UPPER(TRIM(N58)),IF(P58&lt;&gt;"",UPPER(TRIM(P58)),""))</f>
        <v/>
      </c>
      <c r="R58" s="24" t="str">
        <f aca="false">IF(B58="","",IF(N58&lt;&gt;"","UTM tracked",IF(P58&lt;&gt;"","Manual / self-reported",IF(O58&lt;&gt;"","Self-reported channel only","Unattributed"))))</f>
        <v/>
      </c>
      <c r="S58" s="24" t="str">
        <f aca="false">IF(Q58="","",IFERROR(INDEX('Post Tracker'!$G$5:$G$1004,MATCH(Q58,'Post Tracker'!$A$5:$A$1004,0)),"ID NOT FOUND"))</f>
        <v/>
      </c>
      <c r="T58" s="24" t="str">
        <f aca="false">IF(Q58="","",IFERROR(INDEX('Post Tracker'!$K$5:$K$1004,MATCH(Q58,'Post Tracker'!$A$5:$A$1004,0))&amp;"",""))</f>
        <v/>
      </c>
      <c r="U58" s="33" t="str">
        <f aca="false">IF(OR(Q58="",B58=""),"",IFERROR(B58-INDEX('Post Tracker'!$B$5:$B$1004,MATCH(Q58,'Post Tracker'!$A$5:$A$1004,0)),""))</f>
        <v/>
      </c>
      <c r="V58" s="39"/>
      <c r="W58" s="29"/>
      <c r="X58" s="29"/>
      <c r="Y58" s="29"/>
      <c r="Z58" s="30"/>
      <c r="AA58" s="29"/>
      <c r="AB58" s="29"/>
    </row>
    <row r="59" customFormat="false" ht="15" hidden="false" customHeight="false" outlineLevel="0" collapsed="false">
      <c r="A59" s="41" t="str">
        <f aca="false">IF(B59="","",ROW()-4)</f>
        <v/>
      </c>
      <c r="B59" s="39"/>
      <c r="C59" s="29"/>
      <c r="D59" s="29"/>
      <c r="E59" s="29"/>
      <c r="F59" s="29"/>
      <c r="G59" s="29"/>
      <c r="H59" s="32"/>
      <c r="I59" s="29"/>
      <c r="J59" s="29"/>
      <c r="K59" s="29"/>
      <c r="L59" s="29"/>
      <c r="M59" s="29"/>
      <c r="N59" s="29"/>
      <c r="O59" s="29"/>
      <c r="P59" s="29"/>
      <c r="Q59" s="24" t="str">
        <f aca="false">IF(N59&lt;&gt;"",UPPER(TRIM(N59)),IF(P59&lt;&gt;"",UPPER(TRIM(P59)),""))</f>
        <v/>
      </c>
      <c r="R59" s="24" t="str">
        <f aca="false">IF(B59="","",IF(N59&lt;&gt;"","UTM tracked",IF(P59&lt;&gt;"","Manual / self-reported",IF(O59&lt;&gt;"","Self-reported channel only","Unattributed"))))</f>
        <v/>
      </c>
      <c r="S59" s="24" t="str">
        <f aca="false">IF(Q59="","",IFERROR(INDEX('Post Tracker'!$G$5:$G$1004,MATCH(Q59,'Post Tracker'!$A$5:$A$1004,0)),"ID NOT FOUND"))</f>
        <v/>
      </c>
      <c r="T59" s="24" t="str">
        <f aca="false">IF(Q59="","",IFERROR(INDEX('Post Tracker'!$K$5:$K$1004,MATCH(Q59,'Post Tracker'!$A$5:$A$1004,0))&amp;"",""))</f>
        <v/>
      </c>
      <c r="U59" s="33" t="str">
        <f aca="false">IF(OR(Q59="",B59=""),"",IFERROR(B59-INDEX('Post Tracker'!$B$5:$B$1004,MATCH(Q59,'Post Tracker'!$A$5:$A$1004,0)),""))</f>
        <v/>
      </c>
      <c r="V59" s="39"/>
      <c r="W59" s="29"/>
      <c r="X59" s="29"/>
      <c r="Y59" s="29"/>
      <c r="Z59" s="30"/>
      <c r="AA59" s="29"/>
      <c r="AB59" s="29"/>
    </row>
    <row r="60" customFormat="false" ht="15" hidden="false" customHeight="false" outlineLevel="0" collapsed="false">
      <c r="A60" s="41" t="str">
        <f aca="false">IF(B60="","",ROW()-4)</f>
        <v/>
      </c>
      <c r="B60" s="39"/>
      <c r="C60" s="29"/>
      <c r="D60" s="29"/>
      <c r="E60" s="29"/>
      <c r="F60" s="29"/>
      <c r="G60" s="29"/>
      <c r="H60" s="32"/>
      <c r="I60" s="29"/>
      <c r="J60" s="29"/>
      <c r="K60" s="29"/>
      <c r="L60" s="29"/>
      <c r="M60" s="29"/>
      <c r="N60" s="29"/>
      <c r="O60" s="29"/>
      <c r="P60" s="29"/>
      <c r="Q60" s="24" t="str">
        <f aca="false">IF(N60&lt;&gt;"",UPPER(TRIM(N60)),IF(P60&lt;&gt;"",UPPER(TRIM(P60)),""))</f>
        <v/>
      </c>
      <c r="R60" s="24" t="str">
        <f aca="false">IF(B60="","",IF(N60&lt;&gt;"","UTM tracked",IF(P60&lt;&gt;"","Manual / self-reported",IF(O60&lt;&gt;"","Self-reported channel only","Unattributed"))))</f>
        <v/>
      </c>
      <c r="S60" s="24" t="str">
        <f aca="false">IF(Q60="","",IFERROR(INDEX('Post Tracker'!$G$5:$G$1004,MATCH(Q60,'Post Tracker'!$A$5:$A$1004,0)),"ID NOT FOUND"))</f>
        <v/>
      </c>
      <c r="T60" s="24" t="str">
        <f aca="false">IF(Q60="","",IFERROR(INDEX('Post Tracker'!$K$5:$K$1004,MATCH(Q60,'Post Tracker'!$A$5:$A$1004,0))&amp;"",""))</f>
        <v/>
      </c>
      <c r="U60" s="33" t="str">
        <f aca="false">IF(OR(Q60="",B60=""),"",IFERROR(B60-INDEX('Post Tracker'!$B$5:$B$1004,MATCH(Q60,'Post Tracker'!$A$5:$A$1004,0)),""))</f>
        <v/>
      </c>
      <c r="V60" s="39"/>
      <c r="W60" s="29"/>
      <c r="X60" s="29"/>
      <c r="Y60" s="29"/>
      <c r="Z60" s="30"/>
      <c r="AA60" s="29"/>
      <c r="AB60" s="29"/>
    </row>
    <row r="61" customFormat="false" ht="15" hidden="false" customHeight="false" outlineLevel="0" collapsed="false">
      <c r="A61" s="41" t="str">
        <f aca="false">IF(B61="","",ROW()-4)</f>
        <v/>
      </c>
      <c r="B61" s="39"/>
      <c r="C61" s="29"/>
      <c r="D61" s="29"/>
      <c r="E61" s="29"/>
      <c r="F61" s="29"/>
      <c r="G61" s="29"/>
      <c r="H61" s="32"/>
      <c r="I61" s="29"/>
      <c r="J61" s="29"/>
      <c r="K61" s="29"/>
      <c r="L61" s="29"/>
      <c r="M61" s="29"/>
      <c r="N61" s="29"/>
      <c r="O61" s="29"/>
      <c r="P61" s="29"/>
      <c r="Q61" s="24" t="str">
        <f aca="false">IF(N61&lt;&gt;"",UPPER(TRIM(N61)),IF(P61&lt;&gt;"",UPPER(TRIM(P61)),""))</f>
        <v/>
      </c>
      <c r="R61" s="24" t="str">
        <f aca="false">IF(B61="","",IF(N61&lt;&gt;"","UTM tracked",IF(P61&lt;&gt;"","Manual / self-reported",IF(O61&lt;&gt;"","Self-reported channel only","Unattributed"))))</f>
        <v/>
      </c>
      <c r="S61" s="24" t="str">
        <f aca="false">IF(Q61="","",IFERROR(INDEX('Post Tracker'!$G$5:$G$1004,MATCH(Q61,'Post Tracker'!$A$5:$A$1004,0)),"ID NOT FOUND"))</f>
        <v/>
      </c>
      <c r="T61" s="24" t="str">
        <f aca="false">IF(Q61="","",IFERROR(INDEX('Post Tracker'!$K$5:$K$1004,MATCH(Q61,'Post Tracker'!$A$5:$A$1004,0))&amp;"",""))</f>
        <v/>
      </c>
      <c r="U61" s="33" t="str">
        <f aca="false">IF(OR(Q61="",B61=""),"",IFERROR(B61-INDEX('Post Tracker'!$B$5:$B$1004,MATCH(Q61,'Post Tracker'!$A$5:$A$1004,0)),""))</f>
        <v/>
      </c>
      <c r="V61" s="39"/>
      <c r="W61" s="29"/>
      <c r="X61" s="29"/>
      <c r="Y61" s="29"/>
      <c r="Z61" s="30"/>
      <c r="AA61" s="29"/>
      <c r="AB61" s="29"/>
    </row>
    <row r="62" customFormat="false" ht="15" hidden="false" customHeight="false" outlineLevel="0" collapsed="false">
      <c r="A62" s="41" t="str">
        <f aca="false">IF(B62="","",ROW()-4)</f>
        <v/>
      </c>
      <c r="B62" s="39"/>
      <c r="C62" s="29"/>
      <c r="D62" s="29"/>
      <c r="E62" s="29"/>
      <c r="F62" s="29"/>
      <c r="G62" s="29"/>
      <c r="H62" s="32"/>
      <c r="I62" s="29"/>
      <c r="J62" s="29"/>
      <c r="K62" s="29"/>
      <c r="L62" s="29"/>
      <c r="M62" s="29"/>
      <c r="N62" s="29"/>
      <c r="O62" s="29"/>
      <c r="P62" s="29"/>
      <c r="Q62" s="24" t="str">
        <f aca="false">IF(N62&lt;&gt;"",UPPER(TRIM(N62)),IF(P62&lt;&gt;"",UPPER(TRIM(P62)),""))</f>
        <v/>
      </c>
      <c r="R62" s="24" t="str">
        <f aca="false">IF(B62="","",IF(N62&lt;&gt;"","UTM tracked",IF(P62&lt;&gt;"","Manual / self-reported",IF(O62&lt;&gt;"","Self-reported channel only","Unattributed"))))</f>
        <v/>
      </c>
      <c r="S62" s="24" t="str">
        <f aca="false">IF(Q62="","",IFERROR(INDEX('Post Tracker'!$G$5:$G$1004,MATCH(Q62,'Post Tracker'!$A$5:$A$1004,0)),"ID NOT FOUND"))</f>
        <v/>
      </c>
      <c r="T62" s="24" t="str">
        <f aca="false">IF(Q62="","",IFERROR(INDEX('Post Tracker'!$K$5:$K$1004,MATCH(Q62,'Post Tracker'!$A$5:$A$1004,0))&amp;"",""))</f>
        <v/>
      </c>
      <c r="U62" s="33" t="str">
        <f aca="false">IF(OR(Q62="",B62=""),"",IFERROR(B62-INDEX('Post Tracker'!$B$5:$B$1004,MATCH(Q62,'Post Tracker'!$A$5:$A$1004,0)),""))</f>
        <v/>
      </c>
      <c r="V62" s="39"/>
      <c r="W62" s="29"/>
      <c r="X62" s="29"/>
      <c r="Y62" s="29"/>
      <c r="Z62" s="30"/>
      <c r="AA62" s="29"/>
      <c r="AB62" s="29"/>
    </row>
    <row r="63" customFormat="false" ht="15" hidden="false" customHeight="false" outlineLevel="0" collapsed="false">
      <c r="A63" s="41" t="str">
        <f aca="false">IF(B63="","",ROW()-4)</f>
        <v/>
      </c>
      <c r="B63" s="39"/>
      <c r="C63" s="29"/>
      <c r="D63" s="29"/>
      <c r="E63" s="29"/>
      <c r="F63" s="29"/>
      <c r="G63" s="29"/>
      <c r="H63" s="32"/>
      <c r="I63" s="29"/>
      <c r="J63" s="29"/>
      <c r="K63" s="29"/>
      <c r="L63" s="29"/>
      <c r="M63" s="29"/>
      <c r="N63" s="29"/>
      <c r="O63" s="29"/>
      <c r="P63" s="29"/>
      <c r="Q63" s="24" t="str">
        <f aca="false">IF(N63&lt;&gt;"",UPPER(TRIM(N63)),IF(P63&lt;&gt;"",UPPER(TRIM(P63)),""))</f>
        <v/>
      </c>
      <c r="R63" s="24" t="str">
        <f aca="false">IF(B63="","",IF(N63&lt;&gt;"","UTM tracked",IF(P63&lt;&gt;"","Manual / self-reported",IF(O63&lt;&gt;"","Self-reported channel only","Unattributed"))))</f>
        <v/>
      </c>
      <c r="S63" s="24" t="str">
        <f aca="false">IF(Q63="","",IFERROR(INDEX('Post Tracker'!$G$5:$G$1004,MATCH(Q63,'Post Tracker'!$A$5:$A$1004,0)),"ID NOT FOUND"))</f>
        <v/>
      </c>
      <c r="T63" s="24" t="str">
        <f aca="false">IF(Q63="","",IFERROR(INDEX('Post Tracker'!$K$5:$K$1004,MATCH(Q63,'Post Tracker'!$A$5:$A$1004,0))&amp;"",""))</f>
        <v/>
      </c>
      <c r="U63" s="33" t="str">
        <f aca="false">IF(OR(Q63="",B63=""),"",IFERROR(B63-INDEX('Post Tracker'!$B$5:$B$1004,MATCH(Q63,'Post Tracker'!$A$5:$A$1004,0)),""))</f>
        <v/>
      </c>
      <c r="V63" s="39"/>
      <c r="W63" s="29"/>
      <c r="X63" s="29"/>
      <c r="Y63" s="29"/>
      <c r="Z63" s="30"/>
      <c r="AA63" s="29"/>
      <c r="AB63" s="29"/>
    </row>
    <row r="64" customFormat="false" ht="15" hidden="false" customHeight="false" outlineLevel="0" collapsed="false">
      <c r="A64" s="41" t="str">
        <f aca="false">IF(B64="","",ROW()-4)</f>
        <v/>
      </c>
      <c r="B64" s="39"/>
      <c r="C64" s="29"/>
      <c r="D64" s="29"/>
      <c r="E64" s="29"/>
      <c r="F64" s="29"/>
      <c r="G64" s="29"/>
      <c r="H64" s="32"/>
      <c r="I64" s="29"/>
      <c r="J64" s="29"/>
      <c r="K64" s="29"/>
      <c r="L64" s="29"/>
      <c r="M64" s="29"/>
      <c r="N64" s="29"/>
      <c r="O64" s="29"/>
      <c r="P64" s="29"/>
      <c r="Q64" s="24" t="str">
        <f aca="false">IF(N64&lt;&gt;"",UPPER(TRIM(N64)),IF(P64&lt;&gt;"",UPPER(TRIM(P64)),""))</f>
        <v/>
      </c>
      <c r="R64" s="24" t="str">
        <f aca="false">IF(B64="","",IF(N64&lt;&gt;"","UTM tracked",IF(P64&lt;&gt;"","Manual / self-reported",IF(O64&lt;&gt;"","Self-reported channel only","Unattributed"))))</f>
        <v/>
      </c>
      <c r="S64" s="24" t="str">
        <f aca="false">IF(Q64="","",IFERROR(INDEX('Post Tracker'!$G$5:$G$1004,MATCH(Q64,'Post Tracker'!$A$5:$A$1004,0)),"ID NOT FOUND"))</f>
        <v/>
      </c>
      <c r="T64" s="24" t="str">
        <f aca="false">IF(Q64="","",IFERROR(INDEX('Post Tracker'!$K$5:$K$1004,MATCH(Q64,'Post Tracker'!$A$5:$A$1004,0))&amp;"",""))</f>
        <v/>
      </c>
      <c r="U64" s="33" t="str">
        <f aca="false">IF(OR(Q64="",B64=""),"",IFERROR(B64-INDEX('Post Tracker'!$B$5:$B$1004,MATCH(Q64,'Post Tracker'!$A$5:$A$1004,0)),""))</f>
        <v/>
      </c>
      <c r="V64" s="39"/>
      <c r="W64" s="29"/>
      <c r="X64" s="29"/>
      <c r="Y64" s="29"/>
      <c r="Z64" s="30"/>
      <c r="AA64" s="29"/>
      <c r="AB64" s="29"/>
    </row>
    <row r="65" customFormat="false" ht="15" hidden="false" customHeight="false" outlineLevel="0" collapsed="false">
      <c r="A65" s="41" t="str">
        <f aca="false">IF(B65="","",ROW()-4)</f>
        <v/>
      </c>
      <c r="B65" s="39"/>
      <c r="C65" s="29"/>
      <c r="D65" s="29"/>
      <c r="E65" s="29"/>
      <c r="F65" s="29"/>
      <c r="G65" s="29"/>
      <c r="H65" s="32"/>
      <c r="I65" s="29"/>
      <c r="J65" s="29"/>
      <c r="K65" s="29"/>
      <c r="L65" s="29"/>
      <c r="M65" s="29"/>
      <c r="N65" s="29"/>
      <c r="O65" s="29"/>
      <c r="P65" s="29"/>
      <c r="Q65" s="24" t="str">
        <f aca="false">IF(N65&lt;&gt;"",UPPER(TRIM(N65)),IF(P65&lt;&gt;"",UPPER(TRIM(P65)),""))</f>
        <v/>
      </c>
      <c r="R65" s="24" t="str">
        <f aca="false">IF(B65="","",IF(N65&lt;&gt;"","UTM tracked",IF(P65&lt;&gt;"","Manual / self-reported",IF(O65&lt;&gt;"","Self-reported channel only","Unattributed"))))</f>
        <v/>
      </c>
      <c r="S65" s="24" t="str">
        <f aca="false">IF(Q65="","",IFERROR(INDEX('Post Tracker'!$G$5:$G$1004,MATCH(Q65,'Post Tracker'!$A$5:$A$1004,0)),"ID NOT FOUND"))</f>
        <v/>
      </c>
      <c r="T65" s="24" t="str">
        <f aca="false">IF(Q65="","",IFERROR(INDEX('Post Tracker'!$K$5:$K$1004,MATCH(Q65,'Post Tracker'!$A$5:$A$1004,0))&amp;"",""))</f>
        <v/>
      </c>
      <c r="U65" s="33" t="str">
        <f aca="false">IF(OR(Q65="",B65=""),"",IFERROR(B65-INDEX('Post Tracker'!$B$5:$B$1004,MATCH(Q65,'Post Tracker'!$A$5:$A$1004,0)),""))</f>
        <v/>
      </c>
      <c r="V65" s="39"/>
      <c r="W65" s="29"/>
      <c r="X65" s="29"/>
      <c r="Y65" s="29"/>
      <c r="Z65" s="30"/>
      <c r="AA65" s="29"/>
      <c r="AB65" s="29"/>
    </row>
    <row r="66" customFormat="false" ht="15" hidden="false" customHeight="false" outlineLevel="0" collapsed="false">
      <c r="A66" s="41" t="str">
        <f aca="false">IF(B66="","",ROW()-4)</f>
        <v/>
      </c>
      <c r="B66" s="39"/>
      <c r="C66" s="29"/>
      <c r="D66" s="29"/>
      <c r="E66" s="29"/>
      <c r="F66" s="29"/>
      <c r="G66" s="29"/>
      <c r="H66" s="32"/>
      <c r="I66" s="29"/>
      <c r="J66" s="29"/>
      <c r="K66" s="29"/>
      <c r="L66" s="29"/>
      <c r="M66" s="29"/>
      <c r="N66" s="29"/>
      <c r="O66" s="29"/>
      <c r="P66" s="29"/>
      <c r="Q66" s="24" t="str">
        <f aca="false">IF(N66&lt;&gt;"",UPPER(TRIM(N66)),IF(P66&lt;&gt;"",UPPER(TRIM(P66)),""))</f>
        <v/>
      </c>
      <c r="R66" s="24" t="str">
        <f aca="false">IF(B66="","",IF(N66&lt;&gt;"","UTM tracked",IF(P66&lt;&gt;"","Manual / self-reported",IF(O66&lt;&gt;"","Self-reported channel only","Unattributed"))))</f>
        <v/>
      </c>
      <c r="S66" s="24" t="str">
        <f aca="false">IF(Q66="","",IFERROR(INDEX('Post Tracker'!$G$5:$G$1004,MATCH(Q66,'Post Tracker'!$A$5:$A$1004,0)),"ID NOT FOUND"))</f>
        <v/>
      </c>
      <c r="T66" s="24" t="str">
        <f aca="false">IF(Q66="","",IFERROR(INDEX('Post Tracker'!$K$5:$K$1004,MATCH(Q66,'Post Tracker'!$A$5:$A$1004,0))&amp;"",""))</f>
        <v/>
      </c>
      <c r="U66" s="33" t="str">
        <f aca="false">IF(OR(Q66="",B66=""),"",IFERROR(B66-INDEX('Post Tracker'!$B$5:$B$1004,MATCH(Q66,'Post Tracker'!$A$5:$A$1004,0)),""))</f>
        <v/>
      </c>
      <c r="V66" s="39"/>
      <c r="W66" s="29"/>
      <c r="X66" s="29"/>
      <c r="Y66" s="29"/>
      <c r="Z66" s="30"/>
      <c r="AA66" s="29"/>
      <c r="AB66" s="29"/>
    </row>
    <row r="67" customFormat="false" ht="15" hidden="false" customHeight="false" outlineLevel="0" collapsed="false">
      <c r="A67" s="41" t="str">
        <f aca="false">IF(B67="","",ROW()-4)</f>
        <v/>
      </c>
      <c r="B67" s="39"/>
      <c r="C67" s="29"/>
      <c r="D67" s="29"/>
      <c r="E67" s="29"/>
      <c r="F67" s="29"/>
      <c r="G67" s="29"/>
      <c r="H67" s="32"/>
      <c r="I67" s="29"/>
      <c r="J67" s="29"/>
      <c r="K67" s="29"/>
      <c r="L67" s="29"/>
      <c r="M67" s="29"/>
      <c r="N67" s="29"/>
      <c r="O67" s="29"/>
      <c r="P67" s="29"/>
      <c r="Q67" s="24" t="str">
        <f aca="false">IF(N67&lt;&gt;"",UPPER(TRIM(N67)),IF(P67&lt;&gt;"",UPPER(TRIM(P67)),""))</f>
        <v/>
      </c>
      <c r="R67" s="24" t="str">
        <f aca="false">IF(B67="","",IF(N67&lt;&gt;"","UTM tracked",IF(P67&lt;&gt;"","Manual / self-reported",IF(O67&lt;&gt;"","Self-reported channel only","Unattributed"))))</f>
        <v/>
      </c>
      <c r="S67" s="24" t="str">
        <f aca="false">IF(Q67="","",IFERROR(INDEX('Post Tracker'!$G$5:$G$1004,MATCH(Q67,'Post Tracker'!$A$5:$A$1004,0)),"ID NOT FOUND"))</f>
        <v/>
      </c>
      <c r="T67" s="24" t="str">
        <f aca="false">IF(Q67="","",IFERROR(INDEX('Post Tracker'!$K$5:$K$1004,MATCH(Q67,'Post Tracker'!$A$5:$A$1004,0))&amp;"",""))</f>
        <v/>
      </c>
      <c r="U67" s="33" t="str">
        <f aca="false">IF(OR(Q67="",B67=""),"",IFERROR(B67-INDEX('Post Tracker'!$B$5:$B$1004,MATCH(Q67,'Post Tracker'!$A$5:$A$1004,0)),""))</f>
        <v/>
      </c>
      <c r="V67" s="39"/>
      <c r="W67" s="29"/>
      <c r="X67" s="29"/>
      <c r="Y67" s="29"/>
      <c r="Z67" s="30"/>
      <c r="AA67" s="29"/>
      <c r="AB67" s="29"/>
    </row>
    <row r="68" customFormat="false" ht="15" hidden="false" customHeight="false" outlineLevel="0" collapsed="false">
      <c r="A68" s="41" t="str">
        <f aca="false">IF(B68="","",ROW()-4)</f>
        <v/>
      </c>
      <c r="B68" s="39"/>
      <c r="C68" s="29"/>
      <c r="D68" s="29"/>
      <c r="E68" s="29"/>
      <c r="F68" s="29"/>
      <c r="G68" s="29"/>
      <c r="H68" s="32"/>
      <c r="I68" s="29"/>
      <c r="J68" s="29"/>
      <c r="K68" s="29"/>
      <c r="L68" s="29"/>
      <c r="M68" s="29"/>
      <c r="N68" s="29"/>
      <c r="O68" s="29"/>
      <c r="P68" s="29"/>
      <c r="Q68" s="24" t="str">
        <f aca="false">IF(N68&lt;&gt;"",UPPER(TRIM(N68)),IF(P68&lt;&gt;"",UPPER(TRIM(P68)),""))</f>
        <v/>
      </c>
      <c r="R68" s="24" t="str">
        <f aca="false">IF(B68="","",IF(N68&lt;&gt;"","UTM tracked",IF(P68&lt;&gt;"","Manual / self-reported",IF(O68&lt;&gt;"","Self-reported channel only","Unattributed"))))</f>
        <v/>
      </c>
      <c r="S68" s="24" t="str">
        <f aca="false">IF(Q68="","",IFERROR(INDEX('Post Tracker'!$G$5:$G$1004,MATCH(Q68,'Post Tracker'!$A$5:$A$1004,0)),"ID NOT FOUND"))</f>
        <v/>
      </c>
      <c r="T68" s="24" t="str">
        <f aca="false">IF(Q68="","",IFERROR(INDEX('Post Tracker'!$K$5:$K$1004,MATCH(Q68,'Post Tracker'!$A$5:$A$1004,0))&amp;"",""))</f>
        <v/>
      </c>
      <c r="U68" s="33" t="str">
        <f aca="false">IF(OR(Q68="",B68=""),"",IFERROR(B68-INDEX('Post Tracker'!$B$5:$B$1004,MATCH(Q68,'Post Tracker'!$A$5:$A$1004,0)),""))</f>
        <v/>
      </c>
      <c r="V68" s="39"/>
      <c r="W68" s="29"/>
      <c r="X68" s="29"/>
      <c r="Y68" s="29"/>
      <c r="Z68" s="30"/>
      <c r="AA68" s="29"/>
      <c r="AB68" s="29"/>
    </row>
    <row r="69" customFormat="false" ht="15" hidden="false" customHeight="false" outlineLevel="0" collapsed="false">
      <c r="A69" s="41" t="str">
        <f aca="false">IF(B69="","",ROW()-4)</f>
        <v/>
      </c>
      <c r="B69" s="39"/>
      <c r="C69" s="29"/>
      <c r="D69" s="29"/>
      <c r="E69" s="29"/>
      <c r="F69" s="29"/>
      <c r="G69" s="29"/>
      <c r="H69" s="32"/>
      <c r="I69" s="29"/>
      <c r="J69" s="29"/>
      <c r="K69" s="29"/>
      <c r="L69" s="29"/>
      <c r="M69" s="29"/>
      <c r="N69" s="29"/>
      <c r="O69" s="29"/>
      <c r="P69" s="29"/>
      <c r="Q69" s="24" t="str">
        <f aca="false">IF(N69&lt;&gt;"",UPPER(TRIM(N69)),IF(P69&lt;&gt;"",UPPER(TRIM(P69)),""))</f>
        <v/>
      </c>
      <c r="R69" s="24" t="str">
        <f aca="false">IF(B69="","",IF(N69&lt;&gt;"","UTM tracked",IF(P69&lt;&gt;"","Manual / self-reported",IF(O69&lt;&gt;"","Self-reported channel only","Unattributed"))))</f>
        <v/>
      </c>
      <c r="S69" s="24" t="str">
        <f aca="false">IF(Q69="","",IFERROR(INDEX('Post Tracker'!$G$5:$G$1004,MATCH(Q69,'Post Tracker'!$A$5:$A$1004,0)),"ID NOT FOUND"))</f>
        <v/>
      </c>
      <c r="T69" s="24" t="str">
        <f aca="false">IF(Q69="","",IFERROR(INDEX('Post Tracker'!$K$5:$K$1004,MATCH(Q69,'Post Tracker'!$A$5:$A$1004,0))&amp;"",""))</f>
        <v/>
      </c>
      <c r="U69" s="33" t="str">
        <f aca="false">IF(OR(Q69="",B69=""),"",IFERROR(B69-INDEX('Post Tracker'!$B$5:$B$1004,MATCH(Q69,'Post Tracker'!$A$5:$A$1004,0)),""))</f>
        <v/>
      </c>
      <c r="V69" s="39"/>
      <c r="W69" s="29"/>
      <c r="X69" s="29"/>
      <c r="Y69" s="29"/>
      <c r="Z69" s="30"/>
      <c r="AA69" s="29"/>
      <c r="AB69" s="29"/>
    </row>
    <row r="70" customFormat="false" ht="15" hidden="false" customHeight="false" outlineLevel="0" collapsed="false">
      <c r="A70" s="41" t="str">
        <f aca="false">IF(B70="","",ROW()-4)</f>
        <v/>
      </c>
      <c r="B70" s="39"/>
      <c r="C70" s="29"/>
      <c r="D70" s="29"/>
      <c r="E70" s="29"/>
      <c r="F70" s="29"/>
      <c r="G70" s="29"/>
      <c r="H70" s="32"/>
      <c r="I70" s="29"/>
      <c r="J70" s="29"/>
      <c r="K70" s="29"/>
      <c r="L70" s="29"/>
      <c r="M70" s="29"/>
      <c r="N70" s="29"/>
      <c r="O70" s="29"/>
      <c r="P70" s="29"/>
      <c r="Q70" s="24" t="str">
        <f aca="false">IF(N70&lt;&gt;"",UPPER(TRIM(N70)),IF(P70&lt;&gt;"",UPPER(TRIM(P70)),""))</f>
        <v/>
      </c>
      <c r="R70" s="24" t="str">
        <f aca="false">IF(B70="","",IF(N70&lt;&gt;"","UTM tracked",IF(P70&lt;&gt;"","Manual / self-reported",IF(O70&lt;&gt;"","Self-reported channel only","Unattributed"))))</f>
        <v/>
      </c>
      <c r="S70" s="24" t="str">
        <f aca="false">IF(Q70="","",IFERROR(INDEX('Post Tracker'!$G$5:$G$1004,MATCH(Q70,'Post Tracker'!$A$5:$A$1004,0)),"ID NOT FOUND"))</f>
        <v/>
      </c>
      <c r="T70" s="24" t="str">
        <f aca="false">IF(Q70="","",IFERROR(INDEX('Post Tracker'!$K$5:$K$1004,MATCH(Q70,'Post Tracker'!$A$5:$A$1004,0))&amp;"",""))</f>
        <v/>
      </c>
      <c r="U70" s="33" t="str">
        <f aca="false">IF(OR(Q70="",B70=""),"",IFERROR(B70-INDEX('Post Tracker'!$B$5:$B$1004,MATCH(Q70,'Post Tracker'!$A$5:$A$1004,0)),""))</f>
        <v/>
      </c>
      <c r="V70" s="39"/>
      <c r="W70" s="29"/>
      <c r="X70" s="29"/>
      <c r="Y70" s="29"/>
      <c r="Z70" s="30"/>
      <c r="AA70" s="29"/>
      <c r="AB70" s="29"/>
    </row>
    <row r="71" customFormat="false" ht="15" hidden="false" customHeight="false" outlineLevel="0" collapsed="false">
      <c r="A71" s="41" t="str">
        <f aca="false">IF(B71="","",ROW()-4)</f>
        <v/>
      </c>
      <c r="B71" s="39"/>
      <c r="C71" s="29"/>
      <c r="D71" s="29"/>
      <c r="E71" s="29"/>
      <c r="F71" s="29"/>
      <c r="G71" s="29"/>
      <c r="H71" s="32"/>
      <c r="I71" s="29"/>
      <c r="J71" s="29"/>
      <c r="K71" s="29"/>
      <c r="L71" s="29"/>
      <c r="M71" s="29"/>
      <c r="N71" s="29"/>
      <c r="O71" s="29"/>
      <c r="P71" s="29"/>
      <c r="Q71" s="24" t="str">
        <f aca="false">IF(N71&lt;&gt;"",UPPER(TRIM(N71)),IF(P71&lt;&gt;"",UPPER(TRIM(P71)),""))</f>
        <v/>
      </c>
      <c r="R71" s="24" t="str">
        <f aca="false">IF(B71="","",IF(N71&lt;&gt;"","UTM tracked",IF(P71&lt;&gt;"","Manual / self-reported",IF(O71&lt;&gt;"","Self-reported channel only","Unattributed"))))</f>
        <v/>
      </c>
      <c r="S71" s="24" t="str">
        <f aca="false">IF(Q71="","",IFERROR(INDEX('Post Tracker'!$G$5:$G$1004,MATCH(Q71,'Post Tracker'!$A$5:$A$1004,0)),"ID NOT FOUND"))</f>
        <v/>
      </c>
      <c r="T71" s="24" t="str">
        <f aca="false">IF(Q71="","",IFERROR(INDEX('Post Tracker'!$K$5:$K$1004,MATCH(Q71,'Post Tracker'!$A$5:$A$1004,0))&amp;"",""))</f>
        <v/>
      </c>
      <c r="U71" s="33" t="str">
        <f aca="false">IF(OR(Q71="",B71=""),"",IFERROR(B71-INDEX('Post Tracker'!$B$5:$B$1004,MATCH(Q71,'Post Tracker'!$A$5:$A$1004,0)),""))</f>
        <v/>
      </c>
      <c r="V71" s="39"/>
      <c r="W71" s="29"/>
      <c r="X71" s="29"/>
      <c r="Y71" s="29"/>
      <c r="Z71" s="30"/>
      <c r="AA71" s="29"/>
      <c r="AB71" s="29"/>
    </row>
    <row r="72" customFormat="false" ht="15" hidden="false" customHeight="false" outlineLevel="0" collapsed="false">
      <c r="A72" s="41" t="str">
        <f aca="false">IF(B72="","",ROW()-4)</f>
        <v/>
      </c>
      <c r="B72" s="39"/>
      <c r="C72" s="29"/>
      <c r="D72" s="29"/>
      <c r="E72" s="29"/>
      <c r="F72" s="29"/>
      <c r="G72" s="29"/>
      <c r="H72" s="32"/>
      <c r="I72" s="29"/>
      <c r="J72" s="29"/>
      <c r="K72" s="29"/>
      <c r="L72" s="29"/>
      <c r="M72" s="29"/>
      <c r="N72" s="29"/>
      <c r="O72" s="29"/>
      <c r="P72" s="29"/>
      <c r="Q72" s="24" t="str">
        <f aca="false">IF(N72&lt;&gt;"",UPPER(TRIM(N72)),IF(P72&lt;&gt;"",UPPER(TRIM(P72)),""))</f>
        <v/>
      </c>
      <c r="R72" s="24" t="str">
        <f aca="false">IF(B72="","",IF(N72&lt;&gt;"","UTM tracked",IF(P72&lt;&gt;"","Manual / self-reported",IF(O72&lt;&gt;"","Self-reported channel only","Unattributed"))))</f>
        <v/>
      </c>
      <c r="S72" s="24" t="str">
        <f aca="false">IF(Q72="","",IFERROR(INDEX('Post Tracker'!$G$5:$G$1004,MATCH(Q72,'Post Tracker'!$A$5:$A$1004,0)),"ID NOT FOUND"))</f>
        <v/>
      </c>
      <c r="T72" s="24" t="str">
        <f aca="false">IF(Q72="","",IFERROR(INDEX('Post Tracker'!$K$5:$K$1004,MATCH(Q72,'Post Tracker'!$A$5:$A$1004,0))&amp;"",""))</f>
        <v/>
      </c>
      <c r="U72" s="33" t="str">
        <f aca="false">IF(OR(Q72="",B72=""),"",IFERROR(B72-INDEX('Post Tracker'!$B$5:$B$1004,MATCH(Q72,'Post Tracker'!$A$5:$A$1004,0)),""))</f>
        <v/>
      </c>
      <c r="V72" s="39"/>
      <c r="W72" s="29"/>
      <c r="X72" s="29"/>
      <c r="Y72" s="29"/>
      <c r="Z72" s="30"/>
      <c r="AA72" s="29"/>
      <c r="AB72" s="29"/>
    </row>
    <row r="73" customFormat="false" ht="15" hidden="false" customHeight="false" outlineLevel="0" collapsed="false">
      <c r="A73" s="41" t="str">
        <f aca="false">IF(B73="","",ROW()-4)</f>
        <v/>
      </c>
      <c r="B73" s="39"/>
      <c r="C73" s="29"/>
      <c r="D73" s="29"/>
      <c r="E73" s="29"/>
      <c r="F73" s="29"/>
      <c r="G73" s="29"/>
      <c r="H73" s="32"/>
      <c r="I73" s="29"/>
      <c r="J73" s="29"/>
      <c r="K73" s="29"/>
      <c r="L73" s="29"/>
      <c r="M73" s="29"/>
      <c r="N73" s="29"/>
      <c r="O73" s="29"/>
      <c r="P73" s="29"/>
      <c r="Q73" s="24" t="str">
        <f aca="false">IF(N73&lt;&gt;"",UPPER(TRIM(N73)),IF(P73&lt;&gt;"",UPPER(TRIM(P73)),""))</f>
        <v/>
      </c>
      <c r="R73" s="24" t="str">
        <f aca="false">IF(B73="","",IF(N73&lt;&gt;"","UTM tracked",IF(P73&lt;&gt;"","Manual / self-reported",IF(O73&lt;&gt;"","Self-reported channel only","Unattributed"))))</f>
        <v/>
      </c>
      <c r="S73" s="24" t="str">
        <f aca="false">IF(Q73="","",IFERROR(INDEX('Post Tracker'!$G$5:$G$1004,MATCH(Q73,'Post Tracker'!$A$5:$A$1004,0)),"ID NOT FOUND"))</f>
        <v/>
      </c>
      <c r="T73" s="24" t="str">
        <f aca="false">IF(Q73="","",IFERROR(INDEX('Post Tracker'!$K$5:$K$1004,MATCH(Q73,'Post Tracker'!$A$5:$A$1004,0))&amp;"",""))</f>
        <v/>
      </c>
      <c r="U73" s="33" t="str">
        <f aca="false">IF(OR(Q73="",B73=""),"",IFERROR(B73-INDEX('Post Tracker'!$B$5:$B$1004,MATCH(Q73,'Post Tracker'!$A$5:$A$1004,0)),""))</f>
        <v/>
      </c>
      <c r="V73" s="39"/>
      <c r="W73" s="29"/>
      <c r="X73" s="29"/>
      <c r="Y73" s="29"/>
      <c r="Z73" s="30"/>
      <c r="AA73" s="29"/>
      <c r="AB73" s="29"/>
    </row>
    <row r="74" customFormat="false" ht="15" hidden="false" customHeight="false" outlineLevel="0" collapsed="false">
      <c r="A74" s="41" t="str">
        <f aca="false">IF(B74="","",ROW()-4)</f>
        <v/>
      </c>
      <c r="B74" s="39"/>
      <c r="C74" s="29"/>
      <c r="D74" s="29"/>
      <c r="E74" s="29"/>
      <c r="F74" s="29"/>
      <c r="G74" s="29"/>
      <c r="H74" s="32"/>
      <c r="I74" s="29"/>
      <c r="J74" s="29"/>
      <c r="K74" s="29"/>
      <c r="L74" s="29"/>
      <c r="M74" s="29"/>
      <c r="N74" s="29"/>
      <c r="O74" s="29"/>
      <c r="P74" s="29"/>
      <c r="Q74" s="24" t="str">
        <f aca="false">IF(N74&lt;&gt;"",UPPER(TRIM(N74)),IF(P74&lt;&gt;"",UPPER(TRIM(P74)),""))</f>
        <v/>
      </c>
      <c r="R74" s="24" t="str">
        <f aca="false">IF(B74="","",IF(N74&lt;&gt;"","UTM tracked",IF(P74&lt;&gt;"","Manual / self-reported",IF(O74&lt;&gt;"","Self-reported channel only","Unattributed"))))</f>
        <v/>
      </c>
      <c r="S74" s="24" t="str">
        <f aca="false">IF(Q74="","",IFERROR(INDEX('Post Tracker'!$G$5:$G$1004,MATCH(Q74,'Post Tracker'!$A$5:$A$1004,0)),"ID NOT FOUND"))</f>
        <v/>
      </c>
      <c r="T74" s="24" t="str">
        <f aca="false">IF(Q74="","",IFERROR(INDEX('Post Tracker'!$K$5:$K$1004,MATCH(Q74,'Post Tracker'!$A$5:$A$1004,0))&amp;"",""))</f>
        <v/>
      </c>
      <c r="U74" s="33" t="str">
        <f aca="false">IF(OR(Q74="",B74=""),"",IFERROR(B74-INDEX('Post Tracker'!$B$5:$B$1004,MATCH(Q74,'Post Tracker'!$A$5:$A$1004,0)),""))</f>
        <v/>
      </c>
      <c r="V74" s="39"/>
      <c r="W74" s="29"/>
      <c r="X74" s="29"/>
      <c r="Y74" s="29"/>
      <c r="Z74" s="30"/>
      <c r="AA74" s="29"/>
      <c r="AB74" s="29"/>
    </row>
    <row r="75" customFormat="false" ht="15" hidden="false" customHeight="false" outlineLevel="0" collapsed="false">
      <c r="A75" s="41" t="str">
        <f aca="false">IF(B75="","",ROW()-4)</f>
        <v/>
      </c>
      <c r="B75" s="39"/>
      <c r="C75" s="29"/>
      <c r="D75" s="29"/>
      <c r="E75" s="29"/>
      <c r="F75" s="29"/>
      <c r="G75" s="29"/>
      <c r="H75" s="32"/>
      <c r="I75" s="29"/>
      <c r="J75" s="29"/>
      <c r="K75" s="29"/>
      <c r="L75" s="29"/>
      <c r="M75" s="29"/>
      <c r="N75" s="29"/>
      <c r="O75" s="29"/>
      <c r="P75" s="29"/>
      <c r="Q75" s="24" t="str">
        <f aca="false">IF(N75&lt;&gt;"",UPPER(TRIM(N75)),IF(P75&lt;&gt;"",UPPER(TRIM(P75)),""))</f>
        <v/>
      </c>
      <c r="R75" s="24" t="str">
        <f aca="false">IF(B75="","",IF(N75&lt;&gt;"","UTM tracked",IF(P75&lt;&gt;"","Manual / self-reported",IF(O75&lt;&gt;"","Self-reported channel only","Unattributed"))))</f>
        <v/>
      </c>
      <c r="S75" s="24" t="str">
        <f aca="false">IF(Q75="","",IFERROR(INDEX('Post Tracker'!$G$5:$G$1004,MATCH(Q75,'Post Tracker'!$A$5:$A$1004,0)),"ID NOT FOUND"))</f>
        <v/>
      </c>
      <c r="T75" s="24" t="str">
        <f aca="false">IF(Q75="","",IFERROR(INDEX('Post Tracker'!$K$5:$K$1004,MATCH(Q75,'Post Tracker'!$A$5:$A$1004,0))&amp;"",""))</f>
        <v/>
      </c>
      <c r="U75" s="33" t="str">
        <f aca="false">IF(OR(Q75="",B75=""),"",IFERROR(B75-INDEX('Post Tracker'!$B$5:$B$1004,MATCH(Q75,'Post Tracker'!$A$5:$A$1004,0)),""))</f>
        <v/>
      </c>
      <c r="V75" s="39"/>
      <c r="W75" s="29"/>
      <c r="X75" s="29"/>
      <c r="Y75" s="29"/>
      <c r="Z75" s="30"/>
      <c r="AA75" s="29"/>
      <c r="AB75" s="29"/>
    </row>
    <row r="76" customFormat="false" ht="15" hidden="false" customHeight="false" outlineLevel="0" collapsed="false">
      <c r="A76" s="41" t="str">
        <f aca="false">IF(B76="","",ROW()-4)</f>
        <v/>
      </c>
      <c r="B76" s="39"/>
      <c r="C76" s="29"/>
      <c r="D76" s="29"/>
      <c r="E76" s="29"/>
      <c r="F76" s="29"/>
      <c r="G76" s="29"/>
      <c r="H76" s="32"/>
      <c r="I76" s="29"/>
      <c r="J76" s="29"/>
      <c r="K76" s="29"/>
      <c r="L76" s="29"/>
      <c r="M76" s="29"/>
      <c r="N76" s="29"/>
      <c r="O76" s="29"/>
      <c r="P76" s="29"/>
      <c r="Q76" s="24" t="str">
        <f aca="false">IF(N76&lt;&gt;"",UPPER(TRIM(N76)),IF(P76&lt;&gt;"",UPPER(TRIM(P76)),""))</f>
        <v/>
      </c>
      <c r="R76" s="24" t="str">
        <f aca="false">IF(B76="","",IF(N76&lt;&gt;"","UTM tracked",IF(P76&lt;&gt;"","Manual / self-reported",IF(O76&lt;&gt;"","Self-reported channel only","Unattributed"))))</f>
        <v/>
      </c>
      <c r="S76" s="24" t="str">
        <f aca="false">IF(Q76="","",IFERROR(INDEX('Post Tracker'!$G$5:$G$1004,MATCH(Q76,'Post Tracker'!$A$5:$A$1004,0)),"ID NOT FOUND"))</f>
        <v/>
      </c>
      <c r="T76" s="24" t="str">
        <f aca="false">IF(Q76="","",IFERROR(INDEX('Post Tracker'!$K$5:$K$1004,MATCH(Q76,'Post Tracker'!$A$5:$A$1004,0))&amp;"",""))</f>
        <v/>
      </c>
      <c r="U76" s="33" t="str">
        <f aca="false">IF(OR(Q76="",B76=""),"",IFERROR(B76-INDEX('Post Tracker'!$B$5:$B$1004,MATCH(Q76,'Post Tracker'!$A$5:$A$1004,0)),""))</f>
        <v/>
      </c>
      <c r="V76" s="39"/>
      <c r="W76" s="29"/>
      <c r="X76" s="29"/>
      <c r="Y76" s="29"/>
      <c r="Z76" s="30"/>
      <c r="AA76" s="29"/>
      <c r="AB76" s="29"/>
    </row>
    <row r="77" customFormat="false" ht="15" hidden="false" customHeight="false" outlineLevel="0" collapsed="false">
      <c r="A77" s="41" t="str">
        <f aca="false">IF(B77="","",ROW()-4)</f>
        <v/>
      </c>
      <c r="B77" s="39"/>
      <c r="C77" s="29"/>
      <c r="D77" s="29"/>
      <c r="E77" s="29"/>
      <c r="F77" s="29"/>
      <c r="G77" s="29"/>
      <c r="H77" s="32"/>
      <c r="I77" s="29"/>
      <c r="J77" s="29"/>
      <c r="K77" s="29"/>
      <c r="L77" s="29"/>
      <c r="M77" s="29"/>
      <c r="N77" s="29"/>
      <c r="O77" s="29"/>
      <c r="P77" s="29"/>
      <c r="Q77" s="24" t="str">
        <f aca="false">IF(N77&lt;&gt;"",UPPER(TRIM(N77)),IF(P77&lt;&gt;"",UPPER(TRIM(P77)),""))</f>
        <v/>
      </c>
      <c r="R77" s="24" t="str">
        <f aca="false">IF(B77="","",IF(N77&lt;&gt;"","UTM tracked",IF(P77&lt;&gt;"","Manual / self-reported",IF(O77&lt;&gt;"","Self-reported channel only","Unattributed"))))</f>
        <v/>
      </c>
      <c r="S77" s="24" t="str">
        <f aca="false">IF(Q77="","",IFERROR(INDEX('Post Tracker'!$G$5:$G$1004,MATCH(Q77,'Post Tracker'!$A$5:$A$1004,0)),"ID NOT FOUND"))</f>
        <v/>
      </c>
      <c r="T77" s="24" t="str">
        <f aca="false">IF(Q77="","",IFERROR(INDEX('Post Tracker'!$K$5:$K$1004,MATCH(Q77,'Post Tracker'!$A$5:$A$1004,0))&amp;"",""))</f>
        <v/>
      </c>
      <c r="U77" s="33" t="str">
        <f aca="false">IF(OR(Q77="",B77=""),"",IFERROR(B77-INDEX('Post Tracker'!$B$5:$B$1004,MATCH(Q77,'Post Tracker'!$A$5:$A$1004,0)),""))</f>
        <v/>
      </c>
      <c r="V77" s="39"/>
      <c r="W77" s="29"/>
      <c r="X77" s="29"/>
      <c r="Y77" s="29"/>
      <c r="Z77" s="30"/>
      <c r="AA77" s="29"/>
      <c r="AB77" s="29"/>
    </row>
    <row r="78" customFormat="false" ht="15" hidden="false" customHeight="false" outlineLevel="0" collapsed="false">
      <c r="A78" s="41" t="str">
        <f aca="false">IF(B78="","",ROW()-4)</f>
        <v/>
      </c>
      <c r="B78" s="39"/>
      <c r="C78" s="29"/>
      <c r="D78" s="29"/>
      <c r="E78" s="29"/>
      <c r="F78" s="29"/>
      <c r="G78" s="29"/>
      <c r="H78" s="32"/>
      <c r="I78" s="29"/>
      <c r="J78" s="29"/>
      <c r="K78" s="29"/>
      <c r="L78" s="29"/>
      <c r="M78" s="29"/>
      <c r="N78" s="29"/>
      <c r="O78" s="29"/>
      <c r="P78" s="29"/>
      <c r="Q78" s="24" t="str">
        <f aca="false">IF(N78&lt;&gt;"",UPPER(TRIM(N78)),IF(P78&lt;&gt;"",UPPER(TRIM(P78)),""))</f>
        <v/>
      </c>
      <c r="R78" s="24" t="str">
        <f aca="false">IF(B78="","",IF(N78&lt;&gt;"","UTM tracked",IF(P78&lt;&gt;"","Manual / self-reported",IF(O78&lt;&gt;"","Self-reported channel only","Unattributed"))))</f>
        <v/>
      </c>
      <c r="S78" s="24" t="str">
        <f aca="false">IF(Q78="","",IFERROR(INDEX('Post Tracker'!$G$5:$G$1004,MATCH(Q78,'Post Tracker'!$A$5:$A$1004,0)),"ID NOT FOUND"))</f>
        <v/>
      </c>
      <c r="T78" s="24" t="str">
        <f aca="false">IF(Q78="","",IFERROR(INDEX('Post Tracker'!$K$5:$K$1004,MATCH(Q78,'Post Tracker'!$A$5:$A$1004,0))&amp;"",""))</f>
        <v/>
      </c>
      <c r="U78" s="33" t="str">
        <f aca="false">IF(OR(Q78="",B78=""),"",IFERROR(B78-INDEX('Post Tracker'!$B$5:$B$1004,MATCH(Q78,'Post Tracker'!$A$5:$A$1004,0)),""))</f>
        <v/>
      </c>
      <c r="V78" s="39"/>
      <c r="W78" s="29"/>
      <c r="X78" s="29"/>
      <c r="Y78" s="29"/>
      <c r="Z78" s="30"/>
      <c r="AA78" s="29"/>
      <c r="AB78" s="29"/>
    </row>
    <row r="79" customFormat="false" ht="15" hidden="false" customHeight="false" outlineLevel="0" collapsed="false">
      <c r="A79" s="41" t="str">
        <f aca="false">IF(B79="","",ROW()-4)</f>
        <v/>
      </c>
      <c r="B79" s="39"/>
      <c r="C79" s="29"/>
      <c r="D79" s="29"/>
      <c r="E79" s="29"/>
      <c r="F79" s="29"/>
      <c r="G79" s="29"/>
      <c r="H79" s="32"/>
      <c r="I79" s="29"/>
      <c r="J79" s="29"/>
      <c r="K79" s="29"/>
      <c r="L79" s="29"/>
      <c r="M79" s="29"/>
      <c r="N79" s="29"/>
      <c r="O79" s="29"/>
      <c r="P79" s="29"/>
      <c r="Q79" s="24" t="str">
        <f aca="false">IF(N79&lt;&gt;"",UPPER(TRIM(N79)),IF(P79&lt;&gt;"",UPPER(TRIM(P79)),""))</f>
        <v/>
      </c>
      <c r="R79" s="24" t="str">
        <f aca="false">IF(B79="","",IF(N79&lt;&gt;"","UTM tracked",IF(P79&lt;&gt;"","Manual / self-reported",IF(O79&lt;&gt;"","Self-reported channel only","Unattributed"))))</f>
        <v/>
      </c>
      <c r="S79" s="24" t="str">
        <f aca="false">IF(Q79="","",IFERROR(INDEX('Post Tracker'!$G$5:$G$1004,MATCH(Q79,'Post Tracker'!$A$5:$A$1004,0)),"ID NOT FOUND"))</f>
        <v/>
      </c>
      <c r="T79" s="24" t="str">
        <f aca="false">IF(Q79="","",IFERROR(INDEX('Post Tracker'!$K$5:$K$1004,MATCH(Q79,'Post Tracker'!$A$5:$A$1004,0))&amp;"",""))</f>
        <v/>
      </c>
      <c r="U79" s="33" t="str">
        <f aca="false">IF(OR(Q79="",B79=""),"",IFERROR(B79-INDEX('Post Tracker'!$B$5:$B$1004,MATCH(Q79,'Post Tracker'!$A$5:$A$1004,0)),""))</f>
        <v/>
      </c>
      <c r="V79" s="39"/>
      <c r="W79" s="29"/>
      <c r="X79" s="29"/>
      <c r="Y79" s="29"/>
      <c r="Z79" s="30"/>
      <c r="AA79" s="29"/>
      <c r="AB79" s="29"/>
    </row>
    <row r="80" customFormat="false" ht="15" hidden="false" customHeight="false" outlineLevel="0" collapsed="false">
      <c r="A80" s="41" t="str">
        <f aca="false">IF(B80="","",ROW()-4)</f>
        <v/>
      </c>
      <c r="B80" s="39"/>
      <c r="C80" s="29"/>
      <c r="D80" s="29"/>
      <c r="E80" s="29"/>
      <c r="F80" s="29"/>
      <c r="G80" s="29"/>
      <c r="H80" s="32"/>
      <c r="I80" s="29"/>
      <c r="J80" s="29"/>
      <c r="K80" s="29"/>
      <c r="L80" s="29"/>
      <c r="M80" s="29"/>
      <c r="N80" s="29"/>
      <c r="O80" s="29"/>
      <c r="P80" s="29"/>
      <c r="Q80" s="24" t="str">
        <f aca="false">IF(N80&lt;&gt;"",UPPER(TRIM(N80)),IF(P80&lt;&gt;"",UPPER(TRIM(P80)),""))</f>
        <v/>
      </c>
      <c r="R80" s="24" t="str">
        <f aca="false">IF(B80="","",IF(N80&lt;&gt;"","UTM tracked",IF(P80&lt;&gt;"","Manual / self-reported",IF(O80&lt;&gt;"","Self-reported channel only","Unattributed"))))</f>
        <v/>
      </c>
      <c r="S80" s="24" t="str">
        <f aca="false">IF(Q80="","",IFERROR(INDEX('Post Tracker'!$G$5:$G$1004,MATCH(Q80,'Post Tracker'!$A$5:$A$1004,0)),"ID NOT FOUND"))</f>
        <v/>
      </c>
      <c r="T80" s="24" t="str">
        <f aca="false">IF(Q80="","",IFERROR(INDEX('Post Tracker'!$K$5:$K$1004,MATCH(Q80,'Post Tracker'!$A$5:$A$1004,0))&amp;"",""))</f>
        <v/>
      </c>
      <c r="U80" s="33" t="str">
        <f aca="false">IF(OR(Q80="",B80=""),"",IFERROR(B80-INDEX('Post Tracker'!$B$5:$B$1004,MATCH(Q80,'Post Tracker'!$A$5:$A$1004,0)),""))</f>
        <v/>
      </c>
      <c r="V80" s="39"/>
      <c r="W80" s="29"/>
      <c r="X80" s="29"/>
      <c r="Y80" s="29"/>
      <c r="Z80" s="30"/>
      <c r="AA80" s="29"/>
      <c r="AB80" s="29"/>
    </row>
    <row r="81" customFormat="false" ht="15" hidden="false" customHeight="false" outlineLevel="0" collapsed="false">
      <c r="A81" s="41" t="str">
        <f aca="false">IF(B81="","",ROW()-4)</f>
        <v/>
      </c>
      <c r="B81" s="39"/>
      <c r="C81" s="29"/>
      <c r="D81" s="29"/>
      <c r="E81" s="29"/>
      <c r="F81" s="29"/>
      <c r="G81" s="29"/>
      <c r="H81" s="32"/>
      <c r="I81" s="29"/>
      <c r="J81" s="29"/>
      <c r="K81" s="29"/>
      <c r="L81" s="29"/>
      <c r="M81" s="29"/>
      <c r="N81" s="29"/>
      <c r="O81" s="29"/>
      <c r="P81" s="29"/>
      <c r="Q81" s="24" t="str">
        <f aca="false">IF(N81&lt;&gt;"",UPPER(TRIM(N81)),IF(P81&lt;&gt;"",UPPER(TRIM(P81)),""))</f>
        <v/>
      </c>
      <c r="R81" s="24" t="str">
        <f aca="false">IF(B81="","",IF(N81&lt;&gt;"","UTM tracked",IF(P81&lt;&gt;"","Manual / self-reported",IF(O81&lt;&gt;"","Self-reported channel only","Unattributed"))))</f>
        <v/>
      </c>
      <c r="S81" s="24" t="str">
        <f aca="false">IF(Q81="","",IFERROR(INDEX('Post Tracker'!$G$5:$G$1004,MATCH(Q81,'Post Tracker'!$A$5:$A$1004,0)),"ID NOT FOUND"))</f>
        <v/>
      </c>
      <c r="T81" s="24" t="str">
        <f aca="false">IF(Q81="","",IFERROR(INDEX('Post Tracker'!$K$5:$K$1004,MATCH(Q81,'Post Tracker'!$A$5:$A$1004,0))&amp;"",""))</f>
        <v/>
      </c>
      <c r="U81" s="33" t="str">
        <f aca="false">IF(OR(Q81="",B81=""),"",IFERROR(B81-INDEX('Post Tracker'!$B$5:$B$1004,MATCH(Q81,'Post Tracker'!$A$5:$A$1004,0)),""))</f>
        <v/>
      </c>
      <c r="V81" s="39"/>
      <c r="W81" s="29"/>
      <c r="X81" s="29"/>
      <c r="Y81" s="29"/>
      <c r="Z81" s="30"/>
      <c r="AA81" s="29"/>
      <c r="AB81" s="29"/>
    </row>
    <row r="82" customFormat="false" ht="15" hidden="false" customHeight="false" outlineLevel="0" collapsed="false">
      <c r="A82" s="41" t="str">
        <f aca="false">IF(B82="","",ROW()-4)</f>
        <v/>
      </c>
      <c r="B82" s="39"/>
      <c r="C82" s="29"/>
      <c r="D82" s="29"/>
      <c r="E82" s="29"/>
      <c r="F82" s="29"/>
      <c r="G82" s="29"/>
      <c r="H82" s="32"/>
      <c r="I82" s="29"/>
      <c r="J82" s="29"/>
      <c r="K82" s="29"/>
      <c r="L82" s="29"/>
      <c r="M82" s="29"/>
      <c r="N82" s="29"/>
      <c r="O82" s="29"/>
      <c r="P82" s="29"/>
      <c r="Q82" s="24" t="str">
        <f aca="false">IF(N82&lt;&gt;"",UPPER(TRIM(N82)),IF(P82&lt;&gt;"",UPPER(TRIM(P82)),""))</f>
        <v/>
      </c>
      <c r="R82" s="24" t="str">
        <f aca="false">IF(B82="","",IF(N82&lt;&gt;"","UTM tracked",IF(P82&lt;&gt;"","Manual / self-reported",IF(O82&lt;&gt;"","Self-reported channel only","Unattributed"))))</f>
        <v/>
      </c>
      <c r="S82" s="24" t="str">
        <f aca="false">IF(Q82="","",IFERROR(INDEX('Post Tracker'!$G$5:$G$1004,MATCH(Q82,'Post Tracker'!$A$5:$A$1004,0)),"ID NOT FOUND"))</f>
        <v/>
      </c>
      <c r="T82" s="24" t="str">
        <f aca="false">IF(Q82="","",IFERROR(INDEX('Post Tracker'!$K$5:$K$1004,MATCH(Q82,'Post Tracker'!$A$5:$A$1004,0))&amp;"",""))</f>
        <v/>
      </c>
      <c r="U82" s="33" t="str">
        <f aca="false">IF(OR(Q82="",B82=""),"",IFERROR(B82-INDEX('Post Tracker'!$B$5:$B$1004,MATCH(Q82,'Post Tracker'!$A$5:$A$1004,0)),""))</f>
        <v/>
      </c>
      <c r="V82" s="39"/>
      <c r="W82" s="29"/>
      <c r="X82" s="29"/>
      <c r="Y82" s="29"/>
      <c r="Z82" s="30"/>
      <c r="AA82" s="29"/>
      <c r="AB82" s="29"/>
    </row>
    <row r="83" customFormat="false" ht="15" hidden="false" customHeight="false" outlineLevel="0" collapsed="false">
      <c r="A83" s="41" t="str">
        <f aca="false">IF(B83="","",ROW()-4)</f>
        <v/>
      </c>
      <c r="B83" s="39"/>
      <c r="C83" s="29"/>
      <c r="D83" s="29"/>
      <c r="E83" s="29"/>
      <c r="F83" s="29"/>
      <c r="G83" s="29"/>
      <c r="H83" s="32"/>
      <c r="I83" s="29"/>
      <c r="J83" s="29"/>
      <c r="K83" s="29"/>
      <c r="L83" s="29"/>
      <c r="M83" s="29"/>
      <c r="N83" s="29"/>
      <c r="O83" s="29"/>
      <c r="P83" s="29"/>
      <c r="Q83" s="24" t="str">
        <f aca="false">IF(N83&lt;&gt;"",UPPER(TRIM(N83)),IF(P83&lt;&gt;"",UPPER(TRIM(P83)),""))</f>
        <v/>
      </c>
      <c r="R83" s="24" t="str">
        <f aca="false">IF(B83="","",IF(N83&lt;&gt;"","UTM tracked",IF(P83&lt;&gt;"","Manual / self-reported",IF(O83&lt;&gt;"","Self-reported channel only","Unattributed"))))</f>
        <v/>
      </c>
      <c r="S83" s="24" t="str">
        <f aca="false">IF(Q83="","",IFERROR(INDEX('Post Tracker'!$G$5:$G$1004,MATCH(Q83,'Post Tracker'!$A$5:$A$1004,0)),"ID NOT FOUND"))</f>
        <v/>
      </c>
      <c r="T83" s="24" t="str">
        <f aca="false">IF(Q83="","",IFERROR(INDEX('Post Tracker'!$K$5:$K$1004,MATCH(Q83,'Post Tracker'!$A$5:$A$1004,0))&amp;"",""))</f>
        <v/>
      </c>
      <c r="U83" s="33" t="str">
        <f aca="false">IF(OR(Q83="",B83=""),"",IFERROR(B83-INDEX('Post Tracker'!$B$5:$B$1004,MATCH(Q83,'Post Tracker'!$A$5:$A$1004,0)),""))</f>
        <v/>
      </c>
      <c r="V83" s="39"/>
      <c r="W83" s="29"/>
      <c r="X83" s="29"/>
      <c r="Y83" s="29"/>
      <c r="Z83" s="30"/>
      <c r="AA83" s="29"/>
      <c r="AB83" s="29"/>
    </row>
    <row r="84" customFormat="false" ht="15" hidden="false" customHeight="false" outlineLevel="0" collapsed="false">
      <c r="A84" s="41" t="str">
        <f aca="false">IF(B84="","",ROW()-4)</f>
        <v/>
      </c>
      <c r="B84" s="39"/>
      <c r="C84" s="29"/>
      <c r="D84" s="29"/>
      <c r="E84" s="29"/>
      <c r="F84" s="29"/>
      <c r="G84" s="29"/>
      <c r="H84" s="32"/>
      <c r="I84" s="29"/>
      <c r="J84" s="29"/>
      <c r="K84" s="29"/>
      <c r="L84" s="29"/>
      <c r="M84" s="29"/>
      <c r="N84" s="29"/>
      <c r="O84" s="29"/>
      <c r="P84" s="29"/>
      <c r="Q84" s="24" t="str">
        <f aca="false">IF(N84&lt;&gt;"",UPPER(TRIM(N84)),IF(P84&lt;&gt;"",UPPER(TRIM(P84)),""))</f>
        <v/>
      </c>
      <c r="R84" s="24" t="str">
        <f aca="false">IF(B84="","",IF(N84&lt;&gt;"","UTM tracked",IF(P84&lt;&gt;"","Manual / self-reported",IF(O84&lt;&gt;"","Self-reported channel only","Unattributed"))))</f>
        <v/>
      </c>
      <c r="S84" s="24" t="str">
        <f aca="false">IF(Q84="","",IFERROR(INDEX('Post Tracker'!$G$5:$G$1004,MATCH(Q84,'Post Tracker'!$A$5:$A$1004,0)),"ID NOT FOUND"))</f>
        <v/>
      </c>
      <c r="T84" s="24" t="str">
        <f aca="false">IF(Q84="","",IFERROR(INDEX('Post Tracker'!$K$5:$K$1004,MATCH(Q84,'Post Tracker'!$A$5:$A$1004,0))&amp;"",""))</f>
        <v/>
      </c>
      <c r="U84" s="33" t="str">
        <f aca="false">IF(OR(Q84="",B84=""),"",IFERROR(B84-INDEX('Post Tracker'!$B$5:$B$1004,MATCH(Q84,'Post Tracker'!$A$5:$A$1004,0)),""))</f>
        <v/>
      </c>
      <c r="V84" s="39"/>
      <c r="W84" s="29"/>
      <c r="X84" s="29"/>
      <c r="Y84" s="29"/>
      <c r="Z84" s="30"/>
      <c r="AA84" s="29"/>
      <c r="AB84" s="29"/>
    </row>
    <row r="85" customFormat="false" ht="15" hidden="false" customHeight="false" outlineLevel="0" collapsed="false">
      <c r="A85" s="41" t="str">
        <f aca="false">IF(B85="","",ROW()-4)</f>
        <v/>
      </c>
      <c r="B85" s="39"/>
      <c r="C85" s="29"/>
      <c r="D85" s="29"/>
      <c r="E85" s="29"/>
      <c r="F85" s="29"/>
      <c r="G85" s="29"/>
      <c r="H85" s="32"/>
      <c r="I85" s="29"/>
      <c r="J85" s="29"/>
      <c r="K85" s="29"/>
      <c r="L85" s="29"/>
      <c r="M85" s="29"/>
      <c r="N85" s="29"/>
      <c r="O85" s="29"/>
      <c r="P85" s="29"/>
      <c r="Q85" s="24" t="str">
        <f aca="false">IF(N85&lt;&gt;"",UPPER(TRIM(N85)),IF(P85&lt;&gt;"",UPPER(TRIM(P85)),""))</f>
        <v/>
      </c>
      <c r="R85" s="24" t="str">
        <f aca="false">IF(B85="","",IF(N85&lt;&gt;"","UTM tracked",IF(P85&lt;&gt;"","Manual / self-reported",IF(O85&lt;&gt;"","Self-reported channel only","Unattributed"))))</f>
        <v/>
      </c>
      <c r="S85" s="24" t="str">
        <f aca="false">IF(Q85="","",IFERROR(INDEX('Post Tracker'!$G$5:$G$1004,MATCH(Q85,'Post Tracker'!$A$5:$A$1004,0)),"ID NOT FOUND"))</f>
        <v/>
      </c>
      <c r="T85" s="24" t="str">
        <f aca="false">IF(Q85="","",IFERROR(INDEX('Post Tracker'!$K$5:$K$1004,MATCH(Q85,'Post Tracker'!$A$5:$A$1004,0))&amp;"",""))</f>
        <v/>
      </c>
      <c r="U85" s="33" t="str">
        <f aca="false">IF(OR(Q85="",B85=""),"",IFERROR(B85-INDEX('Post Tracker'!$B$5:$B$1004,MATCH(Q85,'Post Tracker'!$A$5:$A$1004,0)),""))</f>
        <v/>
      </c>
      <c r="V85" s="39"/>
      <c r="W85" s="29"/>
      <c r="X85" s="29"/>
      <c r="Y85" s="29"/>
      <c r="Z85" s="30"/>
      <c r="AA85" s="29"/>
      <c r="AB85" s="29"/>
    </row>
    <row r="86" customFormat="false" ht="15" hidden="false" customHeight="false" outlineLevel="0" collapsed="false">
      <c r="A86" s="41" t="str">
        <f aca="false">IF(B86="","",ROW()-4)</f>
        <v/>
      </c>
      <c r="B86" s="39"/>
      <c r="C86" s="29"/>
      <c r="D86" s="29"/>
      <c r="E86" s="29"/>
      <c r="F86" s="29"/>
      <c r="G86" s="29"/>
      <c r="H86" s="32"/>
      <c r="I86" s="29"/>
      <c r="J86" s="29"/>
      <c r="K86" s="29"/>
      <c r="L86" s="29"/>
      <c r="M86" s="29"/>
      <c r="N86" s="29"/>
      <c r="O86" s="29"/>
      <c r="P86" s="29"/>
      <c r="Q86" s="24" t="str">
        <f aca="false">IF(N86&lt;&gt;"",UPPER(TRIM(N86)),IF(P86&lt;&gt;"",UPPER(TRIM(P86)),""))</f>
        <v/>
      </c>
      <c r="R86" s="24" t="str">
        <f aca="false">IF(B86="","",IF(N86&lt;&gt;"","UTM tracked",IF(P86&lt;&gt;"","Manual / self-reported",IF(O86&lt;&gt;"","Self-reported channel only","Unattributed"))))</f>
        <v/>
      </c>
      <c r="S86" s="24" t="str">
        <f aca="false">IF(Q86="","",IFERROR(INDEX('Post Tracker'!$G$5:$G$1004,MATCH(Q86,'Post Tracker'!$A$5:$A$1004,0)),"ID NOT FOUND"))</f>
        <v/>
      </c>
      <c r="T86" s="24" t="str">
        <f aca="false">IF(Q86="","",IFERROR(INDEX('Post Tracker'!$K$5:$K$1004,MATCH(Q86,'Post Tracker'!$A$5:$A$1004,0))&amp;"",""))</f>
        <v/>
      </c>
      <c r="U86" s="33" t="str">
        <f aca="false">IF(OR(Q86="",B86=""),"",IFERROR(B86-INDEX('Post Tracker'!$B$5:$B$1004,MATCH(Q86,'Post Tracker'!$A$5:$A$1004,0)),""))</f>
        <v/>
      </c>
      <c r="V86" s="39"/>
      <c r="W86" s="29"/>
      <c r="X86" s="29"/>
      <c r="Y86" s="29"/>
      <c r="Z86" s="30"/>
      <c r="AA86" s="29"/>
      <c r="AB86" s="29"/>
    </row>
    <row r="87" customFormat="false" ht="15" hidden="false" customHeight="false" outlineLevel="0" collapsed="false">
      <c r="A87" s="41" t="str">
        <f aca="false">IF(B87="","",ROW()-4)</f>
        <v/>
      </c>
      <c r="B87" s="39"/>
      <c r="C87" s="29"/>
      <c r="D87" s="29"/>
      <c r="E87" s="29"/>
      <c r="F87" s="29"/>
      <c r="G87" s="29"/>
      <c r="H87" s="32"/>
      <c r="I87" s="29"/>
      <c r="J87" s="29"/>
      <c r="K87" s="29"/>
      <c r="L87" s="29"/>
      <c r="M87" s="29"/>
      <c r="N87" s="29"/>
      <c r="O87" s="29"/>
      <c r="P87" s="29"/>
      <c r="Q87" s="24" t="str">
        <f aca="false">IF(N87&lt;&gt;"",UPPER(TRIM(N87)),IF(P87&lt;&gt;"",UPPER(TRIM(P87)),""))</f>
        <v/>
      </c>
      <c r="R87" s="24" t="str">
        <f aca="false">IF(B87="","",IF(N87&lt;&gt;"","UTM tracked",IF(P87&lt;&gt;"","Manual / self-reported",IF(O87&lt;&gt;"","Self-reported channel only","Unattributed"))))</f>
        <v/>
      </c>
      <c r="S87" s="24" t="str">
        <f aca="false">IF(Q87="","",IFERROR(INDEX('Post Tracker'!$G$5:$G$1004,MATCH(Q87,'Post Tracker'!$A$5:$A$1004,0)),"ID NOT FOUND"))</f>
        <v/>
      </c>
      <c r="T87" s="24" t="str">
        <f aca="false">IF(Q87="","",IFERROR(INDEX('Post Tracker'!$K$5:$K$1004,MATCH(Q87,'Post Tracker'!$A$5:$A$1004,0))&amp;"",""))</f>
        <v/>
      </c>
      <c r="U87" s="33" t="str">
        <f aca="false">IF(OR(Q87="",B87=""),"",IFERROR(B87-INDEX('Post Tracker'!$B$5:$B$1004,MATCH(Q87,'Post Tracker'!$A$5:$A$1004,0)),""))</f>
        <v/>
      </c>
      <c r="V87" s="39"/>
      <c r="W87" s="29"/>
      <c r="X87" s="29"/>
      <c r="Y87" s="29"/>
      <c r="Z87" s="30"/>
      <c r="AA87" s="29"/>
      <c r="AB87" s="29"/>
    </row>
    <row r="88" customFormat="false" ht="15" hidden="false" customHeight="false" outlineLevel="0" collapsed="false">
      <c r="A88" s="41" t="str">
        <f aca="false">IF(B88="","",ROW()-4)</f>
        <v/>
      </c>
      <c r="B88" s="39"/>
      <c r="C88" s="29"/>
      <c r="D88" s="29"/>
      <c r="E88" s="29"/>
      <c r="F88" s="29"/>
      <c r="G88" s="29"/>
      <c r="H88" s="32"/>
      <c r="I88" s="29"/>
      <c r="J88" s="29"/>
      <c r="K88" s="29"/>
      <c r="L88" s="29"/>
      <c r="M88" s="29"/>
      <c r="N88" s="29"/>
      <c r="O88" s="29"/>
      <c r="P88" s="29"/>
      <c r="Q88" s="24" t="str">
        <f aca="false">IF(N88&lt;&gt;"",UPPER(TRIM(N88)),IF(P88&lt;&gt;"",UPPER(TRIM(P88)),""))</f>
        <v/>
      </c>
      <c r="R88" s="24" t="str">
        <f aca="false">IF(B88="","",IF(N88&lt;&gt;"","UTM tracked",IF(P88&lt;&gt;"","Manual / self-reported",IF(O88&lt;&gt;"","Self-reported channel only","Unattributed"))))</f>
        <v/>
      </c>
      <c r="S88" s="24" t="str">
        <f aca="false">IF(Q88="","",IFERROR(INDEX('Post Tracker'!$G$5:$G$1004,MATCH(Q88,'Post Tracker'!$A$5:$A$1004,0)),"ID NOT FOUND"))</f>
        <v/>
      </c>
      <c r="T88" s="24" t="str">
        <f aca="false">IF(Q88="","",IFERROR(INDEX('Post Tracker'!$K$5:$K$1004,MATCH(Q88,'Post Tracker'!$A$5:$A$1004,0))&amp;"",""))</f>
        <v/>
      </c>
      <c r="U88" s="33" t="str">
        <f aca="false">IF(OR(Q88="",B88=""),"",IFERROR(B88-INDEX('Post Tracker'!$B$5:$B$1004,MATCH(Q88,'Post Tracker'!$A$5:$A$1004,0)),""))</f>
        <v/>
      </c>
      <c r="V88" s="39"/>
      <c r="W88" s="29"/>
      <c r="X88" s="29"/>
      <c r="Y88" s="29"/>
      <c r="Z88" s="30"/>
      <c r="AA88" s="29"/>
      <c r="AB88" s="29"/>
    </row>
    <row r="89" customFormat="false" ht="15" hidden="false" customHeight="false" outlineLevel="0" collapsed="false">
      <c r="A89" s="41" t="str">
        <f aca="false">IF(B89="","",ROW()-4)</f>
        <v/>
      </c>
      <c r="B89" s="39"/>
      <c r="C89" s="29"/>
      <c r="D89" s="29"/>
      <c r="E89" s="29"/>
      <c r="F89" s="29"/>
      <c r="G89" s="29"/>
      <c r="H89" s="32"/>
      <c r="I89" s="29"/>
      <c r="J89" s="29"/>
      <c r="K89" s="29"/>
      <c r="L89" s="29"/>
      <c r="M89" s="29"/>
      <c r="N89" s="29"/>
      <c r="O89" s="29"/>
      <c r="P89" s="29"/>
      <c r="Q89" s="24" t="str">
        <f aca="false">IF(N89&lt;&gt;"",UPPER(TRIM(N89)),IF(P89&lt;&gt;"",UPPER(TRIM(P89)),""))</f>
        <v/>
      </c>
      <c r="R89" s="24" t="str">
        <f aca="false">IF(B89="","",IF(N89&lt;&gt;"","UTM tracked",IF(P89&lt;&gt;"","Manual / self-reported",IF(O89&lt;&gt;"","Self-reported channel only","Unattributed"))))</f>
        <v/>
      </c>
      <c r="S89" s="24" t="str">
        <f aca="false">IF(Q89="","",IFERROR(INDEX('Post Tracker'!$G$5:$G$1004,MATCH(Q89,'Post Tracker'!$A$5:$A$1004,0)),"ID NOT FOUND"))</f>
        <v/>
      </c>
      <c r="T89" s="24" t="str">
        <f aca="false">IF(Q89="","",IFERROR(INDEX('Post Tracker'!$K$5:$K$1004,MATCH(Q89,'Post Tracker'!$A$5:$A$1004,0))&amp;"",""))</f>
        <v/>
      </c>
      <c r="U89" s="33" t="str">
        <f aca="false">IF(OR(Q89="",B89=""),"",IFERROR(B89-INDEX('Post Tracker'!$B$5:$B$1004,MATCH(Q89,'Post Tracker'!$A$5:$A$1004,0)),""))</f>
        <v/>
      </c>
      <c r="V89" s="39"/>
      <c r="W89" s="29"/>
      <c r="X89" s="29"/>
      <c r="Y89" s="29"/>
      <c r="Z89" s="30"/>
      <c r="AA89" s="29"/>
      <c r="AB89" s="29"/>
    </row>
    <row r="90" customFormat="false" ht="15" hidden="false" customHeight="false" outlineLevel="0" collapsed="false">
      <c r="A90" s="41" t="str">
        <f aca="false">IF(B90="","",ROW()-4)</f>
        <v/>
      </c>
      <c r="B90" s="39"/>
      <c r="C90" s="29"/>
      <c r="D90" s="29"/>
      <c r="E90" s="29"/>
      <c r="F90" s="29"/>
      <c r="G90" s="29"/>
      <c r="H90" s="32"/>
      <c r="I90" s="29"/>
      <c r="J90" s="29"/>
      <c r="K90" s="29"/>
      <c r="L90" s="29"/>
      <c r="M90" s="29"/>
      <c r="N90" s="29"/>
      <c r="O90" s="29"/>
      <c r="P90" s="29"/>
      <c r="Q90" s="24" t="str">
        <f aca="false">IF(N90&lt;&gt;"",UPPER(TRIM(N90)),IF(P90&lt;&gt;"",UPPER(TRIM(P90)),""))</f>
        <v/>
      </c>
      <c r="R90" s="24" t="str">
        <f aca="false">IF(B90="","",IF(N90&lt;&gt;"","UTM tracked",IF(P90&lt;&gt;"","Manual / self-reported",IF(O90&lt;&gt;"","Self-reported channel only","Unattributed"))))</f>
        <v/>
      </c>
      <c r="S90" s="24" t="str">
        <f aca="false">IF(Q90="","",IFERROR(INDEX('Post Tracker'!$G$5:$G$1004,MATCH(Q90,'Post Tracker'!$A$5:$A$1004,0)),"ID NOT FOUND"))</f>
        <v/>
      </c>
      <c r="T90" s="24" t="str">
        <f aca="false">IF(Q90="","",IFERROR(INDEX('Post Tracker'!$K$5:$K$1004,MATCH(Q90,'Post Tracker'!$A$5:$A$1004,0))&amp;"",""))</f>
        <v/>
      </c>
      <c r="U90" s="33" t="str">
        <f aca="false">IF(OR(Q90="",B90=""),"",IFERROR(B90-INDEX('Post Tracker'!$B$5:$B$1004,MATCH(Q90,'Post Tracker'!$A$5:$A$1004,0)),""))</f>
        <v/>
      </c>
      <c r="V90" s="39"/>
      <c r="W90" s="29"/>
      <c r="X90" s="29"/>
      <c r="Y90" s="29"/>
      <c r="Z90" s="30"/>
      <c r="AA90" s="29"/>
      <c r="AB90" s="29"/>
    </row>
    <row r="91" customFormat="false" ht="15" hidden="false" customHeight="false" outlineLevel="0" collapsed="false">
      <c r="A91" s="41" t="str">
        <f aca="false">IF(B91="","",ROW()-4)</f>
        <v/>
      </c>
      <c r="B91" s="39"/>
      <c r="C91" s="29"/>
      <c r="D91" s="29"/>
      <c r="E91" s="29"/>
      <c r="F91" s="29"/>
      <c r="G91" s="29"/>
      <c r="H91" s="32"/>
      <c r="I91" s="29"/>
      <c r="J91" s="29"/>
      <c r="K91" s="29"/>
      <c r="L91" s="29"/>
      <c r="M91" s="29"/>
      <c r="N91" s="29"/>
      <c r="O91" s="29"/>
      <c r="P91" s="29"/>
      <c r="Q91" s="24" t="str">
        <f aca="false">IF(N91&lt;&gt;"",UPPER(TRIM(N91)),IF(P91&lt;&gt;"",UPPER(TRIM(P91)),""))</f>
        <v/>
      </c>
      <c r="R91" s="24" t="str">
        <f aca="false">IF(B91="","",IF(N91&lt;&gt;"","UTM tracked",IF(P91&lt;&gt;"","Manual / self-reported",IF(O91&lt;&gt;"","Self-reported channel only","Unattributed"))))</f>
        <v/>
      </c>
      <c r="S91" s="24" t="str">
        <f aca="false">IF(Q91="","",IFERROR(INDEX('Post Tracker'!$G$5:$G$1004,MATCH(Q91,'Post Tracker'!$A$5:$A$1004,0)),"ID NOT FOUND"))</f>
        <v/>
      </c>
      <c r="T91" s="24" t="str">
        <f aca="false">IF(Q91="","",IFERROR(INDEX('Post Tracker'!$K$5:$K$1004,MATCH(Q91,'Post Tracker'!$A$5:$A$1004,0))&amp;"",""))</f>
        <v/>
      </c>
      <c r="U91" s="33" t="str">
        <f aca="false">IF(OR(Q91="",B91=""),"",IFERROR(B91-INDEX('Post Tracker'!$B$5:$B$1004,MATCH(Q91,'Post Tracker'!$A$5:$A$1004,0)),""))</f>
        <v/>
      </c>
      <c r="V91" s="39"/>
      <c r="W91" s="29"/>
      <c r="X91" s="29"/>
      <c r="Y91" s="29"/>
      <c r="Z91" s="30"/>
      <c r="AA91" s="29"/>
      <c r="AB91" s="29"/>
    </row>
    <row r="92" customFormat="false" ht="15" hidden="false" customHeight="false" outlineLevel="0" collapsed="false">
      <c r="A92" s="41" t="str">
        <f aca="false">IF(B92="","",ROW()-4)</f>
        <v/>
      </c>
      <c r="B92" s="39"/>
      <c r="C92" s="29"/>
      <c r="D92" s="29"/>
      <c r="E92" s="29"/>
      <c r="F92" s="29"/>
      <c r="G92" s="29"/>
      <c r="H92" s="32"/>
      <c r="I92" s="29"/>
      <c r="J92" s="29"/>
      <c r="K92" s="29"/>
      <c r="L92" s="29"/>
      <c r="M92" s="29"/>
      <c r="N92" s="29"/>
      <c r="O92" s="29"/>
      <c r="P92" s="29"/>
      <c r="Q92" s="24" t="str">
        <f aca="false">IF(N92&lt;&gt;"",UPPER(TRIM(N92)),IF(P92&lt;&gt;"",UPPER(TRIM(P92)),""))</f>
        <v/>
      </c>
      <c r="R92" s="24" t="str">
        <f aca="false">IF(B92="","",IF(N92&lt;&gt;"","UTM tracked",IF(P92&lt;&gt;"","Manual / self-reported",IF(O92&lt;&gt;"","Self-reported channel only","Unattributed"))))</f>
        <v/>
      </c>
      <c r="S92" s="24" t="str">
        <f aca="false">IF(Q92="","",IFERROR(INDEX('Post Tracker'!$G$5:$G$1004,MATCH(Q92,'Post Tracker'!$A$5:$A$1004,0)),"ID NOT FOUND"))</f>
        <v/>
      </c>
      <c r="T92" s="24" t="str">
        <f aca="false">IF(Q92="","",IFERROR(INDEX('Post Tracker'!$K$5:$K$1004,MATCH(Q92,'Post Tracker'!$A$5:$A$1004,0))&amp;"",""))</f>
        <v/>
      </c>
      <c r="U92" s="33" t="str">
        <f aca="false">IF(OR(Q92="",B92=""),"",IFERROR(B92-INDEX('Post Tracker'!$B$5:$B$1004,MATCH(Q92,'Post Tracker'!$A$5:$A$1004,0)),""))</f>
        <v/>
      </c>
      <c r="V92" s="39"/>
      <c r="W92" s="29"/>
      <c r="X92" s="29"/>
      <c r="Y92" s="29"/>
      <c r="Z92" s="30"/>
      <c r="AA92" s="29"/>
      <c r="AB92" s="29"/>
    </row>
    <row r="93" customFormat="false" ht="15" hidden="false" customHeight="false" outlineLevel="0" collapsed="false">
      <c r="A93" s="41" t="str">
        <f aca="false">IF(B93="","",ROW()-4)</f>
        <v/>
      </c>
      <c r="B93" s="39"/>
      <c r="C93" s="29"/>
      <c r="D93" s="29"/>
      <c r="E93" s="29"/>
      <c r="F93" s="29"/>
      <c r="G93" s="29"/>
      <c r="H93" s="32"/>
      <c r="I93" s="29"/>
      <c r="J93" s="29"/>
      <c r="K93" s="29"/>
      <c r="L93" s="29"/>
      <c r="M93" s="29"/>
      <c r="N93" s="29"/>
      <c r="O93" s="29"/>
      <c r="P93" s="29"/>
      <c r="Q93" s="24" t="str">
        <f aca="false">IF(N93&lt;&gt;"",UPPER(TRIM(N93)),IF(P93&lt;&gt;"",UPPER(TRIM(P93)),""))</f>
        <v/>
      </c>
      <c r="R93" s="24" t="str">
        <f aca="false">IF(B93="","",IF(N93&lt;&gt;"","UTM tracked",IF(P93&lt;&gt;"","Manual / self-reported",IF(O93&lt;&gt;"","Self-reported channel only","Unattributed"))))</f>
        <v/>
      </c>
      <c r="S93" s="24" t="str">
        <f aca="false">IF(Q93="","",IFERROR(INDEX('Post Tracker'!$G$5:$G$1004,MATCH(Q93,'Post Tracker'!$A$5:$A$1004,0)),"ID NOT FOUND"))</f>
        <v/>
      </c>
      <c r="T93" s="24" t="str">
        <f aca="false">IF(Q93="","",IFERROR(INDEX('Post Tracker'!$K$5:$K$1004,MATCH(Q93,'Post Tracker'!$A$5:$A$1004,0))&amp;"",""))</f>
        <v/>
      </c>
      <c r="U93" s="33" t="str">
        <f aca="false">IF(OR(Q93="",B93=""),"",IFERROR(B93-INDEX('Post Tracker'!$B$5:$B$1004,MATCH(Q93,'Post Tracker'!$A$5:$A$1004,0)),""))</f>
        <v/>
      </c>
      <c r="V93" s="39"/>
      <c r="W93" s="29"/>
      <c r="X93" s="29"/>
      <c r="Y93" s="29"/>
      <c r="Z93" s="30"/>
      <c r="AA93" s="29"/>
      <c r="AB93" s="29"/>
    </row>
    <row r="94" customFormat="false" ht="15" hidden="false" customHeight="false" outlineLevel="0" collapsed="false">
      <c r="A94" s="41" t="str">
        <f aca="false">IF(B94="","",ROW()-4)</f>
        <v/>
      </c>
      <c r="B94" s="39"/>
      <c r="C94" s="29"/>
      <c r="D94" s="29"/>
      <c r="E94" s="29"/>
      <c r="F94" s="29"/>
      <c r="G94" s="29"/>
      <c r="H94" s="32"/>
      <c r="I94" s="29"/>
      <c r="J94" s="29"/>
      <c r="K94" s="29"/>
      <c r="L94" s="29"/>
      <c r="M94" s="29"/>
      <c r="N94" s="29"/>
      <c r="O94" s="29"/>
      <c r="P94" s="29"/>
      <c r="Q94" s="24" t="str">
        <f aca="false">IF(N94&lt;&gt;"",UPPER(TRIM(N94)),IF(P94&lt;&gt;"",UPPER(TRIM(P94)),""))</f>
        <v/>
      </c>
      <c r="R94" s="24" t="str">
        <f aca="false">IF(B94="","",IF(N94&lt;&gt;"","UTM tracked",IF(P94&lt;&gt;"","Manual / self-reported",IF(O94&lt;&gt;"","Self-reported channel only","Unattributed"))))</f>
        <v/>
      </c>
      <c r="S94" s="24" t="str">
        <f aca="false">IF(Q94="","",IFERROR(INDEX('Post Tracker'!$G$5:$G$1004,MATCH(Q94,'Post Tracker'!$A$5:$A$1004,0)),"ID NOT FOUND"))</f>
        <v/>
      </c>
      <c r="T94" s="24" t="str">
        <f aca="false">IF(Q94="","",IFERROR(INDEX('Post Tracker'!$K$5:$K$1004,MATCH(Q94,'Post Tracker'!$A$5:$A$1004,0))&amp;"",""))</f>
        <v/>
      </c>
      <c r="U94" s="33" t="str">
        <f aca="false">IF(OR(Q94="",B94=""),"",IFERROR(B94-INDEX('Post Tracker'!$B$5:$B$1004,MATCH(Q94,'Post Tracker'!$A$5:$A$1004,0)),""))</f>
        <v/>
      </c>
      <c r="V94" s="39"/>
      <c r="W94" s="29"/>
      <c r="X94" s="29"/>
      <c r="Y94" s="29"/>
      <c r="Z94" s="30"/>
      <c r="AA94" s="29"/>
      <c r="AB94" s="29"/>
    </row>
    <row r="95" customFormat="false" ht="15" hidden="false" customHeight="false" outlineLevel="0" collapsed="false">
      <c r="A95" s="41" t="str">
        <f aca="false">IF(B95="","",ROW()-4)</f>
        <v/>
      </c>
      <c r="B95" s="39"/>
      <c r="C95" s="29"/>
      <c r="D95" s="29"/>
      <c r="E95" s="29"/>
      <c r="F95" s="29"/>
      <c r="G95" s="29"/>
      <c r="H95" s="32"/>
      <c r="I95" s="29"/>
      <c r="J95" s="29"/>
      <c r="K95" s="29"/>
      <c r="L95" s="29"/>
      <c r="M95" s="29"/>
      <c r="N95" s="29"/>
      <c r="O95" s="29"/>
      <c r="P95" s="29"/>
      <c r="Q95" s="24" t="str">
        <f aca="false">IF(N95&lt;&gt;"",UPPER(TRIM(N95)),IF(P95&lt;&gt;"",UPPER(TRIM(P95)),""))</f>
        <v/>
      </c>
      <c r="R95" s="24" t="str">
        <f aca="false">IF(B95="","",IF(N95&lt;&gt;"","UTM tracked",IF(P95&lt;&gt;"","Manual / self-reported",IF(O95&lt;&gt;"","Self-reported channel only","Unattributed"))))</f>
        <v/>
      </c>
      <c r="S95" s="24" t="str">
        <f aca="false">IF(Q95="","",IFERROR(INDEX('Post Tracker'!$G$5:$G$1004,MATCH(Q95,'Post Tracker'!$A$5:$A$1004,0)),"ID NOT FOUND"))</f>
        <v/>
      </c>
      <c r="T95" s="24" t="str">
        <f aca="false">IF(Q95="","",IFERROR(INDEX('Post Tracker'!$K$5:$K$1004,MATCH(Q95,'Post Tracker'!$A$5:$A$1004,0))&amp;"",""))</f>
        <v/>
      </c>
      <c r="U95" s="33" t="str">
        <f aca="false">IF(OR(Q95="",B95=""),"",IFERROR(B95-INDEX('Post Tracker'!$B$5:$B$1004,MATCH(Q95,'Post Tracker'!$A$5:$A$1004,0)),""))</f>
        <v/>
      </c>
      <c r="V95" s="39"/>
      <c r="W95" s="29"/>
      <c r="X95" s="29"/>
      <c r="Y95" s="29"/>
      <c r="Z95" s="30"/>
      <c r="AA95" s="29"/>
      <c r="AB95" s="29"/>
    </row>
    <row r="96" customFormat="false" ht="15" hidden="false" customHeight="false" outlineLevel="0" collapsed="false">
      <c r="A96" s="41" t="str">
        <f aca="false">IF(B96="","",ROW()-4)</f>
        <v/>
      </c>
      <c r="B96" s="39"/>
      <c r="C96" s="29"/>
      <c r="D96" s="29"/>
      <c r="E96" s="29"/>
      <c r="F96" s="29"/>
      <c r="G96" s="29"/>
      <c r="H96" s="32"/>
      <c r="I96" s="29"/>
      <c r="J96" s="29"/>
      <c r="K96" s="29"/>
      <c r="L96" s="29"/>
      <c r="M96" s="29"/>
      <c r="N96" s="29"/>
      <c r="O96" s="29"/>
      <c r="P96" s="29"/>
      <c r="Q96" s="24" t="str">
        <f aca="false">IF(N96&lt;&gt;"",UPPER(TRIM(N96)),IF(P96&lt;&gt;"",UPPER(TRIM(P96)),""))</f>
        <v/>
      </c>
      <c r="R96" s="24" t="str">
        <f aca="false">IF(B96="","",IF(N96&lt;&gt;"","UTM tracked",IF(P96&lt;&gt;"","Manual / self-reported",IF(O96&lt;&gt;"","Self-reported channel only","Unattributed"))))</f>
        <v/>
      </c>
      <c r="S96" s="24" t="str">
        <f aca="false">IF(Q96="","",IFERROR(INDEX('Post Tracker'!$G$5:$G$1004,MATCH(Q96,'Post Tracker'!$A$5:$A$1004,0)),"ID NOT FOUND"))</f>
        <v/>
      </c>
      <c r="T96" s="24" t="str">
        <f aca="false">IF(Q96="","",IFERROR(INDEX('Post Tracker'!$K$5:$K$1004,MATCH(Q96,'Post Tracker'!$A$5:$A$1004,0))&amp;"",""))</f>
        <v/>
      </c>
      <c r="U96" s="33" t="str">
        <f aca="false">IF(OR(Q96="",B96=""),"",IFERROR(B96-INDEX('Post Tracker'!$B$5:$B$1004,MATCH(Q96,'Post Tracker'!$A$5:$A$1004,0)),""))</f>
        <v/>
      </c>
      <c r="V96" s="39"/>
      <c r="W96" s="29"/>
      <c r="X96" s="29"/>
      <c r="Y96" s="29"/>
      <c r="Z96" s="30"/>
      <c r="AA96" s="29"/>
      <c r="AB96" s="29"/>
    </row>
    <row r="97" customFormat="false" ht="15" hidden="false" customHeight="false" outlineLevel="0" collapsed="false">
      <c r="A97" s="41" t="str">
        <f aca="false">IF(B97="","",ROW()-4)</f>
        <v/>
      </c>
      <c r="B97" s="39"/>
      <c r="C97" s="29"/>
      <c r="D97" s="29"/>
      <c r="E97" s="29"/>
      <c r="F97" s="29"/>
      <c r="G97" s="29"/>
      <c r="H97" s="32"/>
      <c r="I97" s="29"/>
      <c r="J97" s="29"/>
      <c r="K97" s="29"/>
      <c r="L97" s="29"/>
      <c r="M97" s="29"/>
      <c r="N97" s="29"/>
      <c r="O97" s="29"/>
      <c r="P97" s="29"/>
      <c r="Q97" s="24" t="str">
        <f aca="false">IF(N97&lt;&gt;"",UPPER(TRIM(N97)),IF(P97&lt;&gt;"",UPPER(TRIM(P97)),""))</f>
        <v/>
      </c>
      <c r="R97" s="24" t="str">
        <f aca="false">IF(B97="","",IF(N97&lt;&gt;"","UTM tracked",IF(P97&lt;&gt;"","Manual / self-reported",IF(O97&lt;&gt;"","Self-reported channel only","Unattributed"))))</f>
        <v/>
      </c>
      <c r="S97" s="24" t="str">
        <f aca="false">IF(Q97="","",IFERROR(INDEX('Post Tracker'!$G$5:$G$1004,MATCH(Q97,'Post Tracker'!$A$5:$A$1004,0)),"ID NOT FOUND"))</f>
        <v/>
      </c>
      <c r="T97" s="24" t="str">
        <f aca="false">IF(Q97="","",IFERROR(INDEX('Post Tracker'!$K$5:$K$1004,MATCH(Q97,'Post Tracker'!$A$5:$A$1004,0))&amp;"",""))</f>
        <v/>
      </c>
      <c r="U97" s="33" t="str">
        <f aca="false">IF(OR(Q97="",B97=""),"",IFERROR(B97-INDEX('Post Tracker'!$B$5:$B$1004,MATCH(Q97,'Post Tracker'!$A$5:$A$1004,0)),""))</f>
        <v/>
      </c>
      <c r="V97" s="39"/>
      <c r="W97" s="29"/>
      <c r="X97" s="29"/>
      <c r="Y97" s="29"/>
      <c r="Z97" s="30"/>
      <c r="AA97" s="29"/>
      <c r="AB97" s="29"/>
    </row>
    <row r="98" customFormat="false" ht="15" hidden="false" customHeight="false" outlineLevel="0" collapsed="false">
      <c r="A98" s="41" t="str">
        <f aca="false">IF(B98="","",ROW()-4)</f>
        <v/>
      </c>
      <c r="B98" s="39"/>
      <c r="C98" s="29"/>
      <c r="D98" s="29"/>
      <c r="E98" s="29"/>
      <c r="F98" s="29"/>
      <c r="G98" s="29"/>
      <c r="H98" s="32"/>
      <c r="I98" s="29"/>
      <c r="J98" s="29"/>
      <c r="K98" s="29"/>
      <c r="L98" s="29"/>
      <c r="M98" s="29"/>
      <c r="N98" s="29"/>
      <c r="O98" s="29"/>
      <c r="P98" s="29"/>
      <c r="Q98" s="24" t="str">
        <f aca="false">IF(N98&lt;&gt;"",UPPER(TRIM(N98)),IF(P98&lt;&gt;"",UPPER(TRIM(P98)),""))</f>
        <v/>
      </c>
      <c r="R98" s="24" t="str">
        <f aca="false">IF(B98="","",IF(N98&lt;&gt;"","UTM tracked",IF(P98&lt;&gt;"","Manual / self-reported",IF(O98&lt;&gt;"","Self-reported channel only","Unattributed"))))</f>
        <v/>
      </c>
      <c r="S98" s="24" t="str">
        <f aca="false">IF(Q98="","",IFERROR(INDEX('Post Tracker'!$G$5:$G$1004,MATCH(Q98,'Post Tracker'!$A$5:$A$1004,0)),"ID NOT FOUND"))</f>
        <v/>
      </c>
      <c r="T98" s="24" t="str">
        <f aca="false">IF(Q98="","",IFERROR(INDEX('Post Tracker'!$K$5:$K$1004,MATCH(Q98,'Post Tracker'!$A$5:$A$1004,0))&amp;"",""))</f>
        <v/>
      </c>
      <c r="U98" s="33" t="str">
        <f aca="false">IF(OR(Q98="",B98=""),"",IFERROR(B98-INDEX('Post Tracker'!$B$5:$B$1004,MATCH(Q98,'Post Tracker'!$A$5:$A$1004,0)),""))</f>
        <v/>
      </c>
      <c r="V98" s="39"/>
      <c r="W98" s="29"/>
      <c r="X98" s="29"/>
      <c r="Y98" s="29"/>
      <c r="Z98" s="30"/>
      <c r="AA98" s="29"/>
      <c r="AB98" s="29"/>
    </row>
    <row r="99" customFormat="false" ht="15" hidden="false" customHeight="false" outlineLevel="0" collapsed="false">
      <c r="A99" s="41" t="str">
        <f aca="false">IF(B99="","",ROW()-4)</f>
        <v/>
      </c>
      <c r="B99" s="39"/>
      <c r="C99" s="29"/>
      <c r="D99" s="29"/>
      <c r="E99" s="29"/>
      <c r="F99" s="29"/>
      <c r="G99" s="29"/>
      <c r="H99" s="32"/>
      <c r="I99" s="29"/>
      <c r="J99" s="29"/>
      <c r="K99" s="29"/>
      <c r="L99" s="29"/>
      <c r="M99" s="29"/>
      <c r="N99" s="29"/>
      <c r="O99" s="29"/>
      <c r="P99" s="29"/>
      <c r="Q99" s="24" t="str">
        <f aca="false">IF(N99&lt;&gt;"",UPPER(TRIM(N99)),IF(P99&lt;&gt;"",UPPER(TRIM(P99)),""))</f>
        <v/>
      </c>
      <c r="R99" s="24" t="str">
        <f aca="false">IF(B99="","",IF(N99&lt;&gt;"","UTM tracked",IF(P99&lt;&gt;"","Manual / self-reported",IF(O99&lt;&gt;"","Self-reported channel only","Unattributed"))))</f>
        <v/>
      </c>
      <c r="S99" s="24" t="str">
        <f aca="false">IF(Q99="","",IFERROR(INDEX('Post Tracker'!$G$5:$G$1004,MATCH(Q99,'Post Tracker'!$A$5:$A$1004,0)),"ID NOT FOUND"))</f>
        <v/>
      </c>
      <c r="T99" s="24" t="str">
        <f aca="false">IF(Q99="","",IFERROR(INDEX('Post Tracker'!$K$5:$K$1004,MATCH(Q99,'Post Tracker'!$A$5:$A$1004,0))&amp;"",""))</f>
        <v/>
      </c>
      <c r="U99" s="33" t="str">
        <f aca="false">IF(OR(Q99="",B99=""),"",IFERROR(B99-INDEX('Post Tracker'!$B$5:$B$1004,MATCH(Q99,'Post Tracker'!$A$5:$A$1004,0)),""))</f>
        <v/>
      </c>
      <c r="V99" s="39"/>
      <c r="W99" s="29"/>
      <c r="X99" s="29"/>
      <c r="Y99" s="29"/>
      <c r="Z99" s="30"/>
      <c r="AA99" s="29"/>
      <c r="AB99" s="29"/>
    </row>
    <row r="100" customFormat="false" ht="15" hidden="false" customHeight="false" outlineLevel="0" collapsed="false">
      <c r="A100" s="41" t="str">
        <f aca="false">IF(B100="","",ROW()-4)</f>
        <v/>
      </c>
      <c r="B100" s="39"/>
      <c r="C100" s="29"/>
      <c r="D100" s="29"/>
      <c r="E100" s="29"/>
      <c r="F100" s="29"/>
      <c r="G100" s="29"/>
      <c r="H100" s="32"/>
      <c r="I100" s="29"/>
      <c r="J100" s="29"/>
      <c r="K100" s="29"/>
      <c r="L100" s="29"/>
      <c r="M100" s="29"/>
      <c r="N100" s="29"/>
      <c r="O100" s="29"/>
      <c r="P100" s="29"/>
      <c r="Q100" s="24" t="str">
        <f aca="false">IF(N100&lt;&gt;"",UPPER(TRIM(N100)),IF(P100&lt;&gt;"",UPPER(TRIM(P100)),""))</f>
        <v/>
      </c>
      <c r="R100" s="24" t="str">
        <f aca="false">IF(B100="","",IF(N100&lt;&gt;"","UTM tracked",IF(P100&lt;&gt;"","Manual / self-reported",IF(O100&lt;&gt;"","Self-reported channel only","Unattributed"))))</f>
        <v/>
      </c>
      <c r="S100" s="24" t="str">
        <f aca="false">IF(Q100="","",IFERROR(INDEX('Post Tracker'!$G$5:$G$1004,MATCH(Q100,'Post Tracker'!$A$5:$A$1004,0)),"ID NOT FOUND"))</f>
        <v/>
      </c>
      <c r="T100" s="24" t="str">
        <f aca="false">IF(Q100="","",IFERROR(INDEX('Post Tracker'!$K$5:$K$1004,MATCH(Q100,'Post Tracker'!$A$5:$A$1004,0))&amp;"",""))</f>
        <v/>
      </c>
      <c r="U100" s="33" t="str">
        <f aca="false">IF(OR(Q100="",B100=""),"",IFERROR(B100-INDEX('Post Tracker'!$B$5:$B$1004,MATCH(Q100,'Post Tracker'!$A$5:$A$1004,0)),""))</f>
        <v/>
      </c>
      <c r="V100" s="39"/>
      <c r="W100" s="29"/>
      <c r="X100" s="29"/>
      <c r="Y100" s="29"/>
      <c r="Z100" s="30"/>
      <c r="AA100" s="29"/>
      <c r="AB100" s="29"/>
    </row>
    <row r="101" customFormat="false" ht="15" hidden="false" customHeight="false" outlineLevel="0" collapsed="false">
      <c r="A101" s="41" t="str">
        <f aca="false">IF(B101="","",ROW()-4)</f>
        <v/>
      </c>
      <c r="B101" s="39"/>
      <c r="C101" s="29"/>
      <c r="D101" s="29"/>
      <c r="E101" s="29"/>
      <c r="F101" s="29"/>
      <c r="G101" s="29"/>
      <c r="H101" s="32"/>
      <c r="I101" s="29"/>
      <c r="J101" s="29"/>
      <c r="K101" s="29"/>
      <c r="L101" s="29"/>
      <c r="M101" s="29"/>
      <c r="N101" s="29"/>
      <c r="O101" s="29"/>
      <c r="P101" s="29"/>
      <c r="Q101" s="24" t="str">
        <f aca="false">IF(N101&lt;&gt;"",UPPER(TRIM(N101)),IF(P101&lt;&gt;"",UPPER(TRIM(P101)),""))</f>
        <v/>
      </c>
      <c r="R101" s="24" t="str">
        <f aca="false">IF(B101="","",IF(N101&lt;&gt;"","UTM tracked",IF(P101&lt;&gt;"","Manual / self-reported",IF(O101&lt;&gt;"","Self-reported channel only","Unattributed"))))</f>
        <v/>
      </c>
      <c r="S101" s="24" t="str">
        <f aca="false">IF(Q101="","",IFERROR(INDEX('Post Tracker'!$G$5:$G$1004,MATCH(Q101,'Post Tracker'!$A$5:$A$1004,0)),"ID NOT FOUND"))</f>
        <v/>
      </c>
      <c r="T101" s="24" t="str">
        <f aca="false">IF(Q101="","",IFERROR(INDEX('Post Tracker'!$K$5:$K$1004,MATCH(Q101,'Post Tracker'!$A$5:$A$1004,0))&amp;"",""))</f>
        <v/>
      </c>
      <c r="U101" s="33" t="str">
        <f aca="false">IF(OR(Q101="",B101=""),"",IFERROR(B101-INDEX('Post Tracker'!$B$5:$B$1004,MATCH(Q101,'Post Tracker'!$A$5:$A$1004,0)),""))</f>
        <v/>
      </c>
      <c r="V101" s="39"/>
      <c r="W101" s="29"/>
      <c r="X101" s="29"/>
      <c r="Y101" s="29"/>
      <c r="Z101" s="30"/>
      <c r="AA101" s="29"/>
      <c r="AB101" s="29"/>
    </row>
    <row r="102" customFormat="false" ht="15" hidden="false" customHeight="false" outlineLevel="0" collapsed="false">
      <c r="A102" s="41" t="str">
        <f aca="false">IF(B102="","",ROW()-4)</f>
        <v/>
      </c>
      <c r="B102" s="39"/>
      <c r="C102" s="29"/>
      <c r="D102" s="29"/>
      <c r="E102" s="29"/>
      <c r="F102" s="29"/>
      <c r="G102" s="29"/>
      <c r="H102" s="32"/>
      <c r="I102" s="29"/>
      <c r="J102" s="29"/>
      <c r="K102" s="29"/>
      <c r="L102" s="29"/>
      <c r="M102" s="29"/>
      <c r="N102" s="29"/>
      <c r="O102" s="29"/>
      <c r="P102" s="29"/>
      <c r="Q102" s="24" t="str">
        <f aca="false">IF(N102&lt;&gt;"",UPPER(TRIM(N102)),IF(P102&lt;&gt;"",UPPER(TRIM(P102)),""))</f>
        <v/>
      </c>
      <c r="R102" s="24" t="str">
        <f aca="false">IF(B102="","",IF(N102&lt;&gt;"","UTM tracked",IF(P102&lt;&gt;"","Manual / self-reported",IF(O102&lt;&gt;"","Self-reported channel only","Unattributed"))))</f>
        <v/>
      </c>
      <c r="S102" s="24" t="str">
        <f aca="false">IF(Q102="","",IFERROR(INDEX('Post Tracker'!$G$5:$G$1004,MATCH(Q102,'Post Tracker'!$A$5:$A$1004,0)),"ID NOT FOUND"))</f>
        <v/>
      </c>
      <c r="T102" s="24" t="str">
        <f aca="false">IF(Q102="","",IFERROR(INDEX('Post Tracker'!$K$5:$K$1004,MATCH(Q102,'Post Tracker'!$A$5:$A$1004,0))&amp;"",""))</f>
        <v/>
      </c>
      <c r="U102" s="33" t="str">
        <f aca="false">IF(OR(Q102="",B102=""),"",IFERROR(B102-INDEX('Post Tracker'!$B$5:$B$1004,MATCH(Q102,'Post Tracker'!$A$5:$A$1004,0)),""))</f>
        <v/>
      </c>
      <c r="V102" s="39"/>
      <c r="W102" s="29"/>
      <c r="X102" s="29"/>
      <c r="Y102" s="29"/>
      <c r="Z102" s="30"/>
      <c r="AA102" s="29"/>
      <c r="AB102" s="29"/>
    </row>
    <row r="103" customFormat="false" ht="15" hidden="false" customHeight="false" outlineLevel="0" collapsed="false">
      <c r="A103" s="41" t="str">
        <f aca="false">IF(B103="","",ROW()-4)</f>
        <v/>
      </c>
      <c r="B103" s="39"/>
      <c r="C103" s="29"/>
      <c r="D103" s="29"/>
      <c r="E103" s="29"/>
      <c r="F103" s="29"/>
      <c r="G103" s="29"/>
      <c r="H103" s="32"/>
      <c r="I103" s="29"/>
      <c r="J103" s="29"/>
      <c r="K103" s="29"/>
      <c r="L103" s="29"/>
      <c r="M103" s="29"/>
      <c r="N103" s="29"/>
      <c r="O103" s="29"/>
      <c r="P103" s="29"/>
      <c r="Q103" s="24" t="str">
        <f aca="false">IF(N103&lt;&gt;"",UPPER(TRIM(N103)),IF(P103&lt;&gt;"",UPPER(TRIM(P103)),""))</f>
        <v/>
      </c>
      <c r="R103" s="24" t="str">
        <f aca="false">IF(B103="","",IF(N103&lt;&gt;"","UTM tracked",IF(P103&lt;&gt;"","Manual / self-reported",IF(O103&lt;&gt;"","Self-reported channel only","Unattributed"))))</f>
        <v/>
      </c>
      <c r="S103" s="24" t="str">
        <f aca="false">IF(Q103="","",IFERROR(INDEX('Post Tracker'!$G$5:$G$1004,MATCH(Q103,'Post Tracker'!$A$5:$A$1004,0)),"ID NOT FOUND"))</f>
        <v/>
      </c>
      <c r="T103" s="24" t="str">
        <f aca="false">IF(Q103="","",IFERROR(INDEX('Post Tracker'!$K$5:$K$1004,MATCH(Q103,'Post Tracker'!$A$5:$A$1004,0))&amp;"",""))</f>
        <v/>
      </c>
      <c r="U103" s="33" t="str">
        <f aca="false">IF(OR(Q103="",B103=""),"",IFERROR(B103-INDEX('Post Tracker'!$B$5:$B$1004,MATCH(Q103,'Post Tracker'!$A$5:$A$1004,0)),""))</f>
        <v/>
      </c>
      <c r="V103" s="39"/>
      <c r="W103" s="29"/>
      <c r="X103" s="29"/>
      <c r="Y103" s="29"/>
      <c r="Z103" s="30"/>
      <c r="AA103" s="29"/>
      <c r="AB103" s="29"/>
    </row>
    <row r="104" customFormat="false" ht="15" hidden="false" customHeight="false" outlineLevel="0" collapsed="false">
      <c r="A104" s="41" t="str">
        <f aca="false">IF(B104="","",ROW()-4)</f>
        <v/>
      </c>
      <c r="B104" s="39"/>
      <c r="C104" s="29"/>
      <c r="D104" s="29"/>
      <c r="E104" s="29"/>
      <c r="F104" s="29"/>
      <c r="G104" s="29"/>
      <c r="H104" s="32"/>
      <c r="I104" s="29"/>
      <c r="J104" s="29"/>
      <c r="K104" s="29"/>
      <c r="L104" s="29"/>
      <c r="M104" s="29"/>
      <c r="N104" s="29"/>
      <c r="O104" s="29"/>
      <c r="P104" s="29"/>
      <c r="Q104" s="24" t="str">
        <f aca="false">IF(N104&lt;&gt;"",UPPER(TRIM(N104)),IF(P104&lt;&gt;"",UPPER(TRIM(P104)),""))</f>
        <v/>
      </c>
      <c r="R104" s="24" t="str">
        <f aca="false">IF(B104="","",IF(N104&lt;&gt;"","UTM tracked",IF(P104&lt;&gt;"","Manual / self-reported",IF(O104&lt;&gt;"","Self-reported channel only","Unattributed"))))</f>
        <v/>
      </c>
      <c r="S104" s="24" t="str">
        <f aca="false">IF(Q104="","",IFERROR(INDEX('Post Tracker'!$G$5:$G$1004,MATCH(Q104,'Post Tracker'!$A$5:$A$1004,0)),"ID NOT FOUND"))</f>
        <v/>
      </c>
      <c r="T104" s="24" t="str">
        <f aca="false">IF(Q104="","",IFERROR(INDEX('Post Tracker'!$K$5:$K$1004,MATCH(Q104,'Post Tracker'!$A$5:$A$1004,0))&amp;"",""))</f>
        <v/>
      </c>
      <c r="U104" s="33" t="str">
        <f aca="false">IF(OR(Q104="",B104=""),"",IFERROR(B104-INDEX('Post Tracker'!$B$5:$B$1004,MATCH(Q104,'Post Tracker'!$A$5:$A$1004,0)),""))</f>
        <v/>
      </c>
      <c r="V104" s="39"/>
      <c r="W104" s="29"/>
      <c r="X104" s="29"/>
      <c r="Y104" s="29"/>
      <c r="Z104" s="30"/>
      <c r="AA104" s="29"/>
      <c r="AB104" s="29"/>
    </row>
    <row r="105" customFormat="false" ht="15" hidden="false" customHeight="false" outlineLevel="0" collapsed="false">
      <c r="A105" s="41" t="str">
        <f aca="false">IF(B105="","",ROW()-4)</f>
        <v/>
      </c>
      <c r="B105" s="39"/>
      <c r="C105" s="29"/>
      <c r="D105" s="29"/>
      <c r="E105" s="29"/>
      <c r="F105" s="29"/>
      <c r="G105" s="29"/>
      <c r="H105" s="32"/>
      <c r="I105" s="29"/>
      <c r="J105" s="29"/>
      <c r="K105" s="29"/>
      <c r="L105" s="29"/>
      <c r="M105" s="29"/>
      <c r="N105" s="29"/>
      <c r="O105" s="29"/>
      <c r="P105" s="29"/>
      <c r="Q105" s="24" t="str">
        <f aca="false">IF(N105&lt;&gt;"",UPPER(TRIM(N105)),IF(P105&lt;&gt;"",UPPER(TRIM(P105)),""))</f>
        <v/>
      </c>
      <c r="R105" s="24" t="str">
        <f aca="false">IF(B105="","",IF(N105&lt;&gt;"","UTM tracked",IF(P105&lt;&gt;"","Manual / self-reported",IF(O105&lt;&gt;"","Self-reported channel only","Unattributed"))))</f>
        <v/>
      </c>
      <c r="S105" s="24" t="str">
        <f aca="false">IF(Q105="","",IFERROR(INDEX('Post Tracker'!$G$5:$G$1004,MATCH(Q105,'Post Tracker'!$A$5:$A$1004,0)),"ID NOT FOUND"))</f>
        <v/>
      </c>
      <c r="T105" s="24" t="str">
        <f aca="false">IF(Q105="","",IFERROR(INDEX('Post Tracker'!$K$5:$K$1004,MATCH(Q105,'Post Tracker'!$A$5:$A$1004,0))&amp;"",""))</f>
        <v/>
      </c>
      <c r="U105" s="33" t="str">
        <f aca="false">IF(OR(Q105="",B105=""),"",IFERROR(B105-INDEX('Post Tracker'!$B$5:$B$1004,MATCH(Q105,'Post Tracker'!$A$5:$A$1004,0)),""))</f>
        <v/>
      </c>
      <c r="V105" s="39"/>
      <c r="W105" s="29"/>
      <c r="X105" s="29"/>
      <c r="Y105" s="29"/>
      <c r="Z105" s="30"/>
      <c r="AA105" s="29"/>
      <c r="AB105" s="29"/>
    </row>
    <row r="106" customFormat="false" ht="15" hidden="false" customHeight="false" outlineLevel="0" collapsed="false">
      <c r="A106" s="41" t="str">
        <f aca="false">IF(B106="","",ROW()-4)</f>
        <v/>
      </c>
      <c r="B106" s="39"/>
      <c r="C106" s="29"/>
      <c r="D106" s="29"/>
      <c r="E106" s="29"/>
      <c r="F106" s="29"/>
      <c r="G106" s="29"/>
      <c r="H106" s="32"/>
      <c r="I106" s="29"/>
      <c r="J106" s="29"/>
      <c r="K106" s="29"/>
      <c r="L106" s="29"/>
      <c r="M106" s="29"/>
      <c r="N106" s="29"/>
      <c r="O106" s="29"/>
      <c r="P106" s="29"/>
      <c r="Q106" s="24" t="str">
        <f aca="false">IF(N106&lt;&gt;"",UPPER(TRIM(N106)),IF(P106&lt;&gt;"",UPPER(TRIM(P106)),""))</f>
        <v/>
      </c>
      <c r="R106" s="24" t="str">
        <f aca="false">IF(B106="","",IF(N106&lt;&gt;"","UTM tracked",IF(P106&lt;&gt;"","Manual / self-reported",IF(O106&lt;&gt;"","Self-reported channel only","Unattributed"))))</f>
        <v/>
      </c>
      <c r="S106" s="24" t="str">
        <f aca="false">IF(Q106="","",IFERROR(INDEX('Post Tracker'!$G$5:$G$1004,MATCH(Q106,'Post Tracker'!$A$5:$A$1004,0)),"ID NOT FOUND"))</f>
        <v/>
      </c>
      <c r="T106" s="24" t="str">
        <f aca="false">IF(Q106="","",IFERROR(INDEX('Post Tracker'!$K$5:$K$1004,MATCH(Q106,'Post Tracker'!$A$5:$A$1004,0))&amp;"",""))</f>
        <v/>
      </c>
      <c r="U106" s="33" t="str">
        <f aca="false">IF(OR(Q106="",B106=""),"",IFERROR(B106-INDEX('Post Tracker'!$B$5:$B$1004,MATCH(Q106,'Post Tracker'!$A$5:$A$1004,0)),""))</f>
        <v/>
      </c>
      <c r="V106" s="39"/>
      <c r="W106" s="29"/>
      <c r="X106" s="29"/>
      <c r="Y106" s="29"/>
      <c r="Z106" s="30"/>
      <c r="AA106" s="29"/>
      <c r="AB106" s="29"/>
    </row>
    <row r="107" customFormat="false" ht="15" hidden="false" customHeight="false" outlineLevel="0" collapsed="false">
      <c r="A107" s="41" t="str">
        <f aca="false">IF(B107="","",ROW()-4)</f>
        <v/>
      </c>
      <c r="B107" s="39"/>
      <c r="C107" s="29"/>
      <c r="D107" s="29"/>
      <c r="E107" s="29"/>
      <c r="F107" s="29"/>
      <c r="G107" s="29"/>
      <c r="H107" s="32"/>
      <c r="I107" s="29"/>
      <c r="J107" s="29"/>
      <c r="K107" s="29"/>
      <c r="L107" s="29"/>
      <c r="M107" s="29"/>
      <c r="N107" s="29"/>
      <c r="O107" s="29"/>
      <c r="P107" s="29"/>
      <c r="Q107" s="24" t="str">
        <f aca="false">IF(N107&lt;&gt;"",UPPER(TRIM(N107)),IF(P107&lt;&gt;"",UPPER(TRIM(P107)),""))</f>
        <v/>
      </c>
      <c r="R107" s="24" t="str">
        <f aca="false">IF(B107="","",IF(N107&lt;&gt;"","UTM tracked",IF(P107&lt;&gt;"","Manual / self-reported",IF(O107&lt;&gt;"","Self-reported channel only","Unattributed"))))</f>
        <v/>
      </c>
      <c r="S107" s="24" t="str">
        <f aca="false">IF(Q107="","",IFERROR(INDEX('Post Tracker'!$G$5:$G$1004,MATCH(Q107,'Post Tracker'!$A$5:$A$1004,0)),"ID NOT FOUND"))</f>
        <v/>
      </c>
      <c r="T107" s="24" t="str">
        <f aca="false">IF(Q107="","",IFERROR(INDEX('Post Tracker'!$K$5:$K$1004,MATCH(Q107,'Post Tracker'!$A$5:$A$1004,0))&amp;"",""))</f>
        <v/>
      </c>
      <c r="U107" s="33" t="str">
        <f aca="false">IF(OR(Q107="",B107=""),"",IFERROR(B107-INDEX('Post Tracker'!$B$5:$B$1004,MATCH(Q107,'Post Tracker'!$A$5:$A$1004,0)),""))</f>
        <v/>
      </c>
      <c r="V107" s="39"/>
      <c r="W107" s="29"/>
      <c r="X107" s="29"/>
      <c r="Y107" s="29"/>
      <c r="Z107" s="30"/>
      <c r="AA107" s="29"/>
      <c r="AB107" s="29"/>
    </row>
    <row r="108" customFormat="false" ht="15" hidden="false" customHeight="false" outlineLevel="0" collapsed="false">
      <c r="A108" s="41" t="str">
        <f aca="false">IF(B108="","",ROW()-4)</f>
        <v/>
      </c>
      <c r="B108" s="39"/>
      <c r="C108" s="29"/>
      <c r="D108" s="29"/>
      <c r="E108" s="29"/>
      <c r="F108" s="29"/>
      <c r="G108" s="29"/>
      <c r="H108" s="32"/>
      <c r="I108" s="29"/>
      <c r="J108" s="29"/>
      <c r="K108" s="29"/>
      <c r="L108" s="29"/>
      <c r="M108" s="29"/>
      <c r="N108" s="29"/>
      <c r="O108" s="29"/>
      <c r="P108" s="29"/>
      <c r="Q108" s="24" t="str">
        <f aca="false">IF(N108&lt;&gt;"",UPPER(TRIM(N108)),IF(P108&lt;&gt;"",UPPER(TRIM(P108)),""))</f>
        <v/>
      </c>
      <c r="R108" s="24" t="str">
        <f aca="false">IF(B108="","",IF(N108&lt;&gt;"","UTM tracked",IF(P108&lt;&gt;"","Manual / self-reported",IF(O108&lt;&gt;"","Self-reported channel only","Unattributed"))))</f>
        <v/>
      </c>
      <c r="S108" s="24" t="str">
        <f aca="false">IF(Q108="","",IFERROR(INDEX('Post Tracker'!$G$5:$G$1004,MATCH(Q108,'Post Tracker'!$A$5:$A$1004,0)),"ID NOT FOUND"))</f>
        <v/>
      </c>
      <c r="T108" s="24" t="str">
        <f aca="false">IF(Q108="","",IFERROR(INDEX('Post Tracker'!$K$5:$K$1004,MATCH(Q108,'Post Tracker'!$A$5:$A$1004,0))&amp;"",""))</f>
        <v/>
      </c>
      <c r="U108" s="33" t="str">
        <f aca="false">IF(OR(Q108="",B108=""),"",IFERROR(B108-INDEX('Post Tracker'!$B$5:$B$1004,MATCH(Q108,'Post Tracker'!$A$5:$A$1004,0)),""))</f>
        <v/>
      </c>
      <c r="V108" s="39"/>
      <c r="W108" s="29"/>
      <c r="X108" s="29"/>
      <c r="Y108" s="29"/>
      <c r="Z108" s="30"/>
      <c r="AA108" s="29"/>
      <c r="AB108" s="29"/>
    </row>
    <row r="109" customFormat="false" ht="15" hidden="false" customHeight="false" outlineLevel="0" collapsed="false">
      <c r="A109" s="41" t="str">
        <f aca="false">IF(B109="","",ROW()-4)</f>
        <v/>
      </c>
      <c r="B109" s="39"/>
      <c r="C109" s="29"/>
      <c r="D109" s="29"/>
      <c r="E109" s="29"/>
      <c r="F109" s="29"/>
      <c r="G109" s="29"/>
      <c r="H109" s="32"/>
      <c r="I109" s="29"/>
      <c r="J109" s="29"/>
      <c r="K109" s="29"/>
      <c r="L109" s="29"/>
      <c r="M109" s="29"/>
      <c r="N109" s="29"/>
      <c r="O109" s="29"/>
      <c r="P109" s="29"/>
      <c r="Q109" s="24" t="str">
        <f aca="false">IF(N109&lt;&gt;"",UPPER(TRIM(N109)),IF(P109&lt;&gt;"",UPPER(TRIM(P109)),""))</f>
        <v/>
      </c>
      <c r="R109" s="24" t="str">
        <f aca="false">IF(B109="","",IF(N109&lt;&gt;"","UTM tracked",IF(P109&lt;&gt;"","Manual / self-reported",IF(O109&lt;&gt;"","Self-reported channel only","Unattributed"))))</f>
        <v/>
      </c>
      <c r="S109" s="24" t="str">
        <f aca="false">IF(Q109="","",IFERROR(INDEX('Post Tracker'!$G$5:$G$1004,MATCH(Q109,'Post Tracker'!$A$5:$A$1004,0)),"ID NOT FOUND"))</f>
        <v/>
      </c>
      <c r="T109" s="24" t="str">
        <f aca="false">IF(Q109="","",IFERROR(INDEX('Post Tracker'!$K$5:$K$1004,MATCH(Q109,'Post Tracker'!$A$5:$A$1004,0))&amp;"",""))</f>
        <v/>
      </c>
      <c r="U109" s="33" t="str">
        <f aca="false">IF(OR(Q109="",B109=""),"",IFERROR(B109-INDEX('Post Tracker'!$B$5:$B$1004,MATCH(Q109,'Post Tracker'!$A$5:$A$1004,0)),""))</f>
        <v/>
      </c>
      <c r="V109" s="39"/>
      <c r="W109" s="29"/>
      <c r="X109" s="29"/>
      <c r="Y109" s="29"/>
      <c r="Z109" s="30"/>
      <c r="AA109" s="29"/>
      <c r="AB109" s="29"/>
    </row>
    <row r="110" customFormat="false" ht="15" hidden="false" customHeight="false" outlineLevel="0" collapsed="false">
      <c r="A110" s="41" t="str">
        <f aca="false">IF(B110="","",ROW()-4)</f>
        <v/>
      </c>
      <c r="B110" s="39"/>
      <c r="C110" s="29"/>
      <c r="D110" s="29"/>
      <c r="E110" s="29"/>
      <c r="F110" s="29"/>
      <c r="G110" s="29"/>
      <c r="H110" s="32"/>
      <c r="I110" s="29"/>
      <c r="J110" s="29"/>
      <c r="K110" s="29"/>
      <c r="L110" s="29"/>
      <c r="M110" s="29"/>
      <c r="N110" s="29"/>
      <c r="O110" s="29"/>
      <c r="P110" s="29"/>
      <c r="Q110" s="24" t="str">
        <f aca="false">IF(N110&lt;&gt;"",UPPER(TRIM(N110)),IF(P110&lt;&gt;"",UPPER(TRIM(P110)),""))</f>
        <v/>
      </c>
      <c r="R110" s="24" t="str">
        <f aca="false">IF(B110="","",IF(N110&lt;&gt;"","UTM tracked",IF(P110&lt;&gt;"","Manual / self-reported",IF(O110&lt;&gt;"","Self-reported channel only","Unattributed"))))</f>
        <v/>
      </c>
      <c r="S110" s="24" t="str">
        <f aca="false">IF(Q110="","",IFERROR(INDEX('Post Tracker'!$G$5:$G$1004,MATCH(Q110,'Post Tracker'!$A$5:$A$1004,0)),"ID NOT FOUND"))</f>
        <v/>
      </c>
      <c r="T110" s="24" t="str">
        <f aca="false">IF(Q110="","",IFERROR(INDEX('Post Tracker'!$K$5:$K$1004,MATCH(Q110,'Post Tracker'!$A$5:$A$1004,0))&amp;"",""))</f>
        <v/>
      </c>
      <c r="U110" s="33" t="str">
        <f aca="false">IF(OR(Q110="",B110=""),"",IFERROR(B110-INDEX('Post Tracker'!$B$5:$B$1004,MATCH(Q110,'Post Tracker'!$A$5:$A$1004,0)),""))</f>
        <v/>
      </c>
      <c r="V110" s="39"/>
      <c r="W110" s="29"/>
      <c r="X110" s="29"/>
      <c r="Y110" s="29"/>
      <c r="Z110" s="30"/>
      <c r="AA110" s="29"/>
      <c r="AB110" s="29"/>
    </row>
    <row r="111" customFormat="false" ht="15" hidden="false" customHeight="false" outlineLevel="0" collapsed="false">
      <c r="A111" s="41" t="str">
        <f aca="false">IF(B111="","",ROW()-4)</f>
        <v/>
      </c>
      <c r="B111" s="39"/>
      <c r="C111" s="29"/>
      <c r="D111" s="29"/>
      <c r="E111" s="29"/>
      <c r="F111" s="29"/>
      <c r="G111" s="29"/>
      <c r="H111" s="32"/>
      <c r="I111" s="29"/>
      <c r="J111" s="29"/>
      <c r="K111" s="29"/>
      <c r="L111" s="29"/>
      <c r="M111" s="29"/>
      <c r="N111" s="29"/>
      <c r="O111" s="29"/>
      <c r="P111" s="29"/>
      <c r="Q111" s="24" t="str">
        <f aca="false">IF(N111&lt;&gt;"",UPPER(TRIM(N111)),IF(P111&lt;&gt;"",UPPER(TRIM(P111)),""))</f>
        <v/>
      </c>
      <c r="R111" s="24" t="str">
        <f aca="false">IF(B111="","",IF(N111&lt;&gt;"","UTM tracked",IF(P111&lt;&gt;"","Manual / self-reported",IF(O111&lt;&gt;"","Self-reported channel only","Unattributed"))))</f>
        <v/>
      </c>
      <c r="S111" s="24" t="str">
        <f aca="false">IF(Q111="","",IFERROR(INDEX('Post Tracker'!$G$5:$G$1004,MATCH(Q111,'Post Tracker'!$A$5:$A$1004,0)),"ID NOT FOUND"))</f>
        <v/>
      </c>
      <c r="T111" s="24" t="str">
        <f aca="false">IF(Q111="","",IFERROR(INDEX('Post Tracker'!$K$5:$K$1004,MATCH(Q111,'Post Tracker'!$A$5:$A$1004,0))&amp;"",""))</f>
        <v/>
      </c>
      <c r="U111" s="33" t="str">
        <f aca="false">IF(OR(Q111="",B111=""),"",IFERROR(B111-INDEX('Post Tracker'!$B$5:$B$1004,MATCH(Q111,'Post Tracker'!$A$5:$A$1004,0)),""))</f>
        <v/>
      </c>
      <c r="V111" s="39"/>
      <c r="W111" s="29"/>
      <c r="X111" s="29"/>
      <c r="Y111" s="29"/>
      <c r="Z111" s="30"/>
      <c r="AA111" s="29"/>
      <c r="AB111" s="29"/>
    </row>
    <row r="112" customFormat="false" ht="15" hidden="false" customHeight="false" outlineLevel="0" collapsed="false">
      <c r="A112" s="41" t="str">
        <f aca="false">IF(B112="","",ROW()-4)</f>
        <v/>
      </c>
      <c r="B112" s="39"/>
      <c r="C112" s="29"/>
      <c r="D112" s="29"/>
      <c r="E112" s="29"/>
      <c r="F112" s="29"/>
      <c r="G112" s="29"/>
      <c r="H112" s="32"/>
      <c r="I112" s="29"/>
      <c r="J112" s="29"/>
      <c r="K112" s="29"/>
      <c r="L112" s="29"/>
      <c r="M112" s="29"/>
      <c r="N112" s="29"/>
      <c r="O112" s="29"/>
      <c r="P112" s="29"/>
      <c r="Q112" s="24" t="str">
        <f aca="false">IF(N112&lt;&gt;"",UPPER(TRIM(N112)),IF(P112&lt;&gt;"",UPPER(TRIM(P112)),""))</f>
        <v/>
      </c>
      <c r="R112" s="24" t="str">
        <f aca="false">IF(B112="","",IF(N112&lt;&gt;"","UTM tracked",IF(P112&lt;&gt;"","Manual / self-reported",IF(O112&lt;&gt;"","Self-reported channel only","Unattributed"))))</f>
        <v/>
      </c>
      <c r="S112" s="24" t="str">
        <f aca="false">IF(Q112="","",IFERROR(INDEX('Post Tracker'!$G$5:$G$1004,MATCH(Q112,'Post Tracker'!$A$5:$A$1004,0)),"ID NOT FOUND"))</f>
        <v/>
      </c>
      <c r="T112" s="24" t="str">
        <f aca="false">IF(Q112="","",IFERROR(INDEX('Post Tracker'!$K$5:$K$1004,MATCH(Q112,'Post Tracker'!$A$5:$A$1004,0))&amp;"",""))</f>
        <v/>
      </c>
      <c r="U112" s="33" t="str">
        <f aca="false">IF(OR(Q112="",B112=""),"",IFERROR(B112-INDEX('Post Tracker'!$B$5:$B$1004,MATCH(Q112,'Post Tracker'!$A$5:$A$1004,0)),""))</f>
        <v/>
      </c>
      <c r="V112" s="39"/>
      <c r="W112" s="29"/>
      <c r="X112" s="29"/>
      <c r="Y112" s="29"/>
      <c r="Z112" s="30"/>
      <c r="AA112" s="29"/>
      <c r="AB112" s="29"/>
    </row>
    <row r="113" customFormat="false" ht="15" hidden="false" customHeight="false" outlineLevel="0" collapsed="false">
      <c r="A113" s="41" t="str">
        <f aca="false">IF(B113="","",ROW()-4)</f>
        <v/>
      </c>
      <c r="B113" s="39"/>
      <c r="C113" s="29"/>
      <c r="D113" s="29"/>
      <c r="E113" s="29"/>
      <c r="F113" s="29"/>
      <c r="G113" s="29"/>
      <c r="H113" s="32"/>
      <c r="I113" s="29"/>
      <c r="J113" s="29"/>
      <c r="K113" s="29"/>
      <c r="L113" s="29"/>
      <c r="M113" s="29"/>
      <c r="N113" s="29"/>
      <c r="O113" s="29"/>
      <c r="P113" s="29"/>
      <c r="Q113" s="24" t="str">
        <f aca="false">IF(N113&lt;&gt;"",UPPER(TRIM(N113)),IF(P113&lt;&gt;"",UPPER(TRIM(P113)),""))</f>
        <v/>
      </c>
      <c r="R113" s="24" t="str">
        <f aca="false">IF(B113="","",IF(N113&lt;&gt;"","UTM tracked",IF(P113&lt;&gt;"","Manual / self-reported",IF(O113&lt;&gt;"","Self-reported channel only","Unattributed"))))</f>
        <v/>
      </c>
      <c r="S113" s="24" t="str">
        <f aca="false">IF(Q113="","",IFERROR(INDEX('Post Tracker'!$G$5:$G$1004,MATCH(Q113,'Post Tracker'!$A$5:$A$1004,0)),"ID NOT FOUND"))</f>
        <v/>
      </c>
      <c r="T113" s="24" t="str">
        <f aca="false">IF(Q113="","",IFERROR(INDEX('Post Tracker'!$K$5:$K$1004,MATCH(Q113,'Post Tracker'!$A$5:$A$1004,0))&amp;"",""))</f>
        <v/>
      </c>
      <c r="U113" s="33" t="str">
        <f aca="false">IF(OR(Q113="",B113=""),"",IFERROR(B113-INDEX('Post Tracker'!$B$5:$B$1004,MATCH(Q113,'Post Tracker'!$A$5:$A$1004,0)),""))</f>
        <v/>
      </c>
      <c r="V113" s="39"/>
      <c r="W113" s="29"/>
      <c r="X113" s="29"/>
      <c r="Y113" s="29"/>
      <c r="Z113" s="30"/>
      <c r="AA113" s="29"/>
      <c r="AB113" s="29"/>
    </row>
    <row r="114" customFormat="false" ht="15" hidden="false" customHeight="false" outlineLevel="0" collapsed="false">
      <c r="A114" s="41" t="str">
        <f aca="false">IF(B114="","",ROW()-4)</f>
        <v/>
      </c>
      <c r="B114" s="39"/>
      <c r="C114" s="29"/>
      <c r="D114" s="29"/>
      <c r="E114" s="29"/>
      <c r="F114" s="29"/>
      <c r="G114" s="29"/>
      <c r="H114" s="32"/>
      <c r="I114" s="29"/>
      <c r="J114" s="29"/>
      <c r="K114" s="29"/>
      <c r="L114" s="29"/>
      <c r="M114" s="29"/>
      <c r="N114" s="29"/>
      <c r="O114" s="29"/>
      <c r="P114" s="29"/>
      <c r="Q114" s="24" t="str">
        <f aca="false">IF(N114&lt;&gt;"",UPPER(TRIM(N114)),IF(P114&lt;&gt;"",UPPER(TRIM(P114)),""))</f>
        <v/>
      </c>
      <c r="R114" s="24" t="str">
        <f aca="false">IF(B114="","",IF(N114&lt;&gt;"","UTM tracked",IF(P114&lt;&gt;"","Manual / self-reported",IF(O114&lt;&gt;"","Self-reported channel only","Unattributed"))))</f>
        <v/>
      </c>
      <c r="S114" s="24" t="str">
        <f aca="false">IF(Q114="","",IFERROR(INDEX('Post Tracker'!$G$5:$G$1004,MATCH(Q114,'Post Tracker'!$A$5:$A$1004,0)),"ID NOT FOUND"))</f>
        <v/>
      </c>
      <c r="T114" s="24" t="str">
        <f aca="false">IF(Q114="","",IFERROR(INDEX('Post Tracker'!$K$5:$K$1004,MATCH(Q114,'Post Tracker'!$A$5:$A$1004,0))&amp;"",""))</f>
        <v/>
      </c>
      <c r="U114" s="33" t="str">
        <f aca="false">IF(OR(Q114="",B114=""),"",IFERROR(B114-INDEX('Post Tracker'!$B$5:$B$1004,MATCH(Q114,'Post Tracker'!$A$5:$A$1004,0)),""))</f>
        <v/>
      </c>
      <c r="V114" s="39"/>
      <c r="W114" s="29"/>
      <c r="X114" s="29"/>
      <c r="Y114" s="29"/>
      <c r="Z114" s="30"/>
      <c r="AA114" s="29"/>
      <c r="AB114" s="29"/>
    </row>
    <row r="115" customFormat="false" ht="15" hidden="false" customHeight="false" outlineLevel="0" collapsed="false">
      <c r="A115" s="41" t="str">
        <f aca="false">IF(B115="","",ROW()-4)</f>
        <v/>
      </c>
      <c r="B115" s="39"/>
      <c r="C115" s="29"/>
      <c r="D115" s="29"/>
      <c r="E115" s="29"/>
      <c r="F115" s="29"/>
      <c r="G115" s="29"/>
      <c r="H115" s="32"/>
      <c r="I115" s="29"/>
      <c r="J115" s="29"/>
      <c r="K115" s="29"/>
      <c r="L115" s="29"/>
      <c r="M115" s="29"/>
      <c r="N115" s="29"/>
      <c r="O115" s="29"/>
      <c r="P115" s="29"/>
      <c r="Q115" s="24" t="str">
        <f aca="false">IF(N115&lt;&gt;"",UPPER(TRIM(N115)),IF(P115&lt;&gt;"",UPPER(TRIM(P115)),""))</f>
        <v/>
      </c>
      <c r="R115" s="24" t="str">
        <f aca="false">IF(B115="","",IF(N115&lt;&gt;"","UTM tracked",IF(P115&lt;&gt;"","Manual / self-reported",IF(O115&lt;&gt;"","Self-reported channel only","Unattributed"))))</f>
        <v/>
      </c>
      <c r="S115" s="24" t="str">
        <f aca="false">IF(Q115="","",IFERROR(INDEX('Post Tracker'!$G$5:$G$1004,MATCH(Q115,'Post Tracker'!$A$5:$A$1004,0)),"ID NOT FOUND"))</f>
        <v/>
      </c>
      <c r="T115" s="24" t="str">
        <f aca="false">IF(Q115="","",IFERROR(INDEX('Post Tracker'!$K$5:$K$1004,MATCH(Q115,'Post Tracker'!$A$5:$A$1004,0))&amp;"",""))</f>
        <v/>
      </c>
      <c r="U115" s="33" t="str">
        <f aca="false">IF(OR(Q115="",B115=""),"",IFERROR(B115-INDEX('Post Tracker'!$B$5:$B$1004,MATCH(Q115,'Post Tracker'!$A$5:$A$1004,0)),""))</f>
        <v/>
      </c>
      <c r="V115" s="39"/>
      <c r="W115" s="29"/>
      <c r="X115" s="29"/>
      <c r="Y115" s="29"/>
      <c r="Z115" s="30"/>
      <c r="AA115" s="29"/>
      <c r="AB115" s="29"/>
    </row>
    <row r="116" customFormat="false" ht="15" hidden="false" customHeight="false" outlineLevel="0" collapsed="false">
      <c r="A116" s="41" t="str">
        <f aca="false">IF(B116="","",ROW()-4)</f>
        <v/>
      </c>
      <c r="B116" s="39"/>
      <c r="C116" s="29"/>
      <c r="D116" s="29"/>
      <c r="E116" s="29"/>
      <c r="F116" s="29"/>
      <c r="G116" s="29"/>
      <c r="H116" s="32"/>
      <c r="I116" s="29"/>
      <c r="J116" s="29"/>
      <c r="K116" s="29"/>
      <c r="L116" s="29"/>
      <c r="M116" s="29"/>
      <c r="N116" s="29"/>
      <c r="O116" s="29"/>
      <c r="P116" s="29"/>
      <c r="Q116" s="24" t="str">
        <f aca="false">IF(N116&lt;&gt;"",UPPER(TRIM(N116)),IF(P116&lt;&gt;"",UPPER(TRIM(P116)),""))</f>
        <v/>
      </c>
      <c r="R116" s="24" t="str">
        <f aca="false">IF(B116="","",IF(N116&lt;&gt;"","UTM tracked",IF(P116&lt;&gt;"","Manual / self-reported",IF(O116&lt;&gt;"","Self-reported channel only","Unattributed"))))</f>
        <v/>
      </c>
      <c r="S116" s="24" t="str">
        <f aca="false">IF(Q116="","",IFERROR(INDEX('Post Tracker'!$G$5:$G$1004,MATCH(Q116,'Post Tracker'!$A$5:$A$1004,0)),"ID NOT FOUND"))</f>
        <v/>
      </c>
      <c r="T116" s="24" t="str">
        <f aca="false">IF(Q116="","",IFERROR(INDEX('Post Tracker'!$K$5:$K$1004,MATCH(Q116,'Post Tracker'!$A$5:$A$1004,0))&amp;"",""))</f>
        <v/>
      </c>
      <c r="U116" s="33" t="str">
        <f aca="false">IF(OR(Q116="",B116=""),"",IFERROR(B116-INDEX('Post Tracker'!$B$5:$B$1004,MATCH(Q116,'Post Tracker'!$A$5:$A$1004,0)),""))</f>
        <v/>
      </c>
      <c r="V116" s="39"/>
      <c r="W116" s="29"/>
      <c r="X116" s="29"/>
      <c r="Y116" s="29"/>
      <c r="Z116" s="30"/>
      <c r="AA116" s="29"/>
      <c r="AB116" s="29"/>
    </row>
    <row r="117" customFormat="false" ht="15" hidden="false" customHeight="false" outlineLevel="0" collapsed="false">
      <c r="A117" s="41" t="str">
        <f aca="false">IF(B117="","",ROW()-4)</f>
        <v/>
      </c>
      <c r="B117" s="39"/>
      <c r="C117" s="29"/>
      <c r="D117" s="29"/>
      <c r="E117" s="29"/>
      <c r="F117" s="29"/>
      <c r="G117" s="29"/>
      <c r="H117" s="32"/>
      <c r="I117" s="29"/>
      <c r="J117" s="29"/>
      <c r="K117" s="29"/>
      <c r="L117" s="29"/>
      <c r="M117" s="29"/>
      <c r="N117" s="29"/>
      <c r="O117" s="29"/>
      <c r="P117" s="29"/>
      <c r="Q117" s="24" t="str">
        <f aca="false">IF(N117&lt;&gt;"",UPPER(TRIM(N117)),IF(P117&lt;&gt;"",UPPER(TRIM(P117)),""))</f>
        <v/>
      </c>
      <c r="R117" s="24" t="str">
        <f aca="false">IF(B117="","",IF(N117&lt;&gt;"","UTM tracked",IF(P117&lt;&gt;"","Manual / self-reported",IF(O117&lt;&gt;"","Self-reported channel only","Unattributed"))))</f>
        <v/>
      </c>
      <c r="S117" s="24" t="str">
        <f aca="false">IF(Q117="","",IFERROR(INDEX('Post Tracker'!$G$5:$G$1004,MATCH(Q117,'Post Tracker'!$A$5:$A$1004,0)),"ID NOT FOUND"))</f>
        <v/>
      </c>
      <c r="T117" s="24" t="str">
        <f aca="false">IF(Q117="","",IFERROR(INDEX('Post Tracker'!$K$5:$K$1004,MATCH(Q117,'Post Tracker'!$A$5:$A$1004,0))&amp;"",""))</f>
        <v/>
      </c>
      <c r="U117" s="33" t="str">
        <f aca="false">IF(OR(Q117="",B117=""),"",IFERROR(B117-INDEX('Post Tracker'!$B$5:$B$1004,MATCH(Q117,'Post Tracker'!$A$5:$A$1004,0)),""))</f>
        <v/>
      </c>
      <c r="V117" s="39"/>
      <c r="W117" s="29"/>
      <c r="X117" s="29"/>
      <c r="Y117" s="29"/>
      <c r="Z117" s="30"/>
      <c r="AA117" s="29"/>
      <c r="AB117" s="29"/>
    </row>
    <row r="118" customFormat="false" ht="15" hidden="false" customHeight="false" outlineLevel="0" collapsed="false">
      <c r="A118" s="41" t="str">
        <f aca="false">IF(B118="","",ROW()-4)</f>
        <v/>
      </c>
      <c r="B118" s="39"/>
      <c r="C118" s="29"/>
      <c r="D118" s="29"/>
      <c r="E118" s="29"/>
      <c r="F118" s="29"/>
      <c r="G118" s="29"/>
      <c r="H118" s="32"/>
      <c r="I118" s="29"/>
      <c r="J118" s="29"/>
      <c r="K118" s="29"/>
      <c r="L118" s="29"/>
      <c r="M118" s="29"/>
      <c r="N118" s="29"/>
      <c r="O118" s="29"/>
      <c r="P118" s="29"/>
      <c r="Q118" s="24" t="str">
        <f aca="false">IF(N118&lt;&gt;"",UPPER(TRIM(N118)),IF(P118&lt;&gt;"",UPPER(TRIM(P118)),""))</f>
        <v/>
      </c>
      <c r="R118" s="24" t="str">
        <f aca="false">IF(B118="","",IF(N118&lt;&gt;"","UTM tracked",IF(P118&lt;&gt;"","Manual / self-reported",IF(O118&lt;&gt;"","Self-reported channel only","Unattributed"))))</f>
        <v/>
      </c>
      <c r="S118" s="24" t="str">
        <f aca="false">IF(Q118="","",IFERROR(INDEX('Post Tracker'!$G$5:$G$1004,MATCH(Q118,'Post Tracker'!$A$5:$A$1004,0)),"ID NOT FOUND"))</f>
        <v/>
      </c>
      <c r="T118" s="24" t="str">
        <f aca="false">IF(Q118="","",IFERROR(INDEX('Post Tracker'!$K$5:$K$1004,MATCH(Q118,'Post Tracker'!$A$5:$A$1004,0))&amp;"",""))</f>
        <v/>
      </c>
      <c r="U118" s="33" t="str">
        <f aca="false">IF(OR(Q118="",B118=""),"",IFERROR(B118-INDEX('Post Tracker'!$B$5:$B$1004,MATCH(Q118,'Post Tracker'!$A$5:$A$1004,0)),""))</f>
        <v/>
      </c>
      <c r="V118" s="39"/>
      <c r="W118" s="29"/>
      <c r="X118" s="29"/>
      <c r="Y118" s="29"/>
      <c r="Z118" s="30"/>
      <c r="AA118" s="29"/>
      <c r="AB118" s="29"/>
    </row>
    <row r="119" customFormat="false" ht="15" hidden="false" customHeight="false" outlineLevel="0" collapsed="false">
      <c r="A119" s="41" t="str">
        <f aca="false">IF(B119="","",ROW()-4)</f>
        <v/>
      </c>
      <c r="B119" s="39"/>
      <c r="C119" s="29"/>
      <c r="D119" s="29"/>
      <c r="E119" s="29"/>
      <c r="F119" s="29"/>
      <c r="G119" s="29"/>
      <c r="H119" s="32"/>
      <c r="I119" s="29"/>
      <c r="J119" s="29"/>
      <c r="K119" s="29"/>
      <c r="L119" s="29"/>
      <c r="M119" s="29"/>
      <c r="N119" s="29"/>
      <c r="O119" s="29"/>
      <c r="P119" s="29"/>
      <c r="Q119" s="24" t="str">
        <f aca="false">IF(N119&lt;&gt;"",UPPER(TRIM(N119)),IF(P119&lt;&gt;"",UPPER(TRIM(P119)),""))</f>
        <v/>
      </c>
      <c r="R119" s="24" t="str">
        <f aca="false">IF(B119="","",IF(N119&lt;&gt;"","UTM tracked",IF(P119&lt;&gt;"","Manual / self-reported",IF(O119&lt;&gt;"","Self-reported channel only","Unattributed"))))</f>
        <v/>
      </c>
      <c r="S119" s="24" t="str">
        <f aca="false">IF(Q119="","",IFERROR(INDEX('Post Tracker'!$G$5:$G$1004,MATCH(Q119,'Post Tracker'!$A$5:$A$1004,0)),"ID NOT FOUND"))</f>
        <v/>
      </c>
      <c r="T119" s="24" t="str">
        <f aca="false">IF(Q119="","",IFERROR(INDEX('Post Tracker'!$K$5:$K$1004,MATCH(Q119,'Post Tracker'!$A$5:$A$1004,0))&amp;"",""))</f>
        <v/>
      </c>
      <c r="U119" s="33" t="str">
        <f aca="false">IF(OR(Q119="",B119=""),"",IFERROR(B119-INDEX('Post Tracker'!$B$5:$B$1004,MATCH(Q119,'Post Tracker'!$A$5:$A$1004,0)),""))</f>
        <v/>
      </c>
      <c r="V119" s="39"/>
      <c r="W119" s="29"/>
      <c r="X119" s="29"/>
      <c r="Y119" s="29"/>
      <c r="Z119" s="30"/>
      <c r="AA119" s="29"/>
      <c r="AB119" s="29"/>
    </row>
    <row r="120" customFormat="false" ht="15" hidden="false" customHeight="false" outlineLevel="0" collapsed="false">
      <c r="A120" s="41" t="str">
        <f aca="false">IF(B120="","",ROW()-4)</f>
        <v/>
      </c>
      <c r="B120" s="39"/>
      <c r="C120" s="29"/>
      <c r="D120" s="29"/>
      <c r="E120" s="29"/>
      <c r="F120" s="29"/>
      <c r="G120" s="29"/>
      <c r="H120" s="32"/>
      <c r="I120" s="29"/>
      <c r="J120" s="29"/>
      <c r="K120" s="29"/>
      <c r="L120" s="29"/>
      <c r="M120" s="29"/>
      <c r="N120" s="29"/>
      <c r="O120" s="29"/>
      <c r="P120" s="29"/>
      <c r="Q120" s="24" t="str">
        <f aca="false">IF(N120&lt;&gt;"",UPPER(TRIM(N120)),IF(P120&lt;&gt;"",UPPER(TRIM(P120)),""))</f>
        <v/>
      </c>
      <c r="R120" s="24" t="str">
        <f aca="false">IF(B120="","",IF(N120&lt;&gt;"","UTM tracked",IF(P120&lt;&gt;"","Manual / self-reported",IF(O120&lt;&gt;"","Self-reported channel only","Unattributed"))))</f>
        <v/>
      </c>
      <c r="S120" s="24" t="str">
        <f aca="false">IF(Q120="","",IFERROR(INDEX('Post Tracker'!$G$5:$G$1004,MATCH(Q120,'Post Tracker'!$A$5:$A$1004,0)),"ID NOT FOUND"))</f>
        <v/>
      </c>
      <c r="T120" s="24" t="str">
        <f aca="false">IF(Q120="","",IFERROR(INDEX('Post Tracker'!$K$5:$K$1004,MATCH(Q120,'Post Tracker'!$A$5:$A$1004,0))&amp;"",""))</f>
        <v/>
      </c>
      <c r="U120" s="33" t="str">
        <f aca="false">IF(OR(Q120="",B120=""),"",IFERROR(B120-INDEX('Post Tracker'!$B$5:$B$1004,MATCH(Q120,'Post Tracker'!$A$5:$A$1004,0)),""))</f>
        <v/>
      </c>
      <c r="V120" s="39"/>
      <c r="W120" s="29"/>
      <c r="X120" s="29"/>
      <c r="Y120" s="29"/>
      <c r="Z120" s="30"/>
      <c r="AA120" s="29"/>
      <c r="AB120" s="29"/>
    </row>
    <row r="121" customFormat="false" ht="15" hidden="false" customHeight="false" outlineLevel="0" collapsed="false">
      <c r="A121" s="41" t="str">
        <f aca="false">IF(B121="","",ROW()-4)</f>
        <v/>
      </c>
      <c r="B121" s="39"/>
      <c r="C121" s="29"/>
      <c r="D121" s="29"/>
      <c r="E121" s="29"/>
      <c r="F121" s="29"/>
      <c r="G121" s="29"/>
      <c r="H121" s="32"/>
      <c r="I121" s="29"/>
      <c r="J121" s="29"/>
      <c r="K121" s="29"/>
      <c r="L121" s="29"/>
      <c r="M121" s="29"/>
      <c r="N121" s="29"/>
      <c r="O121" s="29"/>
      <c r="P121" s="29"/>
      <c r="Q121" s="24" t="str">
        <f aca="false">IF(N121&lt;&gt;"",UPPER(TRIM(N121)),IF(P121&lt;&gt;"",UPPER(TRIM(P121)),""))</f>
        <v/>
      </c>
      <c r="R121" s="24" t="str">
        <f aca="false">IF(B121="","",IF(N121&lt;&gt;"","UTM tracked",IF(P121&lt;&gt;"","Manual / self-reported",IF(O121&lt;&gt;"","Self-reported channel only","Unattributed"))))</f>
        <v/>
      </c>
      <c r="S121" s="24" t="str">
        <f aca="false">IF(Q121="","",IFERROR(INDEX('Post Tracker'!$G$5:$G$1004,MATCH(Q121,'Post Tracker'!$A$5:$A$1004,0)),"ID NOT FOUND"))</f>
        <v/>
      </c>
      <c r="T121" s="24" t="str">
        <f aca="false">IF(Q121="","",IFERROR(INDEX('Post Tracker'!$K$5:$K$1004,MATCH(Q121,'Post Tracker'!$A$5:$A$1004,0))&amp;"",""))</f>
        <v/>
      </c>
      <c r="U121" s="33" t="str">
        <f aca="false">IF(OR(Q121="",B121=""),"",IFERROR(B121-INDEX('Post Tracker'!$B$5:$B$1004,MATCH(Q121,'Post Tracker'!$A$5:$A$1004,0)),""))</f>
        <v/>
      </c>
      <c r="V121" s="39"/>
      <c r="W121" s="29"/>
      <c r="X121" s="29"/>
      <c r="Y121" s="29"/>
      <c r="Z121" s="30"/>
      <c r="AA121" s="29"/>
      <c r="AB121" s="29"/>
    </row>
    <row r="122" customFormat="false" ht="15" hidden="false" customHeight="false" outlineLevel="0" collapsed="false">
      <c r="A122" s="41" t="str">
        <f aca="false">IF(B122="","",ROW()-4)</f>
        <v/>
      </c>
      <c r="B122" s="39"/>
      <c r="C122" s="29"/>
      <c r="D122" s="29"/>
      <c r="E122" s="29"/>
      <c r="F122" s="29"/>
      <c r="G122" s="29"/>
      <c r="H122" s="32"/>
      <c r="I122" s="29"/>
      <c r="J122" s="29"/>
      <c r="K122" s="29"/>
      <c r="L122" s="29"/>
      <c r="M122" s="29"/>
      <c r="N122" s="29"/>
      <c r="O122" s="29"/>
      <c r="P122" s="29"/>
      <c r="Q122" s="24" t="str">
        <f aca="false">IF(N122&lt;&gt;"",UPPER(TRIM(N122)),IF(P122&lt;&gt;"",UPPER(TRIM(P122)),""))</f>
        <v/>
      </c>
      <c r="R122" s="24" t="str">
        <f aca="false">IF(B122="","",IF(N122&lt;&gt;"","UTM tracked",IF(P122&lt;&gt;"","Manual / self-reported",IF(O122&lt;&gt;"","Self-reported channel only","Unattributed"))))</f>
        <v/>
      </c>
      <c r="S122" s="24" t="str">
        <f aca="false">IF(Q122="","",IFERROR(INDEX('Post Tracker'!$G$5:$G$1004,MATCH(Q122,'Post Tracker'!$A$5:$A$1004,0)),"ID NOT FOUND"))</f>
        <v/>
      </c>
      <c r="T122" s="24" t="str">
        <f aca="false">IF(Q122="","",IFERROR(INDEX('Post Tracker'!$K$5:$K$1004,MATCH(Q122,'Post Tracker'!$A$5:$A$1004,0))&amp;"",""))</f>
        <v/>
      </c>
      <c r="U122" s="33" t="str">
        <f aca="false">IF(OR(Q122="",B122=""),"",IFERROR(B122-INDEX('Post Tracker'!$B$5:$B$1004,MATCH(Q122,'Post Tracker'!$A$5:$A$1004,0)),""))</f>
        <v/>
      </c>
      <c r="V122" s="39"/>
      <c r="W122" s="29"/>
      <c r="X122" s="29"/>
      <c r="Y122" s="29"/>
      <c r="Z122" s="30"/>
      <c r="AA122" s="29"/>
      <c r="AB122" s="29"/>
    </row>
    <row r="123" customFormat="false" ht="15" hidden="false" customHeight="false" outlineLevel="0" collapsed="false">
      <c r="A123" s="41" t="str">
        <f aca="false">IF(B123="","",ROW()-4)</f>
        <v/>
      </c>
      <c r="B123" s="39"/>
      <c r="C123" s="29"/>
      <c r="D123" s="29"/>
      <c r="E123" s="29"/>
      <c r="F123" s="29"/>
      <c r="G123" s="29"/>
      <c r="H123" s="32"/>
      <c r="I123" s="29"/>
      <c r="J123" s="29"/>
      <c r="K123" s="29"/>
      <c r="L123" s="29"/>
      <c r="M123" s="29"/>
      <c r="N123" s="29"/>
      <c r="O123" s="29"/>
      <c r="P123" s="29"/>
      <c r="Q123" s="24" t="str">
        <f aca="false">IF(N123&lt;&gt;"",UPPER(TRIM(N123)),IF(P123&lt;&gt;"",UPPER(TRIM(P123)),""))</f>
        <v/>
      </c>
      <c r="R123" s="24" t="str">
        <f aca="false">IF(B123="","",IF(N123&lt;&gt;"","UTM tracked",IF(P123&lt;&gt;"","Manual / self-reported",IF(O123&lt;&gt;"","Self-reported channel only","Unattributed"))))</f>
        <v/>
      </c>
      <c r="S123" s="24" t="str">
        <f aca="false">IF(Q123="","",IFERROR(INDEX('Post Tracker'!$G$5:$G$1004,MATCH(Q123,'Post Tracker'!$A$5:$A$1004,0)),"ID NOT FOUND"))</f>
        <v/>
      </c>
      <c r="T123" s="24" t="str">
        <f aca="false">IF(Q123="","",IFERROR(INDEX('Post Tracker'!$K$5:$K$1004,MATCH(Q123,'Post Tracker'!$A$5:$A$1004,0))&amp;"",""))</f>
        <v/>
      </c>
      <c r="U123" s="33" t="str">
        <f aca="false">IF(OR(Q123="",B123=""),"",IFERROR(B123-INDEX('Post Tracker'!$B$5:$B$1004,MATCH(Q123,'Post Tracker'!$A$5:$A$1004,0)),""))</f>
        <v/>
      </c>
      <c r="V123" s="39"/>
      <c r="W123" s="29"/>
      <c r="X123" s="29"/>
      <c r="Y123" s="29"/>
      <c r="Z123" s="30"/>
      <c r="AA123" s="29"/>
      <c r="AB123" s="29"/>
    </row>
    <row r="124" customFormat="false" ht="15" hidden="false" customHeight="false" outlineLevel="0" collapsed="false">
      <c r="A124" s="41" t="str">
        <f aca="false">IF(B124="","",ROW()-4)</f>
        <v/>
      </c>
      <c r="B124" s="39"/>
      <c r="C124" s="29"/>
      <c r="D124" s="29"/>
      <c r="E124" s="29"/>
      <c r="F124" s="29"/>
      <c r="G124" s="29"/>
      <c r="H124" s="32"/>
      <c r="I124" s="29"/>
      <c r="J124" s="29"/>
      <c r="K124" s="29"/>
      <c r="L124" s="29"/>
      <c r="M124" s="29"/>
      <c r="N124" s="29"/>
      <c r="O124" s="29"/>
      <c r="P124" s="29"/>
      <c r="Q124" s="24" t="str">
        <f aca="false">IF(N124&lt;&gt;"",UPPER(TRIM(N124)),IF(P124&lt;&gt;"",UPPER(TRIM(P124)),""))</f>
        <v/>
      </c>
      <c r="R124" s="24" t="str">
        <f aca="false">IF(B124="","",IF(N124&lt;&gt;"","UTM tracked",IF(P124&lt;&gt;"","Manual / self-reported",IF(O124&lt;&gt;"","Self-reported channel only","Unattributed"))))</f>
        <v/>
      </c>
      <c r="S124" s="24" t="str">
        <f aca="false">IF(Q124="","",IFERROR(INDEX('Post Tracker'!$G$5:$G$1004,MATCH(Q124,'Post Tracker'!$A$5:$A$1004,0)),"ID NOT FOUND"))</f>
        <v/>
      </c>
      <c r="T124" s="24" t="str">
        <f aca="false">IF(Q124="","",IFERROR(INDEX('Post Tracker'!$K$5:$K$1004,MATCH(Q124,'Post Tracker'!$A$5:$A$1004,0))&amp;"",""))</f>
        <v/>
      </c>
      <c r="U124" s="33" t="str">
        <f aca="false">IF(OR(Q124="",B124=""),"",IFERROR(B124-INDEX('Post Tracker'!$B$5:$B$1004,MATCH(Q124,'Post Tracker'!$A$5:$A$1004,0)),""))</f>
        <v/>
      </c>
      <c r="V124" s="39"/>
      <c r="W124" s="29"/>
      <c r="X124" s="29"/>
      <c r="Y124" s="29"/>
      <c r="Z124" s="30"/>
      <c r="AA124" s="29"/>
      <c r="AB124" s="29"/>
    </row>
    <row r="125" customFormat="false" ht="15" hidden="false" customHeight="false" outlineLevel="0" collapsed="false">
      <c r="A125" s="41" t="str">
        <f aca="false">IF(B125="","",ROW()-4)</f>
        <v/>
      </c>
      <c r="B125" s="39"/>
      <c r="C125" s="29"/>
      <c r="D125" s="29"/>
      <c r="E125" s="29"/>
      <c r="F125" s="29"/>
      <c r="G125" s="29"/>
      <c r="H125" s="32"/>
      <c r="I125" s="29"/>
      <c r="J125" s="29"/>
      <c r="K125" s="29"/>
      <c r="L125" s="29"/>
      <c r="M125" s="29"/>
      <c r="N125" s="29"/>
      <c r="O125" s="29"/>
      <c r="P125" s="29"/>
      <c r="Q125" s="24" t="str">
        <f aca="false">IF(N125&lt;&gt;"",UPPER(TRIM(N125)),IF(P125&lt;&gt;"",UPPER(TRIM(P125)),""))</f>
        <v/>
      </c>
      <c r="R125" s="24" t="str">
        <f aca="false">IF(B125="","",IF(N125&lt;&gt;"","UTM tracked",IF(P125&lt;&gt;"","Manual / self-reported",IF(O125&lt;&gt;"","Self-reported channel only","Unattributed"))))</f>
        <v/>
      </c>
      <c r="S125" s="24" t="str">
        <f aca="false">IF(Q125="","",IFERROR(INDEX('Post Tracker'!$G$5:$G$1004,MATCH(Q125,'Post Tracker'!$A$5:$A$1004,0)),"ID NOT FOUND"))</f>
        <v/>
      </c>
      <c r="T125" s="24" t="str">
        <f aca="false">IF(Q125="","",IFERROR(INDEX('Post Tracker'!$K$5:$K$1004,MATCH(Q125,'Post Tracker'!$A$5:$A$1004,0))&amp;"",""))</f>
        <v/>
      </c>
      <c r="U125" s="33" t="str">
        <f aca="false">IF(OR(Q125="",B125=""),"",IFERROR(B125-INDEX('Post Tracker'!$B$5:$B$1004,MATCH(Q125,'Post Tracker'!$A$5:$A$1004,0)),""))</f>
        <v/>
      </c>
      <c r="V125" s="39"/>
      <c r="W125" s="29"/>
      <c r="X125" s="29"/>
      <c r="Y125" s="29"/>
      <c r="Z125" s="30"/>
      <c r="AA125" s="29"/>
      <c r="AB125" s="29"/>
    </row>
    <row r="126" customFormat="false" ht="15" hidden="false" customHeight="false" outlineLevel="0" collapsed="false">
      <c r="A126" s="41" t="str">
        <f aca="false">IF(B126="","",ROW()-4)</f>
        <v/>
      </c>
      <c r="B126" s="39"/>
      <c r="C126" s="29"/>
      <c r="D126" s="29"/>
      <c r="E126" s="29"/>
      <c r="F126" s="29"/>
      <c r="G126" s="29"/>
      <c r="H126" s="32"/>
      <c r="I126" s="29"/>
      <c r="J126" s="29"/>
      <c r="K126" s="29"/>
      <c r="L126" s="29"/>
      <c r="M126" s="29"/>
      <c r="N126" s="29"/>
      <c r="O126" s="29"/>
      <c r="P126" s="29"/>
      <c r="Q126" s="24" t="str">
        <f aca="false">IF(N126&lt;&gt;"",UPPER(TRIM(N126)),IF(P126&lt;&gt;"",UPPER(TRIM(P126)),""))</f>
        <v/>
      </c>
      <c r="R126" s="24" t="str">
        <f aca="false">IF(B126="","",IF(N126&lt;&gt;"","UTM tracked",IF(P126&lt;&gt;"","Manual / self-reported",IF(O126&lt;&gt;"","Self-reported channel only","Unattributed"))))</f>
        <v/>
      </c>
      <c r="S126" s="24" t="str">
        <f aca="false">IF(Q126="","",IFERROR(INDEX('Post Tracker'!$G$5:$G$1004,MATCH(Q126,'Post Tracker'!$A$5:$A$1004,0)),"ID NOT FOUND"))</f>
        <v/>
      </c>
      <c r="T126" s="24" t="str">
        <f aca="false">IF(Q126="","",IFERROR(INDEX('Post Tracker'!$K$5:$K$1004,MATCH(Q126,'Post Tracker'!$A$5:$A$1004,0))&amp;"",""))</f>
        <v/>
      </c>
      <c r="U126" s="33" t="str">
        <f aca="false">IF(OR(Q126="",B126=""),"",IFERROR(B126-INDEX('Post Tracker'!$B$5:$B$1004,MATCH(Q126,'Post Tracker'!$A$5:$A$1004,0)),""))</f>
        <v/>
      </c>
      <c r="V126" s="39"/>
      <c r="W126" s="29"/>
      <c r="X126" s="29"/>
      <c r="Y126" s="29"/>
      <c r="Z126" s="30"/>
      <c r="AA126" s="29"/>
      <c r="AB126" s="29"/>
    </row>
    <row r="127" customFormat="false" ht="15" hidden="false" customHeight="false" outlineLevel="0" collapsed="false">
      <c r="A127" s="41" t="str">
        <f aca="false">IF(B127="","",ROW()-4)</f>
        <v/>
      </c>
      <c r="B127" s="39"/>
      <c r="C127" s="29"/>
      <c r="D127" s="29"/>
      <c r="E127" s="29"/>
      <c r="F127" s="29"/>
      <c r="G127" s="29"/>
      <c r="H127" s="32"/>
      <c r="I127" s="29"/>
      <c r="J127" s="29"/>
      <c r="K127" s="29"/>
      <c r="L127" s="29"/>
      <c r="M127" s="29"/>
      <c r="N127" s="29"/>
      <c r="O127" s="29"/>
      <c r="P127" s="29"/>
      <c r="Q127" s="24" t="str">
        <f aca="false">IF(N127&lt;&gt;"",UPPER(TRIM(N127)),IF(P127&lt;&gt;"",UPPER(TRIM(P127)),""))</f>
        <v/>
      </c>
      <c r="R127" s="24" t="str">
        <f aca="false">IF(B127="","",IF(N127&lt;&gt;"","UTM tracked",IF(P127&lt;&gt;"","Manual / self-reported",IF(O127&lt;&gt;"","Self-reported channel only","Unattributed"))))</f>
        <v/>
      </c>
      <c r="S127" s="24" t="str">
        <f aca="false">IF(Q127="","",IFERROR(INDEX('Post Tracker'!$G$5:$G$1004,MATCH(Q127,'Post Tracker'!$A$5:$A$1004,0)),"ID NOT FOUND"))</f>
        <v/>
      </c>
      <c r="T127" s="24" t="str">
        <f aca="false">IF(Q127="","",IFERROR(INDEX('Post Tracker'!$K$5:$K$1004,MATCH(Q127,'Post Tracker'!$A$5:$A$1004,0))&amp;"",""))</f>
        <v/>
      </c>
      <c r="U127" s="33" t="str">
        <f aca="false">IF(OR(Q127="",B127=""),"",IFERROR(B127-INDEX('Post Tracker'!$B$5:$B$1004,MATCH(Q127,'Post Tracker'!$A$5:$A$1004,0)),""))</f>
        <v/>
      </c>
      <c r="V127" s="39"/>
      <c r="W127" s="29"/>
      <c r="X127" s="29"/>
      <c r="Y127" s="29"/>
      <c r="Z127" s="30"/>
      <c r="AA127" s="29"/>
      <c r="AB127" s="29"/>
    </row>
    <row r="128" customFormat="false" ht="15" hidden="false" customHeight="false" outlineLevel="0" collapsed="false">
      <c r="A128" s="41" t="str">
        <f aca="false">IF(B128="","",ROW()-4)</f>
        <v/>
      </c>
      <c r="B128" s="39"/>
      <c r="C128" s="29"/>
      <c r="D128" s="29"/>
      <c r="E128" s="29"/>
      <c r="F128" s="29"/>
      <c r="G128" s="29"/>
      <c r="H128" s="32"/>
      <c r="I128" s="29"/>
      <c r="J128" s="29"/>
      <c r="K128" s="29"/>
      <c r="L128" s="29"/>
      <c r="M128" s="29"/>
      <c r="N128" s="29"/>
      <c r="O128" s="29"/>
      <c r="P128" s="29"/>
      <c r="Q128" s="24" t="str">
        <f aca="false">IF(N128&lt;&gt;"",UPPER(TRIM(N128)),IF(P128&lt;&gt;"",UPPER(TRIM(P128)),""))</f>
        <v/>
      </c>
      <c r="R128" s="24" t="str">
        <f aca="false">IF(B128="","",IF(N128&lt;&gt;"","UTM tracked",IF(P128&lt;&gt;"","Manual / self-reported",IF(O128&lt;&gt;"","Self-reported channel only","Unattributed"))))</f>
        <v/>
      </c>
      <c r="S128" s="24" t="str">
        <f aca="false">IF(Q128="","",IFERROR(INDEX('Post Tracker'!$G$5:$G$1004,MATCH(Q128,'Post Tracker'!$A$5:$A$1004,0)),"ID NOT FOUND"))</f>
        <v/>
      </c>
      <c r="T128" s="24" t="str">
        <f aca="false">IF(Q128="","",IFERROR(INDEX('Post Tracker'!$K$5:$K$1004,MATCH(Q128,'Post Tracker'!$A$5:$A$1004,0))&amp;"",""))</f>
        <v/>
      </c>
      <c r="U128" s="33" t="str">
        <f aca="false">IF(OR(Q128="",B128=""),"",IFERROR(B128-INDEX('Post Tracker'!$B$5:$B$1004,MATCH(Q128,'Post Tracker'!$A$5:$A$1004,0)),""))</f>
        <v/>
      </c>
      <c r="V128" s="39"/>
      <c r="W128" s="29"/>
      <c r="X128" s="29"/>
      <c r="Y128" s="29"/>
      <c r="Z128" s="30"/>
      <c r="AA128" s="29"/>
      <c r="AB128" s="29"/>
    </row>
    <row r="129" customFormat="false" ht="15" hidden="false" customHeight="false" outlineLevel="0" collapsed="false">
      <c r="A129" s="41" t="str">
        <f aca="false">IF(B129="","",ROW()-4)</f>
        <v/>
      </c>
      <c r="B129" s="39"/>
      <c r="C129" s="29"/>
      <c r="D129" s="29"/>
      <c r="E129" s="29"/>
      <c r="F129" s="29"/>
      <c r="G129" s="29"/>
      <c r="H129" s="32"/>
      <c r="I129" s="29"/>
      <c r="J129" s="29"/>
      <c r="K129" s="29"/>
      <c r="L129" s="29"/>
      <c r="M129" s="29"/>
      <c r="N129" s="29"/>
      <c r="O129" s="29"/>
      <c r="P129" s="29"/>
      <c r="Q129" s="24" t="str">
        <f aca="false">IF(N129&lt;&gt;"",UPPER(TRIM(N129)),IF(P129&lt;&gt;"",UPPER(TRIM(P129)),""))</f>
        <v/>
      </c>
      <c r="R129" s="24" t="str">
        <f aca="false">IF(B129="","",IF(N129&lt;&gt;"","UTM tracked",IF(P129&lt;&gt;"","Manual / self-reported",IF(O129&lt;&gt;"","Self-reported channel only","Unattributed"))))</f>
        <v/>
      </c>
      <c r="S129" s="24" t="str">
        <f aca="false">IF(Q129="","",IFERROR(INDEX('Post Tracker'!$G$5:$G$1004,MATCH(Q129,'Post Tracker'!$A$5:$A$1004,0)),"ID NOT FOUND"))</f>
        <v/>
      </c>
      <c r="T129" s="24" t="str">
        <f aca="false">IF(Q129="","",IFERROR(INDEX('Post Tracker'!$K$5:$K$1004,MATCH(Q129,'Post Tracker'!$A$5:$A$1004,0))&amp;"",""))</f>
        <v/>
      </c>
      <c r="U129" s="33" t="str">
        <f aca="false">IF(OR(Q129="",B129=""),"",IFERROR(B129-INDEX('Post Tracker'!$B$5:$B$1004,MATCH(Q129,'Post Tracker'!$A$5:$A$1004,0)),""))</f>
        <v/>
      </c>
      <c r="V129" s="39"/>
      <c r="W129" s="29"/>
      <c r="X129" s="29"/>
      <c r="Y129" s="29"/>
      <c r="Z129" s="30"/>
      <c r="AA129" s="29"/>
      <c r="AB129" s="29"/>
    </row>
    <row r="130" customFormat="false" ht="15" hidden="false" customHeight="false" outlineLevel="0" collapsed="false">
      <c r="A130" s="41" t="str">
        <f aca="false">IF(B130="","",ROW()-4)</f>
        <v/>
      </c>
      <c r="B130" s="39"/>
      <c r="C130" s="29"/>
      <c r="D130" s="29"/>
      <c r="E130" s="29"/>
      <c r="F130" s="29"/>
      <c r="G130" s="29"/>
      <c r="H130" s="32"/>
      <c r="I130" s="29"/>
      <c r="J130" s="29"/>
      <c r="K130" s="29"/>
      <c r="L130" s="29"/>
      <c r="M130" s="29"/>
      <c r="N130" s="29"/>
      <c r="O130" s="29"/>
      <c r="P130" s="29"/>
      <c r="Q130" s="24" t="str">
        <f aca="false">IF(N130&lt;&gt;"",UPPER(TRIM(N130)),IF(P130&lt;&gt;"",UPPER(TRIM(P130)),""))</f>
        <v/>
      </c>
      <c r="R130" s="24" t="str">
        <f aca="false">IF(B130="","",IF(N130&lt;&gt;"","UTM tracked",IF(P130&lt;&gt;"","Manual / self-reported",IF(O130&lt;&gt;"","Self-reported channel only","Unattributed"))))</f>
        <v/>
      </c>
      <c r="S130" s="24" t="str">
        <f aca="false">IF(Q130="","",IFERROR(INDEX('Post Tracker'!$G$5:$G$1004,MATCH(Q130,'Post Tracker'!$A$5:$A$1004,0)),"ID NOT FOUND"))</f>
        <v/>
      </c>
      <c r="T130" s="24" t="str">
        <f aca="false">IF(Q130="","",IFERROR(INDEX('Post Tracker'!$K$5:$K$1004,MATCH(Q130,'Post Tracker'!$A$5:$A$1004,0))&amp;"",""))</f>
        <v/>
      </c>
      <c r="U130" s="33" t="str">
        <f aca="false">IF(OR(Q130="",B130=""),"",IFERROR(B130-INDEX('Post Tracker'!$B$5:$B$1004,MATCH(Q130,'Post Tracker'!$A$5:$A$1004,0)),""))</f>
        <v/>
      </c>
      <c r="V130" s="39"/>
      <c r="W130" s="29"/>
      <c r="X130" s="29"/>
      <c r="Y130" s="29"/>
      <c r="Z130" s="30"/>
      <c r="AA130" s="29"/>
      <c r="AB130" s="29"/>
    </row>
    <row r="131" customFormat="false" ht="15" hidden="false" customHeight="false" outlineLevel="0" collapsed="false">
      <c r="A131" s="41" t="str">
        <f aca="false">IF(B131="","",ROW()-4)</f>
        <v/>
      </c>
      <c r="B131" s="39"/>
      <c r="C131" s="29"/>
      <c r="D131" s="29"/>
      <c r="E131" s="29"/>
      <c r="F131" s="29"/>
      <c r="G131" s="29"/>
      <c r="H131" s="32"/>
      <c r="I131" s="29"/>
      <c r="J131" s="29"/>
      <c r="K131" s="29"/>
      <c r="L131" s="29"/>
      <c r="M131" s="29"/>
      <c r="N131" s="29"/>
      <c r="O131" s="29"/>
      <c r="P131" s="29"/>
      <c r="Q131" s="24" t="str">
        <f aca="false">IF(N131&lt;&gt;"",UPPER(TRIM(N131)),IF(P131&lt;&gt;"",UPPER(TRIM(P131)),""))</f>
        <v/>
      </c>
      <c r="R131" s="24" t="str">
        <f aca="false">IF(B131="","",IF(N131&lt;&gt;"","UTM tracked",IF(P131&lt;&gt;"","Manual / self-reported",IF(O131&lt;&gt;"","Self-reported channel only","Unattributed"))))</f>
        <v/>
      </c>
      <c r="S131" s="24" t="str">
        <f aca="false">IF(Q131="","",IFERROR(INDEX('Post Tracker'!$G$5:$G$1004,MATCH(Q131,'Post Tracker'!$A$5:$A$1004,0)),"ID NOT FOUND"))</f>
        <v/>
      </c>
      <c r="T131" s="24" t="str">
        <f aca="false">IF(Q131="","",IFERROR(INDEX('Post Tracker'!$K$5:$K$1004,MATCH(Q131,'Post Tracker'!$A$5:$A$1004,0))&amp;"",""))</f>
        <v/>
      </c>
      <c r="U131" s="33" t="str">
        <f aca="false">IF(OR(Q131="",B131=""),"",IFERROR(B131-INDEX('Post Tracker'!$B$5:$B$1004,MATCH(Q131,'Post Tracker'!$A$5:$A$1004,0)),""))</f>
        <v/>
      </c>
      <c r="V131" s="39"/>
      <c r="W131" s="29"/>
      <c r="X131" s="29"/>
      <c r="Y131" s="29"/>
      <c r="Z131" s="30"/>
      <c r="AA131" s="29"/>
      <c r="AB131" s="29"/>
    </row>
    <row r="132" customFormat="false" ht="15" hidden="false" customHeight="false" outlineLevel="0" collapsed="false">
      <c r="A132" s="41" t="str">
        <f aca="false">IF(B132="","",ROW()-4)</f>
        <v/>
      </c>
      <c r="B132" s="39"/>
      <c r="C132" s="29"/>
      <c r="D132" s="29"/>
      <c r="E132" s="29"/>
      <c r="F132" s="29"/>
      <c r="G132" s="29"/>
      <c r="H132" s="32"/>
      <c r="I132" s="29"/>
      <c r="J132" s="29"/>
      <c r="K132" s="29"/>
      <c r="L132" s="29"/>
      <c r="M132" s="29"/>
      <c r="N132" s="29"/>
      <c r="O132" s="29"/>
      <c r="P132" s="29"/>
      <c r="Q132" s="24" t="str">
        <f aca="false">IF(N132&lt;&gt;"",UPPER(TRIM(N132)),IF(P132&lt;&gt;"",UPPER(TRIM(P132)),""))</f>
        <v/>
      </c>
      <c r="R132" s="24" t="str">
        <f aca="false">IF(B132="","",IF(N132&lt;&gt;"","UTM tracked",IF(P132&lt;&gt;"","Manual / self-reported",IF(O132&lt;&gt;"","Self-reported channel only","Unattributed"))))</f>
        <v/>
      </c>
      <c r="S132" s="24" t="str">
        <f aca="false">IF(Q132="","",IFERROR(INDEX('Post Tracker'!$G$5:$G$1004,MATCH(Q132,'Post Tracker'!$A$5:$A$1004,0)),"ID NOT FOUND"))</f>
        <v/>
      </c>
      <c r="T132" s="24" t="str">
        <f aca="false">IF(Q132="","",IFERROR(INDEX('Post Tracker'!$K$5:$K$1004,MATCH(Q132,'Post Tracker'!$A$5:$A$1004,0))&amp;"",""))</f>
        <v/>
      </c>
      <c r="U132" s="33" t="str">
        <f aca="false">IF(OR(Q132="",B132=""),"",IFERROR(B132-INDEX('Post Tracker'!$B$5:$B$1004,MATCH(Q132,'Post Tracker'!$A$5:$A$1004,0)),""))</f>
        <v/>
      </c>
      <c r="V132" s="39"/>
      <c r="W132" s="29"/>
      <c r="X132" s="29"/>
      <c r="Y132" s="29"/>
      <c r="Z132" s="30"/>
      <c r="AA132" s="29"/>
      <c r="AB132" s="29"/>
    </row>
    <row r="133" customFormat="false" ht="15" hidden="false" customHeight="false" outlineLevel="0" collapsed="false">
      <c r="A133" s="41" t="str">
        <f aca="false">IF(B133="","",ROW()-4)</f>
        <v/>
      </c>
      <c r="B133" s="39"/>
      <c r="C133" s="29"/>
      <c r="D133" s="29"/>
      <c r="E133" s="29"/>
      <c r="F133" s="29"/>
      <c r="G133" s="29"/>
      <c r="H133" s="32"/>
      <c r="I133" s="29"/>
      <c r="J133" s="29"/>
      <c r="K133" s="29"/>
      <c r="L133" s="29"/>
      <c r="M133" s="29"/>
      <c r="N133" s="29"/>
      <c r="O133" s="29"/>
      <c r="P133" s="29"/>
      <c r="Q133" s="24" t="str">
        <f aca="false">IF(N133&lt;&gt;"",UPPER(TRIM(N133)),IF(P133&lt;&gt;"",UPPER(TRIM(P133)),""))</f>
        <v/>
      </c>
      <c r="R133" s="24" t="str">
        <f aca="false">IF(B133="","",IF(N133&lt;&gt;"","UTM tracked",IF(P133&lt;&gt;"","Manual / self-reported",IF(O133&lt;&gt;"","Self-reported channel only","Unattributed"))))</f>
        <v/>
      </c>
      <c r="S133" s="24" t="str">
        <f aca="false">IF(Q133="","",IFERROR(INDEX('Post Tracker'!$G$5:$G$1004,MATCH(Q133,'Post Tracker'!$A$5:$A$1004,0)),"ID NOT FOUND"))</f>
        <v/>
      </c>
      <c r="T133" s="24" t="str">
        <f aca="false">IF(Q133="","",IFERROR(INDEX('Post Tracker'!$K$5:$K$1004,MATCH(Q133,'Post Tracker'!$A$5:$A$1004,0))&amp;"",""))</f>
        <v/>
      </c>
      <c r="U133" s="33" t="str">
        <f aca="false">IF(OR(Q133="",B133=""),"",IFERROR(B133-INDEX('Post Tracker'!$B$5:$B$1004,MATCH(Q133,'Post Tracker'!$A$5:$A$1004,0)),""))</f>
        <v/>
      </c>
      <c r="V133" s="39"/>
      <c r="W133" s="29"/>
      <c r="X133" s="29"/>
      <c r="Y133" s="29"/>
      <c r="Z133" s="30"/>
      <c r="AA133" s="29"/>
      <c r="AB133" s="29"/>
    </row>
    <row r="134" customFormat="false" ht="15" hidden="false" customHeight="false" outlineLevel="0" collapsed="false">
      <c r="A134" s="41" t="str">
        <f aca="false">IF(B134="","",ROW()-4)</f>
        <v/>
      </c>
      <c r="B134" s="39"/>
      <c r="C134" s="29"/>
      <c r="D134" s="29"/>
      <c r="E134" s="29"/>
      <c r="F134" s="29"/>
      <c r="G134" s="29"/>
      <c r="H134" s="32"/>
      <c r="I134" s="29"/>
      <c r="J134" s="29"/>
      <c r="K134" s="29"/>
      <c r="L134" s="29"/>
      <c r="M134" s="29"/>
      <c r="N134" s="29"/>
      <c r="O134" s="29"/>
      <c r="P134" s="29"/>
      <c r="Q134" s="24" t="str">
        <f aca="false">IF(N134&lt;&gt;"",UPPER(TRIM(N134)),IF(P134&lt;&gt;"",UPPER(TRIM(P134)),""))</f>
        <v/>
      </c>
      <c r="R134" s="24" t="str">
        <f aca="false">IF(B134="","",IF(N134&lt;&gt;"","UTM tracked",IF(P134&lt;&gt;"","Manual / self-reported",IF(O134&lt;&gt;"","Self-reported channel only","Unattributed"))))</f>
        <v/>
      </c>
      <c r="S134" s="24" t="str">
        <f aca="false">IF(Q134="","",IFERROR(INDEX('Post Tracker'!$G$5:$G$1004,MATCH(Q134,'Post Tracker'!$A$5:$A$1004,0)),"ID NOT FOUND"))</f>
        <v/>
      </c>
      <c r="T134" s="24" t="str">
        <f aca="false">IF(Q134="","",IFERROR(INDEX('Post Tracker'!$K$5:$K$1004,MATCH(Q134,'Post Tracker'!$A$5:$A$1004,0))&amp;"",""))</f>
        <v/>
      </c>
      <c r="U134" s="33" t="str">
        <f aca="false">IF(OR(Q134="",B134=""),"",IFERROR(B134-INDEX('Post Tracker'!$B$5:$B$1004,MATCH(Q134,'Post Tracker'!$A$5:$A$1004,0)),""))</f>
        <v/>
      </c>
      <c r="V134" s="39"/>
      <c r="W134" s="29"/>
      <c r="X134" s="29"/>
      <c r="Y134" s="29"/>
      <c r="Z134" s="30"/>
      <c r="AA134" s="29"/>
      <c r="AB134" s="29"/>
    </row>
    <row r="135" customFormat="false" ht="15" hidden="false" customHeight="false" outlineLevel="0" collapsed="false">
      <c r="A135" s="41" t="str">
        <f aca="false">IF(B135="","",ROW()-4)</f>
        <v/>
      </c>
      <c r="B135" s="39"/>
      <c r="C135" s="29"/>
      <c r="D135" s="29"/>
      <c r="E135" s="29"/>
      <c r="F135" s="29"/>
      <c r="G135" s="29"/>
      <c r="H135" s="32"/>
      <c r="I135" s="29"/>
      <c r="J135" s="29"/>
      <c r="K135" s="29"/>
      <c r="L135" s="29"/>
      <c r="M135" s="29"/>
      <c r="N135" s="29"/>
      <c r="O135" s="29"/>
      <c r="P135" s="29"/>
      <c r="Q135" s="24" t="str">
        <f aca="false">IF(N135&lt;&gt;"",UPPER(TRIM(N135)),IF(P135&lt;&gt;"",UPPER(TRIM(P135)),""))</f>
        <v/>
      </c>
      <c r="R135" s="24" t="str">
        <f aca="false">IF(B135="","",IF(N135&lt;&gt;"","UTM tracked",IF(P135&lt;&gt;"","Manual / self-reported",IF(O135&lt;&gt;"","Self-reported channel only","Unattributed"))))</f>
        <v/>
      </c>
      <c r="S135" s="24" t="str">
        <f aca="false">IF(Q135="","",IFERROR(INDEX('Post Tracker'!$G$5:$G$1004,MATCH(Q135,'Post Tracker'!$A$5:$A$1004,0)),"ID NOT FOUND"))</f>
        <v/>
      </c>
      <c r="T135" s="24" t="str">
        <f aca="false">IF(Q135="","",IFERROR(INDEX('Post Tracker'!$K$5:$K$1004,MATCH(Q135,'Post Tracker'!$A$5:$A$1004,0))&amp;"",""))</f>
        <v/>
      </c>
      <c r="U135" s="33" t="str">
        <f aca="false">IF(OR(Q135="",B135=""),"",IFERROR(B135-INDEX('Post Tracker'!$B$5:$B$1004,MATCH(Q135,'Post Tracker'!$A$5:$A$1004,0)),""))</f>
        <v/>
      </c>
      <c r="V135" s="39"/>
      <c r="W135" s="29"/>
      <c r="X135" s="29"/>
      <c r="Y135" s="29"/>
      <c r="Z135" s="30"/>
      <c r="AA135" s="29"/>
      <c r="AB135" s="29"/>
    </row>
    <row r="136" customFormat="false" ht="15" hidden="false" customHeight="false" outlineLevel="0" collapsed="false">
      <c r="A136" s="41" t="str">
        <f aca="false">IF(B136="","",ROW()-4)</f>
        <v/>
      </c>
      <c r="B136" s="39"/>
      <c r="C136" s="29"/>
      <c r="D136" s="29"/>
      <c r="E136" s="29"/>
      <c r="F136" s="29"/>
      <c r="G136" s="29"/>
      <c r="H136" s="32"/>
      <c r="I136" s="29"/>
      <c r="J136" s="29"/>
      <c r="K136" s="29"/>
      <c r="L136" s="29"/>
      <c r="M136" s="29"/>
      <c r="N136" s="29"/>
      <c r="O136" s="29"/>
      <c r="P136" s="29"/>
      <c r="Q136" s="24" t="str">
        <f aca="false">IF(N136&lt;&gt;"",UPPER(TRIM(N136)),IF(P136&lt;&gt;"",UPPER(TRIM(P136)),""))</f>
        <v/>
      </c>
      <c r="R136" s="24" t="str">
        <f aca="false">IF(B136="","",IF(N136&lt;&gt;"","UTM tracked",IF(P136&lt;&gt;"","Manual / self-reported",IF(O136&lt;&gt;"","Self-reported channel only","Unattributed"))))</f>
        <v/>
      </c>
      <c r="S136" s="24" t="str">
        <f aca="false">IF(Q136="","",IFERROR(INDEX('Post Tracker'!$G$5:$G$1004,MATCH(Q136,'Post Tracker'!$A$5:$A$1004,0)),"ID NOT FOUND"))</f>
        <v/>
      </c>
      <c r="T136" s="24" t="str">
        <f aca="false">IF(Q136="","",IFERROR(INDEX('Post Tracker'!$K$5:$K$1004,MATCH(Q136,'Post Tracker'!$A$5:$A$1004,0))&amp;"",""))</f>
        <v/>
      </c>
      <c r="U136" s="33" t="str">
        <f aca="false">IF(OR(Q136="",B136=""),"",IFERROR(B136-INDEX('Post Tracker'!$B$5:$B$1004,MATCH(Q136,'Post Tracker'!$A$5:$A$1004,0)),""))</f>
        <v/>
      </c>
      <c r="V136" s="39"/>
      <c r="W136" s="29"/>
      <c r="X136" s="29"/>
      <c r="Y136" s="29"/>
      <c r="Z136" s="30"/>
      <c r="AA136" s="29"/>
      <c r="AB136" s="29"/>
    </row>
    <row r="137" customFormat="false" ht="15" hidden="false" customHeight="false" outlineLevel="0" collapsed="false">
      <c r="A137" s="41" t="str">
        <f aca="false">IF(B137="","",ROW()-4)</f>
        <v/>
      </c>
      <c r="B137" s="39"/>
      <c r="C137" s="29"/>
      <c r="D137" s="29"/>
      <c r="E137" s="29"/>
      <c r="F137" s="29"/>
      <c r="G137" s="29"/>
      <c r="H137" s="32"/>
      <c r="I137" s="29"/>
      <c r="J137" s="29"/>
      <c r="K137" s="29"/>
      <c r="L137" s="29"/>
      <c r="M137" s="29"/>
      <c r="N137" s="29"/>
      <c r="O137" s="29"/>
      <c r="P137" s="29"/>
      <c r="Q137" s="24" t="str">
        <f aca="false">IF(N137&lt;&gt;"",UPPER(TRIM(N137)),IF(P137&lt;&gt;"",UPPER(TRIM(P137)),""))</f>
        <v/>
      </c>
      <c r="R137" s="24" t="str">
        <f aca="false">IF(B137="","",IF(N137&lt;&gt;"","UTM tracked",IF(P137&lt;&gt;"","Manual / self-reported",IF(O137&lt;&gt;"","Self-reported channel only","Unattributed"))))</f>
        <v/>
      </c>
      <c r="S137" s="24" t="str">
        <f aca="false">IF(Q137="","",IFERROR(INDEX('Post Tracker'!$G$5:$G$1004,MATCH(Q137,'Post Tracker'!$A$5:$A$1004,0)),"ID NOT FOUND"))</f>
        <v/>
      </c>
      <c r="T137" s="24" t="str">
        <f aca="false">IF(Q137="","",IFERROR(INDEX('Post Tracker'!$K$5:$K$1004,MATCH(Q137,'Post Tracker'!$A$5:$A$1004,0))&amp;"",""))</f>
        <v/>
      </c>
      <c r="U137" s="33" t="str">
        <f aca="false">IF(OR(Q137="",B137=""),"",IFERROR(B137-INDEX('Post Tracker'!$B$5:$B$1004,MATCH(Q137,'Post Tracker'!$A$5:$A$1004,0)),""))</f>
        <v/>
      </c>
      <c r="V137" s="39"/>
      <c r="W137" s="29"/>
      <c r="X137" s="29"/>
      <c r="Y137" s="29"/>
      <c r="Z137" s="30"/>
      <c r="AA137" s="29"/>
      <c r="AB137" s="29"/>
    </row>
    <row r="138" customFormat="false" ht="15" hidden="false" customHeight="false" outlineLevel="0" collapsed="false">
      <c r="A138" s="41" t="str">
        <f aca="false">IF(B138="","",ROW()-4)</f>
        <v/>
      </c>
      <c r="B138" s="39"/>
      <c r="C138" s="29"/>
      <c r="D138" s="29"/>
      <c r="E138" s="29"/>
      <c r="F138" s="29"/>
      <c r="G138" s="29"/>
      <c r="H138" s="32"/>
      <c r="I138" s="29"/>
      <c r="J138" s="29"/>
      <c r="K138" s="29"/>
      <c r="L138" s="29"/>
      <c r="M138" s="29"/>
      <c r="N138" s="29"/>
      <c r="O138" s="29"/>
      <c r="P138" s="29"/>
      <c r="Q138" s="24" t="str">
        <f aca="false">IF(N138&lt;&gt;"",UPPER(TRIM(N138)),IF(P138&lt;&gt;"",UPPER(TRIM(P138)),""))</f>
        <v/>
      </c>
      <c r="R138" s="24" t="str">
        <f aca="false">IF(B138="","",IF(N138&lt;&gt;"","UTM tracked",IF(P138&lt;&gt;"","Manual / self-reported",IF(O138&lt;&gt;"","Self-reported channel only","Unattributed"))))</f>
        <v/>
      </c>
      <c r="S138" s="24" t="str">
        <f aca="false">IF(Q138="","",IFERROR(INDEX('Post Tracker'!$G$5:$G$1004,MATCH(Q138,'Post Tracker'!$A$5:$A$1004,0)),"ID NOT FOUND"))</f>
        <v/>
      </c>
      <c r="T138" s="24" t="str">
        <f aca="false">IF(Q138="","",IFERROR(INDEX('Post Tracker'!$K$5:$K$1004,MATCH(Q138,'Post Tracker'!$A$5:$A$1004,0))&amp;"",""))</f>
        <v/>
      </c>
      <c r="U138" s="33" t="str">
        <f aca="false">IF(OR(Q138="",B138=""),"",IFERROR(B138-INDEX('Post Tracker'!$B$5:$B$1004,MATCH(Q138,'Post Tracker'!$A$5:$A$1004,0)),""))</f>
        <v/>
      </c>
      <c r="V138" s="39"/>
      <c r="W138" s="29"/>
      <c r="X138" s="29"/>
      <c r="Y138" s="29"/>
      <c r="Z138" s="30"/>
      <c r="AA138" s="29"/>
      <c r="AB138" s="29"/>
    </row>
    <row r="139" customFormat="false" ht="15" hidden="false" customHeight="false" outlineLevel="0" collapsed="false">
      <c r="A139" s="41" t="str">
        <f aca="false">IF(B139="","",ROW()-4)</f>
        <v/>
      </c>
      <c r="B139" s="39"/>
      <c r="C139" s="29"/>
      <c r="D139" s="29"/>
      <c r="E139" s="29"/>
      <c r="F139" s="29"/>
      <c r="G139" s="29"/>
      <c r="H139" s="32"/>
      <c r="I139" s="29"/>
      <c r="J139" s="29"/>
      <c r="K139" s="29"/>
      <c r="L139" s="29"/>
      <c r="M139" s="29"/>
      <c r="N139" s="29"/>
      <c r="O139" s="29"/>
      <c r="P139" s="29"/>
      <c r="Q139" s="24" t="str">
        <f aca="false">IF(N139&lt;&gt;"",UPPER(TRIM(N139)),IF(P139&lt;&gt;"",UPPER(TRIM(P139)),""))</f>
        <v/>
      </c>
      <c r="R139" s="24" t="str">
        <f aca="false">IF(B139="","",IF(N139&lt;&gt;"","UTM tracked",IF(P139&lt;&gt;"","Manual / self-reported",IF(O139&lt;&gt;"","Self-reported channel only","Unattributed"))))</f>
        <v/>
      </c>
      <c r="S139" s="24" t="str">
        <f aca="false">IF(Q139="","",IFERROR(INDEX('Post Tracker'!$G$5:$G$1004,MATCH(Q139,'Post Tracker'!$A$5:$A$1004,0)),"ID NOT FOUND"))</f>
        <v/>
      </c>
      <c r="T139" s="24" t="str">
        <f aca="false">IF(Q139="","",IFERROR(INDEX('Post Tracker'!$K$5:$K$1004,MATCH(Q139,'Post Tracker'!$A$5:$A$1004,0))&amp;"",""))</f>
        <v/>
      </c>
      <c r="U139" s="33" t="str">
        <f aca="false">IF(OR(Q139="",B139=""),"",IFERROR(B139-INDEX('Post Tracker'!$B$5:$B$1004,MATCH(Q139,'Post Tracker'!$A$5:$A$1004,0)),""))</f>
        <v/>
      </c>
      <c r="V139" s="39"/>
      <c r="W139" s="29"/>
      <c r="X139" s="29"/>
      <c r="Y139" s="29"/>
      <c r="Z139" s="30"/>
      <c r="AA139" s="29"/>
      <c r="AB139" s="29"/>
    </row>
    <row r="140" customFormat="false" ht="15" hidden="false" customHeight="false" outlineLevel="0" collapsed="false">
      <c r="A140" s="41" t="str">
        <f aca="false">IF(B140="","",ROW()-4)</f>
        <v/>
      </c>
      <c r="B140" s="39"/>
      <c r="C140" s="29"/>
      <c r="D140" s="29"/>
      <c r="E140" s="29"/>
      <c r="F140" s="29"/>
      <c r="G140" s="29"/>
      <c r="H140" s="32"/>
      <c r="I140" s="29"/>
      <c r="J140" s="29"/>
      <c r="K140" s="29"/>
      <c r="L140" s="29"/>
      <c r="M140" s="29"/>
      <c r="N140" s="29"/>
      <c r="O140" s="29"/>
      <c r="P140" s="29"/>
      <c r="Q140" s="24" t="str">
        <f aca="false">IF(N140&lt;&gt;"",UPPER(TRIM(N140)),IF(P140&lt;&gt;"",UPPER(TRIM(P140)),""))</f>
        <v/>
      </c>
      <c r="R140" s="24" t="str">
        <f aca="false">IF(B140="","",IF(N140&lt;&gt;"","UTM tracked",IF(P140&lt;&gt;"","Manual / self-reported",IF(O140&lt;&gt;"","Self-reported channel only","Unattributed"))))</f>
        <v/>
      </c>
      <c r="S140" s="24" t="str">
        <f aca="false">IF(Q140="","",IFERROR(INDEX('Post Tracker'!$G$5:$G$1004,MATCH(Q140,'Post Tracker'!$A$5:$A$1004,0)),"ID NOT FOUND"))</f>
        <v/>
      </c>
      <c r="T140" s="24" t="str">
        <f aca="false">IF(Q140="","",IFERROR(INDEX('Post Tracker'!$K$5:$K$1004,MATCH(Q140,'Post Tracker'!$A$5:$A$1004,0))&amp;"",""))</f>
        <v/>
      </c>
      <c r="U140" s="33" t="str">
        <f aca="false">IF(OR(Q140="",B140=""),"",IFERROR(B140-INDEX('Post Tracker'!$B$5:$B$1004,MATCH(Q140,'Post Tracker'!$A$5:$A$1004,0)),""))</f>
        <v/>
      </c>
      <c r="V140" s="39"/>
      <c r="W140" s="29"/>
      <c r="X140" s="29"/>
      <c r="Y140" s="29"/>
      <c r="Z140" s="30"/>
      <c r="AA140" s="29"/>
      <c r="AB140" s="29"/>
    </row>
    <row r="141" customFormat="false" ht="15" hidden="false" customHeight="false" outlineLevel="0" collapsed="false">
      <c r="A141" s="41" t="str">
        <f aca="false">IF(B141="","",ROW()-4)</f>
        <v/>
      </c>
      <c r="B141" s="39"/>
      <c r="C141" s="29"/>
      <c r="D141" s="29"/>
      <c r="E141" s="29"/>
      <c r="F141" s="29"/>
      <c r="G141" s="29"/>
      <c r="H141" s="32"/>
      <c r="I141" s="29"/>
      <c r="J141" s="29"/>
      <c r="K141" s="29"/>
      <c r="L141" s="29"/>
      <c r="M141" s="29"/>
      <c r="N141" s="29"/>
      <c r="O141" s="29"/>
      <c r="P141" s="29"/>
      <c r="Q141" s="24" t="str">
        <f aca="false">IF(N141&lt;&gt;"",UPPER(TRIM(N141)),IF(P141&lt;&gt;"",UPPER(TRIM(P141)),""))</f>
        <v/>
      </c>
      <c r="R141" s="24" t="str">
        <f aca="false">IF(B141="","",IF(N141&lt;&gt;"","UTM tracked",IF(P141&lt;&gt;"","Manual / self-reported",IF(O141&lt;&gt;"","Self-reported channel only","Unattributed"))))</f>
        <v/>
      </c>
      <c r="S141" s="24" t="str">
        <f aca="false">IF(Q141="","",IFERROR(INDEX('Post Tracker'!$G$5:$G$1004,MATCH(Q141,'Post Tracker'!$A$5:$A$1004,0)),"ID NOT FOUND"))</f>
        <v/>
      </c>
      <c r="T141" s="24" t="str">
        <f aca="false">IF(Q141="","",IFERROR(INDEX('Post Tracker'!$K$5:$K$1004,MATCH(Q141,'Post Tracker'!$A$5:$A$1004,0))&amp;"",""))</f>
        <v/>
      </c>
      <c r="U141" s="33" t="str">
        <f aca="false">IF(OR(Q141="",B141=""),"",IFERROR(B141-INDEX('Post Tracker'!$B$5:$B$1004,MATCH(Q141,'Post Tracker'!$A$5:$A$1004,0)),""))</f>
        <v/>
      </c>
      <c r="V141" s="39"/>
      <c r="W141" s="29"/>
      <c r="X141" s="29"/>
      <c r="Y141" s="29"/>
      <c r="Z141" s="30"/>
      <c r="AA141" s="29"/>
      <c r="AB141" s="29"/>
    </row>
    <row r="142" customFormat="false" ht="15" hidden="false" customHeight="false" outlineLevel="0" collapsed="false">
      <c r="A142" s="41" t="str">
        <f aca="false">IF(B142="","",ROW()-4)</f>
        <v/>
      </c>
      <c r="B142" s="39"/>
      <c r="C142" s="29"/>
      <c r="D142" s="29"/>
      <c r="E142" s="29"/>
      <c r="F142" s="29"/>
      <c r="G142" s="29"/>
      <c r="H142" s="32"/>
      <c r="I142" s="29"/>
      <c r="J142" s="29"/>
      <c r="K142" s="29"/>
      <c r="L142" s="29"/>
      <c r="M142" s="29"/>
      <c r="N142" s="29"/>
      <c r="O142" s="29"/>
      <c r="P142" s="29"/>
      <c r="Q142" s="24" t="str">
        <f aca="false">IF(N142&lt;&gt;"",UPPER(TRIM(N142)),IF(P142&lt;&gt;"",UPPER(TRIM(P142)),""))</f>
        <v/>
      </c>
      <c r="R142" s="24" t="str">
        <f aca="false">IF(B142="","",IF(N142&lt;&gt;"","UTM tracked",IF(P142&lt;&gt;"","Manual / self-reported",IF(O142&lt;&gt;"","Self-reported channel only","Unattributed"))))</f>
        <v/>
      </c>
      <c r="S142" s="24" t="str">
        <f aca="false">IF(Q142="","",IFERROR(INDEX('Post Tracker'!$G$5:$G$1004,MATCH(Q142,'Post Tracker'!$A$5:$A$1004,0)),"ID NOT FOUND"))</f>
        <v/>
      </c>
      <c r="T142" s="24" t="str">
        <f aca="false">IF(Q142="","",IFERROR(INDEX('Post Tracker'!$K$5:$K$1004,MATCH(Q142,'Post Tracker'!$A$5:$A$1004,0))&amp;"",""))</f>
        <v/>
      </c>
      <c r="U142" s="33" t="str">
        <f aca="false">IF(OR(Q142="",B142=""),"",IFERROR(B142-INDEX('Post Tracker'!$B$5:$B$1004,MATCH(Q142,'Post Tracker'!$A$5:$A$1004,0)),""))</f>
        <v/>
      </c>
      <c r="V142" s="39"/>
      <c r="W142" s="29"/>
      <c r="X142" s="29"/>
      <c r="Y142" s="29"/>
      <c r="Z142" s="30"/>
      <c r="AA142" s="29"/>
      <c r="AB142" s="29"/>
    </row>
    <row r="143" customFormat="false" ht="15" hidden="false" customHeight="false" outlineLevel="0" collapsed="false">
      <c r="A143" s="41" t="str">
        <f aca="false">IF(B143="","",ROW()-4)</f>
        <v/>
      </c>
      <c r="B143" s="39"/>
      <c r="C143" s="29"/>
      <c r="D143" s="29"/>
      <c r="E143" s="29"/>
      <c r="F143" s="29"/>
      <c r="G143" s="29"/>
      <c r="H143" s="32"/>
      <c r="I143" s="29"/>
      <c r="J143" s="29"/>
      <c r="K143" s="29"/>
      <c r="L143" s="29"/>
      <c r="M143" s="29"/>
      <c r="N143" s="29"/>
      <c r="O143" s="29"/>
      <c r="P143" s="29"/>
      <c r="Q143" s="24" t="str">
        <f aca="false">IF(N143&lt;&gt;"",UPPER(TRIM(N143)),IF(P143&lt;&gt;"",UPPER(TRIM(P143)),""))</f>
        <v/>
      </c>
      <c r="R143" s="24" t="str">
        <f aca="false">IF(B143="","",IF(N143&lt;&gt;"","UTM tracked",IF(P143&lt;&gt;"","Manual / self-reported",IF(O143&lt;&gt;"","Self-reported channel only","Unattributed"))))</f>
        <v/>
      </c>
      <c r="S143" s="24" t="str">
        <f aca="false">IF(Q143="","",IFERROR(INDEX('Post Tracker'!$G$5:$G$1004,MATCH(Q143,'Post Tracker'!$A$5:$A$1004,0)),"ID NOT FOUND"))</f>
        <v/>
      </c>
      <c r="T143" s="24" t="str">
        <f aca="false">IF(Q143="","",IFERROR(INDEX('Post Tracker'!$K$5:$K$1004,MATCH(Q143,'Post Tracker'!$A$5:$A$1004,0))&amp;"",""))</f>
        <v/>
      </c>
      <c r="U143" s="33" t="str">
        <f aca="false">IF(OR(Q143="",B143=""),"",IFERROR(B143-INDEX('Post Tracker'!$B$5:$B$1004,MATCH(Q143,'Post Tracker'!$A$5:$A$1004,0)),""))</f>
        <v/>
      </c>
      <c r="V143" s="39"/>
      <c r="W143" s="29"/>
      <c r="X143" s="29"/>
      <c r="Y143" s="29"/>
      <c r="Z143" s="30"/>
      <c r="AA143" s="29"/>
      <c r="AB143" s="29"/>
    </row>
    <row r="144" customFormat="false" ht="15" hidden="false" customHeight="false" outlineLevel="0" collapsed="false">
      <c r="A144" s="41" t="str">
        <f aca="false">IF(B144="","",ROW()-4)</f>
        <v/>
      </c>
      <c r="B144" s="39"/>
      <c r="C144" s="29"/>
      <c r="D144" s="29"/>
      <c r="E144" s="29"/>
      <c r="F144" s="29"/>
      <c r="G144" s="29"/>
      <c r="H144" s="32"/>
      <c r="I144" s="29"/>
      <c r="J144" s="29"/>
      <c r="K144" s="29"/>
      <c r="L144" s="29"/>
      <c r="M144" s="29"/>
      <c r="N144" s="29"/>
      <c r="O144" s="29"/>
      <c r="P144" s="29"/>
      <c r="Q144" s="24" t="str">
        <f aca="false">IF(N144&lt;&gt;"",UPPER(TRIM(N144)),IF(P144&lt;&gt;"",UPPER(TRIM(P144)),""))</f>
        <v/>
      </c>
      <c r="R144" s="24" t="str">
        <f aca="false">IF(B144="","",IF(N144&lt;&gt;"","UTM tracked",IF(P144&lt;&gt;"","Manual / self-reported",IF(O144&lt;&gt;"","Self-reported channel only","Unattributed"))))</f>
        <v/>
      </c>
      <c r="S144" s="24" t="str">
        <f aca="false">IF(Q144="","",IFERROR(INDEX('Post Tracker'!$G$5:$G$1004,MATCH(Q144,'Post Tracker'!$A$5:$A$1004,0)),"ID NOT FOUND"))</f>
        <v/>
      </c>
      <c r="T144" s="24" t="str">
        <f aca="false">IF(Q144="","",IFERROR(INDEX('Post Tracker'!$K$5:$K$1004,MATCH(Q144,'Post Tracker'!$A$5:$A$1004,0))&amp;"",""))</f>
        <v/>
      </c>
      <c r="U144" s="33" t="str">
        <f aca="false">IF(OR(Q144="",B144=""),"",IFERROR(B144-INDEX('Post Tracker'!$B$5:$B$1004,MATCH(Q144,'Post Tracker'!$A$5:$A$1004,0)),""))</f>
        <v/>
      </c>
      <c r="V144" s="39"/>
      <c r="W144" s="29"/>
      <c r="X144" s="29"/>
      <c r="Y144" s="29"/>
      <c r="Z144" s="30"/>
      <c r="AA144" s="29"/>
      <c r="AB144" s="29"/>
    </row>
    <row r="145" customFormat="false" ht="15" hidden="false" customHeight="false" outlineLevel="0" collapsed="false">
      <c r="A145" s="41" t="str">
        <f aca="false">IF(B145="","",ROW()-4)</f>
        <v/>
      </c>
      <c r="B145" s="39"/>
      <c r="C145" s="29"/>
      <c r="D145" s="29"/>
      <c r="E145" s="29"/>
      <c r="F145" s="29"/>
      <c r="G145" s="29"/>
      <c r="H145" s="32"/>
      <c r="I145" s="29"/>
      <c r="J145" s="29"/>
      <c r="K145" s="29"/>
      <c r="L145" s="29"/>
      <c r="M145" s="29"/>
      <c r="N145" s="29"/>
      <c r="O145" s="29"/>
      <c r="P145" s="29"/>
      <c r="Q145" s="24" t="str">
        <f aca="false">IF(N145&lt;&gt;"",UPPER(TRIM(N145)),IF(P145&lt;&gt;"",UPPER(TRIM(P145)),""))</f>
        <v/>
      </c>
      <c r="R145" s="24" t="str">
        <f aca="false">IF(B145="","",IF(N145&lt;&gt;"","UTM tracked",IF(P145&lt;&gt;"","Manual / self-reported",IF(O145&lt;&gt;"","Self-reported channel only","Unattributed"))))</f>
        <v/>
      </c>
      <c r="S145" s="24" t="str">
        <f aca="false">IF(Q145="","",IFERROR(INDEX('Post Tracker'!$G$5:$G$1004,MATCH(Q145,'Post Tracker'!$A$5:$A$1004,0)),"ID NOT FOUND"))</f>
        <v/>
      </c>
      <c r="T145" s="24" t="str">
        <f aca="false">IF(Q145="","",IFERROR(INDEX('Post Tracker'!$K$5:$K$1004,MATCH(Q145,'Post Tracker'!$A$5:$A$1004,0))&amp;"",""))</f>
        <v/>
      </c>
      <c r="U145" s="33" t="str">
        <f aca="false">IF(OR(Q145="",B145=""),"",IFERROR(B145-INDEX('Post Tracker'!$B$5:$B$1004,MATCH(Q145,'Post Tracker'!$A$5:$A$1004,0)),""))</f>
        <v/>
      </c>
      <c r="V145" s="39"/>
      <c r="W145" s="29"/>
      <c r="X145" s="29"/>
      <c r="Y145" s="29"/>
      <c r="Z145" s="30"/>
      <c r="AA145" s="29"/>
      <c r="AB145" s="29"/>
    </row>
    <row r="146" customFormat="false" ht="15" hidden="false" customHeight="false" outlineLevel="0" collapsed="false">
      <c r="A146" s="41" t="str">
        <f aca="false">IF(B146="","",ROW()-4)</f>
        <v/>
      </c>
      <c r="B146" s="39"/>
      <c r="C146" s="29"/>
      <c r="D146" s="29"/>
      <c r="E146" s="29"/>
      <c r="F146" s="29"/>
      <c r="G146" s="29"/>
      <c r="H146" s="32"/>
      <c r="I146" s="29"/>
      <c r="J146" s="29"/>
      <c r="K146" s="29"/>
      <c r="L146" s="29"/>
      <c r="M146" s="29"/>
      <c r="N146" s="29"/>
      <c r="O146" s="29"/>
      <c r="P146" s="29"/>
      <c r="Q146" s="24" t="str">
        <f aca="false">IF(N146&lt;&gt;"",UPPER(TRIM(N146)),IF(P146&lt;&gt;"",UPPER(TRIM(P146)),""))</f>
        <v/>
      </c>
      <c r="R146" s="24" t="str">
        <f aca="false">IF(B146="","",IF(N146&lt;&gt;"","UTM tracked",IF(P146&lt;&gt;"","Manual / self-reported",IF(O146&lt;&gt;"","Self-reported channel only","Unattributed"))))</f>
        <v/>
      </c>
      <c r="S146" s="24" t="str">
        <f aca="false">IF(Q146="","",IFERROR(INDEX('Post Tracker'!$G$5:$G$1004,MATCH(Q146,'Post Tracker'!$A$5:$A$1004,0)),"ID NOT FOUND"))</f>
        <v/>
      </c>
      <c r="T146" s="24" t="str">
        <f aca="false">IF(Q146="","",IFERROR(INDEX('Post Tracker'!$K$5:$K$1004,MATCH(Q146,'Post Tracker'!$A$5:$A$1004,0))&amp;"",""))</f>
        <v/>
      </c>
      <c r="U146" s="33" t="str">
        <f aca="false">IF(OR(Q146="",B146=""),"",IFERROR(B146-INDEX('Post Tracker'!$B$5:$B$1004,MATCH(Q146,'Post Tracker'!$A$5:$A$1004,0)),""))</f>
        <v/>
      </c>
      <c r="V146" s="39"/>
      <c r="W146" s="29"/>
      <c r="X146" s="29"/>
      <c r="Y146" s="29"/>
      <c r="Z146" s="30"/>
      <c r="AA146" s="29"/>
      <c r="AB146" s="29"/>
    </row>
    <row r="147" customFormat="false" ht="15" hidden="false" customHeight="false" outlineLevel="0" collapsed="false">
      <c r="A147" s="41" t="str">
        <f aca="false">IF(B147="","",ROW()-4)</f>
        <v/>
      </c>
      <c r="B147" s="39"/>
      <c r="C147" s="29"/>
      <c r="D147" s="29"/>
      <c r="E147" s="29"/>
      <c r="F147" s="29"/>
      <c r="G147" s="29"/>
      <c r="H147" s="32"/>
      <c r="I147" s="29"/>
      <c r="J147" s="29"/>
      <c r="K147" s="29"/>
      <c r="L147" s="29"/>
      <c r="M147" s="29"/>
      <c r="N147" s="29"/>
      <c r="O147" s="29"/>
      <c r="P147" s="29"/>
      <c r="Q147" s="24" t="str">
        <f aca="false">IF(N147&lt;&gt;"",UPPER(TRIM(N147)),IF(P147&lt;&gt;"",UPPER(TRIM(P147)),""))</f>
        <v/>
      </c>
      <c r="R147" s="24" t="str">
        <f aca="false">IF(B147="","",IF(N147&lt;&gt;"","UTM tracked",IF(P147&lt;&gt;"","Manual / self-reported",IF(O147&lt;&gt;"","Self-reported channel only","Unattributed"))))</f>
        <v/>
      </c>
      <c r="S147" s="24" t="str">
        <f aca="false">IF(Q147="","",IFERROR(INDEX('Post Tracker'!$G$5:$G$1004,MATCH(Q147,'Post Tracker'!$A$5:$A$1004,0)),"ID NOT FOUND"))</f>
        <v/>
      </c>
      <c r="T147" s="24" t="str">
        <f aca="false">IF(Q147="","",IFERROR(INDEX('Post Tracker'!$K$5:$K$1004,MATCH(Q147,'Post Tracker'!$A$5:$A$1004,0))&amp;"",""))</f>
        <v/>
      </c>
      <c r="U147" s="33" t="str">
        <f aca="false">IF(OR(Q147="",B147=""),"",IFERROR(B147-INDEX('Post Tracker'!$B$5:$B$1004,MATCH(Q147,'Post Tracker'!$A$5:$A$1004,0)),""))</f>
        <v/>
      </c>
      <c r="V147" s="39"/>
      <c r="W147" s="29"/>
      <c r="X147" s="29"/>
      <c r="Y147" s="29"/>
      <c r="Z147" s="30"/>
      <c r="AA147" s="29"/>
      <c r="AB147" s="29"/>
    </row>
    <row r="148" customFormat="false" ht="15" hidden="false" customHeight="false" outlineLevel="0" collapsed="false">
      <c r="A148" s="41" t="str">
        <f aca="false">IF(B148="","",ROW()-4)</f>
        <v/>
      </c>
      <c r="B148" s="39"/>
      <c r="C148" s="29"/>
      <c r="D148" s="29"/>
      <c r="E148" s="29"/>
      <c r="F148" s="29"/>
      <c r="G148" s="29"/>
      <c r="H148" s="32"/>
      <c r="I148" s="29"/>
      <c r="J148" s="29"/>
      <c r="K148" s="29"/>
      <c r="L148" s="29"/>
      <c r="M148" s="29"/>
      <c r="N148" s="29"/>
      <c r="O148" s="29"/>
      <c r="P148" s="29"/>
      <c r="Q148" s="24" t="str">
        <f aca="false">IF(N148&lt;&gt;"",UPPER(TRIM(N148)),IF(P148&lt;&gt;"",UPPER(TRIM(P148)),""))</f>
        <v/>
      </c>
      <c r="R148" s="24" t="str">
        <f aca="false">IF(B148="","",IF(N148&lt;&gt;"","UTM tracked",IF(P148&lt;&gt;"","Manual / self-reported",IF(O148&lt;&gt;"","Self-reported channel only","Unattributed"))))</f>
        <v/>
      </c>
      <c r="S148" s="24" t="str">
        <f aca="false">IF(Q148="","",IFERROR(INDEX('Post Tracker'!$G$5:$G$1004,MATCH(Q148,'Post Tracker'!$A$5:$A$1004,0)),"ID NOT FOUND"))</f>
        <v/>
      </c>
      <c r="T148" s="24" t="str">
        <f aca="false">IF(Q148="","",IFERROR(INDEX('Post Tracker'!$K$5:$K$1004,MATCH(Q148,'Post Tracker'!$A$5:$A$1004,0))&amp;"",""))</f>
        <v/>
      </c>
      <c r="U148" s="33" t="str">
        <f aca="false">IF(OR(Q148="",B148=""),"",IFERROR(B148-INDEX('Post Tracker'!$B$5:$B$1004,MATCH(Q148,'Post Tracker'!$A$5:$A$1004,0)),""))</f>
        <v/>
      </c>
      <c r="V148" s="39"/>
      <c r="W148" s="29"/>
      <c r="X148" s="29"/>
      <c r="Y148" s="29"/>
      <c r="Z148" s="30"/>
      <c r="AA148" s="29"/>
      <c r="AB148" s="29"/>
    </row>
    <row r="149" customFormat="false" ht="15" hidden="false" customHeight="false" outlineLevel="0" collapsed="false">
      <c r="A149" s="41" t="str">
        <f aca="false">IF(B149="","",ROW()-4)</f>
        <v/>
      </c>
      <c r="B149" s="39"/>
      <c r="C149" s="29"/>
      <c r="D149" s="29"/>
      <c r="E149" s="29"/>
      <c r="F149" s="29"/>
      <c r="G149" s="29"/>
      <c r="H149" s="32"/>
      <c r="I149" s="29"/>
      <c r="J149" s="29"/>
      <c r="K149" s="29"/>
      <c r="L149" s="29"/>
      <c r="M149" s="29"/>
      <c r="N149" s="29"/>
      <c r="O149" s="29"/>
      <c r="P149" s="29"/>
      <c r="Q149" s="24" t="str">
        <f aca="false">IF(N149&lt;&gt;"",UPPER(TRIM(N149)),IF(P149&lt;&gt;"",UPPER(TRIM(P149)),""))</f>
        <v/>
      </c>
      <c r="R149" s="24" t="str">
        <f aca="false">IF(B149="","",IF(N149&lt;&gt;"","UTM tracked",IF(P149&lt;&gt;"","Manual / self-reported",IF(O149&lt;&gt;"","Self-reported channel only","Unattributed"))))</f>
        <v/>
      </c>
      <c r="S149" s="24" t="str">
        <f aca="false">IF(Q149="","",IFERROR(INDEX('Post Tracker'!$G$5:$G$1004,MATCH(Q149,'Post Tracker'!$A$5:$A$1004,0)),"ID NOT FOUND"))</f>
        <v/>
      </c>
      <c r="T149" s="24" t="str">
        <f aca="false">IF(Q149="","",IFERROR(INDEX('Post Tracker'!$K$5:$K$1004,MATCH(Q149,'Post Tracker'!$A$5:$A$1004,0))&amp;"",""))</f>
        <v/>
      </c>
      <c r="U149" s="33" t="str">
        <f aca="false">IF(OR(Q149="",B149=""),"",IFERROR(B149-INDEX('Post Tracker'!$B$5:$B$1004,MATCH(Q149,'Post Tracker'!$A$5:$A$1004,0)),""))</f>
        <v/>
      </c>
      <c r="V149" s="39"/>
      <c r="W149" s="29"/>
      <c r="X149" s="29"/>
      <c r="Y149" s="29"/>
      <c r="Z149" s="30"/>
      <c r="AA149" s="29"/>
      <c r="AB149" s="29"/>
    </row>
    <row r="150" customFormat="false" ht="15" hidden="false" customHeight="false" outlineLevel="0" collapsed="false">
      <c r="A150" s="41" t="str">
        <f aca="false">IF(B150="","",ROW()-4)</f>
        <v/>
      </c>
      <c r="B150" s="39"/>
      <c r="C150" s="29"/>
      <c r="D150" s="29"/>
      <c r="E150" s="29"/>
      <c r="F150" s="29"/>
      <c r="G150" s="29"/>
      <c r="H150" s="32"/>
      <c r="I150" s="29"/>
      <c r="J150" s="29"/>
      <c r="K150" s="29"/>
      <c r="L150" s="29"/>
      <c r="M150" s="29"/>
      <c r="N150" s="29"/>
      <c r="O150" s="29"/>
      <c r="P150" s="29"/>
      <c r="Q150" s="24" t="str">
        <f aca="false">IF(N150&lt;&gt;"",UPPER(TRIM(N150)),IF(P150&lt;&gt;"",UPPER(TRIM(P150)),""))</f>
        <v/>
      </c>
      <c r="R150" s="24" t="str">
        <f aca="false">IF(B150="","",IF(N150&lt;&gt;"","UTM tracked",IF(P150&lt;&gt;"","Manual / self-reported",IF(O150&lt;&gt;"","Self-reported channel only","Unattributed"))))</f>
        <v/>
      </c>
      <c r="S150" s="24" t="str">
        <f aca="false">IF(Q150="","",IFERROR(INDEX('Post Tracker'!$G$5:$G$1004,MATCH(Q150,'Post Tracker'!$A$5:$A$1004,0)),"ID NOT FOUND"))</f>
        <v/>
      </c>
      <c r="T150" s="24" t="str">
        <f aca="false">IF(Q150="","",IFERROR(INDEX('Post Tracker'!$K$5:$K$1004,MATCH(Q150,'Post Tracker'!$A$5:$A$1004,0))&amp;"",""))</f>
        <v/>
      </c>
      <c r="U150" s="33" t="str">
        <f aca="false">IF(OR(Q150="",B150=""),"",IFERROR(B150-INDEX('Post Tracker'!$B$5:$B$1004,MATCH(Q150,'Post Tracker'!$A$5:$A$1004,0)),""))</f>
        <v/>
      </c>
      <c r="V150" s="39"/>
      <c r="W150" s="29"/>
      <c r="X150" s="29"/>
      <c r="Y150" s="29"/>
      <c r="Z150" s="30"/>
      <c r="AA150" s="29"/>
      <c r="AB150" s="29"/>
    </row>
    <row r="151" customFormat="false" ht="15" hidden="false" customHeight="false" outlineLevel="0" collapsed="false">
      <c r="A151" s="41" t="str">
        <f aca="false">IF(B151="","",ROW()-4)</f>
        <v/>
      </c>
      <c r="B151" s="39"/>
      <c r="C151" s="29"/>
      <c r="D151" s="29"/>
      <c r="E151" s="29"/>
      <c r="F151" s="29"/>
      <c r="G151" s="29"/>
      <c r="H151" s="32"/>
      <c r="I151" s="29"/>
      <c r="J151" s="29"/>
      <c r="K151" s="29"/>
      <c r="L151" s="29"/>
      <c r="M151" s="29"/>
      <c r="N151" s="29"/>
      <c r="O151" s="29"/>
      <c r="P151" s="29"/>
      <c r="Q151" s="24" t="str">
        <f aca="false">IF(N151&lt;&gt;"",UPPER(TRIM(N151)),IF(P151&lt;&gt;"",UPPER(TRIM(P151)),""))</f>
        <v/>
      </c>
      <c r="R151" s="24" t="str">
        <f aca="false">IF(B151="","",IF(N151&lt;&gt;"","UTM tracked",IF(P151&lt;&gt;"","Manual / self-reported",IF(O151&lt;&gt;"","Self-reported channel only","Unattributed"))))</f>
        <v/>
      </c>
      <c r="S151" s="24" t="str">
        <f aca="false">IF(Q151="","",IFERROR(INDEX('Post Tracker'!$G$5:$G$1004,MATCH(Q151,'Post Tracker'!$A$5:$A$1004,0)),"ID NOT FOUND"))</f>
        <v/>
      </c>
      <c r="T151" s="24" t="str">
        <f aca="false">IF(Q151="","",IFERROR(INDEX('Post Tracker'!$K$5:$K$1004,MATCH(Q151,'Post Tracker'!$A$5:$A$1004,0))&amp;"",""))</f>
        <v/>
      </c>
      <c r="U151" s="33" t="str">
        <f aca="false">IF(OR(Q151="",B151=""),"",IFERROR(B151-INDEX('Post Tracker'!$B$5:$B$1004,MATCH(Q151,'Post Tracker'!$A$5:$A$1004,0)),""))</f>
        <v/>
      </c>
      <c r="V151" s="39"/>
      <c r="W151" s="29"/>
      <c r="X151" s="29"/>
      <c r="Y151" s="29"/>
      <c r="Z151" s="30"/>
      <c r="AA151" s="29"/>
      <c r="AB151" s="29"/>
    </row>
    <row r="152" customFormat="false" ht="15" hidden="false" customHeight="false" outlineLevel="0" collapsed="false">
      <c r="A152" s="41" t="str">
        <f aca="false">IF(B152="","",ROW()-4)</f>
        <v/>
      </c>
      <c r="B152" s="39"/>
      <c r="C152" s="29"/>
      <c r="D152" s="29"/>
      <c r="E152" s="29"/>
      <c r="F152" s="29"/>
      <c r="G152" s="29"/>
      <c r="H152" s="32"/>
      <c r="I152" s="29"/>
      <c r="J152" s="29"/>
      <c r="K152" s="29"/>
      <c r="L152" s="29"/>
      <c r="M152" s="29"/>
      <c r="N152" s="29"/>
      <c r="O152" s="29"/>
      <c r="P152" s="29"/>
      <c r="Q152" s="24" t="str">
        <f aca="false">IF(N152&lt;&gt;"",UPPER(TRIM(N152)),IF(P152&lt;&gt;"",UPPER(TRIM(P152)),""))</f>
        <v/>
      </c>
      <c r="R152" s="24" t="str">
        <f aca="false">IF(B152="","",IF(N152&lt;&gt;"","UTM tracked",IF(P152&lt;&gt;"","Manual / self-reported",IF(O152&lt;&gt;"","Self-reported channel only","Unattributed"))))</f>
        <v/>
      </c>
      <c r="S152" s="24" t="str">
        <f aca="false">IF(Q152="","",IFERROR(INDEX('Post Tracker'!$G$5:$G$1004,MATCH(Q152,'Post Tracker'!$A$5:$A$1004,0)),"ID NOT FOUND"))</f>
        <v/>
      </c>
      <c r="T152" s="24" t="str">
        <f aca="false">IF(Q152="","",IFERROR(INDEX('Post Tracker'!$K$5:$K$1004,MATCH(Q152,'Post Tracker'!$A$5:$A$1004,0))&amp;"",""))</f>
        <v/>
      </c>
      <c r="U152" s="33" t="str">
        <f aca="false">IF(OR(Q152="",B152=""),"",IFERROR(B152-INDEX('Post Tracker'!$B$5:$B$1004,MATCH(Q152,'Post Tracker'!$A$5:$A$1004,0)),""))</f>
        <v/>
      </c>
      <c r="V152" s="39"/>
      <c r="W152" s="29"/>
      <c r="X152" s="29"/>
      <c r="Y152" s="29"/>
      <c r="Z152" s="30"/>
      <c r="AA152" s="29"/>
      <c r="AB152" s="29"/>
    </row>
    <row r="153" customFormat="false" ht="15" hidden="false" customHeight="false" outlineLevel="0" collapsed="false">
      <c r="A153" s="41" t="str">
        <f aca="false">IF(B153="","",ROW()-4)</f>
        <v/>
      </c>
      <c r="B153" s="39"/>
      <c r="C153" s="29"/>
      <c r="D153" s="29"/>
      <c r="E153" s="29"/>
      <c r="F153" s="29"/>
      <c r="G153" s="29"/>
      <c r="H153" s="32"/>
      <c r="I153" s="29"/>
      <c r="J153" s="29"/>
      <c r="K153" s="29"/>
      <c r="L153" s="29"/>
      <c r="M153" s="29"/>
      <c r="N153" s="29"/>
      <c r="O153" s="29"/>
      <c r="P153" s="29"/>
      <c r="Q153" s="24" t="str">
        <f aca="false">IF(N153&lt;&gt;"",UPPER(TRIM(N153)),IF(P153&lt;&gt;"",UPPER(TRIM(P153)),""))</f>
        <v/>
      </c>
      <c r="R153" s="24" t="str">
        <f aca="false">IF(B153="","",IF(N153&lt;&gt;"","UTM tracked",IF(P153&lt;&gt;"","Manual / self-reported",IF(O153&lt;&gt;"","Self-reported channel only","Unattributed"))))</f>
        <v/>
      </c>
      <c r="S153" s="24" t="str">
        <f aca="false">IF(Q153="","",IFERROR(INDEX('Post Tracker'!$G$5:$G$1004,MATCH(Q153,'Post Tracker'!$A$5:$A$1004,0)),"ID NOT FOUND"))</f>
        <v/>
      </c>
      <c r="T153" s="24" t="str">
        <f aca="false">IF(Q153="","",IFERROR(INDEX('Post Tracker'!$K$5:$K$1004,MATCH(Q153,'Post Tracker'!$A$5:$A$1004,0))&amp;"",""))</f>
        <v/>
      </c>
      <c r="U153" s="33" t="str">
        <f aca="false">IF(OR(Q153="",B153=""),"",IFERROR(B153-INDEX('Post Tracker'!$B$5:$B$1004,MATCH(Q153,'Post Tracker'!$A$5:$A$1004,0)),""))</f>
        <v/>
      </c>
      <c r="V153" s="39"/>
      <c r="W153" s="29"/>
      <c r="X153" s="29"/>
      <c r="Y153" s="29"/>
      <c r="Z153" s="30"/>
      <c r="AA153" s="29"/>
      <c r="AB153" s="29"/>
    </row>
    <row r="154" customFormat="false" ht="15" hidden="false" customHeight="false" outlineLevel="0" collapsed="false">
      <c r="A154" s="41" t="str">
        <f aca="false">IF(B154="","",ROW()-4)</f>
        <v/>
      </c>
      <c r="B154" s="39"/>
      <c r="C154" s="29"/>
      <c r="D154" s="29"/>
      <c r="E154" s="29"/>
      <c r="F154" s="29"/>
      <c r="G154" s="29"/>
      <c r="H154" s="32"/>
      <c r="I154" s="29"/>
      <c r="J154" s="29"/>
      <c r="K154" s="29"/>
      <c r="L154" s="29"/>
      <c r="M154" s="29"/>
      <c r="N154" s="29"/>
      <c r="O154" s="29"/>
      <c r="P154" s="29"/>
      <c r="Q154" s="24" t="str">
        <f aca="false">IF(N154&lt;&gt;"",UPPER(TRIM(N154)),IF(P154&lt;&gt;"",UPPER(TRIM(P154)),""))</f>
        <v/>
      </c>
      <c r="R154" s="24" t="str">
        <f aca="false">IF(B154="","",IF(N154&lt;&gt;"","UTM tracked",IF(P154&lt;&gt;"","Manual / self-reported",IF(O154&lt;&gt;"","Self-reported channel only","Unattributed"))))</f>
        <v/>
      </c>
      <c r="S154" s="24" t="str">
        <f aca="false">IF(Q154="","",IFERROR(INDEX('Post Tracker'!$G$5:$G$1004,MATCH(Q154,'Post Tracker'!$A$5:$A$1004,0)),"ID NOT FOUND"))</f>
        <v/>
      </c>
      <c r="T154" s="24" t="str">
        <f aca="false">IF(Q154="","",IFERROR(INDEX('Post Tracker'!$K$5:$K$1004,MATCH(Q154,'Post Tracker'!$A$5:$A$1004,0))&amp;"",""))</f>
        <v/>
      </c>
      <c r="U154" s="33" t="str">
        <f aca="false">IF(OR(Q154="",B154=""),"",IFERROR(B154-INDEX('Post Tracker'!$B$5:$B$1004,MATCH(Q154,'Post Tracker'!$A$5:$A$1004,0)),""))</f>
        <v/>
      </c>
      <c r="V154" s="39"/>
      <c r="W154" s="29"/>
      <c r="X154" s="29"/>
      <c r="Y154" s="29"/>
      <c r="Z154" s="30"/>
      <c r="AA154" s="29"/>
      <c r="AB154" s="29"/>
    </row>
    <row r="155" customFormat="false" ht="15" hidden="false" customHeight="false" outlineLevel="0" collapsed="false">
      <c r="A155" s="41" t="str">
        <f aca="false">IF(B155="","",ROW()-4)</f>
        <v/>
      </c>
      <c r="B155" s="39"/>
      <c r="C155" s="29"/>
      <c r="D155" s="29"/>
      <c r="E155" s="29"/>
      <c r="F155" s="29"/>
      <c r="G155" s="29"/>
      <c r="H155" s="32"/>
      <c r="I155" s="29"/>
      <c r="J155" s="29"/>
      <c r="K155" s="29"/>
      <c r="L155" s="29"/>
      <c r="M155" s="29"/>
      <c r="N155" s="29"/>
      <c r="O155" s="29"/>
      <c r="P155" s="29"/>
      <c r="Q155" s="24" t="str">
        <f aca="false">IF(N155&lt;&gt;"",UPPER(TRIM(N155)),IF(P155&lt;&gt;"",UPPER(TRIM(P155)),""))</f>
        <v/>
      </c>
      <c r="R155" s="24" t="str">
        <f aca="false">IF(B155="","",IF(N155&lt;&gt;"","UTM tracked",IF(P155&lt;&gt;"","Manual / self-reported",IF(O155&lt;&gt;"","Self-reported channel only","Unattributed"))))</f>
        <v/>
      </c>
      <c r="S155" s="24" t="str">
        <f aca="false">IF(Q155="","",IFERROR(INDEX('Post Tracker'!$G$5:$G$1004,MATCH(Q155,'Post Tracker'!$A$5:$A$1004,0)),"ID NOT FOUND"))</f>
        <v/>
      </c>
      <c r="T155" s="24" t="str">
        <f aca="false">IF(Q155="","",IFERROR(INDEX('Post Tracker'!$K$5:$K$1004,MATCH(Q155,'Post Tracker'!$A$5:$A$1004,0))&amp;"",""))</f>
        <v/>
      </c>
      <c r="U155" s="33" t="str">
        <f aca="false">IF(OR(Q155="",B155=""),"",IFERROR(B155-INDEX('Post Tracker'!$B$5:$B$1004,MATCH(Q155,'Post Tracker'!$A$5:$A$1004,0)),""))</f>
        <v/>
      </c>
      <c r="V155" s="39"/>
      <c r="W155" s="29"/>
      <c r="X155" s="29"/>
      <c r="Y155" s="29"/>
      <c r="Z155" s="30"/>
      <c r="AA155" s="29"/>
      <c r="AB155" s="29"/>
    </row>
    <row r="156" customFormat="false" ht="15" hidden="false" customHeight="false" outlineLevel="0" collapsed="false">
      <c r="A156" s="41" t="str">
        <f aca="false">IF(B156="","",ROW()-4)</f>
        <v/>
      </c>
      <c r="B156" s="39"/>
      <c r="C156" s="29"/>
      <c r="D156" s="29"/>
      <c r="E156" s="29"/>
      <c r="F156" s="29"/>
      <c r="G156" s="29"/>
      <c r="H156" s="32"/>
      <c r="I156" s="29"/>
      <c r="J156" s="29"/>
      <c r="K156" s="29"/>
      <c r="L156" s="29"/>
      <c r="M156" s="29"/>
      <c r="N156" s="29"/>
      <c r="O156" s="29"/>
      <c r="P156" s="29"/>
      <c r="Q156" s="24" t="str">
        <f aca="false">IF(N156&lt;&gt;"",UPPER(TRIM(N156)),IF(P156&lt;&gt;"",UPPER(TRIM(P156)),""))</f>
        <v/>
      </c>
      <c r="R156" s="24" t="str">
        <f aca="false">IF(B156="","",IF(N156&lt;&gt;"","UTM tracked",IF(P156&lt;&gt;"","Manual / self-reported",IF(O156&lt;&gt;"","Self-reported channel only","Unattributed"))))</f>
        <v/>
      </c>
      <c r="S156" s="24" t="str">
        <f aca="false">IF(Q156="","",IFERROR(INDEX('Post Tracker'!$G$5:$G$1004,MATCH(Q156,'Post Tracker'!$A$5:$A$1004,0)),"ID NOT FOUND"))</f>
        <v/>
      </c>
      <c r="T156" s="24" t="str">
        <f aca="false">IF(Q156="","",IFERROR(INDEX('Post Tracker'!$K$5:$K$1004,MATCH(Q156,'Post Tracker'!$A$5:$A$1004,0))&amp;"",""))</f>
        <v/>
      </c>
      <c r="U156" s="33" t="str">
        <f aca="false">IF(OR(Q156="",B156=""),"",IFERROR(B156-INDEX('Post Tracker'!$B$5:$B$1004,MATCH(Q156,'Post Tracker'!$A$5:$A$1004,0)),""))</f>
        <v/>
      </c>
      <c r="V156" s="39"/>
      <c r="W156" s="29"/>
      <c r="X156" s="29"/>
      <c r="Y156" s="29"/>
      <c r="Z156" s="30"/>
      <c r="AA156" s="29"/>
      <c r="AB156" s="29"/>
    </row>
    <row r="157" customFormat="false" ht="15" hidden="false" customHeight="false" outlineLevel="0" collapsed="false">
      <c r="A157" s="41" t="str">
        <f aca="false">IF(B157="","",ROW()-4)</f>
        <v/>
      </c>
      <c r="B157" s="39"/>
      <c r="C157" s="29"/>
      <c r="D157" s="29"/>
      <c r="E157" s="29"/>
      <c r="F157" s="29"/>
      <c r="G157" s="29"/>
      <c r="H157" s="32"/>
      <c r="I157" s="29"/>
      <c r="J157" s="29"/>
      <c r="K157" s="29"/>
      <c r="L157" s="29"/>
      <c r="M157" s="29"/>
      <c r="N157" s="29"/>
      <c r="O157" s="29"/>
      <c r="P157" s="29"/>
      <c r="Q157" s="24" t="str">
        <f aca="false">IF(N157&lt;&gt;"",UPPER(TRIM(N157)),IF(P157&lt;&gt;"",UPPER(TRIM(P157)),""))</f>
        <v/>
      </c>
      <c r="R157" s="24" t="str">
        <f aca="false">IF(B157="","",IF(N157&lt;&gt;"","UTM tracked",IF(P157&lt;&gt;"","Manual / self-reported",IF(O157&lt;&gt;"","Self-reported channel only","Unattributed"))))</f>
        <v/>
      </c>
      <c r="S157" s="24" t="str">
        <f aca="false">IF(Q157="","",IFERROR(INDEX('Post Tracker'!$G$5:$G$1004,MATCH(Q157,'Post Tracker'!$A$5:$A$1004,0)),"ID NOT FOUND"))</f>
        <v/>
      </c>
      <c r="T157" s="24" t="str">
        <f aca="false">IF(Q157="","",IFERROR(INDEX('Post Tracker'!$K$5:$K$1004,MATCH(Q157,'Post Tracker'!$A$5:$A$1004,0))&amp;"",""))</f>
        <v/>
      </c>
      <c r="U157" s="33" t="str">
        <f aca="false">IF(OR(Q157="",B157=""),"",IFERROR(B157-INDEX('Post Tracker'!$B$5:$B$1004,MATCH(Q157,'Post Tracker'!$A$5:$A$1004,0)),""))</f>
        <v/>
      </c>
      <c r="V157" s="39"/>
      <c r="W157" s="29"/>
      <c r="X157" s="29"/>
      <c r="Y157" s="29"/>
      <c r="Z157" s="30"/>
      <c r="AA157" s="29"/>
      <c r="AB157" s="29"/>
    </row>
    <row r="158" customFormat="false" ht="15" hidden="false" customHeight="false" outlineLevel="0" collapsed="false">
      <c r="A158" s="41" t="str">
        <f aca="false">IF(B158="","",ROW()-4)</f>
        <v/>
      </c>
      <c r="B158" s="39"/>
      <c r="C158" s="29"/>
      <c r="D158" s="29"/>
      <c r="E158" s="29"/>
      <c r="F158" s="29"/>
      <c r="G158" s="29"/>
      <c r="H158" s="32"/>
      <c r="I158" s="29"/>
      <c r="J158" s="29"/>
      <c r="K158" s="29"/>
      <c r="L158" s="29"/>
      <c r="M158" s="29"/>
      <c r="N158" s="29"/>
      <c r="O158" s="29"/>
      <c r="P158" s="29"/>
      <c r="Q158" s="24" t="str">
        <f aca="false">IF(N158&lt;&gt;"",UPPER(TRIM(N158)),IF(P158&lt;&gt;"",UPPER(TRIM(P158)),""))</f>
        <v/>
      </c>
      <c r="R158" s="24" t="str">
        <f aca="false">IF(B158="","",IF(N158&lt;&gt;"","UTM tracked",IF(P158&lt;&gt;"","Manual / self-reported",IF(O158&lt;&gt;"","Self-reported channel only","Unattributed"))))</f>
        <v/>
      </c>
      <c r="S158" s="24" t="str">
        <f aca="false">IF(Q158="","",IFERROR(INDEX('Post Tracker'!$G$5:$G$1004,MATCH(Q158,'Post Tracker'!$A$5:$A$1004,0)),"ID NOT FOUND"))</f>
        <v/>
      </c>
      <c r="T158" s="24" t="str">
        <f aca="false">IF(Q158="","",IFERROR(INDEX('Post Tracker'!$K$5:$K$1004,MATCH(Q158,'Post Tracker'!$A$5:$A$1004,0))&amp;"",""))</f>
        <v/>
      </c>
      <c r="U158" s="33" t="str">
        <f aca="false">IF(OR(Q158="",B158=""),"",IFERROR(B158-INDEX('Post Tracker'!$B$5:$B$1004,MATCH(Q158,'Post Tracker'!$A$5:$A$1004,0)),""))</f>
        <v/>
      </c>
      <c r="V158" s="39"/>
      <c r="W158" s="29"/>
      <c r="X158" s="29"/>
      <c r="Y158" s="29"/>
      <c r="Z158" s="30"/>
      <c r="AA158" s="29"/>
      <c r="AB158" s="29"/>
    </row>
    <row r="159" customFormat="false" ht="15" hidden="false" customHeight="false" outlineLevel="0" collapsed="false">
      <c r="A159" s="41" t="str">
        <f aca="false">IF(B159="","",ROW()-4)</f>
        <v/>
      </c>
      <c r="B159" s="39"/>
      <c r="C159" s="29"/>
      <c r="D159" s="29"/>
      <c r="E159" s="29"/>
      <c r="F159" s="29"/>
      <c r="G159" s="29"/>
      <c r="H159" s="32"/>
      <c r="I159" s="29"/>
      <c r="J159" s="29"/>
      <c r="K159" s="29"/>
      <c r="L159" s="29"/>
      <c r="M159" s="29"/>
      <c r="N159" s="29"/>
      <c r="O159" s="29"/>
      <c r="P159" s="29"/>
      <c r="Q159" s="24" t="str">
        <f aca="false">IF(N159&lt;&gt;"",UPPER(TRIM(N159)),IF(P159&lt;&gt;"",UPPER(TRIM(P159)),""))</f>
        <v/>
      </c>
      <c r="R159" s="24" t="str">
        <f aca="false">IF(B159="","",IF(N159&lt;&gt;"","UTM tracked",IF(P159&lt;&gt;"","Manual / self-reported",IF(O159&lt;&gt;"","Self-reported channel only","Unattributed"))))</f>
        <v/>
      </c>
      <c r="S159" s="24" t="str">
        <f aca="false">IF(Q159="","",IFERROR(INDEX('Post Tracker'!$G$5:$G$1004,MATCH(Q159,'Post Tracker'!$A$5:$A$1004,0)),"ID NOT FOUND"))</f>
        <v/>
      </c>
      <c r="T159" s="24" t="str">
        <f aca="false">IF(Q159="","",IFERROR(INDEX('Post Tracker'!$K$5:$K$1004,MATCH(Q159,'Post Tracker'!$A$5:$A$1004,0))&amp;"",""))</f>
        <v/>
      </c>
      <c r="U159" s="33" t="str">
        <f aca="false">IF(OR(Q159="",B159=""),"",IFERROR(B159-INDEX('Post Tracker'!$B$5:$B$1004,MATCH(Q159,'Post Tracker'!$A$5:$A$1004,0)),""))</f>
        <v/>
      </c>
      <c r="V159" s="39"/>
      <c r="W159" s="29"/>
      <c r="X159" s="29"/>
      <c r="Y159" s="29"/>
      <c r="Z159" s="30"/>
      <c r="AA159" s="29"/>
      <c r="AB159" s="29"/>
    </row>
    <row r="160" customFormat="false" ht="15" hidden="false" customHeight="false" outlineLevel="0" collapsed="false">
      <c r="A160" s="41" t="str">
        <f aca="false">IF(B160="","",ROW()-4)</f>
        <v/>
      </c>
      <c r="B160" s="39"/>
      <c r="C160" s="29"/>
      <c r="D160" s="29"/>
      <c r="E160" s="29"/>
      <c r="F160" s="29"/>
      <c r="G160" s="29"/>
      <c r="H160" s="32"/>
      <c r="I160" s="29"/>
      <c r="J160" s="29"/>
      <c r="K160" s="29"/>
      <c r="L160" s="29"/>
      <c r="M160" s="29"/>
      <c r="N160" s="29"/>
      <c r="O160" s="29"/>
      <c r="P160" s="29"/>
      <c r="Q160" s="24" t="str">
        <f aca="false">IF(N160&lt;&gt;"",UPPER(TRIM(N160)),IF(P160&lt;&gt;"",UPPER(TRIM(P160)),""))</f>
        <v/>
      </c>
      <c r="R160" s="24" t="str">
        <f aca="false">IF(B160="","",IF(N160&lt;&gt;"","UTM tracked",IF(P160&lt;&gt;"","Manual / self-reported",IF(O160&lt;&gt;"","Self-reported channel only","Unattributed"))))</f>
        <v/>
      </c>
      <c r="S160" s="24" t="str">
        <f aca="false">IF(Q160="","",IFERROR(INDEX('Post Tracker'!$G$5:$G$1004,MATCH(Q160,'Post Tracker'!$A$5:$A$1004,0)),"ID NOT FOUND"))</f>
        <v/>
      </c>
      <c r="T160" s="24" t="str">
        <f aca="false">IF(Q160="","",IFERROR(INDEX('Post Tracker'!$K$5:$K$1004,MATCH(Q160,'Post Tracker'!$A$5:$A$1004,0))&amp;"",""))</f>
        <v/>
      </c>
      <c r="U160" s="33" t="str">
        <f aca="false">IF(OR(Q160="",B160=""),"",IFERROR(B160-INDEX('Post Tracker'!$B$5:$B$1004,MATCH(Q160,'Post Tracker'!$A$5:$A$1004,0)),""))</f>
        <v/>
      </c>
      <c r="V160" s="39"/>
      <c r="W160" s="29"/>
      <c r="X160" s="29"/>
      <c r="Y160" s="29"/>
      <c r="Z160" s="30"/>
      <c r="AA160" s="29"/>
      <c r="AB160" s="29"/>
    </row>
    <row r="161" customFormat="false" ht="15" hidden="false" customHeight="false" outlineLevel="0" collapsed="false">
      <c r="A161" s="41" t="str">
        <f aca="false">IF(B161="","",ROW()-4)</f>
        <v/>
      </c>
      <c r="B161" s="39"/>
      <c r="C161" s="29"/>
      <c r="D161" s="29"/>
      <c r="E161" s="29"/>
      <c r="F161" s="29"/>
      <c r="G161" s="29"/>
      <c r="H161" s="32"/>
      <c r="I161" s="29"/>
      <c r="J161" s="29"/>
      <c r="K161" s="29"/>
      <c r="L161" s="29"/>
      <c r="M161" s="29"/>
      <c r="N161" s="29"/>
      <c r="O161" s="29"/>
      <c r="P161" s="29"/>
      <c r="Q161" s="24" t="str">
        <f aca="false">IF(N161&lt;&gt;"",UPPER(TRIM(N161)),IF(P161&lt;&gt;"",UPPER(TRIM(P161)),""))</f>
        <v/>
      </c>
      <c r="R161" s="24" t="str">
        <f aca="false">IF(B161="","",IF(N161&lt;&gt;"","UTM tracked",IF(P161&lt;&gt;"","Manual / self-reported",IF(O161&lt;&gt;"","Self-reported channel only","Unattributed"))))</f>
        <v/>
      </c>
      <c r="S161" s="24" t="str">
        <f aca="false">IF(Q161="","",IFERROR(INDEX('Post Tracker'!$G$5:$G$1004,MATCH(Q161,'Post Tracker'!$A$5:$A$1004,0)),"ID NOT FOUND"))</f>
        <v/>
      </c>
      <c r="T161" s="24" t="str">
        <f aca="false">IF(Q161="","",IFERROR(INDEX('Post Tracker'!$K$5:$K$1004,MATCH(Q161,'Post Tracker'!$A$5:$A$1004,0))&amp;"",""))</f>
        <v/>
      </c>
      <c r="U161" s="33" t="str">
        <f aca="false">IF(OR(Q161="",B161=""),"",IFERROR(B161-INDEX('Post Tracker'!$B$5:$B$1004,MATCH(Q161,'Post Tracker'!$A$5:$A$1004,0)),""))</f>
        <v/>
      </c>
      <c r="V161" s="39"/>
      <c r="W161" s="29"/>
      <c r="X161" s="29"/>
      <c r="Y161" s="29"/>
      <c r="Z161" s="30"/>
      <c r="AA161" s="29"/>
      <c r="AB161" s="29"/>
    </row>
    <row r="162" customFormat="false" ht="15" hidden="false" customHeight="false" outlineLevel="0" collapsed="false">
      <c r="A162" s="41" t="str">
        <f aca="false">IF(B162="","",ROW()-4)</f>
        <v/>
      </c>
      <c r="B162" s="39"/>
      <c r="C162" s="29"/>
      <c r="D162" s="29"/>
      <c r="E162" s="29"/>
      <c r="F162" s="29"/>
      <c r="G162" s="29"/>
      <c r="H162" s="32"/>
      <c r="I162" s="29"/>
      <c r="J162" s="29"/>
      <c r="K162" s="29"/>
      <c r="L162" s="29"/>
      <c r="M162" s="29"/>
      <c r="N162" s="29"/>
      <c r="O162" s="29"/>
      <c r="P162" s="29"/>
      <c r="Q162" s="24" t="str">
        <f aca="false">IF(N162&lt;&gt;"",UPPER(TRIM(N162)),IF(P162&lt;&gt;"",UPPER(TRIM(P162)),""))</f>
        <v/>
      </c>
      <c r="R162" s="24" t="str">
        <f aca="false">IF(B162="","",IF(N162&lt;&gt;"","UTM tracked",IF(P162&lt;&gt;"","Manual / self-reported",IF(O162&lt;&gt;"","Self-reported channel only","Unattributed"))))</f>
        <v/>
      </c>
      <c r="S162" s="24" t="str">
        <f aca="false">IF(Q162="","",IFERROR(INDEX('Post Tracker'!$G$5:$G$1004,MATCH(Q162,'Post Tracker'!$A$5:$A$1004,0)),"ID NOT FOUND"))</f>
        <v/>
      </c>
      <c r="T162" s="24" t="str">
        <f aca="false">IF(Q162="","",IFERROR(INDEX('Post Tracker'!$K$5:$K$1004,MATCH(Q162,'Post Tracker'!$A$5:$A$1004,0))&amp;"",""))</f>
        <v/>
      </c>
      <c r="U162" s="33" t="str">
        <f aca="false">IF(OR(Q162="",B162=""),"",IFERROR(B162-INDEX('Post Tracker'!$B$5:$B$1004,MATCH(Q162,'Post Tracker'!$A$5:$A$1004,0)),""))</f>
        <v/>
      </c>
      <c r="V162" s="39"/>
      <c r="W162" s="29"/>
      <c r="X162" s="29"/>
      <c r="Y162" s="29"/>
      <c r="Z162" s="30"/>
      <c r="AA162" s="29"/>
      <c r="AB162" s="29"/>
    </row>
    <row r="163" customFormat="false" ht="15" hidden="false" customHeight="false" outlineLevel="0" collapsed="false">
      <c r="A163" s="41" t="str">
        <f aca="false">IF(B163="","",ROW()-4)</f>
        <v/>
      </c>
      <c r="B163" s="39"/>
      <c r="C163" s="29"/>
      <c r="D163" s="29"/>
      <c r="E163" s="29"/>
      <c r="F163" s="29"/>
      <c r="G163" s="29"/>
      <c r="H163" s="32"/>
      <c r="I163" s="29"/>
      <c r="J163" s="29"/>
      <c r="K163" s="29"/>
      <c r="L163" s="29"/>
      <c r="M163" s="29"/>
      <c r="N163" s="29"/>
      <c r="O163" s="29"/>
      <c r="P163" s="29"/>
      <c r="Q163" s="24" t="str">
        <f aca="false">IF(N163&lt;&gt;"",UPPER(TRIM(N163)),IF(P163&lt;&gt;"",UPPER(TRIM(P163)),""))</f>
        <v/>
      </c>
      <c r="R163" s="24" t="str">
        <f aca="false">IF(B163="","",IF(N163&lt;&gt;"","UTM tracked",IF(P163&lt;&gt;"","Manual / self-reported",IF(O163&lt;&gt;"","Self-reported channel only","Unattributed"))))</f>
        <v/>
      </c>
      <c r="S163" s="24" t="str">
        <f aca="false">IF(Q163="","",IFERROR(INDEX('Post Tracker'!$G$5:$G$1004,MATCH(Q163,'Post Tracker'!$A$5:$A$1004,0)),"ID NOT FOUND"))</f>
        <v/>
      </c>
      <c r="T163" s="24" t="str">
        <f aca="false">IF(Q163="","",IFERROR(INDEX('Post Tracker'!$K$5:$K$1004,MATCH(Q163,'Post Tracker'!$A$5:$A$1004,0))&amp;"",""))</f>
        <v/>
      </c>
      <c r="U163" s="33" t="str">
        <f aca="false">IF(OR(Q163="",B163=""),"",IFERROR(B163-INDEX('Post Tracker'!$B$5:$B$1004,MATCH(Q163,'Post Tracker'!$A$5:$A$1004,0)),""))</f>
        <v/>
      </c>
      <c r="V163" s="39"/>
      <c r="W163" s="29"/>
      <c r="X163" s="29"/>
      <c r="Y163" s="29"/>
      <c r="Z163" s="30"/>
      <c r="AA163" s="29"/>
      <c r="AB163" s="29"/>
    </row>
    <row r="164" customFormat="false" ht="15" hidden="false" customHeight="false" outlineLevel="0" collapsed="false">
      <c r="A164" s="41" t="str">
        <f aca="false">IF(B164="","",ROW()-4)</f>
        <v/>
      </c>
      <c r="B164" s="39"/>
      <c r="C164" s="29"/>
      <c r="D164" s="29"/>
      <c r="E164" s="29"/>
      <c r="F164" s="29"/>
      <c r="G164" s="29"/>
      <c r="H164" s="32"/>
      <c r="I164" s="29"/>
      <c r="J164" s="29"/>
      <c r="K164" s="29"/>
      <c r="L164" s="29"/>
      <c r="M164" s="29"/>
      <c r="N164" s="29"/>
      <c r="O164" s="29"/>
      <c r="P164" s="29"/>
      <c r="Q164" s="24" t="str">
        <f aca="false">IF(N164&lt;&gt;"",UPPER(TRIM(N164)),IF(P164&lt;&gt;"",UPPER(TRIM(P164)),""))</f>
        <v/>
      </c>
      <c r="R164" s="24" t="str">
        <f aca="false">IF(B164="","",IF(N164&lt;&gt;"","UTM tracked",IF(P164&lt;&gt;"","Manual / self-reported",IF(O164&lt;&gt;"","Self-reported channel only","Unattributed"))))</f>
        <v/>
      </c>
      <c r="S164" s="24" t="str">
        <f aca="false">IF(Q164="","",IFERROR(INDEX('Post Tracker'!$G$5:$G$1004,MATCH(Q164,'Post Tracker'!$A$5:$A$1004,0)),"ID NOT FOUND"))</f>
        <v/>
      </c>
      <c r="T164" s="24" t="str">
        <f aca="false">IF(Q164="","",IFERROR(INDEX('Post Tracker'!$K$5:$K$1004,MATCH(Q164,'Post Tracker'!$A$5:$A$1004,0))&amp;"",""))</f>
        <v/>
      </c>
      <c r="U164" s="33" t="str">
        <f aca="false">IF(OR(Q164="",B164=""),"",IFERROR(B164-INDEX('Post Tracker'!$B$5:$B$1004,MATCH(Q164,'Post Tracker'!$A$5:$A$1004,0)),""))</f>
        <v/>
      </c>
      <c r="V164" s="39"/>
      <c r="W164" s="29"/>
      <c r="X164" s="29"/>
      <c r="Y164" s="29"/>
      <c r="Z164" s="30"/>
      <c r="AA164" s="29"/>
      <c r="AB164" s="29"/>
    </row>
    <row r="165" customFormat="false" ht="15" hidden="false" customHeight="false" outlineLevel="0" collapsed="false">
      <c r="A165" s="41" t="str">
        <f aca="false">IF(B165="","",ROW()-4)</f>
        <v/>
      </c>
      <c r="B165" s="39"/>
      <c r="C165" s="29"/>
      <c r="D165" s="29"/>
      <c r="E165" s="29"/>
      <c r="F165" s="29"/>
      <c r="G165" s="29"/>
      <c r="H165" s="32"/>
      <c r="I165" s="29"/>
      <c r="J165" s="29"/>
      <c r="K165" s="29"/>
      <c r="L165" s="29"/>
      <c r="M165" s="29"/>
      <c r="N165" s="29"/>
      <c r="O165" s="29"/>
      <c r="P165" s="29"/>
      <c r="Q165" s="24" t="str">
        <f aca="false">IF(N165&lt;&gt;"",UPPER(TRIM(N165)),IF(P165&lt;&gt;"",UPPER(TRIM(P165)),""))</f>
        <v/>
      </c>
      <c r="R165" s="24" t="str">
        <f aca="false">IF(B165="","",IF(N165&lt;&gt;"","UTM tracked",IF(P165&lt;&gt;"","Manual / self-reported",IF(O165&lt;&gt;"","Self-reported channel only","Unattributed"))))</f>
        <v/>
      </c>
      <c r="S165" s="24" t="str">
        <f aca="false">IF(Q165="","",IFERROR(INDEX('Post Tracker'!$G$5:$G$1004,MATCH(Q165,'Post Tracker'!$A$5:$A$1004,0)),"ID NOT FOUND"))</f>
        <v/>
      </c>
      <c r="T165" s="24" t="str">
        <f aca="false">IF(Q165="","",IFERROR(INDEX('Post Tracker'!$K$5:$K$1004,MATCH(Q165,'Post Tracker'!$A$5:$A$1004,0))&amp;"",""))</f>
        <v/>
      </c>
      <c r="U165" s="33" t="str">
        <f aca="false">IF(OR(Q165="",B165=""),"",IFERROR(B165-INDEX('Post Tracker'!$B$5:$B$1004,MATCH(Q165,'Post Tracker'!$A$5:$A$1004,0)),""))</f>
        <v/>
      </c>
      <c r="V165" s="39"/>
      <c r="W165" s="29"/>
      <c r="X165" s="29"/>
      <c r="Y165" s="29"/>
      <c r="Z165" s="30"/>
      <c r="AA165" s="29"/>
      <c r="AB165" s="29"/>
    </row>
    <row r="166" customFormat="false" ht="15" hidden="false" customHeight="false" outlineLevel="0" collapsed="false">
      <c r="A166" s="41" t="str">
        <f aca="false">IF(B166="","",ROW()-4)</f>
        <v/>
      </c>
      <c r="B166" s="39"/>
      <c r="C166" s="29"/>
      <c r="D166" s="29"/>
      <c r="E166" s="29"/>
      <c r="F166" s="29"/>
      <c r="G166" s="29"/>
      <c r="H166" s="32"/>
      <c r="I166" s="29"/>
      <c r="J166" s="29"/>
      <c r="K166" s="29"/>
      <c r="L166" s="29"/>
      <c r="M166" s="29"/>
      <c r="N166" s="29"/>
      <c r="O166" s="29"/>
      <c r="P166" s="29"/>
      <c r="Q166" s="24" t="str">
        <f aca="false">IF(N166&lt;&gt;"",UPPER(TRIM(N166)),IF(P166&lt;&gt;"",UPPER(TRIM(P166)),""))</f>
        <v/>
      </c>
      <c r="R166" s="24" t="str">
        <f aca="false">IF(B166="","",IF(N166&lt;&gt;"","UTM tracked",IF(P166&lt;&gt;"","Manual / self-reported",IF(O166&lt;&gt;"","Self-reported channel only","Unattributed"))))</f>
        <v/>
      </c>
      <c r="S166" s="24" t="str">
        <f aca="false">IF(Q166="","",IFERROR(INDEX('Post Tracker'!$G$5:$G$1004,MATCH(Q166,'Post Tracker'!$A$5:$A$1004,0)),"ID NOT FOUND"))</f>
        <v/>
      </c>
      <c r="T166" s="24" t="str">
        <f aca="false">IF(Q166="","",IFERROR(INDEX('Post Tracker'!$K$5:$K$1004,MATCH(Q166,'Post Tracker'!$A$5:$A$1004,0))&amp;"",""))</f>
        <v/>
      </c>
      <c r="U166" s="33" t="str">
        <f aca="false">IF(OR(Q166="",B166=""),"",IFERROR(B166-INDEX('Post Tracker'!$B$5:$B$1004,MATCH(Q166,'Post Tracker'!$A$5:$A$1004,0)),""))</f>
        <v/>
      </c>
      <c r="V166" s="39"/>
      <c r="W166" s="29"/>
      <c r="X166" s="29"/>
      <c r="Y166" s="29"/>
      <c r="Z166" s="30"/>
      <c r="AA166" s="29"/>
      <c r="AB166" s="29"/>
    </row>
    <row r="167" customFormat="false" ht="15" hidden="false" customHeight="false" outlineLevel="0" collapsed="false">
      <c r="A167" s="41" t="str">
        <f aca="false">IF(B167="","",ROW()-4)</f>
        <v/>
      </c>
      <c r="B167" s="39"/>
      <c r="C167" s="29"/>
      <c r="D167" s="29"/>
      <c r="E167" s="29"/>
      <c r="F167" s="29"/>
      <c r="G167" s="29"/>
      <c r="H167" s="32"/>
      <c r="I167" s="29"/>
      <c r="J167" s="29"/>
      <c r="K167" s="29"/>
      <c r="L167" s="29"/>
      <c r="M167" s="29"/>
      <c r="N167" s="29"/>
      <c r="O167" s="29"/>
      <c r="P167" s="29"/>
      <c r="Q167" s="24" t="str">
        <f aca="false">IF(N167&lt;&gt;"",UPPER(TRIM(N167)),IF(P167&lt;&gt;"",UPPER(TRIM(P167)),""))</f>
        <v/>
      </c>
      <c r="R167" s="24" t="str">
        <f aca="false">IF(B167="","",IF(N167&lt;&gt;"","UTM tracked",IF(P167&lt;&gt;"","Manual / self-reported",IF(O167&lt;&gt;"","Self-reported channel only","Unattributed"))))</f>
        <v/>
      </c>
      <c r="S167" s="24" t="str">
        <f aca="false">IF(Q167="","",IFERROR(INDEX('Post Tracker'!$G$5:$G$1004,MATCH(Q167,'Post Tracker'!$A$5:$A$1004,0)),"ID NOT FOUND"))</f>
        <v/>
      </c>
      <c r="T167" s="24" t="str">
        <f aca="false">IF(Q167="","",IFERROR(INDEX('Post Tracker'!$K$5:$K$1004,MATCH(Q167,'Post Tracker'!$A$5:$A$1004,0))&amp;"",""))</f>
        <v/>
      </c>
      <c r="U167" s="33" t="str">
        <f aca="false">IF(OR(Q167="",B167=""),"",IFERROR(B167-INDEX('Post Tracker'!$B$5:$B$1004,MATCH(Q167,'Post Tracker'!$A$5:$A$1004,0)),""))</f>
        <v/>
      </c>
      <c r="V167" s="39"/>
      <c r="W167" s="29"/>
      <c r="X167" s="29"/>
      <c r="Y167" s="29"/>
      <c r="Z167" s="30"/>
      <c r="AA167" s="29"/>
      <c r="AB167" s="29"/>
    </row>
    <row r="168" customFormat="false" ht="15" hidden="false" customHeight="false" outlineLevel="0" collapsed="false">
      <c r="A168" s="41" t="str">
        <f aca="false">IF(B168="","",ROW()-4)</f>
        <v/>
      </c>
      <c r="B168" s="39"/>
      <c r="C168" s="29"/>
      <c r="D168" s="29"/>
      <c r="E168" s="29"/>
      <c r="F168" s="29"/>
      <c r="G168" s="29"/>
      <c r="H168" s="32"/>
      <c r="I168" s="29"/>
      <c r="J168" s="29"/>
      <c r="K168" s="29"/>
      <c r="L168" s="29"/>
      <c r="M168" s="29"/>
      <c r="N168" s="29"/>
      <c r="O168" s="29"/>
      <c r="P168" s="29"/>
      <c r="Q168" s="24" t="str">
        <f aca="false">IF(N168&lt;&gt;"",UPPER(TRIM(N168)),IF(P168&lt;&gt;"",UPPER(TRIM(P168)),""))</f>
        <v/>
      </c>
      <c r="R168" s="24" t="str">
        <f aca="false">IF(B168="","",IF(N168&lt;&gt;"","UTM tracked",IF(P168&lt;&gt;"","Manual / self-reported",IF(O168&lt;&gt;"","Self-reported channel only","Unattributed"))))</f>
        <v/>
      </c>
      <c r="S168" s="24" t="str">
        <f aca="false">IF(Q168="","",IFERROR(INDEX('Post Tracker'!$G$5:$G$1004,MATCH(Q168,'Post Tracker'!$A$5:$A$1004,0)),"ID NOT FOUND"))</f>
        <v/>
      </c>
      <c r="T168" s="24" t="str">
        <f aca="false">IF(Q168="","",IFERROR(INDEX('Post Tracker'!$K$5:$K$1004,MATCH(Q168,'Post Tracker'!$A$5:$A$1004,0))&amp;"",""))</f>
        <v/>
      </c>
      <c r="U168" s="33" t="str">
        <f aca="false">IF(OR(Q168="",B168=""),"",IFERROR(B168-INDEX('Post Tracker'!$B$5:$B$1004,MATCH(Q168,'Post Tracker'!$A$5:$A$1004,0)),""))</f>
        <v/>
      </c>
      <c r="V168" s="39"/>
      <c r="W168" s="29"/>
      <c r="X168" s="29"/>
      <c r="Y168" s="29"/>
      <c r="Z168" s="30"/>
      <c r="AA168" s="29"/>
      <c r="AB168" s="29"/>
    </row>
    <row r="169" customFormat="false" ht="15" hidden="false" customHeight="false" outlineLevel="0" collapsed="false">
      <c r="A169" s="41" t="str">
        <f aca="false">IF(B169="","",ROW()-4)</f>
        <v/>
      </c>
      <c r="B169" s="39"/>
      <c r="C169" s="29"/>
      <c r="D169" s="29"/>
      <c r="E169" s="29"/>
      <c r="F169" s="29"/>
      <c r="G169" s="29"/>
      <c r="H169" s="32"/>
      <c r="I169" s="29"/>
      <c r="J169" s="29"/>
      <c r="K169" s="29"/>
      <c r="L169" s="29"/>
      <c r="M169" s="29"/>
      <c r="N169" s="29"/>
      <c r="O169" s="29"/>
      <c r="P169" s="29"/>
      <c r="Q169" s="24" t="str">
        <f aca="false">IF(N169&lt;&gt;"",UPPER(TRIM(N169)),IF(P169&lt;&gt;"",UPPER(TRIM(P169)),""))</f>
        <v/>
      </c>
      <c r="R169" s="24" t="str">
        <f aca="false">IF(B169="","",IF(N169&lt;&gt;"","UTM tracked",IF(P169&lt;&gt;"","Manual / self-reported",IF(O169&lt;&gt;"","Self-reported channel only","Unattributed"))))</f>
        <v/>
      </c>
      <c r="S169" s="24" t="str">
        <f aca="false">IF(Q169="","",IFERROR(INDEX('Post Tracker'!$G$5:$G$1004,MATCH(Q169,'Post Tracker'!$A$5:$A$1004,0)),"ID NOT FOUND"))</f>
        <v/>
      </c>
      <c r="T169" s="24" t="str">
        <f aca="false">IF(Q169="","",IFERROR(INDEX('Post Tracker'!$K$5:$K$1004,MATCH(Q169,'Post Tracker'!$A$5:$A$1004,0))&amp;"",""))</f>
        <v/>
      </c>
      <c r="U169" s="33" t="str">
        <f aca="false">IF(OR(Q169="",B169=""),"",IFERROR(B169-INDEX('Post Tracker'!$B$5:$B$1004,MATCH(Q169,'Post Tracker'!$A$5:$A$1004,0)),""))</f>
        <v/>
      </c>
      <c r="V169" s="39"/>
      <c r="W169" s="29"/>
      <c r="X169" s="29"/>
      <c r="Y169" s="29"/>
      <c r="Z169" s="30"/>
      <c r="AA169" s="29"/>
      <c r="AB169" s="29"/>
    </row>
    <row r="170" customFormat="false" ht="15" hidden="false" customHeight="false" outlineLevel="0" collapsed="false">
      <c r="A170" s="41" t="str">
        <f aca="false">IF(B170="","",ROW()-4)</f>
        <v/>
      </c>
      <c r="B170" s="39"/>
      <c r="C170" s="29"/>
      <c r="D170" s="29"/>
      <c r="E170" s="29"/>
      <c r="F170" s="29"/>
      <c r="G170" s="29"/>
      <c r="H170" s="32"/>
      <c r="I170" s="29"/>
      <c r="J170" s="29"/>
      <c r="K170" s="29"/>
      <c r="L170" s="29"/>
      <c r="M170" s="29"/>
      <c r="N170" s="29"/>
      <c r="O170" s="29"/>
      <c r="P170" s="29"/>
      <c r="Q170" s="24" t="str">
        <f aca="false">IF(N170&lt;&gt;"",UPPER(TRIM(N170)),IF(P170&lt;&gt;"",UPPER(TRIM(P170)),""))</f>
        <v/>
      </c>
      <c r="R170" s="24" t="str">
        <f aca="false">IF(B170="","",IF(N170&lt;&gt;"","UTM tracked",IF(P170&lt;&gt;"","Manual / self-reported",IF(O170&lt;&gt;"","Self-reported channel only","Unattributed"))))</f>
        <v/>
      </c>
      <c r="S170" s="24" t="str">
        <f aca="false">IF(Q170="","",IFERROR(INDEX('Post Tracker'!$G$5:$G$1004,MATCH(Q170,'Post Tracker'!$A$5:$A$1004,0)),"ID NOT FOUND"))</f>
        <v/>
      </c>
      <c r="T170" s="24" t="str">
        <f aca="false">IF(Q170="","",IFERROR(INDEX('Post Tracker'!$K$5:$K$1004,MATCH(Q170,'Post Tracker'!$A$5:$A$1004,0))&amp;"",""))</f>
        <v/>
      </c>
      <c r="U170" s="33" t="str">
        <f aca="false">IF(OR(Q170="",B170=""),"",IFERROR(B170-INDEX('Post Tracker'!$B$5:$B$1004,MATCH(Q170,'Post Tracker'!$A$5:$A$1004,0)),""))</f>
        <v/>
      </c>
      <c r="V170" s="39"/>
      <c r="W170" s="29"/>
      <c r="X170" s="29"/>
      <c r="Y170" s="29"/>
      <c r="Z170" s="30"/>
      <c r="AA170" s="29"/>
      <c r="AB170" s="29"/>
    </row>
    <row r="171" customFormat="false" ht="15" hidden="false" customHeight="false" outlineLevel="0" collapsed="false">
      <c r="A171" s="41" t="str">
        <f aca="false">IF(B171="","",ROW()-4)</f>
        <v/>
      </c>
      <c r="B171" s="39"/>
      <c r="C171" s="29"/>
      <c r="D171" s="29"/>
      <c r="E171" s="29"/>
      <c r="F171" s="29"/>
      <c r="G171" s="29"/>
      <c r="H171" s="32"/>
      <c r="I171" s="29"/>
      <c r="J171" s="29"/>
      <c r="K171" s="29"/>
      <c r="L171" s="29"/>
      <c r="M171" s="29"/>
      <c r="N171" s="29"/>
      <c r="O171" s="29"/>
      <c r="P171" s="29"/>
      <c r="Q171" s="24" t="str">
        <f aca="false">IF(N171&lt;&gt;"",UPPER(TRIM(N171)),IF(P171&lt;&gt;"",UPPER(TRIM(P171)),""))</f>
        <v/>
      </c>
      <c r="R171" s="24" t="str">
        <f aca="false">IF(B171="","",IF(N171&lt;&gt;"","UTM tracked",IF(P171&lt;&gt;"","Manual / self-reported",IF(O171&lt;&gt;"","Self-reported channel only","Unattributed"))))</f>
        <v/>
      </c>
      <c r="S171" s="24" t="str">
        <f aca="false">IF(Q171="","",IFERROR(INDEX('Post Tracker'!$G$5:$G$1004,MATCH(Q171,'Post Tracker'!$A$5:$A$1004,0)),"ID NOT FOUND"))</f>
        <v/>
      </c>
      <c r="T171" s="24" t="str">
        <f aca="false">IF(Q171="","",IFERROR(INDEX('Post Tracker'!$K$5:$K$1004,MATCH(Q171,'Post Tracker'!$A$5:$A$1004,0))&amp;"",""))</f>
        <v/>
      </c>
      <c r="U171" s="33" t="str">
        <f aca="false">IF(OR(Q171="",B171=""),"",IFERROR(B171-INDEX('Post Tracker'!$B$5:$B$1004,MATCH(Q171,'Post Tracker'!$A$5:$A$1004,0)),""))</f>
        <v/>
      </c>
      <c r="V171" s="39"/>
      <c r="W171" s="29"/>
      <c r="X171" s="29"/>
      <c r="Y171" s="29"/>
      <c r="Z171" s="30"/>
      <c r="AA171" s="29"/>
      <c r="AB171" s="29"/>
    </row>
    <row r="172" customFormat="false" ht="15" hidden="false" customHeight="false" outlineLevel="0" collapsed="false">
      <c r="A172" s="41" t="str">
        <f aca="false">IF(B172="","",ROW()-4)</f>
        <v/>
      </c>
      <c r="B172" s="39"/>
      <c r="C172" s="29"/>
      <c r="D172" s="29"/>
      <c r="E172" s="29"/>
      <c r="F172" s="29"/>
      <c r="G172" s="29"/>
      <c r="H172" s="32"/>
      <c r="I172" s="29"/>
      <c r="J172" s="29"/>
      <c r="K172" s="29"/>
      <c r="L172" s="29"/>
      <c r="M172" s="29"/>
      <c r="N172" s="29"/>
      <c r="O172" s="29"/>
      <c r="P172" s="29"/>
      <c r="Q172" s="24" t="str">
        <f aca="false">IF(N172&lt;&gt;"",UPPER(TRIM(N172)),IF(P172&lt;&gt;"",UPPER(TRIM(P172)),""))</f>
        <v/>
      </c>
      <c r="R172" s="24" t="str">
        <f aca="false">IF(B172="","",IF(N172&lt;&gt;"","UTM tracked",IF(P172&lt;&gt;"","Manual / self-reported",IF(O172&lt;&gt;"","Self-reported channel only","Unattributed"))))</f>
        <v/>
      </c>
      <c r="S172" s="24" t="str">
        <f aca="false">IF(Q172="","",IFERROR(INDEX('Post Tracker'!$G$5:$G$1004,MATCH(Q172,'Post Tracker'!$A$5:$A$1004,0)),"ID NOT FOUND"))</f>
        <v/>
      </c>
      <c r="T172" s="24" t="str">
        <f aca="false">IF(Q172="","",IFERROR(INDEX('Post Tracker'!$K$5:$K$1004,MATCH(Q172,'Post Tracker'!$A$5:$A$1004,0))&amp;"",""))</f>
        <v/>
      </c>
      <c r="U172" s="33" t="str">
        <f aca="false">IF(OR(Q172="",B172=""),"",IFERROR(B172-INDEX('Post Tracker'!$B$5:$B$1004,MATCH(Q172,'Post Tracker'!$A$5:$A$1004,0)),""))</f>
        <v/>
      </c>
      <c r="V172" s="39"/>
      <c r="W172" s="29"/>
      <c r="X172" s="29"/>
      <c r="Y172" s="29"/>
      <c r="Z172" s="30"/>
      <c r="AA172" s="29"/>
      <c r="AB172" s="29"/>
    </row>
    <row r="173" customFormat="false" ht="15" hidden="false" customHeight="false" outlineLevel="0" collapsed="false">
      <c r="A173" s="41" t="str">
        <f aca="false">IF(B173="","",ROW()-4)</f>
        <v/>
      </c>
      <c r="B173" s="39"/>
      <c r="C173" s="29"/>
      <c r="D173" s="29"/>
      <c r="E173" s="29"/>
      <c r="F173" s="29"/>
      <c r="G173" s="29"/>
      <c r="H173" s="32"/>
      <c r="I173" s="29"/>
      <c r="J173" s="29"/>
      <c r="K173" s="29"/>
      <c r="L173" s="29"/>
      <c r="M173" s="29"/>
      <c r="N173" s="29"/>
      <c r="O173" s="29"/>
      <c r="P173" s="29"/>
      <c r="Q173" s="24" t="str">
        <f aca="false">IF(N173&lt;&gt;"",UPPER(TRIM(N173)),IF(P173&lt;&gt;"",UPPER(TRIM(P173)),""))</f>
        <v/>
      </c>
      <c r="R173" s="24" t="str">
        <f aca="false">IF(B173="","",IF(N173&lt;&gt;"","UTM tracked",IF(P173&lt;&gt;"","Manual / self-reported",IF(O173&lt;&gt;"","Self-reported channel only","Unattributed"))))</f>
        <v/>
      </c>
      <c r="S173" s="24" t="str">
        <f aca="false">IF(Q173="","",IFERROR(INDEX('Post Tracker'!$G$5:$G$1004,MATCH(Q173,'Post Tracker'!$A$5:$A$1004,0)),"ID NOT FOUND"))</f>
        <v/>
      </c>
      <c r="T173" s="24" t="str">
        <f aca="false">IF(Q173="","",IFERROR(INDEX('Post Tracker'!$K$5:$K$1004,MATCH(Q173,'Post Tracker'!$A$5:$A$1004,0))&amp;"",""))</f>
        <v/>
      </c>
      <c r="U173" s="33" t="str">
        <f aca="false">IF(OR(Q173="",B173=""),"",IFERROR(B173-INDEX('Post Tracker'!$B$5:$B$1004,MATCH(Q173,'Post Tracker'!$A$5:$A$1004,0)),""))</f>
        <v/>
      </c>
      <c r="V173" s="39"/>
      <c r="W173" s="29"/>
      <c r="X173" s="29"/>
      <c r="Y173" s="29"/>
      <c r="Z173" s="30"/>
      <c r="AA173" s="29"/>
      <c r="AB173" s="29"/>
    </row>
    <row r="174" customFormat="false" ht="15" hidden="false" customHeight="false" outlineLevel="0" collapsed="false">
      <c r="A174" s="41" t="str">
        <f aca="false">IF(B174="","",ROW()-4)</f>
        <v/>
      </c>
      <c r="B174" s="39"/>
      <c r="C174" s="29"/>
      <c r="D174" s="29"/>
      <c r="E174" s="29"/>
      <c r="F174" s="29"/>
      <c r="G174" s="29"/>
      <c r="H174" s="32"/>
      <c r="I174" s="29"/>
      <c r="J174" s="29"/>
      <c r="K174" s="29"/>
      <c r="L174" s="29"/>
      <c r="M174" s="29"/>
      <c r="N174" s="29"/>
      <c r="O174" s="29"/>
      <c r="P174" s="29"/>
      <c r="Q174" s="24" t="str">
        <f aca="false">IF(N174&lt;&gt;"",UPPER(TRIM(N174)),IF(P174&lt;&gt;"",UPPER(TRIM(P174)),""))</f>
        <v/>
      </c>
      <c r="R174" s="24" t="str">
        <f aca="false">IF(B174="","",IF(N174&lt;&gt;"","UTM tracked",IF(P174&lt;&gt;"","Manual / self-reported",IF(O174&lt;&gt;"","Self-reported channel only","Unattributed"))))</f>
        <v/>
      </c>
      <c r="S174" s="24" t="str">
        <f aca="false">IF(Q174="","",IFERROR(INDEX('Post Tracker'!$G$5:$G$1004,MATCH(Q174,'Post Tracker'!$A$5:$A$1004,0)),"ID NOT FOUND"))</f>
        <v/>
      </c>
      <c r="T174" s="24" t="str">
        <f aca="false">IF(Q174="","",IFERROR(INDEX('Post Tracker'!$K$5:$K$1004,MATCH(Q174,'Post Tracker'!$A$5:$A$1004,0))&amp;"",""))</f>
        <v/>
      </c>
      <c r="U174" s="33" t="str">
        <f aca="false">IF(OR(Q174="",B174=""),"",IFERROR(B174-INDEX('Post Tracker'!$B$5:$B$1004,MATCH(Q174,'Post Tracker'!$A$5:$A$1004,0)),""))</f>
        <v/>
      </c>
      <c r="V174" s="39"/>
      <c r="W174" s="29"/>
      <c r="X174" s="29"/>
      <c r="Y174" s="29"/>
      <c r="Z174" s="30"/>
      <c r="AA174" s="29"/>
      <c r="AB174" s="29"/>
    </row>
    <row r="175" customFormat="false" ht="15" hidden="false" customHeight="false" outlineLevel="0" collapsed="false">
      <c r="A175" s="41" t="str">
        <f aca="false">IF(B175="","",ROW()-4)</f>
        <v/>
      </c>
      <c r="B175" s="39"/>
      <c r="C175" s="29"/>
      <c r="D175" s="29"/>
      <c r="E175" s="29"/>
      <c r="F175" s="29"/>
      <c r="G175" s="29"/>
      <c r="H175" s="32"/>
      <c r="I175" s="29"/>
      <c r="J175" s="29"/>
      <c r="K175" s="29"/>
      <c r="L175" s="29"/>
      <c r="M175" s="29"/>
      <c r="N175" s="29"/>
      <c r="O175" s="29"/>
      <c r="P175" s="29"/>
      <c r="Q175" s="24" t="str">
        <f aca="false">IF(N175&lt;&gt;"",UPPER(TRIM(N175)),IF(P175&lt;&gt;"",UPPER(TRIM(P175)),""))</f>
        <v/>
      </c>
      <c r="R175" s="24" t="str">
        <f aca="false">IF(B175="","",IF(N175&lt;&gt;"","UTM tracked",IF(P175&lt;&gt;"","Manual / self-reported",IF(O175&lt;&gt;"","Self-reported channel only","Unattributed"))))</f>
        <v/>
      </c>
      <c r="S175" s="24" t="str">
        <f aca="false">IF(Q175="","",IFERROR(INDEX('Post Tracker'!$G$5:$G$1004,MATCH(Q175,'Post Tracker'!$A$5:$A$1004,0)),"ID NOT FOUND"))</f>
        <v/>
      </c>
      <c r="T175" s="24" t="str">
        <f aca="false">IF(Q175="","",IFERROR(INDEX('Post Tracker'!$K$5:$K$1004,MATCH(Q175,'Post Tracker'!$A$5:$A$1004,0))&amp;"",""))</f>
        <v/>
      </c>
      <c r="U175" s="33" t="str">
        <f aca="false">IF(OR(Q175="",B175=""),"",IFERROR(B175-INDEX('Post Tracker'!$B$5:$B$1004,MATCH(Q175,'Post Tracker'!$A$5:$A$1004,0)),""))</f>
        <v/>
      </c>
      <c r="V175" s="39"/>
      <c r="W175" s="29"/>
      <c r="X175" s="29"/>
      <c r="Y175" s="29"/>
      <c r="Z175" s="30"/>
      <c r="AA175" s="29"/>
      <c r="AB175" s="29"/>
    </row>
    <row r="176" customFormat="false" ht="15" hidden="false" customHeight="false" outlineLevel="0" collapsed="false">
      <c r="A176" s="41" t="str">
        <f aca="false">IF(B176="","",ROW()-4)</f>
        <v/>
      </c>
      <c r="B176" s="39"/>
      <c r="C176" s="29"/>
      <c r="D176" s="29"/>
      <c r="E176" s="29"/>
      <c r="F176" s="29"/>
      <c r="G176" s="29"/>
      <c r="H176" s="32"/>
      <c r="I176" s="29"/>
      <c r="J176" s="29"/>
      <c r="K176" s="29"/>
      <c r="L176" s="29"/>
      <c r="M176" s="29"/>
      <c r="N176" s="29"/>
      <c r="O176" s="29"/>
      <c r="P176" s="29"/>
      <c r="Q176" s="24" t="str">
        <f aca="false">IF(N176&lt;&gt;"",UPPER(TRIM(N176)),IF(P176&lt;&gt;"",UPPER(TRIM(P176)),""))</f>
        <v/>
      </c>
      <c r="R176" s="24" t="str">
        <f aca="false">IF(B176="","",IF(N176&lt;&gt;"","UTM tracked",IF(P176&lt;&gt;"","Manual / self-reported",IF(O176&lt;&gt;"","Self-reported channel only","Unattributed"))))</f>
        <v/>
      </c>
      <c r="S176" s="24" t="str">
        <f aca="false">IF(Q176="","",IFERROR(INDEX('Post Tracker'!$G$5:$G$1004,MATCH(Q176,'Post Tracker'!$A$5:$A$1004,0)),"ID NOT FOUND"))</f>
        <v/>
      </c>
      <c r="T176" s="24" t="str">
        <f aca="false">IF(Q176="","",IFERROR(INDEX('Post Tracker'!$K$5:$K$1004,MATCH(Q176,'Post Tracker'!$A$5:$A$1004,0))&amp;"",""))</f>
        <v/>
      </c>
      <c r="U176" s="33" t="str">
        <f aca="false">IF(OR(Q176="",B176=""),"",IFERROR(B176-INDEX('Post Tracker'!$B$5:$B$1004,MATCH(Q176,'Post Tracker'!$A$5:$A$1004,0)),""))</f>
        <v/>
      </c>
      <c r="V176" s="39"/>
      <c r="W176" s="29"/>
      <c r="X176" s="29"/>
      <c r="Y176" s="29"/>
      <c r="Z176" s="30"/>
      <c r="AA176" s="29"/>
      <c r="AB176" s="29"/>
    </row>
    <row r="177" customFormat="false" ht="15" hidden="false" customHeight="false" outlineLevel="0" collapsed="false">
      <c r="A177" s="41" t="str">
        <f aca="false">IF(B177="","",ROW()-4)</f>
        <v/>
      </c>
      <c r="B177" s="39"/>
      <c r="C177" s="29"/>
      <c r="D177" s="29"/>
      <c r="E177" s="29"/>
      <c r="F177" s="29"/>
      <c r="G177" s="29"/>
      <c r="H177" s="32"/>
      <c r="I177" s="29"/>
      <c r="J177" s="29"/>
      <c r="K177" s="29"/>
      <c r="L177" s="29"/>
      <c r="M177" s="29"/>
      <c r="N177" s="29"/>
      <c r="O177" s="29"/>
      <c r="P177" s="29"/>
      <c r="Q177" s="24" t="str">
        <f aca="false">IF(N177&lt;&gt;"",UPPER(TRIM(N177)),IF(P177&lt;&gt;"",UPPER(TRIM(P177)),""))</f>
        <v/>
      </c>
      <c r="R177" s="24" t="str">
        <f aca="false">IF(B177="","",IF(N177&lt;&gt;"","UTM tracked",IF(P177&lt;&gt;"","Manual / self-reported",IF(O177&lt;&gt;"","Self-reported channel only","Unattributed"))))</f>
        <v/>
      </c>
      <c r="S177" s="24" t="str">
        <f aca="false">IF(Q177="","",IFERROR(INDEX('Post Tracker'!$G$5:$G$1004,MATCH(Q177,'Post Tracker'!$A$5:$A$1004,0)),"ID NOT FOUND"))</f>
        <v/>
      </c>
      <c r="T177" s="24" t="str">
        <f aca="false">IF(Q177="","",IFERROR(INDEX('Post Tracker'!$K$5:$K$1004,MATCH(Q177,'Post Tracker'!$A$5:$A$1004,0))&amp;"",""))</f>
        <v/>
      </c>
      <c r="U177" s="33" t="str">
        <f aca="false">IF(OR(Q177="",B177=""),"",IFERROR(B177-INDEX('Post Tracker'!$B$5:$B$1004,MATCH(Q177,'Post Tracker'!$A$5:$A$1004,0)),""))</f>
        <v/>
      </c>
      <c r="V177" s="39"/>
      <c r="W177" s="29"/>
      <c r="X177" s="29"/>
      <c r="Y177" s="29"/>
      <c r="Z177" s="30"/>
      <c r="AA177" s="29"/>
      <c r="AB177" s="29"/>
    </row>
    <row r="178" customFormat="false" ht="15" hidden="false" customHeight="false" outlineLevel="0" collapsed="false">
      <c r="A178" s="41" t="str">
        <f aca="false">IF(B178="","",ROW()-4)</f>
        <v/>
      </c>
      <c r="B178" s="39"/>
      <c r="C178" s="29"/>
      <c r="D178" s="29"/>
      <c r="E178" s="29"/>
      <c r="F178" s="29"/>
      <c r="G178" s="29"/>
      <c r="H178" s="32"/>
      <c r="I178" s="29"/>
      <c r="J178" s="29"/>
      <c r="K178" s="29"/>
      <c r="L178" s="29"/>
      <c r="M178" s="29"/>
      <c r="N178" s="29"/>
      <c r="O178" s="29"/>
      <c r="P178" s="29"/>
      <c r="Q178" s="24" t="str">
        <f aca="false">IF(N178&lt;&gt;"",UPPER(TRIM(N178)),IF(P178&lt;&gt;"",UPPER(TRIM(P178)),""))</f>
        <v/>
      </c>
      <c r="R178" s="24" t="str">
        <f aca="false">IF(B178="","",IF(N178&lt;&gt;"","UTM tracked",IF(P178&lt;&gt;"","Manual / self-reported",IF(O178&lt;&gt;"","Self-reported channel only","Unattributed"))))</f>
        <v/>
      </c>
      <c r="S178" s="24" t="str">
        <f aca="false">IF(Q178="","",IFERROR(INDEX('Post Tracker'!$G$5:$G$1004,MATCH(Q178,'Post Tracker'!$A$5:$A$1004,0)),"ID NOT FOUND"))</f>
        <v/>
      </c>
      <c r="T178" s="24" t="str">
        <f aca="false">IF(Q178="","",IFERROR(INDEX('Post Tracker'!$K$5:$K$1004,MATCH(Q178,'Post Tracker'!$A$5:$A$1004,0))&amp;"",""))</f>
        <v/>
      </c>
      <c r="U178" s="33" t="str">
        <f aca="false">IF(OR(Q178="",B178=""),"",IFERROR(B178-INDEX('Post Tracker'!$B$5:$B$1004,MATCH(Q178,'Post Tracker'!$A$5:$A$1004,0)),""))</f>
        <v/>
      </c>
      <c r="V178" s="39"/>
      <c r="W178" s="29"/>
      <c r="X178" s="29"/>
      <c r="Y178" s="29"/>
      <c r="Z178" s="30"/>
      <c r="AA178" s="29"/>
      <c r="AB178" s="29"/>
    </row>
    <row r="179" customFormat="false" ht="15" hidden="false" customHeight="false" outlineLevel="0" collapsed="false">
      <c r="A179" s="41" t="str">
        <f aca="false">IF(B179="","",ROW()-4)</f>
        <v/>
      </c>
      <c r="B179" s="39"/>
      <c r="C179" s="29"/>
      <c r="D179" s="29"/>
      <c r="E179" s="29"/>
      <c r="F179" s="29"/>
      <c r="G179" s="29"/>
      <c r="H179" s="32"/>
      <c r="I179" s="29"/>
      <c r="J179" s="29"/>
      <c r="K179" s="29"/>
      <c r="L179" s="29"/>
      <c r="M179" s="29"/>
      <c r="N179" s="29"/>
      <c r="O179" s="29"/>
      <c r="P179" s="29"/>
      <c r="Q179" s="24" t="str">
        <f aca="false">IF(N179&lt;&gt;"",UPPER(TRIM(N179)),IF(P179&lt;&gt;"",UPPER(TRIM(P179)),""))</f>
        <v/>
      </c>
      <c r="R179" s="24" t="str">
        <f aca="false">IF(B179="","",IF(N179&lt;&gt;"","UTM tracked",IF(P179&lt;&gt;"","Manual / self-reported",IF(O179&lt;&gt;"","Self-reported channel only","Unattributed"))))</f>
        <v/>
      </c>
      <c r="S179" s="24" t="str">
        <f aca="false">IF(Q179="","",IFERROR(INDEX('Post Tracker'!$G$5:$G$1004,MATCH(Q179,'Post Tracker'!$A$5:$A$1004,0)),"ID NOT FOUND"))</f>
        <v/>
      </c>
      <c r="T179" s="24" t="str">
        <f aca="false">IF(Q179="","",IFERROR(INDEX('Post Tracker'!$K$5:$K$1004,MATCH(Q179,'Post Tracker'!$A$5:$A$1004,0))&amp;"",""))</f>
        <v/>
      </c>
      <c r="U179" s="33" t="str">
        <f aca="false">IF(OR(Q179="",B179=""),"",IFERROR(B179-INDEX('Post Tracker'!$B$5:$B$1004,MATCH(Q179,'Post Tracker'!$A$5:$A$1004,0)),""))</f>
        <v/>
      </c>
      <c r="V179" s="39"/>
      <c r="W179" s="29"/>
      <c r="X179" s="29"/>
      <c r="Y179" s="29"/>
      <c r="Z179" s="30"/>
      <c r="AA179" s="29"/>
      <c r="AB179" s="29"/>
    </row>
    <row r="180" customFormat="false" ht="15" hidden="false" customHeight="false" outlineLevel="0" collapsed="false">
      <c r="A180" s="41" t="str">
        <f aca="false">IF(B180="","",ROW()-4)</f>
        <v/>
      </c>
      <c r="B180" s="39"/>
      <c r="C180" s="29"/>
      <c r="D180" s="29"/>
      <c r="E180" s="29"/>
      <c r="F180" s="29"/>
      <c r="G180" s="29"/>
      <c r="H180" s="32"/>
      <c r="I180" s="29"/>
      <c r="J180" s="29"/>
      <c r="K180" s="29"/>
      <c r="L180" s="29"/>
      <c r="M180" s="29"/>
      <c r="N180" s="29"/>
      <c r="O180" s="29"/>
      <c r="P180" s="29"/>
      <c r="Q180" s="24" t="str">
        <f aca="false">IF(N180&lt;&gt;"",UPPER(TRIM(N180)),IF(P180&lt;&gt;"",UPPER(TRIM(P180)),""))</f>
        <v/>
      </c>
      <c r="R180" s="24" t="str">
        <f aca="false">IF(B180="","",IF(N180&lt;&gt;"","UTM tracked",IF(P180&lt;&gt;"","Manual / self-reported",IF(O180&lt;&gt;"","Self-reported channel only","Unattributed"))))</f>
        <v/>
      </c>
      <c r="S180" s="24" t="str">
        <f aca="false">IF(Q180="","",IFERROR(INDEX('Post Tracker'!$G$5:$G$1004,MATCH(Q180,'Post Tracker'!$A$5:$A$1004,0)),"ID NOT FOUND"))</f>
        <v/>
      </c>
      <c r="T180" s="24" t="str">
        <f aca="false">IF(Q180="","",IFERROR(INDEX('Post Tracker'!$K$5:$K$1004,MATCH(Q180,'Post Tracker'!$A$5:$A$1004,0))&amp;"",""))</f>
        <v/>
      </c>
      <c r="U180" s="33" t="str">
        <f aca="false">IF(OR(Q180="",B180=""),"",IFERROR(B180-INDEX('Post Tracker'!$B$5:$B$1004,MATCH(Q180,'Post Tracker'!$A$5:$A$1004,0)),""))</f>
        <v/>
      </c>
      <c r="V180" s="39"/>
      <c r="W180" s="29"/>
      <c r="X180" s="29"/>
      <c r="Y180" s="29"/>
      <c r="Z180" s="30"/>
      <c r="AA180" s="29"/>
      <c r="AB180" s="29"/>
    </row>
    <row r="181" customFormat="false" ht="15" hidden="false" customHeight="false" outlineLevel="0" collapsed="false">
      <c r="A181" s="41" t="str">
        <f aca="false">IF(B181="","",ROW()-4)</f>
        <v/>
      </c>
      <c r="B181" s="39"/>
      <c r="C181" s="29"/>
      <c r="D181" s="29"/>
      <c r="E181" s="29"/>
      <c r="F181" s="29"/>
      <c r="G181" s="29"/>
      <c r="H181" s="32"/>
      <c r="I181" s="29"/>
      <c r="J181" s="29"/>
      <c r="K181" s="29"/>
      <c r="L181" s="29"/>
      <c r="M181" s="29"/>
      <c r="N181" s="29"/>
      <c r="O181" s="29"/>
      <c r="P181" s="29"/>
      <c r="Q181" s="24" t="str">
        <f aca="false">IF(N181&lt;&gt;"",UPPER(TRIM(N181)),IF(P181&lt;&gt;"",UPPER(TRIM(P181)),""))</f>
        <v/>
      </c>
      <c r="R181" s="24" t="str">
        <f aca="false">IF(B181="","",IF(N181&lt;&gt;"","UTM tracked",IF(P181&lt;&gt;"","Manual / self-reported",IF(O181&lt;&gt;"","Self-reported channel only","Unattributed"))))</f>
        <v/>
      </c>
      <c r="S181" s="24" t="str">
        <f aca="false">IF(Q181="","",IFERROR(INDEX('Post Tracker'!$G$5:$G$1004,MATCH(Q181,'Post Tracker'!$A$5:$A$1004,0)),"ID NOT FOUND"))</f>
        <v/>
      </c>
      <c r="T181" s="24" t="str">
        <f aca="false">IF(Q181="","",IFERROR(INDEX('Post Tracker'!$K$5:$K$1004,MATCH(Q181,'Post Tracker'!$A$5:$A$1004,0))&amp;"",""))</f>
        <v/>
      </c>
      <c r="U181" s="33" t="str">
        <f aca="false">IF(OR(Q181="",B181=""),"",IFERROR(B181-INDEX('Post Tracker'!$B$5:$B$1004,MATCH(Q181,'Post Tracker'!$A$5:$A$1004,0)),""))</f>
        <v/>
      </c>
      <c r="V181" s="39"/>
      <c r="W181" s="29"/>
      <c r="X181" s="29"/>
      <c r="Y181" s="29"/>
      <c r="Z181" s="30"/>
      <c r="AA181" s="29"/>
      <c r="AB181" s="29"/>
    </row>
    <row r="182" customFormat="false" ht="15" hidden="false" customHeight="false" outlineLevel="0" collapsed="false">
      <c r="A182" s="41" t="str">
        <f aca="false">IF(B182="","",ROW()-4)</f>
        <v/>
      </c>
      <c r="B182" s="39"/>
      <c r="C182" s="29"/>
      <c r="D182" s="29"/>
      <c r="E182" s="29"/>
      <c r="F182" s="29"/>
      <c r="G182" s="29"/>
      <c r="H182" s="32"/>
      <c r="I182" s="29"/>
      <c r="J182" s="29"/>
      <c r="K182" s="29"/>
      <c r="L182" s="29"/>
      <c r="M182" s="29"/>
      <c r="N182" s="29"/>
      <c r="O182" s="29"/>
      <c r="P182" s="29"/>
      <c r="Q182" s="24" t="str">
        <f aca="false">IF(N182&lt;&gt;"",UPPER(TRIM(N182)),IF(P182&lt;&gt;"",UPPER(TRIM(P182)),""))</f>
        <v/>
      </c>
      <c r="R182" s="24" t="str">
        <f aca="false">IF(B182="","",IF(N182&lt;&gt;"","UTM tracked",IF(P182&lt;&gt;"","Manual / self-reported",IF(O182&lt;&gt;"","Self-reported channel only","Unattributed"))))</f>
        <v/>
      </c>
      <c r="S182" s="24" t="str">
        <f aca="false">IF(Q182="","",IFERROR(INDEX('Post Tracker'!$G$5:$G$1004,MATCH(Q182,'Post Tracker'!$A$5:$A$1004,0)),"ID NOT FOUND"))</f>
        <v/>
      </c>
      <c r="T182" s="24" t="str">
        <f aca="false">IF(Q182="","",IFERROR(INDEX('Post Tracker'!$K$5:$K$1004,MATCH(Q182,'Post Tracker'!$A$5:$A$1004,0))&amp;"",""))</f>
        <v/>
      </c>
      <c r="U182" s="33" t="str">
        <f aca="false">IF(OR(Q182="",B182=""),"",IFERROR(B182-INDEX('Post Tracker'!$B$5:$B$1004,MATCH(Q182,'Post Tracker'!$A$5:$A$1004,0)),""))</f>
        <v/>
      </c>
      <c r="V182" s="39"/>
      <c r="W182" s="29"/>
      <c r="X182" s="29"/>
      <c r="Y182" s="29"/>
      <c r="Z182" s="30"/>
      <c r="AA182" s="29"/>
      <c r="AB182" s="29"/>
    </row>
    <row r="183" customFormat="false" ht="15" hidden="false" customHeight="false" outlineLevel="0" collapsed="false">
      <c r="A183" s="41" t="str">
        <f aca="false">IF(B183="","",ROW()-4)</f>
        <v/>
      </c>
      <c r="B183" s="39"/>
      <c r="C183" s="29"/>
      <c r="D183" s="29"/>
      <c r="E183" s="29"/>
      <c r="F183" s="29"/>
      <c r="G183" s="29"/>
      <c r="H183" s="32"/>
      <c r="I183" s="29"/>
      <c r="J183" s="29"/>
      <c r="K183" s="29"/>
      <c r="L183" s="29"/>
      <c r="M183" s="29"/>
      <c r="N183" s="29"/>
      <c r="O183" s="29"/>
      <c r="P183" s="29"/>
      <c r="Q183" s="24" t="str">
        <f aca="false">IF(N183&lt;&gt;"",UPPER(TRIM(N183)),IF(P183&lt;&gt;"",UPPER(TRIM(P183)),""))</f>
        <v/>
      </c>
      <c r="R183" s="24" t="str">
        <f aca="false">IF(B183="","",IF(N183&lt;&gt;"","UTM tracked",IF(P183&lt;&gt;"","Manual / self-reported",IF(O183&lt;&gt;"","Self-reported channel only","Unattributed"))))</f>
        <v/>
      </c>
      <c r="S183" s="24" t="str">
        <f aca="false">IF(Q183="","",IFERROR(INDEX('Post Tracker'!$G$5:$G$1004,MATCH(Q183,'Post Tracker'!$A$5:$A$1004,0)),"ID NOT FOUND"))</f>
        <v/>
      </c>
      <c r="T183" s="24" t="str">
        <f aca="false">IF(Q183="","",IFERROR(INDEX('Post Tracker'!$K$5:$K$1004,MATCH(Q183,'Post Tracker'!$A$5:$A$1004,0))&amp;"",""))</f>
        <v/>
      </c>
      <c r="U183" s="33" t="str">
        <f aca="false">IF(OR(Q183="",B183=""),"",IFERROR(B183-INDEX('Post Tracker'!$B$5:$B$1004,MATCH(Q183,'Post Tracker'!$A$5:$A$1004,0)),""))</f>
        <v/>
      </c>
      <c r="V183" s="39"/>
      <c r="W183" s="29"/>
      <c r="X183" s="29"/>
      <c r="Y183" s="29"/>
      <c r="Z183" s="30"/>
      <c r="AA183" s="29"/>
      <c r="AB183" s="29"/>
    </row>
    <row r="184" customFormat="false" ht="15" hidden="false" customHeight="false" outlineLevel="0" collapsed="false">
      <c r="A184" s="41" t="str">
        <f aca="false">IF(B184="","",ROW()-4)</f>
        <v/>
      </c>
      <c r="B184" s="39"/>
      <c r="C184" s="29"/>
      <c r="D184" s="29"/>
      <c r="E184" s="29"/>
      <c r="F184" s="29"/>
      <c r="G184" s="29"/>
      <c r="H184" s="32"/>
      <c r="I184" s="29"/>
      <c r="J184" s="29"/>
      <c r="K184" s="29"/>
      <c r="L184" s="29"/>
      <c r="M184" s="29"/>
      <c r="N184" s="29"/>
      <c r="O184" s="29"/>
      <c r="P184" s="29"/>
      <c r="Q184" s="24" t="str">
        <f aca="false">IF(N184&lt;&gt;"",UPPER(TRIM(N184)),IF(P184&lt;&gt;"",UPPER(TRIM(P184)),""))</f>
        <v/>
      </c>
      <c r="R184" s="24" t="str">
        <f aca="false">IF(B184="","",IF(N184&lt;&gt;"","UTM tracked",IF(P184&lt;&gt;"","Manual / self-reported",IF(O184&lt;&gt;"","Self-reported channel only","Unattributed"))))</f>
        <v/>
      </c>
      <c r="S184" s="24" t="str">
        <f aca="false">IF(Q184="","",IFERROR(INDEX('Post Tracker'!$G$5:$G$1004,MATCH(Q184,'Post Tracker'!$A$5:$A$1004,0)),"ID NOT FOUND"))</f>
        <v/>
      </c>
      <c r="T184" s="24" t="str">
        <f aca="false">IF(Q184="","",IFERROR(INDEX('Post Tracker'!$K$5:$K$1004,MATCH(Q184,'Post Tracker'!$A$5:$A$1004,0))&amp;"",""))</f>
        <v/>
      </c>
      <c r="U184" s="33" t="str">
        <f aca="false">IF(OR(Q184="",B184=""),"",IFERROR(B184-INDEX('Post Tracker'!$B$5:$B$1004,MATCH(Q184,'Post Tracker'!$A$5:$A$1004,0)),""))</f>
        <v/>
      </c>
      <c r="V184" s="39"/>
      <c r="W184" s="29"/>
      <c r="X184" s="29"/>
      <c r="Y184" s="29"/>
      <c r="Z184" s="30"/>
      <c r="AA184" s="29"/>
      <c r="AB184" s="29"/>
    </row>
    <row r="185" customFormat="false" ht="15" hidden="false" customHeight="false" outlineLevel="0" collapsed="false">
      <c r="A185" s="41" t="str">
        <f aca="false">IF(B185="","",ROW()-4)</f>
        <v/>
      </c>
      <c r="B185" s="39"/>
      <c r="C185" s="29"/>
      <c r="D185" s="29"/>
      <c r="E185" s="29"/>
      <c r="F185" s="29"/>
      <c r="G185" s="29"/>
      <c r="H185" s="32"/>
      <c r="I185" s="29"/>
      <c r="J185" s="29"/>
      <c r="K185" s="29"/>
      <c r="L185" s="29"/>
      <c r="M185" s="29"/>
      <c r="N185" s="29"/>
      <c r="O185" s="29"/>
      <c r="P185" s="29"/>
      <c r="Q185" s="24" t="str">
        <f aca="false">IF(N185&lt;&gt;"",UPPER(TRIM(N185)),IF(P185&lt;&gt;"",UPPER(TRIM(P185)),""))</f>
        <v/>
      </c>
      <c r="R185" s="24" t="str">
        <f aca="false">IF(B185="","",IF(N185&lt;&gt;"","UTM tracked",IF(P185&lt;&gt;"","Manual / self-reported",IF(O185&lt;&gt;"","Self-reported channel only","Unattributed"))))</f>
        <v/>
      </c>
      <c r="S185" s="24" t="str">
        <f aca="false">IF(Q185="","",IFERROR(INDEX('Post Tracker'!$G$5:$G$1004,MATCH(Q185,'Post Tracker'!$A$5:$A$1004,0)),"ID NOT FOUND"))</f>
        <v/>
      </c>
      <c r="T185" s="24" t="str">
        <f aca="false">IF(Q185="","",IFERROR(INDEX('Post Tracker'!$K$5:$K$1004,MATCH(Q185,'Post Tracker'!$A$5:$A$1004,0))&amp;"",""))</f>
        <v/>
      </c>
      <c r="U185" s="33" t="str">
        <f aca="false">IF(OR(Q185="",B185=""),"",IFERROR(B185-INDEX('Post Tracker'!$B$5:$B$1004,MATCH(Q185,'Post Tracker'!$A$5:$A$1004,0)),""))</f>
        <v/>
      </c>
      <c r="V185" s="39"/>
      <c r="W185" s="29"/>
      <c r="X185" s="29"/>
      <c r="Y185" s="29"/>
      <c r="Z185" s="30"/>
      <c r="AA185" s="29"/>
      <c r="AB185" s="29"/>
    </row>
    <row r="186" customFormat="false" ht="15" hidden="false" customHeight="false" outlineLevel="0" collapsed="false">
      <c r="A186" s="41" t="str">
        <f aca="false">IF(B186="","",ROW()-4)</f>
        <v/>
      </c>
      <c r="B186" s="39"/>
      <c r="C186" s="29"/>
      <c r="D186" s="29"/>
      <c r="E186" s="29"/>
      <c r="F186" s="29"/>
      <c r="G186" s="29"/>
      <c r="H186" s="32"/>
      <c r="I186" s="29"/>
      <c r="J186" s="29"/>
      <c r="K186" s="29"/>
      <c r="L186" s="29"/>
      <c r="M186" s="29"/>
      <c r="N186" s="29"/>
      <c r="O186" s="29"/>
      <c r="P186" s="29"/>
      <c r="Q186" s="24" t="str">
        <f aca="false">IF(N186&lt;&gt;"",UPPER(TRIM(N186)),IF(P186&lt;&gt;"",UPPER(TRIM(P186)),""))</f>
        <v/>
      </c>
      <c r="R186" s="24" t="str">
        <f aca="false">IF(B186="","",IF(N186&lt;&gt;"","UTM tracked",IF(P186&lt;&gt;"","Manual / self-reported",IF(O186&lt;&gt;"","Self-reported channel only","Unattributed"))))</f>
        <v/>
      </c>
      <c r="S186" s="24" t="str">
        <f aca="false">IF(Q186="","",IFERROR(INDEX('Post Tracker'!$G$5:$G$1004,MATCH(Q186,'Post Tracker'!$A$5:$A$1004,0)),"ID NOT FOUND"))</f>
        <v/>
      </c>
      <c r="T186" s="24" t="str">
        <f aca="false">IF(Q186="","",IFERROR(INDEX('Post Tracker'!$K$5:$K$1004,MATCH(Q186,'Post Tracker'!$A$5:$A$1004,0))&amp;"",""))</f>
        <v/>
      </c>
      <c r="U186" s="33" t="str">
        <f aca="false">IF(OR(Q186="",B186=""),"",IFERROR(B186-INDEX('Post Tracker'!$B$5:$B$1004,MATCH(Q186,'Post Tracker'!$A$5:$A$1004,0)),""))</f>
        <v/>
      </c>
      <c r="V186" s="39"/>
      <c r="W186" s="29"/>
      <c r="X186" s="29"/>
      <c r="Y186" s="29"/>
      <c r="Z186" s="30"/>
      <c r="AA186" s="29"/>
      <c r="AB186" s="29"/>
    </row>
    <row r="187" customFormat="false" ht="15" hidden="false" customHeight="false" outlineLevel="0" collapsed="false">
      <c r="A187" s="41" t="str">
        <f aca="false">IF(B187="","",ROW()-4)</f>
        <v/>
      </c>
      <c r="B187" s="39"/>
      <c r="C187" s="29"/>
      <c r="D187" s="29"/>
      <c r="E187" s="29"/>
      <c r="F187" s="29"/>
      <c r="G187" s="29"/>
      <c r="H187" s="32"/>
      <c r="I187" s="29"/>
      <c r="J187" s="29"/>
      <c r="K187" s="29"/>
      <c r="L187" s="29"/>
      <c r="M187" s="29"/>
      <c r="N187" s="29"/>
      <c r="O187" s="29"/>
      <c r="P187" s="29"/>
      <c r="Q187" s="24" t="str">
        <f aca="false">IF(N187&lt;&gt;"",UPPER(TRIM(N187)),IF(P187&lt;&gt;"",UPPER(TRIM(P187)),""))</f>
        <v/>
      </c>
      <c r="R187" s="24" t="str">
        <f aca="false">IF(B187="","",IF(N187&lt;&gt;"","UTM tracked",IF(P187&lt;&gt;"","Manual / self-reported",IF(O187&lt;&gt;"","Self-reported channel only","Unattributed"))))</f>
        <v/>
      </c>
      <c r="S187" s="24" t="str">
        <f aca="false">IF(Q187="","",IFERROR(INDEX('Post Tracker'!$G$5:$G$1004,MATCH(Q187,'Post Tracker'!$A$5:$A$1004,0)),"ID NOT FOUND"))</f>
        <v/>
      </c>
      <c r="T187" s="24" t="str">
        <f aca="false">IF(Q187="","",IFERROR(INDEX('Post Tracker'!$K$5:$K$1004,MATCH(Q187,'Post Tracker'!$A$5:$A$1004,0))&amp;"",""))</f>
        <v/>
      </c>
      <c r="U187" s="33" t="str">
        <f aca="false">IF(OR(Q187="",B187=""),"",IFERROR(B187-INDEX('Post Tracker'!$B$5:$B$1004,MATCH(Q187,'Post Tracker'!$A$5:$A$1004,0)),""))</f>
        <v/>
      </c>
      <c r="V187" s="39"/>
      <c r="W187" s="29"/>
      <c r="X187" s="29"/>
      <c r="Y187" s="29"/>
      <c r="Z187" s="30"/>
      <c r="AA187" s="29"/>
      <c r="AB187" s="29"/>
    </row>
    <row r="188" customFormat="false" ht="15" hidden="false" customHeight="false" outlineLevel="0" collapsed="false">
      <c r="A188" s="41" t="str">
        <f aca="false">IF(B188="","",ROW()-4)</f>
        <v/>
      </c>
      <c r="B188" s="39"/>
      <c r="C188" s="29"/>
      <c r="D188" s="29"/>
      <c r="E188" s="29"/>
      <c r="F188" s="29"/>
      <c r="G188" s="29"/>
      <c r="H188" s="32"/>
      <c r="I188" s="29"/>
      <c r="J188" s="29"/>
      <c r="K188" s="29"/>
      <c r="L188" s="29"/>
      <c r="M188" s="29"/>
      <c r="N188" s="29"/>
      <c r="O188" s="29"/>
      <c r="P188" s="29"/>
      <c r="Q188" s="24" t="str">
        <f aca="false">IF(N188&lt;&gt;"",UPPER(TRIM(N188)),IF(P188&lt;&gt;"",UPPER(TRIM(P188)),""))</f>
        <v/>
      </c>
      <c r="R188" s="24" t="str">
        <f aca="false">IF(B188="","",IF(N188&lt;&gt;"","UTM tracked",IF(P188&lt;&gt;"","Manual / self-reported",IF(O188&lt;&gt;"","Self-reported channel only","Unattributed"))))</f>
        <v/>
      </c>
      <c r="S188" s="24" t="str">
        <f aca="false">IF(Q188="","",IFERROR(INDEX('Post Tracker'!$G$5:$G$1004,MATCH(Q188,'Post Tracker'!$A$5:$A$1004,0)),"ID NOT FOUND"))</f>
        <v/>
      </c>
      <c r="T188" s="24" t="str">
        <f aca="false">IF(Q188="","",IFERROR(INDEX('Post Tracker'!$K$5:$K$1004,MATCH(Q188,'Post Tracker'!$A$5:$A$1004,0))&amp;"",""))</f>
        <v/>
      </c>
      <c r="U188" s="33" t="str">
        <f aca="false">IF(OR(Q188="",B188=""),"",IFERROR(B188-INDEX('Post Tracker'!$B$5:$B$1004,MATCH(Q188,'Post Tracker'!$A$5:$A$1004,0)),""))</f>
        <v/>
      </c>
      <c r="V188" s="39"/>
      <c r="W188" s="29"/>
      <c r="X188" s="29"/>
      <c r="Y188" s="29"/>
      <c r="Z188" s="30"/>
      <c r="AA188" s="29"/>
      <c r="AB188" s="29"/>
    </row>
    <row r="189" customFormat="false" ht="15" hidden="false" customHeight="false" outlineLevel="0" collapsed="false">
      <c r="A189" s="41" t="str">
        <f aca="false">IF(B189="","",ROW()-4)</f>
        <v/>
      </c>
      <c r="B189" s="39"/>
      <c r="C189" s="29"/>
      <c r="D189" s="29"/>
      <c r="E189" s="29"/>
      <c r="F189" s="29"/>
      <c r="G189" s="29"/>
      <c r="H189" s="32"/>
      <c r="I189" s="29"/>
      <c r="J189" s="29"/>
      <c r="K189" s="29"/>
      <c r="L189" s="29"/>
      <c r="M189" s="29"/>
      <c r="N189" s="29"/>
      <c r="O189" s="29"/>
      <c r="P189" s="29"/>
      <c r="Q189" s="24" t="str">
        <f aca="false">IF(N189&lt;&gt;"",UPPER(TRIM(N189)),IF(P189&lt;&gt;"",UPPER(TRIM(P189)),""))</f>
        <v/>
      </c>
      <c r="R189" s="24" t="str">
        <f aca="false">IF(B189="","",IF(N189&lt;&gt;"","UTM tracked",IF(P189&lt;&gt;"","Manual / self-reported",IF(O189&lt;&gt;"","Self-reported channel only","Unattributed"))))</f>
        <v/>
      </c>
      <c r="S189" s="24" t="str">
        <f aca="false">IF(Q189="","",IFERROR(INDEX('Post Tracker'!$G$5:$G$1004,MATCH(Q189,'Post Tracker'!$A$5:$A$1004,0)),"ID NOT FOUND"))</f>
        <v/>
      </c>
      <c r="T189" s="24" t="str">
        <f aca="false">IF(Q189="","",IFERROR(INDEX('Post Tracker'!$K$5:$K$1004,MATCH(Q189,'Post Tracker'!$A$5:$A$1004,0))&amp;"",""))</f>
        <v/>
      </c>
      <c r="U189" s="33" t="str">
        <f aca="false">IF(OR(Q189="",B189=""),"",IFERROR(B189-INDEX('Post Tracker'!$B$5:$B$1004,MATCH(Q189,'Post Tracker'!$A$5:$A$1004,0)),""))</f>
        <v/>
      </c>
      <c r="V189" s="39"/>
      <c r="W189" s="29"/>
      <c r="X189" s="29"/>
      <c r="Y189" s="29"/>
      <c r="Z189" s="30"/>
      <c r="AA189" s="29"/>
      <c r="AB189" s="29"/>
    </row>
    <row r="190" customFormat="false" ht="15" hidden="false" customHeight="false" outlineLevel="0" collapsed="false">
      <c r="A190" s="41" t="str">
        <f aca="false">IF(B190="","",ROW()-4)</f>
        <v/>
      </c>
      <c r="B190" s="39"/>
      <c r="C190" s="29"/>
      <c r="D190" s="29"/>
      <c r="E190" s="29"/>
      <c r="F190" s="29"/>
      <c r="G190" s="29"/>
      <c r="H190" s="32"/>
      <c r="I190" s="29"/>
      <c r="J190" s="29"/>
      <c r="K190" s="29"/>
      <c r="L190" s="29"/>
      <c r="M190" s="29"/>
      <c r="N190" s="29"/>
      <c r="O190" s="29"/>
      <c r="P190" s="29"/>
      <c r="Q190" s="24" t="str">
        <f aca="false">IF(N190&lt;&gt;"",UPPER(TRIM(N190)),IF(P190&lt;&gt;"",UPPER(TRIM(P190)),""))</f>
        <v/>
      </c>
      <c r="R190" s="24" t="str">
        <f aca="false">IF(B190="","",IF(N190&lt;&gt;"","UTM tracked",IF(P190&lt;&gt;"","Manual / self-reported",IF(O190&lt;&gt;"","Self-reported channel only","Unattributed"))))</f>
        <v/>
      </c>
      <c r="S190" s="24" t="str">
        <f aca="false">IF(Q190="","",IFERROR(INDEX('Post Tracker'!$G$5:$G$1004,MATCH(Q190,'Post Tracker'!$A$5:$A$1004,0)),"ID NOT FOUND"))</f>
        <v/>
      </c>
      <c r="T190" s="24" t="str">
        <f aca="false">IF(Q190="","",IFERROR(INDEX('Post Tracker'!$K$5:$K$1004,MATCH(Q190,'Post Tracker'!$A$5:$A$1004,0))&amp;"",""))</f>
        <v/>
      </c>
      <c r="U190" s="33" t="str">
        <f aca="false">IF(OR(Q190="",B190=""),"",IFERROR(B190-INDEX('Post Tracker'!$B$5:$B$1004,MATCH(Q190,'Post Tracker'!$A$5:$A$1004,0)),""))</f>
        <v/>
      </c>
      <c r="V190" s="39"/>
      <c r="W190" s="29"/>
      <c r="X190" s="29"/>
      <c r="Y190" s="29"/>
      <c r="Z190" s="30"/>
      <c r="AA190" s="29"/>
      <c r="AB190" s="29"/>
    </row>
    <row r="191" customFormat="false" ht="15" hidden="false" customHeight="false" outlineLevel="0" collapsed="false">
      <c r="A191" s="41" t="str">
        <f aca="false">IF(B191="","",ROW()-4)</f>
        <v/>
      </c>
      <c r="B191" s="39"/>
      <c r="C191" s="29"/>
      <c r="D191" s="29"/>
      <c r="E191" s="29"/>
      <c r="F191" s="29"/>
      <c r="G191" s="29"/>
      <c r="H191" s="32"/>
      <c r="I191" s="29"/>
      <c r="J191" s="29"/>
      <c r="K191" s="29"/>
      <c r="L191" s="29"/>
      <c r="M191" s="29"/>
      <c r="N191" s="29"/>
      <c r="O191" s="29"/>
      <c r="P191" s="29"/>
      <c r="Q191" s="24" t="str">
        <f aca="false">IF(N191&lt;&gt;"",UPPER(TRIM(N191)),IF(P191&lt;&gt;"",UPPER(TRIM(P191)),""))</f>
        <v/>
      </c>
      <c r="R191" s="24" t="str">
        <f aca="false">IF(B191="","",IF(N191&lt;&gt;"","UTM tracked",IF(P191&lt;&gt;"","Manual / self-reported",IF(O191&lt;&gt;"","Self-reported channel only","Unattributed"))))</f>
        <v/>
      </c>
      <c r="S191" s="24" t="str">
        <f aca="false">IF(Q191="","",IFERROR(INDEX('Post Tracker'!$G$5:$G$1004,MATCH(Q191,'Post Tracker'!$A$5:$A$1004,0)),"ID NOT FOUND"))</f>
        <v/>
      </c>
      <c r="T191" s="24" t="str">
        <f aca="false">IF(Q191="","",IFERROR(INDEX('Post Tracker'!$K$5:$K$1004,MATCH(Q191,'Post Tracker'!$A$5:$A$1004,0))&amp;"",""))</f>
        <v/>
      </c>
      <c r="U191" s="33" t="str">
        <f aca="false">IF(OR(Q191="",B191=""),"",IFERROR(B191-INDEX('Post Tracker'!$B$5:$B$1004,MATCH(Q191,'Post Tracker'!$A$5:$A$1004,0)),""))</f>
        <v/>
      </c>
      <c r="V191" s="39"/>
      <c r="W191" s="29"/>
      <c r="X191" s="29"/>
      <c r="Y191" s="29"/>
      <c r="Z191" s="30"/>
      <c r="AA191" s="29"/>
      <c r="AB191" s="29"/>
    </row>
    <row r="192" customFormat="false" ht="15" hidden="false" customHeight="false" outlineLevel="0" collapsed="false">
      <c r="A192" s="41" t="str">
        <f aca="false">IF(B192="","",ROW()-4)</f>
        <v/>
      </c>
      <c r="B192" s="39"/>
      <c r="C192" s="29"/>
      <c r="D192" s="29"/>
      <c r="E192" s="29"/>
      <c r="F192" s="29"/>
      <c r="G192" s="29"/>
      <c r="H192" s="32"/>
      <c r="I192" s="29"/>
      <c r="J192" s="29"/>
      <c r="K192" s="29"/>
      <c r="L192" s="29"/>
      <c r="M192" s="29"/>
      <c r="N192" s="29"/>
      <c r="O192" s="29"/>
      <c r="P192" s="29"/>
      <c r="Q192" s="24" t="str">
        <f aca="false">IF(N192&lt;&gt;"",UPPER(TRIM(N192)),IF(P192&lt;&gt;"",UPPER(TRIM(P192)),""))</f>
        <v/>
      </c>
      <c r="R192" s="24" t="str">
        <f aca="false">IF(B192="","",IF(N192&lt;&gt;"","UTM tracked",IF(P192&lt;&gt;"","Manual / self-reported",IF(O192&lt;&gt;"","Self-reported channel only","Unattributed"))))</f>
        <v/>
      </c>
      <c r="S192" s="24" t="str">
        <f aca="false">IF(Q192="","",IFERROR(INDEX('Post Tracker'!$G$5:$G$1004,MATCH(Q192,'Post Tracker'!$A$5:$A$1004,0)),"ID NOT FOUND"))</f>
        <v/>
      </c>
      <c r="T192" s="24" t="str">
        <f aca="false">IF(Q192="","",IFERROR(INDEX('Post Tracker'!$K$5:$K$1004,MATCH(Q192,'Post Tracker'!$A$5:$A$1004,0))&amp;"",""))</f>
        <v/>
      </c>
      <c r="U192" s="33" t="str">
        <f aca="false">IF(OR(Q192="",B192=""),"",IFERROR(B192-INDEX('Post Tracker'!$B$5:$B$1004,MATCH(Q192,'Post Tracker'!$A$5:$A$1004,0)),""))</f>
        <v/>
      </c>
      <c r="V192" s="39"/>
      <c r="W192" s="29"/>
      <c r="X192" s="29"/>
      <c r="Y192" s="29"/>
      <c r="Z192" s="30"/>
      <c r="AA192" s="29"/>
      <c r="AB192" s="29"/>
    </row>
    <row r="193" customFormat="false" ht="15" hidden="false" customHeight="false" outlineLevel="0" collapsed="false">
      <c r="A193" s="41" t="str">
        <f aca="false">IF(B193="","",ROW()-4)</f>
        <v/>
      </c>
      <c r="B193" s="39"/>
      <c r="C193" s="29"/>
      <c r="D193" s="29"/>
      <c r="E193" s="29"/>
      <c r="F193" s="29"/>
      <c r="G193" s="29"/>
      <c r="H193" s="32"/>
      <c r="I193" s="29"/>
      <c r="J193" s="29"/>
      <c r="K193" s="29"/>
      <c r="L193" s="29"/>
      <c r="M193" s="29"/>
      <c r="N193" s="29"/>
      <c r="O193" s="29"/>
      <c r="P193" s="29"/>
      <c r="Q193" s="24" t="str">
        <f aca="false">IF(N193&lt;&gt;"",UPPER(TRIM(N193)),IF(P193&lt;&gt;"",UPPER(TRIM(P193)),""))</f>
        <v/>
      </c>
      <c r="R193" s="24" t="str">
        <f aca="false">IF(B193="","",IF(N193&lt;&gt;"","UTM tracked",IF(P193&lt;&gt;"","Manual / self-reported",IF(O193&lt;&gt;"","Self-reported channel only","Unattributed"))))</f>
        <v/>
      </c>
      <c r="S193" s="24" t="str">
        <f aca="false">IF(Q193="","",IFERROR(INDEX('Post Tracker'!$G$5:$G$1004,MATCH(Q193,'Post Tracker'!$A$5:$A$1004,0)),"ID NOT FOUND"))</f>
        <v/>
      </c>
      <c r="T193" s="24" t="str">
        <f aca="false">IF(Q193="","",IFERROR(INDEX('Post Tracker'!$K$5:$K$1004,MATCH(Q193,'Post Tracker'!$A$5:$A$1004,0))&amp;"",""))</f>
        <v/>
      </c>
      <c r="U193" s="33" t="str">
        <f aca="false">IF(OR(Q193="",B193=""),"",IFERROR(B193-INDEX('Post Tracker'!$B$5:$B$1004,MATCH(Q193,'Post Tracker'!$A$5:$A$1004,0)),""))</f>
        <v/>
      </c>
      <c r="V193" s="39"/>
      <c r="W193" s="29"/>
      <c r="X193" s="29"/>
      <c r="Y193" s="29"/>
      <c r="Z193" s="30"/>
      <c r="AA193" s="29"/>
      <c r="AB193" s="29"/>
    </row>
    <row r="194" customFormat="false" ht="15" hidden="false" customHeight="false" outlineLevel="0" collapsed="false">
      <c r="A194" s="41" t="str">
        <f aca="false">IF(B194="","",ROW()-4)</f>
        <v/>
      </c>
      <c r="B194" s="39"/>
      <c r="C194" s="29"/>
      <c r="D194" s="29"/>
      <c r="E194" s="29"/>
      <c r="F194" s="29"/>
      <c r="G194" s="29"/>
      <c r="H194" s="32"/>
      <c r="I194" s="29"/>
      <c r="J194" s="29"/>
      <c r="K194" s="29"/>
      <c r="L194" s="29"/>
      <c r="M194" s="29"/>
      <c r="N194" s="29"/>
      <c r="O194" s="29"/>
      <c r="P194" s="29"/>
      <c r="Q194" s="24" t="str">
        <f aca="false">IF(N194&lt;&gt;"",UPPER(TRIM(N194)),IF(P194&lt;&gt;"",UPPER(TRIM(P194)),""))</f>
        <v/>
      </c>
      <c r="R194" s="24" t="str">
        <f aca="false">IF(B194="","",IF(N194&lt;&gt;"","UTM tracked",IF(P194&lt;&gt;"","Manual / self-reported",IF(O194&lt;&gt;"","Self-reported channel only","Unattributed"))))</f>
        <v/>
      </c>
      <c r="S194" s="24" t="str">
        <f aca="false">IF(Q194="","",IFERROR(INDEX('Post Tracker'!$G$5:$G$1004,MATCH(Q194,'Post Tracker'!$A$5:$A$1004,0)),"ID NOT FOUND"))</f>
        <v/>
      </c>
      <c r="T194" s="24" t="str">
        <f aca="false">IF(Q194="","",IFERROR(INDEX('Post Tracker'!$K$5:$K$1004,MATCH(Q194,'Post Tracker'!$A$5:$A$1004,0))&amp;"",""))</f>
        <v/>
      </c>
      <c r="U194" s="33" t="str">
        <f aca="false">IF(OR(Q194="",B194=""),"",IFERROR(B194-INDEX('Post Tracker'!$B$5:$B$1004,MATCH(Q194,'Post Tracker'!$A$5:$A$1004,0)),""))</f>
        <v/>
      </c>
      <c r="V194" s="39"/>
      <c r="W194" s="29"/>
      <c r="X194" s="29"/>
      <c r="Y194" s="29"/>
      <c r="Z194" s="30"/>
      <c r="AA194" s="29"/>
      <c r="AB194" s="29"/>
    </row>
    <row r="195" customFormat="false" ht="15" hidden="false" customHeight="false" outlineLevel="0" collapsed="false">
      <c r="A195" s="41" t="str">
        <f aca="false">IF(B195="","",ROW()-4)</f>
        <v/>
      </c>
      <c r="B195" s="39"/>
      <c r="C195" s="29"/>
      <c r="D195" s="29"/>
      <c r="E195" s="29"/>
      <c r="F195" s="29"/>
      <c r="G195" s="29"/>
      <c r="H195" s="32"/>
      <c r="I195" s="29"/>
      <c r="J195" s="29"/>
      <c r="K195" s="29"/>
      <c r="L195" s="29"/>
      <c r="M195" s="29"/>
      <c r="N195" s="29"/>
      <c r="O195" s="29"/>
      <c r="P195" s="29"/>
      <c r="Q195" s="24" t="str">
        <f aca="false">IF(N195&lt;&gt;"",UPPER(TRIM(N195)),IF(P195&lt;&gt;"",UPPER(TRIM(P195)),""))</f>
        <v/>
      </c>
      <c r="R195" s="24" t="str">
        <f aca="false">IF(B195="","",IF(N195&lt;&gt;"","UTM tracked",IF(P195&lt;&gt;"","Manual / self-reported",IF(O195&lt;&gt;"","Self-reported channel only","Unattributed"))))</f>
        <v/>
      </c>
      <c r="S195" s="24" t="str">
        <f aca="false">IF(Q195="","",IFERROR(INDEX('Post Tracker'!$G$5:$G$1004,MATCH(Q195,'Post Tracker'!$A$5:$A$1004,0)),"ID NOT FOUND"))</f>
        <v/>
      </c>
      <c r="T195" s="24" t="str">
        <f aca="false">IF(Q195="","",IFERROR(INDEX('Post Tracker'!$K$5:$K$1004,MATCH(Q195,'Post Tracker'!$A$5:$A$1004,0))&amp;"",""))</f>
        <v/>
      </c>
      <c r="U195" s="33" t="str">
        <f aca="false">IF(OR(Q195="",B195=""),"",IFERROR(B195-INDEX('Post Tracker'!$B$5:$B$1004,MATCH(Q195,'Post Tracker'!$A$5:$A$1004,0)),""))</f>
        <v/>
      </c>
      <c r="V195" s="39"/>
      <c r="W195" s="29"/>
      <c r="X195" s="29"/>
      <c r="Y195" s="29"/>
      <c r="Z195" s="30"/>
      <c r="AA195" s="29"/>
      <c r="AB195" s="29"/>
    </row>
    <row r="196" customFormat="false" ht="15" hidden="false" customHeight="false" outlineLevel="0" collapsed="false">
      <c r="A196" s="41" t="str">
        <f aca="false">IF(B196="","",ROW()-4)</f>
        <v/>
      </c>
      <c r="B196" s="39"/>
      <c r="C196" s="29"/>
      <c r="D196" s="29"/>
      <c r="E196" s="29"/>
      <c r="F196" s="29"/>
      <c r="G196" s="29"/>
      <c r="H196" s="32"/>
      <c r="I196" s="29"/>
      <c r="J196" s="29"/>
      <c r="K196" s="29"/>
      <c r="L196" s="29"/>
      <c r="M196" s="29"/>
      <c r="N196" s="29"/>
      <c r="O196" s="29"/>
      <c r="P196" s="29"/>
      <c r="Q196" s="24" t="str">
        <f aca="false">IF(N196&lt;&gt;"",UPPER(TRIM(N196)),IF(P196&lt;&gt;"",UPPER(TRIM(P196)),""))</f>
        <v/>
      </c>
      <c r="R196" s="24" t="str">
        <f aca="false">IF(B196="","",IF(N196&lt;&gt;"","UTM tracked",IF(P196&lt;&gt;"","Manual / self-reported",IF(O196&lt;&gt;"","Self-reported channel only","Unattributed"))))</f>
        <v/>
      </c>
      <c r="S196" s="24" t="str">
        <f aca="false">IF(Q196="","",IFERROR(INDEX('Post Tracker'!$G$5:$G$1004,MATCH(Q196,'Post Tracker'!$A$5:$A$1004,0)),"ID NOT FOUND"))</f>
        <v/>
      </c>
      <c r="T196" s="24" t="str">
        <f aca="false">IF(Q196="","",IFERROR(INDEX('Post Tracker'!$K$5:$K$1004,MATCH(Q196,'Post Tracker'!$A$5:$A$1004,0))&amp;"",""))</f>
        <v/>
      </c>
      <c r="U196" s="33" t="str">
        <f aca="false">IF(OR(Q196="",B196=""),"",IFERROR(B196-INDEX('Post Tracker'!$B$5:$B$1004,MATCH(Q196,'Post Tracker'!$A$5:$A$1004,0)),""))</f>
        <v/>
      </c>
      <c r="V196" s="39"/>
      <c r="W196" s="29"/>
      <c r="X196" s="29"/>
      <c r="Y196" s="29"/>
      <c r="Z196" s="30"/>
      <c r="AA196" s="29"/>
      <c r="AB196" s="29"/>
    </row>
    <row r="197" customFormat="false" ht="15" hidden="false" customHeight="false" outlineLevel="0" collapsed="false">
      <c r="A197" s="41" t="str">
        <f aca="false">IF(B197="","",ROW()-4)</f>
        <v/>
      </c>
      <c r="B197" s="39"/>
      <c r="C197" s="29"/>
      <c r="D197" s="29"/>
      <c r="E197" s="29"/>
      <c r="F197" s="29"/>
      <c r="G197" s="29"/>
      <c r="H197" s="32"/>
      <c r="I197" s="29"/>
      <c r="J197" s="29"/>
      <c r="K197" s="29"/>
      <c r="L197" s="29"/>
      <c r="M197" s="29"/>
      <c r="N197" s="29"/>
      <c r="O197" s="29"/>
      <c r="P197" s="29"/>
      <c r="Q197" s="24" t="str">
        <f aca="false">IF(N197&lt;&gt;"",UPPER(TRIM(N197)),IF(P197&lt;&gt;"",UPPER(TRIM(P197)),""))</f>
        <v/>
      </c>
      <c r="R197" s="24" t="str">
        <f aca="false">IF(B197="","",IF(N197&lt;&gt;"","UTM tracked",IF(P197&lt;&gt;"","Manual / self-reported",IF(O197&lt;&gt;"","Self-reported channel only","Unattributed"))))</f>
        <v/>
      </c>
      <c r="S197" s="24" t="str">
        <f aca="false">IF(Q197="","",IFERROR(INDEX('Post Tracker'!$G$5:$G$1004,MATCH(Q197,'Post Tracker'!$A$5:$A$1004,0)),"ID NOT FOUND"))</f>
        <v/>
      </c>
      <c r="T197" s="24" t="str">
        <f aca="false">IF(Q197="","",IFERROR(INDEX('Post Tracker'!$K$5:$K$1004,MATCH(Q197,'Post Tracker'!$A$5:$A$1004,0))&amp;"",""))</f>
        <v/>
      </c>
      <c r="U197" s="33" t="str">
        <f aca="false">IF(OR(Q197="",B197=""),"",IFERROR(B197-INDEX('Post Tracker'!$B$5:$B$1004,MATCH(Q197,'Post Tracker'!$A$5:$A$1004,0)),""))</f>
        <v/>
      </c>
      <c r="V197" s="39"/>
      <c r="W197" s="29"/>
      <c r="X197" s="29"/>
      <c r="Y197" s="29"/>
      <c r="Z197" s="30"/>
      <c r="AA197" s="29"/>
      <c r="AB197" s="29"/>
    </row>
    <row r="198" customFormat="false" ht="15" hidden="false" customHeight="false" outlineLevel="0" collapsed="false">
      <c r="A198" s="41" t="str">
        <f aca="false">IF(B198="","",ROW()-4)</f>
        <v/>
      </c>
      <c r="B198" s="39"/>
      <c r="C198" s="29"/>
      <c r="D198" s="29"/>
      <c r="E198" s="29"/>
      <c r="F198" s="29"/>
      <c r="G198" s="29"/>
      <c r="H198" s="32"/>
      <c r="I198" s="29"/>
      <c r="J198" s="29"/>
      <c r="K198" s="29"/>
      <c r="L198" s="29"/>
      <c r="M198" s="29"/>
      <c r="N198" s="29"/>
      <c r="O198" s="29"/>
      <c r="P198" s="29"/>
      <c r="Q198" s="24" t="str">
        <f aca="false">IF(N198&lt;&gt;"",UPPER(TRIM(N198)),IF(P198&lt;&gt;"",UPPER(TRIM(P198)),""))</f>
        <v/>
      </c>
      <c r="R198" s="24" t="str">
        <f aca="false">IF(B198="","",IF(N198&lt;&gt;"","UTM tracked",IF(P198&lt;&gt;"","Manual / self-reported",IF(O198&lt;&gt;"","Self-reported channel only","Unattributed"))))</f>
        <v/>
      </c>
      <c r="S198" s="24" t="str">
        <f aca="false">IF(Q198="","",IFERROR(INDEX('Post Tracker'!$G$5:$G$1004,MATCH(Q198,'Post Tracker'!$A$5:$A$1004,0)),"ID NOT FOUND"))</f>
        <v/>
      </c>
      <c r="T198" s="24" t="str">
        <f aca="false">IF(Q198="","",IFERROR(INDEX('Post Tracker'!$K$5:$K$1004,MATCH(Q198,'Post Tracker'!$A$5:$A$1004,0))&amp;"",""))</f>
        <v/>
      </c>
      <c r="U198" s="33" t="str">
        <f aca="false">IF(OR(Q198="",B198=""),"",IFERROR(B198-INDEX('Post Tracker'!$B$5:$B$1004,MATCH(Q198,'Post Tracker'!$A$5:$A$1004,0)),""))</f>
        <v/>
      </c>
      <c r="V198" s="39"/>
      <c r="W198" s="29"/>
      <c r="X198" s="29"/>
      <c r="Y198" s="29"/>
      <c r="Z198" s="30"/>
      <c r="AA198" s="29"/>
      <c r="AB198" s="29"/>
    </row>
    <row r="199" customFormat="false" ht="15" hidden="false" customHeight="false" outlineLevel="0" collapsed="false">
      <c r="A199" s="41" t="str">
        <f aca="false">IF(B199="","",ROW()-4)</f>
        <v/>
      </c>
      <c r="B199" s="39"/>
      <c r="C199" s="29"/>
      <c r="D199" s="29"/>
      <c r="E199" s="29"/>
      <c r="F199" s="29"/>
      <c r="G199" s="29"/>
      <c r="H199" s="32"/>
      <c r="I199" s="29"/>
      <c r="J199" s="29"/>
      <c r="K199" s="29"/>
      <c r="L199" s="29"/>
      <c r="M199" s="29"/>
      <c r="N199" s="29"/>
      <c r="O199" s="29"/>
      <c r="P199" s="29"/>
      <c r="Q199" s="24" t="str">
        <f aca="false">IF(N199&lt;&gt;"",UPPER(TRIM(N199)),IF(P199&lt;&gt;"",UPPER(TRIM(P199)),""))</f>
        <v/>
      </c>
      <c r="R199" s="24" t="str">
        <f aca="false">IF(B199="","",IF(N199&lt;&gt;"","UTM tracked",IF(P199&lt;&gt;"","Manual / self-reported",IF(O199&lt;&gt;"","Self-reported channel only","Unattributed"))))</f>
        <v/>
      </c>
      <c r="S199" s="24" t="str">
        <f aca="false">IF(Q199="","",IFERROR(INDEX('Post Tracker'!$G$5:$G$1004,MATCH(Q199,'Post Tracker'!$A$5:$A$1004,0)),"ID NOT FOUND"))</f>
        <v/>
      </c>
      <c r="T199" s="24" t="str">
        <f aca="false">IF(Q199="","",IFERROR(INDEX('Post Tracker'!$K$5:$K$1004,MATCH(Q199,'Post Tracker'!$A$5:$A$1004,0))&amp;"",""))</f>
        <v/>
      </c>
      <c r="U199" s="33" t="str">
        <f aca="false">IF(OR(Q199="",B199=""),"",IFERROR(B199-INDEX('Post Tracker'!$B$5:$B$1004,MATCH(Q199,'Post Tracker'!$A$5:$A$1004,0)),""))</f>
        <v/>
      </c>
      <c r="V199" s="39"/>
      <c r="W199" s="29"/>
      <c r="X199" s="29"/>
      <c r="Y199" s="29"/>
      <c r="Z199" s="30"/>
      <c r="AA199" s="29"/>
      <c r="AB199" s="29"/>
    </row>
    <row r="200" customFormat="false" ht="15" hidden="false" customHeight="false" outlineLevel="0" collapsed="false">
      <c r="A200" s="41" t="str">
        <f aca="false">IF(B200="","",ROW()-4)</f>
        <v/>
      </c>
      <c r="B200" s="39"/>
      <c r="C200" s="29"/>
      <c r="D200" s="29"/>
      <c r="E200" s="29"/>
      <c r="F200" s="29"/>
      <c r="G200" s="29"/>
      <c r="H200" s="32"/>
      <c r="I200" s="29"/>
      <c r="J200" s="29"/>
      <c r="K200" s="29"/>
      <c r="L200" s="29"/>
      <c r="M200" s="29"/>
      <c r="N200" s="29"/>
      <c r="O200" s="29"/>
      <c r="P200" s="29"/>
      <c r="Q200" s="24" t="str">
        <f aca="false">IF(N200&lt;&gt;"",UPPER(TRIM(N200)),IF(P200&lt;&gt;"",UPPER(TRIM(P200)),""))</f>
        <v/>
      </c>
      <c r="R200" s="24" t="str">
        <f aca="false">IF(B200="","",IF(N200&lt;&gt;"","UTM tracked",IF(P200&lt;&gt;"","Manual / self-reported",IF(O200&lt;&gt;"","Self-reported channel only","Unattributed"))))</f>
        <v/>
      </c>
      <c r="S200" s="24" t="str">
        <f aca="false">IF(Q200="","",IFERROR(INDEX('Post Tracker'!$G$5:$G$1004,MATCH(Q200,'Post Tracker'!$A$5:$A$1004,0)),"ID NOT FOUND"))</f>
        <v/>
      </c>
      <c r="T200" s="24" t="str">
        <f aca="false">IF(Q200="","",IFERROR(INDEX('Post Tracker'!$K$5:$K$1004,MATCH(Q200,'Post Tracker'!$A$5:$A$1004,0))&amp;"",""))</f>
        <v/>
      </c>
      <c r="U200" s="33" t="str">
        <f aca="false">IF(OR(Q200="",B200=""),"",IFERROR(B200-INDEX('Post Tracker'!$B$5:$B$1004,MATCH(Q200,'Post Tracker'!$A$5:$A$1004,0)),""))</f>
        <v/>
      </c>
      <c r="V200" s="39"/>
      <c r="W200" s="29"/>
      <c r="X200" s="29"/>
      <c r="Y200" s="29"/>
      <c r="Z200" s="30"/>
      <c r="AA200" s="29"/>
      <c r="AB200" s="29"/>
    </row>
    <row r="201" customFormat="false" ht="15" hidden="false" customHeight="false" outlineLevel="0" collapsed="false">
      <c r="A201" s="41" t="str">
        <f aca="false">IF(B201="","",ROW()-4)</f>
        <v/>
      </c>
      <c r="B201" s="39"/>
      <c r="C201" s="29"/>
      <c r="D201" s="29"/>
      <c r="E201" s="29"/>
      <c r="F201" s="29"/>
      <c r="G201" s="29"/>
      <c r="H201" s="32"/>
      <c r="I201" s="29"/>
      <c r="J201" s="29"/>
      <c r="K201" s="29"/>
      <c r="L201" s="29"/>
      <c r="M201" s="29"/>
      <c r="N201" s="29"/>
      <c r="O201" s="29"/>
      <c r="P201" s="29"/>
      <c r="Q201" s="24" t="str">
        <f aca="false">IF(N201&lt;&gt;"",UPPER(TRIM(N201)),IF(P201&lt;&gt;"",UPPER(TRIM(P201)),""))</f>
        <v/>
      </c>
      <c r="R201" s="24" t="str">
        <f aca="false">IF(B201="","",IF(N201&lt;&gt;"","UTM tracked",IF(P201&lt;&gt;"","Manual / self-reported",IF(O201&lt;&gt;"","Self-reported channel only","Unattributed"))))</f>
        <v/>
      </c>
      <c r="S201" s="24" t="str">
        <f aca="false">IF(Q201="","",IFERROR(INDEX('Post Tracker'!$G$5:$G$1004,MATCH(Q201,'Post Tracker'!$A$5:$A$1004,0)),"ID NOT FOUND"))</f>
        <v/>
      </c>
      <c r="T201" s="24" t="str">
        <f aca="false">IF(Q201="","",IFERROR(INDEX('Post Tracker'!$K$5:$K$1004,MATCH(Q201,'Post Tracker'!$A$5:$A$1004,0))&amp;"",""))</f>
        <v/>
      </c>
      <c r="U201" s="33" t="str">
        <f aca="false">IF(OR(Q201="",B201=""),"",IFERROR(B201-INDEX('Post Tracker'!$B$5:$B$1004,MATCH(Q201,'Post Tracker'!$A$5:$A$1004,0)),""))</f>
        <v/>
      </c>
      <c r="V201" s="39"/>
      <c r="W201" s="29"/>
      <c r="X201" s="29"/>
      <c r="Y201" s="29"/>
      <c r="Z201" s="30"/>
      <c r="AA201" s="29"/>
      <c r="AB201" s="29"/>
    </row>
    <row r="202" customFormat="false" ht="15" hidden="false" customHeight="false" outlineLevel="0" collapsed="false">
      <c r="A202" s="41" t="str">
        <f aca="false">IF(B202="","",ROW()-4)</f>
        <v/>
      </c>
      <c r="B202" s="39"/>
      <c r="C202" s="29"/>
      <c r="D202" s="29"/>
      <c r="E202" s="29"/>
      <c r="F202" s="29"/>
      <c r="G202" s="29"/>
      <c r="H202" s="32"/>
      <c r="I202" s="29"/>
      <c r="J202" s="29"/>
      <c r="K202" s="29"/>
      <c r="L202" s="29"/>
      <c r="M202" s="29"/>
      <c r="N202" s="29"/>
      <c r="O202" s="29"/>
      <c r="P202" s="29"/>
      <c r="Q202" s="24" t="str">
        <f aca="false">IF(N202&lt;&gt;"",UPPER(TRIM(N202)),IF(P202&lt;&gt;"",UPPER(TRIM(P202)),""))</f>
        <v/>
      </c>
      <c r="R202" s="24" t="str">
        <f aca="false">IF(B202="","",IF(N202&lt;&gt;"","UTM tracked",IF(P202&lt;&gt;"","Manual / self-reported",IF(O202&lt;&gt;"","Self-reported channel only","Unattributed"))))</f>
        <v/>
      </c>
      <c r="S202" s="24" t="str">
        <f aca="false">IF(Q202="","",IFERROR(INDEX('Post Tracker'!$G$5:$G$1004,MATCH(Q202,'Post Tracker'!$A$5:$A$1004,0)),"ID NOT FOUND"))</f>
        <v/>
      </c>
      <c r="T202" s="24" t="str">
        <f aca="false">IF(Q202="","",IFERROR(INDEX('Post Tracker'!$K$5:$K$1004,MATCH(Q202,'Post Tracker'!$A$5:$A$1004,0))&amp;"",""))</f>
        <v/>
      </c>
      <c r="U202" s="33" t="str">
        <f aca="false">IF(OR(Q202="",B202=""),"",IFERROR(B202-INDEX('Post Tracker'!$B$5:$B$1004,MATCH(Q202,'Post Tracker'!$A$5:$A$1004,0)),""))</f>
        <v/>
      </c>
      <c r="V202" s="39"/>
      <c r="W202" s="29"/>
      <c r="X202" s="29"/>
      <c r="Y202" s="29"/>
      <c r="Z202" s="30"/>
      <c r="AA202" s="29"/>
      <c r="AB202" s="29"/>
    </row>
    <row r="203" customFormat="false" ht="15" hidden="false" customHeight="false" outlineLevel="0" collapsed="false">
      <c r="A203" s="41" t="str">
        <f aca="false">IF(B203="","",ROW()-4)</f>
        <v/>
      </c>
      <c r="B203" s="39"/>
      <c r="C203" s="29"/>
      <c r="D203" s="29"/>
      <c r="E203" s="29"/>
      <c r="F203" s="29"/>
      <c r="G203" s="29"/>
      <c r="H203" s="32"/>
      <c r="I203" s="29"/>
      <c r="J203" s="29"/>
      <c r="K203" s="29"/>
      <c r="L203" s="29"/>
      <c r="M203" s="29"/>
      <c r="N203" s="29"/>
      <c r="O203" s="29"/>
      <c r="P203" s="29"/>
      <c r="Q203" s="24" t="str">
        <f aca="false">IF(N203&lt;&gt;"",UPPER(TRIM(N203)),IF(P203&lt;&gt;"",UPPER(TRIM(P203)),""))</f>
        <v/>
      </c>
      <c r="R203" s="24" t="str">
        <f aca="false">IF(B203="","",IF(N203&lt;&gt;"","UTM tracked",IF(P203&lt;&gt;"","Manual / self-reported",IF(O203&lt;&gt;"","Self-reported channel only","Unattributed"))))</f>
        <v/>
      </c>
      <c r="S203" s="24" t="str">
        <f aca="false">IF(Q203="","",IFERROR(INDEX('Post Tracker'!$G$5:$G$1004,MATCH(Q203,'Post Tracker'!$A$5:$A$1004,0)),"ID NOT FOUND"))</f>
        <v/>
      </c>
      <c r="T203" s="24" t="str">
        <f aca="false">IF(Q203="","",IFERROR(INDEX('Post Tracker'!$K$5:$K$1004,MATCH(Q203,'Post Tracker'!$A$5:$A$1004,0))&amp;"",""))</f>
        <v/>
      </c>
      <c r="U203" s="33" t="str">
        <f aca="false">IF(OR(Q203="",B203=""),"",IFERROR(B203-INDEX('Post Tracker'!$B$5:$B$1004,MATCH(Q203,'Post Tracker'!$A$5:$A$1004,0)),""))</f>
        <v/>
      </c>
      <c r="V203" s="39"/>
      <c r="W203" s="29"/>
      <c r="X203" s="29"/>
      <c r="Y203" s="29"/>
      <c r="Z203" s="30"/>
      <c r="AA203" s="29"/>
      <c r="AB203" s="29"/>
    </row>
    <row r="204" customFormat="false" ht="15" hidden="false" customHeight="false" outlineLevel="0" collapsed="false">
      <c r="A204" s="41" t="str">
        <f aca="false">IF(B204="","",ROW()-4)</f>
        <v/>
      </c>
      <c r="B204" s="39"/>
      <c r="C204" s="29"/>
      <c r="D204" s="29"/>
      <c r="E204" s="29"/>
      <c r="F204" s="29"/>
      <c r="G204" s="29"/>
      <c r="H204" s="32"/>
      <c r="I204" s="29"/>
      <c r="J204" s="29"/>
      <c r="K204" s="29"/>
      <c r="L204" s="29"/>
      <c r="M204" s="29"/>
      <c r="N204" s="29"/>
      <c r="O204" s="29"/>
      <c r="P204" s="29"/>
      <c r="Q204" s="24" t="str">
        <f aca="false">IF(N204&lt;&gt;"",UPPER(TRIM(N204)),IF(P204&lt;&gt;"",UPPER(TRIM(P204)),""))</f>
        <v/>
      </c>
      <c r="R204" s="24" t="str">
        <f aca="false">IF(B204="","",IF(N204&lt;&gt;"","UTM tracked",IF(P204&lt;&gt;"","Manual / self-reported",IF(O204&lt;&gt;"","Self-reported channel only","Unattributed"))))</f>
        <v/>
      </c>
      <c r="S204" s="24" t="str">
        <f aca="false">IF(Q204="","",IFERROR(INDEX('Post Tracker'!$G$5:$G$1004,MATCH(Q204,'Post Tracker'!$A$5:$A$1004,0)),"ID NOT FOUND"))</f>
        <v/>
      </c>
      <c r="T204" s="24" t="str">
        <f aca="false">IF(Q204="","",IFERROR(INDEX('Post Tracker'!$K$5:$K$1004,MATCH(Q204,'Post Tracker'!$A$5:$A$1004,0))&amp;"",""))</f>
        <v/>
      </c>
      <c r="U204" s="33" t="str">
        <f aca="false">IF(OR(Q204="",B204=""),"",IFERROR(B204-INDEX('Post Tracker'!$B$5:$B$1004,MATCH(Q204,'Post Tracker'!$A$5:$A$1004,0)),""))</f>
        <v/>
      </c>
      <c r="V204" s="39"/>
      <c r="W204" s="29"/>
      <c r="X204" s="29"/>
      <c r="Y204" s="29"/>
      <c r="Z204" s="30"/>
      <c r="AA204" s="29"/>
      <c r="AB204" s="29"/>
    </row>
    <row r="205" customFormat="false" ht="15" hidden="false" customHeight="false" outlineLevel="0" collapsed="false">
      <c r="A205" s="41" t="str">
        <f aca="false">IF(B205="","",ROW()-4)</f>
        <v/>
      </c>
      <c r="B205" s="39"/>
      <c r="C205" s="29"/>
      <c r="D205" s="29"/>
      <c r="E205" s="29"/>
      <c r="F205" s="29"/>
      <c r="G205" s="29"/>
      <c r="H205" s="32"/>
      <c r="I205" s="29"/>
      <c r="J205" s="29"/>
      <c r="K205" s="29"/>
      <c r="L205" s="29"/>
      <c r="M205" s="29"/>
      <c r="N205" s="29"/>
      <c r="O205" s="29"/>
      <c r="P205" s="29"/>
      <c r="Q205" s="24" t="str">
        <f aca="false">IF(N205&lt;&gt;"",UPPER(TRIM(N205)),IF(P205&lt;&gt;"",UPPER(TRIM(P205)),""))</f>
        <v/>
      </c>
      <c r="R205" s="24" t="str">
        <f aca="false">IF(B205="","",IF(N205&lt;&gt;"","UTM tracked",IF(P205&lt;&gt;"","Manual / self-reported",IF(O205&lt;&gt;"","Self-reported channel only","Unattributed"))))</f>
        <v/>
      </c>
      <c r="S205" s="24" t="str">
        <f aca="false">IF(Q205="","",IFERROR(INDEX('Post Tracker'!$G$5:$G$1004,MATCH(Q205,'Post Tracker'!$A$5:$A$1004,0)),"ID NOT FOUND"))</f>
        <v/>
      </c>
      <c r="T205" s="24" t="str">
        <f aca="false">IF(Q205="","",IFERROR(INDEX('Post Tracker'!$K$5:$K$1004,MATCH(Q205,'Post Tracker'!$A$5:$A$1004,0))&amp;"",""))</f>
        <v/>
      </c>
      <c r="U205" s="33" t="str">
        <f aca="false">IF(OR(Q205="",B205=""),"",IFERROR(B205-INDEX('Post Tracker'!$B$5:$B$1004,MATCH(Q205,'Post Tracker'!$A$5:$A$1004,0)),""))</f>
        <v/>
      </c>
      <c r="V205" s="39"/>
      <c r="W205" s="29"/>
      <c r="X205" s="29"/>
      <c r="Y205" s="29"/>
      <c r="Z205" s="30"/>
      <c r="AA205" s="29"/>
      <c r="AB205" s="29"/>
    </row>
    <row r="206" customFormat="false" ht="15" hidden="false" customHeight="false" outlineLevel="0" collapsed="false">
      <c r="A206" s="41" t="str">
        <f aca="false">IF(B206="","",ROW()-4)</f>
        <v/>
      </c>
      <c r="B206" s="39"/>
      <c r="C206" s="29"/>
      <c r="D206" s="29"/>
      <c r="E206" s="29"/>
      <c r="F206" s="29"/>
      <c r="G206" s="29"/>
      <c r="H206" s="32"/>
      <c r="I206" s="29"/>
      <c r="J206" s="29"/>
      <c r="K206" s="29"/>
      <c r="L206" s="29"/>
      <c r="M206" s="29"/>
      <c r="N206" s="29"/>
      <c r="O206" s="29"/>
      <c r="P206" s="29"/>
      <c r="Q206" s="24" t="str">
        <f aca="false">IF(N206&lt;&gt;"",UPPER(TRIM(N206)),IF(P206&lt;&gt;"",UPPER(TRIM(P206)),""))</f>
        <v/>
      </c>
      <c r="R206" s="24" t="str">
        <f aca="false">IF(B206="","",IF(N206&lt;&gt;"","UTM tracked",IF(P206&lt;&gt;"","Manual / self-reported",IF(O206&lt;&gt;"","Self-reported channel only","Unattributed"))))</f>
        <v/>
      </c>
      <c r="S206" s="24" t="str">
        <f aca="false">IF(Q206="","",IFERROR(INDEX('Post Tracker'!$G$5:$G$1004,MATCH(Q206,'Post Tracker'!$A$5:$A$1004,0)),"ID NOT FOUND"))</f>
        <v/>
      </c>
      <c r="T206" s="24" t="str">
        <f aca="false">IF(Q206="","",IFERROR(INDEX('Post Tracker'!$K$5:$K$1004,MATCH(Q206,'Post Tracker'!$A$5:$A$1004,0))&amp;"",""))</f>
        <v/>
      </c>
      <c r="U206" s="33" t="str">
        <f aca="false">IF(OR(Q206="",B206=""),"",IFERROR(B206-INDEX('Post Tracker'!$B$5:$B$1004,MATCH(Q206,'Post Tracker'!$A$5:$A$1004,0)),""))</f>
        <v/>
      </c>
      <c r="V206" s="39"/>
      <c r="W206" s="29"/>
      <c r="X206" s="29"/>
      <c r="Y206" s="29"/>
      <c r="Z206" s="30"/>
      <c r="AA206" s="29"/>
      <c r="AB206" s="29"/>
    </row>
    <row r="207" customFormat="false" ht="15" hidden="false" customHeight="false" outlineLevel="0" collapsed="false">
      <c r="A207" s="41" t="str">
        <f aca="false">IF(B207="","",ROW()-4)</f>
        <v/>
      </c>
      <c r="B207" s="39"/>
      <c r="C207" s="29"/>
      <c r="D207" s="29"/>
      <c r="E207" s="29"/>
      <c r="F207" s="29"/>
      <c r="G207" s="29"/>
      <c r="H207" s="32"/>
      <c r="I207" s="29"/>
      <c r="J207" s="29"/>
      <c r="K207" s="29"/>
      <c r="L207" s="29"/>
      <c r="M207" s="29"/>
      <c r="N207" s="29"/>
      <c r="O207" s="29"/>
      <c r="P207" s="29"/>
      <c r="Q207" s="24" t="str">
        <f aca="false">IF(N207&lt;&gt;"",UPPER(TRIM(N207)),IF(P207&lt;&gt;"",UPPER(TRIM(P207)),""))</f>
        <v/>
      </c>
      <c r="R207" s="24" t="str">
        <f aca="false">IF(B207="","",IF(N207&lt;&gt;"","UTM tracked",IF(P207&lt;&gt;"","Manual / self-reported",IF(O207&lt;&gt;"","Self-reported channel only","Unattributed"))))</f>
        <v/>
      </c>
      <c r="S207" s="24" t="str">
        <f aca="false">IF(Q207="","",IFERROR(INDEX('Post Tracker'!$G$5:$G$1004,MATCH(Q207,'Post Tracker'!$A$5:$A$1004,0)),"ID NOT FOUND"))</f>
        <v/>
      </c>
      <c r="T207" s="24" t="str">
        <f aca="false">IF(Q207="","",IFERROR(INDEX('Post Tracker'!$K$5:$K$1004,MATCH(Q207,'Post Tracker'!$A$5:$A$1004,0))&amp;"",""))</f>
        <v/>
      </c>
      <c r="U207" s="33" t="str">
        <f aca="false">IF(OR(Q207="",B207=""),"",IFERROR(B207-INDEX('Post Tracker'!$B$5:$B$1004,MATCH(Q207,'Post Tracker'!$A$5:$A$1004,0)),""))</f>
        <v/>
      </c>
      <c r="V207" s="39"/>
      <c r="W207" s="29"/>
      <c r="X207" s="29"/>
      <c r="Y207" s="29"/>
      <c r="Z207" s="30"/>
      <c r="AA207" s="29"/>
      <c r="AB207" s="29"/>
    </row>
    <row r="208" customFormat="false" ht="15" hidden="false" customHeight="false" outlineLevel="0" collapsed="false">
      <c r="A208" s="41" t="str">
        <f aca="false">IF(B208="","",ROW()-4)</f>
        <v/>
      </c>
      <c r="B208" s="39"/>
      <c r="C208" s="29"/>
      <c r="D208" s="29"/>
      <c r="E208" s="29"/>
      <c r="F208" s="29"/>
      <c r="G208" s="29"/>
      <c r="H208" s="32"/>
      <c r="I208" s="29"/>
      <c r="J208" s="29"/>
      <c r="K208" s="29"/>
      <c r="L208" s="29"/>
      <c r="M208" s="29"/>
      <c r="N208" s="29"/>
      <c r="O208" s="29"/>
      <c r="P208" s="29"/>
      <c r="Q208" s="24" t="str">
        <f aca="false">IF(N208&lt;&gt;"",UPPER(TRIM(N208)),IF(P208&lt;&gt;"",UPPER(TRIM(P208)),""))</f>
        <v/>
      </c>
      <c r="R208" s="24" t="str">
        <f aca="false">IF(B208="","",IF(N208&lt;&gt;"","UTM tracked",IF(P208&lt;&gt;"","Manual / self-reported",IF(O208&lt;&gt;"","Self-reported channel only","Unattributed"))))</f>
        <v/>
      </c>
      <c r="S208" s="24" t="str">
        <f aca="false">IF(Q208="","",IFERROR(INDEX('Post Tracker'!$G$5:$G$1004,MATCH(Q208,'Post Tracker'!$A$5:$A$1004,0)),"ID NOT FOUND"))</f>
        <v/>
      </c>
      <c r="T208" s="24" t="str">
        <f aca="false">IF(Q208="","",IFERROR(INDEX('Post Tracker'!$K$5:$K$1004,MATCH(Q208,'Post Tracker'!$A$5:$A$1004,0))&amp;"",""))</f>
        <v/>
      </c>
      <c r="U208" s="33" t="str">
        <f aca="false">IF(OR(Q208="",B208=""),"",IFERROR(B208-INDEX('Post Tracker'!$B$5:$B$1004,MATCH(Q208,'Post Tracker'!$A$5:$A$1004,0)),""))</f>
        <v/>
      </c>
      <c r="V208" s="39"/>
      <c r="W208" s="29"/>
      <c r="X208" s="29"/>
      <c r="Y208" s="29"/>
      <c r="Z208" s="30"/>
      <c r="AA208" s="29"/>
      <c r="AB208" s="29"/>
    </row>
    <row r="209" customFormat="false" ht="15" hidden="false" customHeight="false" outlineLevel="0" collapsed="false">
      <c r="A209" s="41" t="str">
        <f aca="false">IF(B209="","",ROW()-4)</f>
        <v/>
      </c>
      <c r="B209" s="39"/>
      <c r="C209" s="29"/>
      <c r="D209" s="29"/>
      <c r="E209" s="29"/>
      <c r="F209" s="29"/>
      <c r="G209" s="29"/>
      <c r="H209" s="32"/>
      <c r="I209" s="29"/>
      <c r="J209" s="29"/>
      <c r="K209" s="29"/>
      <c r="L209" s="29"/>
      <c r="M209" s="29"/>
      <c r="N209" s="29"/>
      <c r="O209" s="29"/>
      <c r="P209" s="29"/>
      <c r="Q209" s="24" t="str">
        <f aca="false">IF(N209&lt;&gt;"",UPPER(TRIM(N209)),IF(P209&lt;&gt;"",UPPER(TRIM(P209)),""))</f>
        <v/>
      </c>
      <c r="R209" s="24" t="str">
        <f aca="false">IF(B209="","",IF(N209&lt;&gt;"","UTM tracked",IF(P209&lt;&gt;"","Manual / self-reported",IF(O209&lt;&gt;"","Self-reported channel only","Unattributed"))))</f>
        <v/>
      </c>
      <c r="S209" s="24" t="str">
        <f aca="false">IF(Q209="","",IFERROR(INDEX('Post Tracker'!$G$5:$G$1004,MATCH(Q209,'Post Tracker'!$A$5:$A$1004,0)),"ID NOT FOUND"))</f>
        <v/>
      </c>
      <c r="T209" s="24" t="str">
        <f aca="false">IF(Q209="","",IFERROR(INDEX('Post Tracker'!$K$5:$K$1004,MATCH(Q209,'Post Tracker'!$A$5:$A$1004,0))&amp;"",""))</f>
        <v/>
      </c>
      <c r="U209" s="33" t="str">
        <f aca="false">IF(OR(Q209="",B209=""),"",IFERROR(B209-INDEX('Post Tracker'!$B$5:$B$1004,MATCH(Q209,'Post Tracker'!$A$5:$A$1004,0)),""))</f>
        <v/>
      </c>
      <c r="V209" s="39"/>
      <c r="W209" s="29"/>
      <c r="X209" s="29"/>
      <c r="Y209" s="29"/>
      <c r="Z209" s="30"/>
      <c r="AA209" s="29"/>
      <c r="AB209" s="29"/>
    </row>
    <row r="210" customFormat="false" ht="15" hidden="false" customHeight="false" outlineLevel="0" collapsed="false">
      <c r="A210" s="41" t="str">
        <f aca="false">IF(B210="","",ROW()-4)</f>
        <v/>
      </c>
      <c r="B210" s="39"/>
      <c r="C210" s="29"/>
      <c r="D210" s="29"/>
      <c r="E210" s="29"/>
      <c r="F210" s="29"/>
      <c r="G210" s="29"/>
      <c r="H210" s="32"/>
      <c r="I210" s="29"/>
      <c r="J210" s="29"/>
      <c r="K210" s="29"/>
      <c r="L210" s="29"/>
      <c r="M210" s="29"/>
      <c r="N210" s="29"/>
      <c r="O210" s="29"/>
      <c r="P210" s="29"/>
      <c r="Q210" s="24" t="str">
        <f aca="false">IF(N210&lt;&gt;"",UPPER(TRIM(N210)),IF(P210&lt;&gt;"",UPPER(TRIM(P210)),""))</f>
        <v/>
      </c>
      <c r="R210" s="24" t="str">
        <f aca="false">IF(B210="","",IF(N210&lt;&gt;"","UTM tracked",IF(P210&lt;&gt;"","Manual / self-reported",IF(O210&lt;&gt;"","Self-reported channel only","Unattributed"))))</f>
        <v/>
      </c>
      <c r="S210" s="24" t="str">
        <f aca="false">IF(Q210="","",IFERROR(INDEX('Post Tracker'!$G$5:$G$1004,MATCH(Q210,'Post Tracker'!$A$5:$A$1004,0)),"ID NOT FOUND"))</f>
        <v/>
      </c>
      <c r="T210" s="24" t="str">
        <f aca="false">IF(Q210="","",IFERROR(INDEX('Post Tracker'!$K$5:$K$1004,MATCH(Q210,'Post Tracker'!$A$5:$A$1004,0))&amp;"",""))</f>
        <v/>
      </c>
      <c r="U210" s="33" t="str">
        <f aca="false">IF(OR(Q210="",B210=""),"",IFERROR(B210-INDEX('Post Tracker'!$B$5:$B$1004,MATCH(Q210,'Post Tracker'!$A$5:$A$1004,0)),""))</f>
        <v/>
      </c>
      <c r="V210" s="39"/>
      <c r="W210" s="29"/>
      <c r="X210" s="29"/>
      <c r="Y210" s="29"/>
      <c r="Z210" s="30"/>
      <c r="AA210" s="29"/>
      <c r="AB210" s="29"/>
    </row>
    <row r="211" customFormat="false" ht="15" hidden="false" customHeight="false" outlineLevel="0" collapsed="false">
      <c r="A211" s="41" t="str">
        <f aca="false">IF(B211="","",ROW()-4)</f>
        <v/>
      </c>
      <c r="B211" s="39"/>
      <c r="C211" s="29"/>
      <c r="D211" s="29"/>
      <c r="E211" s="29"/>
      <c r="F211" s="29"/>
      <c r="G211" s="29"/>
      <c r="H211" s="32"/>
      <c r="I211" s="29"/>
      <c r="J211" s="29"/>
      <c r="K211" s="29"/>
      <c r="L211" s="29"/>
      <c r="M211" s="29"/>
      <c r="N211" s="29"/>
      <c r="O211" s="29"/>
      <c r="P211" s="29"/>
      <c r="Q211" s="24" t="str">
        <f aca="false">IF(N211&lt;&gt;"",UPPER(TRIM(N211)),IF(P211&lt;&gt;"",UPPER(TRIM(P211)),""))</f>
        <v/>
      </c>
      <c r="R211" s="24" t="str">
        <f aca="false">IF(B211="","",IF(N211&lt;&gt;"","UTM tracked",IF(P211&lt;&gt;"","Manual / self-reported",IF(O211&lt;&gt;"","Self-reported channel only","Unattributed"))))</f>
        <v/>
      </c>
      <c r="S211" s="24" t="str">
        <f aca="false">IF(Q211="","",IFERROR(INDEX('Post Tracker'!$G$5:$G$1004,MATCH(Q211,'Post Tracker'!$A$5:$A$1004,0)),"ID NOT FOUND"))</f>
        <v/>
      </c>
      <c r="T211" s="24" t="str">
        <f aca="false">IF(Q211="","",IFERROR(INDEX('Post Tracker'!$K$5:$K$1004,MATCH(Q211,'Post Tracker'!$A$5:$A$1004,0))&amp;"",""))</f>
        <v/>
      </c>
      <c r="U211" s="33" t="str">
        <f aca="false">IF(OR(Q211="",B211=""),"",IFERROR(B211-INDEX('Post Tracker'!$B$5:$B$1004,MATCH(Q211,'Post Tracker'!$A$5:$A$1004,0)),""))</f>
        <v/>
      </c>
      <c r="V211" s="39"/>
      <c r="W211" s="29"/>
      <c r="X211" s="29"/>
      <c r="Y211" s="29"/>
      <c r="Z211" s="30"/>
      <c r="AA211" s="29"/>
      <c r="AB211" s="29"/>
    </row>
    <row r="212" customFormat="false" ht="15" hidden="false" customHeight="false" outlineLevel="0" collapsed="false">
      <c r="A212" s="41" t="str">
        <f aca="false">IF(B212="","",ROW()-4)</f>
        <v/>
      </c>
      <c r="B212" s="39"/>
      <c r="C212" s="29"/>
      <c r="D212" s="29"/>
      <c r="E212" s="29"/>
      <c r="F212" s="29"/>
      <c r="G212" s="29"/>
      <c r="H212" s="32"/>
      <c r="I212" s="29"/>
      <c r="J212" s="29"/>
      <c r="K212" s="29"/>
      <c r="L212" s="29"/>
      <c r="M212" s="29"/>
      <c r="N212" s="29"/>
      <c r="O212" s="29"/>
      <c r="P212" s="29"/>
      <c r="Q212" s="24" t="str">
        <f aca="false">IF(N212&lt;&gt;"",UPPER(TRIM(N212)),IF(P212&lt;&gt;"",UPPER(TRIM(P212)),""))</f>
        <v/>
      </c>
      <c r="R212" s="24" t="str">
        <f aca="false">IF(B212="","",IF(N212&lt;&gt;"","UTM tracked",IF(P212&lt;&gt;"","Manual / self-reported",IF(O212&lt;&gt;"","Self-reported channel only","Unattributed"))))</f>
        <v/>
      </c>
      <c r="S212" s="24" t="str">
        <f aca="false">IF(Q212="","",IFERROR(INDEX('Post Tracker'!$G$5:$G$1004,MATCH(Q212,'Post Tracker'!$A$5:$A$1004,0)),"ID NOT FOUND"))</f>
        <v/>
      </c>
      <c r="T212" s="24" t="str">
        <f aca="false">IF(Q212="","",IFERROR(INDEX('Post Tracker'!$K$5:$K$1004,MATCH(Q212,'Post Tracker'!$A$5:$A$1004,0))&amp;"",""))</f>
        <v/>
      </c>
      <c r="U212" s="33" t="str">
        <f aca="false">IF(OR(Q212="",B212=""),"",IFERROR(B212-INDEX('Post Tracker'!$B$5:$B$1004,MATCH(Q212,'Post Tracker'!$A$5:$A$1004,0)),""))</f>
        <v/>
      </c>
      <c r="V212" s="39"/>
      <c r="W212" s="29"/>
      <c r="X212" s="29"/>
      <c r="Y212" s="29"/>
      <c r="Z212" s="30"/>
      <c r="AA212" s="29"/>
      <c r="AB212" s="29"/>
    </row>
    <row r="213" customFormat="false" ht="15" hidden="false" customHeight="false" outlineLevel="0" collapsed="false">
      <c r="A213" s="41" t="str">
        <f aca="false">IF(B213="","",ROW()-4)</f>
        <v/>
      </c>
      <c r="B213" s="39"/>
      <c r="C213" s="29"/>
      <c r="D213" s="29"/>
      <c r="E213" s="29"/>
      <c r="F213" s="29"/>
      <c r="G213" s="29"/>
      <c r="H213" s="32"/>
      <c r="I213" s="29"/>
      <c r="J213" s="29"/>
      <c r="K213" s="29"/>
      <c r="L213" s="29"/>
      <c r="M213" s="29"/>
      <c r="N213" s="29"/>
      <c r="O213" s="29"/>
      <c r="P213" s="29"/>
      <c r="Q213" s="24" t="str">
        <f aca="false">IF(N213&lt;&gt;"",UPPER(TRIM(N213)),IF(P213&lt;&gt;"",UPPER(TRIM(P213)),""))</f>
        <v/>
      </c>
      <c r="R213" s="24" t="str">
        <f aca="false">IF(B213="","",IF(N213&lt;&gt;"","UTM tracked",IF(P213&lt;&gt;"","Manual / self-reported",IF(O213&lt;&gt;"","Self-reported channel only","Unattributed"))))</f>
        <v/>
      </c>
      <c r="S213" s="24" t="str">
        <f aca="false">IF(Q213="","",IFERROR(INDEX('Post Tracker'!$G$5:$G$1004,MATCH(Q213,'Post Tracker'!$A$5:$A$1004,0)),"ID NOT FOUND"))</f>
        <v/>
      </c>
      <c r="T213" s="24" t="str">
        <f aca="false">IF(Q213="","",IFERROR(INDEX('Post Tracker'!$K$5:$K$1004,MATCH(Q213,'Post Tracker'!$A$5:$A$1004,0))&amp;"",""))</f>
        <v/>
      </c>
      <c r="U213" s="33" t="str">
        <f aca="false">IF(OR(Q213="",B213=""),"",IFERROR(B213-INDEX('Post Tracker'!$B$5:$B$1004,MATCH(Q213,'Post Tracker'!$A$5:$A$1004,0)),""))</f>
        <v/>
      </c>
      <c r="V213" s="39"/>
      <c r="W213" s="29"/>
      <c r="X213" s="29"/>
      <c r="Y213" s="29"/>
      <c r="Z213" s="30"/>
      <c r="AA213" s="29"/>
      <c r="AB213" s="29"/>
    </row>
    <row r="214" customFormat="false" ht="15" hidden="false" customHeight="false" outlineLevel="0" collapsed="false">
      <c r="A214" s="41" t="str">
        <f aca="false">IF(B214="","",ROW()-4)</f>
        <v/>
      </c>
      <c r="B214" s="39"/>
      <c r="C214" s="29"/>
      <c r="D214" s="29"/>
      <c r="E214" s="29"/>
      <c r="F214" s="29"/>
      <c r="G214" s="29"/>
      <c r="H214" s="32"/>
      <c r="I214" s="29"/>
      <c r="J214" s="29"/>
      <c r="K214" s="29"/>
      <c r="L214" s="29"/>
      <c r="M214" s="29"/>
      <c r="N214" s="29"/>
      <c r="O214" s="29"/>
      <c r="P214" s="29"/>
      <c r="Q214" s="24" t="str">
        <f aca="false">IF(N214&lt;&gt;"",UPPER(TRIM(N214)),IF(P214&lt;&gt;"",UPPER(TRIM(P214)),""))</f>
        <v/>
      </c>
      <c r="R214" s="24" t="str">
        <f aca="false">IF(B214="","",IF(N214&lt;&gt;"","UTM tracked",IF(P214&lt;&gt;"","Manual / self-reported",IF(O214&lt;&gt;"","Self-reported channel only","Unattributed"))))</f>
        <v/>
      </c>
      <c r="S214" s="24" t="str">
        <f aca="false">IF(Q214="","",IFERROR(INDEX('Post Tracker'!$G$5:$G$1004,MATCH(Q214,'Post Tracker'!$A$5:$A$1004,0)),"ID NOT FOUND"))</f>
        <v/>
      </c>
      <c r="T214" s="24" t="str">
        <f aca="false">IF(Q214="","",IFERROR(INDEX('Post Tracker'!$K$5:$K$1004,MATCH(Q214,'Post Tracker'!$A$5:$A$1004,0))&amp;"",""))</f>
        <v/>
      </c>
      <c r="U214" s="33" t="str">
        <f aca="false">IF(OR(Q214="",B214=""),"",IFERROR(B214-INDEX('Post Tracker'!$B$5:$B$1004,MATCH(Q214,'Post Tracker'!$A$5:$A$1004,0)),""))</f>
        <v/>
      </c>
      <c r="V214" s="39"/>
      <c r="W214" s="29"/>
      <c r="X214" s="29"/>
      <c r="Y214" s="29"/>
      <c r="Z214" s="30"/>
      <c r="AA214" s="29"/>
      <c r="AB214" s="29"/>
    </row>
    <row r="215" customFormat="false" ht="15" hidden="false" customHeight="false" outlineLevel="0" collapsed="false">
      <c r="A215" s="41" t="str">
        <f aca="false">IF(B215="","",ROW()-4)</f>
        <v/>
      </c>
      <c r="B215" s="39"/>
      <c r="C215" s="29"/>
      <c r="D215" s="29"/>
      <c r="E215" s="29"/>
      <c r="F215" s="29"/>
      <c r="G215" s="29"/>
      <c r="H215" s="32"/>
      <c r="I215" s="29"/>
      <c r="J215" s="29"/>
      <c r="K215" s="29"/>
      <c r="L215" s="29"/>
      <c r="M215" s="29"/>
      <c r="N215" s="29"/>
      <c r="O215" s="29"/>
      <c r="P215" s="29"/>
      <c r="Q215" s="24" t="str">
        <f aca="false">IF(N215&lt;&gt;"",UPPER(TRIM(N215)),IF(P215&lt;&gt;"",UPPER(TRIM(P215)),""))</f>
        <v/>
      </c>
      <c r="R215" s="24" t="str">
        <f aca="false">IF(B215="","",IF(N215&lt;&gt;"","UTM tracked",IF(P215&lt;&gt;"","Manual / self-reported",IF(O215&lt;&gt;"","Self-reported channel only","Unattributed"))))</f>
        <v/>
      </c>
      <c r="S215" s="24" t="str">
        <f aca="false">IF(Q215="","",IFERROR(INDEX('Post Tracker'!$G$5:$G$1004,MATCH(Q215,'Post Tracker'!$A$5:$A$1004,0)),"ID NOT FOUND"))</f>
        <v/>
      </c>
      <c r="T215" s="24" t="str">
        <f aca="false">IF(Q215="","",IFERROR(INDEX('Post Tracker'!$K$5:$K$1004,MATCH(Q215,'Post Tracker'!$A$5:$A$1004,0))&amp;"",""))</f>
        <v/>
      </c>
      <c r="U215" s="33" t="str">
        <f aca="false">IF(OR(Q215="",B215=""),"",IFERROR(B215-INDEX('Post Tracker'!$B$5:$B$1004,MATCH(Q215,'Post Tracker'!$A$5:$A$1004,0)),""))</f>
        <v/>
      </c>
      <c r="V215" s="39"/>
      <c r="W215" s="29"/>
      <c r="X215" s="29"/>
      <c r="Y215" s="29"/>
      <c r="Z215" s="30"/>
      <c r="AA215" s="29"/>
      <c r="AB215" s="29"/>
    </row>
    <row r="216" customFormat="false" ht="15" hidden="false" customHeight="false" outlineLevel="0" collapsed="false">
      <c r="A216" s="41" t="str">
        <f aca="false">IF(B216="","",ROW()-4)</f>
        <v/>
      </c>
      <c r="B216" s="39"/>
      <c r="C216" s="29"/>
      <c r="D216" s="29"/>
      <c r="E216" s="29"/>
      <c r="F216" s="29"/>
      <c r="G216" s="29"/>
      <c r="H216" s="32"/>
      <c r="I216" s="29"/>
      <c r="J216" s="29"/>
      <c r="K216" s="29"/>
      <c r="L216" s="29"/>
      <c r="M216" s="29"/>
      <c r="N216" s="29"/>
      <c r="O216" s="29"/>
      <c r="P216" s="29"/>
      <c r="Q216" s="24" t="str">
        <f aca="false">IF(N216&lt;&gt;"",UPPER(TRIM(N216)),IF(P216&lt;&gt;"",UPPER(TRIM(P216)),""))</f>
        <v/>
      </c>
      <c r="R216" s="24" t="str">
        <f aca="false">IF(B216="","",IF(N216&lt;&gt;"","UTM tracked",IF(P216&lt;&gt;"","Manual / self-reported",IF(O216&lt;&gt;"","Self-reported channel only","Unattributed"))))</f>
        <v/>
      </c>
      <c r="S216" s="24" t="str">
        <f aca="false">IF(Q216="","",IFERROR(INDEX('Post Tracker'!$G$5:$G$1004,MATCH(Q216,'Post Tracker'!$A$5:$A$1004,0)),"ID NOT FOUND"))</f>
        <v/>
      </c>
      <c r="T216" s="24" t="str">
        <f aca="false">IF(Q216="","",IFERROR(INDEX('Post Tracker'!$K$5:$K$1004,MATCH(Q216,'Post Tracker'!$A$5:$A$1004,0))&amp;"",""))</f>
        <v/>
      </c>
      <c r="U216" s="33" t="str">
        <f aca="false">IF(OR(Q216="",B216=""),"",IFERROR(B216-INDEX('Post Tracker'!$B$5:$B$1004,MATCH(Q216,'Post Tracker'!$A$5:$A$1004,0)),""))</f>
        <v/>
      </c>
      <c r="V216" s="39"/>
      <c r="W216" s="29"/>
      <c r="X216" s="29"/>
      <c r="Y216" s="29"/>
      <c r="Z216" s="30"/>
      <c r="AA216" s="29"/>
      <c r="AB216" s="29"/>
    </row>
    <row r="217" customFormat="false" ht="15" hidden="false" customHeight="false" outlineLevel="0" collapsed="false">
      <c r="A217" s="41" t="str">
        <f aca="false">IF(B217="","",ROW()-4)</f>
        <v/>
      </c>
      <c r="B217" s="39"/>
      <c r="C217" s="29"/>
      <c r="D217" s="29"/>
      <c r="E217" s="29"/>
      <c r="F217" s="29"/>
      <c r="G217" s="29"/>
      <c r="H217" s="32"/>
      <c r="I217" s="29"/>
      <c r="J217" s="29"/>
      <c r="K217" s="29"/>
      <c r="L217" s="29"/>
      <c r="M217" s="29"/>
      <c r="N217" s="29"/>
      <c r="O217" s="29"/>
      <c r="P217" s="29"/>
      <c r="Q217" s="24" t="str">
        <f aca="false">IF(N217&lt;&gt;"",UPPER(TRIM(N217)),IF(P217&lt;&gt;"",UPPER(TRIM(P217)),""))</f>
        <v/>
      </c>
      <c r="R217" s="24" t="str">
        <f aca="false">IF(B217="","",IF(N217&lt;&gt;"","UTM tracked",IF(P217&lt;&gt;"","Manual / self-reported",IF(O217&lt;&gt;"","Self-reported channel only","Unattributed"))))</f>
        <v/>
      </c>
      <c r="S217" s="24" t="str">
        <f aca="false">IF(Q217="","",IFERROR(INDEX('Post Tracker'!$G$5:$G$1004,MATCH(Q217,'Post Tracker'!$A$5:$A$1004,0)),"ID NOT FOUND"))</f>
        <v/>
      </c>
      <c r="T217" s="24" t="str">
        <f aca="false">IF(Q217="","",IFERROR(INDEX('Post Tracker'!$K$5:$K$1004,MATCH(Q217,'Post Tracker'!$A$5:$A$1004,0))&amp;"",""))</f>
        <v/>
      </c>
      <c r="U217" s="33" t="str">
        <f aca="false">IF(OR(Q217="",B217=""),"",IFERROR(B217-INDEX('Post Tracker'!$B$5:$B$1004,MATCH(Q217,'Post Tracker'!$A$5:$A$1004,0)),""))</f>
        <v/>
      </c>
      <c r="V217" s="39"/>
      <c r="W217" s="29"/>
      <c r="X217" s="29"/>
      <c r="Y217" s="29"/>
      <c r="Z217" s="30"/>
      <c r="AA217" s="29"/>
      <c r="AB217" s="29"/>
    </row>
    <row r="218" customFormat="false" ht="15" hidden="false" customHeight="false" outlineLevel="0" collapsed="false">
      <c r="A218" s="41" t="str">
        <f aca="false">IF(B218="","",ROW()-4)</f>
        <v/>
      </c>
      <c r="B218" s="39"/>
      <c r="C218" s="29"/>
      <c r="D218" s="29"/>
      <c r="E218" s="29"/>
      <c r="F218" s="29"/>
      <c r="G218" s="29"/>
      <c r="H218" s="32"/>
      <c r="I218" s="29"/>
      <c r="J218" s="29"/>
      <c r="K218" s="29"/>
      <c r="L218" s="29"/>
      <c r="M218" s="29"/>
      <c r="N218" s="29"/>
      <c r="O218" s="29"/>
      <c r="P218" s="29"/>
      <c r="Q218" s="24" t="str">
        <f aca="false">IF(N218&lt;&gt;"",UPPER(TRIM(N218)),IF(P218&lt;&gt;"",UPPER(TRIM(P218)),""))</f>
        <v/>
      </c>
      <c r="R218" s="24" t="str">
        <f aca="false">IF(B218="","",IF(N218&lt;&gt;"","UTM tracked",IF(P218&lt;&gt;"","Manual / self-reported",IF(O218&lt;&gt;"","Self-reported channel only","Unattributed"))))</f>
        <v/>
      </c>
      <c r="S218" s="24" t="str">
        <f aca="false">IF(Q218="","",IFERROR(INDEX('Post Tracker'!$G$5:$G$1004,MATCH(Q218,'Post Tracker'!$A$5:$A$1004,0)),"ID NOT FOUND"))</f>
        <v/>
      </c>
      <c r="T218" s="24" t="str">
        <f aca="false">IF(Q218="","",IFERROR(INDEX('Post Tracker'!$K$5:$K$1004,MATCH(Q218,'Post Tracker'!$A$5:$A$1004,0))&amp;"",""))</f>
        <v/>
      </c>
      <c r="U218" s="33" t="str">
        <f aca="false">IF(OR(Q218="",B218=""),"",IFERROR(B218-INDEX('Post Tracker'!$B$5:$B$1004,MATCH(Q218,'Post Tracker'!$A$5:$A$1004,0)),""))</f>
        <v/>
      </c>
      <c r="V218" s="39"/>
      <c r="W218" s="29"/>
      <c r="X218" s="29"/>
      <c r="Y218" s="29"/>
      <c r="Z218" s="30"/>
      <c r="AA218" s="29"/>
      <c r="AB218" s="29"/>
    </row>
    <row r="219" customFormat="false" ht="15" hidden="false" customHeight="false" outlineLevel="0" collapsed="false">
      <c r="A219" s="41" t="str">
        <f aca="false">IF(B219="","",ROW()-4)</f>
        <v/>
      </c>
      <c r="B219" s="39"/>
      <c r="C219" s="29"/>
      <c r="D219" s="29"/>
      <c r="E219" s="29"/>
      <c r="F219" s="29"/>
      <c r="G219" s="29"/>
      <c r="H219" s="32"/>
      <c r="I219" s="29"/>
      <c r="J219" s="29"/>
      <c r="K219" s="29"/>
      <c r="L219" s="29"/>
      <c r="M219" s="29"/>
      <c r="N219" s="29"/>
      <c r="O219" s="29"/>
      <c r="P219" s="29"/>
      <c r="Q219" s="24" t="str">
        <f aca="false">IF(N219&lt;&gt;"",UPPER(TRIM(N219)),IF(P219&lt;&gt;"",UPPER(TRIM(P219)),""))</f>
        <v/>
      </c>
      <c r="R219" s="24" t="str">
        <f aca="false">IF(B219="","",IF(N219&lt;&gt;"","UTM tracked",IF(P219&lt;&gt;"","Manual / self-reported",IF(O219&lt;&gt;"","Self-reported channel only","Unattributed"))))</f>
        <v/>
      </c>
      <c r="S219" s="24" t="str">
        <f aca="false">IF(Q219="","",IFERROR(INDEX('Post Tracker'!$G$5:$G$1004,MATCH(Q219,'Post Tracker'!$A$5:$A$1004,0)),"ID NOT FOUND"))</f>
        <v/>
      </c>
      <c r="T219" s="24" t="str">
        <f aca="false">IF(Q219="","",IFERROR(INDEX('Post Tracker'!$K$5:$K$1004,MATCH(Q219,'Post Tracker'!$A$5:$A$1004,0))&amp;"",""))</f>
        <v/>
      </c>
      <c r="U219" s="33" t="str">
        <f aca="false">IF(OR(Q219="",B219=""),"",IFERROR(B219-INDEX('Post Tracker'!$B$5:$B$1004,MATCH(Q219,'Post Tracker'!$A$5:$A$1004,0)),""))</f>
        <v/>
      </c>
      <c r="V219" s="39"/>
      <c r="W219" s="29"/>
      <c r="X219" s="29"/>
      <c r="Y219" s="29"/>
      <c r="Z219" s="30"/>
      <c r="AA219" s="29"/>
      <c r="AB219" s="29"/>
    </row>
    <row r="220" customFormat="false" ht="15" hidden="false" customHeight="false" outlineLevel="0" collapsed="false">
      <c r="A220" s="41" t="str">
        <f aca="false">IF(B220="","",ROW()-4)</f>
        <v/>
      </c>
      <c r="B220" s="39"/>
      <c r="C220" s="29"/>
      <c r="D220" s="29"/>
      <c r="E220" s="29"/>
      <c r="F220" s="29"/>
      <c r="G220" s="29"/>
      <c r="H220" s="32"/>
      <c r="I220" s="29"/>
      <c r="J220" s="29"/>
      <c r="K220" s="29"/>
      <c r="L220" s="29"/>
      <c r="M220" s="29"/>
      <c r="N220" s="29"/>
      <c r="O220" s="29"/>
      <c r="P220" s="29"/>
      <c r="Q220" s="24" t="str">
        <f aca="false">IF(N220&lt;&gt;"",UPPER(TRIM(N220)),IF(P220&lt;&gt;"",UPPER(TRIM(P220)),""))</f>
        <v/>
      </c>
      <c r="R220" s="24" t="str">
        <f aca="false">IF(B220="","",IF(N220&lt;&gt;"","UTM tracked",IF(P220&lt;&gt;"","Manual / self-reported",IF(O220&lt;&gt;"","Self-reported channel only","Unattributed"))))</f>
        <v/>
      </c>
      <c r="S220" s="24" t="str">
        <f aca="false">IF(Q220="","",IFERROR(INDEX('Post Tracker'!$G$5:$G$1004,MATCH(Q220,'Post Tracker'!$A$5:$A$1004,0)),"ID NOT FOUND"))</f>
        <v/>
      </c>
      <c r="T220" s="24" t="str">
        <f aca="false">IF(Q220="","",IFERROR(INDEX('Post Tracker'!$K$5:$K$1004,MATCH(Q220,'Post Tracker'!$A$5:$A$1004,0))&amp;"",""))</f>
        <v/>
      </c>
      <c r="U220" s="33" t="str">
        <f aca="false">IF(OR(Q220="",B220=""),"",IFERROR(B220-INDEX('Post Tracker'!$B$5:$B$1004,MATCH(Q220,'Post Tracker'!$A$5:$A$1004,0)),""))</f>
        <v/>
      </c>
      <c r="V220" s="39"/>
      <c r="W220" s="29"/>
      <c r="X220" s="29"/>
      <c r="Y220" s="29"/>
      <c r="Z220" s="30"/>
      <c r="AA220" s="29"/>
      <c r="AB220" s="29"/>
    </row>
    <row r="221" customFormat="false" ht="15" hidden="false" customHeight="false" outlineLevel="0" collapsed="false">
      <c r="A221" s="41" t="str">
        <f aca="false">IF(B221="","",ROW()-4)</f>
        <v/>
      </c>
      <c r="B221" s="39"/>
      <c r="C221" s="29"/>
      <c r="D221" s="29"/>
      <c r="E221" s="29"/>
      <c r="F221" s="29"/>
      <c r="G221" s="29"/>
      <c r="H221" s="32"/>
      <c r="I221" s="29"/>
      <c r="J221" s="29"/>
      <c r="K221" s="29"/>
      <c r="L221" s="29"/>
      <c r="M221" s="29"/>
      <c r="N221" s="29"/>
      <c r="O221" s="29"/>
      <c r="P221" s="29"/>
      <c r="Q221" s="24" t="str">
        <f aca="false">IF(N221&lt;&gt;"",UPPER(TRIM(N221)),IF(P221&lt;&gt;"",UPPER(TRIM(P221)),""))</f>
        <v/>
      </c>
      <c r="R221" s="24" t="str">
        <f aca="false">IF(B221="","",IF(N221&lt;&gt;"","UTM tracked",IF(P221&lt;&gt;"","Manual / self-reported",IF(O221&lt;&gt;"","Self-reported channel only","Unattributed"))))</f>
        <v/>
      </c>
      <c r="S221" s="24" t="str">
        <f aca="false">IF(Q221="","",IFERROR(INDEX('Post Tracker'!$G$5:$G$1004,MATCH(Q221,'Post Tracker'!$A$5:$A$1004,0)),"ID NOT FOUND"))</f>
        <v/>
      </c>
      <c r="T221" s="24" t="str">
        <f aca="false">IF(Q221="","",IFERROR(INDEX('Post Tracker'!$K$5:$K$1004,MATCH(Q221,'Post Tracker'!$A$5:$A$1004,0))&amp;"",""))</f>
        <v/>
      </c>
      <c r="U221" s="33" t="str">
        <f aca="false">IF(OR(Q221="",B221=""),"",IFERROR(B221-INDEX('Post Tracker'!$B$5:$B$1004,MATCH(Q221,'Post Tracker'!$A$5:$A$1004,0)),""))</f>
        <v/>
      </c>
      <c r="V221" s="39"/>
      <c r="W221" s="29"/>
      <c r="X221" s="29"/>
      <c r="Y221" s="29"/>
      <c r="Z221" s="30"/>
      <c r="AA221" s="29"/>
      <c r="AB221" s="29"/>
    </row>
    <row r="222" customFormat="false" ht="15" hidden="false" customHeight="false" outlineLevel="0" collapsed="false">
      <c r="A222" s="41" t="str">
        <f aca="false">IF(B222="","",ROW()-4)</f>
        <v/>
      </c>
      <c r="B222" s="39"/>
      <c r="C222" s="29"/>
      <c r="D222" s="29"/>
      <c r="E222" s="29"/>
      <c r="F222" s="29"/>
      <c r="G222" s="29"/>
      <c r="H222" s="32"/>
      <c r="I222" s="29"/>
      <c r="J222" s="29"/>
      <c r="K222" s="29"/>
      <c r="L222" s="29"/>
      <c r="M222" s="29"/>
      <c r="N222" s="29"/>
      <c r="O222" s="29"/>
      <c r="P222" s="29"/>
      <c r="Q222" s="24" t="str">
        <f aca="false">IF(N222&lt;&gt;"",UPPER(TRIM(N222)),IF(P222&lt;&gt;"",UPPER(TRIM(P222)),""))</f>
        <v/>
      </c>
      <c r="R222" s="24" t="str">
        <f aca="false">IF(B222="","",IF(N222&lt;&gt;"","UTM tracked",IF(P222&lt;&gt;"","Manual / self-reported",IF(O222&lt;&gt;"","Self-reported channel only","Unattributed"))))</f>
        <v/>
      </c>
      <c r="S222" s="24" t="str">
        <f aca="false">IF(Q222="","",IFERROR(INDEX('Post Tracker'!$G$5:$G$1004,MATCH(Q222,'Post Tracker'!$A$5:$A$1004,0)),"ID NOT FOUND"))</f>
        <v/>
      </c>
      <c r="T222" s="24" t="str">
        <f aca="false">IF(Q222="","",IFERROR(INDEX('Post Tracker'!$K$5:$K$1004,MATCH(Q222,'Post Tracker'!$A$5:$A$1004,0))&amp;"",""))</f>
        <v/>
      </c>
      <c r="U222" s="33" t="str">
        <f aca="false">IF(OR(Q222="",B222=""),"",IFERROR(B222-INDEX('Post Tracker'!$B$5:$B$1004,MATCH(Q222,'Post Tracker'!$A$5:$A$1004,0)),""))</f>
        <v/>
      </c>
      <c r="V222" s="39"/>
      <c r="W222" s="29"/>
      <c r="X222" s="29"/>
      <c r="Y222" s="29"/>
      <c r="Z222" s="30"/>
      <c r="AA222" s="29"/>
      <c r="AB222" s="29"/>
    </row>
    <row r="223" customFormat="false" ht="15" hidden="false" customHeight="false" outlineLevel="0" collapsed="false">
      <c r="A223" s="41" t="str">
        <f aca="false">IF(B223="","",ROW()-4)</f>
        <v/>
      </c>
      <c r="B223" s="39"/>
      <c r="C223" s="29"/>
      <c r="D223" s="29"/>
      <c r="E223" s="29"/>
      <c r="F223" s="29"/>
      <c r="G223" s="29"/>
      <c r="H223" s="32"/>
      <c r="I223" s="29"/>
      <c r="J223" s="29"/>
      <c r="K223" s="29"/>
      <c r="L223" s="29"/>
      <c r="M223" s="29"/>
      <c r="N223" s="29"/>
      <c r="O223" s="29"/>
      <c r="P223" s="29"/>
      <c r="Q223" s="24" t="str">
        <f aca="false">IF(N223&lt;&gt;"",UPPER(TRIM(N223)),IF(P223&lt;&gt;"",UPPER(TRIM(P223)),""))</f>
        <v/>
      </c>
      <c r="R223" s="24" t="str">
        <f aca="false">IF(B223="","",IF(N223&lt;&gt;"","UTM tracked",IF(P223&lt;&gt;"","Manual / self-reported",IF(O223&lt;&gt;"","Self-reported channel only","Unattributed"))))</f>
        <v/>
      </c>
      <c r="S223" s="24" t="str">
        <f aca="false">IF(Q223="","",IFERROR(INDEX('Post Tracker'!$G$5:$G$1004,MATCH(Q223,'Post Tracker'!$A$5:$A$1004,0)),"ID NOT FOUND"))</f>
        <v/>
      </c>
      <c r="T223" s="24" t="str">
        <f aca="false">IF(Q223="","",IFERROR(INDEX('Post Tracker'!$K$5:$K$1004,MATCH(Q223,'Post Tracker'!$A$5:$A$1004,0))&amp;"",""))</f>
        <v/>
      </c>
      <c r="U223" s="33" t="str">
        <f aca="false">IF(OR(Q223="",B223=""),"",IFERROR(B223-INDEX('Post Tracker'!$B$5:$B$1004,MATCH(Q223,'Post Tracker'!$A$5:$A$1004,0)),""))</f>
        <v/>
      </c>
      <c r="V223" s="39"/>
      <c r="W223" s="29"/>
      <c r="X223" s="29"/>
      <c r="Y223" s="29"/>
      <c r="Z223" s="30"/>
      <c r="AA223" s="29"/>
      <c r="AB223" s="29"/>
    </row>
    <row r="224" customFormat="false" ht="15" hidden="false" customHeight="false" outlineLevel="0" collapsed="false">
      <c r="A224" s="41" t="str">
        <f aca="false">IF(B224="","",ROW()-4)</f>
        <v/>
      </c>
      <c r="B224" s="39"/>
      <c r="C224" s="29"/>
      <c r="D224" s="29"/>
      <c r="E224" s="29"/>
      <c r="F224" s="29"/>
      <c r="G224" s="29"/>
      <c r="H224" s="32"/>
      <c r="I224" s="29"/>
      <c r="J224" s="29"/>
      <c r="K224" s="29"/>
      <c r="L224" s="29"/>
      <c r="M224" s="29"/>
      <c r="N224" s="29"/>
      <c r="O224" s="29"/>
      <c r="P224" s="29"/>
      <c r="Q224" s="24" t="str">
        <f aca="false">IF(N224&lt;&gt;"",UPPER(TRIM(N224)),IF(P224&lt;&gt;"",UPPER(TRIM(P224)),""))</f>
        <v/>
      </c>
      <c r="R224" s="24" t="str">
        <f aca="false">IF(B224="","",IF(N224&lt;&gt;"","UTM tracked",IF(P224&lt;&gt;"","Manual / self-reported",IF(O224&lt;&gt;"","Self-reported channel only","Unattributed"))))</f>
        <v/>
      </c>
      <c r="S224" s="24" t="str">
        <f aca="false">IF(Q224="","",IFERROR(INDEX('Post Tracker'!$G$5:$G$1004,MATCH(Q224,'Post Tracker'!$A$5:$A$1004,0)),"ID NOT FOUND"))</f>
        <v/>
      </c>
      <c r="T224" s="24" t="str">
        <f aca="false">IF(Q224="","",IFERROR(INDEX('Post Tracker'!$K$5:$K$1004,MATCH(Q224,'Post Tracker'!$A$5:$A$1004,0))&amp;"",""))</f>
        <v/>
      </c>
      <c r="U224" s="33" t="str">
        <f aca="false">IF(OR(Q224="",B224=""),"",IFERROR(B224-INDEX('Post Tracker'!$B$5:$B$1004,MATCH(Q224,'Post Tracker'!$A$5:$A$1004,0)),""))</f>
        <v/>
      </c>
      <c r="V224" s="39"/>
      <c r="W224" s="29"/>
      <c r="X224" s="29"/>
      <c r="Y224" s="29"/>
      <c r="Z224" s="30"/>
      <c r="AA224" s="29"/>
      <c r="AB224" s="29"/>
    </row>
    <row r="225" customFormat="false" ht="15" hidden="false" customHeight="false" outlineLevel="0" collapsed="false">
      <c r="A225" s="41" t="str">
        <f aca="false">IF(B225="","",ROW()-4)</f>
        <v/>
      </c>
      <c r="B225" s="39"/>
      <c r="C225" s="29"/>
      <c r="D225" s="29"/>
      <c r="E225" s="29"/>
      <c r="F225" s="29"/>
      <c r="G225" s="29"/>
      <c r="H225" s="32"/>
      <c r="I225" s="29"/>
      <c r="J225" s="29"/>
      <c r="K225" s="29"/>
      <c r="L225" s="29"/>
      <c r="M225" s="29"/>
      <c r="N225" s="29"/>
      <c r="O225" s="29"/>
      <c r="P225" s="29"/>
      <c r="Q225" s="24" t="str">
        <f aca="false">IF(N225&lt;&gt;"",UPPER(TRIM(N225)),IF(P225&lt;&gt;"",UPPER(TRIM(P225)),""))</f>
        <v/>
      </c>
      <c r="R225" s="24" t="str">
        <f aca="false">IF(B225="","",IF(N225&lt;&gt;"","UTM tracked",IF(P225&lt;&gt;"","Manual / self-reported",IF(O225&lt;&gt;"","Self-reported channel only","Unattributed"))))</f>
        <v/>
      </c>
      <c r="S225" s="24" t="str">
        <f aca="false">IF(Q225="","",IFERROR(INDEX('Post Tracker'!$G$5:$G$1004,MATCH(Q225,'Post Tracker'!$A$5:$A$1004,0)),"ID NOT FOUND"))</f>
        <v/>
      </c>
      <c r="T225" s="24" t="str">
        <f aca="false">IF(Q225="","",IFERROR(INDEX('Post Tracker'!$K$5:$K$1004,MATCH(Q225,'Post Tracker'!$A$5:$A$1004,0))&amp;"",""))</f>
        <v/>
      </c>
      <c r="U225" s="33" t="str">
        <f aca="false">IF(OR(Q225="",B225=""),"",IFERROR(B225-INDEX('Post Tracker'!$B$5:$B$1004,MATCH(Q225,'Post Tracker'!$A$5:$A$1004,0)),""))</f>
        <v/>
      </c>
      <c r="V225" s="39"/>
      <c r="W225" s="29"/>
      <c r="X225" s="29"/>
      <c r="Y225" s="29"/>
      <c r="Z225" s="30"/>
      <c r="AA225" s="29"/>
      <c r="AB225" s="29"/>
    </row>
    <row r="226" customFormat="false" ht="15" hidden="false" customHeight="false" outlineLevel="0" collapsed="false">
      <c r="A226" s="41" t="str">
        <f aca="false">IF(B226="","",ROW()-4)</f>
        <v/>
      </c>
      <c r="B226" s="39"/>
      <c r="C226" s="29"/>
      <c r="D226" s="29"/>
      <c r="E226" s="29"/>
      <c r="F226" s="29"/>
      <c r="G226" s="29"/>
      <c r="H226" s="32"/>
      <c r="I226" s="29"/>
      <c r="J226" s="29"/>
      <c r="K226" s="29"/>
      <c r="L226" s="29"/>
      <c r="M226" s="29"/>
      <c r="N226" s="29"/>
      <c r="O226" s="29"/>
      <c r="P226" s="29"/>
      <c r="Q226" s="24" t="str">
        <f aca="false">IF(N226&lt;&gt;"",UPPER(TRIM(N226)),IF(P226&lt;&gt;"",UPPER(TRIM(P226)),""))</f>
        <v/>
      </c>
      <c r="R226" s="24" t="str">
        <f aca="false">IF(B226="","",IF(N226&lt;&gt;"","UTM tracked",IF(P226&lt;&gt;"","Manual / self-reported",IF(O226&lt;&gt;"","Self-reported channel only","Unattributed"))))</f>
        <v/>
      </c>
      <c r="S226" s="24" t="str">
        <f aca="false">IF(Q226="","",IFERROR(INDEX('Post Tracker'!$G$5:$G$1004,MATCH(Q226,'Post Tracker'!$A$5:$A$1004,0)),"ID NOT FOUND"))</f>
        <v/>
      </c>
      <c r="T226" s="24" t="str">
        <f aca="false">IF(Q226="","",IFERROR(INDEX('Post Tracker'!$K$5:$K$1004,MATCH(Q226,'Post Tracker'!$A$5:$A$1004,0))&amp;"",""))</f>
        <v/>
      </c>
      <c r="U226" s="33" t="str">
        <f aca="false">IF(OR(Q226="",B226=""),"",IFERROR(B226-INDEX('Post Tracker'!$B$5:$B$1004,MATCH(Q226,'Post Tracker'!$A$5:$A$1004,0)),""))</f>
        <v/>
      </c>
      <c r="V226" s="39"/>
      <c r="W226" s="29"/>
      <c r="X226" s="29"/>
      <c r="Y226" s="29"/>
      <c r="Z226" s="30"/>
      <c r="AA226" s="29"/>
      <c r="AB226" s="29"/>
    </row>
    <row r="227" customFormat="false" ht="15" hidden="false" customHeight="false" outlineLevel="0" collapsed="false">
      <c r="A227" s="41" t="str">
        <f aca="false">IF(B227="","",ROW()-4)</f>
        <v/>
      </c>
      <c r="B227" s="39"/>
      <c r="C227" s="29"/>
      <c r="D227" s="29"/>
      <c r="E227" s="29"/>
      <c r="F227" s="29"/>
      <c r="G227" s="29"/>
      <c r="H227" s="32"/>
      <c r="I227" s="29"/>
      <c r="J227" s="29"/>
      <c r="K227" s="29"/>
      <c r="L227" s="29"/>
      <c r="M227" s="29"/>
      <c r="N227" s="29"/>
      <c r="O227" s="29"/>
      <c r="P227" s="29"/>
      <c r="Q227" s="24" t="str">
        <f aca="false">IF(N227&lt;&gt;"",UPPER(TRIM(N227)),IF(P227&lt;&gt;"",UPPER(TRIM(P227)),""))</f>
        <v/>
      </c>
      <c r="R227" s="24" t="str">
        <f aca="false">IF(B227="","",IF(N227&lt;&gt;"","UTM tracked",IF(P227&lt;&gt;"","Manual / self-reported",IF(O227&lt;&gt;"","Self-reported channel only","Unattributed"))))</f>
        <v/>
      </c>
      <c r="S227" s="24" t="str">
        <f aca="false">IF(Q227="","",IFERROR(INDEX('Post Tracker'!$G$5:$G$1004,MATCH(Q227,'Post Tracker'!$A$5:$A$1004,0)),"ID NOT FOUND"))</f>
        <v/>
      </c>
      <c r="T227" s="24" t="str">
        <f aca="false">IF(Q227="","",IFERROR(INDEX('Post Tracker'!$K$5:$K$1004,MATCH(Q227,'Post Tracker'!$A$5:$A$1004,0))&amp;"",""))</f>
        <v/>
      </c>
      <c r="U227" s="33" t="str">
        <f aca="false">IF(OR(Q227="",B227=""),"",IFERROR(B227-INDEX('Post Tracker'!$B$5:$B$1004,MATCH(Q227,'Post Tracker'!$A$5:$A$1004,0)),""))</f>
        <v/>
      </c>
      <c r="V227" s="39"/>
      <c r="W227" s="29"/>
      <c r="X227" s="29"/>
      <c r="Y227" s="29"/>
      <c r="Z227" s="30"/>
      <c r="AA227" s="29"/>
      <c r="AB227" s="29"/>
    </row>
    <row r="228" customFormat="false" ht="15" hidden="false" customHeight="false" outlineLevel="0" collapsed="false">
      <c r="A228" s="41" t="str">
        <f aca="false">IF(B228="","",ROW()-4)</f>
        <v/>
      </c>
      <c r="B228" s="39"/>
      <c r="C228" s="29"/>
      <c r="D228" s="29"/>
      <c r="E228" s="29"/>
      <c r="F228" s="29"/>
      <c r="G228" s="29"/>
      <c r="H228" s="32"/>
      <c r="I228" s="29"/>
      <c r="J228" s="29"/>
      <c r="K228" s="29"/>
      <c r="L228" s="29"/>
      <c r="M228" s="29"/>
      <c r="N228" s="29"/>
      <c r="O228" s="29"/>
      <c r="P228" s="29"/>
      <c r="Q228" s="24" t="str">
        <f aca="false">IF(N228&lt;&gt;"",UPPER(TRIM(N228)),IF(P228&lt;&gt;"",UPPER(TRIM(P228)),""))</f>
        <v/>
      </c>
      <c r="R228" s="24" t="str">
        <f aca="false">IF(B228="","",IF(N228&lt;&gt;"","UTM tracked",IF(P228&lt;&gt;"","Manual / self-reported",IF(O228&lt;&gt;"","Self-reported channel only","Unattributed"))))</f>
        <v/>
      </c>
      <c r="S228" s="24" t="str">
        <f aca="false">IF(Q228="","",IFERROR(INDEX('Post Tracker'!$G$5:$G$1004,MATCH(Q228,'Post Tracker'!$A$5:$A$1004,0)),"ID NOT FOUND"))</f>
        <v/>
      </c>
      <c r="T228" s="24" t="str">
        <f aca="false">IF(Q228="","",IFERROR(INDEX('Post Tracker'!$K$5:$K$1004,MATCH(Q228,'Post Tracker'!$A$5:$A$1004,0))&amp;"",""))</f>
        <v/>
      </c>
      <c r="U228" s="33" t="str">
        <f aca="false">IF(OR(Q228="",B228=""),"",IFERROR(B228-INDEX('Post Tracker'!$B$5:$B$1004,MATCH(Q228,'Post Tracker'!$A$5:$A$1004,0)),""))</f>
        <v/>
      </c>
      <c r="V228" s="39"/>
      <c r="W228" s="29"/>
      <c r="X228" s="29"/>
      <c r="Y228" s="29"/>
      <c r="Z228" s="30"/>
      <c r="AA228" s="29"/>
      <c r="AB228" s="29"/>
    </row>
    <row r="229" customFormat="false" ht="15" hidden="false" customHeight="false" outlineLevel="0" collapsed="false">
      <c r="A229" s="41" t="str">
        <f aca="false">IF(B229="","",ROW()-4)</f>
        <v/>
      </c>
      <c r="B229" s="39"/>
      <c r="C229" s="29"/>
      <c r="D229" s="29"/>
      <c r="E229" s="29"/>
      <c r="F229" s="29"/>
      <c r="G229" s="29"/>
      <c r="H229" s="32"/>
      <c r="I229" s="29"/>
      <c r="J229" s="29"/>
      <c r="K229" s="29"/>
      <c r="L229" s="29"/>
      <c r="M229" s="29"/>
      <c r="N229" s="29"/>
      <c r="O229" s="29"/>
      <c r="P229" s="29"/>
      <c r="Q229" s="24" t="str">
        <f aca="false">IF(N229&lt;&gt;"",UPPER(TRIM(N229)),IF(P229&lt;&gt;"",UPPER(TRIM(P229)),""))</f>
        <v/>
      </c>
      <c r="R229" s="24" t="str">
        <f aca="false">IF(B229="","",IF(N229&lt;&gt;"","UTM tracked",IF(P229&lt;&gt;"","Manual / self-reported",IF(O229&lt;&gt;"","Self-reported channel only","Unattributed"))))</f>
        <v/>
      </c>
      <c r="S229" s="24" t="str">
        <f aca="false">IF(Q229="","",IFERROR(INDEX('Post Tracker'!$G$5:$G$1004,MATCH(Q229,'Post Tracker'!$A$5:$A$1004,0)),"ID NOT FOUND"))</f>
        <v/>
      </c>
      <c r="T229" s="24" t="str">
        <f aca="false">IF(Q229="","",IFERROR(INDEX('Post Tracker'!$K$5:$K$1004,MATCH(Q229,'Post Tracker'!$A$5:$A$1004,0))&amp;"",""))</f>
        <v/>
      </c>
      <c r="U229" s="33" t="str">
        <f aca="false">IF(OR(Q229="",B229=""),"",IFERROR(B229-INDEX('Post Tracker'!$B$5:$B$1004,MATCH(Q229,'Post Tracker'!$A$5:$A$1004,0)),""))</f>
        <v/>
      </c>
      <c r="V229" s="39"/>
      <c r="W229" s="29"/>
      <c r="X229" s="29"/>
      <c r="Y229" s="29"/>
      <c r="Z229" s="30"/>
      <c r="AA229" s="29"/>
      <c r="AB229" s="29"/>
    </row>
    <row r="230" customFormat="false" ht="15" hidden="false" customHeight="false" outlineLevel="0" collapsed="false">
      <c r="A230" s="41" t="str">
        <f aca="false">IF(B230="","",ROW()-4)</f>
        <v/>
      </c>
      <c r="B230" s="39"/>
      <c r="C230" s="29"/>
      <c r="D230" s="29"/>
      <c r="E230" s="29"/>
      <c r="F230" s="29"/>
      <c r="G230" s="29"/>
      <c r="H230" s="32"/>
      <c r="I230" s="29"/>
      <c r="J230" s="29"/>
      <c r="K230" s="29"/>
      <c r="L230" s="29"/>
      <c r="M230" s="29"/>
      <c r="N230" s="29"/>
      <c r="O230" s="29"/>
      <c r="P230" s="29"/>
      <c r="Q230" s="24" t="str">
        <f aca="false">IF(N230&lt;&gt;"",UPPER(TRIM(N230)),IF(P230&lt;&gt;"",UPPER(TRIM(P230)),""))</f>
        <v/>
      </c>
      <c r="R230" s="24" t="str">
        <f aca="false">IF(B230="","",IF(N230&lt;&gt;"","UTM tracked",IF(P230&lt;&gt;"","Manual / self-reported",IF(O230&lt;&gt;"","Self-reported channel only","Unattributed"))))</f>
        <v/>
      </c>
      <c r="S230" s="24" t="str">
        <f aca="false">IF(Q230="","",IFERROR(INDEX('Post Tracker'!$G$5:$G$1004,MATCH(Q230,'Post Tracker'!$A$5:$A$1004,0)),"ID NOT FOUND"))</f>
        <v/>
      </c>
      <c r="T230" s="24" t="str">
        <f aca="false">IF(Q230="","",IFERROR(INDEX('Post Tracker'!$K$5:$K$1004,MATCH(Q230,'Post Tracker'!$A$5:$A$1004,0))&amp;"",""))</f>
        <v/>
      </c>
      <c r="U230" s="33" t="str">
        <f aca="false">IF(OR(Q230="",B230=""),"",IFERROR(B230-INDEX('Post Tracker'!$B$5:$B$1004,MATCH(Q230,'Post Tracker'!$A$5:$A$1004,0)),""))</f>
        <v/>
      </c>
      <c r="V230" s="39"/>
      <c r="W230" s="29"/>
      <c r="X230" s="29"/>
      <c r="Y230" s="29"/>
      <c r="Z230" s="30"/>
      <c r="AA230" s="29"/>
      <c r="AB230" s="29"/>
    </row>
    <row r="231" customFormat="false" ht="15" hidden="false" customHeight="false" outlineLevel="0" collapsed="false">
      <c r="A231" s="41" t="str">
        <f aca="false">IF(B231="","",ROW()-4)</f>
        <v/>
      </c>
      <c r="B231" s="39"/>
      <c r="C231" s="29"/>
      <c r="D231" s="29"/>
      <c r="E231" s="29"/>
      <c r="F231" s="29"/>
      <c r="G231" s="29"/>
      <c r="H231" s="32"/>
      <c r="I231" s="29"/>
      <c r="J231" s="29"/>
      <c r="K231" s="29"/>
      <c r="L231" s="29"/>
      <c r="M231" s="29"/>
      <c r="N231" s="29"/>
      <c r="O231" s="29"/>
      <c r="P231" s="29"/>
      <c r="Q231" s="24" t="str">
        <f aca="false">IF(N231&lt;&gt;"",UPPER(TRIM(N231)),IF(P231&lt;&gt;"",UPPER(TRIM(P231)),""))</f>
        <v/>
      </c>
      <c r="R231" s="24" t="str">
        <f aca="false">IF(B231="","",IF(N231&lt;&gt;"","UTM tracked",IF(P231&lt;&gt;"","Manual / self-reported",IF(O231&lt;&gt;"","Self-reported channel only","Unattributed"))))</f>
        <v/>
      </c>
      <c r="S231" s="24" t="str">
        <f aca="false">IF(Q231="","",IFERROR(INDEX('Post Tracker'!$G$5:$G$1004,MATCH(Q231,'Post Tracker'!$A$5:$A$1004,0)),"ID NOT FOUND"))</f>
        <v/>
      </c>
      <c r="T231" s="24" t="str">
        <f aca="false">IF(Q231="","",IFERROR(INDEX('Post Tracker'!$K$5:$K$1004,MATCH(Q231,'Post Tracker'!$A$5:$A$1004,0))&amp;"",""))</f>
        <v/>
      </c>
      <c r="U231" s="33" t="str">
        <f aca="false">IF(OR(Q231="",B231=""),"",IFERROR(B231-INDEX('Post Tracker'!$B$5:$B$1004,MATCH(Q231,'Post Tracker'!$A$5:$A$1004,0)),""))</f>
        <v/>
      </c>
      <c r="V231" s="39"/>
      <c r="W231" s="29"/>
      <c r="X231" s="29"/>
      <c r="Y231" s="29"/>
      <c r="Z231" s="30"/>
      <c r="AA231" s="29"/>
      <c r="AB231" s="29"/>
    </row>
    <row r="232" customFormat="false" ht="15" hidden="false" customHeight="false" outlineLevel="0" collapsed="false">
      <c r="A232" s="41" t="str">
        <f aca="false">IF(B232="","",ROW()-4)</f>
        <v/>
      </c>
      <c r="B232" s="39"/>
      <c r="C232" s="29"/>
      <c r="D232" s="29"/>
      <c r="E232" s="29"/>
      <c r="F232" s="29"/>
      <c r="G232" s="29"/>
      <c r="H232" s="32"/>
      <c r="I232" s="29"/>
      <c r="J232" s="29"/>
      <c r="K232" s="29"/>
      <c r="L232" s="29"/>
      <c r="M232" s="29"/>
      <c r="N232" s="29"/>
      <c r="O232" s="29"/>
      <c r="P232" s="29"/>
      <c r="Q232" s="24" t="str">
        <f aca="false">IF(N232&lt;&gt;"",UPPER(TRIM(N232)),IF(P232&lt;&gt;"",UPPER(TRIM(P232)),""))</f>
        <v/>
      </c>
      <c r="R232" s="24" t="str">
        <f aca="false">IF(B232="","",IF(N232&lt;&gt;"","UTM tracked",IF(P232&lt;&gt;"","Manual / self-reported",IF(O232&lt;&gt;"","Self-reported channel only","Unattributed"))))</f>
        <v/>
      </c>
      <c r="S232" s="24" t="str">
        <f aca="false">IF(Q232="","",IFERROR(INDEX('Post Tracker'!$G$5:$G$1004,MATCH(Q232,'Post Tracker'!$A$5:$A$1004,0)),"ID NOT FOUND"))</f>
        <v/>
      </c>
      <c r="T232" s="24" t="str">
        <f aca="false">IF(Q232="","",IFERROR(INDEX('Post Tracker'!$K$5:$K$1004,MATCH(Q232,'Post Tracker'!$A$5:$A$1004,0))&amp;"",""))</f>
        <v/>
      </c>
      <c r="U232" s="33" t="str">
        <f aca="false">IF(OR(Q232="",B232=""),"",IFERROR(B232-INDEX('Post Tracker'!$B$5:$B$1004,MATCH(Q232,'Post Tracker'!$A$5:$A$1004,0)),""))</f>
        <v/>
      </c>
      <c r="V232" s="39"/>
      <c r="W232" s="29"/>
      <c r="X232" s="29"/>
      <c r="Y232" s="29"/>
      <c r="Z232" s="30"/>
      <c r="AA232" s="29"/>
      <c r="AB232" s="29"/>
    </row>
    <row r="233" customFormat="false" ht="15" hidden="false" customHeight="false" outlineLevel="0" collapsed="false">
      <c r="A233" s="41" t="str">
        <f aca="false">IF(B233="","",ROW()-4)</f>
        <v/>
      </c>
      <c r="B233" s="39"/>
      <c r="C233" s="29"/>
      <c r="D233" s="29"/>
      <c r="E233" s="29"/>
      <c r="F233" s="29"/>
      <c r="G233" s="29"/>
      <c r="H233" s="32"/>
      <c r="I233" s="29"/>
      <c r="J233" s="29"/>
      <c r="K233" s="29"/>
      <c r="L233" s="29"/>
      <c r="M233" s="29"/>
      <c r="N233" s="29"/>
      <c r="O233" s="29"/>
      <c r="P233" s="29"/>
      <c r="Q233" s="24" t="str">
        <f aca="false">IF(N233&lt;&gt;"",UPPER(TRIM(N233)),IF(P233&lt;&gt;"",UPPER(TRIM(P233)),""))</f>
        <v/>
      </c>
      <c r="R233" s="24" t="str">
        <f aca="false">IF(B233="","",IF(N233&lt;&gt;"","UTM tracked",IF(P233&lt;&gt;"","Manual / self-reported",IF(O233&lt;&gt;"","Self-reported channel only","Unattributed"))))</f>
        <v/>
      </c>
      <c r="S233" s="24" t="str">
        <f aca="false">IF(Q233="","",IFERROR(INDEX('Post Tracker'!$G$5:$G$1004,MATCH(Q233,'Post Tracker'!$A$5:$A$1004,0)),"ID NOT FOUND"))</f>
        <v/>
      </c>
      <c r="T233" s="24" t="str">
        <f aca="false">IF(Q233="","",IFERROR(INDEX('Post Tracker'!$K$5:$K$1004,MATCH(Q233,'Post Tracker'!$A$5:$A$1004,0))&amp;"",""))</f>
        <v/>
      </c>
      <c r="U233" s="33" t="str">
        <f aca="false">IF(OR(Q233="",B233=""),"",IFERROR(B233-INDEX('Post Tracker'!$B$5:$B$1004,MATCH(Q233,'Post Tracker'!$A$5:$A$1004,0)),""))</f>
        <v/>
      </c>
      <c r="V233" s="39"/>
      <c r="W233" s="29"/>
      <c r="X233" s="29"/>
      <c r="Y233" s="29"/>
      <c r="Z233" s="30"/>
      <c r="AA233" s="29"/>
      <c r="AB233" s="29"/>
    </row>
    <row r="234" customFormat="false" ht="15" hidden="false" customHeight="false" outlineLevel="0" collapsed="false">
      <c r="A234" s="41" t="str">
        <f aca="false">IF(B234="","",ROW()-4)</f>
        <v/>
      </c>
      <c r="B234" s="39"/>
      <c r="C234" s="29"/>
      <c r="D234" s="29"/>
      <c r="E234" s="29"/>
      <c r="F234" s="29"/>
      <c r="G234" s="29"/>
      <c r="H234" s="32"/>
      <c r="I234" s="29"/>
      <c r="J234" s="29"/>
      <c r="K234" s="29"/>
      <c r="L234" s="29"/>
      <c r="M234" s="29"/>
      <c r="N234" s="29"/>
      <c r="O234" s="29"/>
      <c r="P234" s="29"/>
      <c r="Q234" s="24" t="str">
        <f aca="false">IF(N234&lt;&gt;"",UPPER(TRIM(N234)),IF(P234&lt;&gt;"",UPPER(TRIM(P234)),""))</f>
        <v/>
      </c>
      <c r="R234" s="24" t="str">
        <f aca="false">IF(B234="","",IF(N234&lt;&gt;"","UTM tracked",IF(P234&lt;&gt;"","Manual / self-reported",IF(O234&lt;&gt;"","Self-reported channel only","Unattributed"))))</f>
        <v/>
      </c>
      <c r="S234" s="24" t="str">
        <f aca="false">IF(Q234="","",IFERROR(INDEX('Post Tracker'!$G$5:$G$1004,MATCH(Q234,'Post Tracker'!$A$5:$A$1004,0)),"ID NOT FOUND"))</f>
        <v/>
      </c>
      <c r="T234" s="24" t="str">
        <f aca="false">IF(Q234="","",IFERROR(INDEX('Post Tracker'!$K$5:$K$1004,MATCH(Q234,'Post Tracker'!$A$5:$A$1004,0))&amp;"",""))</f>
        <v/>
      </c>
      <c r="U234" s="33" t="str">
        <f aca="false">IF(OR(Q234="",B234=""),"",IFERROR(B234-INDEX('Post Tracker'!$B$5:$B$1004,MATCH(Q234,'Post Tracker'!$A$5:$A$1004,0)),""))</f>
        <v/>
      </c>
      <c r="V234" s="39"/>
      <c r="W234" s="29"/>
      <c r="X234" s="29"/>
      <c r="Y234" s="29"/>
      <c r="Z234" s="30"/>
      <c r="AA234" s="29"/>
      <c r="AB234" s="29"/>
    </row>
    <row r="235" customFormat="false" ht="15" hidden="false" customHeight="false" outlineLevel="0" collapsed="false">
      <c r="A235" s="41" t="str">
        <f aca="false">IF(B235="","",ROW()-4)</f>
        <v/>
      </c>
      <c r="B235" s="39"/>
      <c r="C235" s="29"/>
      <c r="D235" s="29"/>
      <c r="E235" s="29"/>
      <c r="F235" s="29"/>
      <c r="G235" s="29"/>
      <c r="H235" s="32"/>
      <c r="I235" s="29"/>
      <c r="J235" s="29"/>
      <c r="K235" s="29"/>
      <c r="L235" s="29"/>
      <c r="M235" s="29"/>
      <c r="N235" s="29"/>
      <c r="O235" s="29"/>
      <c r="P235" s="29"/>
      <c r="Q235" s="24" t="str">
        <f aca="false">IF(N235&lt;&gt;"",UPPER(TRIM(N235)),IF(P235&lt;&gt;"",UPPER(TRIM(P235)),""))</f>
        <v/>
      </c>
      <c r="R235" s="24" t="str">
        <f aca="false">IF(B235="","",IF(N235&lt;&gt;"","UTM tracked",IF(P235&lt;&gt;"","Manual / self-reported",IF(O235&lt;&gt;"","Self-reported channel only","Unattributed"))))</f>
        <v/>
      </c>
      <c r="S235" s="24" t="str">
        <f aca="false">IF(Q235="","",IFERROR(INDEX('Post Tracker'!$G$5:$G$1004,MATCH(Q235,'Post Tracker'!$A$5:$A$1004,0)),"ID NOT FOUND"))</f>
        <v/>
      </c>
      <c r="T235" s="24" t="str">
        <f aca="false">IF(Q235="","",IFERROR(INDEX('Post Tracker'!$K$5:$K$1004,MATCH(Q235,'Post Tracker'!$A$5:$A$1004,0))&amp;"",""))</f>
        <v/>
      </c>
      <c r="U235" s="33" t="str">
        <f aca="false">IF(OR(Q235="",B235=""),"",IFERROR(B235-INDEX('Post Tracker'!$B$5:$B$1004,MATCH(Q235,'Post Tracker'!$A$5:$A$1004,0)),""))</f>
        <v/>
      </c>
      <c r="V235" s="39"/>
      <c r="W235" s="29"/>
      <c r="X235" s="29"/>
      <c r="Y235" s="29"/>
      <c r="Z235" s="30"/>
      <c r="AA235" s="29"/>
      <c r="AB235" s="29"/>
    </row>
    <row r="236" customFormat="false" ht="15" hidden="false" customHeight="false" outlineLevel="0" collapsed="false">
      <c r="A236" s="41" t="str">
        <f aca="false">IF(B236="","",ROW()-4)</f>
        <v/>
      </c>
      <c r="B236" s="39"/>
      <c r="C236" s="29"/>
      <c r="D236" s="29"/>
      <c r="E236" s="29"/>
      <c r="F236" s="29"/>
      <c r="G236" s="29"/>
      <c r="H236" s="32"/>
      <c r="I236" s="29"/>
      <c r="J236" s="29"/>
      <c r="K236" s="29"/>
      <c r="L236" s="29"/>
      <c r="M236" s="29"/>
      <c r="N236" s="29"/>
      <c r="O236" s="29"/>
      <c r="P236" s="29"/>
      <c r="Q236" s="24" t="str">
        <f aca="false">IF(N236&lt;&gt;"",UPPER(TRIM(N236)),IF(P236&lt;&gt;"",UPPER(TRIM(P236)),""))</f>
        <v/>
      </c>
      <c r="R236" s="24" t="str">
        <f aca="false">IF(B236="","",IF(N236&lt;&gt;"","UTM tracked",IF(P236&lt;&gt;"","Manual / self-reported",IF(O236&lt;&gt;"","Self-reported channel only","Unattributed"))))</f>
        <v/>
      </c>
      <c r="S236" s="24" t="str">
        <f aca="false">IF(Q236="","",IFERROR(INDEX('Post Tracker'!$G$5:$G$1004,MATCH(Q236,'Post Tracker'!$A$5:$A$1004,0)),"ID NOT FOUND"))</f>
        <v/>
      </c>
      <c r="T236" s="24" t="str">
        <f aca="false">IF(Q236="","",IFERROR(INDEX('Post Tracker'!$K$5:$K$1004,MATCH(Q236,'Post Tracker'!$A$5:$A$1004,0))&amp;"",""))</f>
        <v/>
      </c>
      <c r="U236" s="33" t="str">
        <f aca="false">IF(OR(Q236="",B236=""),"",IFERROR(B236-INDEX('Post Tracker'!$B$5:$B$1004,MATCH(Q236,'Post Tracker'!$A$5:$A$1004,0)),""))</f>
        <v/>
      </c>
      <c r="V236" s="39"/>
      <c r="W236" s="29"/>
      <c r="X236" s="29"/>
      <c r="Y236" s="29"/>
      <c r="Z236" s="30"/>
      <c r="AA236" s="29"/>
      <c r="AB236" s="29"/>
    </row>
    <row r="237" customFormat="false" ht="15" hidden="false" customHeight="false" outlineLevel="0" collapsed="false">
      <c r="A237" s="41" t="str">
        <f aca="false">IF(B237="","",ROW()-4)</f>
        <v/>
      </c>
      <c r="B237" s="39"/>
      <c r="C237" s="29"/>
      <c r="D237" s="29"/>
      <c r="E237" s="29"/>
      <c r="F237" s="29"/>
      <c r="G237" s="29"/>
      <c r="H237" s="32"/>
      <c r="I237" s="29"/>
      <c r="J237" s="29"/>
      <c r="K237" s="29"/>
      <c r="L237" s="29"/>
      <c r="M237" s="29"/>
      <c r="N237" s="29"/>
      <c r="O237" s="29"/>
      <c r="P237" s="29"/>
      <c r="Q237" s="24" t="str">
        <f aca="false">IF(N237&lt;&gt;"",UPPER(TRIM(N237)),IF(P237&lt;&gt;"",UPPER(TRIM(P237)),""))</f>
        <v/>
      </c>
      <c r="R237" s="24" t="str">
        <f aca="false">IF(B237="","",IF(N237&lt;&gt;"","UTM tracked",IF(P237&lt;&gt;"","Manual / self-reported",IF(O237&lt;&gt;"","Self-reported channel only","Unattributed"))))</f>
        <v/>
      </c>
      <c r="S237" s="24" t="str">
        <f aca="false">IF(Q237="","",IFERROR(INDEX('Post Tracker'!$G$5:$G$1004,MATCH(Q237,'Post Tracker'!$A$5:$A$1004,0)),"ID NOT FOUND"))</f>
        <v/>
      </c>
      <c r="T237" s="24" t="str">
        <f aca="false">IF(Q237="","",IFERROR(INDEX('Post Tracker'!$K$5:$K$1004,MATCH(Q237,'Post Tracker'!$A$5:$A$1004,0))&amp;"",""))</f>
        <v/>
      </c>
      <c r="U237" s="33" t="str">
        <f aca="false">IF(OR(Q237="",B237=""),"",IFERROR(B237-INDEX('Post Tracker'!$B$5:$B$1004,MATCH(Q237,'Post Tracker'!$A$5:$A$1004,0)),""))</f>
        <v/>
      </c>
      <c r="V237" s="39"/>
      <c r="W237" s="29"/>
      <c r="X237" s="29"/>
      <c r="Y237" s="29"/>
      <c r="Z237" s="30"/>
      <c r="AA237" s="29"/>
      <c r="AB237" s="29"/>
    </row>
    <row r="238" customFormat="false" ht="15" hidden="false" customHeight="false" outlineLevel="0" collapsed="false">
      <c r="A238" s="41" t="str">
        <f aca="false">IF(B238="","",ROW()-4)</f>
        <v/>
      </c>
      <c r="B238" s="39"/>
      <c r="C238" s="29"/>
      <c r="D238" s="29"/>
      <c r="E238" s="29"/>
      <c r="F238" s="29"/>
      <c r="G238" s="29"/>
      <c r="H238" s="32"/>
      <c r="I238" s="29"/>
      <c r="J238" s="29"/>
      <c r="K238" s="29"/>
      <c r="L238" s="29"/>
      <c r="M238" s="29"/>
      <c r="N238" s="29"/>
      <c r="O238" s="29"/>
      <c r="P238" s="29"/>
      <c r="Q238" s="24" t="str">
        <f aca="false">IF(N238&lt;&gt;"",UPPER(TRIM(N238)),IF(P238&lt;&gt;"",UPPER(TRIM(P238)),""))</f>
        <v/>
      </c>
      <c r="R238" s="24" t="str">
        <f aca="false">IF(B238="","",IF(N238&lt;&gt;"","UTM tracked",IF(P238&lt;&gt;"","Manual / self-reported",IF(O238&lt;&gt;"","Self-reported channel only","Unattributed"))))</f>
        <v/>
      </c>
      <c r="S238" s="24" t="str">
        <f aca="false">IF(Q238="","",IFERROR(INDEX('Post Tracker'!$G$5:$G$1004,MATCH(Q238,'Post Tracker'!$A$5:$A$1004,0)),"ID NOT FOUND"))</f>
        <v/>
      </c>
      <c r="T238" s="24" t="str">
        <f aca="false">IF(Q238="","",IFERROR(INDEX('Post Tracker'!$K$5:$K$1004,MATCH(Q238,'Post Tracker'!$A$5:$A$1004,0))&amp;"",""))</f>
        <v/>
      </c>
      <c r="U238" s="33" t="str">
        <f aca="false">IF(OR(Q238="",B238=""),"",IFERROR(B238-INDEX('Post Tracker'!$B$5:$B$1004,MATCH(Q238,'Post Tracker'!$A$5:$A$1004,0)),""))</f>
        <v/>
      </c>
      <c r="V238" s="39"/>
      <c r="W238" s="29"/>
      <c r="X238" s="29"/>
      <c r="Y238" s="29"/>
      <c r="Z238" s="30"/>
      <c r="AA238" s="29"/>
      <c r="AB238" s="29"/>
    </row>
    <row r="239" customFormat="false" ht="15" hidden="false" customHeight="false" outlineLevel="0" collapsed="false">
      <c r="A239" s="41" t="str">
        <f aca="false">IF(B239="","",ROW()-4)</f>
        <v/>
      </c>
      <c r="B239" s="39"/>
      <c r="C239" s="29"/>
      <c r="D239" s="29"/>
      <c r="E239" s="29"/>
      <c r="F239" s="29"/>
      <c r="G239" s="29"/>
      <c r="H239" s="32"/>
      <c r="I239" s="29"/>
      <c r="J239" s="29"/>
      <c r="K239" s="29"/>
      <c r="L239" s="29"/>
      <c r="M239" s="29"/>
      <c r="N239" s="29"/>
      <c r="O239" s="29"/>
      <c r="P239" s="29"/>
      <c r="Q239" s="24" t="str">
        <f aca="false">IF(N239&lt;&gt;"",UPPER(TRIM(N239)),IF(P239&lt;&gt;"",UPPER(TRIM(P239)),""))</f>
        <v/>
      </c>
      <c r="R239" s="24" t="str">
        <f aca="false">IF(B239="","",IF(N239&lt;&gt;"","UTM tracked",IF(P239&lt;&gt;"","Manual / self-reported",IF(O239&lt;&gt;"","Self-reported channel only","Unattributed"))))</f>
        <v/>
      </c>
      <c r="S239" s="24" t="str">
        <f aca="false">IF(Q239="","",IFERROR(INDEX('Post Tracker'!$G$5:$G$1004,MATCH(Q239,'Post Tracker'!$A$5:$A$1004,0)),"ID NOT FOUND"))</f>
        <v/>
      </c>
      <c r="T239" s="24" t="str">
        <f aca="false">IF(Q239="","",IFERROR(INDEX('Post Tracker'!$K$5:$K$1004,MATCH(Q239,'Post Tracker'!$A$5:$A$1004,0))&amp;"",""))</f>
        <v/>
      </c>
      <c r="U239" s="33" t="str">
        <f aca="false">IF(OR(Q239="",B239=""),"",IFERROR(B239-INDEX('Post Tracker'!$B$5:$B$1004,MATCH(Q239,'Post Tracker'!$A$5:$A$1004,0)),""))</f>
        <v/>
      </c>
      <c r="V239" s="39"/>
      <c r="W239" s="29"/>
      <c r="X239" s="29"/>
      <c r="Y239" s="29"/>
      <c r="Z239" s="30"/>
      <c r="AA239" s="29"/>
      <c r="AB239" s="29"/>
    </row>
    <row r="240" customFormat="false" ht="15" hidden="false" customHeight="false" outlineLevel="0" collapsed="false">
      <c r="A240" s="41" t="str">
        <f aca="false">IF(B240="","",ROW()-4)</f>
        <v/>
      </c>
      <c r="B240" s="39"/>
      <c r="C240" s="29"/>
      <c r="D240" s="29"/>
      <c r="E240" s="29"/>
      <c r="F240" s="29"/>
      <c r="G240" s="29"/>
      <c r="H240" s="32"/>
      <c r="I240" s="29"/>
      <c r="J240" s="29"/>
      <c r="K240" s="29"/>
      <c r="L240" s="29"/>
      <c r="M240" s="29"/>
      <c r="N240" s="29"/>
      <c r="O240" s="29"/>
      <c r="P240" s="29"/>
      <c r="Q240" s="24" t="str">
        <f aca="false">IF(N240&lt;&gt;"",UPPER(TRIM(N240)),IF(P240&lt;&gt;"",UPPER(TRIM(P240)),""))</f>
        <v/>
      </c>
      <c r="R240" s="24" t="str">
        <f aca="false">IF(B240="","",IF(N240&lt;&gt;"","UTM tracked",IF(P240&lt;&gt;"","Manual / self-reported",IF(O240&lt;&gt;"","Self-reported channel only","Unattributed"))))</f>
        <v/>
      </c>
      <c r="S240" s="24" t="str">
        <f aca="false">IF(Q240="","",IFERROR(INDEX('Post Tracker'!$G$5:$G$1004,MATCH(Q240,'Post Tracker'!$A$5:$A$1004,0)),"ID NOT FOUND"))</f>
        <v/>
      </c>
      <c r="T240" s="24" t="str">
        <f aca="false">IF(Q240="","",IFERROR(INDEX('Post Tracker'!$K$5:$K$1004,MATCH(Q240,'Post Tracker'!$A$5:$A$1004,0))&amp;"",""))</f>
        <v/>
      </c>
      <c r="U240" s="33" t="str">
        <f aca="false">IF(OR(Q240="",B240=""),"",IFERROR(B240-INDEX('Post Tracker'!$B$5:$B$1004,MATCH(Q240,'Post Tracker'!$A$5:$A$1004,0)),""))</f>
        <v/>
      </c>
      <c r="V240" s="39"/>
      <c r="W240" s="29"/>
      <c r="X240" s="29"/>
      <c r="Y240" s="29"/>
      <c r="Z240" s="30"/>
      <c r="AA240" s="29"/>
      <c r="AB240" s="29"/>
    </row>
    <row r="241" customFormat="false" ht="15" hidden="false" customHeight="false" outlineLevel="0" collapsed="false">
      <c r="A241" s="41" t="str">
        <f aca="false">IF(B241="","",ROW()-4)</f>
        <v/>
      </c>
      <c r="B241" s="39"/>
      <c r="C241" s="29"/>
      <c r="D241" s="29"/>
      <c r="E241" s="29"/>
      <c r="F241" s="29"/>
      <c r="G241" s="29"/>
      <c r="H241" s="32"/>
      <c r="I241" s="29"/>
      <c r="J241" s="29"/>
      <c r="K241" s="29"/>
      <c r="L241" s="29"/>
      <c r="M241" s="29"/>
      <c r="N241" s="29"/>
      <c r="O241" s="29"/>
      <c r="P241" s="29"/>
      <c r="Q241" s="24" t="str">
        <f aca="false">IF(N241&lt;&gt;"",UPPER(TRIM(N241)),IF(P241&lt;&gt;"",UPPER(TRIM(P241)),""))</f>
        <v/>
      </c>
      <c r="R241" s="24" t="str">
        <f aca="false">IF(B241="","",IF(N241&lt;&gt;"","UTM tracked",IF(P241&lt;&gt;"","Manual / self-reported",IF(O241&lt;&gt;"","Self-reported channel only","Unattributed"))))</f>
        <v/>
      </c>
      <c r="S241" s="24" t="str">
        <f aca="false">IF(Q241="","",IFERROR(INDEX('Post Tracker'!$G$5:$G$1004,MATCH(Q241,'Post Tracker'!$A$5:$A$1004,0)),"ID NOT FOUND"))</f>
        <v/>
      </c>
      <c r="T241" s="24" t="str">
        <f aca="false">IF(Q241="","",IFERROR(INDEX('Post Tracker'!$K$5:$K$1004,MATCH(Q241,'Post Tracker'!$A$5:$A$1004,0))&amp;"",""))</f>
        <v/>
      </c>
      <c r="U241" s="33" t="str">
        <f aca="false">IF(OR(Q241="",B241=""),"",IFERROR(B241-INDEX('Post Tracker'!$B$5:$B$1004,MATCH(Q241,'Post Tracker'!$A$5:$A$1004,0)),""))</f>
        <v/>
      </c>
      <c r="V241" s="39"/>
      <c r="W241" s="29"/>
      <c r="X241" s="29"/>
      <c r="Y241" s="29"/>
      <c r="Z241" s="30"/>
      <c r="AA241" s="29"/>
      <c r="AB241" s="29"/>
    </row>
    <row r="242" customFormat="false" ht="15" hidden="false" customHeight="false" outlineLevel="0" collapsed="false">
      <c r="A242" s="41" t="str">
        <f aca="false">IF(B242="","",ROW()-4)</f>
        <v/>
      </c>
      <c r="B242" s="39"/>
      <c r="C242" s="29"/>
      <c r="D242" s="29"/>
      <c r="E242" s="29"/>
      <c r="F242" s="29"/>
      <c r="G242" s="29"/>
      <c r="H242" s="32"/>
      <c r="I242" s="29"/>
      <c r="J242" s="29"/>
      <c r="K242" s="29"/>
      <c r="L242" s="29"/>
      <c r="M242" s="29"/>
      <c r="N242" s="29"/>
      <c r="O242" s="29"/>
      <c r="P242" s="29"/>
      <c r="Q242" s="24" t="str">
        <f aca="false">IF(N242&lt;&gt;"",UPPER(TRIM(N242)),IF(P242&lt;&gt;"",UPPER(TRIM(P242)),""))</f>
        <v/>
      </c>
      <c r="R242" s="24" t="str">
        <f aca="false">IF(B242="","",IF(N242&lt;&gt;"","UTM tracked",IF(P242&lt;&gt;"","Manual / self-reported",IF(O242&lt;&gt;"","Self-reported channel only","Unattributed"))))</f>
        <v/>
      </c>
      <c r="S242" s="24" t="str">
        <f aca="false">IF(Q242="","",IFERROR(INDEX('Post Tracker'!$G$5:$G$1004,MATCH(Q242,'Post Tracker'!$A$5:$A$1004,0)),"ID NOT FOUND"))</f>
        <v/>
      </c>
      <c r="T242" s="24" t="str">
        <f aca="false">IF(Q242="","",IFERROR(INDEX('Post Tracker'!$K$5:$K$1004,MATCH(Q242,'Post Tracker'!$A$5:$A$1004,0))&amp;"",""))</f>
        <v/>
      </c>
      <c r="U242" s="33" t="str">
        <f aca="false">IF(OR(Q242="",B242=""),"",IFERROR(B242-INDEX('Post Tracker'!$B$5:$B$1004,MATCH(Q242,'Post Tracker'!$A$5:$A$1004,0)),""))</f>
        <v/>
      </c>
      <c r="V242" s="39"/>
      <c r="W242" s="29"/>
      <c r="X242" s="29"/>
      <c r="Y242" s="29"/>
      <c r="Z242" s="30"/>
      <c r="AA242" s="29"/>
      <c r="AB242" s="29"/>
    </row>
    <row r="243" customFormat="false" ht="15" hidden="false" customHeight="false" outlineLevel="0" collapsed="false">
      <c r="A243" s="41" t="str">
        <f aca="false">IF(B243="","",ROW()-4)</f>
        <v/>
      </c>
      <c r="B243" s="39"/>
      <c r="C243" s="29"/>
      <c r="D243" s="29"/>
      <c r="E243" s="29"/>
      <c r="F243" s="29"/>
      <c r="G243" s="29"/>
      <c r="H243" s="32"/>
      <c r="I243" s="29"/>
      <c r="J243" s="29"/>
      <c r="K243" s="29"/>
      <c r="L243" s="29"/>
      <c r="M243" s="29"/>
      <c r="N243" s="29"/>
      <c r="O243" s="29"/>
      <c r="P243" s="29"/>
      <c r="Q243" s="24" t="str">
        <f aca="false">IF(N243&lt;&gt;"",UPPER(TRIM(N243)),IF(P243&lt;&gt;"",UPPER(TRIM(P243)),""))</f>
        <v/>
      </c>
      <c r="R243" s="24" t="str">
        <f aca="false">IF(B243="","",IF(N243&lt;&gt;"","UTM tracked",IF(P243&lt;&gt;"","Manual / self-reported",IF(O243&lt;&gt;"","Self-reported channel only","Unattributed"))))</f>
        <v/>
      </c>
      <c r="S243" s="24" t="str">
        <f aca="false">IF(Q243="","",IFERROR(INDEX('Post Tracker'!$G$5:$G$1004,MATCH(Q243,'Post Tracker'!$A$5:$A$1004,0)),"ID NOT FOUND"))</f>
        <v/>
      </c>
      <c r="T243" s="24" t="str">
        <f aca="false">IF(Q243="","",IFERROR(INDEX('Post Tracker'!$K$5:$K$1004,MATCH(Q243,'Post Tracker'!$A$5:$A$1004,0))&amp;"",""))</f>
        <v/>
      </c>
      <c r="U243" s="33" t="str">
        <f aca="false">IF(OR(Q243="",B243=""),"",IFERROR(B243-INDEX('Post Tracker'!$B$5:$B$1004,MATCH(Q243,'Post Tracker'!$A$5:$A$1004,0)),""))</f>
        <v/>
      </c>
      <c r="V243" s="39"/>
      <c r="W243" s="29"/>
      <c r="X243" s="29"/>
      <c r="Y243" s="29"/>
      <c r="Z243" s="30"/>
      <c r="AA243" s="29"/>
      <c r="AB243" s="29"/>
    </row>
    <row r="244" customFormat="false" ht="15" hidden="false" customHeight="false" outlineLevel="0" collapsed="false">
      <c r="A244" s="41" t="str">
        <f aca="false">IF(B244="","",ROW()-4)</f>
        <v/>
      </c>
      <c r="B244" s="39"/>
      <c r="C244" s="29"/>
      <c r="D244" s="29"/>
      <c r="E244" s="29"/>
      <c r="F244" s="29"/>
      <c r="G244" s="29"/>
      <c r="H244" s="32"/>
      <c r="I244" s="29"/>
      <c r="J244" s="29"/>
      <c r="K244" s="29"/>
      <c r="L244" s="29"/>
      <c r="M244" s="29"/>
      <c r="N244" s="29"/>
      <c r="O244" s="29"/>
      <c r="P244" s="29"/>
      <c r="Q244" s="24" t="str">
        <f aca="false">IF(N244&lt;&gt;"",UPPER(TRIM(N244)),IF(P244&lt;&gt;"",UPPER(TRIM(P244)),""))</f>
        <v/>
      </c>
      <c r="R244" s="24" t="str">
        <f aca="false">IF(B244="","",IF(N244&lt;&gt;"","UTM tracked",IF(P244&lt;&gt;"","Manual / self-reported",IF(O244&lt;&gt;"","Self-reported channel only","Unattributed"))))</f>
        <v/>
      </c>
      <c r="S244" s="24" t="str">
        <f aca="false">IF(Q244="","",IFERROR(INDEX('Post Tracker'!$G$5:$G$1004,MATCH(Q244,'Post Tracker'!$A$5:$A$1004,0)),"ID NOT FOUND"))</f>
        <v/>
      </c>
      <c r="T244" s="24" t="str">
        <f aca="false">IF(Q244="","",IFERROR(INDEX('Post Tracker'!$K$5:$K$1004,MATCH(Q244,'Post Tracker'!$A$5:$A$1004,0))&amp;"",""))</f>
        <v/>
      </c>
      <c r="U244" s="33" t="str">
        <f aca="false">IF(OR(Q244="",B244=""),"",IFERROR(B244-INDEX('Post Tracker'!$B$5:$B$1004,MATCH(Q244,'Post Tracker'!$A$5:$A$1004,0)),""))</f>
        <v/>
      </c>
      <c r="V244" s="39"/>
      <c r="W244" s="29"/>
      <c r="X244" s="29"/>
      <c r="Y244" s="29"/>
      <c r="Z244" s="30"/>
      <c r="AA244" s="29"/>
      <c r="AB244" s="29"/>
    </row>
    <row r="245" customFormat="false" ht="15" hidden="false" customHeight="false" outlineLevel="0" collapsed="false">
      <c r="A245" s="41" t="str">
        <f aca="false">IF(B245="","",ROW()-4)</f>
        <v/>
      </c>
      <c r="B245" s="39"/>
      <c r="C245" s="29"/>
      <c r="D245" s="29"/>
      <c r="E245" s="29"/>
      <c r="F245" s="29"/>
      <c r="G245" s="29"/>
      <c r="H245" s="32"/>
      <c r="I245" s="29"/>
      <c r="J245" s="29"/>
      <c r="K245" s="29"/>
      <c r="L245" s="29"/>
      <c r="M245" s="29"/>
      <c r="N245" s="29"/>
      <c r="O245" s="29"/>
      <c r="P245" s="29"/>
      <c r="Q245" s="24" t="str">
        <f aca="false">IF(N245&lt;&gt;"",UPPER(TRIM(N245)),IF(P245&lt;&gt;"",UPPER(TRIM(P245)),""))</f>
        <v/>
      </c>
      <c r="R245" s="24" t="str">
        <f aca="false">IF(B245="","",IF(N245&lt;&gt;"","UTM tracked",IF(P245&lt;&gt;"","Manual / self-reported",IF(O245&lt;&gt;"","Self-reported channel only","Unattributed"))))</f>
        <v/>
      </c>
      <c r="S245" s="24" t="str">
        <f aca="false">IF(Q245="","",IFERROR(INDEX('Post Tracker'!$G$5:$G$1004,MATCH(Q245,'Post Tracker'!$A$5:$A$1004,0)),"ID NOT FOUND"))</f>
        <v/>
      </c>
      <c r="T245" s="24" t="str">
        <f aca="false">IF(Q245="","",IFERROR(INDEX('Post Tracker'!$K$5:$K$1004,MATCH(Q245,'Post Tracker'!$A$5:$A$1004,0))&amp;"",""))</f>
        <v/>
      </c>
      <c r="U245" s="33" t="str">
        <f aca="false">IF(OR(Q245="",B245=""),"",IFERROR(B245-INDEX('Post Tracker'!$B$5:$B$1004,MATCH(Q245,'Post Tracker'!$A$5:$A$1004,0)),""))</f>
        <v/>
      </c>
      <c r="V245" s="39"/>
      <c r="W245" s="29"/>
      <c r="X245" s="29"/>
      <c r="Y245" s="29"/>
      <c r="Z245" s="30"/>
      <c r="AA245" s="29"/>
      <c r="AB245" s="29"/>
    </row>
    <row r="246" customFormat="false" ht="15" hidden="false" customHeight="false" outlineLevel="0" collapsed="false">
      <c r="A246" s="41" t="str">
        <f aca="false">IF(B246="","",ROW()-4)</f>
        <v/>
      </c>
      <c r="B246" s="39"/>
      <c r="C246" s="29"/>
      <c r="D246" s="29"/>
      <c r="E246" s="29"/>
      <c r="F246" s="29"/>
      <c r="G246" s="29"/>
      <c r="H246" s="32"/>
      <c r="I246" s="29"/>
      <c r="J246" s="29"/>
      <c r="K246" s="29"/>
      <c r="L246" s="29"/>
      <c r="M246" s="29"/>
      <c r="N246" s="29"/>
      <c r="O246" s="29"/>
      <c r="P246" s="29"/>
      <c r="Q246" s="24" t="str">
        <f aca="false">IF(N246&lt;&gt;"",UPPER(TRIM(N246)),IF(P246&lt;&gt;"",UPPER(TRIM(P246)),""))</f>
        <v/>
      </c>
      <c r="R246" s="24" t="str">
        <f aca="false">IF(B246="","",IF(N246&lt;&gt;"","UTM tracked",IF(P246&lt;&gt;"","Manual / self-reported",IF(O246&lt;&gt;"","Self-reported channel only","Unattributed"))))</f>
        <v/>
      </c>
      <c r="S246" s="24" t="str">
        <f aca="false">IF(Q246="","",IFERROR(INDEX('Post Tracker'!$G$5:$G$1004,MATCH(Q246,'Post Tracker'!$A$5:$A$1004,0)),"ID NOT FOUND"))</f>
        <v/>
      </c>
      <c r="T246" s="24" t="str">
        <f aca="false">IF(Q246="","",IFERROR(INDEX('Post Tracker'!$K$5:$K$1004,MATCH(Q246,'Post Tracker'!$A$5:$A$1004,0))&amp;"",""))</f>
        <v/>
      </c>
      <c r="U246" s="33" t="str">
        <f aca="false">IF(OR(Q246="",B246=""),"",IFERROR(B246-INDEX('Post Tracker'!$B$5:$B$1004,MATCH(Q246,'Post Tracker'!$A$5:$A$1004,0)),""))</f>
        <v/>
      </c>
      <c r="V246" s="39"/>
      <c r="W246" s="29"/>
      <c r="X246" s="29"/>
      <c r="Y246" s="29"/>
      <c r="Z246" s="30"/>
      <c r="AA246" s="29"/>
      <c r="AB246" s="29"/>
    </row>
    <row r="247" customFormat="false" ht="15" hidden="false" customHeight="false" outlineLevel="0" collapsed="false">
      <c r="A247" s="41" t="str">
        <f aca="false">IF(B247="","",ROW()-4)</f>
        <v/>
      </c>
      <c r="B247" s="39"/>
      <c r="C247" s="29"/>
      <c r="D247" s="29"/>
      <c r="E247" s="29"/>
      <c r="F247" s="29"/>
      <c r="G247" s="29"/>
      <c r="H247" s="32"/>
      <c r="I247" s="29"/>
      <c r="J247" s="29"/>
      <c r="K247" s="29"/>
      <c r="L247" s="29"/>
      <c r="M247" s="29"/>
      <c r="N247" s="29"/>
      <c r="O247" s="29"/>
      <c r="P247" s="29"/>
      <c r="Q247" s="24" t="str">
        <f aca="false">IF(N247&lt;&gt;"",UPPER(TRIM(N247)),IF(P247&lt;&gt;"",UPPER(TRIM(P247)),""))</f>
        <v/>
      </c>
      <c r="R247" s="24" t="str">
        <f aca="false">IF(B247="","",IF(N247&lt;&gt;"","UTM tracked",IF(P247&lt;&gt;"","Manual / self-reported",IF(O247&lt;&gt;"","Self-reported channel only","Unattributed"))))</f>
        <v/>
      </c>
      <c r="S247" s="24" t="str">
        <f aca="false">IF(Q247="","",IFERROR(INDEX('Post Tracker'!$G$5:$G$1004,MATCH(Q247,'Post Tracker'!$A$5:$A$1004,0)),"ID NOT FOUND"))</f>
        <v/>
      </c>
      <c r="T247" s="24" t="str">
        <f aca="false">IF(Q247="","",IFERROR(INDEX('Post Tracker'!$K$5:$K$1004,MATCH(Q247,'Post Tracker'!$A$5:$A$1004,0))&amp;"",""))</f>
        <v/>
      </c>
      <c r="U247" s="33" t="str">
        <f aca="false">IF(OR(Q247="",B247=""),"",IFERROR(B247-INDEX('Post Tracker'!$B$5:$B$1004,MATCH(Q247,'Post Tracker'!$A$5:$A$1004,0)),""))</f>
        <v/>
      </c>
      <c r="V247" s="39"/>
      <c r="W247" s="29"/>
      <c r="X247" s="29"/>
      <c r="Y247" s="29"/>
      <c r="Z247" s="30"/>
      <c r="AA247" s="29"/>
      <c r="AB247" s="29"/>
    </row>
    <row r="248" customFormat="false" ht="15" hidden="false" customHeight="false" outlineLevel="0" collapsed="false">
      <c r="A248" s="41" t="str">
        <f aca="false">IF(B248="","",ROW()-4)</f>
        <v/>
      </c>
      <c r="B248" s="39"/>
      <c r="C248" s="29"/>
      <c r="D248" s="29"/>
      <c r="E248" s="29"/>
      <c r="F248" s="29"/>
      <c r="G248" s="29"/>
      <c r="H248" s="32"/>
      <c r="I248" s="29"/>
      <c r="J248" s="29"/>
      <c r="K248" s="29"/>
      <c r="L248" s="29"/>
      <c r="M248" s="29"/>
      <c r="N248" s="29"/>
      <c r="O248" s="29"/>
      <c r="P248" s="29"/>
      <c r="Q248" s="24" t="str">
        <f aca="false">IF(N248&lt;&gt;"",UPPER(TRIM(N248)),IF(P248&lt;&gt;"",UPPER(TRIM(P248)),""))</f>
        <v/>
      </c>
      <c r="R248" s="24" t="str">
        <f aca="false">IF(B248="","",IF(N248&lt;&gt;"","UTM tracked",IF(P248&lt;&gt;"","Manual / self-reported",IF(O248&lt;&gt;"","Self-reported channel only","Unattributed"))))</f>
        <v/>
      </c>
      <c r="S248" s="24" t="str">
        <f aca="false">IF(Q248="","",IFERROR(INDEX('Post Tracker'!$G$5:$G$1004,MATCH(Q248,'Post Tracker'!$A$5:$A$1004,0)),"ID NOT FOUND"))</f>
        <v/>
      </c>
      <c r="T248" s="24" t="str">
        <f aca="false">IF(Q248="","",IFERROR(INDEX('Post Tracker'!$K$5:$K$1004,MATCH(Q248,'Post Tracker'!$A$5:$A$1004,0))&amp;"",""))</f>
        <v/>
      </c>
      <c r="U248" s="33" t="str">
        <f aca="false">IF(OR(Q248="",B248=""),"",IFERROR(B248-INDEX('Post Tracker'!$B$5:$B$1004,MATCH(Q248,'Post Tracker'!$A$5:$A$1004,0)),""))</f>
        <v/>
      </c>
      <c r="V248" s="39"/>
      <c r="W248" s="29"/>
      <c r="X248" s="29"/>
      <c r="Y248" s="29"/>
      <c r="Z248" s="30"/>
      <c r="AA248" s="29"/>
      <c r="AB248" s="29"/>
    </row>
    <row r="249" customFormat="false" ht="15" hidden="false" customHeight="false" outlineLevel="0" collapsed="false">
      <c r="A249" s="41" t="str">
        <f aca="false">IF(B249="","",ROW()-4)</f>
        <v/>
      </c>
      <c r="B249" s="39"/>
      <c r="C249" s="29"/>
      <c r="D249" s="29"/>
      <c r="E249" s="29"/>
      <c r="F249" s="29"/>
      <c r="G249" s="29"/>
      <c r="H249" s="32"/>
      <c r="I249" s="29"/>
      <c r="J249" s="29"/>
      <c r="K249" s="29"/>
      <c r="L249" s="29"/>
      <c r="M249" s="29"/>
      <c r="N249" s="29"/>
      <c r="O249" s="29"/>
      <c r="P249" s="29"/>
      <c r="Q249" s="24" t="str">
        <f aca="false">IF(N249&lt;&gt;"",UPPER(TRIM(N249)),IF(P249&lt;&gt;"",UPPER(TRIM(P249)),""))</f>
        <v/>
      </c>
      <c r="R249" s="24" t="str">
        <f aca="false">IF(B249="","",IF(N249&lt;&gt;"","UTM tracked",IF(P249&lt;&gt;"","Manual / self-reported",IF(O249&lt;&gt;"","Self-reported channel only","Unattributed"))))</f>
        <v/>
      </c>
      <c r="S249" s="24" t="str">
        <f aca="false">IF(Q249="","",IFERROR(INDEX('Post Tracker'!$G$5:$G$1004,MATCH(Q249,'Post Tracker'!$A$5:$A$1004,0)),"ID NOT FOUND"))</f>
        <v/>
      </c>
      <c r="T249" s="24" t="str">
        <f aca="false">IF(Q249="","",IFERROR(INDEX('Post Tracker'!$K$5:$K$1004,MATCH(Q249,'Post Tracker'!$A$5:$A$1004,0))&amp;"",""))</f>
        <v/>
      </c>
      <c r="U249" s="33" t="str">
        <f aca="false">IF(OR(Q249="",B249=""),"",IFERROR(B249-INDEX('Post Tracker'!$B$5:$B$1004,MATCH(Q249,'Post Tracker'!$A$5:$A$1004,0)),""))</f>
        <v/>
      </c>
      <c r="V249" s="39"/>
      <c r="W249" s="29"/>
      <c r="X249" s="29"/>
      <c r="Y249" s="29"/>
      <c r="Z249" s="30"/>
      <c r="AA249" s="29"/>
      <c r="AB249" s="29"/>
    </row>
    <row r="250" customFormat="false" ht="15" hidden="false" customHeight="false" outlineLevel="0" collapsed="false">
      <c r="A250" s="41" t="str">
        <f aca="false">IF(B250="","",ROW()-4)</f>
        <v/>
      </c>
      <c r="B250" s="39"/>
      <c r="C250" s="29"/>
      <c r="D250" s="29"/>
      <c r="E250" s="29"/>
      <c r="F250" s="29"/>
      <c r="G250" s="29"/>
      <c r="H250" s="32"/>
      <c r="I250" s="29"/>
      <c r="J250" s="29"/>
      <c r="K250" s="29"/>
      <c r="L250" s="29"/>
      <c r="M250" s="29"/>
      <c r="N250" s="29"/>
      <c r="O250" s="29"/>
      <c r="P250" s="29"/>
      <c r="Q250" s="24" t="str">
        <f aca="false">IF(N250&lt;&gt;"",UPPER(TRIM(N250)),IF(P250&lt;&gt;"",UPPER(TRIM(P250)),""))</f>
        <v/>
      </c>
      <c r="R250" s="24" t="str">
        <f aca="false">IF(B250="","",IF(N250&lt;&gt;"","UTM tracked",IF(P250&lt;&gt;"","Manual / self-reported",IF(O250&lt;&gt;"","Self-reported channel only","Unattributed"))))</f>
        <v/>
      </c>
      <c r="S250" s="24" t="str">
        <f aca="false">IF(Q250="","",IFERROR(INDEX('Post Tracker'!$G$5:$G$1004,MATCH(Q250,'Post Tracker'!$A$5:$A$1004,0)),"ID NOT FOUND"))</f>
        <v/>
      </c>
      <c r="T250" s="24" t="str">
        <f aca="false">IF(Q250="","",IFERROR(INDEX('Post Tracker'!$K$5:$K$1004,MATCH(Q250,'Post Tracker'!$A$5:$A$1004,0))&amp;"",""))</f>
        <v/>
      </c>
      <c r="U250" s="33" t="str">
        <f aca="false">IF(OR(Q250="",B250=""),"",IFERROR(B250-INDEX('Post Tracker'!$B$5:$B$1004,MATCH(Q250,'Post Tracker'!$A$5:$A$1004,0)),""))</f>
        <v/>
      </c>
      <c r="V250" s="39"/>
      <c r="W250" s="29"/>
      <c r="X250" s="29"/>
      <c r="Y250" s="29"/>
      <c r="Z250" s="30"/>
      <c r="AA250" s="29"/>
      <c r="AB250" s="29"/>
    </row>
    <row r="251" customFormat="false" ht="15" hidden="false" customHeight="false" outlineLevel="0" collapsed="false">
      <c r="A251" s="41" t="str">
        <f aca="false">IF(B251="","",ROW()-4)</f>
        <v/>
      </c>
      <c r="B251" s="39"/>
      <c r="C251" s="29"/>
      <c r="D251" s="29"/>
      <c r="E251" s="29"/>
      <c r="F251" s="29"/>
      <c r="G251" s="29"/>
      <c r="H251" s="32"/>
      <c r="I251" s="29"/>
      <c r="J251" s="29"/>
      <c r="K251" s="29"/>
      <c r="L251" s="29"/>
      <c r="M251" s="29"/>
      <c r="N251" s="29"/>
      <c r="O251" s="29"/>
      <c r="P251" s="29"/>
      <c r="Q251" s="24" t="str">
        <f aca="false">IF(N251&lt;&gt;"",UPPER(TRIM(N251)),IF(P251&lt;&gt;"",UPPER(TRIM(P251)),""))</f>
        <v/>
      </c>
      <c r="R251" s="24" t="str">
        <f aca="false">IF(B251="","",IF(N251&lt;&gt;"","UTM tracked",IF(P251&lt;&gt;"","Manual / self-reported",IF(O251&lt;&gt;"","Self-reported channel only","Unattributed"))))</f>
        <v/>
      </c>
      <c r="S251" s="24" t="str">
        <f aca="false">IF(Q251="","",IFERROR(INDEX('Post Tracker'!$G$5:$G$1004,MATCH(Q251,'Post Tracker'!$A$5:$A$1004,0)),"ID NOT FOUND"))</f>
        <v/>
      </c>
      <c r="T251" s="24" t="str">
        <f aca="false">IF(Q251="","",IFERROR(INDEX('Post Tracker'!$K$5:$K$1004,MATCH(Q251,'Post Tracker'!$A$5:$A$1004,0))&amp;"",""))</f>
        <v/>
      </c>
      <c r="U251" s="33" t="str">
        <f aca="false">IF(OR(Q251="",B251=""),"",IFERROR(B251-INDEX('Post Tracker'!$B$5:$B$1004,MATCH(Q251,'Post Tracker'!$A$5:$A$1004,0)),""))</f>
        <v/>
      </c>
      <c r="V251" s="39"/>
      <c r="W251" s="29"/>
      <c r="X251" s="29"/>
      <c r="Y251" s="29"/>
      <c r="Z251" s="30"/>
      <c r="AA251" s="29"/>
      <c r="AB251" s="29"/>
    </row>
    <row r="252" customFormat="false" ht="15" hidden="false" customHeight="false" outlineLevel="0" collapsed="false">
      <c r="A252" s="41" t="str">
        <f aca="false">IF(B252="","",ROW()-4)</f>
        <v/>
      </c>
      <c r="B252" s="39"/>
      <c r="C252" s="29"/>
      <c r="D252" s="29"/>
      <c r="E252" s="29"/>
      <c r="F252" s="29"/>
      <c r="G252" s="29"/>
      <c r="H252" s="32"/>
      <c r="I252" s="29"/>
      <c r="J252" s="29"/>
      <c r="K252" s="29"/>
      <c r="L252" s="29"/>
      <c r="M252" s="29"/>
      <c r="N252" s="29"/>
      <c r="O252" s="29"/>
      <c r="P252" s="29"/>
      <c r="Q252" s="24" t="str">
        <f aca="false">IF(N252&lt;&gt;"",UPPER(TRIM(N252)),IF(P252&lt;&gt;"",UPPER(TRIM(P252)),""))</f>
        <v/>
      </c>
      <c r="R252" s="24" t="str">
        <f aca="false">IF(B252="","",IF(N252&lt;&gt;"","UTM tracked",IF(P252&lt;&gt;"","Manual / self-reported",IF(O252&lt;&gt;"","Self-reported channel only","Unattributed"))))</f>
        <v/>
      </c>
      <c r="S252" s="24" t="str">
        <f aca="false">IF(Q252="","",IFERROR(INDEX('Post Tracker'!$G$5:$G$1004,MATCH(Q252,'Post Tracker'!$A$5:$A$1004,0)),"ID NOT FOUND"))</f>
        <v/>
      </c>
      <c r="T252" s="24" t="str">
        <f aca="false">IF(Q252="","",IFERROR(INDEX('Post Tracker'!$K$5:$K$1004,MATCH(Q252,'Post Tracker'!$A$5:$A$1004,0))&amp;"",""))</f>
        <v/>
      </c>
      <c r="U252" s="33" t="str">
        <f aca="false">IF(OR(Q252="",B252=""),"",IFERROR(B252-INDEX('Post Tracker'!$B$5:$B$1004,MATCH(Q252,'Post Tracker'!$A$5:$A$1004,0)),""))</f>
        <v/>
      </c>
      <c r="V252" s="39"/>
      <c r="W252" s="29"/>
      <c r="X252" s="29"/>
      <c r="Y252" s="29"/>
      <c r="Z252" s="30"/>
      <c r="AA252" s="29"/>
      <c r="AB252" s="29"/>
    </row>
    <row r="253" customFormat="false" ht="15" hidden="false" customHeight="false" outlineLevel="0" collapsed="false">
      <c r="A253" s="41" t="str">
        <f aca="false">IF(B253="","",ROW()-4)</f>
        <v/>
      </c>
      <c r="B253" s="39"/>
      <c r="C253" s="29"/>
      <c r="D253" s="29"/>
      <c r="E253" s="29"/>
      <c r="F253" s="29"/>
      <c r="G253" s="29"/>
      <c r="H253" s="32"/>
      <c r="I253" s="29"/>
      <c r="J253" s="29"/>
      <c r="K253" s="29"/>
      <c r="L253" s="29"/>
      <c r="M253" s="29"/>
      <c r="N253" s="29"/>
      <c r="O253" s="29"/>
      <c r="P253" s="29"/>
      <c r="Q253" s="24" t="str">
        <f aca="false">IF(N253&lt;&gt;"",UPPER(TRIM(N253)),IF(P253&lt;&gt;"",UPPER(TRIM(P253)),""))</f>
        <v/>
      </c>
      <c r="R253" s="24" t="str">
        <f aca="false">IF(B253="","",IF(N253&lt;&gt;"","UTM tracked",IF(P253&lt;&gt;"","Manual / self-reported",IF(O253&lt;&gt;"","Self-reported channel only","Unattributed"))))</f>
        <v/>
      </c>
      <c r="S253" s="24" t="str">
        <f aca="false">IF(Q253="","",IFERROR(INDEX('Post Tracker'!$G$5:$G$1004,MATCH(Q253,'Post Tracker'!$A$5:$A$1004,0)),"ID NOT FOUND"))</f>
        <v/>
      </c>
      <c r="T253" s="24" t="str">
        <f aca="false">IF(Q253="","",IFERROR(INDEX('Post Tracker'!$K$5:$K$1004,MATCH(Q253,'Post Tracker'!$A$5:$A$1004,0))&amp;"",""))</f>
        <v/>
      </c>
      <c r="U253" s="33" t="str">
        <f aca="false">IF(OR(Q253="",B253=""),"",IFERROR(B253-INDEX('Post Tracker'!$B$5:$B$1004,MATCH(Q253,'Post Tracker'!$A$5:$A$1004,0)),""))</f>
        <v/>
      </c>
      <c r="V253" s="39"/>
      <c r="W253" s="29"/>
      <c r="X253" s="29"/>
      <c r="Y253" s="29"/>
      <c r="Z253" s="30"/>
      <c r="AA253" s="29"/>
      <c r="AB253" s="29"/>
    </row>
    <row r="254" customFormat="false" ht="15" hidden="false" customHeight="false" outlineLevel="0" collapsed="false">
      <c r="A254" s="41" t="str">
        <f aca="false">IF(B254="","",ROW()-4)</f>
        <v/>
      </c>
      <c r="B254" s="39"/>
      <c r="C254" s="29"/>
      <c r="D254" s="29"/>
      <c r="E254" s="29"/>
      <c r="F254" s="29"/>
      <c r="G254" s="29"/>
      <c r="H254" s="32"/>
      <c r="I254" s="29"/>
      <c r="J254" s="29"/>
      <c r="K254" s="29"/>
      <c r="L254" s="29"/>
      <c r="M254" s="29"/>
      <c r="N254" s="29"/>
      <c r="O254" s="29"/>
      <c r="P254" s="29"/>
      <c r="Q254" s="24" t="str">
        <f aca="false">IF(N254&lt;&gt;"",UPPER(TRIM(N254)),IF(P254&lt;&gt;"",UPPER(TRIM(P254)),""))</f>
        <v/>
      </c>
      <c r="R254" s="24" t="str">
        <f aca="false">IF(B254="","",IF(N254&lt;&gt;"","UTM tracked",IF(P254&lt;&gt;"","Manual / self-reported",IF(O254&lt;&gt;"","Self-reported channel only","Unattributed"))))</f>
        <v/>
      </c>
      <c r="S254" s="24" t="str">
        <f aca="false">IF(Q254="","",IFERROR(INDEX('Post Tracker'!$G$5:$G$1004,MATCH(Q254,'Post Tracker'!$A$5:$A$1004,0)),"ID NOT FOUND"))</f>
        <v/>
      </c>
      <c r="T254" s="24" t="str">
        <f aca="false">IF(Q254="","",IFERROR(INDEX('Post Tracker'!$K$5:$K$1004,MATCH(Q254,'Post Tracker'!$A$5:$A$1004,0))&amp;"",""))</f>
        <v/>
      </c>
      <c r="U254" s="33" t="str">
        <f aca="false">IF(OR(Q254="",B254=""),"",IFERROR(B254-INDEX('Post Tracker'!$B$5:$B$1004,MATCH(Q254,'Post Tracker'!$A$5:$A$1004,0)),""))</f>
        <v/>
      </c>
      <c r="V254" s="39"/>
      <c r="W254" s="29"/>
      <c r="X254" s="29"/>
      <c r="Y254" s="29"/>
      <c r="Z254" s="30"/>
      <c r="AA254" s="29"/>
      <c r="AB254" s="29"/>
    </row>
    <row r="255" customFormat="false" ht="15" hidden="false" customHeight="false" outlineLevel="0" collapsed="false">
      <c r="A255" s="41" t="str">
        <f aca="false">IF(B255="","",ROW()-4)</f>
        <v/>
      </c>
      <c r="B255" s="39"/>
      <c r="C255" s="29"/>
      <c r="D255" s="29"/>
      <c r="E255" s="29"/>
      <c r="F255" s="29"/>
      <c r="G255" s="29"/>
      <c r="H255" s="32"/>
      <c r="I255" s="29"/>
      <c r="J255" s="29"/>
      <c r="K255" s="29"/>
      <c r="L255" s="29"/>
      <c r="M255" s="29"/>
      <c r="N255" s="29"/>
      <c r="O255" s="29"/>
      <c r="P255" s="29"/>
      <c r="Q255" s="24" t="str">
        <f aca="false">IF(N255&lt;&gt;"",UPPER(TRIM(N255)),IF(P255&lt;&gt;"",UPPER(TRIM(P255)),""))</f>
        <v/>
      </c>
      <c r="R255" s="24" t="str">
        <f aca="false">IF(B255="","",IF(N255&lt;&gt;"","UTM tracked",IF(P255&lt;&gt;"","Manual / self-reported",IF(O255&lt;&gt;"","Self-reported channel only","Unattributed"))))</f>
        <v/>
      </c>
      <c r="S255" s="24" t="str">
        <f aca="false">IF(Q255="","",IFERROR(INDEX('Post Tracker'!$G$5:$G$1004,MATCH(Q255,'Post Tracker'!$A$5:$A$1004,0)),"ID NOT FOUND"))</f>
        <v/>
      </c>
      <c r="T255" s="24" t="str">
        <f aca="false">IF(Q255="","",IFERROR(INDEX('Post Tracker'!$K$5:$K$1004,MATCH(Q255,'Post Tracker'!$A$5:$A$1004,0))&amp;"",""))</f>
        <v/>
      </c>
      <c r="U255" s="33" t="str">
        <f aca="false">IF(OR(Q255="",B255=""),"",IFERROR(B255-INDEX('Post Tracker'!$B$5:$B$1004,MATCH(Q255,'Post Tracker'!$A$5:$A$1004,0)),""))</f>
        <v/>
      </c>
      <c r="V255" s="39"/>
      <c r="W255" s="29"/>
      <c r="X255" s="29"/>
      <c r="Y255" s="29"/>
      <c r="Z255" s="30"/>
      <c r="AA255" s="29"/>
      <c r="AB255" s="29"/>
    </row>
    <row r="256" customFormat="false" ht="15" hidden="false" customHeight="false" outlineLevel="0" collapsed="false">
      <c r="A256" s="41" t="str">
        <f aca="false">IF(B256="","",ROW()-4)</f>
        <v/>
      </c>
      <c r="B256" s="39"/>
      <c r="C256" s="29"/>
      <c r="D256" s="29"/>
      <c r="E256" s="29"/>
      <c r="F256" s="29"/>
      <c r="G256" s="29"/>
      <c r="H256" s="32"/>
      <c r="I256" s="29"/>
      <c r="J256" s="29"/>
      <c r="K256" s="29"/>
      <c r="L256" s="29"/>
      <c r="M256" s="29"/>
      <c r="N256" s="29"/>
      <c r="O256" s="29"/>
      <c r="P256" s="29"/>
      <c r="Q256" s="24" t="str">
        <f aca="false">IF(N256&lt;&gt;"",UPPER(TRIM(N256)),IF(P256&lt;&gt;"",UPPER(TRIM(P256)),""))</f>
        <v/>
      </c>
      <c r="R256" s="24" t="str">
        <f aca="false">IF(B256="","",IF(N256&lt;&gt;"","UTM tracked",IF(P256&lt;&gt;"","Manual / self-reported",IF(O256&lt;&gt;"","Self-reported channel only","Unattributed"))))</f>
        <v/>
      </c>
      <c r="S256" s="24" t="str">
        <f aca="false">IF(Q256="","",IFERROR(INDEX('Post Tracker'!$G$5:$G$1004,MATCH(Q256,'Post Tracker'!$A$5:$A$1004,0)),"ID NOT FOUND"))</f>
        <v/>
      </c>
      <c r="T256" s="24" t="str">
        <f aca="false">IF(Q256="","",IFERROR(INDEX('Post Tracker'!$K$5:$K$1004,MATCH(Q256,'Post Tracker'!$A$5:$A$1004,0))&amp;"",""))</f>
        <v/>
      </c>
      <c r="U256" s="33" t="str">
        <f aca="false">IF(OR(Q256="",B256=""),"",IFERROR(B256-INDEX('Post Tracker'!$B$5:$B$1004,MATCH(Q256,'Post Tracker'!$A$5:$A$1004,0)),""))</f>
        <v/>
      </c>
      <c r="V256" s="39"/>
      <c r="W256" s="29"/>
      <c r="X256" s="29"/>
      <c r="Y256" s="29"/>
      <c r="Z256" s="30"/>
      <c r="AA256" s="29"/>
      <c r="AB256" s="29"/>
    </row>
    <row r="257" customFormat="false" ht="15" hidden="false" customHeight="false" outlineLevel="0" collapsed="false">
      <c r="A257" s="41" t="str">
        <f aca="false">IF(B257="","",ROW()-4)</f>
        <v/>
      </c>
      <c r="B257" s="39"/>
      <c r="C257" s="29"/>
      <c r="D257" s="29"/>
      <c r="E257" s="29"/>
      <c r="F257" s="29"/>
      <c r="G257" s="29"/>
      <c r="H257" s="32"/>
      <c r="I257" s="29"/>
      <c r="J257" s="29"/>
      <c r="K257" s="29"/>
      <c r="L257" s="29"/>
      <c r="M257" s="29"/>
      <c r="N257" s="29"/>
      <c r="O257" s="29"/>
      <c r="P257" s="29"/>
      <c r="Q257" s="24" t="str">
        <f aca="false">IF(N257&lt;&gt;"",UPPER(TRIM(N257)),IF(P257&lt;&gt;"",UPPER(TRIM(P257)),""))</f>
        <v/>
      </c>
      <c r="R257" s="24" t="str">
        <f aca="false">IF(B257="","",IF(N257&lt;&gt;"","UTM tracked",IF(P257&lt;&gt;"","Manual / self-reported",IF(O257&lt;&gt;"","Self-reported channel only","Unattributed"))))</f>
        <v/>
      </c>
      <c r="S257" s="24" t="str">
        <f aca="false">IF(Q257="","",IFERROR(INDEX('Post Tracker'!$G$5:$G$1004,MATCH(Q257,'Post Tracker'!$A$5:$A$1004,0)),"ID NOT FOUND"))</f>
        <v/>
      </c>
      <c r="T257" s="24" t="str">
        <f aca="false">IF(Q257="","",IFERROR(INDEX('Post Tracker'!$K$5:$K$1004,MATCH(Q257,'Post Tracker'!$A$5:$A$1004,0))&amp;"",""))</f>
        <v/>
      </c>
      <c r="U257" s="33" t="str">
        <f aca="false">IF(OR(Q257="",B257=""),"",IFERROR(B257-INDEX('Post Tracker'!$B$5:$B$1004,MATCH(Q257,'Post Tracker'!$A$5:$A$1004,0)),""))</f>
        <v/>
      </c>
      <c r="V257" s="39"/>
      <c r="W257" s="29"/>
      <c r="X257" s="29"/>
      <c r="Y257" s="29"/>
      <c r="Z257" s="30"/>
      <c r="AA257" s="29"/>
      <c r="AB257" s="29"/>
    </row>
    <row r="258" customFormat="false" ht="15" hidden="false" customHeight="false" outlineLevel="0" collapsed="false">
      <c r="A258" s="41" t="str">
        <f aca="false">IF(B258="","",ROW()-4)</f>
        <v/>
      </c>
      <c r="B258" s="39"/>
      <c r="C258" s="29"/>
      <c r="D258" s="29"/>
      <c r="E258" s="29"/>
      <c r="F258" s="29"/>
      <c r="G258" s="29"/>
      <c r="H258" s="32"/>
      <c r="I258" s="29"/>
      <c r="J258" s="29"/>
      <c r="K258" s="29"/>
      <c r="L258" s="29"/>
      <c r="M258" s="29"/>
      <c r="N258" s="29"/>
      <c r="O258" s="29"/>
      <c r="P258" s="29"/>
      <c r="Q258" s="24" t="str">
        <f aca="false">IF(N258&lt;&gt;"",UPPER(TRIM(N258)),IF(P258&lt;&gt;"",UPPER(TRIM(P258)),""))</f>
        <v/>
      </c>
      <c r="R258" s="24" t="str">
        <f aca="false">IF(B258="","",IF(N258&lt;&gt;"","UTM tracked",IF(P258&lt;&gt;"","Manual / self-reported",IF(O258&lt;&gt;"","Self-reported channel only","Unattributed"))))</f>
        <v/>
      </c>
      <c r="S258" s="24" t="str">
        <f aca="false">IF(Q258="","",IFERROR(INDEX('Post Tracker'!$G$5:$G$1004,MATCH(Q258,'Post Tracker'!$A$5:$A$1004,0)),"ID NOT FOUND"))</f>
        <v/>
      </c>
      <c r="T258" s="24" t="str">
        <f aca="false">IF(Q258="","",IFERROR(INDEX('Post Tracker'!$K$5:$K$1004,MATCH(Q258,'Post Tracker'!$A$5:$A$1004,0))&amp;"",""))</f>
        <v/>
      </c>
      <c r="U258" s="33" t="str">
        <f aca="false">IF(OR(Q258="",B258=""),"",IFERROR(B258-INDEX('Post Tracker'!$B$5:$B$1004,MATCH(Q258,'Post Tracker'!$A$5:$A$1004,0)),""))</f>
        <v/>
      </c>
      <c r="V258" s="39"/>
      <c r="W258" s="29"/>
      <c r="X258" s="29"/>
      <c r="Y258" s="29"/>
      <c r="Z258" s="30"/>
      <c r="AA258" s="29"/>
      <c r="AB258" s="29"/>
    </row>
    <row r="259" customFormat="false" ht="15" hidden="false" customHeight="false" outlineLevel="0" collapsed="false">
      <c r="A259" s="41" t="str">
        <f aca="false">IF(B259="","",ROW()-4)</f>
        <v/>
      </c>
      <c r="B259" s="39"/>
      <c r="C259" s="29"/>
      <c r="D259" s="29"/>
      <c r="E259" s="29"/>
      <c r="F259" s="29"/>
      <c r="G259" s="29"/>
      <c r="H259" s="32"/>
      <c r="I259" s="29"/>
      <c r="J259" s="29"/>
      <c r="K259" s="29"/>
      <c r="L259" s="29"/>
      <c r="M259" s="29"/>
      <c r="N259" s="29"/>
      <c r="O259" s="29"/>
      <c r="P259" s="29"/>
      <c r="Q259" s="24" t="str">
        <f aca="false">IF(N259&lt;&gt;"",UPPER(TRIM(N259)),IF(P259&lt;&gt;"",UPPER(TRIM(P259)),""))</f>
        <v/>
      </c>
      <c r="R259" s="24" t="str">
        <f aca="false">IF(B259="","",IF(N259&lt;&gt;"","UTM tracked",IF(P259&lt;&gt;"","Manual / self-reported",IF(O259&lt;&gt;"","Self-reported channel only","Unattributed"))))</f>
        <v/>
      </c>
      <c r="S259" s="24" t="str">
        <f aca="false">IF(Q259="","",IFERROR(INDEX('Post Tracker'!$G$5:$G$1004,MATCH(Q259,'Post Tracker'!$A$5:$A$1004,0)),"ID NOT FOUND"))</f>
        <v/>
      </c>
      <c r="T259" s="24" t="str">
        <f aca="false">IF(Q259="","",IFERROR(INDEX('Post Tracker'!$K$5:$K$1004,MATCH(Q259,'Post Tracker'!$A$5:$A$1004,0))&amp;"",""))</f>
        <v/>
      </c>
      <c r="U259" s="33" t="str">
        <f aca="false">IF(OR(Q259="",B259=""),"",IFERROR(B259-INDEX('Post Tracker'!$B$5:$B$1004,MATCH(Q259,'Post Tracker'!$A$5:$A$1004,0)),""))</f>
        <v/>
      </c>
      <c r="V259" s="39"/>
      <c r="W259" s="29"/>
      <c r="X259" s="29"/>
      <c r="Y259" s="29"/>
      <c r="Z259" s="30"/>
      <c r="AA259" s="29"/>
      <c r="AB259" s="29"/>
    </row>
    <row r="260" customFormat="false" ht="15" hidden="false" customHeight="false" outlineLevel="0" collapsed="false">
      <c r="A260" s="41" t="str">
        <f aca="false">IF(B260="","",ROW()-4)</f>
        <v/>
      </c>
      <c r="B260" s="39"/>
      <c r="C260" s="29"/>
      <c r="D260" s="29"/>
      <c r="E260" s="29"/>
      <c r="F260" s="29"/>
      <c r="G260" s="29"/>
      <c r="H260" s="32"/>
      <c r="I260" s="29"/>
      <c r="J260" s="29"/>
      <c r="K260" s="29"/>
      <c r="L260" s="29"/>
      <c r="M260" s="29"/>
      <c r="N260" s="29"/>
      <c r="O260" s="29"/>
      <c r="P260" s="29"/>
      <c r="Q260" s="24" t="str">
        <f aca="false">IF(N260&lt;&gt;"",UPPER(TRIM(N260)),IF(P260&lt;&gt;"",UPPER(TRIM(P260)),""))</f>
        <v/>
      </c>
      <c r="R260" s="24" t="str">
        <f aca="false">IF(B260="","",IF(N260&lt;&gt;"","UTM tracked",IF(P260&lt;&gt;"","Manual / self-reported",IF(O260&lt;&gt;"","Self-reported channel only","Unattributed"))))</f>
        <v/>
      </c>
      <c r="S260" s="24" t="str">
        <f aca="false">IF(Q260="","",IFERROR(INDEX('Post Tracker'!$G$5:$G$1004,MATCH(Q260,'Post Tracker'!$A$5:$A$1004,0)),"ID NOT FOUND"))</f>
        <v/>
      </c>
      <c r="T260" s="24" t="str">
        <f aca="false">IF(Q260="","",IFERROR(INDEX('Post Tracker'!$K$5:$K$1004,MATCH(Q260,'Post Tracker'!$A$5:$A$1004,0))&amp;"",""))</f>
        <v/>
      </c>
      <c r="U260" s="33" t="str">
        <f aca="false">IF(OR(Q260="",B260=""),"",IFERROR(B260-INDEX('Post Tracker'!$B$5:$B$1004,MATCH(Q260,'Post Tracker'!$A$5:$A$1004,0)),""))</f>
        <v/>
      </c>
      <c r="V260" s="39"/>
      <c r="W260" s="29"/>
      <c r="X260" s="29"/>
      <c r="Y260" s="29"/>
      <c r="Z260" s="30"/>
      <c r="AA260" s="29"/>
      <c r="AB260" s="29"/>
    </row>
    <row r="261" customFormat="false" ht="15" hidden="false" customHeight="false" outlineLevel="0" collapsed="false">
      <c r="A261" s="41" t="str">
        <f aca="false">IF(B261="","",ROW()-4)</f>
        <v/>
      </c>
      <c r="B261" s="39"/>
      <c r="C261" s="29"/>
      <c r="D261" s="29"/>
      <c r="E261" s="29"/>
      <c r="F261" s="29"/>
      <c r="G261" s="29"/>
      <c r="H261" s="32"/>
      <c r="I261" s="29"/>
      <c r="J261" s="29"/>
      <c r="K261" s="29"/>
      <c r="L261" s="29"/>
      <c r="M261" s="29"/>
      <c r="N261" s="29"/>
      <c r="O261" s="29"/>
      <c r="P261" s="29"/>
      <c r="Q261" s="24" t="str">
        <f aca="false">IF(N261&lt;&gt;"",UPPER(TRIM(N261)),IF(P261&lt;&gt;"",UPPER(TRIM(P261)),""))</f>
        <v/>
      </c>
      <c r="R261" s="24" t="str">
        <f aca="false">IF(B261="","",IF(N261&lt;&gt;"","UTM tracked",IF(P261&lt;&gt;"","Manual / self-reported",IF(O261&lt;&gt;"","Self-reported channel only","Unattributed"))))</f>
        <v/>
      </c>
      <c r="S261" s="24" t="str">
        <f aca="false">IF(Q261="","",IFERROR(INDEX('Post Tracker'!$G$5:$G$1004,MATCH(Q261,'Post Tracker'!$A$5:$A$1004,0)),"ID NOT FOUND"))</f>
        <v/>
      </c>
      <c r="T261" s="24" t="str">
        <f aca="false">IF(Q261="","",IFERROR(INDEX('Post Tracker'!$K$5:$K$1004,MATCH(Q261,'Post Tracker'!$A$5:$A$1004,0))&amp;"",""))</f>
        <v/>
      </c>
      <c r="U261" s="33" t="str">
        <f aca="false">IF(OR(Q261="",B261=""),"",IFERROR(B261-INDEX('Post Tracker'!$B$5:$B$1004,MATCH(Q261,'Post Tracker'!$A$5:$A$1004,0)),""))</f>
        <v/>
      </c>
      <c r="V261" s="39"/>
      <c r="W261" s="29"/>
      <c r="X261" s="29"/>
      <c r="Y261" s="29"/>
      <c r="Z261" s="30"/>
      <c r="AA261" s="29"/>
      <c r="AB261" s="29"/>
    </row>
    <row r="262" customFormat="false" ht="15" hidden="false" customHeight="false" outlineLevel="0" collapsed="false">
      <c r="A262" s="41" t="str">
        <f aca="false">IF(B262="","",ROW()-4)</f>
        <v/>
      </c>
      <c r="B262" s="39"/>
      <c r="C262" s="29"/>
      <c r="D262" s="29"/>
      <c r="E262" s="29"/>
      <c r="F262" s="29"/>
      <c r="G262" s="29"/>
      <c r="H262" s="32"/>
      <c r="I262" s="29"/>
      <c r="J262" s="29"/>
      <c r="K262" s="29"/>
      <c r="L262" s="29"/>
      <c r="M262" s="29"/>
      <c r="N262" s="29"/>
      <c r="O262" s="29"/>
      <c r="P262" s="29"/>
      <c r="Q262" s="24" t="str">
        <f aca="false">IF(N262&lt;&gt;"",UPPER(TRIM(N262)),IF(P262&lt;&gt;"",UPPER(TRIM(P262)),""))</f>
        <v/>
      </c>
      <c r="R262" s="24" t="str">
        <f aca="false">IF(B262="","",IF(N262&lt;&gt;"","UTM tracked",IF(P262&lt;&gt;"","Manual / self-reported",IF(O262&lt;&gt;"","Self-reported channel only","Unattributed"))))</f>
        <v/>
      </c>
      <c r="S262" s="24" t="str">
        <f aca="false">IF(Q262="","",IFERROR(INDEX('Post Tracker'!$G$5:$G$1004,MATCH(Q262,'Post Tracker'!$A$5:$A$1004,0)),"ID NOT FOUND"))</f>
        <v/>
      </c>
      <c r="T262" s="24" t="str">
        <f aca="false">IF(Q262="","",IFERROR(INDEX('Post Tracker'!$K$5:$K$1004,MATCH(Q262,'Post Tracker'!$A$5:$A$1004,0))&amp;"",""))</f>
        <v/>
      </c>
      <c r="U262" s="33" t="str">
        <f aca="false">IF(OR(Q262="",B262=""),"",IFERROR(B262-INDEX('Post Tracker'!$B$5:$B$1004,MATCH(Q262,'Post Tracker'!$A$5:$A$1004,0)),""))</f>
        <v/>
      </c>
      <c r="V262" s="39"/>
      <c r="W262" s="29"/>
      <c r="X262" s="29"/>
      <c r="Y262" s="29"/>
      <c r="Z262" s="30"/>
      <c r="AA262" s="29"/>
      <c r="AB262" s="29"/>
    </row>
    <row r="263" customFormat="false" ht="15" hidden="false" customHeight="false" outlineLevel="0" collapsed="false">
      <c r="A263" s="41" t="str">
        <f aca="false">IF(B263="","",ROW()-4)</f>
        <v/>
      </c>
      <c r="B263" s="39"/>
      <c r="C263" s="29"/>
      <c r="D263" s="29"/>
      <c r="E263" s="29"/>
      <c r="F263" s="29"/>
      <c r="G263" s="29"/>
      <c r="H263" s="32"/>
      <c r="I263" s="29"/>
      <c r="J263" s="29"/>
      <c r="K263" s="29"/>
      <c r="L263" s="29"/>
      <c r="M263" s="29"/>
      <c r="N263" s="29"/>
      <c r="O263" s="29"/>
      <c r="P263" s="29"/>
      <c r="Q263" s="24" t="str">
        <f aca="false">IF(N263&lt;&gt;"",UPPER(TRIM(N263)),IF(P263&lt;&gt;"",UPPER(TRIM(P263)),""))</f>
        <v/>
      </c>
      <c r="R263" s="24" t="str">
        <f aca="false">IF(B263="","",IF(N263&lt;&gt;"","UTM tracked",IF(P263&lt;&gt;"","Manual / self-reported",IF(O263&lt;&gt;"","Self-reported channel only","Unattributed"))))</f>
        <v/>
      </c>
      <c r="S263" s="24" t="str">
        <f aca="false">IF(Q263="","",IFERROR(INDEX('Post Tracker'!$G$5:$G$1004,MATCH(Q263,'Post Tracker'!$A$5:$A$1004,0)),"ID NOT FOUND"))</f>
        <v/>
      </c>
      <c r="T263" s="24" t="str">
        <f aca="false">IF(Q263="","",IFERROR(INDEX('Post Tracker'!$K$5:$K$1004,MATCH(Q263,'Post Tracker'!$A$5:$A$1004,0))&amp;"",""))</f>
        <v/>
      </c>
      <c r="U263" s="33" t="str">
        <f aca="false">IF(OR(Q263="",B263=""),"",IFERROR(B263-INDEX('Post Tracker'!$B$5:$B$1004,MATCH(Q263,'Post Tracker'!$A$5:$A$1004,0)),""))</f>
        <v/>
      </c>
      <c r="V263" s="39"/>
      <c r="W263" s="29"/>
      <c r="X263" s="29"/>
      <c r="Y263" s="29"/>
      <c r="Z263" s="30"/>
      <c r="AA263" s="29"/>
      <c r="AB263" s="29"/>
    </row>
    <row r="264" customFormat="false" ht="15" hidden="false" customHeight="false" outlineLevel="0" collapsed="false">
      <c r="A264" s="41" t="str">
        <f aca="false">IF(B264="","",ROW()-4)</f>
        <v/>
      </c>
      <c r="B264" s="39"/>
      <c r="C264" s="29"/>
      <c r="D264" s="29"/>
      <c r="E264" s="29"/>
      <c r="F264" s="29"/>
      <c r="G264" s="29"/>
      <c r="H264" s="32"/>
      <c r="I264" s="29"/>
      <c r="J264" s="29"/>
      <c r="K264" s="29"/>
      <c r="L264" s="29"/>
      <c r="M264" s="29"/>
      <c r="N264" s="29"/>
      <c r="O264" s="29"/>
      <c r="P264" s="29"/>
      <c r="Q264" s="24" t="str">
        <f aca="false">IF(N264&lt;&gt;"",UPPER(TRIM(N264)),IF(P264&lt;&gt;"",UPPER(TRIM(P264)),""))</f>
        <v/>
      </c>
      <c r="R264" s="24" t="str">
        <f aca="false">IF(B264="","",IF(N264&lt;&gt;"","UTM tracked",IF(P264&lt;&gt;"","Manual / self-reported",IF(O264&lt;&gt;"","Self-reported channel only","Unattributed"))))</f>
        <v/>
      </c>
      <c r="S264" s="24" t="str">
        <f aca="false">IF(Q264="","",IFERROR(INDEX('Post Tracker'!$G$5:$G$1004,MATCH(Q264,'Post Tracker'!$A$5:$A$1004,0)),"ID NOT FOUND"))</f>
        <v/>
      </c>
      <c r="T264" s="24" t="str">
        <f aca="false">IF(Q264="","",IFERROR(INDEX('Post Tracker'!$K$5:$K$1004,MATCH(Q264,'Post Tracker'!$A$5:$A$1004,0))&amp;"",""))</f>
        <v/>
      </c>
      <c r="U264" s="33" t="str">
        <f aca="false">IF(OR(Q264="",B264=""),"",IFERROR(B264-INDEX('Post Tracker'!$B$5:$B$1004,MATCH(Q264,'Post Tracker'!$A$5:$A$1004,0)),""))</f>
        <v/>
      </c>
      <c r="V264" s="39"/>
      <c r="W264" s="29"/>
      <c r="X264" s="29"/>
      <c r="Y264" s="29"/>
      <c r="Z264" s="30"/>
      <c r="AA264" s="29"/>
      <c r="AB264" s="29"/>
    </row>
    <row r="265" customFormat="false" ht="15" hidden="false" customHeight="false" outlineLevel="0" collapsed="false">
      <c r="A265" s="41" t="str">
        <f aca="false">IF(B265="","",ROW()-4)</f>
        <v/>
      </c>
      <c r="B265" s="39"/>
      <c r="C265" s="29"/>
      <c r="D265" s="29"/>
      <c r="E265" s="29"/>
      <c r="F265" s="29"/>
      <c r="G265" s="29"/>
      <c r="H265" s="32"/>
      <c r="I265" s="29"/>
      <c r="J265" s="29"/>
      <c r="K265" s="29"/>
      <c r="L265" s="29"/>
      <c r="M265" s="29"/>
      <c r="N265" s="29"/>
      <c r="O265" s="29"/>
      <c r="P265" s="29"/>
      <c r="Q265" s="24" t="str">
        <f aca="false">IF(N265&lt;&gt;"",UPPER(TRIM(N265)),IF(P265&lt;&gt;"",UPPER(TRIM(P265)),""))</f>
        <v/>
      </c>
      <c r="R265" s="24" t="str">
        <f aca="false">IF(B265="","",IF(N265&lt;&gt;"","UTM tracked",IF(P265&lt;&gt;"","Manual / self-reported",IF(O265&lt;&gt;"","Self-reported channel only","Unattributed"))))</f>
        <v/>
      </c>
      <c r="S265" s="24" t="str">
        <f aca="false">IF(Q265="","",IFERROR(INDEX('Post Tracker'!$G$5:$G$1004,MATCH(Q265,'Post Tracker'!$A$5:$A$1004,0)),"ID NOT FOUND"))</f>
        <v/>
      </c>
      <c r="T265" s="24" t="str">
        <f aca="false">IF(Q265="","",IFERROR(INDEX('Post Tracker'!$K$5:$K$1004,MATCH(Q265,'Post Tracker'!$A$5:$A$1004,0))&amp;"",""))</f>
        <v/>
      </c>
      <c r="U265" s="33" t="str">
        <f aca="false">IF(OR(Q265="",B265=""),"",IFERROR(B265-INDEX('Post Tracker'!$B$5:$B$1004,MATCH(Q265,'Post Tracker'!$A$5:$A$1004,0)),""))</f>
        <v/>
      </c>
      <c r="V265" s="39"/>
      <c r="W265" s="29"/>
      <c r="X265" s="29"/>
      <c r="Y265" s="29"/>
      <c r="Z265" s="30"/>
      <c r="AA265" s="29"/>
      <c r="AB265" s="29"/>
    </row>
    <row r="266" customFormat="false" ht="15" hidden="false" customHeight="false" outlineLevel="0" collapsed="false">
      <c r="A266" s="41" t="str">
        <f aca="false">IF(B266="","",ROW()-4)</f>
        <v/>
      </c>
      <c r="B266" s="39"/>
      <c r="C266" s="29"/>
      <c r="D266" s="29"/>
      <c r="E266" s="29"/>
      <c r="F266" s="29"/>
      <c r="G266" s="29"/>
      <c r="H266" s="32"/>
      <c r="I266" s="29"/>
      <c r="J266" s="29"/>
      <c r="K266" s="29"/>
      <c r="L266" s="29"/>
      <c r="M266" s="29"/>
      <c r="N266" s="29"/>
      <c r="O266" s="29"/>
      <c r="P266" s="29"/>
      <c r="Q266" s="24" t="str">
        <f aca="false">IF(N266&lt;&gt;"",UPPER(TRIM(N266)),IF(P266&lt;&gt;"",UPPER(TRIM(P266)),""))</f>
        <v/>
      </c>
      <c r="R266" s="24" t="str">
        <f aca="false">IF(B266="","",IF(N266&lt;&gt;"","UTM tracked",IF(P266&lt;&gt;"","Manual / self-reported",IF(O266&lt;&gt;"","Self-reported channel only","Unattributed"))))</f>
        <v/>
      </c>
      <c r="S266" s="24" t="str">
        <f aca="false">IF(Q266="","",IFERROR(INDEX('Post Tracker'!$G$5:$G$1004,MATCH(Q266,'Post Tracker'!$A$5:$A$1004,0)),"ID NOT FOUND"))</f>
        <v/>
      </c>
      <c r="T266" s="24" t="str">
        <f aca="false">IF(Q266="","",IFERROR(INDEX('Post Tracker'!$K$5:$K$1004,MATCH(Q266,'Post Tracker'!$A$5:$A$1004,0))&amp;"",""))</f>
        <v/>
      </c>
      <c r="U266" s="33" t="str">
        <f aca="false">IF(OR(Q266="",B266=""),"",IFERROR(B266-INDEX('Post Tracker'!$B$5:$B$1004,MATCH(Q266,'Post Tracker'!$A$5:$A$1004,0)),""))</f>
        <v/>
      </c>
      <c r="V266" s="39"/>
      <c r="W266" s="29"/>
      <c r="X266" s="29"/>
      <c r="Y266" s="29"/>
      <c r="Z266" s="30"/>
      <c r="AA266" s="29"/>
      <c r="AB266" s="29"/>
    </row>
    <row r="267" customFormat="false" ht="15" hidden="false" customHeight="false" outlineLevel="0" collapsed="false">
      <c r="A267" s="41" t="str">
        <f aca="false">IF(B267="","",ROW()-4)</f>
        <v/>
      </c>
      <c r="B267" s="39"/>
      <c r="C267" s="29"/>
      <c r="D267" s="29"/>
      <c r="E267" s="29"/>
      <c r="F267" s="29"/>
      <c r="G267" s="29"/>
      <c r="H267" s="32"/>
      <c r="I267" s="29"/>
      <c r="J267" s="29"/>
      <c r="K267" s="29"/>
      <c r="L267" s="29"/>
      <c r="M267" s="29"/>
      <c r="N267" s="29"/>
      <c r="O267" s="29"/>
      <c r="P267" s="29"/>
      <c r="Q267" s="24" t="str">
        <f aca="false">IF(N267&lt;&gt;"",UPPER(TRIM(N267)),IF(P267&lt;&gt;"",UPPER(TRIM(P267)),""))</f>
        <v/>
      </c>
      <c r="R267" s="24" t="str">
        <f aca="false">IF(B267="","",IF(N267&lt;&gt;"","UTM tracked",IF(P267&lt;&gt;"","Manual / self-reported",IF(O267&lt;&gt;"","Self-reported channel only","Unattributed"))))</f>
        <v/>
      </c>
      <c r="S267" s="24" t="str">
        <f aca="false">IF(Q267="","",IFERROR(INDEX('Post Tracker'!$G$5:$G$1004,MATCH(Q267,'Post Tracker'!$A$5:$A$1004,0)),"ID NOT FOUND"))</f>
        <v/>
      </c>
      <c r="T267" s="24" t="str">
        <f aca="false">IF(Q267="","",IFERROR(INDEX('Post Tracker'!$K$5:$K$1004,MATCH(Q267,'Post Tracker'!$A$5:$A$1004,0))&amp;"",""))</f>
        <v/>
      </c>
      <c r="U267" s="33" t="str">
        <f aca="false">IF(OR(Q267="",B267=""),"",IFERROR(B267-INDEX('Post Tracker'!$B$5:$B$1004,MATCH(Q267,'Post Tracker'!$A$5:$A$1004,0)),""))</f>
        <v/>
      </c>
      <c r="V267" s="39"/>
      <c r="W267" s="29"/>
      <c r="X267" s="29"/>
      <c r="Y267" s="29"/>
      <c r="Z267" s="30"/>
      <c r="AA267" s="29"/>
      <c r="AB267" s="29"/>
    </row>
    <row r="268" customFormat="false" ht="15" hidden="false" customHeight="false" outlineLevel="0" collapsed="false">
      <c r="A268" s="41" t="str">
        <f aca="false">IF(B268="","",ROW()-4)</f>
        <v/>
      </c>
      <c r="B268" s="39"/>
      <c r="C268" s="29"/>
      <c r="D268" s="29"/>
      <c r="E268" s="29"/>
      <c r="F268" s="29"/>
      <c r="G268" s="29"/>
      <c r="H268" s="32"/>
      <c r="I268" s="29"/>
      <c r="J268" s="29"/>
      <c r="K268" s="29"/>
      <c r="L268" s="29"/>
      <c r="M268" s="29"/>
      <c r="N268" s="29"/>
      <c r="O268" s="29"/>
      <c r="P268" s="29"/>
      <c r="Q268" s="24" t="str">
        <f aca="false">IF(N268&lt;&gt;"",UPPER(TRIM(N268)),IF(P268&lt;&gt;"",UPPER(TRIM(P268)),""))</f>
        <v/>
      </c>
      <c r="R268" s="24" t="str">
        <f aca="false">IF(B268="","",IF(N268&lt;&gt;"","UTM tracked",IF(P268&lt;&gt;"","Manual / self-reported",IF(O268&lt;&gt;"","Self-reported channel only","Unattributed"))))</f>
        <v/>
      </c>
      <c r="S268" s="24" t="str">
        <f aca="false">IF(Q268="","",IFERROR(INDEX('Post Tracker'!$G$5:$G$1004,MATCH(Q268,'Post Tracker'!$A$5:$A$1004,0)),"ID NOT FOUND"))</f>
        <v/>
      </c>
      <c r="T268" s="24" t="str">
        <f aca="false">IF(Q268="","",IFERROR(INDEX('Post Tracker'!$K$5:$K$1004,MATCH(Q268,'Post Tracker'!$A$5:$A$1004,0))&amp;"",""))</f>
        <v/>
      </c>
      <c r="U268" s="33" t="str">
        <f aca="false">IF(OR(Q268="",B268=""),"",IFERROR(B268-INDEX('Post Tracker'!$B$5:$B$1004,MATCH(Q268,'Post Tracker'!$A$5:$A$1004,0)),""))</f>
        <v/>
      </c>
      <c r="V268" s="39"/>
      <c r="W268" s="29"/>
      <c r="X268" s="29"/>
      <c r="Y268" s="29"/>
      <c r="Z268" s="30"/>
      <c r="AA268" s="29"/>
      <c r="AB268" s="29"/>
    </row>
    <row r="269" customFormat="false" ht="15" hidden="false" customHeight="false" outlineLevel="0" collapsed="false">
      <c r="A269" s="41" t="str">
        <f aca="false">IF(B269="","",ROW()-4)</f>
        <v/>
      </c>
      <c r="B269" s="39"/>
      <c r="C269" s="29"/>
      <c r="D269" s="29"/>
      <c r="E269" s="29"/>
      <c r="F269" s="29"/>
      <c r="G269" s="29"/>
      <c r="H269" s="32"/>
      <c r="I269" s="29"/>
      <c r="J269" s="29"/>
      <c r="K269" s="29"/>
      <c r="L269" s="29"/>
      <c r="M269" s="29"/>
      <c r="N269" s="29"/>
      <c r="O269" s="29"/>
      <c r="P269" s="29"/>
      <c r="Q269" s="24" t="str">
        <f aca="false">IF(N269&lt;&gt;"",UPPER(TRIM(N269)),IF(P269&lt;&gt;"",UPPER(TRIM(P269)),""))</f>
        <v/>
      </c>
      <c r="R269" s="24" t="str">
        <f aca="false">IF(B269="","",IF(N269&lt;&gt;"","UTM tracked",IF(P269&lt;&gt;"","Manual / self-reported",IF(O269&lt;&gt;"","Self-reported channel only","Unattributed"))))</f>
        <v/>
      </c>
      <c r="S269" s="24" t="str">
        <f aca="false">IF(Q269="","",IFERROR(INDEX('Post Tracker'!$G$5:$G$1004,MATCH(Q269,'Post Tracker'!$A$5:$A$1004,0)),"ID NOT FOUND"))</f>
        <v/>
      </c>
      <c r="T269" s="24" t="str">
        <f aca="false">IF(Q269="","",IFERROR(INDEX('Post Tracker'!$K$5:$K$1004,MATCH(Q269,'Post Tracker'!$A$5:$A$1004,0))&amp;"",""))</f>
        <v/>
      </c>
      <c r="U269" s="33" t="str">
        <f aca="false">IF(OR(Q269="",B269=""),"",IFERROR(B269-INDEX('Post Tracker'!$B$5:$B$1004,MATCH(Q269,'Post Tracker'!$A$5:$A$1004,0)),""))</f>
        <v/>
      </c>
      <c r="V269" s="39"/>
      <c r="W269" s="29"/>
      <c r="X269" s="29"/>
      <c r="Y269" s="29"/>
      <c r="Z269" s="30"/>
      <c r="AA269" s="29"/>
      <c r="AB269" s="29"/>
    </row>
    <row r="270" customFormat="false" ht="15" hidden="false" customHeight="false" outlineLevel="0" collapsed="false">
      <c r="A270" s="41" t="str">
        <f aca="false">IF(B270="","",ROW()-4)</f>
        <v/>
      </c>
      <c r="B270" s="39"/>
      <c r="C270" s="29"/>
      <c r="D270" s="29"/>
      <c r="E270" s="29"/>
      <c r="F270" s="29"/>
      <c r="G270" s="29"/>
      <c r="H270" s="32"/>
      <c r="I270" s="29"/>
      <c r="J270" s="29"/>
      <c r="K270" s="29"/>
      <c r="L270" s="29"/>
      <c r="M270" s="29"/>
      <c r="N270" s="29"/>
      <c r="O270" s="29"/>
      <c r="P270" s="29"/>
      <c r="Q270" s="24" t="str">
        <f aca="false">IF(N270&lt;&gt;"",UPPER(TRIM(N270)),IF(P270&lt;&gt;"",UPPER(TRIM(P270)),""))</f>
        <v/>
      </c>
      <c r="R270" s="24" t="str">
        <f aca="false">IF(B270="","",IF(N270&lt;&gt;"","UTM tracked",IF(P270&lt;&gt;"","Manual / self-reported",IF(O270&lt;&gt;"","Self-reported channel only","Unattributed"))))</f>
        <v/>
      </c>
      <c r="S270" s="24" t="str">
        <f aca="false">IF(Q270="","",IFERROR(INDEX('Post Tracker'!$G$5:$G$1004,MATCH(Q270,'Post Tracker'!$A$5:$A$1004,0)),"ID NOT FOUND"))</f>
        <v/>
      </c>
      <c r="T270" s="24" t="str">
        <f aca="false">IF(Q270="","",IFERROR(INDEX('Post Tracker'!$K$5:$K$1004,MATCH(Q270,'Post Tracker'!$A$5:$A$1004,0))&amp;"",""))</f>
        <v/>
      </c>
      <c r="U270" s="33" t="str">
        <f aca="false">IF(OR(Q270="",B270=""),"",IFERROR(B270-INDEX('Post Tracker'!$B$5:$B$1004,MATCH(Q270,'Post Tracker'!$A$5:$A$1004,0)),""))</f>
        <v/>
      </c>
      <c r="V270" s="39"/>
      <c r="W270" s="29"/>
      <c r="X270" s="29"/>
      <c r="Y270" s="29"/>
      <c r="Z270" s="30"/>
      <c r="AA270" s="29"/>
      <c r="AB270" s="29"/>
    </row>
    <row r="271" customFormat="false" ht="15" hidden="false" customHeight="false" outlineLevel="0" collapsed="false">
      <c r="A271" s="41" t="str">
        <f aca="false">IF(B271="","",ROW()-4)</f>
        <v/>
      </c>
      <c r="B271" s="39"/>
      <c r="C271" s="29"/>
      <c r="D271" s="29"/>
      <c r="E271" s="29"/>
      <c r="F271" s="29"/>
      <c r="G271" s="29"/>
      <c r="H271" s="32"/>
      <c r="I271" s="29"/>
      <c r="J271" s="29"/>
      <c r="K271" s="29"/>
      <c r="L271" s="29"/>
      <c r="M271" s="29"/>
      <c r="N271" s="29"/>
      <c r="O271" s="29"/>
      <c r="P271" s="29"/>
      <c r="Q271" s="24" t="str">
        <f aca="false">IF(N271&lt;&gt;"",UPPER(TRIM(N271)),IF(P271&lt;&gt;"",UPPER(TRIM(P271)),""))</f>
        <v/>
      </c>
      <c r="R271" s="24" t="str">
        <f aca="false">IF(B271="","",IF(N271&lt;&gt;"","UTM tracked",IF(P271&lt;&gt;"","Manual / self-reported",IF(O271&lt;&gt;"","Self-reported channel only","Unattributed"))))</f>
        <v/>
      </c>
      <c r="S271" s="24" t="str">
        <f aca="false">IF(Q271="","",IFERROR(INDEX('Post Tracker'!$G$5:$G$1004,MATCH(Q271,'Post Tracker'!$A$5:$A$1004,0)),"ID NOT FOUND"))</f>
        <v/>
      </c>
      <c r="T271" s="24" t="str">
        <f aca="false">IF(Q271="","",IFERROR(INDEX('Post Tracker'!$K$5:$K$1004,MATCH(Q271,'Post Tracker'!$A$5:$A$1004,0))&amp;"",""))</f>
        <v/>
      </c>
      <c r="U271" s="33" t="str">
        <f aca="false">IF(OR(Q271="",B271=""),"",IFERROR(B271-INDEX('Post Tracker'!$B$5:$B$1004,MATCH(Q271,'Post Tracker'!$A$5:$A$1004,0)),""))</f>
        <v/>
      </c>
      <c r="V271" s="39"/>
      <c r="W271" s="29"/>
      <c r="X271" s="29"/>
      <c r="Y271" s="29"/>
      <c r="Z271" s="30"/>
      <c r="AA271" s="29"/>
      <c r="AB271" s="29"/>
    </row>
    <row r="272" customFormat="false" ht="15" hidden="false" customHeight="false" outlineLevel="0" collapsed="false">
      <c r="A272" s="41" t="str">
        <f aca="false">IF(B272="","",ROW()-4)</f>
        <v/>
      </c>
      <c r="B272" s="39"/>
      <c r="C272" s="29"/>
      <c r="D272" s="29"/>
      <c r="E272" s="29"/>
      <c r="F272" s="29"/>
      <c r="G272" s="29"/>
      <c r="H272" s="32"/>
      <c r="I272" s="29"/>
      <c r="J272" s="29"/>
      <c r="K272" s="29"/>
      <c r="L272" s="29"/>
      <c r="M272" s="29"/>
      <c r="N272" s="29"/>
      <c r="O272" s="29"/>
      <c r="P272" s="29"/>
      <c r="Q272" s="24" t="str">
        <f aca="false">IF(N272&lt;&gt;"",UPPER(TRIM(N272)),IF(P272&lt;&gt;"",UPPER(TRIM(P272)),""))</f>
        <v/>
      </c>
      <c r="R272" s="24" t="str">
        <f aca="false">IF(B272="","",IF(N272&lt;&gt;"","UTM tracked",IF(P272&lt;&gt;"","Manual / self-reported",IF(O272&lt;&gt;"","Self-reported channel only","Unattributed"))))</f>
        <v/>
      </c>
      <c r="S272" s="24" t="str">
        <f aca="false">IF(Q272="","",IFERROR(INDEX('Post Tracker'!$G$5:$G$1004,MATCH(Q272,'Post Tracker'!$A$5:$A$1004,0)),"ID NOT FOUND"))</f>
        <v/>
      </c>
      <c r="T272" s="24" t="str">
        <f aca="false">IF(Q272="","",IFERROR(INDEX('Post Tracker'!$K$5:$K$1004,MATCH(Q272,'Post Tracker'!$A$5:$A$1004,0))&amp;"",""))</f>
        <v/>
      </c>
      <c r="U272" s="33" t="str">
        <f aca="false">IF(OR(Q272="",B272=""),"",IFERROR(B272-INDEX('Post Tracker'!$B$5:$B$1004,MATCH(Q272,'Post Tracker'!$A$5:$A$1004,0)),""))</f>
        <v/>
      </c>
      <c r="V272" s="39"/>
      <c r="W272" s="29"/>
      <c r="X272" s="29"/>
      <c r="Y272" s="29"/>
      <c r="Z272" s="30"/>
      <c r="AA272" s="29"/>
      <c r="AB272" s="29"/>
    </row>
    <row r="273" customFormat="false" ht="15" hidden="false" customHeight="false" outlineLevel="0" collapsed="false">
      <c r="A273" s="41" t="str">
        <f aca="false">IF(B273="","",ROW()-4)</f>
        <v/>
      </c>
      <c r="B273" s="39"/>
      <c r="C273" s="29"/>
      <c r="D273" s="29"/>
      <c r="E273" s="29"/>
      <c r="F273" s="29"/>
      <c r="G273" s="29"/>
      <c r="H273" s="32"/>
      <c r="I273" s="29"/>
      <c r="J273" s="29"/>
      <c r="K273" s="29"/>
      <c r="L273" s="29"/>
      <c r="M273" s="29"/>
      <c r="N273" s="29"/>
      <c r="O273" s="29"/>
      <c r="P273" s="29"/>
      <c r="Q273" s="24" t="str">
        <f aca="false">IF(N273&lt;&gt;"",UPPER(TRIM(N273)),IF(P273&lt;&gt;"",UPPER(TRIM(P273)),""))</f>
        <v/>
      </c>
      <c r="R273" s="24" t="str">
        <f aca="false">IF(B273="","",IF(N273&lt;&gt;"","UTM tracked",IF(P273&lt;&gt;"","Manual / self-reported",IF(O273&lt;&gt;"","Self-reported channel only","Unattributed"))))</f>
        <v/>
      </c>
      <c r="S273" s="24" t="str">
        <f aca="false">IF(Q273="","",IFERROR(INDEX('Post Tracker'!$G$5:$G$1004,MATCH(Q273,'Post Tracker'!$A$5:$A$1004,0)),"ID NOT FOUND"))</f>
        <v/>
      </c>
      <c r="T273" s="24" t="str">
        <f aca="false">IF(Q273="","",IFERROR(INDEX('Post Tracker'!$K$5:$K$1004,MATCH(Q273,'Post Tracker'!$A$5:$A$1004,0))&amp;"",""))</f>
        <v/>
      </c>
      <c r="U273" s="33" t="str">
        <f aca="false">IF(OR(Q273="",B273=""),"",IFERROR(B273-INDEX('Post Tracker'!$B$5:$B$1004,MATCH(Q273,'Post Tracker'!$A$5:$A$1004,0)),""))</f>
        <v/>
      </c>
      <c r="V273" s="39"/>
      <c r="W273" s="29"/>
      <c r="X273" s="29"/>
      <c r="Y273" s="29"/>
      <c r="Z273" s="30"/>
      <c r="AA273" s="29"/>
      <c r="AB273" s="29"/>
    </row>
    <row r="274" customFormat="false" ht="15" hidden="false" customHeight="false" outlineLevel="0" collapsed="false">
      <c r="A274" s="41" t="str">
        <f aca="false">IF(B274="","",ROW()-4)</f>
        <v/>
      </c>
      <c r="B274" s="39"/>
      <c r="C274" s="29"/>
      <c r="D274" s="29"/>
      <c r="E274" s="29"/>
      <c r="F274" s="29"/>
      <c r="G274" s="29"/>
      <c r="H274" s="32"/>
      <c r="I274" s="29"/>
      <c r="J274" s="29"/>
      <c r="K274" s="29"/>
      <c r="L274" s="29"/>
      <c r="M274" s="29"/>
      <c r="N274" s="29"/>
      <c r="O274" s="29"/>
      <c r="P274" s="29"/>
      <c r="Q274" s="24" t="str">
        <f aca="false">IF(N274&lt;&gt;"",UPPER(TRIM(N274)),IF(P274&lt;&gt;"",UPPER(TRIM(P274)),""))</f>
        <v/>
      </c>
      <c r="R274" s="24" t="str">
        <f aca="false">IF(B274="","",IF(N274&lt;&gt;"","UTM tracked",IF(P274&lt;&gt;"","Manual / self-reported",IF(O274&lt;&gt;"","Self-reported channel only","Unattributed"))))</f>
        <v/>
      </c>
      <c r="S274" s="24" t="str">
        <f aca="false">IF(Q274="","",IFERROR(INDEX('Post Tracker'!$G$5:$G$1004,MATCH(Q274,'Post Tracker'!$A$5:$A$1004,0)),"ID NOT FOUND"))</f>
        <v/>
      </c>
      <c r="T274" s="24" t="str">
        <f aca="false">IF(Q274="","",IFERROR(INDEX('Post Tracker'!$K$5:$K$1004,MATCH(Q274,'Post Tracker'!$A$5:$A$1004,0))&amp;"",""))</f>
        <v/>
      </c>
      <c r="U274" s="33" t="str">
        <f aca="false">IF(OR(Q274="",B274=""),"",IFERROR(B274-INDEX('Post Tracker'!$B$5:$B$1004,MATCH(Q274,'Post Tracker'!$A$5:$A$1004,0)),""))</f>
        <v/>
      </c>
      <c r="V274" s="39"/>
      <c r="W274" s="29"/>
      <c r="X274" s="29"/>
      <c r="Y274" s="29"/>
      <c r="Z274" s="30"/>
      <c r="AA274" s="29"/>
      <c r="AB274" s="29"/>
    </row>
    <row r="275" customFormat="false" ht="15" hidden="false" customHeight="false" outlineLevel="0" collapsed="false">
      <c r="A275" s="41" t="str">
        <f aca="false">IF(B275="","",ROW()-4)</f>
        <v/>
      </c>
      <c r="B275" s="39"/>
      <c r="C275" s="29"/>
      <c r="D275" s="29"/>
      <c r="E275" s="29"/>
      <c r="F275" s="29"/>
      <c r="G275" s="29"/>
      <c r="H275" s="32"/>
      <c r="I275" s="29"/>
      <c r="J275" s="29"/>
      <c r="K275" s="29"/>
      <c r="L275" s="29"/>
      <c r="M275" s="29"/>
      <c r="N275" s="29"/>
      <c r="O275" s="29"/>
      <c r="P275" s="29"/>
      <c r="Q275" s="24" t="str">
        <f aca="false">IF(N275&lt;&gt;"",UPPER(TRIM(N275)),IF(P275&lt;&gt;"",UPPER(TRIM(P275)),""))</f>
        <v/>
      </c>
      <c r="R275" s="24" t="str">
        <f aca="false">IF(B275="","",IF(N275&lt;&gt;"","UTM tracked",IF(P275&lt;&gt;"","Manual / self-reported",IF(O275&lt;&gt;"","Self-reported channel only","Unattributed"))))</f>
        <v/>
      </c>
      <c r="S275" s="24" t="str">
        <f aca="false">IF(Q275="","",IFERROR(INDEX('Post Tracker'!$G$5:$G$1004,MATCH(Q275,'Post Tracker'!$A$5:$A$1004,0)),"ID NOT FOUND"))</f>
        <v/>
      </c>
      <c r="T275" s="24" t="str">
        <f aca="false">IF(Q275="","",IFERROR(INDEX('Post Tracker'!$K$5:$K$1004,MATCH(Q275,'Post Tracker'!$A$5:$A$1004,0))&amp;"",""))</f>
        <v/>
      </c>
      <c r="U275" s="33" t="str">
        <f aca="false">IF(OR(Q275="",B275=""),"",IFERROR(B275-INDEX('Post Tracker'!$B$5:$B$1004,MATCH(Q275,'Post Tracker'!$A$5:$A$1004,0)),""))</f>
        <v/>
      </c>
      <c r="V275" s="39"/>
      <c r="W275" s="29"/>
      <c r="X275" s="29"/>
      <c r="Y275" s="29"/>
      <c r="Z275" s="30"/>
      <c r="AA275" s="29"/>
      <c r="AB275" s="29"/>
    </row>
    <row r="276" customFormat="false" ht="15" hidden="false" customHeight="false" outlineLevel="0" collapsed="false">
      <c r="A276" s="41" t="str">
        <f aca="false">IF(B276="","",ROW()-4)</f>
        <v/>
      </c>
      <c r="B276" s="39"/>
      <c r="C276" s="29"/>
      <c r="D276" s="29"/>
      <c r="E276" s="29"/>
      <c r="F276" s="29"/>
      <c r="G276" s="29"/>
      <c r="H276" s="32"/>
      <c r="I276" s="29"/>
      <c r="J276" s="29"/>
      <c r="K276" s="29"/>
      <c r="L276" s="29"/>
      <c r="M276" s="29"/>
      <c r="N276" s="29"/>
      <c r="O276" s="29"/>
      <c r="P276" s="29"/>
      <c r="Q276" s="24" t="str">
        <f aca="false">IF(N276&lt;&gt;"",UPPER(TRIM(N276)),IF(P276&lt;&gt;"",UPPER(TRIM(P276)),""))</f>
        <v/>
      </c>
      <c r="R276" s="24" t="str">
        <f aca="false">IF(B276="","",IF(N276&lt;&gt;"","UTM tracked",IF(P276&lt;&gt;"","Manual / self-reported",IF(O276&lt;&gt;"","Self-reported channel only","Unattributed"))))</f>
        <v/>
      </c>
      <c r="S276" s="24" t="str">
        <f aca="false">IF(Q276="","",IFERROR(INDEX('Post Tracker'!$G$5:$G$1004,MATCH(Q276,'Post Tracker'!$A$5:$A$1004,0)),"ID NOT FOUND"))</f>
        <v/>
      </c>
      <c r="T276" s="24" t="str">
        <f aca="false">IF(Q276="","",IFERROR(INDEX('Post Tracker'!$K$5:$K$1004,MATCH(Q276,'Post Tracker'!$A$5:$A$1004,0))&amp;"",""))</f>
        <v/>
      </c>
      <c r="U276" s="33" t="str">
        <f aca="false">IF(OR(Q276="",B276=""),"",IFERROR(B276-INDEX('Post Tracker'!$B$5:$B$1004,MATCH(Q276,'Post Tracker'!$A$5:$A$1004,0)),""))</f>
        <v/>
      </c>
      <c r="V276" s="39"/>
      <c r="W276" s="29"/>
      <c r="X276" s="29"/>
      <c r="Y276" s="29"/>
      <c r="Z276" s="30"/>
      <c r="AA276" s="29"/>
      <c r="AB276" s="29"/>
    </row>
    <row r="277" customFormat="false" ht="15" hidden="false" customHeight="false" outlineLevel="0" collapsed="false">
      <c r="A277" s="41" t="str">
        <f aca="false">IF(B277="","",ROW()-4)</f>
        <v/>
      </c>
      <c r="B277" s="39"/>
      <c r="C277" s="29"/>
      <c r="D277" s="29"/>
      <c r="E277" s="29"/>
      <c r="F277" s="29"/>
      <c r="G277" s="29"/>
      <c r="H277" s="32"/>
      <c r="I277" s="29"/>
      <c r="J277" s="29"/>
      <c r="K277" s="29"/>
      <c r="L277" s="29"/>
      <c r="M277" s="29"/>
      <c r="N277" s="29"/>
      <c r="O277" s="29"/>
      <c r="P277" s="29"/>
      <c r="Q277" s="24" t="str">
        <f aca="false">IF(N277&lt;&gt;"",UPPER(TRIM(N277)),IF(P277&lt;&gt;"",UPPER(TRIM(P277)),""))</f>
        <v/>
      </c>
      <c r="R277" s="24" t="str">
        <f aca="false">IF(B277="","",IF(N277&lt;&gt;"","UTM tracked",IF(P277&lt;&gt;"","Manual / self-reported",IF(O277&lt;&gt;"","Self-reported channel only","Unattributed"))))</f>
        <v/>
      </c>
      <c r="S277" s="24" t="str">
        <f aca="false">IF(Q277="","",IFERROR(INDEX('Post Tracker'!$G$5:$G$1004,MATCH(Q277,'Post Tracker'!$A$5:$A$1004,0)),"ID NOT FOUND"))</f>
        <v/>
      </c>
      <c r="T277" s="24" t="str">
        <f aca="false">IF(Q277="","",IFERROR(INDEX('Post Tracker'!$K$5:$K$1004,MATCH(Q277,'Post Tracker'!$A$5:$A$1004,0))&amp;"",""))</f>
        <v/>
      </c>
      <c r="U277" s="33" t="str">
        <f aca="false">IF(OR(Q277="",B277=""),"",IFERROR(B277-INDEX('Post Tracker'!$B$5:$B$1004,MATCH(Q277,'Post Tracker'!$A$5:$A$1004,0)),""))</f>
        <v/>
      </c>
      <c r="V277" s="39"/>
      <c r="W277" s="29"/>
      <c r="X277" s="29"/>
      <c r="Y277" s="29"/>
      <c r="Z277" s="30"/>
      <c r="AA277" s="29"/>
      <c r="AB277" s="29"/>
    </row>
    <row r="278" customFormat="false" ht="15" hidden="false" customHeight="false" outlineLevel="0" collapsed="false">
      <c r="A278" s="41" t="str">
        <f aca="false">IF(B278="","",ROW()-4)</f>
        <v/>
      </c>
      <c r="B278" s="39"/>
      <c r="C278" s="29"/>
      <c r="D278" s="29"/>
      <c r="E278" s="29"/>
      <c r="F278" s="29"/>
      <c r="G278" s="29"/>
      <c r="H278" s="32"/>
      <c r="I278" s="29"/>
      <c r="J278" s="29"/>
      <c r="K278" s="29"/>
      <c r="L278" s="29"/>
      <c r="M278" s="29"/>
      <c r="N278" s="29"/>
      <c r="O278" s="29"/>
      <c r="P278" s="29"/>
      <c r="Q278" s="24" t="str">
        <f aca="false">IF(N278&lt;&gt;"",UPPER(TRIM(N278)),IF(P278&lt;&gt;"",UPPER(TRIM(P278)),""))</f>
        <v/>
      </c>
      <c r="R278" s="24" t="str">
        <f aca="false">IF(B278="","",IF(N278&lt;&gt;"","UTM tracked",IF(P278&lt;&gt;"","Manual / self-reported",IF(O278&lt;&gt;"","Self-reported channel only","Unattributed"))))</f>
        <v/>
      </c>
      <c r="S278" s="24" t="str">
        <f aca="false">IF(Q278="","",IFERROR(INDEX('Post Tracker'!$G$5:$G$1004,MATCH(Q278,'Post Tracker'!$A$5:$A$1004,0)),"ID NOT FOUND"))</f>
        <v/>
      </c>
      <c r="T278" s="24" t="str">
        <f aca="false">IF(Q278="","",IFERROR(INDEX('Post Tracker'!$K$5:$K$1004,MATCH(Q278,'Post Tracker'!$A$5:$A$1004,0))&amp;"",""))</f>
        <v/>
      </c>
      <c r="U278" s="33" t="str">
        <f aca="false">IF(OR(Q278="",B278=""),"",IFERROR(B278-INDEX('Post Tracker'!$B$5:$B$1004,MATCH(Q278,'Post Tracker'!$A$5:$A$1004,0)),""))</f>
        <v/>
      </c>
      <c r="V278" s="39"/>
      <c r="W278" s="29"/>
      <c r="X278" s="29"/>
      <c r="Y278" s="29"/>
      <c r="Z278" s="30"/>
      <c r="AA278" s="29"/>
      <c r="AB278" s="29"/>
    </row>
    <row r="279" customFormat="false" ht="15" hidden="false" customHeight="false" outlineLevel="0" collapsed="false">
      <c r="A279" s="41" t="str">
        <f aca="false">IF(B279="","",ROW()-4)</f>
        <v/>
      </c>
      <c r="B279" s="39"/>
      <c r="C279" s="29"/>
      <c r="D279" s="29"/>
      <c r="E279" s="29"/>
      <c r="F279" s="29"/>
      <c r="G279" s="29"/>
      <c r="H279" s="32"/>
      <c r="I279" s="29"/>
      <c r="J279" s="29"/>
      <c r="K279" s="29"/>
      <c r="L279" s="29"/>
      <c r="M279" s="29"/>
      <c r="N279" s="29"/>
      <c r="O279" s="29"/>
      <c r="P279" s="29"/>
      <c r="Q279" s="24" t="str">
        <f aca="false">IF(N279&lt;&gt;"",UPPER(TRIM(N279)),IF(P279&lt;&gt;"",UPPER(TRIM(P279)),""))</f>
        <v/>
      </c>
      <c r="R279" s="24" t="str">
        <f aca="false">IF(B279="","",IF(N279&lt;&gt;"","UTM tracked",IF(P279&lt;&gt;"","Manual / self-reported",IF(O279&lt;&gt;"","Self-reported channel only","Unattributed"))))</f>
        <v/>
      </c>
      <c r="S279" s="24" t="str">
        <f aca="false">IF(Q279="","",IFERROR(INDEX('Post Tracker'!$G$5:$G$1004,MATCH(Q279,'Post Tracker'!$A$5:$A$1004,0)),"ID NOT FOUND"))</f>
        <v/>
      </c>
      <c r="T279" s="24" t="str">
        <f aca="false">IF(Q279="","",IFERROR(INDEX('Post Tracker'!$K$5:$K$1004,MATCH(Q279,'Post Tracker'!$A$5:$A$1004,0))&amp;"",""))</f>
        <v/>
      </c>
      <c r="U279" s="33" t="str">
        <f aca="false">IF(OR(Q279="",B279=""),"",IFERROR(B279-INDEX('Post Tracker'!$B$5:$B$1004,MATCH(Q279,'Post Tracker'!$A$5:$A$1004,0)),""))</f>
        <v/>
      </c>
      <c r="V279" s="39"/>
      <c r="W279" s="29"/>
      <c r="X279" s="29"/>
      <c r="Y279" s="29"/>
      <c r="Z279" s="30"/>
      <c r="AA279" s="29"/>
      <c r="AB279" s="29"/>
    </row>
    <row r="280" customFormat="false" ht="15" hidden="false" customHeight="false" outlineLevel="0" collapsed="false">
      <c r="A280" s="41" t="str">
        <f aca="false">IF(B280="","",ROW()-4)</f>
        <v/>
      </c>
      <c r="B280" s="39"/>
      <c r="C280" s="29"/>
      <c r="D280" s="29"/>
      <c r="E280" s="29"/>
      <c r="F280" s="29"/>
      <c r="G280" s="29"/>
      <c r="H280" s="32"/>
      <c r="I280" s="29"/>
      <c r="J280" s="29"/>
      <c r="K280" s="29"/>
      <c r="L280" s="29"/>
      <c r="M280" s="29"/>
      <c r="N280" s="29"/>
      <c r="O280" s="29"/>
      <c r="P280" s="29"/>
      <c r="Q280" s="24" t="str">
        <f aca="false">IF(N280&lt;&gt;"",UPPER(TRIM(N280)),IF(P280&lt;&gt;"",UPPER(TRIM(P280)),""))</f>
        <v/>
      </c>
      <c r="R280" s="24" t="str">
        <f aca="false">IF(B280="","",IF(N280&lt;&gt;"","UTM tracked",IF(P280&lt;&gt;"","Manual / self-reported",IF(O280&lt;&gt;"","Self-reported channel only","Unattributed"))))</f>
        <v/>
      </c>
      <c r="S280" s="24" t="str">
        <f aca="false">IF(Q280="","",IFERROR(INDEX('Post Tracker'!$G$5:$G$1004,MATCH(Q280,'Post Tracker'!$A$5:$A$1004,0)),"ID NOT FOUND"))</f>
        <v/>
      </c>
      <c r="T280" s="24" t="str">
        <f aca="false">IF(Q280="","",IFERROR(INDEX('Post Tracker'!$K$5:$K$1004,MATCH(Q280,'Post Tracker'!$A$5:$A$1004,0))&amp;"",""))</f>
        <v/>
      </c>
      <c r="U280" s="33" t="str">
        <f aca="false">IF(OR(Q280="",B280=""),"",IFERROR(B280-INDEX('Post Tracker'!$B$5:$B$1004,MATCH(Q280,'Post Tracker'!$A$5:$A$1004,0)),""))</f>
        <v/>
      </c>
      <c r="V280" s="39"/>
      <c r="W280" s="29"/>
      <c r="X280" s="29"/>
      <c r="Y280" s="29"/>
      <c r="Z280" s="30"/>
      <c r="AA280" s="29"/>
      <c r="AB280" s="29"/>
    </row>
    <row r="281" customFormat="false" ht="15" hidden="false" customHeight="false" outlineLevel="0" collapsed="false">
      <c r="A281" s="41" t="str">
        <f aca="false">IF(B281="","",ROW()-4)</f>
        <v/>
      </c>
      <c r="B281" s="39"/>
      <c r="C281" s="29"/>
      <c r="D281" s="29"/>
      <c r="E281" s="29"/>
      <c r="F281" s="29"/>
      <c r="G281" s="29"/>
      <c r="H281" s="32"/>
      <c r="I281" s="29"/>
      <c r="J281" s="29"/>
      <c r="K281" s="29"/>
      <c r="L281" s="29"/>
      <c r="M281" s="29"/>
      <c r="N281" s="29"/>
      <c r="O281" s="29"/>
      <c r="P281" s="29"/>
      <c r="Q281" s="24" t="str">
        <f aca="false">IF(N281&lt;&gt;"",UPPER(TRIM(N281)),IF(P281&lt;&gt;"",UPPER(TRIM(P281)),""))</f>
        <v/>
      </c>
      <c r="R281" s="24" t="str">
        <f aca="false">IF(B281="","",IF(N281&lt;&gt;"","UTM tracked",IF(P281&lt;&gt;"","Manual / self-reported",IF(O281&lt;&gt;"","Self-reported channel only","Unattributed"))))</f>
        <v/>
      </c>
      <c r="S281" s="24" t="str">
        <f aca="false">IF(Q281="","",IFERROR(INDEX('Post Tracker'!$G$5:$G$1004,MATCH(Q281,'Post Tracker'!$A$5:$A$1004,0)),"ID NOT FOUND"))</f>
        <v/>
      </c>
      <c r="T281" s="24" t="str">
        <f aca="false">IF(Q281="","",IFERROR(INDEX('Post Tracker'!$K$5:$K$1004,MATCH(Q281,'Post Tracker'!$A$5:$A$1004,0))&amp;"",""))</f>
        <v/>
      </c>
      <c r="U281" s="33" t="str">
        <f aca="false">IF(OR(Q281="",B281=""),"",IFERROR(B281-INDEX('Post Tracker'!$B$5:$B$1004,MATCH(Q281,'Post Tracker'!$A$5:$A$1004,0)),""))</f>
        <v/>
      </c>
      <c r="V281" s="39"/>
      <c r="W281" s="29"/>
      <c r="X281" s="29"/>
      <c r="Y281" s="29"/>
      <c r="Z281" s="30"/>
      <c r="AA281" s="29"/>
      <c r="AB281" s="29"/>
    </row>
    <row r="282" customFormat="false" ht="15" hidden="false" customHeight="false" outlineLevel="0" collapsed="false">
      <c r="A282" s="41" t="str">
        <f aca="false">IF(B282="","",ROW()-4)</f>
        <v/>
      </c>
      <c r="B282" s="39"/>
      <c r="C282" s="29"/>
      <c r="D282" s="29"/>
      <c r="E282" s="29"/>
      <c r="F282" s="29"/>
      <c r="G282" s="29"/>
      <c r="H282" s="32"/>
      <c r="I282" s="29"/>
      <c r="J282" s="29"/>
      <c r="K282" s="29"/>
      <c r="L282" s="29"/>
      <c r="M282" s="29"/>
      <c r="N282" s="29"/>
      <c r="O282" s="29"/>
      <c r="P282" s="29"/>
      <c r="Q282" s="24" t="str">
        <f aca="false">IF(N282&lt;&gt;"",UPPER(TRIM(N282)),IF(P282&lt;&gt;"",UPPER(TRIM(P282)),""))</f>
        <v/>
      </c>
      <c r="R282" s="24" t="str">
        <f aca="false">IF(B282="","",IF(N282&lt;&gt;"","UTM tracked",IF(P282&lt;&gt;"","Manual / self-reported",IF(O282&lt;&gt;"","Self-reported channel only","Unattributed"))))</f>
        <v/>
      </c>
      <c r="S282" s="24" t="str">
        <f aca="false">IF(Q282="","",IFERROR(INDEX('Post Tracker'!$G$5:$G$1004,MATCH(Q282,'Post Tracker'!$A$5:$A$1004,0)),"ID NOT FOUND"))</f>
        <v/>
      </c>
      <c r="T282" s="24" t="str">
        <f aca="false">IF(Q282="","",IFERROR(INDEX('Post Tracker'!$K$5:$K$1004,MATCH(Q282,'Post Tracker'!$A$5:$A$1004,0))&amp;"",""))</f>
        <v/>
      </c>
      <c r="U282" s="33" t="str">
        <f aca="false">IF(OR(Q282="",B282=""),"",IFERROR(B282-INDEX('Post Tracker'!$B$5:$B$1004,MATCH(Q282,'Post Tracker'!$A$5:$A$1004,0)),""))</f>
        <v/>
      </c>
      <c r="V282" s="39"/>
      <c r="W282" s="29"/>
      <c r="X282" s="29"/>
      <c r="Y282" s="29"/>
      <c r="Z282" s="30"/>
      <c r="AA282" s="29"/>
      <c r="AB282" s="29"/>
    </row>
    <row r="283" customFormat="false" ht="15" hidden="false" customHeight="false" outlineLevel="0" collapsed="false">
      <c r="A283" s="41" t="str">
        <f aca="false">IF(B283="","",ROW()-4)</f>
        <v/>
      </c>
      <c r="B283" s="39"/>
      <c r="C283" s="29"/>
      <c r="D283" s="29"/>
      <c r="E283" s="29"/>
      <c r="F283" s="29"/>
      <c r="G283" s="29"/>
      <c r="H283" s="32"/>
      <c r="I283" s="29"/>
      <c r="J283" s="29"/>
      <c r="K283" s="29"/>
      <c r="L283" s="29"/>
      <c r="M283" s="29"/>
      <c r="N283" s="29"/>
      <c r="O283" s="29"/>
      <c r="P283" s="29"/>
      <c r="Q283" s="24" t="str">
        <f aca="false">IF(N283&lt;&gt;"",UPPER(TRIM(N283)),IF(P283&lt;&gt;"",UPPER(TRIM(P283)),""))</f>
        <v/>
      </c>
      <c r="R283" s="24" t="str">
        <f aca="false">IF(B283="","",IF(N283&lt;&gt;"","UTM tracked",IF(P283&lt;&gt;"","Manual / self-reported",IF(O283&lt;&gt;"","Self-reported channel only","Unattributed"))))</f>
        <v/>
      </c>
      <c r="S283" s="24" t="str">
        <f aca="false">IF(Q283="","",IFERROR(INDEX('Post Tracker'!$G$5:$G$1004,MATCH(Q283,'Post Tracker'!$A$5:$A$1004,0)),"ID NOT FOUND"))</f>
        <v/>
      </c>
      <c r="T283" s="24" t="str">
        <f aca="false">IF(Q283="","",IFERROR(INDEX('Post Tracker'!$K$5:$K$1004,MATCH(Q283,'Post Tracker'!$A$5:$A$1004,0))&amp;"",""))</f>
        <v/>
      </c>
      <c r="U283" s="33" t="str">
        <f aca="false">IF(OR(Q283="",B283=""),"",IFERROR(B283-INDEX('Post Tracker'!$B$5:$B$1004,MATCH(Q283,'Post Tracker'!$A$5:$A$1004,0)),""))</f>
        <v/>
      </c>
      <c r="V283" s="39"/>
      <c r="W283" s="29"/>
      <c r="X283" s="29"/>
      <c r="Y283" s="29"/>
      <c r="Z283" s="30"/>
      <c r="AA283" s="29"/>
      <c r="AB283" s="29"/>
    </row>
    <row r="284" customFormat="false" ht="15" hidden="false" customHeight="false" outlineLevel="0" collapsed="false">
      <c r="A284" s="41" t="str">
        <f aca="false">IF(B284="","",ROW()-4)</f>
        <v/>
      </c>
      <c r="B284" s="39"/>
      <c r="C284" s="29"/>
      <c r="D284" s="29"/>
      <c r="E284" s="29"/>
      <c r="F284" s="29"/>
      <c r="G284" s="29"/>
      <c r="H284" s="32"/>
      <c r="I284" s="29"/>
      <c r="J284" s="29"/>
      <c r="K284" s="29"/>
      <c r="L284" s="29"/>
      <c r="M284" s="29"/>
      <c r="N284" s="29"/>
      <c r="O284" s="29"/>
      <c r="P284" s="29"/>
      <c r="Q284" s="24" t="str">
        <f aca="false">IF(N284&lt;&gt;"",UPPER(TRIM(N284)),IF(P284&lt;&gt;"",UPPER(TRIM(P284)),""))</f>
        <v/>
      </c>
      <c r="R284" s="24" t="str">
        <f aca="false">IF(B284="","",IF(N284&lt;&gt;"","UTM tracked",IF(P284&lt;&gt;"","Manual / self-reported",IF(O284&lt;&gt;"","Self-reported channel only","Unattributed"))))</f>
        <v/>
      </c>
      <c r="S284" s="24" t="str">
        <f aca="false">IF(Q284="","",IFERROR(INDEX('Post Tracker'!$G$5:$G$1004,MATCH(Q284,'Post Tracker'!$A$5:$A$1004,0)),"ID NOT FOUND"))</f>
        <v/>
      </c>
      <c r="T284" s="24" t="str">
        <f aca="false">IF(Q284="","",IFERROR(INDEX('Post Tracker'!$K$5:$K$1004,MATCH(Q284,'Post Tracker'!$A$5:$A$1004,0))&amp;"",""))</f>
        <v/>
      </c>
      <c r="U284" s="33" t="str">
        <f aca="false">IF(OR(Q284="",B284=""),"",IFERROR(B284-INDEX('Post Tracker'!$B$5:$B$1004,MATCH(Q284,'Post Tracker'!$A$5:$A$1004,0)),""))</f>
        <v/>
      </c>
      <c r="V284" s="39"/>
      <c r="W284" s="29"/>
      <c r="X284" s="29"/>
      <c r="Y284" s="29"/>
      <c r="Z284" s="30"/>
      <c r="AA284" s="29"/>
      <c r="AB284" s="29"/>
    </row>
    <row r="285" customFormat="false" ht="15" hidden="false" customHeight="false" outlineLevel="0" collapsed="false">
      <c r="A285" s="41" t="str">
        <f aca="false">IF(B285="","",ROW()-4)</f>
        <v/>
      </c>
      <c r="B285" s="39"/>
      <c r="C285" s="29"/>
      <c r="D285" s="29"/>
      <c r="E285" s="29"/>
      <c r="F285" s="29"/>
      <c r="G285" s="29"/>
      <c r="H285" s="32"/>
      <c r="I285" s="29"/>
      <c r="J285" s="29"/>
      <c r="K285" s="29"/>
      <c r="L285" s="29"/>
      <c r="M285" s="29"/>
      <c r="N285" s="29"/>
      <c r="O285" s="29"/>
      <c r="P285" s="29"/>
      <c r="Q285" s="24" t="str">
        <f aca="false">IF(N285&lt;&gt;"",UPPER(TRIM(N285)),IF(P285&lt;&gt;"",UPPER(TRIM(P285)),""))</f>
        <v/>
      </c>
      <c r="R285" s="24" t="str">
        <f aca="false">IF(B285="","",IF(N285&lt;&gt;"","UTM tracked",IF(P285&lt;&gt;"","Manual / self-reported",IF(O285&lt;&gt;"","Self-reported channel only","Unattributed"))))</f>
        <v/>
      </c>
      <c r="S285" s="24" t="str">
        <f aca="false">IF(Q285="","",IFERROR(INDEX('Post Tracker'!$G$5:$G$1004,MATCH(Q285,'Post Tracker'!$A$5:$A$1004,0)),"ID NOT FOUND"))</f>
        <v/>
      </c>
      <c r="T285" s="24" t="str">
        <f aca="false">IF(Q285="","",IFERROR(INDEX('Post Tracker'!$K$5:$K$1004,MATCH(Q285,'Post Tracker'!$A$5:$A$1004,0))&amp;"",""))</f>
        <v/>
      </c>
      <c r="U285" s="33" t="str">
        <f aca="false">IF(OR(Q285="",B285=""),"",IFERROR(B285-INDEX('Post Tracker'!$B$5:$B$1004,MATCH(Q285,'Post Tracker'!$A$5:$A$1004,0)),""))</f>
        <v/>
      </c>
      <c r="V285" s="39"/>
      <c r="W285" s="29"/>
      <c r="X285" s="29"/>
      <c r="Y285" s="29"/>
      <c r="Z285" s="30"/>
      <c r="AA285" s="29"/>
      <c r="AB285" s="29"/>
    </row>
    <row r="286" customFormat="false" ht="15" hidden="false" customHeight="false" outlineLevel="0" collapsed="false">
      <c r="A286" s="41" t="str">
        <f aca="false">IF(B286="","",ROW()-4)</f>
        <v/>
      </c>
      <c r="B286" s="39"/>
      <c r="C286" s="29"/>
      <c r="D286" s="29"/>
      <c r="E286" s="29"/>
      <c r="F286" s="29"/>
      <c r="G286" s="29"/>
      <c r="H286" s="32"/>
      <c r="I286" s="29"/>
      <c r="J286" s="29"/>
      <c r="K286" s="29"/>
      <c r="L286" s="29"/>
      <c r="M286" s="29"/>
      <c r="N286" s="29"/>
      <c r="O286" s="29"/>
      <c r="P286" s="29"/>
      <c r="Q286" s="24" t="str">
        <f aca="false">IF(N286&lt;&gt;"",UPPER(TRIM(N286)),IF(P286&lt;&gt;"",UPPER(TRIM(P286)),""))</f>
        <v/>
      </c>
      <c r="R286" s="24" t="str">
        <f aca="false">IF(B286="","",IF(N286&lt;&gt;"","UTM tracked",IF(P286&lt;&gt;"","Manual / self-reported",IF(O286&lt;&gt;"","Self-reported channel only","Unattributed"))))</f>
        <v/>
      </c>
      <c r="S286" s="24" t="str">
        <f aca="false">IF(Q286="","",IFERROR(INDEX('Post Tracker'!$G$5:$G$1004,MATCH(Q286,'Post Tracker'!$A$5:$A$1004,0)),"ID NOT FOUND"))</f>
        <v/>
      </c>
      <c r="T286" s="24" t="str">
        <f aca="false">IF(Q286="","",IFERROR(INDEX('Post Tracker'!$K$5:$K$1004,MATCH(Q286,'Post Tracker'!$A$5:$A$1004,0))&amp;"",""))</f>
        <v/>
      </c>
      <c r="U286" s="33" t="str">
        <f aca="false">IF(OR(Q286="",B286=""),"",IFERROR(B286-INDEX('Post Tracker'!$B$5:$B$1004,MATCH(Q286,'Post Tracker'!$A$5:$A$1004,0)),""))</f>
        <v/>
      </c>
      <c r="V286" s="39"/>
      <c r="W286" s="29"/>
      <c r="X286" s="29"/>
      <c r="Y286" s="29"/>
      <c r="Z286" s="30"/>
      <c r="AA286" s="29"/>
      <c r="AB286" s="29"/>
    </row>
    <row r="287" customFormat="false" ht="15" hidden="false" customHeight="false" outlineLevel="0" collapsed="false">
      <c r="A287" s="41" t="str">
        <f aca="false">IF(B287="","",ROW()-4)</f>
        <v/>
      </c>
      <c r="B287" s="39"/>
      <c r="C287" s="29"/>
      <c r="D287" s="29"/>
      <c r="E287" s="29"/>
      <c r="F287" s="29"/>
      <c r="G287" s="29"/>
      <c r="H287" s="32"/>
      <c r="I287" s="29"/>
      <c r="J287" s="29"/>
      <c r="K287" s="29"/>
      <c r="L287" s="29"/>
      <c r="M287" s="29"/>
      <c r="N287" s="29"/>
      <c r="O287" s="29"/>
      <c r="P287" s="29"/>
      <c r="Q287" s="24" t="str">
        <f aca="false">IF(N287&lt;&gt;"",UPPER(TRIM(N287)),IF(P287&lt;&gt;"",UPPER(TRIM(P287)),""))</f>
        <v/>
      </c>
      <c r="R287" s="24" t="str">
        <f aca="false">IF(B287="","",IF(N287&lt;&gt;"","UTM tracked",IF(P287&lt;&gt;"","Manual / self-reported",IF(O287&lt;&gt;"","Self-reported channel only","Unattributed"))))</f>
        <v/>
      </c>
      <c r="S287" s="24" t="str">
        <f aca="false">IF(Q287="","",IFERROR(INDEX('Post Tracker'!$G$5:$G$1004,MATCH(Q287,'Post Tracker'!$A$5:$A$1004,0)),"ID NOT FOUND"))</f>
        <v/>
      </c>
      <c r="T287" s="24" t="str">
        <f aca="false">IF(Q287="","",IFERROR(INDEX('Post Tracker'!$K$5:$K$1004,MATCH(Q287,'Post Tracker'!$A$5:$A$1004,0))&amp;"",""))</f>
        <v/>
      </c>
      <c r="U287" s="33" t="str">
        <f aca="false">IF(OR(Q287="",B287=""),"",IFERROR(B287-INDEX('Post Tracker'!$B$5:$B$1004,MATCH(Q287,'Post Tracker'!$A$5:$A$1004,0)),""))</f>
        <v/>
      </c>
      <c r="V287" s="39"/>
      <c r="W287" s="29"/>
      <c r="X287" s="29"/>
      <c r="Y287" s="29"/>
      <c r="Z287" s="30"/>
      <c r="AA287" s="29"/>
      <c r="AB287" s="29"/>
    </row>
    <row r="288" customFormat="false" ht="15" hidden="false" customHeight="false" outlineLevel="0" collapsed="false">
      <c r="A288" s="41" t="str">
        <f aca="false">IF(B288="","",ROW()-4)</f>
        <v/>
      </c>
      <c r="B288" s="39"/>
      <c r="C288" s="29"/>
      <c r="D288" s="29"/>
      <c r="E288" s="29"/>
      <c r="F288" s="29"/>
      <c r="G288" s="29"/>
      <c r="H288" s="32"/>
      <c r="I288" s="29"/>
      <c r="J288" s="29"/>
      <c r="K288" s="29"/>
      <c r="L288" s="29"/>
      <c r="M288" s="29"/>
      <c r="N288" s="29"/>
      <c r="O288" s="29"/>
      <c r="P288" s="29"/>
      <c r="Q288" s="24" t="str">
        <f aca="false">IF(N288&lt;&gt;"",UPPER(TRIM(N288)),IF(P288&lt;&gt;"",UPPER(TRIM(P288)),""))</f>
        <v/>
      </c>
      <c r="R288" s="24" t="str">
        <f aca="false">IF(B288="","",IF(N288&lt;&gt;"","UTM tracked",IF(P288&lt;&gt;"","Manual / self-reported",IF(O288&lt;&gt;"","Self-reported channel only","Unattributed"))))</f>
        <v/>
      </c>
      <c r="S288" s="24" t="str">
        <f aca="false">IF(Q288="","",IFERROR(INDEX('Post Tracker'!$G$5:$G$1004,MATCH(Q288,'Post Tracker'!$A$5:$A$1004,0)),"ID NOT FOUND"))</f>
        <v/>
      </c>
      <c r="T288" s="24" t="str">
        <f aca="false">IF(Q288="","",IFERROR(INDEX('Post Tracker'!$K$5:$K$1004,MATCH(Q288,'Post Tracker'!$A$5:$A$1004,0))&amp;"",""))</f>
        <v/>
      </c>
      <c r="U288" s="33" t="str">
        <f aca="false">IF(OR(Q288="",B288=""),"",IFERROR(B288-INDEX('Post Tracker'!$B$5:$B$1004,MATCH(Q288,'Post Tracker'!$A$5:$A$1004,0)),""))</f>
        <v/>
      </c>
      <c r="V288" s="39"/>
      <c r="W288" s="29"/>
      <c r="X288" s="29"/>
      <c r="Y288" s="29"/>
      <c r="Z288" s="30"/>
      <c r="AA288" s="29"/>
      <c r="AB288" s="29"/>
    </row>
    <row r="289" customFormat="false" ht="15" hidden="false" customHeight="false" outlineLevel="0" collapsed="false">
      <c r="A289" s="41" t="str">
        <f aca="false">IF(B289="","",ROW()-4)</f>
        <v/>
      </c>
      <c r="B289" s="39"/>
      <c r="C289" s="29"/>
      <c r="D289" s="29"/>
      <c r="E289" s="29"/>
      <c r="F289" s="29"/>
      <c r="G289" s="29"/>
      <c r="H289" s="32"/>
      <c r="I289" s="29"/>
      <c r="J289" s="29"/>
      <c r="K289" s="29"/>
      <c r="L289" s="29"/>
      <c r="M289" s="29"/>
      <c r="N289" s="29"/>
      <c r="O289" s="29"/>
      <c r="P289" s="29"/>
      <c r="Q289" s="24" t="str">
        <f aca="false">IF(N289&lt;&gt;"",UPPER(TRIM(N289)),IF(P289&lt;&gt;"",UPPER(TRIM(P289)),""))</f>
        <v/>
      </c>
      <c r="R289" s="24" t="str">
        <f aca="false">IF(B289="","",IF(N289&lt;&gt;"","UTM tracked",IF(P289&lt;&gt;"","Manual / self-reported",IF(O289&lt;&gt;"","Self-reported channel only","Unattributed"))))</f>
        <v/>
      </c>
      <c r="S289" s="24" t="str">
        <f aca="false">IF(Q289="","",IFERROR(INDEX('Post Tracker'!$G$5:$G$1004,MATCH(Q289,'Post Tracker'!$A$5:$A$1004,0)),"ID NOT FOUND"))</f>
        <v/>
      </c>
      <c r="T289" s="24" t="str">
        <f aca="false">IF(Q289="","",IFERROR(INDEX('Post Tracker'!$K$5:$K$1004,MATCH(Q289,'Post Tracker'!$A$5:$A$1004,0))&amp;"",""))</f>
        <v/>
      </c>
      <c r="U289" s="33" t="str">
        <f aca="false">IF(OR(Q289="",B289=""),"",IFERROR(B289-INDEX('Post Tracker'!$B$5:$B$1004,MATCH(Q289,'Post Tracker'!$A$5:$A$1004,0)),""))</f>
        <v/>
      </c>
      <c r="V289" s="39"/>
      <c r="W289" s="29"/>
      <c r="X289" s="29"/>
      <c r="Y289" s="29"/>
      <c r="Z289" s="30"/>
      <c r="AA289" s="29"/>
      <c r="AB289" s="29"/>
    </row>
    <row r="290" customFormat="false" ht="15" hidden="false" customHeight="false" outlineLevel="0" collapsed="false">
      <c r="A290" s="41" t="str">
        <f aca="false">IF(B290="","",ROW()-4)</f>
        <v/>
      </c>
      <c r="B290" s="39"/>
      <c r="C290" s="29"/>
      <c r="D290" s="29"/>
      <c r="E290" s="29"/>
      <c r="F290" s="29"/>
      <c r="G290" s="29"/>
      <c r="H290" s="32"/>
      <c r="I290" s="29"/>
      <c r="J290" s="29"/>
      <c r="K290" s="29"/>
      <c r="L290" s="29"/>
      <c r="M290" s="29"/>
      <c r="N290" s="29"/>
      <c r="O290" s="29"/>
      <c r="P290" s="29"/>
      <c r="Q290" s="24" t="str">
        <f aca="false">IF(N290&lt;&gt;"",UPPER(TRIM(N290)),IF(P290&lt;&gt;"",UPPER(TRIM(P290)),""))</f>
        <v/>
      </c>
      <c r="R290" s="24" t="str">
        <f aca="false">IF(B290="","",IF(N290&lt;&gt;"","UTM tracked",IF(P290&lt;&gt;"","Manual / self-reported",IF(O290&lt;&gt;"","Self-reported channel only","Unattributed"))))</f>
        <v/>
      </c>
      <c r="S290" s="24" t="str">
        <f aca="false">IF(Q290="","",IFERROR(INDEX('Post Tracker'!$G$5:$G$1004,MATCH(Q290,'Post Tracker'!$A$5:$A$1004,0)),"ID NOT FOUND"))</f>
        <v/>
      </c>
      <c r="T290" s="24" t="str">
        <f aca="false">IF(Q290="","",IFERROR(INDEX('Post Tracker'!$K$5:$K$1004,MATCH(Q290,'Post Tracker'!$A$5:$A$1004,0))&amp;"",""))</f>
        <v/>
      </c>
      <c r="U290" s="33" t="str">
        <f aca="false">IF(OR(Q290="",B290=""),"",IFERROR(B290-INDEX('Post Tracker'!$B$5:$B$1004,MATCH(Q290,'Post Tracker'!$A$5:$A$1004,0)),""))</f>
        <v/>
      </c>
      <c r="V290" s="39"/>
      <c r="W290" s="29"/>
      <c r="X290" s="29"/>
      <c r="Y290" s="29"/>
      <c r="Z290" s="30"/>
      <c r="AA290" s="29"/>
      <c r="AB290" s="29"/>
    </row>
    <row r="291" customFormat="false" ht="15" hidden="false" customHeight="false" outlineLevel="0" collapsed="false">
      <c r="A291" s="41" t="str">
        <f aca="false">IF(B291="","",ROW()-4)</f>
        <v/>
      </c>
      <c r="B291" s="39"/>
      <c r="C291" s="29"/>
      <c r="D291" s="29"/>
      <c r="E291" s="29"/>
      <c r="F291" s="29"/>
      <c r="G291" s="29"/>
      <c r="H291" s="32"/>
      <c r="I291" s="29"/>
      <c r="J291" s="29"/>
      <c r="K291" s="29"/>
      <c r="L291" s="29"/>
      <c r="M291" s="29"/>
      <c r="N291" s="29"/>
      <c r="O291" s="29"/>
      <c r="P291" s="29"/>
      <c r="Q291" s="24" t="str">
        <f aca="false">IF(N291&lt;&gt;"",UPPER(TRIM(N291)),IF(P291&lt;&gt;"",UPPER(TRIM(P291)),""))</f>
        <v/>
      </c>
      <c r="R291" s="24" t="str">
        <f aca="false">IF(B291="","",IF(N291&lt;&gt;"","UTM tracked",IF(P291&lt;&gt;"","Manual / self-reported",IF(O291&lt;&gt;"","Self-reported channel only","Unattributed"))))</f>
        <v/>
      </c>
      <c r="S291" s="24" t="str">
        <f aca="false">IF(Q291="","",IFERROR(INDEX('Post Tracker'!$G$5:$G$1004,MATCH(Q291,'Post Tracker'!$A$5:$A$1004,0)),"ID NOT FOUND"))</f>
        <v/>
      </c>
      <c r="T291" s="24" t="str">
        <f aca="false">IF(Q291="","",IFERROR(INDEX('Post Tracker'!$K$5:$K$1004,MATCH(Q291,'Post Tracker'!$A$5:$A$1004,0))&amp;"",""))</f>
        <v/>
      </c>
      <c r="U291" s="33" t="str">
        <f aca="false">IF(OR(Q291="",B291=""),"",IFERROR(B291-INDEX('Post Tracker'!$B$5:$B$1004,MATCH(Q291,'Post Tracker'!$A$5:$A$1004,0)),""))</f>
        <v/>
      </c>
      <c r="V291" s="39"/>
      <c r="W291" s="29"/>
      <c r="X291" s="29"/>
      <c r="Y291" s="29"/>
      <c r="Z291" s="30"/>
      <c r="AA291" s="29"/>
      <c r="AB291" s="29"/>
    </row>
    <row r="292" customFormat="false" ht="15" hidden="false" customHeight="false" outlineLevel="0" collapsed="false">
      <c r="A292" s="41" t="str">
        <f aca="false">IF(B292="","",ROW()-4)</f>
        <v/>
      </c>
      <c r="B292" s="39"/>
      <c r="C292" s="29"/>
      <c r="D292" s="29"/>
      <c r="E292" s="29"/>
      <c r="F292" s="29"/>
      <c r="G292" s="29"/>
      <c r="H292" s="32"/>
      <c r="I292" s="29"/>
      <c r="J292" s="29"/>
      <c r="K292" s="29"/>
      <c r="L292" s="29"/>
      <c r="M292" s="29"/>
      <c r="N292" s="29"/>
      <c r="O292" s="29"/>
      <c r="P292" s="29"/>
      <c r="Q292" s="24" t="str">
        <f aca="false">IF(N292&lt;&gt;"",UPPER(TRIM(N292)),IF(P292&lt;&gt;"",UPPER(TRIM(P292)),""))</f>
        <v/>
      </c>
      <c r="R292" s="24" t="str">
        <f aca="false">IF(B292="","",IF(N292&lt;&gt;"","UTM tracked",IF(P292&lt;&gt;"","Manual / self-reported",IF(O292&lt;&gt;"","Self-reported channel only","Unattributed"))))</f>
        <v/>
      </c>
      <c r="S292" s="24" t="str">
        <f aca="false">IF(Q292="","",IFERROR(INDEX('Post Tracker'!$G$5:$G$1004,MATCH(Q292,'Post Tracker'!$A$5:$A$1004,0)),"ID NOT FOUND"))</f>
        <v/>
      </c>
      <c r="T292" s="24" t="str">
        <f aca="false">IF(Q292="","",IFERROR(INDEX('Post Tracker'!$K$5:$K$1004,MATCH(Q292,'Post Tracker'!$A$5:$A$1004,0))&amp;"",""))</f>
        <v/>
      </c>
      <c r="U292" s="33" t="str">
        <f aca="false">IF(OR(Q292="",B292=""),"",IFERROR(B292-INDEX('Post Tracker'!$B$5:$B$1004,MATCH(Q292,'Post Tracker'!$A$5:$A$1004,0)),""))</f>
        <v/>
      </c>
      <c r="V292" s="39"/>
      <c r="W292" s="29"/>
      <c r="X292" s="29"/>
      <c r="Y292" s="29"/>
      <c r="Z292" s="30"/>
      <c r="AA292" s="29"/>
      <c r="AB292" s="29"/>
    </row>
    <row r="293" customFormat="false" ht="15" hidden="false" customHeight="false" outlineLevel="0" collapsed="false">
      <c r="A293" s="41" t="str">
        <f aca="false">IF(B293="","",ROW()-4)</f>
        <v/>
      </c>
      <c r="B293" s="39"/>
      <c r="C293" s="29"/>
      <c r="D293" s="29"/>
      <c r="E293" s="29"/>
      <c r="F293" s="29"/>
      <c r="G293" s="29"/>
      <c r="H293" s="32"/>
      <c r="I293" s="29"/>
      <c r="J293" s="29"/>
      <c r="K293" s="29"/>
      <c r="L293" s="29"/>
      <c r="M293" s="29"/>
      <c r="N293" s="29"/>
      <c r="O293" s="29"/>
      <c r="P293" s="29"/>
      <c r="Q293" s="24" t="str">
        <f aca="false">IF(N293&lt;&gt;"",UPPER(TRIM(N293)),IF(P293&lt;&gt;"",UPPER(TRIM(P293)),""))</f>
        <v/>
      </c>
      <c r="R293" s="24" t="str">
        <f aca="false">IF(B293="","",IF(N293&lt;&gt;"","UTM tracked",IF(P293&lt;&gt;"","Manual / self-reported",IF(O293&lt;&gt;"","Self-reported channel only","Unattributed"))))</f>
        <v/>
      </c>
      <c r="S293" s="24" t="str">
        <f aca="false">IF(Q293="","",IFERROR(INDEX('Post Tracker'!$G$5:$G$1004,MATCH(Q293,'Post Tracker'!$A$5:$A$1004,0)),"ID NOT FOUND"))</f>
        <v/>
      </c>
      <c r="T293" s="24" t="str">
        <f aca="false">IF(Q293="","",IFERROR(INDEX('Post Tracker'!$K$5:$K$1004,MATCH(Q293,'Post Tracker'!$A$5:$A$1004,0))&amp;"",""))</f>
        <v/>
      </c>
      <c r="U293" s="33" t="str">
        <f aca="false">IF(OR(Q293="",B293=""),"",IFERROR(B293-INDEX('Post Tracker'!$B$5:$B$1004,MATCH(Q293,'Post Tracker'!$A$5:$A$1004,0)),""))</f>
        <v/>
      </c>
      <c r="V293" s="39"/>
      <c r="W293" s="29"/>
      <c r="X293" s="29"/>
      <c r="Y293" s="29"/>
      <c r="Z293" s="30"/>
      <c r="AA293" s="29"/>
      <c r="AB293" s="29"/>
    </row>
    <row r="294" customFormat="false" ht="15" hidden="false" customHeight="false" outlineLevel="0" collapsed="false">
      <c r="A294" s="41" t="str">
        <f aca="false">IF(B294="","",ROW()-4)</f>
        <v/>
      </c>
      <c r="B294" s="39"/>
      <c r="C294" s="29"/>
      <c r="D294" s="29"/>
      <c r="E294" s="29"/>
      <c r="F294" s="29"/>
      <c r="G294" s="29"/>
      <c r="H294" s="32"/>
      <c r="I294" s="29"/>
      <c r="J294" s="29"/>
      <c r="K294" s="29"/>
      <c r="L294" s="29"/>
      <c r="M294" s="29"/>
      <c r="N294" s="29"/>
      <c r="O294" s="29"/>
      <c r="P294" s="29"/>
      <c r="Q294" s="24" t="str">
        <f aca="false">IF(N294&lt;&gt;"",UPPER(TRIM(N294)),IF(P294&lt;&gt;"",UPPER(TRIM(P294)),""))</f>
        <v/>
      </c>
      <c r="R294" s="24" t="str">
        <f aca="false">IF(B294="","",IF(N294&lt;&gt;"","UTM tracked",IF(P294&lt;&gt;"","Manual / self-reported",IF(O294&lt;&gt;"","Self-reported channel only","Unattributed"))))</f>
        <v/>
      </c>
      <c r="S294" s="24" t="str">
        <f aca="false">IF(Q294="","",IFERROR(INDEX('Post Tracker'!$G$5:$G$1004,MATCH(Q294,'Post Tracker'!$A$5:$A$1004,0)),"ID NOT FOUND"))</f>
        <v/>
      </c>
      <c r="T294" s="24" t="str">
        <f aca="false">IF(Q294="","",IFERROR(INDEX('Post Tracker'!$K$5:$K$1004,MATCH(Q294,'Post Tracker'!$A$5:$A$1004,0))&amp;"",""))</f>
        <v/>
      </c>
      <c r="U294" s="33" t="str">
        <f aca="false">IF(OR(Q294="",B294=""),"",IFERROR(B294-INDEX('Post Tracker'!$B$5:$B$1004,MATCH(Q294,'Post Tracker'!$A$5:$A$1004,0)),""))</f>
        <v/>
      </c>
      <c r="V294" s="39"/>
      <c r="W294" s="29"/>
      <c r="X294" s="29"/>
      <c r="Y294" s="29"/>
      <c r="Z294" s="30"/>
      <c r="AA294" s="29"/>
      <c r="AB294" s="29"/>
    </row>
    <row r="295" customFormat="false" ht="15" hidden="false" customHeight="false" outlineLevel="0" collapsed="false">
      <c r="A295" s="41" t="str">
        <f aca="false">IF(B295="","",ROW()-4)</f>
        <v/>
      </c>
      <c r="B295" s="39"/>
      <c r="C295" s="29"/>
      <c r="D295" s="29"/>
      <c r="E295" s="29"/>
      <c r="F295" s="29"/>
      <c r="G295" s="29"/>
      <c r="H295" s="32"/>
      <c r="I295" s="29"/>
      <c r="J295" s="29"/>
      <c r="K295" s="29"/>
      <c r="L295" s="29"/>
      <c r="M295" s="29"/>
      <c r="N295" s="29"/>
      <c r="O295" s="29"/>
      <c r="P295" s="29"/>
      <c r="Q295" s="24" t="str">
        <f aca="false">IF(N295&lt;&gt;"",UPPER(TRIM(N295)),IF(P295&lt;&gt;"",UPPER(TRIM(P295)),""))</f>
        <v/>
      </c>
      <c r="R295" s="24" t="str">
        <f aca="false">IF(B295="","",IF(N295&lt;&gt;"","UTM tracked",IF(P295&lt;&gt;"","Manual / self-reported",IF(O295&lt;&gt;"","Self-reported channel only","Unattributed"))))</f>
        <v/>
      </c>
      <c r="S295" s="24" t="str">
        <f aca="false">IF(Q295="","",IFERROR(INDEX('Post Tracker'!$G$5:$G$1004,MATCH(Q295,'Post Tracker'!$A$5:$A$1004,0)),"ID NOT FOUND"))</f>
        <v/>
      </c>
      <c r="T295" s="24" t="str">
        <f aca="false">IF(Q295="","",IFERROR(INDEX('Post Tracker'!$K$5:$K$1004,MATCH(Q295,'Post Tracker'!$A$5:$A$1004,0))&amp;"",""))</f>
        <v/>
      </c>
      <c r="U295" s="33" t="str">
        <f aca="false">IF(OR(Q295="",B295=""),"",IFERROR(B295-INDEX('Post Tracker'!$B$5:$B$1004,MATCH(Q295,'Post Tracker'!$A$5:$A$1004,0)),""))</f>
        <v/>
      </c>
      <c r="V295" s="39"/>
      <c r="W295" s="29"/>
      <c r="X295" s="29"/>
      <c r="Y295" s="29"/>
      <c r="Z295" s="30"/>
      <c r="AA295" s="29"/>
      <c r="AB295" s="29"/>
    </row>
    <row r="296" customFormat="false" ht="15" hidden="false" customHeight="false" outlineLevel="0" collapsed="false">
      <c r="A296" s="41" t="str">
        <f aca="false">IF(B296="","",ROW()-4)</f>
        <v/>
      </c>
      <c r="B296" s="39"/>
      <c r="C296" s="29"/>
      <c r="D296" s="29"/>
      <c r="E296" s="29"/>
      <c r="F296" s="29"/>
      <c r="G296" s="29"/>
      <c r="H296" s="32"/>
      <c r="I296" s="29"/>
      <c r="J296" s="29"/>
      <c r="K296" s="29"/>
      <c r="L296" s="29"/>
      <c r="M296" s="29"/>
      <c r="N296" s="29"/>
      <c r="O296" s="29"/>
      <c r="P296" s="29"/>
      <c r="Q296" s="24" t="str">
        <f aca="false">IF(N296&lt;&gt;"",UPPER(TRIM(N296)),IF(P296&lt;&gt;"",UPPER(TRIM(P296)),""))</f>
        <v/>
      </c>
      <c r="R296" s="24" t="str">
        <f aca="false">IF(B296="","",IF(N296&lt;&gt;"","UTM tracked",IF(P296&lt;&gt;"","Manual / self-reported",IF(O296&lt;&gt;"","Self-reported channel only","Unattributed"))))</f>
        <v/>
      </c>
      <c r="S296" s="24" t="str">
        <f aca="false">IF(Q296="","",IFERROR(INDEX('Post Tracker'!$G$5:$G$1004,MATCH(Q296,'Post Tracker'!$A$5:$A$1004,0)),"ID NOT FOUND"))</f>
        <v/>
      </c>
      <c r="T296" s="24" t="str">
        <f aca="false">IF(Q296="","",IFERROR(INDEX('Post Tracker'!$K$5:$K$1004,MATCH(Q296,'Post Tracker'!$A$5:$A$1004,0))&amp;"",""))</f>
        <v/>
      </c>
      <c r="U296" s="33" t="str">
        <f aca="false">IF(OR(Q296="",B296=""),"",IFERROR(B296-INDEX('Post Tracker'!$B$5:$B$1004,MATCH(Q296,'Post Tracker'!$A$5:$A$1004,0)),""))</f>
        <v/>
      </c>
      <c r="V296" s="39"/>
      <c r="W296" s="29"/>
      <c r="X296" s="29"/>
      <c r="Y296" s="29"/>
      <c r="Z296" s="30"/>
      <c r="AA296" s="29"/>
      <c r="AB296" s="29"/>
    </row>
    <row r="297" customFormat="false" ht="15" hidden="false" customHeight="false" outlineLevel="0" collapsed="false">
      <c r="A297" s="41" t="str">
        <f aca="false">IF(B297="","",ROW()-4)</f>
        <v/>
      </c>
      <c r="B297" s="39"/>
      <c r="C297" s="29"/>
      <c r="D297" s="29"/>
      <c r="E297" s="29"/>
      <c r="F297" s="29"/>
      <c r="G297" s="29"/>
      <c r="H297" s="32"/>
      <c r="I297" s="29"/>
      <c r="J297" s="29"/>
      <c r="K297" s="29"/>
      <c r="L297" s="29"/>
      <c r="M297" s="29"/>
      <c r="N297" s="29"/>
      <c r="O297" s="29"/>
      <c r="P297" s="29"/>
      <c r="Q297" s="24" t="str">
        <f aca="false">IF(N297&lt;&gt;"",UPPER(TRIM(N297)),IF(P297&lt;&gt;"",UPPER(TRIM(P297)),""))</f>
        <v/>
      </c>
      <c r="R297" s="24" t="str">
        <f aca="false">IF(B297="","",IF(N297&lt;&gt;"","UTM tracked",IF(P297&lt;&gt;"","Manual / self-reported",IF(O297&lt;&gt;"","Self-reported channel only","Unattributed"))))</f>
        <v/>
      </c>
      <c r="S297" s="24" t="str">
        <f aca="false">IF(Q297="","",IFERROR(INDEX('Post Tracker'!$G$5:$G$1004,MATCH(Q297,'Post Tracker'!$A$5:$A$1004,0)),"ID NOT FOUND"))</f>
        <v/>
      </c>
      <c r="T297" s="24" t="str">
        <f aca="false">IF(Q297="","",IFERROR(INDEX('Post Tracker'!$K$5:$K$1004,MATCH(Q297,'Post Tracker'!$A$5:$A$1004,0))&amp;"",""))</f>
        <v/>
      </c>
      <c r="U297" s="33" t="str">
        <f aca="false">IF(OR(Q297="",B297=""),"",IFERROR(B297-INDEX('Post Tracker'!$B$5:$B$1004,MATCH(Q297,'Post Tracker'!$A$5:$A$1004,0)),""))</f>
        <v/>
      </c>
      <c r="V297" s="39"/>
      <c r="W297" s="29"/>
      <c r="X297" s="29"/>
      <c r="Y297" s="29"/>
      <c r="Z297" s="30"/>
      <c r="AA297" s="29"/>
      <c r="AB297" s="29"/>
    </row>
    <row r="298" customFormat="false" ht="15" hidden="false" customHeight="false" outlineLevel="0" collapsed="false">
      <c r="A298" s="41" t="str">
        <f aca="false">IF(B298="","",ROW()-4)</f>
        <v/>
      </c>
      <c r="B298" s="39"/>
      <c r="C298" s="29"/>
      <c r="D298" s="29"/>
      <c r="E298" s="29"/>
      <c r="F298" s="29"/>
      <c r="G298" s="29"/>
      <c r="H298" s="32"/>
      <c r="I298" s="29"/>
      <c r="J298" s="29"/>
      <c r="K298" s="29"/>
      <c r="L298" s="29"/>
      <c r="M298" s="29"/>
      <c r="N298" s="29"/>
      <c r="O298" s="29"/>
      <c r="P298" s="29"/>
      <c r="Q298" s="24" t="str">
        <f aca="false">IF(N298&lt;&gt;"",UPPER(TRIM(N298)),IF(P298&lt;&gt;"",UPPER(TRIM(P298)),""))</f>
        <v/>
      </c>
      <c r="R298" s="24" t="str">
        <f aca="false">IF(B298="","",IF(N298&lt;&gt;"","UTM tracked",IF(P298&lt;&gt;"","Manual / self-reported",IF(O298&lt;&gt;"","Self-reported channel only","Unattributed"))))</f>
        <v/>
      </c>
      <c r="S298" s="24" t="str">
        <f aca="false">IF(Q298="","",IFERROR(INDEX('Post Tracker'!$G$5:$G$1004,MATCH(Q298,'Post Tracker'!$A$5:$A$1004,0)),"ID NOT FOUND"))</f>
        <v/>
      </c>
      <c r="T298" s="24" t="str">
        <f aca="false">IF(Q298="","",IFERROR(INDEX('Post Tracker'!$K$5:$K$1004,MATCH(Q298,'Post Tracker'!$A$5:$A$1004,0))&amp;"",""))</f>
        <v/>
      </c>
      <c r="U298" s="33" t="str">
        <f aca="false">IF(OR(Q298="",B298=""),"",IFERROR(B298-INDEX('Post Tracker'!$B$5:$B$1004,MATCH(Q298,'Post Tracker'!$A$5:$A$1004,0)),""))</f>
        <v/>
      </c>
      <c r="V298" s="39"/>
      <c r="W298" s="29"/>
      <c r="X298" s="29"/>
      <c r="Y298" s="29"/>
      <c r="Z298" s="30"/>
      <c r="AA298" s="29"/>
      <c r="AB298" s="29"/>
    </row>
    <row r="299" customFormat="false" ht="15" hidden="false" customHeight="false" outlineLevel="0" collapsed="false">
      <c r="A299" s="41" t="str">
        <f aca="false">IF(B299="","",ROW()-4)</f>
        <v/>
      </c>
      <c r="B299" s="39"/>
      <c r="C299" s="29"/>
      <c r="D299" s="29"/>
      <c r="E299" s="29"/>
      <c r="F299" s="29"/>
      <c r="G299" s="29"/>
      <c r="H299" s="32"/>
      <c r="I299" s="29"/>
      <c r="J299" s="29"/>
      <c r="K299" s="29"/>
      <c r="L299" s="29"/>
      <c r="M299" s="29"/>
      <c r="N299" s="29"/>
      <c r="O299" s="29"/>
      <c r="P299" s="29"/>
      <c r="Q299" s="24" t="str">
        <f aca="false">IF(N299&lt;&gt;"",UPPER(TRIM(N299)),IF(P299&lt;&gt;"",UPPER(TRIM(P299)),""))</f>
        <v/>
      </c>
      <c r="R299" s="24" t="str">
        <f aca="false">IF(B299="","",IF(N299&lt;&gt;"","UTM tracked",IF(P299&lt;&gt;"","Manual / self-reported",IF(O299&lt;&gt;"","Self-reported channel only","Unattributed"))))</f>
        <v/>
      </c>
      <c r="S299" s="24" t="str">
        <f aca="false">IF(Q299="","",IFERROR(INDEX('Post Tracker'!$G$5:$G$1004,MATCH(Q299,'Post Tracker'!$A$5:$A$1004,0)),"ID NOT FOUND"))</f>
        <v/>
      </c>
      <c r="T299" s="24" t="str">
        <f aca="false">IF(Q299="","",IFERROR(INDEX('Post Tracker'!$K$5:$K$1004,MATCH(Q299,'Post Tracker'!$A$5:$A$1004,0))&amp;"",""))</f>
        <v/>
      </c>
      <c r="U299" s="33" t="str">
        <f aca="false">IF(OR(Q299="",B299=""),"",IFERROR(B299-INDEX('Post Tracker'!$B$5:$B$1004,MATCH(Q299,'Post Tracker'!$A$5:$A$1004,0)),""))</f>
        <v/>
      </c>
      <c r="V299" s="39"/>
      <c r="W299" s="29"/>
      <c r="X299" s="29"/>
      <c r="Y299" s="29"/>
      <c r="Z299" s="30"/>
      <c r="AA299" s="29"/>
      <c r="AB299" s="29"/>
    </row>
    <row r="300" customFormat="false" ht="15" hidden="false" customHeight="false" outlineLevel="0" collapsed="false">
      <c r="A300" s="41" t="str">
        <f aca="false">IF(B300="","",ROW()-4)</f>
        <v/>
      </c>
      <c r="B300" s="39"/>
      <c r="C300" s="29"/>
      <c r="D300" s="29"/>
      <c r="E300" s="29"/>
      <c r="F300" s="29"/>
      <c r="G300" s="29"/>
      <c r="H300" s="32"/>
      <c r="I300" s="29"/>
      <c r="J300" s="29"/>
      <c r="K300" s="29"/>
      <c r="L300" s="29"/>
      <c r="M300" s="29"/>
      <c r="N300" s="29"/>
      <c r="O300" s="29"/>
      <c r="P300" s="29"/>
      <c r="Q300" s="24" t="str">
        <f aca="false">IF(N300&lt;&gt;"",UPPER(TRIM(N300)),IF(P300&lt;&gt;"",UPPER(TRIM(P300)),""))</f>
        <v/>
      </c>
      <c r="R300" s="24" t="str">
        <f aca="false">IF(B300="","",IF(N300&lt;&gt;"","UTM tracked",IF(P300&lt;&gt;"","Manual / self-reported",IF(O300&lt;&gt;"","Self-reported channel only","Unattributed"))))</f>
        <v/>
      </c>
      <c r="S300" s="24" t="str">
        <f aca="false">IF(Q300="","",IFERROR(INDEX('Post Tracker'!$G$5:$G$1004,MATCH(Q300,'Post Tracker'!$A$5:$A$1004,0)),"ID NOT FOUND"))</f>
        <v/>
      </c>
      <c r="T300" s="24" t="str">
        <f aca="false">IF(Q300="","",IFERROR(INDEX('Post Tracker'!$K$5:$K$1004,MATCH(Q300,'Post Tracker'!$A$5:$A$1004,0))&amp;"",""))</f>
        <v/>
      </c>
      <c r="U300" s="33" t="str">
        <f aca="false">IF(OR(Q300="",B300=""),"",IFERROR(B300-INDEX('Post Tracker'!$B$5:$B$1004,MATCH(Q300,'Post Tracker'!$A$5:$A$1004,0)),""))</f>
        <v/>
      </c>
      <c r="V300" s="39"/>
      <c r="W300" s="29"/>
      <c r="X300" s="29"/>
      <c r="Y300" s="29"/>
      <c r="Z300" s="30"/>
      <c r="AA300" s="29"/>
      <c r="AB300" s="29"/>
    </row>
    <row r="301" customFormat="false" ht="15" hidden="false" customHeight="false" outlineLevel="0" collapsed="false">
      <c r="A301" s="41" t="str">
        <f aca="false">IF(B301="","",ROW()-4)</f>
        <v/>
      </c>
      <c r="B301" s="39"/>
      <c r="C301" s="29"/>
      <c r="D301" s="29"/>
      <c r="E301" s="29"/>
      <c r="F301" s="29"/>
      <c r="G301" s="29"/>
      <c r="H301" s="32"/>
      <c r="I301" s="29"/>
      <c r="J301" s="29"/>
      <c r="K301" s="29"/>
      <c r="L301" s="29"/>
      <c r="M301" s="29"/>
      <c r="N301" s="29"/>
      <c r="O301" s="29"/>
      <c r="P301" s="29"/>
      <c r="Q301" s="24" t="str">
        <f aca="false">IF(N301&lt;&gt;"",UPPER(TRIM(N301)),IF(P301&lt;&gt;"",UPPER(TRIM(P301)),""))</f>
        <v/>
      </c>
      <c r="R301" s="24" t="str">
        <f aca="false">IF(B301="","",IF(N301&lt;&gt;"","UTM tracked",IF(P301&lt;&gt;"","Manual / self-reported",IF(O301&lt;&gt;"","Self-reported channel only","Unattributed"))))</f>
        <v/>
      </c>
      <c r="S301" s="24" t="str">
        <f aca="false">IF(Q301="","",IFERROR(INDEX('Post Tracker'!$G$5:$G$1004,MATCH(Q301,'Post Tracker'!$A$5:$A$1004,0)),"ID NOT FOUND"))</f>
        <v/>
      </c>
      <c r="T301" s="24" t="str">
        <f aca="false">IF(Q301="","",IFERROR(INDEX('Post Tracker'!$K$5:$K$1004,MATCH(Q301,'Post Tracker'!$A$5:$A$1004,0))&amp;"",""))</f>
        <v/>
      </c>
      <c r="U301" s="33" t="str">
        <f aca="false">IF(OR(Q301="",B301=""),"",IFERROR(B301-INDEX('Post Tracker'!$B$5:$B$1004,MATCH(Q301,'Post Tracker'!$A$5:$A$1004,0)),""))</f>
        <v/>
      </c>
      <c r="V301" s="39"/>
      <c r="W301" s="29"/>
      <c r="X301" s="29"/>
      <c r="Y301" s="29"/>
      <c r="Z301" s="30"/>
      <c r="AA301" s="29"/>
      <c r="AB301" s="29"/>
    </row>
    <row r="302" customFormat="false" ht="15" hidden="false" customHeight="false" outlineLevel="0" collapsed="false">
      <c r="A302" s="41" t="str">
        <f aca="false">IF(B302="","",ROW()-4)</f>
        <v/>
      </c>
      <c r="B302" s="39"/>
      <c r="C302" s="29"/>
      <c r="D302" s="29"/>
      <c r="E302" s="29"/>
      <c r="F302" s="29"/>
      <c r="G302" s="29"/>
      <c r="H302" s="32"/>
      <c r="I302" s="29"/>
      <c r="J302" s="29"/>
      <c r="K302" s="29"/>
      <c r="L302" s="29"/>
      <c r="M302" s="29"/>
      <c r="N302" s="29"/>
      <c r="O302" s="29"/>
      <c r="P302" s="29"/>
      <c r="Q302" s="24" t="str">
        <f aca="false">IF(N302&lt;&gt;"",UPPER(TRIM(N302)),IF(P302&lt;&gt;"",UPPER(TRIM(P302)),""))</f>
        <v/>
      </c>
      <c r="R302" s="24" t="str">
        <f aca="false">IF(B302="","",IF(N302&lt;&gt;"","UTM tracked",IF(P302&lt;&gt;"","Manual / self-reported",IF(O302&lt;&gt;"","Self-reported channel only","Unattributed"))))</f>
        <v/>
      </c>
      <c r="S302" s="24" t="str">
        <f aca="false">IF(Q302="","",IFERROR(INDEX('Post Tracker'!$G$5:$G$1004,MATCH(Q302,'Post Tracker'!$A$5:$A$1004,0)),"ID NOT FOUND"))</f>
        <v/>
      </c>
      <c r="T302" s="24" t="str">
        <f aca="false">IF(Q302="","",IFERROR(INDEX('Post Tracker'!$K$5:$K$1004,MATCH(Q302,'Post Tracker'!$A$5:$A$1004,0))&amp;"",""))</f>
        <v/>
      </c>
      <c r="U302" s="33" t="str">
        <f aca="false">IF(OR(Q302="",B302=""),"",IFERROR(B302-INDEX('Post Tracker'!$B$5:$B$1004,MATCH(Q302,'Post Tracker'!$A$5:$A$1004,0)),""))</f>
        <v/>
      </c>
      <c r="V302" s="39"/>
      <c r="W302" s="29"/>
      <c r="X302" s="29"/>
      <c r="Y302" s="29"/>
      <c r="Z302" s="30"/>
      <c r="AA302" s="29"/>
      <c r="AB302" s="29"/>
    </row>
    <row r="303" customFormat="false" ht="15" hidden="false" customHeight="false" outlineLevel="0" collapsed="false">
      <c r="A303" s="41" t="str">
        <f aca="false">IF(B303="","",ROW()-4)</f>
        <v/>
      </c>
      <c r="B303" s="39"/>
      <c r="C303" s="29"/>
      <c r="D303" s="29"/>
      <c r="E303" s="29"/>
      <c r="F303" s="29"/>
      <c r="G303" s="29"/>
      <c r="H303" s="32"/>
      <c r="I303" s="29"/>
      <c r="J303" s="29"/>
      <c r="K303" s="29"/>
      <c r="L303" s="29"/>
      <c r="M303" s="29"/>
      <c r="N303" s="29"/>
      <c r="O303" s="29"/>
      <c r="P303" s="29"/>
      <c r="Q303" s="24" t="str">
        <f aca="false">IF(N303&lt;&gt;"",UPPER(TRIM(N303)),IF(P303&lt;&gt;"",UPPER(TRIM(P303)),""))</f>
        <v/>
      </c>
      <c r="R303" s="24" t="str">
        <f aca="false">IF(B303="","",IF(N303&lt;&gt;"","UTM tracked",IF(P303&lt;&gt;"","Manual / self-reported",IF(O303&lt;&gt;"","Self-reported channel only","Unattributed"))))</f>
        <v/>
      </c>
      <c r="S303" s="24" t="str">
        <f aca="false">IF(Q303="","",IFERROR(INDEX('Post Tracker'!$G$5:$G$1004,MATCH(Q303,'Post Tracker'!$A$5:$A$1004,0)),"ID NOT FOUND"))</f>
        <v/>
      </c>
      <c r="T303" s="24" t="str">
        <f aca="false">IF(Q303="","",IFERROR(INDEX('Post Tracker'!$K$5:$K$1004,MATCH(Q303,'Post Tracker'!$A$5:$A$1004,0))&amp;"",""))</f>
        <v/>
      </c>
      <c r="U303" s="33" t="str">
        <f aca="false">IF(OR(Q303="",B303=""),"",IFERROR(B303-INDEX('Post Tracker'!$B$5:$B$1004,MATCH(Q303,'Post Tracker'!$A$5:$A$1004,0)),""))</f>
        <v/>
      </c>
      <c r="V303" s="39"/>
      <c r="W303" s="29"/>
      <c r="X303" s="29"/>
      <c r="Y303" s="29"/>
      <c r="Z303" s="30"/>
      <c r="AA303" s="29"/>
      <c r="AB303" s="29"/>
    </row>
    <row r="304" customFormat="false" ht="15" hidden="false" customHeight="false" outlineLevel="0" collapsed="false">
      <c r="A304" s="41" t="str">
        <f aca="false">IF(B304="","",ROW()-4)</f>
        <v/>
      </c>
      <c r="B304" s="39"/>
      <c r="C304" s="29"/>
      <c r="D304" s="29"/>
      <c r="E304" s="29"/>
      <c r="F304" s="29"/>
      <c r="G304" s="29"/>
      <c r="H304" s="32"/>
      <c r="I304" s="29"/>
      <c r="J304" s="29"/>
      <c r="K304" s="29"/>
      <c r="L304" s="29"/>
      <c r="M304" s="29"/>
      <c r="N304" s="29"/>
      <c r="O304" s="29"/>
      <c r="P304" s="29"/>
      <c r="Q304" s="24" t="str">
        <f aca="false">IF(N304&lt;&gt;"",UPPER(TRIM(N304)),IF(P304&lt;&gt;"",UPPER(TRIM(P304)),""))</f>
        <v/>
      </c>
      <c r="R304" s="24" t="str">
        <f aca="false">IF(B304="","",IF(N304&lt;&gt;"","UTM tracked",IF(P304&lt;&gt;"","Manual / self-reported",IF(O304&lt;&gt;"","Self-reported channel only","Unattributed"))))</f>
        <v/>
      </c>
      <c r="S304" s="24" t="str">
        <f aca="false">IF(Q304="","",IFERROR(INDEX('Post Tracker'!$G$5:$G$1004,MATCH(Q304,'Post Tracker'!$A$5:$A$1004,0)),"ID NOT FOUND"))</f>
        <v/>
      </c>
      <c r="T304" s="24" t="str">
        <f aca="false">IF(Q304="","",IFERROR(INDEX('Post Tracker'!$K$5:$K$1004,MATCH(Q304,'Post Tracker'!$A$5:$A$1004,0))&amp;"",""))</f>
        <v/>
      </c>
      <c r="U304" s="33" t="str">
        <f aca="false">IF(OR(Q304="",B304=""),"",IFERROR(B304-INDEX('Post Tracker'!$B$5:$B$1004,MATCH(Q304,'Post Tracker'!$A$5:$A$1004,0)),""))</f>
        <v/>
      </c>
      <c r="V304" s="39"/>
      <c r="W304" s="29"/>
      <c r="X304" s="29"/>
      <c r="Y304" s="29"/>
      <c r="Z304" s="30"/>
      <c r="AA304" s="29"/>
      <c r="AB304" s="29"/>
    </row>
    <row r="305" customFormat="false" ht="15" hidden="false" customHeight="false" outlineLevel="0" collapsed="false">
      <c r="A305" s="41" t="str">
        <f aca="false">IF(B305="","",ROW()-4)</f>
        <v/>
      </c>
      <c r="B305" s="39"/>
      <c r="C305" s="29"/>
      <c r="D305" s="29"/>
      <c r="E305" s="29"/>
      <c r="F305" s="29"/>
      <c r="G305" s="29"/>
      <c r="H305" s="32"/>
      <c r="I305" s="29"/>
      <c r="J305" s="29"/>
      <c r="K305" s="29"/>
      <c r="L305" s="29"/>
      <c r="M305" s="29"/>
      <c r="N305" s="29"/>
      <c r="O305" s="29"/>
      <c r="P305" s="29"/>
      <c r="Q305" s="24" t="str">
        <f aca="false">IF(N305&lt;&gt;"",UPPER(TRIM(N305)),IF(P305&lt;&gt;"",UPPER(TRIM(P305)),""))</f>
        <v/>
      </c>
      <c r="R305" s="24" t="str">
        <f aca="false">IF(B305="","",IF(N305&lt;&gt;"","UTM tracked",IF(P305&lt;&gt;"","Manual / self-reported",IF(O305&lt;&gt;"","Self-reported channel only","Unattributed"))))</f>
        <v/>
      </c>
      <c r="S305" s="24" t="str">
        <f aca="false">IF(Q305="","",IFERROR(INDEX('Post Tracker'!$G$5:$G$1004,MATCH(Q305,'Post Tracker'!$A$5:$A$1004,0)),"ID NOT FOUND"))</f>
        <v/>
      </c>
      <c r="T305" s="24" t="str">
        <f aca="false">IF(Q305="","",IFERROR(INDEX('Post Tracker'!$K$5:$K$1004,MATCH(Q305,'Post Tracker'!$A$5:$A$1004,0))&amp;"",""))</f>
        <v/>
      </c>
      <c r="U305" s="33" t="str">
        <f aca="false">IF(OR(Q305="",B305=""),"",IFERROR(B305-INDEX('Post Tracker'!$B$5:$B$1004,MATCH(Q305,'Post Tracker'!$A$5:$A$1004,0)),""))</f>
        <v/>
      </c>
      <c r="V305" s="39"/>
      <c r="W305" s="29"/>
      <c r="X305" s="29"/>
      <c r="Y305" s="29"/>
      <c r="Z305" s="30"/>
      <c r="AA305" s="29"/>
      <c r="AB305" s="29"/>
    </row>
    <row r="306" customFormat="false" ht="15" hidden="false" customHeight="false" outlineLevel="0" collapsed="false">
      <c r="A306" s="41" t="str">
        <f aca="false">IF(B306="","",ROW()-4)</f>
        <v/>
      </c>
      <c r="B306" s="39"/>
      <c r="C306" s="29"/>
      <c r="D306" s="29"/>
      <c r="E306" s="29"/>
      <c r="F306" s="29"/>
      <c r="G306" s="29"/>
      <c r="H306" s="32"/>
      <c r="I306" s="29"/>
      <c r="J306" s="29"/>
      <c r="K306" s="29"/>
      <c r="L306" s="29"/>
      <c r="M306" s="29"/>
      <c r="N306" s="29"/>
      <c r="O306" s="29"/>
      <c r="P306" s="29"/>
      <c r="Q306" s="24" t="str">
        <f aca="false">IF(N306&lt;&gt;"",UPPER(TRIM(N306)),IF(P306&lt;&gt;"",UPPER(TRIM(P306)),""))</f>
        <v/>
      </c>
      <c r="R306" s="24" t="str">
        <f aca="false">IF(B306="","",IF(N306&lt;&gt;"","UTM tracked",IF(P306&lt;&gt;"","Manual / self-reported",IF(O306&lt;&gt;"","Self-reported channel only","Unattributed"))))</f>
        <v/>
      </c>
      <c r="S306" s="24" t="str">
        <f aca="false">IF(Q306="","",IFERROR(INDEX('Post Tracker'!$G$5:$G$1004,MATCH(Q306,'Post Tracker'!$A$5:$A$1004,0)),"ID NOT FOUND"))</f>
        <v/>
      </c>
      <c r="T306" s="24" t="str">
        <f aca="false">IF(Q306="","",IFERROR(INDEX('Post Tracker'!$K$5:$K$1004,MATCH(Q306,'Post Tracker'!$A$5:$A$1004,0))&amp;"",""))</f>
        <v/>
      </c>
      <c r="U306" s="33" t="str">
        <f aca="false">IF(OR(Q306="",B306=""),"",IFERROR(B306-INDEX('Post Tracker'!$B$5:$B$1004,MATCH(Q306,'Post Tracker'!$A$5:$A$1004,0)),""))</f>
        <v/>
      </c>
      <c r="V306" s="39"/>
      <c r="W306" s="29"/>
      <c r="X306" s="29"/>
      <c r="Y306" s="29"/>
      <c r="Z306" s="30"/>
      <c r="AA306" s="29"/>
      <c r="AB306" s="29"/>
    </row>
    <row r="307" customFormat="false" ht="15" hidden="false" customHeight="false" outlineLevel="0" collapsed="false">
      <c r="A307" s="41" t="str">
        <f aca="false">IF(B307="","",ROW()-4)</f>
        <v/>
      </c>
      <c r="B307" s="39"/>
      <c r="C307" s="29"/>
      <c r="D307" s="29"/>
      <c r="E307" s="29"/>
      <c r="F307" s="29"/>
      <c r="G307" s="29"/>
      <c r="H307" s="32"/>
      <c r="I307" s="29"/>
      <c r="J307" s="29"/>
      <c r="K307" s="29"/>
      <c r="L307" s="29"/>
      <c r="M307" s="29"/>
      <c r="N307" s="29"/>
      <c r="O307" s="29"/>
      <c r="P307" s="29"/>
      <c r="Q307" s="24" t="str">
        <f aca="false">IF(N307&lt;&gt;"",UPPER(TRIM(N307)),IF(P307&lt;&gt;"",UPPER(TRIM(P307)),""))</f>
        <v/>
      </c>
      <c r="R307" s="24" t="str">
        <f aca="false">IF(B307="","",IF(N307&lt;&gt;"","UTM tracked",IF(P307&lt;&gt;"","Manual / self-reported",IF(O307&lt;&gt;"","Self-reported channel only","Unattributed"))))</f>
        <v/>
      </c>
      <c r="S307" s="24" t="str">
        <f aca="false">IF(Q307="","",IFERROR(INDEX('Post Tracker'!$G$5:$G$1004,MATCH(Q307,'Post Tracker'!$A$5:$A$1004,0)),"ID NOT FOUND"))</f>
        <v/>
      </c>
      <c r="T307" s="24" t="str">
        <f aca="false">IF(Q307="","",IFERROR(INDEX('Post Tracker'!$K$5:$K$1004,MATCH(Q307,'Post Tracker'!$A$5:$A$1004,0))&amp;"",""))</f>
        <v/>
      </c>
      <c r="U307" s="33" t="str">
        <f aca="false">IF(OR(Q307="",B307=""),"",IFERROR(B307-INDEX('Post Tracker'!$B$5:$B$1004,MATCH(Q307,'Post Tracker'!$A$5:$A$1004,0)),""))</f>
        <v/>
      </c>
      <c r="V307" s="39"/>
      <c r="W307" s="29"/>
      <c r="X307" s="29"/>
      <c r="Y307" s="29"/>
      <c r="Z307" s="30"/>
      <c r="AA307" s="29"/>
      <c r="AB307" s="29"/>
    </row>
    <row r="308" customFormat="false" ht="15" hidden="false" customHeight="false" outlineLevel="0" collapsed="false">
      <c r="A308" s="41" t="str">
        <f aca="false">IF(B308="","",ROW()-4)</f>
        <v/>
      </c>
      <c r="B308" s="39"/>
      <c r="C308" s="29"/>
      <c r="D308" s="29"/>
      <c r="E308" s="29"/>
      <c r="F308" s="29"/>
      <c r="G308" s="29"/>
      <c r="H308" s="32"/>
      <c r="I308" s="29"/>
      <c r="J308" s="29"/>
      <c r="K308" s="29"/>
      <c r="L308" s="29"/>
      <c r="M308" s="29"/>
      <c r="N308" s="29"/>
      <c r="O308" s="29"/>
      <c r="P308" s="29"/>
      <c r="Q308" s="24" t="str">
        <f aca="false">IF(N308&lt;&gt;"",UPPER(TRIM(N308)),IF(P308&lt;&gt;"",UPPER(TRIM(P308)),""))</f>
        <v/>
      </c>
      <c r="R308" s="24" t="str">
        <f aca="false">IF(B308="","",IF(N308&lt;&gt;"","UTM tracked",IF(P308&lt;&gt;"","Manual / self-reported",IF(O308&lt;&gt;"","Self-reported channel only","Unattributed"))))</f>
        <v/>
      </c>
      <c r="S308" s="24" t="str">
        <f aca="false">IF(Q308="","",IFERROR(INDEX('Post Tracker'!$G$5:$G$1004,MATCH(Q308,'Post Tracker'!$A$5:$A$1004,0)),"ID NOT FOUND"))</f>
        <v/>
      </c>
      <c r="T308" s="24" t="str">
        <f aca="false">IF(Q308="","",IFERROR(INDEX('Post Tracker'!$K$5:$K$1004,MATCH(Q308,'Post Tracker'!$A$5:$A$1004,0))&amp;"",""))</f>
        <v/>
      </c>
      <c r="U308" s="33" t="str">
        <f aca="false">IF(OR(Q308="",B308=""),"",IFERROR(B308-INDEX('Post Tracker'!$B$5:$B$1004,MATCH(Q308,'Post Tracker'!$A$5:$A$1004,0)),""))</f>
        <v/>
      </c>
      <c r="V308" s="39"/>
      <c r="W308" s="29"/>
      <c r="X308" s="29"/>
      <c r="Y308" s="29"/>
      <c r="Z308" s="30"/>
      <c r="AA308" s="29"/>
      <c r="AB308" s="29"/>
    </row>
    <row r="309" customFormat="false" ht="15" hidden="false" customHeight="false" outlineLevel="0" collapsed="false">
      <c r="A309" s="41" t="str">
        <f aca="false">IF(B309="","",ROW()-4)</f>
        <v/>
      </c>
      <c r="B309" s="39"/>
      <c r="C309" s="29"/>
      <c r="D309" s="29"/>
      <c r="E309" s="29"/>
      <c r="F309" s="29"/>
      <c r="G309" s="29"/>
      <c r="H309" s="32"/>
      <c r="I309" s="29"/>
      <c r="J309" s="29"/>
      <c r="K309" s="29"/>
      <c r="L309" s="29"/>
      <c r="M309" s="29"/>
      <c r="N309" s="29"/>
      <c r="O309" s="29"/>
      <c r="P309" s="29"/>
      <c r="Q309" s="24" t="str">
        <f aca="false">IF(N309&lt;&gt;"",UPPER(TRIM(N309)),IF(P309&lt;&gt;"",UPPER(TRIM(P309)),""))</f>
        <v/>
      </c>
      <c r="R309" s="24" t="str">
        <f aca="false">IF(B309="","",IF(N309&lt;&gt;"","UTM tracked",IF(P309&lt;&gt;"","Manual / self-reported",IF(O309&lt;&gt;"","Self-reported channel only","Unattributed"))))</f>
        <v/>
      </c>
      <c r="S309" s="24" t="str">
        <f aca="false">IF(Q309="","",IFERROR(INDEX('Post Tracker'!$G$5:$G$1004,MATCH(Q309,'Post Tracker'!$A$5:$A$1004,0)),"ID NOT FOUND"))</f>
        <v/>
      </c>
      <c r="T309" s="24" t="str">
        <f aca="false">IF(Q309="","",IFERROR(INDEX('Post Tracker'!$K$5:$K$1004,MATCH(Q309,'Post Tracker'!$A$5:$A$1004,0))&amp;"",""))</f>
        <v/>
      </c>
      <c r="U309" s="33" t="str">
        <f aca="false">IF(OR(Q309="",B309=""),"",IFERROR(B309-INDEX('Post Tracker'!$B$5:$B$1004,MATCH(Q309,'Post Tracker'!$A$5:$A$1004,0)),""))</f>
        <v/>
      </c>
      <c r="V309" s="39"/>
      <c r="W309" s="29"/>
      <c r="X309" s="29"/>
      <c r="Y309" s="29"/>
      <c r="Z309" s="30"/>
      <c r="AA309" s="29"/>
      <c r="AB309" s="29"/>
    </row>
    <row r="310" customFormat="false" ht="15" hidden="false" customHeight="false" outlineLevel="0" collapsed="false">
      <c r="A310" s="41" t="str">
        <f aca="false">IF(B310="","",ROW()-4)</f>
        <v/>
      </c>
      <c r="B310" s="39"/>
      <c r="C310" s="29"/>
      <c r="D310" s="29"/>
      <c r="E310" s="29"/>
      <c r="F310" s="29"/>
      <c r="G310" s="29"/>
      <c r="H310" s="32"/>
      <c r="I310" s="29"/>
      <c r="J310" s="29"/>
      <c r="K310" s="29"/>
      <c r="L310" s="29"/>
      <c r="M310" s="29"/>
      <c r="N310" s="29"/>
      <c r="O310" s="29"/>
      <c r="P310" s="29"/>
      <c r="Q310" s="24" t="str">
        <f aca="false">IF(N310&lt;&gt;"",UPPER(TRIM(N310)),IF(P310&lt;&gt;"",UPPER(TRIM(P310)),""))</f>
        <v/>
      </c>
      <c r="R310" s="24" t="str">
        <f aca="false">IF(B310="","",IF(N310&lt;&gt;"","UTM tracked",IF(P310&lt;&gt;"","Manual / self-reported",IF(O310&lt;&gt;"","Self-reported channel only","Unattributed"))))</f>
        <v/>
      </c>
      <c r="S310" s="24" t="str">
        <f aca="false">IF(Q310="","",IFERROR(INDEX('Post Tracker'!$G$5:$G$1004,MATCH(Q310,'Post Tracker'!$A$5:$A$1004,0)),"ID NOT FOUND"))</f>
        <v/>
      </c>
      <c r="T310" s="24" t="str">
        <f aca="false">IF(Q310="","",IFERROR(INDEX('Post Tracker'!$K$5:$K$1004,MATCH(Q310,'Post Tracker'!$A$5:$A$1004,0))&amp;"",""))</f>
        <v/>
      </c>
      <c r="U310" s="33" t="str">
        <f aca="false">IF(OR(Q310="",B310=""),"",IFERROR(B310-INDEX('Post Tracker'!$B$5:$B$1004,MATCH(Q310,'Post Tracker'!$A$5:$A$1004,0)),""))</f>
        <v/>
      </c>
      <c r="V310" s="39"/>
      <c r="W310" s="29"/>
      <c r="X310" s="29"/>
      <c r="Y310" s="29"/>
      <c r="Z310" s="30"/>
      <c r="AA310" s="29"/>
      <c r="AB310" s="29"/>
    </row>
    <row r="311" customFormat="false" ht="15" hidden="false" customHeight="false" outlineLevel="0" collapsed="false">
      <c r="A311" s="41" t="str">
        <f aca="false">IF(B311="","",ROW()-4)</f>
        <v/>
      </c>
      <c r="B311" s="39"/>
      <c r="C311" s="29"/>
      <c r="D311" s="29"/>
      <c r="E311" s="29"/>
      <c r="F311" s="29"/>
      <c r="G311" s="29"/>
      <c r="H311" s="32"/>
      <c r="I311" s="29"/>
      <c r="J311" s="29"/>
      <c r="K311" s="29"/>
      <c r="L311" s="29"/>
      <c r="M311" s="29"/>
      <c r="N311" s="29"/>
      <c r="O311" s="29"/>
      <c r="P311" s="29"/>
      <c r="Q311" s="24" t="str">
        <f aca="false">IF(N311&lt;&gt;"",UPPER(TRIM(N311)),IF(P311&lt;&gt;"",UPPER(TRIM(P311)),""))</f>
        <v/>
      </c>
      <c r="R311" s="24" t="str">
        <f aca="false">IF(B311="","",IF(N311&lt;&gt;"","UTM tracked",IF(P311&lt;&gt;"","Manual / self-reported",IF(O311&lt;&gt;"","Self-reported channel only","Unattributed"))))</f>
        <v/>
      </c>
      <c r="S311" s="24" t="str">
        <f aca="false">IF(Q311="","",IFERROR(INDEX('Post Tracker'!$G$5:$G$1004,MATCH(Q311,'Post Tracker'!$A$5:$A$1004,0)),"ID NOT FOUND"))</f>
        <v/>
      </c>
      <c r="T311" s="24" t="str">
        <f aca="false">IF(Q311="","",IFERROR(INDEX('Post Tracker'!$K$5:$K$1004,MATCH(Q311,'Post Tracker'!$A$5:$A$1004,0))&amp;"",""))</f>
        <v/>
      </c>
      <c r="U311" s="33" t="str">
        <f aca="false">IF(OR(Q311="",B311=""),"",IFERROR(B311-INDEX('Post Tracker'!$B$5:$B$1004,MATCH(Q311,'Post Tracker'!$A$5:$A$1004,0)),""))</f>
        <v/>
      </c>
      <c r="V311" s="39"/>
      <c r="W311" s="29"/>
      <c r="X311" s="29"/>
      <c r="Y311" s="29"/>
      <c r="Z311" s="30"/>
      <c r="AA311" s="29"/>
      <c r="AB311" s="29"/>
    </row>
    <row r="312" customFormat="false" ht="15" hidden="false" customHeight="false" outlineLevel="0" collapsed="false">
      <c r="A312" s="41" t="str">
        <f aca="false">IF(B312="","",ROW()-4)</f>
        <v/>
      </c>
      <c r="B312" s="39"/>
      <c r="C312" s="29"/>
      <c r="D312" s="29"/>
      <c r="E312" s="29"/>
      <c r="F312" s="29"/>
      <c r="G312" s="29"/>
      <c r="H312" s="32"/>
      <c r="I312" s="29"/>
      <c r="J312" s="29"/>
      <c r="K312" s="29"/>
      <c r="L312" s="29"/>
      <c r="M312" s="29"/>
      <c r="N312" s="29"/>
      <c r="O312" s="29"/>
      <c r="P312" s="29"/>
      <c r="Q312" s="24" t="str">
        <f aca="false">IF(N312&lt;&gt;"",UPPER(TRIM(N312)),IF(P312&lt;&gt;"",UPPER(TRIM(P312)),""))</f>
        <v/>
      </c>
      <c r="R312" s="24" t="str">
        <f aca="false">IF(B312="","",IF(N312&lt;&gt;"","UTM tracked",IF(P312&lt;&gt;"","Manual / self-reported",IF(O312&lt;&gt;"","Self-reported channel only","Unattributed"))))</f>
        <v/>
      </c>
      <c r="S312" s="24" t="str">
        <f aca="false">IF(Q312="","",IFERROR(INDEX('Post Tracker'!$G$5:$G$1004,MATCH(Q312,'Post Tracker'!$A$5:$A$1004,0)),"ID NOT FOUND"))</f>
        <v/>
      </c>
      <c r="T312" s="24" t="str">
        <f aca="false">IF(Q312="","",IFERROR(INDEX('Post Tracker'!$K$5:$K$1004,MATCH(Q312,'Post Tracker'!$A$5:$A$1004,0))&amp;"",""))</f>
        <v/>
      </c>
      <c r="U312" s="33" t="str">
        <f aca="false">IF(OR(Q312="",B312=""),"",IFERROR(B312-INDEX('Post Tracker'!$B$5:$B$1004,MATCH(Q312,'Post Tracker'!$A$5:$A$1004,0)),""))</f>
        <v/>
      </c>
      <c r="V312" s="39"/>
      <c r="W312" s="29"/>
      <c r="X312" s="29"/>
      <c r="Y312" s="29"/>
      <c r="Z312" s="30"/>
      <c r="AA312" s="29"/>
      <c r="AB312" s="29"/>
    </row>
    <row r="313" customFormat="false" ht="15" hidden="false" customHeight="false" outlineLevel="0" collapsed="false">
      <c r="A313" s="41" t="str">
        <f aca="false">IF(B313="","",ROW()-4)</f>
        <v/>
      </c>
      <c r="B313" s="39"/>
      <c r="C313" s="29"/>
      <c r="D313" s="29"/>
      <c r="E313" s="29"/>
      <c r="F313" s="29"/>
      <c r="G313" s="29"/>
      <c r="H313" s="32"/>
      <c r="I313" s="29"/>
      <c r="J313" s="29"/>
      <c r="K313" s="29"/>
      <c r="L313" s="29"/>
      <c r="M313" s="29"/>
      <c r="N313" s="29"/>
      <c r="O313" s="29"/>
      <c r="P313" s="29"/>
      <c r="Q313" s="24" t="str">
        <f aca="false">IF(N313&lt;&gt;"",UPPER(TRIM(N313)),IF(P313&lt;&gt;"",UPPER(TRIM(P313)),""))</f>
        <v/>
      </c>
      <c r="R313" s="24" t="str">
        <f aca="false">IF(B313="","",IF(N313&lt;&gt;"","UTM tracked",IF(P313&lt;&gt;"","Manual / self-reported",IF(O313&lt;&gt;"","Self-reported channel only","Unattributed"))))</f>
        <v/>
      </c>
      <c r="S313" s="24" t="str">
        <f aca="false">IF(Q313="","",IFERROR(INDEX('Post Tracker'!$G$5:$G$1004,MATCH(Q313,'Post Tracker'!$A$5:$A$1004,0)),"ID NOT FOUND"))</f>
        <v/>
      </c>
      <c r="T313" s="24" t="str">
        <f aca="false">IF(Q313="","",IFERROR(INDEX('Post Tracker'!$K$5:$K$1004,MATCH(Q313,'Post Tracker'!$A$5:$A$1004,0))&amp;"",""))</f>
        <v/>
      </c>
      <c r="U313" s="33" t="str">
        <f aca="false">IF(OR(Q313="",B313=""),"",IFERROR(B313-INDEX('Post Tracker'!$B$5:$B$1004,MATCH(Q313,'Post Tracker'!$A$5:$A$1004,0)),""))</f>
        <v/>
      </c>
      <c r="V313" s="39"/>
      <c r="W313" s="29"/>
      <c r="X313" s="29"/>
      <c r="Y313" s="29"/>
      <c r="Z313" s="30"/>
      <c r="AA313" s="29"/>
      <c r="AB313" s="29"/>
    </row>
    <row r="314" customFormat="false" ht="15" hidden="false" customHeight="false" outlineLevel="0" collapsed="false">
      <c r="A314" s="41" t="str">
        <f aca="false">IF(B314="","",ROW()-4)</f>
        <v/>
      </c>
      <c r="B314" s="39"/>
      <c r="C314" s="29"/>
      <c r="D314" s="29"/>
      <c r="E314" s="29"/>
      <c r="F314" s="29"/>
      <c r="G314" s="29"/>
      <c r="H314" s="32"/>
      <c r="I314" s="29"/>
      <c r="J314" s="29"/>
      <c r="K314" s="29"/>
      <c r="L314" s="29"/>
      <c r="M314" s="29"/>
      <c r="N314" s="29"/>
      <c r="O314" s="29"/>
      <c r="P314" s="29"/>
      <c r="Q314" s="24" t="str">
        <f aca="false">IF(N314&lt;&gt;"",UPPER(TRIM(N314)),IF(P314&lt;&gt;"",UPPER(TRIM(P314)),""))</f>
        <v/>
      </c>
      <c r="R314" s="24" t="str">
        <f aca="false">IF(B314="","",IF(N314&lt;&gt;"","UTM tracked",IF(P314&lt;&gt;"","Manual / self-reported",IF(O314&lt;&gt;"","Self-reported channel only","Unattributed"))))</f>
        <v/>
      </c>
      <c r="S314" s="24" t="str">
        <f aca="false">IF(Q314="","",IFERROR(INDEX('Post Tracker'!$G$5:$G$1004,MATCH(Q314,'Post Tracker'!$A$5:$A$1004,0)),"ID NOT FOUND"))</f>
        <v/>
      </c>
      <c r="T314" s="24" t="str">
        <f aca="false">IF(Q314="","",IFERROR(INDEX('Post Tracker'!$K$5:$K$1004,MATCH(Q314,'Post Tracker'!$A$5:$A$1004,0))&amp;"",""))</f>
        <v/>
      </c>
      <c r="U314" s="33" t="str">
        <f aca="false">IF(OR(Q314="",B314=""),"",IFERROR(B314-INDEX('Post Tracker'!$B$5:$B$1004,MATCH(Q314,'Post Tracker'!$A$5:$A$1004,0)),""))</f>
        <v/>
      </c>
      <c r="V314" s="39"/>
      <c r="W314" s="29"/>
      <c r="X314" s="29"/>
      <c r="Y314" s="29"/>
      <c r="Z314" s="30"/>
      <c r="AA314" s="29"/>
      <c r="AB314" s="29"/>
    </row>
    <row r="315" customFormat="false" ht="15" hidden="false" customHeight="false" outlineLevel="0" collapsed="false">
      <c r="A315" s="41" t="str">
        <f aca="false">IF(B315="","",ROW()-4)</f>
        <v/>
      </c>
      <c r="B315" s="39"/>
      <c r="C315" s="29"/>
      <c r="D315" s="29"/>
      <c r="E315" s="29"/>
      <c r="F315" s="29"/>
      <c r="G315" s="29"/>
      <c r="H315" s="32"/>
      <c r="I315" s="29"/>
      <c r="J315" s="29"/>
      <c r="K315" s="29"/>
      <c r="L315" s="29"/>
      <c r="M315" s="29"/>
      <c r="N315" s="29"/>
      <c r="O315" s="29"/>
      <c r="P315" s="29"/>
      <c r="Q315" s="24" t="str">
        <f aca="false">IF(N315&lt;&gt;"",UPPER(TRIM(N315)),IF(P315&lt;&gt;"",UPPER(TRIM(P315)),""))</f>
        <v/>
      </c>
      <c r="R315" s="24" t="str">
        <f aca="false">IF(B315="","",IF(N315&lt;&gt;"","UTM tracked",IF(P315&lt;&gt;"","Manual / self-reported",IF(O315&lt;&gt;"","Self-reported channel only","Unattributed"))))</f>
        <v/>
      </c>
      <c r="S315" s="24" t="str">
        <f aca="false">IF(Q315="","",IFERROR(INDEX('Post Tracker'!$G$5:$G$1004,MATCH(Q315,'Post Tracker'!$A$5:$A$1004,0)),"ID NOT FOUND"))</f>
        <v/>
      </c>
      <c r="T315" s="24" t="str">
        <f aca="false">IF(Q315="","",IFERROR(INDEX('Post Tracker'!$K$5:$K$1004,MATCH(Q315,'Post Tracker'!$A$5:$A$1004,0))&amp;"",""))</f>
        <v/>
      </c>
      <c r="U315" s="33" t="str">
        <f aca="false">IF(OR(Q315="",B315=""),"",IFERROR(B315-INDEX('Post Tracker'!$B$5:$B$1004,MATCH(Q315,'Post Tracker'!$A$5:$A$1004,0)),""))</f>
        <v/>
      </c>
      <c r="V315" s="39"/>
      <c r="W315" s="29"/>
      <c r="X315" s="29"/>
      <c r="Y315" s="29"/>
      <c r="Z315" s="30"/>
      <c r="AA315" s="29"/>
      <c r="AB315" s="29"/>
    </row>
    <row r="316" customFormat="false" ht="15" hidden="false" customHeight="false" outlineLevel="0" collapsed="false">
      <c r="A316" s="41" t="str">
        <f aca="false">IF(B316="","",ROW()-4)</f>
        <v/>
      </c>
      <c r="B316" s="39"/>
      <c r="C316" s="29"/>
      <c r="D316" s="29"/>
      <c r="E316" s="29"/>
      <c r="F316" s="29"/>
      <c r="G316" s="29"/>
      <c r="H316" s="32"/>
      <c r="I316" s="29"/>
      <c r="J316" s="29"/>
      <c r="K316" s="29"/>
      <c r="L316" s="29"/>
      <c r="M316" s="29"/>
      <c r="N316" s="29"/>
      <c r="O316" s="29"/>
      <c r="P316" s="29"/>
      <c r="Q316" s="24" t="str">
        <f aca="false">IF(N316&lt;&gt;"",UPPER(TRIM(N316)),IF(P316&lt;&gt;"",UPPER(TRIM(P316)),""))</f>
        <v/>
      </c>
      <c r="R316" s="24" t="str">
        <f aca="false">IF(B316="","",IF(N316&lt;&gt;"","UTM tracked",IF(P316&lt;&gt;"","Manual / self-reported",IF(O316&lt;&gt;"","Self-reported channel only","Unattributed"))))</f>
        <v/>
      </c>
      <c r="S316" s="24" t="str">
        <f aca="false">IF(Q316="","",IFERROR(INDEX('Post Tracker'!$G$5:$G$1004,MATCH(Q316,'Post Tracker'!$A$5:$A$1004,0)),"ID NOT FOUND"))</f>
        <v/>
      </c>
      <c r="T316" s="24" t="str">
        <f aca="false">IF(Q316="","",IFERROR(INDEX('Post Tracker'!$K$5:$K$1004,MATCH(Q316,'Post Tracker'!$A$5:$A$1004,0))&amp;"",""))</f>
        <v/>
      </c>
      <c r="U316" s="33" t="str">
        <f aca="false">IF(OR(Q316="",B316=""),"",IFERROR(B316-INDEX('Post Tracker'!$B$5:$B$1004,MATCH(Q316,'Post Tracker'!$A$5:$A$1004,0)),""))</f>
        <v/>
      </c>
      <c r="V316" s="39"/>
      <c r="W316" s="29"/>
      <c r="X316" s="29"/>
      <c r="Y316" s="29"/>
      <c r="Z316" s="30"/>
      <c r="AA316" s="29"/>
      <c r="AB316" s="29"/>
    </row>
    <row r="317" customFormat="false" ht="15" hidden="false" customHeight="false" outlineLevel="0" collapsed="false">
      <c r="A317" s="41" t="str">
        <f aca="false">IF(B317="","",ROW()-4)</f>
        <v/>
      </c>
      <c r="B317" s="39"/>
      <c r="C317" s="29"/>
      <c r="D317" s="29"/>
      <c r="E317" s="29"/>
      <c r="F317" s="29"/>
      <c r="G317" s="29"/>
      <c r="H317" s="32"/>
      <c r="I317" s="29"/>
      <c r="J317" s="29"/>
      <c r="K317" s="29"/>
      <c r="L317" s="29"/>
      <c r="M317" s="29"/>
      <c r="N317" s="29"/>
      <c r="O317" s="29"/>
      <c r="P317" s="29"/>
      <c r="Q317" s="24" t="str">
        <f aca="false">IF(N317&lt;&gt;"",UPPER(TRIM(N317)),IF(P317&lt;&gt;"",UPPER(TRIM(P317)),""))</f>
        <v/>
      </c>
      <c r="R317" s="24" t="str">
        <f aca="false">IF(B317="","",IF(N317&lt;&gt;"","UTM tracked",IF(P317&lt;&gt;"","Manual / self-reported",IF(O317&lt;&gt;"","Self-reported channel only","Unattributed"))))</f>
        <v/>
      </c>
      <c r="S317" s="24" t="str">
        <f aca="false">IF(Q317="","",IFERROR(INDEX('Post Tracker'!$G$5:$G$1004,MATCH(Q317,'Post Tracker'!$A$5:$A$1004,0)),"ID NOT FOUND"))</f>
        <v/>
      </c>
      <c r="T317" s="24" t="str">
        <f aca="false">IF(Q317="","",IFERROR(INDEX('Post Tracker'!$K$5:$K$1004,MATCH(Q317,'Post Tracker'!$A$5:$A$1004,0))&amp;"",""))</f>
        <v/>
      </c>
      <c r="U317" s="33" t="str">
        <f aca="false">IF(OR(Q317="",B317=""),"",IFERROR(B317-INDEX('Post Tracker'!$B$5:$B$1004,MATCH(Q317,'Post Tracker'!$A$5:$A$1004,0)),""))</f>
        <v/>
      </c>
      <c r="V317" s="39"/>
      <c r="W317" s="29"/>
      <c r="X317" s="29"/>
      <c r="Y317" s="29"/>
      <c r="Z317" s="30"/>
      <c r="AA317" s="29"/>
      <c r="AB317" s="29"/>
    </row>
    <row r="318" customFormat="false" ht="15" hidden="false" customHeight="false" outlineLevel="0" collapsed="false">
      <c r="A318" s="41" t="str">
        <f aca="false">IF(B318="","",ROW()-4)</f>
        <v/>
      </c>
      <c r="B318" s="39"/>
      <c r="C318" s="29"/>
      <c r="D318" s="29"/>
      <c r="E318" s="29"/>
      <c r="F318" s="29"/>
      <c r="G318" s="29"/>
      <c r="H318" s="32"/>
      <c r="I318" s="29"/>
      <c r="J318" s="29"/>
      <c r="K318" s="29"/>
      <c r="L318" s="29"/>
      <c r="M318" s="29"/>
      <c r="N318" s="29"/>
      <c r="O318" s="29"/>
      <c r="P318" s="29"/>
      <c r="Q318" s="24" t="str">
        <f aca="false">IF(N318&lt;&gt;"",UPPER(TRIM(N318)),IF(P318&lt;&gt;"",UPPER(TRIM(P318)),""))</f>
        <v/>
      </c>
      <c r="R318" s="24" t="str">
        <f aca="false">IF(B318="","",IF(N318&lt;&gt;"","UTM tracked",IF(P318&lt;&gt;"","Manual / self-reported",IF(O318&lt;&gt;"","Self-reported channel only","Unattributed"))))</f>
        <v/>
      </c>
      <c r="S318" s="24" t="str">
        <f aca="false">IF(Q318="","",IFERROR(INDEX('Post Tracker'!$G$5:$G$1004,MATCH(Q318,'Post Tracker'!$A$5:$A$1004,0)),"ID NOT FOUND"))</f>
        <v/>
      </c>
      <c r="T318" s="24" t="str">
        <f aca="false">IF(Q318="","",IFERROR(INDEX('Post Tracker'!$K$5:$K$1004,MATCH(Q318,'Post Tracker'!$A$5:$A$1004,0))&amp;"",""))</f>
        <v/>
      </c>
      <c r="U318" s="33" t="str">
        <f aca="false">IF(OR(Q318="",B318=""),"",IFERROR(B318-INDEX('Post Tracker'!$B$5:$B$1004,MATCH(Q318,'Post Tracker'!$A$5:$A$1004,0)),""))</f>
        <v/>
      </c>
      <c r="V318" s="39"/>
      <c r="W318" s="29"/>
      <c r="X318" s="29"/>
      <c r="Y318" s="29"/>
      <c r="Z318" s="30"/>
      <c r="AA318" s="29"/>
      <c r="AB318" s="29"/>
    </row>
    <row r="319" customFormat="false" ht="15" hidden="false" customHeight="false" outlineLevel="0" collapsed="false">
      <c r="A319" s="41" t="str">
        <f aca="false">IF(B319="","",ROW()-4)</f>
        <v/>
      </c>
      <c r="B319" s="39"/>
      <c r="C319" s="29"/>
      <c r="D319" s="29"/>
      <c r="E319" s="29"/>
      <c r="F319" s="29"/>
      <c r="G319" s="29"/>
      <c r="H319" s="32"/>
      <c r="I319" s="29"/>
      <c r="J319" s="29"/>
      <c r="K319" s="29"/>
      <c r="L319" s="29"/>
      <c r="M319" s="29"/>
      <c r="N319" s="29"/>
      <c r="O319" s="29"/>
      <c r="P319" s="29"/>
      <c r="Q319" s="24" t="str">
        <f aca="false">IF(N319&lt;&gt;"",UPPER(TRIM(N319)),IF(P319&lt;&gt;"",UPPER(TRIM(P319)),""))</f>
        <v/>
      </c>
      <c r="R319" s="24" t="str">
        <f aca="false">IF(B319="","",IF(N319&lt;&gt;"","UTM tracked",IF(P319&lt;&gt;"","Manual / self-reported",IF(O319&lt;&gt;"","Self-reported channel only","Unattributed"))))</f>
        <v/>
      </c>
      <c r="S319" s="24" t="str">
        <f aca="false">IF(Q319="","",IFERROR(INDEX('Post Tracker'!$G$5:$G$1004,MATCH(Q319,'Post Tracker'!$A$5:$A$1004,0)),"ID NOT FOUND"))</f>
        <v/>
      </c>
      <c r="T319" s="24" t="str">
        <f aca="false">IF(Q319="","",IFERROR(INDEX('Post Tracker'!$K$5:$K$1004,MATCH(Q319,'Post Tracker'!$A$5:$A$1004,0))&amp;"",""))</f>
        <v/>
      </c>
      <c r="U319" s="33" t="str">
        <f aca="false">IF(OR(Q319="",B319=""),"",IFERROR(B319-INDEX('Post Tracker'!$B$5:$B$1004,MATCH(Q319,'Post Tracker'!$A$5:$A$1004,0)),""))</f>
        <v/>
      </c>
      <c r="V319" s="39"/>
      <c r="W319" s="29"/>
      <c r="X319" s="29"/>
      <c r="Y319" s="29"/>
      <c r="Z319" s="30"/>
      <c r="AA319" s="29"/>
      <c r="AB319" s="29"/>
    </row>
    <row r="320" customFormat="false" ht="15" hidden="false" customHeight="false" outlineLevel="0" collapsed="false">
      <c r="A320" s="41" t="str">
        <f aca="false">IF(B320="","",ROW()-4)</f>
        <v/>
      </c>
      <c r="B320" s="39"/>
      <c r="C320" s="29"/>
      <c r="D320" s="29"/>
      <c r="E320" s="29"/>
      <c r="F320" s="29"/>
      <c r="G320" s="29"/>
      <c r="H320" s="32"/>
      <c r="I320" s="29"/>
      <c r="J320" s="29"/>
      <c r="K320" s="29"/>
      <c r="L320" s="29"/>
      <c r="M320" s="29"/>
      <c r="N320" s="29"/>
      <c r="O320" s="29"/>
      <c r="P320" s="29"/>
      <c r="Q320" s="24" t="str">
        <f aca="false">IF(N320&lt;&gt;"",UPPER(TRIM(N320)),IF(P320&lt;&gt;"",UPPER(TRIM(P320)),""))</f>
        <v/>
      </c>
      <c r="R320" s="24" t="str">
        <f aca="false">IF(B320="","",IF(N320&lt;&gt;"","UTM tracked",IF(P320&lt;&gt;"","Manual / self-reported",IF(O320&lt;&gt;"","Self-reported channel only","Unattributed"))))</f>
        <v/>
      </c>
      <c r="S320" s="24" t="str">
        <f aca="false">IF(Q320="","",IFERROR(INDEX('Post Tracker'!$G$5:$G$1004,MATCH(Q320,'Post Tracker'!$A$5:$A$1004,0)),"ID NOT FOUND"))</f>
        <v/>
      </c>
      <c r="T320" s="24" t="str">
        <f aca="false">IF(Q320="","",IFERROR(INDEX('Post Tracker'!$K$5:$K$1004,MATCH(Q320,'Post Tracker'!$A$5:$A$1004,0))&amp;"",""))</f>
        <v/>
      </c>
      <c r="U320" s="33" t="str">
        <f aca="false">IF(OR(Q320="",B320=""),"",IFERROR(B320-INDEX('Post Tracker'!$B$5:$B$1004,MATCH(Q320,'Post Tracker'!$A$5:$A$1004,0)),""))</f>
        <v/>
      </c>
      <c r="V320" s="39"/>
      <c r="W320" s="29"/>
      <c r="X320" s="29"/>
      <c r="Y320" s="29"/>
      <c r="Z320" s="30"/>
      <c r="AA320" s="29"/>
      <c r="AB320" s="29"/>
    </row>
    <row r="321" customFormat="false" ht="15" hidden="false" customHeight="false" outlineLevel="0" collapsed="false">
      <c r="A321" s="41" t="str">
        <f aca="false">IF(B321="","",ROW()-4)</f>
        <v/>
      </c>
      <c r="B321" s="39"/>
      <c r="C321" s="29"/>
      <c r="D321" s="29"/>
      <c r="E321" s="29"/>
      <c r="F321" s="29"/>
      <c r="G321" s="29"/>
      <c r="H321" s="32"/>
      <c r="I321" s="29"/>
      <c r="J321" s="29"/>
      <c r="K321" s="29"/>
      <c r="L321" s="29"/>
      <c r="M321" s="29"/>
      <c r="N321" s="29"/>
      <c r="O321" s="29"/>
      <c r="P321" s="29"/>
      <c r="Q321" s="24" t="str">
        <f aca="false">IF(N321&lt;&gt;"",UPPER(TRIM(N321)),IF(P321&lt;&gt;"",UPPER(TRIM(P321)),""))</f>
        <v/>
      </c>
      <c r="R321" s="24" t="str">
        <f aca="false">IF(B321="","",IF(N321&lt;&gt;"","UTM tracked",IF(P321&lt;&gt;"","Manual / self-reported",IF(O321&lt;&gt;"","Self-reported channel only","Unattributed"))))</f>
        <v/>
      </c>
      <c r="S321" s="24" t="str">
        <f aca="false">IF(Q321="","",IFERROR(INDEX('Post Tracker'!$G$5:$G$1004,MATCH(Q321,'Post Tracker'!$A$5:$A$1004,0)),"ID NOT FOUND"))</f>
        <v/>
      </c>
      <c r="T321" s="24" t="str">
        <f aca="false">IF(Q321="","",IFERROR(INDEX('Post Tracker'!$K$5:$K$1004,MATCH(Q321,'Post Tracker'!$A$5:$A$1004,0))&amp;"",""))</f>
        <v/>
      </c>
      <c r="U321" s="33" t="str">
        <f aca="false">IF(OR(Q321="",B321=""),"",IFERROR(B321-INDEX('Post Tracker'!$B$5:$B$1004,MATCH(Q321,'Post Tracker'!$A$5:$A$1004,0)),""))</f>
        <v/>
      </c>
      <c r="V321" s="39"/>
      <c r="W321" s="29"/>
      <c r="X321" s="29"/>
      <c r="Y321" s="29"/>
      <c r="Z321" s="30"/>
      <c r="AA321" s="29"/>
      <c r="AB321" s="29"/>
    </row>
    <row r="322" customFormat="false" ht="15" hidden="false" customHeight="false" outlineLevel="0" collapsed="false">
      <c r="A322" s="41" t="str">
        <f aca="false">IF(B322="","",ROW()-4)</f>
        <v/>
      </c>
      <c r="B322" s="39"/>
      <c r="C322" s="29"/>
      <c r="D322" s="29"/>
      <c r="E322" s="29"/>
      <c r="F322" s="29"/>
      <c r="G322" s="29"/>
      <c r="H322" s="32"/>
      <c r="I322" s="29"/>
      <c r="J322" s="29"/>
      <c r="K322" s="29"/>
      <c r="L322" s="29"/>
      <c r="M322" s="29"/>
      <c r="N322" s="29"/>
      <c r="O322" s="29"/>
      <c r="P322" s="29"/>
      <c r="Q322" s="24" t="str">
        <f aca="false">IF(N322&lt;&gt;"",UPPER(TRIM(N322)),IF(P322&lt;&gt;"",UPPER(TRIM(P322)),""))</f>
        <v/>
      </c>
      <c r="R322" s="24" t="str">
        <f aca="false">IF(B322="","",IF(N322&lt;&gt;"","UTM tracked",IF(P322&lt;&gt;"","Manual / self-reported",IF(O322&lt;&gt;"","Self-reported channel only","Unattributed"))))</f>
        <v/>
      </c>
      <c r="S322" s="24" t="str">
        <f aca="false">IF(Q322="","",IFERROR(INDEX('Post Tracker'!$G$5:$G$1004,MATCH(Q322,'Post Tracker'!$A$5:$A$1004,0)),"ID NOT FOUND"))</f>
        <v/>
      </c>
      <c r="T322" s="24" t="str">
        <f aca="false">IF(Q322="","",IFERROR(INDEX('Post Tracker'!$K$5:$K$1004,MATCH(Q322,'Post Tracker'!$A$5:$A$1004,0))&amp;"",""))</f>
        <v/>
      </c>
      <c r="U322" s="33" t="str">
        <f aca="false">IF(OR(Q322="",B322=""),"",IFERROR(B322-INDEX('Post Tracker'!$B$5:$B$1004,MATCH(Q322,'Post Tracker'!$A$5:$A$1004,0)),""))</f>
        <v/>
      </c>
      <c r="V322" s="39"/>
      <c r="W322" s="29"/>
      <c r="X322" s="29"/>
      <c r="Y322" s="29"/>
      <c r="Z322" s="30"/>
      <c r="AA322" s="29"/>
      <c r="AB322" s="29"/>
    </row>
    <row r="323" customFormat="false" ht="15" hidden="false" customHeight="false" outlineLevel="0" collapsed="false">
      <c r="A323" s="41" t="str">
        <f aca="false">IF(B323="","",ROW()-4)</f>
        <v/>
      </c>
      <c r="B323" s="39"/>
      <c r="C323" s="29"/>
      <c r="D323" s="29"/>
      <c r="E323" s="29"/>
      <c r="F323" s="29"/>
      <c r="G323" s="29"/>
      <c r="H323" s="32"/>
      <c r="I323" s="29"/>
      <c r="J323" s="29"/>
      <c r="K323" s="29"/>
      <c r="L323" s="29"/>
      <c r="M323" s="29"/>
      <c r="N323" s="29"/>
      <c r="O323" s="29"/>
      <c r="P323" s="29"/>
      <c r="Q323" s="24" t="str">
        <f aca="false">IF(N323&lt;&gt;"",UPPER(TRIM(N323)),IF(P323&lt;&gt;"",UPPER(TRIM(P323)),""))</f>
        <v/>
      </c>
      <c r="R323" s="24" t="str">
        <f aca="false">IF(B323="","",IF(N323&lt;&gt;"","UTM tracked",IF(P323&lt;&gt;"","Manual / self-reported",IF(O323&lt;&gt;"","Self-reported channel only","Unattributed"))))</f>
        <v/>
      </c>
      <c r="S323" s="24" t="str">
        <f aca="false">IF(Q323="","",IFERROR(INDEX('Post Tracker'!$G$5:$G$1004,MATCH(Q323,'Post Tracker'!$A$5:$A$1004,0)),"ID NOT FOUND"))</f>
        <v/>
      </c>
      <c r="T323" s="24" t="str">
        <f aca="false">IF(Q323="","",IFERROR(INDEX('Post Tracker'!$K$5:$K$1004,MATCH(Q323,'Post Tracker'!$A$5:$A$1004,0))&amp;"",""))</f>
        <v/>
      </c>
      <c r="U323" s="33" t="str">
        <f aca="false">IF(OR(Q323="",B323=""),"",IFERROR(B323-INDEX('Post Tracker'!$B$5:$B$1004,MATCH(Q323,'Post Tracker'!$A$5:$A$1004,0)),""))</f>
        <v/>
      </c>
      <c r="V323" s="39"/>
      <c r="W323" s="29"/>
      <c r="X323" s="29"/>
      <c r="Y323" s="29"/>
      <c r="Z323" s="30"/>
      <c r="AA323" s="29"/>
      <c r="AB323" s="29"/>
    </row>
    <row r="324" customFormat="false" ht="15" hidden="false" customHeight="false" outlineLevel="0" collapsed="false">
      <c r="A324" s="41" t="str">
        <f aca="false">IF(B324="","",ROW()-4)</f>
        <v/>
      </c>
      <c r="B324" s="39"/>
      <c r="C324" s="29"/>
      <c r="D324" s="29"/>
      <c r="E324" s="29"/>
      <c r="F324" s="29"/>
      <c r="G324" s="29"/>
      <c r="H324" s="32"/>
      <c r="I324" s="29"/>
      <c r="J324" s="29"/>
      <c r="K324" s="29"/>
      <c r="L324" s="29"/>
      <c r="M324" s="29"/>
      <c r="N324" s="29"/>
      <c r="O324" s="29"/>
      <c r="P324" s="29"/>
      <c r="Q324" s="24" t="str">
        <f aca="false">IF(N324&lt;&gt;"",UPPER(TRIM(N324)),IF(P324&lt;&gt;"",UPPER(TRIM(P324)),""))</f>
        <v/>
      </c>
      <c r="R324" s="24" t="str">
        <f aca="false">IF(B324="","",IF(N324&lt;&gt;"","UTM tracked",IF(P324&lt;&gt;"","Manual / self-reported",IF(O324&lt;&gt;"","Self-reported channel only","Unattributed"))))</f>
        <v/>
      </c>
      <c r="S324" s="24" t="str">
        <f aca="false">IF(Q324="","",IFERROR(INDEX('Post Tracker'!$G$5:$G$1004,MATCH(Q324,'Post Tracker'!$A$5:$A$1004,0)),"ID NOT FOUND"))</f>
        <v/>
      </c>
      <c r="T324" s="24" t="str">
        <f aca="false">IF(Q324="","",IFERROR(INDEX('Post Tracker'!$K$5:$K$1004,MATCH(Q324,'Post Tracker'!$A$5:$A$1004,0))&amp;"",""))</f>
        <v/>
      </c>
      <c r="U324" s="33" t="str">
        <f aca="false">IF(OR(Q324="",B324=""),"",IFERROR(B324-INDEX('Post Tracker'!$B$5:$B$1004,MATCH(Q324,'Post Tracker'!$A$5:$A$1004,0)),""))</f>
        <v/>
      </c>
      <c r="V324" s="39"/>
      <c r="W324" s="29"/>
      <c r="X324" s="29"/>
      <c r="Y324" s="29"/>
      <c r="Z324" s="30"/>
      <c r="AA324" s="29"/>
      <c r="AB324" s="29"/>
    </row>
    <row r="325" customFormat="false" ht="15" hidden="false" customHeight="false" outlineLevel="0" collapsed="false">
      <c r="A325" s="41" t="str">
        <f aca="false">IF(B325="","",ROW()-4)</f>
        <v/>
      </c>
      <c r="B325" s="39"/>
      <c r="C325" s="29"/>
      <c r="D325" s="29"/>
      <c r="E325" s="29"/>
      <c r="F325" s="29"/>
      <c r="G325" s="29"/>
      <c r="H325" s="32"/>
      <c r="I325" s="29"/>
      <c r="J325" s="29"/>
      <c r="K325" s="29"/>
      <c r="L325" s="29"/>
      <c r="M325" s="29"/>
      <c r="N325" s="29"/>
      <c r="O325" s="29"/>
      <c r="P325" s="29"/>
      <c r="Q325" s="24" t="str">
        <f aca="false">IF(N325&lt;&gt;"",UPPER(TRIM(N325)),IF(P325&lt;&gt;"",UPPER(TRIM(P325)),""))</f>
        <v/>
      </c>
      <c r="R325" s="24" t="str">
        <f aca="false">IF(B325="","",IF(N325&lt;&gt;"","UTM tracked",IF(P325&lt;&gt;"","Manual / self-reported",IF(O325&lt;&gt;"","Self-reported channel only","Unattributed"))))</f>
        <v/>
      </c>
      <c r="S325" s="24" t="str">
        <f aca="false">IF(Q325="","",IFERROR(INDEX('Post Tracker'!$G$5:$G$1004,MATCH(Q325,'Post Tracker'!$A$5:$A$1004,0)),"ID NOT FOUND"))</f>
        <v/>
      </c>
      <c r="T325" s="24" t="str">
        <f aca="false">IF(Q325="","",IFERROR(INDEX('Post Tracker'!$K$5:$K$1004,MATCH(Q325,'Post Tracker'!$A$5:$A$1004,0))&amp;"",""))</f>
        <v/>
      </c>
      <c r="U325" s="33" t="str">
        <f aca="false">IF(OR(Q325="",B325=""),"",IFERROR(B325-INDEX('Post Tracker'!$B$5:$B$1004,MATCH(Q325,'Post Tracker'!$A$5:$A$1004,0)),""))</f>
        <v/>
      </c>
      <c r="V325" s="39"/>
      <c r="W325" s="29"/>
      <c r="X325" s="29"/>
      <c r="Y325" s="29"/>
      <c r="Z325" s="30"/>
      <c r="AA325" s="29"/>
      <c r="AB325" s="29"/>
    </row>
    <row r="326" customFormat="false" ht="15" hidden="false" customHeight="false" outlineLevel="0" collapsed="false">
      <c r="A326" s="41" t="str">
        <f aca="false">IF(B326="","",ROW()-4)</f>
        <v/>
      </c>
      <c r="B326" s="39"/>
      <c r="C326" s="29"/>
      <c r="D326" s="29"/>
      <c r="E326" s="29"/>
      <c r="F326" s="29"/>
      <c r="G326" s="29"/>
      <c r="H326" s="32"/>
      <c r="I326" s="29"/>
      <c r="J326" s="29"/>
      <c r="K326" s="29"/>
      <c r="L326" s="29"/>
      <c r="M326" s="29"/>
      <c r="N326" s="29"/>
      <c r="O326" s="29"/>
      <c r="P326" s="29"/>
      <c r="Q326" s="24" t="str">
        <f aca="false">IF(N326&lt;&gt;"",UPPER(TRIM(N326)),IF(P326&lt;&gt;"",UPPER(TRIM(P326)),""))</f>
        <v/>
      </c>
      <c r="R326" s="24" t="str">
        <f aca="false">IF(B326="","",IF(N326&lt;&gt;"","UTM tracked",IF(P326&lt;&gt;"","Manual / self-reported",IF(O326&lt;&gt;"","Self-reported channel only","Unattributed"))))</f>
        <v/>
      </c>
      <c r="S326" s="24" t="str">
        <f aca="false">IF(Q326="","",IFERROR(INDEX('Post Tracker'!$G$5:$G$1004,MATCH(Q326,'Post Tracker'!$A$5:$A$1004,0)),"ID NOT FOUND"))</f>
        <v/>
      </c>
      <c r="T326" s="24" t="str">
        <f aca="false">IF(Q326="","",IFERROR(INDEX('Post Tracker'!$K$5:$K$1004,MATCH(Q326,'Post Tracker'!$A$5:$A$1004,0))&amp;"",""))</f>
        <v/>
      </c>
      <c r="U326" s="33" t="str">
        <f aca="false">IF(OR(Q326="",B326=""),"",IFERROR(B326-INDEX('Post Tracker'!$B$5:$B$1004,MATCH(Q326,'Post Tracker'!$A$5:$A$1004,0)),""))</f>
        <v/>
      </c>
      <c r="V326" s="39"/>
      <c r="W326" s="29"/>
      <c r="X326" s="29"/>
      <c r="Y326" s="29"/>
      <c r="Z326" s="30"/>
      <c r="AA326" s="29"/>
      <c r="AB326" s="29"/>
    </row>
    <row r="327" customFormat="false" ht="15" hidden="false" customHeight="false" outlineLevel="0" collapsed="false">
      <c r="A327" s="41" t="str">
        <f aca="false">IF(B327="","",ROW()-4)</f>
        <v/>
      </c>
      <c r="B327" s="39"/>
      <c r="C327" s="29"/>
      <c r="D327" s="29"/>
      <c r="E327" s="29"/>
      <c r="F327" s="29"/>
      <c r="G327" s="29"/>
      <c r="H327" s="32"/>
      <c r="I327" s="29"/>
      <c r="J327" s="29"/>
      <c r="K327" s="29"/>
      <c r="L327" s="29"/>
      <c r="M327" s="29"/>
      <c r="N327" s="29"/>
      <c r="O327" s="29"/>
      <c r="P327" s="29"/>
      <c r="Q327" s="24" t="str">
        <f aca="false">IF(N327&lt;&gt;"",UPPER(TRIM(N327)),IF(P327&lt;&gt;"",UPPER(TRIM(P327)),""))</f>
        <v/>
      </c>
      <c r="R327" s="24" t="str">
        <f aca="false">IF(B327="","",IF(N327&lt;&gt;"","UTM tracked",IF(P327&lt;&gt;"","Manual / self-reported",IF(O327&lt;&gt;"","Self-reported channel only","Unattributed"))))</f>
        <v/>
      </c>
      <c r="S327" s="24" t="str">
        <f aca="false">IF(Q327="","",IFERROR(INDEX('Post Tracker'!$G$5:$G$1004,MATCH(Q327,'Post Tracker'!$A$5:$A$1004,0)),"ID NOT FOUND"))</f>
        <v/>
      </c>
      <c r="T327" s="24" t="str">
        <f aca="false">IF(Q327="","",IFERROR(INDEX('Post Tracker'!$K$5:$K$1004,MATCH(Q327,'Post Tracker'!$A$5:$A$1004,0))&amp;"",""))</f>
        <v/>
      </c>
      <c r="U327" s="33" t="str">
        <f aca="false">IF(OR(Q327="",B327=""),"",IFERROR(B327-INDEX('Post Tracker'!$B$5:$B$1004,MATCH(Q327,'Post Tracker'!$A$5:$A$1004,0)),""))</f>
        <v/>
      </c>
      <c r="V327" s="39"/>
      <c r="W327" s="29"/>
      <c r="X327" s="29"/>
      <c r="Y327" s="29"/>
      <c r="Z327" s="30"/>
      <c r="AA327" s="29"/>
      <c r="AB327" s="29"/>
    </row>
    <row r="328" customFormat="false" ht="15" hidden="false" customHeight="false" outlineLevel="0" collapsed="false">
      <c r="A328" s="41" t="str">
        <f aca="false">IF(B328="","",ROW()-4)</f>
        <v/>
      </c>
      <c r="B328" s="39"/>
      <c r="C328" s="29"/>
      <c r="D328" s="29"/>
      <c r="E328" s="29"/>
      <c r="F328" s="29"/>
      <c r="G328" s="29"/>
      <c r="H328" s="32"/>
      <c r="I328" s="29"/>
      <c r="J328" s="29"/>
      <c r="K328" s="29"/>
      <c r="L328" s="29"/>
      <c r="M328" s="29"/>
      <c r="N328" s="29"/>
      <c r="O328" s="29"/>
      <c r="P328" s="29"/>
      <c r="Q328" s="24" t="str">
        <f aca="false">IF(N328&lt;&gt;"",UPPER(TRIM(N328)),IF(P328&lt;&gt;"",UPPER(TRIM(P328)),""))</f>
        <v/>
      </c>
      <c r="R328" s="24" t="str">
        <f aca="false">IF(B328="","",IF(N328&lt;&gt;"","UTM tracked",IF(P328&lt;&gt;"","Manual / self-reported",IF(O328&lt;&gt;"","Self-reported channel only","Unattributed"))))</f>
        <v/>
      </c>
      <c r="S328" s="24" t="str">
        <f aca="false">IF(Q328="","",IFERROR(INDEX('Post Tracker'!$G$5:$G$1004,MATCH(Q328,'Post Tracker'!$A$5:$A$1004,0)),"ID NOT FOUND"))</f>
        <v/>
      </c>
      <c r="T328" s="24" t="str">
        <f aca="false">IF(Q328="","",IFERROR(INDEX('Post Tracker'!$K$5:$K$1004,MATCH(Q328,'Post Tracker'!$A$5:$A$1004,0))&amp;"",""))</f>
        <v/>
      </c>
      <c r="U328" s="33" t="str">
        <f aca="false">IF(OR(Q328="",B328=""),"",IFERROR(B328-INDEX('Post Tracker'!$B$5:$B$1004,MATCH(Q328,'Post Tracker'!$A$5:$A$1004,0)),""))</f>
        <v/>
      </c>
      <c r="V328" s="39"/>
      <c r="W328" s="29"/>
      <c r="X328" s="29"/>
      <c r="Y328" s="29"/>
      <c r="Z328" s="30"/>
      <c r="AA328" s="29"/>
      <c r="AB328" s="29"/>
    </row>
    <row r="329" customFormat="false" ht="15" hidden="false" customHeight="false" outlineLevel="0" collapsed="false">
      <c r="A329" s="41" t="str">
        <f aca="false">IF(B329="","",ROW()-4)</f>
        <v/>
      </c>
      <c r="B329" s="39"/>
      <c r="C329" s="29"/>
      <c r="D329" s="29"/>
      <c r="E329" s="29"/>
      <c r="F329" s="29"/>
      <c r="G329" s="29"/>
      <c r="H329" s="32"/>
      <c r="I329" s="29"/>
      <c r="J329" s="29"/>
      <c r="K329" s="29"/>
      <c r="L329" s="29"/>
      <c r="M329" s="29"/>
      <c r="N329" s="29"/>
      <c r="O329" s="29"/>
      <c r="P329" s="29"/>
      <c r="Q329" s="24" t="str">
        <f aca="false">IF(N329&lt;&gt;"",UPPER(TRIM(N329)),IF(P329&lt;&gt;"",UPPER(TRIM(P329)),""))</f>
        <v/>
      </c>
      <c r="R329" s="24" t="str">
        <f aca="false">IF(B329="","",IF(N329&lt;&gt;"","UTM tracked",IF(P329&lt;&gt;"","Manual / self-reported",IF(O329&lt;&gt;"","Self-reported channel only","Unattributed"))))</f>
        <v/>
      </c>
      <c r="S329" s="24" t="str">
        <f aca="false">IF(Q329="","",IFERROR(INDEX('Post Tracker'!$G$5:$G$1004,MATCH(Q329,'Post Tracker'!$A$5:$A$1004,0)),"ID NOT FOUND"))</f>
        <v/>
      </c>
      <c r="T329" s="24" t="str">
        <f aca="false">IF(Q329="","",IFERROR(INDEX('Post Tracker'!$K$5:$K$1004,MATCH(Q329,'Post Tracker'!$A$5:$A$1004,0))&amp;"",""))</f>
        <v/>
      </c>
      <c r="U329" s="33" t="str">
        <f aca="false">IF(OR(Q329="",B329=""),"",IFERROR(B329-INDEX('Post Tracker'!$B$5:$B$1004,MATCH(Q329,'Post Tracker'!$A$5:$A$1004,0)),""))</f>
        <v/>
      </c>
      <c r="V329" s="39"/>
      <c r="W329" s="29"/>
      <c r="X329" s="29"/>
      <c r="Y329" s="29"/>
      <c r="Z329" s="30"/>
      <c r="AA329" s="29"/>
      <c r="AB329" s="29"/>
    </row>
    <row r="330" customFormat="false" ht="15" hidden="false" customHeight="false" outlineLevel="0" collapsed="false">
      <c r="A330" s="41" t="str">
        <f aca="false">IF(B330="","",ROW()-4)</f>
        <v/>
      </c>
      <c r="B330" s="39"/>
      <c r="C330" s="29"/>
      <c r="D330" s="29"/>
      <c r="E330" s="29"/>
      <c r="F330" s="29"/>
      <c r="G330" s="29"/>
      <c r="H330" s="32"/>
      <c r="I330" s="29"/>
      <c r="J330" s="29"/>
      <c r="K330" s="29"/>
      <c r="L330" s="29"/>
      <c r="M330" s="29"/>
      <c r="N330" s="29"/>
      <c r="O330" s="29"/>
      <c r="P330" s="29"/>
      <c r="Q330" s="24" t="str">
        <f aca="false">IF(N330&lt;&gt;"",UPPER(TRIM(N330)),IF(P330&lt;&gt;"",UPPER(TRIM(P330)),""))</f>
        <v/>
      </c>
      <c r="R330" s="24" t="str">
        <f aca="false">IF(B330="","",IF(N330&lt;&gt;"","UTM tracked",IF(P330&lt;&gt;"","Manual / self-reported",IF(O330&lt;&gt;"","Self-reported channel only","Unattributed"))))</f>
        <v/>
      </c>
      <c r="S330" s="24" t="str">
        <f aca="false">IF(Q330="","",IFERROR(INDEX('Post Tracker'!$G$5:$G$1004,MATCH(Q330,'Post Tracker'!$A$5:$A$1004,0)),"ID NOT FOUND"))</f>
        <v/>
      </c>
      <c r="T330" s="24" t="str">
        <f aca="false">IF(Q330="","",IFERROR(INDEX('Post Tracker'!$K$5:$K$1004,MATCH(Q330,'Post Tracker'!$A$5:$A$1004,0))&amp;"",""))</f>
        <v/>
      </c>
      <c r="U330" s="33" t="str">
        <f aca="false">IF(OR(Q330="",B330=""),"",IFERROR(B330-INDEX('Post Tracker'!$B$5:$B$1004,MATCH(Q330,'Post Tracker'!$A$5:$A$1004,0)),""))</f>
        <v/>
      </c>
      <c r="V330" s="39"/>
      <c r="W330" s="29"/>
      <c r="X330" s="29"/>
      <c r="Y330" s="29"/>
      <c r="Z330" s="30"/>
      <c r="AA330" s="29"/>
      <c r="AB330" s="29"/>
    </row>
    <row r="331" customFormat="false" ht="15" hidden="false" customHeight="false" outlineLevel="0" collapsed="false">
      <c r="A331" s="41" t="str">
        <f aca="false">IF(B331="","",ROW()-4)</f>
        <v/>
      </c>
      <c r="B331" s="39"/>
      <c r="C331" s="29"/>
      <c r="D331" s="29"/>
      <c r="E331" s="29"/>
      <c r="F331" s="29"/>
      <c r="G331" s="29"/>
      <c r="H331" s="32"/>
      <c r="I331" s="29"/>
      <c r="J331" s="29"/>
      <c r="K331" s="29"/>
      <c r="L331" s="29"/>
      <c r="M331" s="29"/>
      <c r="N331" s="29"/>
      <c r="O331" s="29"/>
      <c r="P331" s="29"/>
      <c r="Q331" s="24" t="str">
        <f aca="false">IF(N331&lt;&gt;"",UPPER(TRIM(N331)),IF(P331&lt;&gt;"",UPPER(TRIM(P331)),""))</f>
        <v/>
      </c>
      <c r="R331" s="24" t="str">
        <f aca="false">IF(B331="","",IF(N331&lt;&gt;"","UTM tracked",IF(P331&lt;&gt;"","Manual / self-reported",IF(O331&lt;&gt;"","Self-reported channel only","Unattributed"))))</f>
        <v/>
      </c>
      <c r="S331" s="24" t="str">
        <f aca="false">IF(Q331="","",IFERROR(INDEX('Post Tracker'!$G$5:$G$1004,MATCH(Q331,'Post Tracker'!$A$5:$A$1004,0)),"ID NOT FOUND"))</f>
        <v/>
      </c>
      <c r="T331" s="24" t="str">
        <f aca="false">IF(Q331="","",IFERROR(INDEX('Post Tracker'!$K$5:$K$1004,MATCH(Q331,'Post Tracker'!$A$5:$A$1004,0))&amp;"",""))</f>
        <v/>
      </c>
      <c r="U331" s="33" t="str">
        <f aca="false">IF(OR(Q331="",B331=""),"",IFERROR(B331-INDEX('Post Tracker'!$B$5:$B$1004,MATCH(Q331,'Post Tracker'!$A$5:$A$1004,0)),""))</f>
        <v/>
      </c>
      <c r="V331" s="39"/>
      <c r="W331" s="29"/>
      <c r="X331" s="29"/>
      <c r="Y331" s="29"/>
      <c r="Z331" s="30"/>
      <c r="AA331" s="29"/>
      <c r="AB331" s="29"/>
    </row>
    <row r="332" customFormat="false" ht="15" hidden="false" customHeight="false" outlineLevel="0" collapsed="false">
      <c r="A332" s="41" t="str">
        <f aca="false">IF(B332="","",ROW()-4)</f>
        <v/>
      </c>
      <c r="B332" s="39"/>
      <c r="C332" s="29"/>
      <c r="D332" s="29"/>
      <c r="E332" s="29"/>
      <c r="F332" s="29"/>
      <c r="G332" s="29"/>
      <c r="H332" s="32"/>
      <c r="I332" s="29"/>
      <c r="J332" s="29"/>
      <c r="K332" s="29"/>
      <c r="L332" s="29"/>
      <c r="M332" s="29"/>
      <c r="N332" s="29"/>
      <c r="O332" s="29"/>
      <c r="P332" s="29"/>
      <c r="Q332" s="24" t="str">
        <f aca="false">IF(N332&lt;&gt;"",UPPER(TRIM(N332)),IF(P332&lt;&gt;"",UPPER(TRIM(P332)),""))</f>
        <v/>
      </c>
      <c r="R332" s="24" t="str">
        <f aca="false">IF(B332="","",IF(N332&lt;&gt;"","UTM tracked",IF(P332&lt;&gt;"","Manual / self-reported",IF(O332&lt;&gt;"","Self-reported channel only","Unattributed"))))</f>
        <v/>
      </c>
      <c r="S332" s="24" t="str">
        <f aca="false">IF(Q332="","",IFERROR(INDEX('Post Tracker'!$G$5:$G$1004,MATCH(Q332,'Post Tracker'!$A$5:$A$1004,0)),"ID NOT FOUND"))</f>
        <v/>
      </c>
      <c r="T332" s="24" t="str">
        <f aca="false">IF(Q332="","",IFERROR(INDEX('Post Tracker'!$K$5:$K$1004,MATCH(Q332,'Post Tracker'!$A$5:$A$1004,0))&amp;"",""))</f>
        <v/>
      </c>
      <c r="U332" s="33" t="str">
        <f aca="false">IF(OR(Q332="",B332=""),"",IFERROR(B332-INDEX('Post Tracker'!$B$5:$B$1004,MATCH(Q332,'Post Tracker'!$A$5:$A$1004,0)),""))</f>
        <v/>
      </c>
      <c r="V332" s="39"/>
      <c r="W332" s="29"/>
      <c r="X332" s="29"/>
      <c r="Y332" s="29"/>
      <c r="Z332" s="30"/>
      <c r="AA332" s="29"/>
      <c r="AB332" s="29"/>
    </row>
    <row r="333" customFormat="false" ht="15" hidden="false" customHeight="false" outlineLevel="0" collapsed="false">
      <c r="A333" s="41" t="str">
        <f aca="false">IF(B333="","",ROW()-4)</f>
        <v/>
      </c>
      <c r="B333" s="39"/>
      <c r="C333" s="29"/>
      <c r="D333" s="29"/>
      <c r="E333" s="29"/>
      <c r="F333" s="29"/>
      <c r="G333" s="29"/>
      <c r="H333" s="32"/>
      <c r="I333" s="29"/>
      <c r="J333" s="29"/>
      <c r="K333" s="29"/>
      <c r="L333" s="29"/>
      <c r="M333" s="29"/>
      <c r="N333" s="29"/>
      <c r="O333" s="29"/>
      <c r="P333" s="29"/>
      <c r="Q333" s="24" t="str">
        <f aca="false">IF(N333&lt;&gt;"",UPPER(TRIM(N333)),IF(P333&lt;&gt;"",UPPER(TRIM(P333)),""))</f>
        <v/>
      </c>
      <c r="R333" s="24" t="str">
        <f aca="false">IF(B333="","",IF(N333&lt;&gt;"","UTM tracked",IF(P333&lt;&gt;"","Manual / self-reported",IF(O333&lt;&gt;"","Self-reported channel only","Unattributed"))))</f>
        <v/>
      </c>
      <c r="S333" s="24" t="str">
        <f aca="false">IF(Q333="","",IFERROR(INDEX('Post Tracker'!$G$5:$G$1004,MATCH(Q333,'Post Tracker'!$A$5:$A$1004,0)),"ID NOT FOUND"))</f>
        <v/>
      </c>
      <c r="T333" s="24" t="str">
        <f aca="false">IF(Q333="","",IFERROR(INDEX('Post Tracker'!$K$5:$K$1004,MATCH(Q333,'Post Tracker'!$A$5:$A$1004,0))&amp;"",""))</f>
        <v/>
      </c>
      <c r="U333" s="33" t="str">
        <f aca="false">IF(OR(Q333="",B333=""),"",IFERROR(B333-INDEX('Post Tracker'!$B$5:$B$1004,MATCH(Q333,'Post Tracker'!$A$5:$A$1004,0)),""))</f>
        <v/>
      </c>
      <c r="V333" s="39"/>
      <c r="W333" s="29"/>
      <c r="X333" s="29"/>
      <c r="Y333" s="29"/>
      <c r="Z333" s="30"/>
      <c r="AA333" s="29"/>
      <c r="AB333" s="29"/>
    </row>
    <row r="334" customFormat="false" ht="15" hidden="false" customHeight="false" outlineLevel="0" collapsed="false">
      <c r="A334" s="41" t="str">
        <f aca="false">IF(B334="","",ROW()-4)</f>
        <v/>
      </c>
      <c r="B334" s="39"/>
      <c r="C334" s="29"/>
      <c r="D334" s="29"/>
      <c r="E334" s="29"/>
      <c r="F334" s="29"/>
      <c r="G334" s="29"/>
      <c r="H334" s="32"/>
      <c r="I334" s="29"/>
      <c r="J334" s="29"/>
      <c r="K334" s="29"/>
      <c r="L334" s="29"/>
      <c r="M334" s="29"/>
      <c r="N334" s="29"/>
      <c r="O334" s="29"/>
      <c r="P334" s="29"/>
      <c r="Q334" s="24" t="str">
        <f aca="false">IF(N334&lt;&gt;"",UPPER(TRIM(N334)),IF(P334&lt;&gt;"",UPPER(TRIM(P334)),""))</f>
        <v/>
      </c>
      <c r="R334" s="24" t="str">
        <f aca="false">IF(B334="","",IF(N334&lt;&gt;"","UTM tracked",IF(P334&lt;&gt;"","Manual / self-reported",IF(O334&lt;&gt;"","Self-reported channel only","Unattributed"))))</f>
        <v/>
      </c>
      <c r="S334" s="24" t="str">
        <f aca="false">IF(Q334="","",IFERROR(INDEX('Post Tracker'!$G$5:$G$1004,MATCH(Q334,'Post Tracker'!$A$5:$A$1004,0)),"ID NOT FOUND"))</f>
        <v/>
      </c>
      <c r="T334" s="24" t="str">
        <f aca="false">IF(Q334="","",IFERROR(INDEX('Post Tracker'!$K$5:$K$1004,MATCH(Q334,'Post Tracker'!$A$5:$A$1004,0))&amp;"",""))</f>
        <v/>
      </c>
      <c r="U334" s="33" t="str">
        <f aca="false">IF(OR(Q334="",B334=""),"",IFERROR(B334-INDEX('Post Tracker'!$B$5:$B$1004,MATCH(Q334,'Post Tracker'!$A$5:$A$1004,0)),""))</f>
        <v/>
      </c>
      <c r="V334" s="39"/>
      <c r="W334" s="29"/>
      <c r="X334" s="29"/>
      <c r="Y334" s="29"/>
      <c r="Z334" s="30"/>
      <c r="AA334" s="29"/>
      <c r="AB334" s="29"/>
    </row>
    <row r="335" customFormat="false" ht="15" hidden="false" customHeight="false" outlineLevel="0" collapsed="false">
      <c r="A335" s="41" t="str">
        <f aca="false">IF(B335="","",ROW()-4)</f>
        <v/>
      </c>
      <c r="B335" s="39"/>
      <c r="C335" s="29"/>
      <c r="D335" s="29"/>
      <c r="E335" s="29"/>
      <c r="F335" s="29"/>
      <c r="G335" s="29"/>
      <c r="H335" s="32"/>
      <c r="I335" s="29"/>
      <c r="J335" s="29"/>
      <c r="K335" s="29"/>
      <c r="L335" s="29"/>
      <c r="M335" s="29"/>
      <c r="N335" s="29"/>
      <c r="O335" s="29"/>
      <c r="P335" s="29"/>
      <c r="Q335" s="24" t="str">
        <f aca="false">IF(N335&lt;&gt;"",UPPER(TRIM(N335)),IF(P335&lt;&gt;"",UPPER(TRIM(P335)),""))</f>
        <v/>
      </c>
      <c r="R335" s="24" t="str">
        <f aca="false">IF(B335="","",IF(N335&lt;&gt;"","UTM tracked",IF(P335&lt;&gt;"","Manual / self-reported",IF(O335&lt;&gt;"","Self-reported channel only","Unattributed"))))</f>
        <v/>
      </c>
      <c r="S335" s="24" t="str">
        <f aca="false">IF(Q335="","",IFERROR(INDEX('Post Tracker'!$G$5:$G$1004,MATCH(Q335,'Post Tracker'!$A$5:$A$1004,0)),"ID NOT FOUND"))</f>
        <v/>
      </c>
      <c r="T335" s="24" t="str">
        <f aca="false">IF(Q335="","",IFERROR(INDEX('Post Tracker'!$K$5:$K$1004,MATCH(Q335,'Post Tracker'!$A$5:$A$1004,0))&amp;"",""))</f>
        <v/>
      </c>
      <c r="U335" s="33" t="str">
        <f aca="false">IF(OR(Q335="",B335=""),"",IFERROR(B335-INDEX('Post Tracker'!$B$5:$B$1004,MATCH(Q335,'Post Tracker'!$A$5:$A$1004,0)),""))</f>
        <v/>
      </c>
      <c r="V335" s="39"/>
      <c r="W335" s="29"/>
      <c r="X335" s="29"/>
      <c r="Y335" s="29"/>
      <c r="Z335" s="30"/>
      <c r="AA335" s="29"/>
      <c r="AB335" s="29"/>
    </row>
    <row r="336" customFormat="false" ht="15" hidden="false" customHeight="false" outlineLevel="0" collapsed="false">
      <c r="A336" s="41" t="str">
        <f aca="false">IF(B336="","",ROW()-4)</f>
        <v/>
      </c>
      <c r="B336" s="39"/>
      <c r="C336" s="29"/>
      <c r="D336" s="29"/>
      <c r="E336" s="29"/>
      <c r="F336" s="29"/>
      <c r="G336" s="29"/>
      <c r="H336" s="32"/>
      <c r="I336" s="29"/>
      <c r="J336" s="29"/>
      <c r="K336" s="29"/>
      <c r="L336" s="29"/>
      <c r="M336" s="29"/>
      <c r="N336" s="29"/>
      <c r="O336" s="29"/>
      <c r="P336" s="29"/>
      <c r="Q336" s="24" t="str">
        <f aca="false">IF(N336&lt;&gt;"",UPPER(TRIM(N336)),IF(P336&lt;&gt;"",UPPER(TRIM(P336)),""))</f>
        <v/>
      </c>
      <c r="R336" s="24" t="str">
        <f aca="false">IF(B336="","",IF(N336&lt;&gt;"","UTM tracked",IF(P336&lt;&gt;"","Manual / self-reported",IF(O336&lt;&gt;"","Self-reported channel only","Unattributed"))))</f>
        <v/>
      </c>
      <c r="S336" s="24" t="str">
        <f aca="false">IF(Q336="","",IFERROR(INDEX('Post Tracker'!$G$5:$G$1004,MATCH(Q336,'Post Tracker'!$A$5:$A$1004,0)),"ID NOT FOUND"))</f>
        <v/>
      </c>
      <c r="T336" s="24" t="str">
        <f aca="false">IF(Q336="","",IFERROR(INDEX('Post Tracker'!$K$5:$K$1004,MATCH(Q336,'Post Tracker'!$A$5:$A$1004,0))&amp;"",""))</f>
        <v/>
      </c>
      <c r="U336" s="33" t="str">
        <f aca="false">IF(OR(Q336="",B336=""),"",IFERROR(B336-INDEX('Post Tracker'!$B$5:$B$1004,MATCH(Q336,'Post Tracker'!$A$5:$A$1004,0)),""))</f>
        <v/>
      </c>
      <c r="V336" s="39"/>
      <c r="W336" s="29"/>
      <c r="X336" s="29"/>
      <c r="Y336" s="29"/>
      <c r="Z336" s="30"/>
      <c r="AA336" s="29"/>
      <c r="AB336" s="29"/>
    </row>
    <row r="337" customFormat="false" ht="15" hidden="false" customHeight="false" outlineLevel="0" collapsed="false">
      <c r="A337" s="41" t="str">
        <f aca="false">IF(B337="","",ROW()-4)</f>
        <v/>
      </c>
      <c r="B337" s="39"/>
      <c r="C337" s="29"/>
      <c r="D337" s="29"/>
      <c r="E337" s="29"/>
      <c r="F337" s="29"/>
      <c r="G337" s="29"/>
      <c r="H337" s="32"/>
      <c r="I337" s="29"/>
      <c r="J337" s="29"/>
      <c r="K337" s="29"/>
      <c r="L337" s="29"/>
      <c r="M337" s="29"/>
      <c r="N337" s="29"/>
      <c r="O337" s="29"/>
      <c r="P337" s="29"/>
      <c r="Q337" s="24" t="str">
        <f aca="false">IF(N337&lt;&gt;"",UPPER(TRIM(N337)),IF(P337&lt;&gt;"",UPPER(TRIM(P337)),""))</f>
        <v/>
      </c>
      <c r="R337" s="24" t="str">
        <f aca="false">IF(B337="","",IF(N337&lt;&gt;"","UTM tracked",IF(P337&lt;&gt;"","Manual / self-reported",IF(O337&lt;&gt;"","Self-reported channel only","Unattributed"))))</f>
        <v/>
      </c>
      <c r="S337" s="24" t="str">
        <f aca="false">IF(Q337="","",IFERROR(INDEX('Post Tracker'!$G$5:$G$1004,MATCH(Q337,'Post Tracker'!$A$5:$A$1004,0)),"ID NOT FOUND"))</f>
        <v/>
      </c>
      <c r="T337" s="24" t="str">
        <f aca="false">IF(Q337="","",IFERROR(INDEX('Post Tracker'!$K$5:$K$1004,MATCH(Q337,'Post Tracker'!$A$5:$A$1004,0))&amp;"",""))</f>
        <v/>
      </c>
      <c r="U337" s="33" t="str">
        <f aca="false">IF(OR(Q337="",B337=""),"",IFERROR(B337-INDEX('Post Tracker'!$B$5:$B$1004,MATCH(Q337,'Post Tracker'!$A$5:$A$1004,0)),""))</f>
        <v/>
      </c>
      <c r="V337" s="39"/>
      <c r="W337" s="29"/>
      <c r="X337" s="29"/>
      <c r="Y337" s="29"/>
      <c r="Z337" s="30"/>
      <c r="AA337" s="29"/>
      <c r="AB337" s="29"/>
    </row>
    <row r="338" customFormat="false" ht="15" hidden="false" customHeight="false" outlineLevel="0" collapsed="false">
      <c r="A338" s="41" t="str">
        <f aca="false">IF(B338="","",ROW()-4)</f>
        <v/>
      </c>
      <c r="B338" s="39"/>
      <c r="C338" s="29"/>
      <c r="D338" s="29"/>
      <c r="E338" s="29"/>
      <c r="F338" s="29"/>
      <c r="G338" s="29"/>
      <c r="H338" s="32"/>
      <c r="I338" s="29"/>
      <c r="J338" s="29"/>
      <c r="K338" s="29"/>
      <c r="L338" s="29"/>
      <c r="M338" s="29"/>
      <c r="N338" s="29"/>
      <c r="O338" s="29"/>
      <c r="P338" s="29"/>
      <c r="Q338" s="24" t="str">
        <f aca="false">IF(N338&lt;&gt;"",UPPER(TRIM(N338)),IF(P338&lt;&gt;"",UPPER(TRIM(P338)),""))</f>
        <v/>
      </c>
      <c r="R338" s="24" t="str">
        <f aca="false">IF(B338="","",IF(N338&lt;&gt;"","UTM tracked",IF(P338&lt;&gt;"","Manual / self-reported",IF(O338&lt;&gt;"","Self-reported channel only","Unattributed"))))</f>
        <v/>
      </c>
      <c r="S338" s="24" t="str">
        <f aca="false">IF(Q338="","",IFERROR(INDEX('Post Tracker'!$G$5:$G$1004,MATCH(Q338,'Post Tracker'!$A$5:$A$1004,0)),"ID NOT FOUND"))</f>
        <v/>
      </c>
      <c r="T338" s="24" t="str">
        <f aca="false">IF(Q338="","",IFERROR(INDEX('Post Tracker'!$K$5:$K$1004,MATCH(Q338,'Post Tracker'!$A$5:$A$1004,0))&amp;"",""))</f>
        <v/>
      </c>
      <c r="U338" s="33" t="str">
        <f aca="false">IF(OR(Q338="",B338=""),"",IFERROR(B338-INDEX('Post Tracker'!$B$5:$B$1004,MATCH(Q338,'Post Tracker'!$A$5:$A$1004,0)),""))</f>
        <v/>
      </c>
      <c r="V338" s="39"/>
      <c r="W338" s="29"/>
      <c r="X338" s="29"/>
      <c r="Y338" s="29"/>
      <c r="Z338" s="30"/>
      <c r="AA338" s="29"/>
      <c r="AB338" s="29"/>
    </row>
    <row r="339" customFormat="false" ht="15" hidden="false" customHeight="false" outlineLevel="0" collapsed="false">
      <c r="A339" s="41" t="str">
        <f aca="false">IF(B339="","",ROW()-4)</f>
        <v/>
      </c>
      <c r="B339" s="39"/>
      <c r="C339" s="29"/>
      <c r="D339" s="29"/>
      <c r="E339" s="29"/>
      <c r="F339" s="29"/>
      <c r="G339" s="29"/>
      <c r="H339" s="32"/>
      <c r="I339" s="29"/>
      <c r="J339" s="29"/>
      <c r="K339" s="29"/>
      <c r="L339" s="29"/>
      <c r="M339" s="29"/>
      <c r="N339" s="29"/>
      <c r="O339" s="29"/>
      <c r="P339" s="29"/>
      <c r="Q339" s="24" t="str">
        <f aca="false">IF(N339&lt;&gt;"",UPPER(TRIM(N339)),IF(P339&lt;&gt;"",UPPER(TRIM(P339)),""))</f>
        <v/>
      </c>
      <c r="R339" s="24" t="str">
        <f aca="false">IF(B339="","",IF(N339&lt;&gt;"","UTM tracked",IF(P339&lt;&gt;"","Manual / self-reported",IF(O339&lt;&gt;"","Self-reported channel only","Unattributed"))))</f>
        <v/>
      </c>
      <c r="S339" s="24" t="str">
        <f aca="false">IF(Q339="","",IFERROR(INDEX('Post Tracker'!$G$5:$G$1004,MATCH(Q339,'Post Tracker'!$A$5:$A$1004,0)),"ID NOT FOUND"))</f>
        <v/>
      </c>
      <c r="T339" s="24" t="str">
        <f aca="false">IF(Q339="","",IFERROR(INDEX('Post Tracker'!$K$5:$K$1004,MATCH(Q339,'Post Tracker'!$A$5:$A$1004,0))&amp;"",""))</f>
        <v/>
      </c>
      <c r="U339" s="33" t="str">
        <f aca="false">IF(OR(Q339="",B339=""),"",IFERROR(B339-INDEX('Post Tracker'!$B$5:$B$1004,MATCH(Q339,'Post Tracker'!$A$5:$A$1004,0)),""))</f>
        <v/>
      </c>
      <c r="V339" s="39"/>
      <c r="W339" s="29"/>
      <c r="X339" s="29"/>
      <c r="Y339" s="29"/>
      <c r="Z339" s="30"/>
      <c r="AA339" s="29"/>
      <c r="AB339" s="29"/>
    </row>
    <row r="340" customFormat="false" ht="15" hidden="false" customHeight="false" outlineLevel="0" collapsed="false">
      <c r="A340" s="41" t="str">
        <f aca="false">IF(B340="","",ROW()-4)</f>
        <v/>
      </c>
      <c r="B340" s="39"/>
      <c r="C340" s="29"/>
      <c r="D340" s="29"/>
      <c r="E340" s="29"/>
      <c r="F340" s="29"/>
      <c r="G340" s="29"/>
      <c r="H340" s="32"/>
      <c r="I340" s="29"/>
      <c r="J340" s="29"/>
      <c r="K340" s="29"/>
      <c r="L340" s="29"/>
      <c r="M340" s="29"/>
      <c r="N340" s="29"/>
      <c r="O340" s="29"/>
      <c r="P340" s="29"/>
      <c r="Q340" s="24" t="str">
        <f aca="false">IF(N340&lt;&gt;"",UPPER(TRIM(N340)),IF(P340&lt;&gt;"",UPPER(TRIM(P340)),""))</f>
        <v/>
      </c>
      <c r="R340" s="24" t="str">
        <f aca="false">IF(B340="","",IF(N340&lt;&gt;"","UTM tracked",IF(P340&lt;&gt;"","Manual / self-reported",IF(O340&lt;&gt;"","Self-reported channel only","Unattributed"))))</f>
        <v/>
      </c>
      <c r="S340" s="24" t="str">
        <f aca="false">IF(Q340="","",IFERROR(INDEX('Post Tracker'!$G$5:$G$1004,MATCH(Q340,'Post Tracker'!$A$5:$A$1004,0)),"ID NOT FOUND"))</f>
        <v/>
      </c>
      <c r="T340" s="24" t="str">
        <f aca="false">IF(Q340="","",IFERROR(INDEX('Post Tracker'!$K$5:$K$1004,MATCH(Q340,'Post Tracker'!$A$5:$A$1004,0))&amp;"",""))</f>
        <v/>
      </c>
      <c r="U340" s="33" t="str">
        <f aca="false">IF(OR(Q340="",B340=""),"",IFERROR(B340-INDEX('Post Tracker'!$B$5:$B$1004,MATCH(Q340,'Post Tracker'!$A$5:$A$1004,0)),""))</f>
        <v/>
      </c>
      <c r="V340" s="39"/>
      <c r="W340" s="29"/>
      <c r="X340" s="29"/>
      <c r="Y340" s="29"/>
      <c r="Z340" s="30"/>
      <c r="AA340" s="29"/>
      <c r="AB340" s="29"/>
    </row>
    <row r="341" customFormat="false" ht="15" hidden="false" customHeight="false" outlineLevel="0" collapsed="false">
      <c r="A341" s="41" t="str">
        <f aca="false">IF(B341="","",ROW()-4)</f>
        <v/>
      </c>
      <c r="B341" s="39"/>
      <c r="C341" s="29"/>
      <c r="D341" s="29"/>
      <c r="E341" s="29"/>
      <c r="F341" s="29"/>
      <c r="G341" s="29"/>
      <c r="H341" s="32"/>
      <c r="I341" s="29"/>
      <c r="J341" s="29"/>
      <c r="K341" s="29"/>
      <c r="L341" s="29"/>
      <c r="M341" s="29"/>
      <c r="N341" s="29"/>
      <c r="O341" s="29"/>
      <c r="P341" s="29"/>
      <c r="Q341" s="24" t="str">
        <f aca="false">IF(N341&lt;&gt;"",UPPER(TRIM(N341)),IF(P341&lt;&gt;"",UPPER(TRIM(P341)),""))</f>
        <v/>
      </c>
      <c r="R341" s="24" t="str">
        <f aca="false">IF(B341="","",IF(N341&lt;&gt;"","UTM tracked",IF(P341&lt;&gt;"","Manual / self-reported",IF(O341&lt;&gt;"","Self-reported channel only","Unattributed"))))</f>
        <v/>
      </c>
      <c r="S341" s="24" t="str">
        <f aca="false">IF(Q341="","",IFERROR(INDEX('Post Tracker'!$G$5:$G$1004,MATCH(Q341,'Post Tracker'!$A$5:$A$1004,0)),"ID NOT FOUND"))</f>
        <v/>
      </c>
      <c r="T341" s="24" t="str">
        <f aca="false">IF(Q341="","",IFERROR(INDEX('Post Tracker'!$K$5:$K$1004,MATCH(Q341,'Post Tracker'!$A$5:$A$1004,0))&amp;"",""))</f>
        <v/>
      </c>
      <c r="U341" s="33" t="str">
        <f aca="false">IF(OR(Q341="",B341=""),"",IFERROR(B341-INDEX('Post Tracker'!$B$5:$B$1004,MATCH(Q341,'Post Tracker'!$A$5:$A$1004,0)),""))</f>
        <v/>
      </c>
      <c r="V341" s="39"/>
      <c r="W341" s="29"/>
      <c r="X341" s="29"/>
      <c r="Y341" s="29"/>
      <c r="Z341" s="30"/>
      <c r="AA341" s="29"/>
      <c r="AB341" s="29"/>
    </row>
    <row r="342" customFormat="false" ht="15" hidden="false" customHeight="false" outlineLevel="0" collapsed="false">
      <c r="A342" s="41" t="str">
        <f aca="false">IF(B342="","",ROW()-4)</f>
        <v/>
      </c>
      <c r="B342" s="39"/>
      <c r="C342" s="29"/>
      <c r="D342" s="29"/>
      <c r="E342" s="29"/>
      <c r="F342" s="29"/>
      <c r="G342" s="29"/>
      <c r="H342" s="32"/>
      <c r="I342" s="29"/>
      <c r="J342" s="29"/>
      <c r="K342" s="29"/>
      <c r="L342" s="29"/>
      <c r="M342" s="29"/>
      <c r="N342" s="29"/>
      <c r="O342" s="29"/>
      <c r="P342" s="29"/>
      <c r="Q342" s="24" t="str">
        <f aca="false">IF(N342&lt;&gt;"",UPPER(TRIM(N342)),IF(P342&lt;&gt;"",UPPER(TRIM(P342)),""))</f>
        <v/>
      </c>
      <c r="R342" s="24" t="str">
        <f aca="false">IF(B342="","",IF(N342&lt;&gt;"","UTM tracked",IF(P342&lt;&gt;"","Manual / self-reported",IF(O342&lt;&gt;"","Self-reported channel only","Unattributed"))))</f>
        <v/>
      </c>
      <c r="S342" s="24" t="str">
        <f aca="false">IF(Q342="","",IFERROR(INDEX('Post Tracker'!$G$5:$G$1004,MATCH(Q342,'Post Tracker'!$A$5:$A$1004,0)),"ID NOT FOUND"))</f>
        <v/>
      </c>
      <c r="T342" s="24" t="str">
        <f aca="false">IF(Q342="","",IFERROR(INDEX('Post Tracker'!$K$5:$K$1004,MATCH(Q342,'Post Tracker'!$A$5:$A$1004,0))&amp;"",""))</f>
        <v/>
      </c>
      <c r="U342" s="33" t="str">
        <f aca="false">IF(OR(Q342="",B342=""),"",IFERROR(B342-INDEX('Post Tracker'!$B$5:$B$1004,MATCH(Q342,'Post Tracker'!$A$5:$A$1004,0)),""))</f>
        <v/>
      </c>
      <c r="V342" s="39"/>
      <c r="W342" s="29"/>
      <c r="X342" s="29"/>
      <c r="Y342" s="29"/>
      <c r="Z342" s="30"/>
      <c r="AA342" s="29"/>
      <c r="AB342" s="29"/>
    </row>
    <row r="343" customFormat="false" ht="15" hidden="false" customHeight="false" outlineLevel="0" collapsed="false">
      <c r="A343" s="41" t="str">
        <f aca="false">IF(B343="","",ROW()-4)</f>
        <v/>
      </c>
      <c r="B343" s="39"/>
      <c r="C343" s="29"/>
      <c r="D343" s="29"/>
      <c r="E343" s="29"/>
      <c r="F343" s="29"/>
      <c r="G343" s="29"/>
      <c r="H343" s="32"/>
      <c r="I343" s="29"/>
      <c r="J343" s="29"/>
      <c r="K343" s="29"/>
      <c r="L343" s="29"/>
      <c r="M343" s="29"/>
      <c r="N343" s="29"/>
      <c r="O343" s="29"/>
      <c r="P343" s="29"/>
      <c r="Q343" s="24" t="str">
        <f aca="false">IF(N343&lt;&gt;"",UPPER(TRIM(N343)),IF(P343&lt;&gt;"",UPPER(TRIM(P343)),""))</f>
        <v/>
      </c>
      <c r="R343" s="24" t="str">
        <f aca="false">IF(B343="","",IF(N343&lt;&gt;"","UTM tracked",IF(P343&lt;&gt;"","Manual / self-reported",IF(O343&lt;&gt;"","Self-reported channel only","Unattributed"))))</f>
        <v/>
      </c>
      <c r="S343" s="24" t="str">
        <f aca="false">IF(Q343="","",IFERROR(INDEX('Post Tracker'!$G$5:$G$1004,MATCH(Q343,'Post Tracker'!$A$5:$A$1004,0)),"ID NOT FOUND"))</f>
        <v/>
      </c>
      <c r="T343" s="24" t="str">
        <f aca="false">IF(Q343="","",IFERROR(INDEX('Post Tracker'!$K$5:$K$1004,MATCH(Q343,'Post Tracker'!$A$5:$A$1004,0))&amp;"",""))</f>
        <v/>
      </c>
      <c r="U343" s="33" t="str">
        <f aca="false">IF(OR(Q343="",B343=""),"",IFERROR(B343-INDEX('Post Tracker'!$B$5:$B$1004,MATCH(Q343,'Post Tracker'!$A$5:$A$1004,0)),""))</f>
        <v/>
      </c>
      <c r="V343" s="39"/>
      <c r="W343" s="29"/>
      <c r="X343" s="29"/>
      <c r="Y343" s="29"/>
      <c r="Z343" s="30"/>
      <c r="AA343" s="29"/>
      <c r="AB343" s="29"/>
    </row>
    <row r="344" customFormat="false" ht="15" hidden="false" customHeight="false" outlineLevel="0" collapsed="false">
      <c r="A344" s="41" t="str">
        <f aca="false">IF(B344="","",ROW()-4)</f>
        <v/>
      </c>
      <c r="B344" s="39"/>
      <c r="C344" s="29"/>
      <c r="D344" s="29"/>
      <c r="E344" s="29"/>
      <c r="F344" s="29"/>
      <c r="G344" s="29"/>
      <c r="H344" s="32"/>
      <c r="I344" s="29"/>
      <c r="J344" s="29"/>
      <c r="K344" s="29"/>
      <c r="L344" s="29"/>
      <c r="M344" s="29"/>
      <c r="N344" s="29"/>
      <c r="O344" s="29"/>
      <c r="P344" s="29"/>
      <c r="Q344" s="24" t="str">
        <f aca="false">IF(N344&lt;&gt;"",UPPER(TRIM(N344)),IF(P344&lt;&gt;"",UPPER(TRIM(P344)),""))</f>
        <v/>
      </c>
      <c r="R344" s="24" t="str">
        <f aca="false">IF(B344="","",IF(N344&lt;&gt;"","UTM tracked",IF(P344&lt;&gt;"","Manual / self-reported",IF(O344&lt;&gt;"","Self-reported channel only","Unattributed"))))</f>
        <v/>
      </c>
      <c r="S344" s="24" t="str">
        <f aca="false">IF(Q344="","",IFERROR(INDEX('Post Tracker'!$G$5:$G$1004,MATCH(Q344,'Post Tracker'!$A$5:$A$1004,0)),"ID NOT FOUND"))</f>
        <v/>
      </c>
      <c r="T344" s="24" t="str">
        <f aca="false">IF(Q344="","",IFERROR(INDEX('Post Tracker'!$K$5:$K$1004,MATCH(Q344,'Post Tracker'!$A$5:$A$1004,0))&amp;"",""))</f>
        <v/>
      </c>
      <c r="U344" s="33" t="str">
        <f aca="false">IF(OR(Q344="",B344=""),"",IFERROR(B344-INDEX('Post Tracker'!$B$5:$B$1004,MATCH(Q344,'Post Tracker'!$A$5:$A$1004,0)),""))</f>
        <v/>
      </c>
      <c r="V344" s="39"/>
      <c r="W344" s="29"/>
      <c r="X344" s="29"/>
      <c r="Y344" s="29"/>
      <c r="Z344" s="30"/>
      <c r="AA344" s="29"/>
      <c r="AB344" s="29"/>
    </row>
    <row r="345" customFormat="false" ht="15" hidden="false" customHeight="false" outlineLevel="0" collapsed="false">
      <c r="A345" s="41" t="str">
        <f aca="false">IF(B345="","",ROW()-4)</f>
        <v/>
      </c>
      <c r="B345" s="39"/>
      <c r="C345" s="29"/>
      <c r="D345" s="29"/>
      <c r="E345" s="29"/>
      <c r="F345" s="29"/>
      <c r="G345" s="29"/>
      <c r="H345" s="32"/>
      <c r="I345" s="29"/>
      <c r="J345" s="29"/>
      <c r="K345" s="29"/>
      <c r="L345" s="29"/>
      <c r="M345" s="29"/>
      <c r="N345" s="29"/>
      <c r="O345" s="29"/>
      <c r="P345" s="29"/>
      <c r="Q345" s="24" t="str">
        <f aca="false">IF(N345&lt;&gt;"",UPPER(TRIM(N345)),IF(P345&lt;&gt;"",UPPER(TRIM(P345)),""))</f>
        <v/>
      </c>
      <c r="R345" s="24" t="str">
        <f aca="false">IF(B345="","",IF(N345&lt;&gt;"","UTM tracked",IF(P345&lt;&gt;"","Manual / self-reported",IF(O345&lt;&gt;"","Self-reported channel only","Unattributed"))))</f>
        <v/>
      </c>
      <c r="S345" s="24" t="str">
        <f aca="false">IF(Q345="","",IFERROR(INDEX('Post Tracker'!$G$5:$G$1004,MATCH(Q345,'Post Tracker'!$A$5:$A$1004,0)),"ID NOT FOUND"))</f>
        <v/>
      </c>
      <c r="T345" s="24" t="str">
        <f aca="false">IF(Q345="","",IFERROR(INDEX('Post Tracker'!$K$5:$K$1004,MATCH(Q345,'Post Tracker'!$A$5:$A$1004,0))&amp;"",""))</f>
        <v/>
      </c>
      <c r="U345" s="33" t="str">
        <f aca="false">IF(OR(Q345="",B345=""),"",IFERROR(B345-INDEX('Post Tracker'!$B$5:$B$1004,MATCH(Q345,'Post Tracker'!$A$5:$A$1004,0)),""))</f>
        <v/>
      </c>
      <c r="V345" s="39"/>
      <c r="W345" s="29"/>
      <c r="X345" s="29"/>
      <c r="Y345" s="29"/>
      <c r="Z345" s="30"/>
      <c r="AA345" s="29"/>
      <c r="AB345" s="29"/>
    </row>
    <row r="346" customFormat="false" ht="15" hidden="false" customHeight="false" outlineLevel="0" collapsed="false">
      <c r="A346" s="41" t="str">
        <f aca="false">IF(B346="","",ROW()-4)</f>
        <v/>
      </c>
      <c r="B346" s="39"/>
      <c r="C346" s="29"/>
      <c r="D346" s="29"/>
      <c r="E346" s="29"/>
      <c r="F346" s="29"/>
      <c r="G346" s="29"/>
      <c r="H346" s="32"/>
      <c r="I346" s="29"/>
      <c r="J346" s="29"/>
      <c r="K346" s="29"/>
      <c r="L346" s="29"/>
      <c r="M346" s="29"/>
      <c r="N346" s="29"/>
      <c r="O346" s="29"/>
      <c r="P346" s="29"/>
      <c r="Q346" s="24" t="str">
        <f aca="false">IF(N346&lt;&gt;"",UPPER(TRIM(N346)),IF(P346&lt;&gt;"",UPPER(TRIM(P346)),""))</f>
        <v/>
      </c>
      <c r="R346" s="24" t="str">
        <f aca="false">IF(B346="","",IF(N346&lt;&gt;"","UTM tracked",IF(P346&lt;&gt;"","Manual / self-reported",IF(O346&lt;&gt;"","Self-reported channel only","Unattributed"))))</f>
        <v/>
      </c>
      <c r="S346" s="24" t="str">
        <f aca="false">IF(Q346="","",IFERROR(INDEX('Post Tracker'!$G$5:$G$1004,MATCH(Q346,'Post Tracker'!$A$5:$A$1004,0)),"ID NOT FOUND"))</f>
        <v/>
      </c>
      <c r="T346" s="24" t="str">
        <f aca="false">IF(Q346="","",IFERROR(INDEX('Post Tracker'!$K$5:$K$1004,MATCH(Q346,'Post Tracker'!$A$5:$A$1004,0))&amp;"",""))</f>
        <v/>
      </c>
      <c r="U346" s="33" t="str">
        <f aca="false">IF(OR(Q346="",B346=""),"",IFERROR(B346-INDEX('Post Tracker'!$B$5:$B$1004,MATCH(Q346,'Post Tracker'!$A$5:$A$1004,0)),""))</f>
        <v/>
      </c>
      <c r="V346" s="39"/>
      <c r="W346" s="29"/>
      <c r="X346" s="29"/>
      <c r="Y346" s="29"/>
      <c r="Z346" s="30"/>
      <c r="AA346" s="29"/>
      <c r="AB346" s="29"/>
    </row>
    <row r="347" customFormat="false" ht="15" hidden="false" customHeight="false" outlineLevel="0" collapsed="false">
      <c r="A347" s="41" t="str">
        <f aca="false">IF(B347="","",ROW()-4)</f>
        <v/>
      </c>
      <c r="B347" s="39"/>
      <c r="C347" s="29"/>
      <c r="D347" s="29"/>
      <c r="E347" s="29"/>
      <c r="F347" s="29"/>
      <c r="G347" s="29"/>
      <c r="H347" s="32"/>
      <c r="I347" s="29"/>
      <c r="J347" s="29"/>
      <c r="K347" s="29"/>
      <c r="L347" s="29"/>
      <c r="M347" s="29"/>
      <c r="N347" s="29"/>
      <c r="O347" s="29"/>
      <c r="P347" s="29"/>
      <c r="Q347" s="24" t="str">
        <f aca="false">IF(N347&lt;&gt;"",UPPER(TRIM(N347)),IF(P347&lt;&gt;"",UPPER(TRIM(P347)),""))</f>
        <v/>
      </c>
      <c r="R347" s="24" t="str">
        <f aca="false">IF(B347="","",IF(N347&lt;&gt;"","UTM tracked",IF(P347&lt;&gt;"","Manual / self-reported",IF(O347&lt;&gt;"","Self-reported channel only","Unattributed"))))</f>
        <v/>
      </c>
      <c r="S347" s="24" t="str">
        <f aca="false">IF(Q347="","",IFERROR(INDEX('Post Tracker'!$G$5:$G$1004,MATCH(Q347,'Post Tracker'!$A$5:$A$1004,0)),"ID NOT FOUND"))</f>
        <v/>
      </c>
      <c r="T347" s="24" t="str">
        <f aca="false">IF(Q347="","",IFERROR(INDEX('Post Tracker'!$K$5:$K$1004,MATCH(Q347,'Post Tracker'!$A$5:$A$1004,0))&amp;"",""))</f>
        <v/>
      </c>
      <c r="U347" s="33" t="str">
        <f aca="false">IF(OR(Q347="",B347=""),"",IFERROR(B347-INDEX('Post Tracker'!$B$5:$B$1004,MATCH(Q347,'Post Tracker'!$A$5:$A$1004,0)),""))</f>
        <v/>
      </c>
      <c r="V347" s="39"/>
      <c r="W347" s="29"/>
      <c r="X347" s="29"/>
      <c r="Y347" s="29"/>
      <c r="Z347" s="30"/>
      <c r="AA347" s="29"/>
      <c r="AB347" s="29"/>
    </row>
    <row r="348" customFormat="false" ht="15" hidden="false" customHeight="false" outlineLevel="0" collapsed="false">
      <c r="A348" s="41" t="str">
        <f aca="false">IF(B348="","",ROW()-4)</f>
        <v/>
      </c>
      <c r="B348" s="39"/>
      <c r="C348" s="29"/>
      <c r="D348" s="29"/>
      <c r="E348" s="29"/>
      <c r="F348" s="29"/>
      <c r="G348" s="29"/>
      <c r="H348" s="32"/>
      <c r="I348" s="29"/>
      <c r="J348" s="29"/>
      <c r="K348" s="29"/>
      <c r="L348" s="29"/>
      <c r="M348" s="29"/>
      <c r="N348" s="29"/>
      <c r="O348" s="29"/>
      <c r="P348" s="29"/>
      <c r="Q348" s="24" t="str">
        <f aca="false">IF(N348&lt;&gt;"",UPPER(TRIM(N348)),IF(P348&lt;&gt;"",UPPER(TRIM(P348)),""))</f>
        <v/>
      </c>
      <c r="R348" s="24" t="str">
        <f aca="false">IF(B348="","",IF(N348&lt;&gt;"","UTM tracked",IF(P348&lt;&gt;"","Manual / self-reported",IF(O348&lt;&gt;"","Self-reported channel only","Unattributed"))))</f>
        <v/>
      </c>
      <c r="S348" s="24" t="str">
        <f aca="false">IF(Q348="","",IFERROR(INDEX('Post Tracker'!$G$5:$G$1004,MATCH(Q348,'Post Tracker'!$A$5:$A$1004,0)),"ID NOT FOUND"))</f>
        <v/>
      </c>
      <c r="T348" s="24" t="str">
        <f aca="false">IF(Q348="","",IFERROR(INDEX('Post Tracker'!$K$5:$K$1004,MATCH(Q348,'Post Tracker'!$A$5:$A$1004,0))&amp;"",""))</f>
        <v/>
      </c>
      <c r="U348" s="33" t="str">
        <f aca="false">IF(OR(Q348="",B348=""),"",IFERROR(B348-INDEX('Post Tracker'!$B$5:$B$1004,MATCH(Q348,'Post Tracker'!$A$5:$A$1004,0)),""))</f>
        <v/>
      </c>
      <c r="V348" s="39"/>
      <c r="W348" s="29"/>
      <c r="X348" s="29"/>
      <c r="Y348" s="29"/>
      <c r="Z348" s="30"/>
      <c r="AA348" s="29"/>
      <c r="AB348" s="29"/>
    </row>
    <row r="349" customFormat="false" ht="15" hidden="false" customHeight="false" outlineLevel="0" collapsed="false">
      <c r="A349" s="41" t="str">
        <f aca="false">IF(B349="","",ROW()-4)</f>
        <v/>
      </c>
      <c r="B349" s="39"/>
      <c r="C349" s="29"/>
      <c r="D349" s="29"/>
      <c r="E349" s="29"/>
      <c r="F349" s="29"/>
      <c r="G349" s="29"/>
      <c r="H349" s="32"/>
      <c r="I349" s="29"/>
      <c r="J349" s="29"/>
      <c r="K349" s="29"/>
      <c r="L349" s="29"/>
      <c r="M349" s="29"/>
      <c r="N349" s="29"/>
      <c r="O349" s="29"/>
      <c r="P349" s="29"/>
      <c r="Q349" s="24" t="str">
        <f aca="false">IF(N349&lt;&gt;"",UPPER(TRIM(N349)),IF(P349&lt;&gt;"",UPPER(TRIM(P349)),""))</f>
        <v/>
      </c>
      <c r="R349" s="24" t="str">
        <f aca="false">IF(B349="","",IF(N349&lt;&gt;"","UTM tracked",IF(P349&lt;&gt;"","Manual / self-reported",IF(O349&lt;&gt;"","Self-reported channel only","Unattributed"))))</f>
        <v/>
      </c>
      <c r="S349" s="24" t="str">
        <f aca="false">IF(Q349="","",IFERROR(INDEX('Post Tracker'!$G$5:$G$1004,MATCH(Q349,'Post Tracker'!$A$5:$A$1004,0)),"ID NOT FOUND"))</f>
        <v/>
      </c>
      <c r="T349" s="24" t="str">
        <f aca="false">IF(Q349="","",IFERROR(INDEX('Post Tracker'!$K$5:$K$1004,MATCH(Q349,'Post Tracker'!$A$5:$A$1004,0))&amp;"",""))</f>
        <v/>
      </c>
      <c r="U349" s="33" t="str">
        <f aca="false">IF(OR(Q349="",B349=""),"",IFERROR(B349-INDEX('Post Tracker'!$B$5:$B$1004,MATCH(Q349,'Post Tracker'!$A$5:$A$1004,0)),""))</f>
        <v/>
      </c>
      <c r="V349" s="39"/>
      <c r="W349" s="29"/>
      <c r="X349" s="29"/>
      <c r="Y349" s="29"/>
      <c r="Z349" s="30"/>
      <c r="AA349" s="29"/>
      <c r="AB349" s="29"/>
    </row>
    <row r="350" customFormat="false" ht="15" hidden="false" customHeight="false" outlineLevel="0" collapsed="false">
      <c r="A350" s="41" t="str">
        <f aca="false">IF(B350="","",ROW()-4)</f>
        <v/>
      </c>
      <c r="B350" s="39"/>
      <c r="C350" s="29"/>
      <c r="D350" s="29"/>
      <c r="E350" s="29"/>
      <c r="F350" s="29"/>
      <c r="G350" s="29"/>
      <c r="H350" s="32"/>
      <c r="I350" s="29"/>
      <c r="J350" s="29"/>
      <c r="K350" s="29"/>
      <c r="L350" s="29"/>
      <c r="M350" s="29"/>
      <c r="N350" s="29"/>
      <c r="O350" s="29"/>
      <c r="P350" s="29"/>
      <c r="Q350" s="24" t="str">
        <f aca="false">IF(N350&lt;&gt;"",UPPER(TRIM(N350)),IF(P350&lt;&gt;"",UPPER(TRIM(P350)),""))</f>
        <v/>
      </c>
      <c r="R350" s="24" t="str">
        <f aca="false">IF(B350="","",IF(N350&lt;&gt;"","UTM tracked",IF(P350&lt;&gt;"","Manual / self-reported",IF(O350&lt;&gt;"","Self-reported channel only","Unattributed"))))</f>
        <v/>
      </c>
      <c r="S350" s="24" t="str">
        <f aca="false">IF(Q350="","",IFERROR(INDEX('Post Tracker'!$G$5:$G$1004,MATCH(Q350,'Post Tracker'!$A$5:$A$1004,0)),"ID NOT FOUND"))</f>
        <v/>
      </c>
      <c r="T350" s="24" t="str">
        <f aca="false">IF(Q350="","",IFERROR(INDEX('Post Tracker'!$K$5:$K$1004,MATCH(Q350,'Post Tracker'!$A$5:$A$1004,0))&amp;"",""))</f>
        <v/>
      </c>
      <c r="U350" s="33" t="str">
        <f aca="false">IF(OR(Q350="",B350=""),"",IFERROR(B350-INDEX('Post Tracker'!$B$5:$B$1004,MATCH(Q350,'Post Tracker'!$A$5:$A$1004,0)),""))</f>
        <v/>
      </c>
      <c r="V350" s="39"/>
      <c r="W350" s="29"/>
      <c r="X350" s="29"/>
      <c r="Y350" s="29"/>
      <c r="Z350" s="30"/>
      <c r="AA350" s="29"/>
      <c r="AB350" s="29"/>
    </row>
    <row r="351" customFormat="false" ht="15" hidden="false" customHeight="false" outlineLevel="0" collapsed="false">
      <c r="A351" s="41" t="str">
        <f aca="false">IF(B351="","",ROW()-4)</f>
        <v/>
      </c>
      <c r="B351" s="39"/>
      <c r="C351" s="29"/>
      <c r="D351" s="29"/>
      <c r="E351" s="29"/>
      <c r="F351" s="29"/>
      <c r="G351" s="29"/>
      <c r="H351" s="32"/>
      <c r="I351" s="29"/>
      <c r="J351" s="29"/>
      <c r="K351" s="29"/>
      <c r="L351" s="29"/>
      <c r="M351" s="29"/>
      <c r="N351" s="29"/>
      <c r="O351" s="29"/>
      <c r="P351" s="29"/>
      <c r="Q351" s="24" t="str">
        <f aca="false">IF(N351&lt;&gt;"",UPPER(TRIM(N351)),IF(P351&lt;&gt;"",UPPER(TRIM(P351)),""))</f>
        <v/>
      </c>
      <c r="R351" s="24" t="str">
        <f aca="false">IF(B351="","",IF(N351&lt;&gt;"","UTM tracked",IF(P351&lt;&gt;"","Manual / self-reported",IF(O351&lt;&gt;"","Self-reported channel only","Unattributed"))))</f>
        <v/>
      </c>
      <c r="S351" s="24" t="str">
        <f aca="false">IF(Q351="","",IFERROR(INDEX('Post Tracker'!$G$5:$G$1004,MATCH(Q351,'Post Tracker'!$A$5:$A$1004,0)),"ID NOT FOUND"))</f>
        <v/>
      </c>
      <c r="T351" s="24" t="str">
        <f aca="false">IF(Q351="","",IFERROR(INDEX('Post Tracker'!$K$5:$K$1004,MATCH(Q351,'Post Tracker'!$A$5:$A$1004,0))&amp;"",""))</f>
        <v/>
      </c>
      <c r="U351" s="33" t="str">
        <f aca="false">IF(OR(Q351="",B351=""),"",IFERROR(B351-INDEX('Post Tracker'!$B$5:$B$1004,MATCH(Q351,'Post Tracker'!$A$5:$A$1004,0)),""))</f>
        <v/>
      </c>
      <c r="V351" s="39"/>
      <c r="W351" s="29"/>
      <c r="X351" s="29"/>
      <c r="Y351" s="29"/>
      <c r="Z351" s="30"/>
      <c r="AA351" s="29"/>
      <c r="AB351" s="29"/>
    </row>
    <row r="352" customFormat="false" ht="15" hidden="false" customHeight="false" outlineLevel="0" collapsed="false">
      <c r="A352" s="41" t="str">
        <f aca="false">IF(B352="","",ROW()-4)</f>
        <v/>
      </c>
      <c r="B352" s="39"/>
      <c r="C352" s="29"/>
      <c r="D352" s="29"/>
      <c r="E352" s="29"/>
      <c r="F352" s="29"/>
      <c r="G352" s="29"/>
      <c r="H352" s="32"/>
      <c r="I352" s="29"/>
      <c r="J352" s="29"/>
      <c r="K352" s="29"/>
      <c r="L352" s="29"/>
      <c r="M352" s="29"/>
      <c r="N352" s="29"/>
      <c r="O352" s="29"/>
      <c r="P352" s="29"/>
      <c r="Q352" s="24" t="str">
        <f aca="false">IF(N352&lt;&gt;"",UPPER(TRIM(N352)),IF(P352&lt;&gt;"",UPPER(TRIM(P352)),""))</f>
        <v/>
      </c>
      <c r="R352" s="24" t="str">
        <f aca="false">IF(B352="","",IF(N352&lt;&gt;"","UTM tracked",IF(P352&lt;&gt;"","Manual / self-reported",IF(O352&lt;&gt;"","Self-reported channel only","Unattributed"))))</f>
        <v/>
      </c>
      <c r="S352" s="24" t="str">
        <f aca="false">IF(Q352="","",IFERROR(INDEX('Post Tracker'!$G$5:$G$1004,MATCH(Q352,'Post Tracker'!$A$5:$A$1004,0)),"ID NOT FOUND"))</f>
        <v/>
      </c>
      <c r="T352" s="24" t="str">
        <f aca="false">IF(Q352="","",IFERROR(INDEX('Post Tracker'!$K$5:$K$1004,MATCH(Q352,'Post Tracker'!$A$5:$A$1004,0))&amp;"",""))</f>
        <v/>
      </c>
      <c r="U352" s="33" t="str">
        <f aca="false">IF(OR(Q352="",B352=""),"",IFERROR(B352-INDEX('Post Tracker'!$B$5:$B$1004,MATCH(Q352,'Post Tracker'!$A$5:$A$1004,0)),""))</f>
        <v/>
      </c>
      <c r="V352" s="39"/>
      <c r="W352" s="29"/>
      <c r="X352" s="29"/>
      <c r="Y352" s="29"/>
      <c r="Z352" s="30"/>
      <c r="AA352" s="29"/>
      <c r="AB352" s="29"/>
    </row>
    <row r="353" customFormat="false" ht="15" hidden="false" customHeight="false" outlineLevel="0" collapsed="false">
      <c r="A353" s="41" t="str">
        <f aca="false">IF(B353="","",ROW()-4)</f>
        <v/>
      </c>
      <c r="B353" s="39"/>
      <c r="C353" s="29"/>
      <c r="D353" s="29"/>
      <c r="E353" s="29"/>
      <c r="F353" s="29"/>
      <c r="G353" s="29"/>
      <c r="H353" s="32"/>
      <c r="I353" s="29"/>
      <c r="J353" s="29"/>
      <c r="K353" s="29"/>
      <c r="L353" s="29"/>
      <c r="M353" s="29"/>
      <c r="N353" s="29"/>
      <c r="O353" s="29"/>
      <c r="P353" s="29"/>
      <c r="Q353" s="24" t="str">
        <f aca="false">IF(N353&lt;&gt;"",UPPER(TRIM(N353)),IF(P353&lt;&gt;"",UPPER(TRIM(P353)),""))</f>
        <v/>
      </c>
      <c r="R353" s="24" t="str">
        <f aca="false">IF(B353="","",IF(N353&lt;&gt;"","UTM tracked",IF(P353&lt;&gt;"","Manual / self-reported",IF(O353&lt;&gt;"","Self-reported channel only","Unattributed"))))</f>
        <v/>
      </c>
      <c r="S353" s="24" t="str">
        <f aca="false">IF(Q353="","",IFERROR(INDEX('Post Tracker'!$G$5:$G$1004,MATCH(Q353,'Post Tracker'!$A$5:$A$1004,0)),"ID NOT FOUND"))</f>
        <v/>
      </c>
      <c r="T353" s="24" t="str">
        <f aca="false">IF(Q353="","",IFERROR(INDEX('Post Tracker'!$K$5:$K$1004,MATCH(Q353,'Post Tracker'!$A$5:$A$1004,0))&amp;"",""))</f>
        <v/>
      </c>
      <c r="U353" s="33" t="str">
        <f aca="false">IF(OR(Q353="",B353=""),"",IFERROR(B353-INDEX('Post Tracker'!$B$5:$B$1004,MATCH(Q353,'Post Tracker'!$A$5:$A$1004,0)),""))</f>
        <v/>
      </c>
      <c r="V353" s="39"/>
      <c r="W353" s="29"/>
      <c r="X353" s="29"/>
      <c r="Y353" s="29"/>
      <c r="Z353" s="30"/>
      <c r="AA353" s="29"/>
      <c r="AB353" s="29"/>
    </row>
    <row r="354" customFormat="false" ht="15" hidden="false" customHeight="false" outlineLevel="0" collapsed="false">
      <c r="A354" s="41" t="str">
        <f aca="false">IF(B354="","",ROW()-4)</f>
        <v/>
      </c>
      <c r="B354" s="39"/>
      <c r="C354" s="29"/>
      <c r="D354" s="29"/>
      <c r="E354" s="29"/>
      <c r="F354" s="29"/>
      <c r="G354" s="29"/>
      <c r="H354" s="32"/>
      <c r="I354" s="29"/>
      <c r="J354" s="29"/>
      <c r="K354" s="29"/>
      <c r="L354" s="29"/>
      <c r="M354" s="29"/>
      <c r="N354" s="29"/>
      <c r="O354" s="29"/>
      <c r="P354" s="29"/>
      <c r="Q354" s="24" t="str">
        <f aca="false">IF(N354&lt;&gt;"",UPPER(TRIM(N354)),IF(P354&lt;&gt;"",UPPER(TRIM(P354)),""))</f>
        <v/>
      </c>
      <c r="R354" s="24" t="str">
        <f aca="false">IF(B354="","",IF(N354&lt;&gt;"","UTM tracked",IF(P354&lt;&gt;"","Manual / self-reported",IF(O354&lt;&gt;"","Self-reported channel only","Unattributed"))))</f>
        <v/>
      </c>
      <c r="S354" s="24" t="str">
        <f aca="false">IF(Q354="","",IFERROR(INDEX('Post Tracker'!$G$5:$G$1004,MATCH(Q354,'Post Tracker'!$A$5:$A$1004,0)),"ID NOT FOUND"))</f>
        <v/>
      </c>
      <c r="T354" s="24" t="str">
        <f aca="false">IF(Q354="","",IFERROR(INDEX('Post Tracker'!$K$5:$K$1004,MATCH(Q354,'Post Tracker'!$A$5:$A$1004,0))&amp;"",""))</f>
        <v/>
      </c>
      <c r="U354" s="33" t="str">
        <f aca="false">IF(OR(Q354="",B354=""),"",IFERROR(B354-INDEX('Post Tracker'!$B$5:$B$1004,MATCH(Q354,'Post Tracker'!$A$5:$A$1004,0)),""))</f>
        <v/>
      </c>
      <c r="V354" s="39"/>
      <c r="W354" s="29"/>
      <c r="X354" s="29"/>
      <c r="Y354" s="29"/>
      <c r="Z354" s="30"/>
      <c r="AA354" s="29"/>
      <c r="AB354" s="29"/>
    </row>
    <row r="355" customFormat="false" ht="15" hidden="false" customHeight="false" outlineLevel="0" collapsed="false">
      <c r="A355" s="41" t="str">
        <f aca="false">IF(B355="","",ROW()-4)</f>
        <v/>
      </c>
      <c r="B355" s="39"/>
      <c r="C355" s="29"/>
      <c r="D355" s="29"/>
      <c r="E355" s="29"/>
      <c r="F355" s="29"/>
      <c r="G355" s="29"/>
      <c r="H355" s="32"/>
      <c r="I355" s="29"/>
      <c r="J355" s="29"/>
      <c r="K355" s="29"/>
      <c r="L355" s="29"/>
      <c r="M355" s="29"/>
      <c r="N355" s="29"/>
      <c r="O355" s="29"/>
      <c r="P355" s="29"/>
      <c r="Q355" s="24" t="str">
        <f aca="false">IF(N355&lt;&gt;"",UPPER(TRIM(N355)),IF(P355&lt;&gt;"",UPPER(TRIM(P355)),""))</f>
        <v/>
      </c>
      <c r="R355" s="24" t="str">
        <f aca="false">IF(B355="","",IF(N355&lt;&gt;"","UTM tracked",IF(P355&lt;&gt;"","Manual / self-reported",IF(O355&lt;&gt;"","Self-reported channel only","Unattributed"))))</f>
        <v/>
      </c>
      <c r="S355" s="24" t="str">
        <f aca="false">IF(Q355="","",IFERROR(INDEX('Post Tracker'!$G$5:$G$1004,MATCH(Q355,'Post Tracker'!$A$5:$A$1004,0)),"ID NOT FOUND"))</f>
        <v/>
      </c>
      <c r="T355" s="24" t="str">
        <f aca="false">IF(Q355="","",IFERROR(INDEX('Post Tracker'!$K$5:$K$1004,MATCH(Q355,'Post Tracker'!$A$5:$A$1004,0))&amp;"",""))</f>
        <v/>
      </c>
      <c r="U355" s="33" t="str">
        <f aca="false">IF(OR(Q355="",B355=""),"",IFERROR(B355-INDEX('Post Tracker'!$B$5:$B$1004,MATCH(Q355,'Post Tracker'!$A$5:$A$1004,0)),""))</f>
        <v/>
      </c>
      <c r="V355" s="39"/>
      <c r="W355" s="29"/>
      <c r="X355" s="29"/>
      <c r="Y355" s="29"/>
      <c r="Z355" s="30"/>
      <c r="AA355" s="29"/>
      <c r="AB355" s="29"/>
    </row>
    <row r="356" customFormat="false" ht="15" hidden="false" customHeight="false" outlineLevel="0" collapsed="false">
      <c r="A356" s="41" t="str">
        <f aca="false">IF(B356="","",ROW()-4)</f>
        <v/>
      </c>
      <c r="B356" s="39"/>
      <c r="C356" s="29"/>
      <c r="D356" s="29"/>
      <c r="E356" s="29"/>
      <c r="F356" s="29"/>
      <c r="G356" s="29"/>
      <c r="H356" s="32"/>
      <c r="I356" s="29"/>
      <c r="J356" s="29"/>
      <c r="K356" s="29"/>
      <c r="L356" s="29"/>
      <c r="M356" s="29"/>
      <c r="N356" s="29"/>
      <c r="O356" s="29"/>
      <c r="P356" s="29"/>
      <c r="Q356" s="24" t="str">
        <f aca="false">IF(N356&lt;&gt;"",UPPER(TRIM(N356)),IF(P356&lt;&gt;"",UPPER(TRIM(P356)),""))</f>
        <v/>
      </c>
      <c r="R356" s="24" t="str">
        <f aca="false">IF(B356="","",IF(N356&lt;&gt;"","UTM tracked",IF(P356&lt;&gt;"","Manual / self-reported",IF(O356&lt;&gt;"","Self-reported channel only","Unattributed"))))</f>
        <v/>
      </c>
      <c r="S356" s="24" t="str">
        <f aca="false">IF(Q356="","",IFERROR(INDEX('Post Tracker'!$G$5:$G$1004,MATCH(Q356,'Post Tracker'!$A$5:$A$1004,0)),"ID NOT FOUND"))</f>
        <v/>
      </c>
      <c r="T356" s="24" t="str">
        <f aca="false">IF(Q356="","",IFERROR(INDEX('Post Tracker'!$K$5:$K$1004,MATCH(Q356,'Post Tracker'!$A$5:$A$1004,0))&amp;"",""))</f>
        <v/>
      </c>
      <c r="U356" s="33" t="str">
        <f aca="false">IF(OR(Q356="",B356=""),"",IFERROR(B356-INDEX('Post Tracker'!$B$5:$B$1004,MATCH(Q356,'Post Tracker'!$A$5:$A$1004,0)),""))</f>
        <v/>
      </c>
      <c r="V356" s="39"/>
      <c r="W356" s="29"/>
      <c r="X356" s="29"/>
      <c r="Y356" s="29"/>
      <c r="Z356" s="30"/>
      <c r="AA356" s="29"/>
      <c r="AB356" s="29"/>
    </row>
    <row r="357" customFormat="false" ht="15" hidden="false" customHeight="false" outlineLevel="0" collapsed="false">
      <c r="A357" s="41" t="str">
        <f aca="false">IF(B357="","",ROW()-4)</f>
        <v/>
      </c>
      <c r="B357" s="39"/>
      <c r="C357" s="29"/>
      <c r="D357" s="29"/>
      <c r="E357" s="29"/>
      <c r="F357" s="29"/>
      <c r="G357" s="29"/>
      <c r="H357" s="32"/>
      <c r="I357" s="29"/>
      <c r="J357" s="29"/>
      <c r="K357" s="29"/>
      <c r="L357" s="29"/>
      <c r="M357" s="29"/>
      <c r="N357" s="29"/>
      <c r="O357" s="29"/>
      <c r="P357" s="29"/>
      <c r="Q357" s="24" t="str">
        <f aca="false">IF(N357&lt;&gt;"",UPPER(TRIM(N357)),IF(P357&lt;&gt;"",UPPER(TRIM(P357)),""))</f>
        <v/>
      </c>
      <c r="R357" s="24" t="str">
        <f aca="false">IF(B357="","",IF(N357&lt;&gt;"","UTM tracked",IF(P357&lt;&gt;"","Manual / self-reported",IF(O357&lt;&gt;"","Self-reported channel only","Unattributed"))))</f>
        <v/>
      </c>
      <c r="S357" s="24" t="str">
        <f aca="false">IF(Q357="","",IFERROR(INDEX('Post Tracker'!$G$5:$G$1004,MATCH(Q357,'Post Tracker'!$A$5:$A$1004,0)),"ID NOT FOUND"))</f>
        <v/>
      </c>
      <c r="T357" s="24" t="str">
        <f aca="false">IF(Q357="","",IFERROR(INDEX('Post Tracker'!$K$5:$K$1004,MATCH(Q357,'Post Tracker'!$A$5:$A$1004,0))&amp;"",""))</f>
        <v/>
      </c>
      <c r="U357" s="33" t="str">
        <f aca="false">IF(OR(Q357="",B357=""),"",IFERROR(B357-INDEX('Post Tracker'!$B$5:$B$1004,MATCH(Q357,'Post Tracker'!$A$5:$A$1004,0)),""))</f>
        <v/>
      </c>
      <c r="V357" s="39"/>
      <c r="W357" s="29"/>
      <c r="X357" s="29"/>
      <c r="Y357" s="29"/>
      <c r="Z357" s="30"/>
      <c r="AA357" s="29"/>
      <c r="AB357" s="29"/>
    </row>
    <row r="358" customFormat="false" ht="15" hidden="false" customHeight="false" outlineLevel="0" collapsed="false">
      <c r="A358" s="41" t="str">
        <f aca="false">IF(B358="","",ROW()-4)</f>
        <v/>
      </c>
      <c r="B358" s="39"/>
      <c r="C358" s="29"/>
      <c r="D358" s="29"/>
      <c r="E358" s="29"/>
      <c r="F358" s="29"/>
      <c r="G358" s="29"/>
      <c r="H358" s="32"/>
      <c r="I358" s="29"/>
      <c r="J358" s="29"/>
      <c r="K358" s="29"/>
      <c r="L358" s="29"/>
      <c r="M358" s="29"/>
      <c r="N358" s="29"/>
      <c r="O358" s="29"/>
      <c r="P358" s="29"/>
      <c r="Q358" s="24" t="str">
        <f aca="false">IF(N358&lt;&gt;"",UPPER(TRIM(N358)),IF(P358&lt;&gt;"",UPPER(TRIM(P358)),""))</f>
        <v/>
      </c>
      <c r="R358" s="24" t="str">
        <f aca="false">IF(B358="","",IF(N358&lt;&gt;"","UTM tracked",IF(P358&lt;&gt;"","Manual / self-reported",IF(O358&lt;&gt;"","Self-reported channel only","Unattributed"))))</f>
        <v/>
      </c>
      <c r="S358" s="24" t="str">
        <f aca="false">IF(Q358="","",IFERROR(INDEX('Post Tracker'!$G$5:$G$1004,MATCH(Q358,'Post Tracker'!$A$5:$A$1004,0)),"ID NOT FOUND"))</f>
        <v/>
      </c>
      <c r="T358" s="24" t="str">
        <f aca="false">IF(Q358="","",IFERROR(INDEX('Post Tracker'!$K$5:$K$1004,MATCH(Q358,'Post Tracker'!$A$5:$A$1004,0))&amp;"",""))</f>
        <v/>
      </c>
      <c r="U358" s="33" t="str">
        <f aca="false">IF(OR(Q358="",B358=""),"",IFERROR(B358-INDEX('Post Tracker'!$B$5:$B$1004,MATCH(Q358,'Post Tracker'!$A$5:$A$1004,0)),""))</f>
        <v/>
      </c>
      <c r="V358" s="39"/>
      <c r="W358" s="29"/>
      <c r="X358" s="29"/>
      <c r="Y358" s="29"/>
      <c r="Z358" s="30"/>
      <c r="AA358" s="29"/>
      <c r="AB358" s="29"/>
    </row>
    <row r="359" customFormat="false" ht="15" hidden="false" customHeight="false" outlineLevel="0" collapsed="false">
      <c r="A359" s="41" t="str">
        <f aca="false">IF(B359="","",ROW()-4)</f>
        <v/>
      </c>
      <c r="B359" s="39"/>
      <c r="C359" s="29"/>
      <c r="D359" s="29"/>
      <c r="E359" s="29"/>
      <c r="F359" s="29"/>
      <c r="G359" s="29"/>
      <c r="H359" s="32"/>
      <c r="I359" s="29"/>
      <c r="J359" s="29"/>
      <c r="K359" s="29"/>
      <c r="L359" s="29"/>
      <c r="M359" s="29"/>
      <c r="N359" s="29"/>
      <c r="O359" s="29"/>
      <c r="P359" s="29"/>
      <c r="Q359" s="24" t="str">
        <f aca="false">IF(N359&lt;&gt;"",UPPER(TRIM(N359)),IF(P359&lt;&gt;"",UPPER(TRIM(P359)),""))</f>
        <v/>
      </c>
      <c r="R359" s="24" t="str">
        <f aca="false">IF(B359="","",IF(N359&lt;&gt;"","UTM tracked",IF(P359&lt;&gt;"","Manual / self-reported",IF(O359&lt;&gt;"","Self-reported channel only","Unattributed"))))</f>
        <v/>
      </c>
      <c r="S359" s="24" t="str">
        <f aca="false">IF(Q359="","",IFERROR(INDEX('Post Tracker'!$G$5:$G$1004,MATCH(Q359,'Post Tracker'!$A$5:$A$1004,0)),"ID NOT FOUND"))</f>
        <v/>
      </c>
      <c r="T359" s="24" t="str">
        <f aca="false">IF(Q359="","",IFERROR(INDEX('Post Tracker'!$K$5:$K$1004,MATCH(Q359,'Post Tracker'!$A$5:$A$1004,0))&amp;"",""))</f>
        <v/>
      </c>
      <c r="U359" s="33" t="str">
        <f aca="false">IF(OR(Q359="",B359=""),"",IFERROR(B359-INDEX('Post Tracker'!$B$5:$B$1004,MATCH(Q359,'Post Tracker'!$A$5:$A$1004,0)),""))</f>
        <v/>
      </c>
      <c r="V359" s="39"/>
      <c r="W359" s="29"/>
      <c r="X359" s="29"/>
      <c r="Y359" s="29"/>
      <c r="Z359" s="30"/>
      <c r="AA359" s="29"/>
      <c r="AB359" s="29"/>
    </row>
    <row r="360" customFormat="false" ht="15" hidden="false" customHeight="false" outlineLevel="0" collapsed="false">
      <c r="A360" s="41" t="str">
        <f aca="false">IF(B360="","",ROW()-4)</f>
        <v/>
      </c>
      <c r="B360" s="39"/>
      <c r="C360" s="29"/>
      <c r="D360" s="29"/>
      <c r="E360" s="29"/>
      <c r="F360" s="29"/>
      <c r="G360" s="29"/>
      <c r="H360" s="32"/>
      <c r="I360" s="29"/>
      <c r="J360" s="29"/>
      <c r="K360" s="29"/>
      <c r="L360" s="29"/>
      <c r="M360" s="29"/>
      <c r="N360" s="29"/>
      <c r="O360" s="29"/>
      <c r="P360" s="29"/>
      <c r="Q360" s="24" t="str">
        <f aca="false">IF(N360&lt;&gt;"",UPPER(TRIM(N360)),IF(P360&lt;&gt;"",UPPER(TRIM(P360)),""))</f>
        <v/>
      </c>
      <c r="R360" s="24" t="str">
        <f aca="false">IF(B360="","",IF(N360&lt;&gt;"","UTM tracked",IF(P360&lt;&gt;"","Manual / self-reported",IF(O360&lt;&gt;"","Self-reported channel only","Unattributed"))))</f>
        <v/>
      </c>
      <c r="S360" s="24" t="str">
        <f aca="false">IF(Q360="","",IFERROR(INDEX('Post Tracker'!$G$5:$G$1004,MATCH(Q360,'Post Tracker'!$A$5:$A$1004,0)),"ID NOT FOUND"))</f>
        <v/>
      </c>
      <c r="T360" s="24" t="str">
        <f aca="false">IF(Q360="","",IFERROR(INDEX('Post Tracker'!$K$5:$K$1004,MATCH(Q360,'Post Tracker'!$A$5:$A$1004,0))&amp;"",""))</f>
        <v/>
      </c>
      <c r="U360" s="33" t="str">
        <f aca="false">IF(OR(Q360="",B360=""),"",IFERROR(B360-INDEX('Post Tracker'!$B$5:$B$1004,MATCH(Q360,'Post Tracker'!$A$5:$A$1004,0)),""))</f>
        <v/>
      </c>
      <c r="V360" s="39"/>
      <c r="W360" s="29"/>
      <c r="X360" s="29"/>
      <c r="Y360" s="29"/>
      <c r="Z360" s="30"/>
      <c r="AA360" s="29"/>
      <c r="AB360" s="29"/>
    </row>
    <row r="361" customFormat="false" ht="15" hidden="false" customHeight="false" outlineLevel="0" collapsed="false">
      <c r="A361" s="41" t="str">
        <f aca="false">IF(B361="","",ROW()-4)</f>
        <v/>
      </c>
      <c r="B361" s="39"/>
      <c r="C361" s="29"/>
      <c r="D361" s="29"/>
      <c r="E361" s="29"/>
      <c r="F361" s="29"/>
      <c r="G361" s="29"/>
      <c r="H361" s="32"/>
      <c r="I361" s="29"/>
      <c r="J361" s="29"/>
      <c r="K361" s="29"/>
      <c r="L361" s="29"/>
      <c r="M361" s="29"/>
      <c r="N361" s="29"/>
      <c r="O361" s="29"/>
      <c r="P361" s="29"/>
      <c r="Q361" s="24" t="str">
        <f aca="false">IF(N361&lt;&gt;"",UPPER(TRIM(N361)),IF(P361&lt;&gt;"",UPPER(TRIM(P361)),""))</f>
        <v/>
      </c>
      <c r="R361" s="24" t="str">
        <f aca="false">IF(B361="","",IF(N361&lt;&gt;"","UTM tracked",IF(P361&lt;&gt;"","Manual / self-reported",IF(O361&lt;&gt;"","Self-reported channel only","Unattributed"))))</f>
        <v/>
      </c>
      <c r="S361" s="24" t="str">
        <f aca="false">IF(Q361="","",IFERROR(INDEX('Post Tracker'!$G$5:$G$1004,MATCH(Q361,'Post Tracker'!$A$5:$A$1004,0)),"ID NOT FOUND"))</f>
        <v/>
      </c>
      <c r="T361" s="24" t="str">
        <f aca="false">IF(Q361="","",IFERROR(INDEX('Post Tracker'!$K$5:$K$1004,MATCH(Q361,'Post Tracker'!$A$5:$A$1004,0))&amp;"",""))</f>
        <v/>
      </c>
      <c r="U361" s="33" t="str">
        <f aca="false">IF(OR(Q361="",B361=""),"",IFERROR(B361-INDEX('Post Tracker'!$B$5:$B$1004,MATCH(Q361,'Post Tracker'!$A$5:$A$1004,0)),""))</f>
        <v/>
      </c>
      <c r="V361" s="39"/>
      <c r="W361" s="29"/>
      <c r="X361" s="29"/>
      <c r="Y361" s="29"/>
      <c r="Z361" s="30"/>
      <c r="AA361" s="29"/>
      <c r="AB361" s="29"/>
    </row>
    <row r="362" customFormat="false" ht="15" hidden="false" customHeight="false" outlineLevel="0" collapsed="false">
      <c r="A362" s="41" t="str">
        <f aca="false">IF(B362="","",ROW()-4)</f>
        <v/>
      </c>
      <c r="B362" s="39"/>
      <c r="C362" s="29"/>
      <c r="D362" s="29"/>
      <c r="E362" s="29"/>
      <c r="F362" s="29"/>
      <c r="G362" s="29"/>
      <c r="H362" s="32"/>
      <c r="I362" s="29"/>
      <c r="J362" s="29"/>
      <c r="K362" s="29"/>
      <c r="L362" s="29"/>
      <c r="M362" s="29"/>
      <c r="N362" s="29"/>
      <c r="O362" s="29"/>
      <c r="P362" s="29"/>
      <c r="Q362" s="24" t="str">
        <f aca="false">IF(N362&lt;&gt;"",UPPER(TRIM(N362)),IF(P362&lt;&gt;"",UPPER(TRIM(P362)),""))</f>
        <v/>
      </c>
      <c r="R362" s="24" t="str">
        <f aca="false">IF(B362="","",IF(N362&lt;&gt;"","UTM tracked",IF(P362&lt;&gt;"","Manual / self-reported",IF(O362&lt;&gt;"","Self-reported channel only","Unattributed"))))</f>
        <v/>
      </c>
      <c r="S362" s="24" t="str">
        <f aca="false">IF(Q362="","",IFERROR(INDEX('Post Tracker'!$G$5:$G$1004,MATCH(Q362,'Post Tracker'!$A$5:$A$1004,0)),"ID NOT FOUND"))</f>
        <v/>
      </c>
      <c r="T362" s="24" t="str">
        <f aca="false">IF(Q362="","",IFERROR(INDEX('Post Tracker'!$K$5:$K$1004,MATCH(Q362,'Post Tracker'!$A$5:$A$1004,0))&amp;"",""))</f>
        <v/>
      </c>
      <c r="U362" s="33" t="str">
        <f aca="false">IF(OR(Q362="",B362=""),"",IFERROR(B362-INDEX('Post Tracker'!$B$5:$B$1004,MATCH(Q362,'Post Tracker'!$A$5:$A$1004,0)),""))</f>
        <v/>
      </c>
      <c r="V362" s="39"/>
      <c r="W362" s="29"/>
      <c r="X362" s="29"/>
      <c r="Y362" s="29"/>
      <c r="Z362" s="30"/>
      <c r="AA362" s="29"/>
      <c r="AB362" s="29"/>
    </row>
    <row r="363" customFormat="false" ht="15" hidden="false" customHeight="false" outlineLevel="0" collapsed="false">
      <c r="A363" s="41" t="str">
        <f aca="false">IF(B363="","",ROW()-4)</f>
        <v/>
      </c>
      <c r="B363" s="39"/>
      <c r="C363" s="29"/>
      <c r="D363" s="29"/>
      <c r="E363" s="29"/>
      <c r="F363" s="29"/>
      <c r="G363" s="29"/>
      <c r="H363" s="32"/>
      <c r="I363" s="29"/>
      <c r="J363" s="29"/>
      <c r="K363" s="29"/>
      <c r="L363" s="29"/>
      <c r="M363" s="29"/>
      <c r="N363" s="29"/>
      <c r="O363" s="29"/>
      <c r="P363" s="29"/>
      <c r="Q363" s="24" t="str">
        <f aca="false">IF(N363&lt;&gt;"",UPPER(TRIM(N363)),IF(P363&lt;&gt;"",UPPER(TRIM(P363)),""))</f>
        <v/>
      </c>
      <c r="R363" s="24" t="str">
        <f aca="false">IF(B363="","",IF(N363&lt;&gt;"","UTM tracked",IF(P363&lt;&gt;"","Manual / self-reported",IF(O363&lt;&gt;"","Self-reported channel only","Unattributed"))))</f>
        <v/>
      </c>
      <c r="S363" s="24" t="str">
        <f aca="false">IF(Q363="","",IFERROR(INDEX('Post Tracker'!$G$5:$G$1004,MATCH(Q363,'Post Tracker'!$A$5:$A$1004,0)),"ID NOT FOUND"))</f>
        <v/>
      </c>
      <c r="T363" s="24" t="str">
        <f aca="false">IF(Q363="","",IFERROR(INDEX('Post Tracker'!$K$5:$K$1004,MATCH(Q363,'Post Tracker'!$A$5:$A$1004,0))&amp;"",""))</f>
        <v/>
      </c>
      <c r="U363" s="33" t="str">
        <f aca="false">IF(OR(Q363="",B363=""),"",IFERROR(B363-INDEX('Post Tracker'!$B$5:$B$1004,MATCH(Q363,'Post Tracker'!$A$5:$A$1004,0)),""))</f>
        <v/>
      </c>
      <c r="V363" s="39"/>
      <c r="W363" s="29"/>
      <c r="X363" s="29"/>
      <c r="Y363" s="29"/>
      <c r="Z363" s="30"/>
      <c r="AA363" s="29"/>
      <c r="AB363" s="29"/>
    </row>
    <row r="364" customFormat="false" ht="15" hidden="false" customHeight="false" outlineLevel="0" collapsed="false">
      <c r="A364" s="41" t="str">
        <f aca="false">IF(B364="","",ROW()-4)</f>
        <v/>
      </c>
      <c r="B364" s="39"/>
      <c r="C364" s="29"/>
      <c r="D364" s="29"/>
      <c r="E364" s="29"/>
      <c r="F364" s="29"/>
      <c r="G364" s="29"/>
      <c r="H364" s="32"/>
      <c r="I364" s="29"/>
      <c r="J364" s="29"/>
      <c r="K364" s="29"/>
      <c r="L364" s="29"/>
      <c r="M364" s="29"/>
      <c r="N364" s="29"/>
      <c r="O364" s="29"/>
      <c r="P364" s="29"/>
      <c r="Q364" s="24" t="str">
        <f aca="false">IF(N364&lt;&gt;"",UPPER(TRIM(N364)),IF(P364&lt;&gt;"",UPPER(TRIM(P364)),""))</f>
        <v/>
      </c>
      <c r="R364" s="24" t="str">
        <f aca="false">IF(B364="","",IF(N364&lt;&gt;"","UTM tracked",IF(P364&lt;&gt;"","Manual / self-reported",IF(O364&lt;&gt;"","Self-reported channel only","Unattributed"))))</f>
        <v/>
      </c>
      <c r="S364" s="24" t="str">
        <f aca="false">IF(Q364="","",IFERROR(INDEX('Post Tracker'!$G$5:$G$1004,MATCH(Q364,'Post Tracker'!$A$5:$A$1004,0)),"ID NOT FOUND"))</f>
        <v/>
      </c>
      <c r="T364" s="24" t="str">
        <f aca="false">IF(Q364="","",IFERROR(INDEX('Post Tracker'!$K$5:$K$1004,MATCH(Q364,'Post Tracker'!$A$5:$A$1004,0))&amp;"",""))</f>
        <v/>
      </c>
      <c r="U364" s="33" t="str">
        <f aca="false">IF(OR(Q364="",B364=""),"",IFERROR(B364-INDEX('Post Tracker'!$B$5:$B$1004,MATCH(Q364,'Post Tracker'!$A$5:$A$1004,0)),""))</f>
        <v/>
      </c>
      <c r="V364" s="39"/>
      <c r="W364" s="29"/>
      <c r="X364" s="29"/>
      <c r="Y364" s="29"/>
      <c r="Z364" s="30"/>
      <c r="AA364" s="29"/>
      <c r="AB364" s="29"/>
    </row>
    <row r="365" customFormat="false" ht="15" hidden="false" customHeight="false" outlineLevel="0" collapsed="false">
      <c r="A365" s="41" t="str">
        <f aca="false">IF(B365="","",ROW()-4)</f>
        <v/>
      </c>
      <c r="B365" s="39"/>
      <c r="C365" s="29"/>
      <c r="D365" s="29"/>
      <c r="E365" s="29"/>
      <c r="F365" s="29"/>
      <c r="G365" s="29"/>
      <c r="H365" s="32"/>
      <c r="I365" s="29"/>
      <c r="J365" s="29"/>
      <c r="K365" s="29"/>
      <c r="L365" s="29"/>
      <c r="M365" s="29"/>
      <c r="N365" s="29"/>
      <c r="O365" s="29"/>
      <c r="P365" s="29"/>
      <c r="Q365" s="24" t="str">
        <f aca="false">IF(N365&lt;&gt;"",UPPER(TRIM(N365)),IF(P365&lt;&gt;"",UPPER(TRIM(P365)),""))</f>
        <v/>
      </c>
      <c r="R365" s="24" t="str">
        <f aca="false">IF(B365="","",IF(N365&lt;&gt;"","UTM tracked",IF(P365&lt;&gt;"","Manual / self-reported",IF(O365&lt;&gt;"","Self-reported channel only","Unattributed"))))</f>
        <v/>
      </c>
      <c r="S365" s="24" t="str">
        <f aca="false">IF(Q365="","",IFERROR(INDEX('Post Tracker'!$G$5:$G$1004,MATCH(Q365,'Post Tracker'!$A$5:$A$1004,0)),"ID NOT FOUND"))</f>
        <v/>
      </c>
      <c r="T365" s="24" t="str">
        <f aca="false">IF(Q365="","",IFERROR(INDEX('Post Tracker'!$K$5:$K$1004,MATCH(Q365,'Post Tracker'!$A$5:$A$1004,0))&amp;"",""))</f>
        <v/>
      </c>
      <c r="U365" s="33" t="str">
        <f aca="false">IF(OR(Q365="",B365=""),"",IFERROR(B365-INDEX('Post Tracker'!$B$5:$B$1004,MATCH(Q365,'Post Tracker'!$A$5:$A$1004,0)),""))</f>
        <v/>
      </c>
      <c r="V365" s="39"/>
      <c r="W365" s="29"/>
      <c r="X365" s="29"/>
      <c r="Y365" s="29"/>
      <c r="Z365" s="30"/>
      <c r="AA365" s="29"/>
      <c r="AB365" s="29"/>
    </row>
    <row r="366" customFormat="false" ht="15" hidden="false" customHeight="false" outlineLevel="0" collapsed="false">
      <c r="A366" s="41" t="str">
        <f aca="false">IF(B366="","",ROW()-4)</f>
        <v/>
      </c>
      <c r="B366" s="39"/>
      <c r="C366" s="29"/>
      <c r="D366" s="29"/>
      <c r="E366" s="29"/>
      <c r="F366" s="29"/>
      <c r="G366" s="29"/>
      <c r="H366" s="32"/>
      <c r="I366" s="29"/>
      <c r="J366" s="29"/>
      <c r="K366" s="29"/>
      <c r="L366" s="29"/>
      <c r="M366" s="29"/>
      <c r="N366" s="29"/>
      <c r="O366" s="29"/>
      <c r="P366" s="29"/>
      <c r="Q366" s="24" t="str">
        <f aca="false">IF(N366&lt;&gt;"",UPPER(TRIM(N366)),IF(P366&lt;&gt;"",UPPER(TRIM(P366)),""))</f>
        <v/>
      </c>
      <c r="R366" s="24" t="str">
        <f aca="false">IF(B366="","",IF(N366&lt;&gt;"","UTM tracked",IF(P366&lt;&gt;"","Manual / self-reported",IF(O366&lt;&gt;"","Self-reported channel only","Unattributed"))))</f>
        <v/>
      </c>
      <c r="S366" s="24" t="str">
        <f aca="false">IF(Q366="","",IFERROR(INDEX('Post Tracker'!$G$5:$G$1004,MATCH(Q366,'Post Tracker'!$A$5:$A$1004,0)),"ID NOT FOUND"))</f>
        <v/>
      </c>
      <c r="T366" s="24" t="str">
        <f aca="false">IF(Q366="","",IFERROR(INDEX('Post Tracker'!$K$5:$K$1004,MATCH(Q366,'Post Tracker'!$A$5:$A$1004,0))&amp;"",""))</f>
        <v/>
      </c>
      <c r="U366" s="33" t="str">
        <f aca="false">IF(OR(Q366="",B366=""),"",IFERROR(B366-INDEX('Post Tracker'!$B$5:$B$1004,MATCH(Q366,'Post Tracker'!$A$5:$A$1004,0)),""))</f>
        <v/>
      </c>
      <c r="V366" s="39"/>
      <c r="W366" s="29"/>
      <c r="X366" s="29"/>
      <c r="Y366" s="29"/>
      <c r="Z366" s="30"/>
      <c r="AA366" s="29"/>
      <c r="AB366" s="29"/>
    </row>
    <row r="367" customFormat="false" ht="15" hidden="false" customHeight="false" outlineLevel="0" collapsed="false">
      <c r="A367" s="41" t="str">
        <f aca="false">IF(B367="","",ROW()-4)</f>
        <v/>
      </c>
      <c r="B367" s="39"/>
      <c r="C367" s="29"/>
      <c r="D367" s="29"/>
      <c r="E367" s="29"/>
      <c r="F367" s="29"/>
      <c r="G367" s="29"/>
      <c r="H367" s="32"/>
      <c r="I367" s="29"/>
      <c r="J367" s="29"/>
      <c r="K367" s="29"/>
      <c r="L367" s="29"/>
      <c r="M367" s="29"/>
      <c r="N367" s="29"/>
      <c r="O367" s="29"/>
      <c r="P367" s="29"/>
      <c r="Q367" s="24" t="str">
        <f aca="false">IF(N367&lt;&gt;"",UPPER(TRIM(N367)),IF(P367&lt;&gt;"",UPPER(TRIM(P367)),""))</f>
        <v/>
      </c>
      <c r="R367" s="24" t="str">
        <f aca="false">IF(B367="","",IF(N367&lt;&gt;"","UTM tracked",IF(P367&lt;&gt;"","Manual / self-reported",IF(O367&lt;&gt;"","Self-reported channel only","Unattributed"))))</f>
        <v/>
      </c>
      <c r="S367" s="24" t="str">
        <f aca="false">IF(Q367="","",IFERROR(INDEX('Post Tracker'!$G$5:$G$1004,MATCH(Q367,'Post Tracker'!$A$5:$A$1004,0)),"ID NOT FOUND"))</f>
        <v/>
      </c>
      <c r="T367" s="24" t="str">
        <f aca="false">IF(Q367="","",IFERROR(INDEX('Post Tracker'!$K$5:$K$1004,MATCH(Q367,'Post Tracker'!$A$5:$A$1004,0))&amp;"",""))</f>
        <v/>
      </c>
      <c r="U367" s="33" t="str">
        <f aca="false">IF(OR(Q367="",B367=""),"",IFERROR(B367-INDEX('Post Tracker'!$B$5:$B$1004,MATCH(Q367,'Post Tracker'!$A$5:$A$1004,0)),""))</f>
        <v/>
      </c>
      <c r="V367" s="39"/>
      <c r="W367" s="29"/>
      <c r="X367" s="29"/>
      <c r="Y367" s="29"/>
      <c r="Z367" s="30"/>
      <c r="AA367" s="29"/>
      <c r="AB367" s="29"/>
    </row>
    <row r="368" customFormat="false" ht="15" hidden="false" customHeight="false" outlineLevel="0" collapsed="false">
      <c r="A368" s="41" t="str">
        <f aca="false">IF(B368="","",ROW()-4)</f>
        <v/>
      </c>
      <c r="B368" s="39"/>
      <c r="C368" s="29"/>
      <c r="D368" s="29"/>
      <c r="E368" s="29"/>
      <c r="F368" s="29"/>
      <c r="G368" s="29"/>
      <c r="H368" s="32"/>
      <c r="I368" s="29"/>
      <c r="J368" s="29"/>
      <c r="K368" s="29"/>
      <c r="L368" s="29"/>
      <c r="M368" s="29"/>
      <c r="N368" s="29"/>
      <c r="O368" s="29"/>
      <c r="P368" s="29"/>
      <c r="Q368" s="24" t="str">
        <f aca="false">IF(N368&lt;&gt;"",UPPER(TRIM(N368)),IF(P368&lt;&gt;"",UPPER(TRIM(P368)),""))</f>
        <v/>
      </c>
      <c r="R368" s="24" t="str">
        <f aca="false">IF(B368="","",IF(N368&lt;&gt;"","UTM tracked",IF(P368&lt;&gt;"","Manual / self-reported",IF(O368&lt;&gt;"","Self-reported channel only","Unattributed"))))</f>
        <v/>
      </c>
      <c r="S368" s="24" t="str">
        <f aca="false">IF(Q368="","",IFERROR(INDEX('Post Tracker'!$G$5:$G$1004,MATCH(Q368,'Post Tracker'!$A$5:$A$1004,0)),"ID NOT FOUND"))</f>
        <v/>
      </c>
      <c r="T368" s="24" t="str">
        <f aca="false">IF(Q368="","",IFERROR(INDEX('Post Tracker'!$K$5:$K$1004,MATCH(Q368,'Post Tracker'!$A$5:$A$1004,0))&amp;"",""))</f>
        <v/>
      </c>
      <c r="U368" s="33" t="str">
        <f aca="false">IF(OR(Q368="",B368=""),"",IFERROR(B368-INDEX('Post Tracker'!$B$5:$B$1004,MATCH(Q368,'Post Tracker'!$A$5:$A$1004,0)),""))</f>
        <v/>
      </c>
      <c r="V368" s="39"/>
      <c r="W368" s="29"/>
      <c r="X368" s="29"/>
      <c r="Y368" s="29"/>
      <c r="Z368" s="30"/>
      <c r="AA368" s="29"/>
      <c r="AB368" s="29"/>
    </row>
    <row r="369" customFormat="false" ht="15" hidden="false" customHeight="false" outlineLevel="0" collapsed="false">
      <c r="A369" s="41" t="str">
        <f aca="false">IF(B369="","",ROW()-4)</f>
        <v/>
      </c>
      <c r="B369" s="39"/>
      <c r="C369" s="29"/>
      <c r="D369" s="29"/>
      <c r="E369" s="29"/>
      <c r="F369" s="29"/>
      <c r="G369" s="29"/>
      <c r="H369" s="32"/>
      <c r="I369" s="29"/>
      <c r="J369" s="29"/>
      <c r="K369" s="29"/>
      <c r="L369" s="29"/>
      <c r="M369" s="29"/>
      <c r="N369" s="29"/>
      <c r="O369" s="29"/>
      <c r="P369" s="29"/>
      <c r="Q369" s="24" t="str">
        <f aca="false">IF(N369&lt;&gt;"",UPPER(TRIM(N369)),IF(P369&lt;&gt;"",UPPER(TRIM(P369)),""))</f>
        <v/>
      </c>
      <c r="R369" s="24" t="str">
        <f aca="false">IF(B369="","",IF(N369&lt;&gt;"","UTM tracked",IF(P369&lt;&gt;"","Manual / self-reported",IF(O369&lt;&gt;"","Self-reported channel only","Unattributed"))))</f>
        <v/>
      </c>
      <c r="S369" s="24" t="str">
        <f aca="false">IF(Q369="","",IFERROR(INDEX('Post Tracker'!$G$5:$G$1004,MATCH(Q369,'Post Tracker'!$A$5:$A$1004,0)),"ID NOT FOUND"))</f>
        <v/>
      </c>
      <c r="T369" s="24" t="str">
        <f aca="false">IF(Q369="","",IFERROR(INDEX('Post Tracker'!$K$5:$K$1004,MATCH(Q369,'Post Tracker'!$A$5:$A$1004,0))&amp;"",""))</f>
        <v/>
      </c>
      <c r="U369" s="33" t="str">
        <f aca="false">IF(OR(Q369="",B369=""),"",IFERROR(B369-INDEX('Post Tracker'!$B$5:$B$1004,MATCH(Q369,'Post Tracker'!$A$5:$A$1004,0)),""))</f>
        <v/>
      </c>
      <c r="V369" s="39"/>
      <c r="W369" s="29"/>
      <c r="X369" s="29"/>
      <c r="Y369" s="29"/>
      <c r="Z369" s="30"/>
      <c r="AA369" s="29"/>
      <c r="AB369" s="29"/>
    </row>
    <row r="370" customFormat="false" ht="15" hidden="false" customHeight="false" outlineLevel="0" collapsed="false">
      <c r="A370" s="41" t="str">
        <f aca="false">IF(B370="","",ROW()-4)</f>
        <v/>
      </c>
      <c r="B370" s="39"/>
      <c r="C370" s="29"/>
      <c r="D370" s="29"/>
      <c r="E370" s="29"/>
      <c r="F370" s="29"/>
      <c r="G370" s="29"/>
      <c r="H370" s="32"/>
      <c r="I370" s="29"/>
      <c r="J370" s="29"/>
      <c r="K370" s="29"/>
      <c r="L370" s="29"/>
      <c r="M370" s="29"/>
      <c r="N370" s="29"/>
      <c r="O370" s="29"/>
      <c r="P370" s="29"/>
      <c r="Q370" s="24" t="str">
        <f aca="false">IF(N370&lt;&gt;"",UPPER(TRIM(N370)),IF(P370&lt;&gt;"",UPPER(TRIM(P370)),""))</f>
        <v/>
      </c>
      <c r="R370" s="24" t="str">
        <f aca="false">IF(B370="","",IF(N370&lt;&gt;"","UTM tracked",IF(P370&lt;&gt;"","Manual / self-reported",IF(O370&lt;&gt;"","Self-reported channel only","Unattributed"))))</f>
        <v/>
      </c>
      <c r="S370" s="24" t="str">
        <f aca="false">IF(Q370="","",IFERROR(INDEX('Post Tracker'!$G$5:$G$1004,MATCH(Q370,'Post Tracker'!$A$5:$A$1004,0)),"ID NOT FOUND"))</f>
        <v/>
      </c>
      <c r="T370" s="24" t="str">
        <f aca="false">IF(Q370="","",IFERROR(INDEX('Post Tracker'!$K$5:$K$1004,MATCH(Q370,'Post Tracker'!$A$5:$A$1004,0))&amp;"",""))</f>
        <v/>
      </c>
      <c r="U370" s="33" t="str">
        <f aca="false">IF(OR(Q370="",B370=""),"",IFERROR(B370-INDEX('Post Tracker'!$B$5:$B$1004,MATCH(Q370,'Post Tracker'!$A$5:$A$1004,0)),""))</f>
        <v/>
      </c>
      <c r="V370" s="39"/>
      <c r="W370" s="29"/>
      <c r="X370" s="29"/>
      <c r="Y370" s="29"/>
      <c r="Z370" s="30"/>
      <c r="AA370" s="29"/>
      <c r="AB370" s="29"/>
    </row>
    <row r="371" customFormat="false" ht="15" hidden="false" customHeight="false" outlineLevel="0" collapsed="false">
      <c r="A371" s="41" t="str">
        <f aca="false">IF(B371="","",ROW()-4)</f>
        <v/>
      </c>
      <c r="B371" s="39"/>
      <c r="C371" s="29"/>
      <c r="D371" s="29"/>
      <c r="E371" s="29"/>
      <c r="F371" s="29"/>
      <c r="G371" s="29"/>
      <c r="H371" s="32"/>
      <c r="I371" s="29"/>
      <c r="J371" s="29"/>
      <c r="K371" s="29"/>
      <c r="L371" s="29"/>
      <c r="M371" s="29"/>
      <c r="N371" s="29"/>
      <c r="O371" s="29"/>
      <c r="P371" s="29"/>
      <c r="Q371" s="24" t="str">
        <f aca="false">IF(N371&lt;&gt;"",UPPER(TRIM(N371)),IF(P371&lt;&gt;"",UPPER(TRIM(P371)),""))</f>
        <v/>
      </c>
      <c r="R371" s="24" t="str">
        <f aca="false">IF(B371="","",IF(N371&lt;&gt;"","UTM tracked",IF(P371&lt;&gt;"","Manual / self-reported",IF(O371&lt;&gt;"","Self-reported channel only","Unattributed"))))</f>
        <v/>
      </c>
      <c r="S371" s="24" t="str">
        <f aca="false">IF(Q371="","",IFERROR(INDEX('Post Tracker'!$G$5:$G$1004,MATCH(Q371,'Post Tracker'!$A$5:$A$1004,0)),"ID NOT FOUND"))</f>
        <v/>
      </c>
      <c r="T371" s="24" t="str">
        <f aca="false">IF(Q371="","",IFERROR(INDEX('Post Tracker'!$K$5:$K$1004,MATCH(Q371,'Post Tracker'!$A$5:$A$1004,0))&amp;"",""))</f>
        <v/>
      </c>
      <c r="U371" s="33" t="str">
        <f aca="false">IF(OR(Q371="",B371=""),"",IFERROR(B371-INDEX('Post Tracker'!$B$5:$B$1004,MATCH(Q371,'Post Tracker'!$A$5:$A$1004,0)),""))</f>
        <v/>
      </c>
      <c r="V371" s="39"/>
      <c r="W371" s="29"/>
      <c r="X371" s="29"/>
      <c r="Y371" s="29"/>
      <c r="Z371" s="30"/>
      <c r="AA371" s="29"/>
      <c r="AB371" s="29"/>
    </row>
    <row r="372" customFormat="false" ht="15" hidden="false" customHeight="false" outlineLevel="0" collapsed="false">
      <c r="A372" s="41" t="str">
        <f aca="false">IF(B372="","",ROW()-4)</f>
        <v/>
      </c>
      <c r="B372" s="39"/>
      <c r="C372" s="29"/>
      <c r="D372" s="29"/>
      <c r="E372" s="29"/>
      <c r="F372" s="29"/>
      <c r="G372" s="29"/>
      <c r="H372" s="32"/>
      <c r="I372" s="29"/>
      <c r="J372" s="29"/>
      <c r="K372" s="29"/>
      <c r="L372" s="29"/>
      <c r="M372" s="29"/>
      <c r="N372" s="29"/>
      <c r="O372" s="29"/>
      <c r="P372" s="29"/>
      <c r="Q372" s="24" t="str">
        <f aca="false">IF(N372&lt;&gt;"",UPPER(TRIM(N372)),IF(P372&lt;&gt;"",UPPER(TRIM(P372)),""))</f>
        <v/>
      </c>
      <c r="R372" s="24" t="str">
        <f aca="false">IF(B372="","",IF(N372&lt;&gt;"","UTM tracked",IF(P372&lt;&gt;"","Manual / self-reported",IF(O372&lt;&gt;"","Self-reported channel only","Unattributed"))))</f>
        <v/>
      </c>
      <c r="S372" s="24" t="str">
        <f aca="false">IF(Q372="","",IFERROR(INDEX('Post Tracker'!$G$5:$G$1004,MATCH(Q372,'Post Tracker'!$A$5:$A$1004,0)),"ID NOT FOUND"))</f>
        <v/>
      </c>
      <c r="T372" s="24" t="str">
        <f aca="false">IF(Q372="","",IFERROR(INDEX('Post Tracker'!$K$5:$K$1004,MATCH(Q372,'Post Tracker'!$A$5:$A$1004,0))&amp;"",""))</f>
        <v/>
      </c>
      <c r="U372" s="33" t="str">
        <f aca="false">IF(OR(Q372="",B372=""),"",IFERROR(B372-INDEX('Post Tracker'!$B$5:$B$1004,MATCH(Q372,'Post Tracker'!$A$5:$A$1004,0)),""))</f>
        <v/>
      </c>
      <c r="V372" s="39"/>
      <c r="W372" s="29"/>
      <c r="X372" s="29"/>
      <c r="Y372" s="29"/>
      <c r="Z372" s="30"/>
      <c r="AA372" s="29"/>
      <c r="AB372" s="29"/>
    </row>
    <row r="373" customFormat="false" ht="15" hidden="false" customHeight="false" outlineLevel="0" collapsed="false">
      <c r="A373" s="41" t="str">
        <f aca="false">IF(B373="","",ROW()-4)</f>
        <v/>
      </c>
      <c r="B373" s="39"/>
      <c r="C373" s="29"/>
      <c r="D373" s="29"/>
      <c r="E373" s="29"/>
      <c r="F373" s="29"/>
      <c r="G373" s="29"/>
      <c r="H373" s="32"/>
      <c r="I373" s="29"/>
      <c r="J373" s="29"/>
      <c r="K373" s="29"/>
      <c r="L373" s="29"/>
      <c r="M373" s="29"/>
      <c r="N373" s="29"/>
      <c r="O373" s="29"/>
      <c r="P373" s="29"/>
      <c r="Q373" s="24" t="str">
        <f aca="false">IF(N373&lt;&gt;"",UPPER(TRIM(N373)),IF(P373&lt;&gt;"",UPPER(TRIM(P373)),""))</f>
        <v/>
      </c>
      <c r="R373" s="24" t="str">
        <f aca="false">IF(B373="","",IF(N373&lt;&gt;"","UTM tracked",IF(P373&lt;&gt;"","Manual / self-reported",IF(O373&lt;&gt;"","Self-reported channel only","Unattributed"))))</f>
        <v/>
      </c>
      <c r="S373" s="24" t="str">
        <f aca="false">IF(Q373="","",IFERROR(INDEX('Post Tracker'!$G$5:$G$1004,MATCH(Q373,'Post Tracker'!$A$5:$A$1004,0)),"ID NOT FOUND"))</f>
        <v/>
      </c>
      <c r="T373" s="24" t="str">
        <f aca="false">IF(Q373="","",IFERROR(INDEX('Post Tracker'!$K$5:$K$1004,MATCH(Q373,'Post Tracker'!$A$5:$A$1004,0))&amp;"",""))</f>
        <v/>
      </c>
      <c r="U373" s="33" t="str">
        <f aca="false">IF(OR(Q373="",B373=""),"",IFERROR(B373-INDEX('Post Tracker'!$B$5:$B$1004,MATCH(Q373,'Post Tracker'!$A$5:$A$1004,0)),""))</f>
        <v/>
      </c>
      <c r="V373" s="39"/>
      <c r="W373" s="29"/>
      <c r="X373" s="29"/>
      <c r="Y373" s="29"/>
      <c r="Z373" s="30"/>
      <c r="AA373" s="29"/>
      <c r="AB373" s="29"/>
    </row>
    <row r="374" customFormat="false" ht="15" hidden="false" customHeight="false" outlineLevel="0" collapsed="false">
      <c r="A374" s="41" t="str">
        <f aca="false">IF(B374="","",ROW()-4)</f>
        <v/>
      </c>
      <c r="B374" s="39"/>
      <c r="C374" s="29"/>
      <c r="D374" s="29"/>
      <c r="E374" s="29"/>
      <c r="F374" s="29"/>
      <c r="G374" s="29"/>
      <c r="H374" s="32"/>
      <c r="I374" s="29"/>
      <c r="J374" s="29"/>
      <c r="K374" s="29"/>
      <c r="L374" s="29"/>
      <c r="M374" s="29"/>
      <c r="N374" s="29"/>
      <c r="O374" s="29"/>
      <c r="P374" s="29"/>
      <c r="Q374" s="24" t="str">
        <f aca="false">IF(N374&lt;&gt;"",UPPER(TRIM(N374)),IF(P374&lt;&gt;"",UPPER(TRIM(P374)),""))</f>
        <v/>
      </c>
      <c r="R374" s="24" t="str">
        <f aca="false">IF(B374="","",IF(N374&lt;&gt;"","UTM tracked",IF(P374&lt;&gt;"","Manual / self-reported",IF(O374&lt;&gt;"","Self-reported channel only","Unattributed"))))</f>
        <v/>
      </c>
      <c r="S374" s="24" t="str">
        <f aca="false">IF(Q374="","",IFERROR(INDEX('Post Tracker'!$G$5:$G$1004,MATCH(Q374,'Post Tracker'!$A$5:$A$1004,0)),"ID NOT FOUND"))</f>
        <v/>
      </c>
      <c r="T374" s="24" t="str">
        <f aca="false">IF(Q374="","",IFERROR(INDEX('Post Tracker'!$K$5:$K$1004,MATCH(Q374,'Post Tracker'!$A$5:$A$1004,0))&amp;"",""))</f>
        <v/>
      </c>
      <c r="U374" s="33" t="str">
        <f aca="false">IF(OR(Q374="",B374=""),"",IFERROR(B374-INDEX('Post Tracker'!$B$5:$B$1004,MATCH(Q374,'Post Tracker'!$A$5:$A$1004,0)),""))</f>
        <v/>
      </c>
      <c r="V374" s="39"/>
      <c r="W374" s="29"/>
      <c r="X374" s="29"/>
      <c r="Y374" s="29"/>
      <c r="Z374" s="30"/>
      <c r="AA374" s="29"/>
      <c r="AB374" s="29"/>
    </row>
    <row r="375" customFormat="false" ht="15" hidden="false" customHeight="false" outlineLevel="0" collapsed="false">
      <c r="A375" s="41" t="str">
        <f aca="false">IF(B375="","",ROW()-4)</f>
        <v/>
      </c>
      <c r="B375" s="39"/>
      <c r="C375" s="29"/>
      <c r="D375" s="29"/>
      <c r="E375" s="29"/>
      <c r="F375" s="29"/>
      <c r="G375" s="29"/>
      <c r="H375" s="32"/>
      <c r="I375" s="29"/>
      <c r="J375" s="29"/>
      <c r="K375" s="29"/>
      <c r="L375" s="29"/>
      <c r="M375" s="29"/>
      <c r="N375" s="29"/>
      <c r="O375" s="29"/>
      <c r="P375" s="29"/>
      <c r="Q375" s="24" t="str">
        <f aca="false">IF(N375&lt;&gt;"",UPPER(TRIM(N375)),IF(P375&lt;&gt;"",UPPER(TRIM(P375)),""))</f>
        <v/>
      </c>
      <c r="R375" s="24" t="str">
        <f aca="false">IF(B375="","",IF(N375&lt;&gt;"","UTM tracked",IF(P375&lt;&gt;"","Manual / self-reported",IF(O375&lt;&gt;"","Self-reported channel only","Unattributed"))))</f>
        <v/>
      </c>
      <c r="S375" s="24" t="str">
        <f aca="false">IF(Q375="","",IFERROR(INDEX('Post Tracker'!$G$5:$G$1004,MATCH(Q375,'Post Tracker'!$A$5:$A$1004,0)),"ID NOT FOUND"))</f>
        <v/>
      </c>
      <c r="T375" s="24" t="str">
        <f aca="false">IF(Q375="","",IFERROR(INDEX('Post Tracker'!$K$5:$K$1004,MATCH(Q375,'Post Tracker'!$A$5:$A$1004,0))&amp;"",""))</f>
        <v/>
      </c>
      <c r="U375" s="33" t="str">
        <f aca="false">IF(OR(Q375="",B375=""),"",IFERROR(B375-INDEX('Post Tracker'!$B$5:$B$1004,MATCH(Q375,'Post Tracker'!$A$5:$A$1004,0)),""))</f>
        <v/>
      </c>
      <c r="V375" s="39"/>
      <c r="W375" s="29"/>
      <c r="X375" s="29"/>
      <c r="Y375" s="29"/>
      <c r="Z375" s="30"/>
      <c r="AA375" s="29"/>
      <c r="AB375" s="29"/>
    </row>
    <row r="376" customFormat="false" ht="15" hidden="false" customHeight="false" outlineLevel="0" collapsed="false">
      <c r="A376" s="41" t="str">
        <f aca="false">IF(B376="","",ROW()-4)</f>
        <v/>
      </c>
      <c r="B376" s="39"/>
      <c r="C376" s="29"/>
      <c r="D376" s="29"/>
      <c r="E376" s="29"/>
      <c r="F376" s="29"/>
      <c r="G376" s="29"/>
      <c r="H376" s="32"/>
      <c r="I376" s="29"/>
      <c r="J376" s="29"/>
      <c r="K376" s="29"/>
      <c r="L376" s="29"/>
      <c r="M376" s="29"/>
      <c r="N376" s="29"/>
      <c r="O376" s="29"/>
      <c r="P376" s="29"/>
      <c r="Q376" s="24" t="str">
        <f aca="false">IF(N376&lt;&gt;"",UPPER(TRIM(N376)),IF(P376&lt;&gt;"",UPPER(TRIM(P376)),""))</f>
        <v/>
      </c>
      <c r="R376" s="24" t="str">
        <f aca="false">IF(B376="","",IF(N376&lt;&gt;"","UTM tracked",IF(P376&lt;&gt;"","Manual / self-reported",IF(O376&lt;&gt;"","Self-reported channel only","Unattributed"))))</f>
        <v/>
      </c>
      <c r="S376" s="24" t="str">
        <f aca="false">IF(Q376="","",IFERROR(INDEX('Post Tracker'!$G$5:$G$1004,MATCH(Q376,'Post Tracker'!$A$5:$A$1004,0)),"ID NOT FOUND"))</f>
        <v/>
      </c>
      <c r="T376" s="24" t="str">
        <f aca="false">IF(Q376="","",IFERROR(INDEX('Post Tracker'!$K$5:$K$1004,MATCH(Q376,'Post Tracker'!$A$5:$A$1004,0))&amp;"",""))</f>
        <v/>
      </c>
      <c r="U376" s="33" t="str">
        <f aca="false">IF(OR(Q376="",B376=""),"",IFERROR(B376-INDEX('Post Tracker'!$B$5:$B$1004,MATCH(Q376,'Post Tracker'!$A$5:$A$1004,0)),""))</f>
        <v/>
      </c>
      <c r="V376" s="39"/>
      <c r="W376" s="29"/>
      <c r="X376" s="29"/>
      <c r="Y376" s="29"/>
      <c r="Z376" s="30"/>
      <c r="AA376" s="29"/>
      <c r="AB376" s="29"/>
    </row>
    <row r="377" customFormat="false" ht="15" hidden="false" customHeight="false" outlineLevel="0" collapsed="false">
      <c r="A377" s="41" t="str">
        <f aca="false">IF(B377="","",ROW()-4)</f>
        <v/>
      </c>
      <c r="B377" s="39"/>
      <c r="C377" s="29"/>
      <c r="D377" s="29"/>
      <c r="E377" s="29"/>
      <c r="F377" s="29"/>
      <c r="G377" s="29"/>
      <c r="H377" s="32"/>
      <c r="I377" s="29"/>
      <c r="J377" s="29"/>
      <c r="K377" s="29"/>
      <c r="L377" s="29"/>
      <c r="M377" s="29"/>
      <c r="N377" s="29"/>
      <c r="O377" s="29"/>
      <c r="P377" s="29"/>
      <c r="Q377" s="24" t="str">
        <f aca="false">IF(N377&lt;&gt;"",UPPER(TRIM(N377)),IF(P377&lt;&gt;"",UPPER(TRIM(P377)),""))</f>
        <v/>
      </c>
      <c r="R377" s="24" t="str">
        <f aca="false">IF(B377="","",IF(N377&lt;&gt;"","UTM tracked",IF(P377&lt;&gt;"","Manual / self-reported",IF(O377&lt;&gt;"","Self-reported channel only","Unattributed"))))</f>
        <v/>
      </c>
      <c r="S377" s="24" t="str">
        <f aca="false">IF(Q377="","",IFERROR(INDEX('Post Tracker'!$G$5:$G$1004,MATCH(Q377,'Post Tracker'!$A$5:$A$1004,0)),"ID NOT FOUND"))</f>
        <v/>
      </c>
      <c r="T377" s="24" t="str">
        <f aca="false">IF(Q377="","",IFERROR(INDEX('Post Tracker'!$K$5:$K$1004,MATCH(Q377,'Post Tracker'!$A$5:$A$1004,0))&amp;"",""))</f>
        <v/>
      </c>
      <c r="U377" s="33" t="str">
        <f aca="false">IF(OR(Q377="",B377=""),"",IFERROR(B377-INDEX('Post Tracker'!$B$5:$B$1004,MATCH(Q377,'Post Tracker'!$A$5:$A$1004,0)),""))</f>
        <v/>
      </c>
      <c r="V377" s="39"/>
      <c r="W377" s="29"/>
      <c r="X377" s="29"/>
      <c r="Y377" s="29"/>
      <c r="Z377" s="30"/>
      <c r="AA377" s="29"/>
      <c r="AB377" s="29"/>
    </row>
    <row r="378" customFormat="false" ht="15" hidden="false" customHeight="false" outlineLevel="0" collapsed="false">
      <c r="A378" s="41" t="str">
        <f aca="false">IF(B378="","",ROW()-4)</f>
        <v/>
      </c>
      <c r="B378" s="39"/>
      <c r="C378" s="29"/>
      <c r="D378" s="29"/>
      <c r="E378" s="29"/>
      <c r="F378" s="29"/>
      <c r="G378" s="29"/>
      <c r="H378" s="32"/>
      <c r="I378" s="29"/>
      <c r="J378" s="29"/>
      <c r="K378" s="29"/>
      <c r="L378" s="29"/>
      <c r="M378" s="29"/>
      <c r="N378" s="29"/>
      <c r="O378" s="29"/>
      <c r="P378" s="29"/>
      <c r="Q378" s="24" t="str">
        <f aca="false">IF(N378&lt;&gt;"",UPPER(TRIM(N378)),IF(P378&lt;&gt;"",UPPER(TRIM(P378)),""))</f>
        <v/>
      </c>
      <c r="R378" s="24" t="str">
        <f aca="false">IF(B378="","",IF(N378&lt;&gt;"","UTM tracked",IF(P378&lt;&gt;"","Manual / self-reported",IF(O378&lt;&gt;"","Self-reported channel only","Unattributed"))))</f>
        <v/>
      </c>
      <c r="S378" s="24" t="str">
        <f aca="false">IF(Q378="","",IFERROR(INDEX('Post Tracker'!$G$5:$G$1004,MATCH(Q378,'Post Tracker'!$A$5:$A$1004,0)),"ID NOT FOUND"))</f>
        <v/>
      </c>
      <c r="T378" s="24" t="str">
        <f aca="false">IF(Q378="","",IFERROR(INDEX('Post Tracker'!$K$5:$K$1004,MATCH(Q378,'Post Tracker'!$A$5:$A$1004,0))&amp;"",""))</f>
        <v/>
      </c>
      <c r="U378" s="33" t="str">
        <f aca="false">IF(OR(Q378="",B378=""),"",IFERROR(B378-INDEX('Post Tracker'!$B$5:$B$1004,MATCH(Q378,'Post Tracker'!$A$5:$A$1004,0)),""))</f>
        <v/>
      </c>
      <c r="V378" s="39"/>
      <c r="W378" s="29"/>
      <c r="X378" s="29"/>
      <c r="Y378" s="29"/>
      <c r="Z378" s="30"/>
      <c r="AA378" s="29"/>
      <c r="AB378" s="29"/>
    </row>
    <row r="379" customFormat="false" ht="15" hidden="false" customHeight="false" outlineLevel="0" collapsed="false">
      <c r="A379" s="41" t="str">
        <f aca="false">IF(B379="","",ROW()-4)</f>
        <v/>
      </c>
      <c r="B379" s="39"/>
      <c r="C379" s="29"/>
      <c r="D379" s="29"/>
      <c r="E379" s="29"/>
      <c r="F379" s="29"/>
      <c r="G379" s="29"/>
      <c r="H379" s="32"/>
      <c r="I379" s="29"/>
      <c r="J379" s="29"/>
      <c r="K379" s="29"/>
      <c r="L379" s="29"/>
      <c r="M379" s="29"/>
      <c r="N379" s="29"/>
      <c r="O379" s="29"/>
      <c r="P379" s="29"/>
      <c r="Q379" s="24" t="str">
        <f aca="false">IF(N379&lt;&gt;"",UPPER(TRIM(N379)),IF(P379&lt;&gt;"",UPPER(TRIM(P379)),""))</f>
        <v/>
      </c>
      <c r="R379" s="24" t="str">
        <f aca="false">IF(B379="","",IF(N379&lt;&gt;"","UTM tracked",IF(P379&lt;&gt;"","Manual / self-reported",IF(O379&lt;&gt;"","Self-reported channel only","Unattributed"))))</f>
        <v/>
      </c>
      <c r="S379" s="24" t="str">
        <f aca="false">IF(Q379="","",IFERROR(INDEX('Post Tracker'!$G$5:$G$1004,MATCH(Q379,'Post Tracker'!$A$5:$A$1004,0)),"ID NOT FOUND"))</f>
        <v/>
      </c>
      <c r="T379" s="24" t="str">
        <f aca="false">IF(Q379="","",IFERROR(INDEX('Post Tracker'!$K$5:$K$1004,MATCH(Q379,'Post Tracker'!$A$5:$A$1004,0))&amp;"",""))</f>
        <v/>
      </c>
      <c r="U379" s="33" t="str">
        <f aca="false">IF(OR(Q379="",B379=""),"",IFERROR(B379-INDEX('Post Tracker'!$B$5:$B$1004,MATCH(Q379,'Post Tracker'!$A$5:$A$1004,0)),""))</f>
        <v/>
      </c>
      <c r="V379" s="39"/>
      <c r="W379" s="29"/>
      <c r="X379" s="29"/>
      <c r="Y379" s="29"/>
      <c r="Z379" s="30"/>
      <c r="AA379" s="29"/>
      <c r="AB379" s="29"/>
    </row>
    <row r="380" customFormat="false" ht="15" hidden="false" customHeight="false" outlineLevel="0" collapsed="false">
      <c r="A380" s="41" t="str">
        <f aca="false">IF(B380="","",ROW()-4)</f>
        <v/>
      </c>
      <c r="B380" s="39"/>
      <c r="C380" s="29"/>
      <c r="D380" s="29"/>
      <c r="E380" s="29"/>
      <c r="F380" s="29"/>
      <c r="G380" s="29"/>
      <c r="H380" s="32"/>
      <c r="I380" s="29"/>
      <c r="J380" s="29"/>
      <c r="K380" s="29"/>
      <c r="L380" s="29"/>
      <c r="M380" s="29"/>
      <c r="N380" s="29"/>
      <c r="O380" s="29"/>
      <c r="P380" s="29"/>
      <c r="Q380" s="24" t="str">
        <f aca="false">IF(N380&lt;&gt;"",UPPER(TRIM(N380)),IF(P380&lt;&gt;"",UPPER(TRIM(P380)),""))</f>
        <v/>
      </c>
      <c r="R380" s="24" t="str">
        <f aca="false">IF(B380="","",IF(N380&lt;&gt;"","UTM tracked",IF(P380&lt;&gt;"","Manual / self-reported",IF(O380&lt;&gt;"","Self-reported channel only","Unattributed"))))</f>
        <v/>
      </c>
      <c r="S380" s="24" t="str">
        <f aca="false">IF(Q380="","",IFERROR(INDEX('Post Tracker'!$G$5:$G$1004,MATCH(Q380,'Post Tracker'!$A$5:$A$1004,0)),"ID NOT FOUND"))</f>
        <v/>
      </c>
      <c r="T380" s="24" t="str">
        <f aca="false">IF(Q380="","",IFERROR(INDEX('Post Tracker'!$K$5:$K$1004,MATCH(Q380,'Post Tracker'!$A$5:$A$1004,0))&amp;"",""))</f>
        <v/>
      </c>
      <c r="U380" s="33" t="str">
        <f aca="false">IF(OR(Q380="",B380=""),"",IFERROR(B380-INDEX('Post Tracker'!$B$5:$B$1004,MATCH(Q380,'Post Tracker'!$A$5:$A$1004,0)),""))</f>
        <v/>
      </c>
      <c r="V380" s="39"/>
      <c r="W380" s="29"/>
      <c r="X380" s="29"/>
      <c r="Y380" s="29"/>
      <c r="Z380" s="30"/>
      <c r="AA380" s="29"/>
      <c r="AB380" s="29"/>
    </row>
    <row r="381" customFormat="false" ht="15" hidden="false" customHeight="false" outlineLevel="0" collapsed="false">
      <c r="A381" s="41" t="str">
        <f aca="false">IF(B381="","",ROW()-4)</f>
        <v/>
      </c>
      <c r="B381" s="39"/>
      <c r="C381" s="29"/>
      <c r="D381" s="29"/>
      <c r="E381" s="29"/>
      <c r="F381" s="29"/>
      <c r="G381" s="29"/>
      <c r="H381" s="32"/>
      <c r="I381" s="29"/>
      <c r="J381" s="29"/>
      <c r="K381" s="29"/>
      <c r="L381" s="29"/>
      <c r="M381" s="29"/>
      <c r="N381" s="29"/>
      <c r="O381" s="29"/>
      <c r="P381" s="29"/>
      <c r="Q381" s="24" t="str">
        <f aca="false">IF(N381&lt;&gt;"",UPPER(TRIM(N381)),IF(P381&lt;&gt;"",UPPER(TRIM(P381)),""))</f>
        <v/>
      </c>
      <c r="R381" s="24" t="str">
        <f aca="false">IF(B381="","",IF(N381&lt;&gt;"","UTM tracked",IF(P381&lt;&gt;"","Manual / self-reported",IF(O381&lt;&gt;"","Self-reported channel only","Unattributed"))))</f>
        <v/>
      </c>
      <c r="S381" s="24" t="str">
        <f aca="false">IF(Q381="","",IFERROR(INDEX('Post Tracker'!$G$5:$G$1004,MATCH(Q381,'Post Tracker'!$A$5:$A$1004,0)),"ID NOT FOUND"))</f>
        <v/>
      </c>
      <c r="T381" s="24" t="str">
        <f aca="false">IF(Q381="","",IFERROR(INDEX('Post Tracker'!$K$5:$K$1004,MATCH(Q381,'Post Tracker'!$A$5:$A$1004,0))&amp;"",""))</f>
        <v/>
      </c>
      <c r="U381" s="33" t="str">
        <f aca="false">IF(OR(Q381="",B381=""),"",IFERROR(B381-INDEX('Post Tracker'!$B$5:$B$1004,MATCH(Q381,'Post Tracker'!$A$5:$A$1004,0)),""))</f>
        <v/>
      </c>
      <c r="V381" s="39"/>
      <c r="W381" s="29"/>
      <c r="X381" s="29"/>
      <c r="Y381" s="29"/>
      <c r="Z381" s="30"/>
      <c r="AA381" s="29"/>
      <c r="AB381" s="29"/>
    </row>
    <row r="382" customFormat="false" ht="15" hidden="false" customHeight="false" outlineLevel="0" collapsed="false">
      <c r="A382" s="41" t="str">
        <f aca="false">IF(B382="","",ROW()-4)</f>
        <v/>
      </c>
      <c r="B382" s="39"/>
      <c r="C382" s="29"/>
      <c r="D382" s="29"/>
      <c r="E382" s="29"/>
      <c r="F382" s="29"/>
      <c r="G382" s="29"/>
      <c r="H382" s="32"/>
      <c r="I382" s="29"/>
      <c r="J382" s="29"/>
      <c r="K382" s="29"/>
      <c r="L382" s="29"/>
      <c r="M382" s="29"/>
      <c r="N382" s="29"/>
      <c r="O382" s="29"/>
      <c r="P382" s="29"/>
      <c r="Q382" s="24" t="str">
        <f aca="false">IF(N382&lt;&gt;"",UPPER(TRIM(N382)),IF(P382&lt;&gt;"",UPPER(TRIM(P382)),""))</f>
        <v/>
      </c>
      <c r="R382" s="24" t="str">
        <f aca="false">IF(B382="","",IF(N382&lt;&gt;"","UTM tracked",IF(P382&lt;&gt;"","Manual / self-reported",IF(O382&lt;&gt;"","Self-reported channel only","Unattributed"))))</f>
        <v/>
      </c>
      <c r="S382" s="24" t="str">
        <f aca="false">IF(Q382="","",IFERROR(INDEX('Post Tracker'!$G$5:$G$1004,MATCH(Q382,'Post Tracker'!$A$5:$A$1004,0)),"ID NOT FOUND"))</f>
        <v/>
      </c>
      <c r="T382" s="24" t="str">
        <f aca="false">IF(Q382="","",IFERROR(INDEX('Post Tracker'!$K$5:$K$1004,MATCH(Q382,'Post Tracker'!$A$5:$A$1004,0))&amp;"",""))</f>
        <v/>
      </c>
      <c r="U382" s="33" t="str">
        <f aca="false">IF(OR(Q382="",B382=""),"",IFERROR(B382-INDEX('Post Tracker'!$B$5:$B$1004,MATCH(Q382,'Post Tracker'!$A$5:$A$1004,0)),""))</f>
        <v/>
      </c>
      <c r="V382" s="39"/>
      <c r="W382" s="29"/>
      <c r="X382" s="29"/>
      <c r="Y382" s="29"/>
      <c r="Z382" s="30"/>
      <c r="AA382" s="29"/>
      <c r="AB382" s="29"/>
    </row>
    <row r="383" customFormat="false" ht="15" hidden="false" customHeight="false" outlineLevel="0" collapsed="false">
      <c r="A383" s="41" t="str">
        <f aca="false">IF(B383="","",ROW()-4)</f>
        <v/>
      </c>
      <c r="B383" s="39"/>
      <c r="C383" s="29"/>
      <c r="D383" s="29"/>
      <c r="E383" s="29"/>
      <c r="F383" s="29"/>
      <c r="G383" s="29"/>
      <c r="H383" s="32"/>
      <c r="I383" s="29"/>
      <c r="J383" s="29"/>
      <c r="K383" s="29"/>
      <c r="L383" s="29"/>
      <c r="M383" s="29"/>
      <c r="N383" s="29"/>
      <c r="O383" s="29"/>
      <c r="P383" s="29"/>
      <c r="Q383" s="24" t="str">
        <f aca="false">IF(N383&lt;&gt;"",UPPER(TRIM(N383)),IF(P383&lt;&gt;"",UPPER(TRIM(P383)),""))</f>
        <v/>
      </c>
      <c r="R383" s="24" t="str">
        <f aca="false">IF(B383="","",IF(N383&lt;&gt;"","UTM tracked",IF(P383&lt;&gt;"","Manual / self-reported",IF(O383&lt;&gt;"","Self-reported channel only","Unattributed"))))</f>
        <v/>
      </c>
      <c r="S383" s="24" t="str">
        <f aca="false">IF(Q383="","",IFERROR(INDEX('Post Tracker'!$G$5:$G$1004,MATCH(Q383,'Post Tracker'!$A$5:$A$1004,0)),"ID NOT FOUND"))</f>
        <v/>
      </c>
      <c r="T383" s="24" t="str">
        <f aca="false">IF(Q383="","",IFERROR(INDEX('Post Tracker'!$K$5:$K$1004,MATCH(Q383,'Post Tracker'!$A$5:$A$1004,0))&amp;"",""))</f>
        <v/>
      </c>
      <c r="U383" s="33" t="str">
        <f aca="false">IF(OR(Q383="",B383=""),"",IFERROR(B383-INDEX('Post Tracker'!$B$5:$B$1004,MATCH(Q383,'Post Tracker'!$A$5:$A$1004,0)),""))</f>
        <v/>
      </c>
      <c r="V383" s="39"/>
      <c r="W383" s="29"/>
      <c r="X383" s="29"/>
      <c r="Y383" s="29"/>
      <c r="Z383" s="30"/>
      <c r="AA383" s="29"/>
      <c r="AB383" s="29"/>
    </row>
    <row r="384" customFormat="false" ht="15" hidden="false" customHeight="false" outlineLevel="0" collapsed="false">
      <c r="A384" s="41" t="str">
        <f aca="false">IF(B384="","",ROW()-4)</f>
        <v/>
      </c>
      <c r="B384" s="39"/>
      <c r="C384" s="29"/>
      <c r="D384" s="29"/>
      <c r="E384" s="29"/>
      <c r="F384" s="29"/>
      <c r="G384" s="29"/>
      <c r="H384" s="32"/>
      <c r="I384" s="29"/>
      <c r="J384" s="29"/>
      <c r="K384" s="29"/>
      <c r="L384" s="29"/>
      <c r="M384" s="29"/>
      <c r="N384" s="29"/>
      <c r="O384" s="29"/>
      <c r="P384" s="29"/>
      <c r="Q384" s="24" t="str">
        <f aca="false">IF(N384&lt;&gt;"",UPPER(TRIM(N384)),IF(P384&lt;&gt;"",UPPER(TRIM(P384)),""))</f>
        <v/>
      </c>
      <c r="R384" s="24" t="str">
        <f aca="false">IF(B384="","",IF(N384&lt;&gt;"","UTM tracked",IF(P384&lt;&gt;"","Manual / self-reported",IF(O384&lt;&gt;"","Self-reported channel only","Unattributed"))))</f>
        <v/>
      </c>
      <c r="S384" s="24" t="str">
        <f aca="false">IF(Q384="","",IFERROR(INDEX('Post Tracker'!$G$5:$G$1004,MATCH(Q384,'Post Tracker'!$A$5:$A$1004,0)),"ID NOT FOUND"))</f>
        <v/>
      </c>
      <c r="T384" s="24" t="str">
        <f aca="false">IF(Q384="","",IFERROR(INDEX('Post Tracker'!$K$5:$K$1004,MATCH(Q384,'Post Tracker'!$A$5:$A$1004,0))&amp;"",""))</f>
        <v/>
      </c>
      <c r="U384" s="33" t="str">
        <f aca="false">IF(OR(Q384="",B384=""),"",IFERROR(B384-INDEX('Post Tracker'!$B$5:$B$1004,MATCH(Q384,'Post Tracker'!$A$5:$A$1004,0)),""))</f>
        <v/>
      </c>
      <c r="V384" s="39"/>
      <c r="W384" s="29"/>
      <c r="X384" s="29"/>
      <c r="Y384" s="29"/>
      <c r="Z384" s="30"/>
      <c r="AA384" s="29"/>
      <c r="AB384" s="29"/>
    </row>
    <row r="385" customFormat="false" ht="15" hidden="false" customHeight="false" outlineLevel="0" collapsed="false">
      <c r="A385" s="41" t="str">
        <f aca="false">IF(B385="","",ROW()-4)</f>
        <v/>
      </c>
      <c r="B385" s="39"/>
      <c r="C385" s="29"/>
      <c r="D385" s="29"/>
      <c r="E385" s="29"/>
      <c r="F385" s="29"/>
      <c r="G385" s="29"/>
      <c r="H385" s="32"/>
      <c r="I385" s="29"/>
      <c r="J385" s="29"/>
      <c r="K385" s="29"/>
      <c r="L385" s="29"/>
      <c r="M385" s="29"/>
      <c r="N385" s="29"/>
      <c r="O385" s="29"/>
      <c r="P385" s="29"/>
      <c r="Q385" s="24" t="str">
        <f aca="false">IF(N385&lt;&gt;"",UPPER(TRIM(N385)),IF(P385&lt;&gt;"",UPPER(TRIM(P385)),""))</f>
        <v/>
      </c>
      <c r="R385" s="24" t="str">
        <f aca="false">IF(B385="","",IF(N385&lt;&gt;"","UTM tracked",IF(P385&lt;&gt;"","Manual / self-reported",IF(O385&lt;&gt;"","Self-reported channel only","Unattributed"))))</f>
        <v/>
      </c>
      <c r="S385" s="24" t="str">
        <f aca="false">IF(Q385="","",IFERROR(INDEX('Post Tracker'!$G$5:$G$1004,MATCH(Q385,'Post Tracker'!$A$5:$A$1004,0)),"ID NOT FOUND"))</f>
        <v/>
      </c>
      <c r="T385" s="24" t="str">
        <f aca="false">IF(Q385="","",IFERROR(INDEX('Post Tracker'!$K$5:$K$1004,MATCH(Q385,'Post Tracker'!$A$5:$A$1004,0))&amp;"",""))</f>
        <v/>
      </c>
      <c r="U385" s="33" t="str">
        <f aca="false">IF(OR(Q385="",B385=""),"",IFERROR(B385-INDEX('Post Tracker'!$B$5:$B$1004,MATCH(Q385,'Post Tracker'!$A$5:$A$1004,0)),""))</f>
        <v/>
      </c>
      <c r="V385" s="39"/>
      <c r="W385" s="29"/>
      <c r="X385" s="29"/>
      <c r="Y385" s="29"/>
      <c r="Z385" s="30"/>
      <c r="AA385" s="29"/>
      <c r="AB385" s="29"/>
    </row>
    <row r="386" customFormat="false" ht="15" hidden="false" customHeight="false" outlineLevel="0" collapsed="false">
      <c r="A386" s="41" t="str">
        <f aca="false">IF(B386="","",ROW()-4)</f>
        <v/>
      </c>
      <c r="B386" s="39"/>
      <c r="C386" s="29"/>
      <c r="D386" s="29"/>
      <c r="E386" s="29"/>
      <c r="F386" s="29"/>
      <c r="G386" s="29"/>
      <c r="H386" s="32"/>
      <c r="I386" s="29"/>
      <c r="J386" s="29"/>
      <c r="K386" s="29"/>
      <c r="L386" s="29"/>
      <c r="M386" s="29"/>
      <c r="N386" s="29"/>
      <c r="O386" s="29"/>
      <c r="P386" s="29"/>
      <c r="Q386" s="24" t="str">
        <f aca="false">IF(N386&lt;&gt;"",UPPER(TRIM(N386)),IF(P386&lt;&gt;"",UPPER(TRIM(P386)),""))</f>
        <v/>
      </c>
      <c r="R386" s="24" t="str">
        <f aca="false">IF(B386="","",IF(N386&lt;&gt;"","UTM tracked",IF(P386&lt;&gt;"","Manual / self-reported",IF(O386&lt;&gt;"","Self-reported channel only","Unattributed"))))</f>
        <v/>
      </c>
      <c r="S386" s="24" t="str">
        <f aca="false">IF(Q386="","",IFERROR(INDEX('Post Tracker'!$G$5:$G$1004,MATCH(Q386,'Post Tracker'!$A$5:$A$1004,0)),"ID NOT FOUND"))</f>
        <v/>
      </c>
      <c r="T386" s="24" t="str">
        <f aca="false">IF(Q386="","",IFERROR(INDEX('Post Tracker'!$K$5:$K$1004,MATCH(Q386,'Post Tracker'!$A$5:$A$1004,0))&amp;"",""))</f>
        <v/>
      </c>
      <c r="U386" s="33" t="str">
        <f aca="false">IF(OR(Q386="",B386=""),"",IFERROR(B386-INDEX('Post Tracker'!$B$5:$B$1004,MATCH(Q386,'Post Tracker'!$A$5:$A$1004,0)),""))</f>
        <v/>
      </c>
      <c r="V386" s="39"/>
      <c r="W386" s="29"/>
      <c r="X386" s="29"/>
      <c r="Y386" s="29"/>
      <c r="Z386" s="30"/>
      <c r="AA386" s="29"/>
      <c r="AB386" s="29"/>
    </row>
    <row r="387" customFormat="false" ht="15" hidden="false" customHeight="false" outlineLevel="0" collapsed="false">
      <c r="A387" s="41" t="str">
        <f aca="false">IF(B387="","",ROW()-4)</f>
        <v/>
      </c>
      <c r="B387" s="39"/>
      <c r="C387" s="29"/>
      <c r="D387" s="29"/>
      <c r="E387" s="29"/>
      <c r="F387" s="29"/>
      <c r="G387" s="29"/>
      <c r="H387" s="32"/>
      <c r="I387" s="29"/>
      <c r="J387" s="29"/>
      <c r="K387" s="29"/>
      <c r="L387" s="29"/>
      <c r="M387" s="29"/>
      <c r="N387" s="29"/>
      <c r="O387" s="29"/>
      <c r="P387" s="29"/>
      <c r="Q387" s="24" t="str">
        <f aca="false">IF(N387&lt;&gt;"",UPPER(TRIM(N387)),IF(P387&lt;&gt;"",UPPER(TRIM(P387)),""))</f>
        <v/>
      </c>
      <c r="R387" s="24" t="str">
        <f aca="false">IF(B387="","",IF(N387&lt;&gt;"","UTM tracked",IF(P387&lt;&gt;"","Manual / self-reported",IF(O387&lt;&gt;"","Self-reported channel only","Unattributed"))))</f>
        <v/>
      </c>
      <c r="S387" s="24" t="str">
        <f aca="false">IF(Q387="","",IFERROR(INDEX('Post Tracker'!$G$5:$G$1004,MATCH(Q387,'Post Tracker'!$A$5:$A$1004,0)),"ID NOT FOUND"))</f>
        <v/>
      </c>
      <c r="T387" s="24" t="str">
        <f aca="false">IF(Q387="","",IFERROR(INDEX('Post Tracker'!$K$5:$K$1004,MATCH(Q387,'Post Tracker'!$A$5:$A$1004,0))&amp;"",""))</f>
        <v/>
      </c>
      <c r="U387" s="33" t="str">
        <f aca="false">IF(OR(Q387="",B387=""),"",IFERROR(B387-INDEX('Post Tracker'!$B$5:$B$1004,MATCH(Q387,'Post Tracker'!$A$5:$A$1004,0)),""))</f>
        <v/>
      </c>
      <c r="V387" s="39"/>
      <c r="W387" s="29"/>
      <c r="X387" s="29"/>
      <c r="Y387" s="29"/>
      <c r="Z387" s="30"/>
      <c r="AA387" s="29"/>
      <c r="AB387" s="29"/>
    </row>
    <row r="388" customFormat="false" ht="15" hidden="false" customHeight="false" outlineLevel="0" collapsed="false">
      <c r="A388" s="41" t="str">
        <f aca="false">IF(B388="","",ROW()-4)</f>
        <v/>
      </c>
      <c r="B388" s="39"/>
      <c r="C388" s="29"/>
      <c r="D388" s="29"/>
      <c r="E388" s="29"/>
      <c r="F388" s="29"/>
      <c r="G388" s="29"/>
      <c r="H388" s="32"/>
      <c r="I388" s="29"/>
      <c r="J388" s="29"/>
      <c r="K388" s="29"/>
      <c r="L388" s="29"/>
      <c r="M388" s="29"/>
      <c r="N388" s="29"/>
      <c r="O388" s="29"/>
      <c r="P388" s="29"/>
      <c r="Q388" s="24" t="str">
        <f aca="false">IF(N388&lt;&gt;"",UPPER(TRIM(N388)),IF(P388&lt;&gt;"",UPPER(TRIM(P388)),""))</f>
        <v/>
      </c>
      <c r="R388" s="24" t="str">
        <f aca="false">IF(B388="","",IF(N388&lt;&gt;"","UTM tracked",IF(P388&lt;&gt;"","Manual / self-reported",IF(O388&lt;&gt;"","Self-reported channel only","Unattributed"))))</f>
        <v/>
      </c>
      <c r="S388" s="24" t="str">
        <f aca="false">IF(Q388="","",IFERROR(INDEX('Post Tracker'!$G$5:$G$1004,MATCH(Q388,'Post Tracker'!$A$5:$A$1004,0)),"ID NOT FOUND"))</f>
        <v/>
      </c>
      <c r="T388" s="24" t="str">
        <f aca="false">IF(Q388="","",IFERROR(INDEX('Post Tracker'!$K$5:$K$1004,MATCH(Q388,'Post Tracker'!$A$5:$A$1004,0))&amp;"",""))</f>
        <v/>
      </c>
      <c r="U388" s="33" t="str">
        <f aca="false">IF(OR(Q388="",B388=""),"",IFERROR(B388-INDEX('Post Tracker'!$B$5:$B$1004,MATCH(Q388,'Post Tracker'!$A$5:$A$1004,0)),""))</f>
        <v/>
      </c>
      <c r="V388" s="39"/>
      <c r="W388" s="29"/>
      <c r="X388" s="29"/>
      <c r="Y388" s="29"/>
      <c r="Z388" s="30"/>
      <c r="AA388" s="29"/>
      <c r="AB388" s="29"/>
    </row>
    <row r="389" customFormat="false" ht="15" hidden="false" customHeight="false" outlineLevel="0" collapsed="false">
      <c r="A389" s="41" t="str">
        <f aca="false">IF(B389="","",ROW()-4)</f>
        <v/>
      </c>
      <c r="B389" s="39"/>
      <c r="C389" s="29"/>
      <c r="D389" s="29"/>
      <c r="E389" s="29"/>
      <c r="F389" s="29"/>
      <c r="G389" s="29"/>
      <c r="H389" s="32"/>
      <c r="I389" s="29"/>
      <c r="J389" s="29"/>
      <c r="K389" s="29"/>
      <c r="L389" s="29"/>
      <c r="M389" s="29"/>
      <c r="N389" s="29"/>
      <c r="O389" s="29"/>
      <c r="P389" s="29"/>
      <c r="Q389" s="24" t="str">
        <f aca="false">IF(N389&lt;&gt;"",UPPER(TRIM(N389)),IF(P389&lt;&gt;"",UPPER(TRIM(P389)),""))</f>
        <v/>
      </c>
      <c r="R389" s="24" t="str">
        <f aca="false">IF(B389="","",IF(N389&lt;&gt;"","UTM tracked",IF(P389&lt;&gt;"","Manual / self-reported",IF(O389&lt;&gt;"","Self-reported channel only","Unattributed"))))</f>
        <v/>
      </c>
      <c r="S389" s="24" t="str">
        <f aca="false">IF(Q389="","",IFERROR(INDEX('Post Tracker'!$G$5:$G$1004,MATCH(Q389,'Post Tracker'!$A$5:$A$1004,0)),"ID NOT FOUND"))</f>
        <v/>
      </c>
      <c r="T389" s="24" t="str">
        <f aca="false">IF(Q389="","",IFERROR(INDEX('Post Tracker'!$K$5:$K$1004,MATCH(Q389,'Post Tracker'!$A$5:$A$1004,0))&amp;"",""))</f>
        <v/>
      </c>
      <c r="U389" s="33" t="str">
        <f aca="false">IF(OR(Q389="",B389=""),"",IFERROR(B389-INDEX('Post Tracker'!$B$5:$B$1004,MATCH(Q389,'Post Tracker'!$A$5:$A$1004,0)),""))</f>
        <v/>
      </c>
      <c r="V389" s="39"/>
      <c r="W389" s="29"/>
      <c r="X389" s="29"/>
      <c r="Y389" s="29"/>
      <c r="Z389" s="30"/>
      <c r="AA389" s="29"/>
      <c r="AB389" s="29"/>
    </row>
    <row r="390" customFormat="false" ht="15" hidden="false" customHeight="false" outlineLevel="0" collapsed="false">
      <c r="A390" s="41" t="str">
        <f aca="false">IF(B390="","",ROW()-4)</f>
        <v/>
      </c>
      <c r="B390" s="39"/>
      <c r="C390" s="29"/>
      <c r="D390" s="29"/>
      <c r="E390" s="29"/>
      <c r="F390" s="29"/>
      <c r="G390" s="29"/>
      <c r="H390" s="32"/>
      <c r="I390" s="29"/>
      <c r="J390" s="29"/>
      <c r="K390" s="29"/>
      <c r="L390" s="29"/>
      <c r="M390" s="29"/>
      <c r="N390" s="29"/>
      <c r="O390" s="29"/>
      <c r="P390" s="29"/>
      <c r="Q390" s="24" t="str">
        <f aca="false">IF(N390&lt;&gt;"",UPPER(TRIM(N390)),IF(P390&lt;&gt;"",UPPER(TRIM(P390)),""))</f>
        <v/>
      </c>
      <c r="R390" s="24" t="str">
        <f aca="false">IF(B390="","",IF(N390&lt;&gt;"","UTM tracked",IF(P390&lt;&gt;"","Manual / self-reported",IF(O390&lt;&gt;"","Self-reported channel only","Unattributed"))))</f>
        <v/>
      </c>
      <c r="S390" s="24" t="str">
        <f aca="false">IF(Q390="","",IFERROR(INDEX('Post Tracker'!$G$5:$G$1004,MATCH(Q390,'Post Tracker'!$A$5:$A$1004,0)),"ID NOT FOUND"))</f>
        <v/>
      </c>
      <c r="T390" s="24" t="str">
        <f aca="false">IF(Q390="","",IFERROR(INDEX('Post Tracker'!$K$5:$K$1004,MATCH(Q390,'Post Tracker'!$A$5:$A$1004,0))&amp;"",""))</f>
        <v/>
      </c>
      <c r="U390" s="33" t="str">
        <f aca="false">IF(OR(Q390="",B390=""),"",IFERROR(B390-INDEX('Post Tracker'!$B$5:$B$1004,MATCH(Q390,'Post Tracker'!$A$5:$A$1004,0)),""))</f>
        <v/>
      </c>
      <c r="V390" s="39"/>
      <c r="W390" s="29"/>
      <c r="X390" s="29"/>
      <c r="Y390" s="29"/>
      <c r="Z390" s="30"/>
      <c r="AA390" s="29"/>
      <c r="AB390" s="29"/>
    </row>
    <row r="391" customFormat="false" ht="15" hidden="false" customHeight="false" outlineLevel="0" collapsed="false">
      <c r="A391" s="41" t="str">
        <f aca="false">IF(B391="","",ROW()-4)</f>
        <v/>
      </c>
      <c r="B391" s="39"/>
      <c r="C391" s="29"/>
      <c r="D391" s="29"/>
      <c r="E391" s="29"/>
      <c r="F391" s="29"/>
      <c r="G391" s="29"/>
      <c r="H391" s="32"/>
      <c r="I391" s="29"/>
      <c r="J391" s="29"/>
      <c r="K391" s="29"/>
      <c r="L391" s="29"/>
      <c r="M391" s="29"/>
      <c r="N391" s="29"/>
      <c r="O391" s="29"/>
      <c r="P391" s="29"/>
      <c r="Q391" s="24" t="str">
        <f aca="false">IF(N391&lt;&gt;"",UPPER(TRIM(N391)),IF(P391&lt;&gt;"",UPPER(TRIM(P391)),""))</f>
        <v/>
      </c>
      <c r="R391" s="24" t="str">
        <f aca="false">IF(B391="","",IF(N391&lt;&gt;"","UTM tracked",IF(P391&lt;&gt;"","Manual / self-reported",IF(O391&lt;&gt;"","Self-reported channel only","Unattributed"))))</f>
        <v/>
      </c>
      <c r="S391" s="24" t="str">
        <f aca="false">IF(Q391="","",IFERROR(INDEX('Post Tracker'!$G$5:$G$1004,MATCH(Q391,'Post Tracker'!$A$5:$A$1004,0)),"ID NOT FOUND"))</f>
        <v/>
      </c>
      <c r="T391" s="24" t="str">
        <f aca="false">IF(Q391="","",IFERROR(INDEX('Post Tracker'!$K$5:$K$1004,MATCH(Q391,'Post Tracker'!$A$5:$A$1004,0))&amp;"",""))</f>
        <v/>
      </c>
      <c r="U391" s="33" t="str">
        <f aca="false">IF(OR(Q391="",B391=""),"",IFERROR(B391-INDEX('Post Tracker'!$B$5:$B$1004,MATCH(Q391,'Post Tracker'!$A$5:$A$1004,0)),""))</f>
        <v/>
      </c>
      <c r="V391" s="39"/>
      <c r="W391" s="29"/>
      <c r="X391" s="29"/>
      <c r="Y391" s="29"/>
      <c r="Z391" s="30"/>
      <c r="AA391" s="29"/>
      <c r="AB391" s="29"/>
    </row>
    <row r="392" customFormat="false" ht="15" hidden="false" customHeight="false" outlineLevel="0" collapsed="false">
      <c r="A392" s="41" t="str">
        <f aca="false">IF(B392="","",ROW()-4)</f>
        <v/>
      </c>
      <c r="B392" s="39"/>
      <c r="C392" s="29"/>
      <c r="D392" s="29"/>
      <c r="E392" s="29"/>
      <c r="F392" s="29"/>
      <c r="G392" s="29"/>
      <c r="H392" s="32"/>
      <c r="I392" s="29"/>
      <c r="J392" s="29"/>
      <c r="K392" s="29"/>
      <c r="L392" s="29"/>
      <c r="M392" s="29"/>
      <c r="N392" s="29"/>
      <c r="O392" s="29"/>
      <c r="P392" s="29"/>
      <c r="Q392" s="24" t="str">
        <f aca="false">IF(N392&lt;&gt;"",UPPER(TRIM(N392)),IF(P392&lt;&gt;"",UPPER(TRIM(P392)),""))</f>
        <v/>
      </c>
      <c r="R392" s="24" t="str">
        <f aca="false">IF(B392="","",IF(N392&lt;&gt;"","UTM tracked",IF(P392&lt;&gt;"","Manual / self-reported",IF(O392&lt;&gt;"","Self-reported channel only","Unattributed"))))</f>
        <v/>
      </c>
      <c r="S392" s="24" t="str">
        <f aca="false">IF(Q392="","",IFERROR(INDEX('Post Tracker'!$G$5:$G$1004,MATCH(Q392,'Post Tracker'!$A$5:$A$1004,0)),"ID NOT FOUND"))</f>
        <v/>
      </c>
      <c r="T392" s="24" t="str">
        <f aca="false">IF(Q392="","",IFERROR(INDEX('Post Tracker'!$K$5:$K$1004,MATCH(Q392,'Post Tracker'!$A$5:$A$1004,0))&amp;"",""))</f>
        <v/>
      </c>
      <c r="U392" s="33" t="str">
        <f aca="false">IF(OR(Q392="",B392=""),"",IFERROR(B392-INDEX('Post Tracker'!$B$5:$B$1004,MATCH(Q392,'Post Tracker'!$A$5:$A$1004,0)),""))</f>
        <v/>
      </c>
      <c r="V392" s="39"/>
      <c r="W392" s="29"/>
      <c r="X392" s="29"/>
      <c r="Y392" s="29"/>
      <c r="Z392" s="30"/>
      <c r="AA392" s="29"/>
      <c r="AB392" s="29"/>
    </row>
    <row r="393" customFormat="false" ht="15" hidden="false" customHeight="false" outlineLevel="0" collapsed="false">
      <c r="A393" s="41" t="str">
        <f aca="false">IF(B393="","",ROW()-4)</f>
        <v/>
      </c>
      <c r="B393" s="39"/>
      <c r="C393" s="29"/>
      <c r="D393" s="29"/>
      <c r="E393" s="29"/>
      <c r="F393" s="29"/>
      <c r="G393" s="29"/>
      <c r="H393" s="32"/>
      <c r="I393" s="29"/>
      <c r="J393" s="29"/>
      <c r="K393" s="29"/>
      <c r="L393" s="29"/>
      <c r="M393" s="29"/>
      <c r="N393" s="29"/>
      <c r="O393" s="29"/>
      <c r="P393" s="29"/>
      <c r="Q393" s="24" t="str">
        <f aca="false">IF(N393&lt;&gt;"",UPPER(TRIM(N393)),IF(P393&lt;&gt;"",UPPER(TRIM(P393)),""))</f>
        <v/>
      </c>
      <c r="R393" s="24" t="str">
        <f aca="false">IF(B393="","",IF(N393&lt;&gt;"","UTM tracked",IF(P393&lt;&gt;"","Manual / self-reported",IF(O393&lt;&gt;"","Self-reported channel only","Unattributed"))))</f>
        <v/>
      </c>
      <c r="S393" s="24" t="str">
        <f aca="false">IF(Q393="","",IFERROR(INDEX('Post Tracker'!$G$5:$G$1004,MATCH(Q393,'Post Tracker'!$A$5:$A$1004,0)),"ID NOT FOUND"))</f>
        <v/>
      </c>
      <c r="T393" s="24" t="str">
        <f aca="false">IF(Q393="","",IFERROR(INDEX('Post Tracker'!$K$5:$K$1004,MATCH(Q393,'Post Tracker'!$A$5:$A$1004,0))&amp;"",""))</f>
        <v/>
      </c>
      <c r="U393" s="33" t="str">
        <f aca="false">IF(OR(Q393="",B393=""),"",IFERROR(B393-INDEX('Post Tracker'!$B$5:$B$1004,MATCH(Q393,'Post Tracker'!$A$5:$A$1004,0)),""))</f>
        <v/>
      </c>
      <c r="V393" s="39"/>
      <c r="W393" s="29"/>
      <c r="X393" s="29"/>
      <c r="Y393" s="29"/>
      <c r="Z393" s="30"/>
      <c r="AA393" s="29"/>
      <c r="AB393" s="29"/>
    </row>
    <row r="394" customFormat="false" ht="15" hidden="false" customHeight="false" outlineLevel="0" collapsed="false">
      <c r="A394" s="41" t="str">
        <f aca="false">IF(B394="","",ROW()-4)</f>
        <v/>
      </c>
      <c r="B394" s="39"/>
      <c r="C394" s="29"/>
      <c r="D394" s="29"/>
      <c r="E394" s="29"/>
      <c r="F394" s="29"/>
      <c r="G394" s="29"/>
      <c r="H394" s="32"/>
      <c r="I394" s="29"/>
      <c r="J394" s="29"/>
      <c r="K394" s="29"/>
      <c r="L394" s="29"/>
      <c r="M394" s="29"/>
      <c r="N394" s="29"/>
      <c r="O394" s="29"/>
      <c r="P394" s="29"/>
      <c r="Q394" s="24" t="str">
        <f aca="false">IF(N394&lt;&gt;"",UPPER(TRIM(N394)),IF(P394&lt;&gt;"",UPPER(TRIM(P394)),""))</f>
        <v/>
      </c>
      <c r="R394" s="24" t="str">
        <f aca="false">IF(B394="","",IF(N394&lt;&gt;"","UTM tracked",IF(P394&lt;&gt;"","Manual / self-reported",IF(O394&lt;&gt;"","Self-reported channel only","Unattributed"))))</f>
        <v/>
      </c>
      <c r="S394" s="24" t="str">
        <f aca="false">IF(Q394="","",IFERROR(INDEX('Post Tracker'!$G$5:$G$1004,MATCH(Q394,'Post Tracker'!$A$5:$A$1004,0)),"ID NOT FOUND"))</f>
        <v/>
      </c>
      <c r="T394" s="24" t="str">
        <f aca="false">IF(Q394="","",IFERROR(INDEX('Post Tracker'!$K$5:$K$1004,MATCH(Q394,'Post Tracker'!$A$5:$A$1004,0))&amp;"",""))</f>
        <v/>
      </c>
      <c r="U394" s="33" t="str">
        <f aca="false">IF(OR(Q394="",B394=""),"",IFERROR(B394-INDEX('Post Tracker'!$B$5:$B$1004,MATCH(Q394,'Post Tracker'!$A$5:$A$1004,0)),""))</f>
        <v/>
      </c>
      <c r="V394" s="39"/>
      <c r="W394" s="29"/>
      <c r="X394" s="29"/>
      <c r="Y394" s="29"/>
      <c r="Z394" s="30"/>
      <c r="AA394" s="29"/>
      <c r="AB394" s="29"/>
    </row>
    <row r="395" customFormat="false" ht="15" hidden="false" customHeight="false" outlineLevel="0" collapsed="false">
      <c r="A395" s="41" t="str">
        <f aca="false">IF(B395="","",ROW()-4)</f>
        <v/>
      </c>
      <c r="B395" s="39"/>
      <c r="C395" s="29"/>
      <c r="D395" s="29"/>
      <c r="E395" s="29"/>
      <c r="F395" s="29"/>
      <c r="G395" s="29"/>
      <c r="H395" s="32"/>
      <c r="I395" s="29"/>
      <c r="J395" s="29"/>
      <c r="K395" s="29"/>
      <c r="L395" s="29"/>
      <c r="M395" s="29"/>
      <c r="N395" s="29"/>
      <c r="O395" s="29"/>
      <c r="P395" s="29"/>
      <c r="Q395" s="24" t="str">
        <f aca="false">IF(N395&lt;&gt;"",UPPER(TRIM(N395)),IF(P395&lt;&gt;"",UPPER(TRIM(P395)),""))</f>
        <v/>
      </c>
      <c r="R395" s="24" t="str">
        <f aca="false">IF(B395="","",IF(N395&lt;&gt;"","UTM tracked",IF(P395&lt;&gt;"","Manual / self-reported",IF(O395&lt;&gt;"","Self-reported channel only","Unattributed"))))</f>
        <v/>
      </c>
      <c r="S395" s="24" t="str">
        <f aca="false">IF(Q395="","",IFERROR(INDEX('Post Tracker'!$G$5:$G$1004,MATCH(Q395,'Post Tracker'!$A$5:$A$1004,0)),"ID NOT FOUND"))</f>
        <v/>
      </c>
      <c r="T395" s="24" t="str">
        <f aca="false">IF(Q395="","",IFERROR(INDEX('Post Tracker'!$K$5:$K$1004,MATCH(Q395,'Post Tracker'!$A$5:$A$1004,0))&amp;"",""))</f>
        <v/>
      </c>
      <c r="U395" s="33" t="str">
        <f aca="false">IF(OR(Q395="",B395=""),"",IFERROR(B395-INDEX('Post Tracker'!$B$5:$B$1004,MATCH(Q395,'Post Tracker'!$A$5:$A$1004,0)),""))</f>
        <v/>
      </c>
      <c r="V395" s="39"/>
      <c r="W395" s="29"/>
      <c r="X395" s="29"/>
      <c r="Y395" s="29"/>
      <c r="Z395" s="30"/>
      <c r="AA395" s="29"/>
      <c r="AB395" s="29"/>
    </row>
    <row r="396" customFormat="false" ht="15" hidden="false" customHeight="false" outlineLevel="0" collapsed="false">
      <c r="A396" s="41" t="str">
        <f aca="false">IF(B396="","",ROW()-4)</f>
        <v/>
      </c>
      <c r="B396" s="39"/>
      <c r="C396" s="29"/>
      <c r="D396" s="29"/>
      <c r="E396" s="29"/>
      <c r="F396" s="29"/>
      <c r="G396" s="29"/>
      <c r="H396" s="32"/>
      <c r="I396" s="29"/>
      <c r="J396" s="29"/>
      <c r="K396" s="29"/>
      <c r="L396" s="29"/>
      <c r="M396" s="29"/>
      <c r="N396" s="29"/>
      <c r="O396" s="29"/>
      <c r="P396" s="29"/>
      <c r="Q396" s="24" t="str">
        <f aca="false">IF(N396&lt;&gt;"",UPPER(TRIM(N396)),IF(P396&lt;&gt;"",UPPER(TRIM(P396)),""))</f>
        <v/>
      </c>
      <c r="R396" s="24" t="str">
        <f aca="false">IF(B396="","",IF(N396&lt;&gt;"","UTM tracked",IF(P396&lt;&gt;"","Manual / self-reported",IF(O396&lt;&gt;"","Self-reported channel only","Unattributed"))))</f>
        <v/>
      </c>
      <c r="S396" s="24" t="str">
        <f aca="false">IF(Q396="","",IFERROR(INDEX('Post Tracker'!$G$5:$G$1004,MATCH(Q396,'Post Tracker'!$A$5:$A$1004,0)),"ID NOT FOUND"))</f>
        <v/>
      </c>
      <c r="T396" s="24" t="str">
        <f aca="false">IF(Q396="","",IFERROR(INDEX('Post Tracker'!$K$5:$K$1004,MATCH(Q396,'Post Tracker'!$A$5:$A$1004,0))&amp;"",""))</f>
        <v/>
      </c>
      <c r="U396" s="33" t="str">
        <f aca="false">IF(OR(Q396="",B396=""),"",IFERROR(B396-INDEX('Post Tracker'!$B$5:$B$1004,MATCH(Q396,'Post Tracker'!$A$5:$A$1004,0)),""))</f>
        <v/>
      </c>
      <c r="V396" s="39"/>
      <c r="W396" s="29"/>
      <c r="X396" s="29"/>
      <c r="Y396" s="29"/>
      <c r="Z396" s="30"/>
      <c r="AA396" s="29"/>
      <c r="AB396" s="29"/>
    </row>
    <row r="397" customFormat="false" ht="15" hidden="false" customHeight="false" outlineLevel="0" collapsed="false">
      <c r="A397" s="41" t="str">
        <f aca="false">IF(B397="","",ROW()-4)</f>
        <v/>
      </c>
      <c r="B397" s="39"/>
      <c r="C397" s="29"/>
      <c r="D397" s="29"/>
      <c r="E397" s="29"/>
      <c r="F397" s="29"/>
      <c r="G397" s="29"/>
      <c r="H397" s="32"/>
      <c r="I397" s="29"/>
      <c r="J397" s="29"/>
      <c r="K397" s="29"/>
      <c r="L397" s="29"/>
      <c r="M397" s="29"/>
      <c r="N397" s="29"/>
      <c r="O397" s="29"/>
      <c r="P397" s="29"/>
      <c r="Q397" s="24" t="str">
        <f aca="false">IF(N397&lt;&gt;"",UPPER(TRIM(N397)),IF(P397&lt;&gt;"",UPPER(TRIM(P397)),""))</f>
        <v/>
      </c>
      <c r="R397" s="24" t="str">
        <f aca="false">IF(B397="","",IF(N397&lt;&gt;"","UTM tracked",IF(P397&lt;&gt;"","Manual / self-reported",IF(O397&lt;&gt;"","Self-reported channel only","Unattributed"))))</f>
        <v/>
      </c>
      <c r="S397" s="24" t="str">
        <f aca="false">IF(Q397="","",IFERROR(INDEX('Post Tracker'!$G$5:$G$1004,MATCH(Q397,'Post Tracker'!$A$5:$A$1004,0)),"ID NOT FOUND"))</f>
        <v/>
      </c>
      <c r="T397" s="24" t="str">
        <f aca="false">IF(Q397="","",IFERROR(INDEX('Post Tracker'!$K$5:$K$1004,MATCH(Q397,'Post Tracker'!$A$5:$A$1004,0))&amp;"",""))</f>
        <v/>
      </c>
      <c r="U397" s="33" t="str">
        <f aca="false">IF(OR(Q397="",B397=""),"",IFERROR(B397-INDEX('Post Tracker'!$B$5:$B$1004,MATCH(Q397,'Post Tracker'!$A$5:$A$1004,0)),""))</f>
        <v/>
      </c>
      <c r="V397" s="39"/>
      <c r="W397" s="29"/>
      <c r="X397" s="29"/>
      <c r="Y397" s="29"/>
      <c r="Z397" s="30"/>
      <c r="AA397" s="29"/>
      <c r="AB397" s="29"/>
    </row>
    <row r="398" customFormat="false" ht="15" hidden="false" customHeight="false" outlineLevel="0" collapsed="false">
      <c r="A398" s="41" t="str">
        <f aca="false">IF(B398="","",ROW()-4)</f>
        <v/>
      </c>
      <c r="B398" s="39"/>
      <c r="C398" s="29"/>
      <c r="D398" s="29"/>
      <c r="E398" s="29"/>
      <c r="F398" s="29"/>
      <c r="G398" s="29"/>
      <c r="H398" s="32"/>
      <c r="I398" s="29"/>
      <c r="J398" s="29"/>
      <c r="K398" s="29"/>
      <c r="L398" s="29"/>
      <c r="M398" s="29"/>
      <c r="N398" s="29"/>
      <c r="O398" s="29"/>
      <c r="P398" s="29"/>
      <c r="Q398" s="24" t="str">
        <f aca="false">IF(N398&lt;&gt;"",UPPER(TRIM(N398)),IF(P398&lt;&gt;"",UPPER(TRIM(P398)),""))</f>
        <v/>
      </c>
      <c r="R398" s="24" t="str">
        <f aca="false">IF(B398="","",IF(N398&lt;&gt;"","UTM tracked",IF(P398&lt;&gt;"","Manual / self-reported",IF(O398&lt;&gt;"","Self-reported channel only","Unattributed"))))</f>
        <v/>
      </c>
      <c r="S398" s="24" t="str">
        <f aca="false">IF(Q398="","",IFERROR(INDEX('Post Tracker'!$G$5:$G$1004,MATCH(Q398,'Post Tracker'!$A$5:$A$1004,0)),"ID NOT FOUND"))</f>
        <v/>
      </c>
      <c r="T398" s="24" t="str">
        <f aca="false">IF(Q398="","",IFERROR(INDEX('Post Tracker'!$K$5:$K$1004,MATCH(Q398,'Post Tracker'!$A$5:$A$1004,0))&amp;"",""))</f>
        <v/>
      </c>
      <c r="U398" s="33" t="str">
        <f aca="false">IF(OR(Q398="",B398=""),"",IFERROR(B398-INDEX('Post Tracker'!$B$5:$B$1004,MATCH(Q398,'Post Tracker'!$A$5:$A$1004,0)),""))</f>
        <v/>
      </c>
      <c r="V398" s="39"/>
      <c r="W398" s="29"/>
      <c r="X398" s="29"/>
      <c r="Y398" s="29"/>
      <c r="Z398" s="30"/>
      <c r="AA398" s="29"/>
      <c r="AB398" s="29"/>
    </row>
    <row r="399" customFormat="false" ht="15" hidden="false" customHeight="false" outlineLevel="0" collapsed="false">
      <c r="A399" s="41" t="str">
        <f aca="false">IF(B399="","",ROW()-4)</f>
        <v/>
      </c>
      <c r="B399" s="39"/>
      <c r="C399" s="29"/>
      <c r="D399" s="29"/>
      <c r="E399" s="29"/>
      <c r="F399" s="29"/>
      <c r="G399" s="29"/>
      <c r="H399" s="32"/>
      <c r="I399" s="29"/>
      <c r="J399" s="29"/>
      <c r="K399" s="29"/>
      <c r="L399" s="29"/>
      <c r="M399" s="29"/>
      <c r="N399" s="29"/>
      <c r="O399" s="29"/>
      <c r="P399" s="29"/>
      <c r="Q399" s="24" t="str">
        <f aca="false">IF(N399&lt;&gt;"",UPPER(TRIM(N399)),IF(P399&lt;&gt;"",UPPER(TRIM(P399)),""))</f>
        <v/>
      </c>
      <c r="R399" s="24" t="str">
        <f aca="false">IF(B399="","",IF(N399&lt;&gt;"","UTM tracked",IF(P399&lt;&gt;"","Manual / self-reported",IF(O399&lt;&gt;"","Self-reported channel only","Unattributed"))))</f>
        <v/>
      </c>
      <c r="S399" s="24" t="str">
        <f aca="false">IF(Q399="","",IFERROR(INDEX('Post Tracker'!$G$5:$G$1004,MATCH(Q399,'Post Tracker'!$A$5:$A$1004,0)),"ID NOT FOUND"))</f>
        <v/>
      </c>
      <c r="T399" s="24" t="str">
        <f aca="false">IF(Q399="","",IFERROR(INDEX('Post Tracker'!$K$5:$K$1004,MATCH(Q399,'Post Tracker'!$A$5:$A$1004,0))&amp;"",""))</f>
        <v/>
      </c>
      <c r="U399" s="33" t="str">
        <f aca="false">IF(OR(Q399="",B399=""),"",IFERROR(B399-INDEX('Post Tracker'!$B$5:$B$1004,MATCH(Q399,'Post Tracker'!$A$5:$A$1004,0)),""))</f>
        <v/>
      </c>
      <c r="V399" s="39"/>
      <c r="W399" s="29"/>
      <c r="X399" s="29"/>
      <c r="Y399" s="29"/>
      <c r="Z399" s="30"/>
      <c r="AA399" s="29"/>
      <c r="AB399" s="29"/>
    </row>
    <row r="400" customFormat="false" ht="15" hidden="false" customHeight="false" outlineLevel="0" collapsed="false">
      <c r="A400" s="41" t="str">
        <f aca="false">IF(B400="","",ROW()-4)</f>
        <v/>
      </c>
      <c r="B400" s="39"/>
      <c r="C400" s="29"/>
      <c r="D400" s="29"/>
      <c r="E400" s="29"/>
      <c r="F400" s="29"/>
      <c r="G400" s="29"/>
      <c r="H400" s="32"/>
      <c r="I400" s="29"/>
      <c r="J400" s="29"/>
      <c r="K400" s="29"/>
      <c r="L400" s="29"/>
      <c r="M400" s="29"/>
      <c r="N400" s="29"/>
      <c r="O400" s="29"/>
      <c r="P400" s="29"/>
      <c r="Q400" s="24" t="str">
        <f aca="false">IF(N400&lt;&gt;"",UPPER(TRIM(N400)),IF(P400&lt;&gt;"",UPPER(TRIM(P400)),""))</f>
        <v/>
      </c>
      <c r="R400" s="24" t="str">
        <f aca="false">IF(B400="","",IF(N400&lt;&gt;"","UTM tracked",IF(P400&lt;&gt;"","Manual / self-reported",IF(O400&lt;&gt;"","Self-reported channel only","Unattributed"))))</f>
        <v/>
      </c>
      <c r="S400" s="24" t="str">
        <f aca="false">IF(Q400="","",IFERROR(INDEX('Post Tracker'!$G$5:$G$1004,MATCH(Q400,'Post Tracker'!$A$5:$A$1004,0)),"ID NOT FOUND"))</f>
        <v/>
      </c>
      <c r="T400" s="24" t="str">
        <f aca="false">IF(Q400="","",IFERROR(INDEX('Post Tracker'!$K$5:$K$1004,MATCH(Q400,'Post Tracker'!$A$5:$A$1004,0))&amp;"",""))</f>
        <v/>
      </c>
      <c r="U400" s="33" t="str">
        <f aca="false">IF(OR(Q400="",B400=""),"",IFERROR(B400-INDEX('Post Tracker'!$B$5:$B$1004,MATCH(Q400,'Post Tracker'!$A$5:$A$1004,0)),""))</f>
        <v/>
      </c>
      <c r="V400" s="39"/>
      <c r="W400" s="29"/>
      <c r="X400" s="29"/>
      <c r="Y400" s="29"/>
      <c r="Z400" s="30"/>
      <c r="AA400" s="29"/>
      <c r="AB400" s="29"/>
    </row>
    <row r="401" customFormat="false" ht="15" hidden="false" customHeight="false" outlineLevel="0" collapsed="false">
      <c r="A401" s="41" t="str">
        <f aca="false">IF(B401="","",ROW()-4)</f>
        <v/>
      </c>
      <c r="B401" s="39"/>
      <c r="C401" s="29"/>
      <c r="D401" s="29"/>
      <c r="E401" s="29"/>
      <c r="F401" s="29"/>
      <c r="G401" s="29"/>
      <c r="H401" s="32"/>
      <c r="I401" s="29"/>
      <c r="J401" s="29"/>
      <c r="K401" s="29"/>
      <c r="L401" s="29"/>
      <c r="M401" s="29"/>
      <c r="N401" s="29"/>
      <c r="O401" s="29"/>
      <c r="P401" s="29"/>
      <c r="Q401" s="24" t="str">
        <f aca="false">IF(N401&lt;&gt;"",UPPER(TRIM(N401)),IF(P401&lt;&gt;"",UPPER(TRIM(P401)),""))</f>
        <v/>
      </c>
      <c r="R401" s="24" t="str">
        <f aca="false">IF(B401="","",IF(N401&lt;&gt;"","UTM tracked",IF(P401&lt;&gt;"","Manual / self-reported",IF(O401&lt;&gt;"","Self-reported channel only","Unattributed"))))</f>
        <v/>
      </c>
      <c r="S401" s="24" t="str">
        <f aca="false">IF(Q401="","",IFERROR(INDEX('Post Tracker'!$G$5:$G$1004,MATCH(Q401,'Post Tracker'!$A$5:$A$1004,0)),"ID NOT FOUND"))</f>
        <v/>
      </c>
      <c r="T401" s="24" t="str">
        <f aca="false">IF(Q401="","",IFERROR(INDEX('Post Tracker'!$K$5:$K$1004,MATCH(Q401,'Post Tracker'!$A$5:$A$1004,0))&amp;"",""))</f>
        <v/>
      </c>
      <c r="U401" s="33" t="str">
        <f aca="false">IF(OR(Q401="",B401=""),"",IFERROR(B401-INDEX('Post Tracker'!$B$5:$B$1004,MATCH(Q401,'Post Tracker'!$A$5:$A$1004,0)),""))</f>
        <v/>
      </c>
      <c r="V401" s="39"/>
      <c r="W401" s="29"/>
      <c r="X401" s="29"/>
      <c r="Y401" s="29"/>
      <c r="Z401" s="30"/>
      <c r="AA401" s="29"/>
      <c r="AB401" s="29"/>
    </row>
    <row r="402" customFormat="false" ht="15" hidden="false" customHeight="false" outlineLevel="0" collapsed="false">
      <c r="A402" s="41" t="str">
        <f aca="false">IF(B402="","",ROW()-4)</f>
        <v/>
      </c>
      <c r="B402" s="39"/>
      <c r="C402" s="29"/>
      <c r="D402" s="29"/>
      <c r="E402" s="29"/>
      <c r="F402" s="29"/>
      <c r="G402" s="29"/>
      <c r="H402" s="32"/>
      <c r="I402" s="29"/>
      <c r="J402" s="29"/>
      <c r="K402" s="29"/>
      <c r="L402" s="29"/>
      <c r="M402" s="29"/>
      <c r="N402" s="29"/>
      <c r="O402" s="29"/>
      <c r="P402" s="29"/>
      <c r="Q402" s="24" t="str">
        <f aca="false">IF(N402&lt;&gt;"",UPPER(TRIM(N402)),IF(P402&lt;&gt;"",UPPER(TRIM(P402)),""))</f>
        <v/>
      </c>
      <c r="R402" s="24" t="str">
        <f aca="false">IF(B402="","",IF(N402&lt;&gt;"","UTM tracked",IF(P402&lt;&gt;"","Manual / self-reported",IF(O402&lt;&gt;"","Self-reported channel only","Unattributed"))))</f>
        <v/>
      </c>
      <c r="S402" s="24" t="str">
        <f aca="false">IF(Q402="","",IFERROR(INDEX('Post Tracker'!$G$5:$G$1004,MATCH(Q402,'Post Tracker'!$A$5:$A$1004,0)),"ID NOT FOUND"))</f>
        <v/>
      </c>
      <c r="T402" s="24" t="str">
        <f aca="false">IF(Q402="","",IFERROR(INDEX('Post Tracker'!$K$5:$K$1004,MATCH(Q402,'Post Tracker'!$A$5:$A$1004,0))&amp;"",""))</f>
        <v/>
      </c>
      <c r="U402" s="33" t="str">
        <f aca="false">IF(OR(Q402="",B402=""),"",IFERROR(B402-INDEX('Post Tracker'!$B$5:$B$1004,MATCH(Q402,'Post Tracker'!$A$5:$A$1004,0)),""))</f>
        <v/>
      </c>
      <c r="V402" s="39"/>
      <c r="W402" s="29"/>
      <c r="X402" s="29"/>
      <c r="Y402" s="29"/>
      <c r="Z402" s="30"/>
      <c r="AA402" s="29"/>
      <c r="AB402" s="29"/>
    </row>
    <row r="403" customFormat="false" ht="15" hidden="false" customHeight="false" outlineLevel="0" collapsed="false">
      <c r="A403" s="41" t="str">
        <f aca="false">IF(B403="","",ROW()-4)</f>
        <v/>
      </c>
      <c r="B403" s="39"/>
      <c r="C403" s="29"/>
      <c r="D403" s="29"/>
      <c r="E403" s="29"/>
      <c r="F403" s="29"/>
      <c r="G403" s="29"/>
      <c r="H403" s="32"/>
      <c r="I403" s="29"/>
      <c r="J403" s="29"/>
      <c r="K403" s="29"/>
      <c r="L403" s="29"/>
      <c r="M403" s="29"/>
      <c r="N403" s="29"/>
      <c r="O403" s="29"/>
      <c r="P403" s="29"/>
      <c r="Q403" s="24" t="str">
        <f aca="false">IF(N403&lt;&gt;"",UPPER(TRIM(N403)),IF(P403&lt;&gt;"",UPPER(TRIM(P403)),""))</f>
        <v/>
      </c>
      <c r="R403" s="24" t="str">
        <f aca="false">IF(B403="","",IF(N403&lt;&gt;"","UTM tracked",IF(P403&lt;&gt;"","Manual / self-reported",IF(O403&lt;&gt;"","Self-reported channel only","Unattributed"))))</f>
        <v/>
      </c>
      <c r="S403" s="24" t="str">
        <f aca="false">IF(Q403="","",IFERROR(INDEX('Post Tracker'!$G$5:$G$1004,MATCH(Q403,'Post Tracker'!$A$5:$A$1004,0)),"ID NOT FOUND"))</f>
        <v/>
      </c>
      <c r="T403" s="24" t="str">
        <f aca="false">IF(Q403="","",IFERROR(INDEX('Post Tracker'!$K$5:$K$1004,MATCH(Q403,'Post Tracker'!$A$5:$A$1004,0))&amp;"",""))</f>
        <v/>
      </c>
      <c r="U403" s="33" t="str">
        <f aca="false">IF(OR(Q403="",B403=""),"",IFERROR(B403-INDEX('Post Tracker'!$B$5:$B$1004,MATCH(Q403,'Post Tracker'!$A$5:$A$1004,0)),""))</f>
        <v/>
      </c>
      <c r="V403" s="39"/>
      <c r="W403" s="29"/>
      <c r="X403" s="29"/>
      <c r="Y403" s="29"/>
      <c r="Z403" s="30"/>
      <c r="AA403" s="29"/>
      <c r="AB403" s="29"/>
    </row>
    <row r="404" customFormat="false" ht="15" hidden="false" customHeight="false" outlineLevel="0" collapsed="false">
      <c r="A404" s="41" t="str">
        <f aca="false">IF(B404="","",ROW()-4)</f>
        <v/>
      </c>
      <c r="B404" s="39"/>
      <c r="C404" s="29"/>
      <c r="D404" s="29"/>
      <c r="E404" s="29"/>
      <c r="F404" s="29"/>
      <c r="G404" s="29"/>
      <c r="H404" s="32"/>
      <c r="I404" s="29"/>
      <c r="J404" s="29"/>
      <c r="K404" s="29"/>
      <c r="L404" s="29"/>
      <c r="M404" s="29"/>
      <c r="N404" s="29"/>
      <c r="O404" s="29"/>
      <c r="P404" s="29"/>
      <c r="Q404" s="24" t="str">
        <f aca="false">IF(N404&lt;&gt;"",UPPER(TRIM(N404)),IF(P404&lt;&gt;"",UPPER(TRIM(P404)),""))</f>
        <v/>
      </c>
      <c r="R404" s="24" t="str">
        <f aca="false">IF(B404="","",IF(N404&lt;&gt;"","UTM tracked",IF(P404&lt;&gt;"","Manual / self-reported",IF(O404&lt;&gt;"","Self-reported channel only","Unattributed"))))</f>
        <v/>
      </c>
      <c r="S404" s="24" t="str">
        <f aca="false">IF(Q404="","",IFERROR(INDEX('Post Tracker'!$G$5:$G$1004,MATCH(Q404,'Post Tracker'!$A$5:$A$1004,0)),"ID NOT FOUND"))</f>
        <v/>
      </c>
      <c r="T404" s="24" t="str">
        <f aca="false">IF(Q404="","",IFERROR(INDEX('Post Tracker'!$K$5:$K$1004,MATCH(Q404,'Post Tracker'!$A$5:$A$1004,0))&amp;"",""))</f>
        <v/>
      </c>
      <c r="U404" s="33" t="str">
        <f aca="false">IF(OR(Q404="",B404=""),"",IFERROR(B404-INDEX('Post Tracker'!$B$5:$B$1004,MATCH(Q404,'Post Tracker'!$A$5:$A$1004,0)),""))</f>
        <v/>
      </c>
      <c r="V404" s="39"/>
      <c r="W404" s="29"/>
      <c r="X404" s="29"/>
      <c r="Y404" s="29"/>
      <c r="Z404" s="30"/>
      <c r="AA404" s="29"/>
      <c r="AB404" s="29"/>
    </row>
    <row r="405" customFormat="false" ht="15" hidden="false" customHeight="false" outlineLevel="0" collapsed="false">
      <c r="A405" s="41" t="str">
        <f aca="false">IF(B405="","",ROW()-4)</f>
        <v/>
      </c>
      <c r="B405" s="39"/>
      <c r="C405" s="29"/>
      <c r="D405" s="29"/>
      <c r="E405" s="29"/>
      <c r="F405" s="29"/>
      <c r="G405" s="29"/>
      <c r="H405" s="32"/>
      <c r="I405" s="29"/>
      <c r="J405" s="29"/>
      <c r="K405" s="29"/>
      <c r="L405" s="29"/>
      <c r="M405" s="29"/>
      <c r="N405" s="29"/>
      <c r="O405" s="29"/>
      <c r="P405" s="29"/>
      <c r="Q405" s="24" t="str">
        <f aca="false">IF(N405&lt;&gt;"",UPPER(TRIM(N405)),IF(P405&lt;&gt;"",UPPER(TRIM(P405)),""))</f>
        <v/>
      </c>
      <c r="R405" s="24" t="str">
        <f aca="false">IF(B405="","",IF(N405&lt;&gt;"","UTM tracked",IF(P405&lt;&gt;"","Manual / self-reported",IF(O405&lt;&gt;"","Self-reported channel only","Unattributed"))))</f>
        <v/>
      </c>
      <c r="S405" s="24" t="str">
        <f aca="false">IF(Q405="","",IFERROR(INDEX('Post Tracker'!$G$5:$G$1004,MATCH(Q405,'Post Tracker'!$A$5:$A$1004,0)),"ID NOT FOUND"))</f>
        <v/>
      </c>
      <c r="T405" s="24" t="str">
        <f aca="false">IF(Q405="","",IFERROR(INDEX('Post Tracker'!$K$5:$K$1004,MATCH(Q405,'Post Tracker'!$A$5:$A$1004,0))&amp;"",""))</f>
        <v/>
      </c>
      <c r="U405" s="33" t="str">
        <f aca="false">IF(OR(Q405="",B405=""),"",IFERROR(B405-INDEX('Post Tracker'!$B$5:$B$1004,MATCH(Q405,'Post Tracker'!$A$5:$A$1004,0)),""))</f>
        <v/>
      </c>
      <c r="V405" s="39"/>
      <c r="W405" s="29"/>
      <c r="X405" s="29"/>
      <c r="Y405" s="29"/>
      <c r="Z405" s="30"/>
      <c r="AA405" s="29"/>
      <c r="AB405" s="29"/>
    </row>
    <row r="406" customFormat="false" ht="15" hidden="false" customHeight="false" outlineLevel="0" collapsed="false">
      <c r="A406" s="41" t="str">
        <f aca="false">IF(B406="","",ROW()-4)</f>
        <v/>
      </c>
      <c r="B406" s="39"/>
      <c r="C406" s="29"/>
      <c r="D406" s="29"/>
      <c r="E406" s="29"/>
      <c r="F406" s="29"/>
      <c r="G406" s="29"/>
      <c r="H406" s="32"/>
      <c r="I406" s="29"/>
      <c r="J406" s="29"/>
      <c r="K406" s="29"/>
      <c r="L406" s="29"/>
      <c r="M406" s="29"/>
      <c r="N406" s="29"/>
      <c r="O406" s="29"/>
      <c r="P406" s="29"/>
      <c r="Q406" s="24" t="str">
        <f aca="false">IF(N406&lt;&gt;"",UPPER(TRIM(N406)),IF(P406&lt;&gt;"",UPPER(TRIM(P406)),""))</f>
        <v/>
      </c>
      <c r="R406" s="24" t="str">
        <f aca="false">IF(B406="","",IF(N406&lt;&gt;"","UTM tracked",IF(P406&lt;&gt;"","Manual / self-reported",IF(O406&lt;&gt;"","Self-reported channel only","Unattributed"))))</f>
        <v/>
      </c>
      <c r="S406" s="24" t="str">
        <f aca="false">IF(Q406="","",IFERROR(INDEX('Post Tracker'!$G$5:$G$1004,MATCH(Q406,'Post Tracker'!$A$5:$A$1004,0)),"ID NOT FOUND"))</f>
        <v/>
      </c>
      <c r="T406" s="24" t="str">
        <f aca="false">IF(Q406="","",IFERROR(INDEX('Post Tracker'!$K$5:$K$1004,MATCH(Q406,'Post Tracker'!$A$5:$A$1004,0))&amp;"",""))</f>
        <v/>
      </c>
      <c r="U406" s="33" t="str">
        <f aca="false">IF(OR(Q406="",B406=""),"",IFERROR(B406-INDEX('Post Tracker'!$B$5:$B$1004,MATCH(Q406,'Post Tracker'!$A$5:$A$1004,0)),""))</f>
        <v/>
      </c>
      <c r="V406" s="39"/>
      <c r="W406" s="29"/>
      <c r="X406" s="29"/>
      <c r="Y406" s="29"/>
      <c r="Z406" s="30"/>
      <c r="AA406" s="29"/>
      <c r="AB406" s="29"/>
    </row>
    <row r="407" customFormat="false" ht="15" hidden="false" customHeight="false" outlineLevel="0" collapsed="false">
      <c r="A407" s="41" t="str">
        <f aca="false">IF(B407="","",ROW()-4)</f>
        <v/>
      </c>
      <c r="B407" s="39"/>
      <c r="C407" s="29"/>
      <c r="D407" s="29"/>
      <c r="E407" s="29"/>
      <c r="F407" s="29"/>
      <c r="G407" s="29"/>
      <c r="H407" s="32"/>
      <c r="I407" s="29"/>
      <c r="J407" s="29"/>
      <c r="K407" s="29"/>
      <c r="L407" s="29"/>
      <c r="M407" s="29"/>
      <c r="N407" s="29"/>
      <c r="O407" s="29"/>
      <c r="P407" s="29"/>
      <c r="Q407" s="24" t="str">
        <f aca="false">IF(N407&lt;&gt;"",UPPER(TRIM(N407)),IF(P407&lt;&gt;"",UPPER(TRIM(P407)),""))</f>
        <v/>
      </c>
      <c r="R407" s="24" t="str">
        <f aca="false">IF(B407="","",IF(N407&lt;&gt;"","UTM tracked",IF(P407&lt;&gt;"","Manual / self-reported",IF(O407&lt;&gt;"","Self-reported channel only","Unattributed"))))</f>
        <v/>
      </c>
      <c r="S407" s="24" t="str">
        <f aca="false">IF(Q407="","",IFERROR(INDEX('Post Tracker'!$G$5:$G$1004,MATCH(Q407,'Post Tracker'!$A$5:$A$1004,0)),"ID NOT FOUND"))</f>
        <v/>
      </c>
      <c r="T407" s="24" t="str">
        <f aca="false">IF(Q407="","",IFERROR(INDEX('Post Tracker'!$K$5:$K$1004,MATCH(Q407,'Post Tracker'!$A$5:$A$1004,0))&amp;"",""))</f>
        <v/>
      </c>
      <c r="U407" s="33" t="str">
        <f aca="false">IF(OR(Q407="",B407=""),"",IFERROR(B407-INDEX('Post Tracker'!$B$5:$B$1004,MATCH(Q407,'Post Tracker'!$A$5:$A$1004,0)),""))</f>
        <v/>
      </c>
      <c r="V407" s="39"/>
      <c r="W407" s="29"/>
      <c r="X407" s="29"/>
      <c r="Y407" s="29"/>
      <c r="Z407" s="30"/>
      <c r="AA407" s="29"/>
      <c r="AB407" s="29"/>
    </row>
    <row r="408" customFormat="false" ht="15" hidden="false" customHeight="false" outlineLevel="0" collapsed="false">
      <c r="A408" s="41" t="str">
        <f aca="false">IF(B408="","",ROW()-4)</f>
        <v/>
      </c>
      <c r="B408" s="39"/>
      <c r="C408" s="29"/>
      <c r="D408" s="29"/>
      <c r="E408" s="29"/>
      <c r="F408" s="29"/>
      <c r="G408" s="29"/>
      <c r="H408" s="32"/>
      <c r="I408" s="29"/>
      <c r="J408" s="29"/>
      <c r="K408" s="29"/>
      <c r="L408" s="29"/>
      <c r="M408" s="29"/>
      <c r="N408" s="29"/>
      <c r="O408" s="29"/>
      <c r="P408" s="29"/>
      <c r="Q408" s="24" t="str">
        <f aca="false">IF(N408&lt;&gt;"",UPPER(TRIM(N408)),IF(P408&lt;&gt;"",UPPER(TRIM(P408)),""))</f>
        <v/>
      </c>
      <c r="R408" s="24" t="str">
        <f aca="false">IF(B408="","",IF(N408&lt;&gt;"","UTM tracked",IF(P408&lt;&gt;"","Manual / self-reported",IF(O408&lt;&gt;"","Self-reported channel only","Unattributed"))))</f>
        <v/>
      </c>
      <c r="S408" s="24" t="str">
        <f aca="false">IF(Q408="","",IFERROR(INDEX('Post Tracker'!$G$5:$G$1004,MATCH(Q408,'Post Tracker'!$A$5:$A$1004,0)),"ID NOT FOUND"))</f>
        <v/>
      </c>
      <c r="T408" s="24" t="str">
        <f aca="false">IF(Q408="","",IFERROR(INDEX('Post Tracker'!$K$5:$K$1004,MATCH(Q408,'Post Tracker'!$A$5:$A$1004,0))&amp;"",""))</f>
        <v/>
      </c>
      <c r="U408" s="33" t="str">
        <f aca="false">IF(OR(Q408="",B408=""),"",IFERROR(B408-INDEX('Post Tracker'!$B$5:$B$1004,MATCH(Q408,'Post Tracker'!$A$5:$A$1004,0)),""))</f>
        <v/>
      </c>
      <c r="V408" s="39"/>
      <c r="W408" s="29"/>
      <c r="X408" s="29"/>
      <c r="Y408" s="29"/>
      <c r="Z408" s="30"/>
      <c r="AA408" s="29"/>
      <c r="AB408" s="29"/>
    </row>
    <row r="409" customFormat="false" ht="15" hidden="false" customHeight="false" outlineLevel="0" collapsed="false">
      <c r="A409" s="41" t="str">
        <f aca="false">IF(B409="","",ROW()-4)</f>
        <v/>
      </c>
      <c r="B409" s="39"/>
      <c r="C409" s="29"/>
      <c r="D409" s="29"/>
      <c r="E409" s="29"/>
      <c r="F409" s="29"/>
      <c r="G409" s="29"/>
      <c r="H409" s="32"/>
      <c r="I409" s="29"/>
      <c r="J409" s="29"/>
      <c r="K409" s="29"/>
      <c r="L409" s="29"/>
      <c r="M409" s="29"/>
      <c r="N409" s="29"/>
      <c r="O409" s="29"/>
      <c r="P409" s="29"/>
      <c r="Q409" s="24" t="str">
        <f aca="false">IF(N409&lt;&gt;"",UPPER(TRIM(N409)),IF(P409&lt;&gt;"",UPPER(TRIM(P409)),""))</f>
        <v/>
      </c>
      <c r="R409" s="24" t="str">
        <f aca="false">IF(B409="","",IF(N409&lt;&gt;"","UTM tracked",IF(P409&lt;&gt;"","Manual / self-reported",IF(O409&lt;&gt;"","Self-reported channel only","Unattributed"))))</f>
        <v/>
      </c>
      <c r="S409" s="24" t="str">
        <f aca="false">IF(Q409="","",IFERROR(INDEX('Post Tracker'!$G$5:$G$1004,MATCH(Q409,'Post Tracker'!$A$5:$A$1004,0)),"ID NOT FOUND"))</f>
        <v/>
      </c>
      <c r="T409" s="24" t="str">
        <f aca="false">IF(Q409="","",IFERROR(INDEX('Post Tracker'!$K$5:$K$1004,MATCH(Q409,'Post Tracker'!$A$5:$A$1004,0))&amp;"",""))</f>
        <v/>
      </c>
      <c r="U409" s="33" t="str">
        <f aca="false">IF(OR(Q409="",B409=""),"",IFERROR(B409-INDEX('Post Tracker'!$B$5:$B$1004,MATCH(Q409,'Post Tracker'!$A$5:$A$1004,0)),""))</f>
        <v/>
      </c>
      <c r="V409" s="39"/>
      <c r="W409" s="29"/>
      <c r="X409" s="29"/>
      <c r="Y409" s="29"/>
      <c r="Z409" s="30"/>
      <c r="AA409" s="29"/>
      <c r="AB409" s="29"/>
    </row>
    <row r="410" customFormat="false" ht="15" hidden="false" customHeight="false" outlineLevel="0" collapsed="false">
      <c r="A410" s="41" t="str">
        <f aca="false">IF(B410="","",ROW()-4)</f>
        <v/>
      </c>
      <c r="B410" s="39"/>
      <c r="C410" s="29"/>
      <c r="D410" s="29"/>
      <c r="E410" s="29"/>
      <c r="F410" s="29"/>
      <c r="G410" s="29"/>
      <c r="H410" s="32"/>
      <c r="I410" s="29"/>
      <c r="J410" s="29"/>
      <c r="K410" s="29"/>
      <c r="L410" s="29"/>
      <c r="M410" s="29"/>
      <c r="N410" s="29"/>
      <c r="O410" s="29"/>
      <c r="P410" s="29"/>
      <c r="Q410" s="24" t="str">
        <f aca="false">IF(N410&lt;&gt;"",UPPER(TRIM(N410)),IF(P410&lt;&gt;"",UPPER(TRIM(P410)),""))</f>
        <v/>
      </c>
      <c r="R410" s="24" t="str">
        <f aca="false">IF(B410="","",IF(N410&lt;&gt;"","UTM tracked",IF(P410&lt;&gt;"","Manual / self-reported",IF(O410&lt;&gt;"","Self-reported channel only","Unattributed"))))</f>
        <v/>
      </c>
      <c r="S410" s="24" t="str">
        <f aca="false">IF(Q410="","",IFERROR(INDEX('Post Tracker'!$G$5:$G$1004,MATCH(Q410,'Post Tracker'!$A$5:$A$1004,0)),"ID NOT FOUND"))</f>
        <v/>
      </c>
      <c r="T410" s="24" t="str">
        <f aca="false">IF(Q410="","",IFERROR(INDEX('Post Tracker'!$K$5:$K$1004,MATCH(Q410,'Post Tracker'!$A$5:$A$1004,0))&amp;"",""))</f>
        <v/>
      </c>
      <c r="U410" s="33" t="str">
        <f aca="false">IF(OR(Q410="",B410=""),"",IFERROR(B410-INDEX('Post Tracker'!$B$5:$B$1004,MATCH(Q410,'Post Tracker'!$A$5:$A$1004,0)),""))</f>
        <v/>
      </c>
      <c r="V410" s="39"/>
      <c r="W410" s="29"/>
      <c r="X410" s="29"/>
      <c r="Y410" s="29"/>
      <c r="Z410" s="30"/>
      <c r="AA410" s="29"/>
      <c r="AB410" s="29"/>
    </row>
    <row r="411" customFormat="false" ht="15" hidden="false" customHeight="false" outlineLevel="0" collapsed="false">
      <c r="A411" s="41" t="str">
        <f aca="false">IF(B411="","",ROW()-4)</f>
        <v/>
      </c>
      <c r="B411" s="39"/>
      <c r="C411" s="29"/>
      <c r="D411" s="29"/>
      <c r="E411" s="29"/>
      <c r="F411" s="29"/>
      <c r="G411" s="29"/>
      <c r="H411" s="32"/>
      <c r="I411" s="29"/>
      <c r="J411" s="29"/>
      <c r="K411" s="29"/>
      <c r="L411" s="29"/>
      <c r="M411" s="29"/>
      <c r="N411" s="29"/>
      <c r="O411" s="29"/>
      <c r="P411" s="29"/>
      <c r="Q411" s="24" t="str">
        <f aca="false">IF(N411&lt;&gt;"",UPPER(TRIM(N411)),IF(P411&lt;&gt;"",UPPER(TRIM(P411)),""))</f>
        <v/>
      </c>
      <c r="R411" s="24" t="str">
        <f aca="false">IF(B411="","",IF(N411&lt;&gt;"","UTM tracked",IF(P411&lt;&gt;"","Manual / self-reported",IF(O411&lt;&gt;"","Self-reported channel only","Unattributed"))))</f>
        <v/>
      </c>
      <c r="S411" s="24" t="str">
        <f aca="false">IF(Q411="","",IFERROR(INDEX('Post Tracker'!$G$5:$G$1004,MATCH(Q411,'Post Tracker'!$A$5:$A$1004,0)),"ID NOT FOUND"))</f>
        <v/>
      </c>
      <c r="T411" s="24" t="str">
        <f aca="false">IF(Q411="","",IFERROR(INDEX('Post Tracker'!$K$5:$K$1004,MATCH(Q411,'Post Tracker'!$A$5:$A$1004,0))&amp;"",""))</f>
        <v/>
      </c>
      <c r="U411" s="33" t="str">
        <f aca="false">IF(OR(Q411="",B411=""),"",IFERROR(B411-INDEX('Post Tracker'!$B$5:$B$1004,MATCH(Q411,'Post Tracker'!$A$5:$A$1004,0)),""))</f>
        <v/>
      </c>
      <c r="V411" s="39"/>
      <c r="W411" s="29"/>
      <c r="X411" s="29"/>
      <c r="Y411" s="29"/>
      <c r="Z411" s="30"/>
      <c r="AA411" s="29"/>
      <c r="AB411" s="29"/>
    </row>
    <row r="412" customFormat="false" ht="15" hidden="false" customHeight="false" outlineLevel="0" collapsed="false">
      <c r="A412" s="41" t="str">
        <f aca="false">IF(B412="","",ROW()-4)</f>
        <v/>
      </c>
      <c r="B412" s="39"/>
      <c r="C412" s="29"/>
      <c r="D412" s="29"/>
      <c r="E412" s="29"/>
      <c r="F412" s="29"/>
      <c r="G412" s="29"/>
      <c r="H412" s="32"/>
      <c r="I412" s="29"/>
      <c r="J412" s="29"/>
      <c r="K412" s="29"/>
      <c r="L412" s="29"/>
      <c r="M412" s="29"/>
      <c r="N412" s="29"/>
      <c r="O412" s="29"/>
      <c r="P412" s="29"/>
      <c r="Q412" s="24" t="str">
        <f aca="false">IF(N412&lt;&gt;"",UPPER(TRIM(N412)),IF(P412&lt;&gt;"",UPPER(TRIM(P412)),""))</f>
        <v/>
      </c>
      <c r="R412" s="24" t="str">
        <f aca="false">IF(B412="","",IF(N412&lt;&gt;"","UTM tracked",IF(P412&lt;&gt;"","Manual / self-reported",IF(O412&lt;&gt;"","Self-reported channel only","Unattributed"))))</f>
        <v/>
      </c>
      <c r="S412" s="24" t="str">
        <f aca="false">IF(Q412="","",IFERROR(INDEX('Post Tracker'!$G$5:$G$1004,MATCH(Q412,'Post Tracker'!$A$5:$A$1004,0)),"ID NOT FOUND"))</f>
        <v/>
      </c>
      <c r="T412" s="24" t="str">
        <f aca="false">IF(Q412="","",IFERROR(INDEX('Post Tracker'!$K$5:$K$1004,MATCH(Q412,'Post Tracker'!$A$5:$A$1004,0))&amp;"",""))</f>
        <v/>
      </c>
      <c r="U412" s="33" t="str">
        <f aca="false">IF(OR(Q412="",B412=""),"",IFERROR(B412-INDEX('Post Tracker'!$B$5:$B$1004,MATCH(Q412,'Post Tracker'!$A$5:$A$1004,0)),""))</f>
        <v/>
      </c>
      <c r="V412" s="39"/>
      <c r="W412" s="29"/>
      <c r="X412" s="29"/>
      <c r="Y412" s="29"/>
      <c r="Z412" s="30"/>
      <c r="AA412" s="29"/>
      <c r="AB412" s="29"/>
    </row>
    <row r="413" customFormat="false" ht="15" hidden="false" customHeight="false" outlineLevel="0" collapsed="false">
      <c r="A413" s="41" t="str">
        <f aca="false">IF(B413="","",ROW()-4)</f>
        <v/>
      </c>
      <c r="B413" s="39"/>
      <c r="C413" s="29"/>
      <c r="D413" s="29"/>
      <c r="E413" s="29"/>
      <c r="F413" s="29"/>
      <c r="G413" s="29"/>
      <c r="H413" s="32"/>
      <c r="I413" s="29"/>
      <c r="J413" s="29"/>
      <c r="K413" s="29"/>
      <c r="L413" s="29"/>
      <c r="M413" s="29"/>
      <c r="N413" s="29"/>
      <c r="O413" s="29"/>
      <c r="P413" s="29"/>
      <c r="Q413" s="24" t="str">
        <f aca="false">IF(N413&lt;&gt;"",UPPER(TRIM(N413)),IF(P413&lt;&gt;"",UPPER(TRIM(P413)),""))</f>
        <v/>
      </c>
      <c r="R413" s="24" t="str">
        <f aca="false">IF(B413="","",IF(N413&lt;&gt;"","UTM tracked",IF(P413&lt;&gt;"","Manual / self-reported",IF(O413&lt;&gt;"","Self-reported channel only","Unattributed"))))</f>
        <v/>
      </c>
      <c r="S413" s="24" t="str">
        <f aca="false">IF(Q413="","",IFERROR(INDEX('Post Tracker'!$G$5:$G$1004,MATCH(Q413,'Post Tracker'!$A$5:$A$1004,0)),"ID NOT FOUND"))</f>
        <v/>
      </c>
      <c r="T413" s="24" t="str">
        <f aca="false">IF(Q413="","",IFERROR(INDEX('Post Tracker'!$K$5:$K$1004,MATCH(Q413,'Post Tracker'!$A$5:$A$1004,0))&amp;"",""))</f>
        <v/>
      </c>
      <c r="U413" s="33" t="str">
        <f aca="false">IF(OR(Q413="",B413=""),"",IFERROR(B413-INDEX('Post Tracker'!$B$5:$B$1004,MATCH(Q413,'Post Tracker'!$A$5:$A$1004,0)),""))</f>
        <v/>
      </c>
      <c r="V413" s="39"/>
      <c r="W413" s="29"/>
      <c r="X413" s="29"/>
      <c r="Y413" s="29"/>
      <c r="Z413" s="30"/>
      <c r="AA413" s="29"/>
      <c r="AB413" s="29"/>
    </row>
    <row r="414" customFormat="false" ht="15" hidden="false" customHeight="false" outlineLevel="0" collapsed="false">
      <c r="A414" s="41" t="str">
        <f aca="false">IF(B414="","",ROW()-4)</f>
        <v/>
      </c>
      <c r="B414" s="39"/>
      <c r="C414" s="29"/>
      <c r="D414" s="29"/>
      <c r="E414" s="29"/>
      <c r="F414" s="29"/>
      <c r="G414" s="29"/>
      <c r="H414" s="32"/>
      <c r="I414" s="29"/>
      <c r="J414" s="29"/>
      <c r="K414" s="29"/>
      <c r="L414" s="29"/>
      <c r="M414" s="29"/>
      <c r="N414" s="29"/>
      <c r="O414" s="29"/>
      <c r="P414" s="29"/>
      <c r="Q414" s="24" t="str">
        <f aca="false">IF(N414&lt;&gt;"",UPPER(TRIM(N414)),IF(P414&lt;&gt;"",UPPER(TRIM(P414)),""))</f>
        <v/>
      </c>
      <c r="R414" s="24" t="str">
        <f aca="false">IF(B414="","",IF(N414&lt;&gt;"","UTM tracked",IF(P414&lt;&gt;"","Manual / self-reported",IF(O414&lt;&gt;"","Self-reported channel only","Unattributed"))))</f>
        <v/>
      </c>
      <c r="S414" s="24" t="str">
        <f aca="false">IF(Q414="","",IFERROR(INDEX('Post Tracker'!$G$5:$G$1004,MATCH(Q414,'Post Tracker'!$A$5:$A$1004,0)),"ID NOT FOUND"))</f>
        <v/>
      </c>
      <c r="T414" s="24" t="str">
        <f aca="false">IF(Q414="","",IFERROR(INDEX('Post Tracker'!$K$5:$K$1004,MATCH(Q414,'Post Tracker'!$A$5:$A$1004,0))&amp;"",""))</f>
        <v/>
      </c>
      <c r="U414" s="33" t="str">
        <f aca="false">IF(OR(Q414="",B414=""),"",IFERROR(B414-INDEX('Post Tracker'!$B$5:$B$1004,MATCH(Q414,'Post Tracker'!$A$5:$A$1004,0)),""))</f>
        <v/>
      </c>
      <c r="V414" s="39"/>
      <c r="W414" s="29"/>
      <c r="X414" s="29"/>
      <c r="Y414" s="29"/>
      <c r="Z414" s="30"/>
      <c r="AA414" s="29"/>
      <c r="AB414" s="29"/>
    </row>
    <row r="415" customFormat="false" ht="15" hidden="false" customHeight="false" outlineLevel="0" collapsed="false">
      <c r="A415" s="41" t="str">
        <f aca="false">IF(B415="","",ROW()-4)</f>
        <v/>
      </c>
      <c r="B415" s="39"/>
      <c r="C415" s="29"/>
      <c r="D415" s="29"/>
      <c r="E415" s="29"/>
      <c r="F415" s="29"/>
      <c r="G415" s="29"/>
      <c r="H415" s="32"/>
      <c r="I415" s="29"/>
      <c r="J415" s="29"/>
      <c r="K415" s="29"/>
      <c r="L415" s="29"/>
      <c r="M415" s="29"/>
      <c r="N415" s="29"/>
      <c r="O415" s="29"/>
      <c r="P415" s="29"/>
      <c r="Q415" s="24" t="str">
        <f aca="false">IF(N415&lt;&gt;"",UPPER(TRIM(N415)),IF(P415&lt;&gt;"",UPPER(TRIM(P415)),""))</f>
        <v/>
      </c>
      <c r="R415" s="24" t="str">
        <f aca="false">IF(B415="","",IF(N415&lt;&gt;"","UTM tracked",IF(P415&lt;&gt;"","Manual / self-reported",IF(O415&lt;&gt;"","Self-reported channel only","Unattributed"))))</f>
        <v/>
      </c>
      <c r="S415" s="24" t="str">
        <f aca="false">IF(Q415="","",IFERROR(INDEX('Post Tracker'!$G$5:$G$1004,MATCH(Q415,'Post Tracker'!$A$5:$A$1004,0)),"ID NOT FOUND"))</f>
        <v/>
      </c>
      <c r="T415" s="24" t="str">
        <f aca="false">IF(Q415="","",IFERROR(INDEX('Post Tracker'!$K$5:$K$1004,MATCH(Q415,'Post Tracker'!$A$5:$A$1004,0))&amp;"",""))</f>
        <v/>
      </c>
      <c r="U415" s="33" t="str">
        <f aca="false">IF(OR(Q415="",B415=""),"",IFERROR(B415-INDEX('Post Tracker'!$B$5:$B$1004,MATCH(Q415,'Post Tracker'!$A$5:$A$1004,0)),""))</f>
        <v/>
      </c>
      <c r="V415" s="39"/>
      <c r="W415" s="29"/>
      <c r="X415" s="29"/>
      <c r="Y415" s="29"/>
      <c r="Z415" s="30"/>
      <c r="AA415" s="29"/>
      <c r="AB415" s="29"/>
    </row>
    <row r="416" customFormat="false" ht="15" hidden="false" customHeight="false" outlineLevel="0" collapsed="false">
      <c r="A416" s="41" t="str">
        <f aca="false">IF(B416="","",ROW()-4)</f>
        <v/>
      </c>
      <c r="B416" s="39"/>
      <c r="C416" s="29"/>
      <c r="D416" s="29"/>
      <c r="E416" s="29"/>
      <c r="F416" s="29"/>
      <c r="G416" s="29"/>
      <c r="H416" s="32"/>
      <c r="I416" s="29"/>
      <c r="J416" s="29"/>
      <c r="K416" s="29"/>
      <c r="L416" s="29"/>
      <c r="M416" s="29"/>
      <c r="N416" s="29"/>
      <c r="O416" s="29"/>
      <c r="P416" s="29"/>
      <c r="Q416" s="24" t="str">
        <f aca="false">IF(N416&lt;&gt;"",UPPER(TRIM(N416)),IF(P416&lt;&gt;"",UPPER(TRIM(P416)),""))</f>
        <v/>
      </c>
      <c r="R416" s="24" t="str">
        <f aca="false">IF(B416="","",IF(N416&lt;&gt;"","UTM tracked",IF(P416&lt;&gt;"","Manual / self-reported",IF(O416&lt;&gt;"","Self-reported channel only","Unattributed"))))</f>
        <v/>
      </c>
      <c r="S416" s="24" t="str">
        <f aca="false">IF(Q416="","",IFERROR(INDEX('Post Tracker'!$G$5:$G$1004,MATCH(Q416,'Post Tracker'!$A$5:$A$1004,0)),"ID NOT FOUND"))</f>
        <v/>
      </c>
      <c r="T416" s="24" t="str">
        <f aca="false">IF(Q416="","",IFERROR(INDEX('Post Tracker'!$K$5:$K$1004,MATCH(Q416,'Post Tracker'!$A$5:$A$1004,0))&amp;"",""))</f>
        <v/>
      </c>
      <c r="U416" s="33" t="str">
        <f aca="false">IF(OR(Q416="",B416=""),"",IFERROR(B416-INDEX('Post Tracker'!$B$5:$B$1004,MATCH(Q416,'Post Tracker'!$A$5:$A$1004,0)),""))</f>
        <v/>
      </c>
      <c r="V416" s="39"/>
      <c r="W416" s="29"/>
      <c r="X416" s="29"/>
      <c r="Y416" s="29"/>
      <c r="Z416" s="30"/>
      <c r="AA416" s="29"/>
      <c r="AB416" s="29"/>
    </row>
    <row r="417" customFormat="false" ht="15" hidden="false" customHeight="false" outlineLevel="0" collapsed="false">
      <c r="A417" s="41" t="str">
        <f aca="false">IF(B417="","",ROW()-4)</f>
        <v/>
      </c>
      <c r="B417" s="39"/>
      <c r="C417" s="29"/>
      <c r="D417" s="29"/>
      <c r="E417" s="29"/>
      <c r="F417" s="29"/>
      <c r="G417" s="29"/>
      <c r="H417" s="32"/>
      <c r="I417" s="29"/>
      <c r="J417" s="29"/>
      <c r="K417" s="29"/>
      <c r="L417" s="29"/>
      <c r="M417" s="29"/>
      <c r="N417" s="29"/>
      <c r="O417" s="29"/>
      <c r="P417" s="29"/>
      <c r="Q417" s="24" t="str">
        <f aca="false">IF(N417&lt;&gt;"",UPPER(TRIM(N417)),IF(P417&lt;&gt;"",UPPER(TRIM(P417)),""))</f>
        <v/>
      </c>
      <c r="R417" s="24" t="str">
        <f aca="false">IF(B417="","",IF(N417&lt;&gt;"","UTM tracked",IF(P417&lt;&gt;"","Manual / self-reported",IF(O417&lt;&gt;"","Self-reported channel only","Unattributed"))))</f>
        <v/>
      </c>
      <c r="S417" s="24" t="str">
        <f aca="false">IF(Q417="","",IFERROR(INDEX('Post Tracker'!$G$5:$G$1004,MATCH(Q417,'Post Tracker'!$A$5:$A$1004,0)),"ID NOT FOUND"))</f>
        <v/>
      </c>
      <c r="T417" s="24" t="str">
        <f aca="false">IF(Q417="","",IFERROR(INDEX('Post Tracker'!$K$5:$K$1004,MATCH(Q417,'Post Tracker'!$A$5:$A$1004,0))&amp;"",""))</f>
        <v/>
      </c>
      <c r="U417" s="33" t="str">
        <f aca="false">IF(OR(Q417="",B417=""),"",IFERROR(B417-INDEX('Post Tracker'!$B$5:$B$1004,MATCH(Q417,'Post Tracker'!$A$5:$A$1004,0)),""))</f>
        <v/>
      </c>
      <c r="V417" s="39"/>
      <c r="W417" s="29"/>
      <c r="X417" s="29"/>
      <c r="Y417" s="29"/>
      <c r="Z417" s="30"/>
      <c r="AA417" s="29"/>
      <c r="AB417" s="29"/>
    </row>
    <row r="418" customFormat="false" ht="15" hidden="false" customHeight="false" outlineLevel="0" collapsed="false">
      <c r="A418" s="41" t="str">
        <f aca="false">IF(B418="","",ROW()-4)</f>
        <v/>
      </c>
      <c r="B418" s="39"/>
      <c r="C418" s="29"/>
      <c r="D418" s="29"/>
      <c r="E418" s="29"/>
      <c r="F418" s="29"/>
      <c r="G418" s="29"/>
      <c r="H418" s="32"/>
      <c r="I418" s="29"/>
      <c r="J418" s="29"/>
      <c r="K418" s="29"/>
      <c r="L418" s="29"/>
      <c r="M418" s="29"/>
      <c r="N418" s="29"/>
      <c r="O418" s="29"/>
      <c r="P418" s="29"/>
      <c r="Q418" s="24" t="str">
        <f aca="false">IF(N418&lt;&gt;"",UPPER(TRIM(N418)),IF(P418&lt;&gt;"",UPPER(TRIM(P418)),""))</f>
        <v/>
      </c>
      <c r="R418" s="24" t="str">
        <f aca="false">IF(B418="","",IF(N418&lt;&gt;"","UTM tracked",IF(P418&lt;&gt;"","Manual / self-reported",IF(O418&lt;&gt;"","Self-reported channel only","Unattributed"))))</f>
        <v/>
      </c>
      <c r="S418" s="24" t="str">
        <f aca="false">IF(Q418="","",IFERROR(INDEX('Post Tracker'!$G$5:$G$1004,MATCH(Q418,'Post Tracker'!$A$5:$A$1004,0)),"ID NOT FOUND"))</f>
        <v/>
      </c>
      <c r="T418" s="24" t="str">
        <f aca="false">IF(Q418="","",IFERROR(INDEX('Post Tracker'!$K$5:$K$1004,MATCH(Q418,'Post Tracker'!$A$5:$A$1004,0))&amp;"",""))</f>
        <v/>
      </c>
      <c r="U418" s="33" t="str">
        <f aca="false">IF(OR(Q418="",B418=""),"",IFERROR(B418-INDEX('Post Tracker'!$B$5:$B$1004,MATCH(Q418,'Post Tracker'!$A$5:$A$1004,0)),""))</f>
        <v/>
      </c>
      <c r="V418" s="39"/>
      <c r="W418" s="29"/>
      <c r="X418" s="29"/>
      <c r="Y418" s="29"/>
      <c r="Z418" s="30"/>
      <c r="AA418" s="29"/>
      <c r="AB418" s="29"/>
    </row>
    <row r="419" customFormat="false" ht="15" hidden="false" customHeight="false" outlineLevel="0" collapsed="false">
      <c r="A419" s="41" t="str">
        <f aca="false">IF(B419="","",ROW()-4)</f>
        <v/>
      </c>
      <c r="B419" s="39"/>
      <c r="C419" s="29"/>
      <c r="D419" s="29"/>
      <c r="E419" s="29"/>
      <c r="F419" s="29"/>
      <c r="G419" s="29"/>
      <c r="H419" s="32"/>
      <c r="I419" s="29"/>
      <c r="J419" s="29"/>
      <c r="K419" s="29"/>
      <c r="L419" s="29"/>
      <c r="M419" s="29"/>
      <c r="N419" s="29"/>
      <c r="O419" s="29"/>
      <c r="P419" s="29"/>
      <c r="Q419" s="24" t="str">
        <f aca="false">IF(N419&lt;&gt;"",UPPER(TRIM(N419)),IF(P419&lt;&gt;"",UPPER(TRIM(P419)),""))</f>
        <v/>
      </c>
      <c r="R419" s="24" t="str">
        <f aca="false">IF(B419="","",IF(N419&lt;&gt;"","UTM tracked",IF(P419&lt;&gt;"","Manual / self-reported",IF(O419&lt;&gt;"","Self-reported channel only","Unattributed"))))</f>
        <v/>
      </c>
      <c r="S419" s="24" t="str">
        <f aca="false">IF(Q419="","",IFERROR(INDEX('Post Tracker'!$G$5:$G$1004,MATCH(Q419,'Post Tracker'!$A$5:$A$1004,0)),"ID NOT FOUND"))</f>
        <v/>
      </c>
      <c r="T419" s="24" t="str">
        <f aca="false">IF(Q419="","",IFERROR(INDEX('Post Tracker'!$K$5:$K$1004,MATCH(Q419,'Post Tracker'!$A$5:$A$1004,0))&amp;"",""))</f>
        <v/>
      </c>
      <c r="U419" s="33" t="str">
        <f aca="false">IF(OR(Q419="",B419=""),"",IFERROR(B419-INDEX('Post Tracker'!$B$5:$B$1004,MATCH(Q419,'Post Tracker'!$A$5:$A$1004,0)),""))</f>
        <v/>
      </c>
      <c r="V419" s="39"/>
      <c r="W419" s="29"/>
      <c r="X419" s="29"/>
      <c r="Y419" s="29"/>
      <c r="Z419" s="30"/>
      <c r="AA419" s="29"/>
      <c r="AB419" s="29"/>
    </row>
    <row r="420" customFormat="false" ht="15" hidden="false" customHeight="false" outlineLevel="0" collapsed="false">
      <c r="A420" s="41" t="str">
        <f aca="false">IF(B420="","",ROW()-4)</f>
        <v/>
      </c>
      <c r="B420" s="39"/>
      <c r="C420" s="29"/>
      <c r="D420" s="29"/>
      <c r="E420" s="29"/>
      <c r="F420" s="29"/>
      <c r="G420" s="29"/>
      <c r="H420" s="32"/>
      <c r="I420" s="29"/>
      <c r="J420" s="29"/>
      <c r="K420" s="29"/>
      <c r="L420" s="29"/>
      <c r="M420" s="29"/>
      <c r="N420" s="29"/>
      <c r="O420" s="29"/>
      <c r="P420" s="29"/>
      <c r="Q420" s="24" t="str">
        <f aca="false">IF(N420&lt;&gt;"",UPPER(TRIM(N420)),IF(P420&lt;&gt;"",UPPER(TRIM(P420)),""))</f>
        <v/>
      </c>
      <c r="R420" s="24" t="str">
        <f aca="false">IF(B420="","",IF(N420&lt;&gt;"","UTM tracked",IF(P420&lt;&gt;"","Manual / self-reported",IF(O420&lt;&gt;"","Self-reported channel only","Unattributed"))))</f>
        <v/>
      </c>
      <c r="S420" s="24" t="str">
        <f aca="false">IF(Q420="","",IFERROR(INDEX('Post Tracker'!$G$5:$G$1004,MATCH(Q420,'Post Tracker'!$A$5:$A$1004,0)),"ID NOT FOUND"))</f>
        <v/>
      </c>
      <c r="T420" s="24" t="str">
        <f aca="false">IF(Q420="","",IFERROR(INDEX('Post Tracker'!$K$5:$K$1004,MATCH(Q420,'Post Tracker'!$A$5:$A$1004,0))&amp;"",""))</f>
        <v/>
      </c>
      <c r="U420" s="33" t="str">
        <f aca="false">IF(OR(Q420="",B420=""),"",IFERROR(B420-INDEX('Post Tracker'!$B$5:$B$1004,MATCH(Q420,'Post Tracker'!$A$5:$A$1004,0)),""))</f>
        <v/>
      </c>
      <c r="V420" s="39"/>
      <c r="W420" s="29"/>
      <c r="X420" s="29"/>
      <c r="Y420" s="29"/>
      <c r="Z420" s="30"/>
      <c r="AA420" s="29"/>
      <c r="AB420" s="29"/>
    </row>
    <row r="421" customFormat="false" ht="15" hidden="false" customHeight="false" outlineLevel="0" collapsed="false">
      <c r="A421" s="41" t="str">
        <f aca="false">IF(B421="","",ROW()-4)</f>
        <v/>
      </c>
      <c r="B421" s="39"/>
      <c r="C421" s="29"/>
      <c r="D421" s="29"/>
      <c r="E421" s="29"/>
      <c r="F421" s="29"/>
      <c r="G421" s="29"/>
      <c r="H421" s="32"/>
      <c r="I421" s="29"/>
      <c r="J421" s="29"/>
      <c r="K421" s="29"/>
      <c r="L421" s="29"/>
      <c r="M421" s="29"/>
      <c r="N421" s="29"/>
      <c r="O421" s="29"/>
      <c r="P421" s="29"/>
      <c r="Q421" s="24" t="str">
        <f aca="false">IF(N421&lt;&gt;"",UPPER(TRIM(N421)),IF(P421&lt;&gt;"",UPPER(TRIM(P421)),""))</f>
        <v/>
      </c>
      <c r="R421" s="24" t="str">
        <f aca="false">IF(B421="","",IF(N421&lt;&gt;"","UTM tracked",IF(P421&lt;&gt;"","Manual / self-reported",IF(O421&lt;&gt;"","Self-reported channel only","Unattributed"))))</f>
        <v/>
      </c>
      <c r="S421" s="24" t="str">
        <f aca="false">IF(Q421="","",IFERROR(INDEX('Post Tracker'!$G$5:$G$1004,MATCH(Q421,'Post Tracker'!$A$5:$A$1004,0)),"ID NOT FOUND"))</f>
        <v/>
      </c>
      <c r="T421" s="24" t="str">
        <f aca="false">IF(Q421="","",IFERROR(INDEX('Post Tracker'!$K$5:$K$1004,MATCH(Q421,'Post Tracker'!$A$5:$A$1004,0))&amp;"",""))</f>
        <v/>
      </c>
      <c r="U421" s="33" t="str">
        <f aca="false">IF(OR(Q421="",B421=""),"",IFERROR(B421-INDEX('Post Tracker'!$B$5:$B$1004,MATCH(Q421,'Post Tracker'!$A$5:$A$1004,0)),""))</f>
        <v/>
      </c>
      <c r="V421" s="39"/>
      <c r="W421" s="29"/>
      <c r="X421" s="29"/>
      <c r="Y421" s="29"/>
      <c r="Z421" s="30"/>
      <c r="AA421" s="29"/>
      <c r="AB421" s="29"/>
    </row>
    <row r="422" customFormat="false" ht="15" hidden="false" customHeight="false" outlineLevel="0" collapsed="false">
      <c r="A422" s="41" t="str">
        <f aca="false">IF(B422="","",ROW()-4)</f>
        <v/>
      </c>
      <c r="B422" s="39"/>
      <c r="C422" s="29"/>
      <c r="D422" s="29"/>
      <c r="E422" s="29"/>
      <c r="F422" s="29"/>
      <c r="G422" s="29"/>
      <c r="H422" s="32"/>
      <c r="I422" s="29"/>
      <c r="J422" s="29"/>
      <c r="K422" s="29"/>
      <c r="L422" s="29"/>
      <c r="M422" s="29"/>
      <c r="N422" s="29"/>
      <c r="O422" s="29"/>
      <c r="P422" s="29"/>
      <c r="Q422" s="24" t="str">
        <f aca="false">IF(N422&lt;&gt;"",UPPER(TRIM(N422)),IF(P422&lt;&gt;"",UPPER(TRIM(P422)),""))</f>
        <v/>
      </c>
      <c r="R422" s="24" t="str">
        <f aca="false">IF(B422="","",IF(N422&lt;&gt;"","UTM tracked",IF(P422&lt;&gt;"","Manual / self-reported",IF(O422&lt;&gt;"","Self-reported channel only","Unattributed"))))</f>
        <v/>
      </c>
      <c r="S422" s="24" t="str">
        <f aca="false">IF(Q422="","",IFERROR(INDEX('Post Tracker'!$G$5:$G$1004,MATCH(Q422,'Post Tracker'!$A$5:$A$1004,0)),"ID NOT FOUND"))</f>
        <v/>
      </c>
      <c r="T422" s="24" t="str">
        <f aca="false">IF(Q422="","",IFERROR(INDEX('Post Tracker'!$K$5:$K$1004,MATCH(Q422,'Post Tracker'!$A$5:$A$1004,0))&amp;"",""))</f>
        <v/>
      </c>
      <c r="U422" s="33" t="str">
        <f aca="false">IF(OR(Q422="",B422=""),"",IFERROR(B422-INDEX('Post Tracker'!$B$5:$B$1004,MATCH(Q422,'Post Tracker'!$A$5:$A$1004,0)),""))</f>
        <v/>
      </c>
      <c r="V422" s="39"/>
      <c r="W422" s="29"/>
      <c r="X422" s="29"/>
      <c r="Y422" s="29"/>
      <c r="Z422" s="30"/>
      <c r="AA422" s="29"/>
      <c r="AB422" s="29"/>
    </row>
    <row r="423" customFormat="false" ht="15" hidden="false" customHeight="false" outlineLevel="0" collapsed="false">
      <c r="A423" s="41" t="str">
        <f aca="false">IF(B423="","",ROW()-4)</f>
        <v/>
      </c>
      <c r="B423" s="39"/>
      <c r="C423" s="29"/>
      <c r="D423" s="29"/>
      <c r="E423" s="29"/>
      <c r="F423" s="29"/>
      <c r="G423" s="29"/>
      <c r="H423" s="32"/>
      <c r="I423" s="29"/>
      <c r="J423" s="29"/>
      <c r="K423" s="29"/>
      <c r="L423" s="29"/>
      <c r="M423" s="29"/>
      <c r="N423" s="29"/>
      <c r="O423" s="29"/>
      <c r="P423" s="29"/>
      <c r="Q423" s="24" t="str">
        <f aca="false">IF(N423&lt;&gt;"",UPPER(TRIM(N423)),IF(P423&lt;&gt;"",UPPER(TRIM(P423)),""))</f>
        <v/>
      </c>
      <c r="R423" s="24" t="str">
        <f aca="false">IF(B423="","",IF(N423&lt;&gt;"","UTM tracked",IF(P423&lt;&gt;"","Manual / self-reported",IF(O423&lt;&gt;"","Self-reported channel only","Unattributed"))))</f>
        <v/>
      </c>
      <c r="S423" s="24" t="str">
        <f aca="false">IF(Q423="","",IFERROR(INDEX('Post Tracker'!$G$5:$G$1004,MATCH(Q423,'Post Tracker'!$A$5:$A$1004,0)),"ID NOT FOUND"))</f>
        <v/>
      </c>
      <c r="T423" s="24" t="str">
        <f aca="false">IF(Q423="","",IFERROR(INDEX('Post Tracker'!$K$5:$K$1004,MATCH(Q423,'Post Tracker'!$A$5:$A$1004,0))&amp;"",""))</f>
        <v/>
      </c>
      <c r="U423" s="33" t="str">
        <f aca="false">IF(OR(Q423="",B423=""),"",IFERROR(B423-INDEX('Post Tracker'!$B$5:$B$1004,MATCH(Q423,'Post Tracker'!$A$5:$A$1004,0)),""))</f>
        <v/>
      </c>
      <c r="V423" s="39"/>
      <c r="W423" s="29"/>
      <c r="X423" s="29"/>
      <c r="Y423" s="29"/>
      <c r="Z423" s="30"/>
      <c r="AA423" s="29"/>
      <c r="AB423" s="29"/>
    </row>
    <row r="424" customFormat="false" ht="15" hidden="false" customHeight="false" outlineLevel="0" collapsed="false">
      <c r="A424" s="41" t="str">
        <f aca="false">IF(B424="","",ROW()-4)</f>
        <v/>
      </c>
      <c r="B424" s="39"/>
      <c r="C424" s="29"/>
      <c r="D424" s="29"/>
      <c r="E424" s="29"/>
      <c r="F424" s="29"/>
      <c r="G424" s="29"/>
      <c r="H424" s="32"/>
      <c r="I424" s="29"/>
      <c r="J424" s="29"/>
      <c r="K424" s="29"/>
      <c r="L424" s="29"/>
      <c r="M424" s="29"/>
      <c r="N424" s="29"/>
      <c r="O424" s="29"/>
      <c r="P424" s="29"/>
      <c r="Q424" s="24" t="str">
        <f aca="false">IF(N424&lt;&gt;"",UPPER(TRIM(N424)),IF(P424&lt;&gt;"",UPPER(TRIM(P424)),""))</f>
        <v/>
      </c>
      <c r="R424" s="24" t="str">
        <f aca="false">IF(B424="","",IF(N424&lt;&gt;"","UTM tracked",IF(P424&lt;&gt;"","Manual / self-reported",IF(O424&lt;&gt;"","Self-reported channel only","Unattributed"))))</f>
        <v/>
      </c>
      <c r="S424" s="24" t="str">
        <f aca="false">IF(Q424="","",IFERROR(INDEX('Post Tracker'!$G$5:$G$1004,MATCH(Q424,'Post Tracker'!$A$5:$A$1004,0)),"ID NOT FOUND"))</f>
        <v/>
      </c>
      <c r="T424" s="24" t="str">
        <f aca="false">IF(Q424="","",IFERROR(INDEX('Post Tracker'!$K$5:$K$1004,MATCH(Q424,'Post Tracker'!$A$5:$A$1004,0))&amp;"",""))</f>
        <v/>
      </c>
      <c r="U424" s="33" t="str">
        <f aca="false">IF(OR(Q424="",B424=""),"",IFERROR(B424-INDEX('Post Tracker'!$B$5:$B$1004,MATCH(Q424,'Post Tracker'!$A$5:$A$1004,0)),""))</f>
        <v/>
      </c>
      <c r="V424" s="39"/>
      <c r="W424" s="29"/>
      <c r="X424" s="29"/>
      <c r="Y424" s="29"/>
      <c r="Z424" s="30"/>
      <c r="AA424" s="29"/>
      <c r="AB424" s="29"/>
    </row>
    <row r="425" customFormat="false" ht="15" hidden="false" customHeight="false" outlineLevel="0" collapsed="false">
      <c r="A425" s="41" t="str">
        <f aca="false">IF(B425="","",ROW()-4)</f>
        <v/>
      </c>
      <c r="B425" s="39"/>
      <c r="C425" s="29"/>
      <c r="D425" s="29"/>
      <c r="E425" s="29"/>
      <c r="F425" s="29"/>
      <c r="G425" s="29"/>
      <c r="H425" s="32"/>
      <c r="I425" s="29"/>
      <c r="J425" s="29"/>
      <c r="K425" s="29"/>
      <c r="L425" s="29"/>
      <c r="M425" s="29"/>
      <c r="N425" s="29"/>
      <c r="O425" s="29"/>
      <c r="P425" s="29"/>
      <c r="Q425" s="24" t="str">
        <f aca="false">IF(N425&lt;&gt;"",UPPER(TRIM(N425)),IF(P425&lt;&gt;"",UPPER(TRIM(P425)),""))</f>
        <v/>
      </c>
      <c r="R425" s="24" t="str">
        <f aca="false">IF(B425="","",IF(N425&lt;&gt;"","UTM tracked",IF(P425&lt;&gt;"","Manual / self-reported",IF(O425&lt;&gt;"","Self-reported channel only","Unattributed"))))</f>
        <v/>
      </c>
      <c r="S425" s="24" t="str">
        <f aca="false">IF(Q425="","",IFERROR(INDEX('Post Tracker'!$G$5:$G$1004,MATCH(Q425,'Post Tracker'!$A$5:$A$1004,0)),"ID NOT FOUND"))</f>
        <v/>
      </c>
      <c r="T425" s="24" t="str">
        <f aca="false">IF(Q425="","",IFERROR(INDEX('Post Tracker'!$K$5:$K$1004,MATCH(Q425,'Post Tracker'!$A$5:$A$1004,0))&amp;"",""))</f>
        <v/>
      </c>
      <c r="U425" s="33" t="str">
        <f aca="false">IF(OR(Q425="",B425=""),"",IFERROR(B425-INDEX('Post Tracker'!$B$5:$B$1004,MATCH(Q425,'Post Tracker'!$A$5:$A$1004,0)),""))</f>
        <v/>
      </c>
      <c r="V425" s="39"/>
      <c r="W425" s="29"/>
      <c r="X425" s="29"/>
      <c r="Y425" s="29"/>
      <c r="Z425" s="30"/>
      <c r="AA425" s="29"/>
      <c r="AB425" s="29"/>
    </row>
    <row r="426" customFormat="false" ht="15" hidden="false" customHeight="false" outlineLevel="0" collapsed="false">
      <c r="A426" s="41" t="str">
        <f aca="false">IF(B426="","",ROW()-4)</f>
        <v/>
      </c>
      <c r="B426" s="39"/>
      <c r="C426" s="29"/>
      <c r="D426" s="29"/>
      <c r="E426" s="29"/>
      <c r="F426" s="29"/>
      <c r="G426" s="29"/>
      <c r="H426" s="32"/>
      <c r="I426" s="29"/>
      <c r="J426" s="29"/>
      <c r="K426" s="29"/>
      <c r="L426" s="29"/>
      <c r="M426" s="29"/>
      <c r="N426" s="29"/>
      <c r="O426" s="29"/>
      <c r="P426" s="29"/>
      <c r="Q426" s="24" t="str">
        <f aca="false">IF(N426&lt;&gt;"",UPPER(TRIM(N426)),IF(P426&lt;&gt;"",UPPER(TRIM(P426)),""))</f>
        <v/>
      </c>
      <c r="R426" s="24" t="str">
        <f aca="false">IF(B426="","",IF(N426&lt;&gt;"","UTM tracked",IF(P426&lt;&gt;"","Manual / self-reported",IF(O426&lt;&gt;"","Self-reported channel only","Unattributed"))))</f>
        <v/>
      </c>
      <c r="S426" s="24" t="str">
        <f aca="false">IF(Q426="","",IFERROR(INDEX('Post Tracker'!$G$5:$G$1004,MATCH(Q426,'Post Tracker'!$A$5:$A$1004,0)),"ID NOT FOUND"))</f>
        <v/>
      </c>
      <c r="T426" s="24" t="str">
        <f aca="false">IF(Q426="","",IFERROR(INDEX('Post Tracker'!$K$5:$K$1004,MATCH(Q426,'Post Tracker'!$A$5:$A$1004,0))&amp;"",""))</f>
        <v/>
      </c>
      <c r="U426" s="33" t="str">
        <f aca="false">IF(OR(Q426="",B426=""),"",IFERROR(B426-INDEX('Post Tracker'!$B$5:$B$1004,MATCH(Q426,'Post Tracker'!$A$5:$A$1004,0)),""))</f>
        <v/>
      </c>
      <c r="V426" s="39"/>
      <c r="W426" s="29"/>
      <c r="X426" s="29"/>
      <c r="Y426" s="29"/>
      <c r="Z426" s="30"/>
      <c r="AA426" s="29"/>
      <c r="AB426" s="29"/>
    </row>
    <row r="427" customFormat="false" ht="15" hidden="false" customHeight="false" outlineLevel="0" collapsed="false">
      <c r="A427" s="41" t="str">
        <f aca="false">IF(B427="","",ROW()-4)</f>
        <v/>
      </c>
      <c r="B427" s="39"/>
      <c r="C427" s="29"/>
      <c r="D427" s="29"/>
      <c r="E427" s="29"/>
      <c r="F427" s="29"/>
      <c r="G427" s="29"/>
      <c r="H427" s="32"/>
      <c r="I427" s="29"/>
      <c r="J427" s="29"/>
      <c r="K427" s="29"/>
      <c r="L427" s="29"/>
      <c r="M427" s="29"/>
      <c r="N427" s="29"/>
      <c r="O427" s="29"/>
      <c r="P427" s="29"/>
      <c r="Q427" s="24" t="str">
        <f aca="false">IF(N427&lt;&gt;"",UPPER(TRIM(N427)),IF(P427&lt;&gt;"",UPPER(TRIM(P427)),""))</f>
        <v/>
      </c>
      <c r="R427" s="24" t="str">
        <f aca="false">IF(B427="","",IF(N427&lt;&gt;"","UTM tracked",IF(P427&lt;&gt;"","Manual / self-reported",IF(O427&lt;&gt;"","Self-reported channel only","Unattributed"))))</f>
        <v/>
      </c>
      <c r="S427" s="24" t="str">
        <f aca="false">IF(Q427="","",IFERROR(INDEX('Post Tracker'!$G$5:$G$1004,MATCH(Q427,'Post Tracker'!$A$5:$A$1004,0)),"ID NOT FOUND"))</f>
        <v/>
      </c>
      <c r="T427" s="24" t="str">
        <f aca="false">IF(Q427="","",IFERROR(INDEX('Post Tracker'!$K$5:$K$1004,MATCH(Q427,'Post Tracker'!$A$5:$A$1004,0))&amp;"",""))</f>
        <v/>
      </c>
      <c r="U427" s="33" t="str">
        <f aca="false">IF(OR(Q427="",B427=""),"",IFERROR(B427-INDEX('Post Tracker'!$B$5:$B$1004,MATCH(Q427,'Post Tracker'!$A$5:$A$1004,0)),""))</f>
        <v/>
      </c>
      <c r="V427" s="39"/>
      <c r="W427" s="29"/>
      <c r="X427" s="29"/>
      <c r="Y427" s="29"/>
      <c r="Z427" s="30"/>
      <c r="AA427" s="29"/>
      <c r="AB427" s="29"/>
    </row>
    <row r="428" customFormat="false" ht="15" hidden="false" customHeight="false" outlineLevel="0" collapsed="false">
      <c r="A428" s="41" t="str">
        <f aca="false">IF(B428="","",ROW()-4)</f>
        <v/>
      </c>
      <c r="B428" s="39"/>
      <c r="C428" s="29"/>
      <c r="D428" s="29"/>
      <c r="E428" s="29"/>
      <c r="F428" s="29"/>
      <c r="G428" s="29"/>
      <c r="H428" s="32"/>
      <c r="I428" s="29"/>
      <c r="J428" s="29"/>
      <c r="K428" s="29"/>
      <c r="L428" s="29"/>
      <c r="M428" s="29"/>
      <c r="N428" s="29"/>
      <c r="O428" s="29"/>
      <c r="P428" s="29"/>
      <c r="Q428" s="24" t="str">
        <f aca="false">IF(N428&lt;&gt;"",UPPER(TRIM(N428)),IF(P428&lt;&gt;"",UPPER(TRIM(P428)),""))</f>
        <v/>
      </c>
      <c r="R428" s="24" t="str">
        <f aca="false">IF(B428="","",IF(N428&lt;&gt;"","UTM tracked",IF(P428&lt;&gt;"","Manual / self-reported",IF(O428&lt;&gt;"","Self-reported channel only","Unattributed"))))</f>
        <v/>
      </c>
      <c r="S428" s="24" t="str">
        <f aca="false">IF(Q428="","",IFERROR(INDEX('Post Tracker'!$G$5:$G$1004,MATCH(Q428,'Post Tracker'!$A$5:$A$1004,0)),"ID NOT FOUND"))</f>
        <v/>
      </c>
      <c r="T428" s="24" t="str">
        <f aca="false">IF(Q428="","",IFERROR(INDEX('Post Tracker'!$K$5:$K$1004,MATCH(Q428,'Post Tracker'!$A$5:$A$1004,0))&amp;"",""))</f>
        <v/>
      </c>
      <c r="U428" s="33" t="str">
        <f aca="false">IF(OR(Q428="",B428=""),"",IFERROR(B428-INDEX('Post Tracker'!$B$5:$B$1004,MATCH(Q428,'Post Tracker'!$A$5:$A$1004,0)),""))</f>
        <v/>
      </c>
      <c r="V428" s="39"/>
      <c r="W428" s="29"/>
      <c r="X428" s="29"/>
      <c r="Y428" s="29"/>
      <c r="Z428" s="30"/>
      <c r="AA428" s="29"/>
      <c r="AB428" s="29"/>
    </row>
    <row r="429" customFormat="false" ht="15" hidden="false" customHeight="false" outlineLevel="0" collapsed="false">
      <c r="A429" s="41" t="str">
        <f aca="false">IF(B429="","",ROW()-4)</f>
        <v/>
      </c>
      <c r="B429" s="39"/>
      <c r="C429" s="29"/>
      <c r="D429" s="29"/>
      <c r="E429" s="29"/>
      <c r="F429" s="29"/>
      <c r="G429" s="29"/>
      <c r="H429" s="32"/>
      <c r="I429" s="29"/>
      <c r="J429" s="29"/>
      <c r="K429" s="29"/>
      <c r="L429" s="29"/>
      <c r="M429" s="29"/>
      <c r="N429" s="29"/>
      <c r="O429" s="29"/>
      <c r="P429" s="29"/>
      <c r="Q429" s="24" t="str">
        <f aca="false">IF(N429&lt;&gt;"",UPPER(TRIM(N429)),IF(P429&lt;&gt;"",UPPER(TRIM(P429)),""))</f>
        <v/>
      </c>
      <c r="R429" s="24" t="str">
        <f aca="false">IF(B429="","",IF(N429&lt;&gt;"","UTM tracked",IF(P429&lt;&gt;"","Manual / self-reported",IF(O429&lt;&gt;"","Self-reported channel only","Unattributed"))))</f>
        <v/>
      </c>
      <c r="S429" s="24" t="str">
        <f aca="false">IF(Q429="","",IFERROR(INDEX('Post Tracker'!$G$5:$G$1004,MATCH(Q429,'Post Tracker'!$A$5:$A$1004,0)),"ID NOT FOUND"))</f>
        <v/>
      </c>
      <c r="T429" s="24" t="str">
        <f aca="false">IF(Q429="","",IFERROR(INDEX('Post Tracker'!$K$5:$K$1004,MATCH(Q429,'Post Tracker'!$A$5:$A$1004,0))&amp;"",""))</f>
        <v/>
      </c>
      <c r="U429" s="33" t="str">
        <f aca="false">IF(OR(Q429="",B429=""),"",IFERROR(B429-INDEX('Post Tracker'!$B$5:$B$1004,MATCH(Q429,'Post Tracker'!$A$5:$A$1004,0)),""))</f>
        <v/>
      </c>
      <c r="V429" s="39"/>
      <c r="W429" s="29"/>
      <c r="X429" s="29"/>
      <c r="Y429" s="29"/>
      <c r="Z429" s="30"/>
      <c r="AA429" s="29"/>
      <c r="AB429" s="29"/>
    </row>
    <row r="430" customFormat="false" ht="15" hidden="false" customHeight="false" outlineLevel="0" collapsed="false">
      <c r="A430" s="41" t="str">
        <f aca="false">IF(B430="","",ROW()-4)</f>
        <v/>
      </c>
      <c r="B430" s="39"/>
      <c r="C430" s="29"/>
      <c r="D430" s="29"/>
      <c r="E430" s="29"/>
      <c r="F430" s="29"/>
      <c r="G430" s="29"/>
      <c r="H430" s="32"/>
      <c r="I430" s="29"/>
      <c r="J430" s="29"/>
      <c r="K430" s="29"/>
      <c r="L430" s="29"/>
      <c r="M430" s="29"/>
      <c r="N430" s="29"/>
      <c r="O430" s="29"/>
      <c r="P430" s="29"/>
      <c r="Q430" s="24" t="str">
        <f aca="false">IF(N430&lt;&gt;"",UPPER(TRIM(N430)),IF(P430&lt;&gt;"",UPPER(TRIM(P430)),""))</f>
        <v/>
      </c>
      <c r="R430" s="24" t="str">
        <f aca="false">IF(B430="","",IF(N430&lt;&gt;"","UTM tracked",IF(P430&lt;&gt;"","Manual / self-reported",IF(O430&lt;&gt;"","Self-reported channel only","Unattributed"))))</f>
        <v/>
      </c>
      <c r="S430" s="24" t="str">
        <f aca="false">IF(Q430="","",IFERROR(INDEX('Post Tracker'!$G$5:$G$1004,MATCH(Q430,'Post Tracker'!$A$5:$A$1004,0)),"ID NOT FOUND"))</f>
        <v/>
      </c>
      <c r="T430" s="24" t="str">
        <f aca="false">IF(Q430="","",IFERROR(INDEX('Post Tracker'!$K$5:$K$1004,MATCH(Q430,'Post Tracker'!$A$5:$A$1004,0))&amp;"",""))</f>
        <v/>
      </c>
      <c r="U430" s="33" t="str">
        <f aca="false">IF(OR(Q430="",B430=""),"",IFERROR(B430-INDEX('Post Tracker'!$B$5:$B$1004,MATCH(Q430,'Post Tracker'!$A$5:$A$1004,0)),""))</f>
        <v/>
      </c>
      <c r="V430" s="39"/>
      <c r="W430" s="29"/>
      <c r="X430" s="29"/>
      <c r="Y430" s="29"/>
      <c r="Z430" s="30"/>
      <c r="AA430" s="29"/>
      <c r="AB430" s="29"/>
    </row>
    <row r="431" customFormat="false" ht="15" hidden="false" customHeight="false" outlineLevel="0" collapsed="false">
      <c r="A431" s="41" t="str">
        <f aca="false">IF(B431="","",ROW()-4)</f>
        <v/>
      </c>
      <c r="B431" s="39"/>
      <c r="C431" s="29"/>
      <c r="D431" s="29"/>
      <c r="E431" s="29"/>
      <c r="F431" s="29"/>
      <c r="G431" s="29"/>
      <c r="H431" s="32"/>
      <c r="I431" s="29"/>
      <c r="J431" s="29"/>
      <c r="K431" s="29"/>
      <c r="L431" s="29"/>
      <c r="M431" s="29"/>
      <c r="N431" s="29"/>
      <c r="O431" s="29"/>
      <c r="P431" s="29"/>
      <c r="Q431" s="24" t="str">
        <f aca="false">IF(N431&lt;&gt;"",UPPER(TRIM(N431)),IF(P431&lt;&gt;"",UPPER(TRIM(P431)),""))</f>
        <v/>
      </c>
      <c r="R431" s="24" t="str">
        <f aca="false">IF(B431="","",IF(N431&lt;&gt;"","UTM tracked",IF(P431&lt;&gt;"","Manual / self-reported",IF(O431&lt;&gt;"","Self-reported channel only","Unattributed"))))</f>
        <v/>
      </c>
      <c r="S431" s="24" t="str">
        <f aca="false">IF(Q431="","",IFERROR(INDEX('Post Tracker'!$G$5:$G$1004,MATCH(Q431,'Post Tracker'!$A$5:$A$1004,0)),"ID NOT FOUND"))</f>
        <v/>
      </c>
      <c r="T431" s="24" t="str">
        <f aca="false">IF(Q431="","",IFERROR(INDEX('Post Tracker'!$K$5:$K$1004,MATCH(Q431,'Post Tracker'!$A$5:$A$1004,0))&amp;"",""))</f>
        <v/>
      </c>
      <c r="U431" s="33" t="str">
        <f aca="false">IF(OR(Q431="",B431=""),"",IFERROR(B431-INDEX('Post Tracker'!$B$5:$B$1004,MATCH(Q431,'Post Tracker'!$A$5:$A$1004,0)),""))</f>
        <v/>
      </c>
      <c r="V431" s="39"/>
      <c r="W431" s="29"/>
      <c r="X431" s="29"/>
      <c r="Y431" s="29"/>
      <c r="Z431" s="30"/>
      <c r="AA431" s="29"/>
      <c r="AB431" s="29"/>
    </row>
    <row r="432" customFormat="false" ht="15" hidden="false" customHeight="false" outlineLevel="0" collapsed="false">
      <c r="A432" s="41" t="str">
        <f aca="false">IF(B432="","",ROW()-4)</f>
        <v/>
      </c>
      <c r="B432" s="39"/>
      <c r="C432" s="29"/>
      <c r="D432" s="29"/>
      <c r="E432" s="29"/>
      <c r="F432" s="29"/>
      <c r="G432" s="29"/>
      <c r="H432" s="32"/>
      <c r="I432" s="29"/>
      <c r="J432" s="29"/>
      <c r="K432" s="29"/>
      <c r="L432" s="29"/>
      <c r="M432" s="29"/>
      <c r="N432" s="29"/>
      <c r="O432" s="29"/>
      <c r="P432" s="29"/>
      <c r="Q432" s="24" t="str">
        <f aca="false">IF(N432&lt;&gt;"",UPPER(TRIM(N432)),IF(P432&lt;&gt;"",UPPER(TRIM(P432)),""))</f>
        <v/>
      </c>
      <c r="R432" s="24" t="str">
        <f aca="false">IF(B432="","",IF(N432&lt;&gt;"","UTM tracked",IF(P432&lt;&gt;"","Manual / self-reported",IF(O432&lt;&gt;"","Self-reported channel only","Unattributed"))))</f>
        <v/>
      </c>
      <c r="S432" s="24" t="str">
        <f aca="false">IF(Q432="","",IFERROR(INDEX('Post Tracker'!$G$5:$G$1004,MATCH(Q432,'Post Tracker'!$A$5:$A$1004,0)),"ID NOT FOUND"))</f>
        <v/>
      </c>
      <c r="T432" s="24" t="str">
        <f aca="false">IF(Q432="","",IFERROR(INDEX('Post Tracker'!$K$5:$K$1004,MATCH(Q432,'Post Tracker'!$A$5:$A$1004,0))&amp;"",""))</f>
        <v/>
      </c>
      <c r="U432" s="33" t="str">
        <f aca="false">IF(OR(Q432="",B432=""),"",IFERROR(B432-INDEX('Post Tracker'!$B$5:$B$1004,MATCH(Q432,'Post Tracker'!$A$5:$A$1004,0)),""))</f>
        <v/>
      </c>
      <c r="V432" s="39"/>
      <c r="W432" s="29"/>
      <c r="X432" s="29"/>
      <c r="Y432" s="29"/>
      <c r="Z432" s="30"/>
      <c r="AA432" s="29"/>
      <c r="AB432" s="29"/>
    </row>
    <row r="433" customFormat="false" ht="15" hidden="false" customHeight="false" outlineLevel="0" collapsed="false">
      <c r="A433" s="41" t="str">
        <f aca="false">IF(B433="","",ROW()-4)</f>
        <v/>
      </c>
      <c r="B433" s="39"/>
      <c r="C433" s="29"/>
      <c r="D433" s="29"/>
      <c r="E433" s="29"/>
      <c r="F433" s="29"/>
      <c r="G433" s="29"/>
      <c r="H433" s="32"/>
      <c r="I433" s="29"/>
      <c r="J433" s="29"/>
      <c r="K433" s="29"/>
      <c r="L433" s="29"/>
      <c r="M433" s="29"/>
      <c r="N433" s="29"/>
      <c r="O433" s="29"/>
      <c r="P433" s="29"/>
      <c r="Q433" s="24" t="str">
        <f aca="false">IF(N433&lt;&gt;"",UPPER(TRIM(N433)),IF(P433&lt;&gt;"",UPPER(TRIM(P433)),""))</f>
        <v/>
      </c>
      <c r="R433" s="24" t="str">
        <f aca="false">IF(B433="","",IF(N433&lt;&gt;"","UTM tracked",IF(P433&lt;&gt;"","Manual / self-reported",IF(O433&lt;&gt;"","Self-reported channel only","Unattributed"))))</f>
        <v/>
      </c>
      <c r="S433" s="24" t="str">
        <f aca="false">IF(Q433="","",IFERROR(INDEX('Post Tracker'!$G$5:$G$1004,MATCH(Q433,'Post Tracker'!$A$5:$A$1004,0)),"ID NOT FOUND"))</f>
        <v/>
      </c>
      <c r="T433" s="24" t="str">
        <f aca="false">IF(Q433="","",IFERROR(INDEX('Post Tracker'!$K$5:$K$1004,MATCH(Q433,'Post Tracker'!$A$5:$A$1004,0))&amp;"",""))</f>
        <v/>
      </c>
      <c r="U433" s="33" t="str">
        <f aca="false">IF(OR(Q433="",B433=""),"",IFERROR(B433-INDEX('Post Tracker'!$B$5:$B$1004,MATCH(Q433,'Post Tracker'!$A$5:$A$1004,0)),""))</f>
        <v/>
      </c>
      <c r="V433" s="39"/>
      <c r="W433" s="29"/>
      <c r="X433" s="29"/>
      <c r="Y433" s="29"/>
      <c r="Z433" s="30"/>
      <c r="AA433" s="29"/>
      <c r="AB433" s="29"/>
    </row>
    <row r="434" customFormat="false" ht="15" hidden="false" customHeight="false" outlineLevel="0" collapsed="false">
      <c r="A434" s="41" t="str">
        <f aca="false">IF(B434="","",ROW()-4)</f>
        <v/>
      </c>
      <c r="B434" s="39"/>
      <c r="C434" s="29"/>
      <c r="D434" s="29"/>
      <c r="E434" s="29"/>
      <c r="F434" s="29"/>
      <c r="G434" s="29"/>
      <c r="H434" s="32"/>
      <c r="I434" s="29"/>
      <c r="J434" s="29"/>
      <c r="K434" s="29"/>
      <c r="L434" s="29"/>
      <c r="M434" s="29"/>
      <c r="N434" s="29"/>
      <c r="O434" s="29"/>
      <c r="P434" s="29"/>
      <c r="Q434" s="24" t="str">
        <f aca="false">IF(N434&lt;&gt;"",UPPER(TRIM(N434)),IF(P434&lt;&gt;"",UPPER(TRIM(P434)),""))</f>
        <v/>
      </c>
      <c r="R434" s="24" t="str">
        <f aca="false">IF(B434="","",IF(N434&lt;&gt;"","UTM tracked",IF(P434&lt;&gt;"","Manual / self-reported",IF(O434&lt;&gt;"","Self-reported channel only","Unattributed"))))</f>
        <v/>
      </c>
      <c r="S434" s="24" t="str">
        <f aca="false">IF(Q434="","",IFERROR(INDEX('Post Tracker'!$G$5:$G$1004,MATCH(Q434,'Post Tracker'!$A$5:$A$1004,0)),"ID NOT FOUND"))</f>
        <v/>
      </c>
      <c r="T434" s="24" t="str">
        <f aca="false">IF(Q434="","",IFERROR(INDEX('Post Tracker'!$K$5:$K$1004,MATCH(Q434,'Post Tracker'!$A$5:$A$1004,0))&amp;"",""))</f>
        <v/>
      </c>
      <c r="U434" s="33" t="str">
        <f aca="false">IF(OR(Q434="",B434=""),"",IFERROR(B434-INDEX('Post Tracker'!$B$5:$B$1004,MATCH(Q434,'Post Tracker'!$A$5:$A$1004,0)),""))</f>
        <v/>
      </c>
      <c r="V434" s="39"/>
      <c r="W434" s="29"/>
      <c r="X434" s="29"/>
      <c r="Y434" s="29"/>
      <c r="Z434" s="30"/>
      <c r="AA434" s="29"/>
      <c r="AB434" s="29"/>
    </row>
    <row r="435" customFormat="false" ht="15" hidden="false" customHeight="false" outlineLevel="0" collapsed="false">
      <c r="A435" s="41" t="str">
        <f aca="false">IF(B435="","",ROW()-4)</f>
        <v/>
      </c>
      <c r="B435" s="39"/>
      <c r="C435" s="29"/>
      <c r="D435" s="29"/>
      <c r="E435" s="29"/>
      <c r="F435" s="29"/>
      <c r="G435" s="29"/>
      <c r="H435" s="32"/>
      <c r="I435" s="29"/>
      <c r="J435" s="29"/>
      <c r="K435" s="29"/>
      <c r="L435" s="29"/>
      <c r="M435" s="29"/>
      <c r="N435" s="29"/>
      <c r="O435" s="29"/>
      <c r="P435" s="29"/>
      <c r="Q435" s="24" t="str">
        <f aca="false">IF(N435&lt;&gt;"",UPPER(TRIM(N435)),IF(P435&lt;&gt;"",UPPER(TRIM(P435)),""))</f>
        <v/>
      </c>
      <c r="R435" s="24" t="str">
        <f aca="false">IF(B435="","",IF(N435&lt;&gt;"","UTM tracked",IF(P435&lt;&gt;"","Manual / self-reported",IF(O435&lt;&gt;"","Self-reported channel only","Unattributed"))))</f>
        <v/>
      </c>
      <c r="S435" s="24" t="str">
        <f aca="false">IF(Q435="","",IFERROR(INDEX('Post Tracker'!$G$5:$G$1004,MATCH(Q435,'Post Tracker'!$A$5:$A$1004,0)),"ID NOT FOUND"))</f>
        <v/>
      </c>
      <c r="T435" s="24" t="str">
        <f aca="false">IF(Q435="","",IFERROR(INDEX('Post Tracker'!$K$5:$K$1004,MATCH(Q435,'Post Tracker'!$A$5:$A$1004,0))&amp;"",""))</f>
        <v/>
      </c>
      <c r="U435" s="33" t="str">
        <f aca="false">IF(OR(Q435="",B435=""),"",IFERROR(B435-INDEX('Post Tracker'!$B$5:$B$1004,MATCH(Q435,'Post Tracker'!$A$5:$A$1004,0)),""))</f>
        <v/>
      </c>
      <c r="V435" s="39"/>
      <c r="W435" s="29"/>
      <c r="X435" s="29"/>
      <c r="Y435" s="29"/>
      <c r="Z435" s="30"/>
      <c r="AA435" s="29"/>
      <c r="AB435" s="29"/>
    </row>
    <row r="436" customFormat="false" ht="15" hidden="false" customHeight="false" outlineLevel="0" collapsed="false">
      <c r="A436" s="41" t="str">
        <f aca="false">IF(B436="","",ROW()-4)</f>
        <v/>
      </c>
      <c r="B436" s="39"/>
      <c r="C436" s="29"/>
      <c r="D436" s="29"/>
      <c r="E436" s="29"/>
      <c r="F436" s="29"/>
      <c r="G436" s="29"/>
      <c r="H436" s="32"/>
      <c r="I436" s="29"/>
      <c r="J436" s="29"/>
      <c r="K436" s="29"/>
      <c r="L436" s="29"/>
      <c r="M436" s="29"/>
      <c r="N436" s="29"/>
      <c r="O436" s="29"/>
      <c r="P436" s="29"/>
      <c r="Q436" s="24" t="str">
        <f aca="false">IF(N436&lt;&gt;"",UPPER(TRIM(N436)),IF(P436&lt;&gt;"",UPPER(TRIM(P436)),""))</f>
        <v/>
      </c>
      <c r="R436" s="24" t="str">
        <f aca="false">IF(B436="","",IF(N436&lt;&gt;"","UTM tracked",IF(P436&lt;&gt;"","Manual / self-reported",IF(O436&lt;&gt;"","Self-reported channel only","Unattributed"))))</f>
        <v/>
      </c>
      <c r="S436" s="24" t="str">
        <f aca="false">IF(Q436="","",IFERROR(INDEX('Post Tracker'!$G$5:$G$1004,MATCH(Q436,'Post Tracker'!$A$5:$A$1004,0)),"ID NOT FOUND"))</f>
        <v/>
      </c>
      <c r="T436" s="24" t="str">
        <f aca="false">IF(Q436="","",IFERROR(INDEX('Post Tracker'!$K$5:$K$1004,MATCH(Q436,'Post Tracker'!$A$5:$A$1004,0))&amp;"",""))</f>
        <v/>
      </c>
      <c r="U436" s="33" t="str">
        <f aca="false">IF(OR(Q436="",B436=""),"",IFERROR(B436-INDEX('Post Tracker'!$B$5:$B$1004,MATCH(Q436,'Post Tracker'!$A$5:$A$1004,0)),""))</f>
        <v/>
      </c>
      <c r="V436" s="39"/>
      <c r="W436" s="29"/>
      <c r="X436" s="29"/>
      <c r="Y436" s="29"/>
      <c r="Z436" s="30"/>
      <c r="AA436" s="29"/>
      <c r="AB436" s="29"/>
    </row>
    <row r="437" customFormat="false" ht="15" hidden="false" customHeight="false" outlineLevel="0" collapsed="false">
      <c r="A437" s="41" t="str">
        <f aca="false">IF(B437="","",ROW()-4)</f>
        <v/>
      </c>
      <c r="B437" s="39"/>
      <c r="C437" s="29"/>
      <c r="D437" s="29"/>
      <c r="E437" s="29"/>
      <c r="F437" s="29"/>
      <c r="G437" s="29"/>
      <c r="H437" s="32"/>
      <c r="I437" s="29"/>
      <c r="J437" s="29"/>
      <c r="K437" s="29"/>
      <c r="L437" s="29"/>
      <c r="M437" s="29"/>
      <c r="N437" s="29"/>
      <c r="O437" s="29"/>
      <c r="P437" s="29"/>
      <c r="Q437" s="24" t="str">
        <f aca="false">IF(N437&lt;&gt;"",UPPER(TRIM(N437)),IF(P437&lt;&gt;"",UPPER(TRIM(P437)),""))</f>
        <v/>
      </c>
      <c r="R437" s="24" t="str">
        <f aca="false">IF(B437="","",IF(N437&lt;&gt;"","UTM tracked",IF(P437&lt;&gt;"","Manual / self-reported",IF(O437&lt;&gt;"","Self-reported channel only","Unattributed"))))</f>
        <v/>
      </c>
      <c r="S437" s="24" t="str">
        <f aca="false">IF(Q437="","",IFERROR(INDEX('Post Tracker'!$G$5:$G$1004,MATCH(Q437,'Post Tracker'!$A$5:$A$1004,0)),"ID NOT FOUND"))</f>
        <v/>
      </c>
      <c r="T437" s="24" t="str">
        <f aca="false">IF(Q437="","",IFERROR(INDEX('Post Tracker'!$K$5:$K$1004,MATCH(Q437,'Post Tracker'!$A$5:$A$1004,0))&amp;"",""))</f>
        <v/>
      </c>
      <c r="U437" s="33" t="str">
        <f aca="false">IF(OR(Q437="",B437=""),"",IFERROR(B437-INDEX('Post Tracker'!$B$5:$B$1004,MATCH(Q437,'Post Tracker'!$A$5:$A$1004,0)),""))</f>
        <v/>
      </c>
      <c r="V437" s="39"/>
      <c r="W437" s="29"/>
      <c r="X437" s="29"/>
      <c r="Y437" s="29"/>
      <c r="Z437" s="30"/>
      <c r="AA437" s="29"/>
      <c r="AB437" s="29"/>
    </row>
    <row r="438" customFormat="false" ht="15" hidden="false" customHeight="false" outlineLevel="0" collapsed="false">
      <c r="A438" s="41" t="str">
        <f aca="false">IF(B438="","",ROW()-4)</f>
        <v/>
      </c>
      <c r="B438" s="39"/>
      <c r="C438" s="29"/>
      <c r="D438" s="29"/>
      <c r="E438" s="29"/>
      <c r="F438" s="29"/>
      <c r="G438" s="29"/>
      <c r="H438" s="32"/>
      <c r="I438" s="29"/>
      <c r="J438" s="29"/>
      <c r="K438" s="29"/>
      <c r="L438" s="29"/>
      <c r="M438" s="29"/>
      <c r="N438" s="29"/>
      <c r="O438" s="29"/>
      <c r="P438" s="29"/>
      <c r="Q438" s="24" t="str">
        <f aca="false">IF(N438&lt;&gt;"",UPPER(TRIM(N438)),IF(P438&lt;&gt;"",UPPER(TRIM(P438)),""))</f>
        <v/>
      </c>
      <c r="R438" s="24" t="str">
        <f aca="false">IF(B438="","",IF(N438&lt;&gt;"","UTM tracked",IF(P438&lt;&gt;"","Manual / self-reported",IF(O438&lt;&gt;"","Self-reported channel only","Unattributed"))))</f>
        <v/>
      </c>
      <c r="S438" s="24" t="str">
        <f aca="false">IF(Q438="","",IFERROR(INDEX('Post Tracker'!$G$5:$G$1004,MATCH(Q438,'Post Tracker'!$A$5:$A$1004,0)),"ID NOT FOUND"))</f>
        <v/>
      </c>
      <c r="T438" s="24" t="str">
        <f aca="false">IF(Q438="","",IFERROR(INDEX('Post Tracker'!$K$5:$K$1004,MATCH(Q438,'Post Tracker'!$A$5:$A$1004,0))&amp;"",""))</f>
        <v/>
      </c>
      <c r="U438" s="33" t="str">
        <f aca="false">IF(OR(Q438="",B438=""),"",IFERROR(B438-INDEX('Post Tracker'!$B$5:$B$1004,MATCH(Q438,'Post Tracker'!$A$5:$A$1004,0)),""))</f>
        <v/>
      </c>
      <c r="V438" s="39"/>
      <c r="W438" s="29"/>
      <c r="X438" s="29"/>
      <c r="Y438" s="29"/>
      <c r="Z438" s="30"/>
      <c r="AA438" s="29"/>
      <c r="AB438" s="29"/>
    </row>
    <row r="439" customFormat="false" ht="15" hidden="false" customHeight="false" outlineLevel="0" collapsed="false">
      <c r="A439" s="41" t="str">
        <f aca="false">IF(B439="","",ROW()-4)</f>
        <v/>
      </c>
      <c r="B439" s="39"/>
      <c r="C439" s="29"/>
      <c r="D439" s="29"/>
      <c r="E439" s="29"/>
      <c r="F439" s="29"/>
      <c r="G439" s="29"/>
      <c r="H439" s="32"/>
      <c r="I439" s="29"/>
      <c r="J439" s="29"/>
      <c r="K439" s="29"/>
      <c r="L439" s="29"/>
      <c r="M439" s="29"/>
      <c r="N439" s="29"/>
      <c r="O439" s="29"/>
      <c r="P439" s="29"/>
      <c r="Q439" s="24" t="str">
        <f aca="false">IF(N439&lt;&gt;"",UPPER(TRIM(N439)),IF(P439&lt;&gt;"",UPPER(TRIM(P439)),""))</f>
        <v/>
      </c>
      <c r="R439" s="24" t="str">
        <f aca="false">IF(B439="","",IF(N439&lt;&gt;"","UTM tracked",IF(P439&lt;&gt;"","Manual / self-reported",IF(O439&lt;&gt;"","Self-reported channel only","Unattributed"))))</f>
        <v/>
      </c>
      <c r="S439" s="24" t="str">
        <f aca="false">IF(Q439="","",IFERROR(INDEX('Post Tracker'!$G$5:$G$1004,MATCH(Q439,'Post Tracker'!$A$5:$A$1004,0)),"ID NOT FOUND"))</f>
        <v/>
      </c>
      <c r="T439" s="24" t="str">
        <f aca="false">IF(Q439="","",IFERROR(INDEX('Post Tracker'!$K$5:$K$1004,MATCH(Q439,'Post Tracker'!$A$5:$A$1004,0))&amp;"",""))</f>
        <v/>
      </c>
      <c r="U439" s="33" t="str">
        <f aca="false">IF(OR(Q439="",B439=""),"",IFERROR(B439-INDEX('Post Tracker'!$B$5:$B$1004,MATCH(Q439,'Post Tracker'!$A$5:$A$1004,0)),""))</f>
        <v/>
      </c>
      <c r="V439" s="39"/>
      <c r="W439" s="29"/>
      <c r="X439" s="29"/>
      <c r="Y439" s="29"/>
      <c r="Z439" s="30"/>
      <c r="AA439" s="29"/>
      <c r="AB439" s="29"/>
    </row>
    <row r="440" customFormat="false" ht="15" hidden="false" customHeight="false" outlineLevel="0" collapsed="false">
      <c r="A440" s="41" t="str">
        <f aca="false">IF(B440="","",ROW()-4)</f>
        <v/>
      </c>
      <c r="B440" s="39"/>
      <c r="C440" s="29"/>
      <c r="D440" s="29"/>
      <c r="E440" s="29"/>
      <c r="F440" s="29"/>
      <c r="G440" s="29"/>
      <c r="H440" s="32"/>
      <c r="I440" s="29"/>
      <c r="J440" s="29"/>
      <c r="K440" s="29"/>
      <c r="L440" s="29"/>
      <c r="M440" s="29"/>
      <c r="N440" s="29"/>
      <c r="O440" s="29"/>
      <c r="P440" s="29"/>
      <c r="Q440" s="24" t="str">
        <f aca="false">IF(N440&lt;&gt;"",UPPER(TRIM(N440)),IF(P440&lt;&gt;"",UPPER(TRIM(P440)),""))</f>
        <v/>
      </c>
      <c r="R440" s="24" t="str">
        <f aca="false">IF(B440="","",IF(N440&lt;&gt;"","UTM tracked",IF(P440&lt;&gt;"","Manual / self-reported",IF(O440&lt;&gt;"","Self-reported channel only","Unattributed"))))</f>
        <v/>
      </c>
      <c r="S440" s="24" t="str">
        <f aca="false">IF(Q440="","",IFERROR(INDEX('Post Tracker'!$G$5:$G$1004,MATCH(Q440,'Post Tracker'!$A$5:$A$1004,0)),"ID NOT FOUND"))</f>
        <v/>
      </c>
      <c r="T440" s="24" t="str">
        <f aca="false">IF(Q440="","",IFERROR(INDEX('Post Tracker'!$K$5:$K$1004,MATCH(Q440,'Post Tracker'!$A$5:$A$1004,0))&amp;"",""))</f>
        <v/>
      </c>
      <c r="U440" s="33" t="str">
        <f aca="false">IF(OR(Q440="",B440=""),"",IFERROR(B440-INDEX('Post Tracker'!$B$5:$B$1004,MATCH(Q440,'Post Tracker'!$A$5:$A$1004,0)),""))</f>
        <v/>
      </c>
      <c r="V440" s="39"/>
      <c r="W440" s="29"/>
      <c r="X440" s="29"/>
      <c r="Y440" s="29"/>
      <c r="Z440" s="30"/>
      <c r="AA440" s="29"/>
      <c r="AB440" s="29"/>
    </row>
    <row r="441" customFormat="false" ht="15" hidden="false" customHeight="false" outlineLevel="0" collapsed="false">
      <c r="A441" s="41" t="str">
        <f aca="false">IF(B441="","",ROW()-4)</f>
        <v/>
      </c>
      <c r="B441" s="39"/>
      <c r="C441" s="29"/>
      <c r="D441" s="29"/>
      <c r="E441" s="29"/>
      <c r="F441" s="29"/>
      <c r="G441" s="29"/>
      <c r="H441" s="32"/>
      <c r="I441" s="29"/>
      <c r="J441" s="29"/>
      <c r="K441" s="29"/>
      <c r="L441" s="29"/>
      <c r="M441" s="29"/>
      <c r="N441" s="29"/>
      <c r="O441" s="29"/>
      <c r="P441" s="29"/>
      <c r="Q441" s="24" t="str">
        <f aca="false">IF(N441&lt;&gt;"",UPPER(TRIM(N441)),IF(P441&lt;&gt;"",UPPER(TRIM(P441)),""))</f>
        <v/>
      </c>
      <c r="R441" s="24" t="str">
        <f aca="false">IF(B441="","",IF(N441&lt;&gt;"","UTM tracked",IF(P441&lt;&gt;"","Manual / self-reported",IF(O441&lt;&gt;"","Self-reported channel only","Unattributed"))))</f>
        <v/>
      </c>
      <c r="S441" s="24" t="str">
        <f aca="false">IF(Q441="","",IFERROR(INDEX('Post Tracker'!$G$5:$G$1004,MATCH(Q441,'Post Tracker'!$A$5:$A$1004,0)),"ID NOT FOUND"))</f>
        <v/>
      </c>
      <c r="T441" s="24" t="str">
        <f aca="false">IF(Q441="","",IFERROR(INDEX('Post Tracker'!$K$5:$K$1004,MATCH(Q441,'Post Tracker'!$A$5:$A$1004,0))&amp;"",""))</f>
        <v/>
      </c>
      <c r="U441" s="33" t="str">
        <f aca="false">IF(OR(Q441="",B441=""),"",IFERROR(B441-INDEX('Post Tracker'!$B$5:$B$1004,MATCH(Q441,'Post Tracker'!$A$5:$A$1004,0)),""))</f>
        <v/>
      </c>
      <c r="V441" s="39"/>
      <c r="W441" s="29"/>
      <c r="X441" s="29"/>
      <c r="Y441" s="29"/>
      <c r="Z441" s="30"/>
      <c r="AA441" s="29"/>
      <c r="AB441" s="29"/>
    </row>
    <row r="442" customFormat="false" ht="15" hidden="false" customHeight="false" outlineLevel="0" collapsed="false">
      <c r="A442" s="41" t="str">
        <f aca="false">IF(B442="","",ROW()-4)</f>
        <v/>
      </c>
      <c r="B442" s="39"/>
      <c r="C442" s="29"/>
      <c r="D442" s="29"/>
      <c r="E442" s="29"/>
      <c r="F442" s="29"/>
      <c r="G442" s="29"/>
      <c r="H442" s="32"/>
      <c r="I442" s="29"/>
      <c r="J442" s="29"/>
      <c r="K442" s="29"/>
      <c r="L442" s="29"/>
      <c r="M442" s="29"/>
      <c r="N442" s="29"/>
      <c r="O442" s="29"/>
      <c r="P442" s="29"/>
      <c r="Q442" s="24" t="str">
        <f aca="false">IF(N442&lt;&gt;"",UPPER(TRIM(N442)),IF(P442&lt;&gt;"",UPPER(TRIM(P442)),""))</f>
        <v/>
      </c>
      <c r="R442" s="24" t="str">
        <f aca="false">IF(B442="","",IF(N442&lt;&gt;"","UTM tracked",IF(P442&lt;&gt;"","Manual / self-reported",IF(O442&lt;&gt;"","Self-reported channel only","Unattributed"))))</f>
        <v/>
      </c>
      <c r="S442" s="24" t="str">
        <f aca="false">IF(Q442="","",IFERROR(INDEX('Post Tracker'!$G$5:$G$1004,MATCH(Q442,'Post Tracker'!$A$5:$A$1004,0)),"ID NOT FOUND"))</f>
        <v/>
      </c>
      <c r="T442" s="24" t="str">
        <f aca="false">IF(Q442="","",IFERROR(INDEX('Post Tracker'!$K$5:$K$1004,MATCH(Q442,'Post Tracker'!$A$5:$A$1004,0))&amp;"",""))</f>
        <v/>
      </c>
      <c r="U442" s="33" t="str">
        <f aca="false">IF(OR(Q442="",B442=""),"",IFERROR(B442-INDEX('Post Tracker'!$B$5:$B$1004,MATCH(Q442,'Post Tracker'!$A$5:$A$1004,0)),""))</f>
        <v/>
      </c>
      <c r="V442" s="39"/>
      <c r="W442" s="29"/>
      <c r="X442" s="29"/>
      <c r="Y442" s="29"/>
      <c r="Z442" s="30"/>
      <c r="AA442" s="29"/>
      <c r="AB442" s="29"/>
    </row>
    <row r="443" customFormat="false" ht="15" hidden="false" customHeight="false" outlineLevel="0" collapsed="false">
      <c r="A443" s="41" t="str">
        <f aca="false">IF(B443="","",ROW()-4)</f>
        <v/>
      </c>
      <c r="B443" s="39"/>
      <c r="C443" s="29"/>
      <c r="D443" s="29"/>
      <c r="E443" s="29"/>
      <c r="F443" s="29"/>
      <c r="G443" s="29"/>
      <c r="H443" s="32"/>
      <c r="I443" s="29"/>
      <c r="J443" s="29"/>
      <c r="K443" s="29"/>
      <c r="L443" s="29"/>
      <c r="M443" s="29"/>
      <c r="N443" s="29"/>
      <c r="O443" s="29"/>
      <c r="P443" s="29"/>
      <c r="Q443" s="24" t="str">
        <f aca="false">IF(N443&lt;&gt;"",UPPER(TRIM(N443)),IF(P443&lt;&gt;"",UPPER(TRIM(P443)),""))</f>
        <v/>
      </c>
      <c r="R443" s="24" t="str">
        <f aca="false">IF(B443="","",IF(N443&lt;&gt;"","UTM tracked",IF(P443&lt;&gt;"","Manual / self-reported",IF(O443&lt;&gt;"","Self-reported channel only","Unattributed"))))</f>
        <v/>
      </c>
      <c r="S443" s="24" t="str">
        <f aca="false">IF(Q443="","",IFERROR(INDEX('Post Tracker'!$G$5:$G$1004,MATCH(Q443,'Post Tracker'!$A$5:$A$1004,0)),"ID NOT FOUND"))</f>
        <v/>
      </c>
      <c r="T443" s="24" t="str">
        <f aca="false">IF(Q443="","",IFERROR(INDEX('Post Tracker'!$K$5:$K$1004,MATCH(Q443,'Post Tracker'!$A$5:$A$1004,0))&amp;"",""))</f>
        <v/>
      </c>
      <c r="U443" s="33" t="str">
        <f aca="false">IF(OR(Q443="",B443=""),"",IFERROR(B443-INDEX('Post Tracker'!$B$5:$B$1004,MATCH(Q443,'Post Tracker'!$A$5:$A$1004,0)),""))</f>
        <v/>
      </c>
      <c r="V443" s="39"/>
      <c r="W443" s="29"/>
      <c r="X443" s="29"/>
      <c r="Y443" s="29"/>
      <c r="Z443" s="30"/>
      <c r="AA443" s="29"/>
      <c r="AB443" s="29"/>
    </row>
    <row r="444" customFormat="false" ht="15" hidden="false" customHeight="false" outlineLevel="0" collapsed="false">
      <c r="A444" s="41" t="str">
        <f aca="false">IF(B444="","",ROW()-4)</f>
        <v/>
      </c>
      <c r="B444" s="39"/>
      <c r="C444" s="29"/>
      <c r="D444" s="29"/>
      <c r="E444" s="29"/>
      <c r="F444" s="29"/>
      <c r="G444" s="29"/>
      <c r="H444" s="32"/>
      <c r="I444" s="29"/>
      <c r="J444" s="29"/>
      <c r="K444" s="29"/>
      <c r="L444" s="29"/>
      <c r="M444" s="29"/>
      <c r="N444" s="29"/>
      <c r="O444" s="29"/>
      <c r="P444" s="29"/>
      <c r="Q444" s="24" t="str">
        <f aca="false">IF(N444&lt;&gt;"",UPPER(TRIM(N444)),IF(P444&lt;&gt;"",UPPER(TRIM(P444)),""))</f>
        <v/>
      </c>
      <c r="R444" s="24" t="str">
        <f aca="false">IF(B444="","",IF(N444&lt;&gt;"","UTM tracked",IF(P444&lt;&gt;"","Manual / self-reported",IF(O444&lt;&gt;"","Self-reported channel only","Unattributed"))))</f>
        <v/>
      </c>
      <c r="S444" s="24" t="str">
        <f aca="false">IF(Q444="","",IFERROR(INDEX('Post Tracker'!$G$5:$G$1004,MATCH(Q444,'Post Tracker'!$A$5:$A$1004,0)),"ID NOT FOUND"))</f>
        <v/>
      </c>
      <c r="T444" s="24" t="str">
        <f aca="false">IF(Q444="","",IFERROR(INDEX('Post Tracker'!$K$5:$K$1004,MATCH(Q444,'Post Tracker'!$A$5:$A$1004,0))&amp;"",""))</f>
        <v/>
      </c>
      <c r="U444" s="33" t="str">
        <f aca="false">IF(OR(Q444="",B444=""),"",IFERROR(B444-INDEX('Post Tracker'!$B$5:$B$1004,MATCH(Q444,'Post Tracker'!$A$5:$A$1004,0)),""))</f>
        <v/>
      </c>
      <c r="V444" s="39"/>
      <c r="W444" s="29"/>
      <c r="X444" s="29"/>
      <c r="Y444" s="29"/>
      <c r="Z444" s="30"/>
      <c r="AA444" s="29"/>
      <c r="AB444" s="29"/>
    </row>
    <row r="445" customFormat="false" ht="15" hidden="false" customHeight="false" outlineLevel="0" collapsed="false">
      <c r="A445" s="41" t="str">
        <f aca="false">IF(B445="","",ROW()-4)</f>
        <v/>
      </c>
      <c r="B445" s="39"/>
      <c r="C445" s="29"/>
      <c r="D445" s="29"/>
      <c r="E445" s="29"/>
      <c r="F445" s="29"/>
      <c r="G445" s="29"/>
      <c r="H445" s="32"/>
      <c r="I445" s="29"/>
      <c r="J445" s="29"/>
      <c r="K445" s="29"/>
      <c r="L445" s="29"/>
      <c r="M445" s="29"/>
      <c r="N445" s="29"/>
      <c r="O445" s="29"/>
      <c r="P445" s="29"/>
      <c r="Q445" s="24" t="str">
        <f aca="false">IF(N445&lt;&gt;"",UPPER(TRIM(N445)),IF(P445&lt;&gt;"",UPPER(TRIM(P445)),""))</f>
        <v/>
      </c>
      <c r="R445" s="24" t="str">
        <f aca="false">IF(B445="","",IF(N445&lt;&gt;"","UTM tracked",IF(P445&lt;&gt;"","Manual / self-reported",IF(O445&lt;&gt;"","Self-reported channel only","Unattributed"))))</f>
        <v/>
      </c>
      <c r="S445" s="24" t="str">
        <f aca="false">IF(Q445="","",IFERROR(INDEX('Post Tracker'!$G$5:$G$1004,MATCH(Q445,'Post Tracker'!$A$5:$A$1004,0)),"ID NOT FOUND"))</f>
        <v/>
      </c>
      <c r="T445" s="24" t="str">
        <f aca="false">IF(Q445="","",IFERROR(INDEX('Post Tracker'!$K$5:$K$1004,MATCH(Q445,'Post Tracker'!$A$5:$A$1004,0))&amp;"",""))</f>
        <v/>
      </c>
      <c r="U445" s="33" t="str">
        <f aca="false">IF(OR(Q445="",B445=""),"",IFERROR(B445-INDEX('Post Tracker'!$B$5:$B$1004,MATCH(Q445,'Post Tracker'!$A$5:$A$1004,0)),""))</f>
        <v/>
      </c>
      <c r="V445" s="39"/>
      <c r="W445" s="29"/>
      <c r="X445" s="29"/>
      <c r="Y445" s="29"/>
      <c r="Z445" s="30"/>
      <c r="AA445" s="29"/>
      <c r="AB445" s="29"/>
    </row>
    <row r="446" customFormat="false" ht="15" hidden="false" customHeight="false" outlineLevel="0" collapsed="false">
      <c r="A446" s="41" t="str">
        <f aca="false">IF(B446="","",ROW()-4)</f>
        <v/>
      </c>
      <c r="B446" s="39"/>
      <c r="C446" s="29"/>
      <c r="D446" s="29"/>
      <c r="E446" s="29"/>
      <c r="F446" s="29"/>
      <c r="G446" s="29"/>
      <c r="H446" s="32"/>
      <c r="I446" s="29"/>
      <c r="J446" s="29"/>
      <c r="K446" s="29"/>
      <c r="L446" s="29"/>
      <c r="M446" s="29"/>
      <c r="N446" s="29"/>
      <c r="O446" s="29"/>
      <c r="P446" s="29"/>
      <c r="Q446" s="24" t="str">
        <f aca="false">IF(N446&lt;&gt;"",UPPER(TRIM(N446)),IF(P446&lt;&gt;"",UPPER(TRIM(P446)),""))</f>
        <v/>
      </c>
      <c r="R446" s="24" t="str">
        <f aca="false">IF(B446="","",IF(N446&lt;&gt;"","UTM tracked",IF(P446&lt;&gt;"","Manual / self-reported",IF(O446&lt;&gt;"","Self-reported channel only","Unattributed"))))</f>
        <v/>
      </c>
      <c r="S446" s="24" t="str">
        <f aca="false">IF(Q446="","",IFERROR(INDEX('Post Tracker'!$G$5:$G$1004,MATCH(Q446,'Post Tracker'!$A$5:$A$1004,0)),"ID NOT FOUND"))</f>
        <v/>
      </c>
      <c r="T446" s="24" t="str">
        <f aca="false">IF(Q446="","",IFERROR(INDEX('Post Tracker'!$K$5:$K$1004,MATCH(Q446,'Post Tracker'!$A$5:$A$1004,0))&amp;"",""))</f>
        <v/>
      </c>
      <c r="U446" s="33" t="str">
        <f aca="false">IF(OR(Q446="",B446=""),"",IFERROR(B446-INDEX('Post Tracker'!$B$5:$B$1004,MATCH(Q446,'Post Tracker'!$A$5:$A$1004,0)),""))</f>
        <v/>
      </c>
      <c r="V446" s="39"/>
      <c r="W446" s="29"/>
      <c r="X446" s="29"/>
      <c r="Y446" s="29"/>
      <c r="Z446" s="30"/>
      <c r="AA446" s="29"/>
      <c r="AB446" s="29"/>
    </row>
    <row r="447" customFormat="false" ht="15" hidden="false" customHeight="false" outlineLevel="0" collapsed="false">
      <c r="A447" s="41" t="str">
        <f aca="false">IF(B447="","",ROW()-4)</f>
        <v/>
      </c>
      <c r="B447" s="39"/>
      <c r="C447" s="29"/>
      <c r="D447" s="29"/>
      <c r="E447" s="29"/>
      <c r="F447" s="29"/>
      <c r="G447" s="29"/>
      <c r="H447" s="32"/>
      <c r="I447" s="29"/>
      <c r="J447" s="29"/>
      <c r="K447" s="29"/>
      <c r="L447" s="29"/>
      <c r="M447" s="29"/>
      <c r="N447" s="29"/>
      <c r="O447" s="29"/>
      <c r="P447" s="29"/>
      <c r="Q447" s="24" t="str">
        <f aca="false">IF(N447&lt;&gt;"",UPPER(TRIM(N447)),IF(P447&lt;&gt;"",UPPER(TRIM(P447)),""))</f>
        <v/>
      </c>
      <c r="R447" s="24" t="str">
        <f aca="false">IF(B447="","",IF(N447&lt;&gt;"","UTM tracked",IF(P447&lt;&gt;"","Manual / self-reported",IF(O447&lt;&gt;"","Self-reported channel only","Unattributed"))))</f>
        <v/>
      </c>
      <c r="S447" s="24" t="str">
        <f aca="false">IF(Q447="","",IFERROR(INDEX('Post Tracker'!$G$5:$G$1004,MATCH(Q447,'Post Tracker'!$A$5:$A$1004,0)),"ID NOT FOUND"))</f>
        <v/>
      </c>
      <c r="T447" s="24" t="str">
        <f aca="false">IF(Q447="","",IFERROR(INDEX('Post Tracker'!$K$5:$K$1004,MATCH(Q447,'Post Tracker'!$A$5:$A$1004,0))&amp;"",""))</f>
        <v/>
      </c>
      <c r="U447" s="33" t="str">
        <f aca="false">IF(OR(Q447="",B447=""),"",IFERROR(B447-INDEX('Post Tracker'!$B$5:$B$1004,MATCH(Q447,'Post Tracker'!$A$5:$A$1004,0)),""))</f>
        <v/>
      </c>
      <c r="V447" s="39"/>
      <c r="W447" s="29"/>
      <c r="X447" s="29"/>
      <c r="Y447" s="29"/>
      <c r="Z447" s="30"/>
      <c r="AA447" s="29"/>
      <c r="AB447" s="29"/>
    </row>
    <row r="448" customFormat="false" ht="15" hidden="false" customHeight="false" outlineLevel="0" collapsed="false">
      <c r="A448" s="41" t="str">
        <f aca="false">IF(B448="","",ROW()-4)</f>
        <v/>
      </c>
      <c r="B448" s="39"/>
      <c r="C448" s="29"/>
      <c r="D448" s="29"/>
      <c r="E448" s="29"/>
      <c r="F448" s="29"/>
      <c r="G448" s="29"/>
      <c r="H448" s="32"/>
      <c r="I448" s="29"/>
      <c r="J448" s="29"/>
      <c r="K448" s="29"/>
      <c r="L448" s="29"/>
      <c r="M448" s="29"/>
      <c r="N448" s="29"/>
      <c r="O448" s="29"/>
      <c r="P448" s="29"/>
      <c r="Q448" s="24" t="str">
        <f aca="false">IF(N448&lt;&gt;"",UPPER(TRIM(N448)),IF(P448&lt;&gt;"",UPPER(TRIM(P448)),""))</f>
        <v/>
      </c>
      <c r="R448" s="24" t="str">
        <f aca="false">IF(B448="","",IF(N448&lt;&gt;"","UTM tracked",IF(P448&lt;&gt;"","Manual / self-reported",IF(O448&lt;&gt;"","Self-reported channel only","Unattributed"))))</f>
        <v/>
      </c>
      <c r="S448" s="24" t="str">
        <f aca="false">IF(Q448="","",IFERROR(INDEX('Post Tracker'!$G$5:$G$1004,MATCH(Q448,'Post Tracker'!$A$5:$A$1004,0)),"ID NOT FOUND"))</f>
        <v/>
      </c>
      <c r="T448" s="24" t="str">
        <f aca="false">IF(Q448="","",IFERROR(INDEX('Post Tracker'!$K$5:$K$1004,MATCH(Q448,'Post Tracker'!$A$5:$A$1004,0))&amp;"",""))</f>
        <v/>
      </c>
      <c r="U448" s="33" t="str">
        <f aca="false">IF(OR(Q448="",B448=""),"",IFERROR(B448-INDEX('Post Tracker'!$B$5:$B$1004,MATCH(Q448,'Post Tracker'!$A$5:$A$1004,0)),""))</f>
        <v/>
      </c>
      <c r="V448" s="39"/>
      <c r="W448" s="29"/>
      <c r="X448" s="29"/>
      <c r="Y448" s="29"/>
      <c r="Z448" s="30"/>
      <c r="AA448" s="29"/>
      <c r="AB448" s="29"/>
    </row>
    <row r="449" customFormat="false" ht="15" hidden="false" customHeight="false" outlineLevel="0" collapsed="false">
      <c r="A449" s="41" t="str">
        <f aca="false">IF(B449="","",ROW()-4)</f>
        <v/>
      </c>
      <c r="B449" s="39"/>
      <c r="C449" s="29"/>
      <c r="D449" s="29"/>
      <c r="E449" s="29"/>
      <c r="F449" s="29"/>
      <c r="G449" s="29"/>
      <c r="H449" s="32"/>
      <c r="I449" s="29"/>
      <c r="J449" s="29"/>
      <c r="K449" s="29"/>
      <c r="L449" s="29"/>
      <c r="M449" s="29"/>
      <c r="N449" s="29"/>
      <c r="O449" s="29"/>
      <c r="P449" s="29"/>
      <c r="Q449" s="24" t="str">
        <f aca="false">IF(N449&lt;&gt;"",UPPER(TRIM(N449)),IF(P449&lt;&gt;"",UPPER(TRIM(P449)),""))</f>
        <v/>
      </c>
      <c r="R449" s="24" t="str">
        <f aca="false">IF(B449="","",IF(N449&lt;&gt;"","UTM tracked",IF(P449&lt;&gt;"","Manual / self-reported",IF(O449&lt;&gt;"","Self-reported channel only","Unattributed"))))</f>
        <v/>
      </c>
      <c r="S449" s="24" t="str">
        <f aca="false">IF(Q449="","",IFERROR(INDEX('Post Tracker'!$G$5:$G$1004,MATCH(Q449,'Post Tracker'!$A$5:$A$1004,0)),"ID NOT FOUND"))</f>
        <v/>
      </c>
      <c r="T449" s="24" t="str">
        <f aca="false">IF(Q449="","",IFERROR(INDEX('Post Tracker'!$K$5:$K$1004,MATCH(Q449,'Post Tracker'!$A$5:$A$1004,0))&amp;"",""))</f>
        <v/>
      </c>
      <c r="U449" s="33" t="str">
        <f aca="false">IF(OR(Q449="",B449=""),"",IFERROR(B449-INDEX('Post Tracker'!$B$5:$B$1004,MATCH(Q449,'Post Tracker'!$A$5:$A$1004,0)),""))</f>
        <v/>
      </c>
      <c r="V449" s="39"/>
      <c r="W449" s="29"/>
      <c r="X449" s="29"/>
      <c r="Y449" s="29"/>
      <c r="Z449" s="30"/>
      <c r="AA449" s="29"/>
      <c r="AB449" s="29"/>
    </row>
    <row r="450" customFormat="false" ht="15" hidden="false" customHeight="false" outlineLevel="0" collapsed="false">
      <c r="A450" s="41" t="str">
        <f aca="false">IF(B450="","",ROW()-4)</f>
        <v/>
      </c>
      <c r="B450" s="39"/>
      <c r="C450" s="29"/>
      <c r="D450" s="29"/>
      <c r="E450" s="29"/>
      <c r="F450" s="29"/>
      <c r="G450" s="29"/>
      <c r="H450" s="32"/>
      <c r="I450" s="29"/>
      <c r="J450" s="29"/>
      <c r="K450" s="29"/>
      <c r="L450" s="29"/>
      <c r="M450" s="29"/>
      <c r="N450" s="29"/>
      <c r="O450" s="29"/>
      <c r="P450" s="29"/>
      <c r="Q450" s="24" t="str">
        <f aca="false">IF(N450&lt;&gt;"",UPPER(TRIM(N450)),IF(P450&lt;&gt;"",UPPER(TRIM(P450)),""))</f>
        <v/>
      </c>
      <c r="R450" s="24" t="str">
        <f aca="false">IF(B450="","",IF(N450&lt;&gt;"","UTM tracked",IF(P450&lt;&gt;"","Manual / self-reported",IF(O450&lt;&gt;"","Self-reported channel only","Unattributed"))))</f>
        <v/>
      </c>
      <c r="S450" s="24" t="str">
        <f aca="false">IF(Q450="","",IFERROR(INDEX('Post Tracker'!$G$5:$G$1004,MATCH(Q450,'Post Tracker'!$A$5:$A$1004,0)),"ID NOT FOUND"))</f>
        <v/>
      </c>
      <c r="T450" s="24" t="str">
        <f aca="false">IF(Q450="","",IFERROR(INDEX('Post Tracker'!$K$5:$K$1004,MATCH(Q450,'Post Tracker'!$A$5:$A$1004,0))&amp;"",""))</f>
        <v/>
      </c>
      <c r="U450" s="33" t="str">
        <f aca="false">IF(OR(Q450="",B450=""),"",IFERROR(B450-INDEX('Post Tracker'!$B$5:$B$1004,MATCH(Q450,'Post Tracker'!$A$5:$A$1004,0)),""))</f>
        <v/>
      </c>
      <c r="V450" s="39"/>
      <c r="W450" s="29"/>
      <c r="X450" s="29"/>
      <c r="Y450" s="29"/>
      <c r="Z450" s="30"/>
      <c r="AA450" s="29"/>
      <c r="AB450" s="29"/>
    </row>
    <row r="451" customFormat="false" ht="15" hidden="false" customHeight="false" outlineLevel="0" collapsed="false">
      <c r="A451" s="41" t="str">
        <f aca="false">IF(B451="","",ROW()-4)</f>
        <v/>
      </c>
      <c r="B451" s="39"/>
      <c r="C451" s="29"/>
      <c r="D451" s="29"/>
      <c r="E451" s="29"/>
      <c r="F451" s="29"/>
      <c r="G451" s="29"/>
      <c r="H451" s="32"/>
      <c r="I451" s="29"/>
      <c r="J451" s="29"/>
      <c r="K451" s="29"/>
      <c r="L451" s="29"/>
      <c r="M451" s="29"/>
      <c r="N451" s="29"/>
      <c r="O451" s="29"/>
      <c r="P451" s="29"/>
      <c r="Q451" s="24" t="str">
        <f aca="false">IF(N451&lt;&gt;"",UPPER(TRIM(N451)),IF(P451&lt;&gt;"",UPPER(TRIM(P451)),""))</f>
        <v/>
      </c>
      <c r="R451" s="24" t="str">
        <f aca="false">IF(B451="","",IF(N451&lt;&gt;"","UTM tracked",IF(P451&lt;&gt;"","Manual / self-reported",IF(O451&lt;&gt;"","Self-reported channel only","Unattributed"))))</f>
        <v/>
      </c>
      <c r="S451" s="24" t="str">
        <f aca="false">IF(Q451="","",IFERROR(INDEX('Post Tracker'!$G$5:$G$1004,MATCH(Q451,'Post Tracker'!$A$5:$A$1004,0)),"ID NOT FOUND"))</f>
        <v/>
      </c>
      <c r="T451" s="24" t="str">
        <f aca="false">IF(Q451="","",IFERROR(INDEX('Post Tracker'!$K$5:$K$1004,MATCH(Q451,'Post Tracker'!$A$5:$A$1004,0))&amp;"",""))</f>
        <v/>
      </c>
      <c r="U451" s="33" t="str">
        <f aca="false">IF(OR(Q451="",B451=""),"",IFERROR(B451-INDEX('Post Tracker'!$B$5:$B$1004,MATCH(Q451,'Post Tracker'!$A$5:$A$1004,0)),""))</f>
        <v/>
      </c>
      <c r="V451" s="39"/>
      <c r="W451" s="29"/>
      <c r="X451" s="29"/>
      <c r="Y451" s="29"/>
      <c r="Z451" s="30"/>
      <c r="AA451" s="29"/>
      <c r="AB451" s="29"/>
    </row>
    <row r="452" customFormat="false" ht="15" hidden="false" customHeight="false" outlineLevel="0" collapsed="false">
      <c r="A452" s="41" t="str">
        <f aca="false">IF(B452="","",ROW()-4)</f>
        <v/>
      </c>
      <c r="B452" s="39"/>
      <c r="C452" s="29"/>
      <c r="D452" s="29"/>
      <c r="E452" s="29"/>
      <c r="F452" s="29"/>
      <c r="G452" s="29"/>
      <c r="H452" s="32"/>
      <c r="I452" s="29"/>
      <c r="J452" s="29"/>
      <c r="K452" s="29"/>
      <c r="L452" s="29"/>
      <c r="M452" s="29"/>
      <c r="N452" s="29"/>
      <c r="O452" s="29"/>
      <c r="P452" s="29"/>
      <c r="Q452" s="24" t="str">
        <f aca="false">IF(N452&lt;&gt;"",UPPER(TRIM(N452)),IF(P452&lt;&gt;"",UPPER(TRIM(P452)),""))</f>
        <v/>
      </c>
      <c r="R452" s="24" t="str">
        <f aca="false">IF(B452="","",IF(N452&lt;&gt;"","UTM tracked",IF(P452&lt;&gt;"","Manual / self-reported",IF(O452&lt;&gt;"","Self-reported channel only","Unattributed"))))</f>
        <v/>
      </c>
      <c r="S452" s="24" t="str">
        <f aca="false">IF(Q452="","",IFERROR(INDEX('Post Tracker'!$G$5:$G$1004,MATCH(Q452,'Post Tracker'!$A$5:$A$1004,0)),"ID NOT FOUND"))</f>
        <v/>
      </c>
      <c r="T452" s="24" t="str">
        <f aca="false">IF(Q452="","",IFERROR(INDEX('Post Tracker'!$K$5:$K$1004,MATCH(Q452,'Post Tracker'!$A$5:$A$1004,0))&amp;"",""))</f>
        <v/>
      </c>
      <c r="U452" s="33" t="str">
        <f aca="false">IF(OR(Q452="",B452=""),"",IFERROR(B452-INDEX('Post Tracker'!$B$5:$B$1004,MATCH(Q452,'Post Tracker'!$A$5:$A$1004,0)),""))</f>
        <v/>
      </c>
      <c r="V452" s="39"/>
      <c r="W452" s="29"/>
      <c r="X452" s="29"/>
      <c r="Y452" s="29"/>
      <c r="Z452" s="30"/>
      <c r="AA452" s="29"/>
      <c r="AB452" s="29"/>
    </row>
    <row r="453" customFormat="false" ht="15" hidden="false" customHeight="false" outlineLevel="0" collapsed="false">
      <c r="A453" s="41" t="str">
        <f aca="false">IF(B453="","",ROW()-4)</f>
        <v/>
      </c>
      <c r="B453" s="39"/>
      <c r="C453" s="29"/>
      <c r="D453" s="29"/>
      <c r="E453" s="29"/>
      <c r="F453" s="29"/>
      <c r="G453" s="29"/>
      <c r="H453" s="32"/>
      <c r="I453" s="29"/>
      <c r="J453" s="29"/>
      <c r="K453" s="29"/>
      <c r="L453" s="29"/>
      <c r="M453" s="29"/>
      <c r="N453" s="29"/>
      <c r="O453" s="29"/>
      <c r="P453" s="29"/>
      <c r="Q453" s="24" t="str">
        <f aca="false">IF(N453&lt;&gt;"",UPPER(TRIM(N453)),IF(P453&lt;&gt;"",UPPER(TRIM(P453)),""))</f>
        <v/>
      </c>
      <c r="R453" s="24" t="str">
        <f aca="false">IF(B453="","",IF(N453&lt;&gt;"","UTM tracked",IF(P453&lt;&gt;"","Manual / self-reported",IF(O453&lt;&gt;"","Self-reported channel only","Unattributed"))))</f>
        <v/>
      </c>
      <c r="S453" s="24" t="str">
        <f aca="false">IF(Q453="","",IFERROR(INDEX('Post Tracker'!$G$5:$G$1004,MATCH(Q453,'Post Tracker'!$A$5:$A$1004,0)),"ID NOT FOUND"))</f>
        <v/>
      </c>
      <c r="T453" s="24" t="str">
        <f aca="false">IF(Q453="","",IFERROR(INDEX('Post Tracker'!$K$5:$K$1004,MATCH(Q453,'Post Tracker'!$A$5:$A$1004,0))&amp;"",""))</f>
        <v/>
      </c>
      <c r="U453" s="33" t="str">
        <f aca="false">IF(OR(Q453="",B453=""),"",IFERROR(B453-INDEX('Post Tracker'!$B$5:$B$1004,MATCH(Q453,'Post Tracker'!$A$5:$A$1004,0)),""))</f>
        <v/>
      </c>
      <c r="V453" s="39"/>
      <c r="W453" s="29"/>
      <c r="X453" s="29"/>
      <c r="Y453" s="29"/>
      <c r="Z453" s="30"/>
      <c r="AA453" s="29"/>
      <c r="AB453" s="29"/>
    </row>
    <row r="454" customFormat="false" ht="15" hidden="false" customHeight="false" outlineLevel="0" collapsed="false">
      <c r="A454" s="41" t="str">
        <f aca="false">IF(B454="","",ROW()-4)</f>
        <v/>
      </c>
      <c r="B454" s="39"/>
      <c r="C454" s="29"/>
      <c r="D454" s="29"/>
      <c r="E454" s="29"/>
      <c r="F454" s="29"/>
      <c r="G454" s="29"/>
      <c r="H454" s="32"/>
      <c r="I454" s="29"/>
      <c r="J454" s="29"/>
      <c r="K454" s="29"/>
      <c r="L454" s="29"/>
      <c r="M454" s="29"/>
      <c r="N454" s="29"/>
      <c r="O454" s="29"/>
      <c r="P454" s="29"/>
      <c r="Q454" s="24" t="str">
        <f aca="false">IF(N454&lt;&gt;"",UPPER(TRIM(N454)),IF(P454&lt;&gt;"",UPPER(TRIM(P454)),""))</f>
        <v/>
      </c>
      <c r="R454" s="24" t="str">
        <f aca="false">IF(B454="","",IF(N454&lt;&gt;"","UTM tracked",IF(P454&lt;&gt;"","Manual / self-reported",IF(O454&lt;&gt;"","Self-reported channel only","Unattributed"))))</f>
        <v/>
      </c>
      <c r="S454" s="24" t="str">
        <f aca="false">IF(Q454="","",IFERROR(INDEX('Post Tracker'!$G$5:$G$1004,MATCH(Q454,'Post Tracker'!$A$5:$A$1004,0)),"ID NOT FOUND"))</f>
        <v/>
      </c>
      <c r="T454" s="24" t="str">
        <f aca="false">IF(Q454="","",IFERROR(INDEX('Post Tracker'!$K$5:$K$1004,MATCH(Q454,'Post Tracker'!$A$5:$A$1004,0))&amp;"",""))</f>
        <v/>
      </c>
      <c r="U454" s="33" t="str">
        <f aca="false">IF(OR(Q454="",B454=""),"",IFERROR(B454-INDEX('Post Tracker'!$B$5:$B$1004,MATCH(Q454,'Post Tracker'!$A$5:$A$1004,0)),""))</f>
        <v/>
      </c>
      <c r="V454" s="39"/>
      <c r="W454" s="29"/>
      <c r="X454" s="29"/>
      <c r="Y454" s="29"/>
      <c r="Z454" s="30"/>
      <c r="AA454" s="29"/>
      <c r="AB454" s="29"/>
    </row>
    <row r="455" customFormat="false" ht="15" hidden="false" customHeight="false" outlineLevel="0" collapsed="false">
      <c r="A455" s="41" t="str">
        <f aca="false">IF(B455="","",ROW()-4)</f>
        <v/>
      </c>
      <c r="B455" s="39"/>
      <c r="C455" s="29"/>
      <c r="D455" s="29"/>
      <c r="E455" s="29"/>
      <c r="F455" s="29"/>
      <c r="G455" s="29"/>
      <c r="H455" s="32"/>
      <c r="I455" s="29"/>
      <c r="J455" s="29"/>
      <c r="K455" s="29"/>
      <c r="L455" s="29"/>
      <c r="M455" s="29"/>
      <c r="N455" s="29"/>
      <c r="O455" s="29"/>
      <c r="P455" s="29"/>
      <c r="Q455" s="24" t="str">
        <f aca="false">IF(N455&lt;&gt;"",UPPER(TRIM(N455)),IF(P455&lt;&gt;"",UPPER(TRIM(P455)),""))</f>
        <v/>
      </c>
      <c r="R455" s="24" t="str">
        <f aca="false">IF(B455="","",IF(N455&lt;&gt;"","UTM tracked",IF(P455&lt;&gt;"","Manual / self-reported",IF(O455&lt;&gt;"","Self-reported channel only","Unattributed"))))</f>
        <v/>
      </c>
      <c r="S455" s="24" t="str">
        <f aca="false">IF(Q455="","",IFERROR(INDEX('Post Tracker'!$G$5:$G$1004,MATCH(Q455,'Post Tracker'!$A$5:$A$1004,0)),"ID NOT FOUND"))</f>
        <v/>
      </c>
      <c r="T455" s="24" t="str">
        <f aca="false">IF(Q455="","",IFERROR(INDEX('Post Tracker'!$K$5:$K$1004,MATCH(Q455,'Post Tracker'!$A$5:$A$1004,0))&amp;"",""))</f>
        <v/>
      </c>
      <c r="U455" s="33" t="str">
        <f aca="false">IF(OR(Q455="",B455=""),"",IFERROR(B455-INDEX('Post Tracker'!$B$5:$B$1004,MATCH(Q455,'Post Tracker'!$A$5:$A$1004,0)),""))</f>
        <v/>
      </c>
      <c r="V455" s="39"/>
      <c r="W455" s="29"/>
      <c r="X455" s="29"/>
      <c r="Y455" s="29"/>
      <c r="Z455" s="30"/>
      <c r="AA455" s="29"/>
      <c r="AB455" s="29"/>
    </row>
    <row r="456" customFormat="false" ht="15" hidden="false" customHeight="false" outlineLevel="0" collapsed="false">
      <c r="A456" s="41" t="str">
        <f aca="false">IF(B456="","",ROW()-4)</f>
        <v/>
      </c>
      <c r="B456" s="39"/>
      <c r="C456" s="29"/>
      <c r="D456" s="29"/>
      <c r="E456" s="29"/>
      <c r="F456" s="29"/>
      <c r="G456" s="29"/>
      <c r="H456" s="32"/>
      <c r="I456" s="29"/>
      <c r="J456" s="29"/>
      <c r="K456" s="29"/>
      <c r="L456" s="29"/>
      <c r="M456" s="29"/>
      <c r="N456" s="29"/>
      <c r="O456" s="29"/>
      <c r="P456" s="29"/>
      <c r="Q456" s="24" t="str">
        <f aca="false">IF(N456&lt;&gt;"",UPPER(TRIM(N456)),IF(P456&lt;&gt;"",UPPER(TRIM(P456)),""))</f>
        <v/>
      </c>
      <c r="R456" s="24" t="str">
        <f aca="false">IF(B456="","",IF(N456&lt;&gt;"","UTM tracked",IF(P456&lt;&gt;"","Manual / self-reported",IF(O456&lt;&gt;"","Self-reported channel only","Unattributed"))))</f>
        <v/>
      </c>
      <c r="S456" s="24" t="str">
        <f aca="false">IF(Q456="","",IFERROR(INDEX('Post Tracker'!$G$5:$G$1004,MATCH(Q456,'Post Tracker'!$A$5:$A$1004,0)),"ID NOT FOUND"))</f>
        <v/>
      </c>
      <c r="T456" s="24" t="str">
        <f aca="false">IF(Q456="","",IFERROR(INDEX('Post Tracker'!$K$5:$K$1004,MATCH(Q456,'Post Tracker'!$A$5:$A$1004,0))&amp;"",""))</f>
        <v/>
      </c>
      <c r="U456" s="33" t="str">
        <f aca="false">IF(OR(Q456="",B456=""),"",IFERROR(B456-INDEX('Post Tracker'!$B$5:$B$1004,MATCH(Q456,'Post Tracker'!$A$5:$A$1004,0)),""))</f>
        <v/>
      </c>
      <c r="V456" s="39"/>
      <c r="W456" s="29"/>
      <c r="X456" s="29"/>
      <c r="Y456" s="29"/>
      <c r="Z456" s="30"/>
      <c r="AA456" s="29"/>
      <c r="AB456" s="29"/>
    </row>
    <row r="457" customFormat="false" ht="15" hidden="false" customHeight="false" outlineLevel="0" collapsed="false">
      <c r="A457" s="41" t="str">
        <f aca="false">IF(B457="","",ROW()-4)</f>
        <v/>
      </c>
      <c r="B457" s="39"/>
      <c r="C457" s="29"/>
      <c r="D457" s="29"/>
      <c r="E457" s="29"/>
      <c r="F457" s="29"/>
      <c r="G457" s="29"/>
      <c r="H457" s="32"/>
      <c r="I457" s="29"/>
      <c r="J457" s="29"/>
      <c r="K457" s="29"/>
      <c r="L457" s="29"/>
      <c r="M457" s="29"/>
      <c r="N457" s="29"/>
      <c r="O457" s="29"/>
      <c r="P457" s="29"/>
      <c r="Q457" s="24" t="str">
        <f aca="false">IF(N457&lt;&gt;"",UPPER(TRIM(N457)),IF(P457&lt;&gt;"",UPPER(TRIM(P457)),""))</f>
        <v/>
      </c>
      <c r="R457" s="24" t="str">
        <f aca="false">IF(B457="","",IF(N457&lt;&gt;"","UTM tracked",IF(P457&lt;&gt;"","Manual / self-reported",IF(O457&lt;&gt;"","Self-reported channel only","Unattributed"))))</f>
        <v/>
      </c>
      <c r="S457" s="24" t="str">
        <f aca="false">IF(Q457="","",IFERROR(INDEX('Post Tracker'!$G$5:$G$1004,MATCH(Q457,'Post Tracker'!$A$5:$A$1004,0)),"ID NOT FOUND"))</f>
        <v/>
      </c>
      <c r="T457" s="24" t="str">
        <f aca="false">IF(Q457="","",IFERROR(INDEX('Post Tracker'!$K$5:$K$1004,MATCH(Q457,'Post Tracker'!$A$5:$A$1004,0))&amp;"",""))</f>
        <v/>
      </c>
      <c r="U457" s="33" t="str">
        <f aca="false">IF(OR(Q457="",B457=""),"",IFERROR(B457-INDEX('Post Tracker'!$B$5:$B$1004,MATCH(Q457,'Post Tracker'!$A$5:$A$1004,0)),""))</f>
        <v/>
      </c>
      <c r="V457" s="39"/>
      <c r="W457" s="29"/>
      <c r="X457" s="29"/>
      <c r="Y457" s="29"/>
      <c r="Z457" s="30"/>
      <c r="AA457" s="29"/>
      <c r="AB457" s="29"/>
    </row>
    <row r="458" customFormat="false" ht="15" hidden="false" customHeight="false" outlineLevel="0" collapsed="false">
      <c r="A458" s="41" t="str">
        <f aca="false">IF(B458="","",ROW()-4)</f>
        <v/>
      </c>
      <c r="B458" s="39"/>
      <c r="C458" s="29"/>
      <c r="D458" s="29"/>
      <c r="E458" s="29"/>
      <c r="F458" s="29"/>
      <c r="G458" s="29"/>
      <c r="H458" s="32"/>
      <c r="I458" s="29"/>
      <c r="J458" s="29"/>
      <c r="K458" s="29"/>
      <c r="L458" s="29"/>
      <c r="M458" s="29"/>
      <c r="N458" s="29"/>
      <c r="O458" s="29"/>
      <c r="P458" s="29"/>
      <c r="Q458" s="24" t="str">
        <f aca="false">IF(N458&lt;&gt;"",UPPER(TRIM(N458)),IF(P458&lt;&gt;"",UPPER(TRIM(P458)),""))</f>
        <v/>
      </c>
      <c r="R458" s="24" t="str">
        <f aca="false">IF(B458="","",IF(N458&lt;&gt;"","UTM tracked",IF(P458&lt;&gt;"","Manual / self-reported",IF(O458&lt;&gt;"","Self-reported channel only","Unattributed"))))</f>
        <v/>
      </c>
      <c r="S458" s="24" t="str">
        <f aca="false">IF(Q458="","",IFERROR(INDEX('Post Tracker'!$G$5:$G$1004,MATCH(Q458,'Post Tracker'!$A$5:$A$1004,0)),"ID NOT FOUND"))</f>
        <v/>
      </c>
      <c r="T458" s="24" t="str">
        <f aca="false">IF(Q458="","",IFERROR(INDEX('Post Tracker'!$K$5:$K$1004,MATCH(Q458,'Post Tracker'!$A$5:$A$1004,0))&amp;"",""))</f>
        <v/>
      </c>
      <c r="U458" s="33" t="str">
        <f aca="false">IF(OR(Q458="",B458=""),"",IFERROR(B458-INDEX('Post Tracker'!$B$5:$B$1004,MATCH(Q458,'Post Tracker'!$A$5:$A$1004,0)),""))</f>
        <v/>
      </c>
      <c r="V458" s="39"/>
      <c r="W458" s="29"/>
      <c r="X458" s="29"/>
      <c r="Y458" s="29"/>
      <c r="Z458" s="30"/>
      <c r="AA458" s="29"/>
      <c r="AB458" s="29"/>
    </row>
    <row r="459" customFormat="false" ht="15" hidden="false" customHeight="false" outlineLevel="0" collapsed="false">
      <c r="A459" s="41" t="str">
        <f aca="false">IF(B459="","",ROW()-4)</f>
        <v/>
      </c>
      <c r="B459" s="39"/>
      <c r="C459" s="29"/>
      <c r="D459" s="29"/>
      <c r="E459" s="29"/>
      <c r="F459" s="29"/>
      <c r="G459" s="29"/>
      <c r="H459" s="32"/>
      <c r="I459" s="29"/>
      <c r="J459" s="29"/>
      <c r="K459" s="29"/>
      <c r="L459" s="29"/>
      <c r="M459" s="29"/>
      <c r="N459" s="29"/>
      <c r="O459" s="29"/>
      <c r="P459" s="29"/>
      <c r="Q459" s="24" t="str">
        <f aca="false">IF(N459&lt;&gt;"",UPPER(TRIM(N459)),IF(P459&lt;&gt;"",UPPER(TRIM(P459)),""))</f>
        <v/>
      </c>
      <c r="R459" s="24" t="str">
        <f aca="false">IF(B459="","",IF(N459&lt;&gt;"","UTM tracked",IF(P459&lt;&gt;"","Manual / self-reported",IF(O459&lt;&gt;"","Self-reported channel only","Unattributed"))))</f>
        <v/>
      </c>
      <c r="S459" s="24" t="str">
        <f aca="false">IF(Q459="","",IFERROR(INDEX('Post Tracker'!$G$5:$G$1004,MATCH(Q459,'Post Tracker'!$A$5:$A$1004,0)),"ID NOT FOUND"))</f>
        <v/>
      </c>
      <c r="T459" s="24" t="str">
        <f aca="false">IF(Q459="","",IFERROR(INDEX('Post Tracker'!$K$5:$K$1004,MATCH(Q459,'Post Tracker'!$A$5:$A$1004,0))&amp;"",""))</f>
        <v/>
      </c>
      <c r="U459" s="33" t="str">
        <f aca="false">IF(OR(Q459="",B459=""),"",IFERROR(B459-INDEX('Post Tracker'!$B$5:$B$1004,MATCH(Q459,'Post Tracker'!$A$5:$A$1004,0)),""))</f>
        <v/>
      </c>
      <c r="V459" s="39"/>
      <c r="W459" s="29"/>
      <c r="X459" s="29"/>
      <c r="Y459" s="29"/>
      <c r="Z459" s="30"/>
      <c r="AA459" s="29"/>
      <c r="AB459" s="29"/>
    </row>
    <row r="460" customFormat="false" ht="15" hidden="false" customHeight="false" outlineLevel="0" collapsed="false">
      <c r="A460" s="41" t="str">
        <f aca="false">IF(B460="","",ROW()-4)</f>
        <v/>
      </c>
      <c r="B460" s="39"/>
      <c r="C460" s="29"/>
      <c r="D460" s="29"/>
      <c r="E460" s="29"/>
      <c r="F460" s="29"/>
      <c r="G460" s="29"/>
      <c r="H460" s="32"/>
      <c r="I460" s="29"/>
      <c r="J460" s="29"/>
      <c r="K460" s="29"/>
      <c r="L460" s="29"/>
      <c r="M460" s="29"/>
      <c r="N460" s="29"/>
      <c r="O460" s="29"/>
      <c r="P460" s="29"/>
      <c r="Q460" s="24" t="str">
        <f aca="false">IF(N460&lt;&gt;"",UPPER(TRIM(N460)),IF(P460&lt;&gt;"",UPPER(TRIM(P460)),""))</f>
        <v/>
      </c>
      <c r="R460" s="24" t="str">
        <f aca="false">IF(B460="","",IF(N460&lt;&gt;"","UTM tracked",IF(P460&lt;&gt;"","Manual / self-reported",IF(O460&lt;&gt;"","Self-reported channel only","Unattributed"))))</f>
        <v/>
      </c>
      <c r="S460" s="24" t="str">
        <f aca="false">IF(Q460="","",IFERROR(INDEX('Post Tracker'!$G$5:$G$1004,MATCH(Q460,'Post Tracker'!$A$5:$A$1004,0)),"ID NOT FOUND"))</f>
        <v/>
      </c>
      <c r="T460" s="24" t="str">
        <f aca="false">IF(Q460="","",IFERROR(INDEX('Post Tracker'!$K$5:$K$1004,MATCH(Q460,'Post Tracker'!$A$5:$A$1004,0))&amp;"",""))</f>
        <v/>
      </c>
      <c r="U460" s="33" t="str">
        <f aca="false">IF(OR(Q460="",B460=""),"",IFERROR(B460-INDEX('Post Tracker'!$B$5:$B$1004,MATCH(Q460,'Post Tracker'!$A$5:$A$1004,0)),""))</f>
        <v/>
      </c>
      <c r="V460" s="39"/>
      <c r="W460" s="29"/>
      <c r="X460" s="29"/>
      <c r="Y460" s="29"/>
      <c r="Z460" s="30"/>
      <c r="AA460" s="29"/>
      <c r="AB460" s="29"/>
    </row>
    <row r="461" customFormat="false" ht="15" hidden="false" customHeight="false" outlineLevel="0" collapsed="false">
      <c r="A461" s="41" t="str">
        <f aca="false">IF(B461="","",ROW()-4)</f>
        <v/>
      </c>
      <c r="B461" s="39"/>
      <c r="C461" s="29"/>
      <c r="D461" s="29"/>
      <c r="E461" s="29"/>
      <c r="F461" s="29"/>
      <c r="G461" s="29"/>
      <c r="H461" s="32"/>
      <c r="I461" s="29"/>
      <c r="J461" s="29"/>
      <c r="K461" s="29"/>
      <c r="L461" s="29"/>
      <c r="M461" s="29"/>
      <c r="N461" s="29"/>
      <c r="O461" s="29"/>
      <c r="P461" s="29"/>
      <c r="Q461" s="24" t="str">
        <f aca="false">IF(N461&lt;&gt;"",UPPER(TRIM(N461)),IF(P461&lt;&gt;"",UPPER(TRIM(P461)),""))</f>
        <v/>
      </c>
      <c r="R461" s="24" t="str">
        <f aca="false">IF(B461="","",IF(N461&lt;&gt;"","UTM tracked",IF(P461&lt;&gt;"","Manual / self-reported",IF(O461&lt;&gt;"","Self-reported channel only","Unattributed"))))</f>
        <v/>
      </c>
      <c r="S461" s="24" t="str">
        <f aca="false">IF(Q461="","",IFERROR(INDEX('Post Tracker'!$G$5:$G$1004,MATCH(Q461,'Post Tracker'!$A$5:$A$1004,0)),"ID NOT FOUND"))</f>
        <v/>
      </c>
      <c r="T461" s="24" t="str">
        <f aca="false">IF(Q461="","",IFERROR(INDEX('Post Tracker'!$K$5:$K$1004,MATCH(Q461,'Post Tracker'!$A$5:$A$1004,0))&amp;"",""))</f>
        <v/>
      </c>
      <c r="U461" s="33" t="str">
        <f aca="false">IF(OR(Q461="",B461=""),"",IFERROR(B461-INDEX('Post Tracker'!$B$5:$B$1004,MATCH(Q461,'Post Tracker'!$A$5:$A$1004,0)),""))</f>
        <v/>
      </c>
      <c r="V461" s="39"/>
      <c r="W461" s="29"/>
      <c r="X461" s="29"/>
      <c r="Y461" s="29"/>
      <c r="Z461" s="30"/>
      <c r="AA461" s="29"/>
      <c r="AB461" s="29"/>
    </row>
    <row r="462" customFormat="false" ht="15" hidden="false" customHeight="false" outlineLevel="0" collapsed="false">
      <c r="A462" s="41" t="str">
        <f aca="false">IF(B462="","",ROW()-4)</f>
        <v/>
      </c>
      <c r="B462" s="39"/>
      <c r="C462" s="29"/>
      <c r="D462" s="29"/>
      <c r="E462" s="29"/>
      <c r="F462" s="29"/>
      <c r="G462" s="29"/>
      <c r="H462" s="32"/>
      <c r="I462" s="29"/>
      <c r="J462" s="29"/>
      <c r="K462" s="29"/>
      <c r="L462" s="29"/>
      <c r="M462" s="29"/>
      <c r="N462" s="29"/>
      <c r="O462" s="29"/>
      <c r="P462" s="29"/>
      <c r="Q462" s="24" t="str">
        <f aca="false">IF(N462&lt;&gt;"",UPPER(TRIM(N462)),IF(P462&lt;&gt;"",UPPER(TRIM(P462)),""))</f>
        <v/>
      </c>
      <c r="R462" s="24" t="str">
        <f aca="false">IF(B462="","",IF(N462&lt;&gt;"","UTM tracked",IF(P462&lt;&gt;"","Manual / self-reported",IF(O462&lt;&gt;"","Self-reported channel only","Unattributed"))))</f>
        <v/>
      </c>
      <c r="S462" s="24" t="str">
        <f aca="false">IF(Q462="","",IFERROR(INDEX('Post Tracker'!$G$5:$G$1004,MATCH(Q462,'Post Tracker'!$A$5:$A$1004,0)),"ID NOT FOUND"))</f>
        <v/>
      </c>
      <c r="T462" s="24" t="str">
        <f aca="false">IF(Q462="","",IFERROR(INDEX('Post Tracker'!$K$5:$K$1004,MATCH(Q462,'Post Tracker'!$A$5:$A$1004,0))&amp;"",""))</f>
        <v/>
      </c>
      <c r="U462" s="33" t="str">
        <f aca="false">IF(OR(Q462="",B462=""),"",IFERROR(B462-INDEX('Post Tracker'!$B$5:$B$1004,MATCH(Q462,'Post Tracker'!$A$5:$A$1004,0)),""))</f>
        <v/>
      </c>
      <c r="V462" s="39"/>
      <c r="W462" s="29"/>
      <c r="X462" s="29"/>
      <c r="Y462" s="29"/>
      <c r="Z462" s="30"/>
      <c r="AA462" s="29"/>
      <c r="AB462" s="29"/>
    </row>
    <row r="463" customFormat="false" ht="15" hidden="false" customHeight="false" outlineLevel="0" collapsed="false">
      <c r="A463" s="41" t="str">
        <f aca="false">IF(B463="","",ROW()-4)</f>
        <v/>
      </c>
      <c r="B463" s="39"/>
      <c r="C463" s="29"/>
      <c r="D463" s="29"/>
      <c r="E463" s="29"/>
      <c r="F463" s="29"/>
      <c r="G463" s="29"/>
      <c r="H463" s="32"/>
      <c r="I463" s="29"/>
      <c r="J463" s="29"/>
      <c r="K463" s="29"/>
      <c r="L463" s="29"/>
      <c r="M463" s="29"/>
      <c r="N463" s="29"/>
      <c r="O463" s="29"/>
      <c r="P463" s="29"/>
      <c r="Q463" s="24" t="str">
        <f aca="false">IF(N463&lt;&gt;"",UPPER(TRIM(N463)),IF(P463&lt;&gt;"",UPPER(TRIM(P463)),""))</f>
        <v/>
      </c>
      <c r="R463" s="24" t="str">
        <f aca="false">IF(B463="","",IF(N463&lt;&gt;"","UTM tracked",IF(P463&lt;&gt;"","Manual / self-reported",IF(O463&lt;&gt;"","Self-reported channel only","Unattributed"))))</f>
        <v/>
      </c>
      <c r="S463" s="24" t="str">
        <f aca="false">IF(Q463="","",IFERROR(INDEX('Post Tracker'!$G$5:$G$1004,MATCH(Q463,'Post Tracker'!$A$5:$A$1004,0)),"ID NOT FOUND"))</f>
        <v/>
      </c>
      <c r="T463" s="24" t="str">
        <f aca="false">IF(Q463="","",IFERROR(INDEX('Post Tracker'!$K$5:$K$1004,MATCH(Q463,'Post Tracker'!$A$5:$A$1004,0))&amp;"",""))</f>
        <v/>
      </c>
      <c r="U463" s="33" t="str">
        <f aca="false">IF(OR(Q463="",B463=""),"",IFERROR(B463-INDEX('Post Tracker'!$B$5:$B$1004,MATCH(Q463,'Post Tracker'!$A$5:$A$1004,0)),""))</f>
        <v/>
      </c>
      <c r="V463" s="39"/>
      <c r="W463" s="29"/>
      <c r="X463" s="29"/>
      <c r="Y463" s="29"/>
      <c r="Z463" s="30"/>
      <c r="AA463" s="29"/>
      <c r="AB463" s="29"/>
    </row>
    <row r="464" customFormat="false" ht="15" hidden="false" customHeight="false" outlineLevel="0" collapsed="false">
      <c r="A464" s="41" t="str">
        <f aca="false">IF(B464="","",ROW()-4)</f>
        <v/>
      </c>
      <c r="B464" s="39"/>
      <c r="C464" s="29"/>
      <c r="D464" s="29"/>
      <c r="E464" s="29"/>
      <c r="F464" s="29"/>
      <c r="G464" s="29"/>
      <c r="H464" s="32"/>
      <c r="I464" s="29"/>
      <c r="J464" s="29"/>
      <c r="K464" s="29"/>
      <c r="L464" s="29"/>
      <c r="M464" s="29"/>
      <c r="N464" s="29"/>
      <c r="O464" s="29"/>
      <c r="P464" s="29"/>
      <c r="Q464" s="24" t="str">
        <f aca="false">IF(N464&lt;&gt;"",UPPER(TRIM(N464)),IF(P464&lt;&gt;"",UPPER(TRIM(P464)),""))</f>
        <v/>
      </c>
      <c r="R464" s="24" t="str">
        <f aca="false">IF(B464="","",IF(N464&lt;&gt;"","UTM tracked",IF(P464&lt;&gt;"","Manual / self-reported",IF(O464&lt;&gt;"","Self-reported channel only","Unattributed"))))</f>
        <v/>
      </c>
      <c r="S464" s="24" t="str">
        <f aca="false">IF(Q464="","",IFERROR(INDEX('Post Tracker'!$G$5:$G$1004,MATCH(Q464,'Post Tracker'!$A$5:$A$1004,0)),"ID NOT FOUND"))</f>
        <v/>
      </c>
      <c r="T464" s="24" t="str">
        <f aca="false">IF(Q464="","",IFERROR(INDEX('Post Tracker'!$K$5:$K$1004,MATCH(Q464,'Post Tracker'!$A$5:$A$1004,0))&amp;"",""))</f>
        <v/>
      </c>
      <c r="U464" s="33" t="str">
        <f aca="false">IF(OR(Q464="",B464=""),"",IFERROR(B464-INDEX('Post Tracker'!$B$5:$B$1004,MATCH(Q464,'Post Tracker'!$A$5:$A$1004,0)),""))</f>
        <v/>
      </c>
      <c r="V464" s="39"/>
      <c r="W464" s="29"/>
      <c r="X464" s="29"/>
      <c r="Y464" s="29"/>
      <c r="Z464" s="30"/>
      <c r="AA464" s="29"/>
      <c r="AB464" s="29"/>
    </row>
    <row r="465" customFormat="false" ht="15" hidden="false" customHeight="false" outlineLevel="0" collapsed="false">
      <c r="A465" s="41" t="str">
        <f aca="false">IF(B465="","",ROW()-4)</f>
        <v/>
      </c>
      <c r="B465" s="39"/>
      <c r="C465" s="29"/>
      <c r="D465" s="29"/>
      <c r="E465" s="29"/>
      <c r="F465" s="29"/>
      <c r="G465" s="29"/>
      <c r="H465" s="32"/>
      <c r="I465" s="29"/>
      <c r="J465" s="29"/>
      <c r="K465" s="29"/>
      <c r="L465" s="29"/>
      <c r="M465" s="29"/>
      <c r="N465" s="29"/>
      <c r="O465" s="29"/>
      <c r="P465" s="29"/>
      <c r="Q465" s="24" t="str">
        <f aca="false">IF(N465&lt;&gt;"",UPPER(TRIM(N465)),IF(P465&lt;&gt;"",UPPER(TRIM(P465)),""))</f>
        <v/>
      </c>
      <c r="R465" s="24" t="str">
        <f aca="false">IF(B465="","",IF(N465&lt;&gt;"","UTM tracked",IF(P465&lt;&gt;"","Manual / self-reported",IF(O465&lt;&gt;"","Self-reported channel only","Unattributed"))))</f>
        <v/>
      </c>
      <c r="S465" s="24" t="str">
        <f aca="false">IF(Q465="","",IFERROR(INDEX('Post Tracker'!$G$5:$G$1004,MATCH(Q465,'Post Tracker'!$A$5:$A$1004,0)),"ID NOT FOUND"))</f>
        <v/>
      </c>
      <c r="T465" s="24" t="str">
        <f aca="false">IF(Q465="","",IFERROR(INDEX('Post Tracker'!$K$5:$K$1004,MATCH(Q465,'Post Tracker'!$A$5:$A$1004,0))&amp;"",""))</f>
        <v/>
      </c>
      <c r="U465" s="33" t="str">
        <f aca="false">IF(OR(Q465="",B465=""),"",IFERROR(B465-INDEX('Post Tracker'!$B$5:$B$1004,MATCH(Q465,'Post Tracker'!$A$5:$A$1004,0)),""))</f>
        <v/>
      </c>
      <c r="V465" s="39"/>
      <c r="W465" s="29"/>
      <c r="X465" s="29"/>
      <c r="Y465" s="29"/>
      <c r="Z465" s="30"/>
      <c r="AA465" s="29"/>
      <c r="AB465" s="29"/>
    </row>
    <row r="466" customFormat="false" ht="15" hidden="false" customHeight="false" outlineLevel="0" collapsed="false">
      <c r="A466" s="41" t="str">
        <f aca="false">IF(B466="","",ROW()-4)</f>
        <v/>
      </c>
      <c r="B466" s="39"/>
      <c r="C466" s="29"/>
      <c r="D466" s="29"/>
      <c r="E466" s="29"/>
      <c r="F466" s="29"/>
      <c r="G466" s="29"/>
      <c r="H466" s="32"/>
      <c r="I466" s="29"/>
      <c r="J466" s="29"/>
      <c r="K466" s="29"/>
      <c r="L466" s="29"/>
      <c r="M466" s="29"/>
      <c r="N466" s="29"/>
      <c r="O466" s="29"/>
      <c r="P466" s="29"/>
      <c r="Q466" s="24" t="str">
        <f aca="false">IF(N466&lt;&gt;"",UPPER(TRIM(N466)),IF(P466&lt;&gt;"",UPPER(TRIM(P466)),""))</f>
        <v/>
      </c>
      <c r="R466" s="24" t="str">
        <f aca="false">IF(B466="","",IF(N466&lt;&gt;"","UTM tracked",IF(P466&lt;&gt;"","Manual / self-reported",IF(O466&lt;&gt;"","Self-reported channel only","Unattributed"))))</f>
        <v/>
      </c>
      <c r="S466" s="24" t="str">
        <f aca="false">IF(Q466="","",IFERROR(INDEX('Post Tracker'!$G$5:$G$1004,MATCH(Q466,'Post Tracker'!$A$5:$A$1004,0)),"ID NOT FOUND"))</f>
        <v/>
      </c>
      <c r="T466" s="24" t="str">
        <f aca="false">IF(Q466="","",IFERROR(INDEX('Post Tracker'!$K$5:$K$1004,MATCH(Q466,'Post Tracker'!$A$5:$A$1004,0))&amp;"",""))</f>
        <v/>
      </c>
      <c r="U466" s="33" t="str">
        <f aca="false">IF(OR(Q466="",B466=""),"",IFERROR(B466-INDEX('Post Tracker'!$B$5:$B$1004,MATCH(Q466,'Post Tracker'!$A$5:$A$1004,0)),""))</f>
        <v/>
      </c>
      <c r="V466" s="39"/>
      <c r="W466" s="29"/>
      <c r="X466" s="29"/>
      <c r="Y466" s="29"/>
      <c r="Z466" s="30"/>
      <c r="AA466" s="29"/>
      <c r="AB466" s="29"/>
    </row>
    <row r="467" customFormat="false" ht="15" hidden="false" customHeight="false" outlineLevel="0" collapsed="false">
      <c r="A467" s="41" t="str">
        <f aca="false">IF(B467="","",ROW()-4)</f>
        <v/>
      </c>
      <c r="B467" s="39"/>
      <c r="C467" s="29"/>
      <c r="D467" s="29"/>
      <c r="E467" s="29"/>
      <c r="F467" s="29"/>
      <c r="G467" s="29"/>
      <c r="H467" s="32"/>
      <c r="I467" s="29"/>
      <c r="J467" s="29"/>
      <c r="K467" s="29"/>
      <c r="L467" s="29"/>
      <c r="M467" s="29"/>
      <c r="N467" s="29"/>
      <c r="O467" s="29"/>
      <c r="P467" s="29"/>
      <c r="Q467" s="24" t="str">
        <f aca="false">IF(N467&lt;&gt;"",UPPER(TRIM(N467)),IF(P467&lt;&gt;"",UPPER(TRIM(P467)),""))</f>
        <v/>
      </c>
      <c r="R467" s="24" t="str">
        <f aca="false">IF(B467="","",IF(N467&lt;&gt;"","UTM tracked",IF(P467&lt;&gt;"","Manual / self-reported",IF(O467&lt;&gt;"","Self-reported channel only","Unattributed"))))</f>
        <v/>
      </c>
      <c r="S467" s="24" t="str">
        <f aca="false">IF(Q467="","",IFERROR(INDEX('Post Tracker'!$G$5:$G$1004,MATCH(Q467,'Post Tracker'!$A$5:$A$1004,0)),"ID NOT FOUND"))</f>
        <v/>
      </c>
      <c r="T467" s="24" t="str">
        <f aca="false">IF(Q467="","",IFERROR(INDEX('Post Tracker'!$K$5:$K$1004,MATCH(Q467,'Post Tracker'!$A$5:$A$1004,0))&amp;"",""))</f>
        <v/>
      </c>
      <c r="U467" s="33" t="str">
        <f aca="false">IF(OR(Q467="",B467=""),"",IFERROR(B467-INDEX('Post Tracker'!$B$5:$B$1004,MATCH(Q467,'Post Tracker'!$A$5:$A$1004,0)),""))</f>
        <v/>
      </c>
      <c r="V467" s="39"/>
      <c r="W467" s="29"/>
      <c r="X467" s="29"/>
      <c r="Y467" s="29"/>
      <c r="Z467" s="30"/>
      <c r="AA467" s="29"/>
      <c r="AB467" s="29"/>
    </row>
    <row r="468" customFormat="false" ht="15" hidden="false" customHeight="false" outlineLevel="0" collapsed="false">
      <c r="A468" s="41" t="str">
        <f aca="false">IF(B468="","",ROW()-4)</f>
        <v/>
      </c>
      <c r="B468" s="39"/>
      <c r="C468" s="29"/>
      <c r="D468" s="29"/>
      <c r="E468" s="29"/>
      <c r="F468" s="29"/>
      <c r="G468" s="29"/>
      <c r="H468" s="32"/>
      <c r="I468" s="29"/>
      <c r="J468" s="29"/>
      <c r="K468" s="29"/>
      <c r="L468" s="29"/>
      <c r="M468" s="29"/>
      <c r="N468" s="29"/>
      <c r="O468" s="29"/>
      <c r="P468" s="29"/>
      <c r="Q468" s="24" t="str">
        <f aca="false">IF(N468&lt;&gt;"",UPPER(TRIM(N468)),IF(P468&lt;&gt;"",UPPER(TRIM(P468)),""))</f>
        <v/>
      </c>
      <c r="R468" s="24" t="str">
        <f aca="false">IF(B468="","",IF(N468&lt;&gt;"","UTM tracked",IF(P468&lt;&gt;"","Manual / self-reported",IF(O468&lt;&gt;"","Self-reported channel only","Unattributed"))))</f>
        <v/>
      </c>
      <c r="S468" s="24" t="str">
        <f aca="false">IF(Q468="","",IFERROR(INDEX('Post Tracker'!$G$5:$G$1004,MATCH(Q468,'Post Tracker'!$A$5:$A$1004,0)),"ID NOT FOUND"))</f>
        <v/>
      </c>
      <c r="T468" s="24" t="str">
        <f aca="false">IF(Q468="","",IFERROR(INDEX('Post Tracker'!$K$5:$K$1004,MATCH(Q468,'Post Tracker'!$A$5:$A$1004,0))&amp;"",""))</f>
        <v/>
      </c>
      <c r="U468" s="33" t="str">
        <f aca="false">IF(OR(Q468="",B468=""),"",IFERROR(B468-INDEX('Post Tracker'!$B$5:$B$1004,MATCH(Q468,'Post Tracker'!$A$5:$A$1004,0)),""))</f>
        <v/>
      </c>
      <c r="V468" s="39"/>
      <c r="W468" s="29"/>
      <c r="X468" s="29"/>
      <c r="Y468" s="29"/>
      <c r="Z468" s="30"/>
      <c r="AA468" s="29"/>
      <c r="AB468" s="29"/>
    </row>
    <row r="469" customFormat="false" ht="15" hidden="false" customHeight="false" outlineLevel="0" collapsed="false">
      <c r="A469" s="41" t="str">
        <f aca="false">IF(B469="","",ROW()-4)</f>
        <v/>
      </c>
      <c r="B469" s="39"/>
      <c r="C469" s="29"/>
      <c r="D469" s="29"/>
      <c r="E469" s="29"/>
      <c r="F469" s="29"/>
      <c r="G469" s="29"/>
      <c r="H469" s="32"/>
      <c r="I469" s="29"/>
      <c r="J469" s="29"/>
      <c r="K469" s="29"/>
      <c r="L469" s="29"/>
      <c r="M469" s="29"/>
      <c r="N469" s="29"/>
      <c r="O469" s="29"/>
      <c r="P469" s="29"/>
      <c r="Q469" s="24" t="str">
        <f aca="false">IF(N469&lt;&gt;"",UPPER(TRIM(N469)),IF(P469&lt;&gt;"",UPPER(TRIM(P469)),""))</f>
        <v/>
      </c>
      <c r="R469" s="24" t="str">
        <f aca="false">IF(B469="","",IF(N469&lt;&gt;"","UTM tracked",IF(P469&lt;&gt;"","Manual / self-reported",IF(O469&lt;&gt;"","Self-reported channel only","Unattributed"))))</f>
        <v/>
      </c>
      <c r="S469" s="24" t="str">
        <f aca="false">IF(Q469="","",IFERROR(INDEX('Post Tracker'!$G$5:$G$1004,MATCH(Q469,'Post Tracker'!$A$5:$A$1004,0)),"ID NOT FOUND"))</f>
        <v/>
      </c>
      <c r="T469" s="24" t="str">
        <f aca="false">IF(Q469="","",IFERROR(INDEX('Post Tracker'!$K$5:$K$1004,MATCH(Q469,'Post Tracker'!$A$5:$A$1004,0))&amp;"",""))</f>
        <v/>
      </c>
      <c r="U469" s="33" t="str">
        <f aca="false">IF(OR(Q469="",B469=""),"",IFERROR(B469-INDEX('Post Tracker'!$B$5:$B$1004,MATCH(Q469,'Post Tracker'!$A$5:$A$1004,0)),""))</f>
        <v/>
      </c>
      <c r="V469" s="39"/>
      <c r="W469" s="29"/>
      <c r="X469" s="29"/>
      <c r="Y469" s="29"/>
      <c r="Z469" s="30"/>
      <c r="AA469" s="29"/>
      <c r="AB469" s="29"/>
    </row>
    <row r="470" customFormat="false" ht="15" hidden="false" customHeight="false" outlineLevel="0" collapsed="false">
      <c r="A470" s="41" t="str">
        <f aca="false">IF(B470="","",ROW()-4)</f>
        <v/>
      </c>
      <c r="B470" s="39"/>
      <c r="C470" s="29"/>
      <c r="D470" s="29"/>
      <c r="E470" s="29"/>
      <c r="F470" s="29"/>
      <c r="G470" s="29"/>
      <c r="H470" s="32"/>
      <c r="I470" s="29"/>
      <c r="J470" s="29"/>
      <c r="K470" s="29"/>
      <c r="L470" s="29"/>
      <c r="M470" s="29"/>
      <c r="N470" s="29"/>
      <c r="O470" s="29"/>
      <c r="P470" s="29"/>
      <c r="Q470" s="24" t="str">
        <f aca="false">IF(N470&lt;&gt;"",UPPER(TRIM(N470)),IF(P470&lt;&gt;"",UPPER(TRIM(P470)),""))</f>
        <v/>
      </c>
      <c r="R470" s="24" t="str">
        <f aca="false">IF(B470="","",IF(N470&lt;&gt;"","UTM tracked",IF(P470&lt;&gt;"","Manual / self-reported",IF(O470&lt;&gt;"","Self-reported channel only","Unattributed"))))</f>
        <v/>
      </c>
      <c r="S470" s="24" t="str">
        <f aca="false">IF(Q470="","",IFERROR(INDEX('Post Tracker'!$G$5:$G$1004,MATCH(Q470,'Post Tracker'!$A$5:$A$1004,0)),"ID NOT FOUND"))</f>
        <v/>
      </c>
      <c r="T470" s="24" t="str">
        <f aca="false">IF(Q470="","",IFERROR(INDEX('Post Tracker'!$K$5:$K$1004,MATCH(Q470,'Post Tracker'!$A$5:$A$1004,0))&amp;"",""))</f>
        <v/>
      </c>
      <c r="U470" s="33" t="str">
        <f aca="false">IF(OR(Q470="",B470=""),"",IFERROR(B470-INDEX('Post Tracker'!$B$5:$B$1004,MATCH(Q470,'Post Tracker'!$A$5:$A$1004,0)),""))</f>
        <v/>
      </c>
      <c r="V470" s="39"/>
      <c r="W470" s="29"/>
      <c r="X470" s="29"/>
      <c r="Y470" s="29"/>
      <c r="Z470" s="30"/>
      <c r="AA470" s="29"/>
      <c r="AB470" s="29"/>
    </row>
    <row r="471" customFormat="false" ht="15" hidden="false" customHeight="false" outlineLevel="0" collapsed="false">
      <c r="A471" s="41" t="str">
        <f aca="false">IF(B471="","",ROW()-4)</f>
        <v/>
      </c>
      <c r="B471" s="39"/>
      <c r="C471" s="29"/>
      <c r="D471" s="29"/>
      <c r="E471" s="29"/>
      <c r="F471" s="29"/>
      <c r="G471" s="29"/>
      <c r="H471" s="32"/>
      <c r="I471" s="29"/>
      <c r="J471" s="29"/>
      <c r="K471" s="29"/>
      <c r="L471" s="29"/>
      <c r="M471" s="29"/>
      <c r="N471" s="29"/>
      <c r="O471" s="29"/>
      <c r="P471" s="29"/>
      <c r="Q471" s="24" t="str">
        <f aca="false">IF(N471&lt;&gt;"",UPPER(TRIM(N471)),IF(P471&lt;&gt;"",UPPER(TRIM(P471)),""))</f>
        <v/>
      </c>
      <c r="R471" s="24" t="str">
        <f aca="false">IF(B471="","",IF(N471&lt;&gt;"","UTM tracked",IF(P471&lt;&gt;"","Manual / self-reported",IF(O471&lt;&gt;"","Self-reported channel only","Unattributed"))))</f>
        <v/>
      </c>
      <c r="S471" s="24" t="str">
        <f aca="false">IF(Q471="","",IFERROR(INDEX('Post Tracker'!$G$5:$G$1004,MATCH(Q471,'Post Tracker'!$A$5:$A$1004,0)),"ID NOT FOUND"))</f>
        <v/>
      </c>
      <c r="T471" s="24" t="str">
        <f aca="false">IF(Q471="","",IFERROR(INDEX('Post Tracker'!$K$5:$K$1004,MATCH(Q471,'Post Tracker'!$A$5:$A$1004,0))&amp;"",""))</f>
        <v/>
      </c>
      <c r="U471" s="33" t="str">
        <f aca="false">IF(OR(Q471="",B471=""),"",IFERROR(B471-INDEX('Post Tracker'!$B$5:$B$1004,MATCH(Q471,'Post Tracker'!$A$5:$A$1004,0)),""))</f>
        <v/>
      </c>
      <c r="V471" s="39"/>
      <c r="W471" s="29"/>
      <c r="X471" s="29"/>
      <c r="Y471" s="29"/>
      <c r="Z471" s="30"/>
      <c r="AA471" s="29"/>
      <c r="AB471" s="29"/>
    </row>
    <row r="472" customFormat="false" ht="15" hidden="false" customHeight="false" outlineLevel="0" collapsed="false">
      <c r="A472" s="41" t="str">
        <f aca="false">IF(B472="","",ROW()-4)</f>
        <v/>
      </c>
      <c r="B472" s="39"/>
      <c r="C472" s="29"/>
      <c r="D472" s="29"/>
      <c r="E472" s="29"/>
      <c r="F472" s="29"/>
      <c r="G472" s="29"/>
      <c r="H472" s="32"/>
      <c r="I472" s="29"/>
      <c r="J472" s="29"/>
      <c r="K472" s="29"/>
      <c r="L472" s="29"/>
      <c r="M472" s="29"/>
      <c r="N472" s="29"/>
      <c r="O472" s="29"/>
      <c r="P472" s="29"/>
      <c r="Q472" s="24" t="str">
        <f aca="false">IF(N472&lt;&gt;"",UPPER(TRIM(N472)),IF(P472&lt;&gt;"",UPPER(TRIM(P472)),""))</f>
        <v/>
      </c>
      <c r="R472" s="24" t="str">
        <f aca="false">IF(B472="","",IF(N472&lt;&gt;"","UTM tracked",IF(P472&lt;&gt;"","Manual / self-reported",IF(O472&lt;&gt;"","Self-reported channel only","Unattributed"))))</f>
        <v/>
      </c>
      <c r="S472" s="24" t="str">
        <f aca="false">IF(Q472="","",IFERROR(INDEX('Post Tracker'!$G$5:$G$1004,MATCH(Q472,'Post Tracker'!$A$5:$A$1004,0)),"ID NOT FOUND"))</f>
        <v/>
      </c>
      <c r="T472" s="24" t="str">
        <f aca="false">IF(Q472="","",IFERROR(INDEX('Post Tracker'!$K$5:$K$1004,MATCH(Q472,'Post Tracker'!$A$5:$A$1004,0))&amp;"",""))</f>
        <v/>
      </c>
      <c r="U472" s="33" t="str">
        <f aca="false">IF(OR(Q472="",B472=""),"",IFERROR(B472-INDEX('Post Tracker'!$B$5:$B$1004,MATCH(Q472,'Post Tracker'!$A$5:$A$1004,0)),""))</f>
        <v/>
      </c>
      <c r="V472" s="39"/>
      <c r="W472" s="29"/>
      <c r="X472" s="29"/>
      <c r="Y472" s="29"/>
      <c r="Z472" s="30"/>
      <c r="AA472" s="29"/>
      <c r="AB472" s="29"/>
    </row>
    <row r="473" customFormat="false" ht="15" hidden="false" customHeight="false" outlineLevel="0" collapsed="false">
      <c r="A473" s="41" t="str">
        <f aca="false">IF(B473="","",ROW()-4)</f>
        <v/>
      </c>
      <c r="B473" s="39"/>
      <c r="C473" s="29"/>
      <c r="D473" s="29"/>
      <c r="E473" s="29"/>
      <c r="F473" s="29"/>
      <c r="G473" s="29"/>
      <c r="H473" s="32"/>
      <c r="I473" s="29"/>
      <c r="J473" s="29"/>
      <c r="K473" s="29"/>
      <c r="L473" s="29"/>
      <c r="M473" s="29"/>
      <c r="N473" s="29"/>
      <c r="O473" s="29"/>
      <c r="P473" s="29"/>
      <c r="Q473" s="24" t="str">
        <f aca="false">IF(N473&lt;&gt;"",UPPER(TRIM(N473)),IF(P473&lt;&gt;"",UPPER(TRIM(P473)),""))</f>
        <v/>
      </c>
      <c r="R473" s="24" t="str">
        <f aca="false">IF(B473="","",IF(N473&lt;&gt;"","UTM tracked",IF(P473&lt;&gt;"","Manual / self-reported",IF(O473&lt;&gt;"","Self-reported channel only","Unattributed"))))</f>
        <v/>
      </c>
      <c r="S473" s="24" t="str">
        <f aca="false">IF(Q473="","",IFERROR(INDEX('Post Tracker'!$G$5:$G$1004,MATCH(Q473,'Post Tracker'!$A$5:$A$1004,0)),"ID NOT FOUND"))</f>
        <v/>
      </c>
      <c r="T473" s="24" t="str">
        <f aca="false">IF(Q473="","",IFERROR(INDEX('Post Tracker'!$K$5:$K$1004,MATCH(Q473,'Post Tracker'!$A$5:$A$1004,0))&amp;"",""))</f>
        <v/>
      </c>
      <c r="U473" s="33" t="str">
        <f aca="false">IF(OR(Q473="",B473=""),"",IFERROR(B473-INDEX('Post Tracker'!$B$5:$B$1004,MATCH(Q473,'Post Tracker'!$A$5:$A$1004,0)),""))</f>
        <v/>
      </c>
      <c r="V473" s="39"/>
      <c r="W473" s="29"/>
      <c r="X473" s="29"/>
      <c r="Y473" s="29"/>
      <c r="Z473" s="30"/>
      <c r="AA473" s="29"/>
      <c r="AB473" s="29"/>
    </row>
    <row r="474" customFormat="false" ht="15" hidden="false" customHeight="false" outlineLevel="0" collapsed="false">
      <c r="A474" s="41" t="str">
        <f aca="false">IF(B474="","",ROW()-4)</f>
        <v/>
      </c>
      <c r="B474" s="39"/>
      <c r="C474" s="29"/>
      <c r="D474" s="29"/>
      <c r="E474" s="29"/>
      <c r="F474" s="29"/>
      <c r="G474" s="29"/>
      <c r="H474" s="32"/>
      <c r="I474" s="29"/>
      <c r="J474" s="29"/>
      <c r="K474" s="29"/>
      <c r="L474" s="29"/>
      <c r="M474" s="29"/>
      <c r="N474" s="29"/>
      <c r="O474" s="29"/>
      <c r="P474" s="29"/>
      <c r="Q474" s="24" t="str">
        <f aca="false">IF(N474&lt;&gt;"",UPPER(TRIM(N474)),IF(P474&lt;&gt;"",UPPER(TRIM(P474)),""))</f>
        <v/>
      </c>
      <c r="R474" s="24" t="str">
        <f aca="false">IF(B474="","",IF(N474&lt;&gt;"","UTM tracked",IF(P474&lt;&gt;"","Manual / self-reported",IF(O474&lt;&gt;"","Self-reported channel only","Unattributed"))))</f>
        <v/>
      </c>
      <c r="S474" s="24" t="str">
        <f aca="false">IF(Q474="","",IFERROR(INDEX('Post Tracker'!$G$5:$G$1004,MATCH(Q474,'Post Tracker'!$A$5:$A$1004,0)),"ID NOT FOUND"))</f>
        <v/>
      </c>
      <c r="T474" s="24" t="str">
        <f aca="false">IF(Q474="","",IFERROR(INDEX('Post Tracker'!$K$5:$K$1004,MATCH(Q474,'Post Tracker'!$A$5:$A$1004,0))&amp;"",""))</f>
        <v/>
      </c>
      <c r="U474" s="33" t="str">
        <f aca="false">IF(OR(Q474="",B474=""),"",IFERROR(B474-INDEX('Post Tracker'!$B$5:$B$1004,MATCH(Q474,'Post Tracker'!$A$5:$A$1004,0)),""))</f>
        <v/>
      </c>
      <c r="V474" s="39"/>
      <c r="W474" s="29"/>
      <c r="X474" s="29"/>
      <c r="Y474" s="29"/>
      <c r="Z474" s="30"/>
      <c r="AA474" s="29"/>
      <c r="AB474" s="29"/>
    </row>
    <row r="475" customFormat="false" ht="15" hidden="false" customHeight="false" outlineLevel="0" collapsed="false">
      <c r="A475" s="41" t="str">
        <f aca="false">IF(B475="","",ROW()-4)</f>
        <v/>
      </c>
      <c r="B475" s="39"/>
      <c r="C475" s="29"/>
      <c r="D475" s="29"/>
      <c r="E475" s="29"/>
      <c r="F475" s="29"/>
      <c r="G475" s="29"/>
      <c r="H475" s="32"/>
      <c r="I475" s="29"/>
      <c r="J475" s="29"/>
      <c r="K475" s="29"/>
      <c r="L475" s="29"/>
      <c r="M475" s="29"/>
      <c r="N475" s="29"/>
      <c r="O475" s="29"/>
      <c r="P475" s="29"/>
      <c r="Q475" s="24" t="str">
        <f aca="false">IF(N475&lt;&gt;"",UPPER(TRIM(N475)),IF(P475&lt;&gt;"",UPPER(TRIM(P475)),""))</f>
        <v/>
      </c>
      <c r="R475" s="24" t="str">
        <f aca="false">IF(B475="","",IF(N475&lt;&gt;"","UTM tracked",IF(P475&lt;&gt;"","Manual / self-reported",IF(O475&lt;&gt;"","Self-reported channel only","Unattributed"))))</f>
        <v/>
      </c>
      <c r="S475" s="24" t="str">
        <f aca="false">IF(Q475="","",IFERROR(INDEX('Post Tracker'!$G$5:$G$1004,MATCH(Q475,'Post Tracker'!$A$5:$A$1004,0)),"ID NOT FOUND"))</f>
        <v/>
      </c>
      <c r="T475" s="24" t="str">
        <f aca="false">IF(Q475="","",IFERROR(INDEX('Post Tracker'!$K$5:$K$1004,MATCH(Q475,'Post Tracker'!$A$5:$A$1004,0))&amp;"",""))</f>
        <v/>
      </c>
      <c r="U475" s="33" t="str">
        <f aca="false">IF(OR(Q475="",B475=""),"",IFERROR(B475-INDEX('Post Tracker'!$B$5:$B$1004,MATCH(Q475,'Post Tracker'!$A$5:$A$1004,0)),""))</f>
        <v/>
      </c>
      <c r="V475" s="39"/>
      <c r="W475" s="29"/>
      <c r="X475" s="29"/>
      <c r="Y475" s="29"/>
      <c r="Z475" s="30"/>
      <c r="AA475" s="29"/>
      <c r="AB475" s="29"/>
    </row>
    <row r="476" customFormat="false" ht="15" hidden="false" customHeight="false" outlineLevel="0" collapsed="false">
      <c r="A476" s="41" t="str">
        <f aca="false">IF(B476="","",ROW()-4)</f>
        <v/>
      </c>
      <c r="B476" s="39"/>
      <c r="C476" s="29"/>
      <c r="D476" s="29"/>
      <c r="E476" s="29"/>
      <c r="F476" s="29"/>
      <c r="G476" s="29"/>
      <c r="H476" s="32"/>
      <c r="I476" s="29"/>
      <c r="J476" s="29"/>
      <c r="K476" s="29"/>
      <c r="L476" s="29"/>
      <c r="M476" s="29"/>
      <c r="N476" s="29"/>
      <c r="O476" s="29"/>
      <c r="P476" s="29"/>
      <c r="Q476" s="24" t="str">
        <f aca="false">IF(N476&lt;&gt;"",UPPER(TRIM(N476)),IF(P476&lt;&gt;"",UPPER(TRIM(P476)),""))</f>
        <v/>
      </c>
      <c r="R476" s="24" t="str">
        <f aca="false">IF(B476="","",IF(N476&lt;&gt;"","UTM tracked",IF(P476&lt;&gt;"","Manual / self-reported",IF(O476&lt;&gt;"","Self-reported channel only","Unattributed"))))</f>
        <v/>
      </c>
      <c r="S476" s="24" t="str">
        <f aca="false">IF(Q476="","",IFERROR(INDEX('Post Tracker'!$G$5:$G$1004,MATCH(Q476,'Post Tracker'!$A$5:$A$1004,0)),"ID NOT FOUND"))</f>
        <v/>
      </c>
      <c r="T476" s="24" t="str">
        <f aca="false">IF(Q476="","",IFERROR(INDEX('Post Tracker'!$K$5:$K$1004,MATCH(Q476,'Post Tracker'!$A$5:$A$1004,0))&amp;"",""))</f>
        <v/>
      </c>
      <c r="U476" s="33" t="str">
        <f aca="false">IF(OR(Q476="",B476=""),"",IFERROR(B476-INDEX('Post Tracker'!$B$5:$B$1004,MATCH(Q476,'Post Tracker'!$A$5:$A$1004,0)),""))</f>
        <v/>
      </c>
      <c r="V476" s="39"/>
      <c r="W476" s="29"/>
      <c r="X476" s="29"/>
      <c r="Y476" s="29"/>
      <c r="Z476" s="30"/>
      <c r="AA476" s="29"/>
      <c r="AB476" s="29"/>
    </row>
    <row r="477" customFormat="false" ht="15" hidden="false" customHeight="false" outlineLevel="0" collapsed="false">
      <c r="A477" s="41" t="str">
        <f aca="false">IF(B477="","",ROW()-4)</f>
        <v/>
      </c>
      <c r="B477" s="39"/>
      <c r="C477" s="29"/>
      <c r="D477" s="29"/>
      <c r="E477" s="29"/>
      <c r="F477" s="29"/>
      <c r="G477" s="29"/>
      <c r="H477" s="32"/>
      <c r="I477" s="29"/>
      <c r="J477" s="29"/>
      <c r="K477" s="29"/>
      <c r="L477" s="29"/>
      <c r="M477" s="29"/>
      <c r="N477" s="29"/>
      <c r="O477" s="29"/>
      <c r="P477" s="29"/>
      <c r="Q477" s="24" t="str">
        <f aca="false">IF(N477&lt;&gt;"",UPPER(TRIM(N477)),IF(P477&lt;&gt;"",UPPER(TRIM(P477)),""))</f>
        <v/>
      </c>
      <c r="R477" s="24" t="str">
        <f aca="false">IF(B477="","",IF(N477&lt;&gt;"","UTM tracked",IF(P477&lt;&gt;"","Manual / self-reported",IF(O477&lt;&gt;"","Self-reported channel only","Unattributed"))))</f>
        <v/>
      </c>
      <c r="S477" s="24" t="str">
        <f aca="false">IF(Q477="","",IFERROR(INDEX('Post Tracker'!$G$5:$G$1004,MATCH(Q477,'Post Tracker'!$A$5:$A$1004,0)),"ID NOT FOUND"))</f>
        <v/>
      </c>
      <c r="T477" s="24" t="str">
        <f aca="false">IF(Q477="","",IFERROR(INDEX('Post Tracker'!$K$5:$K$1004,MATCH(Q477,'Post Tracker'!$A$5:$A$1004,0))&amp;"",""))</f>
        <v/>
      </c>
      <c r="U477" s="33" t="str">
        <f aca="false">IF(OR(Q477="",B477=""),"",IFERROR(B477-INDEX('Post Tracker'!$B$5:$B$1004,MATCH(Q477,'Post Tracker'!$A$5:$A$1004,0)),""))</f>
        <v/>
      </c>
      <c r="V477" s="39"/>
      <c r="W477" s="29"/>
      <c r="X477" s="29"/>
      <c r="Y477" s="29"/>
      <c r="Z477" s="30"/>
      <c r="AA477" s="29"/>
      <c r="AB477" s="29"/>
    </row>
    <row r="478" customFormat="false" ht="15" hidden="false" customHeight="false" outlineLevel="0" collapsed="false">
      <c r="A478" s="41" t="str">
        <f aca="false">IF(B478="","",ROW()-4)</f>
        <v/>
      </c>
      <c r="B478" s="39"/>
      <c r="C478" s="29"/>
      <c r="D478" s="29"/>
      <c r="E478" s="29"/>
      <c r="F478" s="29"/>
      <c r="G478" s="29"/>
      <c r="H478" s="32"/>
      <c r="I478" s="29"/>
      <c r="J478" s="29"/>
      <c r="K478" s="29"/>
      <c r="L478" s="29"/>
      <c r="M478" s="29"/>
      <c r="N478" s="29"/>
      <c r="O478" s="29"/>
      <c r="P478" s="29"/>
      <c r="Q478" s="24" t="str">
        <f aca="false">IF(N478&lt;&gt;"",UPPER(TRIM(N478)),IF(P478&lt;&gt;"",UPPER(TRIM(P478)),""))</f>
        <v/>
      </c>
      <c r="R478" s="24" t="str">
        <f aca="false">IF(B478="","",IF(N478&lt;&gt;"","UTM tracked",IF(P478&lt;&gt;"","Manual / self-reported",IF(O478&lt;&gt;"","Self-reported channel only","Unattributed"))))</f>
        <v/>
      </c>
      <c r="S478" s="24" t="str">
        <f aca="false">IF(Q478="","",IFERROR(INDEX('Post Tracker'!$G$5:$G$1004,MATCH(Q478,'Post Tracker'!$A$5:$A$1004,0)),"ID NOT FOUND"))</f>
        <v/>
      </c>
      <c r="T478" s="24" t="str">
        <f aca="false">IF(Q478="","",IFERROR(INDEX('Post Tracker'!$K$5:$K$1004,MATCH(Q478,'Post Tracker'!$A$5:$A$1004,0))&amp;"",""))</f>
        <v/>
      </c>
      <c r="U478" s="33" t="str">
        <f aca="false">IF(OR(Q478="",B478=""),"",IFERROR(B478-INDEX('Post Tracker'!$B$5:$B$1004,MATCH(Q478,'Post Tracker'!$A$5:$A$1004,0)),""))</f>
        <v/>
      </c>
      <c r="V478" s="39"/>
      <c r="W478" s="29"/>
      <c r="X478" s="29"/>
      <c r="Y478" s="29"/>
      <c r="Z478" s="30"/>
      <c r="AA478" s="29"/>
      <c r="AB478" s="29"/>
    </row>
    <row r="479" customFormat="false" ht="15" hidden="false" customHeight="false" outlineLevel="0" collapsed="false">
      <c r="A479" s="41" t="str">
        <f aca="false">IF(B479="","",ROW()-4)</f>
        <v/>
      </c>
      <c r="B479" s="39"/>
      <c r="C479" s="29"/>
      <c r="D479" s="29"/>
      <c r="E479" s="29"/>
      <c r="F479" s="29"/>
      <c r="G479" s="29"/>
      <c r="H479" s="32"/>
      <c r="I479" s="29"/>
      <c r="J479" s="29"/>
      <c r="K479" s="29"/>
      <c r="L479" s="29"/>
      <c r="M479" s="29"/>
      <c r="N479" s="29"/>
      <c r="O479" s="29"/>
      <c r="P479" s="29"/>
      <c r="Q479" s="24" t="str">
        <f aca="false">IF(N479&lt;&gt;"",UPPER(TRIM(N479)),IF(P479&lt;&gt;"",UPPER(TRIM(P479)),""))</f>
        <v/>
      </c>
      <c r="R479" s="24" t="str">
        <f aca="false">IF(B479="","",IF(N479&lt;&gt;"","UTM tracked",IF(P479&lt;&gt;"","Manual / self-reported",IF(O479&lt;&gt;"","Self-reported channel only","Unattributed"))))</f>
        <v/>
      </c>
      <c r="S479" s="24" t="str">
        <f aca="false">IF(Q479="","",IFERROR(INDEX('Post Tracker'!$G$5:$G$1004,MATCH(Q479,'Post Tracker'!$A$5:$A$1004,0)),"ID NOT FOUND"))</f>
        <v/>
      </c>
      <c r="T479" s="24" t="str">
        <f aca="false">IF(Q479="","",IFERROR(INDEX('Post Tracker'!$K$5:$K$1004,MATCH(Q479,'Post Tracker'!$A$5:$A$1004,0))&amp;"",""))</f>
        <v/>
      </c>
      <c r="U479" s="33" t="str">
        <f aca="false">IF(OR(Q479="",B479=""),"",IFERROR(B479-INDEX('Post Tracker'!$B$5:$B$1004,MATCH(Q479,'Post Tracker'!$A$5:$A$1004,0)),""))</f>
        <v/>
      </c>
      <c r="V479" s="39"/>
      <c r="W479" s="29"/>
      <c r="X479" s="29"/>
      <c r="Y479" s="29"/>
      <c r="Z479" s="30"/>
      <c r="AA479" s="29"/>
      <c r="AB479" s="29"/>
    </row>
    <row r="480" customFormat="false" ht="15" hidden="false" customHeight="false" outlineLevel="0" collapsed="false">
      <c r="A480" s="41" t="str">
        <f aca="false">IF(B480="","",ROW()-4)</f>
        <v/>
      </c>
      <c r="B480" s="39"/>
      <c r="C480" s="29"/>
      <c r="D480" s="29"/>
      <c r="E480" s="29"/>
      <c r="F480" s="29"/>
      <c r="G480" s="29"/>
      <c r="H480" s="32"/>
      <c r="I480" s="29"/>
      <c r="J480" s="29"/>
      <c r="K480" s="29"/>
      <c r="L480" s="29"/>
      <c r="M480" s="29"/>
      <c r="N480" s="29"/>
      <c r="O480" s="29"/>
      <c r="P480" s="29"/>
      <c r="Q480" s="24" t="str">
        <f aca="false">IF(N480&lt;&gt;"",UPPER(TRIM(N480)),IF(P480&lt;&gt;"",UPPER(TRIM(P480)),""))</f>
        <v/>
      </c>
      <c r="R480" s="24" t="str">
        <f aca="false">IF(B480="","",IF(N480&lt;&gt;"","UTM tracked",IF(P480&lt;&gt;"","Manual / self-reported",IF(O480&lt;&gt;"","Self-reported channel only","Unattributed"))))</f>
        <v/>
      </c>
      <c r="S480" s="24" t="str">
        <f aca="false">IF(Q480="","",IFERROR(INDEX('Post Tracker'!$G$5:$G$1004,MATCH(Q480,'Post Tracker'!$A$5:$A$1004,0)),"ID NOT FOUND"))</f>
        <v/>
      </c>
      <c r="T480" s="24" t="str">
        <f aca="false">IF(Q480="","",IFERROR(INDEX('Post Tracker'!$K$5:$K$1004,MATCH(Q480,'Post Tracker'!$A$5:$A$1004,0))&amp;"",""))</f>
        <v/>
      </c>
      <c r="U480" s="33" t="str">
        <f aca="false">IF(OR(Q480="",B480=""),"",IFERROR(B480-INDEX('Post Tracker'!$B$5:$B$1004,MATCH(Q480,'Post Tracker'!$A$5:$A$1004,0)),""))</f>
        <v/>
      </c>
      <c r="V480" s="39"/>
      <c r="W480" s="29"/>
      <c r="X480" s="29"/>
      <c r="Y480" s="29"/>
      <c r="Z480" s="30"/>
      <c r="AA480" s="29"/>
      <c r="AB480" s="29"/>
    </row>
    <row r="481" customFormat="false" ht="15" hidden="false" customHeight="false" outlineLevel="0" collapsed="false">
      <c r="A481" s="41" t="str">
        <f aca="false">IF(B481="","",ROW()-4)</f>
        <v/>
      </c>
      <c r="B481" s="39"/>
      <c r="C481" s="29"/>
      <c r="D481" s="29"/>
      <c r="E481" s="29"/>
      <c r="F481" s="29"/>
      <c r="G481" s="29"/>
      <c r="H481" s="32"/>
      <c r="I481" s="29"/>
      <c r="J481" s="29"/>
      <c r="K481" s="29"/>
      <c r="L481" s="29"/>
      <c r="M481" s="29"/>
      <c r="N481" s="29"/>
      <c r="O481" s="29"/>
      <c r="P481" s="29"/>
      <c r="Q481" s="24" t="str">
        <f aca="false">IF(N481&lt;&gt;"",UPPER(TRIM(N481)),IF(P481&lt;&gt;"",UPPER(TRIM(P481)),""))</f>
        <v/>
      </c>
      <c r="R481" s="24" t="str">
        <f aca="false">IF(B481="","",IF(N481&lt;&gt;"","UTM tracked",IF(P481&lt;&gt;"","Manual / self-reported",IF(O481&lt;&gt;"","Self-reported channel only","Unattributed"))))</f>
        <v/>
      </c>
      <c r="S481" s="24" t="str">
        <f aca="false">IF(Q481="","",IFERROR(INDEX('Post Tracker'!$G$5:$G$1004,MATCH(Q481,'Post Tracker'!$A$5:$A$1004,0)),"ID NOT FOUND"))</f>
        <v/>
      </c>
      <c r="T481" s="24" t="str">
        <f aca="false">IF(Q481="","",IFERROR(INDEX('Post Tracker'!$K$5:$K$1004,MATCH(Q481,'Post Tracker'!$A$5:$A$1004,0))&amp;"",""))</f>
        <v/>
      </c>
      <c r="U481" s="33" t="str">
        <f aca="false">IF(OR(Q481="",B481=""),"",IFERROR(B481-INDEX('Post Tracker'!$B$5:$B$1004,MATCH(Q481,'Post Tracker'!$A$5:$A$1004,0)),""))</f>
        <v/>
      </c>
      <c r="V481" s="39"/>
      <c r="W481" s="29"/>
      <c r="X481" s="29"/>
      <c r="Y481" s="29"/>
      <c r="Z481" s="30"/>
      <c r="AA481" s="29"/>
      <c r="AB481" s="29"/>
    </row>
    <row r="482" customFormat="false" ht="15" hidden="false" customHeight="false" outlineLevel="0" collapsed="false">
      <c r="A482" s="41" t="str">
        <f aca="false">IF(B482="","",ROW()-4)</f>
        <v/>
      </c>
      <c r="B482" s="39"/>
      <c r="C482" s="29"/>
      <c r="D482" s="29"/>
      <c r="E482" s="29"/>
      <c r="F482" s="29"/>
      <c r="G482" s="29"/>
      <c r="H482" s="32"/>
      <c r="I482" s="29"/>
      <c r="J482" s="29"/>
      <c r="K482" s="29"/>
      <c r="L482" s="29"/>
      <c r="M482" s="29"/>
      <c r="N482" s="29"/>
      <c r="O482" s="29"/>
      <c r="P482" s="29"/>
      <c r="Q482" s="24" t="str">
        <f aca="false">IF(N482&lt;&gt;"",UPPER(TRIM(N482)),IF(P482&lt;&gt;"",UPPER(TRIM(P482)),""))</f>
        <v/>
      </c>
      <c r="R482" s="24" t="str">
        <f aca="false">IF(B482="","",IF(N482&lt;&gt;"","UTM tracked",IF(P482&lt;&gt;"","Manual / self-reported",IF(O482&lt;&gt;"","Self-reported channel only","Unattributed"))))</f>
        <v/>
      </c>
      <c r="S482" s="24" t="str">
        <f aca="false">IF(Q482="","",IFERROR(INDEX('Post Tracker'!$G$5:$G$1004,MATCH(Q482,'Post Tracker'!$A$5:$A$1004,0)),"ID NOT FOUND"))</f>
        <v/>
      </c>
      <c r="T482" s="24" t="str">
        <f aca="false">IF(Q482="","",IFERROR(INDEX('Post Tracker'!$K$5:$K$1004,MATCH(Q482,'Post Tracker'!$A$5:$A$1004,0))&amp;"",""))</f>
        <v/>
      </c>
      <c r="U482" s="33" t="str">
        <f aca="false">IF(OR(Q482="",B482=""),"",IFERROR(B482-INDEX('Post Tracker'!$B$5:$B$1004,MATCH(Q482,'Post Tracker'!$A$5:$A$1004,0)),""))</f>
        <v/>
      </c>
      <c r="V482" s="39"/>
      <c r="W482" s="29"/>
      <c r="X482" s="29"/>
      <c r="Y482" s="29"/>
      <c r="Z482" s="30"/>
      <c r="AA482" s="29"/>
      <c r="AB482" s="29"/>
    </row>
    <row r="483" customFormat="false" ht="15" hidden="false" customHeight="false" outlineLevel="0" collapsed="false">
      <c r="A483" s="41" t="str">
        <f aca="false">IF(B483="","",ROW()-4)</f>
        <v/>
      </c>
      <c r="B483" s="39"/>
      <c r="C483" s="29"/>
      <c r="D483" s="29"/>
      <c r="E483" s="29"/>
      <c r="F483" s="29"/>
      <c r="G483" s="29"/>
      <c r="H483" s="32"/>
      <c r="I483" s="29"/>
      <c r="J483" s="29"/>
      <c r="K483" s="29"/>
      <c r="L483" s="29"/>
      <c r="M483" s="29"/>
      <c r="N483" s="29"/>
      <c r="O483" s="29"/>
      <c r="P483" s="29"/>
      <c r="Q483" s="24" t="str">
        <f aca="false">IF(N483&lt;&gt;"",UPPER(TRIM(N483)),IF(P483&lt;&gt;"",UPPER(TRIM(P483)),""))</f>
        <v/>
      </c>
      <c r="R483" s="24" t="str">
        <f aca="false">IF(B483="","",IF(N483&lt;&gt;"","UTM tracked",IF(P483&lt;&gt;"","Manual / self-reported",IF(O483&lt;&gt;"","Self-reported channel only","Unattributed"))))</f>
        <v/>
      </c>
      <c r="S483" s="24" t="str">
        <f aca="false">IF(Q483="","",IFERROR(INDEX('Post Tracker'!$G$5:$G$1004,MATCH(Q483,'Post Tracker'!$A$5:$A$1004,0)),"ID NOT FOUND"))</f>
        <v/>
      </c>
      <c r="T483" s="24" t="str">
        <f aca="false">IF(Q483="","",IFERROR(INDEX('Post Tracker'!$K$5:$K$1004,MATCH(Q483,'Post Tracker'!$A$5:$A$1004,0))&amp;"",""))</f>
        <v/>
      </c>
      <c r="U483" s="33" t="str">
        <f aca="false">IF(OR(Q483="",B483=""),"",IFERROR(B483-INDEX('Post Tracker'!$B$5:$B$1004,MATCH(Q483,'Post Tracker'!$A$5:$A$1004,0)),""))</f>
        <v/>
      </c>
      <c r="V483" s="39"/>
      <c r="W483" s="29"/>
      <c r="X483" s="29"/>
      <c r="Y483" s="29"/>
      <c r="Z483" s="30"/>
      <c r="AA483" s="29"/>
      <c r="AB483" s="29"/>
    </row>
    <row r="484" customFormat="false" ht="15" hidden="false" customHeight="false" outlineLevel="0" collapsed="false">
      <c r="A484" s="41" t="str">
        <f aca="false">IF(B484="","",ROW()-4)</f>
        <v/>
      </c>
      <c r="B484" s="39"/>
      <c r="C484" s="29"/>
      <c r="D484" s="29"/>
      <c r="E484" s="29"/>
      <c r="F484" s="29"/>
      <c r="G484" s="29"/>
      <c r="H484" s="32"/>
      <c r="I484" s="29"/>
      <c r="J484" s="29"/>
      <c r="K484" s="29"/>
      <c r="L484" s="29"/>
      <c r="M484" s="29"/>
      <c r="N484" s="29"/>
      <c r="O484" s="29"/>
      <c r="P484" s="29"/>
      <c r="Q484" s="24" t="str">
        <f aca="false">IF(N484&lt;&gt;"",UPPER(TRIM(N484)),IF(P484&lt;&gt;"",UPPER(TRIM(P484)),""))</f>
        <v/>
      </c>
      <c r="R484" s="24" t="str">
        <f aca="false">IF(B484="","",IF(N484&lt;&gt;"","UTM tracked",IF(P484&lt;&gt;"","Manual / self-reported",IF(O484&lt;&gt;"","Self-reported channel only","Unattributed"))))</f>
        <v/>
      </c>
      <c r="S484" s="24" t="str">
        <f aca="false">IF(Q484="","",IFERROR(INDEX('Post Tracker'!$G$5:$G$1004,MATCH(Q484,'Post Tracker'!$A$5:$A$1004,0)),"ID NOT FOUND"))</f>
        <v/>
      </c>
      <c r="T484" s="24" t="str">
        <f aca="false">IF(Q484="","",IFERROR(INDEX('Post Tracker'!$K$5:$K$1004,MATCH(Q484,'Post Tracker'!$A$5:$A$1004,0))&amp;"",""))</f>
        <v/>
      </c>
      <c r="U484" s="33" t="str">
        <f aca="false">IF(OR(Q484="",B484=""),"",IFERROR(B484-INDEX('Post Tracker'!$B$5:$B$1004,MATCH(Q484,'Post Tracker'!$A$5:$A$1004,0)),""))</f>
        <v/>
      </c>
      <c r="V484" s="39"/>
      <c r="W484" s="29"/>
      <c r="X484" s="29"/>
      <c r="Y484" s="29"/>
      <c r="Z484" s="30"/>
      <c r="AA484" s="29"/>
      <c r="AB484" s="29"/>
    </row>
    <row r="485" customFormat="false" ht="15" hidden="false" customHeight="false" outlineLevel="0" collapsed="false">
      <c r="A485" s="41" t="str">
        <f aca="false">IF(B485="","",ROW()-4)</f>
        <v/>
      </c>
      <c r="B485" s="39"/>
      <c r="C485" s="29"/>
      <c r="D485" s="29"/>
      <c r="E485" s="29"/>
      <c r="F485" s="29"/>
      <c r="G485" s="29"/>
      <c r="H485" s="32"/>
      <c r="I485" s="29"/>
      <c r="J485" s="29"/>
      <c r="K485" s="29"/>
      <c r="L485" s="29"/>
      <c r="M485" s="29"/>
      <c r="N485" s="29"/>
      <c r="O485" s="29"/>
      <c r="P485" s="29"/>
      <c r="Q485" s="24" t="str">
        <f aca="false">IF(N485&lt;&gt;"",UPPER(TRIM(N485)),IF(P485&lt;&gt;"",UPPER(TRIM(P485)),""))</f>
        <v/>
      </c>
      <c r="R485" s="24" t="str">
        <f aca="false">IF(B485="","",IF(N485&lt;&gt;"","UTM tracked",IF(P485&lt;&gt;"","Manual / self-reported",IF(O485&lt;&gt;"","Self-reported channel only","Unattributed"))))</f>
        <v/>
      </c>
      <c r="S485" s="24" t="str">
        <f aca="false">IF(Q485="","",IFERROR(INDEX('Post Tracker'!$G$5:$G$1004,MATCH(Q485,'Post Tracker'!$A$5:$A$1004,0)),"ID NOT FOUND"))</f>
        <v/>
      </c>
      <c r="T485" s="24" t="str">
        <f aca="false">IF(Q485="","",IFERROR(INDEX('Post Tracker'!$K$5:$K$1004,MATCH(Q485,'Post Tracker'!$A$5:$A$1004,0))&amp;"",""))</f>
        <v/>
      </c>
      <c r="U485" s="33" t="str">
        <f aca="false">IF(OR(Q485="",B485=""),"",IFERROR(B485-INDEX('Post Tracker'!$B$5:$B$1004,MATCH(Q485,'Post Tracker'!$A$5:$A$1004,0)),""))</f>
        <v/>
      </c>
      <c r="V485" s="39"/>
      <c r="W485" s="29"/>
      <c r="X485" s="29"/>
      <c r="Y485" s="29"/>
      <c r="Z485" s="30"/>
      <c r="AA485" s="29"/>
      <c r="AB485" s="29"/>
    </row>
    <row r="486" customFormat="false" ht="15" hidden="false" customHeight="false" outlineLevel="0" collapsed="false">
      <c r="A486" s="41" t="str">
        <f aca="false">IF(B486="","",ROW()-4)</f>
        <v/>
      </c>
      <c r="B486" s="39"/>
      <c r="C486" s="29"/>
      <c r="D486" s="29"/>
      <c r="E486" s="29"/>
      <c r="F486" s="29"/>
      <c r="G486" s="29"/>
      <c r="H486" s="32"/>
      <c r="I486" s="29"/>
      <c r="J486" s="29"/>
      <c r="K486" s="29"/>
      <c r="L486" s="29"/>
      <c r="M486" s="29"/>
      <c r="N486" s="29"/>
      <c r="O486" s="29"/>
      <c r="P486" s="29"/>
      <c r="Q486" s="24" t="str">
        <f aca="false">IF(N486&lt;&gt;"",UPPER(TRIM(N486)),IF(P486&lt;&gt;"",UPPER(TRIM(P486)),""))</f>
        <v/>
      </c>
      <c r="R486" s="24" t="str">
        <f aca="false">IF(B486="","",IF(N486&lt;&gt;"","UTM tracked",IF(P486&lt;&gt;"","Manual / self-reported",IF(O486&lt;&gt;"","Self-reported channel only","Unattributed"))))</f>
        <v/>
      </c>
      <c r="S486" s="24" t="str">
        <f aca="false">IF(Q486="","",IFERROR(INDEX('Post Tracker'!$G$5:$G$1004,MATCH(Q486,'Post Tracker'!$A$5:$A$1004,0)),"ID NOT FOUND"))</f>
        <v/>
      </c>
      <c r="T486" s="24" t="str">
        <f aca="false">IF(Q486="","",IFERROR(INDEX('Post Tracker'!$K$5:$K$1004,MATCH(Q486,'Post Tracker'!$A$5:$A$1004,0))&amp;"",""))</f>
        <v/>
      </c>
      <c r="U486" s="33" t="str">
        <f aca="false">IF(OR(Q486="",B486=""),"",IFERROR(B486-INDEX('Post Tracker'!$B$5:$B$1004,MATCH(Q486,'Post Tracker'!$A$5:$A$1004,0)),""))</f>
        <v/>
      </c>
      <c r="V486" s="39"/>
      <c r="W486" s="29"/>
      <c r="X486" s="29"/>
      <c r="Y486" s="29"/>
      <c r="Z486" s="30"/>
      <c r="AA486" s="29"/>
      <c r="AB486" s="29"/>
    </row>
    <row r="487" customFormat="false" ht="15" hidden="false" customHeight="false" outlineLevel="0" collapsed="false">
      <c r="A487" s="41" t="str">
        <f aca="false">IF(B487="","",ROW()-4)</f>
        <v/>
      </c>
      <c r="B487" s="39"/>
      <c r="C487" s="29"/>
      <c r="D487" s="29"/>
      <c r="E487" s="29"/>
      <c r="F487" s="29"/>
      <c r="G487" s="29"/>
      <c r="H487" s="32"/>
      <c r="I487" s="29"/>
      <c r="J487" s="29"/>
      <c r="K487" s="29"/>
      <c r="L487" s="29"/>
      <c r="M487" s="29"/>
      <c r="N487" s="29"/>
      <c r="O487" s="29"/>
      <c r="P487" s="29"/>
      <c r="Q487" s="24" t="str">
        <f aca="false">IF(N487&lt;&gt;"",UPPER(TRIM(N487)),IF(P487&lt;&gt;"",UPPER(TRIM(P487)),""))</f>
        <v/>
      </c>
      <c r="R487" s="24" t="str">
        <f aca="false">IF(B487="","",IF(N487&lt;&gt;"","UTM tracked",IF(P487&lt;&gt;"","Manual / self-reported",IF(O487&lt;&gt;"","Self-reported channel only","Unattributed"))))</f>
        <v/>
      </c>
      <c r="S487" s="24" t="str">
        <f aca="false">IF(Q487="","",IFERROR(INDEX('Post Tracker'!$G$5:$G$1004,MATCH(Q487,'Post Tracker'!$A$5:$A$1004,0)),"ID NOT FOUND"))</f>
        <v/>
      </c>
      <c r="T487" s="24" t="str">
        <f aca="false">IF(Q487="","",IFERROR(INDEX('Post Tracker'!$K$5:$K$1004,MATCH(Q487,'Post Tracker'!$A$5:$A$1004,0))&amp;"",""))</f>
        <v/>
      </c>
      <c r="U487" s="33" t="str">
        <f aca="false">IF(OR(Q487="",B487=""),"",IFERROR(B487-INDEX('Post Tracker'!$B$5:$B$1004,MATCH(Q487,'Post Tracker'!$A$5:$A$1004,0)),""))</f>
        <v/>
      </c>
      <c r="V487" s="39"/>
      <c r="W487" s="29"/>
      <c r="X487" s="29"/>
      <c r="Y487" s="29"/>
      <c r="Z487" s="30"/>
      <c r="AA487" s="29"/>
      <c r="AB487" s="29"/>
    </row>
    <row r="488" customFormat="false" ht="15" hidden="false" customHeight="false" outlineLevel="0" collapsed="false">
      <c r="A488" s="41" t="str">
        <f aca="false">IF(B488="","",ROW()-4)</f>
        <v/>
      </c>
      <c r="B488" s="39"/>
      <c r="C488" s="29"/>
      <c r="D488" s="29"/>
      <c r="E488" s="29"/>
      <c r="F488" s="29"/>
      <c r="G488" s="29"/>
      <c r="H488" s="32"/>
      <c r="I488" s="29"/>
      <c r="J488" s="29"/>
      <c r="K488" s="29"/>
      <c r="L488" s="29"/>
      <c r="M488" s="29"/>
      <c r="N488" s="29"/>
      <c r="O488" s="29"/>
      <c r="P488" s="29"/>
      <c r="Q488" s="24" t="str">
        <f aca="false">IF(N488&lt;&gt;"",UPPER(TRIM(N488)),IF(P488&lt;&gt;"",UPPER(TRIM(P488)),""))</f>
        <v/>
      </c>
      <c r="R488" s="24" t="str">
        <f aca="false">IF(B488="","",IF(N488&lt;&gt;"","UTM tracked",IF(P488&lt;&gt;"","Manual / self-reported",IF(O488&lt;&gt;"","Self-reported channel only","Unattributed"))))</f>
        <v/>
      </c>
      <c r="S488" s="24" t="str">
        <f aca="false">IF(Q488="","",IFERROR(INDEX('Post Tracker'!$G$5:$G$1004,MATCH(Q488,'Post Tracker'!$A$5:$A$1004,0)),"ID NOT FOUND"))</f>
        <v/>
      </c>
      <c r="T488" s="24" t="str">
        <f aca="false">IF(Q488="","",IFERROR(INDEX('Post Tracker'!$K$5:$K$1004,MATCH(Q488,'Post Tracker'!$A$5:$A$1004,0))&amp;"",""))</f>
        <v/>
      </c>
      <c r="U488" s="33" t="str">
        <f aca="false">IF(OR(Q488="",B488=""),"",IFERROR(B488-INDEX('Post Tracker'!$B$5:$B$1004,MATCH(Q488,'Post Tracker'!$A$5:$A$1004,0)),""))</f>
        <v/>
      </c>
      <c r="V488" s="39"/>
      <c r="W488" s="29"/>
      <c r="X488" s="29"/>
      <c r="Y488" s="29"/>
      <c r="Z488" s="30"/>
      <c r="AA488" s="29"/>
      <c r="AB488" s="29"/>
    </row>
    <row r="489" customFormat="false" ht="15" hidden="false" customHeight="false" outlineLevel="0" collapsed="false">
      <c r="A489" s="41" t="str">
        <f aca="false">IF(B489="","",ROW()-4)</f>
        <v/>
      </c>
      <c r="B489" s="39"/>
      <c r="C489" s="29"/>
      <c r="D489" s="29"/>
      <c r="E489" s="29"/>
      <c r="F489" s="29"/>
      <c r="G489" s="29"/>
      <c r="H489" s="32"/>
      <c r="I489" s="29"/>
      <c r="J489" s="29"/>
      <c r="K489" s="29"/>
      <c r="L489" s="29"/>
      <c r="M489" s="29"/>
      <c r="N489" s="29"/>
      <c r="O489" s="29"/>
      <c r="P489" s="29"/>
      <c r="Q489" s="24" t="str">
        <f aca="false">IF(N489&lt;&gt;"",UPPER(TRIM(N489)),IF(P489&lt;&gt;"",UPPER(TRIM(P489)),""))</f>
        <v/>
      </c>
      <c r="R489" s="24" t="str">
        <f aca="false">IF(B489="","",IF(N489&lt;&gt;"","UTM tracked",IF(P489&lt;&gt;"","Manual / self-reported",IF(O489&lt;&gt;"","Self-reported channel only","Unattributed"))))</f>
        <v/>
      </c>
      <c r="S489" s="24" t="str">
        <f aca="false">IF(Q489="","",IFERROR(INDEX('Post Tracker'!$G$5:$G$1004,MATCH(Q489,'Post Tracker'!$A$5:$A$1004,0)),"ID NOT FOUND"))</f>
        <v/>
      </c>
      <c r="T489" s="24" t="str">
        <f aca="false">IF(Q489="","",IFERROR(INDEX('Post Tracker'!$K$5:$K$1004,MATCH(Q489,'Post Tracker'!$A$5:$A$1004,0))&amp;"",""))</f>
        <v/>
      </c>
      <c r="U489" s="33" t="str">
        <f aca="false">IF(OR(Q489="",B489=""),"",IFERROR(B489-INDEX('Post Tracker'!$B$5:$B$1004,MATCH(Q489,'Post Tracker'!$A$5:$A$1004,0)),""))</f>
        <v/>
      </c>
      <c r="V489" s="39"/>
      <c r="W489" s="29"/>
      <c r="X489" s="29"/>
      <c r="Y489" s="29"/>
      <c r="Z489" s="30"/>
      <c r="AA489" s="29"/>
      <c r="AB489" s="29"/>
    </row>
    <row r="490" customFormat="false" ht="15" hidden="false" customHeight="false" outlineLevel="0" collapsed="false">
      <c r="A490" s="41" t="str">
        <f aca="false">IF(B490="","",ROW()-4)</f>
        <v/>
      </c>
      <c r="B490" s="39"/>
      <c r="C490" s="29"/>
      <c r="D490" s="29"/>
      <c r="E490" s="29"/>
      <c r="F490" s="29"/>
      <c r="G490" s="29"/>
      <c r="H490" s="32"/>
      <c r="I490" s="29"/>
      <c r="J490" s="29"/>
      <c r="K490" s="29"/>
      <c r="L490" s="29"/>
      <c r="M490" s="29"/>
      <c r="N490" s="29"/>
      <c r="O490" s="29"/>
      <c r="P490" s="29"/>
      <c r="Q490" s="24" t="str">
        <f aca="false">IF(N490&lt;&gt;"",UPPER(TRIM(N490)),IF(P490&lt;&gt;"",UPPER(TRIM(P490)),""))</f>
        <v/>
      </c>
      <c r="R490" s="24" t="str">
        <f aca="false">IF(B490="","",IF(N490&lt;&gt;"","UTM tracked",IF(P490&lt;&gt;"","Manual / self-reported",IF(O490&lt;&gt;"","Self-reported channel only","Unattributed"))))</f>
        <v/>
      </c>
      <c r="S490" s="24" t="str">
        <f aca="false">IF(Q490="","",IFERROR(INDEX('Post Tracker'!$G$5:$G$1004,MATCH(Q490,'Post Tracker'!$A$5:$A$1004,0)),"ID NOT FOUND"))</f>
        <v/>
      </c>
      <c r="T490" s="24" t="str">
        <f aca="false">IF(Q490="","",IFERROR(INDEX('Post Tracker'!$K$5:$K$1004,MATCH(Q490,'Post Tracker'!$A$5:$A$1004,0))&amp;"",""))</f>
        <v/>
      </c>
      <c r="U490" s="33" t="str">
        <f aca="false">IF(OR(Q490="",B490=""),"",IFERROR(B490-INDEX('Post Tracker'!$B$5:$B$1004,MATCH(Q490,'Post Tracker'!$A$5:$A$1004,0)),""))</f>
        <v/>
      </c>
      <c r="V490" s="39"/>
      <c r="W490" s="29"/>
      <c r="X490" s="29"/>
      <c r="Y490" s="29"/>
      <c r="Z490" s="30"/>
      <c r="AA490" s="29"/>
      <c r="AB490" s="29"/>
    </row>
    <row r="491" customFormat="false" ht="15" hidden="false" customHeight="false" outlineLevel="0" collapsed="false">
      <c r="A491" s="41" t="str">
        <f aca="false">IF(B491="","",ROW()-4)</f>
        <v/>
      </c>
      <c r="B491" s="39"/>
      <c r="C491" s="29"/>
      <c r="D491" s="29"/>
      <c r="E491" s="29"/>
      <c r="F491" s="29"/>
      <c r="G491" s="29"/>
      <c r="H491" s="32"/>
      <c r="I491" s="29"/>
      <c r="J491" s="29"/>
      <c r="K491" s="29"/>
      <c r="L491" s="29"/>
      <c r="M491" s="29"/>
      <c r="N491" s="29"/>
      <c r="O491" s="29"/>
      <c r="P491" s="29"/>
      <c r="Q491" s="24" t="str">
        <f aca="false">IF(N491&lt;&gt;"",UPPER(TRIM(N491)),IF(P491&lt;&gt;"",UPPER(TRIM(P491)),""))</f>
        <v/>
      </c>
      <c r="R491" s="24" t="str">
        <f aca="false">IF(B491="","",IF(N491&lt;&gt;"","UTM tracked",IF(P491&lt;&gt;"","Manual / self-reported",IF(O491&lt;&gt;"","Self-reported channel only","Unattributed"))))</f>
        <v/>
      </c>
      <c r="S491" s="24" t="str">
        <f aca="false">IF(Q491="","",IFERROR(INDEX('Post Tracker'!$G$5:$G$1004,MATCH(Q491,'Post Tracker'!$A$5:$A$1004,0)),"ID NOT FOUND"))</f>
        <v/>
      </c>
      <c r="T491" s="24" t="str">
        <f aca="false">IF(Q491="","",IFERROR(INDEX('Post Tracker'!$K$5:$K$1004,MATCH(Q491,'Post Tracker'!$A$5:$A$1004,0))&amp;"",""))</f>
        <v/>
      </c>
      <c r="U491" s="33" t="str">
        <f aca="false">IF(OR(Q491="",B491=""),"",IFERROR(B491-INDEX('Post Tracker'!$B$5:$B$1004,MATCH(Q491,'Post Tracker'!$A$5:$A$1004,0)),""))</f>
        <v/>
      </c>
      <c r="V491" s="39"/>
      <c r="W491" s="29"/>
      <c r="X491" s="29"/>
      <c r="Y491" s="29"/>
      <c r="Z491" s="30"/>
      <c r="AA491" s="29"/>
      <c r="AB491" s="29"/>
    </row>
    <row r="492" customFormat="false" ht="15" hidden="false" customHeight="false" outlineLevel="0" collapsed="false">
      <c r="A492" s="41" t="str">
        <f aca="false">IF(B492="","",ROW()-4)</f>
        <v/>
      </c>
      <c r="B492" s="39"/>
      <c r="C492" s="29"/>
      <c r="D492" s="29"/>
      <c r="E492" s="29"/>
      <c r="F492" s="29"/>
      <c r="G492" s="29"/>
      <c r="H492" s="32"/>
      <c r="I492" s="29"/>
      <c r="J492" s="29"/>
      <c r="K492" s="29"/>
      <c r="L492" s="29"/>
      <c r="M492" s="29"/>
      <c r="N492" s="29"/>
      <c r="O492" s="29"/>
      <c r="P492" s="29"/>
      <c r="Q492" s="24" t="str">
        <f aca="false">IF(N492&lt;&gt;"",UPPER(TRIM(N492)),IF(P492&lt;&gt;"",UPPER(TRIM(P492)),""))</f>
        <v/>
      </c>
      <c r="R492" s="24" t="str">
        <f aca="false">IF(B492="","",IF(N492&lt;&gt;"","UTM tracked",IF(P492&lt;&gt;"","Manual / self-reported",IF(O492&lt;&gt;"","Self-reported channel only","Unattributed"))))</f>
        <v/>
      </c>
      <c r="S492" s="24" t="str">
        <f aca="false">IF(Q492="","",IFERROR(INDEX('Post Tracker'!$G$5:$G$1004,MATCH(Q492,'Post Tracker'!$A$5:$A$1004,0)),"ID NOT FOUND"))</f>
        <v/>
      </c>
      <c r="T492" s="24" t="str">
        <f aca="false">IF(Q492="","",IFERROR(INDEX('Post Tracker'!$K$5:$K$1004,MATCH(Q492,'Post Tracker'!$A$5:$A$1004,0))&amp;"",""))</f>
        <v/>
      </c>
      <c r="U492" s="33" t="str">
        <f aca="false">IF(OR(Q492="",B492=""),"",IFERROR(B492-INDEX('Post Tracker'!$B$5:$B$1004,MATCH(Q492,'Post Tracker'!$A$5:$A$1004,0)),""))</f>
        <v/>
      </c>
      <c r="V492" s="39"/>
      <c r="W492" s="29"/>
      <c r="X492" s="29"/>
      <c r="Y492" s="29"/>
      <c r="Z492" s="30"/>
      <c r="AA492" s="29"/>
      <c r="AB492" s="29"/>
    </row>
    <row r="493" customFormat="false" ht="15" hidden="false" customHeight="false" outlineLevel="0" collapsed="false">
      <c r="A493" s="41" t="str">
        <f aca="false">IF(B493="","",ROW()-4)</f>
        <v/>
      </c>
      <c r="B493" s="39"/>
      <c r="C493" s="29"/>
      <c r="D493" s="29"/>
      <c r="E493" s="29"/>
      <c r="F493" s="29"/>
      <c r="G493" s="29"/>
      <c r="H493" s="32"/>
      <c r="I493" s="29"/>
      <c r="J493" s="29"/>
      <c r="K493" s="29"/>
      <c r="L493" s="29"/>
      <c r="M493" s="29"/>
      <c r="N493" s="29"/>
      <c r="O493" s="29"/>
      <c r="P493" s="29"/>
      <c r="Q493" s="24" t="str">
        <f aca="false">IF(N493&lt;&gt;"",UPPER(TRIM(N493)),IF(P493&lt;&gt;"",UPPER(TRIM(P493)),""))</f>
        <v/>
      </c>
      <c r="R493" s="24" t="str">
        <f aca="false">IF(B493="","",IF(N493&lt;&gt;"","UTM tracked",IF(P493&lt;&gt;"","Manual / self-reported",IF(O493&lt;&gt;"","Self-reported channel only","Unattributed"))))</f>
        <v/>
      </c>
      <c r="S493" s="24" t="str">
        <f aca="false">IF(Q493="","",IFERROR(INDEX('Post Tracker'!$G$5:$G$1004,MATCH(Q493,'Post Tracker'!$A$5:$A$1004,0)),"ID NOT FOUND"))</f>
        <v/>
      </c>
      <c r="T493" s="24" t="str">
        <f aca="false">IF(Q493="","",IFERROR(INDEX('Post Tracker'!$K$5:$K$1004,MATCH(Q493,'Post Tracker'!$A$5:$A$1004,0))&amp;"",""))</f>
        <v/>
      </c>
      <c r="U493" s="33" t="str">
        <f aca="false">IF(OR(Q493="",B493=""),"",IFERROR(B493-INDEX('Post Tracker'!$B$5:$B$1004,MATCH(Q493,'Post Tracker'!$A$5:$A$1004,0)),""))</f>
        <v/>
      </c>
      <c r="V493" s="39"/>
      <c r="W493" s="29"/>
      <c r="X493" s="29"/>
      <c r="Y493" s="29"/>
      <c r="Z493" s="30"/>
      <c r="AA493" s="29"/>
      <c r="AB493" s="29"/>
    </row>
    <row r="494" customFormat="false" ht="15" hidden="false" customHeight="false" outlineLevel="0" collapsed="false">
      <c r="A494" s="41" t="str">
        <f aca="false">IF(B494="","",ROW()-4)</f>
        <v/>
      </c>
      <c r="B494" s="39"/>
      <c r="C494" s="29"/>
      <c r="D494" s="29"/>
      <c r="E494" s="29"/>
      <c r="F494" s="29"/>
      <c r="G494" s="29"/>
      <c r="H494" s="32"/>
      <c r="I494" s="29"/>
      <c r="J494" s="29"/>
      <c r="K494" s="29"/>
      <c r="L494" s="29"/>
      <c r="M494" s="29"/>
      <c r="N494" s="29"/>
      <c r="O494" s="29"/>
      <c r="P494" s="29"/>
      <c r="Q494" s="24" t="str">
        <f aca="false">IF(N494&lt;&gt;"",UPPER(TRIM(N494)),IF(P494&lt;&gt;"",UPPER(TRIM(P494)),""))</f>
        <v/>
      </c>
      <c r="R494" s="24" t="str">
        <f aca="false">IF(B494="","",IF(N494&lt;&gt;"","UTM tracked",IF(P494&lt;&gt;"","Manual / self-reported",IF(O494&lt;&gt;"","Self-reported channel only","Unattributed"))))</f>
        <v/>
      </c>
      <c r="S494" s="24" t="str">
        <f aca="false">IF(Q494="","",IFERROR(INDEX('Post Tracker'!$G$5:$G$1004,MATCH(Q494,'Post Tracker'!$A$5:$A$1004,0)),"ID NOT FOUND"))</f>
        <v/>
      </c>
      <c r="T494" s="24" t="str">
        <f aca="false">IF(Q494="","",IFERROR(INDEX('Post Tracker'!$K$5:$K$1004,MATCH(Q494,'Post Tracker'!$A$5:$A$1004,0))&amp;"",""))</f>
        <v/>
      </c>
      <c r="U494" s="33" t="str">
        <f aca="false">IF(OR(Q494="",B494=""),"",IFERROR(B494-INDEX('Post Tracker'!$B$5:$B$1004,MATCH(Q494,'Post Tracker'!$A$5:$A$1004,0)),""))</f>
        <v/>
      </c>
      <c r="V494" s="39"/>
      <c r="W494" s="29"/>
      <c r="X494" s="29"/>
      <c r="Y494" s="29"/>
      <c r="Z494" s="30"/>
      <c r="AA494" s="29"/>
      <c r="AB494" s="29"/>
    </row>
    <row r="495" customFormat="false" ht="15" hidden="false" customHeight="false" outlineLevel="0" collapsed="false">
      <c r="A495" s="41" t="str">
        <f aca="false">IF(B495="","",ROW()-4)</f>
        <v/>
      </c>
      <c r="B495" s="39"/>
      <c r="C495" s="29"/>
      <c r="D495" s="29"/>
      <c r="E495" s="29"/>
      <c r="F495" s="29"/>
      <c r="G495" s="29"/>
      <c r="H495" s="32"/>
      <c r="I495" s="29"/>
      <c r="J495" s="29"/>
      <c r="K495" s="29"/>
      <c r="L495" s="29"/>
      <c r="M495" s="29"/>
      <c r="N495" s="29"/>
      <c r="O495" s="29"/>
      <c r="P495" s="29"/>
      <c r="Q495" s="24" t="str">
        <f aca="false">IF(N495&lt;&gt;"",UPPER(TRIM(N495)),IF(P495&lt;&gt;"",UPPER(TRIM(P495)),""))</f>
        <v/>
      </c>
      <c r="R495" s="24" t="str">
        <f aca="false">IF(B495="","",IF(N495&lt;&gt;"","UTM tracked",IF(P495&lt;&gt;"","Manual / self-reported",IF(O495&lt;&gt;"","Self-reported channel only","Unattributed"))))</f>
        <v/>
      </c>
      <c r="S495" s="24" t="str">
        <f aca="false">IF(Q495="","",IFERROR(INDEX('Post Tracker'!$G$5:$G$1004,MATCH(Q495,'Post Tracker'!$A$5:$A$1004,0)),"ID NOT FOUND"))</f>
        <v/>
      </c>
      <c r="T495" s="24" t="str">
        <f aca="false">IF(Q495="","",IFERROR(INDEX('Post Tracker'!$K$5:$K$1004,MATCH(Q495,'Post Tracker'!$A$5:$A$1004,0))&amp;"",""))</f>
        <v/>
      </c>
      <c r="U495" s="33" t="str">
        <f aca="false">IF(OR(Q495="",B495=""),"",IFERROR(B495-INDEX('Post Tracker'!$B$5:$B$1004,MATCH(Q495,'Post Tracker'!$A$5:$A$1004,0)),""))</f>
        <v/>
      </c>
      <c r="V495" s="39"/>
      <c r="W495" s="29"/>
      <c r="X495" s="29"/>
      <c r="Y495" s="29"/>
      <c r="Z495" s="30"/>
      <c r="AA495" s="29"/>
      <c r="AB495" s="29"/>
    </row>
    <row r="496" customFormat="false" ht="15" hidden="false" customHeight="false" outlineLevel="0" collapsed="false">
      <c r="A496" s="41" t="str">
        <f aca="false">IF(B496="","",ROW()-4)</f>
        <v/>
      </c>
      <c r="B496" s="39"/>
      <c r="C496" s="29"/>
      <c r="D496" s="29"/>
      <c r="E496" s="29"/>
      <c r="F496" s="29"/>
      <c r="G496" s="29"/>
      <c r="H496" s="32"/>
      <c r="I496" s="29"/>
      <c r="J496" s="29"/>
      <c r="K496" s="29"/>
      <c r="L496" s="29"/>
      <c r="M496" s="29"/>
      <c r="N496" s="29"/>
      <c r="O496" s="29"/>
      <c r="P496" s="29"/>
      <c r="Q496" s="24" t="str">
        <f aca="false">IF(N496&lt;&gt;"",UPPER(TRIM(N496)),IF(P496&lt;&gt;"",UPPER(TRIM(P496)),""))</f>
        <v/>
      </c>
      <c r="R496" s="24" t="str">
        <f aca="false">IF(B496="","",IF(N496&lt;&gt;"","UTM tracked",IF(P496&lt;&gt;"","Manual / self-reported",IF(O496&lt;&gt;"","Self-reported channel only","Unattributed"))))</f>
        <v/>
      </c>
      <c r="S496" s="24" t="str">
        <f aca="false">IF(Q496="","",IFERROR(INDEX('Post Tracker'!$G$5:$G$1004,MATCH(Q496,'Post Tracker'!$A$5:$A$1004,0)),"ID NOT FOUND"))</f>
        <v/>
      </c>
      <c r="T496" s="24" t="str">
        <f aca="false">IF(Q496="","",IFERROR(INDEX('Post Tracker'!$K$5:$K$1004,MATCH(Q496,'Post Tracker'!$A$5:$A$1004,0))&amp;"",""))</f>
        <v/>
      </c>
      <c r="U496" s="33" t="str">
        <f aca="false">IF(OR(Q496="",B496=""),"",IFERROR(B496-INDEX('Post Tracker'!$B$5:$B$1004,MATCH(Q496,'Post Tracker'!$A$5:$A$1004,0)),""))</f>
        <v/>
      </c>
      <c r="V496" s="39"/>
      <c r="W496" s="29"/>
      <c r="X496" s="29"/>
      <c r="Y496" s="29"/>
      <c r="Z496" s="30"/>
      <c r="AA496" s="29"/>
      <c r="AB496" s="29"/>
    </row>
    <row r="497" customFormat="false" ht="15" hidden="false" customHeight="false" outlineLevel="0" collapsed="false">
      <c r="A497" s="41" t="str">
        <f aca="false">IF(B497="","",ROW()-4)</f>
        <v/>
      </c>
      <c r="B497" s="39"/>
      <c r="C497" s="29"/>
      <c r="D497" s="29"/>
      <c r="E497" s="29"/>
      <c r="F497" s="29"/>
      <c r="G497" s="29"/>
      <c r="H497" s="32"/>
      <c r="I497" s="29"/>
      <c r="J497" s="29"/>
      <c r="K497" s="29"/>
      <c r="L497" s="29"/>
      <c r="M497" s="29"/>
      <c r="N497" s="29"/>
      <c r="O497" s="29"/>
      <c r="P497" s="29"/>
      <c r="Q497" s="24" t="str">
        <f aca="false">IF(N497&lt;&gt;"",UPPER(TRIM(N497)),IF(P497&lt;&gt;"",UPPER(TRIM(P497)),""))</f>
        <v/>
      </c>
      <c r="R497" s="24" t="str">
        <f aca="false">IF(B497="","",IF(N497&lt;&gt;"","UTM tracked",IF(P497&lt;&gt;"","Manual / self-reported",IF(O497&lt;&gt;"","Self-reported channel only","Unattributed"))))</f>
        <v/>
      </c>
      <c r="S497" s="24" t="str">
        <f aca="false">IF(Q497="","",IFERROR(INDEX('Post Tracker'!$G$5:$G$1004,MATCH(Q497,'Post Tracker'!$A$5:$A$1004,0)),"ID NOT FOUND"))</f>
        <v/>
      </c>
      <c r="T497" s="24" t="str">
        <f aca="false">IF(Q497="","",IFERROR(INDEX('Post Tracker'!$K$5:$K$1004,MATCH(Q497,'Post Tracker'!$A$5:$A$1004,0))&amp;"",""))</f>
        <v/>
      </c>
      <c r="U497" s="33" t="str">
        <f aca="false">IF(OR(Q497="",B497=""),"",IFERROR(B497-INDEX('Post Tracker'!$B$5:$B$1004,MATCH(Q497,'Post Tracker'!$A$5:$A$1004,0)),""))</f>
        <v/>
      </c>
      <c r="V497" s="39"/>
      <c r="W497" s="29"/>
      <c r="X497" s="29"/>
      <c r="Y497" s="29"/>
      <c r="Z497" s="30"/>
      <c r="AA497" s="29"/>
      <c r="AB497" s="29"/>
    </row>
    <row r="498" customFormat="false" ht="15" hidden="false" customHeight="false" outlineLevel="0" collapsed="false">
      <c r="A498" s="41" t="str">
        <f aca="false">IF(B498="","",ROW()-4)</f>
        <v/>
      </c>
      <c r="B498" s="39"/>
      <c r="C498" s="29"/>
      <c r="D498" s="29"/>
      <c r="E498" s="29"/>
      <c r="F498" s="29"/>
      <c r="G498" s="29"/>
      <c r="H498" s="32"/>
      <c r="I498" s="29"/>
      <c r="J498" s="29"/>
      <c r="K498" s="29"/>
      <c r="L498" s="29"/>
      <c r="M498" s="29"/>
      <c r="N498" s="29"/>
      <c r="O498" s="29"/>
      <c r="P498" s="29"/>
      <c r="Q498" s="24" t="str">
        <f aca="false">IF(N498&lt;&gt;"",UPPER(TRIM(N498)),IF(P498&lt;&gt;"",UPPER(TRIM(P498)),""))</f>
        <v/>
      </c>
      <c r="R498" s="24" t="str">
        <f aca="false">IF(B498="","",IF(N498&lt;&gt;"","UTM tracked",IF(P498&lt;&gt;"","Manual / self-reported",IF(O498&lt;&gt;"","Self-reported channel only","Unattributed"))))</f>
        <v/>
      </c>
      <c r="S498" s="24" t="str">
        <f aca="false">IF(Q498="","",IFERROR(INDEX('Post Tracker'!$G$5:$G$1004,MATCH(Q498,'Post Tracker'!$A$5:$A$1004,0)),"ID NOT FOUND"))</f>
        <v/>
      </c>
      <c r="T498" s="24" t="str">
        <f aca="false">IF(Q498="","",IFERROR(INDEX('Post Tracker'!$K$5:$K$1004,MATCH(Q498,'Post Tracker'!$A$5:$A$1004,0))&amp;"",""))</f>
        <v/>
      </c>
      <c r="U498" s="33" t="str">
        <f aca="false">IF(OR(Q498="",B498=""),"",IFERROR(B498-INDEX('Post Tracker'!$B$5:$B$1004,MATCH(Q498,'Post Tracker'!$A$5:$A$1004,0)),""))</f>
        <v/>
      </c>
      <c r="V498" s="39"/>
      <c r="W498" s="29"/>
      <c r="X498" s="29"/>
      <c r="Y498" s="29"/>
      <c r="Z498" s="30"/>
      <c r="AA498" s="29"/>
      <c r="AB498" s="29"/>
    </row>
    <row r="499" customFormat="false" ht="15" hidden="false" customHeight="false" outlineLevel="0" collapsed="false">
      <c r="A499" s="41" t="str">
        <f aca="false">IF(B499="","",ROW()-4)</f>
        <v/>
      </c>
      <c r="B499" s="39"/>
      <c r="C499" s="29"/>
      <c r="D499" s="29"/>
      <c r="E499" s="29"/>
      <c r="F499" s="29"/>
      <c r="G499" s="29"/>
      <c r="H499" s="32"/>
      <c r="I499" s="29"/>
      <c r="J499" s="29"/>
      <c r="K499" s="29"/>
      <c r="L499" s="29"/>
      <c r="M499" s="29"/>
      <c r="N499" s="29"/>
      <c r="O499" s="29"/>
      <c r="P499" s="29"/>
      <c r="Q499" s="24" t="str">
        <f aca="false">IF(N499&lt;&gt;"",UPPER(TRIM(N499)),IF(P499&lt;&gt;"",UPPER(TRIM(P499)),""))</f>
        <v/>
      </c>
      <c r="R499" s="24" t="str">
        <f aca="false">IF(B499="","",IF(N499&lt;&gt;"","UTM tracked",IF(P499&lt;&gt;"","Manual / self-reported",IF(O499&lt;&gt;"","Self-reported channel only","Unattributed"))))</f>
        <v/>
      </c>
      <c r="S499" s="24" t="str">
        <f aca="false">IF(Q499="","",IFERROR(INDEX('Post Tracker'!$G$5:$G$1004,MATCH(Q499,'Post Tracker'!$A$5:$A$1004,0)),"ID NOT FOUND"))</f>
        <v/>
      </c>
      <c r="T499" s="24" t="str">
        <f aca="false">IF(Q499="","",IFERROR(INDEX('Post Tracker'!$K$5:$K$1004,MATCH(Q499,'Post Tracker'!$A$5:$A$1004,0))&amp;"",""))</f>
        <v/>
      </c>
      <c r="U499" s="33" t="str">
        <f aca="false">IF(OR(Q499="",B499=""),"",IFERROR(B499-INDEX('Post Tracker'!$B$5:$B$1004,MATCH(Q499,'Post Tracker'!$A$5:$A$1004,0)),""))</f>
        <v/>
      </c>
      <c r="V499" s="39"/>
      <c r="W499" s="29"/>
      <c r="X499" s="29"/>
      <c r="Y499" s="29"/>
      <c r="Z499" s="30"/>
      <c r="AA499" s="29"/>
      <c r="AB499" s="29"/>
    </row>
    <row r="500" customFormat="false" ht="15" hidden="false" customHeight="false" outlineLevel="0" collapsed="false">
      <c r="A500" s="41" t="str">
        <f aca="false">IF(B500="","",ROW()-4)</f>
        <v/>
      </c>
      <c r="B500" s="39"/>
      <c r="C500" s="29"/>
      <c r="D500" s="29"/>
      <c r="E500" s="29"/>
      <c r="F500" s="29"/>
      <c r="G500" s="29"/>
      <c r="H500" s="32"/>
      <c r="I500" s="29"/>
      <c r="J500" s="29"/>
      <c r="K500" s="29"/>
      <c r="L500" s="29"/>
      <c r="M500" s="29"/>
      <c r="N500" s="29"/>
      <c r="O500" s="29"/>
      <c r="P500" s="29"/>
      <c r="Q500" s="24" t="str">
        <f aca="false">IF(N500&lt;&gt;"",UPPER(TRIM(N500)),IF(P500&lt;&gt;"",UPPER(TRIM(P500)),""))</f>
        <v/>
      </c>
      <c r="R500" s="24" t="str">
        <f aca="false">IF(B500="","",IF(N500&lt;&gt;"","UTM tracked",IF(P500&lt;&gt;"","Manual / self-reported",IF(O500&lt;&gt;"","Self-reported channel only","Unattributed"))))</f>
        <v/>
      </c>
      <c r="S500" s="24" t="str">
        <f aca="false">IF(Q500="","",IFERROR(INDEX('Post Tracker'!$G$5:$G$1004,MATCH(Q500,'Post Tracker'!$A$5:$A$1004,0)),"ID NOT FOUND"))</f>
        <v/>
      </c>
      <c r="T500" s="24" t="str">
        <f aca="false">IF(Q500="","",IFERROR(INDEX('Post Tracker'!$K$5:$K$1004,MATCH(Q500,'Post Tracker'!$A$5:$A$1004,0))&amp;"",""))</f>
        <v/>
      </c>
      <c r="U500" s="33" t="str">
        <f aca="false">IF(OR(Q500="",B500=""),"",IFERROR(B500-INDEX('Post Tracker'!$B$5:$B$1004,MATCH(Q500,'Post Tracker'!$A$5:$A$1004,0)),""))</f>
        <v/>
      </c>
      <c r="V500" s="39"/>
      <c r="W500" s="29"/>
      <c r="X500" s="29"/>
      <c r="Y500" s="29"/>
      <c r="Z500" s="30"/>
      <c r="AA500" s="29"/>
      <c r="AB500" s="29"/>
    </row>
    <row r="501" customFormat="false" ht="15" hidden="false" customHeight="false" outlineLevel="0" collapsed="false">
      <c r="A501" s="41" t="str">
        <f aca="false">IF(B501="","",ROW()-4)</f>
        <v/>
      </c>
      <c r="B501" s="39"/>
      <c r="C501" s="29"/>
      <c r="D501" s="29"/>
      <c r="E501" s="29"/>
      <c r="F501" s="29"/>
      <c r="G501" s="29"/>
      <c r="H501" s="32"/>
      <c r="I501" s="29"/>
      <c r="J501" s="29"/>
      <c r="K501" s="29"/>
      <c r="L501" s="29"/>
      <c r="M501" s="29"/>
      <c r="N501" s="29"/>
      <c r="O501" s="29"/>
      <c r="P501" s="29"/>
      <c r="Q501" s="24" t="str">
        <f aca="false">IF(N501&lt;&gt;"",UPPER(TRIM(N501)),IF(P501&lt;&gt;"",UPPER(TRIM(P501)),""))</f>
        <v/>
      </c>
      <c r="R501" s="24" t="str">
        <f aca="false">IF(B501="","",IF(N501&lt;&gt;"","UTM tracked",IF(P501&lt;&gt;"","Manual / self-reported",IF(O501&lt;&gt;"","Self-reported channel only","Unattributed"))))</f>
        <v/>
      </c>
      <c r="S501" s="24" t="str">
        <f aca="false">IF(Q501="","",IFERROR(INDEX('Post Tracker'!$G$5:$G$1004,MATCH(Q501,'Post Tracker'!$A$5:$A$1004,0)),"ID NOT FOUND"))</f>
        <v/>
      </c>
      <c r="T501" s="24" t="str">
        <f aca="false">IF(Q501="","",IFERROR(INDEX('Post Tracker'!$K$5:$K$1004,MATCH(Q501,'Post Tracker'!$A$5:$A$1004,0))&amp;"",""))</f>
        <v/>
      </c>
      <c r="U501" s="33" t="str">
        <f aca="false">IF(OR(Q501="",B501=""),"",IFERROR(B501-INDEX('Post Tracker'!$B$5:$B$1004,MATCH(Q501,'Post Tracker'!$A$5:$A$1004,0)),""))</f>
        <v/>
      </c>
      <c r="V501" s="39"/>
      <c r="W501" s="29"/>
      <c r="X501" s="29"/>
      <c r="Y501" s="29"/>
      <c r="Z501" s="30"/>
      <c r="AA501" s="29"/>
      <c r="AB501" s="29"/>
    </row>
    <row r="502" customFormat="false" ht="15" hidden="false" customHeight="false" outlineLevel="0" collapsed="false">
      <c r="A502" s="41" t="str">
        <f aca="false">IF(B502="","",ROW()-4)</f>
        <v/>
      </c>
      <c r="B502" s="39"/>
      <c r="C502" s="29"/>
      <c r="D502" s="29"/>
      <c r="E502" s="29"/>
      <c r="F502" s="29"/>
      <c r="G502" s="29"/>
      <c r="H502" s="32"/>
      <c r="I502" s="29"/>
      <c r="J502" s="29"/>
      <c r="K502" s="29"/>
      <c r="L502" s="29"/>
      <c r="M502" s="29"/>
      <c r="N502" s="29"/>
      <c r="O502" s="29"/>
      <c r="P502" s="29"/>
      <c r="Q502" s="24" t="str">
        <f aca="false">IF(N502&lt;&gt;"",UPPER(TRIM(N502)),IF(P502&lt;&gt;"",UPPER(TRIM(P502)),""))</f>
        <v/>
      </c>
      <c r="R502" s="24" t="str">
        <f aca="false">IF(B502="","",IF(N502&lt;&gt;"","UTM tracked",IF(P502&lt;&gt;"","Manual / self-reported",IF(O502&lt;&gt;"","Self-reported channel only","Unattributed"))))</f>
        <v/>
      </c>
      <c r="S502" s="24" t="str">
        <f aca="false">IF(Q502="","",IFERROR(INDEX('Post Tracker'!$G$5:$G$1004,MATCH(Q502,'Post Tracker'!$A$5:$A$1004,0)),"ID NOT FOUND"))</f>
        <v/>
      </c>
      <c r="T502" s="24" t="str">
        <f aca="false">IF(Q502="","",IFERROR(INDEX('Post Tracker'!$K$5:$K$1004,MATCH(Q502,'Post Tracker'!$A$5:$A$1004,0))&amp;"",""))</f>
        <v/>
      </c>
      <c r="U502" s="33" t="str">
        <f aca="false">IF(OR(Q502="",B502=""),"",IFERROR(B502-INDEX('Post Tracker'!$B$5:$B$1004,MATCH(Q502,'Post Tracker'!$A$5:$A$1004,0)),""))</f>
        <v/>
      </c>
      <c r="V502" s="39"/>
      <c r="W502" s="29"/>
      <c r="X502" s="29"/>
      <c r="Y502" s="29"/>
      <c r="Z502" s="30"/>
      <c r="AA502" s="29"/>
      <c r="AB502" s="29"/>
    </row>
    <row r="503" customFormat="false" ht="15" hidden="false" customHeight="false" outlineLevel="0" collapsed="false">
      <c r="A503" s="41" t="str">
        <f aca="false">IF(B503="","",ROW()-4)</f>
        <v/>
      </c>
      <c r="B503" s="39"/>
      <c r="C503" s="29"/>
      <c r="D503" s="29"/>
      <c r="E503" s="29"/>
      <c r="F503" s="29"/>
      <c r="G503" s="29"/>
      <c r="H503" s="32"/>
      <c r="I503" s="29"/>
      <c r="J503" s="29"/>
      <c r="K503" s="29"/>
      <c r="L503" s="29"/>
      <c r="M503" s="29"/>
      <c r="N503" s="29"/>
      <c r="O503" s="29"/>
      <c r="P503" s="29"/>
      <c r="Q503" s="24" t="str">
        <f aca="false">IF(N503&lt;&gt;"",UPPER(TRIM(N503)),IF(P503&lt;&gt;"",UPPER(TRIM(P503)),""))</f>
        <v/>
      </c>
      <c r="R503" s="24" t="str">
        <f aca="false">IF(B503="","",IF(N503&lt;&gt;"","UTM tracked",IF(P503&lt;&gt;"","Manual / self-reported",IF(O503&lt;&gt;"","Self-reported channel only","Unattributed"))))</f>
        <v/>
      </c>
      <c r="S503" s="24" t="str">
        <f aca="false">IF(Q503="","",IFERROR(INDEX('Post Tracker'!$G$5:$G$1004,MATCH(Q503,'Post Tracker'!$A$5:$A$1004,0)),"ID NOT FOUND"))</f>
        <v/>
      </c>
      <c r="T503" s="24" t="str">
        <f aca="false">IF(Q503="","",IFERROR(INDEX('Post Tracker'!$K$5:$K$1004,MATCH(Q503,'Post Tracker'!$A$5:$A$1004,0))&amp;"",""))</f>
        <v/>
      </c>
      <c r="U503" s="33" t="str">
        <f aca="false">IF(OR(Q503="",B503=""),"",IFERROR(B503-INDEX('Post Tracker'!$B$5:$B$1004,MATCH(Q503,'Post Tracker'!$A$5:$A$1004,0)),""))</f>
        <v/>
      </c>
      <c r="V503" s="39"/>
      <c r="W503" s="29"/>
      <c r="X503" s="29"/>
      <c r="Y503" s="29"/>
      <c r="Z503" s="30"/>
      <c r="AA503" s="29"/>
      <c r="AB503" s="29"/>
    </row>
    <row r="504" customFormat="false" ht="15" hidden="false" customHeight="false" outlineLevel="0" collapsed="false">
      <c r="A504" s="41" t="str">
        <f aca="false">IF(B504="","",ROW()-4)</f>
        <v/>
      </c>
      <c r="B504" s="39"/>
      <c r="C504" s="29"/>
      <c r="D504" s="29"/>
      <c r="E504" s="29"/>
      <c r="F504" s="29"/>
      <c r="G504" s="29"/>
      <c r="H504" s="32"/>
      <c r="I504" s="29"/>
      <c r="J504" s="29"/>
      <c r="K504" s="29"/>
      <c r="L504" s="29"/>
      <c r="M504" s="29"/>
      <c r="N504" s="29"/>
      <c r="O504" s="29"/>
      <c r="P504" s="29"/>
      <c r="Q504" s="24" t="str">
        <f aca="false">IF(N504&lt;&gt;"",UPPER(TRIM(N504)),IF(P504&lt;&gt;"",UPPER(TRIM(P504)),""))</f>
        <v/>
      </c>
      <c r="R504" s="24" t="str">
        <f aca="false">IF(B504="","",IF(N504&lt;&gt;"","UTM tracked",IF(P504&lt;&gt;"","Manual / self-reported",IF(O504&lt;&gt;"","Self-reported channel only","Unattributed"))))</f>
        <v/>
      </c>
      <c r="S504" s="24" t="str">
        <f aca="false">IF(Q504="","",IFERROR(INDEX('Post Tracker'!$G$5:$G$1004,MATCH(Q504,'Post Tracker'!$A$5:$A$1004,0)),"ID NOT FOUND"))</f>
        <v/>
      </c>
      <c r="T504" s="24" t="str">
        <f aca="false">IF(Q504="","",IFERROR(INDEX('Post Tracker'!$K$5:$K$1004,MATCH(Q504,'Post Tracker'!$A$5:$A$1004,0))&amp;"",""))</f>
        <v/>
      </c>
      <c r="U504" s="33" t="str">
        <f aca="false">IF(OR(Q504="",B504=""),"",IFERROR(B504-INDEX('Post Tracker'!$B$5:$B$1004,MATCH(Q504,'Post Tracker'!$A$5:$A$1004,0)),""))</f>
        <v/>
      </c>
      <c r="V504" s="39"/>
      <c r="W504" s="29"/>
      <c r="X504" s="29"/>
      <c r="Y504" s="29"/>
      <c r="Z504" s="30"/>
      <c r="AA504" s="29"/>
      <c r="AB504" s="29"/>
    </row>
  </sheetData>
  <autoFilter ref="A4:AB504"/>
  <conditionalFormatting sqref="S5:S504">
    <cfRule type="cellIs" priority="2" operator="equal" aboveAverage="0" equalAverage="0" bottom="0" percent="0" rank="0" text="" dxfId="20">
      <formula>"ID NOT FOUND"</formula>
    </cfRule>
  </conditionalFormatting>
  <dataValidations count="7">
    <dataValidation allowBlank="true" error="Pick a value from the dropdown (lists live on the Settings sheet)." errorStyle="stop" errorTitle="Invalid entry" operator="between" showDropDown="false" showErrorMessage="true" showInputMessage="false" sqref="D5:D504" type="list">
      <formula1>Settings!$M$5:$M$51</formula1>
      <formula2>0</formula2>
    </dataValidation>
    <dataValidation allowBlank="true" error="Pick a value from the dropdown (lists live on the Settings sheet)." errorStyle="stop" errorTitle="Invalid entry" operator="between" showDropDown="false" showErrorMessage="true" showInputMessage="false" sqref="G5:G504" type="list">
      <formula1>Settings!$AA$5:$AA$95</formula1>
      <formula2>0</formula2>
    </dataValidation>
    <dataValidation allowBlank="true" error="Pick a value from the dropdown (lists live on the Settings sheet)." errorStyle="stop" errorTitle="Invalid entry" operator="between" showDropDown="false" showErrorMessage="true" showInputMessage="false" sqref="J5:J504" type="list">
      <formula1>Settings!$U$5:$U$56</formula1>
      <formula2>0</formula2>
    </dataValidation>
    <dataValidation allowBlank="true" error="Pick a value from the dropdown (lists live on the Settings sheet)." errorStyle="stop" errorTitle="Invalid entry" operator="between" showDropDown="false" showErrorMessage="true" showInputMessage="false" sqref="O5:O504" type="list">
      <formula1>Settings!$V$5:$V$55</formula1>
      <formula2>0</formula2>
    </dataValidation>
    <dataValidation allowBlank="true" error="Pick a value from the dropdown (lists live on the Settings sheet)." errorStyle="stop" errorTitle="Invalid entry" operator="between" showDropDown="false" showErrorMessage="true" showInputMessage="false" sqref="W5:W504" type="list">
      <formula1>Settings!$R$5:$R$49</formula1>
      <formula2>0</formula2>
    </dataValidation>
    <dataValidation allowBlank="true" error="Pick a value from the dropdown (lists live on the Settings sheet)." errorStyle="stop" errorTitle="Invalid entry" operator="between" showDropDown="false" showErrorMessage="true" showInputMessage="false" sqref="X5:X504" type="list">
      <formula1>Settings!$S$5:$S$47</formula1>
      <formula2>0</formula2>
    </dataValidation>
    <dataValidation allowBlank="true" error="Pick a value from the dropdown (lists live on the Settings sheet)." errorStyle="stop" errorTitle="Invalid entry" operator="between" showDropDown="false" showErrorMessage="true" showInputMessage="false" sqref="Y5:Y504" type="list">
      <formula1>Settings!$T$5:$T$51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T21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16" min="3" style="0" width="13"/>
    <col collapsed="false" customWidth="true" hidden="true" outlineLevel="0" max="20" min="20" style="0" width="13"/>
  </cols>
  <sheetData>
    <row r="1" customFormat="false" ht="19.7" hidden="false" customHeight="false" outlineLevel="0" collapsed="false">
      <c r="A1" s="1" t="s">
        <v>216</v>
      </c>
    </row>
    <row r="2" customFormat="false" ht="15" hidden="false" customHeight="false" outlineLevel="0" collapsed="false">
      <c r="A2" s="2" t="s">
        <v>217</v>
      </c>
    </row>
    <row r="4" customFormat="false" ht="15" hidden="false" customHeight="false" outlineLevel="0" collapsed="false">
      <c r="B4" s="42" t="s">
        <v>218</v>
      </c>
      <c r="C4" s="43" t="n">
        <v>46266</v>
      </c>
      <c r="E4" s="42" t="s">
        <v>219</v>
      </c>
      <c r="F4" s="43" t="n">
        <v>46295</v>
      </c>
    </row>
    <row r="6" customFormat="false" ht="15" hidden="false" customHeight="false" outlineLevel="0" collapsed="false">
      <c r="B6" s="3" t="s">
        <v>220</v>
      </c>
    </row>
    <row r="7" customFormat="false" ht="27.75" hidden="false" customHeight="true" outlineLevel="0" collapsed="false">
      <c r="B7" s="44" t="s">
        <v>221</v>
      </c>
      <c r="C7" s="44"/>
      <c r="D7" s="44" t="s">
        <v>222</v>
      </c>
      <c r="E7" s="44"/>
      <c r="F7" s="44" t="s">
        <v>111</v>
      </c>
      <c r="G7" s="44"/>
      <c r="H7" s="44" t="s">
        <v>223</v>
      </c>
      <c r="I7" s="44"/>
      <c r="J7" s="44" t="s">
        <v>224</v>
      </c>
      <c r="K7" s="44"/>
      <c r="L7" s="44" t="s">
        <v>225</v>
      </c>
      <c r="M7" s="44"/>
      <c r="N7" s="44" t="s">
        <v>106</v>
      </c>
      <c r="O7" s="44"/>
    </row>
    <row r="8" customFormat="false" ht="17.35" hidden="false" customHeight="false" outlineLevel="0" collapsed="false">
      <c r="B8" s="45" t="n">
        <f aca="false">COUNTIFS('Post Tracker'!$B$5:$B$1004,"&gt;="&amp;$C$4,'Post Tracker'!$B$5:$B$1004,"&lt;="&amp;$F$4)</f>
        <v>13</v>
      </c>
      <c r="C8" s="45"/>
      <c r="D8" s="45" t="n">
        <f aca="false">SUMIFS('Post Tracker'!$AC$5:$AC$1004,'Post Tracker'!$B$5:$B$1004,"&gt;="&amp;$C$4,'Post Tracker'!$B$5:$B$1004,"&lt;="&amp;$F$4)</f>
        <v>82</v>
      </c>
      <c r="E8" s="45"/>
      <c r="F8" s="45" t="n">
        <f aca="false">SUMIFS('Post Tracker'!$AO$5:$AO$1004,'Post Tracker'!$B$5:$B$1004,"&gt;="&amp;$C$4,'Post Tracker'!$B$5:$B$1004,"&lt;="&amp;$F$4)</f>
        <v>82</v>
      </c>
      <c r="G8" s="45"/>
      <c r="H8" s="45" t="n">
        <f aca="false">SUMIFS('Post Tracker'!$AR$5:$AR$1004,'Post Tracker'!$B$5:$B$1004,"&gt;="&amp;$C$4,'Post Tracker'!$B$5:$B$1004,"&lt;="&amp;$F$4)</f>
        <v>55</v>
      </c>
      <c r="I8" s="45"/>
      <c r="J8" s="46" t="n">
        <f aca="false">IFERROR(SUMIFS('Post Tracker'!$BP$5:$BP$1004,'Post Tracker'!$B$5:$B$1004,"&gt;="&amp;$C$4,'Post Tracker'!$B$5:$B$1004,"&lt;="&amp;$F$4)/SUMIFS('Post Tracker'!$AO$5:$AO$1004,'Post Tracker'!$B$5:$B$1004,"&gt;="&amp;$C$4,'Post Tracker'!$B$5:$B$1004,"&lt;="&amp;$F$4),"")</f>
        <v>0.024390243902439</v>
      </c>
      <c r="K8" s="46"/>
      <c r="L8" s="46" t="n">
        <f aca="false">IFERROR(SUMIFS('Post Tracker'!$AR$5:$AR$1004,'Post Tracker'!$B$5:$B$1004,"&gt;="&amp;$C$4,'Post Tracker'!$B$5:$B$1004,"&lt;="&amp;$F$4)/SUMIFS('Post Tracker'!$BQ$5:$BQ$1004,'Post Tracker'!$B$5:$B$1004,"&gt;="&amp;$C$4,'Post Tracker'!$B$5:$B$1004,"&lt;="&amp;$F$4),"")</f>
        <v>0.00500546050236622</v>
      </c>
      <c r="M8" s="46"/>
      <c r="N8" s="45" t="n">
        <f aca="false">SUMIFS('Post Tracker'!$AJ$5:$AJ$1004,'Post Tracker'!$B$5:$B$1004,"&gt;="&amp;$C$4,'Post Tracker'!$B$5:$B$1004,"&lt;="&amp;$F$4)</f>
        <v>0</v>
      </c>
      <c r="O8" s="45"/>
    </row>
    <row r="10" customFormat="false" ht="27.75" hidden="false" customHeight="true" outlineLevel="0" collapsed="false">
      <c r="B10" s="44" t="s">
        <v>226</v>
      </c>
      <c r="C10" s="44"/>
      <c r="D10" s="44" t="s">
        <v>124</v>
      </c>
      <c r="E10" s="44"/>
      <c r="F10" s="44" t="s">
        <v>227</v>
      </c>
      <c r="G10" s="44"/>
      <c r="H10" s="44" t="s">
        <v>228</v>
      </c>
      <c r="I10" s="44"/>
      <c r="J10" s="44" t="s">
        <v>229</v>
      </c>
      <c r="K10" s="44"/>
      <c r="L10" s="44" t="s">
        <v>230</v>
      </c>
      <c r="M10" s="44"/>
      <c r="N10" s="44" t="s">
        <v>231</v>
      </c>
      <c r="O10" s="44"/>
    </row>
    <row r="11" customFormat="false" ht="17.35" hidden="false" customHeight="false" outlineLevel="0" collapsed="false">
      <c r="B11" s="45" t="n">
        <f aca="false">SUMIFS('Post Tracker'!$AZ$5:$AZ$1004,'Post Tracker'!$B$5:$B$1004,"&gt;="&amp;$C$4,'Post Tracker'!$B$5:$B$1004,"&lt;="&amp;$F$4)</f>
        <v>0</v>
      </c>
      <c r="C11" s="45"/>
      <c r="D11" s="45" t="n">
        <f aca="false">SUMIFS('Post Tracker'!$BB$5:$BB$1004,'Post Tracker'!$B$5:$B$1004,"&gt;="&amp;$C$4,'Post Tracker'!$B$5:$B$1004,"&lt;="&amp;$F$4)</f>
        <v>0</v>
      </c>
      <c r="E11" s="45"/>
      <c r="F11" s="45" t="n">
        <f aca="false">SUMIFS('Post Tracker'!$BD$5:$BD$1004,'Post Tracker'!$B$5:$B$1004,"&gt;="&amp;$C$4,'Post Tracker'!$B$5:$B$1004,"&lt;="&amp;$F$4)</f>
        <v>0</v>
      </c>
      <c r="G11" s="45"/>
      <c r="H11" s="45" t="n">
        <f aca="false">COUNTIFS('Demo Pipeline'!$B$5:$B$504,"&gt;="&amp;$C$4,'Demo Pipeline'!$B$5:$B$504,"&lt;="&amp;$F$4)</f>
        <v>0</v>
      </c>
      <c r="I11" s="45"/>
      <c r="J11" s="46" t="str">
        <f aca="false">IFERROR(SUMPRODUCT(('Demo Pipeline'!$B$5:$B$504&gt;=$C$4)*('Demo Pipeline'!$B$5:$B$504&lt;=$F$4)*(LEN('Demo Pipeline'!$Q$5:$Q$504)&gt;0))/COUNTIFS('Demo Pipeline'!$B$5:$B$504,"&gt;="&amp;$C$4,'Demo Pipeline'!$B$5:$B$504,"&lt;="&amp;$F$4),"")</f>
        <v/>
      </c>
      <c r="K11" s="46"/>
      <c r="L11" s="45" t="n">
        <f aca="false">SUMIFS('Post Tracker'!$BF$5:$BF$1004,'Post Tracker'!$B$5:$B$1004,"&gt;="&amp;$C$4,'Post Tracker'!$B$5:$B$1004,"&lt;="&amp;$F$4)</f>
        <v>0</v>
      </c>
      <c r="M11" s="45"/>
      <c r="N11" s="47" t="n">
        <f aca="false">SUMIFS('Post Tracker'!$BH$5:$BH$1004,'Post Tracker'!$B$5:$B$1004,"&gt;="&amp;$C$4,'Post Tracker'!$B$5:$B$1004,"&lt;="&amp;$F$4)</f>
        <v>0</v>
      </c>
      <c r="O11" s="47"/>
    </row>
    <row r="13" customFormat="false" ht="27.75" hidden="false" customHeight="true" outlineLevel="0" collapsed="false">
      <c r="B13" s="44" t="s">
        <v>87</v>
      </c>
      <c r="C13" s="44"/>
      <c r="D13" s="44" t="s">
        <v>232</v>
      </c>
      <c r="E13" s="44"/>
      <c r="F13" s="44" t="s">
        <v>233</v>
      </c>
      <c r="G13" s="44"/>
      <c r="H13" s="44" t="s">
        <v>234</v>
      </c>
      <c r="I13" s="44"/>
      <c r="J13" s="44" t="s">
        <v>235</v>
      </c>
      <c r="K13" s="44"/>
    </row>
    <row r="14" customFormat="false" ht="17.35" hidden="false" customHeight="false" outlineLevel="0" collapsed="false">
      <c r="B14" s="47" t="n">
        <f aca="false">SUMIFS('Post Tracker'!$Q$5:$Q$1004,'Post Tracker'!$B$5:$B$1004,"&gt;="&amp;$C$4,'Post Tracker'!$B$5:$B$1004,"&lt;="&amp;$F$4)</f>
        <v>0</v>
      </c>
      <c r="C14" s="47"/>
      <c r="D14" s="48" t="n">
        <f aca="false">IFERROR(SUMIFS('Post Tracker'!$AF$5:$AF$1004,'Post Tracker'!$B$5:$B$1004,"&gt;="&amp;$C$4,'Post Tracker'!$B$5:$B$1004,"&lt;="&amp;$F$4)/COUNTIFS('Post Tracker'!$B$5:$B$1004,"&gt;="&amp;$C$4,'Post Tracker'!$B$5:$B$1004,"&lt;="&amp;$F$4),"")</f>
        <v>3.84615384615385</v>
      </c>
      <c r="E14" s="48"/>
      <c r="F14" s="48" t="n">
        <f aca="false">IFERROR(SUMIFS('Post Tracker'!$AG$5:$AG$1004,'Post Tracker'!$B$5:$B$1004,"&gt;="&amp;$C$4,'Post Tracker'!$B$5:$B$1004,"&lt;="&amp;$F$4)/COUNTIFS('Post Tracker'!$B$5:$B$1004,"&gt;="&amp;$C$4,'Post Tracker'!$B$5:$B$1004,"&lt;="&amp;$F$4),"")</f>
        <v>0.384615384615385</v>
      </c>
      <c r="G14" s="48"/>
      <c r="H14" s="45" t="n">
        <f aca="false">IFERROR(LOOKUP(2,1/('Follower Growth'!$N$5:$N$108&lt;&gt;""),'Follower Growth'!$N$5:$N$108),"")</f>
        <v>2747</v>
      </c>
      <c r="I14" s="45"/>
      <c r="J14" s="45" t="n">
        <f aca="false">COUNTIFS('Post Tracker'!$B$5:$B$1004,"&gt;="&amp;$C$4,'Post Tracker'!$B$5:$B$1004,"&lt;="&amp;$F$4,'Post Tracker'!$AC$5:$AC$1004,"")</f>
        <v>9</v>
      </c>
      <c r="K14" s="45"/>
    </row>
    <row r="17" customFormat="false" ht="15" hidden="false" customHeight="false" outlineLevel="0" collapsed="false">
      <c r="B17" s="3" t="s">
        <v>236</v>
      </c>
    </row>
    <row r="18" customFormat="false" ht="23.85" hidden="false" customHeight="false" outlineLevel="0" collapsed="false">
      <c r="B18" s="49" t="s">
        <v>237</v>
      </c>
      <c r="C18" s="49" t="s">
        <v>238</v>
      </c>
      <c r="D18" s="49" t="s">
        <v>239</v>
      </c>
      <c r="E18" s="49" t="s">
        <v>240</v>
      </c>
    </row>
    <row r="19" customFormat="false" ht="15" hidden="false" customHeight="false" outlineLevel="0" collapsed="false">
      <c r="B19" s="50" t="s">
        <v>222</v>
      </c>
      <c r="C19" s="51" t="n">
        <f aca="false">SUMIFS('Post Tracker'!$AC$5:$AC$1004,'Post Tracker'!$B$5:$B$1004,"&gt;="&amp;$C$4,'Post Tracker'!$B$5:$B$1004,"&lt;="&amp;$F$4)</f>
        <v>82</v>
      </c>
      <c r="D19" s="52"/>
      <c r="E19" s="53" t="n">
        <f aca="false">IFERROR(C19/C$19,"")</f>
        <v>1</v>
      </c>
    </row>
    <row r="20" customFormat="false" ht="15" hidden="false" customHeight="false" outlineLevel="0" collapsed="false">
      <c r="B20" s="50" t="s">
        <v>106</v>
      </c>
      <c r="C20" s="51" t="n">
        <f aca="false">SUMIFS('Post Tracker'!$AJ$5:$AJ$1004,'Post Tracker'!$B$5:$B$1004,"&gt;="&amp;$C$4,'Post Tracker'!$B$5:$B$1004,"&lt;="&amp;$F$4)</f>
        <v>0</v>
      </c>
      <c r="D20" s="52" t="n">
        <f aca="false">IFERROR(C20/C19,"")</f>
        <v>0</v>
      </c>
      <c r="E20" s="53" t="n">
        <f aca="false">IFERROR(C20/C$19,"")</f>
        <v>0</v>
      </c>
    </row>
    <row r="21" customFormat="false" ht="15" hidden="false" customHeight="false" outlineLevel="0" collapsed="false">
      <c r="B21" s="50" t="s">
        <v>226</v>
      </c>
      <c r="C21" s="51" t="n">
        <f aca="false">SUMIFS('Post Tracker'!$AZ$5:$AZ$1004,'Post Tracker'!$B$5:$B$1004,"&gt;="&amp;$C$4,'Post Tracker'!$B$5:$B$1004,"&lt;="&amp;$F$4)</f>
        <v>0</v>
      </c>
      <c r="D21" s="52" t="str">
        <f aca="false">IFERROR(C21/C20,"")</f>
        <v/>
      </c>
      <c r="E21" s="53" t="n">
        <f aca="false">IFERROR(C21/C$19,"")</f>
        <v>0</v>
      </c>
    </row>
    <row r="22" customFormat="false" ht="15" hidden="false" customHeight="false" outlineLevel="0" collapsed="false">
      <c r="B22" s="50" t="s">
        <v>124</v>
      </c>
      <c r="C22" s="51" t="n">
        <f aca="false">SUMIFS('Post Tracker'!$BB$5:$BB$1004,'Post Tracker'!$B$5:$B$1004,"&gt;="&amp;$C$4,'Post Tracker'!$B$5:$B$1004,"&lt;="&amp;$F$4)</f>
        <v>0</v>
      </c>
      <c r="D22" s="52" t="str">
        <f aca="false">IFERROR(C22/C21,"")</f>
        <v/>
      </c>
      <c r="E22" s="53" t="n">
        <f aca="false">IFERROR(C22/C$19,"")</f>
        <v>0</v>
      </c>
    </row>
    <row r="23" customFormat="false" ht="15" hidden="false" customHeight="false" outlineLevel="0" collapsed="false">
      <c r="B23" s="50" t="s">
        <v>241</v>
      </c>
      <c r="C23" s="51" t="n">
        <f aca="false">SUMIFS('Post Tracker'!$BC$5:$BC$1004,'Post Tracker'!$B$5:$B$1004,"&gt;="&amp;$C$4,'Post Tracker'!$B$5:$B$1004,"&lt;="&amp;$F$4)</f>
        <v>0</v>
      </c>
      <c r="D23" s="52" t="str">
        <f aca="false">IFERROR(C23/C22,"")</f>
        <v/>
      </c>
      <c r="E23" s="53" t="n">
        <f aca="false">IFERROR(C23/C$19,"")</f>
        <v>0</v>
      </c>
    </row>
    <row r="24" customFormat="false" ht="15" hidden="false" customHeight="false" outlineLevel="0" collapsed="false">
      <c r="B24" s="50" t="s">
        <v>126</v>
      </c>
      <c r="C24" s="51" t="n">
        <f aca="false">SUMIFS('Post Tracker'!$BD$5:$BD$1004,'Post Tracker'!$B$5:$B$1004,"&gt;="&amp;$C$4,'Post Tracker'!$B$5:$B$1004,"&lt;="&amp;$F$4)</f>
        <v>0</v>
      </c>
      <c r="D24" s="52" t="str">
        <f aca="false">IFERROR(C24/C23,"")</f>
        <v/>
      </c>
      <c r="E24" s="53" t="n">
        <f aca="false">IFERROR(C24/C$19,"")</f>
        <v>0</v>
      </c>
    </row>
    <row r="25" customFormat="false" ht="15" hidden="false" customHeight="false" outlineLevel="0" collapsed="false">
      <c r="B25" s="50" t="s">
        <v>127</v>
      </c>
      <c r="C25" s="51" t="n">
        <f aca="false">SUMIFS('Post Tracker'!$BE$5:$BE$1004,'Post Tracker'!$B$5:$B$1004,"&gt;="&amp;$C$4,'Post Tracker'!$B$5:$B$1004,"&lt;="&amp;$F$4)</f>
        <v>0</v>
      </c>
      <c r="D25" s="52" t="str">
        <f aca="false">IFERROR(C25/C24,"")</f>
        <v/>
      </c>
      <c r="E25" s="53" t="n">
        <f aca="false">IFERROR(C25/C$19,"")</f>
        <v>0</v>
      </c>
    </row>
    <row r="26" customFormat="false" ht="15" hidden="false" customHeight="false" outlineLevel="0" collapsed="false">
      <c r="B26" s="50" t="s">
        <v>128</v>
      </c>
      <c r="C26" s="51" t="n">
        <f aca="false">SUMIFS('Post Tracker'!$BF$5:$BF$1004,'Post Tracker'!$B$5:$B$1004,"&gt;="&amp;$C$4,'Post Tracker'!$B$5:$B$1004,"&lt;="&amp;$F$4)</f>
        <v>0</v>
      </c>
      <c r="D26" s="52" t="str">
        <f aca="false">IFERROR(C26/C25,"")</f>
        <v/>
      </c>
      <c r="E26" s="53" t="n">
        <f aca="false">IFERROR(C26/C$19,"")</f>
        <v>0</v>
      </c>
    </row>
    <row r="27" customFormat="false" ht="15" hidden="false" customHeight="false" outlineLevel="0" collapsed="false">
      <c r="B27" s="50" t="s">
        <v>129</v>
      </c>
      <c r="C27" s="51" t="n">
        <f aca="false">SUMIFS('Post Tracker'!$BG$5:$BG$1004,'Post Tracker'!$B$5:$B$1004,"&gt;="&amp;$C$4,'Post Tracker'!$B$5:$B$1004,"&lt;="&amp;$F$4)</f>
        <v>0</v>
      </c>
      <c r="D27" s="52" t="str">
        <f aca="false">IFERROR(C27/C26,"")</f>
        <v/>
      </c>
      <c r="E27" s="53" t="n">
        <f aca="false">IFERROR(C27/C$19,"")</f>
        <v>0</v>
      </c>
    </row>
    <row r="28" customFormat="false" ht="15" hidden="false" customHeight="false" outlineLevel="0" collapsed="false">
      <c r="B28" s="54" t="s">
        <v>242</v>
      </c>
    </row>
    <row r="30" customFormat="false" ht="15" hidden="false" customHeight="false" outlineLevel="0" collapsed="false">
      <c r="B30" s="55" t="s">
        <v>243</v>
      </c>
    </row>
    <row r="31" customFormat="false" ht="23.85" hidden="false" customHeight="false" outlineLevel="0" collapsed="false">
      <c r="B31" s="56" t="s">
        <v>244</v>
      </c>
      <c r="C31" s="56" t="s">
        <v>71</v>
      </c>
      <c r="D31" s="56" t="s">
        <v>245</v>
      </c>
      <c r="E31" s="56" t="s">
        <v>77</v>
      </c>
      <c r="F31" s="56" t="s">
        <v>246</v>
      </c>
      <c r="G31" s="56" t="s">
        <v>80</v>
      </c>
      <c r="H31" s="56" t="s">
        <v>247</v>
      </c>
      <c r="I31" s="56" t="s">
        <v>248</v>
      </c>
      <c r="J31" s="56" t="s">
        <v>103</v>
      </c>
      <c r="K31" s="56" t="s">
        <v>249</v>
      </c>
      <c r="L31" s="56" t="s">
        <v>250</v>
      </c>
      <c r="M31" s="56" t="s">
        <v>126</v>
      </c>
    </row>
    <row r="32" customFormat="false" ht="15" hidden="false" customHeight="false" outlineLevel="0" collapsed="false">
      <c r="B32" s="57" t="n">
        <v>1</v>
      </c>
      <c r="C32" s="57" t="str">
        <f aca="false">IF($T32="","",INDEX('Post Tracker'!$A$5:$A$1004,MATCH($T32,'Post Tracker'!$BR$5:$BR$1004,0))&amp;"")</f>
        <v>IGC-260914-1301</v>
      </c>
      <c r="D32" s="58" t="n">
        <f aca="false">IF($T32="","",INDEX('Post Tracker'!$B$5:$B$1004,MATCH($T32,'Post Tracker'!$BR$5:$BR$1004,0)))</f>
        <v>46279</v>
      </c>
      <c r="E32" s="57" t="str">
        <f aca="false">IF($T32="","",INDEX('Post Tracker'!$G$5:$G$1004,MATCH($T32,'Post Tracker'!$BR$5:$BR$1004,0))&amp;"")</f>
        <v>Instagram</v>
      </c>
      <c r="F32" s="57" t="str">
        <f aca="false">IF($T32="","",INDEX('Post Tracker'!$L$5:$L$1004,MATCH($T32,'Post Tracker'!$BR$5:$BR$1004,0))&amp;"")</f>
        <v>Scanners idle a third of the day, next slot 3 weeks out - the queue nobody owns</v>
      </c>
      <c r="G32" s="57" t="str">
        <f aca="false">IF($T32="","",INDEX('Post Tracker'!$J$5:$J$1004,MATCH($T32,'Post Tracker'!$BR$5:$BR$1004,0))&amp;"")</f>
        <v>Operations Tips (Scheduling, No-shows, Throughput)</v>
      </c>
      <c r="H32" s="57" t="str">
        <f aca="false">IF($T32="","",INDEX('Post Tracker'!$I$5:$I$1004,MATCH($T32,'Post Tracker'!$BR$5:$BR$1004,0))&amp;"")</f>
        <v>Single Image</v>
      </c>
      <c r="I32" s="51" t="n">
        <f aca="false">IF($T32="","",INDEX('Post Tracker'!$AF$5:$AF$1004,MATCH($T32,'Post Tracker'!$BR$5:$BR$1004,0)))</f>
        <v>8</v>
      </c>
      <c r="J32" s="51" t="n">
        <f aca="false">IF($T32="","",INDEX('Post Tracker'!$AG$5:$AG$1004,MATCH($T32,'Post Tracker'!$BR$5:$BR$1004,0)))</f>
        <v>0</v>
      </c>
      <c r="K32" s="52" t="n">
        <f aca="false">IF($T32="","",INDEX('Post Tracker'!$AU$5:$AU$1004,MATCH($T32,'Post Tracker'!$BR$5:$BR$1004,0)))</f>
        <v>0.131147540983607</v>
      </c>
      <c r="L32" s="52" t="str">
        <f aca="false">IF($T32="","",INDEX('Post Tracker'!$AS$5:$AS$1004,MATCH($T32,'Post Tracker'!$BR$5:$BR$1004,0)))</f>
        <v/>
      </c>
      <c r="M32" s="51" t="n">
        <f aca="false">IF($T32="","",INDEX('Post Tracker'!$BD$5:$BD$1004,MATCH($T32,'Post Tracker'!$BR$5:$BR$1004,0)))</f>
        <v>0</v>
      </c>
      <c r="T32" s="59" t="n">
        <f aca="false">IFERROR(LARGE('Post Tracker'!$BR$5:$BR$1004,1),"")</f>
        <v>0.131147551983607</v>
      </c>
    </row>
    <row r="33" customFormat="false" ht="15" hidden="false" customHeight="false" outlineLevel="0" collapsed="false">
      <c r="B33" s="57" t="n">
        <v>2</v>
      </c>
      <c r="C33" s="57" t="str">
        <f aca="false">IF($T33="","",INDEX('Post Tracker'!$A$5:$A$1004,MATCH($T33,'Post Tracker'!$BR$5:$BR$1004,0))&amp;"")</f>
        <v>IGC-260918-1418</v>
      </c>
      <c r="D33" s="58" t="n">
        <f aca="false">IF($T33="","",INDEX('Post Tracker'!$B$5:$B$1004,MATCH($T33,'Post Tracker'!$BR$5:$BR$1004,0)))</f>
        <v>46283</v>
      </c>
      <c r="E33" s="57" t="str">
        <f aca="false">IF($T33="","",INDEX('Post Tracker'!$G$5:$G$1004,MATCH($T33,'Post Tracker'!$BR$5:$BR$1004,0))&amp;"")</f>
        <v>Instagram</v>
      </c>
      <c r="F33" s="57" t="str">
        <f aca="false">IF($T33="","",INDEX('Post Tracker'!$L$5:$L$1004,MATCH($T33,'Post Tracker'!$BR$5:$BR$1004,0))&amp;"")</f>
        <v>An order arrives with one field missing - when does it get flagged?</v>
      </c>
      <c r="G33" s="57" t="str">
        <f aca="false">IF($T33="","",INDEX('Post Tracker'!$J$5:$J$1004,MATCH($T33,'Post Tracker'!$BR$5:$BR$1004,0))&amp;"")</f>
        <v>Revenue Cycle &amp; Denials</v>
      </c>
      <c r="H33" s="57" t="str">
        <f aca="false">IF($T33="","",INDEX('Post Tracker'!$I$5:$I$1004,MATCH($T33,'Post Tracker'!$BR$5:$BR$1004,0))&amp;"")</f>
        <v>Carousel / Document (PDF)</v>
      </c>
      <c r="I33" s="51" t="n">
        <f aca="false">IF($T33="","",INDEX('Post Tracker'!$AF$5:$AF$1004,MATCH($T33,'Post Tracker'!$BR$5:$BR$1004,0)))</f>
        <v>7</v>
      </c>
      <c r="J33" s="51" t="n">
        <f aca="false">IF($T33="","",INDEX('Post Tracker'!$AG$5:$AG$1004,MATCH($T33,'Post Tracker'!$BR$5:$BR$1004,0)))</f>
        <v>0</v>
      </c>
      <c r="K33" s="52" t="n">
        <f aca="false">IF($T33="","",INDEX('Post Tracker'!$AU$5:$AU$1004,MATCH($T33,'Post Tracker'!$BR$5:$BR$1004,0)))</f>
        <v>0.114754098360656</v>
      </c>
      <c r="L33" s="52" t="str">
        <f aca="false">IF($T33="","",INDEX('Post Tracker'!$AS$5:$AS$1004,MATCH($T33,'Post Tracker'!$BR$5:$BR$1004,0)))</f>
        <v/>
      </c>
      <c r="M33" s="51" t="n">
        <f aca="false">IF($T33="","",INDEX('Post Tracker'!$BD$5:$BD$1004,MATCH($T33,'Post Tracker'!$BR$5:$BR$1004,0)))</f>
        <v>0</v>
      </c>
      <c r="T33" s="59" t="n">
        <f aca="false">IFERROR(LARGE('Post Tracker'!$BR$5:$BR$1004,2),"")</f>
        <v>0.114754110360656</v>
      </c>
    </row>
    <row r="34" customFormat="false" ht="15" hidden="false" customHeight="false" outlineLevel="0" collapsed="false">
      <c r="B34" s="57" t="n">
        <v>3</v>
      </c>
      <c r="C34" s="57" t="str">
        <f aca="false">IF($T34="","",INDEX('Post Tracker'!$A$5:$A$1004,MATCH($T34,'Post Tracker'!$BR$5:$BR$1004,0))&amp;"")</f>
        <v>IGC-260911-1147</v>
      </c>
      <c r="D34" s="58" t="n">
        <f aca="false">IF($T34="","",INDEX('Post Tracker'!$B$5:$B$1004,MATCH($T34,'Post Tracker'!$BR$5:$BR$1004,0)))</f>
        <v>46276</v>
      </c>
      <c r="E34" s="57" t="str">
        <f aca="false">IF($T34="","",INDEX('Post Tracker'!$G$5:$G$1004,MATCH($T34,'Post Tracker'!$BR$5:$BR$1004,0))&amp;"")</f>
        <v>Instagram</v>
      </c>
      <c r="F34" s="57" t="str">
        <f aca="false">IF($T34="","",INDEX('Post Tracker'!$L$5:$L$1004,MATCH($T34,'Post Tracker'!$BR$5:$BR$1004,0))&amp;"")</f>
        <v>Is your imaging center still running on fax, phones and payer portals? (3-min Gravity AI explainer video)</v>
      </c>
      <c r="G34" s="57" t="str">
        <f aca="false">IF($T34="","",INDEX('Post Tracker'!$J$5:$J$1004,MATCH($T34,'Post Tracker'!$BR$5:$BR$1004,0))&amp;"")</f>
        <v>Product Demo / Feature</v>
      </c>
      <c r="H34" s="57" t="str">
        <f aca="false">IF($T34="","",INDEX('Post Tracker'!$I$5:$I$1004,MATCH($T34,'Post Tracker'!$BR$5:$BR$1004,0))&amp;"")</f>
        <v>Short Video / Reel</v>
      </c>
      <c r="I34" s="51" t="n">
        <f aca="false">IF($T34="","",INDEX('Post Tracker'!$AF$5:$AF$1004,MATCH($T34,'Post Tracker'!$BR$5:$BR$1004,0)))</f>
        <v>7</v>
      </c>
      <c r="J34" s="51" t="n">
        <f aca="false">IF($T34="","",INDEX('Post Tracker'!$AG$5:$AG$1004,MATCH($T34,'Post Tracker'!$BR$5:$BR$1004,0)))</f>
        <v>0</v>
      </c>
      <c r="K34" s="52" t="n">
        <f aca="false">IF($T34="","",INDEX('Post Tracker'!$AU$5:$AU$1004,MATCH($T34,'Post Tracker'!$BR$5:$BR$1004,0)))</f>
        <v>0.114754098360656</v>
      </c>
      <c r="L34" s="52" t="str">
        <f aca="false">IF($T34="","",INDEX('Post Tracker'!$AS$5:$AS$1004,MATCH($T34,'Post Tracker'!$BR$5:$BR$1004,0)))</f>
        <v/>
      </c>
      <c r="M34" s="51" t="n">
        <f aca="false">IF($T34="","",INDEX('Post Tracker'!$BD$5:$BD$1004,MATCH($T34,'Post Tracker'!$BR$5:$BR$1004,0)))</f>
        <v>0</v>
      </c>
      <c r="T34" s="59" t="n">
        <f aca="false">IFERROR(LARGE('Post Tracker'!$BR$5:$BR$1004,3),"")</f>
        <v>0.114754108360656</v>
      </c>
    </row>
    <row r="35" customFormat="false" ht="15" hidden="false" customHeight="false" outlineLevel="0" collapsed="false">
      <c r="B35" s="57" t="n">
        <v>4</v>
      </c>
      <c r="C35" s="57" t="str">
        <f aca="false">IF($T35="","",INDEX('Post Tracker'!$A$5:$A$1004,MATCH($T35,'Post Tracker'!$BR$5:$BR$1004,0))&amp;"")</f>
        <v>IGC-260923-1910</v>
      </c>
      <c r="D35" s="58" t="n">
        <f aca="false">IF($T35="","",INDEX('Post Tracker'!$B$5:$B$1004,MATCH($T35,'Post Tracker'!$BR$5:$BR$1004,0)))</f>
        <v>46288</v>
      </c>
      <c r="E35" s="57" t="str">
        <f aca="false">IF($T35="","",INDEX('Post Tracker'!$G$5:$G$1004,MATCH($T35,'Post Tracker'!$BR$5:$BR$1004,0))&amp;"")</f>
        <v>Instagram</v>
      </c>
      <c r="F35" s="57" t="str">
        <f aca="false">IF($T35="","",INDEX('Post Tracker'!$L$5:$L$1004,MATCH($T35,'Post Tracker'!$BR$5:$BR$1004,0))&amp;"")</f>
        <v>An imaging order arrives by fax: 4 manual handoffs before it's billable</v>
      </c>
      <c r="G35" s="57" t="str">
        <f aca="false">IF($T35="","",INDEX('Post Tracker'!$J$5:$J$1004,MATCH($T35,'Post Tracker'!$BR$5:$BR$1004,0))&amp;"")</f>
        <v>Revenue Cycle &amp; Denials</v>
      </c>
      <c r="H35" s="57" t="str">
        <f aca="false">IF($T35="","",INDEX('Post Tracker'!$I$5:$I$1004,MATCH($T35,'Post Tracker'!$BR$5:$BR$1004,0))&amp;"")</f>
        <v>Single Image</v>
      </c>
      <c r="I35" s="51" t="n">
        <f aca="false">IF($T35="","",INDEX('Post Tracker'!$AF$5:$AF$1004,MATCH($T35,'Post Tracker'!$BR$5:$BR$1004,0)))</f>
        <v>2</v>
      </c>
      <c r="J35" s="51" t="n">
        <f aca="false">IF($T35="","",INDEX('Post Tracker'!$AG$5:$AG$1004,MATCH($T35,'Post Tracker'!$BR$5:$BR$1004,0)))</f>
        <v>0</v>
      </c>
      <c r="K35" s="52" t="n">
        <f aca="false">IF($T35="","",INDEX('Post Tracker'!$AU$5:$AU$1004,MATCH($T35,'Post Tracker'!$BR$5:$BR$1004,0)))</f>
        <v>0.0327868852459016</v>
      </c>
      <c r="L35" s="52" t="str">
        <f aca="false">IF($T35="","",INDEX('Post Tracker'!$AS$5:$AS$1004,MATCH($T35,'Post Tracker'!$BR$5:$BR$1004,0)))</f>
        <v/>
      </c>
      <c r="M35" s="51" t="n">
        <f aca="false">IF($T35="","",INDEX('Post Tracker'!$BD$5:$BD$1004,MATCH($T35,'Post Tracker'!$BR$5:$BR$1004,0)))</f>
        <v>0</v>
      </c>
      <c r="T35" s="59" t="n">
        <f aca="false">IFERROR(LARGE('Post Tracker'!$BR$5:$BR$1004,4),"")</f>
        <v>0.0327868982459016</v>
      </c>
    </row>
    <row r="36" customFormat="false" ht="15" hidden="false" customHeight="false" outlineLevel="0" collapsed="false">
      <c r="B36" s="57" t="n">
        <v>5</v>
      </c>
      <c r="C36" s="57" t="str">
        <f aca="false">IF($T36="","",INDEX('Post Tracker'!$A$5:$A$1004,MATCH($T36,'Post Tracker'!$BR$5:$BR$1004,0))&amp;"")</f>
        <v>XC-260923-2019</v>
      </c>
      <c r="D36" s="58" t="n">
        <f aca="false">IF($T36="","",INDEX('Post Tracker'!$B$5:$B$1004,MATCH($T36,'Post Tracker'!$BR$5:$BR$1004,0)))</f>
        <v>46288</v>
      </c>
      <c r="E36" s="57" t="str">
        <f aca="false">IF($T36="","",INDEX('Post Tracker'!$G$5:$G$1004,MATCH($T36,'Post Tracker'!$BR$5:$BR$1004,0))&amp;"")</f>
        <v>X</v>
      </c>
      <c r="F36" s="57" t="str">
        <f aca="false">IF($T36="","",INDEX('Post Tracker'!$L$5:$L$1004,MATCH($T36,'Post Tracker'!$BR$5:$BR$1004,0))&amp;"")</f>
        <v>An imaging order arrives by fax: 4 manual handoffs before it's billable</v>
      </c>
      <c r="G36" s="57" t="str">
        <f aca="false">IF($T36="","",INDEX('Post Tracker'!$J$5:$J$1004,MATCH($T36,'Post Tracker'!$BR$5:$BR$1004,0))&amp;"")</f>
        <v>Revenue Cycle &amp; Denials</v>
      </c>
      <c r="H36" s="57" t="str">
        <f aca="false">IF($T36="","",INDEX('Post Tracker'!$I$5:$I$1004,MATCH($T36,'Post Tracker'!$BR$5:$BR$1004,0))&amp;"")</f>
        <v>Single Image</v>
      </c>
      <c r="I36" s="51" t="n">
        <f aca="false">IF($T36="","",INDEX('Post Tracker'!$AF$5:$AF$1004,MATCH($T36,'Post Tracker'!$BR$5:$BR$1004,0)))</f>
        <v>0</v>
      </c>
      <c r="J36" s="51" t="n">
        <f aca="false">IF($T36="","",INDEX('Post Tracker'!$AG$5:$AG$1004,MATCH($T36,'Post Tracker'!$BR$5:$BR$1004,0)))</f>
        <v>1</v>
      </c>
      <c r="K36" s="52" t="n">
        <f aca="false">IF($T36="","",INDEX('Post Tracker'!$AU$5:$AU$1004,MATCH($T36,'Post Tracker'!$BR$5:$BR$1004,0)))</f>
        <v>0.0217391304347826</v>
      </c>
      <c r="L36" s="52" t="n">
        <f aca="false">IF($T36="","",INDEX('Post Tracker'!$AS$5:$AS$1004,MATCH($T36,'Post Tracker'!$BR$5:$BR$1004,0)))</f>
        <v>0.0769230769230769</v>
      </c>
      <c r="M36" s="51" t="n">
        <f aca="false">IF($T36="","",INDEX('Post Tracker'!$BD$5:$BD$1004,MATCH($T36,'Post Tracker'!$BR$5:$BR$1004,0)))</f>
        <v>0</v>
      </c>
      <c r="T36" s="59" t="n">
        <f aca="false">IFERROR(LARGE('Post Tracker'!$BR$5:$BR$1004,5),"")</f>
        <v>0.0217391474347826</v>
      </c>
    </row>
    <row r="38" customFormat="false" ht="15" hidden="false" customHeight="false" outlineLevel="0" collapsed="false">
      <c r="B38" s="55" t="s">
        <v>251</v>
      </c>
    </row>
    <row r="39" customFormat="false" ht="23.85" hidden="false" customHeight="false" outlineLevel="0" collapsed="false">
      <c r="B39" s="56" t="s">
        <v>244</v>
      </c>
      <c r="C39" s="56" t="s">
        <v>71</v>
      </c>
      <c r="D39" s="56" t="s">
        <v>245</v>
      </c>
      <c r="E39" s="56" t="s">
        <v>77</v>
      </c>
      <c r="F39" s="56" t="s">
        <v>246</v>
      </c>
      <c r="G39" s="56" t="s">
        <v>80</v>
      </c>
      <c r="H39" s="56" t="s">
        <v>247</v>
      </c>
      <c r="I39" s="56" t="s">
        <v>248</v>
      </c>
      <c r="J39" s="56" t="s">
        <v>103</v>
      </c>
      <c r="K39" s="56" t="s">
        <v>249</v>
      </c>
      <c r="L39" s="56" t="s">
        <v>250</v>
      </c>
      <c r="M39" s="56" t="s">
        <v>126</v>
      </c>
    </row>
    <row r="40" customFormat="false" ht="15" hidden="false" customHeight="false" outlineLevel="0" collapsed="false">
      <c r="B40" s="57" t="n">
        <v>1</v>
      </c>
      <c r="C40" s="57" t="str">
        <f aca="false">IF($T40="","",INDEX('Post Tracker'!$A$5:$A$1004,MATCH($T40,'Post Tracker'!$BS$5:$BS$1004,0))&amp;"")</f>
        <v>IGC-260914-1301</v>
      </c>
      <c r="D40" s="58" t="n">
        <f aca="false">IF($T40="","",INDEX('Post Tracker'!$B$5:$B$1004,MATCH($T40,'Post Tracker'!$BS$5:$BS$1004,0)))</f>
        <v>46279</v>
      </c>
      <c r="E40" s="57" t="str">
        <f aca="false">IF($T40="","",INDEX('Post Tracker'!$G$5:$G$1004,MATCH($T40,'Post Tracker'!$BS$5:$BS$1004,0))&amp;"")</f>
        <v>Instagram</v>
      </c>
      <c r="F40" s="57" t="str">
        <f aca="false">IF($T40="","",INDEX('Post Tracker'!$L$5:$L$1004,MATCH($T40,'Post Tracker'!$BS$5:$BS$1004,0))&amp;"")</f>
        <v>Scanners idle a third of the day, next slot 3 weeks out - the queue nobody owns</v>
      </c>
      <c r="G40" s="57" t="str">
        <f aca="false">IF($T40="","",INDEX('Post Tracker'!$J$5:$J$1004,MATCH($T40,'Post Tracker'!$BS$5:$BS$1004,0))&amp;"")</f>
        <v>Operations Tips (Scheduling, No-shows, Throughput)</v>
      </c>
      <c r="H40" s="57" t="str">
        <f aca="false">IF($T40="","",INDEX('Post Tracker'!$I$5:$I$1004,MATCH($T40,'Post Tracker'!$BS$5:$BS$1004,0))&amp;"")</f>
        <v>Single Image</v>
      </c>
      <c r="I40" s="51" t="n">
        <f aca="false">IF($T40="","",INDEX('Post Tracker'!$AF$5:$AF$1004,MATCH($T40,'Post Tracker'!$BS$5:$BS$1004,0)))</f>
        <v>8</v>
      </c>
      <c r="J40" s="51" t="n">
        <f aca="false">IF($T40="","",INDEX('Post Tracker'!$AG$5:$AG$1004,MATCH($T40,'Post Tracker'!$BS$5:$BS$1004,0)))</f>
        <v>0</v>
      </c>
      <c r="K40" s="52" t="n">
        <f aca="false">IF($T40="","",INDEX('Post Tracker'!$AU$5:$AU$1004,MATCH($T40,'Post Tracker'!$BS$5:$BS$1004,0)))</f>
        <v>0.131147540983607</v>
      </c>
      <c r="L40" s="52" t="str">
        <f aca="false">IF($T40="","",INDEX('Post Tracker'!$AS$5:$AS$1004,MATCH($T40,'Post Tracker'!$BS$5:$BS$1004,0)))</f>
        <v/>
      </c>
      <c r="M40" s="51" t="n">
        <f aca="false">IF($T40="","",INDEX('Post Tracker'!$BD$5:$BD$1004,MATCH($T40,'Post Tracker'!$BS$5:$BS$1004,0)))</f>
        <v>0</v>
      </c>
      <c r="T40" s="59" t="n">
        <f aca="false">IFERROR(LARGE('Post Tracker'!$BS$5:$BS$1004,1),"")</f>
        <v>0.00131148640983607</v>
      </c>
    </row>
    <row r="41" customFormat="false" ht="15" hidden="false" customHeight="false" outlineLevel="0" collapsed="false">
      <c r="B41" s="57" t="n">
        <v>2</v>
      </c>
      <c r="C41" s="57" t="str">
        <f aca="false">IF($T41="","",INDEX('Post Tracker'!$A$5:$A$1004,MATCH($T41,'Post Tracker'!$BS$5:$BS$1004,0))&amp;"")</f>
        <v>IGC-260918-1418</v>
      </c>
      <c r="D41" s="58" t="n">
        <f aca="false">IF($T41="","",INDEX('Post Tracker'!$B$5:$B$1004,MATCH($T41,'Post Tracker'!$BS$5:$BS$1004,0)))</f>
        <v>46283</v>
      </c>
      <c r="E41" s="57" t="str">
        <f aca="false">IF($T41="","",INDEX('Post Tracker'!$G$5:$G$1004,MATCH($T41,'Post Tracker'!$BS$5:$BS$1004,0))&amp;"")</f>
        <v>Instagram</v>
      </c>
      <c r="F41" s="57" t="str">
        <f aca="false">IF($T41="","",INDEX('Post Tracker'!$L$5:$L$1004,MATCH($T41,'Post Tracker'!$BS$5:$BS$1004,0))&amp;"")</f>
        <v>An order arrives with one field missing - when does it get flagged?</v>
      </c>
      <c r="G41" s="57" t="str">
        <f aca="false">IF($T41="","",INDEX('Post Tracker'!$J$5:$J$1004,MATCH($T41,'Post Tracker'!$BS$5:$BS$1004,0))&amp;"")</f>
        <v>Revenue Cycle &amp; Denials</v>
      </c>
      <c r="H41" s="57" t="str">
        <f aca="false">IF($T41="","",INDEX('Post Tracker'!$I$5:$I$1004,MATCH($T41,'Post Tracker'!$BS$5:$BS$1004,0))&amp;"")</f>
        <v>Carousel / Document (PDF)</v>
      </c>
      <c r="I41" s="51" t="n">
        <f aca="false">IF($T41="","",INDEX('Post Tracker'!$AF$5:$AF$1004,MATCH($T41,'Post Tracker'!$BS$5:$BS$1004,0)))</f>
        <v>7</v>
      </c>
      <c r="J41" s="51" t="n">
        <f aca="false">IF($T41="","",INDEX('Post Tracker'!$AG$5:$AG$1004,MATCH($T41,'Post Tracker'!$BS$5:$BS$1004,0)))</f>
        <v>0</v>
      </c>
      <c r="K41" s="52" t="n">
        <f aca="false">IF($T41="","",INDEX('Post Tracker'!$AU$5:$AU$1004,MATCH($T41,'Post Tracker'!$BS$5:$BS$1004,0)))</f>
        <v>0.114754098360656</v>
      </c>
      <c r="L41" s="52" t="str">
        <f aca="false">IF($T41="","",INDEX('Post Tracker'!$AS$5:$AS$1004,MATCH($T41,'Post Tracker'!$BS$5:$BS$1004,0)))</f>
        <v/>
      </c>
      <c r="M41" s="51" t="n">
        <f aca="false">IF($T41="","",INDEX('Post Tracker'!$BD$5:$BD$1004,MATCH($T41,'Post Tracker'!$BS$5:$BS$1004,0)))</f>
        <v>0</v>
      </c>
      <c r="T41" s="59" t="n">
        <f aca="false">IFERROR(LARGE('Post Tracker'!$BS$5:$BS$1004,2),"")</f>
        <v>0.00114755298360656</v>
      </c>
    </row>
    <row r="42" customFormat="false" ht="15" hidden="false" customHeight="false" outlineLevel="0" collapsed="false">
      <c r="B42" s="57" t="n">
        <v>3</v>
      </c>
      <c r="C42" s="57" t="str">
        <f aca="false">IF($T42="","",INDEX('Post Tracker'!$A$5:$A$1004,MATCH($T42,'Post Tracker'!$BS$5:$BS$1004,0))&amp;"")</f>
        <v>IGC-260911-1147</v>
      </c>
      <c r="D42" s="58" t="n">
        <f aca="false">IF($T42="","",INDEX('Post Tracker'!$B$5:$B$1004,MATCH($T42,'Post Tracker'!$BS$5:$BS$1004,0)))</f>
        <v>46276</v>
      </c>
      <c r="E42" s="57" t="str">
        <f aca="false">IF($T42="","",INDEX('Post Tracker'!$G$5:$G$1004,MATCH($T42,'Post Tracker'!$BS$5:$BS$1004,0))&amp;"")</f>
        <v>Instagram</v>
      </c>
      <c r="F42" s="57" t="str">
        <f aca="false">IF($T42="","",INDEX('Post Tracker'!$L$5:$L$1004,MATCH($T42,'Post Tracker'!$BS$5:$BS$1004,0))&amp;"")</f>
        <v>Is your imaging center still running on fax, phones and payer portals? (3-min Gravity AI explainer video)</v>
      </c>
      <c r="G42" s="57" t="str">
        <f aca="false">IF($T42="","",INDEX('Post Tracker'!$J$5:$J$1004,MATCH($T42,'Post Tracker'!$BS$5:$BS$1004,0))&amp;"")</f>
        <v>Product Demo / Feature</v>
      </c>
      <c r="H42" s="57" t="str">
        <f aca="false">IF($T42="","",INDEX('Post Tracker'!$I$5:$I$1004,MATCH($T42,'Post Tracker'!$BS$5:$BS$1004,0))&amp;"")</f>
        <v>Short Video / Reel</v>
      </c>
      <c r="I42" s="51" t="n">
        <f aca="false">IF($T42="","",INDEX('Post Tracker'!$AF$5:$AF$1004,MATCH($T42,'Post Tracker'!$BS$5:$BS$1004,0)))</f>
        <v>7</v>
      </c>
      <c r="J42" s="51" t="n">
        <f aca="false">IF($T42="","",INDEX('Post Tracker'!$AG$5:$AG$1004,MATCH($T42,'Post Tracker'!$BS$5:$BS$1004,0)))</f>
        <v>0</v>
      </c>
      <c r="K42" s="52" t="n">
        <f aca="false">IF($T42="","",INDEX('Post Tracker'!$AU$5:$AU$1004,MATCH($T42,'Post Tracker'!$BS$5:$BS$1004,0)))</f>
        <v>0.114754098360656</v>
      </c>
      <c r="L42" s="52" t="str">
        <f aca="false">IF($T42="","",INDEX('Post Tracker'!$AS$5:$AS$1004,MATCH($T42,'Post Tracker'!$BS$5:$BS$1004,0)))</f>
        <v/>
      </c>
      <c r="M42" s="51" t="n">
        <f aca="false">IF($T42="","",INDEX('Post Tracker'!$BD$5:$BD$1004,MATCH($T42,'Post Tracker'!$BS$5:$BS$1004,0)))</f>
        <v>0</v>
      </c>
      <c r="T42" s="59" t="n">
        <f aca="false">IFERROR(LARGE('Post Tracker'!$BS$5:$BS$1004,3),"")</f>
        <v>0.00114755098360656</v>
      </c>
    </row>
    <row r="43" customFormat="false" ht="15" hidden="false" customHeight="false" outlineLevel="0" collapsed="false">
      <c r="B43" s="57" t="n">
        <v>4</v>
      </c>
      <c r="C43" s="57" t="str">
        <f aca="false">IF($T43="","",INDEX('Post Tracker'!$A$5:$A$1004,MATCH($T43,'Post Tracker'!$BS$5:$BS$1004,0))&amp;"")</f>
        <v>IGC-260923-1910</v>
      </c>
      <c r="D43" s="58" t="n">
        <f aca="false">IF($T43="","",INDEX('Post Tracker'!$B$5:$B$1004,MATCH($T43,'Post Tracker'!$BS$5:$BS$1004,0)))</f>
        <v>46288</v>
      </c>
      <c r="E43" s="57" t="str">
        <f aca="false">IF($T43="","",INDEX('Post Tracker'!$G$5:$G$1004,MATCH($T43,'Post Tracker'!$BS$5:$BS$1004,0))&amp;"")</f>
        <v>Instagram</v>
      </c>
      <c r="F43" s="57" t="str">
        <f aca="false">IF($T43="","",INDEX('Post Tracker'!$L$5:$L$1004,MATCH($T43,'Post Tracker'!$BS$5:$BS$1004,0))&amp;"")</f>
        <v>An imaging order arrives by fax: 4 manual handoffs before it's billable</v>
      </c>
      <c r="G43" s="57" t="str">
        <f aca="false">IF($T43="","",INDEX('Post Tracker'!$J$5:$J$1004,MATCH($T43,'Post Tracker'!$BS$5:$BS$1004,0))&amp;"")</f>
        <v>Revenue Cycle &amp; Denials</v>
      </c>
      <c r="H43" s="57" t="str">
        <f aca="false">IF($T43="","",INDEX('Post Tracker'!$I$5:$I$1004,MATCH($T43,'Post Tracker'!$BS$5:$BS$1004,0))&amp;"")</f>
        <v>Single Image</v>
      </c>
      <c r="I43" s="51" t="n">
        <f aca="false">IF($T43="","",INDEX('Post Tracker'!$AF$5:$AF$1004,MATCH($T43,'Post Tracker'!$BS$5:$BS$1004,0)))</f>
        <v>2</v>
      </c>
      <c r="J43" s="51" t="n">
        <f aca="false">IF($T43="","",INDEX('Post Tracker'!$AG$5:$AG$1004,MATCH($T43,'Post Tracker'!$BS$5:$BS$1004,0)))</f>
        <v>0</v>
      </c>
      <c r="K43" s="52" t="n">
        <f aca="false">IF($T43="","",INDEX('Post Tracker'!$AU$5:$AU$1004,MATCH($T43,'Post Tracker'!$BS$5:$BS$1004,0)))</f>
        <v>0.0327868852459016</v>
      </c>
      <c r="L43" s="52" t="str">
        <f aca="false">IF($T43="","",INDEX('Post Tracker'!$AS$5:$AS$1004,MATCH($T43,'Post Tracker'!$BS$5:$BS$1004,0)))</f>
        <v/>
      </c>
      <c r="M43" s="51" t="n">
        <f aca="false">IF($T43="","",INDEX('Post Tracker'!$BD$5:$BD$1004,MATCH($T43,'Post Tracker'!$BS$5:$BS$1004,0)))</f>
        <v>0</v>
      </c>
      <c r="T43" s="59" t="n">
        <f aca="false">IFERROR(LARGE('Post Tracker'!$BS$5:$BS$1004,4),"")</f>
        <v>0.000327881852459016</v>
      </c>
    </row>
    <row r="44" customFormat="false" ht="15" hidden="false" customHeight="false" outlineLevel="0" collapsed="false">
      <c r="B44" s="57" t="n">
        <v>5</v>
      </c>
      <c r="C44" s="57" t="str">
        <f aca="false">IF($T44="","",INDEX('Post Tracker'!$A$5:$A$1004,MATCH($T44,'Post Tracker'!$BS$5:$BS$1004,0))&amp;"")</f>
        <v>XC-260923-2019</v>
      </c>
      <c r="D44" s="58" t="n">
        <f aca="false">IF($T44="","",INDEX('Post Tracker'!$B$5:$B$1004,MATCH($T44,'Post Tracker'!$BS$5:$BS$1004,0)))</f>
        <v>46288</v>
      </c>
      <c r="E44" s="57" t="str">
        <f aca="false">IF($T44="","",INDEX('Post Tracker'!$G$5:$G$1004,MATCH($T44,'Post Tracker'!$BS$5:$BS$1004,0))&amp;"")</f>
        <v>X</v>
      </c>
      <c r="F44" s="57" t="str">
        <f aca="false">IF($T44="","",INDEX('Post Tracker'!$L$5:$L$1004,MATCH($T44,'Post Tracker'!$BS$5:$BS$1004,0))&amp;"")</f>
        <v>An imaging order arrives by fax: 4 manual handoffs before it's billable</v>
      </c>
      <c r="G44" s="57" t="str">
        <f aca="false">IF($T44="","",INDEX('Post Tracker'!$J$5:$J$1004,MATCH($T44,'Post Tracker'!$BS$5:$BS$1004,0))&amp;"")</f>
        <v>Revenue Cycle &amp; Denials</v>
      </c>
      <c r="H44" s="57" t="str">
        <f aca="false">IF($T44="","",INDEX('Post Tracker'!$I$5:$I$1004,MATCH($T44,'Post Tracker'!$BS$5:$BS$1004,0))&amp;"")</f>
        <v>Single Image</v>
      </c>
      <c r="I44" s="51" t="n">
        <f aca="false">IF($T44="","",INDEX('Post Tracker'!$AF$5:$AF$1004,MATCH($T44,'Post Tracker'!$BS$5:$BS$1004,0)))</f>
        <v>0</v>
      </c>
      <c r="J44" s="51" t="n">
        <f aca="false">IF($T44="","",INDEX('Post Tracker'!$AG$5:$AG$1004,MATCH($T44,'Post Tracker'!$BS$5:$BS$1004,0)))</f>
        <v>1</v>
      </c>
      <c r="K44" s="52" t="n">
        <f aca="false">IF($T44="","",INDEX('Post Tracker'!$AU$5:$AU$1004,MATCH($T44,'Post Tracker'!$BS$5:$BS$1004,0)))</f>
        <v>0.0217391304347826</v>
      </c>
      <c r="L44" s="52" t="n">
        <f aca="false">IF($T44="","",INDEX('Post Tracker'!$AS$5:$AS$1004,MATCH($T44,'Post Tracker'!$BS$5:$BS$1004,0)))</f>
        <v>0.0769230769230769</v>
      </c>
      <c r="M44" s="51" t="n">
        <f aca="false">IF($T44="","",INDEX('Post Tracker'!$BD$5:$BD$1004,MATCH($T44,'Post Tracker'!$BS$5:$BS$1004,0)))</f>
        <v>0</v>
      </c>
      <c r="T44" s="59" t="n">
        <f aca="false">IFERROR(LARGE('Post Tracker'!$BS$5:$BS$1004,5),"")</f>
        <v>0.000217408304347826</v>
      </c>
    </row>
    <row r="46" customFormat="false" ht="15" hidden="false" customHeight="false" outlineLevel="0" collapsed="false">
      <c r="B46" s="3" t="s">
        <v>252</v>
      </c>
    </row>
    <row r="47" customFormat="false" ht="30" hidden="false" customHeight="true" outlineLevel="0" collapsed="false">
      <c r="B47" s="60"/>
      <c r="C47" s="61" t="s">
        <v>253</v>
      </c>
      <c r="D47" s="61" t="s">
        <v>222</v>
      </c>
      <c r="E47" s="61" t="s">
        <v>254</v>
      </c>
      <c r="F47" s="61" t="s">
        <v>223</v>
      </c>
      <c r="G47" s="61" t="s">
        <v>250</v>
      </c>
      <c r="H47" s="61" t="s">
        <v>249</v>
      </c>
      <c r="I47" s="61" t="s">
        <v>106</v>
      </c>
      <c r="J47" s="61" t="s">
        <v>255</v>
      </c>
      <c r="K47" s="61" t="s">
        <v>256</v>
      </c>
      <c r="L47" s="61" t="s">
        <v>124</v>
      </c>
      <c r="M47" s="61" t="s">
        <v>126</v>
      </c>
      <c r="N47" s="61" t="s">
        <v>128</v>
      </c>
      <c r="O47" s="61" t="s">
        <v>134</v>
      </c>
      <c r="P47" s="61" t="s">
        <v>257</v>
      </c>
    </row>
    <row r="48" customFormat="false" ht="15" hidden="false" customHeight="false" outlineLevel="0" collapsed="false">
      <c r="B48" s="50" t="str">
        <f aca="false">IF(Settings!$D$5="","",Settings!$D$5)</f>
        <v>LinkedIn</v>
      </c>
      <c r="C48" s="51" t="n">
        <f aca="false">IF($B48="","",COUNTIFS('Post Tracker'!$G$5:$G$1004,$B48,'Post Tracker'!$B$5:$B$1004,"&gt;="&amp;$C$4,'Post Tracker'!$B$5:$B$1004,"&lt;="&amp;$F$4))</f>
        <v>5</v>
      </c>
      <c r="D48" s="51" t="n">
        <f aca="false">IF($B48="","",SUMIFS('Post Tracker'!$AC$5:$AC$1004,'Post Tracker'!$G$5:$G$1004,$B48,'Post Tracker'!$B$5:$B$1004,"&gt;="&amp;$C$4,'Post Tracker'!$B$5:$B$1004,"&lt;="&amp;$F$4))</f>
        <v>0</v>
      </c>
      <c r="E48" s="51" t="n">
        <f aca="false">IF($B48="","",SUMIFS('Post Tracker'!$AO$5:$AO$1004,'Post Tracker'!$G$5:$G$1004,$B48,'Post Tracker'!$B$5:$B$1004,"&gt;="&amp;$C$4,'Post Tracker'!$B$5:$B$1004,"&lt;="&amp;$F$4))</f>
        <v>0</v>
      </c>
      <c r="F48" s="51" t="n">
        <f aca="false">IF($B48="","",SUMIFS('Post Tracker'!$AR$5:$AR$1004,'Post Tracker'!$G$5:$G$1004,$B48,'Post Tracker'!$B$5:$B$1004,"&gt;="&amp;$C$4,'Post Tracker'!$B$5:$B$1004,"&lt;="&amp;$F$4))</f>
        <v>29</v>
      </c>
      <c r="G48" s="52" t="str">
        <f aca="false">IF($B48="","",IFERROR(SUMIFS('Post Tracker'!$BP$5:$BP$1004,'Post Tracker'!$G$5:$G$1004,$B48,'Post Tracker'!$B$5:$B$1004,"&gt;="&amp;$C$4,'Post Tracker'!$B$5:$B$1004,"&lt;="&amp;$F$4)/E48,""))</f>
        <v/>
      </c>
      <c r="H48" s="52" t="n">
        <f aca="false">IF($B48="","",IFERROR(F48/SUMIFS('Post Tracker'!$BQ$5:$BQ$1004,'Post Tracker'!$G$5:$G$1004,$B48,'Post Tracker'!$B$5:$B$1004,"&gt;="&amp;$C$4,'Post Tracker'!$B$5:$B$1004,"&lt;="&amp;$F$4),""))</f>
        <v>0.00274621212121212</v>
      </c>
      <c r="I48" s="51" t="n">
        <f aca="false">IF($B48="","",SUMIFS('Post Tracker'!$AJ$5:$AJ$1004,'Post Tracker'!$G$5:$G$1004,$B48,'Post Tracker'!$B$5:$B$1004,"&gt;="&amp;$C$4,'Post Tracker'!$B$5:$B$1004,"&lt;="&amp;$F$4))</f>
        <v>0</v>
      </c>
      <c r="J48" s="52" t="str">
        <f aca="false">IF($B48="","",IFERROR(I48/D48,""))</f>
        <v/>
      </c>
      <c r="K48" s="51" t="n">
        <f aca="false">IF($B48="","",SUMIFS('Post Tracker'!$AZ$5:$AZ$1004,'Post Tracker'!$G$5:$G$1004,$B48,'Post Tracker'!$B$5:$B$1004,"&gt;="&amp;$C$4,'Post Tracker'!$B$5:$B$1004,"&lt;="&amp;$F$4))</f>
        <v>0</v>
      </c>
      <c r="L48" s="51" t="n">
        <f aca="false">IF($B48="","",SUMIFS('Post Tracker'!$BB$5:$BB$1004,'Post Tracker'!$G$5:$G$1004,$B48,'Post Tracker'!$B$5:$B$1004,"&gt;="&amp;$C$4,'Post Tracker'!$B$5:$B$1004,"&lt;="&amp;$F$4))</f>
        <v>0</v>
      </c>
      <c r="M48" s="51" t="n">
        <f aca="false">IF($B48="","",SUMIFS('Post Tracker'!$BD$5:$BD$1004,'Post Tracker'!$G$5:$G$1004,$B48,'Post Tracker'!$B$5:$B$1004,"&gt;="&amp;$C$4,'Post Tracker'!$B$5:$B$1004,"&lt;="&amp;$F$4))</f>
        <v>0</v>
      </c>
      <c r="N48" s="51" t="n">
        <f aca="false">IF($B48="","",SUMIFS('Post Tracker'!$BF$5:$BF$1004,'Post Tracker'!$G$5:$G$1004,$B48,'Post Tracker'!$B$5:$B$1004,"&gt;="&amp;$C$4,'Post Tracker'!$B$5:$B$1004,"&lt;="&amp;$F$4))</f>
        <v>0</v>
      </c>
      <c r="O48" s="52" t="str">
        <f aca="false">IF($B48="","",IFERROR(M48/K48,""))</f>
        <v/>
      </c>
      <c r="P48" s="62" t="n">
        <f aca="false">IF($B48="","",SUMIFS('Post Tracker'!$BH$5:$BH$1004,'Post Tracker'!$G$5:$G$1004,$B48,'Post Tracker'!$B$5:$B$1004,"&gt;="&amp;$C$4,'Post Tracker'!$B$5:$B$1004,"&lt;="&amp;$F$4))</f>
        <v>0</v>
      </c>
    </row>
    <row r="49" customFormat="false" ht="15" hidden="false" customHeight="false" outlineLevel="0" collapsed="false">
      <c r="B49" s="50" t="str">
        <f aca="false">IF(Settings!$D$6="","",Settings!$D$6)</f>
        <v>Instagram</v>
      </c>
      <c r="C49" s="51" t="n">
        <f aca="false">IF($B49="","",COUNTIFS('Post Tracker'!$G$5:$G$1004,$B49,'Post Tracker'!$B$5:$B$1004,"&gt;="&amp;$C$4,'Post Tracker'!$B$5:$B$1004,"&lt;="&amp;$F$4))</f>
        <v>4</v>
      </c>
      <c r="D49" s="51" t="n">
        <f aca="false">IF($B49="","",SUMIFS('Post Tracker'!$AC$5:$AC$1004,'Post Tracker'!$G$5:$G$1004,$B49,'Post Tracker'!$B$5:$B$1004,"&gt;="&amp;$C$4,'Post Tracker'!$B$5:$B$1004,"&lt;="&amp;$F$4))</f>
        <v>0</v>
      </c>
      <c r="E49" s="51" t="n">
        <f aca="false">IF($B49="","",SUMIFS('Post Tracker'!$AO$5:$AO$1004,'Post Tracker'!$G$5:$G$1004,$B49,'Post Tracker'!$B$5:$B$1004,"&gt;="&amp;$C$4,'Post Tracker'!$B$5:$B$1004,"&lt;="&amp;$F$4))</f>
        <v>0</v>
      </c>
      <c r="F49" s="51" t="n">
        <f aca="false">IF($B49="","",SUMIFS('Post Tracker'!$AR$5:$AR$1004,'Post Tracker'!$G$5:$G$1004,$B49,'Post Tracker'!$B$5:$B$1004,"&gt;="&amp;$C$4,'Post Tracker'!$B$5:$B$1004,"&lt;="&amp;$F$4))</f>
        <v>24</v>
      </c>
      <c r="G49" s="52" t="str">
        <f aca="false">IF($B49="","",IFERROR(SUMIFS('Post Tracker'!$BP$5:$BP$1004,'Post Tracker'!$G$5:$G$1004,$B49,'Post Tracker'!$B$5:$B$1004,"&gt;="&amp;$C$4,'Post Tracker'!$B$5:$B$1004,"&lt;="&amp;$F$4)/E49,""))</f>
        <v/>
      </c>
      <c r="H49" s="52" t="n">
        <f aca="false">IF($B49="","",IFERROR(F49/SUMIFS('Post Tracker'!$BQ$5:$BQ$1004,'Post Tracker'!$G$5:$G$1004,$B49,'Post Tracker'!$B$5:$B$1004,"&gt;="&amp;$C$4,'Post Tracker'!$B$5:$B$1004,"&lt;="&amp;$F$4),""))</f>
        <v>0.0983606557377049</v>
      </c>
      <c r="I49" s="51" t="n">
        <f aca="false">IF($B49="","",SUMIFS('Post Tracker'!$AJ$5:$AJ$1004,'Post Tracker'!$G$5:$G$1004,$B49,'Post Tracker'!$B$5:$B$1004,"&gt;="&amp;$C$4,'Post Tracker'!$B$5:$B$1004,"&lt;="&amp;$F$4))</f>
        <v>0</v>
      </c>
      <c r="J49" s="52" t="str">
        <f aca="false">IF($B49="","",IFERROR(I49/D49,""))</f>
        <v/>
      </c>
      <c r="K49" s="51" t="n">
        <f aca="false">IF($B49="","",SUMIFS('Post Tracker'!$AZ$5:$AZ$1004,'Post Tracker'!$G$5:$G$1004,$B49,'Post Tracker'!$B$5:$B$1004,"&gt;="&amp;$C$4,'Post Tracker'!$B$5:$B$1004,"&lt;="&amp;$F$4))</f>
        <v>0</v>
      </c>
      <c r="L49" s="51" t="n">
        <f aca="false">IF($B49="","",SUMIFS('Post Tracker'!$BB$5:$BB$1004,'Post Tracker'!$G$5:$G$1004,$B49,'Post Tracker'!$B$5:$B$1004,"&gt;="&amp;$C$4,'Post Tracker'!$B$5:$B$1004,"&lt;="&amp;$F$4))</f>
        <v>0</v>
      </c>
      <c r="M49" s="51" t="n">
        <f aca="false">IF($B49="","",SUMIFS('Post Tracker'!$BD$5:$BD$1004,'Post Tracker'!$G$5:$G$1004,$B49,'Post Tracker'!$B$5:$B$1004,"&gt;="&amp;$C$4,'Post Tracker'!$B$5:$B$1004,"&lt;="&amp;$F$4))</f>
        <v>0</v>
      </c>
      <c r="N49" s="51" t="n">
        <f aca="false">IF($B49="","",SUMIFS('Post Tracker'!$BF$5:$BF$1004,'Post Tracker'!$G$5:$G$1004,$B49,'Post Tracker'!$B$5:$B$1004,"&gt;="&amp;$C$4,'Post Tracker'!$B$5:$B$1004,"&lt;="&amp;$F$4))</f>
        <v>0</v>
      </c>
      <c r="O49" s="52" t="str">
        <f aca="false">IF($B49="","",IFERROR(M49/K49,""))</f>
        <v/>
      </c>
      <c r="P49" s="62" t="n">
        <f aca="false">IF($B49="","",SUMIFS('Post Tracker'!$BH$5:$BH$1004,'Post Tracker'!$G$5:$G$1004,$B49,'Post Tracker'!$B$5:$B$1004,"&gt;="&amp;$C$4,'Post Tracker'!$B$5:$B$1004,"&lt;="&amp;$F$4))</f>
        <v>0</v>
      </c>
    </row>
    <row r="50" customFormat="false" ht="15" hidden="false" customHeight="false" outlineLevel="0" collapsed="false">
      <c r="B50" s="50" t="str">
        <f aca="false">IF(Settings!$D$7="","",Settings!$D$7)</f>
        <v>X</v>
      </c>
      <c r="C50" s="51" t="n">
        <f aca="false">IF($B50="","",COUNTIFS('Post Tracker'!$G$5:$G$1004,$B50,'Post Tracker'!$B$5:$B$1004,"&gt;="&amp;$C$4,'Post Tracker'!$B$5:$B$1004,"&lt;="&amp;$F$4))</f>
        <v>4</v>
      </c>
      <c r="D50" s="51" t="n">
        <f aca="false">IF($B50="","",SUMIFS('Post Tracker'!$AC$5:$AC$1004,'Post Tracker'!$G$5:$G$1004,$B50,'Post Tracker'!$B$5:$B$1004,"&gt;="&amp;$C$4,'Post Tracker'!$B$5:$B$1004,"&lt;="&amp;$F$4))</f>
        <v>82</v>
      </c>
      <c r="E50" s="51" t="n">
        <f aca="false">IF($B50="","",SUMIFS('Post Tracker'!$AO$5:$AO$1004,'Post Tracker'!$G$5:$G$1004,$B50,'Post Tracker'!$B$5:$B$1004,"&gt;="&amp;$C$4,'Post Tracker'!$B$5:$B$1004,"&lt;="&amp;$F$4))</f>
        <v>82</v>
      </c>
      <c r="F50" s="51" t="n">
        <f aca="false">IF($B50="","",SUMIFS('Post Tracker'!$AR$5:$AR$1004,'Post Tracker'!$G$5:$G$1004,$B50,'Post Tracker'!$B$5:$B$1004,"&gt;="&amp;$C$4,'Post Tracker'!$B$5:$B$1004,"&lt;="&amp;$F$4))</f>
        <v>2</v>
      </c>
      <c r="G50" s="52" t="n">
        <f aca="false">IF($B50="","",IFERROR(SUMIFS('Post Tracker'!$BP$5:$BP$1004,'Post Tracker'!$G$5:$G$1004,$B50,'Post Tracker'!$B$5:$B$1004,"&gt;="&amp;$C$4,'Post Tracker'!$B$5:$B$1004,"&lt;="&amp;$F$4)/E50,""))</f>
        <v>0.024390243902439</v>
      </c>
      <c r="H50" s="52" t="n">
        <f aca="false">IF($B50="","",IFERROR(F50/SUMIFS('Post Tracker'!$BQ$5:$BQ$1004,'Post Tracker'!$G$5:$G$1004,$B50,'Post Tracker'!$B$5:$B$1004,"&gt;="&amp;$C$4,'Post Tracker'!$B$5:$B$1004,"&lt;="&amp;$F$4),""))</f>
        <v>0.0108695652173913</v>
      </c>
      <c r="I50" s="51" t="n">
        <f aca="false">IF($B50="","",SUMIFS('Post Tracker'!$AJ$5:$AJ$1004,'Post Tracker'!$G$5:$G$1004,$B50,'Post Tracker'!$B$5:$B$1004,"&gt;="&amp;$C$4,'Post Tracker'!$B$5:$B$1004,"&lt;="&amp;$F$4))</f>
        <v>0</v>
      </c>
      <c r="J50" s="52" t="n">
        <f aca="false">IF($B50="","",IFERROR(I50/D50,""))</f>
        <v>0</v>
      </c>
      <c r="K50" s="51" t="n">
        <f aca="false">IF($B50="","",SUMIFS('Post Tracker'!$AZ$5:$AZ$1004,'Post Tracker'!$G$5:$G$1004,$B50,'Post Tracker'!$B$5:$B$1004,"&gt;="&amp;$C$4,'Post Tracker'!$B$5:$B$1004,"&lt;="&amp;$F$4))</f>
        <v>0</v>
      </c>
      <c r="L50" s="51" t="n">
        <f aca="false">IF($B50="","",SUMIFS('Post Tracker'!$BB$5:$BB$1004,'Post Tracker'!$G$5:$G$1004,$B50,'Post Tracker'!$B$5:$B$1004,"&gt;="&amp;$C$4,'Post Tracker'!$B$5:$B$1004,"&lt;="&amp;$F$4))</f>
        <v>0</v>
      </c>
      <c r="M50" s="51" t="n">
        <f aca="false">IF($B50="","",SUMIFS('Post Tracker'!$BD$5:$BD$1004,'Post Tracker'!$G$5:$G$1004,$B50,'Post Tracker'!$B$5:$B$1004,"&gt;="&amp;$C$4,'Post Tracker'!$B$5:$B$1004,"&lt;="&amp;$F$4))</f>
        <v>0</v>
      </c>
      <c r="N50" s="51" t="n">
        <f aca="false">IF($B50="","",SUMIFS('Post Tracker'!$BF$5:$BF$1004,'Post Tracker'!$G$5:$G$1004,$B50,'Post Tracker'!$B$5:$B$1004,"&gt;="&amp;$C$4,'Post Tracker'!$B$5:$B$1004,"&lt;="&amp;$F$4))</f>
        <v>0</v>
      </c>
      <c r="O50" s="52" t="str">
        <f aca="false">IF($B50="","",IFERROR(M50/K50,""))</f>
        <v/>
      </c>
      <c r="P50" s="62" t="n">
        <f aca="false">IF($B50="","",SUMIFS('Post Tracker'!$BH$5:$BH$1004,'Post Tracker'!$G$5:$G$1004,$B50,'Post Tracker'!$B$5:$B$1004,"&gt;="&amp;$C$4,'Post Tracker'!$B$5:$B$1004,"&lt;="&amp;$F$4))</f>
        <v>0</v>
      </c>
    </row>
    <row r="51" customFormat="false" ht="15" hidden="false" customHeight="false" outlineLevel="0" collapsed="false">
      <c r="B51" s="50" t="str">
        <f aca="false">IF(Settings!$D$8="","",Settings!$D$8)</f>
        <v>Facebook</v>
      </c>
      <c r="C51" s="51" t="n">
        <f aca="false">IF($B51="","",COUNTIFS('Post Tracker'!$G$5:$G$1004,$B51,'Post Tracker'!$B$5:$B$1004,"&gt;="&amp;$C$4,'Post Tracker'!$B$5:$B$1004,"&lt;="&amp;$F$4))</f>
        <v>0</v>
      </c>
      <c r="D51" s="51" t="n">
        <f aca="false">IF($B51="","",SUMIFS('Post Tracker'!$AC$5:$AC$1004,'Post Tracker'!$G$5:$G$1004,$B51,'Post Tracker'!$B$5:$B$1004,"&gt;="&amp;$C$4,'Post Tracker'!$B$5:$B$1004,"&lt;="&amp;$F$4))</f>
        <v>0</v>
      </c>
      <c r="E51" s="51" t="n">
        <f aca="false">IF($B51="","",SUMIFS('Post Tracker'!$AO$5:$AO$1004,'Post Tracker'!$G$5:$G$1004,$B51,'Post Tracker'!$B$5:$B$1004,"&gt;="&amp;$C$4,'Post Tracker'!$B$5:$B$1004,"&lt;="&amp;$F$4))</f>
        <v>0</v>
      </c>
      <c r="F51" s="51" t="n">
        <f aca="false">IF($B51="","",SUMIFS('Post Tracker'!$AR$5:$AR$1004,'Post Tracker'!$G$5:$G$1004,$B51,'Post Tracker'!$B$5:$B$1004,"&gt;="&amp;$C$4,'Post Tracker'!$B$5:$B$1004,"&lt;="&amp;$F$4))</f>
        <v>0</v>
      </c>
      <c r="G51" s="52" t="str">
        <f aca="false">IF($B51="","",IFERROR(SUMIFS('Post Tracker'!$BP$5:$BP$1004,'Post Tracker'!$G$5:$G$1004,$B51,'Post Tracker'!$B$5:$B$1004,"&gt;="&amp;$C$4,'Post Tracker'!$B$5:$B$1004,"&lt;="&amp;$F$4)/E51,""))</f>
        <v/>
      </c>
      <c r="H51" s="52" t="str">
        <f aca="false">IF($B51="","",IFERROR(F51/SUMIFS('Post Tracker'!$BQ$5:$BQ$1004,'Post Tracker'!$G$5:$G$1004,$B51,'Post Tracker'!$B$5:$B$1004,"&gt;="&amp;$C$4,'Post Tracker'!$B$5:$B$1004,"&lt;="&amp;$F$4),""))</f>
        <v/>
      </c>
      <c r="I51" s="51" t="n">
        <f aca="false">IF($B51="","",SUMIFS('Post Tracker'!$AJ$5:$AJ$1004,'Post Tracker'!$G$5:$G$1004,$B51,'Post Tracker'!$B$5:$B$1004,"&gt;="&amp;$C$4,'Post Tracker'!$B$5:$B$1004,"&lt;="&amp;$F$4))</f>
        <v>0</v>
      </c>
      <c r="J51" s="52" t="str">
        <f aca="false">IF($B51="","",IFERROR(I51/D51,""))</f>
        <v/>
      </c>
      <c r="K51" s="51" t="n">
        <f aca="false">IF($B51="","",SUMIFS('Post Tracker'!$AZ$5:$AZ$1004,'Post Tracker'!$G$5:$G$1004,$B51,'Post Tracker'!$B$5:$B$1004,"&gt;="&amp;$C$4,'Post Tracker'!$B$5:$B$1004,"&lt;="&amp;$F$4))</f>
        <v>0</v>
      </c>
      <c r="L51" s="51" t="n">
        <f aca="false">IF($B51="","",SUMIFS('Post Tracker'!$BB$5:$BB$1004,'Post Tracker'!$G$5:$G$1004,$B51,'Post Tracker'!$B$5:$B$1004,"&gt;="&amp;$C$4,'Post Tracker'!$B$5:$B$1004,"&lt;="&amp;$F$4))</f>
        <v>0</v>
      </c>
      <c r="M51" s="51" t="n">
        <f aca="false">IF($B51="","",SUMIFS('Post Tracker'!$BD$5:$BD$1004,'Post Tracker'!$G$5:$G$1004,$B51,'Post Tracker'!$B$5:$B$1004,"&gt;="&amp;$C$4,'Post Tracker'!$B$5:$B$1004,"&lt;="&amp;$F$4))</f>
        <v>0</v>
      </c>
      <c r="N51" s="51" t="n">
        <f aca="false">IF($B51="","",SUMIFS('Post Tracker'!$BF$5:$BF$1004,'Post Tracker'!$G$5:$G$1004,$B51,'Post Tracker'!$B$5:$B$1004,"&gt;="&amp;$C$4,'Post Tracker'!$B$5:$B$1004,"&lt;="&amp;$F$4))</f>
        <v>0</v>
      </c>
      <c r="O51" s="52" t="str">
        <f aca="false">IF($B51="","",IFERROR(M51/K51,""))</f>
        <v/>
      </c>
      <c r="P51" s="62" t="n">
        <f aca="false">IF($B51="","",SUMIFS('Post Tracker'!$BH$5:$BH$1004,'Post Tracker'!$G$5:$G$1004,$B51,'Post Tracker'!$B$5:$B$1004,"&gt;="&amp;$C$4,'Post Tracker'!$B$5:$B$1004,"&lt;="&amp;$F$4))</f>
        <v>0</v>
      </c>
    </row>
    <row r="52" customFormat="false" ht="15" hidden="false" customHeight="false" outlineLevel="0" collapsed="false">
      <c r="B52" s="50" t="str">
        <f aca="false">IF(Settings!$D$9="","",Settings!$D$9)</f>
        <v>YouTube</v>
      </c>
      <c r="C52" s="51" t="n">
        <f aca="false">IF($B52="","",COUNTIFS('Post Tracker'!$G$5:$G$1004,$B52,'Post Tracker'!$B$5:$B$1004,"&gt;="&amp;$C$4,'Post Tracker'!$B$5:$B$1004,"&lt;="&amp;$F$4))</f>
        <v>0</v>
      </c>
      <c r="D52" s="51" t="n">
        <f aca="false">IF($B52="","",SUMIFS('Post Tracker'!$AC$5:$AC$1004,'Post Tracker'!$G$5:$G$1004,$B52,'Post Tracker'!$B$5:$B$1004,"&gt;="&amp;$C$4,'Post Tracker'!$B$5:$B$1004,"&lt;="&amp;$F$4))</f>
        <v>0</v>
      </c>
      <c r="E52" s="51" t="n">
        <f aca="false">IF($B52="","",SUMIFS('Post Tracker'!$AO$5:$AO$1004,'Post Tracker'!$G$5:$G$1004,$B52,'Post Tracker'!$B$5:$B$1004,"&gt;="&amp;$C$4,'Post Tracker'!$B$5:$B$1004,"&lt;="&amp;$F$4))</f>
        <v>0</v>
      </c>
      <c r="F52" s="51" t="n">
        <f aca="false">IF($B52="","",SUMIFS('Post Tracker'!$AR$5:$AR$1004,'Post Tracker'!$G$5:$G$1004,$B52,'Post Tracker'!$B$5:$B$1004,"&gt;="&amp;$C$4,'Post Tracker'!$B$5:$B$1004,"&lt;="&amp;$F$4))</f>
        <v>0</v>
      </c>
      <c r="G52" s="52" t="str">
        <f aca="false">IF($B52="","",IFERROR(SUMIFS('Post Tracker'!$BP$5:$BP$1004,'Post Tracker'!$G$5:$G$1004,$B52,'Post Tracker'!$B$5:$B$1004,"&gt;="&amp;$C$4,'Post Tracker'!$B$5:$B$1004,"&lt;="&amp;$F$4)/E52,""))</f>
        <v/>
      </c>
      <c r="H52" s="52" t="str">
        <f aca="false">IF($B52="","",IFERROR(F52/SUMIFS('Post Tracker'!$BQ$5:$BQ$1004,'Post Tracker'!$G$5:$G$1004,$B52,'Post Tracker'!$B$5:$B$1004,"&gt;="&amp;$C$4,'Post Tracker'!$B$5:$B$1004,"&lt;="&amp;$F$4),""))</f>
        <v/>
      </c>
      <c r="I52" s="51" t="n">
        <f aca="false">IF($B52="","",SUMIFS('Post Tracker'!$AJ$5:$AJ$1004,'Post Tracker'!$G$5:$G$1004,$B52,'Post Tracker'!$B$5:$B$1004,"&gt;="&amp;$C$4,'Post Tracker'!$B$5:$B$1004,"&lt;="&amp;$F$4))</f>
        <v>0</v>
      </c>
      <c r="J52" s="52" t="str">
        <f aca="false">IF($B52="","",IFERROR(I52/D52,""))</f>
        <v/>
      </c>
      <c r="K52" s="51" t="n">
        <f aca="false">IF($B52="","",SUMIFS('Post Tracker'!$AZ$5:$AZ$1004,'Post Tracker'!$G$5:$G$1004,$B52,'Post Tracker'!$B$5:$B$1004,"&gt;="&amp;$C$4,'Post Tracker'!$B$5:$B$1004,"&lt;="&amp;$F$4))</f>
        <v>0</v>
      </c>
      <c r="L52" s="51" t="n">
        <f aca="false">IF($B52="","",SUMIFS('Post Tracker'!$BB$5:$BB$1004,'Post Tracker'!$G$5:$G$1004,$B52,'Post Tracker'!$B$5:$B$1004,"&gt;="&amp;$C$4,'Post Tracker'!$B$5:$B$1004,"&lt;="&amp;$F$4))</f>
        <v>0</v>
      </c>
      <c r="M52" s="51" t="n">
        <f aca="false">IF($B52="","",SUMIFS('Post Tracker'!$BD$5:$BD$1004,'Post Tracker'!$G$5:$G$1004,$B52,'Post Tracker'!$B$5:$B$1004,"&gt;="&amp;$C$4,'Post Tracker'!$B$5:$B$1004,"&lt;="&amp;$F$4))</f>
        <v>0</v>
      </c>
      <c r="N52" s="51" t="n">
        <f aca="false">IF($B52="","",SUMIFS('Post Tracker'!$BF$5:$BF$1004,'Post Tracker'!$G$5:$G$1004,$B52,'Post Tracker'!$B$5:$B$1004,"&gt;="&amp;$C$4,'Post Tracker'!$B$5:$B$1004,"&lt;="&amp;$F$4))</f>
        <v>0</v>
      </c>
      <c r="O52" s="52" t="str">
        <f aca="false">IF($B52="","",IFERROR(M52/K52,""))</f>
        <v/>
      </c>
      <c r="P52" s="62" t="n">
        <f aca="false">IF($B52="","",SUMIFS('Post Tracker'!$BH$5:$BH$1004,'Post Tracker'!$G$5:$G$1004,$B52,'Post Tracker'!$B$5:$B$1004,"&gt;="&amp;$C$4,'Post Tracker'!$B$5:$B$1004,"&lt;="&amp;$F$4))</f>
        <v>0</v>
      </c>
    </row>
    <row r="53" customFormat="false" ht="15" hidden="false" customHeight="false" outlineLevel="0" collapsed="false">
      <c r="B53" s="50" t="str">
        <f aca="false">IF(Settings!$D$10="","",Settings!$D$10)</f>
        <v/>
      </c>
      <c r="C53" s="51" t="str">
        <f aca="false">IF($B53="","",COUNTIFS('Post Tracker'!$G$5:$G$1004,$B53,'Post Tracker'!$B$5:$B$1004,"&gt;="&amp;$C$4,'Post Tracker'!$B$5:$B$1004,"&lt;="&amp;$F$4))</f>
        <v/>
      </c>
      <c r="D53" s="51" t="str">
        <f aca="false">IF($B53="","",SUMIFS('Post Tracker'!$AC$5:$AC$1004,'Post Tracker'!$G$5:$G$1004,$B53,'Post Tracker'!$B$5:$B$1004,"&gt;="&amp;$C$4,'Post Tracker'!$B$5:$B$1004,"&lt;="&amp;$F$4))</f>
        <v/>
      </c>
      <c r="E53" s="51" t="str">
        <f aca="false">IF($B53="","",SUMIFS('Post Tracker'!$AO$5:$AO$1004,'Post Tracker'!$G$5:$G$1004,$B53,'Post Tracker'!$B$5:$B$1004,"&gt;="&amp;$C$4,'Post Tracker'!$B$5:$B$1004,"&lt;="&amp;$F$4))</f>
        <v/>
      </c>
      <c r="F53" s="51" t="str">
        <f aca="false">IF($B53="","",SUMIFS('Post Tracker'!$AR$5:$AR$1004,'Post Tracker'!$G$5:$G$1004,$B53,'Post Tracker'!$B$5:$B$1004,"&gt;="&amp;$C$4,'Post Tracker'!$B$5:$B$1004,"&lt;="&amp;$F$4))</f>
        <v/>
      </c>
      <c r="G53" s="52" t="str">
        <f aca="false">IF($B53="","",IFERROR(SUMIFS('Post Tracker'!$BP$5:$BP$1004,'Post Tracker'!$G$5:$G$1004,$B53,'Post Tracker'!$B$5:$B$1004,"&gt;="&amp;$C$4,'Post Tracker'!$B$5:$B$1004,"&lt;="&amp;$F$4)/E53,""))</f>
        <v/>
      </c>
      <c r="H53" s="52" t="str">
        <f aca="false">IF($B53="","",IFERROR(F53/SUMIFS('Post Tracker'!$BQ$5:$BQ$1004,'Post Tracker'!$G$5:$G$1004,$B53,'Post Tracker'!$B$5:$B$1004,"&gt;="&amp;$C$4,'Post Tracker'!$B$5:$B$1004,"&lt;="&amp;$F$4),""))</f>
        <v/>
      </c>
      <c r="I53" s="51" t="str">
        <f aca="false">IF($B53="","",SUMIFS('Post Tracker'!$AJ$5:$AJ$1004,'Post Tracker'!$G$5:$G$1004,$B53,'Post Tracker'!$B$5:$B$1004,"&gt;="&amp;$C$4,'Post Tracker'!$B$5:$B$1004,"&lt;="&amp;$F$4))</f>
        <v/>
      </c>
      <c r="J53" s="52" t="str">
        <f aca="false">IF($B53="","",IFERROR(I53/D53,""))</f>
        <v/>
      </c>
      <c r="K53" s="51" t="str">
        <f aca="false">IF($B53="","",SUMIFS('Post Tracker'!$AZ$5:$AZ$1004,'Post Tracker'!$G$5:$G$1004,$B53,'Post Tracker'!$B$5:$B$1004,"&gt;="&amp;$C$4,'Post Tracker'!$B$5:$B$1004,"&lt;="&amp;$F$4))</f>
        <v/>
      </c>
      <c r="L53" s="51" t="str">
        <f aca="false">IF($B53="","",SUMIFS('Post Tracker'!$BB$5:$BB$1004,'Post Tracker'!$G$5:$G$1004,$B53,'Post Tracker'!$B$5:$B$1004,"&gt;="&amp;$C$4,'Post Tracker'!$B$5:$B$1004,"&lt;="&amp;$F$4))</f>
        <v/>
      </c>
      <c r="M53" s="51" t="str">
        <f aca="false">IF($B53="","",SUMIFS('Post Tracker'!$BD$5:$BD$1004,'Post Tracker'!$G$5:$G$1004,$B53,'Post Tracker'!$B$5:$B$1004,"&gt;="&amp;$C$4,'Post Tracker'!$B$5:$B$1004,"&lt;="&amp;$F$4))</f>
        <v/>
      </c>
      <c r="N53" s="51" t="str">
        <f aca="false">IF($B53="","",SUMIFS('Post Tracker'!$BF$5:$BF$1004,'Post Tracker'!$G$5:$G$1004,$B53,'Post Tracker'!$B$5:$B$1004,"&gt;="&amp;$C$4,'Post Tracker'!$B$5:$B$1004,"&lt;="&amp;$F$4))</f>
        <v/>
      </c>
      <c r="O53" s="52" t="str">
        <f aca="false">IF($B53="","",IFERROR(M53/K53,""))</f>
        <v/>
      </c>
      <c r="P53" s="62" t="str">
        <f aca="false">IF($B53="","",SUMIFS('Post Tracker'!$BH$5:$BH$1004,'Post Tracker'!$G$5:$G$1004,$B53,'Post Tracker'!$B$5:$B$1004,"&gt;="&amp;$C$4,'Post Tracker'!$B$5:$B$1004,"&lt;="&amp;$F$4))</f>
        <v/>
      </c>
    </row>
    <row r="54" customFormat="false" ht="15" hidden="false" customHeight="false" outlineLevel="0" collapsed="false">
      <c r="B54" s="50" t="str">
        <f aca="false">IF(Settings!$D$11="","",Settings!$D$11)</f>
        <v/>
      </c>
      <c r="C54" s="51" t="str">
        <f aca="false">IF($B54="","",COUNTIFS('Post Tracker'!$G$5:$G$1004,$B54,'Post Tracker'!$B$5:$B$1004,"&gt;="&amp;$C$4,'Post Tracker'!$B$5:$B$1004,"&lt;="&amp;$F$4))</f>
        <v/>
      </c>
      <c r="D54" s="51" t="str">
        <f aca="false">IF($B54="","",SUMIFS('Post Tracker'!$AC$5:$AC$1004,'Post Tracker'!$G$5:$G$1004,$B54,'Post Tracker'!$B$5:$B$1004,"&gt;="&amp;$C$4,'Post Tracker'!$B$5:$B$1004,"&lt;="&amp;$F$4))</f>
        <v/>
      </c>
      <c r="E54" s="51" t="str">
        <f aca="false">IF($B54="","",SUMIFS('Post Tracker'!$AO$5:$AO$1004,'Post Tracker'!$G$5:$G$1004,$B54,'Post Tracker'!$B$5:$B$1004,"&gt;="&amp;$C$4,'Post Tracker'!$B$5:$B$1004,"&lt;="&amp;$F$4))</f>
        <v/>
      </c>
      <c r="F54" s="51" t="str">
        <f aca="false">IF($B54="","",SUMIFS('Post Tracker'!$AR$5:$AR$1004,'Post Tracker'!$G$5:$G$1004,$B54,'Post Tracker'!$B$5:$B$1004,"&gt;="&amp;$C$4,'Post Tracker'!$B$5:$B$1004,"&lt;="&amp;$F$4))</f>
        <v/>
      </c>
      <c r="G54" s="52" t="str">
        <f aca="false">IF($B54="","",IFERROR(SUMIFS('Post Tracker'!$BP$5:$BP$1004,'Post Tracker'!$G$5:$G$1004,$B54,'Post Tracker'!$B$5:$B$1004,"&gt;="&amp;$C$4,'Post Tracker'!$B$5:$B$1004,"&lt;="&amp;$F$4)/E54,""))</f>
        <v/>
      </c>
      <c r="H54" s="52" t="str">
        <f aca="false">IF($B54="","",IFERROR(F54/SUMIFS('Post Tracker'!$BQ$5:$BQ$1004,'Post Tracker'!$G$5:$G$1004,$B54,'Post Tracker'!$B$5:$B$1004,"&gt;="&amp;$C$4,'Post Tracker'!$B$5:$B$1004,"&lt;="&amp;$F$4),""))</f>
        <v/>
      </c>
      <c r="I54" s="51" t="str">
        <f aca="false">IF($B54="","",SUMIFS('Post Tracker'!$AJ$5:$AJ$1004,'Post Tracker'!$G$5:$G$1004,$B54,'Post Tracker'!$B$5:$B$1004,"&gt;="&amp;$C$4,'Post Tracker'!$B$5:$B$1004,"&lt;="&amp;$F$4))</f>
        <v/>
      </c>
      <c r="J54" s="52" t="str">
        <f aca="false">IF($B54="","",IFERROR(I54/D54,""))</f>
        <v/>
      </c>
      <c r="K54" s="51" t="str">
        <f aca="false">IF($B54="","",SUMIFS('Post Tracker'!$AZ$5:$AZ$1004,'Post Tracker'!$G$5:$G$1004,$B54,'Post Tracker'!$B$5:$B$1004,"&gt;="&amp;$C$4,'Post Tracker'!$B$5:$B$1004,"&lt;="&amp;$F$4))</f>
        <v/>
      </c>
      <c r="L54" s="51" t="str">
        <f aca="false">IF($B54="","",SUMIFS('Post Tracker'!$BB$5:$BB$1004,'Post Tracker'!$G$5:$G$1004,$B54,'Post Tracker'!$B$5:$B$1004,"&gt;="&amp;$C$4,'Post Tracker'!$B$5:$B$1004,"&lt;="&amp;$F$4))</f>
        <v/>
      </c>
      <c r="M54" s="51" t="str">
        <f aca="false">IF($B54="","",SUMIFS('Post Tracker'!$BD$5:$BD$1004,'Post Tracker'!$G$5:$G$1004,$B54,'Post Tracker'!$B$5:$B$1004,"&gt;="&amp;$C$4,'Post Tracker'!$B$5:$B$1004,"&lt;="&amp;$F$4))</f>
        <v/>
      </c>
      <c r="N54" s="51" t="str">
        <f aca="false">IF($B54="","",SUMIFS('Post Tracker'!$BF$5:$BF$1004,'Post Tracker'!$G$5:$G$1004,$B54,'Post Tracker'!$B$5:$B$1004,"&gt;="&amp;$C$4,'Post Tracker'!$B$5:$B$1004,"&lt;="&amp;$F$4))</f>
        <v/>
      </c>
      <c r="O54" s="52" t="str">
        <f aca="false">IF($B54="","",IFERROR(M54/K54,""))</f>
        <v/>
      </c>
      <c r="P54" s="62" t="str">
        <f aca="false">IF($B54="","",SUMIFS('Post Tracker'!$BH$5:$BH$1004,'Post Tracker'!$G$5:$G$1004,$B54,'Post Tracker'!$B$5:$B$1004,"&gt;="&amp;$C$4,'Post Tracker'!$B$5:$B$1004,"&lt;="&amp;$F$4))</f>
        <v/>
      </c>
    </row>
    <row r="56" customFormat="false" ht="15" hidden="false" customHeight="false" outlineLevel="0" collapsed="false">
      <c r="B56" s="3" t="s">
        <v>258</v>
      </c>
    </row>
    <row r="57" customFormat="false" ht="30" hidden="false" customHeight="true" outlineLevel="0" collapsed="false">
      <c r="B57" s="60"/>
      <c r="C57" s="61" t="s">
        <v>253</v>
      </c>
      <c r="D57" s="61" t="s">
        <v>222</v>
      </c>
      <c r="E57" s="61" t="s">
        <v>254</v>
      </c>
      <c r="F57" s="61" t="s">
        <v>223</v>
      </c>
      <c r="G57" s="61" t="s">
        <v>250</v>
      </c>
      <c r="H57" s="61" t="s">
        <v>249</v>
      </c>
      <c r="I57" s="61" t="s">
        <v>106</v>
      </c>
      <c r="J57" s="61" t="s">
        <v>255</v>
      </c>
      <c r="K57" s="61" t="s">
        <v>256</v>
      </c>
      <c r="L57" s="61" t="s">
        <v>124</v>
      </c>
      <c r="M57" s="61" t="s">
        <v>126</v>
      </c>
      <c r="N57" s="61" t="s">
        <v>128</v>
      </c>
      <c r="O57" s="61" t="s">
        <v>134</v>
      </c>
      <c r="P57" s="61" t="s">
        <v>257</v>
      </c>
    </row>
    <row r="58" customFormat="false" ht="15" hidden="false" customHeight="false" outlineLevel="0" collapsed="false">
      <c r="B58" s="50" t="str">
        <f aca="false">IF(Settings!$G$5="","",Settings!$G$5)</f>
        <v>Company Page</v>
      </c>
      <c r="C58" s="51" t="n">
        <f aca="false">IF($B58="","",COUNTIFS('Post Tracker'!$H$5:$H$1004,$B58,'Post Tracker'!$B$5:$B$1004,"&gt;="&amp;$C$4,'Post Tracker'!$B$5:$B$1004,"&lt;="&amp;$F$4))</f>
        <v>13</v>
      </c>
      <c r="D58" s="51" t="n">
        <f aca="false">IF($B58="","",SUMIFS('Post Tracker'!$AC$5:$AC$1004,'Post Tracker'!$H$5:$H$1004,$B58,'Post Tracker'!$B$5:$B$1004,"&gt;="&amp;$C$4,'Post Tracker'!$B$5:$B$1004,"&lt;="&amp;$F$4))</f>
        <v>82</v>
      </c>
      <c r="E58" s="51" t="n">
        <f aca="false">IF($B58="","",SUMIFS('Post Tracker'!$AO$5:$AO$1004,'Post Tracker'!$H$5:$H$1004,$B58,'Post Tracker'!$B$5:$B$1004,"&gt;="&amp;$C$4,'Post Tracker'!$B$5:$B$1004,"&lt;="&amp;$F$4))</f>
        <v>82</v>
      </c>
      <c r="F58" s="51" t="n">
        <f aca="false">IF($B58="","",SUMIFS('Post Tracker'!$AR$5:$AR$1004,'Post Tracker'!$H$5:$H$1004,$B58,'Post Tracker'!$B$5:$B$1004,"&gt;="&amp;$C$4,'Post Tracker'!$B$5:$B$1004,"&lt;="&amp;$F$4))</f>
        <v>55</v>
      </c>
      <c r="G58" s="52" t="n">
        <f aca="false">IF($B58="","",IFERROR(SUMIFS('Post Tracker'!$BP$5:$BP$1004,'Post Tracker'!$H$5:$H$1004,$B58,'Post Tracker'!$B$5:$B$1004,"&gt;="&amp;$C$4,'Post Tracker'!$B$5:$B$1004,"&lt;="&amp;$F$4)/E58,""))</f>
        <v>0.024390243902439</v>
      </c>
      <c r="H58" s="52" t="n">
        <f aca="false">IF($B58="","",IFERROR(F58/SUMIFS('Post Tracker'!$BQ$5:$BQ$1004,'Post Tracker'!$H$5:$H$1004,$B58,'Post Tracker'!$B$5:$B$1004,"&gt;="&amp;$C$4,'Post Tracker'!$B$5:$B$1004,"&lt;="&amp;$F$4),""))</f>
        <v>0.00500546050236622</v>
      </c>
      <c r="I58" s="51" t="n">
        <f aca="false">IF($B58="","",SUMIFS('Post Tracker'!$AJ$5:$AJ$1004,'Post Tracker'!$H$5:$H$1004,$B58,'Post Tracker'!$B$5:$B$1004,"&gt;="&amp;$C$4,'Post Tracker'!$B$5:$B$1004,"&lt;="&amp;$F$4))</f>
        <v>0</v>
      </c>
      <c r="J58" s="52" t="n">
        <f aca="false">IF($B58="","",IFERROR(I58/D58,""))</f>
        <v>0</v>
      </c>
      <c r="K58" s="51" t="n">
        <f aca="false">IF($B58="","",SUMIFS('Post Tracker'!$AZ$5:$AZ$1004,'Post Tracker'!$H$5:$H$1004,$B58,'Post Tracker'!$B$5:$B$1004,"&gt;="&amp;$C$4,'Post Tracker'!$B$5:$B$1004,"&lt;="&amp;$F$4))</f>
        <v>0</v>
      </c>
      <c r="L58" s="51" t="n">
        <f aca="false">IF($B58="","",SUMIFS('Post Tracker'!$BB$5:$BB$1004,'Post Tracker'!$H$5:$H$1004,$B58,'Post Tracker'!$B$5:$B$1004,"&gt;="&amp;$C$4,'Post Tracker'!$B$5:$B$1004,"&lt;="&amp;$F$4))</f>
        <v>0</v>
      </c>
      <c r="M58" s="51" t="n">
        <f aca="false">IF($B58="","",SUMIFS('Post Tracker'!$BD$5:$BD$1004,'Post Tracker'!$H$5:$H$1004,$B58,'Post Tracker'!$B$5:$B$1004,"&gt;="&amp;$C$4,'Post Tracker'!$B$5:$B$1004,"&lt;="&amp;$F$4))</f>
        <v>0</v>
      </c>
      <c r="N58" s="51" t="n">
        <f aca="false">IF($B58="","",SUMIFS('Post Tracker'!$BF$5:$BF$1004,'Post Tracker'!$H$5:$H$1004,$B58,'Post Tracker'!$B$5:$B$1004,"&gt;="&amp;$C$4,'Post Tracker'!$B$5:$B$1004,"&lt;="&amp;$F$4))</f>
        <v>0</v>
      </c>
      <c r="O58" s="52" t="str">
        <f aca="false">IF($B58="","",IFERROR(M58/K58,""))</f>
        <v/>
      </c>
      <c r="P58" s="62" t="n">
        <f aca="false">IF($B58="","",SUMIFS('Post Tracker'!$BH$5:$BH$1004,'Post Tracker'!$H$5:$H$1004,$B58,'Post Tracker'!$B$5:$B$1004,"&gt;="&amp;$C$4,'Post Tracker'!$B$5:$B$1004,"&lt;="&amp;$F$4))</f>
        <v>0</v>
      </c>
    </row>
    <row r="59" customFormat="false" ht="15" hidden="false" customHeight="false" outlineLevel="0" collapsed="false">
      <c r="B59" s="50" t="str">
        <f aca="false">IF(Settings!$G$6="","",Settings!$G$6)</f>
        <v>Founder / Exec Profile</v>
      </c>
      <c r="C59" s="51" t="n">
        <f aca="false">IF($B59="","",COUNTIFS('Post Tracker'!$H$5:$H$1004,$B59,'Post Tracker'!$B$5:$B$1004,"&gt;="&amp;$C$4,'Post Tracker'!$B$5:$B$1004,"&lt;="&amp;$F$4))</f>
        <v>0</v>
      </c>
      <c r="D59" s="51" t="n">
        <f aca="false">IF($B59="","",SUMIFS('Post Tracker'!$AC$5:$AC$1004,'Post Tracker'!$H$5:$H$1004,$B59,'Post Tracker'!$B$5:$B$1004,"&gt;="&amp;$C$4,'Post Tracker'!$B$5:$B$1004,"&lt;="&amp;$F$4))</f>
        <v>0</v>
      </c>
      <c r="E59" s="51" t="n">
        <f aca="false">IF($B59="","",SUMIFS('Post Tracker'!$AO$5:$AO$1004,'Post Tracker'!$H$5:$H$1004,$B59,'Post Tracker'!$B$5:$B$1004,"&gt;="&amp;$C$4,'Post Tracker'!$B$5:$B$1004,"&lt;="&amp;$F$4))</f>
        <v>0</v>
      </c>
      <c r="F59" s="51" t="n">
        <f aca="false">IF($B59="","",SUMIFS('Post Tracker'!$AR$5:$AR$1004,'Post Tracker'!$H$5:$H$1004,$B59,'Post Tracker'!$B$5:$B$1004,"&gt;="&amp;$C$4,'Post Tracker'!$B$5:$B$1004,"&lt;="&amp;$F$4))</f>
        <v>0</v>
      </c>
      <c r="G59" s="52" t="str">
        <f aca="false">IF($B59="","",IFERROR(SUMIFS('Post Tracker'!$BP$5:$BP$1004,'Post Tracker'!$H$5:$H$1004,$B59,'Post Tracker'!$B$5:$B$1004,"&gt;="&amp;$C$4,'Post Tracker'!$B$5:$B$1004,"&lt;="&amp;$F$4)/E59,""))</f>
        <v/>
      </c>
      <c r="H59" s="52" t="str">
        <f aca="false">IF($B59="","",IFERROR(F59/SUMIFS('Post Tracker'!$BQ$5:$BQ$1004,'Post Tracker'!$H$5:$H$1004,$B59,'Post Tracker'!$B$5:$B$1004,"&gt;="&amp;$C$4,'Post Tracker'!$B$5:$B$1004,"&lt;="&amp;$F$4),""))</f>
        <v/>
      </c>
      <c r="I59" s="51" t="n">
        <f aca="false">IF($B59="","",SUMIFS('Post Tracker'!$AJ$5:$AJ$1004,'Post Tracker'!$H$5:$H$1004,$B59,'Post Tracker'!$B$5:$B$1004,"&gt;="&amp;$C$4,'Post Tracker'!$B$5:$B$1004,"&lt;="&amp;$F$4))</f>
        <v>0</v>
      </c>
      <c r="J59" s="52" t="str">
        <f aca="false">IF($B59="","",IFERROR(I59/D59,""))</f>
        <v/>
      </c>
      <c r="K59" s="51" t="n">
        <f aca="false">IF($B59="","",SUMIFS('Post Tracker'!$AZ$5:$AZ$1004,'Post Tracker'!$H$5:$H$1004,$B59,'Post Tracker'!$B$5:$B$1004,"&gt;="&amp;$C$4,'Post Tracker'!$B$5:$B$1004,"&lt;="&amp;$F$4))</f>
        <v>0</v>
      </c>
      <c r="L59" s="51" t="n">
        <f aca="false">IF($B59="","",SUMIFS('Post Tracker'!$BB$5:$BB$1004,'Post Tracker'!$H$5:$H$1004,$B59,'Post Tracker'!$B$5:$B$1004,"&gt;="&amp;$C$4,'Post Tracker'!$B$5:$B$1004,"&lt;="&amp;$F$4))</f>
        <v>0</v>
      </c>
      <c r="M59" s="51" t="n">
        <f aca="false">IF($B59="","",SUMIFS('Post Tracker'!$BD$5:$BD$1004,'Post Tracker'!$H$5:$H$1004,$B59,'Post Tracker'!$B$5:$B$1004,"&gt;="&amp;$C$4,'Post Tracker'!$B$5:$B$1004,"&lt;="&amp;$F$4))</f>
        <v>0</v>
      </c>
      <c r="N59" s="51" t="n">
        <f aca="false">IF($B59="","",SUMIFS('Post Tracker'!$BF$5:$BF$1004,'Post Tracker'!$H$5:$H$1004,$B59,'Post Tracker'!$B$5:$B$1004,"&gt;="&amp;$C$4,'Post Tracker'!$B$5:$B$1004,"&lt;="&amp;$F$4))</f>
        <v>0</v>
      </c>
      <c r="O59" s="52" t="str">
        <f aca="false">IF($B59="","",IFERROR(M59/K59,""))</f>
        <v/>
      </c>
      <c r="P59" s="62" t="n">
        <f aca="false">IF($B59="","",SUMIFS('Post Tracker'!$BH$5:$BH$1004,'Post Tracker'!$H$5:$H$1004,$B59,'Post Tracker'!$B$5:$B$1004,"&gt;="&amp;$C$4,'Post Tracker'!$B$5:$B$1004,"&lt;="&amp;$F$4))</f>
        <v>0</v>
      </c>
    </row>
    <row r="60" customFormat="false" ht="15" hidden="false" customHeight="false" outlineLevel="0" collapsed="false">
      <c r="B60" s="50" t="str">
        <f aca="false">IF(Settings!$G$7="","",Settings!$G$7)</f>
        <v>Employee Advocate</v>
      </c>
      <c r="C60" s="51" t="n">
        <f aca="false">IF($B60="","",COUNTIFS('Post Tracker'!$H$5:$H$1004,$B60,'Post Tracker'!$B$5:$B$1004,"&gt;="&amp;$C$4,'Post Tracker'!$B$5:$B$1004,"&lt;="&amp;$F$4))</f>
        <v>0</v>
      </c>
      <c r="D60" s="51" t="n">
        <f aca="false">IF($B60="","",SUMIFS('Post Tracker'!$AC$5:$AC$1004,'Post Tracker'!$H$5:$H$1004,$B60,'Post Tracker'!$B$5:$B$1004,"&gt;="&amp;$C$4,'Post Tracker'!$B$5:$B$1004,"&lt;="&amp;$F$4))</f>
        <v>0</v>
      </c>
      <c r="E60" s="51" t="n">
        <f aca="false">IF($B60="","",SUMIFS('Post Tracker'!$AO$5:$AO$1004,'Post Tracker'!$H$5:$H$1004,$B60,'Post Tracker'!$B$5:$B$1004,"&gt;="&amp;$C$4,'Post Tracker'!$B$5:$B$1004,"&lt;="&amp;$F$4))</f>
        <v>0</v>
      </c>
      <c r="F60" s="51" t="n">
        <f aca="false">IF($B60="","",SUMIFS('Post Tracker'!$AR$5:$AR$1004,'Post Tracker'!$H$5:$H$1004,$B60,'Post Tracker'!$B$5:$B$1004,"&gt;="&amp;$C$4,'Post Tracker'!$B$5:$B$1004,"&lt;="&amp;$F$4))</f>
        <v>0</v>
      </c>
      <c r="G60" s="52" t="str">
        <f aca="false">IF($B60="","",IFERROR(SUMIFS('Post Tracker'!$BP$5:$BP$1004,'Post Tracker'!$H$5:$H$1004,$B60,'Post Tracker'!$B$5:$B$1004,"&gt;="&amp;$C$4,'Post Tracker'!$B$5:$B$1004,"&lt;="&amp;$F$4)/E60,""))</f>
        <v/>
      </c>
      <c r="H60" s="52" t="str">
        <f aca="false">IF($B60="","",IFERROR(F60/SUMIFS('Post Tracker'!$BQ$5:$BQ$1004,'Post Tracker'!$H$5:$H$1004,$B60,'Post Tracker'!$B$5:$B$1004,"&gt;="&amp;$C$4,'Post Tracker'!$B$5:$B$1004,"&lt;="&amp;$F$4),""))</f>
        <v/>
      </c>
      <c r="I60" s="51" t="n">
        <f aca="false">IF($B60="","",SUMIFS('Post Tracker'!$AJ$5:$AJ$1004,'Post Tracker'!$H$5:$H$1004,$B60,'Post Tracker'!$B$5:$B$1004,"&gt;="&amp;$C$4,'Post Tracker'!$B$5:$B$1004,"&lt;="&amp;$F$4))</f>
        <v>0</v>
      </c>
      <c r="J60" s="52" t="str">
        <f aca="false">IF($B60="","",IFERROR(I60/D60,""))</f>
        <v/>
      </c>
      <c r="K60" s="51" t="n">
        <f aca="false">IF($B60="","",SUMIFS('Post Tracker'!$AZ$5:$AZ$1004,'Post Tracker'!$H$5:$H$1004,$B60,'Post Tracker'!$B$5:$B$1004,"&gt;="&amp;$C$4,'Post Tracker'!$B$5:$B$1004,"&lt;="&amp;$F$4))</f>
        <v>0</v>
      </c>
      <c r="L60" s="51" t="n">
        <f aca="false">IF($B60="","",SUMIFS('Post Tracker'!$BB$5:$BB$1004,'Post Tracker'!$H$5:$H$1004,$B60,'Post Tracker'!$B$5:$B$1004,"&gt;="&amp;$C$4,'Post Tracker'!$B$5:$B$1004,"&lt;="&amp;$F$4))</f>
        <v>0</v>
      </c>
      <c r="M60" s="51" t="n">
        <f aca="false">IF($B60="","",SUMIFS('Post Tracker'!$BD$5:$BD$1004,'Post Tracker'!$H$5:$H$1004,$B60,'Post Tracker'!$B$5:$B$1004,"&gt;="&amp;$C$4,'Post Tracker'!$B$5:$B$1004,"&lt;="&amp;$F$4))</f>
        <v>0</v>
      </c>
      <c r="N60" s="51" t="n">
        <f aca="false">IF($B60="","",SUMIFS('Post Tracker'!$BF$5:$BF$1004,'Post Tracker'!$H$5:$H$1004,$B60,'Post Tracker'!$B$5:$B$1004,"&gt;="&amp;$C$4,'Post Tracker'!$B$5:$B$1004,"&lt;="&amp;$F$4))</f>
        <v>0</v>
      </c>
      <c r="O60" s="52" t="str">
        <f aca="false">IF($B60="","",IFERROR(M60/K60,""))</f>
        <v/>
      </c>
      <c r="P60" s="62" t="n">
        <f aca="false">IF($B60="","",SUMIFS('Post Tracker'!$BH$5:$BH$1004,'Post Tracker'!$H$5:$H$1004,$B60,'Post Tracker'!$B$5:$B$1004,"&gt;="&amp;$C$4,'Post Tracker'!$B$5:$B$1004,"&lt;="&amp;$F$4))</f>
        <v>0</v>
      </c>
    </row>
    <row r="61" customFormat="false" ht="15" hidden="false" customHeight="false" outlineLevel="0" collapsed="false">
      <c r="B61" s="50" t="str">
        <f aca="false">IF(Settings!$G$8="","",Settings!$G$8)</f>
        <v/>
      </c>
      <c r="C61" s="51" t="str">
        <f aca="false">IF($B61="","",COUNTIFS('Post Tracker'!$H$5:$H$1004,$B61,'Post Tracker'!$B$5:$B$1004,"&gt;="&amp;$C$4,'Post Tracker'!$B$5:$B$1004,"&lt;="&amp;$F$4))</f>
        <v/>
      </c>
      <c r="D61" s="51" t="str">
        <f aca="false">IF($B61="","",SUMIFS('Post Tracker'!$AC$5:$AC$1004,'Post Tracker'!$H$5:$H$1004,$B61,'Post Tracker'!$B$5:$B$1004,"&gt;="&amp;$C$4,'Post Tracker'!$B$5:$B$1004,"&lt;="&amp;$F$4))</f>
        <v/>
      </c>
      <c r="E61" s="51" t="str">
        <f aca="false">IF($B61="","",SUMIFS('Post Tracker'!$AO$5:$AO$1004,'Post Tracker'!$H$5:$H$1004,$B61,'Post Tracker'!$B$5:$B$1004,"&gt;="&amp;$C$4,'Post Tracker'!$B$5:$B$1004,"&lt;="&amp;$F$4))</f>
        <v/>
      </c>
      <c r="F61" s="51" t="str">
        <f aca="false">IF($B61="","",SUMIFS('Post Tracker'!$AR$5:$AR$1004,'Post Tracker'!$H$5:$H$1004,$B61,'Post Tracker'!$B$5:$B$1004,"&gt;="&amp;$C$4,'Post Tracker'!$B$5:$B$1004,"&lt;="&amp;$F$4))</f>
        <v/>
      </c>
      <c r="G61" s="52" t="str">
        <f aca="false">IF($B61="","",IFERROR(SUMIFS('Post Tracker'!$BP$5:$BP$1004,'Post Tracker'!$H$5:$H$1004,$B61,'Post Tracker'!$B$5:$B$1004,"&gt;="&amp;$C$4,'Post Tracker'!$B$5:$B$1004,"&lt;="&amp;$F$4)/E61,""))</f>
        <v/>
      </c>
      <c r="H61" s="52" t="str">
        <f aca="false">IF($B61="","",IFERROR(F61/SUMIFS('Post Tracker'!$BQ$5:$BQ$1004,'Post Tracker'!$H$5:$H$1004,$B61,'Post Tracker'!$B$5:$B$1004,"&gt;="&amp;$C$4,'Post Tracker'!$B$5:$B$1004,"&lt;="&amp;$F$4),""))</f>
        <v/>
      </c>
      <c r="I61" s="51" t="str">
        <f aca="false">IF($B61="","",SUMIFS('Post Tracker'!$AJ$5:$AJ$1004,'Post Tracker'!$H$5:$H$1004,$B61,'Post Tracker'!$B$5:$B$1004,"&gt;="&amp;$C$4,'Post Tracker'!$B$5:$B$1004,"&lt;="&amp;$F$4))</f>
        <v/>
      </c>
      <c r="J61" s="52" t="str">
        <f aca="false">IF($B61="","",IFERROR(I61/D61,""))</f>
        <v/>
      </c>
      <c r="K61" s="51" t="str">
        <f aca="false">IF($B61="","",SUMIFS('Post Tracker'!$AZ$5:$AZ$1004,'Post Tracker'!$H$5:$H$1004,$B61,'Post Tracker'!$B$5:$B$1004,"&gt;="&amp;$C$4,'Post Tracker'!$B$5:$B$1004,"&lt;="&amp;$F$4))</f>
        <v/>
      </c>
      <c r="L61" s="51" t="str">
        <f aca="false">IF($B61="","",SUMIFS('Post Tracker'!$BB$5:$BB$1004,'Post Tracker'!$H$5:$H$1004,$B61,'Post Tracker'!$B$5:$B$1004,"&gt;="&amp;$C$4,'Post Tracker'!$B$5:$B$1004,"&lt;="&amp;$F$4))</f>
        <v/>
      </c>
      <c r="M61" s="51" t="str">
        <f aca="false">IF($B61="","",SUMIFS('Post Tracker'!$BD$5:$BD$1004,'Post Tracker'!$H$5:$H$1004,$B61,'Post Tracker'!$B$5:$B$1004,"&gt;="&amp;$C$4,'Post Tracker'!$B$5:$B$1004,"&lt;="&amp;$F$4))</f>
        <v/>
      </c>
      <c r="N61" s="51" t="str">
        <f aca="false">IF($B61="","",SUMIFS('Post Tracker'!$BF$5:$BF$1004,'Post Tracker'!$H$5:$H$1004,$B61,'Post Tracker'!$B$5:$B$1004,"&gt;="&amp;$C$4,'Post Tracker'!$B$5:$B$1004,"&lt;="&amp;$F$4))</f>
        <v/>
      </c>
      <c r="O61" s="52" t="str">
        <f aca="false">IF($B61="","",IFERROR(M61/K61,""))</f>
        <v/>
      </c>
      <c r="P61" s="62" t="str">
        <f aca="false">IF($B61="","",SUMIFS('Post Tracker'!$BH$5:$BH$1004,'Post Tracker'!$H$5:$H$1004,$B61,'Post Tracker'!$B$5:$B$1004,"&gt;="&amp;$C$4,'Post Tracker'!$B$5:$B$1004,"&lt;="&amp;$F$4))</f>
        <v/>
      </c>
    </row>
    <row r="62" customFormat="false" ht="15" hidden="false" customHeight="false" outlineLevel="0" collapsed="false">
      <c r="B62" s="50" t="str">
        <f aca="false">IF(Settings!$G$9="","",Settings!$G$9)</f>
        <v/>
      </c>
      <c r="C62" s="51" t="str">
        <f aca="false">IF($B62="","",COUNTIFS('Post Tracker'!$H$5:$H$1004,$B62,'Post Tracker'!$B$5:$B$1004,"&gt;="&amp;$C$4,'Post Tracker'!$B$5:$B$1004,"&lt;="&amp;$F$4))</f>
        <v/>
      </c>
      <c r="D62" s="51" t="str">
        <f aca="false">IF($B62="","",SUMIFS('Post Tracker'!$AC$5:$AC$1004,'Post Tracker'!$H$5:$H$1004,$B62,'Post Tracker'!$B$5:$B$1004,"&gt;="&amp;$C$4,'Post Tracker'!$B$5:$B$1004,"&lt;="&amp;$F$4))</f>
        <v/>
      </c>
      <c r="E62" s="51" t="str">
        <f aca="false">IF($B62="","",SUMIFS('Post Tracker'!$AO$5:$AO$1004,'Post Tracker'!$H$5:$H$1004,$B62,'Post Tracker'!$B$5:$B$1004,"&gt;="&amp;$C$4,'Post Tracker'!$B$5:$B$1004,"&lt;="&amp;$F$4))</f>
        <v/>
      </c>
      <c r="F62" s="51" t="str">
        <f aca="false">IF($B62="","",SUMIFS('Post Tracker'!$AR$5:$AR$1004,'Post Tracker'!$H$5:$H$1004,$B62,'Post Tracker'!$B$5:$B$1004,"&gt;="&amp;$C$4,'Post Tracker'!$B$5:$B$1004,"&lt;="&amp;$F$4))</f>
        <v/>
      </c>
      <c r="G62" s="52" t="str">
        <f aca="false">IF($B62="","",IFERROR(SUMIFS('Post Tracker'!$BP$5:$BP$1004,'Post Tracker'!$H$5:$H$1004,$B62,'Post Tracker'!$B$5:$B$1004,"&gt;="&amp;$C$4,'Post Tracker'!$B$5:$B$1004,"&lt;="&amp;$F$4)/E62,""))</f>
        <v/>
      </c>
      <c r="H62" s="52" t="str">
        <f aca="false">IF($B62="","",IFERROR(F62/SUMIFS('Post Tracker'!$BQ$5:$BQ$1004,'Post Tracker'!$H$5:$H$1004,$B62,'Post Tracker'!$B$5:$B$1004,"&gt;="&amp;$C$4,'Post Tracker'!$B$5:$B$1004,"&lt;="&amp;$F$4),""))</f>
        <v/>
      </c>
      <c r="I62" s="51" t="str">
        <f aca="false">IF($B62="","",SUMIFS('Post Tracker'!$AJ$5:$AJ$1004,'Post Tracker'!$H$5:$H$1004,$B62,'Post Tracker'!$B$5:$B$1004,"&gt;="&amp;$C$4,'Post Tracker'!$B$5:$B$1004,"&lt;="&amp;$F$4))</f>
        <v/>
      </c>
      <c r="J62" s="52" t="str">
        <f aca="false">IF($B62="","",IFERROR(I62/D62,""))</f>
        <v/>
      </c>
      <c r="K62" s="51" t="str">
        <f aca="false">IF($B62="","",SUMIFS('Post Tracker'!$AZ$5:$AZ$1004,'Post Tracker'!$H$5:$H$1004,$B62,'Post Tracker'!$B$5:$B$1004,"&gt;="&amp;$C$4,'Post Tracker'!$B$5:$B$1004,"&lt;="&amp;$F$4))</f>
        <v/>
      </c>
      <c r="L62" s="51" t="str">
        <f aca="false">IF($B62="","",SUMIFS('Post Tracker'!$BB$5:$BB$1004,'Post Tracker'!$H$5:$H$1004,$B62,'Post Tracker'!$B$5:$B$1004,"&gt;="&amp;$C$4,'Post Tracker'!$B$5:$B$1004,"&lt;="&amp;$F$4))</f>
        <v/>
      </c>
      <c r="M62" s="51" t="str">
        <f aca="false">IF($B62="","",SUMIFS('Post Tracker'!$BD$5:$BD$1004,'Post Tracker'!$H$5:$H$1004,$B62,'Post Tracker'!$B$5:$B$1004,"&gt;="&amp;$C$4,'Post Tracker'!$B$5:$B$1004,"&lt;="&amp;$F$4))</f>
        <v/>
      </c>
      <c r="N62" s="51" t="str">
        <f aca="false">IF($B62="","",SUMIFS('Post Tracker'!$BF$5:$BF$1004,'Post Tracker'!$H$5:$H$1004,$B62,'Post Tracker'!$B$5:$B$1004,"&gt;="&amp;$C$4,'Post Tracker'!$B$5:$B$1004,"&lt;="&amp;$F$4))</f>
        <v/>
      </c>
      <c r="O62" s="52" t="str">
        <f aca="false">IF($B62="","",IFERROR(M62/K62,""))</f>
        <v/>
      </c>
      <c r="P62" s="62" t="str">
        <f aca="false">IF($B62="","",SUMIFS('Post Tracker'!$BH$5:$BH$1004,'Post Tracker'!$H$5:$H$1004,$B62,'Post Tracker'!$B$5:$B$1004,"&gt;="&amp;$C$4,'Post Tracker'!$B$5:$B$1004,"&lt;="&amp;$F$4))</f>
        <v/>
      </c>
    </row>
    <row r="64" customFormat="false" ht="15" hidden="false" customHeight="false" outlineLevel="0" collapsed="false">
      <c r="B64" s="3" t="s">
        <v>259</v>
      </c>
    </row>
    <row r="65" customFormat="false" ht="30" hidden="false" customHeight="true" outlineLevel="0" collapsed="false">
      <c r="B65" s="60"/>
      <c r="C65" s="61" t="s">
        <v>253</v>
      </c>
      <c r="D65" s="61" t="s">
        <v>222</v>
      </c>
      <c r="E65" s="61" t="s">
        <v>254</v>
      </c>
      <c r="F65" s="61" t="s">
        <v>223</v>
      </c>
      <c r="G65" s="61" t="s">
        <v>250</v>
      </c>
      <c r="H65" s="61" t="s">
        <v>249</v>
      </c>
      <c r="I65" s="61" t="s">
        <v>106</v>
      </c>
      <c r="J65" s="61" t="s">
        <v>255</v>
      </c>
      <c r="K65" s="61" t="s">
        <v>256</v>
      </c>
      <c r="L65" s="61" t="s">
        <v>124</v>
      </c>
      <c r="M65" s="61" t="s">
        <v>126</v>
      </c>
      <c r="N65" s="61" t="s">
        <v>128</v>
      </c>
      <c r="O65" s="61" t="s">
        <v>134</v>
      </c>
      <c r="P65" s="61" t="s">
        <v>257</v>
      </c>
    </row>
    <row r="66" customFormat="false" ht="15" hidden="false" customHeight="false" outlineLevel="0" collapsed="false">
      <c r="B66" s="50" t="str">
        <f aca="false">IF(Settings!$I$5="","",Settings!$I$5)</f>
        <v>Case Study / Customer Result</v>
      </c>
      <c r="C66" s="51" t="n">
        <f aca="false">IF($B66="","",COUNTIFS('Post Tracker'!$J$5:$J$1004,$B66,'Post Tracker'!$B$5:$B$1004,"&gt;="&amp;$C$4,'Post Tracker'!$B$5:$B$1004,"&lt;="&amp;$F$4))</f>
        <v>0</v>
      </c>
      <c r="D66" s="51" t="n">
        <f aca="false">IF($B66="","",SUMIFS('Post Tracker'!$AC$5:$AC$1004,'Post Tracker'!$J$5:$J$1004,$B66,'Post Tracker'!$B$5:$B$1004,"&gt;="&amp;$C$4,'Post Tracker'!$B$5:$B$1004,"&lt;="&amp;$F$4))</f>
        <v>0</v>
      </c>
      <c r="E66" s="51" t="n">
        <f aca="false">IF($B66="","",SUMIFS('Post Tracker'!$AO$5:$AO$1004,'Post Tracker'!$J$5:$J$1004,$B66,'Post Tracker'!$B$5:$B$1004,"&gt;="&amp;$C$4,'Post Tracker'!$B$5:$B$1004,"&lt;="&amp;$F$4))</f>
        <v>0</v>
      </c>
      <c r="F66" s="51" t="n">
        <f aca="false">IF($B66="","",SUMIFS('Post Tracker'!$AR$5:$AR$1004,'Post Tracker'!$J$5:$J$1004,$B66,'Post Tracker'!$B$5:$B$1004,"&gt;="&amp;$C$4,'Post Tracker'!$B$5:$B$1004,"&lt;="&amp;$F$4))</f>
        <v>0</v>
      </c>
      <c r="G66" s="52" t="str">
        <f aca="false">IF($B66="","",IFERROR(SUMIFS('Post Tracker'!$BP$5:$BP$1004,'Post Tracker'!$J$5:$J$1004,$B66,'Post Tracker'!$B$5:$B$1004,"&gt;="&amp;$C$4,'Post Tracker'!$B$5:$B$1004,"&lt;="&amp;$F$4)/E66,""))</f>
        <v/>
      </c>
      <c r="H66" s="52" t="str">
        <f aca="false">IF($B66="","",IFERROR(F66/SUMIFS('Post Tracker'!$BQ$5:$BQ$1004,'Post Tracker'!$J$5:$J$1004,$B66,'Post Tracker'!$B$5:$B$1004,"&gt;="&amp;$C$4,'Post Tracker'!$B$5:$B$1004,"&lt;="&amp;$F$4),""))</f>
        <v/>
      </c>
      <c r="I66" s="51" t="n">
        <f aca="false">IF($B66="","",SUMIFS('Post Tracker'!$AJ$5:$AJ$1004,'Post Tracker'!$J$5:$J$1004,$B66,'Post Tracker'!$B$5:$B$1004,"&gt;="&amp;$C$4,'Post Tracker'!$B$5:$B$1004,"&lt;="&amp;$F$4))</f>
        <v>0</v>
      </c>
      <c r="J66" s="52" t="str">
        <f aca="false">IF($B66="","",IFERROR(I66/D66,""))</f>
        <v/>
      </c>
      <c r="K66" s="51" t="n">
        <f aca="false">IF($B66="","",SUMIFS('Post Tracker'!$AZ$5:$AZ$1004,'Post Tracker'!$J$5:$J$1004,$B66,'Post Tracker'!$B$5:$B$1004,"&gt;="&amp;$C$4,'Post Tracker'!$B$5:$B$1004,"&lt;="&amp;$F$4))</f>
        <v>0</v>
      </c>
      <c r="L66" s="51" t="n">
        <f aca="false">IF($B66="","",SUMIFS('Post Tracker'!$BB$5:$BB$1004,'Post Tracker'!$J$5:$J$1004,$B66,'Post Tracker'!$B$5:$B$1004,"&gt;="&amp;$C$4,'Post Tracker'!$B$5:$B$1004,"&lt;="&amp;$F$4))</f>
        <v>0</v>
      </c>
      <c r="M66" s="51" t="n">
        <f aca="false">IF($B66="","",SUMIFS('Post Tracker'!$BD$5:$BD$1004,'Post Tracker'!$J$5:$J$1004,$B66,'Post Tracker'!$B$5:$B$1004,"&gt;="&amp;$C$4,'Post Tracker'!$B$5:$B$1004,"&lt;="&amp;$F$4))</f>
        <v>0</v>
      </c>
      <c r="N66" s="51" t="n">
        <f aca="false">IF($B66="","",SUMIFS('Post Tracker'!$BF$5:$BF$1004,'Post Tracker'!$J$5:$J$1004,$B66,'Post Tracker'!$B$5:$B$1004,"&gt;="&amp;$C$4,'Post Tracker'!$B$5:$B$1004,"&lt;="&amp;$F$4))</f>
        <v>0</v>
      </c>
      <c r="O66" s="52" t="str">
        <f aca="false">IF($B66="","",IFERROR(M66/K66,""))</f>
        <v/>
      </c>
      <c r="P66" s="62" t="n">
        <f aca="false">IF($B66="","",SUMIFS('Post Tracker'!$BH$5:$BH$1004,'Post Tracker'!$J$5:$J$1004,$B66,'Post Tracker'!$B$5:$B$1004,"&gt;="&amp;$C$4,'Post Tracker'!$B$5:$B$1004,"&lt;="&amp;$F$4))</f>
        <v>0</v>
      </c>
    </row>
    <row r="67" customFormat="false" ht="15" hidden="false" customHeight="false" outlineLevel="0" collapsed="false">
      <c r="B67" s="50" t="str">
        <f aca="false">IF(Settings!$I$6="","",Settings!$I$6)</f>
        <v>Product Demo / Feature</v>
      </c>
      <c r="C67" s="51" t="n">
        <f aca="false">IF($B67="","",COUNTIFS('Post Tracker'!$J$5:$J$1004,$B67,'Post Tracker'!$B$5:$B$1004,"&gt;="&amp;$C$4,'Post Tracker'!$B$5:$B$1004,"&lt;="&amp;$F$4))</f>
        <v>3</v>
      </c>
      <c r="D67" s="51" t="n">
        <f aca="false">IF($B67="","",SUMIFS('Post Tracker'!$AC$5:$AC$1004,'Post Tracker'!$J$5:$J$1004,$B67,'Post Tracker'!$B$5:$B$1004,"&gt;="&amp;$C$4,'Post Tracker'!$B$5:$B$1004,"&lt;="&amp;$F$4))</f>
        <v>27</v>
      </c>
      <c r="E67" s="51" t="n">
        <f aca="false">IF($B67="","",SUMIFS('Post Tracker'!$AO$5:$AO$1004,'Post Tracker'!$J$5:$J$1004,$B67,'Post Tracker'!$B$5:$B$1004,"&gt;="&amp;$C$4,'Post Tracker'!$B$5:$B$1004,"&lt;="&amp;$F$4))</f>
        <v>27</v>
      </c>
      <c r="F67" s="51" t="n">
        <f aca="false">IF($B67="","",SUMIFS('Post Tracker'!$AR$5:$AR$1004,'Post Tracker'!$J$5:$J$1004,$B67,'Post Tracker'!$B$5:$B$1004,"&gt;="&amp;$C$4,'Post Tracker'!$B$5:$B$1004,"&lt;="&amp;$F$4))</f>
        <v>7</v>
      </c>
      <c r="G67" s="52" t="n">
        <f aca="false">IF($B67="","",IFERROR(SUMIFS('Post Tracker'!$BP$5:$BP$1004,'Post Tracker'!$J$5:$J$1004,$B67,'Post Tracker'!$B$5:$B$1004,"&gt;="&amp;$C$4,'Post Tracker'!$B$5:$B$1004,"&lt;="&amp;$F$4)/E67,""))</f>
        <v>0</v>
      </c>
      <c r="H67" s="52" t="n">
        <f aca="false">IF($B67="","",IFERROR(F67/SUMIFS('Post Tracker'!$BQ$5:$BQ$1004,'Post Tracker'!$J$5:$J$1004,$B67,'Post Tracker'!$B$5:$B$1004,"&gt;="&amp;$C$4,'Post Tracker'!$B$5:$B$1004,"&lt;="&amp;$F$4),""))</f>
        <v>0.0654205607476635</v>
      </c>
      <c r="I67" s="51" t="n">
        <f aca="false">IF($B67="","",SUMIFS('Post Tracker'!$AJ$5:$AJ$1004,'Post Tracker'!$J$5:$J$1004,$B67,'Post Tracker'!$B$5:$B$1004,"&gt;="&amp;$C$4,'Post Tracker'!$B$5:$B$1004,"&lt;="&amp;$F$4))</f>
        <v>0</v>
      </c>
      <c r="J67" s="52" t="n">
        <f aca="false">IF($B67="","",IFERROR(I67/D67,""))</f>
        <v>0</v>
      </c>
      <c r="K67" s="51" t="n">
        <f aca="false">IF($B67="","",SUMIFS('Post Tracker'!$AZ$5:$AZ$1004,'Post Tracker'!$J$5:$J$1004,$B67,'Post Tracker'!$B$5:$B$1004,"&gt;="&amp;$C$4,'Post Tracker'!$B$5:$B$1004,"&lt;="&amp;$F$4))</f>
        <v>0</v>
      </c>
      <c r="L67" s="51" t="n">
        <f aca="false">IF($B67="","",SUMIFS('Post Tracker'!$BB$5:$BB$1004,'Post Tracker'!$J$5:$J$1004,$B67,'Post Tracker'!$B$5:$B$1004,"&gt;="&amp;$C$4,'Post Tracker'!$B$5:$B$1004,"&lt;="&amp;$F$4))</f>
        <v>0</v>
      </c>
      <c r="M67" s="51" t="n">
        <f aca="false">IF($B67="","",SUMIFS('Post Tracker'!$BD$5:$BD$1004,'Post Tracker'!$J$5:$J$1004,$B67,'Post Tracker'!$B$5:$B$1004,"&gt;="&amp;$C$4,'Post Tracker'!$B$5:$B$1004,"&lt;="&amp;$F$4))</f>
        <v>0</v>
      </c>
      <c r="N67" s="51" t="n">
        <f aca="false">IF($B67="","",SUMIFS('Post Tracker'!$BF$5:$BF$1004,'Post Tracker'!$J$5:$J$1004,$B67,'Post Tracker'!$B$5:$B$1004,"&gt;="&amp;$C$4,'Post Tracker'!$B$5:$B$1004,"&lt;="&amp;$F$4))</f>
        <v>0</v>
      </c>
      <c r="O67" s="52" t="str">
        <f aca="false">IF($B67="","",IFERROR(M67/K67,""))</f>
        <v/>
      </c>
      <c r="P67" s="62" t="n">
        <f aca="false">IF($B67="","",SUMIFS('Post Tracker'!$BH$5:$BH$1004,'Post Tracker'!$J$5:$J$1004,$B67,'Post Tracker'!$B$5:$B$1004,"&gt;="&amp;$C$4,'Post Tracker'!$B$5:$B$1004,"&lt;="&amp;$F$4))</f>
        <v>0</v>
      </c>
    </row>
    <row r="68" customFormat="false" ht="15" hidden="false" customHeight="false" outlineLevel="0" collapsed="false">
      <c r="B68" s="50" t="str">
        <f aca="false">IF(Settings!$I$7="","",Settings!$I$7)</f>
        <v>Industry Insight / Data</v>
      </c>
      <c r="C68" s="51" t="n">
        <f aca="false">IF($B68="","",COUNTIFS('Post Tracker'!$J$5:$J$1004,$B68,'Post Tracker'!$B$5:$B$1004,"&gt;="&amp;$C$4,'Post Tracker'!$B$5:$B$1004,"&lt;="&amp;$F$4))</f>
        <v>1</v>
      </c>
      <c r="D68" s="51" t="n">
        <f aca="false">IF($B68="","",SUMIFS('Post Tracker'!$AC$5:$AC$1004,'Post Tracker'!$J$5:$J$1004,$B68,'Post Tracker'!$B$5:$B$1004,"&gt;="&amp;$C$4,'Post Tracker'!$B$5:$B$1004,"&lt;="&amp;$F$4))</f>
        <v>0</v>
      </c>
      <c r="E68" s="51" t="n">
        <f aca="false">IF($B68="","",SUMIFS('Post Tracker'!$AO$5:$AO$1004,'Post Tracker'!$J$5:$J$1004,$B68,'Post Tracker'!$B$5:$B$1004,"&gt;="&amp;$C$4,'Post Tracker'!$B$5:$B$1004,"&lt;="&amp;$F$4))</f>
        <v>0</v>
      </c>
      <c r="F68" s="51" t="n">
        <f aca="false">IF($B68="","",SUMIFS('Post Tracker'!$AR$5:$AR$1004,'Post Tracker'!$J$5:$J$1004,$B68,'Post Tracker'!$B$5:$B$1004,"&gt;="&amp;$C$4,'Post Tracker'!$B$5:$B$1004,"&lt;="&amp;$F$4))</f>
        <v>2</v>
      </c>
      <c r="G68" s="52" t="str">
        <f aca="false">IF($B68="","",IFERROR(SUMIFS('Post Tracker'!$BP$5:$BP$1004,'Post Tracker'!$J$5:$J$1004,$B68,'Post Tracker'!$B$5:$B$1004,"&gt;="&amp;$C$4,'Post Tracker'!$B$5:$B$1004,"&lt;="&amp;$F$4)/E68,""))</f>
        <v/>
      </c>
      <c r="H68" s="52" t="n">
        <f aca="false">IF($B68="","",IFERROR(F68/SUMIFS('Post Tracker'!$BQ$5:$BQ$1004,'Post Tracker'!$J$5:$J$1004,$B68,'Post Tracker'!$B$5:$B$1004,"&gt;="&amp;$C$4,'Post Tracker'!$B$5:$B$1004,"&lt;="&amp;$F$4),""))</f>
        <v>0.000757575757575758</v>
      </c>
      <c r="I68" s="51" t="n">
        <f aca="false">IF($B68="","",SUMIFS('Post Tracker'!$AJ$5:$AJ$1004,'Post Tracker'!$J$5:$J$1004,$B68,'Post Tracker'!$B$5:$B$1004,"&gt;="&amp;$C$4,'Post Tracker'!$B$5:$B$1004,"&lt;="&amp;$F$4))</f>
        <v>0</v>
      </c>
      <c r="J68" s="52" t="str">
        <f aca="false">IF($B68="","",IFERROR(I68/D68,""))</f>
        <v/>
      </c>
      <c r="K68" s="51" t="n">
        <f aca="false">IF($B68="","",SUMIFS('Post Tracker'!$AZ$5:$AZ$1004,'Post Tracker'!$J$5:$J$1004,$B68,'Post Tracker'!$B$5:$B$1004,"&gt;="&amp;$C$4,'Post Tracker'!$B$5:$B$1004,"&lt;="&amp;$F$4))</f>
        <v>0</v>
      </c>
      <c r="L68" s="51" t="n">
        <f aca="false">IF($B68="","",SUMIFS('Post Tracker'!$BB$5:$BB$1004,'Post Tracker'!$J$5:$J$1004,$B68,'Post Tracker'!$B$5:$B$1004,"&gt;="&amp;$C$4,'Post Tracker'!$B$5:$B$1004,"&lt;="&amp;$F$4))</f>
        <v>0</v>
      </c>
      <c r="M68" s="51" t="n">
        <f aca="false">IF($B68="","",SUMIFS('Post Tracker'!$BD$5:$BD$1004,'Post Tracker'!$J$5:$J$1004,$B68,'Post Tracker'!$B$5:$B$1004,"&gt;="&amp;$C$4,'Post Tracker'!$B$5:$B$1004,"&lt;="&amp;$F$4))</f>
        <v>0</v>
      </c>
      <c r="N68" s="51" t="n">
        <f aca="false">IF($B68="","",SUMIFS('Post Tracker'!$BF$5:$BF$1004,'Post Tracker'!$J$5:$J$1004,$B68,'Post Tracker'!$B$5:$B$1004,"&gt;="&amp;$C$4,'Post Tracker'!$B$5:$B$1004,"&lt;="&amp;$F$4))</f>
        <v>0</v>
      </c>
      <c r="O68" s="52" t="str">
        <f aca="false">IF($B68="","",IFERROR(M68/K68,""))</f>
        <v/>
      </c>
      <c r="P68" s="62" t="n">
        <f aca="false">IF($B68="","",SUMIFS('Post Tracker'!$BH$5:$BH$1004,'Post Tracker'!$J$5:$J$1004,$B68,'Post Tracker'!$B$5:$B$1004,"&gt;="&amp;$C$4,'Post Tracker'!$B$5:$B$1004,"&lt;="&amp;$F$4))</f>
        <v>0</v>
      </c>
    </row>
    <row r="69" customFormat="false" ht="15" hidden="false" customHeight="false" outlineLevel="0" collapsed="false">
      <c r="B69" s="50" t="str">
        <f aca="false">IF(Settings!$I$8="","",Settings!$I$8)</f>
        <v>Thought Leadership / POV</v>
      </c>
      <c r="C69" s="51" t="n">
        <f aca="false">IF($B69="","",COUNTIFS('Post Tracker'!$J$5:$J$1004,$B69,'Post Tracker'!$B$5:$B$1004,"&gt;="&amp;$C$4,'Post Tracker'!$B$5:$B$1004,"&lt;="&amp;$F$4))</f>
        <v>0</v>
      </c>
      <c r="D69" s="51" t="n">
        <f aca="false">IF($B69="","",SUMIFS('Post Tracker'!$AC$5:$AC$1004,'Post Tracker'!$J$5:$J$1004,$B69,'Post Tracker'!$B$5:$B$1004,"&gt;="&amp;$C$4,'Post Tracker'!$B$5:$B$1004,"&lt;="&amp;$F$4))</f>
        <v>0</v>
      </c>
      <c r="E69" s="51" t="n">
        <f aca="false">IF($B69="","",SUMIFS('Post Tracker'!$AO$5:$AO$1004,'Post Tracker'!$J$5:$J$1004,$B69,'Post Tracker'!$B$5:$B$1004,"&gt;="&amp;$C$4,'Post Tracker'!$B$5:$B$1004,"&lt;="&amp;$F$4))</f>
        <v>0</v>
      </c>
      <c r="F69" s="51" t="n">
        <f aca="false">IF($B69="","",SUMIFS('Post Tracker'!$AR$5:$AR$1004,'Post Tracker'!$J$5:$J$1004,$B69,'Post Tracker'!$B$5:$B$1004,"&gt;="&amp;$C$4,'Post Tracker'!$B$5:$B$1004,"&lt;="&amp;$F$4))</f>
        <v>0</v>
      </c>
      <c r="G69" s="52" t="str">
        <f aca="false">IF($B69="","",IFERROR(SUMIFS('Post Tracker'!$BP$5:$BP$1004,'Post Tracker'!$J$5:$J$1004,$B69,'Post Tracker'!$B$5:$B$1004,"&gt;="&amp;$C$4,'Post Tracker'!$B$5:$B$1004,"&lt;="&amp;$F$4)/E69,""))</f>
        <v/>
      </c>
      <c r="H69" s="52" t="str">
        <f aca="false">IF($B69="","",IFERROR(F69/SUMIFS('Post Tracker'!$BQ$5:$BQ$1004,'Post Tracker'!$J$5:$J$1004,$B69,'Post Tracker'!$B$5:$B$1004,"&gt;="&amp;$C$4,'Post Tracker'!$B$5:$B$1004,"&lt;="&amp;$F$4),""))</f>
        <v/>
      </c>
      <c r="I69" s="51" t="n">
        <f aca="false">IF($B69="","",SUMIFS('Post Tracker'!$AJ$5:$AJ$1004,'Post Tracker'!$J$5:$J$1004,$B69,'Post Tracker'!$B$5:$B$1004,"&gt;="&amp;$C$4,'Post Tracker'!$B$5:$B$1004,"&lt;="&amp;$F$4))</f>
        <v>0</v>
      </c>
      <c r="J69" s="52" t="str">
        <f aca="false">IF($B69="","",IFERROR(I69/D69,""))</f>
        <v/>
      </c>
      <c r="K69" s="51" t="n">
        <f aca="false">IF($B69="","",SUMIFS('Post Tracker'!$AZ$5:$AZ$1004,'Post Tracker'!$J$5:$J$1004,$B69,'Post Tracker'!$B$5:$B$1004,"&gt;="&amp;$C$4,'Post Tracker'!$B$5:$B$1004,"&lt;="&amp;$F$4))</f>
        <v>0</v>
      </c>
      <c r="L69" s="51" t="n">
        <f aca="false">IF($B69="","",SUMIFS('Post Tracker'!$BB$5:$BB$1004,'Post Tracker'!$J$5:$J$1004,$B69,'Post Tracker'!$B$5:$B$1004,"&gt;="&amp;$C$4,'Post Tracker'!$B$5:$B$1004,"&lt;="&amp;$F$4))</f>
        <v>0</v>
      </c>
      <c r="M69" s="51" t="n">
        <f aca="false">IF($B69="","",SUMIFS('Post Tracker'!$BD$5:$BD$1004,'Post Tracker'!$J$5:$J$1004,$B69,'Post Tracker'!$B$5:$B$1004,"&gt;="&amp;$C$4,'Post Tracker'!$B$5:$B$1004,"&lt;="&amp;$F$4))</f>
        <v>0</v>
      </c>
      <c r="N69" s="51" t="n">
        <f aca="false">IF($B69="","",SUMIFS('Post Tracker'!$BF$5:$BF$1004,'Post Tracker'!$J$5:$J$1004,$B69,'Post Tracker'!$B$5:$B$1004,"&gt;="&amp;$C$4,'Post Tracker'!$B$5:$B$1004,"&lt;="&amp;$F$4))</f>
        <v>0</v>
      </c>
      <c r="O69" s="52" t="str">
        <f aca="false">IF($B69="","",IFERROR(M69/K69,""))</f>
        <v/>
      </c>
      <c r="P69" s="62" t="n">
        <f aca="false">IF($B69="","",SUMIFS('Post Tracker'!$BH$5:$BH$1004,'Post Tracker'!$J$5:$J$1004,$B69,'Post Tracker'!$B$5:$B$1004,"&gt;="&amp;$C$4,'Post Tracker'!$B$5:$B$1004,"&lt;="&amp;$F$4))</f>
        <v>0</v>
      </c>
    </row>
    <row r="70" customFormat="false" ht="15" hidden="false" customHeight="false" outlineLevel="0" collapsed="false">
      <c r="B70" s="50" t="str">
        <f aca="false">IF(Settings!$I$9="","",Settings!$I$9)</f>
        <v>Customer Testimonial</v>
      </c>
      <c r="C70" s="51" t="n">
        <f aca="false">IF($B70="","",COUNTIFS('Post Tracker'!$J$5:$J$1004,$B70,'Post Tracker'!$B$5:$B$1004,"&gt;="&amp;$C$4,'Post Tracker'!$B$5:$B$1004,"&lt;="&amp;$F$4))</f>
        <v>0</v>
      </c>
      <c r="D70" s="51" t="n">
        <f aca="false">IF($B70="","",SUMIFS('Post Tracker'!$AC$5:$AC$1004,'Post Tracker'!$J$5:$J$1004,$B70,'Post Tracker'!$B$5:$B$1004,"&gt;="&amp;$C$4,'Post Tracker'!$B$5:$B$1004,"&lt;="&amp;$F$4))</f>
        <v>0</v>
      </c>
      <c r="E70" s="51" t="n">
        <f aca="false">IF($B70="","",SUMIFS('Post Tracker'!$AO$5:$AO$1004,'Post Tracker'!$J$5:$J$1004,$B70,'Post Tracker'!$B$5:$B$1004,"&gt;="&amp;$C$4,'Post Tracker'!$B$5:$B$1004,"&lt;="&amp;$F$4))</f>
        <v>0</v>
      </c>
      <c r="F70" s="51" t="n">
        <f aca="false">IF($B70="","",SUMIFS('Post Tracker'!$AR$5:$AR$1004,'Post Tracker'!$J$5:$J$1004,$B70,'Post Tracker'!$B$5:$B$1004,"&gt;="&amp;$C$4,'Post Tracker'!$B$5:$B$1004,"&lt;="&amp;$F$4))</f>
        <v>0</v>
      </c>
      <c r="G70" s="52" t="str">
        <f aca="false">IF($B70="","",IFERROR(SUMIFS('Post Tracker'!$BP$5:$BP$1004,'Post Tracker'!$J$5:$J$1004,$B70,'Post Tracker'!$B$5:$B$1004,"&gt;="&amp;$C$4,'Post Tracker'!$B$5:$B$1004,"&lt;="&amp;$F$4)/E70,""))</f>
        <v/>
      </c>
      <c r="H70" s="52" t="str">
        <f aca="false">IF($B70="","",IFERROR(F70/SUMIFS('Post Tracker'!$BQ$5:$BQ$1004,'Post Tracker'!$J$5:$J$1004,$B70,'Post Tracker'!$B$5:$B$1004,"&gt;="&amp;$C$4,'Post Tracker'!$B$5:$B$1004,"&lt;="&amp;$F$4),""))</f>
        <v/>
      </c>
      <c r="I70" s="51" t="n">
        <f aca="false">IF($B70="","",SUMIFS('Post Tracker'!$AJ$5:$AJ$1004,'Post Tracker'!$J$5:$J$1004,$B70,'Post Tracker'!$B$5:$B$1004,"&gt;="&amp;$C$4,'Post Tracker'!$B$5:$B$1004,"&lt;="&amp;$F$4))</f>
        <v>0</v>
      </c>
      <c r="J70" s="52" t="str">
        <f aca="false">IF($B70="","",IFERROR(I70/D70,""))</f>
        <v/>
      </c>
      <c r="K70" s="51" t="n">
        <f aca="false">IF($B70="","",SUMIFS('Post Tracker'!$AZ$5:$AZ$1004,'Post Tracker'!$J$5:$J$1004,$B70,'Post Tracker'!$B$5:$B$1004,"&gt;="&amp;$C$4,'Post Tracker'!$B$5:$B$1004,"&lt;="&amp;$F$4))</f>
        <v>0</v>
      </c>
      <c r="L70" s="51" t="n">
        <f aca="false">IF($B70="","",SUMIFS('Post Tracker'!$BB$5:$BB$1004,'Post Tracker'!$J$5:$J$1004,$B70,'Post Tracker'!$B$5:$B$1004,"&gt;="&amp;$C$4,'Post Tracker'!$B$5:$B$1004,"&lt;="&amp;$F$4))</f>
        <v>0</v>
      </c>
      <c r="M70" s="51" t="n">
        <f aca="false">IF($B70="","",SUMIFS('Post Tracker'!$BD$5:$BD$1004,'Post Tracker'!$J$5:$J$1004,$B70,'Post Tracker'!$B$5:$B$1004,"&gt;="&amp;$C$4,'Post Tracker'!$B$5:$B$1004,"&lt;="&amp;$F$4))</f>
        <v>0</v>
      </c>
      <c r="N70" s="51" t="n">
        <f aca="false">IF($B70="","",SUMIFS('Post Tracker'!$BF$5:$BF$1004,'Post Tracker'!$J$5:$J$1004,$B70,'Post Tracker'!$B$5:$B$1004,"&gt;="&amp;$C$4,'Post Tracker'!$B$5:$B$1004,"&lt;="&amp;$F$4))</f>
        <v>0</v>
      </c>
      <c r="O70" s="52" t="str">
        <f aca="false">IF($B70="","",IFERROR(M70/K70,""))</f>
        <v/>
      </c>
      <c r="P70" s="62" t="n">
        <f aca="false">IF($B70="","",SUMIFS('Post Tracker'!$BH$5:$BH$1004,'Post Tracker'!$J$5:$J$1004,$B70,'Post Tracker'!$B$5:$B$1004,"&gt;="&amp;$C$4,'Post Tracker'!$B$5:$B$1004,"&lt;="&amp;$F$4))</f>
        <v>0</v>
      </c>
    </row>
    <row r="71" customFormat="false" ht="15" hidden="false" customHeight="false" outlineLevel="0" collapsed="false">
      <c r="B71" s="50" t="str">
        <f aca="false">IF(Settings!$I$10="","",Settings!$I$10)</f>
        <v>Reimbursement &amp; Regulatory</v>
      </c>
      <c r="C71" s="51" t="n">
        <f aca="false">IF($B71="","",COUNTIFS('Post Tracker'!$J$5:$J$1004,$B71,'Post Tracker'!$B$5:$B$1004,"&gt;="&amp;$C$4,'Post Tracker'!$B$5:$B$1004,"&lt;="&amp;$F$4))</f>
        <v>0</v>
      </c>
      <c r="D71" s="51" t="n">
        <f aca="false">IF($B71="","",SUMIFS('Post Tracker'!$AC$5:$AC$1004,'Post Tracker'!$J$5:$J$1004,$B71,'Post Tracker'!$B$5:$B$1004,"&gt;="&amp;$C$4,'Post Tracker'!$B$5:$B$1004,"&lt;="&amp;$F$4))</f>
        <v>0</v>
      </c>
      <c r="E71" s="51" t="n">
        <f aca="false">IF($B71="","",SUMIFS('Post Tracker'!$AO$5:$AO$1004,'Post Tracker'!$J$5:$J$1004,$B71,'Post Tracker'!$B$5:$B$1004,"&gt;="&amp;$C$4,'Post Tracker'!$B$5:$B$1004,"&lt;="&amp;$F$4))</f>
        <v>0</v>
      </c>
      <c r="F71" s="51" t="n">
        <f aca="false">IF($B71="","",SUMIFS('Post Tracker'!$AR$5:$AR$1004,'Post Tracker'!$J$5:$J$1004,$B71,'Post Tracker'!$B$5:$B$1004,"&gt;="&amp;$C$4,'Post Tracker'!$B$5:$B$1004,"&lt;="&amp;$F$4))</f>
        <v>0</v>
      </c>
      <c r="G71" s="52" t="str">
        <f aca="false">IF($B71="","",IFERROR(SUMIFS('Post Tracker'!$BP$5:$BP$1004,'Post Tracker'!$J$5:$J$1004,$B71,'Post Tracker'!$B$5:$B$1004,"&gt;="&amp;$C$4,'Post Tracker'!$B$5:$B$1004,"&lt;="&amp;$F$4)/E71,""))</f>
        <v/>
      </c>
      <c r="H71" s="52" t="str">
        <f aca="false">IF($B71="","",IFERROR(F71/SUMIFS('Post Tracker'!$BQ$5:$BQ$1004,'Post Tracker'!$J$5:$J$1004,$B71,'Post Tracker'!$B$5:$B$1004,"&gt;="&amp;$C$4,'Post Tracker'!$B$5:$B$1004,"&lt;="&amp;$F$4),""))</f>
        <v/>
      </c>
      <c r="I71" s="51" t="n">
        <f aca="false">IF($B71="","",SUMIFS('Post Tracker'!$AJ$5:$AJ$1004,'Post Tracker'!$J$5:$J$1004,$B71,'Post Tracker'!$B$5:$B$1004,"&gt;="&amp;$C$4,'Post Tracker'!$B$5:$B$1004,"&lt;="&amp;$F$4))</f>
        <v>0</v>
      </c>
      <c r="J71" s="52" t="str">
        <f aca="false">IF($B71="","",IFERROR(I71/D71,""))</f>
        <v/>
      </c>
      <c r="K71" s="51" t="n">
        <f aca="false">IF($B71="","",SUMIFS('Post Tracker'!$AZ$5:$AZ$1004,'Post Tracker'!$J$5:$J$1004,$B71,'Post Tracker'!$B$5:$B$1004,"&gt;="&amp;$C$4,'Post Tracker'!$B$5:$B$1004,"&lt;="&amp;$F$4))</f>
        <v>0</v>
      </c>
      <c r="L71" s="51" t="n">
        <f aca="false">IF($B71="","",SUMIFS('Post Tracker'!$BB$5:$BB$1004,'Post Tracker'!$J$5:$J$1004,$B71,'Post Tracker'!$B$5:$B$1004,"&gt;="&amp;$C$4,'Post Tracker'!$B$5:$B$1004,"&lt;="&amp;$F$4))</f>
        <v>0</v>
      </c>
      <c r="M71" s="51" t="n">
        <f aca="false">IF($B71="","",SUMIFS('Post Tracker'!$BD$5:$BD$1004,'Post Tracker'!$J$5:$J$1004,$B71,'Post Tracker'!$B$5:$B$1004,"&gt;="&amp;$C$4,'Post Tracker'!$B$5:$B$1004,"&lt;="&amp;$F$4))</f>
        <v>0</v>
      </c>
      <c r="N71" s="51" t="n">
        <f aca="false">IF($B71="","",SUMIFS('Post Tracker'!$BF$5:$BF$1004,'Post Tracker'!$J$5:$J$1004,$B71,'Post Tracker'!$B$5:$B$1004,"&gt;="&amp;$C$4,'Post Tracker'!$B$5:$B$1004,"&lt;="&amp;$F$4))</f>
        <v>0</v>
      </c>
      <c r="O71" s="52" t="str">
        <f aca="false">IF($B71="","",IFERROR(M71/K71,""))</f>
        <v/>
      </c>
      <c r="P71" s="62" t="n">
        <f aca="false">IF($B71="","",SUMIFS('Post Tracker'!$BH$5:$BH$1004,'Post Tracker'!$J$5:$J$1004,$B71,'Post Tracker'!$B$5:$B$1004,"&gt;="&amp;$C$4,'Post Tracker'!$B$5:$B$1004,"&lt;="&amp;$F$4))</f>
        <v>0</v>
      </c>
    </row>
    <row r="72" customFormat="false" ht="15" hidden="false" customHeight="false" outlineLevel="0" collapsed="false">
      <c r="B72" s="50" t="str">
        <f aca="false">IF(Settings!$I$11="","",Settings!$I$11)</f>
        <v>Operations Tips (Scheduling, No-shows, Throughput)</v>
      </c>
      <c r="C72" s="51" t="n">
        <f aca="false">IF($B72="","",COUNTIFS('Post Tracker'!$J$5:$J$1004,$B72,'Post Tracker'!$B$5:$B$1004,"&gt;="&amp;$C$4,'Post Tracker'!$B$5:$B$1004,"&lt;="&amp;$F$4))</f>
        <v>3</v>
      </c>
      <c r="D72" s="51" t="n">
        <f aca="false">IF($B72="","",SUMIFS('Post Tracker'!$AC$5:$AC$1004,'Post Tracker'!$J$5:$J$1004,$B72,'Post Tracker'!$B$5:$B$1004,"&gt;="&amp;$C$4,'Post Tracker'!$B$5:$B$1004,"&lt;="&amp;$F$4))</f>
        <v>16</v>
      </c>
      <c r="E72" s="51" t="n">
        <f aca="false">IF($B72="","",SUMIFS('Post Tracker'!$AO$5:$AO$1004,'Post Tracker'!$J$5:$J$1004,$B72,'Post Tracker'!$B$5:$B$1004,"&gt;="&amp;$C$4,'Post Tracker'!$B$5:$B$1004,"&lt;="&amp;$F$4))</f>
        <v>16</v>
      </c>
      <c r="F72" s="51" t="n">
        <f aca="false">IF($B72="","",SUMIFS('Post Tracker'!$AR$5:$AR$1004,'Post Tracker'!$J$5:$J$1004,$B72,'Post Tracker'!$B$5:$B$1004,"&gt;="&amp;$C$4,'Post Tracker'!$B$5:$B$1004,"&lt;="&amp;$F$4))</f>
        <v>24</v>
      </c>
      <c r="G72" s="52" t="n">
        <f aca="false">IF($B72="","",IFERROR(SUMIFS('Post Tracker'!$BP$5:$BP$1004,'Post Tracker'!$J$5:$J$1004,$B72,'Post Tracker'!$B$5:$B$1004,"&gt;="&amp;$C$4,'Post Tracker'!$B$5:$B$1004,"&lt;="&amp;$F$4)/E72,""))</f>
        <v>0</v>
      </c>
      <c r="H72" s="52" t="n">
        <f aca="false">IF($B72="","",IFERROR(F72/SUMIFS('Post Tracker'!$BQ$5:$BQ$1004,'Post Tracker'!$J$5:$J$1004,$B72,'Post Tracker'!$B$5:$B$1004,"&gt;="&amp;$C$4,'Post Tracker'!$B$5:$B$1004,"&lt;="&amp;$F$4),""))</f>
        <v>0.00873680378594831</v>
      </c>
      <c r="I72" s="51" t="n">
        <f aca="false">IF($B72="","",SUMIFS('Post Tracker'!$AJ$5:$AJ$1004,'Post Tracker'!$J$5:$J$1004,$B72,'Post Tracker'!$B$5:$B$1004,"&gt;="&amp;$C$4,'Post Tracker'!$B$5:$B$1004,"&lt;="&amp;$F$4))</f>
        <v>0</v>
      </c>
      <c r="J72" s="52" t="n">
        <f aca="false">IF($B72="","",IFERROR(I72/D72,""))</f>
        <v>0</v>
      </c>
      <c r="K72" s="51" t="n">
        <f aca="false">IF($B72="","",SUMIFS('Post Tracker'!$AZ$5:$AZ$1004,'Post Tracker'!$J$5:$J$1004,$B72,'Post Tracker'!$B$5:$B$1004,"&gt;="&amp;$C$4,'Post Tracker'!$B$5:$B$1004,"&lt;="&amp;$F$4))</f>
        <v>0</v>
      </c>
      <c r="L72" s="51" t="n">
        <f aca="false">IF($B72="","",SUMIFS('Post Tracker'!$BB$5:$BB$1004,'Post Tracker'!$J$5:$J$1004,$B72,'Post Tracker'!$B$5:$B$1004,"&gt;="&amp;$C$4,'Post Tracker'!$B$5:$B$1004,"&lt;="&amp;$F$4))</f>
        <v>0</v>
      </c>
      <c r="M72" s="51" t="n">
        <f aca="false">IF($B72="","",SUMIFS('Post Tracker'!$BD$5:$BD$1004,'Post Tracker'!$J$5:$J$1004,$B72,'Post Tracker'!$B$5:$B$1004,"&gt;="&amp;$C$4,'Post Tracker'!$B$5:$B$1004,"&lt;="&amp;$F$4))</f>
        <v>0</v>
      </c>
      <c r="N72" s="51" t="n">
        <f aca="false">IF($B72="","",SUMIFS('Post Tracker'!$BF$5:$BF$1004,'Post Tracker'!$J$5:$J$1004,$B72,'Post Tracker'!$B$5:$B$1004,"&gt;="&amp;$C$4,'Post Tracker'!$B$5:$B$1004,"&lt;="&amp;$F$4))</f>
        <v>0</v>
      </c>
      <c r="O72" s="52" t="str">
        <f aca="false">IF($B72="","",IFERROR(M72/K72,""))</f>
        <v/>
      </c>
      <c r="P72" s="62" t="n">
        <f aca="false">IF($B72="","",SUMIFS('Post Tracker'!$BH$5:$BH$1004,'Post Tracker'!$J$5:$J$1004,$B72,'Post Tracker'!$B$5:$B$1004,"&gt;="&amp;$C$4,'Post Tracker'!$B$5:$B$1004,"&lt;="&amp;$F$4))</f>
        <v>0</v>
      </c>
    </row>
    <row r="73" customFormat="false" ht="15" hidden="false" customHeight="false" outlineLevel="0" collapsed="false">
      <c r="B73" s="50" t="str">
        <f aca="false">IF(Settings!$I$12="","",Settings!$I$12)</f>
        <v>Team / Culture / Behind the Scenes</v>
      </c>
      <c r="C73" s="51" t="n">
        <f aca="false">IF($B73="","",COUNTIFS('Post Tracker'!$J$5:$J$1004,$B73,'Post Tracker'!$B$5:$B$1004,"&gt;="&amp;$C$4,'Post Tracker'!$B$5:$B$1004,"&lt;="&amp;$F$4))</f>
        <v>0</v>
      </c>
      <c r="D73" s="51" t="n">
        <f aca="false">IF($B73="","",SUMIFS('Post Tracker'!$AC$5:$AC$1004,'Post Tracker'!$J$5:$J$1004,$B73,'Post Tracker'!$B$5:$B$1004,"&gt;="&amp;$C$4,'Post Tracker'!$B$5:$B$1004,"&lt;="&amp;$F$4))</f>
        <v>0</v>
      </c>
      <c r="E73" s="51" t="n">
        <f aca="false">IF($B73="","",SUMIFS('Post Tracker'!$AO$5:$AO$1004,'Post Tracker'!$J$5:$J$1004,$B73,'Post Tracker'!$B$5:$B$1004,"&gt;="&amp;$C$4,'Post Tracker'!$B$5:$B$1004,"&lt;="&amp;$F$4))</f>
        <v>0</v>
      </c>
      <c r="F73" s="51" t="n">
        <f aca="false">IF($B73="","",SUMIFS('Post Tracker'!$AR$5:$AR$1004,'Post Tracker'!$J$5:$J$1004,$B73,'Post Tracker'!$B$5:$B$1004,"&gt;="&amp;$C$4,'Post Tracker'!$B$5:$B$1004,"&lt;="&amp;$F$4))</f>
        <v>0</v>
      </c>
      <c r="G73" s="52" t="str">
        <f aca="false">IF($B73="","",IFERROR(SUMIFS('Post Tracker'!$BP$5:$BP$1004,'Post Tracker'!$J$5:$J$1004,$B73,'Post Tracker'!$B$5:$B$1004,"&gt;="&amp;$C$4,'Post Tracker'!$B$5:$B$1004,"&lt;="&amp;$F$4)/E73,""))</f>
        <v/>
      </c>
      <c r="H73" s="52" t="str">
        <f aca="false">IF($B73="","",IFERROR(F73/SUMIFS('Post Tracker'!$BQ$5:$BQ$1004,'Post Tracker'!$J$5:$J$1004,$B73,'Post Tracker'!$B$5:$B$1004,"&gt;="&amp;$C$4,'Post Tracker'!$B$5:$B$1004,"&lt;="&amp;$F$4),""))</f>
        <v/>
      </c>
      <c r="I73" s="51" t="n">
        <f aca="false">IF($B73="","",SUMIFS('Post Tracker'!$AJ$5:$AJ$1004,'Post Tracker'!$J$5:$J$1004,$B73,'Post Tracker'!$B$5:$B$1004,"&gt;="&amp;$C$4,'Post Tracker'!$B$5:$B$1004,"&lt;="&amp;$F$4))</f>
        <v>0</v>
      </c>
      <c r="J73" s="52" t="str">
        <f aca="false">IF($B73="","",IFERROR(I73/D73,""))</f>
        <v/>
      </c>
      <c r="K73" s="51" t="n">
        <f aca="false">IF($B73="","",SUMIFS('Post Tracker'!$AZ$5:$AZ$1004,'Post Tracker'!$J$5:$J$1004,$B73,'Post Tracker'!$B$5:$B$1004,"&gt;="&amp;$C$4,'Post Tracker'!$B$5:$B$1004,"&lt;="&amp;$F$4))</f>
        <v>0</v>
      </c>
      <c r="L73" s="51" t="n">
        <f aca="false">IF($B73="","",SUMIFS('Post Tracker'!$BB$5:$BB$1004,'Post Tracker'!$J$5:$J$1004,$B73,'Post Tracker'!$B$5:$B$1004,"&gt;="&amp;$C$4,'Post Tracker'!$B$5:$B$1004,"&lt;="&amp;$F$4))</f>
        <v>0</v>
      </c>
      <c r="M73" s="51" t="n">
        <f aca="false">IF($B73="","",SUMIFS('Post Tracker'!$BD$5:$BD$1004,'Post Tracker'!$J$5:$J$1004,$B73,'Post Tracker'!$B$5:$B$1004,"&gt;="&amp;$C$4,'Post Tracker'!$B$5:$B$1004,"&lt;="&amp;$F$4))</f>
        <v>0</v>
      </c>
      <c r="N73" s="51" t="n">
        <f aca="false">IF($B73="","",SUMIFS('Post Tracker'!$BF$5:$BF$1004,'Post Tracker'!$J$5:$J$1004,$B73,'Post Tracker'!$B$5:$B$1004,"&gt;="&amp;$C$4,'Post Tracker'!$B$5:$B$1004,"&lt;="&amp;$F$4))</f>
        <v>0</v>
      </c>
      <c r="O73" s="52" t="str">
        <f aca="false">IF($B73="","",IFERROR(M73/K73,""))</f>
        <v/>
      </c>
      <c r="P73" s="62" t="n">
        <f aca="false">IF($B73="","",SUMIFS('Post Tracker'!$BH$5:$BH$1004,'Post Tracker'!$J$5:$J$1004,$B73,'Post Tracker'!$B$5:$B$1004,"&gt;="&amp;$C$4,'Post Tracker'!$B$5:$B$1004,"&lt;="&amp;$F$4))</f>
        <v>0</v>
      </c>
    </row>
    <row r="74" customFormat="false" ht="15" hidden="false" customHeight="false" outlineLevel="0" collapsed="false">
      <c r="B74" s="50" t="str">
        <f aca="false">IF(Settings!$I$13="","",Settings!$I$13)</f>
        <v>Event / Webinar / Conference</v>
      </c>
      <c r="C74" s="51" t="n">
        <f aca="false">IF($B74="","",COUNTIFS('Post Tracker'!$J$5:$J$1004,$B74,'Post Tracker'!$B$5:$B$1004,"&gt;="&amp;$C$4,'Post Tracker'!$B$5:$B$1004,"&lt;="&amp;$F$4))</f>
        <v>0</v>
      </c>
      <c r="D74" s="51" t="n">
        <f aca="false">IF($B74="","",SUMIFS('Post Tracker'!$AC$5:$AC$1004,'Post Tracker'!$J$5:$J$1004,$B74,'Post Tracker'!$B$5:$B$1004,"&gt;="&amp;$C$4,'Post Tracker'!$B$5:$B$1004,"&lt;="&amp;$F$4))</f>
        <v>0</v>
      </c>
      <c r="E74" s="51" t="n">
        <f aca="false">IF($B74="","",SUMIFS('Post Tracker'!$AO$5:$AO$1004,'Post Tracker'!$J$5:$J$1004,$B74,'Post Tracker'!$B$5:$B$1004,"&gt;="&amp;$C$4,'Post Tracker'!$B$5:$B$1004,"&lt;="&amp;$F$4))</f>
        <v>0</v>
      </c>
      <c r="F74" s="51" t="n">
        <f aca="false">IF($B74="","",SUMIFS('Post Tracker'!$AR$5:$AR$1004,'Post Tracker'!$J$5:$J$1004,$B74,'Post Tracker'!$B$5:$B$1004,"&gt;="&amp;$C$4,'Post Tracker'!$B$5:$B$1004,"&lt;="&amp;$F$4))</f>
        <v>0</v>
      </c>
      <c r="G74" s="52" t="str">
        <f aca="false">IF($B74="","",IFERROR(SUMIFS('Post Tracker'!$BP$5:$BP$1004,'Post Tracker'!$J$5:$J$1004,$B74,'Post Tracker'!$B$5:$B$1004,"&gt;="&amp;$C$4,'Post Tracker'!$B$5:$B$1004,"&lt;="&amp;$F$4)/E74,""))</f>
        <v/>
      </c>
      <c r="H74" s="52" t="str">
        <f aca="false">IF($B74="","",IFERROR(F74/SUMIFS('Post Tracker'!$BQ$5:$BQ$1004,'Post Tracker'!$J$5:$J$1004,$B74,'Post Tracker'!$B$5:$B$1004,"&gt;="&amp;$C$4,'Post Tracker'!$B$5:$B$1004,"&lt;="&amp;$F$4),""))</f>
        <v/>
      </c>
      <c r="I74" s="51" t="n">
        <f aca="false">IF($B74="","",SUMIFS('Post Tracker'!$AJ$5:$AJ$1004,'Post Tracker'!$J$5:$J$1004,$B74,'Post Tracker'!$B$5:$B$1004,"&gt;="&amp;$C$4,'Post Tracker'!$B$5:$B$1004,"&lt;="&amp;$F$4))</f>
        <v>0</v>
      </c>
      <c r="J74" s="52" t="str">
        <f aca="false">IF($B74="","",IFERROR(I74/D74,""))</f>
        <v/>
      </c>
      <c r="K74" s="51" t="n">
        <f aca="false">IF($B74="","",SUMIFS('Post Tracker'!$AZ$5:$AZ$1004,'Post Tracker'!$J$5:$J$1004,$B74,'Post Tracker'!$B$5:$B$1004,"&gt;="&amp;$C$4,'Post Tracker'!$B$5:$B$1004,"&lt;="&amp;$F$4))</f>
        <v>0</v>
      </c>
      <c r="L74" s="51" t="n">
        <f aca="false">IF($B74="","",SUMIFS('Post Tracker'!$BB$5:$BB$1004,'Post Tracker'!$J$5:$J$1004,$B74,'Post Tracker'!$B$5:$B$1004,"&gt;="&amp;$C$4,'Post Tracker'!$B$5:$B$1004,"&lt;="&amp;$F$4))</f>
        <v>0</v>
      </c>
      <c r="M74" s="51" t="n">
        <f aca="false">IF($B74="","",SUMIFS('Post Tracker'!$BD$5:$BD$1004,'Post Tracker'!$J$5:$J$1004,$B74,'Post Tracker'!$B$5:$B$1004,"&gt;="&amp;$C$4,'Post Tracker'!$B$5:$B$1004,"&lt;="&amp;$F$4))</f>
        <v>0</v>
      </c>
      <c r="N74" s="51" t="n">
        <f aca="false">IF($B74="","",SUMIFS('Post Tracker'!$BF$5:$BF$1004,'Post Tracker'!$J$5:$J$1004,$B74,'Post Tracker'!$B$5:$B$1004,"&gt;="&amp;$C$4,'Post Tracker'!$B$5:$B$1004,"&lt;="&amp;$F$4))</f>
        <v>0</v>
      </c>
      <c r="O74" s="52" t="str">
        <f aca="false">IF($B74="","",IFERROR(M74/K74,""))</f>
        <v/>
      </c>
      <c r="P74" s="62" t="n">
        <f aca="false">IF($B74="","",SUMIFS('Post Tracker'!$BH$5:$BH$1004,'Post Tracker'!$J$5:$J$1004,$B74,'Post Tracker'!$B$5:$B$1004,"&gt;="&amp;$C$4,'Post Tracker'!$B$5:$B$1004,"&lt;="&amp;$F$4))</f>
        <v>0</v>
      </c>
    </row>
    <row r="75" customFormat="false" ht="15" hidden="false" customHeight="false" outlineLevel="0" collapsed="false">
      <c r="B75" s="50" t="str">
        <f aca="false">IF(Settings!$I$14="","",Settings!$I$14)</f>
        <v>Offer / Direct Demo CTA</v>
      </c>
      <c r="C75" s="51" t="n">
        <f aca="false">IF($B75="","",COUNTIFS('Post Tracker'!$J$5:$J$1004,$B75,'Post Tracker'!$B$5:$B$1004,"&gt;="&amp;$C$4,'Post Tracker'!$B$5:$B$1004,"&lt;="&amp;$F$4))</f>
        <v>0</v>
      </c>
      <c r="D75" s="51" t="n">
        <f aca="false">IF($B75="","",SUMIFS('Post Tracker'!$AC$5:$AC$1004,'Post Tracker'!$J$5:$J$1004,$B75,'Post Tracker'!$B$5:$B$1004,"&gt;="&amp;$C$4,'Post Tracker'!$B$5:$B$1004,"&lt;="&amp;$F$4))</f>
        <v>0</v>
      </c>
      <c r="E75" s="51" t="n">
        <f aca="false">IF($B75="","",SUMIFS('Post Tracker'!$AO$5:$AO$1004,'Post Tracker'!$J$5:$J$1004,$B75,'Post Tracker'!$B$5:$B$1004,"&gt;="&amp;$C$4,'Post Tracker'!$B$5:$B$1004,"&lt;="&amp;$F$4))</f>
        <v>0</v>
      </c>
      <c r="F75" s="51" t="n">
        <f aca="false">IF($B75="","",SUMIFS('Post Tracker'!$AR$5:$AR$1004,'Post Tracker'!$J$5:$J$1004,$B75,'Post Tracker'!$B$5:$B$1004,"&gt;="&amp;$C$4,'Post Tracker'!$B$5:$B$1004,"&lt;="&amp;$F$4))</f>
        <v>0</v>
      </c>
      <c r="G75" s="52" t="str">
        <f aca="false">IF($B75="","",IFERROR(SUMIFS('Post Tracker'!$BP$5:$BP$1004,'Post Tracker'!$J$5:$J$1004,$B75,'Post Tracker'!$B$5:$B$1004,"&gt;="&amp;$C$4,'Post Tracker'!$B$5:$B$1004,"&lt;="&amp;$F$4)/E75,""))</f>
        <v/>
      </c>
      <c r="H75" s="52" t="str">
        <f aca="false">IF($B75="","",IFERROR(F75/SUMIFS('Post Tracker'!$BQ$5:$BQ$1004,'Post Tracker'!$J$5:$J$1004,$B75,'Post Tracker'!$B$5:$B$1004,"&gt;="&amp;$C$4,'Post Tracker'!$B$5:$B$1004,"&lt;="&amp;$F$4),""))</f>
        <v/>
      </c>
      <c r="I75" s="51" t="n">
        <f aca="false">IF($B75="","",SUMIFS('Post Tracker'!$AJ$5:$AJ$1004,'Post Tracker'!$J$5:$J$1004,$B75,'Post Tracker'!$B$5:$B$1004,"&gt;="&amp;$C$4,'Post Tracker'!$B$5:$B$1004,"&lt;="&amp;$F$4))</f>
        <v>0</v>
      </c>
      <c r="J75" s="52" t="str">
        <f aca="false">IF($B75="","",IFERROR(I75/D75,""))</f>
        <v/>
      </c>
      <c r="K75" s="51" t="n">
        <f aca="false">IF($B75="","",SUMIFS('Post Tracker'!$AZ$5:$AZ$1004,'Post Tracker'!$J$5:$J$1004,$B75,'Post Tracker'!$B$5:$B$1004,"&gt;="&amp;$C$4,'Post Tracker'!$B$5:$B$1004,"&lt;="&amp;$F$4))</f>
        <v>0</v>
      </c>
      <c r="L75" s="51" t="n">
        <f aca="false">IF($B75="","",SUMIFS('Post Tracker'!$BB$5:$BB$1004,'Post Tracker'!$J$5:$J$1004,$B75,'Post Tracker'!$B$5:$B$1004,"&gt;="&amp;$C$4,'Post Tracker'!$B$5:$B$1004,"&lt;="&amp;$F$4))</f>
        <v>0</v>
      </c>
      <c r="M75" s="51" t="n">
        <f aca="false">IF($B75="","",SUMIFS('Post Tracker'!$BD$5:$BD$1004,'Post Tracker'!$J$5:$J$1004,$B75,'Post Tracker'!$B$5:$B$1004,"&gt;="&amp;$C$4,'Post Tracker'!$B$5:$B$1004,"&lt;="&amp;$F$4))</f>
        <v>0</v>
      </c>
      <c r="N75" s="51" t="n">
        <f aca="false">IF($B75="","",SUMIFS('Post Tracker'!$BF$5:$BF$1004,'Post Tracker'!$J$5:$J$1004,$B75,'Post Tracker'!$B$5:$B$1004,"&gt;="&amp;$C$4,'Post Tracker'!$B$5:$B$1004,"&lt;="&amp;$F$4))</f>
        <v>0</v>
      </c>
      <c r="O75" s="52" t="str">
        <f aca="false">IF($B75="","",IFERROR(M75/K75,""))</f>
        <v/>
      </c>
      <c r="P75" s="62" t="n">
        <f aca="false">IF($B75="","",SUMIFS('Post Tracker'!$BH$5:$BH$1004,'Post Tracker'!$J$5:$J$1004,$B75,'Post Tracker'!$B$5:$B$1004,"&gt;="&amp;$C$4,'Post Tracker'!$B$5:$B$1004,"&lt;="&amp;$F$4))</f>
        <v>0</v>
      </c>
    </row>
    <row r="76" customFormat="false" ht="15" hidden="false" customHeight="false" outlineLevel="0" collapsed="false">
      <c r="B76" s="50" t="str">
        <f aca="false">IF(Settings!$I$15="","",Settings!$I$15)</f>
        <v>Revenue Cycle &amp; Denials</v>
      </c>
      <c r="C76" s="51" t="n">
        <f aca="false">IF($B76="","",COUNTIFS('Post Tracker'!$J$5:$J$1004,$B76,'Post Tracker'!$B$5:$B$1004,"&gt;="&amp;$C$4,'Post Tracker'!$B$5:$B$1004,"&lt;="&amp;$F$4))</f>
        <v>6</v>
      </c>
      <c r="D76" s="51" t="n">
        <f aca="false">IF($B76="","",SUMIFS('Post Tracker'!$AC$5:$AC$1004,'Post Tracker'!$J$5:$J$1004,$B76,'Post Tracker'!$B$5:$B$1004,"&gt;="&amp;$C$4,'Post Tracker'!$B$5:$B$1004,"&lt;="&amp;$F$4))</f>
        <v>39</v>
      </c>
      <c r="E76" s="51" t="n">
        <f aca="false">IF($B76="","",SUMIFS('Post Tracker'!$AO$5:$AO$1004,'Post Tracker'!$J$5:$J$1004,$B76,'Post Tracker'!$B$5:$B$1004,"&gt;="&amp;$C$4,'Post Tracker'!$B$5:$B$1004,"&lt;="&amp;$F$4))</f>
        <v>39</v>
      </c>
      <c r="F76" s="51" t="n">
        <f aca="false">IF($B76="","",SUMIFS('Post Tracker'!$AR$5:$AR$1004,'Post Tracker'!$J$5:$J$1004,$B76,'Post Tracker'!$B$5:$B$1004,"&gt;="&amp;$C$4,'Post Tracker'!$B$5:$B$1004,"&lt;="&amp;$F$4))</f>
        <v>22</v>
      </c>
      <c r="G76" s="52" t="n">
        <f aca="false">IF($B76="","",IFERROR(SUMIFS('Post Tracker'!$BP$5:$BP$1004,'Post Tracker'!$J$5:$J$1004,$B76,'Post Tracker'!$B$5:$B$1004,"&gt;="&amp;$C$4,'Post Tracker'!$B$5:$B$1004,"&lt;="&amp;$F$4)/E76,""))</f>
        <v>0.0512820512820513</v>
      </c>
      <c r="H76" s="52" t="n">
        <f aca="false">IF($B76="","",IFERROR(F76/SUMIFS('Post Tracker'!$BQ$5:$BQ$1004,'Post Tracker'!$J$5:$J$1004,$B76,'Post Tracker'!$B$5:$B$1004,"&gt;="&amp;$C$4,'Post Tracker'!$B$5:$B$1004,"&lt;="&amp;$F$4),""))</f>
        <v>0.00400436840189297</v>
      </c>
      <c r="I76" s="51" t="n">
        <f aca="false">IF($B76="","",SUMIFS('Post Tracker'!$AJ$5:$AJ$1004,'Post Tracker'!$J$5:$J$1004,$B76,'Post Tracker'!$B$5:$B$1004,"&gt;="&amp;$C$4,'Post Tracker'!$B$5:$B$1004,"&lt;="&amp;$F$4))</f>
        <v>0</v>
      </c>
      <c r="J76" s="52" t="n">
        <f aca="false">IF($B76="","",IFERROR(I76/D76,""))</f>
        <v>0</v>
      </c>
      <c r="K76" s="51" t="n">
        <f aca="false">IF($B76="","",SUMIFS('Post Tracker'!$AZ$5:$AZ$1004,'Post Tracker'!$J$5:$J$1004,$B76,'Post Tracker'!$B$5:$B$1004,"&gt;="&amp;$C$4,'Post Tracker'!$B$5:$B$1004,"&lt;="&amp;$F$4))</f>
        <v>0</v>
      </c>
      <c r="L76" s="51" t="n">
        <f aca="false">IF($B76="","",SUMIFS('Post Tracker'!$BB$5:$BB$1004,'Post Tracker'!$J$5:$J$1004,$B76,'Post Tracker'!$B$5:$B$1004,"&gt;="&amp;$C$4,'Post Tracker'!$B$5:$B$1004,"&lt;="&amp;$F$4))</f>
        <v>0</v>
      </c>
      <c r="M76" s="51" t="n">
        <f aca="false">IF($B76="","",SUMIFS('Post Tracker'!$BD$5:$BD$1004,'Post Tracker'!$J$5:$J$1004,$B76,'Post Tracker'!$B$5:$B$1004,"&gt;="&amp;$C$4,'Post Tracker'!$B$5:$B$1004,"&lt;="&amp;$F$4))</f>
        <v>0</v>
      </c>
      <c r="N76" s="51" t="n">
        <f aca="false">IF($B76="","",SUMIFS('Post Tracker'!$BF$5:$BF$1004,'Post Tracker'!$J$5:$J$1004,$B76,'Post Tracker'!$B$5:$B$1004,"&gt;="&amp;$C$4,'Post Tracker'!$B$5:$B$1004,"&lt;="&amp;$F$4))</f>
        <v>0</v>
      </c>
      <c r="O76" s="52" t="str">
        <f aca="false">IF($B76="","",IFERROR(M76/K76,""))</f>
        <v/>
      </c>
      <c r="P76" s="62" t="n">
        <f aca="false">IF($B76="","",SUMIFS('Post Tracker'!$BH$5:$BH$1004,'Post Tracker'!$J$5:$J$1004,$B76,'Post Tracker'!$B$5:$B$1004,"&gt;="&amp;$C$4,'Post Tracker'!$B$5:$B$1004,"&lt;="&amp;$F$4))</f>
        <v>0</v>
      </c>
    </row>
    <row r="77" customFormat="false" ht="15" hidden="false" customHeight="false" outlineLevel="0" collapsed="false">
      <c r="B77" s="50" t="str">
        <f aca="false">IF(Settings!$I$16="","",Settings!$I$16)</f>
        <v/>
      </c>
      <c r="C77" s="51" t="str">
        <f aca="false">IF($B77="","",COUNTIFS('Post Tracker'!$J$5:$J$1004,$B77,'Post Tracker'!$B$5:$B$1004,"&gt;="&amp;$C$4,'Post Tracker'!$B$5:$B$1004,"&lt;="&amp;$F$4))</f>
        <v/>
      </c>
      <c r="D77" s="51" t="str">
        <f aca="false">IF($B77="","",SUMIFS('Post Tracker'!$AC$5:$AC$1004,'Post Tracker'!$J$5:$J$1004,$B77,'Post Tracker'!$B$5:$B$1004,"&gt;="&amp;$C$4,'Post Tracker'!$B$5:$B$1004,"&lt;="&amp;$F$4))</f>
        <v/>
      </c>
      <c r="E77" s="51" t="str">
        <f aca="false">IF($B77="","",SUMIFS('Post Tracker'!$AO$5:$AO$1004,'Post Tracker'!$J$5:$J$1004,$B77,'Post Tracker'!$B$5:$B$1004,"&gt;="&amp;$C$4,'Post Tracker'!$B$5:$B$1004,"&lt;="&amp;$F$4))</f>
        <v/>
      </c>
      <c r="F77" s="51" t="str">
        <f aca="false">IF($B77="","",SUMIFS('Post Tracker'!$AR$5:$AR$1004,'Post Tracker'!$J$5:$J$1004,$B77,'Post Tracker'!$B$5:$B$1004,"&gt;="&amp;$C$4,'Post Tracker'!$B$5:$B$1004,"&lt;="&amp;$F$4))</f>
        <v/>
      </c>
      <c r="G77" s="52" t="str">
        <f aca="false">IF($B77="","",IFERROR(SUMIFS('Post Tracker'!$BP$5:$BP$1004,'Post Tracker'!$J$5:$J$1004,$B77,'Post Tracker'!$B$5:$B$1004,"&gt;="&amp;$C$4,'Post Tracker'!$B$5:$B$1004,"&lt;="&amp;$F$4)/E77,""))</f>
        <v/>
      </c>
      <c r="H77" s="52" t="str">
        <f aca="false">IF($B77="","",IFERROR(F77/SUMIFS('Post Tracker'!$BQ$5:$BQ$1004,'Post Tracker'!$J$5:$J$1004,$B77,'Post Tracker'!$B$5:$B$1004,"&gt;="&amp;$C$4,'Post Tracker'!$B$5:$B$1004,"&lt;="&amp;$F$4),""))</f>
        <v/>
      </c>
      <c r="I77" s="51" t="str">
        <f aca="false">IF($B77="","",SUMIFS('Post Tracker'!$AJ$5:$AJ$1004,'Post Tracker'!$J$5:$J$1004,$B77,'Post Tracker'!$B$5:$B$1004,"&gt;="&amp;$C$4,'Post Tracker'!$B$5:$B$1004,"&lt;="&amp;$F$4))</f>
        <v/>
      </c>
      <c r="J77" s="52" t="str">
        <f aca="false">IF($B77="","",IFERROR(I77/D77,""))</f>
        <v/>
      </c>
      <c r="K77" s="51" t="str">
        <f aca="false">IF($B77="","",SUMIFS('Post Tracker'!$AZ$5:$AZ$1004,'Post Tracker'!$J$5:$J$1004,$B77,'Post Tracker'!$B$5:$B$1004,"&gt;="&amp;$C$4,'Post Tracker'!$B$5:$B$1004,"&lt;="&amp;$F$4))</f>
        <v/>
      </c>
      <c r="L77" s="51" t="str">
        <f aca="false">IF($B77="","",SUMIFS('Post Tracker'!$BB$5:$BB$1004,'Post Tracker'!$J$5:$J$1004,$B77,'Post Tracker'!$B$5:$B$1004,"&gt;="&amp;$C$4,'Post Tracker'!$B$5:$B$1004,"&lt;="&amp;$F$4))</f>
        <v/>
      </c>
      <c r="M77" s="51" t="str">
        <f aca="false">IF($B77="","",SUMIFS('Post Tracker'!$BD$5:$BD$1004,'Post Tracker'!$J$5:$J$1004,$B77,'Post Tracker'!$B$5:$B$1004,"&gt;="&amp;$C$4,'Post Tracker'!$B$5:$B$1004,"&lt;="&amp;$F$4))</f>
        <v/>
      </c>
      <c r="N77" s="51" t="str">
        <f aca="false">IF($B77="","",SUMIFS('Post Tracker'!$BF$5:$BF$1004,'Post Tracker'!$J$5:$J$1004,$B77,'Post Tracker'!$B$5:$B$1004,"&gt;="&amp;$C$4,'Post Tracker'!$B$5:$B$1004,"&lt;="&amp;$F$4))</f>
        <v/>
      </c>
      <c r="O77" s="52" t="str">
        <f aca="false">IF($B77="","",IFERROR(M77/K77,""))</f>
        <v/>
      </c>
      <c r="P77" s="62" t="str">
        <f aca="false">IF($B77="","",SUMIFS('Post Tracker'!$BH$5:$BH$1004,'Post Tracker'!$J$5:$J$1004,$B77,'Post Tracker'!$B$5:$B$1004,"&gt;="&amp;$C$4,'Post Tracker'!$B$5:$B$1004,"&lt;="&amp;$F$4))</f>
        <v/>
      </c>
    </row>
    <row r="78" customFormat="false" ht="15" hidden="false" customHeight="false" outlineLevel="0" collapsed="false">
      <c r="B78" s="50" t="str">
        <f aca="false">IF(Settings!$I$17="","",Settings!$I$17)</f>
        <v/>
      </c>
      <c r="C78" s="51" t="str">
        <f aca="false">IF($B78="","",COUNTIFS('Post Tracker'!$J$5:$J$1004,$B78,'Post Tracker'!$B$5:$B$1004,"&gt;="&amp;$C$4,'Post Tracker'!$B$5:$B$1004,"&lt;="&amp;$F$4))</f>
        <v/>
      </c>
      <c r="D78" s="51" t="str">
        <f aca="false">IF($B78="","",SUMIFS('Post Tracker'!$AC$5:$AC$1004,'Post Tracker'!$J$5:$J$1004,$B78,'Post Tracker'!$B$5:$B$1004,"&gt;="&amp;$C$4,'Post Tracker'!$B$5:$B$1004,"&lt;="&amp;$F$4))</f>
        <v/>
      </c>
      <c r="E78" s="51" t="str">
        <f aca="false">IF($B78="","",SUMIFS('Post Tracker'!$AO$5:$AO$1004,'Post Tracker'!$J$5:$J$1004,$B78,'Post Tracker'!$B$5:$B$1004,"&gt;="&amp;$C$4,'Post Tracker'!$B$5:$B$1004,"&lt;="&amp;$F$4))</f>
        <v/>
      </c>
      <c r="F78" s="51" t="str">
        <f aca="false">IF($B78="","",SUMIFS('Post Tracker'!$AR$5:$AR$1004,'Post Tracker'!$J$5:$J$1004,$B78,'Post Tracker'!$B$5:$B$1004,"&gt;="&amp;$C$4,'Post Tracker'!$B$5:$B$1004,"&lt;="&amp;$F$4))</f>
        <v/>
      </c>
      <c r="G78" s="52" t="str">
        <f aca="false">IF($B78="","",IFERROR(SUMIFS('Post Tracker'!$BP$5:$BP$1004,'Post Tracker'!$J$5:$J$1004,$B78,'Post Tracker'!$B$5:$B$1004,"&gt;="&amp;$C$4,'Post Tracker'!$B$5:$B$1004,"&lt;="&amp;$F$4)/E78,""))</f>
        <v/>
      </c>
      <c r="H78" s="52" t="str">
        <f aca="false">IF($B78="","",IFERROR(F78/SUMIFS('Post Tracker'!$BQ$5:$BQ$1004,'Post Tracker'!$J$5:$J$1004,$B78,'Post Tracker'!$B$5:$B$1004,"&gt;="&amp;$C$4,'Post Tracker'!$B$5:$B$1004,"&lt;="&amp;$F$4),""))</f>
        <v/>
      </c>
      <c r="I78" s="51" t="str">
        <f aca="false">IF($B78="","",SUMIFS('Post Tracker'!$AJ$5:$AJ$1004,'Post Tracker'!$J$5:$J$1004,$B78,'Post Tracker'!$B$5:$B$1004,"&gt;="&amp;$C$4,'Post Tracker'!$B$5:$B$1004,"&lt;="&amp;$F$4))</f>
        <v/>
      </c>
      <c r="J78" s="52" t="str">
        <f aca="false">IF($B78="","",IFERROR(I78/D78,""))</f>
        <v/>
      </c>
      <c r="K78" s="51" t="str">
        <f aca="false">IF($B78="","",SUMIFS('Post Tracker'!$AZ$5:$AZ$1004,'Post Tracker'!$J$5:$J$1004,$B78,'Post Tracker'!$B$5:$B$1004,"&gt;="&amp;$C$4,'Post Tracker'!$B$5:$B$1004,"&lt;="&amp;$F$4))</f>
        <v/>
      </c>
      <c r="L78" s="51" t="str">
        <f aca="false">IF($B78="","",SUMIFS('Post Tracker'!$BB$5:$BB$1004,'Post Tracker'!$J$5:$J$1004,$B78,'Post Tracker'!$B$5:$B$1004,"&gt;="&amp;$C$4,'Post Tracker'!$B$5:$B$1004,"&lt;="&amp;$F$4))</f>
        <v/>
      </c>
      <c r="M78" s="51" t="str">
        <f aca="false">IF($B78="","",SUMIFS('Post Tracker'!$BD$5:$BD$1004,'Post Tracker'!$J$5:$J$1004,$B78,'Post Tracker'!$B$5:$B$1004,"&gt;="&amp;$C$4,'Post Tracker'!$B$5:$B$1004,"&lt;="&amp;$F$4))</f>
        <v/>
      </c>
      <c r="N78" s="51" t="str">
        <f aca="false">IF($B78="","",SUMIFS('Post Tracker'!$BF$5:$BF$1004,'Post Tracker'!$J$5:$J$1004,$B78,'Post Tracker'!$B$5:$B$1004,"&gt;="&amp;$C$4,'Post Tracker'!$B$5:$B$1004,"&lt;="&amp;$F$4))</f>
        <v/>
      </c>
      <c r="O78" s="52" t="str">
        <f aca="false">IF($B78="","",IFERROR(M78/K78,""))</f>
        <v/>
      </c>
      <c r="P78" s="62" t="str">
        <f aca="false">IF($B78="","",SUMIFS('Post Tracker'!$BH$5:$BH$1004,'Post Tracker'!$J$5:$J$1004,$B78,'Post Tracker'!$B$5:$B$1004,"&gt;="&amp;$C$4,'Post Tracker'!$B$5:$B$1004,"&lt;="&amp;$F$4))</f>
        <v/>
      </c>
    </row>
    <row r="80" customFormat="false" ht="15" hidden="false" customHeight="false" outlineLevel="0" collapsed="false">
      <c r="B80" s="3" t="s">
        <v>260</v>
      </c>
      <c r="E80" s="54" t="s">
        <v>261</v>
      </c>
    </row>
    <row r="81" customFormat="false" ht="30" hidden="false" customHeight="true" outlineLevel="0" collapsed="false">
      <c r="B81" s="60"/>
      <c r="C81" s="61" t="s">
        <v>253</v>
      </c>
      <c r="D81" s="61" t="s">
        <v>222</v>
      </c>
      <c r="E81" s="61" t="s">
        <v>254</v>
      </c>
      <c r="F81" s="61" t="s">
        <v>223</v>
      </c>
      <c r="G81" s="61" t="s">
        <v>250</v>
      </c>
      <c r="H81" s="61" t="s">
        <v>249</v>
      </c>
      <c r="I81" s="61" t="s">
        <v>106</v>
      </c>
      <c r="J81" s="61" t="s">
        <v>255</v>
      </c>
      <c r="K81" s="61" t="s">
        <v>256</v>
      </c>
      <c r="L81" s="61" t="s">
        <v>124</v>
      </c>
      <c r="M81" s="61" t="s">
        <v>126</v>
      </c>
      <c r="N81" s="61" t="s">
        <v>128</v>
      </c>
      <c r="O81" s="61" t="s">
        <v>134</v>
      </c>
      <c r="P81" s="61" t="s">
        <v>257</v>
      </c>
    </row>
    <row r="82" customFormat="false" ht="15" hidden="false" customHeight="false" outlineLevel="0" collapsed="false">
      <c r="B82" s="50" t="str">
        <f aca="false">IF('Case Studies'!$B$5="","",'Case Studies'!$B$5)</f>
        <v/>
      </c>
      <c r="C82" s="51" t="str">
        <f aca="false">IF($B82="","",COUNTIFS('Post Tracker'!$K$5:$K$1004,$B82,'Post Tracker'!$B$5:$B$1004,"&gt;="&amp;$C$4,'Post Tracker'!$B$5:$B$1004,"&lt;="&amp;$F$4))</f>
        <v/>
      </c>
      <c r="D82" s="51" t="str">
        <f aca="false">IF($B82="","",SUMIFS('Post Tracker'!$AC$5:$AC$1004,'Post Tracker'!$K$5:$K$1004,$B82,'Post Tracker'!$B$5:$B$1004,"&gt;="&amp;$C$4,'Post Tracker'!$B$5:$B$1004,"&lt;="&amp;$F$4))</f>
        <v/>
      </c>
      <c r="E82" s="51" t="str">
        <f aca="false">IF($B82="","",SUMIFS('Post Tracker'!$AO$5:$AO$1004,'Post Tracker'!$K$5:$K$1004,$B82,'Post Tracker'!$B$5:$B$1004,"&gt;="&amp;$C$4,'Post Tracker'!$B$5:$B$1004,"&lt;="&amp;$F$4))</f>
        <v/>
      </c>
      <c r="F82" s="51" t="str">
        <f aca="false">IF($B82="","",SUMIFS('Post Tracker'!$AR$5:$AR$1004,'Post Tracker'!$K$5:$K$1004,$B82,'Post Tracker'!$B$5:$B$1004,"&gt;="&amp;$C$4,'Post Tracker'!$B$5:$B$1004,"&lt;="&amp;$F$4))</f>
        <v/>
      </c>
      <c r="G82" s="52" t="str">
        <f aca="false">IF($B82="","",IFERROR(SUMIFS('Post Tracker'!$BP$5:$BP$1004,'Post Tracker'!$K$5:$K$1004,$B82,'Post Tracker'!$B$5:$B$1004,"&gt;="&amp;$C$4,'Post Tracker'!$B$5:$B$1004,"&lt;="&amp;$F$4)/E82,""))</f>
        <v/>
      </c>
      <c r="H82" s="52" t="str">
        <f aca="false">IF($B82="","",IFERROR(F82/SUMIFS('Post Tracker'!$BQ$5:$BQ$1004,'Post Tracker'!$K$5:$K$1004,$B82,'Post Tracker'!$B$5:$B$1004,"&gt;="&amp;$C$4,'Post Tracker'!$B$5:$B$1004,"&lt;="&amp;$F$4),""))</f>
        <v/>
      </c>
      <c r="I82" s="51" t="str">
        <f aca="false">IF($B82="","",SUMIFS('Post Tracker'!$AJ$5:$AJ$1004,'Post Tracker'!$K$5:$K$1004,$B82,'Post Tracker'!$B$5:$B$1004,"&gt;="&amp;$C$4,'Post Tracker'!$B$5:$B$1004,"&lt;="&amp;$F$4))</f>
        <v/>
      </c>
      <c r="J82" s="52" t="str">
        <f aca="false">IF($B82="","",IFERROR(I82/D82,""))</f>
        <v/>
      </c>
      <c r="K82" s="51" t="str">
        <f aca="false">IF($B82="","",SUMIFS('Post Tracker'!$AZ$5:$AZ$1004,'Post Tracker'!$K$5:$K$1004,$B82,'Post Tracker'!$B$5:$B$1004,"&gt;="&amp;$C$4,'Post Tracker'!$B$5:$B$1004,"&lt;="&amp;$F$4))</f>
        <v/>
      </c>
      <c r="L82" s="51" t="str">
        <f aca="false">IF($B82="","",SUMIFS('Post Tracker'!$BB$5:$BB$1004,'Post Tracker'!$K$5:$K$1004,$B82,'Post Tracker'!$B$5:$B$1004,"&gt;="&amp;$C$4,'Post Tracker'!$B$5:$B$1004,"&lt;="&amp;$F$4))</f>
        <v/>
      </c>
      <c r="M82" s="51" t="str">
        <f aca="false">IF($B82="","",SUMIFS('Post Tracker'!$BD$5:$BD$1004,'Post Tracker'!$K$5:$K$1004,$B82,'Post Tracker'!$B$5:$B$1004,"&gt;="&amp;$C$4,'Post Tracker'!$B$5:$B$1004,"&lt;="&amp;$F$4))</f>
        <v/>
      </c>
      <c r="N82" s="51" t="str">
        <f aca="false">IF($B82="","",SUMIFS('Post Tracker'!$BF$5:$BF$1004,'Post Tracker'!$K$5:$K$1004,$B82,'Post Tracker'!$B$5:$B$1004,"&gt;="&amp;$C$4,'Post Tracker'!$B$5:$B$1004,"&lt;="&amp;$F$4))</f>
        <v/>
      </c>
      <c r="O82" s="52" t="str">
        <f aca="false">IF($B82="","",IFERROR(M82/K82,""))</f>
        <v/>
      </c>
      <c r="P82" s="62" t="str">
        <f aca="false">IF($B82="","",SUMIFS('Post Tracker'!$BH$5:$BH$1004,'Post Tracker'!$K$5:$K$1004,$B82,'Post Tracker'!$B$5:$B$1004,"&gt;="&amp;$C$4,'Post Tracker'!$B$5:$B$1004,"&lt;="&amp;$F$4))</f>
        <v/>
      </c>
    </row>
    <row r="83" customFormat="false" ht="15" hidden="false" customHeight="false" outlineLevel="0" collapsed="false">
      <c r="B83" s="50" t="str">
        <f aca="false">IF('Case Studies'!$B$6="","",'Case Studies'!$B$6)</f>
        <v/>
      </c>
      <c r="C83" s="51" t="str">
        <f aca="false">IF($B83="","",COUNTIFS('Post Tracker'!$K$5:$K$1004,$B83,'Post Tracker'!$B$5:$B$1004,"&gt;="&amp;$C$4,'Post Tracker'!$B$5:$B$1004,"&lt;="&amp;$F$4))</f>
        <v/>
      </c>
      <c r="D83" s="51" t="str">
        <f aca="false">IF($B83="","",SUMIFS('Post Tracker'!$AC$5:$AC$1004,'Post Tracker'!$K$5:$K$1004,$B83,'Post Tracker'!$B$5:$B$1004,"&gt;="&amp;$C$4,'Post Tracker'!$B$5:$B$1004,"&lt;="&amp;$F$4))</f>
        <v/>
      </c>
      <c r="E83" s="51" t="str">
        <f aca="false">IF($B83="","",SUMIFS('Post Tracker'!$AO$5:$AO$1004,'Post Tracker'!$K$5:$K$1004,$B83,'Post Tracker'!$B$5:$B$1004,"&gt;="&amp;$C$4,'Post Tracker'!$B$5:$B$1004,"&lt;="&amp;$F$4))</f>
        <v/>
      </c>
      <c r="F83" s="51" t="str">
        <f aca="false">IF($B83="","",SUMIFS('Post Tracker'!$AR$5:$AR$1004,'Post Tracker'!$K$5:$K$1004,$B83,'Post Tracker'!$B$5:$B$1004,"&gt;="&amp;$C$4,'Post Tracker'!$B$5:$B$1004,"&lt;="&amp;$F$4))</f>
        <v/>
      </c>
      <c r="G83" s="52" t="str">
        <f aca="false">IF($B83="","",IFERROR(SUMIFS('Post Tracker'!$BP$5:$BP$1004,'Post Tracker'!$K$5:$K$1004,$B83,'Post Tracker'!$B$5:$B$1004,"&gt;="&amp;$C$4,'Post Tracker'!$B$5:$B$1004,"&lt;="&amp;$F$4)/E83,""))</f>
        <v/>
      </c>
      <c r="H83" s="52" t="str">
        <f aca="false">IF($B83="","",IFERROR(F83/SUMIFS('Post Tracker'!$BQ$5:$BQ$1004,'Post Tracker'!$K$5:$K$1004,$B83,'Post Tracker'!$B$5:$B$1004,"&gt;="&amp;$C$4,'Post Tracker'!$B$5:$B$1004,"&lt;="&amp;$F$4),""))</f>
        <v/>
      </c>
      <c r="I83" s="51" t="str">
        <f aca="false">IF($B83="","",SUMIFS('Post Tracker'!$AJ$5:$AJ$1004,'Post Tracker'!$K$5:$K$1004,$B83,'Post Tracker'!$B$5:$B$1004,"&gt;="&amp;$C$4,'Post Tracker'!$B$5:$B$1004,"&lt;="&amp;$F$4))</f>
        <v/>
      </c>
      <c r="J83" s="52" t="str">
        <f aca="false">IF($B83="","",IFERROR(I83/D83,""))</f>
        <v/>
      </c>
      <c r="K83" s="51" t="str">
        <f aca="false">IF($B83="","",SUMIFS('Post Tracker'!$AZ$5:$AZ$1004,'Post Tracker'!$K$5:$K$1004,$B83,'Post Tracker'!$B$5:$B$1004,"&gt;="&amp;$C$4,'Post Tracker'!$B$5:$B$1004,"&lt;="&amp;$F$4))</f>
        <v/>
      </c>
      <c r="L83" s="51" t="str">
        <f aca="false">IF($B83="","",SUMIFS('Post Tracker'!$BB$5:$BB$1004,'Post Tracker'!$K$5:$K$1004,$B83,'Post Tracker'!$B$5:$B$1004,"&gt;="&amp;$C$4,'Post Tracker'!$B$5:$B$1004,"&lt;="&amp;$F$4))</f>
        <v/>
      </c>
      <c r="M83" s="51" t="str">
        <f aca="false">IF($B83="","",SUMIFS('Post Tracker'!$BD$5:$BD$1004,'Post Tracker'!$K$5:$K$1004,$B83,'Post Tracker'!$B$5:$B$1004,"&gt;="&amp;$C$4,'Post Tracker'!$B$5:$B$1004,"&lt;="&amp;$F$4))</f>
        <v/>
      </c>
      <c r="N83" s="51" t="str">
        <f aca="false">IF($B83="","",SUMIFS('Post Tracker'!$BF$5:$BF$1004,'Post Tracker'!$K$5:$K$1004,$B83,'Post Tracker'!$B$5:$B$1004,"&gt;="&amp;$C$4,'Post Tracker'!$B$5:$B$1004,"&lt;="&amp;$F$4))</f>
        <v/>
      </c>
      <c r="O83" s="52" t="str">
        <f aca="false">IF($B83="","",IFERROR(M83/K83,""))</f>
        <v/>
      </c>
      <c r="P83" s="62" t="str">
        <f aca="false">IF($B83="","",SUMIFS('Post Tracker'!$BH$5:$BH$1004,'Post Tracker'!$K$5:$K$1004,$B83,'Post Tracker'!$B$5:$B$1004,"&gt;="&amp;$C$4,'Post Tracker'!$B$5:$B$1004,"&lt;="&amp;$F$4))</f>
        <v/>
      </c>
    </row>
    <row r="84" customFormat="false" ht="15" hidden="false" customHeight="false" outlineLevel="0" collapsed="false">
      <c r="B84" s="50" t="str">
        <f aca="false">IF('Case Studies'!$B$7="","",'Case Studies'!$B$7)</f>
        <v/>
      </c>
      <c r="C84" s="51" t="str">
        <f aca="false">IF($B84="","",COUNTIFS('Post Tracker'!$K$5:$K$1004,$B84,'Post Tracker'!$B$5:$B$1004,"&gt;="&amp;$C$4,'Post Tracker'!$B$5:$B$1004,"&lt;="&amp;$F$4))</f>
        <v/>
      </c>
      <c r="D84" s="51" t="str">
        <f aca="false">IF($B84="","",SUMIFS('Post Tracker'!$AC$5:$AC$1004,'Post Tracker'!$K$5:$K$1004,$B84,'Post Tracker'!$B$5:$B$1004,"&gt;="&amp;$C$4,'Post Tracker'!$B$5:$B$1004,"&lt;="&amp;$F$4))</f>
        <v/>
      </c>
      <c r="E84" s="51" t="str">
        <f aca="false">IF($B84="","",SUMIFS('Post Tracker'!$AO$5:$AO$1004,'Post Tracker'!$K$5:$K$1004,$B84,'Post Tracker'!$B$5:$B$1004,"&gt;="&amp;$C$4,'Post Tracker'!$B$5:$B$1004,"&lt;="&amp;$F$4))</f>
        <v/>
      </c>
      <c r="F84" s="51" t="str">
        <f aca="false">IF($B84="","",SUMIFS('Post Tracker'!$AR$5:$AR$1004,'Post Tracker'!$K$5:$K$1004,$B84,'Post Tracker'!$B$5:$B$1004,"&gt;="&amp;$C$4,'Post Tracker'!$B$5:$B$1004,"&lt;="&amp;$F$4))</f>
        <v/>
      </c>
      <c r="G84" s="52" t="str">
        <f aca="false">IF($B84="","",IFERROR(SUMIFS('Post Tracker'!$BP$5:$BP$1004,'Post Tracker'!$K$5:$K$1004,$B84,'Post Tracker'!$B$5:$B$1004,"&gt;="&amp;$C$4,'Post Tracker'!$B$5:$B$1004,"&lt;="&amp;$F$4)/E84,""))</f>
        <v/>
      </c>
      <c r="H84" s="52" t="str">
        <f aca="false">IF($B84="","",IFERROR(F84/SUMIFS('Post Tracker'!$BQ$5:$BQ$1004,'Post Tracker'!$K$5:$K$1004,$B84,'Post Tracker'!$B$5:$B$1004,"&gt;="&amp;$C$4,'Post Tracker'!$B$5:$B$1004,"&lt;="&amp;$F$4),""))</f>
        <v/>
      </c>
      <c r="I84" s="51" t="str">
        <f aca="false">IF($B84="","",SUMIFS('Post Tracker'!$AJ$5:$AJ$1004,'Post Tracker'!$K$5:$K$1004,$B84,'Post Tracker'!$B$5:$B$1004,"&gt;="&amp;$C$4,'Post Tracker'!$B$5:$B$1004,"&lt;="&amp;$F$4))</f>
        <v/>
      </c>
      <c r="J84" s="52" t="str">
        <f aca="false">IF($B84="","",IFERROR(I84/D84,""))</f>
        <v/>
      </c>
      <c r="K84" s="51" t="str">
        <f aca="false">IF($B84="","",SUMIFS('Post Tracker'!$AZ$5:$AZ$1004,'Post Tracker'!$K$5:$K$1004,$B84,'Post Tracker'!$B$5:$B$1004,"&gt;="&amp;$C$4,'Post Tracker'!$B$5:$B$1004,"&lt;="&amp;$F$4))</f>
        <v/>
      </c>
      <c r="L84" s="51" t="str">
        <f aca="false">IF($B84="","",SUMIFS('Post Tracker'!$BB$5:$BB$1004,'Post Tracker'!$K$5:$K$1004,$B84,'Post Tracker'!$B$5:$B$1004,"&gt;="&amp;$C$4,'Post Tracker'!$B$5:$B$1004,"&lt;="&amp;$F$4))</f>
        <v/>
      </c>
      <c r="M84" s="51" t="str">
        <f aca="false">IF($B84="","",SUMIFS('Post Tracker'!$BD$5:$BD$1004,'Post Tracker'!$K$5:$K$1004,$B84,'Post Tracker'!$B$5:$B$1004,"&gt;="&amp;$C$4,'Post Tracker'!$B$5:$B$1004,"&lt;="&amp;$F$4))</f>
        <v/>
      </c>
      <c r="N84" s="51" t="str">
        <f aca="false">IF($B84="","",SUMIFS('Post Tracker'!$BF$5:$BF$1004,'Post Tracker'!$K$5:$K$1004,$B84,'Post Tracker'!$B$5:$B$1004,"&gt;="&amp;$C$4,'Post Tracker'!$B$5:$B$1004,"&lt;="&amp;$F$4))</f>
        <v/>
      </c>
      <c r="O84" s="52" t="str">
        <f aca="false">IF($B84="","",IFERROR(M84/K84,""))</f>
        <v/>
      </c>
      <c r="P84" s="62" t="str">
        <f aca="false">IF($B84="","",SUMIFS('Post Tracker'!$BH$5:$BH$1004,'Post Tracker'!$K$5:$K$1004,$B84,'Post Tracker'!$B$5:$B$1004,"&gt;="&amp;$C$4,'Post Tracker'!$B$5:$B$1004,"&lt;="&amp;$F$4))</f>
        <v/>
      </c>
    </row>
    <row r="85" customFormat="false" ht="15" hidden="false" customHeight="false" outlineLevel="0" collapsed="false">
      <c r="B85" s="50" t="str">
        <f aca="false">IF('Case Studies'!$B$8="","",'Case Studies'!$B$8)</f>
        <v/>
      </c>
      <c r="C85" s="51" t="str">
        <f aca="false">IF($B85="","",COUNTIFS('Post Tracker'!$K$5:$K$1004,$B85,'Post Tracker'!$B$5:$B$1004,"&gt;="&amp;$C$4,'Post Tracker'!$B$5:$B$1004,"&lt;="&amp;$F$4))</f>
        <v/>
      </c>
      <c r="D85" s="51" t="str">
        <f aca="false">IF($B85="","",SUMIFS('Post Tracker'!$AC$5:$AC$1004,'Post Tracker'!$K$5:$K$1004,$B85,'Post Tracker'!$B$5:$B$1004,"&gt;="&amp;$C$4,'Post Tracker'!$B$5:$B$1004,"&lt;="&amp;$F$4))</f>
        <v/>
      </c>
      <c r="E85" s="51" t="str">
        <f aca="false">IF($B85="","",SUMIFS('Post Tracker'!$AO$5:$AO$1004,'Post Tracker'!$K$5:$K$1004,$B85,'Post Tracker'!$B$5:$B$1004,"&gt;="&amp;$C$4,'Post Tracker'!$B$5:$B$1004,"&lt;="&amp;$F$4))</f>
        <v/>
      </c>
      <c r="F85" s="51" t="str">
        <f aca="false">IF($B85="","",SUMIFS('Post Tracker'!$AR$5:$AR$1004,'Post Tracker'!$K$5:$K$1004,$B85,'Post Tracker'!$B$5:$B$1004,"&gt;="&amp;$C$4,'Post Tracker'!$B$5:$B$1004,"&lt;="&amp;$F$4))</f>
        <v/>
      </c>
      <c r="G85" s="52" t="str">
        <f aca="false">IF($B85="","",IFERROR(SUMIFS('Post Tracker'!$BP$5:$BP$1004,'Post Tracker'!$K$5:$K$1004,$B85,'Post Tracker'!$B$5:$B$1004,"&gt;="&amp;$C$4,'Post Tracker'!$B$5:$B$1004,"&lt;="&amp;$F$4)/E85,""))</f>
        <v/>
      </c>
      <c r="H85" s="52" t="str">
        <f aca="false">IF($B85="","",IFERROR(F85/SUMIFS('Post Tracker'!$BQ$5:$BQ$1004,'Post Tracker'!$K$5:$K$1004,$B85,'Post Tracker'!$B$5:$B$1004,"&gt;="&amp;$C$4,'Post Tracker'!$B$5:$B$1004,"&lt;="&amp;$F$4),""))</f>
        <v/>
      </c>
      <c r="I85" s="51" t="str">
        <f aca="false">IF($B85="","",SUMIFS('Post Tracker'!$AJ$5:$AJ$1004,'Post Tracker'!$K$5:$K$1004,$B85,'Post Tracker'!$B$5:$B$1004,"&gt;="&amp;$C$4,'Post Tracker'!$B$5:$B$1004,"&lt;="&amp;$F$4))</f>
        <v/>
      </c>
      <c r="J85" s="52" t="str">
        <f aca="false">IF($B85="","",IFERROR(I85/D85,""))</f>
        <v/>
      </c>
      <c r="K85" s="51" t="str">
        <f aca="false">IF($B85="","",SUMIFS('Post Tracker'!$AZ$5:$AZ$1004,'Post Tracker'!$K$5:$K$1004,$B85,'Post Tracker'!$B$5:$B$1004,"&gt;="&amp;$C$4,'Post Tracker'!$B$5:$B$1004,"&lt;="&amp;$F$4))</f>
        <v/>
      </c>
      <c r="L85" s="51" t="str">
        <f aca="false">IF($B85="","",SUMIFS('Post Tracker'!$BB$5:$BB$1004,'Post Tracker'!$K$5:$K$1004,$B85,'Post Tracker'!$B$5:$B$1004,"&gt;="&amp;$C$4,'Post Tracker'!$B$5:$B$1004,"&lt;="&amp;$F$4))</f>
        <v/>
      </c>
      <c r="M85" s="51" t="str">
        <f aca="false">IF($B85="","",SUMIFS('Post Tracker'!$BD$5:$BD$1004,'Post Tracker'!$K$5:$K$1004,$B85,'Post Tracker'!$B$5:$B$1004,"&gt;="&amp;$C$4,'Post Tracker'!$B$5:$B$1004,"&lt;="&amp;$F$4))</f>
        <v/>
      </c>
      <c r="N85" s="51" t="str">
        <f aca="false">IF($B85="","",SUMIFS('Post Tracker'!$BF$5:$BF$1004,'Post Tracker'!$K$5:$K$1004,$B85,'Post Tracker'!$B$5:$B$1004,"&gt;="&amp;$C$4,'Post Tracker'!$B$5:$B$1004,"&lt;="&amp;$F$4))</f>
        <v/>
      </c>
      <c r="O85" s="52" t="str">
        <f aca="false">IF($B85="","",IFERROR(M85/K85,""))</f>
        <v/>
      </c>
      <c r="P85" s="62" t="str">
        <f aca="false">IF($B85="","",SUMIFS('Post Tracker'!$BH$5:$BH$1004,'Post Tracker'!$K$5:$K$1004,$B85,'Post Tracker'!$B$5:$B$1004,"&gt;="&amp;$C$4,'Post Tracker'!$B$5:$B$1004,"&lt;="&amp;$F$4))</f>
        <v/>
      </c>
    </row>
    <row r="86" customFormat="false" ht="15" hidden="false" customHeight="false" outlineLevel="0" collapsed="false">
      <c r="B86" s="50" t="str">
        <f aca="false">IF('Case Studies'!$B$9="","",'Case Studies'!$B$9)</f>
        <v/>
      </c>
      <c r="C86" s="51" t="str">
        <f aca="false">IF($B86="","",COUNTIFS('Post Tracker'!$K$5:$K$1004,$B86,'Post Tracker'!$B$5:$B$1004,"&gt;="&amp;$C$4,'Post Tracker'!$B$5:$B$1004,"&lt;="&amp;$F$4))</f>
        <v/>
      </c>
      <c r="D86" s="51" t="str">
        <f aca="false">IF($B86="","",SUMIFS('Post Tracker'!$AC$5:$AC$1004,'Post Tracker'!$K$5:$K$1004,$B86,'Post Tracker'!$B$5:$B$1004,"&gt;="&amp;$C$4,'Post Tracker'!$B$5:$B$1004,"&lt;="&amp;$F$4))</f>
        <v/>
      </c>
      <c r="E86" s="51" t="str">
        <f aca="false">IF($B86="","",SUMIFS('Post Tracker'!$AO$5:$AO$1004,'Post Tracker'!$K$5:$K$1004,$B86,'Post Tracker'!$B$5:$B$1004,"&gt;="&amp;$C$4,'Post Tracker'!$B$5:$B$1004,"&lt;="&amp;$F$4))</f>
        <v/>
      </c>
      <c r="F86" s="51" t="str">
        <f aca="false">IF($B86="","",SUMIFS('Post Tracker'!$AR$5:$AR$1004,'Post Tracker'!$K$5:$K$1004,$B86,'Post Tracker'!$B$5:$B$1004,"&gt;="&amp;$C$4,'Post Tracker'!$B$5:$B$1004,"&lt;="&amp;$F$4))</f>
        <v/>
      </c>
      <c r="G86" s="52" t="str">
        <f aca="false">IF($B86="","",IFERROR(SUMIFS('Post Tracker'!$BP$5:$BP$1004,'Post Tracker'!$K$5:$K$1004,$B86,'Post Tracker'!$B$5:$B$1004,"&gt;="&amp;$C$4,'Post Tracker'!$B$5:$B$1004,"&lt;="&amp;$F$4)/E86,""))</f>
        <v/>
      </c>
      <c r="H86" s="52" t="str">
        <f aca="false">IF($B86="","",IFERROR(F86/SUMIFS('Post Tracker'!$BQ$5:$BQ$1004,'Post Tracker'!$K$5:$K$1004,$B86,'Post Tracker'!$B$5:$B$1004,"&gt;="&amp;$C$4,'Post Tracker'!$B$5:$B$1004,"&lt;="&amp;$F$4),""))</f>
        <v/>
      </c>
      <c r="I86" s="51" t="str">
        <f aca="false">IF($B86="","",SUMIFS('Post Tracker'!$AJ$5:$AJ$1004,'Post Tracker'!$K$5:$K$1004,$B86,'Post Tracker'!$B$5:$B$1004,"&gt;="&amp;$C$4,'Post Tracker'!$B$5:$B$1004,"&lt;="&amp;$F$4))</f>
        <v/>
      </c>
      <c r="J86" s="52" t="str">
        <f aca="false">IF($B86="","",IFERROR(I86/D86,""))</f>
        <v/>
      </c>
      <c r="K86" s="51" t="str">
        <f aca="false">IF($B86="","",SUMIFS('Post Tracker'!$AZ$5:$AZ$1004,'Post Tracker'!$K$5:$K$1004,$B86,'Post Tracker'!$B$5:$B$1004,"&gt;="&amp;$C$4,'Post Tracker'!$B$5:$B$1004,"&lt;="&amp;$F$4))</f>
        <v/>
      </c>
      <c r="L86" s="51" t="str">
        <f aca="false">IF($B86="","",SUMIFS('Post Tracker'!$BB$5:$BB$1004,'Post Tracker'!$K$5:$K$1004,$B86,'Post Tracker'!$B$5:$B$1004,"&gt;="&amp;$C$4,'Post Tracker'!$B$5:$B$1004,"&lt;="&amp;$F$4))</f>
        <v/>
      </c>
      <c r="M86" s="51" t="str">
        <f aca="false">IF($B86="","",SUMIFS('Post Tracker'!$BD$5:$BD$1004,'Post Tracker'!$K$5:$K$1004,$B86,'Post Tracker'!$B$5:$B$1004,"&gt;="&amp;$C$4,'Post Tracker'!$B$5:$B$1004,"&lt;="&amp;$F$4))</f>
        <v/>
      </c>
      <c r="N86" s="51" t="str">
        <f aca="false">IF($B86="","",SUMIFS('Post Tracker'!$BF$5:$BF$1004,'Post Tracker'!$K$5:$K$1004,$B86,'Post Tracker'!$B$5:$B$1004,"&gt;="&amp;$C$4,'Post Tracker'!$B$5:$B$1004,"&lt;="&amp;$F$4))</f>
        <v/>
      </c>
      <c r="O86" s="52" t="str">
        <f aca="false">IF($B86="","",IFERROR(M86/K86,""))</f>
        <v/>
      </c>
      <c r="P86" s="62" t="str">
        <f aca="false">IF($B86="","",SUMIFS('Post Tracker'!$BH$5:$BH$1004,'Post Tracker'!$K$5:$K$1004,$B86,'Post Tracker'!$B$5:$B$1004,"&gt;="&amp;$C$4,'Post Tracker'!$B$5:$B$1004,"&lt;="&amp;$F$4))</f>
        <v/>
      </c>
    </row>
    <row r="87" customFormat="false" ht="15" hidden="false" customHeight="false" outlineLevel="0" collapsed="false">
      <c r="B87" s="50" t="str">
        <f aca="false">IF('Case Studies'!$B$10="","",'Case Studies'!$B$10)</f>
        <v/>
      </c>
      <c r="C87" s="51" t="str">
        <f aca="false">IF($B87="","",COUNTIFS('Post Tracker'!$K$5:$K$1004,$B87,'Post Tracker'!$B$5:$B$1004,"&gt;="&amp;$C$4,'Post Tracker'!$B$5:$B$1004,"&lt;="&amp;$F$4))</f>
        <v/>
      </c>
      <c r="D87" s="51" t="str">
        <f aca="false">IF($B87="","",SUMIFS('Post Tracker'!$AC$5:$AC$1004,'Post Tracker'!$K$5:$K$1004,$B87,'Post Tracker'!$B$5:$B$1004,"&gt;="&amp;$C$4,'Post Tracker'!$B$5:$B$1004,"&lt;="&amp;$F$4))</f>
        <v/>
      </c>
      <c r="E87" s="51" t="str">
        <f aca="false">IF($B87="","",SUMIFS('Post Tracker'!$AO$5:$AO$1004,'Post Tracker'!$K$5:$K$1004,$B87,'Post Tracker'!$B$5:$B$1004,"&gt;="&amp;$C$4,'Post Tracker'!$B$5:$B$1004,"&lt;="&amp;$F$4))</f>
        <v/>
      </c>
      <c r="F87" s="51" t="str">
        <f aca="false">IF($B87="","",SUMIFS('Post Tracker'!$AR$5:$AR$1004,'Post Tracker'!$K$5:$K$1004,$B87,'Post Tracker'!$B$5:$B$1004,"&gt;="&amp;$C$4,'Post Tracker'!$B$5:$B$1004,"&lt;="&amp;$F$4))</f>
        <v/>
      </c>
      <c r="G87" s="52" t="str">
        <f aca="false">IF($B87="","",IFERROR(SUMIFS('Post Tracker'!$BP$5:$BP$1004,'Post Tracker'!$K$5:$K$1004,$B87,'Post Tracker'!$B$5:$B$1004,"&gt;="&amp;$C$4,'Post Tracker'!$B$5:$B$1004,"&lt;="&amp;$F$4)/E87,""))</f>
        <v/>
      </c>
      <c r="H87" s="52" t="str">
        <f aca="false">IF($B87="","",IFERROR(F87/SUMIFS('Post Tracker'!$BQ$5:$BQ$1004,'Post Tracker'!$K$5:$K$1004,$B87,'Post Tracker'!$B$5:$B$1004,"&gt;="&amp;$C$4,'Post Tracker'!$B$5:$B$1004,"&lt;="&amp;$F$4),""))</f>
        <v/>
      </c>
      <c r="I87" s="51" t="str">
        <f aca="false">IF($B87="","",SUMIFS('Post Tracker'!$AJ$5:$AJ$1004,'Post Tracker'!$K$5:$K$1004,$B87,'Post Tracker'!$B$5:$B$1004,"&gt;="&amp;$C$4,'Post Tracker'!$B$5:$B$1004,"&lt;="&amp;$F$4))</f>
        <v/>
      </c>
      <c r="J87" s="52" t="str">
        <f aca="false">IF($B87="","",IFERROR(I87/D87,""))</f>
        <v/>
      </c>
      <c r="K87" s="51" t="str">
        <f aca="false">IF($B87="","",SUMIFS('Post Tracker'!$AZ$5:$AZ$1004,'Post Tracker'!$K$5:$K$1004,$B87,'Post Tracker'!$B$5:$B$1004,"&gt;="&amp;$C$4,'Post Tracker'!$B$5:$B$1004,"&lt;="&amp;$F$4))</f>
        <v/>
      </c>
      <c r="L87" s="51" t="str">
        <f aca="false">IF($B87="","",SUMIFS('Post Tracker'!$BB$5:$BB$1004,'Post Tracker'!$K$5:$K$1004,$B87,'Post Tracker'!$B$5:$B$1004,"&gt;="&amp;$C$4,'Post Tracker'!$B$5:$B$1004,"&lt;="&amp;$F$4))</f>
        <v/>
      </c>
      <c r="M87" s="51" t="str">
        <f aca="false">IF($B87="","",SUMIFS('Post Tracker'!$BD$5:$BD$1004,'Post Tracker'!$K$5:$K$1004,$B87,'Post Tracker'!$B$5:$B$1004,"&gt;="&amp;$C$4,'Post Tracker'!$B$5:$B$1004,"&lt;="&amp;$F$4))</f>
        <v/>
      </c>
      <c r="N87" s="51" t="str">
        <f aca="false">IF($B87="","",SUMIFS('Post Tracker'!$BF$5:$BF$1004,'Post Tracker'!$K$5:$K$1004,$B87,'Post Tracker'!$B$5:$B$1004,"&gt;="&amp;$C$4,'Post Tracker'!$B$5:$B$1004,"&lt;="&amp;$F$4))</f>
        <v/>
      </c>
      <c r="O87" s="52" t="str">
        <f aca="false">IF($B87="","",IFERROR(M87/K87,""))</f>
        <v/>
      </c>
      <c r="P87" s="62" t="str">
        <f aca="false">IF($B87="","",SUMIFS('Post Tracker'!$BH$5:$BH$1004,'Post Tracker'!$K$5:$K$1004,$B87,'Post Tracker'!$B$5:$B$1004,"&gt;="&amp;$C$4,'Post Tracker'!$B$5:$B$1004,"&lt;="&amp;$F$4))</f>
        <v/>
      </c>
    </row>
    <row r="88" customFormat="false" ht="15" hidden="false" customHeight="false" outlineLevel="0" collapsed="false">
      <c r="B88" s="50" t="str">
        <f aca="false">IF('Case Studies'!$B$11="","",'Case Studies'!$B$11)</f>
        <v/>
      </c>
      <c r="C88" s="51" t="str">
        <f aca="false">IF($B88="","",COUNTIFS('Post Tracker'!$K$5:$K$1004,$B88,'Post Tracker'!$B$5:$B$1004,"&gt;="&amp;$C$4,'Post Tracker'!$B$5:$B$1004,"&lt;="&amp;$F$4))</f>
        <v/>
      </c>
      <c r="D88" s="51" t="str">
        <f aca="false">IF($B88="","",SUMIFS('Post Tracker'!$AC$5:$AC$1004,'Post Tracker'!$K$5:$K$1004,$B88,'Post Tracker'!$B$5:$B$1004,"&gt;="&amp;$C$4,'Post Tracker'!$B$5:$B$1004,"&lt;="&amp;$F$4))</f>
        <v/>
      </c>
      <c r="E88" s="51" t="str">
        <f aca="false">IF($B88="","",SUMIFS('Post Tracker'!$AO$5:$AO$1004,'Post Tracker'!$K$5:$K$1004,$B88,'Post Tracker'!$B$5:$B$1004,"&gt;="&amp;$C$4,'Post Tracker'!$B$5:$B$1004,"&lt;="&amp;$F$4))</f>
        <v/>
      </c>
      <c r="F88" s="51" t="str">
        <f aca="false">IF($B88="","",SUMIFS('Post Tracker'!$AR$5:$AR$1004,'Post Tracker'!$K$5:$K$1004,$B88,'Post Tracker'!$B$5:$B$1004,"&gt;="&amp;$C$4,'Post Tracker'!$B$5:$B$1004,"&lt;="&amp;$F$4))</f>
        <v/>
      </c>
      <c r="G88" s="52" t="str">
        <f aca="false">IF($B88="","",IFERROR(SUMIFS('Post Tracker'!$BP$5:$BP$1004,'Post Tracker'!$K$5:$K$1004,$B88,'Post Tracker'!$B$5:$B$1004,"&gt;="&amp;$C$4,'Post Tracker'!$B$5:$B$1004,"&lt;="&amp;$F$4)/E88,""))</f>
        <v/>
      </c>
      <c r="H88" s="52" t="str">
        <f aca="false">IF($B88="","",IFERROR(F88/SUMIFS('Post Tracker'!$BQ$5:$BQ$1004,'Post Tracker'!$K$5:$K$1004,$B88,'Post Tracker'!$B$5:$B$1004,"&gt;="&amp;$C$4,'Post Tracker'!$B$5:$B$1004,"&lt;="&amp;$F$4),""))</f>
        <v/>
      </c>
      <c r="I88" s="51" t="str">
        <f aca="false">IF($B88="","",SUMIFS('Post Tracker'!$AJ$5:$AJ$1004,'Post Tracker'!$K$5:$K$1004,$B88,'Post Tracker'!$B$5:$B$1004,"&gt;="&amp;$C$4,'Post Tracker'!$B$5:$B$1004,"&lt;="&amp;$F$4))</f>
        <v/>
      </c>
      <c r="J88" s="52" t="str">
        <f aca="false">IF($B88="","",IFERROR(I88/D88,""))</f>
        <v/>
      </c>
      <c r="K88" s="51" t="str">
        <f aca="false">IF($B88="","",SUMIFS('Post Tracker'!$AZ$5:$AZ$1004,'Post Tracker'!$K$5:$K$1004,$B88,'Post Tracker'!$B$5:$B$1004,"&gt;="&amp;$C$4,'Post Tracker'!$B$5:$B$1004,"&lt;="&amp;$F$4))</f>
        <v/>
      </c>
      <c r="L88" s="51" t="str">
        <f aca="false">IF($B88="","",SUMIFS('Post Tracker'!$BB$5:$BB$1004,'Post Tracker'!$K$5:$K$1004,$B88,'Post Tracker'!$B$5:$B$1004,"&gt;="&amp;$C$4,'Post Tracker'!$B$5:$B$1004,"&lt;="&amp;$F$4))</f>
        <v/>
      </c>
      <c r="M88" s="51" t="str">
        <f aca="false">IF($B88="","",SUMIFS('Post Tracker'!$BD$5:$BD$1004,'Post Tracker'!$K$5:$K$1004,$B88,'Post Tracker'!$B$5:$B$1004,"&gt;="&amp;$C$4,'Post Tracker'!$B$5:$B$1004,"&lt;="&amp;$F$4))</f>
        <v/>
      </c>
      <c r="N88" s="51" t="str">
        <f aca="false">IF($B88="","",SUMIFS('Post Tracker'!$BF$5:$BF$1004,'Post Tracker'!$K$5:$K$1004,$B88,'Post Tracker'!$B$5:$B$1004,"&gt;="&amp;$C$4,'Post Tracker'!$B$5:$B$1004,"&lt;="&amp;$F$4))</f>
        <v/>
      </c>
      <c r="O88" s="52" t="str">
        <f aca="false">IF($B88="","",IFERROR(M88/K88,""))</f>
        <v/>
      </c>
      <c r="P88" s="62" t="str">
        <f aca="false">IF($B88="","",SUMIFS('Post Tracker'!$BH$5:$BH$1004,'Post Tracker'!$K$5:$K$1004,$B88,'Post Tracker'!$B$5:$B$1004,"&gt;="&amp;$C$4,'Post Tracker'!$B$5:$B$1004,"&lt;="&amp;$F$4))</f>
        <v/>
      </c>
    </row>
    <row r="89" customFormat="false" ht="15" hidden="false" customHeight="false" outlineLevel="0" collapsed="false">
      <c r="B89" s="50" t="str">
        <f aca="false">IF('Case Studies'!$B$12="","",'Case Studies'!$B$12)</f>
        <v/>
      </c>
      <c r="C89" s="51" t="str">
        <f aca="false">IF($B89="","",COUNTIFS('Post Tracker'!$K$5:$K$1004,$B89,'Post Tracker'!$B$5:$B$1004,"&gt;="&amp;$C$4,'Post Tracker'!$B$5:$B$1004,"&lt;="&amp;$F$4))</f>
        <v/>
      </c>
      <c r="D89" s="51" t="str">
        <f aca="false">IF($B89="","",SUMIFS('Post Tracker'!$AC$5:$AC$1004,'Post Tracker'!$K$5:$K$1004,$B89,'Post Tracker'!$B$5:$B$1004,"&gt;="&amp;$C$4,'Post Tracker'!$B$5:$B$1004,"&lt;="&amp;$F$4))</f>
        <v/>
      </c>
      <c r="E89" s="51" t="str">
        <f aca="false">IF($B89="","",SUMIFS('Post Tracker'!$AO$5:$AO$1004,'Post Tracker'!$K$5:$K$1004,$B89,'Post Tracker'!$B$5:$B$1004,"&gt;="&amp;$C$4,'Post Tracker'!$B$5:$B$1004,"&lt;="&amp;$F$4))</f>
        <v/>
      </c>
      <c r="F89" s="51" t="str">
        <f aca="false">IF($B89="","",SUMIFS('Post Tracker'!$AR$5:$AR$1004,'Post Tracker'!$K$5:$K$1004,$B89,'Post Tracker'!$B$5:$B$1004,"&gt;="&amp;$C$4,'Post Tracker'!$B$5:$B$1004,"&lt;="&amp;$F$4))</f>
        <v/>
      </c>
      <c r="G89" s="52" t="str">
        <f aca="false">IF($B89="","",IFERROR(SUMIFS('Post Tracker'!$BP$5:$BP$1004,'Post Tracker'!$K$5:$K$1004,$B89,'Post Tracker'!$B$5:$B$1004,"&gt;="&amp;$C$4,'Post Tracker'!$B$5:$B$1004,"&lt;="&amp;$F$4)/E89,""))</f>
        <v/>
      </c>
      <c r="H89" s="52" t="str">
        <f aca="false">IF($B89="","",IFERROR(F89/SUMIFS('Post Tracker'!$BQ$5:$BQ$1004,'Post Tracker'!$K$5:$K$1004,$B89,'Post Tracker'!$B$5:$B$1004,"&gt;="&amp;$C$4,'Post Tracker'!$B$5:$B$1004,"&lt;="&amp;$F$4),""))</f>
        <v/>
      </c>
      <c r="I89" s="51" t="str">
        <f aca="false">IF($B89="","",SUMIFS('Post Tracker'!$AJ$5:$AJ$1004,'Post Tracker'!$K$5:$K$1004,$B89,'Post Tracker'!$B$5:$B$1004,"&gt;="&amp;$C$4,'Post Tracker'!$B$5:$B$1004,"&lt;="&amp;$F$4))</f>
        <v/>
      </c>
      <c r="J89" s="52" t="str">
        <f aca="false">IF($B89="","",IFERROR(I89/D89,""))</f>
        <v/>
      </c>
      <c r="K89" s="51" t="str">
        <f aca="false">IF($B89="","",SUMIFS('Post Tracker'!$AZ$5:$AZ$1004,'Post Tracker'!$K$5:$K$1004,$B89,'Post Tracker'!$B$5:$B$1004,"&gt;="&amp;$C$4,'Post Tracker'!$B$5:$B$1004,"&lt;="&amp;$F$4))</f>
        <v/>
      </c>
      <c r="L89" s="51" t="str">
        <f aca="false">IF($B89="","",SUMIFS('Post Tracker'!$BB$5:$BB$1004,'Post Tracker'!$K$5:$K$1004,$B89,'Post Tracker'!$B$5:$B$1004,"&gt;="&amp;$C$4,'Post Tracker'!$B$5:$B$1004,"&lt;="&amp;$F$4))</f>
        <v/>
      </c>
      <c r="M89" s="51" t="str">
        <f aca="false">IF($B89="","",SUMIFS('Post Tracker'!$BD$5:$BD$1004,'Post Tracker'!$K$5:$K$1004,$B89,'Post Tracker'!$B$5:$B$1004,"&gt;="&amp;$C$4,'Post Tracker'!$B$5:$B$1004,"&lt;="&amp;$F$4))</f>
        <v/>
      </c>
      <c r="N89" s="51" t="str">
        <f aca="false">IF($B89="","",SUMIFS('Post Tracker'!$BF$5:$BF$1004,'Post Tracker'!$K$5:$K$1004,$B89,'Post Tracker'!$B$5:$B$1004,"&gt;="&amp;$C$4,'Post Tracker'!$B$5:$B$1004,"&lt;="&amp;$F$4))</f>
        <v/>
      </c>
      <c r="O89" s="52" t="str">
        <f aca="false">IF($B89="","",IFERROR(M89/K89,""))</f>
        <v/>
      </c>
      <c r="P89" s="62" t="str">
        <f aca="false">IF($B89="","",SUMIFS('Post Tracker'!$BH$5:$BH$1004,'Post Tracker'!$K$5:$K$1004,$B89,'Post Tracker'!$B$5:$B$1004,"&gt;="&amp;$C$4,'Post Tracker'!$B$5:$B$1004,"&lt;="&amp;$F$4))</f>
        <v/>
      </c>
    </row>
    <row r="90" customFormat="false" ht="15" hidden="false" customHeight="false" outlineLevel="0" collapsed="false">
      <c r="B90" s="50" t="str">
        <f aca="false">IF('Case Studies'!$B$13="","",'Case Studies'!$B$13)</f>
        <v/>
      </c>
      <c r="C90" s="51" t="str">
        <f aca="false">IF($B90="","",COUNTIFS('Post Tracker'!$K$5:$K$1004,$B90,'Post Tracker'!$B$5:$B$1004,"&gt;="&amp;$C$4,'Post Tracker'!$B$5:$B$1004,"&lt;="&amp;$F$4))</f>
        <v/>
      </c>
      <c r="D90" s="51" t="str">
        <f aca="false">IF($B90="","",SUMIFS('Post Tracker'!$AC$5:$AC$1004,'Post Tracker'!$K$5:$K$1004,$B90,'Post Tracker'!$B$5:$B$1004,"&gt;="&amp;$C$4,'Post Tracker'!$B$5:$B$1004,"&lt;="&amp;$F$4))</f>
        <v/>
      </c>
      <c r="E90" s="51" t="str">
        <f aca="false">IF($B90="","",SUMIFS('Post Tracker'!$AO$5:$AO$1004,'Post Tracker'!$K$5:$K$1004,$B90,'Post Tracker'!$B$5:$B$1004,"&gt;="&amp;$C$4,'Post Tracker'!$B$5:$B$1004,"&lt;="&amp;$F$4))</f>
        <v/>
      </c>
      <c r="F90" s="51" t="str">
        <f aca="false">IF($B90="","",SUMIFS('Post Tracker'!$AR$5:$AR$1004,'Post Tracker'!$K$5:$K$1004,$B90,'Post Tracker'!$B$5:$B$1004,"&gt;="&amp;$C$4,'Post Tracker'!$B$5:$B$1004,"&lt;="&amp;$F$4))</f>
        <v/>
      </c>
      <c r="G90" s="52" t="str">
        <f aca="false">IF($B90="","",IFERROR(SUMIFS('Post Tracker'!$BP$5:$BP$1004,'Post Tracker'!$K$5:$K$1004,$B90,'Post Tracker'!$B$5:$B$1004,"&gt;="&amp;$C$4,'Post Tracker'!$B$5:$B$1004,"&lt;="&amp;$F$4)/E90,""))</f>
        <v/>
      </c>
      <c r="H90" s="52" t="str">
        <f aca="false">IF($B90="","",IFERROR(F90/SUMIFS('Post Tracker'!$BQ$5:$BQ$1004,'Post Tracker'!$K$5:$K$1004,$B90,'Post Tracker'!$B$5:$B$1004,"&gt;="&amp;$C$4,'Post Tracker'!$B$5:$B$1004,"&lt;="&amp;$F$4),""))</f>
        <v/>
      </c>
      <c r="I90" s="51" t="str">
        <f aca="false">IF($B90="","",SUMIFS('Post Tracker'!$AJ$5:$AJ$1004,'Post Tracker'!$K$5:$K$1004,$B90,'Post Tracker'!$B$5:$B$1004,"&gt;="&amp;$C$4,'Post Tracker'!$B$5:$B$1004,"&lt;="&amp;$F$4))</f>
        <v/>
      </c>
      <c r="J90" s="52" t="str">
        <f aca="false">IF($B90="","",IFERROR(I90/D90,""))</f>
        <v/>
      </c>
      <c r="K90" s="51" t="str">
        <f aca="false">IF($B90="","",SUMIFS('Post Tracker'!$AZ$5:$AZ$1004,'Post Tracker'!$K$5:$K$1004,$B90,'Post Tracker'!$B$5:$B$1004,"&gt;="&amp;$C$4,'Post Tracker'!$B$5:$B$1004,"&lt;="&amp;$F$4))</f>
        <v/>
      </c>
      <c r="L90" s="51" t="str">
        <f aca="false">IF($B90="","",SUMIFS('Post Tracker'!$BB$5:$BB$1004,'Post Tracker'!$K$5:$K$1004,$B90,'Post Tracker'!$B$5:$B$1004,"&gt;="&amp;$C$4,'Post Tracker'!$B$5:$B$1004,"&lt;="&amp;$F$4))</f>
        <v/>
      </c>
      <c r="M90" s="51" t="str">
        <f aca="false">IF($B90="","",SUMIFS('Post Tracker'!$BD$5:$BD$1004,'Post Tracker'!$K$5:$K$1004,$B90,'Post Tracker'!$B$5:$B$1004,"&gt;="&amp;$C$4,'Post Tracker'!$B$5:$B$1004,"&lt;="&amp;$F$4))</f>
        <v/>
      </c>
      <c r="N90" s="51" t="str">
        <f aca="false">IF($B90="","",SUMIFS('Post Tracker'!$BF$5:$BF$1004,'Post Tracker'!$K$5:$K$1004,$B90,'Post Tracker'!$B$5:$B$1004,"&gt;="&amp;$C$4,'Post Tracker'!$B$5:$B$1004,"&lt;="&amp;$F$4))</f>
        <v/>
      </c>
      <c r="O90" s="52" t="str">
        <f aca="false">IF($B90="","",IFERROR(M90/K90,""))</f>
        <v/>
      </c>
      <c r="P90" s="62" t="str">
        <f aca="false">IF($B90="","",SUMIFS('Post Tracker'!$BH$5:$BH$1004,'Post Tracker'!$K$5:$K$1004,$B90,'Post Tracker'!$B$5:$B$1004,"&gt;="&amp;$C$4,'Post Tracker'!$B$5:$B$1004,"&lt;="&amp;$F$4))</f>
        <v/>
      </c>
    </row>
    <row r="91" customFormat="false" ht="15" hidden="false" customHeight="false" outlineLevel="0" collapsed="false">
      <c r="B91" s="50" t="str">
        <f aca="false">IF('Case Studies'!$B$14="","",'Case Studies'!$B$14)</f>
        <v/>
      </c>
      <c r="C91" s="51" t="str">
        <f aca="false">IF($B91="","",COUNTIFS('Post Tracker'!$K$5:$K$1004,$B91,'Post Tracker'!$B$5:$B$1004,"&gt;="&amp;$C$4,'Post Tracker'!$B$5:$B$1004,"&lt;="&amp;$F$4))</f>
        <v/>
      </c>
      <c r="D91" s="51" t="str">
        <f aca="false">IF($B91="","",SUMIFS('Post Tracker'!$AC$5:$AC$1004,'Post Tracker'!$K$5:$K$1004,$B91,'Post Tracker'!$B$5:$B$1004,"&gt;="&amp;$C$4,'Post Tracker'!$B$5:$B$1004,"&lt;="&amp;$F$4))</f>
        <v/>
      </c>
      <c r="E91" s="51" t="str">
        <f aca="false">IF($B91="","",SUMIFS('Post Tracker'!$AO$5:$AO$1004,'Post Tracker'!$K$5:$K$1004,$B91,'Post Tracker'!$B$5:$B$1004,"&gt;="&amp;$C$4,'Post Tracker'!$B$5:$B$1004,"&lt;="&amp;$F$4))</f>
        <v/>
      </c>
      <c r="F91" s="51" t="str">
        <f aca="false">IF($B91="","",SUMIFS('Post Tracker'!$AR$5:$AR$1004,'Post Tracker'!$K$5:$K$1004,$B91,'Post Tracker'!$B$5:$B$1004,"&gt;="&amp;$C$4,'Post Tracker'!$B$5:$B$1004,"&lt;="&amp;$F$4))</f>
        <v/>
      </c>
      <c r="G91" s="52" t="str">
        <f aca="false">IF($B91="","",IFERROR(SUMIFS('Post Tracker'!$BP$5:$BP$1004,'Post Tracker'!$K$5:$K$1004,$B91,'Post Tracker'!$B$5:$B$1004,"&gt;="&amp;$C$4,'Post Tracker'!$B$5:$B$1004,"&lt;="&amp;$F$4)/E91,""))</f>
        <v/>
      </c>
      <c r="H91" s="52" t="str">
        <f aca="false">IF($B91="","",IFERROR(F91/SUMIFS('Post Tracker'!$BQ$5:$BQ$1004,'Post Tracker'!$K$5:$K$1004,$B91,'Post Tracker'!$B$5:$B$1004,"&gt;="&amp;$C$4,'Post Tracker'!$B$5:$B$1004,"&lt;="&amp;$F$4),""))</f>
        <v/>
      </c>
      <c r="I91" s="51" t="str">
        <f aca="false">IF($B91="","",SUMIFS('Post Tracker'!$AJ$5:$AJ$1004,'Post Tracker'!$K$5:$K$1004,$B91,'Post Tracker'!$B$5:$B$1004,"&gt;="&amp;$C$4,'Post Tracker'!$B$5:$B$1004,"&lt;="&amp;$F$4))</f>
        <v/>
      </c>
      <c r="J91" s="52" t="str">
        <f aca="false">IF($B91="","",IFERROR(I91/D91,""))</f>
        <v/>
      </c>
      <c r="K91" s="51" t="str">
        <f aca="false">IF($B91="","",SUMIFS('Post Tracker'!$AZ$5:$AZ$1004,'Post Tracker'!$K$5:$K$1004,$B91,'Post Tracker'!$B$5:$B$1004,"&gt;="&amp;$C$4,'Post Tracker'!$B$5:$B$1004,"&lt;="&amp;$F$4))</f>
        <v/>
      </c>
      <c r="L91" s="51" t="str">
        <f aca="false">IF($B91="","",SUMIFS('Post Tracker'!$BB$5:$BB$1004,'Post Tracker'!$K$5:$K$1004,$B91,'Post Tracker'!$B$5:$B$1004,"&gt;="&amp;$C$4,'Post Tracker'!$B$5:$B$1004,"&lt;="&amp;$F$4))</f>
        <v/>
      </c>
      <c r="M91" s="51" t="str">
        <f aca="false">IF($B91="","",SUMIFS('Post Tracker'!$BD$5:$BD$1004,'Post Tracker'!$K$5:$K$1004,$B91,'Post Tracker'!$B$5:$B$1004,"&gt;="&amp;$C$4,'Post Tracker'!$B$5:$B$1004,"&lt;="&amp;$F$4))</f>
        <v/>
      </c>
      <c r="N91" s="51" t="str">
        <f aca="false">IF($B91="","",SUMIFS('Post Tracker'!$BF$5:$BF$1004,'Post Tracker'!$K$5:$K$1004,$B91,'Post Tracker'!$B$5:$B$1004,"&gt;="&amp;$C$4,'Post Tracker'!$B$5:$B$1004,"&lt;="&amp;$F$4))</f>
        <v/>
      </c>
      <c r="O91" s="52" t="str">
        <f aca="false">IF($B91="","",IFERROR(M91/K91,""))</f>
        <v/>
      </c>
      <c r="P91" s="62" t="str">
        <f aca="false">IF($B91="","",SUMIFS('Post Tracker'!$BH$5:$BH$1004,'Post Tracker'!$K$5:$K$1004,$B91,'Post Tracker'!$B$5:$B$1004,"&gt;="&amp;$C$4,'Post Tracker'!$B$5:$B$1004,"&lt;="&amp;$F$4))</f>
        <v/>
      </c>
    </row>
    <row r="92" customFormat="false" ht="15" hidden="false" customHeight="false" outlineLevel="0" collapsed="false">
      <c r="B92" s="50" t="str">
        <f aca="false">IF('Case Studies'!$B$15="","",'Case Studies'!$B$15)</f>
        <v/>
      </c>
      <c r="C92" s="51" t="str">
        <f aca="false">IF($B92="","",COUNTIFS('Post Tracker'!$K$5:$K$1004,$B92,'Post Tracker'!$B$5:$B$1004,"&gt;="&amp;$C$4,'Post Tracker'!$B$5:$B$1004,"&lt;="&amp;$F$4))</f>
        <v/>
      </c>
      <c r="D92" s="51" t="str">
        <f aca="false">IF($B92="","",SUMIFS('Post Tracker'!$AC$5:$AC$1004,'Post Tracker'!$K$5:$K$1004,$B92,'Post Tracker'!$B$5:$B$1004,"&gt;="&amp;$C$4,'Post Tracker'!$B$5:$B$1004,"&lt;="&amp;$F$4))</f>
        <v/>
      </c>
      <c r="E92" s="51" t="str">
        <f aca="false">IF($B92="","",SUMIFS('Post Tracker'!$AO$5:$AO$1004,'Post Tracker'!$K$5:$K$1004,$B92,'Post Tracker'!$B$5:$B$1004,"&gt;="&amp;$C$4,'Post Tracker'!$B$5:$B$1004,"&lt;="&amp;$F$4))</f>
        <v/>
      </c>
      <c r="F92" s="51" t="str">
        <f aca="false">IF($B92="","",SUMIFS('Post Tracker'!$AR$5:$AR$1004,'Post Tracker'!$K$5:$K$1004,$B92,'Post Tracker'!$B$5:$B$1004,"&gt;="&amp;$C$4,'Post Tracker'!$B$5:$B$1004,"&lt;="&amp;$F$4))</f>
        <v/>
      </c>
      <c r="G92" s="52" t="str">
        <f aca="false">IF($B92="","",IFERROR(SUMIFS('Post Tracker'!$BP$5:$BP$1004,'Post Tracker'!$K$5:$K$1004,$B92,'Post Tracker'!$B$5:$B$1004,"&gt;="&amp;$C$4,'Post Tracker'!$B$5:$B$1004,"&lt;="&amp;$F$4)/E92,""))</f>
        <v/>
      </c>
      <c r="H92" s="52" t="str">
        <f aca="false">IF($B92="","",IFERROR(F92/SUMIFS('Post Tracker'!$BQ$5:$BQ$1004,'Post Tracker'!$K$5:$K$1004,$B92,'Post Tracker'!$B$5:$B$1004,"&gt;="&amp;$C$4,'Post Tracker'!$B$5:$B$1004,"&lt;="&amp;$F$4),""))</f>
        <v/>
      </c>
      <c r="I92" s="51" t="str">
        <f aca="false">IF($B92="","",SUMIFS('Post Tracker'!$AJ$5:$AJ$1004,'Post Tracker'!$K$5:$K$1004,$B92,'Post Tracker'!$B$5:$B$1004,"&gt;="&amp;$C$4,'Post Tracker'!$B$5:$B$1004,"&lt;="&amp;$F$4))</f>
        <v/>
      </c>
      <c r="J92" s="52" t="str">
        <f aca="false">IF($B92="","",IFERROR(I92/D92,""))</f>
        <v/>
      </c>
      <c r="K92" s="51" t="str">
        <f aca="false">IF($B92="","",SUMIFS('Post Tracker'!$AZ$5:$AZ$1004,'Post Tracker'!$K$5:$K$1004,$B92,'Post Tracker'!$B$5:$B$1004,"&gt;="&amp;$C$4,'Post Tracker'!$B$5:$B$1004,"&lt;="&amp;$F$4))</f>
        <v/>
      </c>
      <c r="L92" s="51" t="str">
        <f aca="false">IF($B92="","",SUMIFS('Post Tracker'!$BB$5:$BB$1004,'Post Tracker'!$K$5:$K$1004,$B92,'Post Tracker'!$B$5:$B$1004,"&gt;="&amp;$C$4,'Post Tracker'!$B$5:$B$1004,"&lt;="&amp;$F$4))</f>
        <v/>
      </c>
      <c r="M92" s="51" t="str">
        <f aca="false">IF($B92="","",SUMIFS('Post Tracker'!$BD$5:$BD$1004,'Post Tracker'!$K$5:$K$1004,$B92,'Post Tracker'!$B$5:$B$1004,"&gt;="&amp;$C$4,'Post Tracker'!$B$5:$B$1004,"&lt;="&amp;$F$4))</f>
        <v/>
      </c>
      <c r="N92" s="51" t="str">
        <f aca="false">IF($B92="","",SUMIFS('Post Tracker'!$BF$5:$BF$1004,'Post Tracker'!$K$5:$K$1004,$B92,'Post Tracker'!$B$5:$B$1004,"&gt;="&amp;$C$4,'Post Tracker'!$B$5:$B$1004,"&lt;="&amp;$F$4))</f>
        <v/>
      </c>
      <c r="O92" s="52" t="str">
        <f aca="false">IF($B92="","",IFERROR(M92/K92,""))</f>
        <v/>
      </c>
      <c r="P92" s="62" t="str">
        <f aca="false">IF($B92="","",SUMIFS('Post Tracker'!$BH$5:$BH$1004,'Post Tracker'!$K$5:$K$1004,$B92,'Post Tracker'!$B$5:$B$1004,"&gt;="&amp;$C$4,'Post Tracker'!$B$5:$B$1004,"&lt;="&amp;$F$4))</f>
        <v/>
      </c>
    </row>
    <row r="93" customFormat="false" ht="15" hidden="false" customHeight="false" outlineLevel="0" collapsed="false">
      <c r="B93" s="50" t="str">
        <f aca="false">IF('Case Studies'!$B$16="","",'Case Studies'!$B$16)</f>
        <v/>
      </c>
      <c r="C93" s="51" t="str">
        <f aca="false">IF($B93="","",COUNTIFS('Post Tracker'!$K$5:$K$1004,$B93,'Post Tracker'!$B$5:$B$1004,"&gt;="&amp;$C$4,'Post Tracker'!$B$5:$B$1004,"&lt;="&amp;$F$4))</f>
        <v/>
      </c>
      <c r="D93" s="51" t="str">
        <f aca="false">IF($B93="","",SUMIFS('Post Tracker'!$AC$5:$AC$1004,'Post Tracker'!$K$5:$K$1004,$B93,'Post Tracker'!$B$5:$B$1004,"&gt;="&amp;$C$4,'Post Tracker'!$B$5:$B$1004,"&lt;="&amp;$F$4))</f>
        <v/>
      </c>
      <c r="E93" s="51" t="str">
        <f aca="false">IF($B93="","",SUMIFS('Post Tracker'!$AO$5:$AO$1004,'Post Tracker'!$K$5:$K$1004,$B93,'Post Tracker'!$B$5:$B$1004,"&gt;="&amp;$C$4,'Post Tracker'!$B$5:$B$1004,"&lt;="&amp;$F$4))</f>
        <v/>
      </c>
      <c r="F93" s="51" t="str">
        <f aca="false">IF($B93="","",SUMIFS('Post Tracker'!$AR$5:$AR$1004,'Post Tracker'!$K$5:$K$1004,$B93,'Post Tracker'!$B$5:$B$1004,"&gt;="&amp;$C$4,'Post Tracker'!$B$5:$B$1004,"&lt;="&amp;$F$4))</f>
        <v/>
      </c>
      <c r="G93" s="52" t="str">
        <f aca="false">IF($B93="","",IFERROR(SUMIFS('Post Tracker'!$BP$5:$BP$1004,'Post Tracker'!$K$5:$K$1004,$B93,'Post Tracker'!$B$5:$B$1004,"&gt;="&amp;$C$4,'Post Tracker'!$B$5:$B$1004,"&lt;="&amp;$F$4)/E93,""))</f>
        <v/>
      </c>
      <c r="H93" s="52" t="str">
        <f aca="false">IF($B93="","",IFERROR(F93/SUMIFS('Post Tracker'!$BQ$5:$BQ$1004,'Post Tracker'!$K$5:$K$1004,$B93,'Post Tracker'!$B$5:$B$1004,"&gt;="&amp;$C$4,'Post Tracker'!$B$5:$B$1004,"&lt;="&amp;$F$4),""))</f>
        <v/>
      </c>
      <c r="I93" s="51" t="str">
        <f aca="false">IF($B93="","",SUMIFS('Post Tracker'!$AJ$5:$AJ$1004,'Post Tracker'!$K$5:$K$1004,$B93,'Post Tracker'!$B$5:$B$1004,"&gt;="&amp;$C$4,'Post Tracker'!$B$5:$B$1004,"&lt;="&amp;$F$4))</f>
        <v/>
      </c>
      <c r="J93" s="52" t="str">
        <f aca="false">IF($B93="","",IFERROR(I93/D93,""))</f>
        <v/>
      </c>
      <c r="K93" s="51" t="str">
        <f aca="false">IF($B93="","",SUMIFS('Post Tracker'!$AZ$5:$AZ$1004,'Post Tracker'!$K$5:$K$1004,$B93,'Post Tracker'!$B$5:$B$1004,"&gt;="&amp;$C$4,'Post Tracker'!$B$5:$B$1004,"&lt;="&amp;$F$4))</f>
        <v/>
      </c>
      <c r="L93" s="51" t="str">
        <f aca="false">IF($B93="","",SUMIFS('Post Tracker'!$BB$5:$BB$1004,'Post Tracker'!$K$5:$K$1004,$B93,'Post Tracker'!$B$5:$B$1004,"&gt;="&amp;$C$4,'Post Tracker'!$B$5:$B$1004,"&lt;="&amp;$F$4))</f>
        <v/>
      </c>
      <c r="M93" s="51" t="str">
        <f aca="false">IF($B93="","",SUMIFS('Post Tracker'!$BD$5:$BD$1004,'Post Tracker'!$K$5:$K$1004,$B93,'Post Tracker'!$B$5:$B$1004,"&gt;="&amp;$C$4,'Post Tracker'!$B$5:$B$1004,"&lt;="&amp;$F$4))</f>
        <v/>
      </c>
      <c r="N93" s="51" t="str">
        <f aca="false">IF($B93="","",SUMIFS('Post Tracker'!$BF$5:$BF$1004,'Post Tracker'!$K$5:$K$1004,$B93,'Post Tracker'!$B$5:$B$1004,"&gt;="&amp;$C$4,'Post Tracker'!$B$5:$B$1004,"&lt;="&amp;$F$4))</f>
        <v/>
      </c>
      <c r="O93" s="52" t="str">
        <f aca="false">IF($B93="","",IFERROR(M93/K93,""))</f>
        <v/>
      </c>
      <c r="P93" s="62" t="str">
        <f aca="false">IF($B93="","",SUMIFS('Post Tracker'!$BH$5:$BH$1004,'Post Tracker'!$K$5:$K$1004,$B93,'Post Tracker'!$B$5:$B$1004,"&gt;="&amp;$C$4,'Post Tracker'!$B$5:$B$1004,"&lt;="&amp;$F$4))</f>
        <v/>
      </c>
    </row>
    <row r="94" customFormat="false" ht="15" hidden="false" customHeight="false" outlineLevel="0" collapsed="false">
      <c r="B94" s="50" t="str">
        <f aca="false">IF('Case Studies'!$B$17="","",'Case Studies'!$B$17)</f>
        <v/>
      </c>
      <c r="C94" s="51" t="str">
        <f aca="false">IF($B94="","",COUNTIFS('Post Tracker'!$K$5:$K$1004,$B94,'Post Tracker'!$B$5:$B$1004,"&gt;="&amp;$C$4,'Post Tracker'!$B$5:$B$1004,"&lt;="&amp;$F$4))</f>
        <v/>
      </c>
      <c r="D94" s="51" t="str">
        <f aca="false">IF($B94="","",SUMIFS('Post Tracker'!$AC$5:$AC$1004,'Post Tracker'!$K$5:$K$1004,$B94,'Post Tracker'!$B$5:$B$1004,"&gt;="&amp;$C$4,'Post Tracker'!$B$5:$B$1004,"&lt;="&amp;$F$4))</f>
        <v/>
      </c>
      <c r="E94" s="51" t="str">
        <f aca="false">IF($B94="","",SUMIFS('Post Tracker'!$AO$5:$AO$1004,'Post Tracker'!$K$5:$K$1004,$B94,'Post Tracker'!$B$5:$B$1004,"&gt;="&amp;$C$4,'Post Tracker'!$B$5:$B$1004,"&lt;="&amp;$F$4))</f>
        <v/>
      </c>
      <c r="F94" s="51" t="str">
        <f aca="false">IF($B94="","",SUMIFS('Post Tracker'!$AR$5:$AR$1004,'Post Tracker'!$K$5:$K$1004,$B94,'Post Tracker'!$B$5:$B$1004,"&gt;="&amp;$C$4,'Post Tracker'!$B$5:$B$1004,"&lt;="&amp;$F$4))</f>
        <v/>
      </c>
      <c r="G94" s="52" t="str">
        <f aca="false">IF($B94="","",IFERROR(SUMIFS('Post Tracker'!$BP$5:$BP$1004,'Post Tracker'!$K$5:$K$1004,$B94,'Post Tracker'!$B$5:$B$1004,"&gt;="&amp;$C$4,'Post Tracker'!$B$5:$B$1004,"&lt;="&amp;$F$4)/E94,""))</f>
        <v/>
      </c>
      <c r="H94" s="52" t="str">
        <f aca="false">IF($B94="","",IFERROR(F94/SUMIFS('Post Tracker'!$BQ$5:$BQ$1004,'Post Tracker'!$K$5:$K$1004,$B94,'Post Tracker'!$B$5:$B$1004,"&gt;="&amp;$C$4,'Post Tracker'!$B$5:$B$1004,"&lt;="&amp;$F$4),""))</f>
        <v/>
      </c>
      <c r="I94" s="51" t="str">
        <f aca="false">IF($B94="","",SUMIFS('Post Tracker'!$AJ$5:$AJ$1004,'Post Tracker'!$K$5:$K$1004,$B94,'Post Tracker'!$B$5:$B$1004,"&gt;="&amp;$C$4,'Post Tracker'!$B$5:$B$1004,"&lt;="&amp;$F$4))</f>
        <v/>
      </c>
      <c r="J94" s="52" t="str">
        <f aca="false">IF($B94="","",IFERROR(I94/D94,""))</f>
        <v/>
      </c>
      <c r="K94" s="51" t="str">
        <f aca="false">IF($B94="","",SUMIFS('Post Tracker'!$AZ$5:$AZ$1004,'Post Tracker'!$K$5:$K$1004,$B94,'Post Tracker'!$B$5:$B$1004,"&gt;="&amp;$C$4,'Post Tracker'!$B$5:$B$1004,"&lt;="&amp;$F$4))</f>
        <v/>
      </c>
      <c r="L94" s="51" t="str">
        <f aca="false">IF($B94="","",SUMIFS('Post Tracker'!$BB$5:$BB$1004,'Post Tracker'!$K$5:$K$1004,$B94,'Post Tracker'!$B$5:$B$1004,"&gt;="&amp;$C$4,'Post Tracker'!$B$5:$B$1004,"&lt;="&amp;$F$4))</f>
        <v/>
      </c>
      <c r="M94" s="51" t="str">
        <f aca="false">IF($B94="","",SUMIFS('Post Tracker'!$BD$5:$BD$1004,'Post Tracker'!$K$5:$K$1004,$B94,'Post Tracker'!$B$5:$B$1004,"&gt;="&amp;$C$4,'Post Tracker'!$B$5:$B$1004,"&lt;="&amp;$F$4))</f>
        <v/>
      </c>
      <c r="N94" s="51" t="str">
        <f aca="false">IF($B94="","",SUMIFS('Post Tracker'!$BF$5:$BF$1004,'Post Tracker'!$K$5:$K$1004,$B94,'Post Tracker'!$B$5:$B$1004,"&gt;="&amp;$C$4,'Post Tracker'!$B$5:$B$1004,"&lt;="&amp;$F$4))</f>
        <v/>
      </c>
      <c r="O94" s="52" t="str">
        <f aca="false">IF($B94="","",IFERROR(M94/K94,""))</f>
        <v/>
      </c>
      <c r="P94" s="62" t="str">
        <f aca="false">IF($B94="","",SUMIFS('Post Tracker'!$BH$5:$BH$1004,'Post Tracker'!$K$5:$K$1004,$B94,'Post Tracker'!$B$5:$B$1004,"&gt;="&amp;$C$4,'Post Tracker'!$B$5:$B$1004,"&lt;="&amp;$F$4))</f>
        <v/>
      </c>
    </row>
    <row r="95" customFormat="false" ht="15" hidden="false" customHeight="false" outlineLevel="0" collapsed="false">
      <c r="B95" s="50" t="str">
        <f aca="false">IF('Case Studies'!$B$18="","",'Case Studies'!$B$18)</f>
        <v/>
      </c>
      <c r="C95" s="51" t="str">
        <f aca="false">IF($B95="","",COUNTIFS('Post Tracker'!$K$5:$K$1004,$B95,'Post Tracker'!$B$5:$B$1004,"&gt;="&amp;$C$4,'Post Tracker'!$B$5:$B$1004,"&lt;="&amp;$F$4))</f>
        <v/>
      </c>
      <c r="D95" s="51" t="str">
        <f aca="false">IF($B95="","",SUMIFS('Post Tracker'!$AC$5:$AC$1004,'Post Tracker'!$K$5:$K$1004,$B95,'Post Tracker'!$B$5:$B$1004,"&gt;="&amp;$C$4,'Post Tracker'!$B$5:$B$1004,"&lt;="&amp;$F$4))</f>
        <v/>
      </c>
      <c r="E95" s="51" t="str">
        <f aca="false">IF($B95="","",SUMIFS('Post Tracker'!$AO$5:$AO$1004,'Post Tracker'!$K$5:$K$1004,$B95,'Post Tracker'!$B$5:$B$1004,"&gt;="&amp;$C$4,'Post Tracker'!$B$5:$B$1004,"&lt;="&amp;$F$4))</f>
        <v/>
      </c>
      <c r="F95" s="51" t="str">
        <f aca="false">IF($B95="","",SUMIFS('Post Tracker'!$AR$5:$AR$1004,'Post Tracker'!$K$5:$K$1004,$B95,'Post Tracker'!$B$5:$B$1004,"&gt;="&amp;$C$4,'Post Tracker'!$B$5:$B$1004,"&lt;="&amp;$F$4))</f>
        <v/>
      </c>
      <c r="G95" s="52" t="str">
        <f aca="false">IF($B95="","",IFERROR(SUMIFS('Post Tracker'!$BP$5:$BP$1004,'Post Tracker'!$K$5:$K$1004,$B95,'Post Tracker'!$B$5:$B$1004,"&gt;="&amp;$C$4,'Post Tracker'!$B$5:$B$1004,"&lt;="&amp;$F$4)/E95,""))</f>
        <v/>
      </c>
      <c r="H95" s="52" t="str">
        <f aca="false">IF($B95="","",IFERROR(F95/SUMIFS('Post Tracker'!$BQ$5:$BQ$1004,'Post Tracker'!$K$5:$K$1004,$B95,'Post Tracker'!$B$5:$B$1004,"&gt;="&amp;$C$4,'Post Tracker'!$B$5:$B$1004,"&lt;="&amp;$F$4),""))</f>
        <v/>
      </c>
      <c r="I95" s="51" t="str">
        <f aca="false">IF($B95="","",SUMIFS('Post Tracker'!$AJ$5:$AJ$1004,'Post Tracker'!$K$5:$K$1004,$B95,'Post Tracker'!$B$5:$B$1004,"&gt;="&amp;$C$4,'Post Tracker'!$B$5:$B$1004,"&lt;="&amp;$F$4))</f>
        <v/>
      </c>
      <c r="J95" s="52" t="str">
        <f aca="false">IF($B95="","",IFERROR(I95/D95,""))</f>
        <v/>
      </c>
      <c r="K95" s="51" t="str">
        <f aca="false">IF($B95="","",SUMIFS('Post Tracker'!$AZ$5:$AZ$1004,'Post Tracker'!$K$5:$K$1004,$B95,'Post Tracker'!$B$5:$B$1004,"&gt;="&amp;$C$4,'Post Tracker'!$B$5:$B$1004,"&lt;="&amp;$F$4))</f>
        <v/>
      </c>
      <c r="L95" s="51" t="str">
        <f aca="false">IF($B95="","",SUMIFS('Post Tracker'!$BB$5:$BB$1004,'Post Tracker'!$K$5:$K$1004,$B95,'Post Tracker'!$B$5:$B$1004,"&gt;="&amp;$C$4,'Post Tracker'!$B$5:$B$1004,"&lt;="&amp;$F$4))</f>
        <v/>
      </c>
      <c r="M95" s="51" t="str">
        <f aca="false">IF($B95="","",SUMIFS('Post Tracker'!$BD$5:$BD$1004,'Post Tracker'!$K$5:$K$1004,$B95,'Post Tracker'!$B$5:$B$1004,"&gt;="&amp;$C$4,'Post Tracker'!$B$5:$B$1004,"&lt;="&amp;$F$4))</f>
        <v/>
      </c>
      <c r="N95" s="51" t="str">
        <f aca="false">IF($B95="","",SUMIFS('Post Tracker'!$BF$5:$BF$1004,'Post Tracker'!$K$5:$K$1004,$B95,'Post Tracker'!$B$5:$B$1004,"&gt;="&amp;$C$4,'Post Tracker'!$B$5:$B$1004,"&lt;="&amp;$F$4))</f>
        <v/>
      </c>
      <c r="O95" s="52" t="str">
        <f aca="false">IF($B95="","",IFERROR(M95/K95,""))</f>
        <v/>
      </c>
      <c r="P95" s="62" t="str">
        <f aca="false">IF($B95="","",SUMIFS('Post Tracker'!$BH$5:$BH$1004,'Post Tracker'!$K$5:$K$1004,$B95,'Post Tracker'!$B$5:$B$1004,"&gt;="&amp;$C$4,'Post Tracker'!$B$5:$B$1004,"&lt;="&amp;$F$4))</f>
        <v/>
      </c>
    </row>
    <row r="96" customFormat="false" ht="15" hidden="false" customHeight="false" outlineLevel="0" collapsed="false">
      <c r="B96" s="50" t="str">
        <f aca="false">IF('Case Studies'!$B$19="","",'Case Studies'!$B$19)</f>
        <v/>
      </c>
      <c r="C96" s="51" t="str">
        <f aca="false">IF($B96="","",COUNTIFS('Post Tracker'!$K$5:$K$1004,$B96,'Post Tracker'!$B$5:$B$1004,"&gt;="&amp;$C$4,'Post Tracker'!$B$5:$B$1004,"&lt;="&amp;$F$4))</f>
        <v/>
      </c>
      <c r="D96" s="51" t="str">
        <f aca="false">IF($B96="","",SUMIFS('Post Tracker'!$AC$5:$AC$1004,'Post Tracker'!$K$5:$K$1004,$B96,'Post Tracker'!$B$5:$B$1004,"&gt;="&amp;$C$4,'Post Tracker'!$B$5:$B$1004,"&lt;="&amp;$F$4))</f>
        <v/>
      </c>
      <c r="E96" s="51" t="str">
        <f aca="false">IF($B96="","",SUMIFS('Post Tracker'!$AO$5:$AO$1004,'Post Tracker'!$K$5:$K$1004,$B96,'Post Tracker'!$B$5:$B$1004,"&gt;="&amp;$C$4,'Post Tracker'!$B$5:$B$1004,"&lt;="&amp;$F$4))</f>
        <v/>
      </c>
      <c r="F96" s="51" t="str">
        <f aca="false">IF($B96="","",SUMIFS('Post Tracker'!$AR$5:$AR$1004,'Post Tracker'!$K$5:$K$1004,$B96,'Post Tracker'!$B$5:$B$1004,"&gt;="&amp;$C$4,'Post Tracker'!$B$5:$B$1004,"&lt;="&amp;$F$4))</f>
        <v/>
      </c>
      <c r="G96" s="52" t="str">
        <f aca="false">IF($B96="","",IFERROR(SUMIFS('Post Tracker'!$BP$5:$BP$1004,'Post Tracker'!$K$5:$K$1004,$B96,'Post Tracker'!$B$5:$B$1004,"&gt;="&amp;$C$4,'Post Tracker'!$B$5:$B$1004,"&lt;="&amp;$F$4)/E96,""))</f>
        <v/>
      </c>
      <c r="H96" s="52" t="str">
        <f aca="false">IF($B96="","",IFERROR(F96/SUMIFS('Post Tracker'!$BQ$5:$BQ$1004,'Post Tracker'!$K$5:$K$1004,$B96,'Post Tracker'!$B$5:$B$1004,"&gt;="&amp;$C$4,'Post Tracker'!$B$5:$B$1004,"&lt;="&amp;$F$4),""))</f>
        <v/>
      </c>
      <c r="I96" s="51" t="str">
        <f aca="false">IF($B96="","",SUMIFS('Post Tracker'!$AJ$5:$AJ$1004,'Post Tracker'!$K$5:$K$1004,$B96,'Post Tracker'!$B$5:$B$1004,"&gt;="&amp;$C$4,'Post Tracker'!$B$5:$B$1004,"&lt;="&amp;$F$4))</f>
        <v/>
      </c>
      <c r="J96" s="52" t="str">
        <f aca="false">IF($B96="","",IFERROR(I96/D96,""))</f>
        <v/>
      </c>
      <c r="K96" s="51" t="str">
        <f aca="false">IF($B96="","",SUMIFS('Post Tracker'!$AZ$5:$AZ$1004,'Post Tracker'!$K$5:$K$1004,$B96,'Post Tracker'!$B$5:$B$1004,"&gt;="&amp;$C$4,'Post Tracker'!$B$5:$B$1004,"&lt;="&amp;$F$4))</f>
        <v/>
      </c>
      <c r="L96" s="51" t="str">
        <f aca="false">IF($B96="","",SUMIFS('Post Tracker'!$BB$5:$BB$1004,'Post Tracker'!$K$5:$K$1004,$B96,'Post Tracker'!$B$5:$B$1004,"&gt;="&amp;$C$4,'Post Tracker'!$B$5:$B$1004,"&lt;="&amp;$F$4))</f>
        <v/>
      </c>
      <c r="M96" s="51" t="str">
        <f aca="false">IF($B96="","",SUMIFS('Post Tracker'!$BD$5:$BD$1004,'Post Tracker'!$K$5:$K$1004,$B96,'Post Tracker'!$B$5:$B$1004,"&gt;="&amp;$C$4,'Post Tracker'!$B$5:$B$1004,"&lt;="&amp;$F$4))</f>
        <v/>
      </c>
      <c r="N96" s="51" t="str">
        <f aca="false">IF($B96="","",SUMIFS('Post Tracker'!$BF$5:$BF$1004,'Post Tracker'!$K$5:$K$1004,$B96,'Post Tracker'!$B$5:$B$1004,"&gt;="&amp;$C$4,'Post Tracker'!$B$5:$B$1004,"&lt;="&amp;$F$4))</f>
        <v/>
      </c>
      <c r="O96" s="52" t="str">
        <f aca="false">IF($B96="","",IFERROR(M96/K96,""))</f>
        <v/>
      </c>
      <c r="P96" s="62" t="str">
        <f aca="false">IF($B96="","",SUMIFS('Post Tracker'!$BH$5:$BH$1004,'Post Tracker'!$K$5:$K$1004,$B96,'Post Tracker'!$B$5:$B$1004,"&gt;="&amp;$C$4,'Post Tracker'!$B$5:$B$1004,"&lt;="&amp;$F$4))</f>
        <v/>
      </c>
    </row>
    <row r="98" customFormat="false" ht="15" hidden="false" customHeight="false" outlineLevel="0" collapsed="false">
      <c r="B98" s="3" t="s">
        <v>262</v>
      </c>
    </row>
    <row r="99" customFormat="false" ht="30" hidden="false" customHeight="true" outlineLevel="0" collapsed="false">
      <c r="B99" s="60"/>
      <c r="C99" s="61" t="s">
        <v>253</v>
      </c>
      <c r="D99" s="61" t="s">
        <v>222</v>
      </c>
      <c r="E99" s="61" t="s">
        <v>254</v>
      </c>
      <c r="F99" s="61" t="s">
        <v>223</v>
      </c>
      <c r="G99" s="61" t="s">
        <v>250</v>
      </c>
      <c r="H99" s="61" t="s">
        <v>249</v>
      </c>
      <c r="I99" s="61" t="s">
        <v>106</v>
      </c>
      <c r="J99" s="61" t="s">
        <v>255</v>
      </c>
      <c r="K99" s="61" t="s">
        <v>256</v>
      </c>
      <c r="L99" s="61" t="s">
        <v>124</v>
      </c>
      <c r="M99" s="61" t="s">
        <v>126</v>
      </c>
      <c r="N99" s="61" t="s">
        <v>128</v>
      </c>
      <c r="O99" s="61" t="s">
        <v>134</v>
      </c>
      <c r="P99" s="61" t="s">
        <v>257</v>
      </c>
    </row>
    <row r="100" customFormat="false" ht="15" hidden="false" customHeight="false" outlineLevel="0" collapsed="false">
      <c r="B100" s="50" t="str">
        <f aca="false">IF(Settings!$K$5="","",Settings!$K$5)</f>
        <v>Text Only</v>
      </c>
      <c r="C100" s="51" t="n">
        <f aca="false">IF($B100="","",COUNTIFS('Post Tracker'!$I$5:$I$1004,$B100,'Post Tracker'!$B$5:$B$1004,"&gt;="&amp;$C$4,'Post Tracker'!$B$5:$B$1004,"&lt;="&amp;$F$4))</f>
        <v>0</v>
      </c>
      <c r="D100" s="51" t="n">
        <f aca="false">IF($B100="","",SUMIFS('Post Tracker'!$AC$5:$AC$1004,'Post Tracker'!$I$5:$I$1004,$B100,'Post Tracker'!$B$5:$B$1004,"&gt;="&amp;$C$4,'Post Tracker'!$B$5:$B$1004,"&lt;="&amp;$F$4))</f>
        <v>0</v>
      </c>
      <c r="E100" s="51" t="n">
        <f aca="false">IF($B100="","",SUMIFS('Post Tracker'!$AO$5:$AO$1004,'Post Tracker'!$I$5:$I$1004,$B100,'Post Tracker'!$B$5:$B$1004,"&gt;="&amp;$C$4,'Post Tracker'!$B$5:$B$1004,"&lt;="&amp;$F$4))</f>
        <v>0</v>
      </c>
      <c r="F100" s="51" t="n">
        <f aca="false">IF($B100="","",SUMIFS('Post Tracker'!$AR$5:$AR$1004,'Post Tracker'!$I$5:$I$1004,$B100,'Post Tracker'!$B$5:$B$1004,"&gt;="&amp;$C$4,'Post Tracker'!$B$5:$B$1004,"&lt;="&amp;$F$4))</f>
        <v>0</v>
      </c>
      <c r="G100" s="52" t="str">
        <f aca="false">IF($B100="","",IFERROR(SUMIFS('Post Tracker'!$BP$5:$BP$1004,'Post Tracker'!$I$5:$I$1004,$B100,'Post Tracker'!$B$5:$B$1004,"&gt;="&amp;$C$4,'Post Tracker'!$B$5:$B$1004,"&lt;="&amp;$F$4)/E100,""))</f>
        <v/>
      </c>
      <c r="H100" s="52" t="str">
        <f aca="false">IF($B100="","",IFERROR(F100/SUMIFS('Post Tracker'!$BQ$5:$BQ$1004,'Post Tracker'!$I$5:$I$1004,$B100,'Post Tracker'!$B$5:$B$1004,"&gt;="&amp;$C$4,'Post Tracker'!$B$5:$B$1004,"&lt;="&amp;$F$4),""))</f>
        <v/>
      </c>
      <c r="I100" s="51" t="n">
        <f aca="false">IF($B100="","",SUMIFS('Post Tracker'!$AJ$5:$AJ$1004,'Post Tracker'!$I$5:$I$1004,$B100,'Post Tracker'!$B$5:$B$1004,"&gt;="&amp;$C$4,'Post Tracker'!$B$5:$B$1004,"&lt;="&amp;$F$4))</f>
        <v>0</v>
      </c>
      <c r="J100" s="52" t="str">
        <f aca="false">IF($B100="","",IFERROR(I100/D100,""))</f>
        <v/>
      </c>
      <c r="K100" s="51" t="n">
        <f aca="false">IF($B100="","",SUMIFS('Post Tracker'!$AZ$5:$AZ$1004,'Post Tracker'!$I$5:$I$1004,$B100,'Post Tracker'!$B$5:$B$1004,"&gt;="&amp;$C$4,'Post Tracker'!$B$5:$B$1004,"&lt;="&amp;$F$4))</f>
        <v>0</v>
      </c>
      <c r="L100" s="51" t="n">
        <f aca="false">IF($B100="","",SUMIFS('Post Tracker'!$BB$5:$BB$1004,'Post Tracker'!$I$5:$I$1004,$B100,'Post Tracker'!$B$5:$B$1004,"&gt;="&amp;$C$4,'Post Tracker'!$B$5:$B$1004,"&lt;="&amp;$F$4))</f>
        <v>0</v>
      </c>
      <c r="M100" s="51" t="n">
        <f aca="false">IF($B100="","",SUMIFS('Post Tracker'!$BD$5:$BD$1004,'Post Tracker'!$I$5:$I$1004,$B100,'Post Tracker'!$B$5:$B$1004,"&gt;="&amp;$C$4,'Post Tracker'!$B$5:$B$1004,"&lt;="&amp;$F$4))</f>
        <v>0</v>
      </c>
      <c r="N100" s="51" t="n">
        <f aca="false">IF($B100="","",SUMIFS('Post Tracker'!$BF$5:$BF$1004,'Post Tracker'!$I$5:$I$1004,$B100,'Post Tracker'!$B$5:$B$1004,"&gt;="&amp;$C$4,'Post Tracker'!$B$5:$B$1004,"&lt;="&amp;$F$4))</f>
        <v>0</v>
      </c>
      <c r="O100" s="52" t="str">
        <f aca="false">IF($B100="","",IFERROR(M100/K100,""))</f>
        <v/>
      </c>
      <c r="P100" s="62" t="n">
        <f aca="false">IF($B100="","",SUMIFS('Post Tracker'!$BH$5:$BH$1004,'Post Tracker'!$I$5:$I$1004,$B100,'Post Tracker'!$B$5:$B$1004,"&gt;="&amp;$C$4,'Post Tracker'!$B$5:$B$1004,"&lt;="&amp;$F$4))</f>
        <v>0</v>
      </c>
    </row>
    <row r="101" customFormat="false" ht="15" hidden="false" customHeight="false" outlineLevel="0" collapsed="false">
      <c r="B101" s="50" t="str">
        <f aca="false">IF(Settings!$K$6="","",Settings!$K$6)</f>
        <v>Single Image</v>
      </c>
      <c r="C101" s="51" t="n">
        <f aca="false">IF($B101="","",COUNTIFS('Post Tracker'!$I$5:$I$1004,$B101,'Post Tracker'!$B$5:$B$1004,"&gt;="&amp;$C$4,'Post Tracker'!$B$5:$B$1004,"&lt;="&amp;$F$4))</f>
        <v>5</v>
      </c>
      <c r="D101" s="51" t="n">
        <f aca="false">IF($B101="","",SUMIFS('Post Tracker'!$AC$5:$AC$1004,'Post Tracker'!$I$5:$I$1004,$B101,'Post Tracker'!$B$5:$B$1004,"&gt;="&amp;$C$4,'Post Tracker'!$B$5:$B$1004,"&lt;="&amp;$F$4))</f>
        <v>55</v>
      </c>
      <c r="E101" s="51" t="n">
        <f aca="false">IF($B101="","",SUMIFS('Post Tracker'!$AO$5:$AO$1004,'Post Tracker'!$I$5:$I$1004,$B101,'Post Tracker'!$B$5:$B$1004,"&gt;="&amp;$C$4,'Post Tracker'!$B$5:$B$1004,"&lt;="&amp;$F$4))</f>
        <v>55</v>
      </c>
      <c r="F101" s="51" t="n">
        <f aca="false">IF($B101="","",SUMIFS('Post Tracker'!$AR$5:$AR$1004,'Post Tracker'!$I$5:$I$1004,$B101,'Post Tracker'!$B$5:$B$1004,"&gt;="&amp;$C$4,'Post Tracker'!$B$5:$B$1004,"&lt;="&amp;$F$4))</f>
        <v>12</v>
      </c>
      <c r="G101" s="52" t="n">
        <f aca="false">IF($B101="","",IFERROR(SUMIFS('Post Tracker'!$BP$5:$BP$1004,'Post Tracker'!$I$5:$I$1004,$B101,'Post Tracker'!$B$5:$B$1004,"&gt;="&amp;$C$4,'Post Tracker'!$B$5:$B$1004,"&lt;="&amp;$F$4)/E101,""))</f>
        <v>0.0363636363636364</v>
      </c>
      <c r="H101" s="52" t="n">
        <f aca="false">IF($B101="","",IFERROR(F101/SUMIFS('Post Tracker'!$BQ$5:$BQ$1004,'Post Tracker'!$I$5:$I$1004,$B101,'Post Tracker'!$B$5:$B$1004,"&gt;="&amp;$C$4,'Post Tracker'!$B$5:$B$1004,"&lt;="&amp;$F$4),""))</f>
        <v>0.0461538461538462</v>
      </c>
      <c r="I101" s="51" t="n">
        <f aca="false">IF($B101="","",SUMIFS('Post Tracker'!$AJ$5:$AJ$1004,'Post Tracker'!$I$5:$I$1004,$B101,'Post Tracker'!$B$5:$B$1004,"&gt;="&amp;$C$4,'Post Tracker'!$B$5:$B$1004,"&lt;="&amp;$F$4))</f>
        <v>0</v>
      </c>
      <c r="J101" s="52" t="n">
        <f aca="false">IF($B101="","",IFERROR(I101/D101,""))</f>
        <v>0</v>
      </c>
      <c r="K101" s="51" t="n">
        <f aca="false">IF($B101="","",SUMIFS('Post Tracker'!$AZ$5:$AZ$1004,'Post Tracker'!$I$5:$I$1004,$B101,'Post Tracker'!$B$5:$B$1004,"&gt;="&amp;$C$4,'Post Tracker'!$B$5:$B$1004,"&lt;="&amp;$F$4))</f>
        <v>0</v>
      </c>
      <c r="L101" s="51" t="n">
        <f aca="false">IF($B101="","",SUMIFS('Post Tracker'!$BB$5:$BB$1004,'Post Tracker'!$I$5:$I$1004,$B101,'Post Tracker'!$B$5:$B$1004,"&gt;="&amp;$C$4,'Post Tracker'!$B$5:$B$1004,"&lt;="&amp;$F$4))</f>
        <v>0</v>
      </c>
      <c r="M101" s="51" t="n">
        <f aca="false">IF($B101="","",SUMIFS('Post Tracker'!$BD$5:$BD$1004,'Post Tracker'!$I$5:$I$1004,$B101,'Post Tracker'!$B$5:$B$1004,"&gt;="&amp;$C$4,'Post Tracker'!$B$5:$B$1004,"&lt;="&amp;$F$4))</f>
        <v>0</v>
      </c>
      <c r="N101" s="51" t="n">
        <f aca="false">IF($B101="","",SUMIFS('Post Tracker'!$BF$5:$BF$1004,'Post Tracker'!$I$5:$I$1004,$B101,'Post Tracker'!$B$5:$B$1004,"&gt;="&amp;$C$4,'Post Tracker'!$B$5:$B$1004,"&lt;="&amp;$F$4))</f>
        <v>0</v>
      </c>
      <c r="O101" s="52" t="str">
        <f aca="false">IF($B101="","",IFERROR(M101/K101,""))</f>
        <v/>
      </c>
      <c r="P101" s="62" t="n">
        <f aca="false">IF($B101="","",SUMIFS('Post Tracker'!$BH$5:$BH$1004,'Post Tracker'!$I$5:$I$1004,$B101,'Post Tracker'!$B$5:$B$1004,"&gt;="&amp;$C$4,'Post Tracker'!$B$5:$B$1004,"&lt;="&amp;$F$4))</f>
        <v>0</v>
      </c>
    </row>
    <row r="102" customFormat="false" ht="15" hidden="false" customHeight="false" outlineLevel="0" collapsed="false">
      <c r="B102" s="50" t="str">
        <f aca="false">IF(Settings!$K$7="","",Settings!$K$7)</f>
        <v>Carousel / Document (PDF)</v>
      </c>
      <c r="C102" s="51" t="n">
        <f aca="false">IF($B102="","",COUNTIFS('Post Tracker'!$I$5:$I$1004,$B102,'Post Tracker'!$B$5:$B$1004,"&gt;="&amp;$C$4,'Post Tracker'!$B$5:$B$1004,"&lt;="&amp;$F$4))</f>
        <v>1</v>
      </c>
      <c r="D102" s="51" t="n">
        <f aca="false">IF($B102="","",SUMIFS('Post Tracker'!$AC$5:$AC$1004,'Post Tracker'!$I$5:$I$1004,$B102,'Post Tracker'!$B$5:$B$1004,"&gt;="&amp;$C$4,'Post Tracker'!$B$5:$B$1004,"&lt;="&amp;$F$4))</f>
        <v>0</v>
      </c>
      <c r="E102" s="51" t="n">
        <f aca="false">IF($B102="","",SUMIFS('Post Tracker'!$AO$5:$AO$1004,'Post Tracker'!$I$5:$I$1004,$B102,'Post Tracker'!$B$5:$B$1004,"&gt;="&amp;$C$4,'Post Tracker'!$B$5:$B$1004,"&lt;="&amp;$F$4))</f>
        <v>0</v>
      </c>
      <c r="F102" s="51" t="n">
        <f aca="false">IF($B102="","",SUMIFS('Post Tracker'!$AR$5:$AR$1004,'Post Tracker'!$I$5:$I$1004,$B102,'Post Tracker'!$B$5:$B$1004,"&gt;="&amp;$C$4,'Post Tracker'!$B$5:$B$1004,"&lt;="&amp;$F$4))</f>
        <v>7</v>
      </c>
      <c r="G102" s="52" t="str">
        <f aca="false">IF($B102="","",IFERROR(SUMIFS('Post Tracker'!$BP$5:$BP$1004,'Post Tracker'!$I$5:$I$1004,$B102,'Post Tracker'!$B$5:$B$1004,"&gt;="&amp;$C$4,'Post Tracker'!$B$5:$B$1004,"&lt;="&amp;$F$4)/E102,""))</f>
        <v/>
      </c>
      <c r="H102" s="52" t="n">
        <f aca="false">IF($B102="","",IFERROR(F102/SUMIFS('Post Tracker'!$BQ$5:$BQ$1004,'Post Tracker'!$I$5:$I$1004,$B102,'Post Tracker'!$B$5:$B$1004,"&gt;="&amp;$C$4,'Post Tracker'!$B$5:$B$1004,"&lt;="&amp;$F$4),""))</f>
        <v>0.114754098360656</v>
      </c>
      <c r="I102" s="51" t="n">
        <f aca="false">IF($B102="","",SUMIFS('Post Tracker'!$AJ$5:$AJ$1004,'Post Tracker'!$I$5:$I$1004,$B102,'Post Tracker'!$B$5:$B$1004,"&gt;="&amp;$C$4,'Post Tracker'!$B$5:$B$1004,"&lt;="&amp;$F$4))</f>
        <v>0</v>
      </c>
      <c r="J102" s="52" t="str">
        <f aca="false">IF($B102="","",IFERROR(I102/D102,""))</f>
        <v/>
      </c>
      <c r="K102" s="51" t="n">
        <f aca="false">IF($B102="","",SUMIFS('Post Tracker'!$AZ$5:$AZ$1004,'Post Tracker'!$I$5:$I$1004,$B102,'Post Tracker'!$B$5:$B$1004,"&gt;="&amp;$C$4,'Post Tracker'!$B$5:$B$1004,"&lt;="&amp;$F$4))</f>
        <v>0</v>
      </c>
      <c r="L102" s="51" t="n">
        <f aca="false">IF($B102="","",SUMIFS('Post Tracker'!$BB$5:$BB$1004,'Post Tracker'!$I$5:$I$1004,$B102,'Post Tracker'!$B$5:$B$1004,"&gt;="&amp;$C$4,'Post Tracker'!$B$5:$B$1004,"&lt;="&amp;$F$4))</f>
        <v>0</v>
      </c>
      <c r="M102" s="51" t="n">
        <f aca="false">IF($B102="","",SUMIFS('Post Tracker'!$BD$5:$BD$1004,'Post Tracker'!$I$5:$I$1004,$B102,'Post Tracker'!$B$5:$B$1004,"&gt;="&amp;$C$4,'Post Tracker'!$B$5:$B$1004,"&lt;="&amp;$F$4))</f>
        <v>0</v>
      </c>
      <c r="N102" s="51" t="n">
        <f aca="false">IF($B102="","",SUMIFS('Post Tracker'!$BF$5:$BF$1004,'Post Tracker'!$I$5:$I$1004,$B102,'Post Tracker'!$B$5:$B$1004,"&gt;="&amp;$C$4,'Post Tracker'!$B$5:$B$1004,"&lt;="&amp;$F$4))</f>
        <v>0</v>
      </c>
      <c r="O102" s="52" t="str">
        <f aca="false">IF($B102="","",IFERROR(M102/K102,""))</f>
        <v/>
      </c>
      <c r="P102" s="62" t="n">
        <f aca="false">IF($B102="","",SUMIFS('Post Tracker'!$BH$5:$BH$1004,'Post Tracker'!$I$5:$I$1004,$B102,'Post Tracker'!$B$5:$B$1004,"&gt;="&amp;$C$4,'Post Tracker'!$B$5:$B$1004,"&lt;="&amp;$F$4))</f>
        <v>0</v>
      </c>
    </row>
    <row r="103" customFormat="false" ht="15" hidden="false" customHeight="false" outlineLevel="0" collapsed="false">
      <c r="B103" s="50" t="str">
        <f aca="false">IF(Settings!$K$8="","",Settings!$K$8)</f>
        <v>Short Video / Reel</v>
      </c>
      <c r="C103" s="51" t="n">
        <f aca="false">IF($B103="","",COUNTIFS('Post Tracker'!$I$5:$I$1004,$B103,'Post Tracker'!$B$5:$B$1004,"&gt;="&amp;$C$4,'Post Tracker'!$B$5:$B$1004,"&lt;="&amp;$F$4))</f>
        <v>1</v>
      </c>
      <c r="D103" s="51" t="n">
        <f aca="false">IF($B103="","",SUMIFS('Post Tracker'!$AC$5:$AC$1004,'Post Tracker'!$I$5:$I$1004,$B103,'Post Tracker'!$B$5:$B$1004,"&gt;="&amp;$C$4,'Post Tracker'!$B$5:$B$1004,"&lt;="&amp;$F$4))</f>
        <v>0</v>
      </c>
      <c r="E103" s="51" t="n">
        <f aca="false">IF($B103="","",SUMIFS('Post Tracker'!$AO$5:$AO$1004,'Post Tracker'!$I$5:$I$1004,$B103,'Post Tracker'!$B$5:$B$1004,"&gt;="&amp;$C$4,'Post Tracker'!$B$5:$B$1004,"&lt;="&amp;$F$4))</f>
        <v>0</v>
      </c>
      <c r="F103" s="51" t="n">
        <f aca="false">IF($B103="","",SUMIFS('Post Tracker'!$AR$5:$AR$1004,'Post Tracker'!$I$5:$I$1004,$B103,'Post Tracker'!$B$5:$B$1004,"&gt;="&amp;$C$4,'Post Tracker'!$B$5:$B$1004,"&lt;="&amp;$F$4))</f>
        <v>7</v>
      </c>
      <c r="G103" s="52" t="str">
        <f aca="false">IF($B103="","",IFERROR(SUMIFS('Post Tracker'!$BP$5:$BP$1004,'Post Tracker'!$I$5:$I$1004,$B103,'Post Tracker'!$B$5:$B$1004,"&gt;="&amp;$C$4,'Post Tracker'!$B$5:$B$1004,"&lt;="&amp;$F$4)/E103,""))</f>
        <v/>
      </c>
      <c r="H103" s="52" t="n">
        <f aca="false">IF($B103="","",IFERROR(F103/SUMIFS('Post Tracker'!$BQ$5:$BQ$1004,'Post Tracker'!$I$5:$I$1004,$B103,'Post Tracker'!$B$5:$B$1004,"&gt;="&amp;$C$4,'Post Tracker'!$B$5:$B$1004,"&lt;="&amp;$F$4),""))</f>
        <v>0.114754098360656</v>
      </c>
      <c r="I103" s="51" t="n">
        <f aca="false">IF($B103="","",SUMIFS('Post Tracker'!$AJ$5:$AJ$1004,'Post Tracker'!$I$5:$I$1004,$B103,'Post Tracker'!$B$5:$B$1004,"&gt;="&amp;$C$4,'Post Tracker'!$B$5:$B$1004,"&lt;="&amp;$F$4))</f>
        <v>0</v>
      </c>
      <c r="J103" s="52" t="str">
        <f aca="false">IF($B103="","",IFERROR(I103/D103,""))</f>
        <v/>
      </c>
      <c r="K103" s="51" t="n">
        <f aca="false">IF($B103="","",SUMIFS('Post Tracker'!$AZ$5:$AZ$1004,'Post Tracker'!$I$5:$I$1004,$B103,'Post Tracker'!$B$5:$B$1004,"&gt;="&amp;$C$4,'Post Tracker'!$B$5:$B$1004,"&lt;="&amp;$F$4))</f>
        <v>0</v>
      </c>
      <c r="L103" s="51" t="n">
        <f aca="false">IF($B103="","",SUMIFS('Post Tracker'!$BB$5:$BB$1004,'Post Tracker'!$I$5:$I$1004,$B103,'Post Tracker'!$B$5:$B$1004,"&gt;="&amp;$C$4,'Post Tracker'!$B$5:$B$1004,"&lt;="&amp;$F$4))</f>
        <v>0</v>
      </c>
      <c r="M103" s="51" t="n">
        <f aca="false">IF($B103="","",SUMIFS('Post Tracker'!$BD$5:$BD$1004,'Post Tracker'!$I$5:$I$1004,$B103,'Post Tracker'!$B$5:$B$1004,"&gt;="&amp;$C$4,'Post Tracker'!$B$5:$B$1004,"&lt;="&amp;$F$4))</f>
        <v>0</v>
      </c>
      <c r="N103" s="51" t="n">
        <f aca="false">IF($B103="","",SUMIFS('Post Tracker'!$BF$5:$BF$1004,'Post Tracker'!$I$5:$I$1004,$B103,'Post Tracker'!$B$5:$B$1004,"&gt;="&amp;$C$4,'Post Tracker'!$B$5:$B$1004,"&lt;="&amp;$F$4))</f>
        <v>0</v>
      </c>
      <c r="O103" s="52" t="str">
        <f aca="false">IF($B103="","",IFERROR(M103/K103,""))</f>
        <v/>
      </c>
      <c r="P103" s="62" t="n">
        <f aca="false">IF($B103="","",SUMIFS('Post Tracker'!$BH$5:$BH$1004,'Post Tracker'!$I$5:$I$1004,$B103,'Post Tracker'!$B$5:$B$1004,"&gt;="&amp;$C$4,'Post Tracker'!$B$5:$B$1004,"&lt;="&amp;$F$4))</f>
        <v>0</v>
      </c>
    </row>
    <row r="104" customFormat="false" ht="15" hidden="false" customHeight="false" outlineLevel="0" collapsed="false">
      <c r="B104" s="50" t="str">
        <f aca="false">IF(Settings!$K$9="","",Settings!$K$9)</f>
        <v>Long Video</v>
      </c>
      <c r="C104" s="51" t="n">
        <f aca="false">IF($B104="","",COUNTIFS('Post Tracker'!$I$5:$I$1004,$B104,'Post Tracker'!$B$5:$B$1004,"&gt;="&amp;$C$4,'Post Tracker'!$B$5:$B$1004,"&lt;="&amp;$F$4))</f>
        <v>2</v>
      </c>
      <c r="D104" s="51" t="n">
        <f aca="false">IF($B104="","",SUMIFS('Post Tracker'!$AC$5:$AC$1004,'Post Tracker'!$I$5:$I$1004,$B104,'Post Tracker'!$B$5:$B$1004,"&gt;="&amp;$C$4,'Post Tracker'!$B$5:$B$1004,"&lt;="&amp;$F$4))</f>
        <v>27</v>
      </c>
      <c r="E104" s="51" t="n">
        <f aca="false">IF($B104="","",SUMIFS('Post Tracker'!$AO$5:$AO$1004,'Post Tracker'!$I$5:$I$1004,$B104,'Post Tracker'!$B$5:$B$1004,"&gt;="&amp;$C$4,'Post Tracker'!$B$5:$B$1004,"&lt;="&amp;$F$4))</f>
        <v>27</v>
      </c>
      <c r="F104" s="51" t="n">
        <f aca="false">IF($B104="","",SUMIFS('Post Tracker'!$AR$5:$AR$1004,'Post Tracker'!$I$5:$I$1004,$B104,'Post Tracker'!$B$5:$B$1004,"&gt;="&amp;$C$4,'Post Tracker'!$B$5:$B$1004,"&lt;="&amp;$F$4))</f>
        <v>0</v>
      </c>
      <c r="G104" s="52" t="n">
        <f aca="false">IF($B104="","",IFERROR(SUMIFS('Post Tracker'!$BP$5:$BP$1004,'Post Tracker'!$I$5:$I$1004,$B104,'Post Tracker'!$B$5:$B$1004,"&gt;="&amp;$C$4,'Post Tracker'!$B$5:$B$1004,"&lt;="&amp;$F$4)/E104,""))</f>
        <v>0</v>
      </c>
      <c r="H104" s="52" t="n">
        <f aca="false">IF($B104="","",IFERROR(F104/SUMIFS('Post Tracker'!$BQ$5:$BQ$1004,'Post Tracker'!$I$5:$I$1004,$B104,'Post Tracker'!$B$5:$B$1004,"&gt;="&amp;$C$4,'Post Tracker'!$B$5:$B$1004,"&lt;="&amp;$F$4),""))</f>
        <v>0</v>
      </c>
      <c r="I104" s="51" t="n">
        <f aca="false">IF($B104="","",SUMIFS('Post Tracker'!$AJ$5:$AJ$1004,'Post Tracker'!$I$5:$I$1004,$B104,'Post Tracker'!$B$5:$B$1004,"&gt;="&amp;$C$4,'Post Tracker'!$B$5:$B$1004,"&lt;="&amp;$F$4))</f>
        <v>0</v>
      </c>
      <c r="J104" s="52" t="n">
        <f aca="false">IF($B104="","",IFERROR(I104/D104,""))</f>
        <v>0</v>
      </c>
      <c r="K104" s="51" t="n">
        <f aca="false">IF($B104="","",SUMIFS('Post Tracker'!$AZ$5:$AZ$1004,'Post Tracker'!$I$5:$I$1004,$B104,'Post Tracker'!$B$5:$B$1004,"&gt;="&amp;$C$4,'Post Tracker'!$B$5:$B$1004,"&lt;="&amp;$F$4))</f>
        <v>0</v>
      </c>
      <c r="L104" s="51" t="n">
        <f aca="false">IF($B104="","",SUMIFS('Post Tracker'!$BB$5:$BB$1004,'Post Tracker'!$I$5:$I$1004,$B104,'Post Tracker'!$B$5:$B$1004,"&gt;="&amp;$C$4,'Post Tracker'!$B$5:$B$1004,"&lt;="&amp;$F$4))</f>
        <v>0</v>
      </c>
      <c r="M104" s="51" t="n">
        <f aca="false">IF($B104="","",SUMIFS('Post Tracker'!$BD$5:$BD$1004,'Post Tracker'!$I$5:$I$1004,$B104,'Post Tracker'!$B$5:$B$1004,"&gt;="&amp;$C$4,'Post Tracker'!$B$5:$B$1004,"&lt;="&amp;$F$4))</f>
        <v>0</v>
      </c>
      <c r="N104" s="51" t="n">
        <f aca="false">IF($B104="","",SUMIFS('Post Tracker'!$BF$5:$BF$1004,'Post Tracker'!$I$5:$I$1004,$B104,'Post Tracker'!$B$5:$B$1004,"&gt;="&amp;$C$4,'Post Tracker'!$B$5:$B$1004,"&lt;="&amp;$F$4))</f>
        <v>0</v>
      </c>
      <c r="O104" s="52" t="str">
        <f aca="false">IF($B104="","",IFERROR(M104/K104,""))</f>
        <v/>
      </c>
      <c r="P104" s="62" t="n">
        <f aca="false">IF($B104="","",SUMIFS('Post Tracker'!$BH$5:$BH$1004,'Post Tracker'!$I$5:$I$1004,$B104,'Post Tracker'!$B$5:$B$1004,"&gt;="&amp;$C$4,'Post Tracker'!$B$5:$B$1004,"&lt;="&amp;$F$4))</f>
        <v>0</v>
      </c>
    </row>
    <row r="105" customFormat="false" ht="15" hidden="false" customHeight="false" outlineLevel="0" collapsed="false">
      <c r="B105" s="50" t="str">
        <f aca="false">IF(Settings!$K$10="","",Settings!$K$10)</f>
        <v>Story</v>
      </c>
      <c r="C105" s="51" t="n">
        <f aca="false">IF($B105="","",COUNTIFS('Post Tracker'!$I$5:$I$1004,$B105,'Post Tracker'!$B$5:$B$1004,"&gt;="&amp;$C$4,'Post Tracker'!$B$5:$B$1004,"&lt;="&amp;$F$4))</f>
        <v>0</v>
      </c>
      <c r="D105" s="51" t="n">
        <f aca="false">IF($B105="","",SUMIFS('Post Tracker'!$AC$5:$AC$1004,'Post Tracker'!$I$5:$I$1004,$B105,'Post Tracker'!$B$5:$B$1004,"&gt;="&amp;$C$4,'Post Tracker'!$B$5:$B$1004,"&lt;="&amp;$F$4))</f>
        <v>0</v>
      </c>
      <c r="E105" s="51" t="n">
        <f aca="false">IF($B105="","",SUMIFS('Post Tracker'!$AO$5:$AO$1004,'Post Tracker'!$I$5:$I$1004,$B105,'Post Tracker'!$B$5:$B$1004,"&gt;="&amp;$C$4,'Post Tracker'!$B$5:$B$1004,"&lt;="&amp;$F$4))</f>
        <v>0</v>
      </c>
      <c r="F105" s="51" t="n">
        <f aca="false">IF($B105="","",SUMIFS('Post Tracker'!$AR$5:$AR$1004,'Post Tracker'!$I$5:$I$1004,$B105,'Post Tracker'!$B$5:$B$1004,"&gt;="&amp;$C$4,'Post Tracker'!$B$5:$B$1004,"&lt;="&amp;$F$4))</f>
        <v>0</v>
      </c>
      <c r="G105" s="52" t="str">
        <f aca="false">IF($B105="","",IFERROR(SUMIFS('Post Tracker'!$BP$5:$BP$1004,'Post Tracker'!$I$5:$I$1004,$B105,'Post Tracker'!$B$5:$B$1004,"&gt;="&amp;$C$4,'Post Tracker'!$B$5:$B$1004,"&lt;="&amp;$F$4)/E105,""))</f>
        <v/>
      </c>
      <c r="H105" s="52" t="str">
        <f aca="false">IF($B105="","",IFERROR(F105/SUMIFS('Post Tracker'!$BQ$5:$BQ$1004,'Post Tracker'!$I$5:$I$1004,$B105,'Post Tracker'!$B$5:$B$1004,"&gt;="&amp;$C$4,'Post Tracker'!$B$5:$B$1004,"&lt;="&amp;$F$4),""))</f>
        <v/>
      </c>
      <c r="I105" s="51" t="n">
        <f aca="false">IF($B105="","",SUMIFS('Post Tracker'!$AJ$5:$AJ$1004,'Post Tracker'!$I$5:$I$1004,$B105,'Post Tracker'!$B$5:$B$1004,"&gt;="&amp;$C$4,'Post Tracker'!$B$5:$B$1004,"&lt;="&amp;$F$4))</f>
        <v>0</v>
      </c>
      <c r="J105" s="52" t="str">
        <f aca="false">IF($B105="","",IFERROR(I105/D105,""))</f>
        <v/>
      </c>
      <c r="K105" s="51" t="n">
        <f aca="false">IF($B105="","",SUMIFS('Post Tracker'!$AZ$5:$AZ$1004,'Post Tracker'!$I$5:$I$1004,$B105,'Post Tracker'!$B$5:$B$1004,"&gt;="&amp;$C$4,'Post Tracker'!$B$5:$B$1004,"&lt;="&amp;$F$4))</f>
        <v>0</v>
      </c>
      <c r="L105" s="51" t="n">
        <f aca="false">IF($B105="","",SUMIFS('Post Tracker'!$BB$5:$BB$1004,'Post Tracker'!$I$5:$I$1004,$B105,'Post Tracker'!$B$5:$B$1004,"&gt;="&amp;$C$4,'Post Tracker'!$B$5:$B$1004,"&lt;="&amp;$F$4))</f>
        <v>0</v>
      </c>
      <c r="M105" s="51" t="n">
        <f aca="false">IF($B105="","",SUMIFS('Post Tracker'!$BD$5:$BD$1004,'Post Tracker'!$I$5:$I$1004,$B105,'Post Tracker'!$B$5:$B$1004,"&gt;="&amp;$C$4,'Post Tracker'!$B$5:$B$1004,"&lt;="&amp;$F$4))</f>
        <v>0</v>
      </c>
      <c r="N105" s="51" t="n">
        <f aca="false">IF($B105="","",SUMIFS('Post Tracker'!$BF$5:$BF$1004,'Post Tracker'!$I$5:$I$1004,$B105,'Post Tracker'!$B$5:$B$1004,"&gt;="&amp;$C$4,'Post Tracker'!$B$5:$B$1004,"&lt;="&amp;$F$4))</f>
        <v>0</v>
      </c>
      <c r="O105" s="52" t="str">
        <f aca="false">IF($B105="","",IFERROR(M105/K105,""))</f>
        <v/>
      </c>
      <c r="P105" s="62" t="n">
        <f aca="false">IF($B105="","",SUMIFS('Post Tracker'!$BH$5:$BH$1004,'Post Tracker'!$I$5:$I$1004,$B105,'Post Tracker'!$B$5:$B$1004,"&gt;="&amp;$C$4,'Post Tracker'!$B$5:$B$1004,"&lt;="&amp;$F$4))</f>
        <v>0</v>
      </c>
    </row>
    <row r="106" customFormat="false" ht="15" hidden="false" customHeight="false" outlineLevel="0" collapsed="false">
      <c r="B106" s="50" t="str">
        <f aca="false">IF(Settings!$K$11="","",Settings!$K$11)</f>
        <v>Poll</v>
      </c>
      <c r="C106" s="51" t="n">
        <f aca="false">IF($B106="","",COUNTIFS('Post Tracker'!$I$5:$I$1004,$B106,'Post Tracker'!$B$5:$B$1004,"&gt;="&amp;$C$4,'Post Tracker'!$B$5:$B$1004,"&lt;="&amp;$F$4))</f>
        <v>1</v>
      </c>
      <c r="D106" s="51" t="n">
        <f aca="false">IF($B106="","",SUMIFS('Post Tracker'!$AC$5:$AC$1004,'Post Tracker'!$I$5:$I$1004,$B106,'Post Tracker'!$B$5:$B$1004,"&gt;="&amp;$C$4,'Post Tracker'!$B$5:$B$1004,"&lt;="&amp;$F$4))</f>
        <v>0</v>
      </c>
      <c r="E106" s="51" t="n">
        <f aca="false">IF($B106="","",SUMIFS('Post Tracker'!$AO$5:$AO$1004,'Post Tracker'!$I$5:$I$1004,$B106,'Post Tracker'!$B$5:$B$1004,"&gt;="&amp;$C$4,'Post Tracker'!$B$5:$B$1004,"&lt;="&amp;$F$4))</f>
        <v>0</v>
      </c>
      <c r="F106" s="51" t="n">
        <f aca="false">IF($B106="","",SUMIFS('Post Tracker'!$AR$5:$AR$1004,'Post Tracker'!$I$5:$I$1004,$B106,'Post Tracker'!$B$5:$B$1004,"&gt;="&amp;$C$4,'Post Tracker'!$B$5:$B$1004,"&lt;="&amp;$F$4))</f>
        <v>2</v>
      </c>
      <c r="G106" s="52" t="str">
        <f aca="false">IF($B106="","",IFERROR(SUMIFS('Post Tracker'!$BP$5:$BP$1004,'Post Tracker'!$I$5:$I$1004,$B106,'Post Tracker'!$B$5:$B$1004,"&gt;="&amp;$C$4,'Post Tracker'!$B$5:$B$1004,"&lt;="&amp;$F$4)/E106,""))</f>
        <v/>
      </c>
      <c r="H106" s="52" t="n">
        <f aca="false">IF($B106="","",IFERROR(F106/SUMIFS('Post Tracker'!$BQ$5:$BQ$1004,'Post Tracker'!$I$5:$I$1004,$B106,'Post Tracker'!$B$5:$B$1004,"&gt;="&amp;$C$4,'Post Tracker'!$B$5:$B$1004,"&lt;="&amp;$F$4),""))</f>
        <v>0.000757575757575758</v>
      </c>
      <c r="I106" s="51" t="n">
        <f aca="false">IF($B106="","",SUMIFS('Post Tracker'!$AJ$5:$AJ$1004,'Post Tracker'!$I$5:$I$1004,$B106,'Post Tracker'!$B$5:$B$1004,"&gt;="&amp;$C$4,'Post Tracker'!$B$5:$B$1004,"&lt;="&amp;$F$4))</f>
        <v>0</v>
      </c>
      <c r="J106" s="52" t="str">
        <f aca="false">IF($B106="","",IFERROR(I106/D106,""))</f>
        <v/>
      </c>
      <c r="K106" s="51" t="n">
        <f aca="false">IF($B106="","",SUMIFS('Post Tracker'!$AZ$5:$AZ$1004,'Post Tracker'!$I$5:$I$1004,$B106,'Post Tracker'!$B$5:$B$1004,"&gt;="&amp;$C$4,'Post Tracker'!$B$5:$B$1004,"&lt;="&amp;$F$4))</f>
        <v>0</v>
      </c>
      <c r="L106" s="51" t="n">
        <f aca="false">IF($B106="","",SUMIFS('Post Tracker'!$BB$5:$BB$1004,'Post Tracker'!$I$5:$I$1004,$B106,'Post Tracker'!$B$5:$B$1004,"&gt;="&amp;$C$4,'Post Tracker'!$B$5:$B$1004,"&lt;="&amp;$F$4))</f>
        <v>0</v>
      </c>
      <c r="M106" s="51" t="n">
        <f aca="false">IF($B106="","",SUMIFS('Post Tracker'!$BD$5:$BD$1004,'Post Tracker'!$I$5:$I$1004,$B106,'Post Tracker'!$B$5:$B$1004,"&gt;="&amp;$C$4,'Post Tracker'!$B$5:$B$1004,"&lt;="&amp;$F$4))</f>
        <v>0</v>
      </c>
      <c r="N106" s="51" t="n">
        <f aca="false">IF($B106="","",SUMIFS('Post Tracker'!$BF$5:$BF$1004,'Post Tracker'!$I$5:$I$1004,$B106,'Post Tracker'!$B$5:$B$1004,"&gt;="&amp;$C$4,'Post Tracker'!$B$5:$B$1004,"&lt;="&amp;$F$4))</f>
        <v>0</v>
      </c>
      <c r="O106" s="52" t="str">
        <f aca="false">IF($B106="","",IFERROR(M106/K106,""))</f>
        <v/>
      </c>
      <c r="P106" s="62" t="n">
        <f aca="false">IF($B106="","",SUMIFS('Post Tracker'!$BH$5:$BH$1004,'Post Tracker'!$I$5:$I$1004,$B106,'Post Tracker'!$B$5:$B$1004,"&gt;="&amp;$C$4,'Post Tracker'!$B$5:$B$1004,"&lt;="&amp;$F$4))</f>
        <v>0</v>
      </c>
    </row>
    <row r="107" customFormat="false" ht="15" hidden="false" customHeight="false" outlineLevel="0" collapsed="false">
      <c r="B107" s="50" t="str">
        <f aca="false">IF(Settings!$K$12="","",Settings!$K$12)</f>
        <v>Thread</v>
      </c>
      <c r="C107" s="51" t="n">
        <f aca="false">IF($B107="","",COUNTIFS('Post Tracker'!$I$5:$I$1004,$B107,'Post Tracker'!$B$5:$B$1004,"&gt;="&amp;$C$4,'Post Tracker'!$B$5:$B$1004,"&lt;="&amp;$F$4))</f>
        <v>0</v>
      </c>
      <c r="D107" s="51" t="n">
        <f aca="false">IF($B107="","",SUMIFS('Post Tracker'!$AC$5:$AC$1004,'Post Tracker'!$I$5:$I$1004,$B107,'Post Tracker'!$B$5:$B$1004,"&gt;="&amp;$C$4,'Post Tracker'!$B$5:$B$1004,"&lt;="&amp;$F$4))</f>
        <v>0</v>
      </c>
      <c r="E107" s="51" t="n">
        <f aca="false">IF($B107="","",SUMIFS('Post Tracker'!$AO$5:$AO$1004,'Post Tracker'!$I$5:$I$1004,$B107,'Post Tracker'!$B$5:$B$1004,"&gt;="&amp;$C$4,'Post Tracker'!$B$5:$B$1004,"&lt;="&amp;$F$4))</f>
        <v>0</v>
      </c>
      <c r="F107" s="51" t="n">
        <f aca="false">IF($B107="","",SUMIFS('Post Tracker'!$AR$5:$AR$1004,'Post Tracker'!$I$5:$I$1004,$B107,'Post Tracker'!$B$5:$B$1004,"&gt;="&amp;$C$4,'Post Tracker'!$B$5:$B$1004,"&lt;="&amp;$F$4))</f>
        <v>0</v>
      </c>
      <c r="G107" s="52" t="str">
        <f aca="false">IF($B107="","",IFERROR(SUMIFS('Post Tracker'!$BP$5:$BP$1004,'Post Tracker'!$I$5:$I$1004,$B107,'Post Tracker'!$B$5:$B$1004,"&gt;="&amp;$C$4,'Post Tracker'!$B$5:$B$1004,"&lt;="&amp;$F$4)/E107,""))</f>
        <v/>
      </c>
      <c r="H107" s="52" t="str">
        <f aca="false">IF($B107="","",IFERROR(F107/SUMIFS('Post Tracker'!$BQ$5:$BQ$1004,'Post Tracker'!$I$5:$I$1004,$B107,'Post Tracker'!$B$5:$B$1004,"&gt;="&amp;$C$4,'Post Tracker'!$B$5:$B$1004,"&lt;="&amp;$F$4),""))</f>
        <v/>
      </c>
      <c r="I107" s="51" t="n">
        <f aca="false">IF($B107="","",SUMIFS('Post Tracker'!$AJ$5:$AJ$1004,'Post Tracker'!$I$5:$I$1004,$B107,'Post Tracker'!$B$5:$B$1004,"&gt;="&amp;$C$4,'Post Tracker'!$B$5:$B$1004,"&lt;="&amp;$F$4))</f>
        <v>0</v>
      </c>
      <c r="J107" s="52" t="str">
        <f aca="false">IF($B107="","",IFERROR(I107/D107,""))</f>
        <v/>
      </c>
      <c r="K107" s="51" t="n">
        <f aca="false">IF($B107="","",SUMIFS('Post Tracker'!$AZ$5:$AZ$1004,'Post Tracker'!$I$5:$I$1004,$B107,'Post Tracker'!$B$5:$B$1004,"&gt;="&amp;$C$4,'Post Tracker'!$B$5:$B$1004,"&lt;="&amp;$F$4))</f>
        <v>0</v>
      </c>
      <c r="L107" s="51" t="n">
        <f aca="false">IF($B107="","",SUMIFS('Post Tracker'!$BB$5:$BB$1004,'Post Tracker'!$I$5:$I$1004,$B107,'Post Tracker'!$B$5:$B$1004,"&gt;="&amp;$C$4,'Post Tracker'!$B$5:$B$1004,"&lt;="&amp;$F$4))</f>
        <v>0</v>
      </c>
      <c r="M107" s="51" t="n">
        <f aca="false">IF($B107="","",SUMIFS('Post Tracker'!$BD$5:$BD$1004,'Post Tracker'!$I$5:$I$1004,$B107,'Post Tracker'!$B$5:$B$1004,"&gt;="&amp;$C$4,'Post Tracker'!$B$5:$B$1004,"&lt;="&amp;$F$4))</f>
        <v>0</v>
      </c>
      <c r="N107" s="51" t="n">
        <f aca="false">IF($B107="","",SUMIFS('Post Tracker'!$BF$5:$BF$1004,'Post Tracker'!$I$5:$I$1004,$B107,'Post Tracker'!$B$5:$B$1004,"&gt;="&amp;$C$4,'Post Tracker'!$B$5:$B$1004,"&lt;="&amp;$F$4))</f>
        <v>0</v>
      </c>
      <c r="O107" s="52" t="str">
        <f aca="false">IF($B107="","",IFERROR(M107/K107,""))</f>
        <v/>
      </c>
      <c r="P107" s="62" t="n">
        <f aca="false">IF($B107="","",SUMIFS('Post Tracker'!$BH$5:$BH$1004,'Post Tracker'!$I$5:$I$1004,$B107,'Post Tracker'!$B$5:$B$1004,"&gt;="&amp;$C$4,'Post Tracker'!$B$5:$B$1004,"&lt;="&amp;$F$4))</f>
        <v>0</v>
      </c>
    </row>
    <row r="108" customFormat="false" ht="15" hidden="false" customHeight="false" outlineLevel="0" collapsed="false">
      <c r="B108" s="50" t="str">
        <f aca="false">IF(Settings!$K$13="","",Settings!$K$13)</f>
        <v>Article / Newsletter</v>
      </c>
      <c r="C108" s="51" t="n">
        <f aca="false">IF($B108="","",COUNTIFS('Post Tracker'!$I$5:$I$1004,$B108,'Post Tracker'!$B$5:$B$1004,"&gt;="&amp;$C$4,'Post Tracker'!$B$5:$B$1004,"&lt;="&amp;$F$4))</f>
        <v>0</v>
      </c>
      <c r="D108" s="51" t="n">
        <f aca="false">IF($B108="","",SUMIFS('Post Tracker'!$AC$5:$AC$1004,'Post Tracker'!$I$5:$I$1004,$B108,'Post Tracker'!$B$5:$B$1004,"&gt;="&amp;$C$4,'Post Tracker'!$B$5:$B$1004,"&lt;="&amp;$F$4))</f>
        <v>0</v>
      </c>
      <c r="E108" s="51" t="n">
        <f aca="false">IF($B108="","",SUMIFS('Post Tracker'!$AO$5:$AO$1004,'Post Tracker'!$I$5:$I$1004,$B108,'Post Tracker'!$B$5:$B$1004,"&gt;="&amp;$C$4,'Post Tracker'!$B$5:$B$1004,"&lt;="&amp;$F$4))</f>
        <v>0</v>
      </c>
      <c r="F108" s="51" t="n">
        <f aca="false">IF($B108="","",SUMIFS('Post Tracker'!$AR$5:$AR$1004,'Post Tracker'!$I$5:$I$1004,$B108,'Post Tracker'!$B$5:$B$1004,"&gt;="&amp;$C$4,'Post Tracker'!$B$5:$B$1004,"&lt;="&amp;$F$4))</f>
        <v>0</v>
      </c>
      <c r="G108" s="52" t="str">
        <f aca="false">IF($B108="","",IFERROR(SUMIFS('Post Tracker'!$BP$5:$BP$1004,'Post Tracker'!$I$5:$I$1004,$B108,'Post Tracker'!$B$5:$B$1004,"&gt;="&amp;$C$4,'Post Tracker'!$B$5:$B$1004,"&lt;="&amp;$F$4)/E108,""))</f>
        <v/>
      </c>
      <c r="H108" s="52" t="str">
        <f aca="false">IF($B108="","",IFERROR(F108/SUMIFS('Post Tracker'!$BQ$5:$BQ$1004,'Post Tracker'!$I$5:$I$1004,$B108,'Post Tracker'!$B$5:$B$1004,"&gt;="&amp;$C$4,'Post Tracker'!$B$5:$B$1004,"&lt;="&amp;$F$4),""))</f>
        <v/>
      </c>
      <c r="I108" s="51" t="n">
        <f aca="false">IF($B108="","",SUMIFS('Post Tracker'!$AJ$5:$AJ$1004,'Post Tracker'!$I$5:$I$1004,$B108,'Post Tracker'!$B$5:$B$1004,"&gt;="&amp;$C$4,'Post Tracker'!$B$5:$B$1004,"&lt;="&amp;$F$4))</f>
        <v>0</v>
      </c>
      <c r="J108" s="52" t="str">
        <f aca="false">IF($B108="","",IFERROR(I108/D108,""))</f>
        <v/>
      </c>
      <c r="K108" s="51" t="n">
        <f aca="false">IF($B108="","",SUMIFS('Post Tracker'!$AZ$5:$AZ$1004,'Post Tracker'!$I$5:$I$1004,$B108,'Post Tracker'!$B$5:$B$1004,"&gt;="&amp;$C$4,'Post Tracker'!$B$5:$B$1004,"&lt;="&amp;$F$4))</f>
        <v>0</v>
      </c>
      <c r="L108" s="51" t="n">
        <f aca="false">IF($B108="","",SUMIFS('Post Tracker'!$BB$5:$BB$1004,'Post Tracker'!$I$5:$I$1004,$B108,'Post Tracker'!$B$5:$B$1004,"&gt;="&amp;$C$4,'Post Tracker'!$B$5:$B$1004,"&lt;="&amp;$F$4))</f>
        <v>0</v>
      </c>
      <c r="M108" s="51" t="n">
        <f aca="false">IF($B108="","",SUMIFS('Post Tracker'!$BD$5:$BD$1004,'Post Tracker'!$I$5:$I$1004,$B108,'Post Tracker'!$B$5:$B$1004,"&gt;="&amp;$C$4,'Post Tracker'!$B$5:$B$1004,"&lt;="&amp;$F$4))</f>
        <v>0</v>
      </c>
      <c r="N108" s="51" t="n">
        <f aca="false">IF($B108="","",SUMIFS('Post Tracker'!$BF$5:$BF$1004,'Post Tracker'!$I$5:$I$1004,$B108,'Post Tracker'!$B$5:$B$1004,"&gt;="&amp;$C$4,'Post Tracker'!$B$5:$B$1004,"&lt;="&amp;$F$4))</f>
        <v>0</v>
      </c>
      <c r="O108" s="52" t="str">
        <f aca="false">IF($B108="","",IFERROR(M108/K108,""))</f>
        <v/>
      </c>
      <c r="P108" s="62" t="n">
        <f aca="false">IF($B108="","",SUMIFS('Post Tracker'!$BH$5:$BH$1004,'Post Tracker'!$I$5:$I$1004,$B108,'Post Tracker'!$B$5:$B$1004,"&gt;="&amp;$C$4,'Post Tracker'!$B$5:$B$1004,"&lt;="&amp;$F$4))</f>
        <v>0</v>
      </c>
    </row>
    <row r="109" customFormat="false" ht="15" hidden="false" customHeight="false" outlineLevel="0" collapsed="false">
      <c r="B109" s="50" t="str">
        <f aca="false">IF(Settings!$K$14="","",Settings!$K$14)</f>
        <v>Link Post</v>
      </c>
      <c r="C109" s="51" t="n">
        <f aca="false">IF($B109="","",COUNTIFS('Post Tracker'!$I$5:$I$1004,$B109,'Post Tracker'!$B$5:$B$1004,"&gt;="&amp;$C$4,'Post Tracker'!$B$5:$B$1004,"&lt;="&amp;$F$4))</f>
        <v>0</v>
      </c>
      <c r="D109" s="51" t="n">
        <f aca="false">IF($B109="","",SUMIFS('Post Tracker'!$AC$5:$AC$1004,'Post Tracker'!$I$5:$I$1004,$B109,'Post Tracker'!$B$5:$B$1004,"&gt;="&amp;$C$4,'Post Tracker'!$B$5:$B$1004,"&lt;="&amp;$F$4))</f>
        <v>0</v>
      </c>
      <c r="E109" s="51" t="n">
        <f aca="false">IF($B109="","",SUMIFS('Post Tracker'!$AO$5:$AO$1004,'Post Tracker'!$I$5:$I$1004,$B109,'Post Tracker'!$B$5:$B$1004,"&gt;="&amp;$C$4,'Post Tracker'!$B$5:$B$1004,"&lt;="&amp;$F$4))</f>
        <v>0</v>
      </c>
      <c r="F109" s="51" t="n">
        <f aca="false">IF($B109="","",SUMIFS('Post Tracker'!$AR$5:$AR$1004,'Post Tracker'!$I$5:$I$1004,$B109,'Post Tracker'!$B$5:$B$1004,"&gt;="&amp;$C$4,'Post Tracker'!$B$5:$B$1004,"&lt;="&amp;$F$4))</f>
        <v>0</v>
      </c>
      <c r="G109" s="52" t="str">
        <f aca="false">IF($B109="","",IFERROR(SUMIFS('Post Tracker'!$BP$5:$BP$1004,'Post Tracker'!$I$5:$I$1004,$B109,'Post Tracker'!$B$5:$B$1004,"&gt;="&amp;$C$4,'Post Tracker'!$B$5:$B$1004,"&lt;="&amp;$F$4)/E109,""))</f>
        <v/>
      </c>
      <c r="H109" s="52" t="str">
        <f aca="false">IF($B109="","",IFERROR(F109/SUMIFS('Post Tracker'!$BQ$5:$BQ$1004,'Post Tracker'!$I$5:$I$1004,$B109,'Post Tracker'!$B$5:$B$1004,"&gt;="&amp;$C$4,'Post Tracker'!$B$5:$B$1004,"&lt;="&amp;$F$4),""))</f>
        <v/>
      </c>
      <c r="I109" s="51" t="n">
        <f aca="false">IF($B109="","",SUMIFS('Post Tracker'!$AJ$5:$AJ$1004,'Post Tracker'!$I$5:$I$1004,$B109,'Post Tracker'!$B$5:$B$1004,"&gt;="&amp;$C$4,'Post Tracker'!$B$5:$B$1004,"&lt;="&amp;$F$4))</f>
        <v>0</v>
      </c>
      <c r="J109" s="52" t="str">
        <f aca="false">IF($B109="","",IFERROR(I109/D109,""))</f>
        <v/>
      </c>
      <c r="K109" s="51" t="n">
        <f aca="false">IF($B109="","",SUMIFS('Post Tracker'!$AZ$5:$AZ$1004,'Post Tracker'!$I$5:$I$1004,$B109,'Post Tracker'!$B$5:$B$1004,"&gt;="&amp;$C$4,'Post Tracker'!$B$5:$B$1004,"&lt;="&amp;$F$4))</f>
        <v>0</v>
      </c>
      <c r="L109" s="51" t="n">
        <f aca="false">IF($B109="","",SUMIFS('Post Tracker'!$BB$5:$BB$1004,'Post Tracker'!$I$5:$I$1004,$B109,'Post Tracker'!$B$5:$B$1004,"&gt;="&amp;$C$4,'Post Tracker'!$B$5:$B$1004,"&lt;="&amp;$F$4))</f>
        <v>0</v>
      </c>
      <c r="M109" s="51" t="n">
        <f aca="false">IF($B109="","",SUMIFS('Post Tracker'!$BD$5:$BD$1004,'Post Tracker'!$I$5:$I$1004,$B109,'Post Tracker'!$B$5:$B$1004,"&gt;="&amp;$C$4,'Post Tracker'!$B$5:$B$1004,"&lt;="&amp;$F$4))</f>
        <v>0</v>
      </c>
      <c r="N109" s="51" t="n">
        <f aca="false">IF($B109="","",SUMIFS('Post Tracker'!$BF$5:$BF$1004,'Post Tracker'!$I$5:$I$1004,$B109,'Post Tracker'!$B$5:$B$1004,"&gt;="&amp;$C$4,'Post Tracker'!$B$5:$B$1004,"&lt;="&amp;$F$4))</f>
        <v>0</v>
      </c>
      <c r="O109" s="52" t="str">
        <f aca="false">IF($B109="","",IFERROR(M109/K109,""))</f>
        <v/>
      </c>
      <c r="P109" s="62" t="n">
        <f aca="false">IF($B109="","",SUMIFS('Post Tracker'!$BH$5:$BH$1004,'Post Tracker'!$I$5:$I$1004,$B109,'Post Tracker'!$B$5:$B$1004,"&gt;="&amp;$C$4,'Post Tracker'!$B$5:$B$1004,"&lt;="&amp;$F$4))</f>
        <v>0</v>
      </c>
    </row>
    <row r="110" customFormat="false" ht="15" hidden="false" customHeight="false" outlineLevel="0" collapsed="false">
      <c r="B110" s="50" t="str">
        <f aca="false">IF(Settings!$K$15="","",Settings!$K$15)</f>
        <v>Live / Event</v>
      </c>
      <c r="C110" s="51" t="n">
        <f aca="false">IF($B110="","",COUNTIFS('Post Tracker'!$I$5:$I$1004,$B110,'Post Tracker'!$B$5:$B$1004,"&gt;="&amp;$C$4,'Post Tracker'!$B$5:$B$1004,"&lt;="&amp;$F$4))</f>
        <v>0</v>
      </c>
      <c r="D110" s="51" t="n">
        <f aca="false">IF($B110="","",SUMIFS('Post Tracker'!$AC$5:$AC$1004,'Post Tracker'!$I$5:$I$1004,$B110,'Post Tracker'!$B$5:$B$1004,"&gt;="&amp;$C$4,'Post Tracker'!$B$5:$B$1004,"&lt;="&amp;$F$4))</f>
        <v>0</v>
      </c>
      <c r="E110" s="51" t="n">
        <f aca="false">IF($B110="","",SUMIFS('Post Tracker'!$AO$5:$AO$1004,'Post Tracker'!$I$5:$I$1004,$B110,'Post Tracker'!$B$5:$B$1004,"&gt;="&amp;$C$4,'Post Tracker'!$B$5:$B$1004,"&lt;="&amp;$F$4))</f>
        <v>0</v>
      </c>
      <c r="F110" s="51" t="n">
        <f aca="false">IF($B110="","",SUMIFS('Post Tracker'!$AR$5:$AR$1004,'Post Tracker'!$I$5:$I$1004,$B110,'Post Tracker'!$B$5:$B$1004,"&gt;="&amp;$C$4,'Post Tracker'!$B$5:$B$1004,"&lt;="&amp;$F$4))</f>
        <v>0</v>
      </c>
      <c r="G110" s="52" t="str">
        <f aca="false">IF($B110="","",IFERROR(SUMIFS('Post Tracker'!$BP$5:$BP$1004,'Post Tracker'!$I$5:$I$1004,$B110,'Post Tracker'!$B$5:$B$1004,"&gt;="&amp;$C$4,'Post Tracker'!$B$5:$B$1004,"&lt;="&amp;$F$4)/E110,""))</f>
        <v/>
      </c>
      <c r="H110" s="52" t="str">
        <f aca="false">IF($B110="","",IFERROR(F110/SUMIFS('Post Tracker'!$BQ$5:$BQ$1004,'Post Tracker'!$I$5:$I$1004,$B110,'Post Tracker'!$B$5:$B$1004,"&gt;="&amp;$C$4,'Post Tracker'!$B$5:$B$1004,"&lt;="&amp;$F$4),""))</f>
        <v/>
      </c>
      <c r="I110" s="51" t="n">
        <f aca="false">IF($B110="","",SUMIFS('Post Tracker'!$AJ$5:$AJ$1004,'Post Tracker'!$I$5:$I$1004,$B110,'Post Tracker'!$B$5:$B$1004,"&gt;="&amp;$C$4,'Post Tracker'!$B$5:$B$1004,"&lt;="&amp;$F$4))</f>
        <v>0</v>
      </c>
      <c r="J110" s="52" t="str">
        <f aca="false">IF($B110="","",IFERROR(I110/D110,""))</f>
        <v/>
      </c>
      <c r="K110" s="51" t="n">
        <f aca="false">IF($B110="","",SUMIFS('Post Tracker'!$AZ$5:$AZ$1004,'Post Tracker'!$I$5:$I$1004,$B110,'Post Tracker'!$B$5:$B$1004,"&gt;="&amp;$C$4,'Post Tracker'!$B$5:$B$1004,"&lt;="&amp;$F$4))</f>
        <v>0</v>
      </c>
      <c r="L110" s="51" t="n">
        <f aca="false">IF($B110="","",SUMIFS('Post Tracker'!$BB$5:$BB$1004,'Post Tracker'!$I$5:$I$1004,$B110,'Post Tracker'!$B$5:$B$1004,"&gt;="&amp;$C$4,'Post Tracker'!$B$5:$B$1004,"&lt;="&amp;$F$4))</f>
        <v>0</v>
      </c>
      <c r="M110" s="51" t="n">
        <f aca="false">IF($B110="","",SUMIFS('Post Tracker'!$BD$5:$BD$1004,'Post Tracker'!$I$5:$I$1004,$B110,'Post Tracker'!$B$5:$B$1004,"&gt;="&amp;$C$4,'Post Tracker'!$B$5:$B$1004,"&lt;="&amp;$F$4))</f>
        <v>0</v>
      </c>
      <c r="N110" s="51" t="n">
        <f aca="false">IF($B110="","",SUMIFS('Post Tracker'!$BF$5:$BF$1004,'Post Tracker'!$I$5:$I$1004,$B110,'Post Tracker'!$B$5:$B$1004,"&gt;="&amp;$C$4,'Post Tracker'!$B$5:$B$1004,"&lt;="&amp;$F$4))</f>
        <v>0</v>
      </c>
      <c r="O110" s="52" t="str">
        <f aca="false">IF($B110="","",IFERROR(M110/K110,""))</f>
        <v/>
      </c>
      <c r="P110" s="62" t="n">
        <f aca="false">IF($B110="","",SUMIFS('Post Tracker'!$BH$5:$BH$1004,'Post Tracker'!$I$5:$I$1004,$B110,'Post Tracker'!$B$5:$B$1004,"&gt;="&amp;$C$4,'Post Tracker'!$B$5:$B$1004,"&lt;="&amp;$F$4))</f>
        <v>0</v>
      </c>
    </row>
    <row r="111" customFormat="false" ht="15" hidden="false" customHeight="false" outlineLevel="0" collapsed="false">
      <c r="B111" s="50" t="str">
        <f aca="false">IF(Settings!$K$16="","",Settings!$K$16)</f>
        <v/>
      </c>
      <c r="C111" s="51" t="str">
        <f aca="false">IF($B111="","",COUNTIFS('Post Tracker'!$I$5:$I$1004,$B111,'Post Tracker'!$B$5:$B$1004,"&gt;="&amp;$C$4,'Post Tracker'!$B$5:$B$1004,"&lt;="&amp;$F$4))</f>
        <v/>
      </c>
      <c r="D111" s="51" t="str">
        <f aca="false">IF($B111="","",SUMIFS('Post Tracker'!$AC$5:$AC$1004,'Post Tracker'!$I$5:$I$1004,$B111,'Post Tracker'!$B$5:$B$1004,"&gt;="&amp;$C$4,'Post Tracker'!$B$5:$B$1004,"&lt;="&amp;$F$4))</f>
        <v/>
      </c>
      <c r="E111" s="51" t="str">
        <f aca="false">IF($B111="","",SUMIFS('Post Tracker'!$AO$5:$AO$1004,'Post Tracker'!$I$5:$I$1004,$B111,'Post Tracker'!$B$5:$B$1004,"&gt;="&amp;$C$4,'Post Tracker'!$B$5:$B$1004,"&lt;="&amp;$F$4))</f>
        <v/>
      </c>
      <c r="F111" s="51" t="str">
        <f aca="false">IF($B111="","",SUMIFS('Post Tracker'!$AR$5:$AR$1004,'Post Tracker'!$I$5:$I$1004,$B111,'Post Tracker'!$B$5:$B$1004,"&gt;="&amp;$C$4,'Post Tracker'!$B$5:$B$1004,"&lt;="&amp;$F$4))</f>
        <v/>
      </c>
      <c r="G111" s="52" t="str">
        <f aca="false">IF($B111="","",IFERROR(SUMIFS('Post Tracker'!$BP$5:$BP$1004,'Post Tracker'!$I$5:$I$1004,$B111,'Post Tracker'!$B$5:$B$1004,"&gt;="&amp;$C$4,'Post Tracker'!$B$5:$B$1004,"&lt;="&amp;$F$4)/E111,""))</f>
        <v/>
      </c>
      <c r="H111" s="52" t="str">
        <f aca="false">IF($B111="","",IFERROR(F111/SUMIFS('Post Tracker'!$BQ$5:$BQ$1004,'Post Tracker'!$I$5:$I$1004,$B111,'Post Tracker'!$B$5:$B$1004,"&gt;="&amp;$C$4,'Post Tracker'!$B$5:$B$1004,"&lt;="&amp;$F$4),""))</f>
        <v/>
      </c>
      <c r="I111" s="51" t="str">
        <f aca="false">IF($B111="","",SUMIFS('Post Tracker'!$AJ$5:$AJ$1004,'Post Tracker'!$I$5:$I$1004,$B111,'Post Tracker'!$B$5:$B$1004,"&gt;="&amp;$C$4,'Post Tracker'!$B$5:$B$1004,"&lt;="&amp;$F$4))</f>
        <v/>
      </c>
      <c r="J111" s="52" t="str">
        <f aca="false">IF($B111="","",IFERROR(I111/D111,""))</f>
        <v/>
      </c>
      <c r="K111" s="51" t="str">
        <f aca="false">IF($B111="","",SUMIFS('Post Tracker'!$AZ$5:$AZ$1004,'Post Tracker'!$I$5:$I$1004,$B111,'Post Tracker'!$B$5:$B$1004,"&gt;="&amp;$C$4,'Post Tracker'!$B$5:$B$1004,"&lt;="&amp;$F$4))</f>
        <v/>
      </c>
      <c r="L111" s="51" t="str">
        <f aca="false">IF($B111="","",SUMIFS('Post Tracker'!$BB$5:$BB$1004,'Post Tracker'!$I$5:$I$1004,$B111,'Post Tracker'!$B$5:$B$1004,"&gt;="&amp;$C$4,'Post Tracker'!$B$5:$B$1004,"&lt;="&amp;$F$4))</f>
        <v/>
      </c>
      <c r="M111" s="51" t="str">
        <f aca="false">IF($B111="","",SUMIFS('Post Tracker'!$BD$5:$BD$1004,'Post Tracker'!$I$5:$I$1004,$B111,'Post Tracker'!$B$5:$B$1004,"&gt;="&amp;$C$4,'Post Tracker'!$B$5:$B$1004,"&lt;="&amp;$F$4))</f>
        <v/>
      </c>
      <c r="N111" s="51" t="str">
        <f aca="false">IF($B111="","",SUMIFS('Post Tracker'!$BF$5:$BF$1004,'Post Tracker'!$I$5:$I$1004,$B111,'Post Tracker'!$B$5:$B$1004,"&gt;="&amp;$C$4,'Post Tracker'!$B$5:$B$1004,"&lt;="&amp;$F$4))</f>
        <v/>
      </c>
      <c r="O111" s="52" t="str">
        <f aca="false">IF($B111="","",IFERROR(M111/K111,""))</f>
        <v/>
      </c>
      <c r="P111" s="62" t="str">
        <f aca="false">IF($B111="","",SUMIFS('Post Tracker'!$BH$5:$BH$1004,'Post Tracker'!$I$5:$I$1004,$B111,'Post Tracker'!$B$5:$B$1004,"&gt;="&amp;$C$4,'Post Tracker'!$B$5:$B$1004,"&lt;="&amp;$F$4))</f>
        <v/>
      </c>
    </row>
    <row r="112" customFormat="false" ht="15" hidden="false" customHeight="false" outlineLevel="0" collapsed="false">
      <c r="B112" s="50" t="str">
        <f aca="false">IF(Settings!$K$17="","",Settings!$K$17)</f>
        <v/>
      </c>
      <c r="C112" s="51" t="str">
        <f aca="false">IF($B112="","",COUNTIFS('Post Tracker'!$I$5:$I$1004,$B112,'Post Tracker'!$B$5:$B$1004,"&gt;="&amp;$C$4,'Post Tracker'!$B$5:$B$1004,"&lt;="&amp;$F$4))</f>
        <v/>
      </c>
      <c r="D112" s="51" t="str">
        <f aca="false">IF($B112="","",SUMIFS('Post Tracker'!$AC$5:$AC$1004,'Post Tracker'!$I$5:$I$1004,$B112,'Post Tracker'!$B$5:$B$1004,"&gt;="&amp;$C$4,'Post Tracker'!$B$5:$B$1004,"&lt;="&amp;$F$4))</f>
        <v/>
      </c>
      <c r="E112" s="51" t="str">
        <f aca="false">IF($B112="","",SUMIFS('Post Tracker'!$AO$5:$AO$1004,'Post Tracker'!$I$5:$I$1004,$B112,'Post Tracker'!$B$5:$B$1004,"&gt;="&amp;$C$4,'Post Tracker'!$B$5:$B$1004,"&lt;="&amp;$F$4))</f>
        <v/>
      </c>
      <c r="F112" s="51" t="str">
        <f aca="false">IF($B112="","",SUMIFS('Post Tracker'!$AR$5:$AR$1004,'Post Tracker'!$I$5:$I$1004,$B112,'Post Tracker'!$B$5:$B$1004,"&gt;="&amp;$C$4,'Post Tracker'!$B$5:$B$1004,"&lt;="&amp;$F$4))</f>
        <v/>
      </c>
      <c r="G112" s="52" t="str">
        <f aca="false">IF($B112="","",IFERROR(SUMIFS('Post Tracker'!$BP$5:$BP$1004,'Post Tracker'!$I$5:$I$1004,$B112,'Post Tracker'!$B$5:$B$1004,"&gt;="&amp;$C$4,'Post Tracker'!$B$5:$B$1004,"&lt;="&amp;$F$4)/E112,""))</f>
        <v/>
      </c>
      <c r="H112" s="52" t="str">
        <f aca="false">IF($B112="","",IFERROR(F112/SUMIFS('Post Tracker'!$BQ$5:$BQ$1004,'Post Tracker'!$I$5:$I$1004,$B112,'Post Tracker'!$B$5:$B$1004,"&gt;="&amp;$C$4,'Post Tracker'!$B$5:$B$1004,"&lt;="&amp;$F$4),""))</f>
        <v/>
      </c>
      <c r="I112" s="51" t="str">
        <f aca="false">IF($B112="","",SUMIFS('Post Tracker'!$AJ$5:$AJ$1004,'Post Tracker'!$I$5:$I$1004,$B112,'Post Tracker'!$B$5:$B$1004,"&gt;="&amp;$C$4,'Post Tracker'!$B$5:$B$1004,"&lt;="&amp;$F$4))</f>
        <v/>
      </c>
      <c r="J112" s="52" t="str">
        <f aca="false">IF($B112="","",IFERROR(I112/D112,""))</f>
        <v/>
      </c>
      <c r="K112" s="51" t="str">
        <f aca="false">IF($B112="","",SUMIFS('Post Tracker'!$AZ$5:$AZ$1004,'Post Tracker'!$I$5:$I$1004,$B112,'Post Tracker'!$B$5:$B$1004,"&gt;="&amp;$C$4,'Post Tracker'!$B$5:$B$1004,"&lt;="&amp;$F$4))</f>
        <v/>
      </c>
      <c r="L112" s="51" t="str">
        <f aca="false">IF($B112="","",SUMIFS('Post Tracker'!$BB$5:$BB$1004,'Post Tracker'!$I$5:$I$1004,$B112,'Post Tracker'!$B$5:$B$1004,"&gt;="&amp;$C$4,'Post Tracker'!$B$5:$B$1004,"&lt;="&amp;$F$4))</f>
        <v/>
      </c>
      <c r="M112" s="51" t="str">
        <f aca="false">IF($B112="","",SUMIFS('Post Tracker'!$BD$5:$BD$1004,'Post Tracker'!$I$5:$I$1004,$B112,'Post Tracker'!$B$5:$B$1004,"&gt;="&amp;$C$4,'Post Tracker'!$B$5:$B$1004,"&lt;="&amp;$F$4))</f>
        <v/>
      </c>
      <c r="N112" s="51" t="str">
        <f aca="false">IF($B112="","",SUMIFS('Post Tracker'!$BF$5:$BF$1004,'Post Tracker'!$I$5:$I$1004,$B112,'Post Tracker'!$B$5:$B$1004,"&gt;="&amp;$C$4,'Post Tracker'!$B$5:$B$1004,"&lt;="&amp;$F$4))</f>
        <v/>
      </c>
      <c r="O112" s="52" t="str">
        <f aca="false">IF($B112="","",IFERROR(M112/K112,""))</f>
        <v/>
      </c>
      <c r="P112" s="62" t="str">
        <f aca="false">IF($B112="","",SUMIFS('Post Tracker'!$BH$5:$BH$1004,'Post Tracker'!$I$5:$I$1004,$B112,'Post Tracker'!$B$5:$B$1004,"&gt;="&amp;$C$4,'Post Tracker'!$B$5:$B$1004,"&lt;="&amp;$F$4))</f>
        <v/>
      </c>
    </row>
    <row r="114" customFormat="false" ht="15" hidden="false" customHeight="false" outlineLevel="0" collapsed="false">
      <c r="B114" s="3" t="s">
        <v>263</v>
      </c>
    </row>
    <row r="115" customFormat="false" ht="30" hidden="false" customHeight="true" outlineLevel="0" collapsed="false">
      <c r="B115" s="60"/>
      <c r="C115" s="61" t="s">
        <v>253</v>
      </c>
      <c r="D115" s="61" t="s">
        <v>222</v>
      </c>
      <c r="E115" s="61" t="s">
        <v>254</v>
      </c>
      <c r="F115" s="61" t="s">
        <v>223</v>
      </c>
      <c r="G115" s="61" t="s">
        <v>250</v>
      </c>
      <c r="H115" s="61" t="s">
        <v>249</v>
      </c>
      <c r="I115" s="61" t="s">
        <v>106</v>
      </c>
      <c r="J115" s="61" t="s">
        <v>255</v>
      </c>
      <c r="K115" s="61" t="s">
        <v>256</v>
      </c>
      <c r="L115" s="61" t="s">
        <v>124</v>
      </c>
      <c r="M115" s="61" t="s">
        <v>126</v>
      </c>
      <c r="N115" s="61" t="s">
        <v>128</v>
      </c>
      <c r="O115" s="61" t="s">
        <v>134</v>
      </c>
      <c r="P115" s="61" t="s">
        <v>257</v>
      </c>
    </row>
    <row r="116" customFormat="false" ht="15" hidden="false" customHeight="false" outlineLevel="0" collapsed="false">
      <c r="B116" s="50" t="str">
        <f aca="false">IF(Settings!$M$5="","",Settings!$M$5)</f>
        <v>Owner / CEO</v>
      </c>
      <c r="C116" s="51" t="n">
        <f aca="false">IF($B116="","",COUNTIFS('Post Tracker'!$N$5:$N$1004,$B116,'Post Tracker'!$B$5:$B$1004,"&gt;="&amp;$C$4,'Post Tracker'!$B$5:$B$1004,"&lt;="&amp;$F$4))</f>
        <v>7</v>
      </c>
      <c r="D116" s="51" t="n">
        <f aca="false">IF($B116="","",SUMIFS('Post Tracker'!$AC$5:$AC$1004,'Post Tracker'!$N$5:$N$1004,$B116,'Post Tracker'!$B$5:$B$1004,"&gt;="&amp;$C$4,'Post Tracker'!$B$5:$B$1004,"&lt;="&amp;$F$4))</f>
        <v>43</v>
      </c>
      <c r="E116" s="51" t="n">
        <f aca="false">IF($B116="","",SUMIFS('Post Tracker'!$AO$5:$AO$1004,'Post Tracker'!$N$5:$N$1004,$B116,'Post Tracker'!$B$5:$B$1004,"&gt;="&amp;$C$4,'Post Tracker'!$B$5:$B$1004,"&lt;="&amp;$F$4))</f>
        <v>43</v>
      </c>
      <c r="F116" s="51" t="n">
        <f aca="false">IF($B116="","",SUMIFS('Post Tracker'!$AR$5:$AR$1004,'Post Tracker'!$N$5:$N$1004,$B116,'Post Tracker'!$B$5:$B$1004,"&gt;="&amp;$C$4,'Post Tracker'!$B$5:$B$1004,"&lt;="&amp;$F$4))</f>
        <v>33</v>
      </c>
      <c r="G116" s="52" t="n">
        <f aca="false">IF($B116="","",IFERROR(SUMIFS('Post Tracker'!$BP$5:$BP$1004,'Post Tracker'!$N$5:$N$1004,$B116,'Post Tracker'!$B$5:$B$1004,"&gt;="&amp;$C$4,'Post Tracker'!$B$5:$B$1004,"&lt;="&amp;$F$4)/E116,""))</f>
        <v>0</v>
      </c>
      <c r="H116" s="52" t="n">
        <f aca="false">IF($B116="","",IFERROR(F116/SUMIFS('Post Tracker'!$BQ$5:$BQ$1004,'Post Tracker'!$N$5:$N$1004,$B116,'Post Tracker'!$B$5:$B$1004,"&gt;="&amp;$C$4,'Post Tracker'!$B$5:$B$1004,"&lt;="&amp;$F$4),""))</f>
        <v>0.00600655260283946</v>
      </c>
      <c r="I116" s="51" t="n">
        <f aca="false">IF($B116="","",SUMIFS('Post Tracker'!$AJ$5:$AJ$1004,'Post Tracker'!$N$5:$N$1004,$B116,'Post Tracker'!$B$5:$B$1004,"&gt;="&amp;$C$4,'Post Tracker'!$B$5:$B$1004,"&lt;="&amp;$F$4))</f>
        <v>0</v>
      </c>
      <c r="J116" s="52" t="n">
        <f aca="false">IF($B116="","",IFERROR(I116/D116,""))</f>
        <v>0</v>
      </c>
      <c r="K116" s="51" t="n">
        <f aca="false">IF($B116="","",SUMIFS('Post Tracker'!$AZ$5:$AZ$1004,'Post Tracker'!$N$5:$N$1004,$B116,'Post Tracker'!$B$5:$B$1004,"&gt;="&amp;$C$4,'Post Tracker'!$B$5:$B$1004,"&lt;="&amp;$F$4))</f>
        <v>0</v>
      </c>
      <c r="L116" s="51" t="n">
        <f aca="false">IF($B116="","",SUMIFS('Post Tracker'!$BB$5:$BB$1004,'Post Tracker'!$N$5:$N$1004,$B116,'Post Tracker'!$B$5:$B$1004,"&gt;="&amp;$C$4,'Post Tracker'!$B$5:$B$1004,"&lt;="&amp;$F$4))</f>
        <v>0</v>
      </c>
      <c r="M116" s="51" t="n">
        <f aca="false">IF($B116="","",SUMIFS('Post Tracker'!$BD$5:$BD$1004,'Post Tracker'!$N$5:$N$1004,$B116,'Post Tracker'!$B$5:$B$1004,"&gt;="&amp;$C$4,'Post Tracker'!$B$5:$B$1004,"&lt;="&amp;$F$4))</f>
        <v>0</v>
      </c>
      <c r="N116" s="51" t="n">
        <f aca="false">IF($B116="","",SUMIFS('Post Tracker'!$BF$5:$BF$1004,'Post Tracker'!$N$5:$N$1004,$B116,'Post Tracker'!$B$5:$B$1004,"&gt;="&amp;$C$4,'Post Tracker'!$B$5:$B$1004,"&lt;="&amp;$F$4))</f>
        <v>0</v>
      </c>
      <c r="O116" s="52" t="str">
        <f aca="false">IF($B116="","",IFERROR(M116/K116,""))</f>
        <v/>
      </c>
      <c r="P116" s="62" t="n">
        <f aca="false">IF($B116="","",SUMIFS('Post Tracker'!$BH$5:$BH$1004,'Post Tracker'!$N$5:$N$1004,$B116,'Post Tracker'!$B$5:$B$1004,"&gt;="&amp;$C$4,'Post Tracker'!$B$5:$B$1004,"&lt;="&amp;$F$4))</f>
        <v>0</v>
      </c>
    </row>
    <row r="117" customFormat="false" ht="15" hidden="false" customHeight="false" outlineLevel="0" collapsed="false">
      <c r="B117" s="50" t="str">
        <f aca="false">IF(Settings!$M$6="","",Settings!$M$6)</f>
        <v>Medical Director / Radiologist</v>
      </c>
      <c r="C117" s="51" t="n">
        <f aca="false">IF($B117="","",COUNTIFS('Post Tracker'!$N$5:$N$1004,$B117,'Post Tracker'!$B$5:$B$1004,"&gt;="&amp;$C$4,'Post Tracker'!$B$5:$B$1004,"&lt;="&amp;$F$4))</f>
        <v>0</v>
      </c>
      <c r="D117" s="51" t="n">
        <f aca="false">IF($B117="","",SUMIFS('Post Tracker'!$AC$5:$AC$1004,'Post Tracker'!$N$5:$N$1004,$B117,'Post Tracker'!$B$5:$B$1004,"&gt;="&amp;$C$4,'Post Tracker'!$B$5:$B$1004,"&lt;="&amp;$F$4))</f>
        <v>0</v>
      </c>
      <c r="E117" s="51" t="n">
        <f aca="false">IF($B117="","",SUMIFS('Post Tracker'!$AO$5:$AO$1004,'Post Tracker'!$N$5:$N$1004,$B117,'Post Tracker'!$B$5:$B$1004,"&gt;="&amp;$C$4,'Post Tracker'!$B$5:$B$1004,"&lt;="&amp;$F$4))</f>
        <v>0</v>
      </c>
      <c r="F117" s="51" t="n">
        <f aca="false">IF($B117="","",SUMIFS('Post Tracker'!$AR$5:$AR$1004,'Post Tracker'!$N$5:$N$1004,$B117,'Post Tracker'!$B$5:$B$1004,"&gt;="&amp;$C$4,'Post Tracker'!$B$5:$B$1004,"&lt;="&amp;$F$4))</f>
        <v>0</v>
      </c>
      <c r="G117" s="52" t="str">
        <f aca="false">IF($B117="","",IFERROR(SUMIFS('Post Tracker'!$BP$5:$BP$1004,'Post Tracker'!$N$5:$N$1004,$B117,'Post Tracker'!$B$5:$B$1004,"&gt;="&amp;$C$4,'Post Tracker'!$B$5:$B$1004,"&lt;="&amp;$F$4)/E117,""))</f>
        <v/>
      </c>
      <c r="H117" s="52" t="str">
        <f aca="false">IF($B117="","",IFERROR(F117/SUMIFS('Post Tracker'!$BQ$5:$BQ$1004,'Post Tracker'!$N$5:$N$1004,$B117,'Post Tracker'!$B$5:$B$1004,"&gt;="&amp;$C$4,'Post Tracker'!$B$5:$B$1004,"&lt;="&amp;$F$4),""))</f>
        <v/>
      </c>
      <c r="I117" s="51" t="n">
        <f aca="false">IF($B117="","",SUMIFS('Post Tracker'!$AJ$5:$AJ$1004,'Post Tracker'!$N$5:$N$1004,$B117,'Post Tracker'!$B$5:$B$1004,"&gt;="&amp;$C$4,'Post Tracker'!$B$5:$B$1004,"&lt;="&amp;$F$4))</f>
        <v>0</v>
      </c>
      <c r="J117" s="52" t="str">
        <f aca="false">IF($B117="","",IFERROR(I117/D117,""))</f>
        <v/>
      </c>
      <c r="K117" s="51" t="n">
        <f aca="false">IF($B117="","",SUMIFS('Post Tracker'!$AZ$5:$AZ$1004,'Post Tracker'!$N$5:$N$1004,$B117,'Post Tracker'!$B$5:$B$1004,"&gt;="&amp;$C$4,'Post Tracker'!$B$5:$B$1004,"&lt;="&amp;$F$4))</f>
        <v>0</v>
      </c>
      <c r="L117" s="51" t="n">
        <f aca="false">IF($B117="","",SUMIFS('Post Tracker'!$BB$5:$BB$1004,'Post Tracker'!$N$5:$N$1004,$B117,'Post Tracker'!$B$5:$B$1004,"&gt;="&amp;$C$4,'Post Tracker'!$B$5:$B$1004,"&lt;="&amp;$F$4))</f>
        <v>0</v>
      </c>
      <c r="M117" s="51" t="n">
        <f aca="false">IF($B117="","",SUMIFS('Post Tracker'!$BD$5:$BD$1004,'Post Tracker'!$N$5:$N$1004,$B117,'Post Tracker'!$B$5:$B$1004,"&gt;="&amp;$C$4,'Post Tracker'!$B$5:$B$1004,"&lt;="&amp;$F$4))</f>
        <v>0</v>
      </c>
      <c r="N117" s="51" t="n">
        <f aca="false">IF($B117="","",SUMIFS('Post Tracker'!$BF$5:$BF$1004,'Post Tracker'!$N$5:$N$1004,$B117,'Post Tracker'!$B$5:$B$1004,"&gt;="&amp;$C$4,'Post Tracker'!$B$5:$B$1004,"&lt;="&amp;$F$4))</f>
        <v>0</v>
      </c>
      <c r="O117" s="52" t="str">
        <f aca="false">IF($B117="","",IFERROR(M117/K117,""))</f>
        <v/>
      </c>
      <c r="P117" s="62" t="n">
        <f aca="false">IF($B117="","",SUMIFS('Post Tracker'!$BH$5:$BH$1004,'Post Tracker'!$N$5:$N$1004,$B117,'Post Tracker'!$B$5:$B$1004,"&gt;="&amp;$C$4,'Post Tracker'!$B$5:$B$1004,"&lt;="&amp;$F$4))</f>
        <v>0</v>
      </c>
    </row>
    <row r="118" customFormat="false" ht="15" hidden="false" customHeight="false" outlineLevel="0" collapsed="false">
      <c r="B118" s="50" t="str">
        <f aca="false">IF(Settings!$M$7="","",Settings!$M$7)</f>
        <v>Practice / Operations Manager</v>
      </c>
      <c r="C118" s="51" t="n">
        <f aca="false">IF($B118="","",COUNTIFS('Post Tracker'!$N$5:$N$1004,$B118,'Post Tracker'!$B$5:$B$1004,"&gt;="&amp;$C$4,'Post Tracker'!$B$5:$B$1004,"&lt;="&amp;$F$4))</f>
        <v>0</v>
      </c>
      <c r="D118" s="51" t="n">
        <f aca="false">IF($B118="","",SUMIFS('Post Tracker'!$AC$5:$AC$1004,'Post Tracker'!$N$5:$N$1004,$B118,'Post Tracker'!$B$5:$B$1004,"&gt;="&amp;$C$4,'Post Tracker'!$B$5:$B$1004,"&lt;="&amp;$F$4))</f>
        <v>0</v>
      </c>
      <c r="E118" s="51" t="n">
        <f aca="false">IF($B118="","",SUMIFS('Post Tracker'!$AO$5:$AO$1004,'Post Tracker'!$N$5:$N$1004,$B118,'Post Tracker'!$B$5:$B$1004,"&gt;="&amp;$C$4,'Post Tracker'!$B$5:$B$1004,"&lt;="&amp;$F$4))</f>
        <v>0</v>
      </c>
      <c r="F118" s="51" t="n">
        <f aca="false">IF($B118="","",SUMIFS('Post Tracker'!$AR$5:$AR$1004,'Post Tracker'!$N$5:$N$1004,$B118,'Post Tracker'!$B$5:$B$1004,"&gt;="&amp;$C$4,'Post Tracker'!$B$5:$B$1004,"&lt;="&amp;$F$4))</f>
        <v>0</v>
      </c>
      <c r="G118" s="52" t="str">
        <f aca="false">IF($B118="","",IFERROR(SUMIFS('Post Tracker'!$BP$5:$BP$1004,'Post Tracker'!$N$5:$N$1004,$B118,'Post Tracker'!$B$5:$B$1004,"&gt;="&amp;$C$4,'Post Tracker'!$B$5:$B$1004,"&lt;="&amp;$F$4)/E118,""))</f>
        <v/>
      </c>
      <c r="H118" s="52" t="str">
        <f aca="false">IF($B118="","",IFERROR(F118/SUMIFS('Post Tracker'!$BQ$5:$BQ$1004,'Post Tracker'!$N$5:$N$1004,$B118,'Post Tracker'!$B$5:$B$1004,"&gt;="&amp;$C$4,'Post Tracker'!$B$5:$B$1004,"&lt;="&amp;$F$4),""))</f>
        <v/>
      </c>
      <c r="I118" s="51" t="n">
        <f aca="false">IF($B118="","",SUMIFS('Post Tracker'!$AJ$5:$AJ$1004,'Post Tracker'!$N$5:$N$1004,$B118,'Post Tracker'!$B$5:$B$1004,"&gt;="&amp;$C$4,'Post Tracker'!$B$5:$B$1004,"&lt;="&amp;$F$4))</f>
        <v>0</v>
      </c>
      <c r="J118" s="52" t="str">
        <f aca="false">IF($B118="","",IFERROR(I118/D118,""))</f>
        <v/>
      </c>
      <c r="K118" s="51" t="n">
        <f aca="false">IF($B118="","",SUMIFS('Post Tracker'!$AZ$5:$AZ$1004,'Post Tracker'!$N$5:$N$1004,$B118,'Post Tracker'!$B$5:$B$1004,"&gt;="&amp;$C$4,'Post Tracker'!$B$5:$B$1004,"&lt;="&amp;$F$4))</f>
        <v>0</v>
      </c>
      <c r="L118" s="51" t="n">
        <f aca="false">IF($B118="","",SUMIFS('Post Tracker'!$BB$5:$BB$1004,'Post Tracker'!$N$5:$N$1004,$B118,'Post Tracker'!$B$5:$B$1004,"&gt;="&amp;$C$4,'Post Tracker'!$B$5:$B$1004,"&lt;="&amp;$F$4))</f>
        <v>0</v>
      </c>
      <c r="M118" s="51" t="n">
        <f aca="false">IF($B118="","",SUMIFS('Post Tracker'!$BD$5:$BD$1004,'Post Tracker'!$N$5:$N$1004,$B118,'Post Tracker'!$B$5:$B$1004,"&gt;="&amp;$C$4,'Post Tracker'!$B$5:$B$1004,"&lt;="&amp;$F$4))</f>
        <v>0</v>
      </c>
      <c r="N118" s="51" t="n">
        <f aca="false">IF($B118="","",SUMIFS('Post Tracker'!$BF$5:$BF$1004,'Post Tracker'!$N$5:$N$1004,$B118,'Post Tracker'!$B$5:$B$1004,"&gt;="&amp;$C$4,'Post Tracker'!$B$5:$B$1004,"&lt;="&amp;$F$4))</f>
        <v>0</v>
      </c>
      <c r="O118" s="52" t="str">
        <f aca="false">IF($B118="","",IFERROR(M118/K118,""))</f>
        <v/>
      </c>
      <c r="P118" s="62" t="n">
        <f aca="false">IF($B118="","",SUMIFS('Post Tracker'!$BH$5:$BH$1004,'Post Tracker'!$N$5:$N$1004,$B118,'Post Tracker'!$B$5:$B$1004,"&gt;="&amp;$C$4,'Post Tracker'!$B$5:$B$1004,"&lt;="&amp;$F$4))</f>
        <v>0</v>
      </c>
    </row>
    <row r="119" customFormat="false" ht="15" hidden="false" customHeight="false" outlineLevel="0" collapsed="false">
      <c r="B119" s="50" t="str">
        <f aca="false">IF(Settings!$M$8="","",Settings!$M$8)</f>
        <v>Revenue Cycle / Billing Lead</v>
      </c>
      <c r="C119" s="51" t="n">
        <f aca="false">IF($B119="","",COUNTIFS('Post Tracker'!$N$5:$N$1004,$B119,'Post Tracker'!$B$5:$B$1004,"&gt;="&amp;$C$4,'Post Tracker'!$B$5:$B$1004,"&lt;="&amp;$F$4))</f>
        <v>6</v>
      </c>
      <c r="D119" s="51" t="n">
        <f aca="false">IF($B119="","",SUMIFS('Post Tracker'!$AC$5:$AC$1004,'Post Tracker'!$N$5:$N$1004,$B119,'Post Tracker'!$B$5:$B$1004,"&gt;="&amp;$C$4,'Post Tracker'!$B$5:$B$1004,"&lt;="&amp;$F$4))</f>
        <v>39</v>
      </c>
      <c r="E119" s="51" t="n">
        <f aca="false">IF($B119="","",SUMIFS('Post Tracker'!$AO$5:$AO$1004,'Post Tracker'!$N$5:$N$1004,$B119,'Post Tracker'!$B$5:$B$1004,"&gt;="&amp;$C$4,'Post Tracker'!$B$5:$B$1004,"&lt;="&amp;$F$4))</f>
        <v>39</v>
      </c>
      <c r="F119" s="51" t="n">
        <f aca="false">IF($B119="","",SUMIFS('Post Tracker'!$AR$5:$AR$1004,'Post Tracker'!$N$5:$N$1004,$B119,'Post Tracker'!$B$5:$B$1004,"&gt;="&amp;$C$4,'Post Tracker'!$B$5:$B$1004,"&lt;="&amp;$F$4))</f>
        <v>22</v>
      </c>
      <c r="G119" s="52" t="n">
        <f aca="false">IF($B119="","",IFERROR(SUMIFS('Post Tracker'!$BP$5:$BP$1004,'Post Tracker'!$N$5:$N$1004,$B119,'Post Tracker'!$B$5:$B$1004,"&gt;="&amp;$C$4,'Post Tracker'!$B$5:$B$1004,"&lt;="&amp;$F$4)/E119,""))</f>
        <v>0.0512820512820513</v>
      </c>
      <c r="H119" s="52" t="n">
        <f aca="false">IF($B119="","",IFERROR(F119/SUMIFS('Post Tracker'!$BQ$5:$BQ$1004,'Post Tracker'!$N$5:$N$1004,$B119,'Post Tracker'!$B$5:$B$1004,"&gt;="&amp;$C$4,'Post Tracker'!$B$5:$B$1004,"&lt;="&amp;$F$4),""))</f>
        <v>0.00400436840189297</v>
      </c>
      <c r="I119" s="51" t="n">
        <f aca="false">IF($B119="","",SUMIFS('Post Tracker'!$AJ$5:$AJ$1004,'Post Tracker'!$N$5:$N$1004,$B119,'Post Tracker'!$B$5:$B$1004,"&gt;="&amp;$C$4,'Post Tracker'!$B$5:$B$1004,"&lt;="&amp;$F$4))</f>
        <v>0</v>
      </c>
      <c r="J119" s="52" t="n">
        <f aca="false">IF($B119="","",IFERROR(I119/D119,""))</f>
        <v>0</v>
      </c>
      <c r="K119" s="51" t="n">
        <f aca="false">IF($B119="","",SUMIFS('Post Tracker'!$AZ$5:$AZ$1004,'Post Tracker'!$N$5:$N$1004,$B119,'Post Tracker'!$B$5:$B$1004,"&gt;="&amp;$C$4,'Post Tracker'!$B$5:$B$1004,"&lt;="&amp;$F$4))</f>
        <v>0</v>
      </c>
      <c r="L119" s="51" t="n">
        <f aca="false">IF($B119="","",SUMIFS('Post Tracker'!$BB$5:$BB$1004,'Post Tracker'!$N$5:$N$1004,$B119,'Post Tracker'!$B$5:$B$1004,"&gt;="&amp;$C$4,'Post Tracker'!$B$5:$B$1004,"&lt;="&amp;$F$4))</f>
        <v>0</v>
      </c>
      <c r="M119" s="51" t="n">
        <f aca="false">IF($B119="","",SUMIFS('Post Tracker'!$BD$5:$BD$1004,'Post Tracker'!$N$5:$N$1004,$B119,'Post Tracker'!$B$5:$B$1004,"&gt;="&amp;$C$4,'Post Tracker'!$B$5:$B$1004,"&lt;="&amp;$F$4))</f>
        <v>0</v>
      </c>
      <c r="N119" s="51" t="n">
        <f aca="false">IF($B119="","",SUMIFS('Post Tracker'!$BF$5:$BF$1004,'Post Tracker'!$N$5:$N$1004,$B119,'Post Tracker'!$B$5:$B$1004,"&gt;="&amp;$C$4,'Post Tracker'!$B$5:$B$1004,"&lt;="&amp;$F$4))</f>
        <v>0</v>
      </c>
      <c r="O119" s="52" t="str">
        <f aca="false">IF($B119="","",IFERROR(M119/K119,""))</f>
        <v/>
      </c>
      <c r="P119" s="62" t="n">
        <f aca="false">IF($B119="","",SUMIFS('Post Tracker'!$BH$5:$BH$1004,'Post Tracker'!$N$5:$N$1004,$B119,'Post Tracker'!$B$5:$B$1004,"&gt;="&amp;$C$4,'Post Tracker'!$B$5:$B$1004,"&lt;="&amp;$F$4))</f>
        <v>0</v>
      </c>
    </row>
    <row r="120" customFormat="false" ht="15" hidden="false" customHeight="false" outlineLevel="0" collapsed="false">
      <c r="B120" s="50" t="str">
        <f aca="false">IF(Settings!$M$9="","",Settings!$M$9)</f>
        <v>IT / PACS Administrator</v>
      </c>
      <c r="C120" s="51" t="n">
        <f aca="false">IF($B120="","",COUNTIFS('Post Tracker'!$N$5:$N$1004,$B120,'Post Tracker'!$B$5:$B$1004,"&gt;="&amp;$C$4,'Post Tracker'!$B$5:$B$1004,"&lt;="&amp;$F$4))</f>
        <v>0</v>
      </c>
      <c r="D120" s="51" t="n">
        <f aca="false">IF($B120="","",SUMIFS('Post Tracker'!$AC$5:$AC$1004,'Post Tracker'!$N$5:$N$1004,$B120,'Post Tracker'!$B$5:$B$1004,"&gt;="&amp;$C$4,'Post Tracker'!$B$5:$B$1004,"&lt;="&amp;$F$4))</f>
        <v>0</v>
      </c>
      <c r="E120" s="51" t="n">
        <f aca="false">IF($B120="","",SUMIFS('Post Tracker'!$AO$5:$AO$1004,'Post Tracker'!$N$5:$N$1004,$B120,'Post Tracker'!$B$5:$B$1004,"&gt;="&amp;$C$4,'Post Tracker'!$B$5:$B$1004,"&lt;="&amp;$F$4))</f>
        <v>0</v>
      </c>
      <c r="F120" s="51" t="n">
        <f aca="false">IF($B120="","",SUMIFS('Post Tracker'!$AR$5:$AR$1004,'Post Tracker'!$N$5:$N$1004,$B120,'Post Tracker'!$B$5:$B$1004,"&gt;="&amp;$C$4,'Post Tracker'!$B$5:$B$1004,"&lt;="&amp;$F$4))</f>
        <v>0</v>
      </c>
      <c r="G120" s="52" t="str">
        <f aca="false">IF($B120="","",IFERROR(SUMIFS('Post Tracker'!$BP$5:$BP$1004,'Post Tracker'!$N$5:$N$1004,$B120,'Post Tracker'!$B$5:$B$1004,"&gt;="&amp;$C$4,'Post Tracker'!$B$5:$B$1004,"&lt;="&amp;$F$4)/E120,""))</f>
        <v/>
      </c>
      <c r="H120" s="52" t="str">
        <f aca="false">IF($B120="","",IFERROR(F120/SUMIFS('Post Tracker'!$BQ$5:$BQ$1004,'Post Tracker'!$N$5:$N$1004,$B120,'Post Tracker'!$B$5:$B$1004,"&gt;="&amp;$C$4,'Post Tracker'!$B$5:$B$1004,"&lt;="&amp;$F$4),""))</f>
        <v/>
      </c>
      <c r="I120" s="51" t="n">
        <f aca="false">IF($B120="","",SUMIFS('Post Tracker'!$AJ$5:$AJ$1004,'Post Tracker'!$N$5:$N$1004,$B120,'Post Tracker'!$B$5:$B$1004,"&gt;="&amp;$C$4,'Post Tracker'!$B$5:$B$1004,"&lt;="&amp;$F$4))</f>
        <v>0</v>
      </c>
      <c r="J120" s="52" t="str">
        <f aca="false">IF($B120="","",IFERROR(I120/D120,""))</f>
        <v/>
      </c>
      <c r="K120" s="51" t="n">
        <f aca="false">IF($B120="","",SUMIFS('Post Tracker'!$AZ$5:$AZ$1004,'Post Tracker'!$N$5:$N$1004,$B120,'Post Tracker'!$B$5:$B$1004,"&gt;="&amp;$C$4,'Post Tracker'!$B$5:$B$1004,"&lt;="&amp;$F$4))</f>
        <v>0</v>
      </c>
      <c r="L120" s="51" t="n">
        <f aca="false">IF($B120="","",SUMIFS('Post Tracker'!$BB$5:$BB$1004,'Post Tracker'!$N$5:$N$1004,$B120,'Post Tracker'!$B$5:$B$1004,"&gt;="&amp;$C$4,'Post Tracker'!$B$5:$B$1004,"&lt;="&amp;$F$4))</f>
        <v>0</v>
      </c>
      <c r="M120" s="51" t="n">
        <f aca="false">IF($B120="","",SUMIFS('Post Tracker'!$BD$5:$BD$1004,'Post Tracker'!$N$5:$N$1004,$B120,'Post Tracker'!$B$5:$B$1004,"&gt;="&amp;$C$4,'Post Tracker'!$B$5:$B$1004,"&lt;="&amp;$F$4))</f>
        <v>0</v>
      </c>
      <c r="N120" s="51" t="n">
        <f aca="false">IF($B120="","",SUMIFS('Post Tracker'!$BF$5:$BF$1004,'Post Tracker'!$N$5:$N$1004,$B120,'Post Tracker'!$B$5:$B$1004,"&gt;="&amp;$C$4,'Post Tracker'!$B$5:$B$1004,"&lt;="&amp;$F$4))</f>
        <v>0</v>
      </c>
      <c r="O120" s="52" t="str">
        <f aca="false">IF($B120="","",IFERROR(M120/K120,""))</f>
        <v/>
      </c>
      <c r="P120" s="62" t="n">
        <f aca="false">IF($B120="","",SUMIFS('Post Tracker'!$BH$5:$BH$1004,'Post Tracker'!$N$5:$N$1004,$B120,'Post Tracker'!$B$5:$B$1004,"&gt;="&amp;$C$4,'Post Tracker'!$B$5:$B$1004,"&lt;="&amp;$F$4))</f>
        <v>0</v>
      </c>
    </row>
    <row r="121" customFormat="false" ht="15" hidden="false" customHeight="false" outlineLevel="0" collapsed="false">
      <c r="B121" s="50" t="str">
        <f aca="false">IF(Settings!$M$10="","",Settings!$M$10)</f>
        <v>Front Desk / Scheduling Lead</v>
      </c>
      <c r="C121" s="51" t="n">
        <f aca="false">IF($B121="","",COUNTIFS('Post Tracker'!$N$5:$N$1004,$B121,'Post Tracker'!$B$5:$B$1004,"&gt;="&amp;$C$4,'Post Tracker'!$B$5:$B$1004,"&lt;="&amp;$F$4))</f>
        <v>0</v>
      </c>
      <c r="D121" s="51" t="n">
        <f aca="false">IF($B121="","",SUMIFS('Post Tracker'!$AC$5:$AC$1004,'Post Tracker'!$N$5:$N$1004,$B121,'Post Tracker'!$B$5:$B$1004,"&gt;="&amp;$C$4,'Post Tracker'!$B$5:$B$1004,"&lt;="&amp;$F$4))</f>
        <v>0</v>
      </c>
      <c r="E121" s="51" t="n">
        <f aca="false">IF($B121="","",SUMIFS('Post Tracker'!$AO$5:$AO$1004,'Post Tracker'!$N$5:$N$1004,$B121,'Post Tracker'!$B$5:$B$1004,"&gt;="&amp;$C$4,'Post Tracker'!$B$5:$B$1004,"&lt;="&amp;$F$4))</f>
        <v>0</v>
      </c>
      <c r="F121" s="51" t="n">
        <f aca="false">IF($B121="","",SUMIFS('Post Tracker'!$AR$5:$AR$1004,'Post Tracker'!$N$5:$N$1004,$B121,'Post Tracker'!$B$5:$B$1004,"&gt;="&amp;$C$4,'Post Tracker'!$B$5:$B$1004,"&lt;="&amp;$F$4))</f>
        <v>0</v>
      </c>
      <c r="G121" s="52" t="str">
        <f aca="false">IF($B121="","",IFERROR(SUMIFS('Post Tracker'!$BP$5:$BP$1004,'Post Tracker'!$N$5:$N$1004,$B121,'Post Tracker'!$B$5:$B$1004,"&gt;="&amp;$C$4,'Post Tracker'!$B$5:$B$1004,"&lt;="&amp;$F$4)/E121,""))</f>
        <v/>
      </c>
      <c r="H121" s="52" t="str">
        <f aca="false">IF($B121="","",IFERROR(F121/SUMIFS('Post Tracker'!$BQ$5:$BQ$1004,'Post Tracker'!$N$5:$N$1004,$B121,'Post Tracker'!$B$5:$B$1004,"&gt;="&amp;$C$4,'Post Tracker'!$B$5:$B$1004,"&lt;="&amp;$F$4),""))</f>
        <v/>
      </c>
      <c r="I121" s="51" t="n">
        <f aca="false">IF($B121="","",SUMIFS('Post Tracker'!$AJ$5:$AJ$1004,'Post Tracker'!$N$5:$N$1004,$B121,'Post Tracker'!$B$5:$B$1004,"&gt;="&amp;$C$4,'Post Tracker'!$B$5:$B$1004,"&lt;="&amp;$F$4))</f>
        <v>0</v>
      </c>
      <c r="J121" s="52" t="str">
        <f aca="false">IF($B121="","",IFERROR(I121/D121,""))</f>
        <v/>
      </c>
      <c r="K121" s="51" t="n">
        <f aca="false">IF($B121="","",SUMIFS('Post Tracker'!$AZ$5:$AZ$1004,'Post Tracker'!$N$5:$N$1004,$B121,'Post Tracker'!$B$5:$B$1004,"&gt;="&amp;$C$4,'Post Tracker'!$B$5:$B$1004,"&lt;="&amp;$F$4))</f>
        <v>0</v>
      </c>
      <c r="L121" s="51" t="n">
        <f aca="false">IF($B121="","",SUMIFS('Post Tracker'!$BB$5:$BB$1004,'Post Tracker'!$N$5:$N$1004,$B121,'Post Tracker'!$B$5:$B$1004,"&gt;="&amp;$C$4,'Post Tracker'!$B$5:$B$1004,"&lt;="&amp;$F$4))</f>
        <v>0</v>
      </c>
      <c r="M121" s="51" t="n">
        <f aca="false">IF($B121="","",SUMIFS('Post Tracker'!$BD$5:$BD$1004,'Post Tracker'!$N$5:$N$1004,$B121,'Post Tracker'!$B$5:$B$1004,"&gt;="&amp;$C$4,'Post Tracker'!$B$5:$B$1004,"&lt;="&amp;$F$4))</f>
        <v>0</v>
      </c>
      <c r="N121" s="51" t="n">
        <f aca="false">IF($B121="","",SUMIFS('Post Tracker'!$BF$5:$BF$1004,'Post Tracker'!$N$5:$N$1004,$B121,'Post Tracker'!$B$5:$B$1004,"&gt;="&amp;$C$4,'Post Tracker'!$B$5:$B$1004,"&lt;="&amp;$F$4))</f>
        <v>0</v>
      </c>
      <c r="O121" s="52" t="str">
        <f aca="false">IF($B121="","",IFERROR(M121/K121,""))</f>
        <v/>
      </c>
      <c r="P121" s="62" t="n">
        <f aca="false">IF($B121="","",SUMIFS('Post Tracker'!$BH$5:$BH$1004,'Post Tracker'!$N$5:$N$1004,$B121,'Post Tracker'!$B$5:$B$1004,"&gt;="&amp;$C$4,'Post Tracker'!$B$5:$B$1004,"&lt;="&amp;$F$4))</f>
        <v>0</v>
      </c>
    </row>
    <row r="122" customFormat="false" ht="15" hidden="false" customHeight="false" outlineLevel="0" collapsed="false">
      <c r="B122" s="50" t="str">
        <f aca="false">IF(Settings!$M$11="","",Settings!$M$11)</f>
        <v>General / Mixed</v>
      </c>
      <c r="C122" s="51" t="n">
        <f aca="false">IF($B122="","",COUNTIFS('Post Tracker'!$N$5:$N$1004,$B122,'Post Tracker'!$B$5:$B$1004,"&gt;="&amp;$C$4,'Post Tracker'!$B$5:$B$1004,"&lt;="&amp;$F$4))</f>
        <v>0</v>
      </c>
      <c r="D122" s="51" t="n">
        <f aca="false">IF($B122="","",SUMIFS('Post Tracker'!$AC$5:$AC$1004,'Post Tracker'!$N$5:$N$1004,$B122,'Post Tracker'!$B$5:$B$1004,"&gt;="&amp;$C$4,'Post Tracker'!$B$5:$B$1004,"&lt;="&amp;$F$4))</f>
        <v>0</v>
      </c>
      <c r="E122" s="51" t="n">
        <f aca="false">IF($B122="","",SUMIFS('Post Tracker'!$AO$5:$AO$1004,'Post Tracker'!$N$5:$N$1004,$B122,'Post Tracker'!$B$5:$B$1004,"&gt;="&amp;$C$4,'Post Tracker'!$B$5:$B$1004,"&lt;="&amp;$F$4))</f>
        <v>0</v>
      </c>
      <c r="F122" s="51" t="n">
        <f aca="false">IF($B122="","",SUMIFS('Post Tracker'!$AR$5:$AR$1004,'Post Tracker'!$N$5:$N$1004,$B122,'Post Tracker'!$B$5:$B$1004,"&gt;="&amp;$C$4,'Post Tracker'!$B$5:$B$1004,"&lt;="&amp;$F$4))</f>
        <v>0</v>
      </c>
      <c r="G122" s="52" t="str">
        <f aca="false">IF($B122="","",IFERROR(SUMIFS('Post Tracker'!$BP$5:$BP$1004,'Post Tracker'!$N$5:$N$1004,$B122,'Post Tracker'!$B$5:$B$1004,"&gt;="&amp;$C$4,'Post Tracker'!$B$5:$B$1004,"&lt;="&amp;$F$4)/E122,""))</f>
        <v/>
      </c>
      <c r="H122" s="52" t="str">
        <f aca="false">IF($B122="","",IFERROR(F122/SUMIFS('Post Tracker'!$BQ$5:$BQ$1004,'Post Tracker'!$N$5:$N$1004,$B122,'Post Tracker'!$B$5:$B$1004,"&gt;="&amp;$C$4,'Post Tracker'!$B$5:$B$1004,"&lt;="&amp;$F$4),""))</f>
        <v/>
      </c>
      <c r="I122" s="51" t="n">
        <f aca="false">IF($B122="","",SUMIFS('Post Tracker'!$AJ$5:$AJ$1004,'Post Tracker'!$N$5:$N$1004,$B122,'Post Tracker'!$B$5:$B$1004,"&gt;="&amp;$C$4,'Post Tracker'!$B$5:$B$1004,"&lt;="&amp;$F$4))</f>
        <v>0</v>
      </c>
      <c r="J122" s="52" t="str">
        <f aca="false">IF($B122="","",IFERROR(I122/D122,""))</f>
        <v/>
      </c>
      <c r="K122" s="51" t="n">
        <f aca="false">IF($B122="","",SUMIFS('Post Tracker'!$AZ$5:$AZ$1004,'Post Tracker'!$N$5:$N$1004,$B122,'Post Tracker'!$B$5:$B$1004,"&gt;="&amp;$C$4,'Post Tracker'!$B$5:$B$1004,"&lt;="&amp;$F$4))</f>
        <v>0</v>
      </c>
      <c r="L122" s="51" t="n">
        <f aca="false">IF($B122="","",SUMIFS('Post Tracker'!$BB$5:$BB$1004,'Post Tracker'!$N$5:$N$1004,$B122,'Post Tracker'!$B$5:$B$1004,"&gt;="&amp;$C$4,'Post Tracker'!$B$5:$B$1004,"&lt;="&amp;$F$4))</f>
        <v>0</v>
      </c>
      <c r="M122" s="51" t="n">
        <f aca="false">IF($B122="","",SUMIFS('Post Tracker'!$BD$5:$BD$1004,'Post Tracker'!$N$5:$N$1004,$B122,'Post Tracker'!$B$5:$B$1004,"&gt;="&amp;$C$4,'Post Tracker'!$B$5:$B$1004,"&lt;="&amp;$F$4))</f>
        <v>0</v>
      </c>
      <c r="N122" s="51" t="n">
        <f aca="false">IF($B122="","",SUMIFS('Post Tracker'!$BF$5:$BF$1004,'Post Tracker'!$N$5:$N$1004,$B122,'Post Tracker'!$B$5:$B$1004,"&gt;="&amp;$C$4,'Post Tracker'!$B$5:$B$1004,"&lt;="&amp;$F$4))</f>
        <v>0</v>
      </c>
      <c r="O122" s="52" t="str">
        <f aca="false">IF($B122="","",IFERROR(M122/K122,""))</f>
        <v/>
      </c>
      <c r="P122" s="62" t="n">
        <f aca="false">IF($B122="","",SUMIFS('Post Tracker'!$BH$5:$BH$1004,'Post Tracker'!$N$5:$N$1004,$B122,'Post Tracker'!$B$5:$B$1004,"&gt;="&amp;$C$4,'Post Tracker'!$B$5:$B$1004,"&lt;="&amp;$F$4))</f>
        <v>0</v>
      </c>
    </row>
    <row r="123" customFormat="false" ht="15" hidden="false" customHeight="false" outlineLevel="0" collapsed="false">
      <c r="B123" s="50" t="str">
        <f aca="false">IF(Settings!$M$12="","",Settings!$M$12)</f>
        <v/>
      </c>
      <c r="C123" s="51" t="str">
        <f aca="false">IF($B123="","",COUNTIFS('Post Tracker'!$N$5:$N$1004,$B123,'Post Tracker'!$B$5:$B$1004,"&gt;="&amp;$C$4,'Post Tracker'!$B$5:$B$1004,"&lt;="&amp;$F$4))</f>
        <v/>
      </c>
      <c r="D123" s="51" t="str">
        <f aca="false">IF($B123="","",SUMIFS('Post Tracker'!$AC$5:$AC$1004,'Post Tracker'!$N$5:$N$1004,$B123,'Post Tracker'!$B$5:$B$1004,"&gt;="&amp;$C$4,'Post Tracker'!$B$5:$B$1004,"&lt;="&amp;$F$4))</f>
        <v/>
      </c>
      <c r="E123" s="51" t="str">
        <f aca="false">IF($B123="","",SUMIFS('Post Tracker'!$AO$5:$AO$1004,'Post Tracker'!$N$5:$N$1004,$B123,'Post Tracker'!$B$5:$B$1004,"&gt;="&amp;$C$4,'Post Tracker'!$B$5:$B$1004,"&lt;="&amp;$F$4))</f>
        <v/>
      </c>
      <c r="F123" s="51" t="str">
        <f aca="false">IF($B123="","",SUMIFS('Post Tracker'!$AR$5:$AR$1004,'Post Tracker'!$N$5:$N$1004,$B123,'Post Tracker'!$B$5:$B$1004,"&gt;="&amp;$C$4,'Post Tracker'!$B$5:$B$1004,"&lt;="&amp;$F$4))</f>
        <v/>
      </c>
      <c r="G123" s="52" t="str">
        <f aca="false">IF($B123="","",IFERROR(SUMIFS('Post Tracker'!$BP$5:$BP$1004,'Post Tracker'!$N$5:$N$1004,$B123,'Post Tracker'!$B$5:$B$1004,"&gt;="&amp;$C$4,'Post Tracker'!$B$5:$B$1004,"&lt;="&amp;$F$4)/E123,""))</f>
        <v/>
      </c>
      <c r="H123" s="52" t="str">
        <f aca="false">IF($B123="","",IFERROR(F123/SUMIFS('Post Tracker'!$BQ$5:$BQ$1004,'Post Tracker'!$N$5:$N$1004,$B123,'Post Tracker'!$B$5:$B$1004,"&gt;="&amp;$C$4,'Post Tracker'!$B$5:$B$1004,"&lt;="&amp;$F$4),""))</f>
        <v/>
      </c>
      <c r="I123" s="51" t="str">
        <f aca="false">IF($B123="","",SUMIFS('Post Tracker'!$AJ$5:$AJ$1004,'Post Tracker'!$N$5:$N$1004,$B123,'Post Tracker'!$B$5:$B$1004,"&gt;="&amp;$C$4,'Post Tracker'!$B$5:$B$1004,"&lt;="&amp;$F$4))</f>
        <v/>
      </c>
      <c r="J123" s="52" t="str">
        <f aca="false">IF($B123="","",IFERROR(I123/D123,""))</f>
        <v/>
      </c>
      <c r="K123" s="51" t="str">
        <f aca="false">IF($B123="","",SUMIFS('Post Tracker'!$AZ$5:$AZ$1004,'Post Tracker'!$N$5:$N$1004,$B123,'Post Tracker'!$B$5:$B$1004,"&gt;="&amp;$C$4,'Post Tracker'!$B$5:$B$1004,"&lt;="&amp;$F$4))</f>
        <v/>
      </c>
      <c r="L123" s="51" t="str">
        <f aca="false">IF($B123="","",SUMIFS('Post Tracker'!$BB$5:$BB$1004,'Post Tracker'!$N$5:$N$1004,$B123,'Post Tracker'!$B$5:$B$1004,"&gt;="&amp;$C$4,'Post Tracker'!$B$5:$B$1004,"&lt;="&amp;$F$4))</f>
        <v/>
      </c>
      <c r="M123" s="51" t="str">
        <f aca="false">IF($B123="","",SUMIFS('Post Tracker'!$BD$5:$BD$1004,'Post Tracker'!$N$5:$N$1004,$B123,'Post Tracker'!$B$5:$B$1004,"&gt;="&amp;$C$4,'Post Tracker'!$B$5:$B$1004,"&lt;="&amp;$F$4))</f>
        <v/>
      </c>
      <c r="N123" s="51" t="str">
        <f aca="false">IF($B123="","",SUMIFS('Post Tracker'!$BF$5:$BF$1004,'Post Tracker'!$N$5:$N$1004,$B123,'Post Tracker'!$B$5:$B$1004,"&gt;="&amp;$C$4,'Post Tracker'!$B$5:$B$1004,"&lt;="&amp;$F$4))</f>
        <v/>
      </c>
      <c r="O123" s="52" t="str">
        <f aca="false">IF($B123="","",IFERROR(M123/K123,""))</f>
        <v/>
      </c>
      <c r="P123" s="62" t="str">
        <f aca="false">IF($B123="","",SUMIFS('Post Tracker'!$BH$5:$BH$1004,'Post Tracker'!$N$5:$N$1004,$B123,'Post Tracker'!$B$5:$B$1004,"&gt;="&amp;$C$4,'Post Tracker'!$B$5:$B$1004,"&lt;="&amp;$F$4))</f>
        <v/>
      </c>
    </row>
    <row r="124" customFormat="false" ht="15" hidden="false" customHeight="false" outlineLevel="0" collapsed="false">
      <c r="B124" s="50" t="str">
        <f aca="false">IF(Settings!$M$13="","",Settings!$M$13)</f>
        <v/>
      </c>
      <c r="C124" s="51" t="str">
        <f aca="false">IF($B124="","",COUNTIFS('Post Tracker'!$N$5:$N$1004,$B124,'Post Tracker'!$B$5:$B$1004,"&gt;="&amp;$C$4,'Post Tracker'!$B$5:$B$1004,"&lt;="&amp;$F$4))</f>
        <v/>
      </c>
      <c r="D124" s="51" t="str">
        <f aca="false">IF($B124="","",SUMIFS('Post Tracker'!$AC$5:$AC$1004,'Post Tracker'!$N$5:$N$1004,$B124,'Post Tracker'!$B$5:$B$1004,"&gt;="&amp;$C$4,'Post Tracker'!$B$5:$B$1004,"&lt;="&amp;$F$4))</f>
        <v/>
      </c>
      <c r="E124" s="51" t="str">
        <f aca="false">IF($B124="","",SUMIFS('Post Tracker'!$AO$5:$AO$1004,'Post Tracker'!$N$5:$N$1004,$B124,'Post Tracker'!$B$5:$B$1004,"&gt;="&amp;$C$4,'Post Tracker'!$B$5:$B$1004,"&lt;="&amp;$F$4))</f>
        <v/>
      </c>
      <c r="F124" s="51" t="str">
        <f aca="false">IF($B124="","",SUMIFS('Post Tracker'!$AR$5:$AR$1004,'Post Tracker'!$N$5:$N$1004,$B124,'Post Tracker'!$B$5:$B$1004,"&gt;="&amp;$C$4,'Post Tracker'!$B$5:$B$1004,"&lt;="&amp;$F$4))</f>
        <v/>
      </c>
      <c r="G124" s="52" t="str">
        <f aca="false">IF($B124="","",IFERROR(SUMIFS('Post Tracker'!$BP$5:$BP$1004,'Post Tracker'!$N$5:$N$1004,$B124,'Post Tracker'!$B$5:$B$1004,"&gt;="&amp;$C$4,'Post Tracker'!$B$5:$B$1004,"&lt;="&amp;$F$4)/E124,""))</f>
        <v/>
      </c>
      <c r="H124" s="52" t="str">
        <f aca="false">IF($B124="","",IFERROR(F124/SUMIFS('Post Tracker'!$BQ$5:$BQ$1004,'Post Tracker'!$N$5:$N$1004,$B124,'Post Tracker'!$B$5:$B$1004,"&gt;="&amp;$C$4,'Post Tracker'!$B$5:$B$1004,"&lt;="&amp;$F$4),""))</f>
        <v/>
      </c>
      <c r="I124" s="51" t="str">
        <f aca="false">IF($B124="","",SUMIFS('Post Tracker'!$AJ$5:$AJ$1004,'Post Tracker'!$N$5:$N$1004,$B124,'Post Tracker'!$B$5:$B$1004,"&gt;="&amp;$C$4,'Post Tracker'!$B$5:$B$1004,"&lt;="&amp;$F$4))</f>
        <v/>
      </c>
      <c r="J124" s="52" t="str">
        <f aca="false">IF($B124="","",IFERROR(I124/D124,""))</f>
        <v/>
      </c>
      <c r="K124" s="51" t="str">
        <f aca="false">IF($B124="","",SUMIFS('Post Tracker'!$AZ$5:$AZ$1004,'Post Tracker'!$N$5:$N$1004,$B124,'Post Tracker'!$B$5:$B$1004,"&gt;="&amp;$C$4,'Post Tracker'!$B$5:$B$1004,"&lt;="&amp;$F$4))</f>
        <v/>
      </c>
      <c r="L124" s="51" t="str">
        <f aca="false">IF($B124="","",SUMIFS('Post Tracker'!$BB$5:$BB$1004,'Post Tracker'!$N$5:$N$1004,$B124,'Post Tracker'!$B$5:$B$1004,"&gt;="&amp;$C$4,'Post Tracker'!$B$5:$B$1004,"&lt;="&amp;$F$4))</f>
        <v/>
      </c>
      <c r="M124" s="51" t="str">
        <f aca="false">IF($B124="","",SUMIFS('Post Tracker'!$BD$5:$BD$1004,'Post Tracker'!$N$5:$N$1004,$B124,'Post Tracker'!$B$5:$B$1004,"&gt;="&amp;$C$4,'Post Tracker'!$B$5:$B$1004,"&lt;="&amp;$F$4))</f>
        <v/>
      </c>
      <c r="N124" s="51" t="str">
        <f aca="false">IF($B124="","",SUMIFS('Post Tracker'!$BF$5:$BF$1004,'Post Tracker'!$N$5:$N$1004,$B124,'Post Tracker'!$B$5:$B$1004,"&gt;="&amp;$C$4,'Post Tracker'!$B$5:$B$1004,"&lt;="&amp;$F$4))</f>
        <v/>
      </c>
      <c r="O124" s="52" t="str">
        <f aca="false">IF($B124="","",IFERROR(M124/K124,""))</f>
        <v/>
      </c>
      <c r="P124" s="62" t="str">
        <f aca="false">IF($B124="","",SUMIFS('Post Tracker'!$BH$5:$BH$1004,'Post Tracker'!$N$5:$N$1004,$B124,'Post Tracker'!$B$5:$B$1004,"&gt;="&amp;$C$4,'Post Tracker'!$B$5:$B$1004,"&lt;="&amp;$F$4))</f>
        <v/>
      </c>
    </row>
    <row r="126" customFormat="false" ht="15" hidden="false" customHeight="false" outlineLevel="0" collapsed="false">
      <c r="B126" s="3" t="s">
        <v>264</v>
      </c>
    </row>
    <row r="127" customFormat="false" ht="30" hidden="false" customHeight="true" outlineLevel="0" collapsed="false">
      <c r="B127" s="60"/>
      <c r="C127" s="61" t="s">
        <v>253</v>
      </c>
      <c r="D127" s="61" t="s">
        <v>222</v>
      </c>
      <c r="E127" s="61" t="s">
        <v>254</v>
      </c>
      <c r="F127" s="61" t="s">
        <v>223</v>
      </c>
      <c r="G127" s="61" t="s">
        <v>250</v>
      </c>
      <c r="H127" s="61" t="s">
        <v>249</v>
      </c>
      <c r="I127" s="61" t="s">
        <v>106</v>
      </c>
      <c r="J127" s="61" t="s">
        <v>255</v>
      </c>
      <c r="K127" s="61" t="s">
        <v>256</v>
      </c>
      <c r="L127" s="61" t="s">
        <v>124</v>
      </c>
      <c r="M127" s="61" t="s">
        <v>126</v>
      </c>
      <c r="N127" s="61" t="s">
        <v>128</v>
      </c>
      <c r="O127" s="61" t="s">
        <v>134</v>
      </c>
      <c r="P127" s="61" t="s">
        <v>257</v>
      </c>
    </row>
    <row r="128" customFormat="false" ht="15" hidden="false" customHeight="false" outlineLevel="0" collapsed="false">
      <c r="B128" s="50" t="str">
        <f aca="false">IF(Settings!$L$5="","",Settings!$L$5)</f>
        <v>Stat / Number</v>
      </c>
      <c r="C128" s="51" t="n">
        <f aca="false">IF($B128="","",COUNTIFS('Post Tracker'!$M$5:$M$1004,$B128,'Post Tracker'!$B$5:$B$1004,"&gt;="&amp;$C$4,'Post Tracker'!$B$5:$B$1004,"&lt;="&amp;$F$4))</f>
        <v>3</v>
      </c>
      <c r="D128" s="51" t="n">
        <f aca="false">IF($B128="","",SUMIFS('Post Tracker'!$AC$5:$AC$1004,'Post Tracker'!$M$5:$M$1004,$B128,'Post Tracker'!$B$5:$B$1004,"&gt;="&amp;$C$4,'Post Tracker'!$B$5:$B$1004,"&lt;="&amp;$F$4))</f>
        <v>16</v>
      </c>
      <c r="E128" s="51" t="n">
        <f aca="false">IF($B128="","",SUMIFS('Post Tracker'!$AO$5:$AO$1004,'Post Tracker'!$M$5:$M$1004,$B128,'Post Tracker'!$B$5:$B$1004,"&gt;="&amp;$C$4,'Post Tracker'!$B$5:$B$1004,"&lt;="&amp;$F$4))</f>
        <v>16</v>
      </c>
      <c r="F128" s="51" t="n">
        <f aca="false">IF($B128="","",SUMIFS('Post Tracker'!$AR$5:$AR$1004,'Post Tracker'!$M$5:$M$1004,$B128,'Post Tracker'!$B$5:$B$1004,"&gt;="&amp;$C$4,'Post Tracker'!$B$5:$B$1004,"&lt;="&amp;$F$4))</f>
        <v>24</v>
      </c>
      <c r="G128" s="52" t="n">
        <f aca="false">IF($B128="","",IFERROR(SUMIFS('Post Tracker'!$BP$5:$BP$1004,'Post Tracker'!$M$5:$M$1004,$B128,'Post Tracker'!$B$5:$B$1004,"&gt;="&amp;$C$4,'Post Tracker'!$B$5:$B$1004,"&lt;="&amp;$F$4)/E128,""))</f>
        <v>0</v>
      </c>
      <c r="H128" s="52" t="n">
        <f aca="false">IF($B128="","",IFERROR(F128/SUMIFS('Post Tracker'!$BQ$5:$BQ$1004,'Post Tracker'!$M$5:$M$1004,$B128,'Post Tracker'!$B$5:$B$1004,"&gt;="&amp;$C$4,'Post Tracker'!$B$5:$B$1004,"&lt;="&amp;$F$4),""))</f>
        <v>0.00873680378594831</v>
      </c>
      <c r="I128" s="51" t="n">
        <f aca="false">IF($B128="","",SUMIFS('Post Tracker'!$AJ$5:$AJ$1004,'Post Tracker'!$M$5:$M$1004,$B128,'Post Tracker'!$B$5:$B$1004,"&gt;="&amp;$C$4,'Post Tracker'!$B$5:$B$1004,"&lt;="&amp;$F$4))</f>
        <v>0</v>
      </c>
      <c r="J128" s="52" t="n">
        <f aca="false">IF($B128="","",IFERROR(I128/D128,""))</f>
        <v>0</v>
      </c>
      <c r="K128" s="51" t="n">
        <f aca="false">IF($B128="","",SUMIFS('Post Tracker'!$AZ$5:$AZ$1004,'Post Tracker'!$M$5:$M$1004,$B128,'Post Tracker'!$B$5:$B$1004,"&gt;="&amp;$C$4,'Post Tracker'!$B$5:$B$1004,"&lt;="&amp;$F$4))</f>
        <v>0</v>
      </c>
      <c r="L128" s="51" t="n">
        <f aca="false">IF($B128="","",SUMIFS('Post Tracker'!$BB$5:$BB$1004,'Post Tracker'!$M$5:$M$1004,$B128,'Post Tracker'!$B$5:$B$1004,"&gt;="&amp;$C$4,'Post Tracker'!$B$5:$B$1004,"&lt;="&amp;$F$4))</f>
        <v>0</v>
      </c>
      <c r="M128" s="51" t="n">
        <f aca="false">IF($B128="","",SUMIFS('Post Tracker'!$BD$5:$BD$1004,'Post Tracker'!$M$5:$M$1004,$B128,'Post Tracker'!$B$5:$B$1004,"&gt;="&amp;$C$4,'Post Tracker'!$B$5:$B$1004,"&lt;="&amp;$F$4))</f>
        <v>0</v>
      </c>
      <c r="N128" s="51" t="n">
        <f aca="false">IF($B128="","",SUMIFS('Post Tracker'!$BF$5:$BF$1004,'Post Tracker'!$M$5:$M$1004,$B128,'Post Tracker'!$B$5:$B$1004,"&gt;="&amp;$C$4,'Post Tracker'!$B$5:$B$1004,"&lt;="&amp;$F$4))</f>
        <v>0</v>
      </c>
      <c r="O128" s="52" t="str">
        <f aca="false">IF($B128="","",IFERROR(M128/K128,""))</f>
        <v/>
      </c>
      <c r="P128" s="62" t="n">
        <f aca="false">IF($B128="","",SUMIFS('Post Tracker'!$BH$5:$BH$1004,'Post Tracker'!$M$5:$M$1004,$B128,'Post Tracker'!$B$5:$B$1004,"&gt;="&amp;$C$4,'Post Tracker'!$B$5:$B$1004,"&lt;="&amp;$F$4))</f>
        <v>0</v>
      </c>
    </row>
    <row r="129" customFormat="false" ht="15" hidden="false" customHeight="false" outlineLevel="0" collapsed="false">
      <c r="B129" s="50" t="str">
        <f aca="false">IF(Settings!$L$6="","",Settings!$L$6)</f>
        <v>Question</v>
      </c>
      <c r="C129" s="51" t="n">
        <f aca="false">IF($B129="","",COUNTIFS('Post Tracker'!$M$5:$M$1004,$B129,'Post Tracker'!$B$5:$B$1004,"&gt;="&amp;$C$4,'Post Tracker'!$B$5:$B$1004,"&lt;="&amp;$F$4))</f>
        <v>4</v>
      </c>
      <c r="D129" s="51" t="n">
        <f aca="false">IF($B129="","",SUMIFS('Post Tracker'!$AC$5:$AC$1004,'Post Tracker'!$M$5:$M$1004,$B129,'Post Tracker'!$B$5:$B$1004,"&gt;="&amp;$C$4,'Post Tracker'!$B$5:$B$1004,"&lt;="&amp;$F$4))</f>
        <v>27</v>
      </c>
      <c r="E129" s="51" t="n">
        <f aca="false">IF($B129="","",SUMIFS('Post Tracker'!$AO$5:$AO$1004,'Post Tracker'!$M$5:$M$1004,$B129,'Post Tracker'!$B$5:$B$1004,"&gt;="&amp;$C$4,'Post Tracker'!$B$5:$B$1004,"&lt;="&amp;$F$4))</f>
        <v>27</v>
      </c>
      <c r="F129" s="51" t="n">
        <f aca="false">IF($B129="","",SUMIFS('Post Tracker'!$AR$5:$AR$1004,'Post Tracker'!$M$5:$M$1004,$B129,'Post Tracker'!$B$5:$B$1004,"&gt;="&amp;$C$4,'Post Tracker'!$B$5:$B$1004,"&lt;="&amp;$F$4))</f>
        <v>9</v>
      </c>
      <c r="G129" s="52" t="n">
        <f aca="false">IF($B129="","",IFERROR(SUMIFS('Post Tracker'!$BP$5:$BP$1004,'Post Tracker'!$M$5:$M$1004,$B129,'Post Tracker'!$B$5:$B$1004,"&gt;="&amp;$C$4,'Post Tracker'!$B$5:$B$1004,"&lt;="&amp;$F$4)/E129,""))</f>
        <v>0</v>
      </c>
      <c r="H129" s="52" t="n">
        <f aca="false">IF($B129="","",IFERROR(F129/SUMIFS('Post Tracker'!$BQ$5:$BQ$1004,'Post Tracker'!$M$5:$M$1004,$B129,'Post Tracker'!$B$5:$B$1004,"&gt;="&amp;$C$4,'Post Tracker'!$B$5:$B$1004,"&lt;="&amp;$F$4),""))</f>
        <v>0.00327630141973062</v>
      </c>
      <c r="I129" s="51" t="n">
        <f aca="false">IF($B129="","",SUMIFS('Post Tracker'!$AJ$5:$AJ$1004,'Post Tracker'!$M$5:$M$1004,$B129,'Post Tracker'!$B$5:$B$1004,"&gt;="&amp;$C$4,'Post Tracker'!$B$5:$B$1004,"&lt;="&amp;$F$4))</f>
        <v>0</v>
      </c>
      <c r="J129" s="52" t="n">
        <f aca="false">IF($B129="","",IFERROR(I129/D129,""))</f>
        <v>0</v>
      </c>
      <c r="K129" s="51" t="n">
        <f aca="false">IF($B129="","",SUMIFS('Post Tracker'!$AZ$5:$AZ$1004,'Post Tracker'!$M$5:$M$1004,$B129,'Post Tracker'!$B$5:$B$1004,"&gt;="&amp;$C$4,'Post Tracker'!$B$5:$B$1004,"&lt;="&amp;$F$4))</f>
        <v>0</v>
      </c>
      <c r="L129" s="51" t="n">
        <f aca="false">IF($B129="","",SUMIFS('Post Tracker'!$BB$5:$BB$1004,'Post Tracker'!$M$5:$M$1004,$B129,'Post Tracker'!$B$5:$B$1004,"&gt;="&amp;$C$4,'Post Tracker'!$B$5:$B$1004,"&lt;="&amp;$F$4))</f>
        <v>0</v>
      </c>
      <c r="M129" s="51" t="n">
        <f aca="false">IF($B129="","",SUMIFS('Post Tracker'!$BD$5:$BD$1004,'Post Tracker'!$M$5:$M$1004,$B129,'Post Tracker'!$B$5:$B$1004,"&gt;="&amp;$C$4,'Post Tracker'!$B$5:$B$1004,"&lt;="&amp;$F$4))</f>
        <v>0</v>
      </c>
      <c r="N129" s="51" t="n">
        <f aca="false">IF($B129="","",SUMIFS('Post Tracker'!$BF$5:$BF$1004,'Post Tracker'!$M$5:$M$1004,$B129,'Post Tracker'!$B$5:$B$1004,"&gt;="&amp;$C$4,'Post Tracker'!$B$5:$B$1004,"&lt;="&amp;$F$4))</f>
        <v>0</v>
      </c>
      <c r="O129" s="52" t="str">
        <f aca="false">IF($B129="","",IFERROR(M129/K129,""))</f>
        <v/>
      </c>
      <c r="P129" s="62" t="n">
        <f aca="false">IF($B129="","",SUMIFS('Post Tracker'!$BH$5:$BH$1004,'Post Tracker'!$M$5:$M$1004,$B129,'Post Tracker'!$B$5:$B$1004,"&gt;="&amp;$C$4,'Post Tracker'!$B$5:$B$1004,"&lt;="&amp;$F$4))</f>
        <v>0</v>
      </c>
    </row>
    <row r="130" customFormat="false" ht="15" hidden="false" customHeight="false" outlineLevel="0" collapsed="false">
      <c r="B130" s="50" t="str">
        <f aca="false">IF(Settings!$L$7="","",Settings!$L$7)</f>
        <v>Story / Anecdote</v>
      </c>
      <c r="C130" s="51" t="n">
        <f aca="false">IF($B130="","",COUNTIFS('Post Tracker'!$M$5:$M$1004,$B130,'Post Tracker'!$B$5:$B$1004,"&gt;="&amp;$C$4,'Post Tracker'!$B$5:$B$1004,"&lt;="&amp;$F$4))</f>
        <v>6</v>
      </c>
      <c r="D130" s="51" t="n">
        <f aca="false">IF($B130="","",SUMIFS('Post Tracker'!$AC$5:$AC$1004,'Post Tracker'!$M$5:$M$1004,$B130,'Post Tracker'!$B$5:$B$1004,"&gt;="&amp;$C$4,'Post Tracker'!$B$5:$B$1004,"&lt;="&amp;$F$4))</f>
        <v>39</v>
      </c>
      <c r="E130" s="51" t="n">
        <f aca="false">IF($B130="","",SUMIFS('Post Tracker'!$AO$5:$AO$1004,'Post Tracker'!$M$5:$M$1004,$B130,'Post Tracker'!$B$5:$B$1004,"&gt;="&amp;$C$4,'Post Tracker'!$B$5:$B$1004,"&lt;="&amp;$F$4))</f>
        <v>39</v>
      </c>
      <c r="F130" s="51" t="n">
        <f aca="false">IF($B130="","",SUMIFS('Post Tracker'!$AR$5:$AR$1004,'Post Tracker'!$M$5:$M$1004,$B130,'Post Tracker'!$B$5:$B$1004,"&gt;="&amp;$C$4,'Post Tracker'!$B$5:$B$1004,"&lt;="&amp;$F$4))</f>
        <v>22</v>
      </c>
      <c r="G130" s="52" t="n">
        <f aca="false">IF($B130="","",IFERROR(SUMIFS('Post Tracker'!$BP$5:$BP$1004,'Post Tracker'!$M$5:$M$1004,$B130,'Post Tracker'!$B$5:$B$1004,"&gt;="&amp;$C$4,'Post Tracker'!$B$5:$B$1004,"&lt;="&amp;$F$4)/E130,""))</f>
        <v>0.0512820512820513</v>
      </c>
      <c r="H130" s="52" t="n">
        <f aca="false">IF($B130="","",IFERROR(F130/SUMIFS('Post Tracker'!$BQ$5:$BQ$1004,'Post Tracker'!$M$5:$M$1004,$B130,'Post Tracker'!$B$5:$B$1004,"&gt;="&amp;$C$4,'Post Tracker'!$B$5:$B$1004,"&lt;="&amp;$F$4),""))</f>
        <v>0.00400436840189297</v>
      </c>
      <c r="I130" s="51" t="n">
        <f aca="false">IF($B130="","",SUMIFS('Post Tracker'!$AJ$5:$AJ$1004,'Post Tracker'!$M$5:$M$1004,$B130,'Post Tracker'!$B$5:$B$1004,"&gt;="&amp;$C$4,'Post Tracker'!$B$5:$B$1004,"&lt;="&amp;$F$4))</f>
        <v>0</v>
      </c>
      <c r="J130" s="52" t="n">
        <f aca="false">IF($B130="","",IFERROR(I130/D130,""))</f>
        <v>0</v>
      </c>
      <c r="K130" s="51" t="n">
        <f aca="false">IF($B130="","",SUMIFS('Post Tracker'!$AZ$5:$AZ$1004,'Post Tracker'!$M$5:$M$1004,$B130,'Post Tracker'!$B$5:$B$1004,"&gt;="&amp;$C$4,'Post Tracker'!$B$5:$B$1004,"&lt;="&amp;$F$4))</f>
        <v>0</v>
      </c>
      <c r="L130" s="51" t="n">
        <f aca="false">IF($B130="","",SUMIFS('Post Tracker'!$BB$5:$BB$1004,'Post Tracker'!$M$5:$M$1004,$B130,'Post Tracker'!$B$5:$B$1004,"&gt;="&amp;$C$4,'Post Tracker'!$B$5:$B$1004,"&lt;="&amp;$F$4))</f>
        <v>0</v>
      </c>
      <c r="M130" s="51" t="n">
        <f aca="false">IF($B130="","",SUMIFS('Post Tracker'!$BD$5:$BD$1004,'Post Tracker'!$M$5:$M$1004,$B130,'Post Tracker'!$B$5:$B$1004,"&gt;="&amp;$C$4,'Post Tracker'!$B$5:$B$1004,"&lt;="&amp;$F$4))</f>
        <v>0</v>
      </c>
      <c r="N130" s="51" t="n">
        <f aca="false">IF($B130="","",SUMIFS('Post Tracker'!$BF$5:$BF$1004,'Post Tracker'!$M$5:$M$1004,$B130,'Post Tracker'!$B$5:$B$1004,"&gt;="&amp;$C$4,'Post Tracker'!$B$5:$B$1004,"&lt;="&amp;$F$4))</f>
        <v>0</v>
      </c>
      <c r="O130" s="52" t="str">
        <f aca="false">IF($B130="","",IFERROR(M130/K130,""))</f>
        <v/>
      </c>
      <c r="P130" s="62" t="n">
        <f aca="false">IF($B130="","",SUMIFS('Post Tracker'!$BH$5:$BH$1004,'Post Tracker'!$M$5:$M$1004,$B130,'Post Tracker'!$B$5:$B$1004,"&gt;="&amp;$C$4,'Post Tracker'!$B$5:$B$1004,"&lt;="&amp;$F$4))</f>
        <v>0</v>
      </c>
    </row>
    <row r="131" customFormat="false" ht="15" hidden="false" customHeight="false" outlineLevel="0" collapsed="false">
      <c r="B131" s="50" t="str">
        <f aca="false">IF(Settings!$L$8="","",Settings!$L$8)</f>
        <v>Contrarian Take</v>
      </c>
      <c r="C131" s="51" t="n">
        <f aca="false">IF($B131="","",COUNTIFS('Post Tracker'!$M$5:$M$1004,$B131,'Post Tracker'!$B$5:$B$1004,"&gt;="&amp;$C$4,'Post Tracker'!$B$5:$B$1004,"&lt;="&amp;$F$4))</f>
        <v>0</v>
      </c>
      <c r="D131" s="51" t="n">
        <f aca="false">IF($B131="","",SUMIFS('Post Tracker'!$AC$5:$AC$1004,'Post Tracker'!$M$5:$M$1004,$B131,'Post Tracker'!$B$5:$B$1004,"&gt;="&amp;$C$4,'Post Tracker'!$B$5:$B$1004,"&lt;="&amp;$F$4))</f>
        <v>0</v>
      </c>
      <c r="E131" s="51" t="n">
        <f aca="false">IF($B131="","",SUMIFS('Post Tracker'!$AO$5:$AO$1004,'Post Tracker'!$M$5:$M$1004,$B131,'Post Tracker'!$B$5:$B$1004,"&gt;="&amp;$C$4,'Post Tracker'!$B$5:$B$1004,"&lt;="&amp;$F$4))</f>
        <v>0</v>
      </c>
      <c r="F131" s="51" t="n">
        <f aca="false">IF($B131="","",SUMIFS('Post Tracker'!$AR$5:$AR$1004,'Post Tracker'!$M$5:$M$1004,$B131,'Post Tracker'!$B$5:$B$1004,"&gt;="&amp;$C$4,'Post Tracker'!$B$5:$B$1004,"&lt;="&amp;$F$4))</f>
        <v>0</v>
      </c>
      <c r="G131" s="52" t="str">
        <f aca="false">IF($B131="","",IFERROR(SUMIFS('Post Tracker'!$BP$5:$BP$1004,'Post Tracker'!$M$5:$M$1004,$B131,'Post Tracker'!$B$5:$B$1004,"&gt;="&amp;$C$4,'Post Tracker'!$B$5:$B$1004,"&lt;="&amp;$F$4)/E131,""))</f>
        <v/>
      </c>
      <c r="H131" s="52" t="str">
        <f aca="false">IF($B131="","",IFERROR(F131/SUMIFS('Post Tracker'!$BQ$5:$BQ$1004,'Post Tracker'!$M$5:$M$1004,$B131,'Post Tracker'!$B$5:$B$1004,"&gt;="&amp;$C$4,'Post Tracker'!$B$5:$B$1004,"&lt;="&amp;$F$4),""))</f>
        <v/>
      </c>
      <c r="I131" s="51" t="n">
        <f aca="false">IF($B131="","",SUMIFS('Post Tracker'!$AJ$5:$AJ$1004,'Post Tracker'!$M$5:$M$1004,$B131,'Post Tracker'!$B$5:$B$1004,"&gt;="&amp;$C$4,'Post Tracker'!$B$5:$B$1004,"&lt;="&amp;$F$4))</f>
        <v>0</v>
      </c>
      <c r="J131" s="52" t="str">
        <f aca="false">IF($B131="","",IFERROR(I131/D131,""))</f>
        <v/>
      </c>
      <c r="K131" s="51" t="n">
        <f aca="false">IF($B131="","",SUMIFS('Post Tracker'!$AZ$5:$AZ$1004,'Post Tracker'!$M$5:$M$1004,$B131,'Post Tracker'!$B$5:$B$1004,"&gt;="&amp;$C$4,'Post Tracker'!$B$5:$B$1004,"&lt;="&amp;$F$4))</f>
        <v>0</v>
      </c>
      <c r="L131" s="51" t="n">
        <f aca="false">IF($B131="","",SUMIFS('Post Tracker'!$BB$5:$BB$1004,'Post Tracker'!$M$5:$M$1004,$B131,'Post Tracker'!$B$5:$B$1004,"&gt;="&amp;$C$4,'Post Tracker'!$B$5:$B$1004,"&lt;="&amp;$F$4))</f>
        <v>0</v>
      </c>
      <c r="M131" s="51" t="n">
        <f aca="false">IF($B131="","",SUMIFS('Post Tracker'!$BD$5:$BD$1004,'Post Tracker'!$M$5:$M$1004,$B131,'Post Tracker'!$B$5:$B$1004,"&gt;="&amp;$C$4,'Post Tracker'!$B$5:$B$1004,"&lt;="&amp;$F$4))</f>
        <v>0</v>
      </c>
      <c r="N131" s="51" t="n">
        <f aca="false">IF($B131="","",SUMIFS('Post Tracker'!$BF$5:$BF$1004,'Post Tracker'!$M$5:$M$1004,$B131,'Post Tracker'!$B$5:$B$1004,"&gt;="&amp;$C$4,'Post Tracker'!$B$5:$B$1004,"&lt;="&amp;$F$4))</f>
        <v>0</v>
      </c>
      <c r="O131" s="52" t="str">
        <f aca="false">IF($B131="","",IFERROR(M131/K131,""))</f>
        <v/>
      </c>
      <c r="P131" s="62" t="n">
        <f aca="false">IF($B131="","",SUMIFS('Post Tracker'!$BH$5:$BH$1004,'Post Tracker'!$M$5:$M$1004,$B131,'Post Tracker'!$B$5:$B$1004,"&gt;="&amp;$C$4,'Post Tracker'!$B$5:$B$1004,"&lt;="&amp;$F$4))</f>
        <v>0</v>
      </c>
    </row>
    <row r="132" customFormat="false" ht="15" hidden="false" customHeight="false" outlineLevel="0" collapsed="false">
      <c r="B132" s="50" t="str">
        <f aca="false">IF(Settings!$L$9="","",Settings!$L$9)</f>
        <v>How-To / List</v>
      </c>
      <c r="C132" s="51" t="n">
        <f aca="false">IF($B132="","",COUNTIFS('Post Tracker'!$M$5:$M$1004,$B132,'Post Tracker'!$B$5:$B$1004,"&gt;="&amp;$C$4,'Post Tracker'!$B$5:$B$1004,"&lt;="&amp;$F$4))</f>
        <v>0</v>
      </c>
      <c r="D132" s="51" t="n">
        <f aca="false">IF($B132="","",SUMIFS('Post Tracker'!$AC$5:$AC$1004,'Post Tracker'!$M$5:$M$1004,$B132,'Post Tracker'!$B$5:$B$1004,"&gt;="&amp;$C$4,'Post Tracker'!$B$5:$B$1004,"&lt;="&amp;$F$4))</f>
        <v>0</v>
      </c>
      <c r="E132" s="51" t="n">
        <f aca="false">IF($B132="","",SUMIFS('Post Tracker'!$AO$5:$AO$1004,'Post Tracker'!$M$5:$M$1004,$B132,'Post Tracker'!$B$5:$B$1004,"&gt;="&amp;$C$4,'Post Tracker'!$B$5:$B$1004,"&lt;="&amp;$F$4))</f>
        <v>0</v>
      </c>
      <c r="F132" s="51" t="n">
        <f aca="false">IF($B132="","",SUMIFS('Post Tracker'!$AR$5:$AR$1004,'Post Tracker'!$M$5:$M$1004,$B132,'Post Tracker'!$B$5:$B$1004,"&gt;="&amp;$C$4,'Post Tracker'!$B$5:$B$1004,"&lt;="&amp;$F$4))</f>
        <v>0</v>
      </c>
      <c r="G132" s="52" t="str">
        <f aca="false">IF($B132="","",IFERROR(SUMIFS('Post Tracker'!$BP$5:$BP$1004,'Post Tracker'!$M$5:$M$1004,$B132,'Post Tracker'!$B$5:$B$1004,"&gt;="&amp;$C$4,'Post Tracker'!$B$5:$B$1004,"&lt;="&amp;$F$4)/E132,""))</f>
        <v/>
      </c>
      <c r="H132" s="52" t="str">
        <f aca="false">IF($B132="","",IFERROR(F132/SUMIFS('Post Tracker'!$BQ$5:$BQ$1004,'Post Tracker'!$M$5:$M$1004,$B132,'Post Tracker'!$B$5:$B$1004,"&gt;="&amp;$C$4,'Post Tracker'!$B$5:$B$1004,"&lt;="&amp;$F$4),""))</f>
        <v/>
      </c>
      <c r="I132" s="51" t="n">
        <f aca="false">IF($B132="","",SUMIFS('Post Tracker'!$AJ$5:$AJ$1004,'Post Tracker'!$M$5:$M$1004,$B132,'Post Tracker'!$B$5:$B$1004,"&gt;="&amp;$C$4,'Post Tracker'!$B$5:$B$1004,"&lt;="&amp;$F$4))</f>
        <v>0</v>
      </c>
      <c r="J132" s="52" t="str">
        <f aca="false">IF($B132="","",IFERROR(I132/D132,""))</f>
        <v/>
      </c>
      <c r="K132" s="51" t="n">
        <f aca="false">IF($B132="","",SUMIFS('Post Tracker'!$AZ$5:$AZ$1004,'Post Tracker'!$M$5:$M$1004,$B132,'Post Tracker'!$B$5:$B$1004,"&gt;="&amp;$C$4,'Post Tracker'!$B$5:$B$1004,"&lt;="&amp;$F$4))</f>
        <v>0</v>
      </c>
      <c r="L132" s="51" t="n">
        <f aca="false">IF($B132="","",SUMIFS('Post Tracker'!$BB$5:$BB$1004,'Post Tracker'!$M$5:$M$1004,$B132,'Post Tracker'!$B$5:$B$1004,"&gt;="&amp;$C$4,'Post Tracker'!$B$5:$B$1004,"&lt;="&amp;$F$4))</f>
        <v>0</v>
      </c>
      <c r="M132" s="51" t="n">
        <f aca="false">IF($B132="","",SUMIFS('Post Tracker'!$BD$5:$BD$1004,'Post Tracker'!$M$5:$M$1004,$B132,'Post Tracker'!$B$5:$B$1004,"&gt;="&amp;$C$4,'Post Tracker'!$B$5:$B$1004,"&lt;="&amp;$F$4))</f>
        <v>0</v>
      </c>
      <c r="N132" s="51" t="n">
        <f aca="false">IF($B132="","",SUMIFS('Post Tracker'!$BF$5:$BF$1004,'Post Tracker'!$M$5:$M$1004,$B132,'Post Tracker'!$B$5:$B$1004,"&gt;="&amp;$C$4,'Post Tracker'!$B$5:$B$1004,"&lt;="&amp;$F$4))</f>
        <v>0</v>
      </c>
      <c r="O132" s="52" t="str">
        <f aca="false">IF($B132="","",IFERROR(M132/K132,""))</f>
        <v/>
      </c>
      <c r="P132" s="62" t="n">
        <f aca="false">IF($B132="","",SUMIFS('Post Tracker'!$BH$5:$BH$1004,'Post Tracker'!$M$5:$M$1004,$B132,'Post Tracker'!$B$5:$B$1004,"&gt;="&amp;$C$4,'Post Tracker'!$B$5:$B$1004,"&lt;="&amp;$F$4))</f>
        <v>0</v>
      </c>
    </row>
    <row r="133" customFormat="false" ht="15" hidden="false" customHeight="false" outlineLevel="0" collapsed="false">
      <c r="B133" s="50" t="str">
        <f aca="false">IF(Settings!$L$10="","",Settings!$L$10)</f>
        <v>Customer Quote</v>
      </c>
      <c r="C133" s="51" t="n">
        <f aca="false">IF($B133="","",COUNTIFS('Post Tracker'!$M$5:$M$1004,$B133,'Post Tracker'!$B$5:$B$1004,"&gt;="&amp;$C$4,'Post Tracker'!$B$5:$B$1004,"&lt;="&amp;$F$4))</f>
        <v>0</v>
      </c>
      <c r="D133" s="51" t="n">
        <f aca="false">IF($B133="","",SUMIFS('Post Tracker'!$AC$5:$AC$1004,'Post Tracker'!$M$5:$M$1004,$B133,'Post Tracker'!$B$5:$B$1004,"&gt;="&amp;$C$4,'Post Tracker'!$B$5:$B$1004,"&lt;="&amp;$F$4))</f>
        <v>0</v>
      </c>
      <c r="E133" s="51" t="n">
        <f aca="false">IF($B133="","",SUMIFS('Post Tracker'!$AO$5:$AO$1004,'Post Tracker'!$M$5:$M$1004,$B133,'Post Tracker'!$B$5:$B$1004,"&gt;="&amp;$C$4,'Post Tracker'!$B$5:$B$1004,"&lt;="&amp;$F$4))</f>
        <v>0</v>
      </c>
      <c r="F133" s="51" t="n">
        <f aca="false">IF($B133="","",SUMIFS('Post Tracker'!$AR$5:$AR$1004,'Post Tracker'!$M$5:$M$1004,$B133,'Post Tracker'!$B$5:$B$1004,"&gt;="&amp;$C$4,'Post Tracker'!$B$5:$B$1004,"&lt;="&amp;$F$4))</f>
        <v>0</v>
      </c>
      <c r="G133" s="52" t="str">
        <f aca="false">IF($B133="","",IFERROR(SUMIFS('Post Tracker'!$BP$5:$BP$1004,'Post Tracker'!$M$5:$M$1004,$B133,'Post Tracker'!$B$5:$B$1004,"&gt;="&amp;$C$4,'Post Tracker'!$B$5:$B$1004,"&lt;="&amp;$F$4)/E133,""))</f>
        <v/>
      </c>
      <c r="H133" s="52" t="str">
        <f aca="false">IF($B133="","",IFERROR(F133/SUMIFS('Post Tracker'!$BQ$5:$BQ$1004,'Post Tracker'!$M$5:$M$1004,$B133,'Post Tracker'!$B$5:$B$1004,"&gt;="&amp;$C$4,'Post Tracker'!$B$5:$B$1004,"&lt;="&amp;$F$4),""))</f>
        <v/>
      </c>
      <c r="I133" s="51" t="n">
        <f aca="false">IF($B133="","",SUMIFS('Post Tracker'!$AJ$5:$AJ$1004,'Post Tracker'!$M$5:$M$1004,$B133,'Post Tracker'!$B$5:$B$1004,"&gt;="&amp;$C$4,'Post Tracker'!$B$5:$B$1004,"&lt;="&amp;$F$4))</f>
        <v>0</v>
      </c>
      <c r="J133" s="52" t="str">
        <f aca="false">IF($B133="","",IFERROR(I133/D133,""))</f>
        <v/>
      </c>
      <c r="K133" s="51" t="n">
        <f aca="false">IF($B133="","",SUMIFS('Post Tracker'!$AZ$5:$AZ$1004,'Post Tracker'!$M$5:$M$1004,$B133,'Post Tracker'!$B$5:$B$1004,"&gt;="&amp;$C$4,'Post Tracker'!$B$5:$B$1004,"&lt;="&amp;$F$4))</f>
        <v>0</v>
      </c>
      <c r="L133" s="51" t="n">
        <f aca="false">IF($B133="","",SUMIFS('Post Tracker'!$BB$5:$BB$1004,'Post Tracker'!$M$5:$M$1004,$B133,'Post Tracker'!$B$5:$B$1004,"&gt;="&amp;$C$4,'Post Tracker'!$B$5:$B$1004,"&lt;="&amp;$F$4))</f>
        <v>0</v>
      </c>
      <c r="M133" s="51" t="n">
        <f aca="false">IF($B133="","",SUMIFS('Post Tracker'!$BD$5:$BD$1004,'Post Tracker'!$M$5:$M$1004,$B133,'Post Tracker'!$B$5:$B$1004,"&gt;="&amp;$C$4,'Post Tracker'!$B$5:$B$1004,"&lt;="&amp;$F$4))</f>
        <v>0</v>
      </c>
      <c r="N133" s="51" t="n">
        <f aca="false">IF($B133="","",SUMIFS('Post Tracker'!$BF$5:$BF$1004,'Post Tracker'!$M$5:$M$1004,$B133,'Post Tracker'!$B$5:$B$1004,"&gt;="&amp;$C$4,'Post Tracker'!$B$5:$B$1004,"&lt;="&amp;$F$4))</f>
        <v>0</v>
      </c>
      <c r="O133" s="52" t="str">
        <f aca="false">IF($B133="","",IFERROR(M133/K133,""))</f>
        <v/>
      </c>
      <c r="P133" s="62" t="n">
        <f aca="false">IF($B133="","",SUMIFS('Post Tracker'!$BH$5:$BH$1004,'Post Tracker'!$M$5:$M$1004,$B133,'Post Tracker'!$B$5:$B$1004,"&gt;="&amp;$C$4,'Post Tracker'!$B$5:$B$1004,"&lt;="&amp;$F$4))</f>
        <v>0</v>
      </c>
    </row>
    <row r="134" customFormat="false" ht="15" hidden="false" customHeight="false" outlineLevel="0" collapsed="false">
      <c r="B134" s="50" t="str">
        <f aca="false">IF(Settings!$L$11="","",Settings!$L$11)</f>
        <v>News Hook</v>
      </c>
      <c r="C134" s="51" t="n">
        <f aca="false">IF($B134="","",COUNTIFS('Post Tracker'!$M$5:$M$1004,$B134,'Post Tracker'!$B$5:$B$1004,"&gt;="&amp;$C$4,'Post Tracker'!$B$5:$B$1004,"&lt;="&amp;$F$4))</f>
        <v>0</v>
      </c>
      <c r="D134" s="51" t="n">
        <f aca="false">IF($B134="","",SUMIFS('Post Tracker'!$AC$5:$AC$1004,'Post Tracker'!$M$5:$M$1004,$B134,'Post Tracker'!$B$5:$B$1004,"&gt;="&amp;$C$4,'Post Tracker'!$B$5:$B$1004,"&lt;="&amp;$F$4))</f>
        <v>0</v>
      </c>
      <c r="E134" s="51" t="n">
        <f aca="false">IF($B134="","",SUMIFS('Post Tracker'!$AO$5:$AO$1004,'Post Tracker'!$M$5:$M$1004,$B134,'Post Tracker'!$B$5:$B$1004,"&gt;="&amp;$C$4,'Post Tracker'!$B$5:$B$1004,"&lt;="&amp;$F$4))</f>
        <v>0</v>
      </c>
      <c r="F134" s="51" t="n">
        <f aca="false">IF($B134="","",SUMIFS('Post Tracker'!$AR$5:$AR$1004,'Post Tracker'!$M$5:$M$1004,$B134,'Post Tracker'!$B$5:$B$1004,"&gt;="&amp;$C$4,'Post Tracker'!$B$5:$B$1004,"&lt;="&amp;$F$4))</f>
        <v>0</v>
      </c>
      <c r="G134" s="52" t="str">
        <f aca="false">IF($B134="","",IFERROR(SUMIFS('Post Tracker'!$BP$5:$BP$1004,'Post Tracker'!$M$5:$M$1004,$B134,'Post Tracker'!$B$5:$B$1004,"&gt;="&amp;$C$4,'Post Tracker'!$B$5:$B$1004,"&lt;="&amp;$F$4)/E134,""))</f>
        <v/>
      </c>
      <c r="H134" s="52" t="str">
        <f aca="false">IF($B134="","",IFERROR(F134/SUMIFS('Post Tracker'!$BQ$5:$BQ$1004,'Post Tracker'!$M$5:$M$1004,$B134,'Post Tracker'!$B$5:$B$1004,"&gt;="&amp;$C$4,'Post Tracker'!$B$5:$B$1004,"&lt;="&amp;$F$4),""))</f>
        <v/>
      </c>
      <c r="I134" s="51" t="n">
        <f aca="false">IF($B134="","",SUMIFS('Post Tracker'!$AJ$5:$AJ$1004,'Post Tracker'!$M$5:$M$1004,$B134,'Post Tracker'!$B$5:$B$1004,"&gt;="&amp;$C$4,'Post Tracker'!$B$5:$B$1004,"&lt;="&amp;$F$4))</f>
        <v>0</v>
      </c>
      <c r="J134" s="52" t="str">
        <f aca="false">IF($B134="","",IFERROR(I134/D134,""))</f>
        <v/>
      </c>
      <c r="K134" s="51" t="n">
        <f aca="false">IF($B134="","",SUMIFS('Post Tracker'!$AZ$5:$AZ$1004,'Post Tracker'!$M$5:$M$1004,$B134,'Post Tracker'!$B$5:$B$1004,"&gt;="&amp;$C$4,'Post Tracker'!$B$5:$B$1004,"&lt;="&amp;$F$4))</f>
        <v>0</v>
      </c>
      <c r="L134" s="51" t="n">
        <f aca="false">IF($B134="","",SUMIFS('Post Tracker'!$BB$5:$BB$1004,'Post Tracker'!$M$5:$M$1004,$B134,'Post Tracker'!$B$5:$B$1004,"&gt;="&amp;$C$4,'Post Tracker'!$B$5:$B$1004,"&lt;="&amp;$F$4))</f>
        <v>0</v>
      </c>
      <c r="M134" s="51" t="n">
        <f aca="false">IF($B134="","",SUMIFS('Post Tracker'!$BD$5:$BD$1004,'Post Tracker'!$M$5:$M$1004,$B134,'Post Tracker'!$B$5:$B$1004,"&gt;="&amp;$C$4,'Post Tracker'!$B$5:$B$1004,"&lt;="&amp;$F$4))</f>
        <v>0</v>
      </c>
      <c r="N134" s="51" t="n">
        <f aca="false">IF($B134="","",SUMIFS('Post Tracker'!$BF$5:$BF$1004,'Post Tracker'!$M$5:$M$1004,$B134,'Post Tracker'!$B$5:$B$1004,"&gt;="&amp;$C$4,'Post Tracker'!$B$5:$B$1004,"&lt;="&amp;$F$4))</f>
        <v>0</v>
      </c>
      <c r="O134" s="52" t="str">
        <f aca="false">IF($B134="","",IFERROR(M134/K134,""))</f>
        <v/>
      </c>
      <c r="P134" s="62" t="n">
        <f aca="false">IF($B134="","",SUMIFS('Post Tracker'!$BH$5:$BH$1004,'Post Tracker'!$M$5:$M$1004,$B134,'Post Tracker'!$B$5:$B$1004,"&gt;="&amp;$C$4,'Post Tracker'!$B$5:$B$1004,"&lt;="&amp;$F$4))</f>
        <v>0</v>
      </c>
    </row>
    <row r="135" customFormat="false" ht="15" hidden="false" customHeight="false" outlineLevel="0" collapsed="false">
      <c r="B135" s="50" t="str">
        <f aca="false">IF(Settings!$L$12="","",Settings!$L$12)</f>
        <v>Before / After</v>
      </c>
      <c r="C135" s="51" t="n">
        <f aca="false">IF($B135="","",COUNTIFS('Post Tracker'!$M$5:$M$1004,$B135,'Post Tracker'!$B$5:$B$1004,"&gt;="&amp;$C$4,'Post Tracker'!$B$5:$B$1004,"&lt;="&amp;$F$4))</f>
        <v>0</v>
      </c>
      <c r="D135" s="51" t="n">
        <f aca="false">IF($B135="","",SUMIFS('Post Tracker'!$AC$5:$AC$1004,'Post Tracker'!$M$5:$M$1004,$B135,'Post Tracker'!$B$5:$B$1004,"&gt;="&amp;$C$4,'Post Tracker'!$B$5:$B$1004,"&lt;="&amp;$F$4))</f>
        <v>0</v>
      </c>
      <c r="E135" s="51" t="n">
        <f aca="false">IF($B135="","",SUMIFS('Post Tracker'!$AO$5:$AO$1004,'Post Tracker'!$M$5:$M$1004,$B135,'Post Tracker'!$B$5:$B$1004,"&gt;="&amp;$C$4,'Post Tracker'!$B$5:$B$1004,"&lt;="&amp;$F$4))</f>
        <v>0</v>
      </c>
      <c r="F135" s="51" t="n">
        <f aca="false">IF($B135="","",SUMIFS('Post Tracker'!$AR$5:$AR$1004,'Post Tracker'!$M$5:$M$1004,$B135,'Post Tracker'!$B$5:$B$1004,"&gt;="&amp;$C$4,'Post Tracker'!$B$5:$B$1004,"&lt;="&amp;$F$4))</f>
        <v>0</v>
      </c>
      <c r="G135" s="52" t="str">
        <f aca="false">IF($B135="","",IFERROR(SUMIFS('Post Tracker'!$BP$5:$BP$1004,'Post Tracker'!$M$5:$M$1004,$B135,'Post Tracker'!$B$5:$B$1004,"&gt;="&amp;$C$4,'Post Tracker'!$B$5:$B$1004,"&lt;="&amp;$F$4)/E135,""))</f>
        <v/>
      </c>
      <c r="H135" s="52" t="str">
        <f aca="false">IF($B135="","",IFERROR(F135/SUMIFS('Post Tracker'!$BQ$5:$BQ$1004,'Post Tracker'!$M$5:$M$1004,$B135,'Post Tracker'!$B$5:$B$1004,"&gt;="&amp;$C$4,'Post Tracker'!$B$5:$B$1004,"&lt;="&amp;$F$4),""))</f>
        <v/>
      </c>
      <c r="I135" s="51" t="n">
        <f aca="false">IF($B135="","",SUMIFS('Post Tracker'!$AJ$5:$AJ$1004,'Post Tracker'!$M$5:$M$1004,$B135,'Post Tracker'!$B$5:$B$1004,"&gt;="&amp;$C$4,'Post Tracker'!$B$5:$B$1004,"&lt;="&amp;$F$4))</f>
        <v>0</v>
      </c>
      <c r="J135" s="52" t="str">
        <f aca="false">IF($B135="","",IFERROR(I135/D135,""))</f>
        <v/>
      </c>
      <c r="K135" s="51" t="n">
        <f aca="false">IF($B135="","",SUMIFS('Post Tracker'!$AZ$5:$AZ$1004,'Post Tracker'!$M$5:$M$1004,$B135,'Post Tracker'!$B$5:$B$1004,"&gt;="&amp;$C$4,'Post Tracker'!$B$5:$B$1004,"&lt;="&amp;$F$4))</f>
        <v>0</v>
      </c>
      <c r="L135" s="51" t="n">
        <f aca="false">IF($B135="","",SUMIFS('Post Tracker'!$BB$5:$BB$1004,'Post Tracker'!$M$5:$M$1004,$B135,'Post Tracker'!$B$5:$B$1004,"&gt;="&amp;$C$4,'Post Tracker'!$B$5:$B$1004,"&lt;="&amp;$F$4))</f>
        <v>0</v>
      </c>
      <c r="M135" s="51" t="n">
        <f aca="false">IF($B135="","",SUMIFS('Post Tracker'!$BD$5:$BD$1004,'Post Tracker'!$M$5:$M$1004,$B135,'Post Tracker'!$B$5:$B$1004,"&gt;="&amp;$C$4,'Post Tracker'!$B$5:$B$1004,"&lt;="&amp;$F$4))</f>
        <v>0</v>
      </c>
      <c r="N135" s="51" t="n">
        <f aca="false">IF($B135="","",SUMIFS('Post Tracker'!$BF$5:$BF$1004,'Post Tracker'!$M$5:$M$1004,$B135,'Post Tracker'!$B$5:$B$1004,"&gt;="&amp;$C$4,'Post Tracker'!$B$5:$B$1004,"&lt;="&amp;$F$4))</f>
        <v>0</v>
      </c>
      <c r="O135" s="52" t="str">
        <f aca="false">IF($B135="","",IFERROR(M135/K135,""))</f>
        <v/>
      </c>
      <c r="P135" s="62" t="n">
        <f aca="false">IF($B135="","",SUMIFS('Post Tracker'!$BH$5:$BH$1004,'Post Tracker'!$M$5:$M$1004,$B135,'Post Tracker'!$B$5:$B$1004,"&gt;="&amp;$C$4,'Post Tracker'!$B$5:$B$1004,"&lt;="&amp;$F$4))</f>
        <v>0</v>
      </c>
    </row>
    <row r="136" customFormat="false" ht="15" hidden="false" customHeight="false" outlineLevel="0" collapsed="false">
      <c r="B136" s="50" t="str">
        <f aca="false">IF(Settings!$L$13="","",Settings!$L$13)</f>
        <v/>
      </c>
      <c r="C136" s="51" t="str">
        <f aca="false">IF($B136="","",COUNTIFS('Post Tracker'!$M$5:$M$1004,$B136,'Post Tracker'!$B$5:$B$1004,"&gt;="&amp;$C$4,'Post Tracker'!$B$5:$B$1004,"&lt;="&amp;$F$4))</f>
        <v/>
      </c>
      <c r="D136" s="51" t="str">
        <f aca="false">IF($B136="","",SUMIFS('Post Tracker'!$AC$5:$AC$1004,'Post Tracker'!$M$5:$M$1004,$B136,'Post Tracker'!$B$5:$B$1004,"&gt;="&amp;$C$4,'Post Tracker'!$B$5:$B$1004,"&lt;="&amp;$F$4))</f>
        <v/>
      </c>
      <c r="E136" s="51" t="str">
        <f aca="false">IF($B136="","",SUMIFS('Post Tracker'!$AO$5:$AO$1004,'Post Tracker'!$M$5:$M$1004,$B136,'Post Tracker'!$B$5:$B$1004,"&gt;="&amp;$C$4,'Post Tracker'!$B$5:$B$1004,"&lt;="&amp;$F$4))</f>
        <v/>
      </c>
      <c r="F136" s="51" t="str">
        <f aca="false">IF($B136="","",SUMIFS('Post Tracker'!$AR$5:$AR$1004,'Post Tracker'!$M$5:$M$1004,$B136,'Post Tracker'!$B$5:$B$1004,"&gt;="&amp;$C$4,'Post Tracker'!$B$5:$B$1004,"&lt;="&amp;$F$4))</f>
        <v/>
      </c>
      <c r="G136" s="52" t="str">
        <f aca="false">IF($B136="","",IFERROR(SUMIFS('Post Tracker'!$BP$5:$BP$1004,'Post Tracker'!$M$5:$M$1004,$B136,'Post Tracker'!$B$5:$B$1004,"&gt;="&amp;$C$4,'Post Tracker'!$B$5:$B$1004,"&lt;="&amp;$F$4)/E136,""))</f>
        <v/>
      </c>
      <c r="H136" s="52" t="str">
        <f aca="false">IF($B136="","",IFERROR(F136/SUMIFS('Post Tracker'!$BQ$5:$BQ$1004,'Post Tracker'!$M$5:$M$1004,$B136,'Post Tracker'!$B$5:$B$1004,"&gt;="&amp;$C$4,'Post Tracker'!$B$5:$B$1004,"&lt;="&amp;$F$4),""))</f>
        <v/>
      </c>
      <c r="I136" s="51" t="str">
        <f aca="false">IF($B136="","",SUMIFS('Post Tracker'!$AJ$5:$AJ$1004,'Post Tracker'!$M$5:$M$1004,$B136,'Post Tracker'!$B$5:$B$1004,"&gt;="&amp;$C$4,'Post Tracker'!$B$5:$B$1004,"&lt;="&amp;$F$4))</f>
        <v/>
      </c>
      <c r="J136" s="52" t="str">
        <f aca="false">IF($B136="","",IFERROR(I136/D136,""))</f>
        <v/>
      </c>
      <c r="K136" s="51" t="str">
        <f aca="false">IF($B136="","",SUMIFS('Post Tracker'!$AZ$5:$AZ$1004,'Post Tracker'!$M$5:$M$1004,$B136,'Post Tracker'!$B$5:$B$1004,"&gt;="&amp;$C$4,'Post Tracker'!$B$5:$B$1004,"&lt;="&amp;$F$4))</f>
        <v/>
      </c>
      <c r="L136" s="51" t="str">
        <f aca="false">IF($B136="","",SUMIFS('Post Tracker'!$BB$5:$BB$1004,'Post Tracker'!$M$5:$M$1004,$B136,'Post Tracker'!$B$5:$B$1004,"&gt;="&amp;$C$4,'Post Tracker'!$B$5:$B$1004,"&lt;="&amp;$F$4))</f>
        <v/>
      </c>
      <c r="M136" s="51" t="str">
        <f aca="false">IF($B136="","",SUMIFS('Post Tracker'!$BD$5:$BD$1004,'Post Tracker'!$M$5:$M$1004,$B136,'Post Tracker'!$B$5:$B$1004,"&gt;="&amp;$C$4,'Post Tracker'!$B$5:$B$1004,"&lt;="&amp;$F$4))</f>
        <v/>
      </c>
      <c r="N136" s="51" t="str">
        <f aca="false">IF($B136="","",SUMIFS('Post Tracker'!$BF$5:$BF$1004,'Post Tracker'!$M$5:$M$1004,$B136,'Post Tracker'!$B$5:$B$1004,"&gt;="&amp;$C$4,'Post Tracker'!$B$5:$B$1004,"&lt;="&amp;$F$4))</f>
        <v/>
      </c>
      <c r="O136" s="52" t="str">
        <f aca="false">IF($B136="","",IFERROR(M136/K136,""))</f>
        <v/>
      </c>
      <c r="P136" s="62" t="str">
        <f aca="false">IF($B136="","",SUMIFS('Post Tracker'!$BH$5:$BH$1004,'Post Tracker'!$M$5:$M$1004,$B136,'Post Tracker'!$B$5:$B$1004,"&gt;="&amp;$C$4,'Post Tracker'!$B$5:$B$1004,"&lt;="&amp;$F$4))</f>
        <v/>
      </c>
    </row>
    <row r="137" customFormat="false" ht="15" hidden="false" customHeight="false" outlineLevel="0" collapsed="false">
      <c r="B137" s="50" t="str">
        <f aca="false">IF(Settings!$L$14="","",Settings!$L$14)</f>
        <v/>
      </c>
      <c r="C137" s="51" t="str">
        <f aca="false">IF($B137="","",COUNTIFS('Post Tracker'!$M$5:$M$1004,$B137,'Post Tracker'!$B$5:$B$1004,"&gt;="&amp;$C$4,'Post Tracker'!$B$5:$B$1004,"&lt;="&amp;$F$4))</f>
        <v/>
      </c>
      <c r="D137" s="51" t="str">
        <f aca="false">IF($B137="","",SUMIFS('Post Tracker'!$AC$5:$AC$1004,'Post Tracker'!$M$5:$M$1004,$B137,'Post Tracker'!$B$5:$B$1004,"&gt;="&amp;$C$4,'Post Tracker'!$B$5:$B$1004,"&lt;="&amp;$F$4))</f>
        <v/>
      </c>
      <c r="E137" s="51" t="str">
        <f aca="false">IF($B137="","",SUMIFS('Post Tracker'!$AO$5:$AO$1004,'Post Tracker'!$M$5:$M$1004,$B137,'Post Tracker'!$B$5:$B$1004,"&gt;="&amp;$C$4,'Post Tracker'!$B$5:$B$1004,"&lt;="&amp;$F$4))</f>
        <v/>
      </c>
      <c r="F137" s="51" t="str">
        <f aca="false">IF($B137="","",SUMIFS('Post Tracker'!$AR$5:$AR$1004,'Post Tracker'!$M$5:$M$1004,$B137,'Post Tracker'!$B$5:$B$1004,"&gt;="&amp;$C$4,'Post Tracker'!$B$5:$B$1004,"&lt;="&amp;$F$4))</f>
        <v/>
      </c>
      <c r="G137" s="52" t="str">
        <f aca="false">IF($B137="","",IFERROR(SUMIFS('Post Tracker'!$BP$5:$BP$1004,'Post Tracker'!$M$5:$M$1004,$B137,'Post Tracker'!$B$5:$B$1004,"&gt;="&amp;$C$4,'Post Tracker'!$B$5:$B$1004,"&lt;="&amp;$F$4)/E137,""))</f>
        <v/>
      </c>
      <c r="H137" s="52" t="str">
        <f aca="false">IF($B137="","",IFERROR(F137/SUMIFS('Post Tracker'!$BQ$5:$BQ$1004,'Post Tracker'!$M$5:$M$1004,$B137,'Post Tracker'!$B$5:$B$1004,"&gt;="&amp;$C$4,'Post Tracker'!$B$5:$B$1004,"&lt;="&amp;$F$4),""))</f>
        <v/>
      </c>
      <c r="I137" s="51" t="str">
        <f aca="false">IF($B137="","",SUMIFS('Post Tracker'!$AJ$5:$AJ$1004,'Post Tracker'!$M$5:$M$1004,$B137,'Post Tracker'!$B$5:$B$1004,"&gt;="&amp;$C$4,'Post Tracker'!$B$5:$B$1004,"&lt;="&amp;$F$4))</f>
        <v/>
      </c>
      <c r="J137" s="52" t="str">
        <f aca="false">IF($B137="","",IFERROR(I137/D137,""))</f>
        <v/>
      </c>
      <c r="K137" s="51" t="str">
        <f aca="false">IF($B137="","",SUMIFS('Post Tracker'!$AZ$5:$AZ$1004,'Post Tracker'!$M$5:$M$1004,$B137,'Post Tracker'!$B$5:$B$1004,"&gt;="&amp;$C$4,'Post Tracker'!$B$5:$B$1004,"&lt;="&amp;$F$4))</f>
        <v/>
      </c>
      <c r="L137" s="51" t="str">
        <f aca="false">IF($B137="","",SUMIFS('Post Tracker'!$BB$5:$BB$1004,'Post Tracker'!$M$5:$M$1004,$B137,'Post Tracker'!$B$5:$B$1004,"&gt;="&amp;$C$4,'Post Tracker'!$B$5:$B$1004,"&lt;="&amp;$F$4))</f>
        <v/>
      </c>
      <c r="M137" s="51" t="str">
        <f aca="false">IF($B137="","",SUMIFS('Post Tracker'!$BD$5:$BD$1004,'Post Tracker'!$M$5:$M$1004,$B137,'Post Tracker'!$B$5:$B$1004,"&gt;="&amp;$C$4,'Post Tracker'!$B$5:$B$1004,"&lt;="&amp;$F$4))</f>
        <v/>
      </c>
      <c r="N137" s="51" t="str">
        <f aca="false">IF($B137="","",SUMIFS('Post Tracker'!$BF$5:$BF$1004,'Post Tracker'!$M$5:$M$1004,$B137,'Post Tracker'!$B$5:$B$1004,"&gt;="&amp;$C$4,'Post Tracker'!$B$5:$B$1004,"&lt;="&amp;$F$4))</f>
        <v/>
      </c>
      <c r="O137" s="52" t="str">
        <f aca="false">IF($B137="","",IFERROR(M137/K137,""))</f>
        <v/>
      </c>
      <c r="P137" s="62" t="str">
        <f aca="false">IF($B137="","",SUMIFS('Post Tracker'!$BH$5:$BH$1004,'Post Tracker'!$M$5:$M$1004,$B137,'Post Tracker'!$B$5:$B$1004,"&gt;="&amp;$C$4,'Post Tracker'!$B$5:$B$1004,"&lt;="&amp;$F$4))</f>
        <v/>
      </c>
    </row>
    <row r="139" customFormat="false" ht="15" hidden="false" customHeight="false" outlineLevel="0" collapsed="false">
      <c r="B139" s="3" t="s">
        <v>265</v>
      </c>
    </row>
    <row r="140" customFormat="false" ht="30" hidden="false" customHeight="true" outlineLevel="0" collapsed="false">
      <c r="B140" s="60"/>
      <c r="C140" s="61" t="s">
        <v>253</v>
      </c>
      <c r="D140" s="61" t="s">
        <v>222</v>
      </c>
      <c r="E140" s="61" t="s">
        <v>254</v>
      </c>
      <c r="F140" s="61" t="s">
        <v>223</v>
      </c>
      <c r="G140" s="61" t="s">
        <v>250</v>
      </c>
      <c r="H140" s="61" t="s">
        <v>249</v>
      </c>
      <c r="I140" s="61" t="s">
        <v>106</v>
      </c>
      <c r="J140" s="61" t="s">
        <v>255</v>
      </c>
      <c r="K140" s="61" t="s">
        <v>256</v>
      </c>
      <c r="L140" s="61" t="s">
        <v>124</v>
      </c>
      <c r="M140" s="61" t="s">
        <v>126</v>
      </c>
      <c r="N140" s="61" t="s">
        <v>128</v>
      </c>
      <c r="O140" s="61" t="s">
        <v>134</v>
      </c>
      <c r="P140" s="61" t="s">
        <v>257</v>
      </c>
    </row>
    <row r="141" customFormat="false" ht="15" hidden="false" customHeight="false" outlineLevel="0" collapsed="false">
      <c r="B141" s="50" t="str">
        <f aca="false">IF(Settings!$N$5="","",Settings!$N$5)</f>
        <v>Book a Demo</v>
      </c>
      <c r="C141" s="51" t="n">
        <f aca="false">IF($B141="","",COUNTIFS('Post Tracker'!$O$5:$O$1004,$B141,'Post Tracker'!$B$5:$B$1004,"&gt;="&amp;$C$4,'Post Tracker'!$B$5:$B$1004,"&lt;="&amp;$F$4))</f>
        <v>6</v>
      </c>
      <c r="D141" s="51" t="n">
        <f aca="false">IF($B141="","",SUMIFS('Post Tracker'!$AC$5:$AC$1004,'Post Tracker'!$O$5:$O$1004,$B141,'Post Tracker'!$B$5:$B$1004,"&gt;="&amp;$C$4,'Post Tracker'!$B$5:$B$1004,"&lt;="&amp;$F$4))</f>
        <v>40</v>
      </c>
      <c r="E141" s="51" t="n">
        <f aca="false">IF($B141="","",SUMIFS('Post Tracker'!$AO$5:$AO$1004,'Post Tracker'!$O$5:$O$1004,$B141,'Post Tracker'!$B$5:$B$1004,"&gt;="&amp;$C$4,'Post Tracker'!$B$5:$B$1004,"&lt;="&amp;$F$4))</f>
        <v>40</v>
      </c>
      <c r="F141" s="51" t="n">
        <f aca="false">IF($B141="","",SUMIFS('Post Tracker'!$AR$5:$AR$1004,'Post Tracker'!$O$5:$O$1004,$B141,'Post Tracker'!$B$5:$B$1004,"&gt;="&amp;$C$4,'Post Tracker'!$B$5:$B$1004,"&lt;="&amp;$F$4))</f>
        <v>15</v>
      </c>
      <c r="G141" s="52" t="n">
        <f aca="false">IF($B141="","",IFERROR(SUMIFS('Post Tracker'!$BP$5:$BP$1004,'Post Tracker'!$O$5:$O$1004,$B141,'Post Tracker'!$B$5:$B$1004,"&gt;="&amp;$C$4,'Post Tracker'!$B$5:$B$1004,"&lt;="&amp;$F$4)/E141,""))</f>
        <v>0.025</v>
      </c>
      <c r="H141" s="52" t="n">
        <f aca="false">IF($B141="","",IFERROR(F141/SUMIFS('Post Tracker'!$BQ$5:$BQ$1004,'Post Tracker'!$O$5:$O$1004,$B141,'Post Tracker'!$B$5:$B$1004,"&gt;="&amp;$C$4,'Post Tracker'!$B$5:$B$1004,"&lt;="&amp;$F$4),""))</f>
        <v>0.00525578135949545</v>
      </c>
      <c r="I141" s="51" t="n">
        <f aca="false">IF($B141="","",SUMIFS('Post Tracker'!$AJ$5:$AJ$1004,'Post Tracker'!$O$5:$O$1004,$B141,'Post Tracker'!$B$5:$B$1004,"&gt;="&amp;$C$4,'Post Tracker'!$B$5:$B$1004,"&lt;="&amp;$F$4))</f>
        <v>0</v>
      </c>
      <c r="J141" s="52" t="n">
        <f aca="false">IF($B141="","",IFERROR(I141/D141,""))</f>
        <v>0</v>
      </c>
      <c r="K141" s="51" t="n">
        <f aca="false">IF($B141="","",SUMIFS('Post Tracker'!$AZ$5:$AZ$1004,'Post Tracker'!$O$5:$O$1004,$B141,'Post Tracker'!$B$5:$B$1004,"&gt;="&amp;$C$4,'Post Tracker'!$B$5:$B$1004,"&lt;="&amp;$F$4))</f>
        <v>0</v>
      </c>
      <c r="L141" s="51" t="n">
        <f aca="false">IF($B141="","",SUMIFS('Post Tracker'!$BB$5:$BB$1004,'Post Tracker'!$O$5:$O$1004,$B141,'Post Tracker'!$B$5:$B$1004,"&gt;="&amp;$C$4,'Post Tracker'!$B$5:$B$1004,"&lt;="&amp;$F$4))</f>
        <v>0</v>
      </c>
      <c r="M141" s="51" t="n">
        <f aca="false">IF($B141="","",SUMIFS('Post Tracker'!$BD$5:$BD$1004,'Post Tracker'!$O$5:$O$1004,$B141,'Post Tracker'!$B$5:$B$1004,"&gt;="&amp;$C$4,'Post Tracker'!$B$5:$B$1004,"&lt;="&amp;$F$4))</f>
        <v>0</v>
      </c>
      <c r="N141" s="51" t="n">
        <f aca="false">IF($B141="","",SUMIFS('Post Tracker'!$BF$5:$BF$1004,'Post Tracker'!$O$5:$O$1004,$B141,'Post Tracker'!$B$5:$B$1004,"&gt;="&amp;$C$4,'Post Tracker'!$B$5:$B$1004,"&lt;="&amp;$F$4))</f>
        <v>0</v>
      </c>
      <c r="O141" s="52" t="str">
        <f aca="false">IF($B141="","",IFERROR(M141/K141,""))</f>
        <v/>
      </c>
      <c r="P141" s="62" t="n">
        <f aca="false">IF($B141="","",SUMIFS('Post Tracker'!$BH$5:$BH$1004,'Post Tracker'!$O$5:$O$1004,$B141,'Post Tracker'!$B$5:$B$1004,"&gt;="&amp;$C$4,'Post Tracker'!$B$5:$B$1004,"&lt;="&amp;$F$4))</f>
        <v>0</v>
      </c>
    </row>
    <row r="142" customFormat="false" ht="15" hidden="false" customHeight="false" outlineLevel="0" collapsed="false">
      <c r="B142" s="50" t="str">
        <f aca="false">IF(Settings!$N$6="","",Settings!$N$6)</f>
        <v>Visit Website</v>
      </c>
      <c r="C142" s="51" t="n">
        <f aca="false">IF($B142="","",COUNTIFS('Post Tracker'!$O$5:$O$1004,$B142,'Post Tracker'!$B$5:$B$1004,"&gt;="&amp;$C$4,'Post Tracker'!$B$5:$B$1004,"&lt;="&amp;$F$4))</f>
        <v>0</v>
      </c>
      <c r="D142" s="51" t="n">
        <f aca="false">IF($B142="","",SUMIFS('Post Tracker'!$AC$5:$AC$1004,'Post Tracker'!$O$5:$O$1004,$B142,'Post Tracker'!$B$5:$B$1004,"&gt;="&amp;$C$4,'Post Tracker'!$B$5:$B$1004,"&lt;="&amp;$F$4))</f>
        <v>0</v>
      </c>
      <c r="E142" s="51" t="n">
        <f aca="false">IF($B142="","",SUMIFS('Post Tracker'!$AO$5:$AO$1004,'Post Tracker'!$O$5:$O$1004,$B142,'Post Tracker'!$B$5:$B$1004,"&gt;="&amp;$C$4,'Post Tracker'!$B$5:$B$1004,"&lt;="&amp;$F$4))</f>
        <v>0</v>
      </c>
      <c r="F142" s="51" t="n">
        <f aca="false">IF($B142="","",SUMIFS('Post Tracker'!$AR$5:$AR$1004,'Post Tracker'!$O$5:$O$1004,$B142,'Post Tracker'!$B$5:$B$1004,"&gt;="&amp;$C$4,'Post Tracker'!$B$5:$B$1004,"&lt;="&amp;$F$4))</f>
        <v>0</v>
      </c>
      <c r="G142" s="52" t="str">
        <f aca="false">IF($B142="","",IFERROR(SUMIFS('Post Tracker'!$BP$5:$BP$1004,'Post Tracker'!$O$5:$O$1004,$B142,'Post Tracker'!$B$5:$B$1004,"&gt;="&amp;$C$4,'Post Tracker'!$B$5:$B$1004,"&lt;="&amp;$F$4)/E142,""))</f>
        <v/>
      </c>
      <c r="H142" s="52" t="str">
        <f aca="false">IF($B142="","",IFERROR(F142/SUMIFS('Post Tracker'!$BQ$5:$BQ$1004,'Post Tracker'!$O$5:$O$1004,$B142,'Post Tracker'!$B$5:$B$1004,"&gt;="&amp;$C$4,'Post Tracker'!$B$5:$B$1004,"&lt;="&amp;$F$4),""))</f>
        <v/>
      </c>
      <c r="I142" s="51" t="n">
        <f aca="false">IF($B142="","",SUMIFS('Post Tracker'!$AJ$5:$AJ$1004,'Post Tracker'!$O$5:$O$1004,$B142,'Post Tracker'!$B$5:$B$1004,"&gt;="&amp;$C$4,'Post Tracker'!$B$5:$B$1004,"&lt;="&amp;$F$4))</f>
        <v>0</v>
      </c>
      <c r="J142" s="52" t="str">
        <f aca="false">IF($B142="","",IFERROR(I142/D142,""))</f>
        <v/>
      </c>
      <c r="K142" s="51" t="n">
        <f aca="false">IF($B142="","",SUMIFS('Post Tracker'!$AZ$5:$AZ$1004,'Post Tracker'!$O$5:$O$1004,$B142,'Post Tracker'!$B$5:$B$1004,"&gt;="&amp;$C$4,'Post Tracker'!$B$5:$B$1004,"&lt;="&amp;$F$4))</f>
        <v>0</v>
      </c>
      <c r="L142" s="51" t="n">
        <f aca="false">IF($B142="","",SUMIFS('Post Tracker'!$BB$5:$BB$1004,'Post Tracker'!$O$5:$O$1004,$B142,'Post Tracker'!$B$5:$B$1004,"&gt;="&amp;$C$4,'Post Tracker'!$B$5:$B$1004,"&lt;="&amp;$F$4))</f>
        <v>0</v>
      </c>
      <c r="M142" s="51" t="n">
        <f aca="false">IF($B142="","",SUMIFS('Post Tracker'!$BD$5:$BD$1004,'Post Tracker'!$O$5:$O$1004,$B142,'Post Tracker'!$B$5:$B$1004,"&gt;="&amp;$C$4,'Post Tracker'!$B$5:$B$1004,"&lt;="&amp;$F$4))</f>
        <v>0</v>
      </c>
      <c r="N142" s="51" t="n">
        <f aca="false">IF($B142="","",SUMIFS('Post Tracker'!$BF$5:$BF$1004,'Post Tracker'!$O$5:$O$1004,$B142,'Post Tracker'!$B$5:$B$1004,"&gt;="&amp;$C$4,'Post Tracker'!$B$5:$B$1004,"&lt;="&amp;$F$4))</f>
        <v>0</v>
      </c>
      <c r="O142" s="52" t="str">
        <f aca="false">IF($B142="","",IFERROR(M142/K142,""))</f>
        <v/>
      </c>
      <c r="P142" s="62" t="n">
        <f aca="false">IF($B142="","",SUMIFS('Post Tracker'!$BH$5:$BH$1004,'Post Tracker'!$O$5:$O$1004,$B142,'Post Tracker'!$B$5:$B$1004,"&gt;="&amp;$C$4,'Post Tracker'!$B$5:$B$1004,"&lt;="&amp;$F$4))</f>
        <v>0</v>
      </c>
    </row>
    <row r="143" customFormat="false" ht="15" hidden="false" customHeight="false" outlineLevel="0" collapsed="false">
      <c r="B143" s="50" t="str">
        <f aca="false">IF(Settings!$N$7="","",Settings!$N$7)</f>
        <v>Read Case Study</v>
      </c>
      <c r="C143" s="51" t="n">
        <f aca="false">IF($B143="","",COUNTIFS('Post Tracker'!$O$5:$O$1004,$B143,'Post Tracker'!$B$5:$B$1004,"&gt;="&amp;$C$4,'Post Tracker'!$B$5:$B$1004,"&lt;="&amp;$F$4))</f>
        <v>0</v>
      </c>
      <c r="D143" s="51" t="n">
        <f aca="false">IF($B143="","",SUMIFS('Post Tracker'!$AC$5:$AC$1004,'Post Tracker'!$O$5:$O$1004,$B143,'Post Tracker'!$B$5:$B$1004,"&gt;="&amp;$C$4,'Post Tracker'!$B$5:$B$1004,"&lt;="&amp;$F$4))</f>
        <v>0</v>
      </c>
      <c r="E143" s="51" t="n">
        <f aca="false">IF($B143="","",SUMIFS('Post Tracker'!$AO$5:$AO$1004,'Post Tracker'!$O$5:$O$1004,$B143,'Post Tracker'!$B$5:$B$1004,"&gt;="&amp;$C$4,'Post Tracker'!$B$5:$B$1004,"&lt;="&amp;$F$4))</f>
        <v>0</v>
      </c>
      <c r="F143" s="51" t="n">
        <f aca="false">IF($B143="","",SUMIFS('Post Tracker'!$AR$5:$AR$1004,'Post Tracker'!$O$5:$O$1004,$B143,'Post Tracker'!$B$5:$B$1004,"&gt;="&amp;$C$4,'Post Tracker'!$B$5:$B$1004,"&lt;="&amp;$F$4))</f>
        <v>0</v>
      </c>
      <c r="G143" s="52" t="str">
        <f aca="false">IF($B143="","",IFERROR(SUMIFS('Post Tracker'!$BP$5:$BP$1004,'Post Tracker'!$O$5:$O$1004,$B143,'Post Tracker'!$B$5:$B$1004,"&gt;="&amp;$C$4,'Post Tracker'!$B$5:$B$1004,"&lt;="&amp;$F$4)/E143,""))</f>
        <v/>
      </c>
      <c r="H143" s="52" t="str">
        <f aca="false">IF($B143="","",IFERROR(F143/SUMIFS('Post Tracker'!$BQ$5:$BQ$1004,'Post Tracker'!$O$5:$O$1004,$B143,'Post Tracker'!$B$5:$B$1004,"&gt;="&amp;$C$4,'Post Tracker'!$B$5:$B$1004,"&lt;="&amp;$F$4),""))</f>
        <v/>
      </c>
      <c r="I143" s="51" t="n">
        <f aca="false">IF($B143="","",SUMIFS('Post Tracker'!$AJ$5:$AJ$1004,'Post Tracker'!$O$5:$O$1004,$B143,'Post Tracker'!$B$5:$B$1004,"&gt;="&amp;$C$4,'Post Tracker'!$B$5:$B$1004,"&lt;="&amp;$F$4))</f>
        <v>0</v>
      </c>
      <c r="J143" s="52" t="str">
        <f aca="false">IF($B143="","",IFERROR(I143/D143,""))</f>
        <v/>
      </c>
      <c r="K143" s="51" t="n">
        <f aca="false">IF($B143="","",SUMIFS('Post Tracker'!$AZ$5:$AZ$1004,'Post Tracker'!$O$5:$O$1004,$B143,'Post Tracker'!$B$5:$B$1004,"&gt;="&amp;$C$4,'Post Tracker'!$B$5:$B$1004,"&lt;="&amp;$F$4))</f>
        <v>0</v>
      </c>
      <c r="L143" s="51" t="n">
        <f aca="false">IF($B143="","",SUMIFS('Post Tracker'!$BB$5:$BB$1004,'Post Tracker'!$O$5:$O$1004,$B143,'Post Tracker'!$B$5:$B$1004,"&gt;="&amp;$C$4,'Post Tracker'!$B$5:$B$1004,"&lt;="&amp;$F$4))</f>
        <v>0</v>
      </c>
      <c r="M143" s="51" t="n">
        <f aca="false">IF($B143="","",SUMIFS('Post Tracker'!$BD$5:$BD$1004,'Post Tracker'!$O$5:$O$1004,$B143,'Post Tracker'!$B$5:$B$1004,"&gt;="&amp;$C$4,'Post Tracker'!$B$5:$B$1004,"&lt;="&amp;$F$4))</f>
        <v>0</v>
      </c>
      <c r="N143" s="51" t="n">
        <f aca="false">IF($B143="","",SUMIFS('Post Tracker'!$BF$5:$BF$1004,'Post Tracker'!$O$5:$O$1004,$B143,'Post Tracker'!$B$5:$B$1004,"&gt;="&amp;$C$4,'Post Tracker'!$B$5:$B$1004,"&lt;="&amp;$F$4))</f>
        <v>0</v>
      </c>
      <c r="O143" s="52" t="str">
        <f aca="false">IF($B143="","",IFERROR(M143/K143,""))</f>
        <v/>
      </c>
      <c r="P143" s="62" t="n">
        <f aca="false">IF($B143="","",SUMIFS('Post Tracker'!$BH$5:$BH$1004,'Post Tracker'!$O$5:$O$1004,$B143,'Post Tracker'!$B$5:$B$1004,"&gt;="&amp;$C$4,'Post Tracker'!$B$5:$B$1004,"&lt;="&amp;$F$4))</f>
        <v>0</v>
      </c>
    </row>
    <row r="144" customFormat="false" ht="15" hidden="false" customHeight="false" outlineLevel="0" collapsed="false">
      <c r="B144" s="50" t="str">
        <f aca="false">IF(Settings!$N$8="","",Settings!$N$8)</f>
        <v>Download Resource</v>
      </c>
      <c r="C144" s="51" t="n">
        <f aca="false">IF($B144="","",COUNTIFS('Post Tracker'!$O$5:$O$1004,$B144,'Post Tracker'!$B$5:$B$1004,"&gt;="&amp;$C$4,'Post Tracker'!$B$5:$B$1004,"&lt;="&amp;$F$4))</f>
        <v>0</v>
      </c>
      <c r="D144" s="51" t="n">
        <f aca="false">IF($B144="","",SUMIFS('Post Tracker'!$AC$5:$AC$1004,'Post Tracker'!$O$5:$O$1004,$B144,'Post Tracker'!$B$5:$B$1004,"&gt;="&amp;$C$4,'Post Tracker'!$B$5:$B$1004,"&lt;="&amp;$F$4))</f>
        <v>0</v>
      </c>
      <c r="E144" s="51" t="n">
        <f aca="false">IF($B144="","",SUMIFS('Post Tracker'!$AO$5:$AO$1004,'Post Tracker'!$O$5:$O$1004,$B144,'Post Tracker'!$B$5:$B$1004,"&gt;="&amp;$C$4,'Post Tracker'!$B$5:$B$1004,"&lt;="&amp;$F$4))</f>
        <v>0</v>
      </c>
      <c r="F144" s="51" t="n">
        <f aca="false">IF($B144="","",SUMIFS('Post Tracker'!$AR$5:$AR$1004,'Post Tracker'!$O$5:$O$1004,$B144,'Post Tracker'!$B$5:$B$1004,"&gt;="&amp;$C$4,'Post Tracker'!$B$5:$B$1004,"&lt;="&amp;$F$4))</f>
        <v>0</v>
      </c>
      <c r="G144" s="52" t="str">
        <f aca="false">IF($B144="","",IFERROR(SUMIFS('Post Tracker'!$BP$5:$BP$1004,'Post Tracker'!$O$5:$O$1004,$B144,'Post Tracker'!$B$5:$B$1004,"&gt;="&amp;$C$4,'Post Tracker'!$B$5:$B$1004,"&lt;="&amp;$F$4)/E144,""))</f>
        <v/>
      </c>
      <c r="H144" s="52" t="str">
        <f aca="false">IF($B144="","",IFERROR(F144/SUMIFS('Post Tracker'!$BQ$5:$BQ$1004,'Post Tracker'!$O$5:$O$1004,$B144,'Post Tracker'!$B$5:$B$1004,"&gt;="&amp;$C$4,'Post Tracker'!$B$5:$B$1004,"&lt;="&amp;$F$4),""))</f>
        <v/>
      </c>
      <c r="I144" s="51" t="n">
        <f aca="false">IF($B144="","",SUMIFS('Post Tracker'!$AJ$5:$AJ$1004,'Post Tracker'!$O$5:$O$1004,$B144,'Post Tracker'!$B$5:$B$1004,"&gt;="&amp;$C$4,'Post Tracker'!$B$5:$B$1004,"&lt;="&amp;$F$4))</f>
        <v>0</v>
      </c>
      <c r="J144" s="52" t="str">
        <f aca="false">IF($B144="","",IFERROR(I144/D144,""))</f>
        <v/>
      </c>
      <c r="K144" s="51" t="n">
        <f aca="false">IF($B144="","",SUMIFS('Post Tracker'!$AZ$5:$AZ$1004,'Post Tracker'!$O$5:$O$1004,$B144,'Post Tracker'!$B$5:$B$1004,"&gt;="&amp;$C$4,'Post Tracker'!$B$5:$B$1004,"&lt;="&amp;$F$4))</f>
        <v>0</v>
      </c>
      <c r="L144" s="51" t="n">
        <f aca="false">IF($B144="","",SUMIFS('Post Tracker'!$BB$5:$BB$1004,'Post Tracker'!$O$5:$O$1004,$B144,'Post Tracker'!$B$5:$B$1004,"&gt;="&amp;$C$4,'Post Tracker'!$B$5:$B$1004,"&lt;="&amp;$F$4))</f>
        <v>0</v>
      </c>
      <c r="M144" s="51" t="n">
        <f aca="false">IF($B144="","",SUMIFS('Post Tracker'!$BD$5:$BD$1004,'Post Tracker'!$O$5:$O$1004,$B144,'Post Tracker'!$B$5:$B$1004,"&gt;="&amp;$C$4,'Post Tracker'!$B$5:$B$1004,"&lt;="&amp;$F$4))</f>
        <v>0</v>
      </c>
      <c r="N144" s="51" t="n">
        <f aca="false">IF($B144="","",SUMIFS('Post Tracker'!$BF$5:$BF$1004,'Post Tracker'!$O$5:$O$1004,$B144,'Post Tracker'!$B$5:$B$1004,"&gt;="&amp;$C$4,'Post Tracker'!$B$5:$B$1004,"&lt;="&amp;$F$4))</f>
        <v>0</v>
      </c>
      <c r="O144" s="52" t="str">
        <f aca="false">IF($B144="","",IFERROR(M144/K144,""))</f>
        <v/>
      </c>
      <c r="P144" s="62" t="n">
        <f aca="false">IF($B144="","",SUMIFS('Post Tracker'!$BH$5:$BH$1004,'Post Tracker'!$O$5:$O$1004,$B144,'Post Tracker'!$B$5:$B$1004,"&gt;="&amp;$C$4,'Post Tracker'!$B$5:$B$1004,"&lt;="&amp;$F$4))</f>
        <v>0</v>
      </c>
    </row>
    <row r="145" customFormat="false" ht="15" hidden="false" customHeight="false" outlineLevel="0" collapsed="false">
      <c r="B145" s="50" t="str">
        <f aca="false">IF(Settings!$N$9="","",Settings!$N$9)</f>
        <v>Comment / Engage</v>
      </c>
      <c r="C145" s="51" t="n">
        <f aca="false">IF($B145="","",COUNTIFS('Post Tracker'!$O$5:$O$1004,$B145,'Post Tracker'!$B$5:$B$1004,"&gt;="&amp;$C$4,'Post Tracker'!$B$5:$B$1004,"&lt;="&amp;$F$4))</f>
        <v>7</v>
      </c>
      <c r="D145" s="51" t="n">
        <f aca="false">IF($B145="","",SUMIFS('Post Tracker'!$AC$5:$AC$1004,'Post Tracker'!$O$5:$O$1004,$B145,'Post Tracker'!$B$5:$B$1004,"&gt;="&amp;$C$4,'Post Tracker'!$B$5:$B$1004,"&lt;="&amp;$F$4))</f>
        <v>42</v>
      </c>
      <c r="E145" s="51" t="n">
        <f aca="false">IF($B145="","",SUMIFS('Post Tracker'!$AO$5:$AO$1004,'Post Tracker'!$O$5:$O$1004,$B145,'Post Tracker'!$B$5:$B$1004,"&gt;="&amp;$C$4,'Post Tracker'!$B$5:$B$1004,"&lt;="&amp;$F$4))</f>
        <v>42</v>
      </c>
      <c r="F145" s="51" t="n">
        <f aca="false">IF($B145="","",SUMIFS('Post Tracker'!$AR$5:$AR$1004,'Post Tracker'!$O$5:$O$1004,$B145,'Post Tracker'!$B$5:$B$1004,"&gt;="&amp;$C$4,'Post Tracker'!$B$5:$B$1004,"&lt;="&amp;$F$4))</f>
        <v>40</v>
      </c>
      <c r="G145" s="52" t="n">
        <f aca="false">IF($B145="","",IFERROR(SUMIFS('Post Tracker'!$BP$5:$BP$1004,'Post Tracker'!$O$5:$O$1004,$B145,'Post Tracker'!$B$5:$B$1004,"&gt;="&amp;$C$4,'Post Tracker'!$B$5:$B$1004,"&lt;="&amp;$F$4)/E145,""))</f>
        <v>0.0238095238095238</v>
      </c>
      <c r="H145" s="52" t="n">
        <f aca="false">IF($B145="","",IFERROR(F145/SUMIFS('Post Tracker'!$BQ$5:$BQ$1004,'Post Tracker'!$O$5:$O$1004,$B145,'Post Tracker'!$B$5:$B$1004,"&gt;="&amp;$C$4,'Post Tracker'!$B$5:$B$1004,"&lt;="&amp;$F$4),""))</f>
        <v>0.0049176297024834</v>
      </c>
      <c r="I145" s="51" t="n">
        <f aca="false">IF($B145="","",SUMIFS('Post Tracker'!$AJ$5:$AJ$1004,'Post Tracker'!$O$5:$O$1004,$B145,'Post Tracker'!$B$5:$B$1004,"&gt;="&amp;$C$4,'Post Tracker'!$B$5:$B$1004,"&lt;="&amp;$F$4))</f>
        <v>0</v>
      </c>
      <c r="J145" s="52" t="n">
        <f aca="false">IF($B145="","",IFERROR(I145/D145,""))</f>
        <v>0</v>
      </c>
      <c r="K145" s="51" t="n">
        <f aca="false">IF($B145="","",SUMIFS('Post Tracker'!$AZ$5:$AZ$1004,'Post Tracker'!$O$5:$O$1004,$B145,'Post Tracker'!$B$5:$B$1004,"&gt;="&amp;$C$4,'Post Tracker'!$B$5:$B$1004,"&lt;="&amp;$F$4))</f>
        <v>0</v>
      </c>
      <c r="L145" s="51" t="n">
        <f aca="false">IF($B145="","",SUMIFS('Post Tracker'!$BB$5:$BB$1004,'Post Tracker'!$O$5:$O$1004,$B145,'Post Tracker'!$B$5:$B$1004,"&gt;="&amp;$C$4,'Post Tracker'!$B$5:$B$1004,"&lt;="&amp;$F$4))</f>
        <v>0</v>
      </c>
      <c r="M145" s="51" t="n">
        <f aca="false">IF($B145="","",SUMIFS('Post Tracker'!$BD$5:$BD$1004,'Post Tracker'!$O$5:$O$1004,$B145,'Post Tracker'!$B$5:$B$1004,"&gt;="&amp;$C$4,'Post Tracker'!$B$5:$B$1004,"&lt;="&amp;$F$4))</f>
        <v>0</v>
      </c>
      <c r="N145" s="51" t="n">
        <f aca="false">IF($B145="","",SUMIFS('Post Tracker'!$BF$5:$BF$1004,'Post Tracker'!$O$5:$O$1004,$B145,'Post Tracker'!$B$5:$B$1004,"&gt;="&amp;$C$4,'Post Tracker'!$B$5:$B$1004,"&lt;="&amp;$F$4))</f>
        <v>0</v>
      </c>
      <c r="O145" s="52" t="str">
        <f aca="false">IF($B145="","",IFERROR(M145/K145,""))</f>
        <v/>
      </c>
      <c r="P145" s="62" t="n">
        <f aca="false">IF($B145="","",SUMIFS('Post Tracker'!$BH$5:$BH$1004,'Post Tracker'!$O$5:$O$1004,$B145,'Post Tracker'!$B$5:$B$1004,"&gt;="&amp;$C$4,'Post Tracker'!$B$5:$B$1004,"&lt;="&amp;$F$4))</f>
        <v>0</v>
      </c>
    </row>
    <row r="146" customFormat="false" ht="15" hidden="false" customHeight="false" outlineLevel="0" collapsed="false">
      <c r="B146" s="50" t="str">
        <f aca="false">IF(Settings!$N$10="","",Settings!$N$10)</f>
        <v>Follow</v>
      </c>
      <c r="C146" s="51" t="n">
        <f aca="false">IF($B146="","",COUNTIFS('Post Tracker'!$O$5:$O$1004,$B146,'Post Tracker'!$B$5:$B$1004,"&gt;="&amp;$C$4,'Post Tracker'!$B$5:$B$1004,"&lt;="&amp;$F$4))</f>
        <v>0</v>
      </c>
      <c r="D146" s="51" t="n">
        <f aca="false">IF($B146="","",SUMIFS('Post Tracker'!$AC$5:$AC$1004,'Post Tracker'!$O$5:$O$1004,$B146,'Post Tracker'!$B$5:$B$1004,"&gt;="&amp;$C$4,'Post Tracker'!$B$5:$B$1004,"&lt;="&amp;$F$4))</f>
        <v>0</v>
      </c>
      <c r="E146" s="51" t="n">
        <f aca="false">IF($B146="","",SUMIFS('Post Tracker'!$AO$5:$AO$1004,'Post Tracker'!$O$5:$O$1004,$B146,'Post Tracker'!$B$5:$B$1004,"&gt;="&amp;$C$4,'Post Tracker'!$B$5:$B$1004,"&lt;="&amp;$F$4))</f>
        <v>0</v>
      </c>
      <c r="F146" s="51" t="n">
        <f aca="false">IF($B146="","",SUMIFS('Post Tracker'!$AR$5:$AR$1004,'Post Tracker'!$O$5:$O$1004,$B146,'Post Tracker'!$B$5:$B$1004,"&gt;="&amp;$C$4,'Post Tracker'!$B$5:$B$1004,"&lt;="&amp;$F$4))</f>
        <v>0</v>
      </c>
      <c r="G146" s="52" t="str">
        <f aca="false">IF($B146="","",IFERROR(SUMIFS('Post Tracker'!$BP$5:$BP$1004,'Post Tracker'!$O$5:$O$1004,$B146,'Post Tracker'!$B$5:$B$1004,"&gt;="&amp;$C$4,'Post Tracker'!$B$5:$B$1004,"&lt;="&amp;$F$4)/E146,""))</f>
        <v/>
      </c>
      <c r="H146" s="52" t="str">
        <f aca="false">IF($B146="","",IFERROR(F146/SUMIFS('Post Tracker'!$BQ$5:$BQ$1004,'Post Tracker'!$O$5:$O$1004,$B146,'Post Tracker'!$B$5:$B$1004,"&gt;="&amp;$C$4,'Post Tracker'!$B$5:$B$1004,"&lt;="&amp;$F$4),""))</f>
        <v/>
      </c>
      <c r="I146" s="51" t="n">
        <f aca="false">IF($B146="","",SUMIFS('Post Tracker'!$AJ$5:$AJ$1004,'Post Tracker'!$O$5:$O$1004,$B146,'Post Tracker'!$B$5:$B$1004,"&gt;="&amp;$C$4,'Post Tracker'!$B$5:$B$1004,"&lt;="&amp;$F$4))</f>
        <v>0</v>
      </c>
      <c r="J146" s="52" t="str">
        <f aca="false">IF($B146="","",IFERROR(I146/D146,""))</f>
        <v/>
      </c>
      <c r="K146" s="51" t="n">
        <f aca="false">IF($B146="","",SUMIFS('Post Tracker'!$AZ$5:$AZ$1004,'Post Tracker'!$O$5:$O$1004,$B146,'Post Tracker'!$B$5:$B$1004,"&gt;="&amp;$C$4,'Post Tracker'!$B$5:$B$1004,"&lt;="&amp;$F$4))</f>
        <v>0</v>
      </c>
      <c r="L146" s="51" t="n">
        <f aca="false">IF($B146="","",SUMIFS('Post Tracker'!$BB$5:$BB$1004,'Post Tracker'!$O$5:$O$1004,$B146,'Post Tracker'!$B$5:$B$1004,"&gt;="&amp;$C$4,'Post Tracker'!$B$5:$B$1004,"&lt;="&amp;$F$4))</f>
        <v>0</v>
      </c>
      <c r="M146" s="51" t="n">
        <f aca="false">IF($B146="","",SUMIFS('Post Tracker'!$BD$5:$BD$1004,'Post Tracker'!$O$5:$O$1004,$B146,'Post Tracker'!$B$5:$B$1004,"&gt;="&amp;$C$4,'Post Tracker'!$B$5:$B$1004,"&lt;="&amp;$F$4))</f>
        <v>0</v>
      </c>
      <c r="N146" s="51" t="n">
        <f aca="false">IF($B146="","",SUMIFS('Post Tracker'!$BF$5:$BF$1004,'Post Tracker'!$O$5:$O$1004,$B146,'Post Tracker'!$B$5:$B$1004,"&gt;="&amp;$C$4,'Post Tracker'!$B$5:$B$1004,"&lt;="&amp;$F$4))</f>
        <v>0</v>
      </c>
      <c r="O146" s="52" t="str">
        <f aca="false">IF($B146="","",IFERROR(M146/K146,""))</f>
        <v/>
      </c>
      <c r="P146" s="62" t="n">
        <f aca="false">IF($B146="","",SUMIFS('Post Tracker'!$BH$5:$BH$1004,'Post Tracker'!$O$5:$O$1004,$B146,'Post Tracker'!$B$5:$B$1004,"&gt;="&amp;$C$4,'Post Tracker'!$B$5:$B$1004,"&lt;="&amp;$F$4))</f>
        <v>0</v>
      </c>
    </row>
    <row r="147" customFormat="false" ht="15" hidden="false" customHeight="false" outlineLevel="0" collapsed="false">
      <c r="B147" s="50" t="str">
        <f aca="false">IF(Settings!$N$11="","",Settings!$N$11)</f>
        <v>No CTA</v>
      </c>
      <c r="C147" s="51" t="n">
        <f aca="false">IF($B147="","",COUNTIFS('Post Tracker'!$O$5:$O$1004,$B147,'Post Tracker'!$B$5:$B$1004,"&gt;="&amp;$C$4,'Post Tracker'!$B$5:$B$1004,"&lt;="&amp;$F$4))</f>
        <v>0</v>
      </c>
      <c r="D147" s="51" t="n">
        <f aca="false">IF($B147="","",SUMIFS('Post Tracker'!$AC$5:$AC$1004,'Post Tracker'!$O$5:$O$1004,$B147,'Post Tracker'!$B$5:$B$1004,"&gt;="&amp;$C$4,'Post Tracker'!$B$5:$B$1004,"&lt;="&amp;$F$4))</f>
        <v>0</v>
      </c>
      <c r="E147" s="51" t="n">
        <f aca="false">IF($B147="","",SUMIFS('Post Tracker'!$AO$5:$AO$1004,'Post Tracker'!$O$5:$O$1004,$B147,'Post Tracker'!$B$5:$B$1004,"&gt;="&amp;$C$4,'Post Tracker'!$B$5:$B$1004,"&lt;="&amp;$F$4))</f>
        <v>0</v>
      </c>
      <c r="F147" s="51" t="n">
        <f aca="false">IF($B147="","",SUMIFS('Post Tracker'!$AR$5:$AR$1004,'Post Tracker'!$O$5:$O$1004,$B147,'Post Tracker'!$B$5:$B$1004,"&gt;="&amp;$C$4,'Post Tracker'!$B$5:$B$1004,"&lt;="&amp;$F$4))</f>
        <v>0</v>
      </c>
      <c r="G147" s="52" t="str">
        <f aca="false">IF($B147="","",IFERROR(SUMIFS('Post Tracker'!$BP$5:$BP$1004,'Post Tracker'!$O$5:$O$1004,$B147,'Post Tracker'!$B$5:$B$1004,"&gt;="&amp;$C$4,'Post Tracker'!$B$5:$B$1004,"&lt;="&amp;$F$4)/E147,""))</f>
        <v/>
      </c>
      <c r="H147" s="52" t="str">
        <f aca="false">IF($B147="","",IFERROR(F147/SUMIFS('Post Tracker'!$BQ$5:$BQ$1004,'Post Tracker'!$O$5:$O$1004,$B147,'Post Tracker'!$B$5:$B$1004,"&gt;="&amp;$C$4,'Post Tracker'!$B$5:$B$1004,"&lt;="&amp;$F$4),""))</f>
        <v/>
      </c>
      <c r="I147" s="51" t="n">
        <f aca="false">IF($B147="","",SUMIFS('Post Tracker'!$AJ$5:$AJ$1004,'Post Tracker'!$O$5:$O$1004,$B147,'Post Tracker'!$B$5:$B$1004,"&gt;="&amp;$C$4,'Post Tracker'!$B$5:$B$1004,"&lt;="&amp;$F$4))</f>
        <v>0</v>
      </c>
      <c r="J147" s="52" t="str">
        <f aca="false">IF($B147="","",IFERROR(I147/D147,""))</f>
        <v/>
      </c>
      <c r="K147" s="51" t="n">
        <f aca="false">IF($B147="","",SUMIFS('Post Tracker'!$AZ$5:$AZ$1004,'Post Tracker'!$O$5:$O$1004,$B147,'Post Tracker'!$B$5:$B$1004,"&gt;="&amp;$C$4,'Post Tracker'!$B$5:$B$1004,"&lt;="&amp;$F$4))</f>
        <v>0</v>
      </c>
      <c r="L147" s="51" t="n">
        <f aca="false">IF($B147="","",SUMIFS('Post Tracker'!$BB$5:$BB$1004,'Post Tracker'!$O$5:$O$1004,$B147,'Post Tracker'!$B$5:$B$1004,"&gt;="&amp;$C$4,'Post Tracker'!$B$5:$B$1004,"&lt;="&amp;$F$4))</f>
        <v>0</v>
      </c>
      <c r="M147" s="51" t="n">
        <f aca="false">IF($B147="","",SUMIFS('Post Tracker'!$BD$5:$BD$1004,'Post Tracker'!$O$5:$O$1004,$B147,'Post Tracker'!$B$5:$B$1004,"&gt;="&amp;$C$4,'Post Tracker'!$B$5:$B$1004,"&lt;="&amp;$F$4))</f>
        <v>0</v>
      </c>
      <c r="N147" s="51" t="n">
        <f aca="false">IF($B147="","",SUMIFS('Post Tracker'!$BF$5:$BF$1004,'Post Tracker'!$O$5:$O$1004,$B147,'Post Tracker'!$B$5:$B$1004,"&gt;="&amp;$C$4,'Post Tracker'!$B$5:$B$1004,"&lt;="&amp;$F$4))</f>
        <v>0</v>
      </c>
      <c r="O147" s="52" t="str">
        <f aca="false">IF($B147="","",IFERROR(M147/K147,""))</f>
        <v/>
      </c>
      <c r="P147" s="62" t="n">
        <f aca="false">IF($B147="","",SUMIFS('Post Tracker'!$BH$5:$BH$1004,'Post Tracker'!$O$5:$O$1004,$B147,'Post Tracker'!$B$5:$B$1004,"&gt;="&amp;$C$4,'Post Tracker'!$B$5:$B$1004,"&lt;="&amp;$F$4))</f>
        <v>0</v>
      </c>
    </row>
    <row r="148" customFormat="false" ht="15" hidden="false" customHeight="false" outlineLevel="0" collapsed="false">
      <c r="B148" s="50" t="str">
        <f aca="false">IF(Settings!$N$12="","",Settings!$N$12)</f>
        <v/>
      </c>
      <c r="C148" s="51" t="str">
        <f aca="false">IF($B148="","",COUNTIFS('Post Tracker'!$O$5:$O$1004,$B148,'Post Tracker'!$B$5:$B$1004,"&gt;="&amp;$C$4,'Post Tracker'!$B$5:$B$1004,"&lt;="&amp;$F$4))</f>
        <v/>
      </c>
      <c r="D148" s="51" t="str">
        <f aca="false">IF($B148="","",SUMIFS('Post Tracker'!$AC$5:$AC$1004,'Post Tracker'!$O$5:$O$1004,$B148,'Post Tracker'!$B$5:$B$1004,"&gt;="&amp;$C$4,'Post Tracker'!$B$5:$B$1004,"&lt;="&amp;$F$4))</f>
        <v/>
      </c>
      <c r="E148" s="51" t="str">
        <f aca="false">IF($B148="","",SUMIFS('Post Tracker'!$AO$5:$AO$1004,'Post Tracker'!$O$5:$O$1004,$B148,'Post Tracker'!$B$5:$B$1004,"&gt;="&amp;$C$4,'Post Tracker'!$B$5:$B$1004,"&lt;="&amp;$F$4))</f>
        <v/>
      </c>
      <c r="F148" s="51" t="str">
        <f aca="false">IF($B148="","",SUMIFS('Post Tracker'!$AR$5:$AR$1004,'Post Tracker'!$O$5:$O$1004,$B148,'Post Tracker'!$B$5:$B$1004,"&gt;="&amp;$C$4,'Post Tracker'!$B$5:$B$1004,"&lt;="&amp;$F$4))</f>
        <v/>
      </c>
      <c r="G148" s="52" t="str">
        <f aca="false">IF($B148="","",IFERROR(SUMIFS('Post Tracker'!$BP$5:$BP$1004,'Post Tracker'!$O$5:$O$1004,$B148,'Post Tracker'!$B$5:$B$1004,"&gt;="&amp;$C$4,'Post Tracker'!$B$5:$B$1004,"&lt;="&amp;$F$4)/E148,""))</f>
        <v/>
      </c>
      <c r="H148" s="52" t="str">
        <f aca="false">IF($B148="","",IFERROR(F148/SUMIFS('Post Tracker'!$BQ$5:$BQ$1004,'Post Tracker'!$O$5:$O$1004,$B148,'Post Tracker'!$B$5:$B$1004,"&gt;="&amp;$C$4,'Post Tracker'!$B$5:$B$1004,"&lt;="&amp;$F$4),""))</f>
        <v/>
      </c>
      <c r="I148" s="51" t="str">
        <f aca="false">IF($B148="","",SUMIFS('Post Tracker'!$AJ$5:$AJ$1004,'Post Tracker'!$O$5:$O$1004,$B148,'Post Tracker'!$B$5:$B$1004,"&gt;="&amp;$C$4,'Post Tracker'!$B$5:$B$1004,"&lt;="&amp;$F$4))</f>
        <v/>
      </c>
      <c r="J148" s="52" t="str">
        <f aca="false">IF($B148="","",IFERROR(I148/D148,""))</f>
        <v/>
      </c>
      <c r="K148" s="51" t="str">
        <f aca="false">IF($B148="","",SUMIFS('Post Tracker'!$AZ$5:$AZ$1004,'Post Tracker'!$O$5:$O$1004,$B148,'Post Tracker'!$B$5:$B$1004,"&gt;="&amp;$C$4,'Post Tracker'!$B$5:$B$1004,"&lt;="&amp;$F$4))</f>
        <v/>
      </c>
      <c r="L148" s="51" t="str">
        <f aca="false">IF($B148="","",SUMIFS('Post Tracker'!$BB$5:$BB$1004,'Post Tracker'!$O$5:$O$1004,$B148,'Post Tracker'!$B$5:$B$1004,"&gt;="&amp;$C$4,'Post Tracker'!$B$5:$B$1004,"&lt;="&amp;$F$4))</f>
        <v/>
      </c>
      <c r="M148" s="51" t="str">
        <f aca="false">IF($B148="","",SUMIFS('Post Tracker'!$BD$5:$BD$1004,'Post Tracker'!$O$5:$O$1004,$B148,'Post Tracker'!$B$5:$B$1004,"&gt;="&amp;$C$4,'Post Tracker'!$B$5:$B$1004,"&lt;="&amp;$F$4))</f>
        <v/>
      </c>
      <c r="N148" s="51" t="str">
        <f aca="false">IF($B148="","",SUMIFS('Post Tracker'!$BF$5:$BF$1004,'Post Tracker'!$O$5:$O$1004,$B148,'Post Tracker'!$B$5:$B$1004,"&gt;="&amp;$C$4,'Post Tracker'!$B$5:$B$1004,"&lt;="&amp;$F$4))</f>
        <v/>
      </c>
      <c r="O148" s="52" t="str">
        <f aca="false">IF($B148="","",IFERROR(M148/K148,""))</f>
        <v/>
      </c>
      <c r="P148" s="62" t="str">
        <f aca="false">IF($B148="","",SUMIFS('Post Tracker'!$BH$5:$BH$1004,'Post Tracker'!$O$5:$O$1004,$B148,'Post Tracker'!$B$5:$B$1004,"&gt;="&amp;$C$4,'Post Tracker'!$B$5:$B$1004,"&lt;="&amp;$F$4))</f>
        <v/>
      </c>
    </row>
    <row r="149" customFormat="false" ht="15" hidden="false" customHeight="false" outlineLevel="0" collapsed="false">
      <c r="B149" s="50" t="str">
        <f aca="false">IF(Settings!$N$13="","",Settings!$N$13)</f>
        <v/>
      </c>
      <c r="C149" s="51" t="str">
        <f aca="false">IF($B149="","",COUNTIFS('Post Tracker'!$O$5:$O$1004,$B149,'Post Tracker'!$B$5:$B$1004,"&gt;="&amp;$C$4,'Post Tracker'!$B$5:$B$1004,"&lt;="&amp;$F$4))</f>
        <v/>
      </c>
      <c r="D149" s="51" t="str">
        <f aca="false">IF($B149="","",SUMIFS('Post Tracker'!$AC$5:$AC$1004,'Post Tracker'!$O$5:$O$1004,$B149,'Post Tracker'!$B$5:$B$1004,"&gt;="&amp;$C$4,'Post Tracker'!$B$5:$B$1004,"&lt;="&amp;$F$4))</f>
        <v/>
      </c>
      <c r="E149" s="51" t="str">
        <f aca="false">IF($B149="","",SUMIFS('Post Tracker'!$AO$5:$AO$1004,'Post Tracker'!$O$5:$O$1004,$B149,'Post Tracker'!$B$5:$B$1004,"&gt;="&amp;$C$4,'Post Tracker'!$B$5:$B$1004,"&lt;="&amp;$F$4))</f>
        <v/>
      </c>
      <c r="F149" s="51" t="str">
        <f aca="false">IF($B149="","",SUMIFS('Post Tracker'!$AR$5:$AR$1004,'Post Tracker'!$O$5:$O$1004,$B149,'Post Tracker'!$B$5:$B$1004,"&gt;="&amp;$C$4,'Post Tracker'!$B$5:$B$1004,"&lt;="&amp;$F$4))</f>
        <v/>
      </c>
      <c r="G149" s="52" t="str">
        <f aca="false">IF($B149="","",IFERROR(SUMIFS('Post Tracker'!$BP$5:$BP$1004,'Post Tracker'!$O$5:$O$1004,$B149,'Post Tracker'!$B$5:$B$1004,"&gt;="&amp;$C$4,'Post Tracker'!$B$5:$B$1004,"&lt;="&amp;$F$4)/E149,""))</f>
        <v/>
      </c>
      <c r="H149" s="52" t="str">
        <f aca="false">IF($B149="","",IFERROR(F149/SUMIFS('Post Tracker'!$BQ$5:$BQ$1004,'Post Tracker'!$O$5:$O$1004,$B149,'Post Tracker'!$B$5:$B$1004,"&gt;="&amp;$C$4,'Post Tracker'!$B$5:$B$1004,"&lt;="&amp;$F$4),""))</f>
        <v/>
      </c>
      <c r="I149" s="51" t="str">
        <f aca="false">IF($B149="","",SUMIFS('Post Tracker'!$AJ$5:$AJ$1004,'Post Tracker'!$O$5:$O$1004,$B149,'Post Tracker'!$B$5:$B$1004,"&gt;="&amp;$C$4,'Post Tracker'!$B$5:$B$1004,"&lt;="&amp;$F$4))</f>
        <v/>
      </c>
      <c r="J149" s="52" t="str">
        <f aca="false">IF($B149="","",IFERROR(I149/D149,""))</f>
        <v/>
      </c>
      <c r="K149" s="51" t="str">
        <f aca="false">IF($B149="","",SUMIFS('Post Tracker'!$AZ$5:$AZ$1004,'Post Tracker'!$O$5:$O$1004,$B149,'Post Tracker'!$B$5:$B$1004,"&gt;="&amp;$C$4,'Post Tracker'!$B$5:$B$1004,"&lt;="&amp;$F$4))</f>
        <v/>
      </c>
      <c r="L149" s="51" t="str">
        <f aca="false">IF($B149="","",SUMIFS('Post Tracker'!$BB$5:$BB$1004,'Post Tracker'!$O$5:$O$1004,$B149,'Post Tracker'!$B$5:$B$1004,"&gt;="&amp;$C$4,'Post Tracker'!$B$5:$B$1004,"&lt;="&amp;$F$4))</f>
        <v/>
      </c>
      <c r="M149" s="51" t="str">
        <f aca="false">IF($B149="","",SUMIFS('Post Tracker'!$BD$5:$BD$1004,'Post Tracker'!$O$5:$O$1004,$B149,'Post Tracker'!$B$5:$B$1004,"&gt;="&amp;$C$4,'Post Tracker'!$B$5:$B$1004,"&lt;="&amp;$F$4))</f>
        <v/>
      </c>
      <c r="N149" s="51" t="str">
        <f aca="false">IF($B149="","",SUMIFS('Post Tracker'!$BF$5:$BF$1004,'Post Tracker'!$O$5:$O$1004,$B149,'Post Tracker'!$B$5:$B$1004,"&gt;="&amp;$C$4,'Post Tracker'!$B$5:$B$1004,"&lt;="&amp;$F$4))</f>
        <v/>
      </c>
      <c r="O149" s="52" t="str">
        <f aca="false">IF($B149="","",IFERROR(M149/K149,""))</f>
        <v/>
      </c>
      <c r="P149" s="62" t="str">
        <f aca="false">IF($B149="","",SUMIFS('Post Tracker'!$BH$5:$BH$1004,'Post Tracker'!$O$5:$O$1004,$B149,'Post Tracker'!$B$5:$B$1004,"&gt;="&amp;$C$4,'Post Tracker'!$B$5:$B$1004,"&lt;="&amp;$F$4))</f>
        <v/>
      </c>
    </row>
    <row r="151" customFormat="false" ht="15" hidden="false" customHeight="false" outlineLevel="0" collapsed="false">
      <c r="B151" s="3" t="s">
        <v>266</v>
      </c>
    </row>
    <row r="152" customFormat="false" ht="30" hidden="false" customHeight="true" outlineLevel="0" collapsed="false">
      <c r="B152" s="60"/>
      <c r="C152" s="61" t="s">
        <v>253</v>
      </c>
      <c r="D152" s="61" t="s">
        <v>222</v>
      </c>
      <c r="E152" s="61" t="s">
        <v>254</v>
      </c>
      <c r="F152" s="61" t="s">
        <v>223</v>
      </c>
      <c r="G152" s="61" t="s">
        <v>250</v>
      </c>
      <c r="H152" s="61" t="s">
        <v>249</v>
      </c>
      <c r="I152" s="61" t="s">
        <v>106</v>
      </c>
      <c r="J152" s="61" t="s">
        <v>255</v>
      </c>
      <c r="K152" s="61" t="s">
        <v>256</v>
      </c>
      <c r="L152" s="61" t="s">
        <v>124</v>
      </c>
      <c r="M152" s="61" t="s">
        <v>126</v>
      </c>
      <c r="N152" s="61" t="s">
        <v>128</v>
      </c>
      <c r="O152" s="61" t="s">
        <v>134</v>
      </c>
      <c r="P152" s="61" t="s">
        <v>257</v>
      </c>
    </row>
    <row r="153" customFormat="false" ht="15" hidden="false" customHeight="false" outlineLevel="0" collapsed="false">
      <c r="B153" s="50" t="str">
        <f aca="false">IF(Settings!$P$5="","",Settings!$P$5)</f>
        <v>In Post Body</v>
      </c>
      <c r="C153" s="51" t="n">
        <f aca="false">IF($B153="","",COUNTIFS('Post Tracker'!$U$5:$U$1004,$B153,'Post Tracker'!$B$5:$B$1004,"&gt;="&amp;$C$4,'Post Tracker'!$B$5:$B$1004,"&lt;="&amp;$F$4))</f>
        <v>2</v>
      </c>
      <c r="D153" s="51" t="n">
        <f aca="false">IF($B153="","",SUMIFS('Post Tracker'!$AC$5:$AC$1004,'Post Tracker'!$U$5:$U$1004,$B153,'Post Tracker'!$B$5:$B$1004,"&gt;="&amp;$C$4,'Post Tracker'!$B$5:$B$1004,"&lt;="&amp;$F$4))</f>
        <v>27</v>
      </c>
      <c r="E153" s="51" t="n">
        <f aca="false">IF($B153="","",SUMIFS('Post Tracker'!$AO$5:$AO$1004,'Post Tracker'!$U$5:$U$1004,$B153,'Post Tracker'!$B$5:$B$1004,"&gt;="&amp;$C$4,'Post Tracker'!$B$5:$B$1004,"&lt;="&amp;$F$4))</f>
        <v>27</v>
      </c>
      <c r="F153" s="51" t="n">
        <f aca="false">IF($B153="","",SUMIFS('Post Tracker'!$AR$5:$AR$1004,'Post Tracker'!$U$5:$U$1004,$B153,'Post Tracker'!$B$5:$B$1004,"&gt;="&amp;$C$4,'Post Tracker'!$B$5:$B$1004,"&lt;="&amp;$F$4))</f>
        <v>0</v>
      </c>
      <c r="G153" s="52" t="n">
        <f aca="false">IF($B153="","",IFERROR(SUMIFS('Post Tracker'!$BP$5:$BP$1004,'Post Tracker'!$U$5:$U$1004,$B153,'Post Tracker'!$B$5:$B$1004,"&gt;="&amp;$C$4,'Post Tracker'!$B$5:$B$1004,"&lt;="&amp;$F$4)/E153,""))</f>
        <v>0</v>
      </c>
      <c r="H153" s="52" t="n">
        <f aca="false">IF($B153="","",IFERROR(F153/SUMIFS('Post Tracker'!$BQ$5:$BQ$1004,'Post Tracker'!$U$5:$U$1004,$B153,'Post Tracker'!$B$5:$B$1004,"&gt;="&amp;$C$4,'Post Tracker'!$B$5:$B$1004,"&lt;="&amp;$F$4),""))</f>
        <v>0</v>
      </c>
      <c r="I153" s="51" t="n">
        <f aca="false">IF($B153="","",SUMIFS('Post Tracker'!$AJ$5:$AJ$1004,'Post Tracker'!$U$5:$U$1004,$B153,'Post Tracker'!$B$5:$B$1004,"&gt;="&amp;$C$4,'Post Tracker'!$B$5:$B$1004,"&lt;="&amp;$F$4))</f>
        <v>0</v>
      </c>
      <c r="J153" s="52" t="n">
        <f aca="false">IF($B153="","",IFERROR(I153/D153,""))</f>
        <v>0</v>
      </c>
      <c r="K153" s="51" t="n">
        <f aca="false">IF($B153="","",SUMIFS('Post Tracker'!$AZ$5:$AZ$1004,'Post Tracker'!$U$5:$U$1004,$B153,'Post Tracker'!$B$5:$B$1004,"&gt;="&amp;$C$4,'Post Tracker'!$B$5:$B$1004,"&lt;="&amp;$F$4))</f>
        <v>0</v>
      </c>
      <c r="L153" s="51" t="n">
        <f aca="false">IF($B153="","",SUMIFS('Post Tracker'!$BB$5:$BB$1004,'Post Tracker'!$U$5:$U$1004,$B153,'Post Tracker'!$B$5:$B$1004,"&gt;="&amp;$C$4,'Post Tracker'!$B$5:$B$1004,"&lt;="&amp;$F$4))</f>
        <v>0</v>
      </c>
      <c r="M153" s="51" t="n">
        <f aca="false">IF($B153="","",SUMIFS('Post Tracker'!$BD$5:$BD$1004,'Post Tracker'!$U$5:$U$1004,$B153,'Post Tracker'!$B$5:$B$1004,"&gt;="&amp;$C$4,'Post Tracker'!$B$5:$B$1004,"&lt;="&amp;$F$4))</f>
        <v>0</v>
      </c>
      <c r="N153" s="51" t="n">
        <f aca="false">IF($B153="","",SUMIFS('Post Tracker'!$BF$5:$BF$1004,'Post Tracker'!$U$5:$U$1004,$B153,'Post Tracker'!$B$5:$B$1004,"&gt;="&amp;$C$4,'Post Tracker'!$B$5:$B$1004,"&lt;="&amp;$F$4))</f>
        <v>0</v>
      </c>
      <c r="O153" s="52" t="str">
        <f aca="false">IF($B153="","",IFERROR(M153/K153,""))</f>
        <v/>
      </c>
      <c r="P153" s="62" t="n">
        <f aca="false">IF($B153="","",SUMIFS('Post Tracker'!$BH$5:$BH$1004,'Post Tracker'!$U$5:$U$1004,$B153,'Post Tracker'!$B$5:$B$1004,"&gt;="&amp;$C$4,'Post Tracker'!$B$5:$B$1004,"&lt;="&amp;$F$4))</f>
        <v>0</v>
      </c>
    </row>
    <row r="154" customFormat="false" ht="15" hidden="false" customHeight="false" outlineLevel="0" collapsed="false">
      <c r="B154" s="50" t="str">
        <f aca="false">IF(Settings!$P$6="","",Settings!$P$6)</f>
        <v>First Comment</v>
      </c>
      <c r="C154" s="51" t="n">
        <f aca="false">IF($B154="","",COUNTIFS('Post Tracker'!$U$5:$U$1004,$B154,'Post Tracker'!$B$5:$B$1004,"&gt;="&amp;$C$4,'Post Tracker'!$B$5:$B$1004,"&lt;="&amp;$F$4))</f>
        <v>2</v>
      </c>
      <c r="D154" s="51" t="n">
        <f aca="false">IF($B154="","",SUMIFS('Post Tracker'!$AC$5:$AC$1004,'Post Tracker'!$U$5:$U$1004,$B154,'Post Tracker'!$B$5:$B$1004,"&gt;="&amp;$C$4,'Post Tracker'!$B$5:$B$1004,"&lt;="&amp;$F$4))</f>
        <v>13</v>
      </c>
      <c r="E154" s="51" t="n">
        <f aca="false">IF($B154="","",SUMIFS('Post Tracker'!$AO$5:$AO$1004,'Post Tracker'!$U$5:$U$1004,$B154,'Post Tracker'!$B$5:$B$1004,"&gt;="&amp;$C$4,'Post Tracker'!$B$5:$B$1004,"&lt;="&amp;$F$4))</f>
        <v>13</v>
      </c>
      <c r="F154" s="51" t="n">
        <f aca="false">IF($B154="","",SUMIFS('Post Tracker'!$AR$5:$AR$1004,'Post Tracker'!$U$5:$U$1004,$B154,'Post Tracker'!$B$5:$B$1004,"&gt;="&amp;$C$4,'Post Tracker'!$B$5:$B$1004,"&lt;="&amp;$F$4))</f>
        <v>6</v>
      </c>
      <c r="G154" s="52" t="n">
        <f aca="false">IF($B154="","",IFERROR(SUMIFS('Post Tracker'!$BP$5:$BP$1004,'Post Tracker'!$U$5:$U$1004,$B154,'Post Tracker'!$B$5:$B$1004,"&gt;="&amp;$C$4,'Post Tracker'!$B$5:$B$1004,"&lt;="&amp;$F$4)/E154,""))</f>
        <v>0.0769230769230769</v>
      </c>
      <c r="H154" s="52" t="n">
        <f aca="false">IF($B154="","",IFERROR(F154/SUMIFS('Post Tracker'!$BQ$5:$BQ$1004,'Post Tracker'!$U$5:$U$1004,$B154,'Post Tracker'!$B$5:$B$1004,"&gt;="&amp;$C$4,'Post Tracker'!$B$5:$B$1004,"&lt;="&amp;$F$4),""))</f>
        <v>0.00223380491437081</v>
      </c>
      <c r="I154" s="51" t="n">
        <f aca="false">IF($B154="","",SUMIFS('Post Tracker'!$AJ$5:$AJ$1004,'Post Tracker'!$U$5:$U$1004,$B154,'Post Tracker'!$B$5:$B$1004,"&gt;="&amp;$C$4,'Post Tracker'!$B$5:$B$1004,"&lt;="&amp;$F$4))</f>
        <v>0</v>
      </c>
      <c r="J154" s="52" t="n">
        <f aca="false">IF($B154="","",IFERROR(I154/D154,""))</f>
        <v>0</v>
      </c>
      <c r="K154" s="51" t="n">
        <f aca="false">IF($B154="","",SUMIFS('Post Tracker'!$AZ$5:$AZ$1004,'Post Tracker'!$U$5:$U$1004,$B154,'Post Tracker'!$B$5:$B$1004,"&gt;="&amp;$C$4,'Post Tracker'!$B$5:$B$1004,"&lt;="&amp;$F$4))</f>
        <v>0</v>
      </c>
      <c r="L154" s="51" t="n">
        <f aca="false">IF($B154="","",SUMIFS('Post Tracker'!$BB$5:$BB$1004,'Post Tracker'!$U$5:$U$1004,$B154,'Post Tracker'!$B$5:$B$1004,"&gt;="&amp;$C$4,'Post Tracker'!$B$5:$B$1004,"&lt;="&amp;$F$4))</f>
        <v>0</v>
      </c>
      <c r="M154" s="51" t="n">
        <f aca="false">IF($B154="","",SUMIFS('Post Tracker'!$BD$5:$BD$1004,'Post Tracker'!$U$5:$U$1004,$B154,'Post Tracker'!$B$5:$B$1004,"&gt;="&amp;$C$4,'Post Tracker'!$B$5:$B$1004,"&lt;="&amp;$F$4))</f>
        <v>0</v>
      </c>
      <c r="N154" s="51" t="n">
        <f aca="false">IF($B154="","",SUMIFS('Post Tracker'!$BF$5:$BF$1004,'Post Tracker'!$U$5:$U$1004,$B154,'Post Tracker'!$B$5:$B$1004,"&gt;="&amp;$C$4,'Post Tracker'!$B$5:$B$1004,"&lt;="&amp;$F$4))</f>
        <v>0</v>
      </c>
      <c r="O154" s="52" t="str">
        <f aca="false">IF($B154="","",IFERROR(M154/K154,""))</f>
        <v/>
      </c>
      <c r="P154" s="62" t="n">
        <f aca="false">IF($B154="","",SUMIFS('Post Tracker'!$BH$5:$BH$1004,'Post Tracker'!$U$5:$U$1004,$B154,'Post Tracker'!$B$5:$B$1004,"&gt;="&amp;$C$4,'Post Tracker'!$B$5:$B$1004,"&lt;="&amp;$F$4))</f>
        <v>0</v>
      </c>
    </row>
    <row r="155" customFormat="false" ht="15" hidden="false" customHeight="false" outlineLevel="0" collapsed="false">
      <c r="B155" s="50" t="str">
        <f aca="false">IF(Settings!$P$7="","",Settings!$P$7)</f>
        <v>Link in Bio</v>
      </c>
      <c r="C155" s="51" t="n">
        <f aca="false">IF($B155="","",COUNTIFS('Post Tracker'!$U$5:$U$1004,$B155,'Post Tracker'!$B$5:$B$1004,"&gt;="&amp;$C$4,'Post Tracker'!$B$5:$B$1004,"&lt;="&amp;$F$4))</f>
        <v>2</v>
      </c>
      <c r="D155" s="51" t="n">
        <f aca="false">IF($B155="","",SUMIFS('Post Tracker'!$AC$5:$AC$1004,'Post Tracker'!$U$5:$U$1004,$B155,'Post Tracker'!$B$5:$B$1004,"&gt;="&amp;$C$4,'Post Tracker'!$B$5:$B$1004,"&lt;="&amp;$F$4))</f>
        <v>0</v>
      </c>
      <c r="E155" s="51" t="n">
        <f aca="false">IF($B155="","",SUMIFS('Post Tracker'!$AO$5:$AO$1004,'Post Tracker'!$U$5:$U$1004,$B155,'Post Tracker'!$B$5:$B$1004,"&gt;="&amp;$C$4,'Post Tracker'!$B$5:$B$1004,"&lt;="&amp;$F$4))</f>
        <v>0</v>
      </c>
      <c r="F155" s="51" t="n">
        <f aca="false">IF($B155="","",SUMIFS('Post Tracker'!$AR$5:$AR$1004,'Post Tracker'!$U$5:$U$1004,$B155,'Post Tracker'!$B$5:$B$1004,"&gt;="&amp;$C$4,'Post Tracker'!$B$5:$B$1004,"&lt;="&amp;$F$4))</f>
        <v>9</v>
      </c>
      <c r="G155" s="52" t="str">
        <f aca="false">IF($B155="","",IFERROR(SUMIFS('Post Tracker'!$BP$5:$BP$1004,'Post Tracker'!$U$5:$U$1004,$B155,'Post Tracker'!$B$5:$B$1004,"&gt;="&amp;$C$4,'Post Tracker'!$B$5:$B$1004,"&lt;="&amp;$F$4)/E155,""))</f>
        <v/>
      </c>
      <c r="H155" s="52" t="n">
        <f aca="false">IF($B155="","",IFERROR(F155/SUMIFS('Post Tracker'!$BQ$5:$BQ$1004,'Post Tracker'!$U$5:$U$1004,$B155,'Post Tracker'!$B$5:$B$1004,"&gt;="&amp;$C$4,'Post Tracker'!$B$5:$B$1004,"&lt;="&amp;$F$4),""))</f>
        <v>0.0737704918032787</v>
      </c>
      <c r="I155" s="51" t="n">
        <f aca="false">IF($B155="","",SUMIFS('Post Tracker'!$AJ$5:$AJ$1004,'Post Tracker'!$U$5:$U$1004,$B155,'Post Tracker'!$B$5:$B$1004,"&gt;="&amp;$C$4,'Post Tracker'!$B$5:$B$1004,"&lt;="&amp;$F$4))</f>
        <v>0</v>
      </c>
      <c r="J155" s="52" t="str">
        <f aca="false">IF($B155="","",IFERROR(I155/D155,""))</f>
        <v/>
      </c>
      <c r="K155" s="51" t="n">
        <f aca="false">IF($B155="","",SUMIFS('Post Tracker'!$AZ$5:$AZ$1004,'Post Tracker'!$U$5:$U$1004,$B155,'Post Tracker'!$B$5:$B$1004,"&gt;="&amp;$C$4,'Post Tracker'!$B$5:$B$1004,"&lt;="&amp;$F$4))</f>
        <v>0</v>
      </c>
      <c r="L155" s="51" t="n">
        <f aca="false">IF($B155="","",SUMIFS('Post Tracker'!$BB$5:$BB$1004,'Post Tracker'!$U$5:$U$1004,$B155,'Post Tracker'!$B$5:$B$1004,"&gt;="&amp;$C$4,'Post Tracker'!$B$5:$B$1004,"&lt;="&amp;$F$4))</f>
        <v>0</v>
      </c>
      <c r="M155" s="51" t="n">
        <f aca="false">IF($B155="","",SUMIFS('Post Tracker'!$BD$5:$BD$1004,'Post Tracker'!$U$5:$U$1004,$B155,'Post Tracker'!$B$5:$B$1004,"&gt;="&amp;$C$4,'Post Tracker'!$B$5:$B$1004,"&lt;="&amp;$F$4))</f>
        <v>0</v>
      </c>
      <c r="N155" s="51" t="n">
        <f aca="false">IF($B155="","",SUMIFS('Post Tracker'!$BF$5:$BF$1004,'Post Tracker'!$U$5:$U$1004,$B155,'Post Tracker'!$B$5:$B$1004,"&gt;="&amp;$C$4,'Post Tracker'!$B$5:$B$1004,"&lt;="&amp;$F$4))</f>
        <v>0</v>
      </c>
      <c r="O155" s="52" t="str">
        <f aca="false">IF($B155="","",IFERROR(M155/K155,""))</f>
        <v/>
      </c>
      <c r="P155" s="62" t="n">
        <f aca="false">IF($B155="","",SUMIFS('Post Tracker'!$BH$5:$BH$1004,'Post Tracker'!$U$5:$U$1004,$B155,'Post Tracker'!$B$5:$B$1004,"&gt;="&amp;$C$4,'Post Tracker'!$B$5:$B$1004,"&lt;="&amp;$F$4))</f>
        <v>0</v>
      </c>
    </row>
    <row r="156" customFormat="false" ht="15" hidden="false" customHeight="false" outlineLevel="0" collapsed="false">
      <c r="B156" s="50" t="str">
        <f aca="false">IF(Settings!$P$8="","",Settings!$P$8)</f>
        <v>Story Link Sticker</v>
      </c>
      <c r="C156" s="51" t="n">
        <f aca="false">IF($B156="","",COUNTIFS('Post Tracker'!$U$5:$U$1004,$B156,'Post Tracker'!$B$5:$B$1004,"&gt;="&amp;$C$4,'Post Tracker'!$B$5:$B$1004,"&lt;="&amp;$F$4))</f>
        <v>0</v>
      </c>
      <c r="D156" s="51" t="n">
        <f aca="false">IF($B156="","",SUMIFS('Post Tracker'!$AC$5:$AC$1004,'Post Tracker'!$U$5:$U$1004,$B156,'Post Tracker'!$B$5:$B$1004,"&gt;="&amp;$C$4,'Post Tracker'!$B$5:$B$1004,"&lt;="&amp;$F$4))</f>
        <v>0</v>
      </c>
      <c r="E156" s="51" t="n">
        <f aca="false">IF($B156="","",SUMIFS('Post Tracker'!$AO$5:$AO$1004,'Post Tracker'!$U$5:$U$1004,$B156,'Post Tracker'!$B$5:$B$1004,"&gt;="&amp;$C$4,'Post Tracker'!$B$5:$B$1004,"&lt;="&amp;$F$4))</f>
        <v>0</v>
      </c>
      <c r="F156" s="51" t="n">
        <f aca="false">IF($B156="","",SUMIFS('Post Tracker'!$AR$5:$AR$1004,'Post Tracker'!$U$5:$U$1004,$B156,'Post Tracker'!$B$5:$B$1004,"&gt;="&amp;$C$4,'Post Tracker'!$B$5:$B$1004,"&lt;="&amp;$F$4))</f>
        <v>0</v>
      </c>
      <c r="G156" s="52" t="str">
        <f aca="false">IF($B156="","",IFERROR(SUMIFS('Post Tracker'!$BP$5:$BP$1004,'Post Tracker'!$U$5:$U$1004,$B156,'Post Tracker'!$B$5:$B$1004,"&gt;="&amp;$C$4,'Post Tracker'!$B$5:$B$1004,"&lt;="&amp;$F$4)/E156,""))</f>
        <v/>
      </c>
      <c r="H156" s="52" t="str">
        <f aca="false">IF($B156="","",IFERROR(F156/SUMIFS('Post Tracker'!$BQ$5:$BQ$1004,'Post Tracker'!$U$5:$U$1004,$B156,'Post Tracker'!$B$5:$B$1004,"&gt;="&amp;$C$4,'Post Tracker'!$B$5:$B$1004,"&lt;="&amp;$F$4),""))</f>
        <v/>
      </c>
      <c r="I156" s="51" t="n">
        <f aca="false">IF($B156="","",SUMIFS('Post Tracker'!$AJ$5:$AJ$1004,'Post Tracker'!$U$5:$U$1004,$B156,'Post Tracker'!$B$5:$B$1004,"&gt;="&amp;$C$4,'Post Tracker'!$B$5:$B$1004,"&lt;="&amp;$F$4))</f>
        <v>0</v>
      </c>
      <c r="J156" s="52" t="str">
        <f aca="false">IF($B156="","",IFERROR(I156/D156,""))</f>
        <v/>
      </c>
      <c r="K156" s="51" t="n">
        <f aca="false">IF($B156="","",SUMIFS('Post Tracker'!$AZ$5:$AZ$1004,'Post Tracker'!$U$5:$U$1004,$B156,'Post Tracker'!$B$5:$B$1004,"&gt;="&amp;$C$4,'Post Tracker'!$B$5:$B$1004,"&lt;="&amp;$F$4))</f>
        <v>0</v>
      </c>
      <c r="L156" s="51" t="n">
        <f aca="false">IF($B156="","",SUMIFS('Post Tracker'!$BB$5:$BB$1004,'Post Tracker'!$U$5:$U$1004,$B156,'Post Tracker'!$B$5:$B$1004,"&gt;="&amp;$C$4,'Post Tracker'!$B$5:$B$1004,"&lt;="&amp;$F$4))</f>
        <v>0</v>
      </c>
      <c r="M156" s="51" t="n">
        <f aca="false">IF($B156="","",SUMIFS('Post Tracker'!$BD$5:$BD$1004,'Post Tracker'!$U$5:$U$1004,$B156,'Post Tracker'!$B$5:$B$1004,"&gt;="&amp;$C$4,'Post Tracker'!$B$5:$B$1004,"&lt;="&amp;$F$4))</f>
        <v>0</v>
      </c>
      <c r="N156" s="51" t="n">
        <f aca="false">IF($B156="","",SUMIFS('Post Tracker'!$BF$5:$BF$1004,'Post Tracker'!$U$5:$U$1004,$B156,'Post Tracker'!$B$5:$B$1004,"&gt;="&amp;$C$4,'Post Tracker'!$B$5:$B$1004,"&lt;="&amp;$F$4))</f>
        <v>0</v>
      </c>
      <c r="O156" s="52" t="str">
        <f aca="false">IF($B156="","",IFERROR(M156/K156,""))</f>
        <v/>
      </c>
      <c r="P156" s="62" t="n">
        <f aca="false">IF($B156="","",SUMIFS('Post Tracker'!$BH$5:$BH$1004,'Post Tracker'!$U$5:$U$1004,$B156,'Post Tracker'!$B$5:$B$1004,"&gt;="&amp;$C$4,'Post Tracker'!$B$5:$B$1004,"&lt;="&amp;$F$4))</f>
        <v>0</v>
      </c>
    </row>
    <row r="157" customFormat="false" ht="15" hidden="false" customHeight="false" outlineLevel="0" collapsed="false">
      <c r="B157" s="50" t="str">
        <f aca="false">IF(Settings!$P$9="","",Settings!$P$9)</f>
        <v>Link Preview Card</v>
      </c>
      <c r="C157" s="51" t="n">
        <f aca="false">IF($B157="","",COUNTIFS('Post Tracker'!$U$5:$U$1004,$B157,'Post Tracker'!$B$5:$B$1004,"&gt;="&amp;$C$4,'Post Tracker'!$B$5:$B$1004,"&lt;="&amp;$F$4))</f>
        <v>0</v>
      </c>
      <c r="D157" s="51" t="n">
        <f aca="false">IF($B157="","",SUMIFS('Post Tracker'!$AC$5:$AC$1004,'Post Tracker'!$U$5:$U$1004,$B157,'Post Tracker'!$B$5:$B$1004,"&gt;="&amp;$C$4,'Post Tracker'!$B$5:$B$1004,"&lt;="&amp;$F$4))</f>
        <v>0</v>
      </c>
      <c r="E157" s="51" t="n">
        <f aca="false">IF($B157="","",SUMIFS('Post Tracker'!$AO$5:$AO$1004,'Post Tracker'!$U$5:$U$1004,$B157,'Post Tracker'!$B$5:$B$1004,"&gt;="&amp;$C$4,'Post Tracker'!$B$5:$B$1004,"&lt;="&amp;$F$4))</f>
        <v>0</v>
      </c>
      <c r="F157" s="51" t="n">
        <f aca="false">IF($B157="","",SUMIFS('Post Tracker'!$AR$5:$AR$1004,'Post Tracker'!$U$5:$U$1004,$B157,'Post Tracker'!$B$5:$B$1004,"&gt;="&amp;$C$4,'Post Tracker'!$B$5:$B$1004,"&lt;="&amp;$F$4))</f>
        <v>0</v>
      </c>
      <c r="G157" s="52" t="str">
        <f aca="false">IF($B157="","",IFERROR(SUMIFS('Post Tracker'!$BP$5:$BP$1004,'Post Tracker'!$U$5:$U$1004,$B157,'Post Tracker'!$B$5:$B$1004,"&gt;="&amp;$C$4,'Post Tracker'!$B$5:$B$1004,"&lt;="&amp;$F$4)/E157,""))</f>
        <v/>
      </c>
      <c r="H157" s="52" t="str">
        <f aca="false">IF($B157="","",IFERROR(F157/SUMIFS('Post Tracker'!$BQ$5:$BQ$1004,'Post Tracker'!$U$5:$U$1004,$B157,'Post Tracker'!$B$5:$B$1004,"&gt;="&amp;$C$4,'Post Tracker'!$B$5:$B$1004,"&lt;="&amp;$F$4),""))</f>
        <v/>
      </c>
      <c r="I157" s="51" t="n">
        <f aca="false">IF($B157="","",SUMIFS('Post Tracker'!$AJ$5:$AJ$1004,'Post Tracker'!$U$5:$U$1004,$B157,'Post Tracker'!$B$5:$B$1004,"&gt;="&amp;$C$4,'Post Tracker'!$B$5:$B$1004,"&lt;="&amp;$F$4))</f>
        <v>0</v>
      </c>
      <c r="J157" s="52" t="str">
        <f aca="false">IF($B157="","",IFERROR(I157/D157,""))</f>
        <v/>
      </c>
      <c r="K157" s="51" t="n">
        <f aca="false">IF($B157="","",SUMIFS('Post Tracker'!$AZ$5:$AZ$1004,'Post Tracker'!$U$5:$U$1004,$B157,'Post Tracker'!$B$5:$B$1004,"&gt;="&amp;$C$4,'Post Tracker'!$B$5:$B$1004,"&lt;="&amp;$F$4))</f>
        <v>0</v>
      </c>
      <c r="L157" s="51" t="n">
        <f aca="false">IF($B157="","",SUMIFS('Post Tracker'!$BB$5:$BB$1004,'Post Tracker'!$U$5:$U$1004,$B157,'Post Tracker'!$B$5:$B$1004,"&gt;="&amp;$C$4,'Post Tracker'!$B$5:$B$1004,"&lt;="&amp;$F$4))</f>
        <v>0</v>
      </c>
      <c r="M157" s="51" t="n">
        <f aca="false">IF($B157="","",SUMIFS('Post Tracker'!$BD$5:$BD$1004,'Post Tracker'!$U$5:$U$1004,$B157,'Post Tracker'!$B$5:$B$1004,"&gt;="&amp;$C$4,'Post Tracker'!$B$5:$B$1004,"&lt;="&amp;$F$4))</f>
        <v>0</v>
      </c>
      <c r="N157" s="51" t="n">
        <f aca="false">IF($B157="","",SUMIFS('Post Tracker'!$BF$5:$BF$1004,'Post Tracker'!$U$5:$U$1004,$B157,'Post Tracker'!$B$5:$B$1004,"&gt;="&amp;$C$4,'Post Tracker'!$B$5:$B$1004,"&lt;="&amp;$F$4))</f>
        <v>0</v>
      </c>
      <c r="O157" s="52" t="str">
        <f aca="false">IF($B157="","",IFERROR(M157/K157,""))</f>
        <v/>
      </c>
      <c r="P157" s="62" t="n">
        <f aca="false">IF($B157="","",SUMIFS('Post Tracker'!$BH$5:$BH$1004,'Post Tracker'!$U$5:$U$1004,$B157,'Post Tracker'!$B$5:$B$1004,"&gt;="&amp;$C$4,'Post Tracker'!$B$5:$B$1004,"&lt;="&amp;$F$4))</f>
        <v>0</v>
      </c>
    </row>
    <row r="158" customFormat="false" ht="15" hidden="false" customHeight="false" outlineLevel="0" collapsed="false">
      <c r="B158" s="50" t="str">
        <f aca="false">IF(Settings!$P$10="","",Settings!$P$10)</f>
        <v>No Link</v>
      </c>
      <c r="C158" s="51" t="n">
        <f aca="false">IF($B158="","",COUNTIFS('Post Tracker'!$U$5:$U$1004,$B158,'Post Tracker'!$B$5:$B$1004,"&gt;="&amp;$C$4,'Post Tracker'!$B$5:$B$1004,"&lt;="&amp;$F$4))</f>
        <v>7</v>
      </c>
      <c r="D158" s="51" t="n">
        <f aca="false">IF($B158="","",SUMIFS('Post Tracker'!$AC$5:$AC$1004,'Post Tracker'!$U$5:$U$1004,$B158,'Post Tracker'!$B$5:$B$1004,"&gt;="&amp;$C$4,'Post Tracker'!$B$5:$B$1004,"&lt;="&amp;$F$4))</f>
        <v>42</v>
      </c>
      <c r="E158" s="51" t="n">
        <f aca="false">IF($B158="","",SUMIFS('Post Tracker'!$AO$5:$AO$1004,'Post Tracker'!$U$5:$U$1004,$B158,'Post Tracker'!$B$5:$B$1004,"&gt;="&amp;$C$4,'Post Tracker'!$B$5:$B$1004,"&lt;="&amp;$F$4))</f>
        <v>42</v>
      </c>
      <c r="F158" s="51" t="n">
        <f aca="false">IF($B158="","",SUMIFS('Post Tracker'!$AR$5:$AR$1004,'Post Tracker'!$U$5:$U$1004,$B158,'Post Tracker'!$B$5:$B$1004,"&gt;="&amp;$C$4,'Post Tracker'!$B$5:$B$1004,"&lt;="&amp;$F$4))</f>
        <v>40</v>
      </c>
      <c r="G158" s="52" t="n">
        <f aca="false">IF($B158="","",IFERROR(SUMIFS('Post Tracker'!$BP$5:$BP$1004,'Post Tracker'!$U$5:$U$1004,$B158,'Post Tracker'!$B$5:$B$1004,"&gt;="&amp;$C$4,'Post Tracker'!$B$5:$B$1004,"&lt;="&amp;$F$4)/E158,""))</f>
        <v>0.0238095238095238</v>
      </c>
      <c r="H158" s="52" t="n">
        <f aca="false">IF($B158="","",IFERROR(F158/SUMIFS('Post Tracker'!$BQ$5:$BQ$1004,'Post Tracker'!$U$5:$U$1004,$B158,'Post Tracker'!$B$5:$B$1004,"&gt;="&amp;$C$4,'Post Tracker'!$B$5:$B$1004,"&lt;="&amp;$F$4),""))</f>
        <v>0.0049176297024834</v>
      </c>
      <c r="I158" s="51" t="n">
        <f aca="false">IF($B158="","",SUMIFS('Post Tracker'!$AJ$5:$AJ$1004,'Post Tracker'!$U$5:$U$1004,$B158,'Post Tracker'!$B$5:$B$1004,"&gt;="&amp;$C$4,'Post Tracker'!$B$5:$B$1004,"&lt;="&amp;$F$4))</f>
        <v>0</v>
      </c>
      <c r="J158" s="52" t="n">
        <f aca="false">IF($B158="","",IFERROR(I158/D158,""))</f>
        <v>0</v>
      </c>
      <c r="K158" s="51" t="n">
        <f aca="false">IF($B158="","",SUMIFS('Post Tracker'!$AZ$5:$AZ$1004,'Post Tracker'!$U$5:$U$1004,$B158,'Post Tracker'!$B$5:$B$1004,"&gt;="&amp;$C$4,'Post Tracker'!$B$5:$B$1004,"&lt;="&amp;$F$4))</f>
        <v>0</v>
      </c>
      <c r="L158" s="51" t="n">
        <f aca="false">IF($B158="","",SUMIFS('Post Tracker'!$BB$5:$BB$1004,'Post Tracker'!$U$5:$U$1004,$B158,'Post Tracker'!$B$5:$B$1004,"&gt;="&amp;$C$4,'Post Tracker'!$B$5:$B$1004,"&lt;="&amp;$F$4))</f>
        <v>0</v>
      </c>
      <c r="M158" s="51" t="n">
        <f aca="false">IF($B158="","",SUMIFS('Post Tracker'!$BD$5:$BD$1004,'Post Tracker'!$U$5:$U$1004,$B158,'Post Tracker'!$B$5:$B$1004,"&gt;="&amp;$C$4,'Post Tracker'!$B$5:$B$1004,"&lt;="&amp;$F$4))</f>
        <v>0</v>
      </c>
      <c r="N158" s="51" t="n">
        <f aca="false">IF($B158="","",SUMIFS('Post Tracker'!$BF$5:$BF$1004,'Post Tracker'!$U$5:$U$1004,$B158,'Post Tracker'!$B$5:$B$1004,"&gt;="&amp;$C$4,'Post Tracker'!$B$5:$B$1004,"&lt;="&amp;$F$4))</f>
        <v>0</v>
      </c>
      <c r="O158" s="52" t="str">
        <f aca="false">IF($B158="","",IFERROR(M158/K158,""))</f>
        <v/>
      </c>
      <c r="P158" s="62" t="n">
        <f aca="false">IF($B158="","",SUMIFS('Post Tracker'!$BH$5:$BH$1004,'Post Tracker'!$U$5:$U$1004,$B158,'Post Tracker'!$B$5:$B$1004,"&gt;="&amp;$C$4,'Post Tracker'!$B$5:$B$1004,"&lt;="&amp;$F$4))</f>
        <v>0</v>
      </c>
    </row>
    <row r="159" customFormat="false" ht="15" hidden="false" customHeight="false" outlineLevel="0" collapsed="false">
      <c r="B159" s="50" t="str">
        <f aca="false">IF(Settings!$P$11="","",Settings!$P$11)</f>
        <v/>
      </c>
      <c r="C159" s="51" t="str">
        <f aca="false">IF($B159="","",COUNTIFS('Post Tracker'!$U$5:$U$1004,$B159,'Post Tracker'!$B$5:$B$1004,"&gt;="&amp;$C$4,'Post Tracker'!$B$5:$B$1004,"&lt;="&amp;$F$4))</f>
        <v/>
      </c>
      <c r="D159" s="51" t="str">
        <f aca="false">IF($B159="","",SUMIFS('Post Tracker'!$AC$5:$AC$1004,'Post Tracker'!$U$5:$U$1004,$B159,'Post Tracker'!$B$5:$B$1004,"&gt;="&amp;$C$4,'Post Tracker'!$B$5:$B$1004,"&lt;="&amp;$F$4))</f>
        <v/>
      </c>
      <c r="E159" s="51" t="str">
        <f aca="false">IF($B159="","",SUMIFS('Post Tracker'!$AO$5:$AO$1004,'Post Tracker'!$U$5:$U$1004,$B159,'Post Tracker'!$B$5:$B$1004,"&gt;="&amp;$C$4,'Post Tracker'!$B$5:$B$1004,"&lt;="&amp;$F$4))</f>
        <v/>
      </c>
      <c r="F159" s="51" t="str">
        <f aca="false">IF($B159="","",SUMIFS('Post Tracker'!$AR$5:$AR$1004,'Post Tracker'!$U$5:$U$1004,$B159,'Post Tracker'!$B$5:$B$1004,"&gt;="&amp;$C$4,'Post Tracker'!$B$5:$B$1004,"&lt;="&amp;$F$4))</f>
        <v/>
      </c>
      <c r="G159" s="52" t="str">
        <f aca="false">IF($B159="","",IFERROR(SUMIFS('Post Tracker'!$BP$5:$BP$1004,'Post Tracker'!$U$5:$U$1004,$B159,'Post Tracker'!$B$5:$B$1004,"&gt;="&amp;$C$4,'Post Tracker'!$B$5:$B$1004,"&lt;="&amp;$F$4)/E159,""))</f>
        <v/>
      </c>
      <c r="H159" s="52" t="str">
        <f aca="false">IF($B159="","",IFERROR(F159/SUMIFS('Post Tracker'!$BQ$5:$BQ$1004,'Post Tracker'!$U$5:$U$1004,$B159,'Post Tracker'!$B$5:$B$1004,"&gt;="&amp;$C$4,'Post Tracker'!$B$5:$B$1004,"&lt;="&amp;$F$4),""))</f>
        <v/>
      </c>
      <c r="I159" s="51" t="str">
        <f aca="false">IF($B159="","",SUMIFS('Post Tracker'!$AJ$5:$AJ$1004,'Post Tracker'!$U$5:$U$1004,$B159,'Post Tracker'!$B$5:$B$1004,"&gt;="&amp;$C$4,'Post Tracker'!$B$5:$B$1004,"&lt;="&amp;$F$4))</f>
        <v/>
      </c>
      <c r="J159" s="52" t="str">
        <f aca="false">IF($B159="","",IFERROR(I159/D159,""))</f>
        <v/>
      </c>
      <c r="K159" s="51" t="str">
        <f aca="false">IF($B159="","",SUMIFS('Post Tracker'!$AZ$5:$AZ$1004,'Post Tracker'!$U$5:$U$1004,$B159,'Post Tracker'!$B$5:$B$1004,"&gt;="&amp;$C$4,'Post Tracker'!$B$5:$B$1004,"&lt;="&amp;$F$4))</f>
        <v/>
      </c>
      <c r="L159" s="51" t="str">
        <f aca="false">IF($B159="","",SUMIFS('Post Tracker'!$BB$5:$BB$1004,'Post Tracker'!$U$5:$U$1004,$B159,'Post Tracker'!$B$5:$B$1004,"&gt;="&amp;$C$4,'Post Tracker'!$B$5:$B$1004,"&lt;="&amp;$F$4))</f>
        <v/>
      </c>
      <c r="M159" s="51" t="str">
        <f aca="false">IF($B159="","",SUMIFS('Post Tracker'!$BD$5:$BD$1004,'Post Tracker'!$U$5:$U$1004,$B159,'Post Tracker'!$B$5:$B$1004,"&gt;="&amp;$C$4,'Post Tracker'!$B$5:$B$1004,"&lt;="&amp;$F$4))</f>
        <v/>
      </c>
      <c r="N159" s="51" t="str">
        <f aca="false">IF($B159="","",SUMIFS('Post Tracker'!$BF$5:$BF$1004,'Post Tracker'!$U$5:$U$1004,$B159,'Post Tracker'!$B$5:$B$1004,"&gt;="&amp;$C$4,'Post Tracker'!$B$5:$B$1004,"&lt;="&amp;$F$4))</f>
        <v/>
      </c>
      <c r="O159" s="52" t="str">
        <f aca="false">IF($B159="","",IFERROR(M159/K159,""))</f>
        <v/>
      </c>
      <c r="P159" s="62" t="str">
        <f aca="false">IF($B159="","",SUMIFS('Post Tracker'!$BH$5:$BH$1004,'Post Tracker'!$U$5:$U$1004,$B159,'Post Tracker'!$B$5:$B$1004,"&gt;="&amp;$C$4,'Post Tracker'!$B$5:$B$1004,"&lt;="&amp;$F$4))</f>
        <v/>
      </c>
    </row>
    <row r="160" customFormat="false" ht="15" hidden="false" customHeight="false" outlineLevel="0" collapsed="false">
      <c r="B160" s="50" t="str">
        <f aca="false">IF(Settings!$P$12="","",Settings!$P$12)</f>
        <v/>
      </c>
      <c r="C160" s="51" t="str">
        <f aca="false">IF($B160="","",COUNTIFS('Post Tracker'!$U$5:$U$1004,$B160,'Post Tracker'!$B$5:$B$1004,"&gt;="&amp;$C$4,'Post Tracker'!$B$5:$B$1004,"&lt;="&amp;$F$4))</f>
        <v/>
      </c>
      <c r="D160" s="51" t="str">
        <f aca="false">IF($B160="","",SUMIFS('Post Tracker'!$AC$5:$AC$1004,'Post Tracker'!$U$5:$U$1004,$B160,'Post Tracker'!$B$5:$B$1004,"&gt;="&amp;$C$4,'Post Tracker'!$B$5:$B$1004,"&lt;="&amp;$F$4))</f>
        <v/>
      </c>
      <c r="E160" s="51" t="str">
        <f aca="false">IF($B160="","",SUMIFS('Post Tracker'!$AO$5:$AO$1004,'Post Tracker'!$U$5:$U$1004,$B160,'Post Tracker'!$B$5:$B$1004,"&gt;="&amp;$C$4,'Post Tracker'!$B$5:$B$1004,"&lt;="&amp;$F$4))</f>
        <v/>
      </c>
      <c r="F160" s="51" t="str">
        <f aca="false">IF($B160="","",SUMIFS('Post Tracker'!$AR$5:$AR$1004,'Post Tracker'!$U$5:$U$1004,$B160,'Post Tracker'!$B$5:$B$1004,"&gt;="&amp;$C$4,'Post Tracker'!$B$5:$B$1004,"&lt;="&amp;$F$4))</f>
        <v/>
      </c>
      <c r="G160" s="52" t="str">
        <f aca="false">IF($B160="","",IFERROR(SUMIFS('Post Tracker'!$BP$5:$BP$1004,'Post Tracker'!$U$5:$U$1004,$B160,'Post Tracker'!$B$5:$B$1004,"&gt;="&amp;$C$4,'Post Tracker'!$B$5:$B$1004,"&lt;="&amp;$F$4)/E160,""))</f>
        <v/>
      </c>
      <c r="H160" s="52" t="str">
        <f aca="false">IF($B160="","",IFERROR(F160/SUMIFS('Post Tracker'!$BQ$5:$BQ$1004,'Post Tracker'!$U$5:$U$1004,$B160,'Post Tracker'!$B$5:$B$1004,"&gt;="&amp;$C$4,'Post Tracker'!$B$5:$B$1004,"&lt;="&amp;$F$4),""))</f>
        <v/>
      </c>
      <c r="I160" s="51" t="str">
        <f aca="false">IF($B160="","",SUMIFS('Post Tracker'!$AJ$5:$AJ$1004,'Post Tracker'!$U$5:$U$1004,$B160,'Post Tracker'!$B$5:$B$1004,"&gt;="&amp;$C$4,'Post Tracker'!$B$5:$B$1004,"&lt;="&amp;$F$4))</f>
        <v/>
      </c>
      <c r="J160" s="52" t="str">
        <f aca="false">IF($B160="","",IFERROR(I160/D160,""))</f>
        <v/>
      </c>
      <c r="K160" s="51" t="str">
        <f aca="false">IF($B160="","",SUMIFS('Post Tracker'!$AZ$5:$AZ$1004,'Post Tracker'!$U$5:$U$1004,$B160,'Post Tracker'!$B$5:$B$1004,"&gt;="&amp;$C$4,'Post Tracker'!$B$5:$B$1004,"&lt;="&amp;$F$4))</f>
        <v/>
      </c>
      <c r="L160" s="51" t="str">
        <f aca="false">IF($B160="","",SUMIFS('Post Tracker'!$BB$5:$BB$1004,'Post Tracker'!$U$5:$U$1004,$B160,'Post Tracker'!$B$5:$B$1004,"&gt;="&amp;$C$4,'Post Tracker'!$B$5:$B$1004,"&lt;="&amp;$F$4))</f>
        <v/>
      </c>
      <c r="M160" s="51" t="str">
        <f aca="false">IF($B160="","",SUMIFS('Post Tracker'!$BD$5:$BD$1004,'Post Tracker'!$U$5:$U$1004,$B160,'Post Tracker'!$B$5:$B$1004,"&gt;="&amp;$C$4,'Post Tracker'!$B$5:$B$1004,"&lt;="&amp;$F$4))</f>
        <v/>
      </c>
      <c r="N160" s="51" t="str">
        <f aca="false">IF($B160="","",SUMIFS('Post Tracker'!$BF$5:$BF$1004,'Post Tracker'!$U$5:$U$1004,$B160,'Post Tracker'!$B$5:$B$1004,"&gt;="&amp;$C$4,'Post Tracker'!$B$5:$B$1004,"&lt;="&amp;$F$4))</f>
        <v/>
      </c>
      <c r="O160" s="52" t="str">
        <f aca="false">IF($B160="","",IFERROR(M160/K160,""))</f>
        <v/>
      </c>
      <c r="P160" s="62" t="str">
        <f aca="false">IF($B160="","",SUMIFS('Post Tracker'!$BH$5:$BH$1004,'Post Tracker'!$U$5:$U$1004,$B160,'Post Tracker'!$B$5:$B$1004,"&gt;="&amp;$C$4,'Post Tracker'!$B$5:$B$1004,"&lt;="&amp;$F$4))</f>
        <v/>
      </c>
    </row>
    <row r="162" customFormat="false" ht="15" hidden="false" customHeight="false" outlineLevel="0" collapsed="false">
      <c r="B162" s="3" t="s">
        <v>267</v>
      </c>
    </row>
    <row r="163" customFormat="false" ht="30" hidden="false" customHeight="true" outlineLevel="0" collapsed="false">
      <c r="B163" s="60"/>
      <c r="C163" s="61" t="s">
        <v>253</v>
      </c>
      <c r="D163" s="61" t="s">
        <v>222</v>
      </c>
      <c r="E163" s="61" t="s">
        <v>254</v>
      </c>
      <c r="F163" s="61" t="s">
        <v>223</v>
      </c>
      <c r="G163" s="61" t="s">
        <v>250</v>
      </c>
      <c r="H163" s="61" t="s">
        <v>249</v>
      </c>
      <c r="I163" s="61" t="s">
        <v>106</v>
      </c>
      <c r="J163" s="61" t="s">
        <v>255</v>
      </c>
      <c r="K163" s="61" t="s">
        <v>256</v>
      </c>
      <c r="L163" s="61" t="s">
        <v>124</v>
      </c>
      <c r="M163" s="61" t="s">
        <v>126</v>
      </c>
      <c r="N163" s="61" t="s">
        <v>128</v>
      </c>
      <c r="O163" s="61" t="s">
        <v>134</v>
      </c>
      <c r="P163" s="61" t="s">
        <v>257</v>
      </c>
    </row>
    <row r="164" customFormat="false" ht="15" hidden="false" customHeight="false" outlineLevel="0" collapsed="false">
      <c r="B164" s="50" t="s">
        <v>268</v>
      </c>
      <c r="C164" s="51" t="n">
        <f aca="false">IF($B164="","",COUNTIFS('Post Tracker'!$D$5:$D$1004,$B164,'Post Tracker'!$B$5:$B$1004,"&gt;="&amp;$C$4,'Post Tracker'!$B$5:$B$1004,"&lt;="&amp;$F$4))</f>
        <v>4</v>
      </c>
      <c r="D164" s="51" t="n">
        <f aca="false">IF($B164="","",SUMIFS('Post Tracker'!$AC$5:$AC$1004,'Post Tracker'!$D$5:$D$1004,$B164,'Post Tracker'!$B$5:$B$1004,"&gt;="&amp;$C$4,'Post Tracker'!$B$5:$B$1004,"&lt;="&amp;$F$4))</f>
        <v>16</v>
      </c>
      <c r="E164" s="51" t="n">
        <f aca="false">IF($B164="","",SUMIFS('Post Tracker'!$AO$5:$AO$1004,'Post Tracker'!$D$5:$D$1004,$B164,'Post Tracker'!$B$5:$B$1004,"&gt;="&amp;$C$4,'Post Tracker'!$B$5:$B$1004,"&lt;="&amp;$F$4))</f>
        <v>16</v>
      </c>
      <c r="F164" s="51" t="n">
        <f aca="false">IF($B164="","",SUMIFS('Post Tracker'!$AR$5:$AR$1004,'Post Tracker'!$D$5:$D$1004,$B164,'Post Tracker'!$B$5:$B$1004,"&gt;="&amp;$C$4,'Post Tracker'!$B$5:$B$1004,"&lt;="&amp;$F$4))</f>
        <v>26</v>
      </c>
      <c r="G164" s="52" t="n">
        <f aca="false">IF($B164="","",IFERROR(SUMIFS('Post Tracker'!$BP$5:$BP$1004,'Post Tracker'!$D$5:$D$1004,$B164,'Post Tracker'!$B$5:$B$1004,"&gt;="&amp;$C$4,'Post Tracker'!$B$5:$B$1004,"&lt;="&amp;$F$4)/E164,""))</f>
        <v>0</v>
      </c>
      <c r="H164" s="52" t="n">
        <f aca="false">IF($B164="","",IFERROR(F164/SUMIFS('Post Tracker'!$BQ$5:$BQ$1004,'Post Tracker'!$D$5:$D$1004,$B164,'Post Tracker'!$B$5:$B$1004,"&gt;="&amp;$C$4,'Post Tracker'!$B$5:$B$1004,"&lt;="&amp;$F$4),""))</f>
        <v>0.00482643400779655</v>
      </c>
      <c r="I164" s="51" t="n">
        <f aca="false">IF($B164="","",SUMIFS('Post Tracker'!$AJ$5:$AJ$1004,'Post Tracker'!$D$5:$D$1004,$B164,'Post Tracker'!$B$5:$B$1004,"&gt;="&amp;$C$4,'Post Tracker'!$B$5:$B$1004,"&lt;="&amp;$F$4))</f>
        <v>0</v>
      </c>
      <c r="J164" s="52" t="n">
        <f aca="false">IF($B164="","",IFERROR(I164/D164,""))</f>
        <v>0</v>
      </c>
      <c r="K164" s="51" t="n">
        <f aca="false">IF($B164="","",SUMIFS('Post Tracker'!$AZ$5:$AZ$1004,'Post Tracker'!$D$5:$D$1004,$B164,'Post Tracker'!$B$5:$B$1004,"&gt;="&amp;$C$4,'Post Tracker'!$B$5:$B$1004,"&lt;="&amp;$F$4))</f>
        <v>0</v>
      </c>
      <c r="L164" s="51" t="n">
        <f aca="false">IF($B164="","",SUMIFS('Post Tracker'!$BB$5:$BB$1004,'Post Tracker'!$D$5:$D$1004,$B164,'Post Tracker'!$B$5:$B$1004,"&gt;="&amp;$C$4,'Post Tracker'!$B$5:$B$1004,"&lt;="&amp;$F$4))</f>
        <v>0</v>
      </c>
      <c r="M164" s="51" t="n">
        <f aca="false">IF($B164="","",SUMIFS('Post Tracker'!$BD$5:$BD$1004,'Post Tracker'!$D$5:$D$1004,$B164,'Post Tracker'!$B$5:$B$1004,"&gt;="&amp;$C$4,'Post Tracker'!$B$5:$B$1004,"&lt;="&amp;$F$4))</f>
        <v>0</v>
      </c>
      <c r="N164" s="51" t="n">
        <f aca="false">IF($B164="","",SUMIFS('Post Tracker'!$BF$5:$BF$1004,'Post Tracker'!$D$5:$D$1004,$B164,'Post Tracker'!$B$5:$B$1004,"&gt;="&amp;$C$4,'Post Tracker'!$B$5:$B$1004,"&lt;="&amp;$F$4))</f>
        <v>0</v>
      </c>
      <c r="O164" s="52" t="str">
        <f aca="false">IF($B164="","",IFERROR(M164/K164,""))</f>
        <v/>
      </c>
      <c r="P164" s="62" t="n">
        <f aca="false">IF($B164="","",SUMIFS('Post Tracker'!$BH$5:$BH$1004,'Post Tracker'!$D$5:$D$1004,$B164,'Post Tracker'!$B$5:$B$1004,"&gt;="&amp;$C$4,'Post Tracker'!$B$5:$B$1004,"&lt;="&amp;$F$4))</f>
        <v>0</v>
      </c>
    </row>
    <row r="165" customFormat="false" ht="15" hidden="false" customHeight="false" outlineLevel="0" collapsed="false">
      <c r="B165" s="50" t="s">
        <v>269</v>
      </c>
      <c r="C165" s="51" t="n">
        <f aca="false">IF($B165="","",COUNTIFS('Post Tracker'!$D$5:$D$1004,$B165,'Post Tracker'!$B$5:$B$1004,"&gt;="&amp;$C$4,'Post Tracker'!$B$5:$B$1004,"&lt;="&amp;$F$4))</f>
        <v>0</v>
      </c>
      <c r="D165" s="51" t="n">
        <f aca="false">IF($B165="","",SUMIFS('Post Tracker'!$AC$5:$AC$1004,'Post Tracker'!$D$5:$D$1004,$B165,'Post Tracker'!$B$5:$B$1004,"&gt;="&amp;$C$4,'Post Tracker'!$B$5:$B$1004,"&lt;="&amp;$F$4))</f>
        <v>0</v>
      </c>
      <c r="E165" s="51" t="n">
        <f aca="false">IF($B165="","",SUMIFS('Post Tracker'!$AO$5:$AO$1004,'Post Tracker'!$D$5:$D$1004,$B165,'Post Tracker'!$B$5:$B$1004,"&gt;="&amp;$C$4,'Post Tracker'!$B$5:$B$1004,"&lt;="&amp;$F$4))</f>
        <v>0</v>
      </c>
      <c r="F165" s="51" t="n">
        <f aca="false">IF($B165="","",SUMIFS('Post Tracker'!$AR$5:$AR$1004,'Post Tracker'!$D$5:$D$1004,$B165,'Post Tracker'!$B$5:$B$1004,"&gt;="&amp;$C$4,'Post Tracker'!$B$5:$B$1004,"&lt;="&amp;$F$4))</f>
        <v>0</v>
      </c>
      <c r="G165" s="52" t="str">
        <f aca="false">IF($B165="","",IFERROR(SUMIFS('Post Tracker'!$BP$5:$BP$1004,'Post Tracker'!$D$5:$D$1004,$B165,'Post Tracker'!$B$5:$B$1004,"&gt;="&amp;$C$4,'Post Tracker'!$B$5:$B$1004,"&lt;="&amp;$F$4)/E165,""))</f>
        <v/>
      </c>
      <c r="H165" s="52" t="str">
        <f aca="false">IF($B165="","",IFERROR(F165/SUMIFS('Post Tracker'!$BQ$5:$BQ$1004,'Post Tracker'!$D$5:$D$1004,$B165,'Post Tracker'!$B$5:$B$1004,"&gt;="&amp;$C$4,'Post Tracker'!$B$5:$B$1004,"&lt;="&amp;$F$4),""))</f>
        <v/>
      </c>
      <c r="I165" s="51" t="n">
        <f aca="false">IF($B165="","",SUMIFS('Post Tracker'!$AJ$5:$AJ$1004,'Post Tracker'!$D$5:$D$1004,$B165,'Post Tracker'!$B$5:$B$1004,"&gt;="&amp;$C$4,'Post Tracker'!$B$5:$B$1004,"&lt;="&amp;$F$4))</f>
        <v>0</v>
      </c>
      <c r="J165" s="52" t="str">
        <f aca="false">IF($B165="","",IFERROR(I165/D165,""))</f>
        <v/>
      </c>
      <c r="K165" s="51" t="n">
        <f aca="false">IF($B165="","",SUMIFS('Post Tracker'!$AZ$5:$AZ$1004,'Post Tracker'!$D$5:$D$1004,$B165,'Post Tracker'!$B$5:$B$1004,"&gt;="&amp;$C$4,'Post Tracker'!$B$5:$B$1004,"&lt;="&amp;$F$4))</f>
        <v>0</v>
      </c>
      <c r="L165" s="51" t="n">
        <f aca="false">IF($B165="","",SUMIFS('Post Tracker'!$BB$5:$BB$1004,'Post Tracker'!$D$5:$D$1004,$B165,'Post Tracker'!$B$5:$B$1004,"&gt;="&amp;$C$4,'Post Tracker'!$B$5:$B$1004,"&lt;="&amp;$F$4))</f>
        <v>0</v>
      </c>
      <c r="M165" s="51" t="n">
        <f aca="false">IF($B165="","",SUMIFS('Post Tracker'!$BD$5:$BD$1004,'Post Tracker'!$D$5:$D$1004,$B165,'Post Tracker'!$B$5:$B$1004,"&gt;="&amp;$C$4,'Post Tracker'!$B$5:$B$1004,"&lt;="&amp;$F$4))</f>
        <v>0</v>
      </c>
      <c r="N165" s="51" t="n">
        <f aca="false">IF($B165="","",SUMIFS('Post Tracker'!$BF$5:$BF$1004,'Post Tracker'!$D$5:$D$1004,$B165,'Post Tracker'!$B$5:$B$1004,"&gt;="&amp;$C$4,'Post Tracker'!$B$5:$B$1004,"&lt;="&amp;$F$4))</f>
        <v>0</v>
      </c>
      <c r="O165" s="52" t="str">
        <f aca="false">IF($B165="","",IFERROR(M165/K165,""))</f>
        <v/>
      </c>
      <c r="P165" s="62" t="n">
        <f aca="false">IF($B165="","",SUMIFS('Post Tracker'!$BH$5:$BH$1004,'Post Tracker'!$D$5:$D$1004,$B165,'Post Tracker'!$B$5:$B$1004,"&gt;="&amp;$C$4,'Post Tracker'!$B$5:$B$1004,"&lt;="&amp;$F$4))</f>
        <v>0</v>
      </c>
    </row>
    <row r="166" customFormat="false" ht="15" hidden="false" customHeight="false" outlineLevel="0" collapsed="false">
      <c r="B166" s="50" t="s">
        <v>270</v>
      </c>
      <c r="C166" s="51" t="n">
        <f aca="false">IF($B166="","",COUNTIFS('Post Tracker'!$D$5:$D$1004,$B166,'Post Tracker'!$B$5:$B$1004,"&gt;="&amp;$C$4,'Post Tracker'!$B$5:$B$1004,"&lt;="&amp;$F$4))</f>
        <v>3</v>
      </c>
      <c r="D166" s="51" t="n">
        <f aca="false">IF($B166="","",SUMIFS('Post Tracker'!$AC$5:$AC$1004,'Post Tracker'!$D$5:$D$1004,$B166,'Post Tracker'!$B$5:$B$1004,"&gt;="&amp;$C$4,'Post Tracker'!$B$5:$B$1004,"&lt;="&amp;$F$4))</f>
        <v>13</v>
      </c>
      <c r="E166" s="51" t="n">
        <f aca="false">IF($B166="","",SUMIFS('Post Tracker'!$AO$5:$AO$1004,'Post Tracker'!$D$5:$D$1004,$B166,'Post Tracker'!$B$5:$B$1004,"&gt;="&amp;$C$4,'Post Tracker'!$B$5:$B$1004,"&lt;="&amp;$F$4))</f>
        <v>13</v>
      </c>
      <c r="F166" s="51" t="n">
        <f aca="false">IF($B166="","",SUMIFS('Post Tracker'!$AR$5:$AR$1004,'Post Tracker'!$D$5:$D$1004,$B166,'Post Tracker'!$B$5:$B$1004,"&gt;="&amp;$C$4,'Post Tracker'!$B$5:$B$1004,"&lt;="&amp;$F$4))</f>
        <v>8</v>
      </c>
      <c r="G166" s="52" t="n">
        <f aca="false">IF($B166="","",IFERROR(SUMIFS('Post Tracker'!$BP$5:$BP$1004,'Post Tracker'!$D$5:$D$1004,$B166,'Post Tracker'!$B$5:$B$1004,"&gt;="&amp;$C$4,'Post Tracker'!$B$5:$B$1004,"&lt;="&amp;$F$4)/E166,""))</f>
        <v>0.0769230769230769</v>
      </c>
      <c r="H166" s="52" t="n">
        <f aca="false">IF($B166="","",IFERROR(F166/SUMIFS('Post Tracker'!$BQ$5:$BQ$1004,'Post Tracker'!$D$5:$D$1004,$B166,'Post Tracker'!$B$5:$B$1004,"&gt;="&amp;$C$4,'Post Tracker'!$B$5:$B$1004,"&lt;="&amp;$F$4),""))</f>
        <v>0.00291226792864944</v>
      </c>
      <c r="I166" s="51" t="n">
        <f aca="false">IF($B166="","",SUMIFS('Post Tracker'!$AJ$5:$AJ$1004,'Post Tracker'!$D$5:$D$1004,$B166,'Post Tracker'!$B$5:$B$1004,"&gt;="&amp;$C$4,'Post Tracker'!$B$5:$B$1004,"&lt;="&amp;$F$4))</f>
        <v>0</v>
      </c>
      <c r="J166" s="52" t="n">
        <f aca="false">IF($B166="","",IFERROR(I166/D166,""))</f>
        <v>0</v>
      </c>
      <c r="K166" s="51" t="n">
        <f aca="false">IF($B166="","",SUMIFS('Post Tracker'!$AZ$5:$AZ$1004,'Post Tracker'!$D$5:$D$1004,$B166,'Post Tracker'!$B$5:$B$1004,"&gt;="&amp;$C$4,'Post Tracker'!$B$5:$B$1004,"&lt;="&amp;$F$4))</f>
        <v>0</v>
      </c>
      <c r="L166" s="51" t="n">
        <f aca="false">IF($B166="","",SUMIFS('Post Tracker'!$BB$5:$BB$1004,'Post Tracker'!$D$5:$D$1004,$B166,'Post Tracker'!$B$5:$B$1004,"&gt;="&amp;$C$4,'Post Tracker'!$B$5:$B$1004,"&lt;="&amp;$F$4))</f>
        <v>0</v>
      </c>
      <c r="M166" s="51" t="n">
        <f aca="false">IF($B166="","",SUMIFS('Post Tracker'!$BD$5:$BD$1004,'Post Tracker'!$D$5:$D$1004,$B166,'Post Tracker'!$B$5:$B$1004,"&gt;="&amp;$C$4,'Post Tracker'!$B$5:$B$1004,"&lt;="&amp;$F$4))</f>
        <v>0</v>
      </c>
      <c r="N166" s="51" t="n">
        <f aca="false">IF($B166="","",SUMIFS('Post Tracker'!$BF$5:$BF$1004,'Post Tracker'!$D$5:$D$1004,$B166,'Post Tracker'!$B$5:$B$1004,"&gt;="&amp;$C$4,'Post Tracker'!$B$5:$B$1004,"&lt;="&amp;$F$4))</f>
        <v>0</v>
      </c>
      <c r="O166" s="52" t="str">
        <f aca="false">IF($B166="","",IFERROR(M166/K166,""))</f>
        <v/>
      </c>
      <c r="P166" s="62" t="n">
        <f aca="false">IF($B166="","",SUMIFS('Post Tracker'!$BH$5:$BH$1004,'Post Tracker'!$D$5:$D$1004,$B166,'Post Tracker'!$B$5:$B$1004,"&gt;="&amp;$C$4,'Post Tracker'!$B$5:$B$1004,"&lt;="&amp;$F$4))</f>
        <v>0</v>
      </c>
    </row>
    <row r="167" customFormat="false" ht="15" hidden="false" customHeight="false" outlineLevel="0" collapsed="false">
      <c r="B167" s="50" t="s">
        <v>271</v>
      </c>
      <c r="C167" s="51" t="n">
        <f aca="false">IF($B167="","",COUNTIFS('Post Tracker'!$D$5:$D$1004,$B167,'Post Tracker'!$B$5:$B$1004,"&gt;="&amp;$C$4,'Post Tracker'!$B$5:$B$1004,"&lt;="&amp;$F$4))</f>
        <v>0</v>
      </c>
      <c r="D167" s="51" t="n">
        <f aca="false">IF($B167="","",SUMIFS('Post Tracker'!$AC$5:$AC$1004,'Post Tracker'!$D$5:$D$1004,$B167,'Post Tracker'!$B$5:$B$1004,"&gt;="&amp;$C$4,'Post Tracker'!$B$5:$B$1004,"&lt;="&amp;$F$4))</f>
        <v>0</v>
      </c>
      <c r="E167" s="51" t="n">
        <f aca="false">IF($B167="","",SUMIFS('Post Tracker'!$AO$5:$AO$1004,'Post Tracker'!$D$5:$D$1004,$B167,'Post Tracker'!$B$5:$B$1004,"&gt;="&amp;$C$4,'Post Tracker'!$B$5:$B$1004,"&lt;="&amp;$F$4))</f>
        <v>0</v>
      </c>
      <c r="F167" s="51" t="n">
        <f aca="false">IF($B167="","",SUMIFS('Post Tracker'!$AR$5:$AR$1004,'Post Tracker'!$D$5:$D$1004,$B167,'Post Tracker'!$B$5:$B$1004,"&gt;="&amp;$C$4,'Post Tracker'!$B$5:$B$1004,"&lt;="&amp;$F$4))</f>
        <v>0</v>
      </c>
      <c r="G167" s="52" t="str">
        <f aca="false">IF($B167="","",IFERROR(SUMIFS('Post Tracker'!$BP$5:$BP$1004,'Post Tracker'!$D$5:$D$1004,$B167,'Post Tracker'!$B$5:$B$1004,"&gt;="&amp;$C$4,'Post Tracker'!$B$5:$B$1004,"&lt;="&amp;$F$4)/E167,""))</f>
        <v/>
      </c>
      <c r="H167" s="52" t="str">
        <f aca="false">IF($B167="","",IFERROR(F167/SUMIFS('Post Tracker'!$BQ$5:$BQ$1004,'Post Tracker'!$D$5:$D$1004,$B167,'Post Tracker'!$B$5:$B$1004,"&gt;="&amp;$C$4,'Post Tracker'!$B$5:$B$1004,"&lt;="&amp;$F$4),""))</f>
        <v/>
      </c>
      <c r="I167" s="51" t="n">
        <f aca="false">IF($B167="","",SUMIFS('Post Tracker'!$AJ$5:$AJ$1004,'Post Tracker'!$D$5:$D$1004,$B167,'Post Tracker'!$B$5:$B$1004,"&gt;="&amp;$C$4,'Post Tracker'!$B$5:$B$1004,"&lt;="&amp;$F$4))</f>
        <v>0</v>
      </c>
      <c r="J167" s="52" t="str">
        <f aca="false">IF($B167="","",IFERROR(I167/D167,""))</f>
        <v/>
      </c>
      <c r="K167" s="51" t="n">
        <f aca="false">IF($B167="","",SUMIFS('Post Tracker'!$AZ$5:$AZ$1004,'Post Tracker'!$D$5:$D$1004,$B167,'Post Tracker'!$B$5:$B$1004,"&gt;="&amp;$C$4,'Post Tracker'!$B$5:$B$1004,"&lt;="&amp;$F$4))</f>
        <v>0</v>
      </c>
      <c r="L167" s="51" t="n">
        <f aca="false">IF($B167="","",SUMIFS('Post Tracker'!$BB$5:$BB$1004,'Post Tracker'!$D$5:$D$1004,$B167,'Post Tracker'!$B$5:$B$1004,"&gt;="&amp;$C$4,'Post Tracker'!$B$5:$B$1004,"&lt;="&amp;$F$4))</f>
        <v>0</v>
      </c>
      <c r="M167" s="51" t="n">
        <f aca="false">IF($B167="","",SUMIFS('Post Tracker'!$BD$5:$BD$1004,'Post Tracker'!$D$5:$D$1004,$B167,'Post Tracker'!$B$5:$B$1004,"&gt;="&amp;$C$4,'Post Tracker'!$B$5:$B$1004,"&lt;="&amp;$F$4))</f>
        <v>0</v>
      </c>
      <c r="N167" s="51" t="n">
        <f aca="false">IF($B167="","",SUMIFS('Post Tracker'!$BF$5:$BF$1004,'Post Tracker'!$D$5:$D$1004,$B167,'Post Tracker'!$B$5:$B$1004,"&gt;="&amp;$C$4,'Post Tracker'!$B$5:$B$1004,"&lt;="&amp;$F$4))</f>
        <v>0</v>
      </c>
      <c r="O167" s="52" t="str">
        <f aca="false">IF($B167="","",IFERROR(M167/K167,""))</f>
        <v/>
      </c>
      <c r="P167" s="62" t="n">
        <f aca="false">IF($B167="","",SUMIFS('Post Tracker'!$BH$5:$BH$1004,'Post Tracker'!$D$5:$D$1004,$B167,'Post Tracker'!$B$5:$B$1004,"&gt;="&amp;$C$4,'Post Tracker'!$B$5:$B$1004,"&lt;="&amp;$F$4))</f>
        <v>0</v>
      </c>
    </row>
    <row r="168" customFormat="false" ht="15" hidden="false" customHeight="false" outlineLevel="0" collapsed="false">
      <c r="B168" s="50" t="s">
        <v>272</v>
      </c>
      <c r="C168" s="51" t="n">
        <f aca="false">IF($B168="","",COUNTIFS('Post Tracker'!$D$5:$D$1004,$B168,'Post Tracker'!$B$5:$B$1004,"&gt;="&amp;$C$4,'Post Tracker'!$B$5:$B$1004,"&lt;="&amp;$F$4))</f>
        <v>6</v>
      </c>
      <c r="D168" s="51" t="n">
        <f aca="false">IF($B168="","",SUMIFS('Post Tracker'!$AC$5:$AC$1004,'Post Tracker'!$D$5:$D$1004,$B168,'Post Tracker'!$B$5:$B$1004,"&gt;="&amp;$C$4,'Post Tracker'!$B$5:$B$1004,"&lt;="&amp;$F$4))</f>
        <v>53</v>
      </c>
      <c r="E168" s="51" t="n">
        <f aca="false">IF($B168="","",SUMIFS('Post Tracker'!$AO$5:$AO$1004,'Post Tracker'!$D$5:$D$1004,$B168,'Post Tracker'!$B$5:$B$1004,"&gt;="&amp;$C$4,'Post Tracker'!$B$5:$B$1004,"&lt;="&amp;$F$4))</f>
        <v>53</v>
      </c>
      <c r="F168" s="51" t="n">
        <f aca="false">IF($B168="","",SUMIFS('Post Tracker'!$AR$5:$AR$1004,'Post Tracker'!$D$5:$D$1004,$B168,'Post Tracker'!$B$5:$B$1004,"&gt;="&amp;$C$4,'Post Tracker'!$B$5:$B$1004,"&lt;="&amp;$F$4))</f>
        <v>21</v>
      </c>
      <c r="G168" s="52" t="n">
        <f aca="false">IF($B168="","",IFERROR(SUMIFS('Post Tracker'!$BP$5:$BP$1004,'Post Tracker'!$D$5:$D$1004,$B168,'Post Tracker'!$B$5:$B$1004,"&gt;="&amp;$C$4,'Post Tracker'!$B$5:$B$1004,"&lt;="&amp;$F$4)/E168,""))</f>
        <v>0.0188679245283019</v>
      </c>
      <c r="H168" s="52" t="n">
        <f aca="false">IF($B168="","",IFERROR(F168/SUMIFS('Post Tracker'!$BQ$5:$BQ$1004,'Post Tracker'!$D$5:$D$1004,$B168,'Post Tracker'!$B$5:$B$1004,"&gt;="&amp;$C$4,'Post Tracker'!$B$5:$B$1004,"&lt;="&amp;$F$4),""))</f>
        <v>0.00735809390329362</v>
      </c>
      <c r="I168" s="51" t="n">
        <f aca="false">IF($B168="","",SUMIFS('Post Tracker'!$AJ$5:$AJ$1004,'Post Tracker'!$D$5:$D$1004,$B168,'Post Tracker'!$B$5:$B$1004,"&gt;="&amp;$C$4,'Post Tracker'!$B$5:$B$1004,"&lt;="&amp;$F$4))</f>
        <v>0</v>
      </c>
      <c r="J168" s="52" t="n">
        <f aca="false">IF($B168="","",IFERROR(I168/D168,""))</f>
        <v>0</v>
      </c>
      <c r="K168" s="51" t="n">
        <f aca="false">IF($B168="","",SUMIFS('Post Tracker'!$AZ$5:$AZ$1004,'Post Tracker'!$D$5:$D$1004,$B168,'Post Tracker'!$B$5:$B$1004,"&gt;="&amp;$C$4,'Post Tracker'!$B$5:$B$1004,"&lt;="&amp;$F$4))</f>
        <v>0</v>
      </c>
      <c r="L168" s="51" t="n">
        <f aca="false">IF($B168="","",SUMIFS('Post Tracker'!$BB$5:$BB$1004,'Post Tracker'!$D$5:$D$1004,$B168,'Post Tracker'!$B$5:$B$1004,"&gt;="&amp;$C$4,'Post Tracker'!$B$5:$B$1004,"&lt;="&amp;$F$4))</f>
        <v>0</v>
      </c>
      <c r="M168" s="51" t="n">
        <f aca="false">IF($B168="","",SUMIFS('Post Tracker'!$BD$5:$BD$1004,'Post Tracker'!$D$5:$D$1004,$B168,'Post Tracker'!$B$5:$B$1004,"&gt;="&amp;$C$4,'Post Tracker'!$B$5:$B$1004,"&lt;="&amp;$F$4))</f>
        <v>0</v>
      </c>
      <c r="N168" s="51" t="n">
        <f aca="false">IF($B168="","",SUMIFS('Post Tracker'!$BF$5:$BF$1004,'Post Tracker'!$D$5:$D$1004,$B168,'Post Tracker'!$B$5:$B$1004,"&gt;="&amp;$C$4,'Post Tracker'!$B$5:$B$1004,"&lt;="&amp;$F$4))</f>
        <v>0</v>
      </c>
      <c r="O168" s="52" t="str">
        <f aca="false">IF($B168="","",IFERROR(M168/K168,""))</f>
        <v/>
      </c>
      <c r="P168" s="62" t="n">
        <f aca="false">IF($B168="","",SUMIFS('Post Tracker'!$BH$5:$BH$1004,'Post Tracker'!$D$5:$D$1004,$B168,'Post Tracker'!$B$5:$B$1004,"&gt;="&amp;$C$4,'Post Tracker'!$B$5:$B$1004,"&lt;="&amp;$F$4))</f>
        <v>0</v>
      </c>
    </row>
    <row r="169" customFormat="false" ht="15" hidden="false" customHeight="false" outlineLevel="0" collapsed="false">
      <c r="B169" s="50" t="s">
        <v>273</v>
      </c>
      <c r="C169" s="51" t="n">
        <f aca="false">IF($B169="","",COUNTIFS('Post Tracker'!$D$5:$D$1004,$B169,'Post Tracker'!$B$5:$B$1004,"&gt;="&amp;$C$4,'Post Tracker'!$B$5:$B$1004,"&lt;="&amp;$F$4))</f>
        <v>0</v>
      </c>
      <c r="D169" s="51" t="n">
        <f aca="false">IF($B169="","",SUMIFS('Post Tracker'!$AC$5:$AC$1004,'Post Tracker'!$D$5:$D$1004,$B169,'Post Tracker'!$B$5:$B$1004,"&gt;="&amp;$C$4,'Post Tracker'!$B$5:$B$1004,"&lt;="&amp;$F$4))</f>
        <v>0</v>
      </c>
      <c r="E169" s="51" t="n">
        <f aca="false">IF($B169="","",SUMIFS('Post Tracker'!$AO$5:$AO$1004,'Post Tracker'!$D$5:$D$1004,$B169,'Post Tracker'!$B$5:$B$1004,"&gt;="&amp;$C$4,'Post Tracker'!$B$5:$B$1004,"&lt;="&amp;$F$4))</f>
        <v>0</v>
      </c>
      <c r="F169" s="51" t="n">
        <f aca="false">IF($B169="","",SUMIFS('Post Tracker'!$AR$5:$AR$1004,'Post Tracker'!$D$5:$D$1004,$B169,'Post Tracker'!$B$5:$B$1004,"&gt;="&amp;$C$4,'Post Tracker'!$B$5:$B$1004,"&lt;="&amp;$F$4))</f>
        <v>0</v>
      </c>
      <c r="G169" s="52" t="str">
        <f aca="false">IF($B169="","",IFERROR(SUMIFS('Post Tracker'!$BP$5:$BP$1004,'Post Tracker'!$D$5:$D$1004,$B169,'Post Tracker'!$B$5:$B$1004,"&gt;="&amp;$C$4,'Post Tracker'!$B$5:$B$1004,"&lt;="&amp;$F$4)/E169,""))</f>
        <v/>
      </c>
      <c r="H169" s="52" t="str">
        <f aca="false">IF($B169="","",IFERROR(F169/SUMIFS('Post Tracker'!$BQ$5:$BQ$1004,'Post Tracker'!$D$5:$D$1004,$B169,'Post Tracker'!$B$5:$B$1004,"&gt;="&amp;$C$4,'Post Tracker'!$B$5:$B$1004,"&lt;="&amp;$F$4),""))</f>
        <v/>
      </c>
      <c r="I169" s="51" t="n">
        <f aca="false">IF($B169="","",SUMIFS('Post Tracker'!$AJ$5:$AJ$1004,'Post Tracker'!$D$5:$D$1004,$B169,'Post Tracker'!$B$5:$B$1004,"&gt;="&amp;$C$4,'Post Tracker'!$B$5:$B$1004,"&lt;="&amp;$F$4))</f>
        <v>0</v>
      </c>
      <c r="J169" s="52" t="str">
        <f aca="false">IF($B169="","",IFERROR(I169/D169,""))</f>
        <v/>
      </c>
      <c r="K169" s="51" t="n">
        <f aca="false">IF($B169="","",SUMIFS('Post Tracker'!$AZ$5:$AZ$1004,'Post Tracker'!$D$5:$D$1004,$B169,'Post Tracker'!$B$5:$B$1004,"&gt;="&amp;$C$4,'Post Tracker'!$B$5:$B$1004,"&lt;="&amp;$F$4))</f>
        <v>0</v>
      </c>
      <c r="L169" s="51" t="n">
        <f aca="false">IF($B169="","",SUMIFS('Post Tracker'!$BB$5:$BB$1004,'Post Tracker'!$D$5:$D$1004,$B169,'Post Tracker'!$B$5:$B$1004,"&gt;="&amp;$C$4,'Post Tracker'!$B$5:$B$1004,"&lt;="&amp;$F$4))</f>
        <v>0</v>
      </c>
      <c r="M169" s="51" t="n">
        <f aca="false">IF($B169="","",SUMIFS('Post Tracker'!$BD$5:$BD$1004,'Post Tracker'!$D$5:$D$1004,$B169,'Post Tracker'!$B$5:$B$1004,"&gt;="&amp;$C$4,'Post Tracker'!$B$5:$B$1004,"&lt;="&amp;$F$4))</f>
        <v>0</v>
      </c>
      <c r="N169" s="51" t="n">
        <f aca="false">IF($B169="","",SUMIFS('Post Tracker'!$BF$5:$BF$1004,'Post Tracker'!$D$5:$D$1004,$B169,'Post Tracker'!$B$5:$B$1004,"&gt;="&amp;$C$4,'Post Tracker'!$B$5:$B$1004,"&lt;="&amp;$F$4))</f>
        <v>0</v>
      </c>
      <c r="O169" s="52" t="str">
        <f aca="false">IF($B169="","",IFERROR(M169/K169,""))</f>
        <v/>
      </c>
      <c r="P169" s="62" t="n">
        <f aca="false">IF($B169="","",SUMIFS('Post Tracker'!$BH$5:$BH$1004,'Post Tracker'!$D$5:$D$1004,$B169,'Post Tracker'!$B$5:$B$1004,"&gt;="&amp;$C$4,'Post Tracker'!$B$5:$B$1004,"&lt;="&amp;$F$4))</f>
        <v>0</v>
      </c>
    </row>
    <row r="170" customFormat="false" ht="15" hidden="false" customHeight="false" outlineLevel="0" collapsed="false">
      <c r="B170" s="50" t="s">
        <v>274</v>
      </c>
      <c r="C170" s="51" t="n">
        <f aca="false">IF($B170="","",COUNTIFS('Post Tracker'!$D$5:$D$1004,$B170,'Post Tracker'!$B$5:$B$1004,"&gt;="&amp;$C$4,'Post Tracker'!$B$5:$B$1004,"&lt;="&amp;$F$4))</f>
        <v>0</v>
      </c>
      <c r="D170" s="51" t="n">
        <f aca="false">IF($B170="","",SUMIFS('Post Tracker'!$AC$5:$AC$1004,'Post Tracker'!$D$5:$D$1004,$B170,'Post Tracker'!$B$5:$B$1004,"&gt;="&amp;$C$4,'Post Tracker'!$B$5:$B$1004,"&lt;="&amp;$F$4))</f>
        <v>0</v>
      </c>
      <c r="E170" s="51" t="n">
        <f aca="false">IF($B170="","",SUMIFS('Post Tracker'!$AO$5:$AO$1004,'Post Tracker'!$D$5:$D$1004,$B170,'Post Tracker'!$B$5:$B$1004,"&gt;="&amp;$C$4,'Post Tracker'!$B$5:$B$1004,"&lt;="&amp;$F$4))</f>
        <v>0</v>
      </c>
      <c r="F170" s="51" t="n">
        <f aca="false">IF($B170="","",SUMIFS('Post Tracker'!$AR$5:$AR$1004,'Post Tracker'!$D$5:$D$1004,$B170,'Post Tracker'!$B$5:$B$1004,"&gt;="&amp;$C$4,'Post Tracker'!$B$5:$B$1004,"&lt;="&amp;$F$4))</f>
        <v>0</v>
      </c>
      <c r="G170" s="52" t="str">
        <f aca="false">IF($B170="","",IFERROR(SUMIFS('Post Tracker'!$BP$5:$BP$1004,'Post Tracker'!$D$5:$D$1004,$B170,'Post Tracker'!$B$5:$B$1004,"&gt;="&amp;$C$4,'Post Tracker'!$B$5:$B$1004,"&lt;="&amp;$F$4)/E170,""))</f>
        <v/>
      </c>
      <c r="H170" s="52" t="str">
        <f aca="false">IF($B170="","",IFERROR(F170/SUMIFS('Post Tracker'!$BQ$5:$BQ$1004,'Post Tracker'!$D$5:$D$1004,$B170,'Post Tracker'!$B$5:$B$1004,"&gt;="&amp;$C$4,'Post Tracker'!$B$5:$B$1004,"&lt;="&amp;$F$4),""))</f>
        <v/>
      </c>
      <c r="I170" s="51" t="n">
        <f aca="false">IF($B170="","",SUMIFS('Post Tracker'!$AJ$5:$AJ$1004,'Post Tracker'!$D$5:$D$1004,$B170,'Post Tracker'!$B$5:$B$1004,"&gt;="&amp;$C$4,'Post Tracker'!$B$5:$B$1004,"&lt;="&amp;$F$4))</f>
        <v>0</v>
      </c>
      <c r="J170" s="52" t="str">
        <f aca="false">IF($B170="","",IFERROR(I170/D170,""))</f>
        <v/>
      </c>
      <c r="K170" s="51" t="n">
        <f aca="false">IF($B170="","",SUMIFS('Post Tracker'!$AZ$5:$AZ$1004,'Post Tracker'!$D$5:$D$1004,$B170,'Post Tracker'!$B$5:$B$1004,"&gt;="&amp;$C$4,'Post Tracker'!$B$5:$B$1004,"&lt;="&amp;$F$4))</f>
        <v>0</v>
      </c>
      <c r="L170" s="51" t="n">
        <f aca="false">IF($B170="","",SUMIFS('Post Tracker'!$BB$5:$BB$1004,'Post Tracker'!$D$5:$D$1004,$B170,'Post Tracker'!$B$5:$B$1004,"&gt;="&amp;$C$4,'Post Tracker'!$B$5:$B$1004,"&lt;="&amp;$F$4))</f>
        <v>0</v>
      </c>
      <c r="M170" s="51" t="n">
        <f aca="false">IF($B170="","",SUMIFS('Post Tracker'!$BD$5:$BD$1004,'Post Tracker'!$D$5:$D$1004,$B170,'Post Tracker'!$B$5:$B$1004,"&gt;="&amp;$C$4,'Post Tracker'!$B$5:$B$1004,"&lt;="&amp;$F$4))</f>
        <v>0</v>
      </c>
      <c r="N170" s="51" t="n">
        <f aca="false">IF($B170="","",SUMIFS('Post Tracker'!$BF$5:$BF$1004,'Post Tracker'!$D$5:$D$1004,$B170,'Post Tracker'!$B$5:$B$1004,"&gt;="&amp;$C$4,'Post Tracker'!$B$5:$B$1004,"&lt;="&amp;$F$4))</f>
        <v>0</v>
      </c>
      <c r="O170" s="52" t="str">
        <f aca="false">IF($B170="","",IFERROR(M170/K170,""))</f>
        <v/>
      </c>
      <c r="P170" s="62" t="n">
        <f aca="false">IF($B170="","",SUMIFS('Post Tracker'!$BH$5:$BH$1004,'Post Tracker'!$D$5:$D$1004,$B170,'Post Tracker'!$B$5:$B$1004,"&gt;="&amp;$C$4,'Post Tracker'!$B$5:$B$1004,"&lt;="&amp;$F$4))</f>
        <v>0</v>
      </c>
    </row>
    <row r="172" customFormat="false" ht="15" hidden="false" customHeight="false" outlineLevel="0" collapsed="false">
      <c r="B172" s="3" t="s">
        <v>275</v>
      </c>
    </row>
    <row r="173" customFormat="false" ht="30" hidden="false" customHeight="true" outlineLevel="0" collapsed="false">
      <c r="B173" s="60"/>
      <c r="C173" s="61" t="s">
        <v>253</v>
      </c>
      <c r="D173" s="61" t="s">
        <v>222</v>
      </c>
      <c r="E173" s="61" t="s">
        <v>254</v>
      </c>
      <c r="F173" s="61" t="s">
        <v>223</v>
      </c>
      <c r="G173" s="61" t="s">
        <v>250</v>
      </c>
      <c r="H173" s="61" t="s">
        <v>249</v>
      </c>
      <c r="I173" s="61" t="s">
        <v>106</v>
      </c>
      <c r="J173" s="61" t="s">
        <v>255</v>
      </c>
      <c r="K173" s="61" t="s">
        <v>256</v>
      </c>
      <c r="L173" s="61" t="s">
        <v>124</v>
      </c>
      <c r="M173" s="61" t="s">
        <v>126</v>
      </c>
      <c r="N173" s="61" t="s">
        <v>128</v>
      </c>
      <c r="O173" s="61" t="s">
        <v>134</v>
      </c>
      <c r="P173" s="61" t="s">
        <v>257</v>
      </c>
    </row>
    <row r="174" customFormat="false" ht="15" hidden="false" customHeight="false" outlineLevel="0" collapsed="false">
      <c r="B174" s="50" t="str">
        <f aca="false">IF(Settings!$O$5="","",Settings!$O$5)</f>
        <v>Organic</v>
      </c>
      <c r="C174" s="51" t="n">
        <f aca="false">IF($B174="","",COUNTIFS('Post Tracker'!$P$5:$P$1004,$B174,'Post Tracker'!$B$5:$B$1004,"&gt;="&amp;$C$4,'Post Tracker'!$B$5:$B$1004,"&lt;="&amp;$F$4))</f>
        <v>13</v>
      </c>
      <c r="D174" s="51" t="n">
        <f aca="false">IF($B174="","",SUMIFS('Post Tracker'!$AC$5:$AC$1004,'Post Tracker'!$P$5:$P$1004,$B174,'Post Tracker'!$B$5:$B$1004,"&gt;="&amp;$C$4,'Post Tracker'!$B$5:$B$1004,"&lt;="&amp;$F$4))</f>
        <v>82</v>
      </c>
      <c r="E174" s="51" t="n">
        <f aca="false">IF($B174="","",SUMIFS('Post Tracker'!$AO$5:$AO$1004,'Post Tracker'!$P$5:$P$1004,$B174,'Post Tracker'!$B$5:$B$1004,"&gt;="&amp;$C$4,'Post Tracker'!$B$5:$B$1004,"&lt;="&amp;$F$4))</f>
        <v>82</v>
      </c>
      <c r="F174" s="51" t="n">
        <f aca="false">IF($B174="","",SUMIFS('Post Tracker'!$AR$5:$AR$1004,'Post Tracker'!$P$5:$P$1004,$B174,'Post Tracker'!$B$5:$B$1004,"&gt;="&amp;$C$4,'Post Tracker'!$B$5:$B$1004,"&lt;="&amp;$F$4))</f>
        <v>55</v>
      </c>
      <c r="G174" s="52" t="n">
        <f aca="false">IF($B174="","",IFERROR(SUMIFS('Post Tracker'!$BP$5:$BP$1004,'Post Tracker'!$P$5:$P$1004,$B174,'Post Tracker'!$B$5:$B$1004,"&gt;="&amp;$C$4,'Post Tracker'!$B$5:$B$1004,"&lt;="&amp;$F$4)/E174,""))</f>
        <v>0.024390243902439</v>
      </c>
      <c r="H174" s="52" t="n">
        <f aca="false">IF($B174="","",IFERROR(F174/SUMIFS('Post Tracker'!$BQ$5:$BQ$1004,'Post Tracker'!$P$5:$P$1004,$B174,'Post Tracker'!$B$5:$B$1004,"&gt;="&amp;$C$4,'Post Tracker'!$B$5:$B$1004,"&lt;="&amp;$F$4),""))</f>
        <v>0.00500546050236622</v>
      </c>
      <c r="I174" s="51" t="n">
        <f aca="false">IF($B174="","",SUMIFS('Post Tracker'!$AJ$5:$AJ$1004,'Post Tracker'!$P$5:$P$1004,$B174,'Post Tracker'!$B$5:$B$1004,"&gt;="&amp;$C$4,'Post Tracker'!$B$5:$B$1004,"&lt;="&amp;$F$4))</f>
        <v>0</v>
      </c>
      <c r="J174" s="52" t="n">
        <f aca="false">IF($B174="","",IFERROR(I174/D174,""))</f>
        <v>0</v>
      </c>
      <c r="K174" s="51" t="n">
        <f aca="false">IF($B174="","",SUMIFS('Post Tracker'!$AZ$5:$AZ$1004,'Post Tracker'!$P$5:$P$1004,$B174,'Post Tracker'!$B$5:$B$1004,"&gt;="&amp;$C$4,'Post Tracker'!$B$5:$B$1004,"&lt;="&amp;$F$4))</f>
        <v>0</v>
      </c>
      <c r="L174" s="51" t="n">
        <f aca="false">IF($B174="","",SUMIFS('Post Tracker'!$BB$5:$BB$1004,'Post Tracker'!$P$5:$P$1004,$B174,'Post Tracker'!$B$5:$B$1004,"&gt;="&amp;$C$4,'Post Tracker'!$B$5:$B$1004,"&lt;="&amp;$F$4))</f>
        <v>0</v>
      </c>
      <c r="M174" s="51" t="n">
        <f aca="false">IF($B174="","",SUMIFS('Post Tracker'!$BD$5:$BD$1004,'Post Tracker'!$P$5:$P$1004,$B174,'Post Tracker'!$B$5:$B$1004,"&gt;="&amp;$C$4,'Post Tracker'!$B$5:$B$1004,"&lt;="&amp;$F$4))</f>
        <v>0</v>
      </c>
      <c r="N174" s="51" t="n">
        <f aca="false">IF($B174="","",SUMIFS('Post Tracker'!$BF$5:$BF$1004,'Post Tracker'!$P$5:$P$1004,$B174,'Post Tracker'!$B$5:$B$1004,"&gt;="&amp;$C$4,'Post Tracker'!$B$5:$B$1004,"&lt;="&amp;$F$4))</f>
        <v>0</v>
      </c>
      <c r="O174" s="52" t="str">
        <f aca="false">IF($B174="","",IFERROR(M174/K174,""))</f>
        <v/>
      </c>
      <c r="P174" s="62" t="n">
        <f aca="false">IF($B174="","",SUMIFS('Post Tracker'!$BH$5:$BH$1004,'Post Tracker'!$P$5:$P$1004,$B174,'Post Tracker'!$B$5:$B$1004,"&gt;="&amp;$C$4,'Post Tracker'!$B$5:$B$1004,"&lt;="&amp;$F$4))</f>
        <v>0</v>
      </c>
    </row>
    <row r="175" customFormat="false" ht="15" hidden="false" customHeight="false" outlineLevel="0" collapsed="false">
      <c r="B175" s="50" t="str">
        <f aca="false">IF(Settings!$O$6="","",Settings!$O$6)</f>
        <v>Boosted</v>
      </c>
      <c r="C175" s="51" t="n">
        <f aca="false">IF($B175="","",COUNTIFS('Post Tracker'!$P$5:$P$1004,$B175,'Post Tracker'!$B$5:$B$1004,"&gt;="&amp;$C$4,'Post Tracker'!$B$5:$B$1004,"&lt;="&amp;$F$4))</f>
        <v>0</v>
      </c>
      <c r="D175" s="51" t="n">
        <f aca="false">IF($B175="","",SUMIFS('Post Tracker'!$AC$5:$AC$1004,'Post Tracker'!$P$5:$P$1004,$B175,'Post Tracker'!$B$5:$B$1004,"&gt;="&amp;$C$4,'Post Tracker'!$B$5:$B$1004,"&lt;="&amp;$F$4))</f>
        <v>0</v>
      </c>
      <c r="E175" s="51" t="n">
        <f aca="false">IF($B175="","",SUMIFS('Post Tracker'!$AO$5:$AO$1004,'Post Tracker'!$P$5:$P$1004,$B175,'Post Tracker'!$B$5:$B$1004,"&gt;="&amp;$C$4,'Post Tracker'!$B$5:$B$1004,"&lt;="&amp;$F$4))</f>
        <v>0</v>
      </c>
      <c r="F175" s="51" t="n">
        <f aca="false">IF($B175="","",SUMIFS('Post Tracker'!$AR$5:$AR$1004,'Post Tracker'!$P$5:$P$1004,$B175,'Post Tracker'!$B$5:$B$1004,"&gt;="&amp;$C$4,'Post Tracker'!$B$5:$B$1004,"&lt;="&amp;$F$4))</f>
        <v>0</v>
      </c>
      <c r="G175" s="52" t="str">
        <f aca="false">IF($B175="","",IFERROR(SUMIFS('Post Tracker'!$BP$5:$BP$1004,'Post Tracker'!$P$5:$P$1004,$B175,'Post Tracker'!$B$5:$B$1004,"&gt;="&amp;$C$4,'Post Tracker'!$B$5:$B$1004,"&lt;="&amp;$F$4)/E175,""))</f>
        <v/>
      </c>
      <c r="H175" s="52" t="str">
        <f aca="false">IF($B175="","",IFERROR(F175/SUMIFS('Post Tracker'!$BQ$5:$BQ$1004,'Post Tracker'!$P$5:$P$1004,$B175,'Post Tracker'!$B$5:$B$1004,"&gt;="&amp;$C$4,'Post Tracker'!$B$5:$B$1004,"&lt;="&amp;$F$4),""))</f>
        <v/>
      </c>
      <c r="I175" s="51" t="n">
        <f aca="false">IF($B175="","",SUMIFS('Post Tracker'!$AJ$5:$AJ$1004,'Post Tracker'!$P$5:$P$1004,$B175,'Post Tracker'!$B$5:$B$1004,"&gt;="&amp;$C$4,'Post Tracker'!$B$5:$B$1004,"&lt;="&amp;$F$4))</f>
        <v>0</v>
      </c>
      <c r="J175" s="52" t="str">
        <f aca="false">IF($B175="","",IFERROR(I175/D175,""))</f>
        <v/>
      </c>
      <c r="K175" s="51" t="n">
        <f aca="false">IF($B175="","",SUMIFS('Post Tracker'!$AZ$5:$AZ$1004,'Post Tracker'!$P$5:$P$1004,$B175,'Post Tracker'!$B$5:$B$1004,"&gt;="&amp;$C$4,'Post Tracker'!$B$5:$B$1004,"&lt;="&amp;$F$4))</f>
        <v>0</v>
      </c>
      <c r="L175" s="51" t="n">
        <f aca="false">IF($B175="","",SUMIFS('Post Tracker'!$BB$5:$BB$1004,'Post Tracker'!$P$5:$P$1004,$B175,'Post Tracker'!$B$5:$B$1004,"&gt;="&amp;$C$4,'Post Tracker'!$B$5:$B$1004,"&lt;="&amp;$F$4))</f>
        <v>0</v>
      </c>
      <c r="M175" s="51" t="n">
        <f aca="false">IF($B175="","",SUMIFS('Post Tracker'!$BD$5:$BD$1004,'Post Tracker'!$P$5:$P$1004,$B175,'Post Tracker'!$B$5:$B$1004,"&gt;="&amp;$C$4,'Post Tracker'!$B$5:$B$1004,"&lt;="&amp;$F$4))</f>
        <v>0</v>
      </c>
      <c r="N175" s="51" t="n">
        <f aca="false">IF($B175="","",SUMIFS('Post Tracker'!$BF$5:$BF$1004,'Post Tracker'!$P$5:$P$1004,$B175,'Post Tracker'!$B$5:$B$1004,"&gt;="&amp;$C$4,'Post Tracker'!$B$5:$B$1004,"&lt;="&amp;$F$4))</f>
        <v>0</v>
      </c>
      <c r="O175" s="52" t="str">
        <f aca="false">IF($B175="","",IFERROR(M175/K175,""))</f>
        <v/>
      </c>
      <c r="P175" s="62" t="n">
        <f aca="false">IF($B175="","",SUMIFS('Post Tracker'!$BH$5:$BH$1004,'Post Tracker'!$P$5:$P$1004,$B175,'Post Tracker'!$B$5:$B$1004,"&gt;="&amp;$C$4,'Post Tracker'!$B$5:$B$1004,"&lt;="&amp;$F$4))</f>
        <v>0</v>
      </c>
    </row>
    <row r="176" customFormat="false" ht="15" hidden="false" customHeight="false" outlineLevel="0" collapsed="false">
      <c r="B176" s="50" t="str">
        <f aca="false">IF(Settings!$O$7="","",Settings!$O$7)</f>
        <v>Paid Ad</v>
      </c>
      <c r="C176" s="51" t="n">
        <f aca="false">IF($B176="","",COUNTIFS('Post Tracker'!$P$5:$P$1004,$B176,'Post Tracker'!$B$5:$B$1004,"&gt;="&amp;$C$4,'Post Tracker'!$B$5:$B$1004,"&lt;="&amp;$F$4))</f>
        <v>0</v>
      </c>
      <c r="D176" s="51" t="n">
        <f aca="false">IF($B176="","",SUMIFS('Post Tracker'!$AC$5:$AC$1004,'Post Tracker'!$P$5:$P$1004,$B176,'Post Tracker'!$B$5:$B$1004,"&gt;="&amp;$C$4,'Post Tracker'!$B$5:$B$1004,"&lt;="&amp;$F$4))</f>
        <v>0</v>
      </c>
      <c r="E176" s="51" t="n">
        <f aca="false">IF($B176="","",SUMIFS('Post Tracker'!$AO$5:$AO$1004,'Post Tracker'!$P$5:$P$1004,$B176,'Post Tracker'!$B$5:$B$1004,"&gt;="&amp;$C$4,'Post Tracker'!$B$5:$B$1004,"&lt;="&amp;$F$4))</f>
        <v>0</v>
      </c>
      <c r="F176" s="51" t="n">
        <f aca="false">IF($B176="","",SUMIFS('Post Tracker'!$AR$5:$AR$1004,'Post Tracker'!$P$5:$P$1004,$B176,'Post Tracker'!$B$5:$B$1004,"&gt;="&amp;$C$4,'Post Tracker'!$B$5:$B$1004,"&lt;="&amp;$F$4))</f>
        <v>0</v>
      </c>
      <c r="G176" s="52" t="str">
        <f aca="false">IF($B176="","",IFERROR(SUMIFS('Post Tracker'!$BP$5:$BP$1004,'Post Tracker'!$P$5:$P$1004,$B176,'Post Tracker'!$B$5:$B$1004,"&gt;="&amp;$C$4,'Post Tracker'!$B$5:$B$1004,"&lt;="&amp;$F$4)/E176,""))</f>
        <v/>
      </c>
      <c r="H176" s="52" t="str">
        <f aca="false">IF($B176="","",IFERROR(F176/SUMIFS('Post Tracker'!$BQ$5:$BQ$1004,'Post Tracker'!$P$5:$P$1004,$B176,'Post Tracker'!$B$5:$B$1004,"&gt;="&amp;$C$4,'Post Tracker'!$B$5:$B$1004,"&lt;="&amp;$F$4),""))</f>
        <v/>
      </c>
      <c r="I176" s="51" t="n">
        <f aca="false">IF($B176="","",SUMIFS('Post Tracker'!$AJ$5:$AJ$1004,'Post Tracker'!$P$5:$P$1004,$B176,'Post Tracker'!$B$5:$B$1004,"&gt;="&amp;$C$4,'Post Tracker'!$B$5:$B$1004,"&lt;="&amp;$F$4))</f>
        <v>0</v>
      </c>
      <c r="J176" s="52" t="str">
        <f aca="false">IF($B176="","",IFERROR(I176/D176,""))</f>
        <v/>
      </c>
      <c r="K176" s="51" t="n">
        <f aca="false">IF($B176="","",SUMIFS('Post Tracker'!$AZ$5:$AZ$1004,'Post Tracker'!$P$5:$P$1004,$B176,'Post Tracker'!$B$5:$B$1004,"&gt;="&amp;$C$4,'Post Tracker'!$B$5:$B$1004,"&lt;="&amp;$F$4))</f>
        <v>0</v>
      </c>
      <c r="L176" s="51" t="n">
        <f aca="false">IF($B176="","",SUMIFS('Post Tracker'!$BB$5:$BB$1004,'Post Tracker'!$P$5:$P$1004,$B176,'Post Tracker'!$B$5:$B$1004,"&gt;="&amp;$C$4,'Post Tracker'!$B$5:$B$1004,"&lt;="&amp;$F$4))</f>
        <v>0</v>
      </c>
      <c r="M176" s="51" t="n">
        <f aca="false">IF($B176="","",SUMIFS('Post Tracker'!$BD$5:$BD$1004,'Post Tracker'!$P$5:$P$1004,$B176,'Post Tracker'!$B$5:$B$1004,"&gt;="&amp;$C$4,'Post Tracker'!$B$5:$B$1004,"&lt;="&amp;$F$4))</f>
        <v>0</v>
      </c>
      <c r="N176" s="51" t="n">
        <f aca="false">IF($B176="","",SUMIFS('Post Tracker'!$BF$5:$BF$1004,'Post Tracker'!$P$5:$P$1004,$B176,'Post Tracker'!$B$5:$B$1004,"&gt;="&amp;$C$4,'Post Tracker'!$B$5:$B$1004,"&lt;="&amp;$F$4))</f>
        <v>0</v>
      </c>
      <c r="O176" s="52" t="str">
        <f aca="false">IF($B176="","",IFERROR(M176/K176,""))</f>
        <v/>
      </c>
      <c r="P176" s="62" t="n">
        <f aca="false">IF($B176="","",SUMIFS('Post Tracker'!$BH$5:$BH$1004,'Post Tracker'!$P$5:$P$1004,$B176,'Post Tracker'!$B$5:$B$1004,"&gt;="&amp;$C$4,'Post Tracker'!$B$5:$B$1004,"&lt;="&amp;$F$4))</f>
        <v>0</v>
      </c>
    </row>
    <row r="177" customFormat="false" ht="15" hidden="false" customHeight="false" outlineLevel="0" collapsed="false">
      <c r="B177" s="50" t="str">
        <f aca="false">IF(Settings!$O$8="","",Settings!$O$8)</f>
        <v/>
      </c>
      <c r="C177" s="51" t="str">
        <f aca="false">IF($B177="","",COUNTIFS('Post Tracker'!$P$5:$P$1004,$B177,'Post Tracker'!$B$5:$B$1004,"&gt;="&amp;$C$4,'Post Tracker'!$B$5:$B$1004,"&lt;="&amp;$F$4))</f>
        <v/>
      </c>
      <c r="D177" s="51" t="str">
        <f aca="false">IF($B177="","",SUMIFS('Post Tracker'!$AC$5:$AC$1004,'Post Tracker'!$P$5:$P$1004,$B177,'Post Tracker'!$B$5:$B$1004,"&gt;="&amp;$C$4,'Post Tracker'!$B$5:$B$1004,"&lt;="&amp;$F$4))</f>
        <v/>
      </c>
      <c r="E177" s="51" t="str">
        <f aca="false">IF($B177="","",SUMIFS('Post Tracker'!$AO$5:$AO$1004,'Post Tracker'!$P$5:$P$1004,$B177,'Post Tracker'!$B$5:$B$1004,"&gt;="&amp;$C$4,'Post Tracker'!$B$5:$B$1004,"&lt;="&amp;$F$4))</f>
        <v/>
      </c>
      <c r="F177" s="51" t="str">
        <f aca="false">IF($B177="","",SUMIFS('Post Tracker'!$AR$5:$AR$1004,'Post Tracker'!$P$5:$P$1004,$B177,'Post Tracker'!$B$5:$B$1004,"&gt;="&amp;$C$4,'Post Tracker'!$B$5:$B$1004,"&lt;="&amp;$F$4))</f>
        <v/>
      </c>
      <c r="G177" s="52" t="str">
        <f aca="false">IF($B177="","",IFERROR(SUMIFS('Post Tracker'!$BP$5:$BP$1004,'Post Tracker'!$P$5:$P$1004,$B177,'Post Tracker'!$B$5:$B$1004,"&gt;="&amp;$C$4,'Post Tracker'!$B$5:$B$1004,"&lt;="&amp;$F$4)/E177,""))</f>
        <v/>
      </c>
      <c r="H177" s="52" t="str">
        <f aca="false">IF($B177="","",IFERROR(F177/SUMIFS('Post Tracker'!$BQ$5:$BQ$1004,'Post Tracker'!$P$5:$P$1004,$B177,'Post Tracker'!$B$5:$B$1004,"&gt;="&amp;$C$4,'Post Tracker'!$B$5:$B$1004,"&lt;="&amp;$F$4),""))</f>
        <v/>
      </c>
      <c r="I177" s="51" t="str">
        <f aca="false">IF($B177="","",SUMIFS('Post Tracker'!$AJ$5:$AJ$1004,'Post Tracker'!$P$5:$P$1004,$B177,'Post Tracker'!$B$5:$B$1004,"&gt;="&amp;$C$4,'Post Tracker'!$B$5:$B$1004,"&lt;="&amp;$F$4))</f>
        <v/>
      </c>
      <c r="J177" s="52" t="str">
        <f aca="false">IF($B177="","",IFERROR(I177/D177,""))</f>
        <v/>
      </c>
      <c r="K177" s="51" t="str">
        <f aca="false">IF($B177="","",SUMIFS('Post Tracker'!$AZ$5:$AZ$1004,'Post Tracker'!$P$5:$P$1004,$B177,'Post Tracker'!$B$5:$B$1004,"&gt;="&amp;$C$4,'Post Tracker'!$B$5:$B$1004,"&lt;="&amp;$F$4))</f>
        <v/>
      </c>
      <c r="L177" s="51" t="str">
        <f aca="false">IF($B177="","",SUMIFS('Post Tracker'!$BB$5:$BB$1004,'Post Tracker'!$P$5:$P$1004,$B177,'Post Tracker'!$B$5:$B$1004,"&gt;="&amp;$C$4,'Post Tracker'!$B$5:$B$1004,"&lt;="&amp;$F$4))</f>
        <v/>
      </c>
      <c r="M177" s="51" t="str">
        <f aca="false">IF($B177="","",SUMIFS('Post Tracker'!$BD$5:$BD$1004,'Post Tracker'!$P$5:$P$1004,$B177,'Post Tracker'!$B$5:$B$1004,"&gt;="&amp;$C$4,'Post Tracker'!$B$5:$B$1004,"&lt;="&amp;$F$4))</f>
        <v/>
      </c>
      <c r="N177" s="51" t="str">
        <f aca="false">IF($B177="","",SUMIFS('Post Tracker'!$BF$5:$BF$1004,'Post Tracker'!$P$5:$P$1004,$B177,'Post Tracker'!$B$5:$B$1004,"&gt;="&amp;$C$4,'Post Tracker'!$B$5:$B$1004,"&lt;="&amp;$F$4))</f>
        <v/>
      </c>
      <c r="O177" s="52" t="str">
        <f aca="false">IF($B177="","",IFERROR(M177/K177,""))</f>
        <v/>
      </c>
      <c r="P177" s="62" t="str">
        <f aca="false">IF($B177="","",SUMIFS('Post Tracker'!$BH$5:$BH$1004,'Post Tracker'!$P$5:$P$1004,$B177,'Post Tracker'!$B$5:$B$1004,"&gt;="&amp;$C$4,'Post Tracker'!$B$5:$B$1004,"&lt;="&amp;$F$4))</f>
        <v/>
      </c>
    </row>
    <row r="178" customFormat="false" ht="15" hidden="false" customHeight="false" outlineLevel="0" collapsed="false">
      <c r="B178" s="50" t="str">
        <f aca="false">IF(Settings!$O$9="","",Settings!$O$9)</f>
        <v/>
      </c>
      <c r="C178" s="51" t="str">
        <f aca="false">IF($B178="","",COUNTIFS('Post Tracker'!$P$5:$P$1004,$B178,'Post Tracker'!$B$5:$B$1004,"&gt;="&amp;$C$4,'Post Tracker'!$B$5:$B$1004,"&lt;="&amp;$F$4))</f>
        <v/>
      </c>
      <c r="D178" s="51" t="str">
        <f aca="false">IF($B178="","",SUMIFS('Post Tracker'!$AC$5:$AC$1004,'Post Tracker'!$P$5:$P$1004,$B178,'Post Tracker'!$B$5:$B$1004,"&gt;="&amp;$C$4,'Post Tracker'!$B$5:$B$1004,"&lt;="&amp;$F$4))</f>
        <v/>
      </c>
      <c r="E178" s="51" t="str">
        <f aca="false">IF($B178="","",SUMIFS('Post Tracker'!$AO$5:$AO$1004,'Post Tracker'!$P$5:$P$1004,$B178,'Post Tracker'!$B$5:$B$1004,"&gt;="&amp;$C$4,'Post Tracker'!$B$5:$B$1004,"&lt;="&amp;$F$4))</f>
        <v/>
      </c>
      <c r="F178" s="51" t="str">
        <f aca="false">IF($B178="","",SUMIFS('Post Tracker'!$AR$5:$AR$1004,'Post Tracker'!$P$5:$P$1004,$B178,'Post Tracker'!$B$5:$B$1004,"&gt;="&amp;$C$4,'Post Tracker'!$B$5:$B$1004,"&lt;="&amp;$F$4))</f>
        <v/>
      </c>
      <c r="G178" s="52" t="str">
        <f aca="false">IF($B178="","",IFERROR(SUMIFS('Post Tracker'!$BP$5:$BP$1004,'Post Tracker'!$P$5:$P$1004,$B178,'Post Tracker'!$B$5:$B$1004,"&gt;="&amp;$C$4,'Post Tracker'!$B$5:$B$1004,"&lt;="&amp;$F$4)/E178,""))</f>
        <v/>
      </c>
      <c r="H178" s="52" t="str">
        <f aca="false">IF($B178="","",IFERROR(F178/SUMIFS('Post Tracker'!$BQ$5:$BQ$1004,'Post Tracker'!$P$5:$P$1004,$B178,'Post Tracker'!$B$5:$B$1004,"&gt;="&amp;$C$4,'Post Tracker'!$B$5:$B$1004,"&lt;="&amp;$F$4),""))</f>
        <v/>
      </c>
      <c r="I178" s="51" t="str">
        <f aca="false">IF($B178="","",SUMIFS('Post Tracker'!$AJ$5:$AJ$1004,'Post Tracker'!$P$5:$P$1004,$B178,'Post Tracker'!$B$5:$B$1004,"&gt;="&amp;$C$4,'Post Tracker'!$B$5:$B$1004,"&lt;="&amp;$F$4))</f>
        <v/>
      </c>
      <c r="J178" s="52" t="str">
        <f aca="false">IF($B178="","",IFERROR(I178/D178,""))</f>
        <v/>
      </c>
      <c r="K178" s="51" t="str">
        <f aca="false">IF($B178="","",SUMIFS('Post Tracker'!$AZ$5:$AZ$1004,'Post Tracker'!$P$5:$P$1004,$B178,'Post Tracker'!$B$5:$B$1004,"&gt;="&amp;$C$4,'Post Tracker'!$B$5:$B$1004,"&lt;="&amp;$F$4))</f>
        <v/>
      </c>
      <c r="L178" s="51" t="str">
        <f aca="false">IF($B178="","",SUMIFS('Post Tracker'!$BB$5:$BB$1004,'Post Tracker'!$P$5:$P$1004,$B178,'Post Tracker'!$B$5:$B$1004,"&gt;="&amp;$C$4,'Post Tracker'!$B$5:$B$1004,"&lt;="&amp;$F$4))</f>
        <v/>
      </c>
      <c r="M178" s="51" t="str">
        <f aca="false">IF($B178="","",SUMIFS('Post Tracker'!$BD$5:$BD$1004,'Post Tracker'!$P$5:$P$1004,$B178,'Post Tracker'!$B$5:$B$1004,"&gt;="&amp;$C$4,'Post Tracker'!$B$5:$B$1004,"&lt;="&amp;$F$4))</f>
        <v/>
      </c>
      <c r="N178" s="51" t="str">
        <f aca="false">IF($B178="","",SUMIFS('Post Tracker'!$BF$5:$BF$1004,'Post Tracker'!$P$5:$P$1004,$B178,'Post Tracker'!$B$5:$B$1004,"&gt;="&amp;$C$4,'Post Tracker'!$B$5:$B$1004,"&lt;="&amp;$F$4))</f>
        <v/>
      </c>
      <c r="O178" s="52" t="str">
        <f aca="false">IF($B178="","",IFERROR(M178/K178,""))</f>
        <v/>
      </c>
      <c r="P178" s="62" t="str">
        <f aca="false">IF($B178="","",SUMIFS('Post Tracker'!$BH$5:$BH$1004,'Post Tracker'!$P$5:$P$1004,$B178,'Post Tracker'!$B$5:$B$1004,"&gt;="&amp;$C$4,'Post Tracker'!$B$5:$B$1004,"&lt;="&amp;$F$4))</f>
        <v/>
      </c>
    </row>
    <row r="180" customFormat="false" ht="15" hidden="false" customHeight="false" outlineLevel="0" collapsed="false">
      <c r="B180" s="3" t="s">
        <v>276</v>
      </c>
    </row>
    <row r="181" customFormat="false" ht="30" hidden="false" customHeight="true" outlineLevel="0" collapsed="false">
      <c r="B181" s="63" t="s">
        <v>76</v>
      </c>
      <c r="C181" s="49" t="s">
        <v>253</v>
      </c>
      <c r="D181" s="49" t="s">
        <v>254</v>
      </c>
      <c r="E181" s="49" t="s">
        <v>223</v>
      </c>
      <c r="F181" s="49" t="s">
        <v>250</v>
      </c>
      <c r="G181" s="49" t="s">
        <v>249</v>
      </c>
      <c r="H181" s="49" t="s">
        <v>106</v>
      </c>
      <c r="I181" s="49" t="s">
        <v>256</v>
      </c>
      <c r="J181" s="49" t="s">
        <v>124</v>
      </c>
      <c r="K181" s="49" t="s">
        <v>277</v>
      </c>
      <c r="L181" s="49" t="s">
        <v>278</v>
      </c>
      <c r="M181" s="49" t="s">
        <v>108</v>
      </c>
    </row>
    <row r="182" customFormat="false" ht="15" hidden="false" customHeight="false" outlineLevel="0" collapsed="false">
      <c r="B182" s="50" t="str">
        <f aca="false">TEXT(DATE(YEAR($C$4),MONTH($C$4)+0,1),"yyyy-mm")</f>
        <v>2026-09</v>
      </c>
      <c r="C182" s="51" t="n">
        <f aca="false">COUNTIFS('Post Tracker'!$F$5:$F$1004,$B182)</f>
        <v>13</v>
      </c>
      <c r="D182" s="51" t="n">
        <f aca="false">SUMIFS('Post Tracker'!$AO$5:$AO$1004,'Post Tracker'!$F$5:$F$1004,$B182)</f>
        <v>82</v>
      </c>
      <c r="E182" s="51" t="n">
        <f aca="false">SUMIFS('Post Tracker'!$AR$5:$AR$1004,'Post Tracker'!$F$5:$F$1004,$B182)</f>
        <v>55</v>
      </c>
      <c r="F182" s="52" t="n">
        <f aca="false">IFERROR(SUMIFS('Post Tracker'!$BP$5:$BP$1004,'Post Tracker'!$F$5:$F$1004,$B182)/D182,"")</f>
        <v>0.024390243902439</v>
      </c>
      <c r="G182" s="52" t="n">
        <f aca="false">IFERROR(E182/SUMIFS('Post Tracker'!$BQ$5:$BQ$1004,'Post Tracker'!$F$5:$F$1004,$B182),"")</f>
        <v>0.00500546050236622</v>
      </c>
      <c r="H182" s="51" t="n">
        <f aca="false">SUMIFS('Post Tracker'!$AJ$5:$AJ$1004,'Post Tracker'!$F$5:$F$1004,$B182)</f>
        <v>0</v>
      </c>
      <c r="I182" s="51" t="n">
        <f aca="false">SUMIFS('Post Tracker'!$AZ$5:$AZ$1004,'Post Tracker'!$F$5:$F$1004,$B182)</f>
        <v>0</v>
      </c>
      <c r="J182" s="51" t="n">
        <f aca="false">SUMIFS('Post Tracker'!$BB$5:$BB$1004,'Post Tracker'!$F$5:$F$1004,$B182)</f>
        <v>0</v>
      </c>
      <c r="K182" s="51" t="n">
        <f aca="false">SUMIFS('Post Tracker'!$BD$5:$BD$1004,'Post Tracker'!$F$5:$F$1004,$B182)</f>
        <v>0</v>
      </c>
      <c r="L182" s="51" t="n">
        <f aca="false">COUNTIFS('Demo Pipeline'!$B$5:$B$504,"&gt;="&amp;DATE(YEAR($C$4),MONTH($C$4)+0,1),'Demo Pipeline'!$B$5:$B$504,"&lt;"&amp;DATE(YEAR($C$4),MONTH($C$4)+1,1))</f>
        <v>0</v>
      </c>
      <c r="M182" s="51" t="n">
        <f aca="false">SUMIFS('Post Tracker'!$AL$5:$AL$1004,'Post Tracker'!$F$5:$F$1004,$B182)</f>
        <v>0</v>
      </c>
    </row>
    <row r="183" customFormat="false" ht="15" hidden="false" customHeight="false" outlineLevel="0" collapsed="false">
      <c r="B183" s="50" t="str">
        <f aca="false">TEXT(DATE(YEAR($C$4),MONTH($C$4)+1,1),"yyyy-mm")</f>
        <v>2026-10</v>
      </c>
      <c r="C183" s="51" t="n">
        <f aca="false">COUNTIFS('Post Tracker'!$F$5:$F$1004,$B183)</f>
        <v>0</v>
      </c>
      <c r="D183" s="51" t="n">
        <f aca="false">SUMIFS('Post Tracker'!$AO$5:$AO$1004,'Post Tracker'!$F$5:$F$1004,$B183)</f>
        <v>0</v>
      </c>
      <c r="E183" s="51" t="n">
        <f aca="false">SUMIFS('Post Tracker'!$AR$5:$AR$1004,'Post Tracker'!$F$5:$F$1004,$B183)</f>
        <v>0</v>
      </c>
      <c r="F183" s="52" t="str">
        <f aca="false">IFERROR(SUMIFS('Post Tracker'!$BP$5:$BP$1004,'Post Tracker'!$F$5:$F$1004,$B183)/D183,"")</f>
        <v/>
      </c>
      <c r="G183" s="52" t="str">
        <f aca="false">IFERROR(E183/SUMIFS('Post Tracker'!$BQ$5:$BQ$1004,'Post Tracker'!$F$5:$F$1004,$B183),"")</f>
        <v/>
      </c>
      <c r="H183" s="51" t="n">
        <f aca="false">SUMIFS('Post Tracker'!$AJ$5:$AJ$1004,'Post Tracker'!$F$5:$F$1004,$B183)</f>
        <v>0</v>
      </c>
      <c r="I183" s="51" t="n">
        <f aca="false">SUMIFS('Post Tracker'!$AZ$5:$AZ$1004,'Post Tracker'!$F$5:$F$1004,$B183)</f>
        <v>0</v>
      </c>
      <c r="J183" s="51" t="n">
        <f aca="false">SUMIFS('Post Tracker'!$BB$5:$BB$1004,'Post Tracker'!$F$5:$F$1004,$B183)</f>
        <v>0</v>
      </c>
      <c r="K183" s="51" t="n">
        <f aca="false">SUMIFS('Post Tracker'!$BD$5:$BD$1004,'Post Tracker'!$F$5:$F$1004,$B183)</f>
        <v>0</v>
      </c>
      <c r="L183" s="51" t="n">
        <f aca="false">COUNTIFS('Demo Pipeline'!$B$5:$B$504,"&gt;="&amp;DATE(YEAR($C$4),MONTH($C$4)+1,1),'Demo Pipeline'!$B$5:$B$504,"&lt;"&amp;DATE(YEAR($C$4),MONTH($C$4)+2,1))</f>
        <v>0</v>
      </c>
      <c r="M183" s="51" t="n">
        <f aca="false">SUMIFS('Post Tracker'!$AL$5:$AL$1004,'Post Tracker'!$F$5:$F$1004,$B183)</f>
        <v>0</v>
      </c>
    </row>
    <row r="184" customFormat="false" ht="15" hidden="false" customHeight="false" outlineLevel="0" collapsed="false">
      <c r="B184" s="50" t="str">
        <f aca="false">TEXT(DATE(YEAR($C$4),MONTH($C$4)+2,1),"yyyy-mm")</f>
        <v>2026-11</v>
      </c>
      <c r="C184" s="51" t="n">
        <f aca="false">COUNTIFS('Post Tracker'!$F$5:$F$1004,$B184)</f>
        <v>0</v>
      </c>
      <c r="D184" s="51" t="n">
        <f aca="false">SUMIFS('Post Tracker'!$AO$5:$AO$1004,'Post Tracker'!$F$5:$F$1004,$B184)</f>
        <v>0</v>
      </c>
      <c r="E184" s="51" t="n">
        <f aca="false">SUMIFS('Post Tracker'!$AR$5:$AR$1004,'Post Tracker'!$F$5:$F$1004,$B184)</f>
        <v>0</v>
      </c>
      <c r="F184" s="52" t="str">
        <f aca="false">IFERROR(SUMIFS('Post Tracker'!$BP$5:$BP$1004,'Post Tracker'!$F$5:$F$1004,$B184)/D184,"")</f>
        <v/>
      </c>
      <c r="G184" s="52" t="str">
        <f aca="false">IFERROR(E184/SUMIFS('Post Tracker'!$BQ$5:$BQ$1004,'Post Tracker'!$F$5:$F$1004,$B184),"")</f>
        <v/>
      </c>
      <c r="H184" s="51" t="n">
        <f aca="false">SUMIFS('Post Tracker'!$AJ$5:$AJ$1004,'Post Tracker'!$F$5:$F$1004,$B184)</f>
        <v>0</v>
      </c>
      <c r="I184" s="51" t="n">
        <f aca="false">SUMIFS('Post Tracker'!$AZ$5:$AZ$1004,'Post Tracker'!$F$5:$F$1004,$B184)</f>
        <v>0</v>
      </c>
      <c r="J184" s="51" t="n">
        <f aca="false">SUMIFS('Post Tracker'!$BB$5:$BB$1004,'Post Tracker'!$F$5:$F$1004,$B184)</f>
        <v>0</v>
      </c>
      <c r="K184" s="51" t="n">
        <f aca="false">SUMIFS('Post Tracker'!$BD$5:$BD$1004,'Post Tracker'!$F$5:$F$1004,$B184)</f>
        <v>0</v>
      </c>
      <c r="L184" s="51" t="n">
        <f aca="false">COUNTIFS('Demo Pipeline'!$B$5:$B$504,"&gt;="&amp;DATE(YEAR($C$4),MONTH($C$4)+2,1),'Demo Pipeline'!$B$5:$B$504,"&lt;"&amp;DATE(YEAR($C$4),MONTH($C$4)+3,1))</f>
        <v>0</v>
      </c>
      <c r="M184" s="51" t="n">
        <f aca="false">SUMIFS('Post Tracker'!$AL$5:$AL$1004,'Post Tracker'!$F$5:$F$1004,$B184)</f>
        <v>0</v>
      </c>
    </row>
    <row r="185" customFormat="false" ht="15" hidden="false" customHeight="false" outlineLevel="0" collapsed="false">
      <c r="B185" s="50" t="str">
        <f aca="false">TEXT(DATE(YEAR($C$4),MONTH($C$4)+3,1),"yyyy-mm")</f>
        <v>2026-12</v>
      </c>
      <c r="C185" s="51" t="n">
        <f aca="false">COUNTIFS('Post Tracker'!$F$5:$F$1004,$B185)</f>
        <v>0</v>
      </c>
      <c r="D185" s="51" t="n">
        <f aca="false">SUMIFS('Post Tracker'!$AO$5:$AO$1004,'Post Tracker'!$F$5:$F$1004,$B185)</f>
        <v>0</v>
      </c>
      <c r="E185" s="51" t="n">
        <f aca="false">SUMIFS('Post Tracker'!$AR$5:$AR$1004,'Post Tracker'!$F$5:$F$1004,$B185)</f>
        <v>0</v>
      </c>
      <c r="F185" s="52" t="str">
        <f aca="false">IFERROR(SUMIFS('Post Tracker'!$BP$5:$BP$1004,'Post Tracker'!$F$5:$F$1004,$B185)/D185,"")</f>
        <v/>
      </c>
      <c r="G185" s="52" t="str">
        <f aca="false">IFERROR(E185/SUMIFS('Post Tracker'!$BQ$5:$BQ$1004,'Post Tracker'!$F$5:$F$1004,$B185),"")</f>
        <v/>
      </c>
      <c r="H185" s="51" t="n">
        <f aca="false">SUMIFS('Post Tracker'!$AJ$5:$AJ$1004,'Post Tracker'!$F$5:$F$1004,$B185)</f>
        <v>0</v>
      </c>
      <c r="I185" s="51" t="n">
        <f aca="false">SUMIFS('Post Tracker'!$AZ$5:$AZ$1004,'Post Tracker'!$F$5:$F$1004,$B185)</f>
        <v>0</v>
      </c>
      <c r="J185" s="51" t="n">
        <f aca="false">SUMIFS('Post Tracker'!$BB$5:$BB$1004,'Post Tracker'!$F$5:$F$1004,$B185)</f>
        <v>0</v>
      </c>
      <c r="K185" s="51" t="n">
        <f aca="false">SUMIFS('Post Tracker'!$BD$5:$BD$1004,'Post Tracker'!$F$5:$F$1004,$B185)</f>
        <v>0</v>
      </c>
      <c r="L185" s="51" t="n">
        <f aca="false">COUNTIFS('Demo Pipeline'!$B$5:$B$504,"&gt;="&amp;DATE(YEAR($C$4),MONTH($C$4)+3,1),'Demo Pipeline'!$B$5:$B$504,"&lt;"&amp;DATE(YEAR($C$4),MONTH($C$4)+4,1))</f>
        <v>0</v>
      </c>
      <c r="M185" s="51" t="n">
        <f aca="false">SUMIFS('Post Tracker'!$AL$5:$AL$1004,'Post Tracker'!$F$5:$F$1004,$B185)</f>
        <v>0</v>
      </c>
    </row>
    <row r="186" customFormat="false" ht="15" hidden="false" customHeight="false" outlineLevel="0" collapsed="false">
      <c r="B186" s="50" t="str">
        <f aca="false">TEXT(DATE(YEAR($C$4),MONTH($C$4)+4,1),"yyyy-mm")</f>
        <v>2027-01</v>
      </c>
      <c r="C186" s="51" t="n">
        <f aca="false">COUNTIFS('Post Tracker'!$F$5:$F$1004,$B186)</f>
        <v>0</v>
      </c>
      <c r="D186" s="51" t="n">
        <f aca="false">SUMIFS('Post Tracker'!$AO$5:$AO$1004,'Post Tracker'!$F$5:$F$1004,$B186)</f>
        <v>0</v>
      </c>
      <c r="E186" s="51" t="n">
        <f aca="false">SUMIFS('Post Tracker'!$AR$5:$AR$1004,'Post Tracker'!$F$5:$F$1004,$B186)</f>
        <v>0</v>
      </c>
      <c r="F186" s="52" t="str">
        <f aca="false">IFERROR(SUMIFS('Post Tracker'!$BP$5:$BP$1004,'Post Tracker'!$F$5:$F$1004,$B186)/D186,"")</f>
        <v/>
      </c>
      <c r="G186" s="52" t="str">
        <f aca="false">IFERROR(E186/SUMIFS('Post Tracker'!$BQ$5:$BQ$1004,'Post Tracker'!$F$5:$F$1004,$B186),"")</f>
        <v/>
      </c>
      <c r="H186" s="51" t="n">
        <f aca="false">SUMIFS('Post Tracker'!$AJ$5:$AJ$1004,'Post Tracker'!$F$5:$F$1004,$B186)</f>
        <v>0</v>
      </c>
      <c r="I186" s="51" t="n">
        <f aca="false">SUMIFS('Post Tracker'!$AZ$5:$AZ$1004,'Post Tracker'!$F$5:$F$1004,$B186)</f>
        <v>0</v>
      </c>
      <c r="J186" s="51" t="n">
        <f aca="false">SUMIFS('Post Tracker'!$BB$5:$BB$1004,'Post Tracker'!$F$5:$F$1004,$B186)</f>
        <v>0</v>
      </c>
      <c r="K186" s="51" t="n">
        <f aca="false">SUMIFS('Post Tracker'!$BD$5:$BD$1004,'Post Tracker'!$F$5:$F$1004,$B186)</f>
        <v>0</v>
      </c>
      <c r="L186" s="51" t="n">
        <f aca="false">COUNTIFS('Demo Pipeline'!$B$5:$B$504,"&gt;="&amp;DATE(YEAR($C$4),MONTH($C$4)+4,1),'Demo Pipeline'!$B$5:$B$504,"&lt;"&amp;DATE(YEAR($C$4),MONTH($C$4)+5,1))</f>
        <v>0</v>
      </c>
      <c r="M186" s="51" t="n">
        <f aca="false">SUMIFS('Post Tracker'!$AL$5:$AL$1004,'Post Tracker'!$F$5:$F$1004,$B186)</f>
        <v>0</v>
      </c>
    </row>
    <row r="187" customFormat="false" ht="15" hidden="false" customHeight="false" outlineLevel="0" collapsed="false">
      <c r="B187" s="50" t="str">
        <f aca="false">TEXT(DATE(YEAR($C$4),MONTH($C$4)+5,1),"yyyy-mm")</f>
        <v>2027-02</v>
      </c>
      <c r="C187" s="51" t="n">
        <f aca="false">COUNTIFS('Post Tracker'!$F$5:$F$1004,$B187)</f>
        <v>0</v>
      </c>
      <c r="D187" s="51" t="n">
        <f aca="false">SUMIFS('Post Tracker'!$AO$5:$AO$1004,'Post Tracker'!$F$5:$F$1004,$B187)</f>
        <v>0</v>
      </c>
      <c r="E187" s="51" t="n">
        <f aca="false">SUMIFS('Post Tracker'!$AR$5:$AR$1004,'Post Tracker'!$F$5:$F$1004,$B187)</f>
        <v>0</v>
      </c>
      <c r="F187" s="52" t="str">
        <f aca="false">IFERROR(SUMIFS('Post Tracker'!$BP$5:$BP$1004,'Post Tracker'!$F$5:$F$1004,$B187)/D187,"")</f>
        <v/>
      </c>
      <c r="G187" s="52" t="str">
        <f aca="false">IFERROR(E187/SUMIFS('Post Tracker'!$BQ$5:$BQ$1004,'Post Tracker'!$F$5:$F$1004,$B187),"")</f>
        <v/>
      </c>
      <c r="H187" s="51" t="n">
        <f aca="false">SUMIFS('Post Tracker'!$AJ$5:$AJ$1004,'Post Tracker'!$F$5:$F$1004,$B187)</f>
        <v>0</v>
      </c>
      <c r="I187" s="51" t="n">
        <f aca="false">SUMIFS('Post Tracker'!$AZ$5:$AZ$1004,'Post Tracker'!$F$5:$F$1004,$B187)</f>
        <v>0</v>
      </c>
      <c r="J187" s="51" t="n">
        <f aca="false">SUMIFS('Post Tracker'!$BB$5:$BB$1004,'Post Tracker'!$F$5:$F$1004,$B187)</f>
        <v>0</v>
      </c>
      <c r="K187" s="51" t="n">
        <f aca="false">SUMIFS('Post Tracker'!$BD$5:$BD$1004,'Post Tracker'!$F$5:$F$1004,$B187)</f>
        <v>0</v>
      </c>
      <c r="L187" s="51" t="n">
        <f aca="false">COUNTIFS('Demo Pipeline'!$B$5:$B$504,"&gt;="&amp;DATE(YEAR($C$4),MONTH($C$4)+5,1),'Demo Pipeline'!$B$5:$B$504,"&lt;"&amp;DATE(YEAR($C$4),MONTH($C$4)+6,1))</f>
        <v>0</v>
      </c>
      <c r="M187" s="51" t="n">
        <f aca="false">SUMIFS('Post Tracker'!$AL$5:$AL$1004,'Post Tracker'!$F$5:$F$1004,$B187)</f>
        <v>0</v>
      </c>
    </row>
    <row r="188" customFormat="false" ht="15" hidden="false" customHeight="false" outlineLevel="0" collapsed="false">
      <c r="B188" s="50" t="str">
        <f aca="false">TEXT(DATE(YEAR($C$4),MONTH($C$4)+6,1),"yyyy-mm")</f>
        <v>2027-03</v>
      </c>
      <c r="C188" s="51" t="n">
        <f aca="false">COUNTIFS('Post Tracker'!$F$5:$F$1004,$B188)</f>
        <v>0</v>
      </c>
      <c r="D188" s="51" t="n">
        <f aca="false">SUMIFS('Post Tracker'!$AO$5:$AO$1004,'Post Tracker'!$F$5:$F$1004,$B188)</f>
        <v>0</v>
      </c>
      <c r="E188" s="51" t="n">
        <f aca="false">SUMIFS('Post Tracker'!$AR$5:$AR$1004,'Post Tracker'!$F$5:$F$1004,$B188)</f>
        <v>0</v>
      </c>
      <c r="F188" s="52" t="str">
        <f aca="false">IFERROR(SUMIFS('Post Tracker'!$BP$5:$BP$1004,'Post Tracker'!$F$5:$F$1004,$B188)/D188,"")</f>
        <v/>
      </c>
      <c r="G188" s="52" t="str">
        <f aca="false">IFERROR(E188/SUMIFS('Post Tracker'!$BQ$5:$BQ$1004,'Post Tracker'!$F$5:$F$1004,$B188),"")</f>
        <v/>
      </c>
      <c r="H188" s="51" t="n">
        <f aca="false">SUMIFS('Post Tracker'!$AJ$5:$AJ$1004,'Post Tracker'!$F$5:$F$1004,$B188)</f>
        <v>0</v>
      </c>
      <c r="I188" s="51" t="n">
        <f aca="false">SUMIFS('Post Tracker'!$AZ$5:$AZ$1004,'Post Tracker'!$F$5:$F$1004,$B188)</f>
        <v>0</v>
      </c>
      <c r="J188" s="51" t="n">
        <f aca="false">SUMIFS('Post Tracker'!$BB$5:$BB$1004,'Post Tracker'!$F$5:$F$1004,$B188)</f>
        <v>0</v>
      </c>
      <c r="K188" s="51" t="n">
        <f aca="false">SUMIFS('Post Tracker'!$BD$5:$BD$1004,'Post Tracker'!$F$5:$F$1004,$B188)</f>
        <v>0</v>
      </c>
      <c r="L188" s="51" t="n">
        <f aca="false">COUNTIFS('Demo Pipeline'!$B$5:$B$504,"&gt;="&amp;DATE(YEAR($C$4),MONTH($C$4)+6,1),'Demo Pipeline'!$B$5:$B$504,"&lt;"&amp;DATE(YEAR($C$4),MONTH($C$4)+7,1))</f>
        <v>0</v>
      </c>
      <c r="M188" s="51" t="n">
        <f aca="false">SUMIFS('Post Tracker'!$AL$5:$AL$1004,'Post Tracker'!$F$5:$F$1004,$B188)</f>
        <v>0</v>
      </c>
    </row>
    <row r="189" customFormat="false" ht="15" hidden="false" customHeight="false" outlineLevel="0" collapsed="false">
      <c r="B189" s="50" t="str">
        <f aca="false">TEXT(DATE(YEAR($C$4),MONTH($C$4)+7,1),"yyyy-mm")</f>
        <v>2027-04</v>
      </c>
      <c r="C189" s="51" t="n">
        <f aca="false">COUNTIFS('Post Tracker'!$F$5:$F$1004,$B189)</f>
        <v>0</v>
      </c>
      <c r="D189" s="51" t="n">
        <f aca="false">SUMIFS('Post Tracker'!$AO$5:$AO$1004,'Post Tracker'!$F$5:$F$1004,$B189)</f>
        <v>0</v>
      </c>
      <c r="E189" s="51" t="n">
        <f aca="false">SUMIFS('Post Tracker'!$AR$5:$AR$1004,'Post Tracker'!$F$5:$F$1004,$B189)</f>
        <v>0</v>
      </c>
      <c r="F189" s="52" t="str">
        <f aca="false">IFERROR(SUMIFS('Post Tracker'!$BP$5:$BP$1004,'Post Tracker'!$F$5:$F$1004,$B189)/D189,"")</f>
        <v/>
      </c>
      <c r="G189" s="52" t="str">
        <f aca="false">IFERROR(E189/SUMIFS('Post Tracker'!$BQ$5:$BQ$1004,'Post Tracker'!$F$5:$F$1004,$B189),"")</f>
        <v/>
      </c>
      <c r="H189" s="51" t="n">
        <f aca="false">SUMIFS('Post Tracker'!$AJ$5:$AJ$1004,'Post Tracker'!$F$5:$F$1004,$B189)</f>
        <v>0</v>
      </c>
      <c r="I189" s="51" t="n">
        <f aca="false">SUMIFS('Post Tracker'!$AZ$5:$AZ$1004,'Post Tracker'!$F$5:$F$1004,$B189)</f>
        <v>0</v>
      </c>
      <c r="J189" s="51" t="n">
        <f aca="false">SUMIFS('Post Tracker'!$BB$5:$BB$1004,'Post Tracker'!$F$5:$F$1004,$B189)</f>
        <v>0</v>
      </c>
      <c r="K189" s="51" t="n">
        <f aca="false">SUMIFS('Post Tracker'!$BD$5:$BD$1004,'Post Tracker'!$F$5:$F$1004,$B189)</f>
        <v>0</v>
      </c>
      <c r="L189" s="51" t="n">
        <f aca="false">COUNTIFS('Demo Pipeline'!$B$5:$B$504,"&gt;="&amp;DATE(YEAR($C$4),MONTH($C$4)+7,1),'Demo Pipeline'!$B$5:$B$504,"&lt;"&amp;DATE(YEAR($C$4),MONTH($C$4)+8,1))</f>
        <v>0</v>
      </c>
      <c r="M189" s="51" t="n">
        <f aca="false">SUMIFS('Post Tracker'!$AL$5:$AL$1004,'Post Tracker'!$F$5:$F$1004,$B189)</f>
        <v>0</v>
      </c>
    </row>
    <row r="190" customFormat="false" ht="15" hidden="false" customHeight="false" outlineLevel="0" collapsed="false">
      <c r="B190" s="50" t="str">
        <f aca="false">TEXT(DATE(YEAR($C$4),MONTH($C$4)+8,1),"yyyy-mm")</f>
        <v>2027-05</v>
      </c>
      <c r="C190" s="51" t="n">
        <f aca="false">COUNTIFS('Post Tracker'!$F$5:$F$1004,$B190)</f>
        <v>0</v>
      </c>
      <c r="D190" s="51" t="n">
        <f aca="false">SUMIFS('Post Tracker'!$AO$5:$AO$1004,'Post Tracker'!$F$5:$F$1004,$B190)</f>
        <v>0</v>
      </c>
      <c r="E190" s="51" t="n">
        <f aca="false">SUMIFS('Post Tracker'!$AR$5:$AR$1004,'Post Tracker'!$F$5:$F$1004,$B190)</f>
        <v>0</v>
      </c>
      <c r="F190" s="52" t="str">
        <f aca="false">IFERROR(SUMIFS('Post Tracker'!$BP$5:$BP$1004,'Post Tracker'!$F$5:$F$1004,$B190)/D190,"")</f>
        <v/>
      </c>
      <c r="G190" s="52" t="str">
        <f aca="false">IFERROR(E190/SUMIFS('Post Tracker'!$BQ$5:$BQ$1004,'Post Tracker'!$F$5:$F$1004,$B190),"")</f>
        <v/>
      </c>
      <c r="H190" s="51" t="n">
        <f aca="false">SUMIFS('Post Tracker'!$AJ$5:$AJ$1004,'Post Tracker'!$F$5:$F$1004,$B190)</f>
        <v>0</v>
      </c>
      <c r="I190" s="51" t="n">
        <f aca="false">SUMIFS('Post Tracker'!$AZ$5:$AZ$1004,'Post Tracker'!$F$5:$F$1004,$B190)</f>
        <v>0</v>
      </c>
      <c r="J190" s="51" t="n">
        <f aca="false">SUMIFS('Post Tracker'!$BB$5:$BB$1004,'Post Tracker'!$F$5:$F$1004,$B190)</f>
        <v>0</v>
      </c>
      <c r="K190" s="51" t="n">
        <f aca="false">SUMIFS('Post Tracker'!$BD$5:$BD$1004,'Post Tracker'!$F$5:$F$1004,$B190)</f>
        <v>0</v>
      </c>
      <c r="L190" s="51" t="n">
        <f aca="false">COUNTIFS('Demo Pipeline'!$B$5:$B$504,"&gt;="&amp;DATE(YEAR($C$4),MONTH($C$4)+8,1),'Demo Pipeline'!$B$5:$B$504,"&lt;"&amp;DATE(YEAR($C$4),MONTH($C$4)+9,1))</f>
        <v>0</v>
      </c>
      <c r="M190" s="51" t="n">
        <f aca="false">SUMIFS('Post Tracker'!$AL$5:$AL$1004,'Post Tracker'!$F$5:$F$1004,$B190)</f>
        <v>0</v>
      </c>
    </row>
    <row r="191" customFormat="false" ht="15" hidden="false" customHeight="false" outlineLevel="0" collapsed="false">
      <c r="B191" s="50" t="str">
        <f aca="false">TEXT(DATE(YEAR($C$4),MONTH($C$4)+9,1),"yyyy-mm")</f>
        <v>2027-06</v>
      </c>
      <c r="C191" s="51" t="n">
        <f aca="false">COUNTIFS('Post Tracker'!$F$5:$F$1004,$B191)</f>
        <v>0</v>
      </c>
      <c r="D191" s="51" t="n">
        <f aca="false">SUMIFS('Post Tracker'!$AO$5:$AO$1004,'Post Tracker'!$F$5:$F$1004,$B191)</f>
        <v>0</v>
      </c>
      <c r="E191" s="51" t="n">
        <f aca="false">SUMIFS('Post Tracker'!$AR$5:$AR$1004,'Post Tracker'!$F$5:$F$1004,$B191)</f>
        <v>0</v>
      </c>
      <c r="F191" s="52" t="str">
        <f aca="false">IFERROR(SUMIFS('Post Tracker'!$BP$5:$BP$1004,'Post Tracker'!$F$5:$F$1004,$B191)/D191,"")</f>
        <v/>
      </c>
      <c r="G191" s="52" t="str">
        <f aca="false">IFERROR(E191/SUMIFS('Post Tracker'!$BQ$5:$BQ$1004,'Post Tracker'!$F$5:$F$1004,$B191),"")</f>
        <v/>
      </c>
      <c r="H191" s="51" t="n">
        <f aca="false">SUMIFS('Post Tracker'!$AJ$5:$AJ$1004,'Post Tracker'!$F$5:$F$1004,$B191)</f>
        <v>0</v>
      </c>
      <c r="I191" s="51" t="n">
        <f aca="false">SUMIFS('Post Tracker'!$AZ$5:$AZ$1004,'Post Tracker'!$F$5:$F$1004,$B191)</f>
        <v>0</v>
      </c>
      <c r="J191" s="51" t="n">
        <f aca="false">SUMIFS('Post Tracker'!$BB$5:$BB$1004,'Post Tracker'!$F$5:$F$1004,$B191)</f>
        <v>0</v>
      </c>
      <c r="K191" s="51" t="n">
        <f aca="false">SUMIFS('Post Tracker'!$BD$5:$BD$1004,'Post Tracker'!$F$5:$F$1004,$B191)</f>
        <v>0</v>
      </c>
      <c r="L191" s="51" t="n">
        <f aca="false">COUNTIFS('Demo Pipeline'!$B$5:$B$504,"&gt;="&amp;DATE(YEAR($C$4),MONTH($C$4)+9,1),'Demo Pipeline'!$B$5:$B$504,"&lt;"&amp;DATE(YEAR($C$4),MONTH($C$4)+10,1))</f>
        <v>0</v>
      </c>
      <c r="M191" s="51" t="n">
        <f aca="false">SUMIFS('Post Tracker'!$AL$5:$AL$1004,'Post Tracker'!$F$5:$F$1004,$B191)</f>
        <v>0</v>
      </c>
    </row>
    <row r="192" customFormat="false" ht="15" hidden="false" customHeight="false" outlineLevel="0" collapsed="false">
      <c r="B192" s="50" t="str">
        <f aca="false">TEXT(DATE(YEAR($C$4),MONTH($C$4)+10,1),"yyyy-mm")</f>
        <v>2027-07</v>
      </c>
      <c r="C192" s="51" t="n">
        <f aca="false">COUNTIFS('Post Tracker'!$F$5:$F$1004,$B192)</f>
        <v>0</v>
      </c>
      <c r="D192" s="51" t="n">
        <f aca="false">SUMIFS('Post Tracker'!$AO$5:$AO$1004,'Post Tracker'!$F$5:$F$1004,$B192)</f>
        <v>0</v>
      </c>
      <c r="E192" s="51" t="n">
        <f aca="false">SUMIFS('Post Tracker'!$AR$5:$AR$1004,'Post Tracker'!$F$5:$F$1004,$B192)</f>
        <v>0</v>
      </c>
      <c r="F192" s="52" t="str">
        <f aca="false">IFERROR(SUMIFS('Post Tracker'!$BP$5:$BP$1004,'Post Tracker'!$F$5:$F$1004,$B192)/D192,"")</f>
        <v/>
      </c>
      <c r="G192" s="52" t="str">
        <f aca="false">IFERROR(E192/SUMIFS('Post Tracker'!$BQ$5:$BQ$1004,'Post Tracker'!$F$5:$F$1004,$B192),"")</f>
        <v/>
      </c>
      <c r="H192" s="51" t="n">
        <f aca="false">SUMIFS('Post Tracker'!$AJ$5:$AJ$1004,'Post Tracker'!$F$5:$F$1004,$B192)</f>
        <v>0</v>
      </c>
      <c r="I192" s="51" t="n">
        <f aca="false">SUMIFS('Post Tracker'!$AZ$5:$AZ$1004,'Post Tracker'!$F$5:$F$1004,$B192)</f>
        <v>0</v>
      </c>
      <c r="J192" s="51" t="n">
        <f aca="false">SUMIFS('Post Tracker'!$BB$5:$BB$1004,'Post Tracker'!$F$5:$F$1004,$B192)</f>
        <v>0</v>
      </c>
      <c r="K192" s="51" t="n">
        <f aca="false">SUMIFS('Post Tracker'!$BD$5:$BD$1004,'Post Tracker'!$F$5:$F$1004,$B192)</f>
        <v>0</v>
      </c>
      <c r="L192" s="51" t="n">
        <f aca="false">COUNTIFS('Demo Pipeline'!$B$5:$B$504,"&gt;="&amp;DATE(YEAR($C$4),MONTH($C$4)+10,1),'Demo Pipeline'!$B$5:$B$504,"&lt;"&amp;DATE(YEAR($C$4),MONTH($C$4)+11,1))</f>
        <v>0</v>
      </c>
      <c r="M192" s="51" t="n">
        <f aca="false">SUMIFS('Post Tracker'!$AL$5:$AL$1004,'Post Tracker'!$F$5:$F$1004,$B192)</f>
        <v>0</v>
      </c>
    </row>
    <row r="193" customFormat="false" ht="15" hidden="false" customHeight="false" outlineLevel="0" collapsed="false">
      <c r="B193" s="50" t="str">
        <f aca="false">TEXT(DATE(YEAR($C$4),MONTH($C$4)+11,1),"yyyy-mm")</f>
        <v>2027-08</v>
      </c>
      <c r="C193" s="51" t="n">
        <f aca="false">COUNTIFS('Post Tracker'!$F$5:$F$1004,$B193)</f>
        <v>0</v>
      </c>
      <c r="D193" s="51" t="n">
        <f aca="false">SUMIFS('Post Tracker'!$AO$5:$AO$1004,'Post Tracker'!$F$5:$F$1004,$B193)</f>
        <v>0</v>
      </c>
      <c r="E193" s="51" t="n">
        <f aca="false">SUMIFS('Post Tracker'!$AR$5:$AR$1004,'Post Tracker'!$F$5:$F$1004,$B193)</f>
        <v>0</v>
      </c>
      <c r="F193" s="52" t="str">
        <f aca="false">IFERROR(SUMIFS('Post Tracker'!$BP$5:$BP$1004,'Post Tracker'!$F$5:$F$1004,$B193)/D193,"")</f>
        <v/>
      </c>
      <c r="G193" s="52" t="str">
        <f aca="false">IFERROR(E193/SUMIFS('Post Tracker'!$BQ$5:$BQ$1004,'Post Tracker'!$F$5:$F$1004,$B193),"")</f>
        <v/>
      </c>
      <c r="H193" s="51" t="n">
        <f aca="false">SUMIFS('Post Tracker'!$AJ$5:$AJ$1004,'Post Tracker'!$F$5:$F$1004,$B193)</f>
        <v>0</v>
      </c>
      <c r="I193" s="51" t="n">
        <f aca="false">SUMIFS('Post Tracker'!$AZ$5:$AZ$1004,'Post Tracker'!$F$5:$F$1004,$B193)</f>
        <v>0</v>
      </c>
      <c r="J193" s="51" t="n">
        <f aca="false">SUMIFS('Post Tracker'!$BB$5:$BB$1004,'Post Tracker'!$F$5:$F$1004,$B193)</f>
        <v>0</v>
      </c>
      <c r="K193" s="51" t="n">
        <f aca="false">SUMIFS('Post Tracker'!$BD$5:$BD$1004,'Post Tracker'!$F$5:$F$1004,$B193)</f>
        <v>0</v>
      </c>
      <c r="L193" s="51" t="n">
        <f aca="false">COUNTIFS('Demo Pipeline'!$B$5:$B$504,"&gt;="&amp;DATE(YEAR($C$4),MONTH($C$4)+11,1),'Demo Pipeline'!$B$5:$B$504,"&lt;"&amp;DATE(YEAR($C$4),MONTH($C$4)+12,1))</f>
        <v>0</v>
      </c>
      <c r="M193" s="51" t="n">
        <f aca="false">SUMIFS('Post Tracker'!$AL$5:$AL$1004,'Post Tracker'!$F$5:$F$1004,$B193)</f>
        <v>0</v>
      </c>
    </row>
    <row r="196" customFormat="false" ht="15" hidden="false" customHeight="false" outlineLevel="0" collapsed="false">
      <c r="B196" s="64" t="s">
        <v>279</v>
      </c>
    </row>
    <row r="197" customFormat="false" ht="30" hidden="false" customHeight="true" outlineLevel="0" collapsed="false">
      <c r="B197" s="65"/>
      <c r="C197" s="66" t="s">
        <v>126</v>
      </c>
      <c r="D197" s="66" t="s">
        <v>280</v>
      </c>
      <c r="E197" s="66" t="s">
        <v>281</v>
      </c>
      <c r="F197" s="66" t="s">
        <v>282</v>
      </c>
      <c r="G197" s="66" t="s">
        <v>257</v>
      </c>
      <c r="H197" s="66" t="s">
        <v>283</v>
      </c>
    </row>
    <row r="198" customFormat="false" ht="15" hidden="false" customHeight="false" outlineLevel="0" collapsed="false">
      <c r="B198" s="50" t="str">
        <f aca="false">IF(Settings!$U$5="","",Settings!$U$5)</f>
        <v>LinkedIn</v>
      </c>
      <c r="C198" s="51" t="n">
        <f aca="false">COUNTIFS('Demo Pipeline'!$J$5:$J$504,$B198,'Demo Pipeline'!$B$5:$B$504,"&gt;="&amp;$C$4,'Demo Pipeline'!$B$5:$B$504,"&lt;="&amp;$F$4)</f>
        <v>0</v>
      </c>
      <c r="D198" s="51" t="n">
        <f aca="false">COUNTIFS('Demo Pipeline'!$J$5:$J$504,$B198,'Demo Pipeline'!$B$5:$B$504,"&gt;="&amp;$C$4,'Demo Pipeline'!$B$5:$B$504,"&lt;="&amp;$F$4,'Demo Pipeline'!$W$5:$W$504,"Attended")</f>
        <v>0</v>
      </c>
      <c r="E198" s="51" t="n">
        <f aca="false">COUNTIFS('Demo Pipeline'!$J$5:$J$504,$B198,'Demo Pipeline'!$B$5:$B$504,"&gt;="&amp;$C$4,'Demo Pipeline'!$B$5:$B$504,"&lt;="&amp;$F$4,'Demo Pipeline'!$X$5:$X$504,"Yes")</f>
        <v>0</v>
      </c>
      <c r="F198" s="51" t="n">
        <f aca="false">COUNTIFS('Demo Pipeline'!$J$5:$J$504,$B198,'Demo Pipeline'!$B$5:$B$504,"&gt;="&amp;$C$4,'Demo Pipeline'!$B$5:$B$504,"&lt;="&amp;$F$4,'Demo Pipeline'!$Y$5:$Y$504,"Closed Won")</f>
        <v>0</v>
      </c>
      <c r="G198" s="62" t="n">
        <f aca="false">SUMIFS('Demo Pipeline'!$Z$5:$Z$504,'Demo Pipeline'!$J$5:$J$504,$B198,'Demo Pipeline'!$B$5:$B$504,"&gt;="&amp;$C$4,'Demo Pipeline'!$B$5:$B$504,"&lt;="&amp;$F$4)</f>
        <v>0</v>
      </c>
      <c r="H198" s="67" t="str">
        <f aca="false">IFERROR(AVERAGEIFS('Demo Pipeline'!$U$5:$U$504,'Demo Pipeline'!$J$5:$J$504,$B198,'Demo Pipeline'!$B$5:$B$504,"&gt;="&amp;$C$4,'Demo Pipeline'!$B$5:$B$504,"&lt;="&amp;$F$4),"")</f>
        <v/>
      </c>
    </row>
    <row r="199" customFormat="false" ht="15" hidden="false" customHeight="false" outlineLevel="0" collapsed="false">
      <c r="B199" s="50" t="str">
        <f aca="false">IF(Settings!$U$6="","",Settings!$U$6)</f>
        <v>Instagram</v>
      </c>
      <c r="C199" s="51" t="n">
        <f aca="false">COUNTIFS('Demo Pipeline'!$J$5:$J$504,$B199,'Demo Pipeline'!$B$5:$B$504,"&gt;="&amp;$C$4,'Demo Pipeline'!$B$5:$B$504,"&lt;="&amp;$F$4)</f>
        <v>0</v>
      </c>
      <c r="D199" s="51" t="n">
        <f aca="false">COUNTIFS('Demo Pipeline'!$J$5:$J$504,$B199,'Demo Pipeline'!$B$5:$B$504,"&gt;="&amp;$C$4,'Demo Pipeline'!$B$5:$B$504,"&lt;="&amp;$F$4,'Demo Pipeline'!$W$5:$W$504,"Attended")</f>
        <v>0</v>
      </c>
      <c r="E199" s="51" t="n">
        <f aca="false">COUNTIFS('Demo Pipeline'!$J$5:$J$504,$B199,'Demo Pipeline'!$B$5:$B$504,"&gt;="&amp;$C$4,'Demo Pipeline'!$B$5:$B$504,"&lt;="&amp;$F$4,'Demo Pipeline'!$X$5:$X$504,"Yes")</f>
        <v>0</v>
      </c>
      <c r="F199" s="51" t="n">
        <f aca="false">COUNTIFS('Demo Pipeline'!$J$5:$J$504,$B199,'Demo Pipeline'!$B$5:$B$504,"&gt;="&amp;$C$4,'Demo Pipeline'!$B$5:$B$504,"&lt;="&amp;$F$4,'Demo Pipeline'!$Y$5:$Y$504,"Closed Won")</f>
        <v>0</v>
      </c>
      <c r="G199" s="62" t="n">
        <f aca="false">SUMIFS('Demo Pipeline'!$Z$5:$Z$504,'Demo Pipeline'!$J$5:$J$504,$B199,'Demo Pipeline'!$B$5:$B$504,"&gt;="&amp;$C$4,'Demo Pipeline'!$B$5:$B$504,"&lt;="&amp;$F$4)</f>
        <v>0</v>
      </c>
      <c r="H199" s="67" t="str">
        <f aca="false">IFERROR(AVERAGEIFS('Demo Pipeline'!$U$5:$U$504,'Demo Pipeline'!$J$5:$J$504,$B199,'Demo Pipeline'!$B$5:$B$504,"&gt;="&amp;$C$4,'Demo Pipeline'!$B$5:$B$504,"&lt;="&amp;$F$4),"")</f>
        <v/>
      </c>
    </row>
    <row r="200" customFormat="false" ht="15" hidden="false" customHeight="false" outlineLevel="0" collapsed="false">
      <c r="B200" s="50" t="str">
        <f aca="false">IF(Settings!$U$7="","",Settings!$U$7)</f>
        <v>X</v>
      </c>
      <c r="C200" s="51" t="n">
        <f aca="false">COUNTIFS('Demo Pipeline'!$J$5:$J$504,$B200,'Demo Pipeline'!$B$5:$B$504,"&gt;="&amp;$C$4,'Demo Pipeline'!$B$5:$B$504,"&lt;="&amp;$F$4)</f>
        <v>0</v>
      </c>
      <c r="D200" s="51" t="n">
        <f aca="false">COUNTIFS('Demo Pipeline'!$J$5:$J$504,$B200,'Demo Pipeline'!$B$5:$B$504,"&gt;="&amp;$C$4,'Demo Pipeline'!$B$5:$B$504,"&lt;="&amp;$F$4,'Demo Pipeline'!$W$5:$W$504,"Attended")</f>
        <v>0</v>
      </c>
      <c r="E200" s="51" t="n">
        <f aca="false">COUNTIFS('Demo Pipeline'!$J$5:$J$504,$B200,'Demo Pipeline'!$B$5:$B$504,"&gt;="&amp;$C$4,'Demo Pipeline'!$B$5:$B$504,"&lt;="&amp;$F$4,'Demo Pipeline'!$X$5:$X$504,"Yes")</f>
        <v>0</v>
      </c>
      <c r="F200" s="51" t="n">
        <f aca="false">COUNTIFS('Demo Pipeline'!$J$5:$J$504,$B200,'Demo Pipeline'!$B$5:$B$504,"&gt;="&amp;$C$4,'Demo Pipeline'!$B$5:$B$504,"&lt;="&amp;$F$4,'Demo Pipeline'!$Y$5:$Y$504,"Closed Won")</f>
        <v>0</v>
      </c>
      <c r="G200" s="62" t="n">
        <f aca="false">SUMIFS('Demo Pipeline'!$Z$5:$Z$504,'Demo Pipeline'!$J$5:$J$504,$B200,'Demo Pipeline'!$B$5:$B$504,"&gt;="&amp;$C$4,'Demo Pipeline'!$B$5:$B$504,"&lt;="&amp;$F$4)</f>
        <v>0</v>
      </c>
      <c r="H200" s="67" t="str">
        <f aca="false">IFERROR(AVERAGEIFS('Demo Pipeline'!$U$5:$U$504,'Demo Pipeline'!$J$5:$J$504,$B200,'Demo Pipeline'!$B$5:$B$504,"&gt;="&amp;$C$4,'Demo Pipeline'!$B$5:$B$504,"&lt;="&amp;$F$4),"")</f>
        <v/>
      </c>
    </row>
    <row r="201" customFormat="false" ht="15" hidden="false" customHeight="false" outlineLevel="0" collapsed="false">
      <c r="B201" s="50" t="str">
        <f aca="false">IF(Settings!$U$8="","",Settings!$U$8)</f>
        <v>Facebook</v>
      </c>
      <c r="C201" s="51" t="n">
        <f aca="false">COUNTIFS('Demo Pipeline'!$J$5:$J$504,$B201,'Demo Pipeline'!$B$5:$B$504,"&gt;="&amp;$C$4,'Demo Pipeline'!$B$5:$B$504,"&lt;="&amp;$F$4)</f>
        <v>0</v>
      </c>
      <c r="D201" s="51" t="n">
        <f aca="false">COUNTIFS('Demo Pipeline'!$J$5:$J$504,$B201,'Demo Pipeline'!$B$5:$B$504,"&gt;="&amp;$C$4,'Demo Pipeline'!$B$5:$B$504,"&lt;="&amp;$F$4,'Demo Pipeline'!$W$5:$W$504,"Attended")</f>
        <v>0</v>
      </c>
      <c r="E201" s="51" t="n">
        <f aca="false">COUNTIFS('Demo Pipeline'!$J$5:$J$504,$B201,'Demo Pipeline'!$B$5:$B$504,"&gt;="&amp;$C$4,'Demo Pipeline'!$B$5:$B$504,"&lt;="&amp;$F$4,'Demo Pipeline'!$X$5:$X$504,"Yes")</f>
        <v>0</v>
      </c>
      <c r="F201" s="51" t="n">
        <f aca="false">COUNTIFS('Demo Pipeline'!$J$5:$J$504,$B201,'Demo Pipeline'!$B$5:$B$504,"&gt;="&amp;$C$4,'Demo Pipeline'!$B$5:$B$504,"&lt;="&amp;$F$4,'Demo Pipeline'!$Y$5:$Y$504,"Closed Won")</f>
        <v>0</v>
      </c>
      <c r="G201" s="62" t="n">
        <f aca="false">SUMIFS('Demo Pipeline'!$Z$5:$Z$504,'Demo Pipeline'!$J$5:$J$504,$B201,'Demo Pipeline'!$B$5:$B$504,"&gt;="&amp;$C$4,'Demo Pipeline'!$B$5:$B$504,"&lt;="&amp;$F$4)</f>
        <v>0</v>
      </c>
      <c r="H201" s="67" t="str">
        <f aca="false">IFERROR(AVERAGEIFS('Demo Pipeline'!$U$5:$U$504,'Demo Pipeline'!$J$5:$J$504,$B201,'Demo Pipeline'!$B$5:$B$504,"&gt;="&amp;$C$4,'Demo Pipeline'!$B$5:$B$504,"&lt;="&amp;$F$4),"")</f>
        <v/>
      </c>
    </row>
    <row r="202" customFormat="false" ht="15" hidden="false" customHeight="false" outlineLevel="0" collapsed="false">
      <c r="B202" s="50" t="str">
        <f aca="false">IF(Settings!$U$9="","",Settings!$U$9)</f>
        <v>YouTube</v>
      </c>
      <c r="C202" s="51" t="n">
        <f aca="false">COUNTIFS('Demo Pipeline'!$J$5:$J$504,$B202,'Demo Pipeline'!$B$5:$B$504,"&gt;="&amp;$C$4,'Demo Pipeline'!$B$5:$B$504,"&lt;="&amp;$F$4)</f>
        <v>0</v>
      </c>
      <c r="D202" s="51" t="n">
        <f aca="false">COUNTIFS('Demo Pipeline'!$J$5:$J$504,$B202,'Demo Pipeline'!$B$5:$B$504,"&gt;="&amp;$C$4,'Demo Pipeline'!$B$5:$B$504,"&lt;="&amp;$F$4,'Demo Pipeline'!$W$5:$W$504,"Attended")</f>
        <v>0</v>
      </c>
      <c r="E202" s="51" t="n">
        <f aca="false">COUNTIFS('Demo Pipeline'!$J$5:$J$504,$B202,'Demo Pipeline'!$B$5:$B$504,"&gt;="&amp;$C$4,'Demo Pipeline'!$B$5:$B$504,"&lt;="&amp;$F$4,'Demo Pipeline'!$X$5:$X$504,"Yes")</f>
        <v>0</v>
      </c>
      <c r="F202" s="51" t="n">
        <f aca="false">COUNTIFS('Demo Pipeline'!$J$5:$J$504,$B202,'Demo Pipeline'!$B$5:$B$504,"&gt;="&amp;$C$4,'Demo Pipeline'!$B$5:$B$504,"&lt;="&amp;$F$4,'Demo Pipeline'!$Y$5:$Y$504,"Closed Won")</f>
        <v>0</v>
      </c>
      <c r="G202" s="62" t="n">
        <f aca="false">SUMIFS('Demo Pipeline'!$Z$5:$Z$504,'Demo Pipeline'!$J$5:$J$504,$B202,'Demo Pipeline'!$B$5:$B$504,"&gt;="&amp;$C$4,'Demo Pipeline'!$B$5:$B$504,"&lt;="&amp;$F$4)</f>
        <v>0</v>
      </c>
      <c r="H202" s="67" t="str">
        <f aca="false">IFERROR(AVERAGEIFS('Demo Pipeline'!$U$5:$U$504,'Demo Pipeline'!$J$5:$J$504,$B202,'Demo Pipeline'!$B$5:$B$504,"&gt;="&amp;$C$4,'Demo Pipeline'!$B$5:$B$504,"&lt;="&amp;$F$4),"")</f>
        <v/>
      </c>
    </row>
    <row r="203" customFormat="false" ht="15" hidden="false" customHeight="false" outlineLevel="0" collapsed="false">
      <c r="B203" s="50" t="str">
        <f aca="false">IF(Settings!$U$10="","",Settings!$U$10)</f>
        <v>Google Search</v>
      </c>
      <c r="C203" s="51" t="n">
        <f aca="false">COUNTIFS('Demo Pipeline'!$J$5:$J$504,$B203,'Demo Pipeline'!$B$5:$B$504,"&gt;="&amp;$C$4,'Demo Pipeline'!$B$5:$B$504,"&lt;="&amp;$F$4)</f>
        <v>0</v>
      </c>
      <c r="D203" s="51" t="n">
        <f aca="false">COUNTIFS('Demo Pipeline'!$J$5:$J$504,$B203,'Demo Pipeline'!$B$5:$B$504,"&gt;="&amp;$C$4,'Demo Pipeline'!$B$5:$B$504,"&lt;="&amp;$F$4,'Demo Pipeline'!$W$5:$W$504,"Attended")</f>
        <v>0</v>
      </c>
      <c r="E203" s="51" t="n">
        <f aca="false">COUNTIFS('Demo Pipeline'!$J$5:$J$504,$B203,'Demo Pipeline'!$B$5:$B$504,"&gt;="&amp;$C$4,'Demo Pipeline'!$B$5:$B$504,"&lt;="&amp;$F$4,'Demo Pipeline'!$X$5:$X$504,"Yes")</f>
        <v>0</v>
      </c>
      <c r="F203" s="51" t="n">
        <f aca="false">COUNTIFS('Demo Pipeline'!$J$5:$J$504,$B203,'Demo Pipeline'!$B$5:$B$504,"&gt;="&amp;$C$4,'Demo Pipeline'!$B$5:$B$504,"&lt;="&amp;$F$4,'Demo Pipeline'!$Y$5:$Y$504,"Closed Won")</f>
        <v>0</v>
      </c>
      <c r="G203" s="62" t="n">
        <f aca="false">SUMIFS('Demo Pipeline'!$Z$5:$Z$504,'Demo Pipeline'!$J$5:$J$504,$B203,'Demo Pipeline'!$B$5:$B$504,"&gt;="&amp;$C$4,'Demo Pipeline'!$B$5:$B$504,"&lt;="&amp;$F$4)</f>
        <v>0</v>
      </c>
      <c r="H203" s="67" t="str">
        <f aca="false">IFERROR(AVERAGEIFS('Demo Pipeline'!$U$5:$U$504,'Demo Pipeline'!$J$5:$J$504,$B203,'Demo Pipeline'!$B$5:$B$504,"&gt;="&amp;$C$4,'Demo Pipeline'!$B$5:$B$504,"&lt;="&amp;$F$4),"")</f>
        <v/>
      </c>
    </row>
    <row r="204" customFormat="false" ht="15" hidden="false" customHeight="false" outlineLevel="0" collapsed="false">
      <c r="B204" s="50" t="str">
        <f aca="false">IF(Settings!$U$11="","",Settings!$U$11)</f>
        <v>Direct / Typed URL</v>
      </c>
      <c r="C204" s="51" t="n">
        <f aca="false">COUNTIFS('Demo Pipeline'!$J$5:$J$504,$B204,'Demo Pipeline'!$B$5:$B$504,"&gt;="&amp;$C$4,'Demo Pipeline'!$B$5:$B$504,"&lt;="&amp;$F$4)</f>
        <v>0</v>
      </c>
      <c r="D204" s="51" t="n">
        <f aca="false">COUNTIFS('Demo Pipeline'!$J$5:$J$504,$B204,'Demo Pipeline'!$B$5:$B$504,"&gt;="&amp;$C$4,'Demo Pipeline'!$B$5:$B$504,"&lt;="&amp;$F$4,'Demo Pipeline'!$W$5:$W$504,"Attended")</f>
        <v>0</v>
      </c>
      <c r="E204" s="51" t="n">
        <f aca="false">COUNTIFS('Demo Pipeline'!$J$5:$J$504,$B204,'Demo Pipeline'!$B$5:$B$504,"&gt;="&amp;$C$4,'Demo Pipeline'!$B$5:$B$504,"&lt;="&amp;$F$4,'Demo Pipeline'!$X$5:$X$504,"Yes")</f>
        <v>0</v>
      </c>
      <c r="F204" s="51" t="n">
        <f aca="false">COUNTIFS('Demo Pipeline'!$J$5:$J$504,$B204,'Demo Pipeline'!$B$5:$B$504,"&gt;="&amp;$C$4,'Demo Pipeline'!$B$5:$B$504,"&lt;="&amp;$F$4,'Demo Pipeline'!$Y$5:$Y$504,"Closed Won")</f>
        <v>0</v>
      </c>
      <c r="G204" s="62" t="n">
        <f aca="false">SUMIFS('Demo Pipeline'!$Z$5:$Z$504,'Demo Pipeline'!$J$5:$J$504,$B204,'Demo Pipeline'!$B$5:$B$504,"&gt;="&amp;$C$4,'Demo Pipeline'!$B$5:$B$504,"&lt;="&amp;$F$4)</f>
        <v>0</v>
      </c>
      <c r="H204" s="67" t="str">
        <f aca="false">IFERROR(AVERAGEIFS('Demo Pipeline'!$U$5:$U$504,'Demo Pipeline'!$J$5:$J$504,$B204,'Demo Pipeline'!$B$5:$B$504,"&gt;="&amp;$C$4,'Demo Pipeline'!$B$5:$B$504,"&lt;="&amp;$F$4),"")</f>
        <v/>
      </c>
    </row>
    <row r="205" customFormat="false" ht="15" hidden="false" customHeight="false" outlineLevel="0" collapsed="false">
      <c r="B205" s="50" t="str">
        <f aca="false">IF(Settings!$U$12="","",Settings!$U$12)</f>
        <v>Email</v>
      </c>
      <c r="C205" s="51" t="n">
        <f aca="false">COUNTIFS('Demo Pipeline'!$J$5:$J$504,$B205,'Demo Pipeline'!$B$5:$B$504,"&gt;="&amp;$C$4,'Demo Pipeline'!$B$5:$B$504,"&lt;="&amp;$F$4)</f>
        <v>0</v>
      </c>
      <c r="D205" s="51" t="n">
        <f aca="false">COUNTIFS('Demo Pipeline'!$J$5:$J$504,$B205,'Demo Pipeline'!$B$5:$B$504,"&gt;="&amp;$C$4,'Demo Pipeline'!$B$5:$B$504,"&lt;="&amp;$F$4,'Demo Pipeline'!$W$5:$W$504,"Attended")</f>
        <v>0</v>
      </c>
      <c r="E205" s="51" t="n">
        <f aca="false">COUNTIFS('Demo Pipeline'!$J$5:$J$504,$B205,'Demo Pipeline'!$B$5:$B$504,"&gt;="&amp;$C$4,'Demo Pipeline'!$B$5:$B$504,"&lt;="&amp;$F$4,'Demo Pipeline'!$X$5:$X$504,"Yes")</f>
        <v>0</v>
      </c>
      <c r="F205" s="51" t="n">
        <f aca="false">COUNTIFS('Demo Pipeline'!$J$5:$J$504,$B205,'Demo Pipeline'!$B$5:$B$504,"&gt;="&amp;$C$4,'Demo Pipeline'!$B$5:$B$504,"&lt;="&amp;$F$4,'Demo Pipeline'!$Y$5:$Y$504,"Closed Won")</f>
        <v>0</v>
      </c>
      <c r="G205" s="62" t="n">
        <f aca="false">SUMIFS('Demo Pipeline'!$Z$5:$Z$504,'Demo Pipeline'!$J$5:$J$504,$B205,'Demo Pipeline'!$B$5:$B$504,"&gt;="&amp;$C$4,'Demo Pipeline'!$B$5:$B$504,"&lt;="&amp;$F$4)</f>
        <v>0</v>
      </c>
      <c r="H205" s="67" t="str">
        <f aca="false">IFERROR(AVERAGEIFS('Demo Pipeline'!$U$5:$U$504,'Demo Pipeline'!$J$5:$J$504,$B205,'Demo Pipeline'!$B$5:$B$504,"&gt;="&amp;$C$4,'Demo Pipeline'!$B$5:$B$504,"&lt;="&amp;$F$4),"")</f>
        <v/>
      </c>
    </row>
    <row r="206" customFormat="false" ht="15" hidden="false" customHeight="false" outlineLevel="0" collapsed="false">
      <c r="B206" s="50" t="str">
        <f aca="false">IF(Settings!$U$13="","",Settings!$U$13)</f>
        <v>Referral</v>
      </c>
      <c r="C206" s="51" t="n">
        <f aca="false">COUNTIFS('Demo Pipeline'!$J$5:$J$504,$B206,'Demo Pipeline'!$B$5:$B$504,"&gt;="&amp;$C$4,'Demo Pipeline'!$B$5:$B$504,"&lt;="&amp;$F$4)</f>
        <v>0</v>
      </c>
      <c r="D206" s="51" t="n">
        <f aca="false">COUNTIFS('Demo Pipeline'!$J$5:$J$504,$B206,'Demo Pipeline'!$B$5:$B$504,"&gt;="&amp;$C$4,'Demo Pipeline'!$B$5:$B$504,"&lt;="&amp;$F$4,'Demo Pipeline'!$W$5:$W$504,"Attended")</f>
        <v>0</v>
      </c>
      <c r="E206" s="51" t="n">
        <f aca="false">COUNTIFS('Demo Pipeline'!$J$5:$J$504,$B206,'Demo Pipeline'!$B$5:$B$504,"&gt;="&amp;$C$4,'Demo Pipeline'!$B$5:$B$504,"&lt;="&amp;$F$4,'Demo Pipeline'!$X$5:$X$504,"Yes")</f>
        <v>0</v>
      </c>
      <c r="F206" s="51" t="n">
        <f aca="false">COUNTIFS('Demo Pipeline'!$J$5:$J$504,$B206,'Demo Pipeline'!$B$5:$B$504,"&gt;="&amp;$C$4,'Demo Pipeline'!$B$5:$B$504,"&lt;="&amp;$F$4,'Demo Pipeline'!$Y$5:$Y$504,"Closed Won")</f>
        <v>0</v>
      </c>
      <c r="G206" s="62" t="n">
        <f aca="false">SUMIFS('Demo Pipeline'!$Z$5:$Z$504,'Demo Pipeline'!$J$5:$J$504,$B206,'Demo Pipeline'!$B$5:$B$504,"&gt;="&amp;$C$4,'Demo Pipeline'!$B$5:$B$504,"&lt;="&amp;$F$4)</f>
        <v>0</v>
      </c>
      <c r="H206" s="67" t="str">
        <f aca="false">IFERROR(AVERAGEIFS('Demo Pipeline'!$U$5:$U$504,'Demo Pipeline'!$J$5:$J$504,$B206,'Demo Pipeline'!$B$5:$B$504,"&gt;="&amp;$C$4,'Demo Pipeline'!$B$5:$B$504,"&lt;="&amp;$F$4),"")</f>
        <v/>
      </c>
    </row>
    <row r="207" customFormat="false" ht="15" hidden="false" customHeight="false" outlineLevel="0" collapsed="false">
      <c r="B207" s="50" t="str">
        <f aca="false">IF(Settings!$U$14="","",Settings!$U$14)</f>
        <v>Event / Conference</v>
      </c>
      <c r="C207" s="51" t="n">
        <f aca="false">COUNTIFS('Demo Pipeline'!$J$5:$J$504,$B207,'Demo Pipeline'!$B$5:$B$504,"&gt;="&amp;$C$4,'Demo Pipeline'!$B$5:$B$504,"&lt;="&amp;$F$4)</f>
        <v>0</v>
      </c>
      <c r="D207" s="51" t="n">
        <f aca="false">COUNTIFS('Demo Pipeline'!$J$5:$J$504,$B207,'Demo Pipeline'!$B$5:$B$504,"&gt;="&amp;$C$4,'Demo Pipeline'!$B$5:$B$504,"&lt;="&amp;$F$4,'Demo Pipeline'!$W$5:$W$504,"Attended")</f>
        <v>0</v>
      </c>
      <c r="E207" s="51" t="n">
        <f aca="false">COUNTIFS('Demo Pipeline'!$J$5:$J$504,$B207,'Demo Pipeline'!$B$5:$B$504,"&gt;="&amp;$C$4,'Demo Pipeline'!$B$5:$B$504,"&lt;="&amp;$F$4,'Demo Pipeline'!$X$5:$X$504,"Yes")</f>
        <v>0</v>
      </c>
      <c r="F207" s="51" t="n">
        <f aca="false">COUNTIFS('Demo Pipeline'!$J$5:$J$504,$B207,'Demo Pipeline'!$B$5:$B$504,"&gt;="&amp;$C$4,'Demo Pipeline'!$B$5:$B$504,"&lt;="&amp;$F$4,'Demo Pipeline'!$Y$5:$Y$504,"Closed Won")</f>
        <v>0</v>
      </c>
      <c r="G207" s="62" t="n">
        <f aca="false">SUMIFS('Demo Pipeline'!$Z$5:$Z$504,'Demo Pipeline'!$J$5:$J$504,$B207,'Demo Pipeline'!$B$5:$B$504,"&gt;="&amp;$C$4,'Demo Pipeline'!$B$5:$B$504,"&lt;="&amp;$F$4)</f>
        <v>0</v>
      </c>
      <c r="H207" s="67" t="str">
        <f aca="false">IFERROR(AVERAGEIFS('Demo Pipeline'!$U$5:$U$504,'Demo Pipeline'!$J$5:$J$504,$B207,'Demo Pipeline'!$B$5:$B$504,"&gt;="&amp;$C$4,'Demo Pipeline'!$B$5:$B$504,"&lt;="&amp;$F$4),"")</f>
        <v/>
      </c>
    </row>
    <row r="208" customFormat="false" ht="15" hidden="false" customHeight="false" outlineLevel="0" collapsed="false">
      <c r="B208" s="50" t="str">
        <f aca="false">IF(Settings!$U$15="","",Settings!$U$15)</f>
        <v>Social DM</v>
      </c>
      <c r="C208" s="51" t="n">
        <f aca="false">COUNTIFS('Demo Pipeline'!$J$5:$J$504,$B208,'Demo Pipeline'!$B$5:$B$504,"&gt;="&amp;$C$4,'Demo Pipeline'!$B$5:$B$504,"&lt;="&amp;$F$4)</f>
        <v>0</v>
      </c>
      <c r="D208" s="51" t="n">
        <f aca="false">COUNTIFS('Demo Pipeline'!$J$5:$J$504,$B208,'Demo Pipeline'!$B$5:$B$504,"&gt;="&amp;$C$4,'Demo Pipeline'!$B$5:$B$504,"&lt;="&amp;$F$4,'Demo Pipeline'!$W$5:$W$504,"Attended")</f>
        <v>0</v>
      </c>
      <c r="E208" s="51" t="n">
        <f aca="false">COUNTIFS('Demo Pipeline'!$J$5:$J$504,$B208,'Demo Pipeline'!$B$5:$B$504,"&gt;="&amp;$C$4,'Demo Pipeline'!$B$5:$B$504,"&lt;="&amp;$F$4,'Demo Pipeline'!$X$5:$X$504,"Yes")</f>
        <v>0</v>
      </c>
      <c r="F208" s="51" t="n">
        <f aca="false">COUNTIFS('Demo Pipeline'!$J$5:$J$504,$B208,'Demo Pipeline'!$B$5:$B$504,"&gt;="&amp;$C$4,'Demo Pipeline'!$B$5:$B$504,"&lt;="&amp;$F$4,'Demo Pipeline'!$Y$5:$Y$504,"Closed Won")</f>
        <v>0</v>
      </c>
      <c r="G208" s="62" t="n">
        <f aca="false">SUMIFS('Demo Pipeline'!$Z$5:$Z$504,'Demo Pipeline'!$J$5:$J$504,$B208,'Demo Pipeline'!$B$5:$B$504,"&gt;="&amp;$C$4,'Demo Pipeline'!$B$5:$B$504,"&lt;="&amp;$F$4)</f>
        <v>0</v>
      </c>
      <c r="H208" s="67" t="str">
        <f aca="false">IFERROR(AVERAGEIFS('Demo Pipeline'!$U$5:$U$504,'Demo Pipeline'!$J$5:$J$504,$B208,'Demo Pipeline'!$B$5:$B$504,"&gt;="&amp;$C$4,'Demo Pipeline'!$B$5:$B$504,"&lt;="&amp;$F$4),"")</f>
        <v/>
      </c>
    </row>
    <row r="209" customFormat="false" ht="15" hidden="false" customHeight="false" outlineLevel="0" collapsed="false">
      <c r="B209" s="50" t="str">
        <f aca="false">IF(Settings!$U$16="","",Settings!$U$16)</f>
        <v>Other</v>
      </c>
      <c r="C209" s="51" t="n">
        <f aca="false">COUNTIFS('Demo Pipeline'!$J$5:$J$504,$B209,'Demo Pipeline'!$B$5:$B$504,"&gt;="&amp;$C$4,'Demo Pipeline'!$B$5:$B$504,"&lt;="&amp;$F$4)</f>
        <v>0</v>
      </c>
      <c r="D209" s="51" t="n">
        <f aca="false">COUNTIFS('Demo Pipeline'!$J$5:$J$504,$B209,'Demo Pipeline'!$B$5:$B$504,"&gt;="&amp;$C$4,'Demo Pipeline'!$B$5:$B$504,"&lt;="&amp;$F$4,'Demo Pipeline'!$W$5:$W$504,"Attended")</f>
        <v>0</v>
      </c>
      <c r="E209" s="51" t="n">
        <f aca="false">COUNTIFS('Demo Pipeline'!$J$5:$J$504,$B209,'Demo Pipeline'!$B$5:$B$504,"&gt;="&amp;$C$4,'Demo Pipeline'!$B$5:$B$504,"&lt;="&amp;$F$4,'Demo Pipeline'!$X$5:$X$504,"Yes")</f>
        <v>0</v>
      </c>
      <c r="F209" s="51" t="n">
        <f aca="false">COUNTIFS('Demo Pipeline'!$J$5:$J$504,$B209,'Demo Pipeline'!$B$5:$B$504,"&gt;="&amp;$C$4,'Demo Pipeline'!$B$5:$B$504,"&lt;="&amp;$F$4,'Demo Pipeline'!$Y$5:$Y$504,"Closed Won")</f>
        <v>0</v>
      </c>
      <c r="G209" s="62" t="n">
        <f aca="false">SUMIFS('Demo Pipeline'!$Z$5:$Z$504,'Demo Pipeline'!$J$5:$J$504,$B209,'Demo Pipeline'!$B$5:$B$504,"&gt;="&amp;$C$4,'Demo Pipeline'!$B$5:$B$504,"&lt;="&amp;$F$4)</f>
        <v>0</v>
      </c>
      <c r="H209" s="67" t="str">
        <f aca="false">IFERROR(AVERAGEIFS('Demo Pipeline'!$U$5:$U$504,'Demo Pipeline'!$J$5:$J$504,$B209,'Demo Pipeline'!$B$5:$B$504,"&gt;="&amp;$C$4,'Demo Pipeline'!$B$5:$B$504,"&lt;="&amp;$F$4),"")</f>
        <v/>
      </c>
    </row>
    <row r="210" customFormat="false" ht="15" hidden="false" customHeight="false" outlineLevel="0" collapsed="false">
      <c r="B210" s="50" t="str">
        <f aca="false">IF(Settings!$U$17="","",Settings!$U$17)</f>
        <v/>
      </c>
      <c r="C210" s="51" t="n">
        <f aca="false">COUNTIFS('Demo Pipeline'!$J$5:$J$504,$B210,'Demo Pipeline'!$B$5:$B$504,"&gt;="&amp;$C$4,'Demo Pipeline'!$B$5:$B$504,"&lt;="&amp;$F$4)</f>
        <v>0</v>
      </c>
      <c r="D210" s="51" t="n">
        <f aca="false">COUNTIFS('Demo Pipeline'!$J$5:$J$504,$B210,'Demo Pipeline'!$B$5:$B$504,"&gt;="&amp;$C$4,'Demo Pipeline'!$B$5:$B$504,"&lt;="&amp;$F$4,'Demo Pipeline'!$W$5:$W$504,"Attended")</f>
        <v>0</v>
      </c>
      <c r="E210" s="51" t="n">
        <f aca="false">COUNTIFS('Demo Pipeline'!$J$5:$J$504,$B210,'Demo Pipeline'!$B$5:$B$504,"&gt;="&amp;$C$4,'Demo Pipeline'!$B$5:$B$504,"&lt;="&amp;$F$4,'Demo Pipeline'!$X$5:$X$504,"Yes")</f>
        <v>0</v>
      </c>
      <c r="F210" s="51" t="n">
        <f aca="false">COUNTIFS('Demo Pipeline'!$J$5:$J$504,$B210,'Demo Pipeline'!$B$5:$B$504,"&gt;="&amp;$C$4,'Demo Pipeline'!$B$5:$B$504,"&lt;="&amp;$F$4,'Demo Pipeline'!$Y$5:$Y$504,"Closed Won")</f>
        <v>0</v>
      </c>
      <c r="G210" s="62" t="n">
        <f aca="false">SUMIFS('Demo Pipeline'!$Z$5:$Z$504,'Demo Pipeline'!$J$5:$J$504,$B210,'Demo Pipeline'!$B$5:$B$504,"&gt;="&amp;$C$4,'Demo Pipeline'!$B$5:$B$504,"&lt;="&amp;$F$4)</f>
        <v>0</v>
      </c>
      <c r="H210" s="67" t="str">
        <f aca="false">IFERROR(AVERAGEIFS('Demo Pipeline'!$U$5:$U$504,'Demo Pipeline'!$J$5:$J$504,$B210,'Demo Pipeline'!$B$5:$B$504,"&gt;="&amp;$C$4,'Demo Pipeline'!$B$5:$B$504,"&lt;="&amp;$F$4),"")</f>
        <v/>
      </c>
    </row>
    <row r="211" customFormat="false" ht="15" hidden="false" customHeight="false" outlineLevel="0" collapsed="false">
      <c r="B211" s="50" t="str">
        <f aca="false">IF(Settings!$U$18="","",Settings!$U$18)</f>
        <v/>
      </c>
      <c r="C211" s="51" t="n">
        <f aca="false">COUNTIFS('Demo Pipeline'!$J$5:$J$504,$B211,'Demo Pipeline'!$B$5:$B$504,"&gt;="&amp;$C$4,'Demo Pipeline'!$B$5:$B$504,"&lt;="&amp;$F$4)</f>
        <v>0</v>
      </c>
      <c r="D211" s="51" t="n">
        <f aca="false">COUNTIFS('Demo Pipeline'!$J$5:$J$504,$B211,'Demo Pipeline'!$B$5:$B$504,"&gt;="&amp;$C$4,'Demo Pipeline'!$B$5:$B$504,"&lt;="&amp;$F$4,'Demo Pipeline'!$W$5:$W$504,"Attended")</f>
        <v>0</v>
      </c>
      <c r="E211" s="51" t="n">
        <f aca="false">COUNTIFS('Demo Pipeline'!$J$5:$J$504,$B211,'Demo Pipeline'!$B$5:$B$504,"&gt;="&amp;$C$4,'Demo Pipeline'!$B$5:$B$504,"&lt;="&amp;$F$4,'Demo Pipeline'!$X$5:$X$504,"Yes")</f>
        <v>0</v>
      </c>
      <c r="F211" s="51" t="n">
        <f aca="false">COUNTIFS('Demo Pipeline'!$J$5:$J$504,$B211,'Demo Pipeline'!$B$5:$B$504,"&gt;="&amp;$C$4,'Demo Pipeline'!$B$5:$B$504,"&lt;="&amp;$F$4,'Demo Pipeline'!$Y$5:$Y$504,"Closed Won")</f>
        <v>0</v>
      </c>
      <c r="G211" s="62" t="n">
        <f aca="false">SUMIFS('Demo Pipeline'!$Z$5:$Z$504,'Demo Pipeline'!$J$5:$J$504,$B211,'Demo Pipeline'!$B$5:$B$504,"&gt;="&amp;$C$4,'Demo Pipeline'!$B$5:$B$504,"&lt;="&amp;$F$4)</f>
        <v>0</v>
      </c>
      <c r="H211" s="67" t="str">
        <f aca="false">IFERROR(AVERAGEIFS('Demo Pipeline'!$U$5:$U$504,'Demo Pipeline'!$J$5:$J$504,$B211,'Demo Pipeline'!$B$5:$B$504,"&gt;="&amp;$C$4,'Demo Pipeline'!$B$5:$B$504,"&lt;="&amp;$F$4),"")</f>
        <v/>
      </c>
    </row>
    <row r="213" customFormat="false" ht="15" hidden="false" customHeight="false" outlineLevel="0" collapsed="false">
      <c r="B213" s="64" t="s">
        <v>284</v>
      </c>
    </row>
    <row r="214" customFormat="false" ht="23.85" hidden="false" customHeight="false" outlineLevel="0" collapsed="false">
      <c r="B214" s="65"/>
      <c r="C214" s="66" t="s">
        <v>126</v>
      </c>
      <c r="D214" s="66" t="s">
        <v>280</v>
      </c>
      <c r="E214" s="66" t="s">
        <v>281</v>
      </c>
      <c r="F214" s="66" t="s">
        <v>282</v>
      </c>
      <c r="G214" s="66" t="s">
        <v>257</v>
      </c>
      <c r="H214" s="66" t="s">
        <v>283</v>
      </c>
    </row>
    <row r="215" customFormat="false" ht="15" hidden="false" customHeight="false" outlineLevel="0" collapsed="false">
      <c r="B215" s="50" t="s">
        <v>285</v>
      </c>
      <c r="C215" s="51" t="n">
        <f aca="false">COUNTIFS('Demo Pipeline'!$R$5:$R$504,$B215,'Demo Pipeline'!$B$5:$B$504,"&gt;="&amp;$C$4,'Demo Pipeline'!$B$5:$B$504,"&lt;="&amp;$F$4)</f>
        <v>0</v>
      </c>
      <c r="D215" s="51" t="n">
        <f aca="false">COUNTIFS('Demo Pipeline'!$R$5:$R$504,$B215,'Demo Pipeline'!$B$5:$B$504,"&gt;="&amp;$C$4,'Demo Pipeline'!$B$5:$B$504,"&lt;="&amp;$F$4,'Demo Pipeline'!$W$5:$W$504,"Attended")</f>
        <v>0</v>
      </c>
      <c r="E215" s="51" t="n">
        <f aca="false">COUNTIFS('Demo Pipeline'!$R$5:$R$504,$B215,'Demo Pipeline'!$B$5:$B$504,"&gt;="&amp;$C$4,'Demo Pipeline'!$B$5:$B$504,"&lt;="&amp;$F$4,'Demo Pipeline'!$X$5:$X$504,"Yes")</f>
        <v>0</v>
      </c>
      <c r="F215" s="51" t="n">
        <f aca="false">COUNTIFS('Demo Pipeline'!$R$5:$R$504,$B215,'Demo Pipeline'!$B$5:$B$504,"&gt;="&amp;$C$4,'Demo Pipeline'!$B$5:$B$504,"&lt;="&amp;$F$4,'Demo Pipeline'!$Y$5:$Y$504,"Closed Won")</f>
        <v>0</v>
      </c>
      <c r="G215" s="62" t="n">
        <f aca="false">SUMIFS('Demo Pipeline'!$Z$5:$Z$504,'Demo Pipeline'!$R$5:$R$504,$B215,'Demo Pipeline'!$B$5:$B$504,"&gt;="&amp;$C$4,'Demo Pipeline'!$B$5:$B$504,"&lt;="&amp;$F$4)</f>
        <v>0</v>
      </c>
      <c r="H215" s="67" t="str">
        <f aca="false">IFERROR(AVERAGEIFS('Demo Pipeline'!$U$5:$U$504,'Demo Pipeline'!$R$5:$R$504,$B215,'Demo Pipeline'!$B$5:$B$504,"&gt;="&amp;$C$4,'Demo Pipeline'!$B$5:$B$504,"&lt;="&amp;$F$4),"")</f>
        <v/>
      </c>
    </row>
    <row r="216" customFormat="false" ht="15" hidden="false" customHeight="false" outlineLevel="0" collapsed="false">
      <c r="B216" s="50" t="s">
        <v>286</v>
      </c>
      <c r="C216" s="51" t="n">
        <f aca="false">COUNTIFS('Demo Pipeline'!$R$5:$R$504,$B216,'Demo Pipeline'!$B$5:$B$504,"&gt;="&amp;$C$4,'Demo Pipeline'!$B$5:$B$504,"&lt;="&amp;$F$4)</f>
        <v>0</v>
      </c>
      <c r="D216" s="51" t="n">
        <f aca="false">COUNTIFS('Demo Pipeline'!$R$5:$R$504,$B216,'Demo Pipeline'!$B$5:$B$504,"&gt;="&amp;$C$4,'Demo Pipeline'!$B$5:$B$504,"&lt;="&amp;$F$4,'Demo Pipeline'!$W$5:$W$504,"Attended")</f>
        <v>0</v>
      </c>
      <c r="E216" s="51" t="n">
        <f aca="false">COUNTIFS('Demo Pipeline'!$R$5:$R$504,$B216,'Demo Pipeline'!$B$5:$B$504,"&gt;="&amp;$C$4,'Demo Pipeline'!$B$5:$B$504,"&lt;="&amp;$F$4,'Demo Pipeline'!$X$5:$X$504,"Yes")</f>
        <v>0</v>
      </c>
      <c r="F216" s="51" t="n">
        <f aca="false">COUNTIFS('Demo Pipeline'!$R$5:$R$504,$B216,'Demo Pipeline'!$B$5:$B$504,"&gt;="&amp;$C$4,'Demo Pipeline'!$B$5:$B$504,"&lt;="&amp;$F$4,'Demo Pipeline'!$Y$5:$Y$504,"Closed Won")</f>
        <v>0</v>
      </c>
      <c r="G216" s="62" t="n">
        <f aca="false">SUMIFS('Demo Pipeline'!$Z$5:$Z$504,'Demo Pipeline'!$R$5:$R$504,$B216,'Demo Pipeline'!$B$5:$B$504,"&gt;="&amp;$C$4,'Demo Pipeline'!$B$5:$B$504,"&lt;="&amp;$F$4)</f>
        <v>0</v>
      </c>
      <c r="H216" s="67" t="str">
        <f aca="false">IFERROR(AVERAGEIFS('Demo Pipeline'!$U$5:$U$504,'Demo Pipeline'!$R$5:$R$504,$B216,'Demo Pipeline'!$B$5:$B$504,"&gt;="&amp;$C$4,'Demo Pipeline'!$B$5:$B$504,"&lt;="&amp;$F$4),"")</f>
        <v/>
      </c>
    </row>
    <row r="217" customFormat="false" ht="15" hidden="false" customHeight="false" outlineLevel="0" collapsed="false">
      <c r="B217" s="50" t="s">
        <v>287</v>
      </c>
      <c r="C217" s="51" t="n">
        <f aca="false">COUNTIFS('Demo Pipeline'!$R$5:$R$504,$B217,'Demo Pipeline'!$B$5:$B$504,"&gt;="&amp;$C$4,'Demo Pipeline'!$B$5:$B$504,"&lt;="&amp;$F$4)</f>
        <v>0</v>
      </c>
      <c r="D217" s="51" t="n">
        <f aca="false">COUNTIFS('Demo Pipeline'!$R$5:$R$504,$B217,'Demo Pipeline'!$B$5:$B$504,"&gt;="&amp;$C$4,'Demo Pipeline'!$B$5:$B$504,"&lt;="&amp;$F$4,'Demo Pipeline'!$W$5:$W$504,"Attended")</f>
        <v>0</v>
      </c>
      <c r="E217" s="51" t="n">
        <f aca="false">COUNTIFS('Demo Pipeline'!$R$5:$R$504,$B217,'Demo Pipeline'!$B$5:$B$504,"&gt;="&amp;$C$4,'Demo Pipeline'!$B$5:$B$504,"&lt;="&amp;$F$4,'Demo Pipeline'!$X$5:$X$504,"Yes")</f>
        <v>0</v>
      </c>
      <c r="F217" s="51" t="n">
        <f aca="false">COUNTIFS('Demo Pipeline'!$R$5:$R$504,$B217,'Demo Pipeline'!$B$5:$B$504,"&gt;="&amp;$C$4,'Demo Pipeline'!$B$5:$B$504,"&lt;="&amp;$F$4,'Demo Pipeline'!$Y$5:$Y$504,"Closed Won")</f>
        <v>0</v>
      </c>
      <c r="G217" s="62" t="n">
        <f aca="false">SUMIFS('Demo Pipeline'!$Z$5:$Z$504,'Demo Pipeline'!$R$5:$R$504,$B217,'Demo Pipeline'!$B$5:$B$504,"&gt;="&amp;$C$4,'Demo Pipeline'!$B$5:$B$504,"&lt;="&amp;$F$4)</f>
        <v>0</v>
      </c>
      <c r="H217" s="67" t="str">
        <f aca="false">IFERROR(AVERAGEIFS('Demo Pipeline'!$U$5:$U$504,'Demo Pipeline'!$R$5:$R$504,$B217,'Demo Pipeline'!$B$5:$B$504,"&gt;="&amp;$C$4,'Demo Pipeline'!$B$5:$B$504,"&lt;="&amp;$F$4),"")</f>
        <v/>
      </c>
    </row>
    <row r="218" customFormat="false" ht="15" hidden="false" customHeight="false" outlineLevel="0" collapsed="false">
      <c r="B218" s="50" t="s">
        <v>288</v>
      </c>
      <c r="C218" s="51" t="n">
        <f aca="false">COUNTIFS('Demo Pipeline'!$R$5:$R$504,$B218,'Demo Pipeline'!$B$5:$B$504,"&gt;="&amp;$C$4,'Demo Pipeline'!$B$5:$B$504,"&lt;="&amp;$F$4)</f>
        <v>0</v>
      </c>
      <c r="D218" s="51" t="n">
        <f aca="false">COUNTIFS('Demo Pipeline'!$R$5:$R$504,$B218,'Demo Pipeline'!$B$5:$B$504,"&gt;="&amp;$C$4,'Demo Pipeline'!$B$5:$B$504,"&lt;="&amp;$F$4,'Demo Pipeline'!$W$5:$W$504,"Attended")</f>
        <v>0</v>
      </c>
      <c r="E218" s="51" t="n">
        <f aca="false">COUNTIFS('Demo Pipeline'!$R$5:$R$504,$B218,'Demo Pipeline'!$B$5:$B$504,"&gt;="&amp;$C$4,'Demo Pipeline'!$B$5:$B$504,"&lt;="&amp;$F$4,'Demo Pipeline'!$X$5:$X$504,"Yes")</f>
        <v>0</v>
      </c>
      <c r="F218" s="51" t="n">
        <f aca="false">COUNTIFS('Demo Pipeline'!$R$5:$R$504,$B218,'Demo Pipeline'!$B$5:$B$504,"&gt;="&amp;$C$4,'Demo Pipeline'!$B$5:$B$504,"&lt;="&amp;$F$4,'Demo Pipeline'!$Y$5:$Y$504,"Closed Won")</f>
        <v>0</v>
      </c>
      <c r="G218" s="62" t="n">
        <f aca="false">SUMIFS('Demo Pipeline'!$Z$5:$Z$504,'Demo Pipeline'!$R$5:$R$504,$B218,'Demo Pipeline'!$B$5:$B$504,"&gt;="&amp;$C$4,'Demo Pipeline'!$B$5:$B$504,"&lt;="&amp;$F$4)</f>
        <v>0</v>
      </c>
      <c r="H218" s="67" t="str">
        <f aca="false">IFERROR(AVERAGEIFS('Demo Pipeline'!$U$5:$U$504,'Demo Pipeline'!$R$5:$R$504,$B218,'Demo Pipeline'!$B$5:$B$504,"&gt;="&amp;$C$4,'Demo Pipeline'!$B$5:$B$504,"&lt;="&amp;$F$4),"")</f>
        <v/>
      </c>
    </row>
    <row r="219" customFormat="false" ht="15" hidden="false" customHeight="false" outlineLevel="0" collapsed="false">
      <c r="B219" s="54" t="s">
        <v>289</v>
      </c>
    </row>
  </sheetData>
  <mergeCells count="38">
    <mergeCell ref="B7:C7"/>
    <mergeCell ref="D7:E7"/>
    <mergeCell ref="F7:G7"/>
    <mergeCell ref="H7:I7"/>
    <mergeCell ref="J7:K7"/>
    <mergeCell ref="L7:M7"/>
    <mergeCell ref="N7:O7"/>
    <mergeCell ref="B8:C8"/>
    <mergeCell ref="D8:E8"/>
    <mergeCell ref="F8:G8"/>
    <mergeCell ref="H8:I8"/>
    <mergeCell ref="J8:K8"/>
    <mergeCell ref="L8:M8"/>
    <mergeCell ref="N8:O8"/>
    <mergeCell ref="B10:C10"/>
    <mergeCell ref="D10:E10"/>
    <mergeCell ref="F10:G10"/>
    <mergeCell ref="H10:I10"/>
    <mergeCell ref="J10:K10"/>
    <mergeCell ref="L10:M10"/>
    <mergeCell ref="N10:O10"/>
    <mergeCell ref="B11:C11"/>
    <mergeCell ref="D11:E11"/>
    <mergeCell ref="F11:G11"/>
    <mergeCell ref="H11:I11"/>
    <mergeCell ref="J11:K11"/>
    <mergeCell ref="L11:M11"/>
    <mergeCell ref="N11:O11"/>
    <mergeCell ref="B13:C13"/>
    <mergeCell ref="D13:E13"/>
    <mergeCell ref="F13:G13"/>
    <mergeCell ref="H13:I13"/>
    <mergeCell ref="J13:K13"/>
    <mergeCell ref="B14:C14"/>
    <mergeCell ref="D14:E14"/>
    <mergeCell ref="F14:G14"/>
    <mergeCell ref="H14:I14"/>
    <mergeCell ref="J14:K14"/>
  </mergeCells>
  <conditionalFormatting sqref="C19:C27">
    <cfRule type="dataBar" priority="2">
      <dataBar showValue="1" minLength="10" maxLength="90">
        <cfvo type="num" val="0"/>
        <cfvo type="max" val="0"/>
        <color rgb="FF5B9BD5"/>
      </dataBar>
      <extLst>
        <ext xmlns:x14="http://schemas.microsoft.com/office/spreadsheetml/2009/9/main" uri="{B025F937-C7B1-47D3-B67F-A62EFF666E3E}">
          <x14:id>{668DD653-E633-45EC-AC78-4E621736E89E}</x14:id>
        </ext>
      </extLst>
    </cfRule>
  </conditionalFormatting>
  <conditionalFormatting sqref="G48:G54">
    <cfRule type="dataBar" priority="3">
      <dataBar showValue="1" minLength="10" maxLength="90">
        <cfvo type="num" val="0"/>
        <cfvo type="max" val="0"/>
        <color rgb="FF63BE7B"/>
      </dataBar>
      <extLst>
        <ext xmlns:x14="http://schemas.microsoft.com/office/spreadsheetml/2009/9/main" uri="{B025F937-C7B1-47D3-B67F-A62EFF666E3E}">
          <x14:id>{DD3ED47A-A352-44BE-9E4E-41308E215B45}</x14:id>
        </ext>
      </extLst>
    </cfRule>
  </conditionalFormatting>
  <conditionalFormatting sqref="H48:H54">
    <cfRule type="dataBar" priority="4">
      <dataBar showValue="1" minLength="10" maxLength="90">
        <cfvo type="num" val="0"/>
        <cfvo type="max" val="0"/>
        <color rgb="FF63BE7B"/>
      </dataBar>
      <extLst>
        <ext xmlns:x14="http://schemas.microsoft.com/office/spreadsheetml/2009/9/main" uri="{B025F937-C7B1-47D3-B67F-A62EFF666E3E}">
          <x14:id>{3181CE1B-B291-4D64-9924-F7AA6BD54E8C}</x14:id>
        </ext>
      </extLst>
    </cfRule>
  </conditionalFormatting>
  <conditionalFormatting sqref="M48:M54">
    <cfRule type="dataBar" priority="5">
      <dataBar showValue="1" minLength="10" maxLength="90">
        <cfvo type="num" val="0"/>
        <cfvo type="max" val="0"/>
        <color rgb="FFF4B183"/>
      </dataBar>
      <extLst>
        <ext xmlns:x14="http://schemas.microsoft.com/office/spreadsheetml/2009/9/main" uri="{B025F937-C7B1-47D3-B67F-A62EFF666E3E}">
          <x14:id>{D7D85EA5-5192-46CB-B8E2-AC509977C72E}</x14:id>
        </ext>
      </extLst>
    </cfRule>
  </conditionalFormatting>
  <conditionalFormatting sqref="G58:G62">
    <cfRule type="dataBar" priority="6">
      <dataBar showValue="1" minLength="10" maxLength="90">
        <cfvo type="num" val="0"/>
        <cfvo type="max" val="0"/>
        <color rgb="FF63BE7B"/>
      </dataBar>
      <extLst>
        <ext xmlns:x14="http://schemas.microsoft.com/office/spreadsheetml/2009/9/main" uri="{B025F937-C7B1-47D3-B67F-A62EFF666E3E}">
          <x14:id>{512B1CBB-2934-4B62-9110-17A0609B22EB}</x14:id>
        </ext>
      </extLst>
    </cfRule>
  </conditionalFormatting>
  <conditionalFormatting sqref="H58:H62">
    <cfRule type="dataBar" priority="7">
      <dataBar showValue="1" minLength="10" maxLength="90">
        <cfvo type="num" val="0"/>
        <cfvo type="max" val="0"/>
        <color rgb="FF63BE7B"/>
      </dataBar>
      <extLst>
        <ext xmlns:x14="http://schemas.microsoft.com/office/spreadsheetml/2009/9/main" uri="{B025F937-C7B1-47D3-B67F-A62EFF666E3E}">
          <x14:id>{F1B26A21-D760-402B-844B-9870C8B34DBC}</x14:id>
        </ext>
      </extLst>
    </cfRule>
  </conditionalFormatting>
  <conditionalFormatting sqref="M58:M62">
    <cfRule type="dataBar" priority="8">
      <dataBar showValue="1" minLength="10" maxLength="90">
        <cfvo type="num" val="0"/>
        <cfvo type="max" val="0"/>
        <color rgb="FFF4B183"/>
      </dataBar>
      <extLst>
        <ext xmlns:x14="http://schemas.microsoft.com/office/spreadsheetml/2009/9/main" uri="{B025F937-C7B1-47D3-B67F-A62EFF666E3E}">
          <x14:id>{F9E128E3-29A0-4B39-AAC8-84628B2AD379}</x14:id>
        </ext>
      </extLst>
    </cfRule>
  </conditionalFormatting>
  <conditionalFormatting sqref="G66:G78">
    <cfRule type="dataBar" priority="9">
      <dataBar showValue="1" minLength="10" maxLength="90">
        <cfvo type="num" val="0"/>
        <cfvo type="max" val="0"/>
        <color rgb="FF63BE7B"/>
      </dataBar>
      <extLst>
        <ext xmlns:x14="http://schemas.microsoft.com/office/spreadsheetml/2009/9/main" uri="{B025F937-C7B1-47D3-B67F-A62EFF666E3E}">
          <x14:id>{9D39876E-5D71-4780-A172-FDC8D470C287}</x14:id>
        </ext>
      </extLst>
    </cfRule>
  </conditionalFormatting>
  <conditionalFormatting sqref="H66:H78">
    <cfRule type="dataBar" priority="10">
      <dataBar showValue="1" minLength="10" maxLength="90">
        <cfvo type="num" val="0"/>
        <cfvo type="max" val="0"/>
        <color rgb="FF63BE7B"/>
      </dataBar>
      <extLst>
        <ext xmlns:x14="http://schemas.microsoft.com/office/spreadsheetml/2009/9/main" uri="{B025F937-C7B1-47D3-B67F-A62EFF666E3E}">
          <x14:id>{57A7FA1C-1AB1-4CE6-AFC2-1CEB164D5265}</x14:id>
        </ext>
      </extLst>
    </cfRule>
  </conditionalFormatting>
  <conditionalFormatting sqref="M66:M78">
    <cfRule type="dataBar" priority="11">
      <dataBar showValue="1" minLength="10" maxLength="90">
        <cfvo type="num" val="0"/>
        <cfvo type="max" val="0"/>
        <color rgb="FFF4B183"/>
      </dataBar>
      <extLst>
        <ext xmlns:x14="http://schemas.microsoft.com/office/spreadsheetml/2009/9/main" uri="{B025F937-C7B1-47D3-B67F-A62EFF666E3E}">
          <x14:id>{4E9C9734-E82C-49A5-8C72-847F15935FC0}</x14:id>
        </ext>
      </extLst>
    </cfRule>
  </conditionalFormatting>
  <conditionalFormatting sqref="G82:G96">
    <cfRule type="dataBar" priority="12">
      <dataBar showValue="1" minLength="10" maxLength="90">
        <cfvo type="num" val="0"/>
        <cfvo type="max" val="0"/>
        <color rgb="FF63BE7B"/>
      </dataBar>
      <extLst>
        <ext xmlns:x14="http://schemas.microsoft.com/office/spreadsheetml/2009/9/main" uri="{B025F937-C7B1-47D3-B67F-A62EFF666E3E}">
          <x14:id>{C93F672F-7774-4D15-8C72-6ABB8BE48E6A}</x14:id>
        </ext>
      </extLst>
    </cfRule>
  </conditionalFormatting>
  <conditionalFormatting sqref="H82:H96">
    <cfRule type="dataBar" priority="13">
      <dataBar showValue="1" minLength="10" maxLength="90">
        <cfvo type="num" val="0"/>
        <cfvo type="max" val="0"/>
        <color rgb="FF63BE7B"/>
      </dataBar>
      <extLst>
        <ext xmlns:x14="http://schemas.microsoft.com/office/spreadsheetml/2009/9/main" uri="{B025F937-C7B1-47D3-B67F-A62EFF666E3E}">
          <x14:id>{5C724035-947C-41D3-967B-572146EEE276}</x14:id>
        </ext>
      </extLst>
    </cfRule>
  </conditionalFormatting>
  <conditionalFormatting sqref="M82:M96">
    <cfRule type="dataBar" priority="14">
      <dataBar showValue="1" minLength="10" maxLength="90">
        <cfvo type="num" val="0"/>
        <cfvo type="max" val="0"/>
        <color rgb="FFF4B183"/>
      </dataBar>
      <extLst>
        <ext xmlns:x14="http://schemas.microsoft.com/office/spreadsheetml/2009/9/main" uri="{B025F937-C7B1-47D3-B67F-A62EFF666E3E}">
          <x14:id>{6D672062-9068-4CEC-8F34-89B8A78669FB}</x14:id>
        </ext>
      </extLst>
    </cfRule>
  </conditionalFormatting>
  <conditionalFormatting sqref="G100:G112">
    <cfRule type="dataBar" priority="15">
      <dataBar showValue="1" minLength="10" maxLength="90">
        <cfvo type="num" val="0"/>
        <cfvo type="max" val="0"/>
        <color rgb="FF63BE7B"/>
      </dataBar>
      <extLst>
        <ext xmlns:x14="http://schemas.microsoft.com/office/spreadsheetml/2009/9/main" uri="{B025F937-C7B1-47D3-B67F-A62EFF666E3E}">
          <x14:id>{98D3EFE3-4B88-44FF-AC87-8C927DB174C8}</x14:id>
        </ext>
      </extLst>
    </cfRule>
  </conditionalFormatting>
  <conditionalFormatting sqref="H100:H112">
    <cfRule type="dataBar" priority="16">
      <dataBar showValue="1" minLength="10" maxLength="90">
        <cfvo type="num" val="0"/>
        <cfvo type="max" val="0"/>
        <color rgb="FF63BE7B"/>
      </dataBar>
      <extLst>
        <ext xmlns:x14="http://schemas.microsoft.com/office/spreadsheetml/2009/9/main" uri="{B025F937-C7B1-47D3-B67F-A62EFF666E3E}">
          <x14:id>{1A457D94-3A57-4D42-912E-6220DE77F3C0}</x14:id>
        </ext>
      </extLst>
    </cfRule>
  </conditionalFormatting>
  <conditionalFormatting sqref="M100:M112">
    <cfRule type="dataBar" priority="17">
      <dataBar showValue="1" minLength="10" maxLength="90">
        <cfvo type="num" val="0"/>
        <cfvo type="max" val="0"/>
        <color rgb="FFF4B183"/>
      </dataBar>
      <extLst>
        <ext xmlns:x14="http://schemas.microsoft.com/office/spreadsheetml/2009/9/main" uri="{B025F937-C7B1-47D3-B67F-A62EFF666E3E}">
          <x14:id>{5B726850-92E1-4542-AD3D-6B9CAE36BCB7}</x14:id>
        </ext>
      </extLst>
    </cfRule>
  </conditionalFormatting>
  <conditionalFormatting sqref="G116:G124">
    <cfRule type="dataBar" priority="18">
      <dataBar showValue="1" minLength="10" maxLength="90">
        <cfvo type="num" val="0"/>
        <cfvo type="max" val="0"/>
        <color rgb="FF63BE7B"/>
      </dataBar>
      <extLst>
        <ext xmlns:x14="http://schemas.microsoft.com/office/spreadsheetml/2009/9/main" uri="{B025F937-C7B1-47D3-B67F-A62EFF666E3E}">
          <x14:id>{8A6D338F-6B9C-4088-9F4D-7C4AEE28FBB0}</x14:id>
        </ext>
      </extLst>
    </cfRule>
  </conditionalFormatting>
  <conditionalFormatting sqref="H116:H124">
    <cfRule type="dataBar" priority="19">
      <dataBar showValue="1" minLength="10" maxLength="90">
        <cfvo type="num" val="0"/>
        <cfvo type="max" val="0"/>
        <color rgb="FF63BE7B"/>
      </dataBar>
      <extLst>
        <ext xmlns:x14="http://schemas.microsoft.com/office/spreadsheetml/2009/9/main" uri="{B025F937-C7B1-47D3-B67F-A62EFF666E3E}">
          <x14:id>{1B60164F-B0F2-44E9-8037-202900489D3E}</x14:id>
        </ext>
      </extLst>
    </cfRule>
  </conditionalFormatting>
  <conditionalFormatting sqref="M116:M124">
    <cfRule type="dataBar" priority="20">
      <dataBar showValue="1" minLength="10" maxLength="90">
        <cfvo type="num" val="0"/>
        <cfvo type="max" val="0"/>
        <color rgb="FFF4B183"/>
      </dataBar>
      <extLst>
        <ext xmlns:x14="http://schemas.microsoft.com/office/spreadsheetml/2009/9/main" uri="{B025F937-C7B1-47D3-B67F-A62EFF666E3E}">
          <x14:id>{FE5298B6-3D2B-4A1E-AD90-E73B1A68E073}</x14:id>
        </ext>
      </extLst>
    </cfRule>
  </conditionalFormatting>
  <conditionalFormatting sqref="G128:G137">
    <cfRule type="dataBar" priority="21">
      <dataBar showValue="1" minLength="10" maxLength="90">
        <cfvo type="num" val="0"/>
        <cfvo type="max" val="0"/>
        <color rgb="FF63BE7B"/>
      </dataBar>
      <extLst>
        <ext xmlns:x14="http://schemas.microsoft.com/office/spreadsheetml/2009/9/main" uri="{B025F937-C7B1-47D3-B67F-A62EFF666E3E}">
          <x14:id>{FDF492A5-D383-42AB-94C4-50CFF890A62A}</x14:id>
        </ext>
      </extLst>
    </cfRule>
  </conditionalFormatting>
  <conditionalFormatting sqref="H128:H137">
    <cfRule type="dataBar" priority="22">
      <dataBar showValue="1" minLength="10" maxLength="90">
        <cfvo type="num" val="0"/>
        <cfvo type="max" val="0"/>
        <color rgb="FF63BE7B"/>
      </dataBar>
      <extLst>
        <ext xmlns:x14="http://schemas.microsoft.com/office/spreadsheetml/2009/9/main" uri="{B025F937-C7B1-47D3-B67F-A62EFF666E3E}">
          <x14:id>{B73AF2E0-94F8-4E80-9AFA-5C79C6B2C695}</x14:id>
        </ext>
      </extLst>
    </cfRule>
  </conditionalFormatting>
  <conditionalFormatting sqref="M128:M137">
    <cfRule type="dataBar" priority="23">
      <dataBar showValue="1" minLength="10" maxLength="90">
        <cfvo type="num" val="0"/>
        <cfvo type="max" val="0"/>
        <color rgb="FFF4B183"/>
      </dataBar>
      <extLst>
        <ext xmlns:x14="http://schemas.microsoft.com/office/spreadsheetml/2009/9/main" uri="{B025F937-C7B1-47D3-B67F-A62EFF666E3E}">
          <x14:id>{FE1ED0EC-21E6-41F2-8B53-BD5D1F93568B}</x14:id>
        </ext>
      </extLst>
    </cfRule>
  </conditionalFormatting>
  <conditionalFormatting sqref="G141:G149">
    <cfRule type="dataBar" priority="24">
      <dataBar showValue="1" minLength="10" maxLength="90">
        <cfvo type="num" val="0"/>
        <cfvo type="max" val="0"/>
        <color rgb="FF63BE7B"/>
      </dataBar>
      <extLst>
        <ext xmlns:x14="http://schemas.microsoft.com/office/spreadsheetml/2009/9/main" uri="{B025F937-C7B1-47D3-B67F-A62EFF666E3E}">
          <x14:id>{7DC92549-E93F-4328-B4A9-7C6C617AC23A}</x14:id>
        </ext>
      </extLst>
    </cfRule>
  </conditionalFormatting>
  <conditionalFormatting sqref="H141:H149">
    <cfRule type="dataBar" priority="25">
      <dataBar showValue="1" minLength="10" maxLength="90">
        <cfvo type="num" val="0"/>
        <cfvo type="max" val="0"/>
        <color rgb="FF63BE7B"/>
      </dataBar>
      <extLst>
        <ext xmlns:x14="http://schemas.microsoft.com/office/spreadsheetml/2009/9/main" uri="{B025F937-C7B1-47D3-B67F-A62EFF666E3E}">
          <x14:id>{BE473265-F02E-4DD9-A6B9-4C121EBCE081}</x14:id>
        </ext>
      </extLst>
    </cfRule>
  </conditionalFormatting>
  <conditionalFormatting sqref="M141:M149">
    <cfRule type="dataBar" priority="26">
      <dataBar showValue="1" minLength="10" maxLength="90">
        <cfvo type="num" val="0"/>
        <cfvo type="max" val="0"/>
        <color rgb="FFF4B183"/>
      </dataBar>
      <extLst>
        <ext xmlns:x14="http://schemas.microsoft.com/office/spreadsheetml/2009/9/main" uri="{B025F937-C7B1-47D3-B67F-A62EFF666E3E}">
          <x14:id>{68C75E36-DB96-45B6-B3BD-6651E6896C81}</x14:id>
        </ext>
      </extLst>
    </cfRule>
  </conditionalFormatting>
  <conditionalFormatting sqref="G153:G160">
    <cfRule type="dataBar" priority="27">
      <dataBar showValue="1" minLength="10" maxLength="90">
        <cfvo type="num" val="0"/>
        <cfvo type="max" val="0"/>
        <color rgb="FF63BE7B"/>
      </dataBar>
      <extLst>
        <ext xmlns:x14="http://schemas.microsoft.com/office/spreadsheetml/2009/9/main" uri="{B025F937-C7B1-47D3-B67F-A62EFF666E3E}">
          <x14:id>{D2E8F27E-2033-4573-A2F0-B441806F1AE2}</x14:id>
        </ext>
      </extLst>
    </cfRule>
  </conditionalFormatting>
  <conditionalFormatting sqref="H153:H160">
    <cfRule type="dataBar" priority="28">
      <dataBar showValue="1" minLength="10" maxLength="90">
        <cfvo type="num" val="0"/>
        <cfvo type="max" val="0"/>
        <color rgb="FF63BE7B"/>
      </dataBar>
      <extLst>
        <ext xmlns:x14="http://schemas.microsoft.com/office/spreadsheetml/2009/9/main" uri="{B025F937-C7B1-47D3-B67F-A62EFF666E3E}">
          <x14:id>{A34F2E90-8DC2-409B-9CC9-F40077C6ED40}</x14:id>
        </ext>
      </extLst>
    </cfRule>
  </conditionalFormatting>
  <conditionalFormatting sqref="M153:M160">
    <cfRule type="dataBar" priority="29">
      <dataBar showValue="1" minLength="10" maxLength="90">
        <cfvo type="num" val="0"/>
        <cfvo type="max" val="0"/>
        <color rgb="FFF4B183"/>
      </dataBar>
      <extLst>
        <ext xmlns:x14="http://schemas.microsoft.com/office/spreadsheetml/2009/9/main" uri="{B025F937-C7B1-47D3-B67F-A62EFF666E3E}">
          <x14:id>{C59C3549-E982-48D0-9298-9A1524D53234}</x14:id>
        </ext>
      </extLst>
    </cfRule>
  </conditionalFormatting>
  <conditionalFormatting sqref="G164:G170">
    <cfRule type="dataBar" priority="30">
      <dataBar showValue="1" minLength="10" maxLength="90">
        <cfvo type="num" val="0"/>
        <cfvo type="max" val="0"/>
        <color rgb="FF63BE7B"/>
      </dataBar>
      <extLst>
        <ext xmlns:x14="http://schemas.microsoft.com/office/spreadsheetml/2009/9/main" uri="{B025F937-C7B1-47D3-B67F-A62EFF666E3E}">
          <x14:id>{FEB62436-FA90-4127-8D21-9B52CCB160D3}</x14:id>
        </ext>
      </extLst>
    </cfRule>
  </conditionalFormatting>
  <conditionalFormatting sqref="H164:H170">
    <cfRule type="dataBar" priority="31">
      <dataBar showValue="1" minLength="10" maxLength="90">
        <cfvo type="num" val="0"/>
        <cfvo type="max" val="0"/>
        <color rgb="FF63BE7B"/>
      </dataBar>
      <extLst>
        <ext xmlns:x14="http://schemas.microsoft.com/office/spreadsheetml/2009/9/main" uri="{B025F937-C7B1-47D3-B67F-A62EFF666E3E}">
          <x14:id>{1D34331D-4552-40F9-823E-D2C121E7F81A}</x14:id>
        </ext>
      </extLst>
    </cfRule>
  </conditionalFormatting>
  <conditionalFormatting sqref="M164:M170">
    <cfRule type="dataBar" priority="32">
      <dataBar showValue="1" minLength="10" maxLength="90">
        <cfvo type="num" val="0"/>
        <cfvo type="max" val="0"/>
        <color rgb="FFF4B183"/>
      </dataBar>
      <extLst>
        <ext xmlns:x14="http://schemas.microsoft.com/office/spreadsheetml/2009/9/main" uri="{B025F937-C7B1-47D3-B67F-A62EFF666E3E}">
          <x14:id>{D3AC8B19-E553-4876-854E-A6F0ACD87B75}</x14:id>
        </ext>
      </extLst>
    </cfRule>
  </conditionalFormatting>
  <conditionalFormatting sqref="G174:G178">
    <cfRule type="dataBar" priority="33">
      <dataBar showValue="1" minLength="10" maxLength="90">
        <cfvo type="num" val="0"/>
        <cfvo type="max" val="0"/>
        <color rgb="FF63BE7B"/>
      </dataBar>
      <extLst>
        <ext xmlns:x14="http://schemas.microsoft.com/office/spreadsheetml/2009/9/main" uri="{B025F937-C7B1-47D3-B67F-A62EFF666E3E}">
          <x14:id>{9F439539-E22E-49D5-AF82-3BAF691AD4A0}</x14:id>
        </ext>
      </extLst>
    </cfRule>
  </conditionalFormatting>
  <conditionalFormatting sqref="H174:H178">
    <cfRule type="dataBar" priority="34">
      <dataBar showValue="1" minLength="10" maxLength="90">
        <cfvo type="num" val="0"/>
        <cfvo type="max" val="0"/>
        <color rgb="FF63BE7B"/>
      </dataBar>
      <extLst>
        <ext xmlns:x14="http://schemas.microsoft.com/office/spreadsheetml/2009/9/main" uri="{B025F937-C7B1-47D3-B67F-A62EFF666E3E}">
          <x14:id>{A83D9150-B463-407E-A2E6-4593C0D96284}</x14:id>
        </ext>
      </extLst>
    </cfRule>
  </conditionalFormatting>
  <conditionalFormatting sqref="M174:M178">
    <cfRule type="dataBar" priority="35">
      <dataBar showValue="1" minLength="10" maxLength="90">
        <cfvo type="num" val="0"/>
        <cfvo type="max" val="0"/>
        <color rgb="FFF4B183"/>
      </dataBar>
      <extLst>
        <ext xmlns:x14="http://schemas.microsoft.com/office/spreadsheetml/2009/9/main" uri="{B025F937-C7B1-47D3-B67F-A62EFF666E3E}">
          <x14:id>{D8804D1C-2679-4CAA-9EAF-7C3F699F8A7E}</x14:id>
        </ext>
      </extLst>
    </cfRule>
  </conditionalFormatting>
  <conditionalFormatting sqref="K182:K193">
    <cfRule type="dataBar" priority="36">
      <dataBar showValue="1" minLength="10" maxLength="90">
        <cfvo type="num" val="0"/>
        <cfvo type="max" val="0"/>
        <color rgb="FFF4B183"/>
      </dataBar>
      <extLst>
        <ext xmlns:x14="http://schemas.microsoft.com/office/spreadsheetml/2009/9/main" uri="{B025F937-C7B1-47D3-B67F-A62EFF666E3E}">
          <x14:id>{FC1871CE-2864-4027-A990-C88615808B11}</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668DD653-E633-45EC-AC78-4E621736E89E}">
            <x14:dataBar minLength="10" maxLength="90" axisPosition="none" gradient="true">
              <x14:cfvo type="num">
                <xm:f>0</xm:f>
              </x14:cfvo>
              <x14:cfvo type="max"/>
              <x14:negativeFillColor rgb="FF5B9BD5"/>
              <x14:axisColor rgb="FF000000"/>
            </x14:dataBar>
          </x14:cfRule>
          <xm:sqref>C19:C27</xm:sqref>
        </x14:conditionalFormatting>
        <x14:conditionalFormatting xmlns:xm="http://schemas.microsoft.com/office/excel/2006/main">
          <x14:cfRule type="dataBar" id="{DD3ED47A-A352-44BE-9E4E-41308E215B45}">
            <x14:dataBar minLength="10" maxLength="90" axisPosition="none" gradient="true">
              <x14:cfvo type="num">
                <xm:f>0</xm:f>
              </x14:cfvo>
              <x14:cfvo type="max"/>
              <x14:negativeFillColor rgb="FF63BE7B"/>
              <x14:axisColor rgb="FF000000"/>
            </x14:dataBar>
          </x14:cfRule>
          <xm:sqref>G48:G54</xm:sqref>
        </x14:conditionalFormatting>
        <x14:conditionalFormatting xmlns:xm="http://schemas.microsoft.com/office/excel/2006/main">
          <x14:cfRule type="dataBar" id="{3181CE1B-B291-4D64-9924-F7AA6BD54E8C}">
            <x14:dataBar minLength="10" maxLength="90" axisPosition="none" gradient="true">
              <x14:cfvo type="num">
                <xm:f>0</xm:f>
              </x14:cfvo>
              <x14:cfvo type="max"/>
              <x14:negativeFillColor rgb="FF63BE7B"/>
              <x14:axisColor rgb="FF000000"/>
            </x14:dataBar>
          </x14:cfRule>
          <xm:sqref>H48:H54</xm:sqref>
        </x14:conditionalFormatting>
        <x14:conditionalFormatting xmlns:xm="http://schemas.microsoft.com/office/excel/2006/main">
          <x14:cfRule type="dataBar" id="{D7D85EA5-5192-46CB-B8E2-AC509977C72E}">
            <x14:dataBar minLength="10" maxLength="90" axisPosition="none" gradient="true">
              <x14:cfvo type="num">
                <xm:f>0</xm:f>
              </x14:cfvo>
              <x14:cfvo type="max"/>
              <x14:negativeFillColor rgb="FFF4B183"/>
              <x14:axisColor rgb="FF000000"/>
            </x14:dataBar>
          </x14:cfRule>
          <xm:sqref>M48:M54</xm:sqref>
        </x14:conditionalFormatting>
        <x14:conditionalFormatting xmlns:xm="http://schemas.microsoft.com/office/excel/2006/main">
          <x14:cfRule type="dataBar" id="{512B1CBB-2934-4B62-9110-17A0609B22EB}">
            <x14:dataBar minLength="10" maxLength="90" axisPosition="none" gradient="true">
              <x14:cfvo type="num">
                <xm:f>0</xm:f>
              </x14:cfvo>
              <x14:cfvo type="max"/>
              <x14:negativeFillColor rgb="FF63BE7B"/>
              <x14:axisColor rgb="FF000000"/>
            </x14:dataBar>
          </x14:cfRule>
          <xm:sqref>G58:G62</xm:sqref>
        </x14:conditionalFormatting>
        <x14:conditionalFormatting xmlns:xm="http://schemas.microsoft.com/office/excel/2006/main">
          <x14:cfRule type="dataBar" id="{F1B26A21-D760-402B-844B-9870C8B34DBC}">
            <x14:dataBar minLength="10" maxLength="90" axisPosition="none" gradient="true">
              <x14:cfvo type="num">
                <xm:f>0</xm:f>
              </x14:cfvo>
              <x14:cfvo type="max"/>
              <x14:negativeFillColor rgb="FF63BE7B"/>
              <x14:axisColor rgb="FF000000"/>
            </x14:dataBar>
          </x14:cfRule>
          <xm:sqref>H58:H62</xm:sqref>
        </x14:conditionalFormatting>
        <x14:conditionalFormatting xmlns:xm="http://schemas.microsoft.com/office/excel/2006/main">
          <x14:cfRule type="dataBar" id="{F9E128E3-29A0-4B39-AAC8-84628B2AD379}">
            <x14:dataBar minLength="10" maxLength="90" axisPosition="none" gradient="true">
              <x14:cfvo type="num">
                <xm:f>0</xm:f>
              </x14:cfvo>
              <x14:cfvo type="max"/>
              <x14:negativeFillColor rgb="FFF4B183"/>
              <x14:axisColor rgb="FF000000"/>
            </x14:dataBar>
          </x14:cfRule>
          <xm:sqref>M58:M62</xm:sqref>
        </x14:conditionalFormatting>
        <x14:conditionalFormatting xmlns:xm="http://schemas.microsoft.com/office/excel/2006/main">
          <x14:cfRule type="dataBar" id="{9D39876E-5D71-4780-A172-FDC8D470C287}">
            <x14:dataBar minLength="10" maxLength="90" axisPosition="none" gradient="true">
              <x14:cfvo type="num">
                <xm:f>0</xm:f>
              </x14:cfvo>
              <x14:cfvo type="max"/>
              <x14:negativeFillColor rgb="FF63BE7B"/>
              <x14:axisColor rgb="FF000000"/>
            </x14:dataBar>
          </x14:cfRule>
          <xm:sqref>G66:G78</xm:sqref>
        </x14:conditionalFormatting>
        <x14:conditionalFormatting xmlns:xm="http://schemas.microsoft.com/office/excel/2006/main">
          <x14:cfRule type="dataBar" id="{57A7FA1C-1AB1-4CE6-AFC2-1CEB164D5265}">
            <x14:dataBar minLength="10" maxLength="90" axisPosition="none" gradient="true">
              <x14:cfvo type="num">
                <xm:f>0</xm:f>
              </x14:cfvo>
              <x14:cfvo type="max"/>
              <x14:negativeFillColor rgb="FF63BE7B"/>
              <x14:axisColor rgb="FF000000"/>
            </x14:dataBar>
          </x14:cfRule>
          <xm:sqref>H66:H78</xm:sqref>
        </x14:conditionalFormatting>
        <x14:conditionalFormatting xmlns:xm="http://schemas.microsoft.com/office/excel/2006/main">
          <x14:cfRule type="dataBar" id="{4E9C9734-E82C-49A5-8C72-847F15935FC0}">
            <x14:dataBar minLength="10" maxLength="90" axisPosition="none" gradient="true">
              <x14:cfvo type="num">
                <xm:f>0</xm:f>
              </x14:cfvo>
              <x14:cfvo type="max"/>
              <x14:negativeFillColor rgb="FFF4B183"/>
              <x14:axisColor rgb="FF000000"/>
            </x14:dataBar>
          </x14:cfRule>
          <xm:sqref>M66:M78</xm:sqref>
        </x14:conditionalFormatting>
        <x14:conditionalFormatting xmlns:xm="http://schemas.microsoft.com/office/excel/2006/main">
          <x14:cfRule type="dataBar" id="{C93F672F-7774-4D15-8C72-6ABB8BE48E6A}">
            <x14:dataBar minLength="10" maxLength="90" axisPosition="none" gradient="true">
              <x14:cfvo type="num">
                <xm:f>0</xm:f>
              </x14:cfvo>
              <x14:cfvo type="max"/>
              <x14:negativeFillColor rgb="FF63BE7B"/>
              <x14:axisColor rgb="FF000000"/>
            </x14:dataBar>
          </x14:cfRule>
          <xm:sqref>G82:G96</xm:sqref>
        </x14:conditionalFormatting>
        <x14:conditionalFormatting xmlns:xm="http://schemas.microsoft.com/office/excel/2006/main">
          <x14:cfRule type="dataBar" id="{5C724035-947C-41D3-967B-572146EEE276}">
            <x14:dataBar minLength="10" maxLength="90" axisPosition="none" gradient="true">
              <x14:cfvo type="num">
                <xm:f>0</xm:f>
              </x14:cfvo>
              <x14:cfvo type="max"/>
              <x14:negativeFillColor rgb="FF63BE7B"/>
              <x14:axisColor rgb="FF000000"/>
            </x14:dataBar>
          </x14:cfRule>
          <xm:sqref>H82:H96</xm:sqref>
        </x14:conditionalFormatting>
        <x14:conditionalFormatting xmlns:xm="http://schemas.microsoft.com/office/excel/2006/main">
          <x14:cfRule type="dataBar" id="{6D672062-9068-4CEC-8F34-89B8A78669FB}">
            <x14:dataBar minLength="10" maxLength="90" axisPosition="none" gradient="true">
              <x14:cfvo type="num">
                <xm:f>0</xm:f>
              </x14:cfvo>
              <x14:cfvo type="max"/>
              <x14:negativeFillColor rgb="FFF4B183"/>
              <x14:axisColor rgb="FF000000"/>
            </x14:dataBar>
          </x14:cfRule>
          <xm:sqref>M82:M96</xm:sqref>
        </x14:conditionalFormatting>
        <x14:conditionalFormatting xmlns:xm="http://schemas.microsoft.com/office/excel/2006/main">
          <x14:cfRule type="dataBar" id="{98D3EFE3-4B88-44FF-AC87-8C927DB174C8}">
            <x14:dataBar minLength="10" maxLength="90" axisPosition="none" gradient="true">
              <x14:cfvo type="num">
                <xm:f>0</xm:f>
              </x14:cfvo>
              <x14:cfvo type="max"/>
              <x14:negativeFillColor rgb="FF63BE7B"/>
              <x14:axisColor rgb="FF000000"/>
            </x14:dataBar>
          </x14:cfRule>
          <xm:sqref>G100:G112</xm:sqref>
        </x14:conditionalFormatting>
        <x14:conditionalFormatting xmlns:xm="http://schemas.microsoft.com/office/excel/2006/main">
          <x14:cfRule type="dataBar" id="{1A457D94-3A57-4D42-912E-6220DE77F3C0}">
            <x14:dataBar minLength="10" maxLength="90" axisPosition="none" gradient="true">
              <x14:cfvo type="num">
                <xm:f>0</xm:f>
              </x14:cfvo>
              <x14:cfvo type="max"/>
              <x14:negativeFillColor rgb="FF63BE7B"/>
              <x14:axisColor rgb="FF000000"/>
            </x14:dataBar>
          </x14:cfRule>
          <xm:sqref>H100:H112</xm:sqref>
        </x14:conditionalFormatting>
        <x14:conditionalFormatting xmlns:xm="http://schemas.microsoft.com/office/excel/2006/main">
          <x14:cfRule type="dataBar" id="{5B726850-92E1-4542-AD3D-6B9CAE36BCB7}">
            <x14:dataBar minLength="10" maxLength="90" axisPosition="none" gradient="true">
              <x14:cfvo type="num">
                <xm:f>0</xm:f>
              </x14:cfvo>
              <x14:cfvo type="max"/>
              <x14:negativeFillColor rgb="FFF4B183"/>
              <x14:axisColor rgb="FF000000"/>
            </x14:dataBar>
          </x14:cfRule>
          <xm:sqref>M100:M112</xm:sqref>
        </x14:conditionalFormatting>
        <x14:conditionalFormatting xmlns:xm="http://schemas.microsoft.com/office/excel/2006/main">
          <x14:cfRule type="dataBar" id="{8A6D338F-6B9C-4088-9F4D-7C4AEE28FBB0}">
            <x14:dataBar minLength="10" maxLength="90" axisPosition="none" gradient="true">
              <x14:cfvo type="num">
                <xm:f>0</xm:f>
              </x14:cfvo>
              <x14:cfvo type="max"/>
              <x14:negativeFillColor rgb="FF63BE7B"/>
              <x14:axisColor rgb="FF000000"/>
            </x14:dataBar>
          </x14:cfRule>
          <xm:sqref>G116:G124</xm:sqref>
        </x14:conditionalFormatting>
        <x14:conditionalFormatting xmlns:xm="http://schemas.microsoft.com/office/excel/2006/main">
          <x14:cfRule type="dataBar" id="{1B60164F-B0F2-44E9-8037-202900489D3E}">
            <x14:dataBar minLength="10" maxLength="90" axisPosition="none" gradient="true">
              <x14:cfvo type="num">
                <xm:f>0</xm:f>
              </x14:cfvo>
              <x14:cfvo type="max"/>
              <x14:negativeFillColor rgb="FF63BE7B"/>
              <x14:axisColor rgb="FF000000"/>
            </x14:dataBar>
          </x14:cfRule>
          <xm:sqref>H116:H124</xm:sqref>
        </x14:conditionalFormatting>
        <x14:conditionalFormatting xmlns:xm="http://schemas.microsoft.com/office/excel/2006/main">
          <x14:cfRule type="dataBar" id="{FE5298B6-3D2B-4A1E-AD90-E73B1A68E073}">
            <x14:dataBar minLength="10" maxLength="90" axisPosition="none" gradient="true">
              <x14:cfvo type="num">
                <xm:f>0</xm:f>
              </x14:cfvo>
              <x14:cfvo type="max"/>
              <x14:negativeFillColor rgb="FFF4B183"/>
              <x14:axisColor rgb="FF000000"/>
            </x14:dataBar>
          </x14:cfRule>
          <xm:sqref>M116:M124</xm:sqref>
        </x14:conditionalFormatting>
        <x14:conditionalFormatting xmlns:xm="http://schemas.microsoft.com/office/excel/2006/main">
          <x14:cfRule type="dataBar" id="{FDF492A5-D383-42AB-94C4-50CFF890A62A}">
            <x14:dataBar minLength="10" maxLength="90" axisPosition="none" gradient="true">
              <x14:cfvo type="num">
                <xm:f>0</xm:f>
              </x14:cfvo>
              <x14:cfvo type="max"/>
              <x14:negativeFillColor rgb="FF63BE7B"/>
              <x14:axisColor rgb="FF000000"/>
            </x14:dataBar>
          </x14:cfRule>
          <xm:sqref>G128:G137</xm:sqref>
        </x14:conditionalFormatting>
        <x14:conditionalFormatting xmlns:xm="http://schemas.microsoft.com/office/excel/2006/main">
          <x14:cfRule type="dataBar" id="{B73AF2E0-94F8-4E80-9AFA-5C79C6B2C695}">
            <x14:dataBar minLength="10" maxLength="90" axisPosition="none" gradient="true">
              <x14:cfvo type="num">
                <xm:f>0</xm:f>
              </x14:cfvo>
              <x14:cfvo type="max"/>
              <x14:negativeFillColor rgb="FF63BE7B"/>
              <x14:axisColor rgb="FF000000"/>
            </x14:dataBar>
          </x14:cfRule>
          <xm:sqref>H128:H137</xm:sqref>
        </x14:conditionalFormatting>
        <x14:conditionalFormatting xmlns:xm="http://schemas.microsoft.com/office/excel/2006/main">
          <x14:cfRule type="dataBar" id="{FE1ED0EC-21E6-41F2-8B53-BD5D1F93568B}">
            <x14:dataBar minLength="10" maxLength="90" axisPosition="none" gradient="true">
              <x14:cfvo type="num">
                <xm:f>0</xm:f>
              </x14:cfvo>
              <x14:cfvo type="max"/>
              <x14:negativeFillColor rgb="FFF4B183"/>
              <x14:axisColor rgb="FF000000"/>
            </x14:dataBar>
          </x14:cfRule>
          <xm:sqref>M128:M137</xm:sqref>
        </x14:conditionalFormatting>
        <x14:conditionalFormatting xmlns:xm="http://schemas.microsoft.com/office/excel/2006/main">
          <x14:cfRule type="dataBar" id="{7DC92549-E93F-4328-B4A9-7C6C617AC23A}">
            <x14:dataBar minLength="10" maxLength="90" axisPosition="none" gradient="true">
              <x14:cfvo type="num">
                <xm:f>0</xm:f>
              </x14:cfvo>
              <x14:cfvo type="max"/>
              <x14:negativeFillColor rgb="FF63BE7B"/>
              <x14:axisColor rgb="FF000000"/>
            </x14:dataBar>
          </x14:cfRule>
          <xm:sqref>G141:G149</xm:sqref>
        </x14:conditionalFormatting>
        <x14:conditionalFormatting xmlns:xm="http://schemas.microsoft.com/office/excel/2006/main">
          <x14:cfRule type="dataBar" id="{BE473265-F02E-4DD9-A6B9-4C121EBCE081}">
            <x14:dataBar minLength="10" maxLength="90" axisPosition="none" gradient="true">
              <x14:cfvo type="num">
                <xm:f>0</xm:f>
              </x14:cfvo>
              <x14:cfvo type="max"/>
              <x14:negativeFillColor rgb="FF63BE7B"/>
              <x14:axisColor rgb="FF000000"/>
            </x14:dataBar>
          </x14:cfRule>
          <xm:sqref>H141:H149</xm:sqref>
        </x14:conditionalFormatting>
        <x14:conditionalFormatting xmlns:xm="http://schemas.microsoft.com/office/excel/2006/main">
          <x14:cfRule type="dataBar" id="{68C75E36-DB96-45B6-B3BD-6651E6896C81}">
            <x14:dataBar minLength="10" maxLength="90" axisPosition="none" gradient="true">
              <x14:cfvo type="num">
                <xm:f>0</xm:f>
              </x14:cfvo>
              <x14:cfvo type="max"/>
              <x14:negativeFillColor rgb="FFF4B183"/>
              <x14:axisColor rgb="FF000000"/>
            </x14:dataBar>
          </x14:cfRule>
          <xm:sqref>M141:M149</xm:sqref>
        </x14:conditionalFormatting>
        <x14:conditionalFormatting xmlns:xm="http://schemas.microsoft.com/office/excel/2006/main">
          <x14:cfRule type="dataBar" id="{D2E8F27E-2033-4573-A2F0-B441806F1AE2}">
            <x14:dataBar minLength="10" maxLength="90" axisPosition="none" gradient="true">
              <x14:cfvo type="num">
                <xm:f>0</xm:f>
              </x14:cfvo>
              <x14:cfvo type="max"/>
              <x14:negativeFillColor rgb="FF63BE7B"/>
              <x14:axisColor rgb="FF000000"/>
            </x14:dataBar>
          </x14:cfRule>
          <xm:sqref>G153:G160</xm:sqref>
        </x14:conditionalFormatting>
        <x14:conditionalFormatting xmlns:xm="http://schemas.microsoft.com/office/excel/2006/main">
          <x14:cfRule type="dataBar" id="{A34F2E90-8DC2-409B-9CC9-F40077C6ED40}">
            <x14:dataBar minLength="10" maxLength="90" axisPosition="none" gradient="true">
              <x14:cfvo type="num">
                <xm:f>0</xm:f>
              </x14:cfvo>
              <x14:cfvo type="max"/>
              <x14:negativeFillColor rgb="FF63BE7B"/>
              <x14:axisColor rgb="FF000000"/>
            </x14:dataBar>
          </x14:cfRule>
          <xm:sqref>H153:H160</xm:sqref>
        </x14:conditionalFormatting>
        <x14:conditionalFormatting xmlns:xm="http://schemas.microsoft.com/office/excel/2006/main">
          <x14:cfRule type="dataBar" id="{C59C3549-E982-48D0-9298-9A1524D53234}">
            <x14:dataBar minLength="10" maxLength="90" axisPosition="none" gradient="true">
              <x14:cfvo type="num">
                <xm:f>0</xm:f>
              </x14:cfvo>
              <x14:cfvo type="max"/>
              <x14:negativeFillColor rgb="FFF4B183"/>
              <x14:axisColor rgb="FF000000"/>
            </x14:dataBar>
          </x14:cfRule>
          <xm:sqref>M153:M160</xm:sqref>
        </x14:conditionalFormatting>
        <x14:conditionalFormatting xmlns:xm="http://schemas.microsoft.com/office/excel/2006/main">
          <x14:cfRule type="dataBar" id="{FEB62436-FA90-4127-8D21-9B52CCB160D3}">
            <x14:dataBar minLength="10" maxLength="90" axisPosition="none" gradient="true">
              <x14:cfvo type="num">
                <xm:f>0</xm:f>
              </x14:cfvo>
              <x14:cfvo type="max"/>
              <x14:negativeFillColor rgb="FF63BE7B"/>
              <x14:axisColor rgb="FF000000"/>
            </x14:dataBar>
          </x14:cfRule>
          <xm:sqref>G164:G170</xm:sqref>
        </x14:conditionalFormatting>
        <x14:conditionalFormatting xmlns:xm="http://schemas.microsoft.com/office/excel/2006/main">
          <x14:cfRule type="dataBar" id="{1D34331D-4552-40F9-823E-D2C121E7F81A}">
            <x14:dataBar minLength="10" maxLength="90" axisPosition="none" gradient="true">
              <x14:cfvo type="num">
                <xm:f>0</xm:f>
              </x14:cfvo>
              <x14:cfvo type="max"/>
              <x14:negativeFillColor rgb="FF63BE7B"/>
              <x14:axisColor rgb="FF000000"/>
            </x14:dataBar>
          </x14:cfRule>
          <xm:sqref>H164:H170</xm:sqref>
        </x14:conditionalFormatting>
        <x14:conditionalFormatting xmlns:xm="http://schemas.microsoft.com/office/excel/2006/main">
          <x14:cfRule type="dataBar" id="{D3AC8B19-E553-4876-854E-A6F0ACD87B75}">
            <x14:dataBar minLength="10" maxLength="90" axisPosition="none" gradient="true">
              <x14:cfvo type="num">
                <xm:f>0</xm:f>
              </x14:cfvo>
              <x14:cfvo type="max"/>
              <x14:negativeFillColor rgb="FFF4B183"/>
              <x14:axisColor rgb="FF000000"/>
            </x14:dataBar>
          </x14:cfRule>
          <xm:sqref>M164:M170</xm:sqref>
        </x14:conditionalFormatting>
        <x14:conditionalFormatting xmlns:xm="http://schemas.microsoft.com/office/excel/2006/main">
          <x14:cfRule type="dataBar" id="{9F439539-E22E-49D5-AF82-3BAF691AD4A0}">
            <x14:dataBar minLength="10" maxLength="90" axisPosition="none" gradient="true">
              <x14:cfvo type="num">
                <xm:f>0</xm:f>
              </x14:cfvo>
              <x14:cfvo type="max"/>
              <x14:negativeFillColor rgb="FF63BE7B"/>
              <x14:axisColor rgb="FF000000"/>
            </x14:dataBar>
          </x14:cfRule>
          <xm:sqref>G174:G178</xm:sqref>
        </x14:conditionalFormatting>
        <x14:conditionalFormatting xmlns:xm="http://schemas.microsoft.com/office/excel/2006/main">
          <x14:cfRule type="dataBar" id="{A83D9150-B463-407E-A2E6-4593C0D96284}">
            <x14:dataBar minLength="10" maxLength="90" axisPosition="none" gradient="true">
              <x14:cfvo type="num">
                <xm:f>0</xm:f>
              </x14:cfvo>
              <x14:cfvo type="max"/>
              <x14:negativeFillColor rgb="FF63BE7B"/>
              <x14:axisColor rgb="FF000000"/>
            </x14:dataBar>
          </x14:cfRule>
          <xm:sqref>H174:H178</xm:sqref>
        </x14:conditionalFormatting>
        <x14:conditionalFormatting xmlns:xm="http://schemas.microsoft.com/office/excel/2006/main">
          <x14:cfRule type="dataBar" id="{D8804D1C-2679-4CAA-9EAF-7C3F699F8A7E}">
            <x14:dataBar minLength="10" maxLength="90" axisPosition="none" gradient="true">
              <x14:cfvo type="num">
                <xm:f>0</xm:f>
              </x14:cfvo>
              <x14:cfvo type="max"/>
              <x14:negativeFillColor rgb="FFF4B183"/>
              <x14:axisColor rgb="FF000000"/>
            </x14:dataBar>
          </x14:cfRule>
          <xm:sqref>M174:M178</xm:sqref>
        </x14:conditionalFormatting>
        <x14:conditionalFormatting xmlns:xm="http://schemas.microsoft.com/office/excel/2006/main">
          <x14:cfRule type="dataBar" id="{FC1871CE-2864-4027-A990-C88615808B11}">
            <x14:dataBar minLength="10" maxLength="90" axisPosition="none" gradient="true">
              <x14:cfvo type="num">
                <xm:f>0</xm:f>
              </x14:cfvo>
              <x14:cfvo type="max"/>
              <x14:negativeFillColor rgb="FFF4B183"/>
              <x14:axisColor rgb="FF000000"/>
            </x14:dataBar>
          </x14:cfRule>
          <xm:sqref>K182:K193</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78"/>
    <pageSetUpPr fitToPage="false"/>
  </sheetPr>
  <dimension ref="A1:T5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0"/>
    <col collapsed="false" customWidth="true" hidden="false" outlineLevel="0" max="4" min="4" style="0" width="22"/>
    <col collapsed="false" customWidth="true" hidden="false" outlineLevel="0" max="5" min="5" style="0" width="8"/>
    <col collapsed="false" customWidth="true" hidden="false" outlineLevel="0" max="6" min="6" style="0" width="14"/>
    <col collapsed="false" customWidth="true" hidden="false" outlineLevel="0" max="7" min="7" style="0" width="30"/>
    <col collapsed="false" customWidth="true" hidden="false" outlineLevel="0" max="8" min="8" style="0" width="28"/>
    <col collapsed="false" customWidth="true" hidden="false" outlineLevel="0" max="9" min="9" style="0" width="26"/>
    <col collapsed="false" customWidth="true" hidden="false" outlineLevel="0" max="10" min="10" style="0" width="16"/>
    <col collapsed="false" customWidth="true" hidden="false" outlineLevel="0" max="11" min="11" style="0" width="26"/>
    <col collapsed="false" customWidth="true" hidden="false" outlineLevel="0" max="12" min="12" style="0" width="8"/>
    <col collapsed="false" customWidth="true" hidden="false" outlineLevel="0" max="13" min="13" style="0" width="10"/>
    <col collapsed="false" customWidth="true" hidden="false" outlineLevel="0" max="14" min="14" style="0" width="11"/>
    <col collapsed="false" customWidth="true" hidden="false" outlineLevel="0" max="19" min="15" style="0" width="9"/>
    <col collapsed="false" customWidth="true" hidden="false" outlineLevel="0" max="20" min="20" style="0" width="11"/>
  </cols>
  <sheetData>
    <row r="1" customFormat="false" ht="19.7" hidden="false" customHeight="false" outlineLevel="0" collapsed="false">
      <c r="A1" s="1" t="s">
        <v>290</v>
      </c>
    </row>
    <row r="2" customFormat="false" ht="15" hidden="false" customHeight="false" outlineLevel="0" collapsed="false">
      <c r="A2" s="2" t="s">
        <v>291</v>
      </c>
    </row>
    <row r="4" customFormat="false" ht="45" hidden="false" customHeight="true" outlineLevel="0" collapsed="false">
      <c r="A4" s="19" t="s">
        <v>292</v>
      </c>
      <c r="B4" s="19" t="s">
        <v>293</v>
      </c>
      <c r="C4" s="19" t="s">
        <v>294</v>
      </c>
      <c r="D4" s="19" t="s">
        <v>295</v>
      </c>
      <c r="E4" s="19" t="s">
        <v>296</v>
      </c>
      <c r="F4" s="19" t="s">
        <v>297</v>
      </c>
      <c r="G4" s="19" t="s">
        <v>298</v>
      </c>
      <c r="H4" s="19" t="s">
        <v>299</v>
      </c>
      <c r="I4" s="19" t="s">
        <v>300</v>
      </c>
      <c r="J4" s="19" t="s">
        <v>301</v>
      </c>
      <c r="K4" s="19" t="s">
        <v>302</v>
      </c>
      <c r="L4" s="21" t="s">
        <v>303</v>
      </c>
      <c r="M4" s="21" t="s">
        <v>304</v>
      </c>
      <c r="N4" s="21" t="s">
        <v>223</v>
      </c>
      <c r="O4" s="21" t="s">
        <v>305</v>
      </c>
      <c r="P4" s="21" t="s">
        <v>106</v>
      </c>
      <c r="Q4" s="21" t="s">
        <v>256</v>
      </c>
      <c r="R4" s="21" t="s">
        <v>126</v>
      </c>
      <c r="S4" s="21" t="s">
        <v>128</v>
      </c>
      <c r="T4" s="21" t="s">
        <v>257</v>
      </c>
    </row>
    <row r="5" customFormat="false" ht="15" hidden="false" customHeight="false" outlineLevel="0" collapsed="false">
      <c r="A5" s="29"/>
      <c r="B5" s="29"/>
      <c r="C5" s="29"/>
      <c r="D5" s="29"/>
      <c r="E5" s="29"/>
      <c r="F5" s="29"/>
      <c r="G5" s="29"/>
      <c r="H5" s="29"/>
      <c r="I5" s="29"/>
      <c r="J5" s="29"/>
      <c r="K5" s="29"/>
      <c r="L5" s="33" t="str">
        <f aca="false">IF($B5="","",COUNTIFS('Post Tracker'!$K$5:$K$1004,$B5))</f>
        <v/>
      </c>
      <c r="M5" s="33" t="str">
        <f aca="false">IF($B5="","",SUMIFS('Post Tracker'!$AO$5:$AO$1004,'Post Tracker'!$K$5:$K$1004,$B5))</f>
        <v/>
      </c>
      <c r="N5" s="33" t="str">
        <f aca="false">IF($B5="","",SUMIFS('Post Tracker'!$AR$5:$AR$1004,'Post Tracker'!$K$5:$K$1004,$B5))</f>
        <v/>
      </c>
      <c r="O5" s="34" t="str">
        <f aca="false">IF(OR($B5="",N(M5)=0),"",SUMIFS('Post Tracker'!$BP$5:$BP$1004,'Post Tracker'!$K$5:$K$1004,$B5)/M5)</f>
        <v/>
      </c>
      <c r="P5" s="33" t="str">
        <f aca="false">IF($B5="","",SUMIFS('Post Tracker'!$AJ$5:$AJ$1004,'Post Tracker'!$K$5:$K$1004,$B5))</f>
        <v/>
      </c>
      <c r="Q5" s="33" t="str">
        <f aca="false">IF($B5="","",SUMIFS('Post Tracker'!$AZ$5:$AZ$1004,'Post Tracker'!$K$5:$K$1004,$B5))</f>
        <v/>
      </c>
      <c r="R5" s="33" t="str">
        <f aca="false">IF($B5="","",SUMIFS('Post Tracker'!$BD$5:$BD$1004,'Post Tracker'!$K$5:$K$1004,$B5))</f>
        <v/>
      </c>
      <c r="S5" s="33" t="str">
        <f aca="false">IF($B5="","",SUMIFS('Post Tracker'!$BF$5:$BF$1004,'Post Tracker'!$K$5:$K$1004,$B5))</f>
        <v/>
      </c>
      <c r="T5" s="37" t="str">
        <f aca="false">IF($B5="","",SUMIFS('Post Tracker'!$BH$5:$BH$1004,'Post Tracker'!$K$5:$K$1004,$B5))</f>
        <v/>
      </c>
    </row>
    <row r="6" customFormat="false" ht="15" hidden="false" customHeight="false" outlineLevel="0" collapsed="false">
      <c r="A6" s="29"/>
      <c r="B6" s="29"/>
      <c r="C6" s="29"/>
      <c r="D6" s="29"/>
      <c r="E6" s="29"/>
      <c r="F6" s="29"/>
      <c r="G6" s="29"/>
      <c r="H6" s="29"/>
      <c r="I6" s="29"/>
      <c r="J6" s="29"/>
      <c r="K6" s="29"/>
      <c r="L6" s="33" t="str">
        <f aca="false">IF($B6="","",COUNTIFS('Post Tracker'!$K$5:$K$1004,$B6))</f>
        <v/>
      </c>
      <c r="M6" s="33" t="str">
        <f aca="false">IF($B6="","",SUMIFS('Post Tracker'!$AO$5:$AO$1004,'Post Tracker'!$K$5:$K$1004,$B6))</f>
        <v/>
      </c>
      <c r="N6" s="33" t="str">
        <f aca="false">IF($B6="","",SUMIFS('Post Tracker'!$AR$5:$AR$1004,'Post Tracker'!$K$5:$K$1004,$B6))</f>
        <v/>
      </c>
      <c r="O6" s="34" t="str">
        <f aca="false">IF(OR($B6="",N(M6)=0),"",SUMIFS('Post Tracker'!$BP$5:$BP$1004,'Post Tracker'!$K$5:$K$1004,$B6)/M6)</f>
        <v/>
      </c>
      <c r="P6" s="33" t="str">
        <f aca="false">IF($B6="","",SUMIFS('Post Tracker'!$AJ$5:$AJ$1004,'Post Tracker'!$K$5:$K$1004,$B6))</f>
        <v/>
      </c>
      <c r="Q6" s="33" t="str">
        <f aca="false">IF($B6="","",SUMIFS('Post Tracker'!$AZ$5:$AZ$1004,'Post Tracker'!$K$5:$K$1004,$B6))</f>
        <v/>
      </c>
      <c r="R6" s="33" t="str">
        <f aca="false">IF($B6="","",SUMIFS('Post Tracker'!$BD$5:$BD$1004,'Post Tracker'!$K$5:$K$1004,$B6))</f>
        <v/>
      </c>
      <c r="S6" s="33" t="str">
        <f aca="false">IF($B6="","",SUMIFS('Post Tracker'!$BF$5:$BF$1004,'Post Tracker'!$K$5:$K$1004,$B6))</f>
        <v/>
      </c>
      <c r="T6" s="37" t="str">
        <f aca="false">IF($B6="","",SUMIFS('Post Tracker'!$BH$5:$BH$1004,'Post Tracker'!$K$5:$K$1004,$B6))</f>
        <v/>
      </c>
    </row>
    <row r="7" customFormat="false" ht="15" hidden="false" customHeight="false" outlineLevel="0" collapsed="false">
      <c r="A7" s="29"/>
      <c r="B7" s="29"/>
      <c r="C7" s="29"/>
      <c r="D7" s="29"/>
      <c r="E7" s="29"/>
      <c r="F7" s="29"/>
      <c r="G7" s="29"/>
      <c r="H7" s="29"/>
      <c r="I7" s="29"/>
      <c r="J7" s="29"/>
      <c r="K7" s="29"/>
      <c r="L7" s="33" t="str">
        <f aca="false">IF($B7="","",COUNTIFS('Post Tracker'!$K$5:$K$1004,$B7))</f>
        <v/>
      </c>
      <c r="M7" s="33" t="str">
        <f aca="false">IF($B7="","",SUMIFS('Post Tracker'!$AO$5:$AO$1004,'Post Tracker'!$K$5:$K$1004,$B7))</f>
        <v/>
      </c>
      <c r="N7" s="33" t="str">
        <f aca="false">IF($B7="","",SUMIFS('Post Tracker'!$AR$5:$AR$1004,'Post Tracker'!$K$5:$K$1004,$B7))</f>
        <v/>
      </c>
      <c r="O7" s="34" t="str">
        <f aca="false">IF(OR($B7="",N(M7)=0),"",SUMIFS('Post Tracker'!$BP$5:$BP$1004,'Post Tracker'!$K$5:$K$1004,$B7)/M7)</f>
        <v/>
      </c>
      <c r="P7" s="33" t="str">
        <f aca="false">IF($B7="","",SUMIFS('Post Tracker'!$AJ$5:$AJ$1004,'Post Tracker'!$K$5:$K$1004,$B7))</f>
        <v/>
      </c>
      <c r="Q7" s="33" t="str">
        <f aca="false">IF($B7="","",SUMIFS('Post Tracker'!$AZ$5:$AZ$1004,'Post Tracker'!$K$5:$K$1004,$B7))</f>
        <v/>
      </c>
      <c r="R7" s="33" t="str">
        <f aca="false">IF($B7="","",SUMIFS('Post Tracker'!$BD$5:$BD$1004,'Post Tracker'!$K$5:$K$1004,$B7))</f>
        <v/>
      </c>
      <c r="S7" s="33" t="str">
        <f aca="false">IF($B7="","",SUMIFS('Post Tracker'!$BF$5:$BF$1004,'Post Tracker'!$K$5:$K$1004,$B7))</f>
        <v/>
      </c>
      <c r="T7" s="37" t="str">
        <f aca="false">IF($B7="","",SUMIFS('Post Tracker'!$BH$5:$BH$1004,'Post Tracker'!$K$5:$K$1004,$B7))</f>
        <v/>
      </c>
    </row>
    <row r="8" customFormat="false" ht="15" hidden="false" customHeight="false" outlineLevel="0" collapsed="false">
      <c r="A8" s="29"/>
      <c r="B8" s="29"/>
      <c r="C8" s="29"/>
      <c r="D8" s="29"/>
      <c r="E8" s="29"/>
      <c r="F8" s="29"/>
      <c r="G8" s="29"/>
      <c r="H8" s="29"/>
      <c r="I8" s="29"/>
      <c r="J8" s="29"/>
      <c r="K8" s="29"/>
      <c r="L8" s="33" t="str">
        <f aca="false">IF($B8="","",COUNTIFS('Post Tracker'!$K$5:$K$1004,$B8))</f>
        <v/>
      </c>
      <c r="M8" s="33" t="str">
        <f aca="false">IF($B8="","",SUMIFS('Post Tracker'!$AO$5:$AO$1004,'Post Tracker'!$K$5:$K$1004,$B8))</f>
        <v/>
      </c>
      <c r="N8" s="33" t="str">
        <f aca="false">IF($B8="","",SUMIFS('Post Tracker'!$AR$5:$AR$1004,'Post Tracker'!$K$5:$K$1004,$B8))</f>
        <v/>
      </c>
      <c r="O8" s="34" t="str">
        <f aca="false">IF(OR($B8="",N(M8)=0),"",SUMIFS('Post Tracker'!$BP$5:$BP$1004,'Post Tracker'!$K$5:$K$1004,$B8)/M8)</f>
        <v/>
      </c>
      <c r="P8" s="33" t="str">
        <f aca="false">IF($B8="","",SUMIFS('Post Tracker'!$AJ$5:$AJ$1004,'Post Tracker'!$K$5:$K$1004,$B8))</f>
        <v/>
      </c>
      <c r="Q8" s="33" t="str">
        <f aca="false">IF($B8="","",SUMIFS('Post Tracker'!$AZ$5:$AZ$1004,'Post Tracker'!$K$5:$K$1004,$B8))</f>
        <v/>
      </c>
      <c r="R8" s="33" t="str">
        <f aca="false">IF($B8="","",SUMIFS('Post Tracker'!$BD$5:$BD$1004,'Post Tracker'!$K$5:$K$1004,$B8))</f>
        <v/>
      </c>
      <c r="S8" s="33" t="str">
        <f aca="false">IF($B8="","",SUMIFS('Post Tracker'!$BF$5:$BF$1004,'Post Tracker'!$K$5:$K$1004,$B8))</f>
        <v/>
      </c>
      <c r="T8" s="37" t="str">
        <f aca="false">IF($B8="","",SUMIFS('Post Tracker'!$BH$5:$BH$1004,'Post Tracker'!$K$5:$K$1004,$B8))</f>
        <v/>
      </c>
    </row>
    <row r="9" customFormat="false" ht="15" hidden="false" customHeight="false" outlineLevel="0" collapsed="false">
      <c r="A9" s="29"/>
      <c r="B9" s="29"/>
      <c r="C9" s="29"/>
      <c r="D9" s="29"/>
      <c r="E9" s="29"/>
      <c r="F9" s="29"/>
      <c r="G9" s="29"/>
      <c r="H9" s="29"/>
      <c r="I9" s="29"/>
      <c r="J9" s="29"/>
      <c r="K9" s="29"/>
      <c r="L9" s="33" t="str">
        <f aca="false">IF($B9="","",COUNTIFS('Post Tracker'!$K$5:$K$1004,$B9))</f>
        <v/>
      </c>
      <c r="M9" s="33" t="str">
        <f aca="false">IF($B9="","",SUMIFS('Post Tracker'!$AO$5:$AO$1004,'Post Tracker'!$K$5:$K$1004,$B9))</f>
        <v/>
      </c>
      <c r="N9" s="33" t="str">
        <f aca="false">IF($B9="","",SUMIFS('Post Tracker'!$AR$5:$AR$1004,'Post Tracker'!$K$5:$K$1004,$B9))</f>
        <v/>
      </c>
      <c r="O9" s="34" t="str">
        <f aca="false">IF(OR($B9="",N(M9)=0),"",SUMIFS('Post Tracker'!$BP$5:$BP$1004,'Post Tracker'!$K$5:$K$1004,$B9)/M9)</f>
        <v/>
      </c>
      <c r="P9" s="33" t="str">
        <f aca="false">IF($B9="","",SUMIFS('Post Tracker'!$AJ$5:$AJ$1004,'Post Tracker'!$K$5:$K$1004,$B9))</f>
        <v/>
      </c>
      <c r="Q9" s="33" t="str">
        <f aca="false">IF($B9="","",SUMIFS('Post Tracker'!$AZ$5:$AZ$1004,'Post Tracker'!$K$5:$K$1004,$B9))</f>
        <v/>
      </c>
      <c r="R9" s="33" t="str">
        <f aca="false">IF($B9="","",SUMIFS('Post Tracker'!$BD$5:$BD$1004,'Post Tracker'!$K$5:$K$1004,$B9))</f>
        <v/>
      </c>
      <c r="S9" s="33" t="str">
        <f aca="false">IF($B9="","",SUMIFS('Post Tracker'!$BF$5:$BF$1004,'Post Tracker'!$K$5:$K$1004,$B9))</f>
        <v/>
      </c>
      <c r="T9" s="37" t="str">
        <f aca="false">IF($B9="","",SUMIFS('Post Tracker'!$BH$5:$BH$1004,'Post Tracker'!$K$5:$K$1004,$B9))</f>
        <v/>
      </c>
    </row>
    <row r="10" customFormat="false" ht="15" hidden="false" customHeight="false" outlineLevel="0" collapsed="false">
      <c r="A10" s="29"/>
      <c r="B10" s="29"/>
      <c r="C10" s="29"/>
      <c r="D10" s="29"/>
      <c r="E10" s="29"/>
      <c r="F10" s="29"/>
      <c r="G10" s="29"/>
      <c r="H10" s="29"/>
      <c r="I10" s="29"/>
      <c r="J10" s="29"/>
      <c r="K10" s="29"/>
      <c r="L10" s="33" t="str">
        <f aca="false">IF($B10="","",COUNTIFS('Post Tracker'!$K$5:$K$1004,$B10))</f>
        <v/>
      </c>
      <c r="M10" s="33" t="str">
        <f aca="false">IF($B10="","",SUMIFS('Post Tracker'!$AO$5:$AO$1004,'Post Tracker'!$K$5:$K$1004,$B10))</f>
        <v/>
      </c>
      <c r="N10" s="33" t="str">
        <f aca="false">IF($B10="","",SUMIFS('Post Tracker'!$AR$5:$AR$1004,'Post Tracker'!$K$5:$K$1004,$B10))</f>
        <v/>
      </c>
      <c r="O10" s="34" t="str">
        <f aca="false">IF(OR($B10="",N(M10)=0),"",SUMIFS('Post Tracker'!$BP$5:$BP$1004,'Post Tracker'!$K$5:$K$1004,$B10)/M10)</f>
        <v/>
      </c>
      <c r="P10" s="33" t="str">
        <f aca="false">IF($B10="","",SUMIFS('Post Tracker'!$AJ$5:$AJ$1004,'Post Tracker'!$K$5:$K$1004,$B10))</f>
        <v/>
      </c>
      <c r="Q10" s="33" t="str">
        <f aca="false">IF($B10="","",SUMIFS('Post Tracker'!$AZ$5:$AZ$1004,'Post Tracker'!$K$5:$K$1004,$B10))</f>
        <v/>
      </c>
      <c r="R10" s="33" t="str">
        <f aca="false">IF($B10="","",SUMIFS('Post Tracker'!$BD$5:$BD$1004,'Post Tracker'!$K$5:$K$1004,$B10))</f>
        <v/>
      </c>
      <c r="S10" s="33" t="str">
        <f aca="false">IF($B10="","",SUMIFS('Post Tracker'!$BF$5:$BF$1004,'Post Tracker'!$K$5:$K$1004,$B10))</f>
        <v/>
      </c>
      <c r="T10" s="37" t="str">
        <f aca="false">IF($B10="","",SUMIFS('Post Tracker'!$BH$5:$BH$1004,'Post Tracker'!$K$5:$K$1004,$B10))</f>
        <v/>
      </c>
    </row>
    <row r="11" customFormat="false" ht="15" hidden="false" customHeight="false" outlineLevel="0" collapsed="false">
      <c r="A11" s="29"/>
      <c r="B11" s="29"/>
      <c r="C11" s="29"/>
      <c r="D11" s="29"/>
      <c r="E11" s="29"/>
      <c r="F11" s="29"/>
      <c r="G11" s="29"/>
      <c r="H11" s="29"/>
      <c r="I11" s="29"/>
      <c r="J11" s="29"/>
      <c r="K11" s="29"/>
      <c r="L11" s="33" t="str">
        <f aca="false">IF($B11="","",COUNTIFS('Post Tracker'!$K$5:$K$1004,$B11))</f>
        <v/>
      </c>
      <c r="M11" s="33" t="str">
        <f aca="false">IF($B11="","",SUMIFS('Post Tracker'!$AO$5:$AO$1004,'Post Tracker'!$K$5:$K$1004,$B11))</f>
        <v/>
      </c>
      <c r="N11" s="33" t="str">
        <f aca="false">IF($B11="","",SUMIFS('Post Tracker'!$AR$5:$AR$1004,'Post Tracker'!$K$5:$K$1004,$B11))</f>
        <v/>
      </c>
      <c r="O11" s="34" t="str">
        <f aca="false">IF(OR($B11="",N(M11)=0),"",SUMIFS('Post Tracker'!$BP$5:$BP$1004,'Post Tracker'!$K$5:$K$1004,$B11)/M11)</f>
        <v/>
      </c>
      <c r="P11" s="33" t="str">
        <f aca="false">IF($B11="","",SUMIFS('Post Tracker'!$AJ$5:$AJ$1004,'Post Tracker'!$K$5:$K$1004,$B11))</f>
        <v/>
      </c>
      <c r="Q11" s="33" t="str">
        <f aca="false">IF($B11="","",SUMIFS('Post Tracker'!$AZ$5:$AZ$1004,'Post Tracker'!$K$5:$K$1004,$B11))</f>
        <v/>
      </c>
      <c r="R11" s="33" t="str">
        <f aca="false">IF($B11="","",SUMIFS('Post Tracker'!$BD$5:$BD$1004,'Post Tracker'!$K$5:$K$1004,$B11))</f>
        <v/>
      </c>
      <c r="S11" s="33" t="str">
        <f aca="false">IF($B11="","",SUMIFS('Post Tracker'!$BF$5:$BF$1004,'Post Tracker'!$K$5:$K$1004,$B11))</f>
        <v/>
      </c>
      <c r="T11" s="37" t="str">
        <f aca="false">IF($B11="","",SUMIFS('Post Tracker'!$BH$5:$BH$1004,'Post Tracker'!$K$5:$K$1004,$B11))</f>
        <v/>
      </c>
    </row>
    <row r="12" customFormat="false" ht="15" hidden="false" customHeight="false" outlineLevel="0" collapsed="false">
      <c r="A12" s="29"/>
      <c r="B12" s="29"/>
      <c r="C12" s="29"/>
      <c r="D12" s="29"/>
      <c r="E12" s="29"/>
      <c r="F12" s="29"/>
      <c r="G12" s="29"/>
      <c r="H12" s="29"/>
      <c r="I12" s="29"/>
      <c r="J12" s="29"/>
      <c r="K12" s="29"/>
      <c r="L12" s="33" t="str">
        <f aca="false">IF($B12="","",COUNTIFS('Post Tracker'!$K$5:$K$1004,$B12))</f>
        <v/>
      </c>
      <c r="M12" s="33" t="str">
        <f aca="false">IF($B12="","",SUMIFS('Post Tracker'!$AO$5:$AO$1004,'Post Tracker'!$K$5:$K$1004,$B12))</f>
        <v/>
      </c>
      <c r="N12" s="33" t="str">
        <f aca="false">IF($B12="","",SUMIFS('Post Tracker'!$AR$5:$AR$1004,'Post Tracker'!$K$5:$K$1004,$B12))</f>
        <v/>
      </c>
      <c r="O12" s="34" t="str">
        <f aca="false">IF(OR($B12="",N(M12)=0),"",SUMIFS('Post Tracker'!$BP$5:$BP$1004,'Post Tracker'!$K$5:$K$1004,$B12)/M12)</f>
        <v/>
      </c>
      <c r="P12" s="33" t="str">
        <f aca="false">IF($B12="","",SUMIFS('Post Tracker'!$AJ$5:$AJ$1004,'Post Tracker'!$K$5:$K$1004,$B12))</f>
        <v/>
      </c>
      <c r="Q12" s="33" t="str">
        <f aca="false">IF($B12="","",SUMIFS('Post Tracker'!$AZ$5:$AZ$1004,'Post Tracker'!$K$5:$K$1004,$B12))</f>
        <v/>
      </c>
      <c r="R12" s="33" t="str">
        <f aca="false">IF($B12="","",SUMIFS('Post Tracker'!$BD$5:$BD$1004,'Post Tracker'!$K$5:$K$1004,$B12))</f>
        <v/>
      </c>
      <c r="S12" s="33" t="str">
        <f aca="false">IF($B12="","",SUMIFS('Post Tracker'!$BF$5:$BF$1004,'Post Tracker'!$K$5:$K$1004,$B12))</f>
        <v/>
      </c>
      <c r="T12" s="37" t="str">
        <f aca="false">IF($B12="","",SUMIFS('Post Tracker'!$BH$5:$BH$1004,'Post Tracker'!$K$5:$K$1004,$B12))</f>
        <v/>
      </c>
    </row>
    <row r="13" customFormat="false" ht="15" hidden="false" customHeight="false" outlineLevel="0" collapsed="false">
      <c r="A13" s="29"/>
      <c r="B13" s="29"/>
      <c r="C13" s="29"/>
      <c r="D13" s="29"/>
      <c r="E13" s="29"/>
      <c r="F13" s="29"/>
      <c r="G13" s="29"/>
      <c r="H13" s="29"/>
      <c r="I13" s="29"/>
      <c r="J13" s="29"/>
      <c r="K13" s="29"/>
      <c r="L13" s="33" t="str">
        <f aca="false">IF($B13="","",COUNTIFS('Post Tracker'!$K$5:$K$1004,$B13))</f>
        <v/>
      </c>
      <c r="M13" s="33" t="str">
        <f aca="false">IF($B13="","",SUMIFS('Post Tracker'!$AO$5:$AO$1004,'Post Tracker'!$K$5:$K$1004,$B13))</f>
        <v/>
      </c>
      <c r="N13" s="33" t="str">
        <f aca="false">IF($B13="","",SUMIFS('Post Tracker'!$AR$5:$AR$1004,'Post Tracker'!$K$5:$K$1004,$B13))</f>
        <v/>
      </c>
      <c r="O13" s="34" t="str">
        <f aca="false">IF(OR($B13="",N(M13)=0),"",SUMIFS('Post Tracker'!$BP$5:$BP$1004,'Post Tracker'!$K$5:$K$1004,$B13)/M13)</f>
        <v/>
      </c>
      <c r="P13" s="33" t="str">
        <f aca="false">IF($B13="","",SUMIFS('Post Tracker'!$AJ$5:$AJ$1004,'Post Tracker'!$K$5:$K$1004,$B13))</f>
        <v/>
      </c>
      <c r="Q13" s="33" t="str">
        <f aca="false">IF($B13="","",SUMIFS('Post Tracker'!$AZ$5:$AZ$1004,'Post Tracker'!$K$5:$K$1004,$B13))</f>
        <v/>
      </c>
      <c r="R13" s="33" t="str">
        <f aca="false">IF($B13="","",SUMIFS('Post Tracker'!$BD$5:$BD$1004,'Post Tracker'!$K$5:$K$1004,$B13))</f>
        <v/>
      </c>
      <c r="S13" s="33" t="str">
        <f aca="false">IF($B13="","",SUMIFS('Post Tracker'!$BF$5:$BF$1004,'Post Tracker'!$K$5:$K$1004,$B13))</f>
        <v/>
      </c>
      <c r="T13" s="37" t="str">
        <f aca="false">IF($B13="","",SUMIFS('Post Tracker'!$BH$5:$BH$1004,'Post Tracker'!$K$5:$K$1004,$B13))</f>
        <v/>
      </c>
    </row>
    <row r="14" customFormat="false" ht="15" hidden="false" customHeight="false" outlineLevel="0" collapsed="false">
      <c r="A14" s="29"/>
      <c r="B14" s="29"/>
      <c r="C14" s="29"/>
      <c r="D14" s="29"/>
      <c r="E14" s="29"/>
      <c r="F14" s="29"/>
      <c r="G14" s="29"/>
      <c r="H14" s="29"/>
      <c r="I14" s="29"/>
      <c r="J14" s="29"/>
      <c r="K14" s="29"/>
      <c r="L14" s="33" t="str">
        <f aca="false">IF($B14="","",COUNTIFS('Post Tracker'!$K$5:$K$1004,$B14))</f>
        <v/>
      </c>
      <c r="M14" s="33" t="str">
        <f aca="false">IF($B14="","",SUMIFS('Post Tracker'!$AO$5:$AO$1004,'Post Tracker'!$K$5:$K$1004,$B14))</f>
        <v/>
      </c>
      <c r="N14" s="33" t="str">
        <f aca="false">IF($B14="","",SUMIFS('Post Tracker'!$AR$5:$AR$1004,'Post Tracker'!$K$5:$K$1004,$B14))</f>
        <v/>
      </c>
      <c r="O14" s="34" t="str">
        <f aca="false">IF(OR($B14="",N(M14)=0),"",SUMIFS('Post Tracker'!$BP$5:$BP$1004,'Post Tracker'!$K$5:$K$1004,$B14)/M14)</f>
        <v/>
      </c>
      <c r="P14" s="33" t="str">
        <f aca="false">IF($B14="","",SUMIFS('Post Tracker'!$AJ$5:$AJ$1004,'Post Tracker'!$K$5:$K$1004,$B14))</f>
        <v/>
      </c>
      <c r="Q14" s="33" t="str">
        <f aca="false">IF($B14="","",SUMIFS('Post Tracker'!$AZ$5:$AZ$1004,'Post Tracker'!$K$5:$K$1004,$B14))</f>
        <v/>
      </c>
      <c r="R14" s="33" t="str">
        <f aca="false">IF($B14="","",SUMIFS('Post Tracker'!$BD$5:$BD$1004,'Post Tracker'!$K$5:$K$1004,$B14))</f>
        <v/>
      </c>
      <c r="S14" s="33" t="str">
        <f aca="false">IF($B14="","",SUMIFS('Post Tracker'!$BF$5:$BF$1004,'Post Tracker'!$K$5:$K$1004,$B14))</f>
        <v/>
      </c>
      <c r="T14" s="37" t="str">
        <f aca="false">IF($B14="","",SUMIFS('Post Tracker'!$BH$5:$BH$1004,'Post Tracker'!$K$5:$K$1004,$B14))</f>
        <v/>
      </c>
    </row>
    <row r="15" customFormat="false" ht="15" hidden="false" customHeight="false" outlineLevel="0" collapsed="false">
      <c r="A15" s="29"/>
      <c r="B15" s="29"/>
      <c r="C15" s="29"/>
      <c r="D15" s="29"/>
      <c r="E15" s="29"/>
      <c r="F15" s="29"/>
      <c r="G15" s="29"/>
      <c r="H15" s="29"/>
      <c r="I15" s="29"/>
      <c r="J15" s="29"/>
      <c r="K15" s="29"/>
      <c r="L15" s="33" t="str">
        <f aca="false">IF($B15="","",COUNTIFS('Post Tracker'!$K$5:$K$1004,$B15))</f>
        <v/>
      </c>
      <c r="M15" s="33" t="str">
        <f aca="false">IF($B15="","",SUMIFS('Post Tracker'!$AO$5:$AO$1004,'Post Tracker'!$K$5:$K$1004,$B15))</f>
        <v/>
      </c>
      <c r="N15" s="33" t="str">
        <f aca="false">IF($B15="","",SUMIFS('Post Tracker'!$AR$5:$AR$1004,'Post Tracker'!$K$5:$K$1004,$B15))</f>
        <v/>
      </c>
      <c r="O15" s="34" t="str">
        <f aca="false">IF(OR($B15="",N(M15)=0),"",SUMIFS('Post Tracker'!$BP$5:$BP$1004,'Post Tracker'!$K$5:$K$1004,$B15)/M15)</f>
        <v/>
      </c>
      <c r="P15" s="33" t="str">
        <f aca="false">IF($B15="","",SUMIFS('Post Tracker'!$AJ$5:$AJ$1004,'Post Tracker'!$K$5:$K$1004,$B15))</f>
        <v/>
      </c>
      <c r="Q15" s="33" t="str">
        <f aca="false">IF($B15="","",SUMIFS('Post Tracker'!$AZ$5:$AZ$1004,'Post Tracker'!$K$5:$K$1004,$B15))</f>
        <v/>
      </c>
      <c r="R15" s="33" t="str">
        <f aca="false">IF($B15="","",SUMIFS('Post Tracker'!$BD$5:$BD$1004,'Post Tracker'!$K$5:$K$1004,$B15))</f>
        <v/>
      </c>
      <c r="S15" s="33" t="str">
        <f aca="false">IF($B15="","",SUMIFS('Post Tracker'!$BF$5:$BF$1004,'Post Tracker'!$K$5:$K$1004,$B15))</f>
        <v/>
      </c>
      <c r="T15" s="37" t="str">
        <f aca="false">IF($B15="","",SUMIFS('Post Tracker'!$BH$5:$BH$1004,'Post Tracker'!$K$5:$K$1004,$B15))</f>
        <v/>
      </c>
    </row>
    <row r="16" customFormat="false" ht="15" hidden="false" customHeight="false" outlineLevel="0" collapsed="false">
      <c r="A16" s="29"/>
      <c r="B16" s="29"/>
      <c r="C16" s="29"/>
      <c r="D16" s="29"/>
      <c r="E16" s="29"/>
      <c r="F16" s="29"/>
      <c r="G16" s="29"/>
      <c r="H16" s="29"/>
      <c r="I16" s="29"/>
      <c r="J16" s="29"/>
      <c r="K16" s="29"/>
      <c r="L16" s="33" t="str">
        <f aca="false">IF($B16="","",COUNTIFS('Post Tracker'!$K$5:$K$1004,$B16))</f>
        <v/>
      </c>
      <c r="M16" s="33" t="str">
        <f aca="false">IF($B16="","",SUMIFS('Post Tracker'!$AO$5:$AO$1004,'Post Tracker'!$K$5:$K$1004,$B16))</f>
        <v/>
      </c>
      <c r="N16" s="33" t="str">
        <f aca="false">IF($B16="","",SUMIFS('Post Tracker'!$AR$5:$AR$1004,'Post Tracker'!$K$5:$K$1004,$B16))</f>
        <v/>
      </c>
      <c r="O16" s="34" t="str">
        <f aca="false">IF(OR($B16="",N(M16)=0),"",SUMIFS('Post Tracker'!$BP$5:$BP$1004,'Post Tracker'!$K$5:$K$1004,$B16)/M16)</f>
        <v/>
      </c>
      <c r="P16" s="33" t="str">
        <f aca="false">IF($B16="","",SUMIFS('Post Tracker'!$AJ$5:$AJ$1004,'Post Tracker'!$K$5:$K$1004,$B16))</f>
        <v/>
      </c>
      <c r="Q16" s="33" t="str">
        <f aca="false">IF($B16="","",SUMIFS('Post Tracker'!$AZ$5:$AZ$1004,'Post Tracker'!$K$5:$K$1004,$B16))</f>
        <v/>
      </c>
      <c r="R16" s="33" t="str">
        <f aca="false">IF($B16="","",SUMIFS('Post Tracker'!$BD$5:$BD$1004,'Post Tracker'!$K$5:$K$1004,$B16))</f>
        <v/>
      </c>
      <c r="S16" s="33" t="str">
        <f aca="false">IF($B16="","",SUMIFS('Post Tracker'!$BF$5:$BF$1004,'Post Tracker'!$K$5:$K$1004,$B16))</f>
        <v/>
      </c>
      <c r="T16" s="37" t="str">
        <f aca="false">IF($B16="","",SUMIFS('Post Tracker'!$BH$5:$BH$1004,'Post Tracker'!$K$5:$K$1004,$B16))</f>
        <v/>
      </c>
    </row>
    <row r="17" customFormat="false" ht="15" hidden="false" customHeight="false" outlineLevel="0" collapsed="false">
      <c r="A17" s="29"/>
      <c r="B17" s="29"/>
      <c r="C17" s="29"/>
      <c r="D17" s="29"/>
      <c r="E17" s="29"/>
      <c r="F17" s="29"/>
      <c r="G17" s="29"/>
      <c r="H17" s="29"/>
      <c r="I17" s="29"/>
      <c r="J17" s="29"/>
      <c r="K17" s="29"/>
      <c r="L17" s="33" t="str">
        <f aca="false">IF($B17="","",COUNTIFS('Post Tracker'!$K$5:$K$1004,$B17))</f>
        <v/>
      </c>
      <c r="M17" s="33" t="str">
        <f aca="false">IF($B17="","",SUMIFS('Post Tracker'!$AO$5:$AO$1004,'Post Tracker'!$K$5:$K$1004,$B17))</f>
        <v/>
      </c>
      <c r="N17" s="33" t="str">
        <f aca="false">IF($B17="","",SUMIFS('Post Tracker'!$AR$5:$AR$1004,'Post Tracker'!$K$5:$K$1004,$B17))</f>
        <v/>
      </c>
      <c r="O17" s="34" t="str">
        <f aca="false">IF(OR($B17="",N(M17)=0),"",SUMIFS('Post Tracker'!$BP$5:$BP$1004,'Post Tracker'!$K$5:$K$1004,$B17)/M17)</f>
        <v/>
      </c>
      <c r="P17" s="33" t="str">
        <f aca="false">IF($B17="","",SUMIFS('Post Tracker'!$AJ$5:$AJ$1004,'Post Tracker'!$K$5:$K$1004,$B17))</f>
        <v/>
      </c>
      <c r="Q17" s="33" t="str">
        <f aca="false">IF($B17="","",SUMIFS('Post Tracker'!$AZ$5:$AZ$1004,'Post Tracker'!$K$5:$K$1004,$B17))</f>
        <v/>
      </c>
      <c r="R17" s="33" t="str">
        <f aca="false">IF($B17="","",SUMIFS('Post Tracker'!$BD$5:$BD$1004,'Post Tracker'!$K$5:$K$1004,$B17))</f>
        <v/>
      </c>
      <c r="S17" s="33" t="str">
        <f aca="false">IF($B17="","",SUMIFS('Post Tracker'!$BF$5:$BF$1004,'Post Tracker'!$K$5:$K$1004,$B17))</f>
        <v/>
      </c>
      <c r="T17" s="37" t="str">
        <f aca="false">IF($B17="","",SUMIFS('Post Tracker'!$BH$5:$BH$1004,'Post Tracker'!$K$5:$K$1004,$B17))</f>
        <v/>
      </c>
    </row>
    <row r="18" customFormat="false" ht="15" hidden="false" customHeight="false" outlineLevel="0" collapsed="false">
      <c r="A18" s="29"/>
      <c r="B18" s="29"/>
      <c r="C18" s="29"/>
      <c r="D18" s="29"/>
      <c r="E18" s="29"/>
      <c r="F18" s="29"/>
      <c r="G18" s="29"/>
      <c r="H18" s="29"/>
      <c r="I18" s="29"/>
      <c r="J18" s="29"/>
      <c r="K18" s="29"/>
      <c r="L18" s="33" t="str">
        <f aca="false">IF($B18="","",COUNTIFS('Post Tracker'!$K$5:$K$1004,$B18))</f>
        <v/>
      </c>
      <c r="M18" s="33" t="str">
        <f aca="false">IF($B18="","",SUMIFS('Post Tracker'!$AO$5:$AO$1004,'Post Tracker'!$K$5:$K$1004,$B18))</f>
        <v/>
      </c>
      <c r="N18" s="33" t="str">
        <f aca="false">IF($B18="","",SUMIFS('Post Tracker'!$AR$5:$AR$1004,'Post Tracker'!$K$5:$K$1004,$B18))</f>
        <v/>
      </c>
      <c r="O18" s="34" t="str">
        <f aca="false">IF(OR($B18="",N(M18)=0),"",SUMIFS('Post Tracker'!$BP$5:$BP$1004,'Post Tracker'!$K$5:$K$1004,$B18)/M18)</f>
        <v/>
      </c>
      <c r="P18" s="33" t="str">
        <f aca="false">IF($B18="","",SUMIFS('Post Tracker'!$AJ$5:$AJ$1004,'Post Tracker'!$K$5:$K$1004,$B18))</f>
        <v/>
      </c>
      <c r="Q18" s="33" t="str">
        <f aca="false">IF($B18="","",SUMIFS('Post Tracker'!$AZ$5:$AZ$1004,'Post Tracker'!$K$5:$K$1004,$B18))</f>
        <v/>
      </c>
      <c r="R18" s="33" t="str">
        <f aca="false">IF($B18="","",SUMIFS('Post Tracker'!$BD$5:$BD$1004,'Post Tracker'!$K$5:$K$1004,$B18))</f>
        <v/>
      </c>
      <c r="S18" s="33" t="str">
        <f aca="false">IF($B18="","",SUMIFS('Post Tracker'!$BF$5:$BF$1004,'Post Tracker'!$K$5:$K$1004,$B18))</f>
        <v/>
      </c>
      <c r="T18" s="37" t="str">
        <f aca="false">IF($B18="","",SUMIFS('Post Tracker'!$BH$5:$BH$1004,'Post Tracker'!$K$5:$K$1004,$B18))</f>
        <v/>
      </c>
    </row>
    <row r="19" customFormat="false" ht="15" hidden="false" customHeight="false" outlineLevel="0" collapsed="false">
      <c r="A19" s="29"/>
      <c r="B19" s="29"/>
      <c r="C19" s="29"/>
      <c r="D19" s="29"/>
      <c r="E19" s="29"/>
      <c r="F19" s="29"/>
      <c r="G19" s="29"/>
      <c r="H19" s="29"/>
      <c r="I19" s="29"/>
      <c r="J19" s="29"/>
      <c r="K19" s="29"/>
      <c r="L19" s="33" t="str">
        <f aca="false">IF($B19="","",COUNTIFS('Post Tracker'!$K$5:$K$1004,$B19))</f>
        <v/>
      </c>
      <c r="M19" s="33" t="str">
        <f aca="false">IF($B19="","",SUMIFS('Post Tracker'!$AO$5:$AO$1004,'Post Tracker'!$K$5:$K$1004,$B19))</f>
        <v/>
      </c>
      <c r="N19" s="33" t="str">
        <f aca="false">IF($B19="","",SUMIFS('Post Tracker'!$AR$5:$AR$1004,'Post Tracker'!$K$5:$K$1004,$B19))</f>
        <v/>
      </c>
      <c r="O19" s="34" t="str">
        <f aca="false">IF(OR($B19="",N(M19)=0),"",SUMIFS('Post Tracker'!$BP$5:$BP$1004,'Post Tracker'!$K$5:$K$1004,$B19)/M19)</f>
        <v/>
      </c>
      <c r="P19" s="33" t="str">
        <f aca="false">IF($B19="","",SUMIFS('Post Tracker'!$AJ$5:$AJ$1004,'Post Tracker'!$K$5:$K$1004,$B19))</f>
        <v/>
      </c>
      <c r="Q19" s="33" t="str">
        <f aca="false">IF($B19="","",SUMIFS('Post Tracker'!$AZ$5:$AZ$1004,'Post Tracker'!$K$5:$K$1004,$B19))</f>
        <v/>
      </c>
      <c r="R19" s="33" t="str">
        <f aca="false">IF($B19="","",SUMIFS('Post Tracker'!$BD$5:$BD$1004,'Post Tracker'!$K$5:$K$1004,$B19))</f>
        <v/>
      </c>
      <c r="S19" s="33" t="str">
        <f aca="false">IF($B19="","",SUMIFS('Post Tracker'!$BF$5:$BF$1004,'Post Tracker'!$K$5:$K$1004,$B19))</f>
        <v/>
      </c>
      <c r="T19" s="37" t="str">
        <f aca="false">IF($B19="","",SUMIFS('Post Tracker'!$BH$5:$BH$1004,'Post Tracker'!$K$5:$K$1004,$B19))</f>
        <v/>
      </c>
    </row>
    <row r="20" customFormat="false" ht="15" hidden="false" customHeight="false" outlineLevel="0" collapsed="false">
      <c r="A20" s="29"/>
      <c r="B20" s="29"/>
      <c r="C20" s="29"/>
      <c r="D20" s="29"/>
      <c r="E20" s="29"/>
      <c r="F20" s="29"/>
      <c r="G20" s="29"/>
      <c r="H20" s="29"/>
      <c r="I20" s="29"/>
      <c r="J20" s="29"/>
      <c r="K20" s="29"/>
      <c r="L20" s="33" t="str">
        <f aca="false">IF($B20="","",COUNTIFS('Post Tracker'!$K$5:$K$1004,$B20))</f>
        <v/>
      </c>
      <c r="M20" s="33" t="str">
        <f aca="false">IF($B20="","",SUMIFS('Post Tracker'!$AO$5:$AO$1004,'Post Tracker'!$K$5:$K$1004,$B20))</f>
        <v/>
      </c>
      <c r="N20" s="33" t="str">
        <f aca="false">IF($B20="","",SUMIFS('Post Tracker'!$AR$5:$AR$1004,'Post Tracker'!$K$5:$K$1004,$B20))</f>
        <v/>
      </c>
      <c r="O20" s="34" t="str">
        <f aca="false">IF(OR($B20="",N(M20)=0),"",SUMIFS('Post Tracker'!$BP$5:$BP$1004,'Post Tracker'!$K$5:$K$1004,$B20)/M20)</f>
        <v/>
      </c>
      <c r="P20" s="33" t="str">
        <f aca="false">IF($B20="","",SUMIFS('Post Tracker'!$AJ$5:$AJ$1004,'Post Tracker'!$K$5:$K$1004,$B20))</f>
        <v/>
      </c>
      <c r="Q20" s="33" t="str">
        <f aca="false">IF($B20="","",SUMIFS('Post Tracker'!$AZ$5:$AZ$1004,'Post Tracker'!$K$5:$K$1004,$B20))</f>
        <v/>
      </c>
      <c r="R20" s="33" t="str">
        <f aca="false">IF($B20="","",SUMIFS('Post Tracker'!$BD$5:$BD$1004,'Post Tracker'!$K$5:$K$1004,$B20))</f>
        <v/>
      </c>
      <c r="S20" s="33" t="str">
        <f aca="false">IF($B20="","",SUMIFS('Post Tracker'!$BF$5:$BF$1004,'Post Tracker'!$K$5:$K$1004,$B20))</f>
        <v/>
      </c>
      <c r="T20" s="37" t="str">
        <f aca="false">IF($B20="","",SUMIFS('Post Tracker'!$BH$5:$BH$1004,'Post Tracker'!$K$5:$K$1004,$B20))</f>
        <v/>
      </c>
    </row>
    <row r="21" customFormat="false" ht="15" hidden="false" customHeight="false" outlineLevel="0" collapsed="false">
      <c r="A21" s="29"/>
      <c r="B21" s="29"/>
      <c r="C21" s="29"/>
      <c r="D21" s="29"/>
      <c r="E21" s="29"/>
      <c r="F21" s="29"/>
      <c r="G21" s="29"/>
      <c r="H21" s="29"/>
      <c r="I21" s="29"/>
      <c r="J21" s="29"/>
      <c r="K21" s="29"/>
      <c r="L21" s="33" t="str">
        <f aca="false">IF($B21="","",COUNTIFS('Post Tracker'!$K$5:$K$1004,$B21))</f>
        <v/>
      </c>
      <c r="M21" s="33" t="str">
        <f aca="false">IF($B21="","",SUMIFS('Post Tracker'!$AO$5:$AO$1004,'Post Tracker'!$K$5:$K$1004,$B21))</f>
        <v/>
      </c>
      <c r="N21" s="33" t="str">
        <f aca="false">IF($B21="","",SUMIFS('Post Tracker'!$AR$5:$AR$1004,'Post Tracker'!$K$5:$K$1004,$B21))</f>
        <v/>
      </c>
      <c r="O21" s="34" t="str">
        <f aca="false">IF(OR($B21="",N(M21)=0),"",SUMIFS('Post Tracker'!$BP$5:$BP$1004,'Post Tracker'!$K$5:$K$1004,$B21)/M21)</f>
        <v/>
      </c>
      <c r="P21" s="33" t="str">
        <f aca="false">IF($B21="","",SUMIFS('Post Tracker'!$AJ$5:$AJ$1004,'Post Tracker'!$K$5:$K$1004,$B21))</f>
        <v/>
      </c>
      <c r="Q21" s="33" t="str">
        <f aca="false">IF($B21="","",SUMIFS('Post Tracker'!$AZ$5:$AZ$1004,'Post Tracker'!$K$5:$K$1004,$B21))</f>
        <v/>
      </c>
      <c r="R21" s="33" t="str">
        <f aca="false">IF($B21="","",SUMIFS('Post Tracker'!$BD$5:$BD$1004,'Post Tracker'!$K$5:$K$1004,$B21))</f>
        <v/>
      </c>
      <c r="S21" s="33" t="str">
        <f aca="false">IF($B21="","",SUMIFS('Post Tracker'!$BF$5:$BF$1004,'Post Tracker'!$K$5:$K$1004,$B21))</f>
        <v/>
      </c>
      <c r="T21" s="37" t="str">
        <f aca="false">IF($B21="","",SUMIFS('Post Tracker'!$BH$5:$BH$1004,'Post Tracker'!$K$5:$K$1004,$B21))</f>
        <v/>
      </c>
    </row>
    <row r="22" customFormat="false" ht="15" hidden="false" customHeight="false" outlineLevel="0" collapsed="false">
      <c r="A22" s="29"/>
      <c r="B22" s="29"/>
      <c r="C22" s="29"/>
      <c r="D22" s="29"/>
      <c r="E22" s="29"/>
      <c r="F22" s="29"/>
      <c r="G22" s="29"/>
      <c r="H22" s="29"/>
      <c r="I22" s="29"/>
      <c r="J22" s="29"/>
      <c r="K22" s="29"/>
      <c r="L22" s="33" t="str">
        <f aca="false">IF($B22="","",COUNTIFS('Post Tracker'!$K$5:$K$1004,$B22))</f>
        <v/>
      </c>
      <c r="M22" s="33" t="str">
        <f aca="false">IF($B22="","",SUMIFS('Post Tracker'!$AO$5:$AO$1004,'Post Tracker'!$K$5:$K$1004,$B22))</f>
        <v/>
      </c>
      <c r="N22" s="33" t="str">
        <f aca="false">IF($B22="","",SUMIFS('Post Tracker'!$AR$5:$AR$1004,'Post Tracker'!$K$5:$K$1004,$B22))</f>
        <v/>
      </c>
      <c r="O22" s="34" t="str">
        <f aca="false">IF(OR($B22="",N(M22)=0),"",SUMIFS('Post Tracker'!$BP$5:$BP$1004,'Post Tracker'!$K$5:$K$1004,$B22)/M22)</f>
        <v/>
      </c>
      <c r="P22" s="33" t="str">
        <f aca="false">IF($B22="","",SUMIFS('Post Tracker'!$AJ$5:$AJ$1004,'Post Tracker'!$K$5:$K$1004,$B22))</f>
        <v/>
      </c>
      <c r="Q22" s="33" t="str">
        <f aca="false">IF($B22="","",SUMIFS('Post Tracker'!$AZ$5:$AZ$1004,'Post Tracker'!$K$5:$K$1004,$B22))</f>
        <v/>
      </c>
      <c r="R22" s="33" t="str">
        <f aca="false">IF($B22="","",SUMIFS('Post Tracker'!$BD$5:$BD$1004,'Post Tracker'!$K$5:$K$1004,$B22))</f>
        <v/>
      </c>
      <c r="S22" s="33" t="str">
        <f aca="false">IF($B22="","",SUMIFS('Post Tracker'!$BF$5:$BF$1004,'Post Tracker'!$K$5:$K$1004,$B22))</f>
        <v/>
      </c>
      <c r="T22" s="37" t="str">
        <f aca="false">IF($B22="","",SUMIFS('Post Tracker'!$BH$5:$BH$1004,'Post Tracker'!$K$5:$K$1004,$B22))</f>
        <v/>
      </c>
    </row>
    <row r="23" customFormat="false" ht="15" hidden="false" customHeight="false" outlineLevel="0" collapsed="false">
      <c r="A23" s="29"/>
      <c r="B23" s="29"/>
      <c r="C23" s="29"/>
      <c r="D23" s="29"/>
      <c r="E23" s="29"/>
      <c r="F23" s="29"/>
      <c r="G23" s="29"/>
      <c r="H23" s="29"/>
      <c r="I23" s="29"/>
      <c r="J23" s="29"/>
      <c r="K23" s="29"/>
      <c r="L23" s="33" t="str">
        <f aca="false">IF($B23="","",COUNTIFS('Post Tracker'!$K$5:$K$1004,$B23))</f>
        <v/>
      </c>
      <c r="M23" s="33" t="str">
        <f aca="false">IF($B23="","",SUMIFS('Post Tracker'!$AO$5:$AO$1004,'Post Tracker'!$K$5:$K$1004,$B23))</f>
        <v/>
      </c>
      <c r="N23" s="33" t="str">
        <f aca="false">IF($B23="","",SUMIFS('Post Tracker'!$AR$5:$AR$1004,'Post Tracker'!$K$5:$K$1004,$B23))</f>
        <v/>
      </c>
      <c r="O23" s="34" t="str">
        <f aca="false">IF(OR($B23="",N(M23)=0),"",SUMIFS('Post Tracker'!$BP$5:$BP$1004,'Post Tracker'!$K$5:$K$1004,$B23)/M23)</f>
        <v/>
      </c>
      <c r="P23" s="33" t="str">
        <f aca="false">IF($B23="","",SUMIFS('Post Tracker'!$AJ$5:$AJ$1004,'Post Tracker'!$K$5:$K$1004,$B23))</f>
        <v/>
      </c>
      <c r="Q23" s="33" t="str">
        <f aca="false">IF($B23="","",SUMIFS('Post Tracker'!$AZ$5:$AZ$1004,'Post Tracker'!$K$5:$K$1004,$B23))</f>
        <v/>
      </c>
      <c r="R23" s="33" t="str">
        <f aca="false">IF($B23="","",SUMIFS('Post Tracker'!$BD$5:$BD$1004,'Post Tracker'!$K$5:$K$1004,$B23))</f>
        <v/>
      </c>
      <c r="S23" s="33" t="str">
        <f aca="false">IF($B23="","",SUMIFS('Post Tracker'!$BF$5:$BF$1004,'Post Tracker'!$K$5:$K$1004,$B23))</f>
        <v/>
      </c>
      <c r="T23" s="37" t="str">
        <f aca="false">IF($B23="","",SUMIFS('Post Tracker'!$BH$5:$BH$1004,'Post Tracker'!$K$5:$K$1004,$B23))</f>
        <v/>
      </c>
    </row>
    <row r="24" customFormat="false" ht="15" hidden="false" customHeight="false" outlineLevel="0" collapsed="false">
      <c r="A24" s="29"/>
      <c r="B24" s="29"/>
      <c r="C24" s="29"/>
      <c r="D24" s="29"/>
      <c r="E24" s="29"/>
      <c r="F24" s="29"/>
      <c r="G24" s="29"/>
      <c r="H24" s="29"/>
      <c r="I24" s="29"/>
      <c r="J24" s="29"/>
      <c r="K24" s="29"/>
      <c r="L24" s="33" t="str">
        <f aca="false">IF($B24="","",COUNTIFS('Post Tracker'!$K$5:$K$1004,$B24))</f>
        <v/>
      </c>
      <c r="M24" s="33" t="str">
        <f aca="false">IF($B24="","",SUMIFS('Post Tracker'!$AO$5:$AO$1004,'Post Tracker'!$K$5:$K$1004,$B24))</f>
        <v/>
      </c>
      <c r="N24" s="33" t="str">
        <f aca="false">IF($B24="","",SUMIFS('Post Tracker'!$AR$5:$AR$1004,'Post Tracker'!$K$5:$K$1004,$B24))</f>
        <v/>
      </c>
      <c r="O24" s="34" t="str">
        <f aca="false">IF(OR($B24="",N(M24)=0),"",SUMIFS('Post Tracker'!$BP$5:$BP$1004,'Post Tracker'!$K$5:$K$1004,$B24)/M24)</f>
        <v/>
      </c>
      <c r="P24" s="33" t="str">
        <f aca="false">IF($B24="","",SUMIFS('Post Tracker'!$AJ$5:$AJ$1004,'Post Tracker'!$K$5:$K$1004,$B24))</f>
        <v/>
      </c>
      <c r="Q24" s="33" t="str">
        <f aca="false">IF($B24="","",SUMIFS('Post Tracker'!$AZ$5:$AZ$1004,'Post Tracker'!$K$5:$K$1004,$B24))</f>
        <v/>
      </c>
      <c r="R24" s="33" t="str">
        <f aca="false">IF($B24="","",SUMIFS('Post Tracker'!$BD$5:$BD$1004,'Post Tracker'!$K$5:$K$1004,$B24))</f>
        <v/>
      </c>
      <c r="S24" s="33" t="str">
        <f aca="false">IF($B24="","",SUMIFS('Post Tracker'!$BF$5:$BF$1004,'Post Tracker'!$K$5:$K$1004,$B24))</f>
        <v/>
      </c>
      <c r="T24" s="37" t="str">
        <f aca="false">IF($B24="","",SUMIFS('Post Tracker'!$BH$5:$BH$1004,'Post Tracker'!$K$5:$K$1004,$B24))</f>
        <v/>
      </c>
    </row>
    <row r="25" customFormat="false" ht="15" hidden="false" customHeight="false" outlineLevel="0" collapsed="false">
      <c r="A25" s="29"/>
      <c r="B25" s="29"/>
      <c r="C25" s="29"/>
      <c r="D25" s="29"/>
      <c r="E25" s="29"/>
      <c r="F25" s="29"/>
      <c r="G25" s="29"/>
      <c r="H25" s="29"/>
      <c r="I25" s="29"/>
      <c r="J25" s="29"/>
      <c r="K25" s="29"/>
      <c r="L25" s="33" t="str">
        <f aca="false">IF($B25="","",COUNTIFS('Post Tracker'!$K$5:$K$1004,$B25))</f>
        <v/>
      </c>
      <c r="M25" s="33" t="str">
        <f aca="false">IF($B25="","",SUMIFS('Post Tracker'!$AO$5:$AO$1004,'Post Tracker'!$K$5:$K$1004,$B25))</f>
        <v/>
      </c>
      <c r="N25" s="33" t="str">
        <f aca="false">IF($B25="","",SUMIFS('Post Tracker'!$AR$5:$AR$1004,'Post Tracker'!$K$5:$K$1004,$B25))</f>
        <v/>
      </c>
      <c r="O25" s="34" t="str">
        <f aca="false">IF(OR($B25="",N(M25)=0),"",SUMIFS('Post Tracker'!$BP$5:$BP$1004,'Post Tracker'!$K$5:$K$1004,$B25)/M25)</f>
        <v/>
      </c>
      <c r="P25" s="33" t="str">
        <f aca="false">IF($B25="","",SUMIFS('Post Tracker'!$AJ$5:$AJ$1004,'Post Tracker'!$K$5:$K$1004,$B25))</f>
        <v/>
      </c>
      <c r="Q25" s="33" t="str">
        <f aca="false">IF($B25="","",SUMIFS('Post Tracker'!$AZ$5:$AZ$1004,'Post Tracker'!$K$5:$K$1004,$B25))</f>
        <v/>
      </c>
      <c r="R25" s="33" t="str">
        <f aca="false">IF($B25="","",SUMIFS('Post Tracker'!$BD$5:$BD$1004,'Post Tracker'!$K$5:$K$1004,$B25))</f>
        <v/>
      </c>
      <c r="S25" s="33" t="str">
        <f aca="false">IF($B25="","",SUMIFS('Post Tracker'!$BF$5:$BF$1004,'Post Tracker'!$K$5:$K$1004,$B25))</f>
        <v/>
      </c>
      <c r="T25" s="37" t="str">
        <f aca="false">IF($B25="","",SUMIFS('Post Tracker'!$BH$5:$BH$1004,'Post Tracker'!$K$5:$K$1004,$B25))</f>
        <v/>
      </c>
    </row>
    <row r="26" customFormat="false" ht="15" hidden="false" customHeight="false" outlineLevel="0" collapsed="false">
      <c r="A26" s="29"/>
      <c r="B26" s="29"/>
      <c r="C26" s="29"/>
      <c r="D26" s="29"/>
      <c r="E26" s="29"/>
      <c r="F26" s="29"/>
      <c r="G26" s="29"/>
      <c r="H26" s="29"/>
      <c r="I26" s="29"/>
      <c r="J26" s="29"/>
      <c r="K26" s="29"/>
      <c r="L26" s="33" t="str">
        <f aca="false">IF($B26="","",COUNTIFS('Post Tracker'!$K$5:$K$1004,$B26))</f>
        <v/>
      </c>
      <c r="M26" s="33" t="str">
        <f aca="false">IF($B26="","",SUMIFS('Post Tracker'!$AO$5:$AO$1004,'Post Tracker'!$K$5:$K$1004,$B26))</f>
        <v/>
      </c>
      <c r="N26" s="33" t="str">
        <f aca="false">IF($B26="","",SUMIFS('Post Tracker'!$AR$5:$AR$1004,'Post Tracker'!$K$5:$K$1004,$B26))</f>
        <v/>
      </c>
      <c r="O26" s="34" t="str">
        <f aca="false">IF(OR($B26="",N(M26)=0),"",SUMIFS('Post Tracker'!$BP$5:$BP$1004,'Post Tracker'!$K$5:$K$1004,$B26)/M26)</f>
        <v/>
      </c>
      <c r="P26" s="33" t="str">
        <f aca="false">IF($B26="","",SUMIFS('Post Tracker'!$AJ$5:$AJ$1004,'Post Tracker'!$K$5:$K$1004,$B26))</f>
        <v/>
      </c>
      <c r="Q26" s="33" t="str">
        <f aca="false">IF($B26="","",SUMIFS('Post Tracker'!$AZ$5:$AZ$1004,'Post Tracker'!$K$5:$K$1004,$B26))</f>
        <v/>
      </c>
      <c r="R26" s="33" t="str">
        <f aca="false">IF($B26="","",SUMIFS('Post Tracker'!$BD$5:$BD$1004,'Post Tracker'!$K$5:$K$1004,$B26))</f>
        <v/>
      </c>
      <c r="S26" s="33" t="str">
        <f aca="false">IF($B26="","",SUMIFS('Post Tracker'!$BF$5:$BF$1004,'Post Tracker'!$K$5:$K$1004,$B26))</f>
        <v/>
      </c>
      <c r="T26" s="37" t="str">
        <f aca="false">IF($B26="","",SUMIFS('Post Tracker'!$BH$5:$BH$1004,'Post Tracker'!$K$5:$K$1004,$B26))</f>
        <v/>
      </c>
    </row>
    <row r="27" customFormat="false" ht="15" hidden="false" customHeight="false" outlineLevel="0" collapsed="false">
      <c r="A27" s="29"/>
      <c r="B27" s="29"/>
      <c r="C27" s="29"/>
      <c r="D27" s="29"/>
      <c r="E27" s="29"/>
      <c r="F27" s="29"/>
      <c r="G27" s="29"/>
      <c r="H27" s="29"/>
      <c r="I27" s="29"/>
      <c r="J27" s="29"/>
      <c r="K27" s="29"/>
      <c r="L27" s="33" t="str">
        <f aca="false">IF($B27="","",COUNTIFS('Post Tracker'!$K$5:$K$1004,$B27))</f>
        <v/>
      </c>
      <c r="M27" s="33" t="str">
        <f aca="false">IF($B27="","",SUMIFS('Post Tracker'!$AO$5:$AO$1004,'Post Tracker'!$K$5:$K$1004,$B27))</f>
        <v/>
      </c>
      <c r="N27" s="33" t="str">
        <f aca="false">IF($B27="","",SUMIFS('Post Tracker'!$AR$5:$AR$1004,'Post Tracker'!$K$5:$K$1004,$B27))</f>
        <v/>
      </c>
      <c r="O27" s="34" t="str">
        <f aca="false">IF(OR($B27="",N(M27)=0),"",SUMIFS('Post Tracker'!$BP$5:$BP$1004,'Post Tracker'!$K$5:$K$1004,$B27)/M27)</f>
        <v/>
      </c>
      <c r="P27" s="33" t="str">
        <f aca="false">IF($B27="","",SUMIFS('Post Tracker'!$AJ$5:$AJ$1004,'Post Tracker'!$K$5:$K$1004,$B27))</f>
        <v/>
      </c>
      <c r="Q27" s="33" t="str">
        <f aca="false">IF($B27="","",SUMIFS('Post Tracker'!$AZ$5:$AZ$1004,'Post Tracker'!$K$5:$K$1004,$B27))</f>
        <v/>
      </c>
      <c r="R27" s="33" t="str">
        <f aca="false">IF($B27="","",SUMIFS('Post Tracker'!$BD$5:$BD$1004,'Post Tracker'!$K$5:$K$1004,$B27))</f>
        <v/>
      </c>
      <c r="S27" s="33" t="str">
        <f aca="false">IF($B27="","",SUMIFS('Post Tracker'!$BF$5:$BF$1004,'Post Tracker'!$K$5:$K$1004,$B27))</f>
        <v/>
      </c>
      <c r="T27" s="37" t="str">
        <f aca="false">IF($B27="","",SUMIFS('Post Tracker'!$BH$5:$BH$1004,'Post Tracker'!$K$5:$K$1004,$B27))</f>
        <v/>
      </c>
    </row>
    <row r="28" customFormat="false" ht="15" hidden="false" customHeight="false" outlineLevel="0" collapsed="false">
      <c r="A28" s="29"/>
      <c r="B28" s="29"/>
      <c r="C28" s="29"/>
      <c r="D28" s="29"/>
      <c r="E28" s="29"/>
      <c r="F28" s="29"/>
      <c r="G28" s="29"/>
      <c r="H28" s="29"/>
      <c r="I28" s="29"/>
      <c r="J28" s="29"/>
      <c r="K28" s="29"/>
      <c r="L28" s="33" t="str">
        <f aca="false">IF($B28="","",COUNTIFS('Post Tracker'!$K$5:$K$1004,$B28))</f>
        <v/>
      </c>
      <c r="M28" s="33" t="str">
        <f aca="false">IF($B28="","",SUMIFS('Post Tracker'!$AO$5:$AO$1004,'Post Tracker'!$K$5:$K$1004,$B28))</f>
        <v/>
      </c>
      <c r="N28" s="33" t="str">
        <f aca="false">IF($B28="","",SUMIFS('Post Tracker'!$AR$5:$AR$1004,'Post Tracker'!$K$5:$K$1004,$B28))</f>
        <v/>
      </c>
      <c r="O28" s="34" t="str">
        <f aca="false">IF(OR($B28="",N(M28)=0),"",SUMIFS('Post Tracker'!$BP$5:$BP$1004,'Post Tracker'!$K$5:$K$1004,$B28)/M28)</f>
        <v/>
      </c>
      <c r="P28" s="33" t="str">
        <f aca="false">IF($B28="","",SUMIFS('Post Tracker'!$AJ$5:$AJ$1004,'Post Tracker'!$K$5:$K$1004,$B28))</f>
        <v/>
      </c>
      <c r="Q28" s="33" t="str">
        <f aca="false">IF($B28="","",SUMIFS('Post Tracker'!$AZ$5:$AZ$1004,'Post Tracker'!$K$5:$K$1004,$B28))</f>
        <v/>
      </c>
      <c r="R28" s="33" t="str">
        <f aca="false">IF($B28="","",SUMIFS('Post Tracker'!$BD$5:$BD$1004,'Post Tracker'!$K$5:$K$1004,$B28))</f>
        <v/>
      </c>
      <c r="S28" s="33" t="str">
        <f aca="false">IF($B28="","",SUMIFS('Post Tracker'!$BF$5:$BF$1004,'Post Tracker'!$K$5:$K$1004,$B28))</f>
        <v/>
      </c>
      <c r="T28" s="37" t="str">
        <f aca="false">IF($B28="","",SUMIFS('Post Tracker'!$BH$5:$BH$1004,'Post Tracker'!$K$5:$K$1004,$B28))</f>
        <v/>
      </c>
    </row>
    <row r="29" customFormat="false" ht="15" hidden="false" customHeight="false" outlineLevel="0" collapsed="false">
      <c r="A29" s="29"/>
      <c r="B29" s="29"/>
      <c r="C29" s="29"/>
      <c r="D29" s="29"/>
      <c r="E29" s="29"/>
      <c r="F29" s="29"/>
      <c r="G29" s="29"/>
      <c r="H29" s="29"/>
      <c r="I29" s="29"/>
      <c r="J29" s="29"/>
      <c r="K29" s="29"/>
      <c r="L29" s="33" t="str">
        <f aca="false">IF($B29="","",COUNTIFS('Post Tracker'!$K$5:$K$1004,$B29))</f>
        <v/>
      </c>
      <c r="M29" s="33" t="str">
        <f aca="false">IF($B29="","",SUMIFS('Post Tracker'!$AO$5:$AO$1004,'Post Tracker'!$K$5:$K$1004,$B29))</f>
        <v/>
      </c>
      <c r="N29" s="33" t="str">
        <f aca="false">IF($B29="","",SUMIFS('Post Tracker'!$AR$5:$AR$1004,'Post Tracker'!$K$5:$K$1004,$B29))</f>
        <v/>
      </c>
      <c r="O29" s="34" t="str">
        <f aca="false">IF(OR($B29="",N(M29)=0),"",SUMIFS('Post Tracker'!$BP$5:$BP$1004,'Post Tracker'!$K$5:$K$1004,$B29)/M29)</f>
        <v/>
      </c>
      <c r="P29" s="33" t="str">
        <f aca="false">IF($B29="","",SUMIFS('Post Tracker'!$AJ$5:$AJ$1004,'Post Tracker'!$K$5:$K$1004,$B29))</f>
        <v/>
      </c>
      <c r="Q29" s="33" t="str">
        <f aca="false">IF($B29="","",SUMIFS('Post Tracker'!$AZ$5:$AZ$1004,'Post Tracker'!$K$5:$K$1004,$B29))</f>
        <v/>
      </c>
      <c r="R29" s="33" t="str">
        <f aca="false">IF($B29="","",SUMIFS('Post Tracker'!$BD$5:$BD$1004,'Post Tracker'!$K$5:$K$1004,$B29))</f>
        <v/>
      </c>
      <c r="S29" s="33" t="str">
        <f aca="false">IF($B29="","",SUMIFS('Post Tracker'!$BF$5:$BF$1004,'Post Tracker'!$K$5:$K$1004,$B29))</f>
        <v/>
      </c>
      <c r="T29" s="37" t="str">
        <f aca="false">IF($B29="","",SUMIFS('Post Tracker'!$BH$5:$BH$1004,'Post Tracker'!$K$5:$K$1004,$B29))</f>
        <v/>
      </c>
    </row>
    <row r="30" customFormat="false" ht="15" hidden="false" customHeight="false" outlineLevel="0" collapsed="false">
      <c r="A30" s="29"/>
      <c r="B30" s="29"/>
      <c r="C30" s="29"/>
      <c r="D30" s="29"/>
      <c r="E30" s="29"/>
      <c r="F30" s="29"/>
      <c r="G30" s="29"/>
      <c r="H30" s="29"/>
      <c r="I30" s="29"/>
      <c r="J30" s="29"/>
      <c r="K30" s="29"/>
      <c r="L30" s="33" t="str">
        <f aca="false">IF($B30="","",COUNTIFS('Post Tracker'!$K$5:$K$1004,$B30))</f>
        <v/>
      </c>
      <c r="M30" s="33" t="str">
        <f aca="false">IF($B30="","",SUMIFS('Post Tracker'!$AO$5:$AO$1004,'Post Tracker'!$K$5:$K$1004,$B30))</f>
        <v/>
      </c>
      <c r="N30" s="33" t="str">
        <f aca="false">IF($B30="","",SUMIFS('Post Tracker'!$AR$5:$AR$1004,'Post Tracker'!$K$5:$K$1004,$B30))</f>
        <v/>
      </c>
      <c r="O30" s="34" t="str">
        <f aca="false">IF(OR($B30="",N(M30)=0),"",SUMIFS('Post Tracker'!$BP$5:$BP$1004,'Post Tracker'!$K$5:$K$1004,$B30)/M30)</f>
        <v/>
      </c>
      <c r="P30" s="33" t="str">
        <f aca="false">IF($B30="","",SUMIFS('Post Tracker'!$AJ$5:$AJ$1004,'Post Tracker'!$K$5:$K$1004,$B30))</f>
        <v/>
      </c>
      <c r="Q30" s="33" t="str">
        <f aca="false">IF($B30="","",SUMIFS('Post Tracker'!$AZ$5:$AZ$1004,'Post Tracker'!$K$5:$K$1004,$B30))</f>
        <v/>
      </c>
      <c r="R30" s="33" t="str">
        <f aca="false">IF($B30="","",SUMIFS('Post Tracker'!$BD$5:$BD$1004,'Post Tracker'!$K$5:$K$1004,$B30))</f>
        <v/>
      </c>
      <c r="S30" s="33" t="str">
        <f aca="false">IF($B30="","",SUMIFS('Post Tracker'!$BF$5:$BF$1004,'Post Tracker'!$K$5:$K$1004,$B30))</f>
        <v/>
      </c>
      <c r="T30" s="37" t="str">
        <f aca="false">IF($B30="","",SUMIFS('Post Tracker'!$BH$5:$BH$1004,'Post Tracker'!$K$5:$K$1004,$B30))</f>
        <v/>
      </c>
    </row>
    <row r="31" customFormat="false" ht="15" hidden="false" customHeight="false" outlineLevel="0" collapsed="false">
      <c r="A31" s="29"/>
      <c r="B31" s="29"/>
      <c r="C31" s="29"/>
      <c r="D31" s="29"/>
      <c r="E31" s="29"/>
      <c r="F31" s="29"/>
      <c r="G31" s="29"/>
      <c r="H31" s="29"/>
      <c r="I31" s="29"/>
      <c r="J31" s="29"/>
      <c r="K31" s="29"/>
      <c r="L31" s="33" t="str">
        <f aca="false">IF($B31="","",COUNTIFS('Post Tracker'!$K$5:$K$1004,$B31))</f>
        <v/>
      </c>
      <c r="M31" s="33" t="str">
        <f aca="false">IF($B31="","",SUMIFS('Post Tracker'!$AO$5:$AO$1004,'Post Tracker'!$K$5:$K$1004,$B31))</f>
        <v/>
      </c>
      <c r="N31" s="33" t="str">
        <f aca="false">IF($B31="","",SUMIFS('Post Tracker'!$AR$5:$AR$1004,'Post Tracker'!$K$5:$K$1004,$B31))</f>
        <v/>
      </c>
      <c r="O31" s="34" t="str">
        <f aca="false">IF(OR($B31="",N(M31)=0),"",SUMIFS('Post Tracker'!$BP$5:$BP$1004,'Post Tracker'!$K$5:$K$1004,$B31)/M31)</f>
        <v/>
      </c>
      <c r="P31" s="33" t="str">
        <f aca="false">IF($B31="","",SUMIFS('Post Tracker'!$AJ$5:$AJ$1004,'Post Tracker'!$K$5:$K$1004,$B31))</f>
        <v/>
      </c>
      <c r="Q31" s="33" t="str">
        <f aca="false">IF($B31="","",SUMIFS('Post Tracker'!$AZ$5:$AZ$1004,'Post Tracker'!$K$5:$K$1004,$B31))</f>
        <v/>
      </c>
      <c r="R31" s="33" t="str">
        <f aca="false">IF($B31="","",SUMIFS('Post Tracker'!$BD$5:$BD$1004,'Post Tracker'!$K$5:$K$1004,$B31))</f>
        <v/>
      </c>
      <c r="S31" s="33" t="str">
        <f aca="false">IF($B31="","",SUMIFS('Post Tracker'!$BF$5:$BF$1004,'Post Tracker'!$K$5:$K$1004,$B31))</f>
        <v/>
      </c>
      <c r="T31" s="37" t="str">
        <f aca="false">IF($B31="","",SUMIFS('Post Tracker'!$BH$5:$BH$1004,'Post Tracker'!$K$5:$K$1004,$B31))</f>
        <v/>
      </c>
    </row>
    <row r="32" customFormat="false" ht="15" hidden="false" customHeight="false" outlineLevel="0" collapsed="false">
      <c r="A32" s="29"/>
      <c r="B32" s="29"/>
      <c r="C32" s="29"/>
      <c r="D32" s="29"/>
      <c r="E32" s="29"/>
      <c r="F32" s="29"/>
      <c r="G32" s="29"/>
      <c r="H32" s="29"/>
      <c r="I32" s="29"/>
      <c r="J32" s="29"/>
      <c r="K32" s="29"/>
      <c r="L32" s="33" t="str">
        <f aca="false">IF($B32="","",COUNTIFS('Post Tracker'!$K$5:$K$1004,$B32))</f>
        <v/>
      </c>
      <c r="M32" s="33" t="str">
        <f aca="false">IF($B32="","",SUMIFS('Post Tracker'!$AO$5:$AO$1004,'Post Tracker'!$K$5:$K$1004,$B32))</f>
        <v/>
      </c>
      <c r="N32" s="33" t="str">
        <f aca="false">IF($B32="","",SUMIFS('Post Tracker'!$AR$5:$AR$1004,'Post Tracker'!$K$5:$K$1004,$B32))</f>
        <v/>
      </c>
      <c r="O32" s="34" t="str">
        <f aca="false">IF(OR($B32="",N(M32)=0),"",SUMIFS('Post Tracker'!$BP$5:$BP$1004,'Post Tracker'!$K$5:$K$1004,$B32)/M32)</f>
        <v/>
      </c>
      <c r="P32" s="33" t="str">
        <f aca="false">IF($B32="","",SUMIFS('Post Tracker'!$AJ$5:$AJ$1004,'Post Tracker'!$K$5:$K$1004,$B32))</f>
        <v/>
      </c>
      <c r="Q32" s="33" t="str">
        <f aca="false">IF($B32="","",SUMIFS('Post Tracker'!$AZ$5:$AZ$1004,'Post Tracker'!$K$5:$K$1004,$B32))</f>
        <v/>
      </c>
      <c r="R32" s="33" t="str">
        <f aca="false">IF($B32="","",SUMIFS('Post Tracker'!$BD$5:$BD$1004,'Post Tracker'!$K$5:$K$1004,$B32))</f>
        <v/>
      </c>
      <c r="S32" s="33" t="str">
        <f aca="false">IF($B32="","",SUMIFS('Post Tracker'!$BF$5:$BF$1004,'Post Tracker'!$K$5:$K$1004,$B32))</f>
        <v/>
      </c>
      <c r="T32" s="37" t="str">
        <f aca="false">IF($B32="","",SUMIFS('Post Tracker'!$BH$5:$BH$1004,'Post Tracker'!$K$5:$K$1004,$B32))</f>
        <v/>
      </c>
    </row>
    <row r="33" customFormat="false" ht="15" hidden="false" customHeight="false" outlineLevel="0" collapsed="false">
      <c r="A33" s="29"/>
      <c r="B33" s="29"/>
      <c r="C33" s="29"/>
      <c r="D33" s="29"/>
      <c r="E33" s="29"/>
      <c r="F33" s="29"/>
      <c r="G33" s="29"/>
      <c r="H33" s="29"/>
      <c r="I33" s="29"/>
      <c r="J33" s="29"/>
      <c r="K33" s="29"/>
      <c r="L33" s="33" t="str">
        <f aca="false">IF($B33="","",COUNTIFS('Post Tracker'!$K$5:$K$1004,$B33))</f>
        <v/>
      </c>
      <c r="M33" s="33" t="str">
        <f aca="false">IF($B33="","",SUMIFS('Post Tracker'!$AO$5:$AO$1004,'Post Tracker'!$K$5:$K$1004,$B33))</f>
        <v/>
      </c>
      <c r="N33" s="33" t="str">
        <f aca="false">IF($B33="","",SUMIFS('Post Tracker'!$AR$5:$AR$1004,'Post Tracker'!$K$5:$K$1004,$B33))</f>
        <v/>
      </c>
      <c r="O33" s="34" t="str">
        <f aca="false">IF(OR($B33="",N(M33)=0),"",SUMIFS('Post Tracker'!$BP$5:$BP$1004,'Post Tracker'!$K$5:$K$1004,$B33)/M33)</f>
        <v/>
      </c>
      <c r="P33" s="33" t="str">
        <f aca="false">IF($B33="","",SUMIFS('Post Tracker'!$AJ$5:$AJ$1004,'Post Tracker'!$K$5:$K$1004,$B33))</f>
        <v/>
      </c>
      <c r="Q33" s="33" t="str">
        <f aca="false">IF($B33="","",SUMIFS('Post Tracker'!$AZ$5:$AZ$1004,'Post Tracker'!$K$5:$K$1004,$B33))</f>
        <v/>
      </c>
      <c r="R33" s="33" t="str">
        <f aca="false">IF($B33="","",SUMIFS('Post Tracker'!$BD$5:$BD$1004,'Post Tracker'!$K$5:$K$1004,$B33))</f>
        <v/>
      </c>
      <c r="S33" s="33" t="str">
        <f aca="false">IF($B33="","",SUMIFS('Post Tracker'!$BF$5:$BF$1004,'Post Tracker'!$K$5:$K$1004,$B33))</f>
        <v/>
      </c>
      <c r="T33" s="37" t="str">
        <f aca="false">IF($B33="","",SUMIFS('Post Tracker'!$BH$5:$BH$1004,'Post Tracker'!$K$5:$K$1004,$B33))</f>
        <v/>
      </c>
    </row>
    <row r="34" customFormat="false" ht="15" hidden="false" customHeight="false" outlineLevel="0" collapsed="false">
      <c r="A34" s="29"/>
      <c r="B34" s="29"/>
      <c r="C34" s="29"/>
      <c r="D34" s="29"/>
      <c r="E34" s="29"/>
      <c r="F34" s="29"/>
      <c r="G34" s="29"/>
      <c r="H34" s="29"/>
      <c r="I34" s="29"/>
      <c r="J34" s="29"/>
      <c r="K34" s="29"/>
      <c r="L34" s="33" t="str">
        <f aca="false">IF($B34="","",COUNTIFS('Post Tracker'!$K$5:$K$1004,$B34))</f>
        <v/>
      </c>
      <c r="M34" s="33" t="str">
        <f aca="false">IF($B34="","",SUMIFS('Post Tracker'!$AO$5:$AO$1004,'Post Tracker'!$K$5:$K$1004,$B34))</f>
        <v/>
      </c>
      <c r="N34" s="33" t="str">
        <f aca="false">IF($B34="","",SUMIFS('Post Tracker'!$AR$5:$AR$1004,'Post Tracker'!$K$5:$K$1004,$B34))</f>
        <v/>
      </c>
      <c r="O34" s="34" t="str">
        <f aca="false">IF(OR($B34="",N(M34)=0),"",SUMIFS('Post Tracker'!$BP$5:$BP$1004,'Post Tracker'!$K$5:$K$1004,$B34)/M34)</f>
        <v/>
      </c>
      <c r="P34" s="33" t="str">
        <f aca="false">IF($B34="","",SUMIFS('Post Tracker'!$AJ$5:$AJ$1004,'Post Tracker'!$K$5:$K$1004,$B34))</f>
        <v/>
      </c>
      <c r="Q34" s="33" t="str">
        <f aca="false">IF($B34="","",SUMIFS('Post Tracker'!$AZ$5:$AZ$1004,'Post Tracker'!$K$5:$K$1004,$B34))</f>
        <v/>
      </c>
      <c r="R34" s="33" t="str">
        <f aca="false">IF($B34="","",SUMIFS('Post Tracker'!$BD$5:$BD$1004,'Post Tracker'!$K$5:$K$1004,$B34))</f>
        <v/>
      </c>
      <c r="S34" s="33" t="str">
        <f aca="false">IF($B34="","",SUMIFS('Post Tracker'!$BF$5:$BF$1004,'Post Tracker'!$K$5:$K$1004,$B34))</f>
        <v/>
      </c>
      <c r="T34" s="37" t="str">
        <f aca="false">IF($B34="","",SUMIFS('Post Tracker'!$BH$5:$BH$1004,'Post Tracker'!$K$5:$K$1004,$B34))</f>
        <v/>
      </c>
    </row>
    <row r="35" customFormat="false" ht="15" hidden="false" customHeight="false" outlineLevel="0" collapsed="false">
      <c r="A35" s="29"/>
      <c r="B35" s="29"/>
      <c r="C35" s="29"/>
      <c r="D35" s="29"/>
      <c r="E35" s="29"/>
      <c r="F35" s="29"/>
      <c r="G35" s="29"/>
      <c r="H35" s="29"/>
      <c r="I35" s="29"/>
      <c r="J35" s="29"/>
      <c r="K35" s="29"/>
      <c r="L35" s="33" t="str">
        <f aca="false">IF($B35="","",COUNTIFS('Post Tracker'!$K$5:$K$1004,$B35))</f>
        <v/>
      </c>
      <c r="M35" s="33" t="str">
        <f aca="false">IF($B35="","",SUMIFS('Post Tracker'!$AO$5:$AO$1004,'Post Tracker'!$K$5:$K$1004,$B35))</f>
        <v/>
      </c>
      <c r="N35" s="33" t="str">
        <f aca="false">IF($B35="","",SUMIFS('Post Tracker'!$AR$5:$AR$1004,'Post Tracker'!$K$5:$K$1004,$B35))</f>
        <v/>
      </c>
      <c r="O35" s="34" t="str">
        <f aca="false">IF(OR($B35="",N(M35)=0),"",SUMIFS('Post Tracker'!$BP$5:$BP$1004,'Post Tracker'!$K$5:$K$1004,$B35)/M35)</f>
        <v/>
      </c>
      <c r="P35" s="33" t="str">
        <f aca="false">IF($B35="","",SUMIFS('Post Tracker'!$AJ$5:$AJ$1004,'Post Tracker'!$K$5:$K$1004,$B35))</f>
        <v/>
      </c>
      <c r="Q35" s="33" t="str">
        <f aca="false">IF($B35="","",SUMIFS('Post Tracker'!$AZ$5:$AZ$1004,'Post Tracker'!$K$5:$K$1004,$B35))</f>
        <v/>
      </c>
      <c r="R35" s="33" t="str">
        <f aca="false">IF($B35="","",SUMIFS('Post Tracker'!$BD$5:$BD$1004,'Post Tracker'!$K$5:$K$1004,$B35))</f>
        <v/>
      </c>
      <c r="S35" s="33" t="str">
        <f aca="false">IF($B35="","",SUMIFS('Post Tracker'!$BF$5:$BF$1004,'Post Tracker'!$K$5:$K$1004,$B35))</f>
        <v/>
      </c>
      <c r="T35" s="37" t="str">
        <f aca="false">IF($B35="","",SUMIFS('Post Tracker'!$BH$5:$BH$1004,'Post Tracker'!$K$5:$K$1004,$B35))</f>
        <v/>
      </c>
    </row>
    <row r="36" customFormat="false" ht="15" hidden="false" customHeight="false" outlineLevel="0" collapsed="false">
      <c r="A36" s="29"/>
      <c r="B36" s="29"/>
      <c r="C36" s="29"/>
      <c r="D36" s="29"/>
      <c r="E36" s="29"/>
      <c r="F36" s="29"/>
      <c r="G36" s="29"/>
      <c r="H36" s="29"/>
      <c r="I36" s="29"/>
      <c r="J36" s="29"/>
      <c r="K36" s="29"/>
      <c r="L36" s="33" t="str">
        <f aca="false">IF($B36="","",COUNTIFS('Post Tracker'!$K$5:$K$1004,$B36))</f>
        <v/>
      </c>
      <c r="M36" s="33" t="str">
        <f aca="false">IF($B36="","",SUMIFS('Post Tracker'!$AO$5:$AO$1004,'Post Tracker'!$K$5:$K$1004,$B36))</f>
        <v/>
      </c>
      <c r="N36" s="33" t="str">
        <f aca="false">IF($B36="","",SUMIFS('Post Tracker'!$AR$5:$AR$1004,'Post Tracker'!$K$5:$K$1004,$B36))</f>
        <v/>
      </c>
      <c r="O36" s="34" t="str">
        <f aca="false">IF(OR($B36="",N(M36)=0),"",SUMIFS('Post Tracker'!$BP$5:$BP$1004,'Post Tracker'!$K$5:$K$1004,$B36)/M36)</f>
        <v/>
      </c>
      <c r="P36" s="33" t="str">
        <f aca="false">IF($B36="","",SUMIFS('Post Tracker'!$AJ$5:$AJ$1004,'Post Tracker'!$K$5:$K$1004,$B36))</f>
        <v/>
      </c>
      <c r="Q36" s="33" t="str">
        <f aca="false">IF($B36="","",SUMIFS('Post Tracker'!$AZ$5:$AZ$1004,'Post Tracker'!$K$5:$K$1004,$B36))</f>
        <v/>
      </c>
      <c r="R36" s="33" t="str">
        <f aca="false">IF($B36="","",SUMIFS('Post Tracker'!$BD$5:$BD$1004,'Post Tracker'!$K$5:$K$1004,$B36))</f>
        <v/>
      </c>
      <c r="S36" s="33" t="str">
        <f aca="false">IF($B36="","",SUMIFS('Post Tracker'!$BF$5:$BF$1004,'Post Tracker'!$K$5:$K$1004,$B36))</f>
        <v/>
      </c>
      <c r="T36" s="37" t="str">
        <f aca="false">IF($B36="","",SUMIFS('Post Tracker'!$BH$5:$BH$1004,'Post Tracker'!$K$5:$K$1004,$B36))</f>
        <v/>
      </c>
    </row>
    <row r="37" customFormat="false" ht="15" hidden="false" customHeight="false" outlineLevel="0" collapsed="false">
      <c r="A37" s="29"/>
      <c r="B37" s="29"/>
      <c r="C37" s="29"/>
      <c r="D37" s="29"/>
      <c r="E37" s="29"/>
      <c r="F37" s="29"/>
      <c r="G37" s="29"/>
      <c r="H37" s="29"/>
      <c r="I37" s="29"/>
      <c r="J37" s="29"/>
      <c r="K37" s="29"/>
      <c r="L37" s="33" t="str">
        <f aca="false">IF($B37="","",COUNTIFS('Post Tracker'!$K$5:$K$1004,$B37))</f>
        <v/>
      </c>
      <c r="M37" s="33" t="str">
        <f aca="false">IF($B37="","",SUMIFS('Post Tracker'!$AO$5:$AO$1004,'Post Tracker'!$K$5:$K$1004,$B37))</f>
        <v/>
      </c>
      <c r="N37" s="33" t="str">
        <f aca="false">IF($B37="","",SUMIFS('Post Tracker'!$AR$5:$AR$1004,'Post Tracker'!$K$5:$K$1004,$B37))</f>
        <v/>
      </c>
      <c r="O37" s="34" t="str">
        <f aca="false">IF(OR($B37="",N(M37)=0),"",SUMIFS('Post Tracker'!$BP$5:$BP$1004,'Post Tracker'!$K$5:$K$1004,$B37)/M37)</f>
        <v/>
      </c>
      <c r="P37" s="33" t="str">
        <f aca="false">IF($B37="","",SUMIFS('Post Tracker'!$AJ$5:$AJ$1004,'Post Tracker'!$K$5:$K$1004,$B37))</f>
        <v/>
      </c>
      <c r="Q37" s="33" t="str">
        <f aca="false">IF($B37="","",SUMIFS('Post Tracker'!$AZ$5:$AZ$1004,'Post Tracker'!$K$5:$K$1004,$B37))</f>
        <v/>
      </c>
      <c r="R37" s="33" t="str">
        <f aca="false">IF($B37="","",SUMIFS('Post Tracker'!$BD$5:$BD$1004,'Post Tracker'!$K$5:$K$1004,$B37))</f>
        <v/>
      </c>
      <c r="S37" s="33" t="str">
        <f aca="false">IF($B37="","",SUMIFS('Post Tracker'!$BF$5:$BF$1004,'Post Tracker'!$K$5:$K$1004,$B37))</f>
        <v/>
      </c>
      <c r="T37" s="37" t="str">
        <f aca="false">IF($B37="","",SUMIFS('Post Tracker'!$BH$5:$BH$1004,'Post Tracker'!$K$5:$K$1004,$B37))</f>
        <v/>
      </c>
    </row>
    <row r="38" customFormat="false" ht="15" hidden="false" customHeight="false" outlineLevel="0" collapsed="false">
      <c r="A38" s="29"/>
      <c r="B38" s="29"/>
      <c r="C38" s="29"/>
      <c r="D38" s="29"/>
      <c r="E38" s="29"/>
      <c r="F38" s="29"/>
      <c r="G38" s="29"/>
      <c r="H38" s="29"/>
      <c r="I38" s="29"/>
      <c r="J38" s="29"/>
      <c r="K38" s="29"/>
      <c r="L38" s="33" t="str">
        <f aca="false">IF($B38="","",COUNTIFS('Post Tracker'!$K$5:$K$1004,$B38))</f>
        <v/>
      </c>
      <c r="M38" s="33" t="str">
        <f aca="false">IF($B38="","",SUMIFS('Post Tracker'!$AO$5:$AO$1004,'Post Tracker'!$K$5:$K$1004,$B38))</f>
        <v/>
      </c>
      <c r="N38" s="33" t="str">
        <f aca="false">IF($B38="","",SUMIFS('Post Tracker'!$AR$5:$AR$1004,'Post Tracker'!$K$5:$K$1004,$B38))</f>
        <v/>
      </c>
      <c r="O38" s="34" t="str">
        <f aca="false">IF(OR($B38="",N(M38)=0),"",SUMIFS('Post Tracker'!$BP$5:$BP$1004,'Post Tracker'!$K$5:$K$1004,$B38)/M38)</f>
        <v/>
      </c>
      <c r="P38" s="33" t="str">
        <f aca="false">IF($B38="","",SUMIFS('Post Tracker'!$AJ$5:$AJ$1004,'Post Tracker'!$K$5:$K$1004,$B38))</f>
        <v/>
      </c>
      <c r="Q38" s="33" t="str">
        <f aca="false">IF($B38="","",SUMIFS('Post Tracker'!$AZ$5:$AZ$1004,'Post Tracker'!$K$5:$K$1004,$B38))</f>
        <v/>
      </c>
      <c r="R38" s="33" t="str">
        <f aca="false">IF($B38="","",SUMIFS('Post Tracker'!$BD$5:$BD$1004,'Post Tracker'!$K$5:$K$1004,$B38))</f>
        <v/>
      </c>
      <c r="S38" s="33" t="str">
        <f aca="false">IF($B38="","",SUMIFS('Post Tracker'!$BF$5:$BF$1004,'Post Tracker'!$K$5:$K$1004,$B38))</f>
        <v/>
      </c>
      <c r="T38" s="37" t="str">
        <f aca="false">IF($B38="","",SUMIFS('Post Tracker'!$BH$5:$BH$1004,'Post Tracker'!$K$5:$K$1004,$B38))</f>
        <v/>
      </c>
    </row>
    <row r="39" customFormat="false" ht="15" hidden="false" customHeight="false" outlineLevel="0" collapsed="false">
      <c r="A39" s="29"/>
      <c r="B39" s="29"/>
      <c r="C39" s="29"/>
      <c r="D39" s="29"/>
      <c r="E39" s="29"/>
      <c r="F39" s="29"/>
      <c r="G39" s="29"/>
      <c r="H39" s="29"/>
      <c r="I39" s="29"/>
      <c r="J39" s="29"/>
      <c r="K39" s="29"/>
      <c r="L39" s="33" t="str">
        <f aca="false">IF($B39="","",COUNTIFS('Post Tracker'!$K$5:$K$1004,$B39))</f>
        <v/>
      </c>
      <c r="M39" s="33" t="str">
        <f aca="false">IF($B39="","",SUMIFS('Post Tracker'!$AO$5:$AO$1004,'Post Tracker'!$K$5:$K$1004,$B39))</f>
        <v/>
      </c>
      <c r="N39" s="33" t="str">
        <f aca="false">IF($B39="","",SUMIFS('Post Tracker'!$AR$5:$AR$1004,'Post Tracker'!$K$5:$K$1004,$B39))</f>
        <v/>
      </c>
      <c r="O39" s="34" t="str">
        <f aca="false">IF(OR($B39="",N(M39)=0),"",SUMIFS('Post Tracker'!$BP$5:$BP$1004,'Post Tracker'!$K$5:$K$1004,$B39)/M39)</f>
        <v/>
      </c>
      <c r="P39" s="33" t="str">
        <f aca="false">IF($B39="","",SUMIFS('Post Tracker'!$AJ$5:$AJ$1004,'Post Tracker'!$K$5:$K$1004,$B39))</f>
        <v/>
      </c>
      <c r="Q39" s="33" t="str">
        <f aca="false">IF($B39="","",SUMIFS('Post Tracker'!$AZ$5:$AZ$1004,'Post Tracker'!$K$5:$K$1004,$B39))</f>
        <v/>
      </c>
      <c r="R39" s="33" t="str">
        <f aca="false">IF($B39="","",SUMIFS('Post Tracker'!$BD$5:$BD$1004,'Post Tracker'!$K$5:$K$1004,$B39))</f>
        <v/>
      </c>
      <c r="S39" s="33" t="str">
        <f aca="false">IF($B39="","",SUMIFS('Post Tracker'!$BF$5:$BF$1004,'Post Tracker'!$K$5:$K$1004,$B39))</f>
        <v/>
      </c>
      <c r="T39" s="37" t="str">
        <f aca="false">IF($B39="","",SUMIFS('Post Tracker'!$BH$5:$BH$1004,'Post Tracker'!$K$5:$K$1004,$B39))</f>
        <v/>
      </c>
    </row>
    <row r="40" customFormat="false" ht="15" hidden="false" customHeight="false" outlineLevel="0" collapsed="false">
      <c r="A40" s="29"/>
      <c r="B40" s="29"/>
      <c r="C40" s="29"/>
      <c r="D40" s="29"/>
      <c r="E40" s="29"/>
      <c r="F40" s="29"/>
      <c r="G40" s="29"/>
      <c r="H40" s="29"/>
      <c r="I40" s="29"/>
      <c r="J40" s="29"/>
      <c r="K40" s="29"/>
      <c r="L40" s="33" t="str">
        <f aca="false">IF($B40="","",COUNTIFS('Post Tracker'!$K$5:$K$1004,$B40))</f>
        <v/>
      </c>
      <c r="M40" s="33" t="str">
        <f aca="false">IF($B40="","",SUMIFS('Post Tracker'!$AO$5:$AO$1004,'Post Tracker'!$K$5:$K$1004,$B40))</f>
        <v/>
      </c>
      <c r="N40" s="33" t="str">
        <f aca="false">IF($B40="","",SUMIFS('Post Tracker'!$AR$5:$AR$1004,'Post Tracker'!$K$5:$K$1004,$B40))</f>
        <v/>
      </c>
      <c r="O40" s="34" t="str">
        <f aca="false">IF(OR($B40="",N(M40)=0),"",SUMIFS('Post Tracker'!$BP$5:$BP$1004,'Post Tracker'!$K$5:$K$1004,$B40)/M40)</f>
        <v/>
      </c>
      <c r="P40" s="33" t="str">
        <f aca="false">IF($B40="","",SUMIFS('Post Tracker'!$AJ$5:$AJ$1004,'Post Tracker'!$K$5:$K$1004,$B40))</f>
        <v/>
      </c>
      <c r="Q40" s="33" t="str">
        <f aca="false">IF($B40="","",SUMIFS('Post Tracker'!$AZ$5:$AZ$1004,'Post Tracker'!$K$5:$K$1004,$B40))</f>
        <v/>
      </c>
      <c r="R40" s="33" t="str">
        <f aca="false">IF($B40="","",SUMIFS('Post Tracker'!$BD$5:$BD$1004,'Post Tracker'!$K$5:$K$1004,$B40))</f>
        <v/>
      </c>
      <c r="S40" s="33" t="str">
        <f aca="false">IF($B40="","",SUMIFS('Post Tracker'!$BF$5:$BF$1004,'Post Tracker'!$K$5:$K$1004,$B40))</f>
        <v/>
      </c>
      <c r="T40" s="37" t="str">
        <f aca="false">IF($B40="","",SUMIFS('Post Tracker'!$BH$5:$BH$1004,'Post Tracker'!$K$5:$K$1004,$B40))</f>
        <v/>
      </c>
    </row>
    <row r="41" customFormat="false" ht="15" hidden="false" customHeight="false" outlineLevel="0" collapsed="false">
      <c r="A41" s="29"/>
      <c r="B41" s="29"/>
      <c r="C41" s="29"/>
      <c r="D41" s="29"/>
      <c r="E41" s="29"/>
      <c r="F41" s="29"/>
      <c r="G41" s="29"/>
      <c r="H41" s="29"/>
      <c r="I41" s="29"/>
      <c r="J41" s="29"/>
      <c r="K41" s="29"/>
      <c r="L41" s="33" t="str">
        <f aca="false">IF($B41="","",COUNTIFS('Post Tracker'!$K$5:$K$1004,$B41))</f>
        <v/>
      </c>
      <c r="M41" s="33" t="str">
        <f aca="false">IF($B41="","",SUMIFS('Post Tracker'!$AO$5:$AO$1004,'Post Tracker'!$K$5:$K$1004,$B41))</f>
        <v/>
      </c>
      <c r="N41" s="33" t="str">
        <f aca="false">IF($B41="","",SUMIFS('Post Tracker'!$AR$5:$AR$1004,'Post Tracker'!$K$5:$K$1004,$B41))</f>
        <v/>
      </c>
      <c r="O41" s="34" t="str">
        <f aca="false">IF(OR($B41="",N(M41)=0),"",SUMIFS('Post Tracker'!$BP$5:$BP$1004,'Post Tracker'!$K$5:$K$1004,$B41)/M41)</f>
        <v/>
      </c>
      <c r="P41" s="33" t="str">
        <f aca="false">IF($B41="","",SUMIFS('Post Tracker'!$AJ$5:$AJ$1004,'Post Tracker'!$K$5:$K$1004,$B41))</f>
        <v/>
      </c>
      <c r="Q41" s="33" t="str">
        <f aca="false">IF($B41="","",SUMIFS('Post Tracker'!$AZ$5:$AZ$1004,'Post Tracker'!$K$5:$K$1004,$B41))</f>
        <v/>
      </c>
      <c r="R41" s="33" t="str">
        <f aca="false">IF($B41="","",SUMIFS('Post Tracker'!$BD$5:$BD$1004,'Post Tracker'!$K$5:$K$1004,$B41))</f>
        <v/>
      </c>
      <c r="S41" s="33" t="str">
        <f aca="false">IF($B41="","",SUMIFS('Post Tracker'!$BF$5:$BF$1004,'Post Tracker'!$K$5:$K$1004,$B41))</f>
        <v/>
      </c>
      <c r="T41" s="37" t="str">
        <f aca="false">IF($B41="","",SUMIFS('Post Tracker'!$BH$5:$BH$1004,'Post Tracker'!$K$5:$K$1004,$B41))</f>
        <v/>
      </c>
    </row>
    <row r="42" customFormat="false" ht="15" hidden="false" customHeight="false" outlineLevel="0" collapsed="false">
      <c r="A42" s="29"/>
      <c r="B42" s="29"/>
      <c r="C42" s="29"/>
      <c r="D42" s="29"/>
      <c r="E42" s="29"/>
      <c r="F42" s="29"/>
      <c r="G42" s="29"/>
      <c r="H42" s="29"/>
      <c r="I42" s="29"/>
      <c r="J42" s="29"/>
      <c r="K42" s="29"/>
      <c r="L42" s="33" t="str">
        <f aca="false">IF($B42="","",COUNTIFS('Post Tracker'!$K$5:$K$1004,$B42))</f>
        <v/>
      </c>
      <c r="M42" s="33" t="str">
        <f aca="false">IF($B42="","",SUMIFS('Post Tracker'!$AO$5:$AO$1004,'Post Tracker'!$K$5:$K$1004,$B42))</f>
        <v/>
      </c>
      <c r="N42" s="33" t="str">
        <f aca="false">IF($B42="","",SUMIFS('Post Tracker'!$AR$5:$AR$1004,'Post Tracker'!$K$5:$K$1004,$B42))</f>
        <v/>
      </c>
      <c r="O42" s="34" t="str">
        <f aca="false">IF(OR($B42="",N(M42)=0),"",SUMIFS('Post Tracker'!$BP$5:$BP$1004,'Post Tracker'!$K$5:$K$1004,$B42)/M42)</f>
        <v/>
      </c>
      <c r="P42" s="33" t="str">
        <f aca="false">IF($B42="","",SUMIFS('Post Tracker'!$AJ$5:$AJ$1004,'Post Tracker'!$K$5:$K$1004,$B42))</f>
        <v/>
      </c>
      <c r="Q42" s="33" t="str">
        <f aca="false">IF($B42="","",SUMIFS('Post Tracker'!$AZ$5:$AZ$1004,'Post Tracker'!$K$5:$K$1004,$B42))</f>
        <v/>
      </c>
      <c r="R42" s="33" t="str">
        <f aca="false">IF($B42="","",SUMIFS('Post Tracker'!$BD$5:$BD$1004,'Post Tracker'!$K$5:$K$1004,$B42))</f>
        <v/>
      </c>
      <c r="S42" s="33" t="str">
        <f aca="false">IF($B42="","",SUMIFS('Post Tracker'!$BF$5:$BF$1004,'Post Tracker'!$K$5:$K$1004,$B42))</f>
        <v/>
      </c>
      <c r="T42" s="37" t="str">
        <f aca="false">IF($B42="","",SUMIFS('Post Tracker'!$BH$5:$BH$1004,'Post Tracker'!$K$5:$K$1004,$B42))</f>
        <v/>
      </c>
    </row>
    <row r="43" customFormat="false" ht="15" hidden="false" customHeight="false" outlineLevel="0" collapsed="false">
      <c r="A43" s="29"/>
      <c r="B43" s="29"/>
      <c r="C43" s="29"/>
      <c r="D43" s="29"/>
      <c r="E43" s="29"/>
      <c r="F43" s="29"/>
      <c r="G43" s="29"/>
      <c r="H43" s="29"/>
      <c r="I43" s="29"/>
      <c r="J43" s="29"/>
      <c r="K43" s="29"/>
      <c r="L43" s="33" t="str">
        <f aca="false">IF($B43="","",COUNTIFS('Post Tracker'!$K$5:$K$1004,$B43))</f>
        <v/>
      </c>
      <c r="M43" s="33" t="str">
        <f aca="false">IF($B43="","",SUMIFS('Post Tracker'!$AO$5:$AO$1004,'Post Tracker'!$K$5:$K$1004,$B43))</f>
        <v/>
      </c>
      <c r="N43" s="33" t="str">
        <f aca="false">IF($B43="","",SUMIFS('Post Tracker'!$AR$5:$AR$1004,'Post Tracker'!$K$5:$K$1004,$B43))</f>
        <v/>
      </c>
      <c r="O43" s="34" t="str">
        <f aca="false">IF(OR($B43="",N(M43)=0),"",SUMIFS('Post Tracker'!$BP$5:$BP$1004,'Post Tracker'!$K$5:$K$1004,$B43)/M43)</f>
        <v/>
      </c>
      <c r="P43" s="33" t="str">
        <f aca="false">IF($B43="","",SUMIFS('Post Tracker'!$AJ$5:$AJ$1004,'Post Tracker'!$K$5:$K$1004,$B43))</f>
        <v/>
      </c>
      <c r="Q43" s="33" t="str">
        <f aca="false">IF($B43="","",SUMIFS('Post Tracker'!$AZ$5:$AZ$1004,'Post Tracker'!$K$5:$K$1004,$B43))</f>
        <v/>
      </c>
      <c r="R43" s="33" t="str">
        <f aca="false">IF($B43="","",SUMIFS('Post Tracker'!$BD$5:$BD$1004,'Post Tracker'!$K$5:$K$1004,$B43))</f>
        <v/>
      </c>
      <c r="S43" s="33" t="str">
        <f aca="false">IF($B43="","",SUMIFS('Post Tracker'!$BF$5:$BF$1004,'Post Tracker'!$K$5:$K$1004,$B43))</f>
        <v/>
      </c>
      <c r="T43" s="37" t="str">
        <f aca="false">IF($B43="","",SUMIFS('Post Tracker'!$BH$5:$BH$1004,'Post Tracker'!$K$5:$K$1004,$B43))</f>
        <v/>
      </c>
    </row>
    <row r="44" customFormat="false" ht="15" hidden="false" customHeight="false" outlineLevel="0" collapsed="false">
      <c r="A44" s="29"/>
      <c r="B44" s="29"/>
      <c r="C44" s="29"/>
      <c r="D44" s="29"/>
      <c r="E44" s="29"/>
      <c r="F44" s="29"/>
      <c r="G44" s="29"/>
      <c r="H44" s="29"/>
      <c r="I44" s="29"/>
      <c r="J44" s="29"/>
      <c r="K44" s="29"/>
      <c r="L44" s="33" t="str">
        <f aca="false">IF($B44="","",COUNTIFS('Post Tracker'!$K$5:$K$1004,$B44))</f>
        <v/>
      </c>
      <c r="M44" s="33" t="str">
        <f aca="false">IF($B44="","",SUMIFS('Post Tracker'!$AO$5:$AO$1004,'Post Tracker'!$K$5:$K$1004,$B44))</f>
        <v/>
      </c>
      <c r="N44" s="33" t="str">
        <f aca="false">IF($B44="","",SUMIFS('Post Tracker'!$AR$5:$AR$1004,'Post Tracker'!$K$5:$K$1004,$B44))</f>
        <v/>
      </c>
      <c r="O44" s="34" t="str">
        <f aca="false">IF(OR($B44="",N(M44)=0),"",SUMIFS('Post Tracker'!$BP$5:$BP$1004,'Post Tracker'!$K$5:$K$1004,$B44)/M44)</f>
        <v/>
      </c>
      <c r="P44" s="33" t="str">
        <f aca="false">IF($B44="","",SUMIFS('Post Tracker'!$AJ$5:$AJ$1004,'Post Tracker'!$K$5:$K$1004,$B44))</f>
        <v/>
      </c>
      <c r="Q44" s="33" t="str">
        <f aca="false">IF($B44="","",SUMIFS('Post Tracker'!$AZ$5:$AZ$1004,'Post Tracker'!$K$5:$K$1004,$B44))</f>
        <v/>
      </c>
      <c r="R44" s="33" t="str">
        <f aca="false">IF($B44="","",SUMIFS('Post Tracker'!$BD$5:$BD$1004,'Post Tracker'!$K$5:$K$1004,$B44))</f>
        <v/>
      </c>
      <c r="S44" s="33" t="str">
        <f aca="false">IF($B44="","",SUMIFS('Post Tracker'!$BF$5:$BF$1004,'Post Tracker'!$K$5:$K$1004,$B44))</f>
        <v/>
      </c>
      <c r="T44" s="37" t="str">
        <f aca="false">IF($B44="","",SUMIFS('Post Tracker'!$BH$5:$BH$1004,'Post Tracker'!$K$5:$K$1004,$B44))</f>
        <v/>
      </c>
    </row>
    <row r="45" customFormat="false" ht="15" hidden="false" customHeight="false" outlineLevel="0" collapsed="false">
      <c r="A45" s="29"/>
      <c r="B45" s="29"/>
      <c r="C45" s="29"/>
      <c r="D45" s="29"/>
      <c r="E45" s="29"/>
      <c r="F45" s="29"/>
      <c r="G45" s="29"/>
      <c r="H45" s="29"/>
      <c r="I45" s="29"/>
      <c r="J45" s="29"/>
      <c r="K45" s="29"/>
      <c r="L45" s="33" t="str">
        <f aca="false">IF($B45="","",COUNTIFS('Post Tracker'!$K$5:$K$1004,$B45))</f>
        <v/>
      </c>
      <c r="M45" s="33" t="str">
        <f aca="false">IF($B45="","",SUMIFS('Post Tracker'!$AO$5:$AO$1004,'Post Tracker'!$K$5:$K$1004,$B45))</f>
        <v/>
      </c>
      <c r="N45" s="33" t="str">
        <f aca="false">IF($B45="","",SUMIFS('Post Tracker'!$AR$5:$AR$1004,'Post Tracker'!$K$5:$K$1004,$B45))</f>
        <v/>
      </c>
      <c r="O45" s="34" t="str">
        <f aca="false">IF(OR($B45="",N(M45)=0),"",SUMIFS('Post Tracker'!$BP$5:$BP$1004,'Post Tracker'!$K$5:$K$1004,$B45)/M45)</f>
        <v/>
      </c>
      <c r="P45" s="33" t="str">
        <f aca="false">IF($B45="","",SUMIFS('Post Tracker'!$AJ$5:$AJ$1004,'Post Tracker'!$K$5:$K$1004,$B45))</f>
        <v/>
      </c>
      <c r="Q45" s="33" t="str">
        <f aca="false">IF($B45="","",SUMIFS('Post Tracker'!$AZ$5:$AZ$1004,'Post Tracker'!$K$5:$K$1004,$B45))</f>
        <v/>
      </c>
      <c r="R45" s="33" t="str">
        <f aca="false">IF($B45="","",SUMIFS('Post Tracker'!$BD$5:$BD$1004,'Post Tracker'!$K$5:$K$1004,$B45))</f>
        <v/>
      </c>
      <c r="S45" s="33" t="str">
        <f aca="false">IF($B45="","",SUMIFS('Post Tracker'!$BF$5:$BF$1004,'Post Tracker'!$K$5:$K$1004,$B45))</f>
        <v/>
      </c>
      <c r="T45" s="37" t="str">
        <f aca="false">IF($B45="","",SUMIFS('Post Tracker'!$BH$5:$BH$1004,'Post Tracker'!$K$5:$K$1004,$B45))</f>
        <v/>
      </c>
    </row>
    <row r="46" customFormat="false" ht="15" hidden="false" customHeight="false" outlineLevel="0" collapsed="false">
      <c r="A46" s="29"/>
      <c r="B46" s="29"/>
      <c r="C46" s="29"/>
      <c r="D46" s="29"/>
      <c r="E46" s="29"/>
      <c r="F46" s="29"/>
      <c r="G46" s="29"/>
      <c r="H46" s="29"/>
      <c r="I46" s="29"/>
      <c r="J46" s="29"/>
      <c r="K46" s="29"/>
      <c r="L46" s="33" t="str">
        <f aca="false">IF($B46="","",COUNTIFS('Post Tracker'!$K$5:$K$1004,$B46))</f>
        <v/>
      </c>
      <c r="M46" s="33" t="str">
        <f aca="false">IF($B46="","",SUMIFS('Post Tracker'!$AO$5:$AO$1004,'Post Tracker'!$K$5:$K$1004,$B46))</f>
        <v/>
      </c>
      <c r="N46" s="33" t="str">
        <f aca="false">IF($B46="","",SUMIFS('Post Tracker'!$AR$5:$AR$1004,'Post Tracker'!$K$5:$K$1004,$B46))</f>
        <v/>
      </c>
      <c r="O46" s="34" t="str">
        <f aca="false">IF(OR($B46="",N(M46)=0),"",SUMIFS('Post Tracker'!$BP$5:$BP$1004,'Post Tracker'!$K$5:$K$1004,$B46)/M46)</f>
        <v/>
      </c>
      <c r="P46" s="33" t="str">
        <f aca="false">IF($B46="","",SUMIFS('Post Tracker'!$AJ$5:$AJ$1004,'Post Tracker'!$K$5:$K$1004,$B46))</f>
        <v/>
      </c>
      <c r="Q46" s="33" t="str">
        <f aca="false">IF($B46="","",SUMIFS('Post Tracker'!$AZ$5:$AZ$1004,'Post Tracker'!$K$5:$K$1004,$B46))</f>
        <v/>
      </c>
      <c r="R46" s="33" t="str">
        <f aca="false">IF($B46="","",SUMIFS('Post Tracker'!$BD$5:$BD$1004,'Post Tracker'!$K$5:$K$1004,$B46))</f>
        <v/>
      </c>
      <c r="S46" s="33" t="str">
        <f aca="false">IF($B46="","",SUMIFS('Post Tracker'!$BF$5:$BF$1004,'Post Tracker'!$K$5:$K$1004,$B46))</f>
        <v/>
      </c>
      <c r="T46" s="37" t="str">
        <f aca="false">IF($B46="","",SUMIFS('Post Tracker'!$BH$5:$BH$1004,'Post Tracker'!$K$5:$K$1004,$B46))</f>
        <v/>
      </c>
    </row>
    <row r="47" customFormat="false" ht="15" hidden="false" customHeight="false" outlineLevel="0" collapsed="false">
      <c r="A47" s="29"/>
      <c r="B47" s="29"/>
      <c r="C47" s="29"/>
      <c r="D47" s="29"/>
      <c r="E47" s="29"/>
      <c r="F47" s="29"/>
      <c r="G47" s="29"/>
      <c r="H47" s="29"/>
      <c r="I47" s="29"/>
      <c r="J47" s="29"/>
      <c r="K47" s="29"/>
      <c r="L47" s="33" t="str">
        <f aca="false">IF($B47="","",COUNTIFS('Post Tracker'!$K$5:$K$1004,$B47))</f>
        <v/>
      </c>
      <c r="M47" s="33" t="str">
        <f aca="false">IF($B47="","",SUMIFS('Post Tracker'!$AO$5:$AO$1004,'Post Tracker'!$K$5:$K$1004,$B47))</f>
        <v/>
      </c>
      <c r="N47" s="33" t="str">
        <f aca="false">IF($B47="","",SUMIFS('Post Tracker'!$AR$5:$AR$1004,'Post Tracker'!$K$5:$K$1004,$B47))</f>
        <v/>
      </c>
      <c r="O47" s="34" t="str">
        <f aca="false">IF(OR($B47="",N(M47)=0),"",SUMIFS('Post Tracker'!$BP$5:$BP$1004,'Post Tracker'!$K$5:$K$1004,$B47)/M47)</f>
        <v/>
      </c>
      <c r="P47" s="33" t="str">
        <f aca="false">IF($B47="","",SUMIFS('Post Tracker'!$AJ$5:$AJ$1004,'Post Tracker'!$K$5:$K$1004,$B47))</f>
        <v/>
      </c>
      <c r="Q47" s="33" t="str">
        <f aca="false">IF($B47="","",SUMIFS('Post Tracker'!$AZ$5:$AZ$1004,'Post Tracker'!$K$5:$K$1004,$B47))</f>
        <v/>
      </c>
      <c r="R47" s="33" t="str">
        <f aca="false">IF($B47="","",SUMIFS('Post Tracker'!$BD$5:$BD$1004,'Post Tracker'!$K$5:$K$1004,$B47))</f>
        <v/>
      </c>
      <c r="S47" s="33" t="str">
        <f aca="false">IF($B47="","",SUMIFS('Post Tracker'!$BF$5:$BF$1004,'Post Tracker'!$K$5:$K$1004,$B47))</f>
        <v/>
      </c>
      <c r="T47" s="37" t="str">
        <f aca="false">IF($B47="","",SUMIFS('Post Tracker'!$BH$5:$BH$1004,'Post Tracker'!$K$5:$K$1004,$B47))</f>
        <v/>
      </c>
    </row>
    <row r="48" customFormat="false" ht="15" hidden="false" customHeight="false" outlineLevel="0" collapsed="false">
      <c r="A48" s="29"/>
      <c r="B48" s="29"/>
      <c r="C48" s="29"/>
      <c r="D48" s="29"/>
      <c r="E48" s="29"/>
      <c r="F48" s="29"/>
      <c r="G48" s="29"/>
      <c r="H48" s="29"/>
      <c r="I48" s="29"/>
      <c r="J48" s="29"/>
      <c r="K48" s="29"/>
      <c r="L48" s="33" t="str">
        <f aca="false">IF($B48="","",COUNTIFS('Post Tracker'!$K$5:$K$1004,$B48))</f>
        <v/>
      </c>
      <c r="M48" s="33" t="str">
        <f aca="false">IF($B48="","",SUMIFS('Post Tracker'!$AO$5:$AO$1004,'Post Tracker'!$K$5:$K$1004,$B48))</f>
        <v/>
      </c>
      <c r="N48" s="33" t="str">
        <f aca="false">IF($B48="","",SUMIFS('Post Tracker'!$AR$5:$AR$1004,'Post Tracker'!$K$5:$K$1004,$B48))</f>
        <v/>
      </c>
      <c r="O48" s="34" t="str">
        <f aca="false">IF(OR($B48="",N(M48)=0),"",SUMIFS('Post Tracker'!$BP$5:$BP$1004,'Post Tracker'!$K$5:$K$1004,$B48)/M48)</f>
        <v/>
      </c>
      <c r="P48" s="33" t="str">
        <f aca="false">IF($B48="","",SUMIFS('Post Tracker'!$AJ$5:$AJ$1004,'Post Tracker'!$K$5:$K$1004,$B48))</f>
        <v/>
      </c>
      <c r="Q48" s="33" t="str">
        <f aca="false">IF($B48="","",SUMIFS('Post Tracker'!$AZ$5:$AZ$1004,'Post Tracker'!$K$5:$K$1004,$B48))</f>
        <v/>
      </c>
      <c r="R48" s="33" t="str">
        <f aca="false">IF($B48="","",SUMIFS('Post Tracker'!$BD$5:$BD$1004,'Post Tracker'!$K$5:$K$1004,$B48))</f>
        <v/>
      </c>
      <c r="S48" s="33" t="str">
        <f aca="false">IF($B48="","",SUMIFS('Post Tracker'!$BF$5:$BF$1004,'Post Tracker'!$K$5:$K$1004,$B48))</f>
        <v/>
      </c>
      <c r="T48" s="37" t="str">
        <f aca="false">IF($B48="","",SUMIFS('Post Tracker'!$BH$5:$BH$1004,'Post Tracker'!$K$5:$K$1004,$B48))</f>
        <v/>
      </c>
    </row>
    <row r="49" customFormat="false" ht="15" hidden="false" customHeight="false" outlineLevel="0" collapsed="false">
      <c r="A49" s="29"/>
      <c r="B49" s="29"/>
      <c r="C49" s="29"/>
      <c r="D49" s="29"/>
      <c r="E49" s="29"/>
      <c r="F49" s="29"/>
      <c r="G49" s="29"/>
      <c r="H49" s="29"/>
      <c r="I49" s="29"/>
      <c r="J49" s="29"/>
      <c r="K49" s="29"/>
      <c r="L49" s="33" t="str">
        <f aca="false">IF($B49="","",COUNTIFS('Post Tracker'!$K$5:$K$1004,$B49))</f>
        <v/>
      </c>
      <c r="M49" s="33" t="str">
        <f aca="false">IF($B49="","",SUMIFS('Post Tracker'!$AO$5:$AO$1004,'Post Tracker'!$K$5:$K$1004,$B49))</f>
        <v/>
      </c>
      <c r="N49" s="33" t="str">
        <f aca="false">IF($B49="","",SUMIFS('Post Tracker'!$AR$5:$AR$1004,'Post Tracker'!$K$5:$K$1004,$B49))</f>
        <v/>
      </c>
      <c r="O49" s="34" t="str">
        <f aca="false">IF(OR($B49="",N(M49)=0),"",SUMIFS('Post Tracker'!$BP$5:$BP$1004,'Post Tracker'!$K$5:$K$1004,$B49)/M49)</f>
        <v/>
      </c>
      <c r="P49" s="33" t="str">
        <f aca="false">IF($B49="","",SUMIFS('Post Tracker'!$AJ$5:$AJ$1004,'Post Tracker'!$K$5:$K$1004,$B49))</f>
        <v/>
      </c>
      <c r="Q49" s="33" t="str">
        <f aca="false">IF($B49="","",SUMIFS('Post Tracker'!$AZ$5:$AZ$1004,'Post Tracker'!$K$5:$K$1004,$B49))</f>
        <v/>
      </c>
      <c r="R49" s="33" t="str">
        <f aca="false">IF($B49="","",SUMIFS('Post Tracker'!$BD$5:$BD$1004,'Post Tracker'!$K$5:$K$1004,$B49))</f>
        <v/>
      </c>
      <c r="S49" s="33" t="str">
        <f aca="false">IF($B49="","",SUMIFS('Post Tracker'!$BF$5:$BF$1004,'Post Tracker'!$K$5:$K$1004,$B49))</f>
        <v/>
      </c>
      <c r="T49" s="37" t="str">
        <f aca="false">IF($B49="","",SUMIFS('Post Tracker'!$BH$5:$BH$1004,'Post Tracker'!$K$5:$K$1004,$B49))</f>
        <v/>
      </c>
    </row>
    <row r="50" customFormat="false" ht="15" hidden="false" customHeight="false" outlineLevel="0" collapsed="false">
      <c r="A50" s="29"/>
      <c r="B50" s="29"/>
      <c r="C50" s="29"/>
      <c r="D50" s="29"/>
      <c r="E50" s="29"/>
      <c r="F50" s="29"/>
      <c r="G50" s="29"/>
      <c r="H50" s="29"/>
      <c r="I50" s="29"/>
      <c r="J50" s="29"/>
      <c r="K50" s="29"/>
      <c r="L50" s="33" t="str">
        <f aca="false">IF($B50="","",COUNTIFS('Post Tracker'!$K$5:$K$1004,$B50))</f>
        <v/>
      </c>
      <c r="M50" s="33" t="str">
        <f aca="false">IF($B50="","",SUMIFS('Post Tracker'!$AO$5:$AO$1004,'Post Tracker'!$K$5:$K$1004,$B50))</f>
        <v/>
      </c>
      <c r="N50" s="33" t="str">
        <f aca="false">IF($B50="","",SUMIFS('Post Tracker'!$AR$5:$AR$1004,'Post Tracker'!$K$5:$K$1004,$B50))</f>
        <v/>
      </c>
      <c r="O50" s="34" t="str">
        <f aca="false">IF(OR($B50="",N(M50)=0),"",SUMIFS('Post Tracker'!$BP$5:$BP$1004,'Post Tracker'!$K$5:$K$1004,$B50)/M50)</f>
        <v/>
      </c>
      <c r="P50" s="33" t="str">
        <f aca="false">IF($B50="","",SUMIFS('Post Tracker'!$AJ$5:$AJ$1004,'Post Tracker'!$K$5:$K$1004,$B50))</f>
        <v/>
      </c>
      <c r="Q50" s="33" t="str">
        <f aca="false">IF($B50="","",SUMIFS('Post Tracker'!$AZ$5:$AZ$1004,'Post Tracker'!$K$5:$K$1004,$B50))</f>
        <v/>
      </c>
      <c r="R50" s="33" t="str">
        <f aca="false">IF($B50="","",SUMIFS('Post Tracker'!$BD$5:$BD$1004,'Post Tracker'!$K$5:$K$1004,$B50))</f>
        <v/>
      </c>
      <c r="S50" s="33" t="str">
        <f aca="false">IF($B50="","",SUMIFS('Post Tracker'!$BF$5:$BF$1004,'Post Tracker'!$K$5:$K$1004,$B50))</f>
        <v/>
      </c>
      <c r="T50" s="37" t="str">
        <f aca="false">IF($B50="","",SUMIFS('Post Tracker'!$BH$5:$BH$1004,'Post Tracker'!$K$5:$K$1004,$B50))</f>
        <v/>
      </c>
    </row>
    <row r="51" customFormat="false" ht="15" hidden="false" customHeight="false" outlineLevel="0" collapsed="false">
      <c r="A51" s="29"/>
      <c r="B51" s="29"/>
      <c r="C51" s="29"/>
      <c r="D51" s="29"/>
      <c r="E51" s="29"/>
      <c r="F51" s="29"/>
      <c r="G51" s="29"/>
      <c r="H51" s="29"/>
      <c r="I51" s="29"/>
      <c r="J51" s="29"/>
      <c r="K51" s="29"/>
      <c r="L51" s="33" t="str">
        <f aca="false">IF($B51="","",COUNTIFS('Post Tracker'!$K$5:$K$1004,$B51))</f>
        <v/>
      </c>
      <c r="M51" s="33" t="str">
        <f aca="false">IF($B51="","",SUMIFS('Post Tracker'!$AO$5:$AO$1004,'Post Tracker'!$K$5:$K$1004,$B51))</f>
        <v/>
      </c>
      <c r="N51" s="33" t="str">
        <f aca="false">IF($B51="","",SUMIFS('Post Tracker'!$AR$5:$AR$1004,'Post Tracker'!$K$5:$K$1004,$B51))</f>
        <v/>
      </c>
      <c r="O51" s="34" t="str">
        <f aca="false">IF(OR($B51="",N(M51)=0),"",SUMIFS('Post Tracker'!$BP$5:$BP$1004,'Post Tracker'!$K$5:$K$1004,$B51)/M51)</f>
        <v/>
      </c>
      <c r="P51" s="33" t="str">
        <f aca="false">IF($B51="","",SUMIFS('Post Tracker'!$AJ$5:$AJ$1004,'Post Tracker'!$K$5:$K$1004,$B51))</f>
        <v/>
      </c>
      <c r="Q51" s="33" t="str">
        <f aca="false">IF($B51="","",SUMIFS('Post Tracker'!$AZ$5:$AZ$1004,'Post Tracker'!$K$5:$K$1004,$B51))</f>
        <v/>
      </c>
      <c r="R51" s="33" t="str">
        <f aca="false">IF($B51="","",SUMIFS('Post Tracker'!$BD$5:$BD$1004,'Post Tracker'!$K$5:$K$1004,$B51))</f>
        <v/>
      </c>
      <c r="S51" s="33" t="str">
        <f aca="false">IF($B51="","",SUMIFS('Post Tracker'!$BF$5:$BF$1004,'Post Tracker'!$K$5:$K$1004,$B51))</f>
        <v/>
      </c>
      <c r="T51" s="37" t="str">
        <f aca="false">IF($B51="","",SUMIFS('Post Tracker'!$BH$5:$BH$1004,'Post Tracker'!$K$5:$K$1004,$B51))</f>
        <v/>
      </c>
    </row>
    <row r="52" customFormat="false" ht="15" hidden="false" customHeight="false" outlineLevel="0" collapsed="false">
      <c r="A52" s="29"/>
      <c r="B52" s="29"/>
      <c r="C52" s="29"/>
      <c r="D52" s="29"/>
      <c r="E52" s="29"/>
      <c r="F52" s="29"/>
      <c r="G52" s="29"/>
      <c r="H52" s="29"/>
      <c r="I52" s="29"/>
      <c r="J52" s="29"/>
      <c r="K52" s="29"/>
      <c r="L52" s="33" t="str">
        <f aca="false">IF($B52="","",COUNTIFS('Post Tracker'!$K$5:$K$1004,$B52))</f>
        <v/>
      </c>
      <c r="M52" s="33" t="str">
        <f aca="false">IF($B52="","",SUMIFS('Post Tracker'!$AO$5:$AO$1004,'Post Tracker'!$K$5:$K$1004,$B52))</f>
        <v/>
      </c>
      <c r="N52" s="33" t="str">
        <f aca="false">IF($B52="","",SUMIFS('Post Tracker'!$AR$5:$AR$1004,'Post Tracker'!$K$5:$K$1004,$B52))</f>
        <v/>
      </c>
      <c r="O52" s="34" t="str">
        <f aca="false">IF(OR($B52="",N(M52)=0),"",SUMIFS('Post Tracker'!$BP$5:$BP$1004,'Post Tracker'!$K$5:$K$1004,$B52)/M52)</f>
        <v/>
      </c>
      <c r="P52" s="33" t="str">
        <f aca="false">IF($B52="","",SUMIFS('Post Tracker'!$AJ$5:$AJ$1004,'Post Tracker'!$K$5:$K$1004,$B52))</f>
        <v/>
      </c>
      <c r="Q52" s="33" t="str">
        <f aca="false">IF($B52="","",SUMIFS('Post Tracker'!$AZ$5:$AZ$1004,'Post Tracker'!$K$5:$K$1004,$B52))</f>
        <v/>
      </c>
      <c r="R52" s="33" t="str">
        <f aca="false">IF($B52="","",SUMIFS('Post Tracker'!$BD$5:$BD$1004,'Post Tracker'!$K$5:$K$1004,$B52))</f>
        <v/>
      </c>
      <c r="S52" s="33" t="str">
        <f aca="false">IF($B52="","",SUMIFS('Post Tracker'!$BF$5:$BF$1004,'Post Tracker'!$K$5:$K$1004,$B52))</f>
        <v/>
      </c>
      <c r="T52" s="37" t="str">
        <f aca="false">IF($B52="","",SUMIFS('Post Tracker'!$BH$5:$BH$1004,'Post Tracker'!$K$5:$K$1004,$B52))</f>
        <v/>
      </c>
    </row>
    <row r="53" customFormat="false" ht="15" hidden="false" customHeight="false" outlineLevel="0" collapsed="false">
      <c r="A53" s="29"/>
      <c r="B53" s="29"/>
      <c r="C53" s="29"/>
      <c r="D53" s="29"/>
      <c r="E53" s="29"/>
      <c r="F53" s="29"/>
      <c r="G53" s="29"/>
      <c r="H53" s="29"/>
      <c r="I53" s="29"/>
      <c r="J53" s="29"/>
      <c r="K53" s="29"/>
      <c r="L53" s="33" t="str">
        <f aca="false">IF($B53="","",COUNTIFS('Post Tracker'!$K$5:$K$1004,$B53))</f>
        <v/>
      </c>
      <c r="M53" s="33" t="str">
        <f aca="false">IF($B53="","",SUMIFS('Post Tracker'!$AO$5:$AO$1004,'Post Tracker'!$K$5:$K$1004,$B53))</f>
        <v/>
      </c>
      <c r="N53" s="33" t="str">
        <f aca="false">IF($B53="","",SUMIFS('Post Tracker'!$AR$5:$AR$1004,'Post Tracker'!$K$5:$K$1004,$B53))</f>
        <v/>
      </c>
      <c r="O53" s="34" t="str">
        <f aca="false">IF(OR($B53="",N(M53)=0),"",SUMIFS('Post Tracker'!$BP$5:$BP$1004,'Post Tracker'!$K$5:$K$1004,$B53)/M53)</f>
        <v/>
      </c>
      <c r="P53" s="33" t="str">
        <f aca="false">IF($B53="","",SUMIFS('Post Tracker'!$AJ$5:$AJ$1004,'Post Tracker'!$K$5:$K$1004,$B53))</f>
        <v/>
      </c>
      <c r="Q53" s="33" t="str">
        <f aca="false">IF($B53="","",SUMIFS('Post Tracker'!$AZ$5:$AZ$1004,'Post Tracker'!$K$5:$K$1004,$B53))</f>
        <v/>
      </c>
      <c r="R53" s="33" t="str">
        <f aca="false">IF($B53="","",SUMIFS('Post Tracker'!$BD$5:$BD$1004,'Post Tracker'!$K$5:$K$1004,$B53))</f>
        <v/>
      </c>
      <c r="S53" s="33" t="str">
        <f aca="false">IF($B53="","",SUMIFS('Post Tracker'!$BF$5:$BF$1004,'Post Tracker'!$K$5:$K$1004,$B53))</f>
        <v/>
      </c>
      <c r="T53" s="37" t="str">
        <f aca="false">IF($B53="","",SUMIFS('Post Tracker'!$BH$5:$BH$1004,'Post Tracker'!$K$5:$K$1004,$B53))</f>
        <v/>
      </c>
    </row>
    <row r="54" customFormat="false" ht="15" hidden="false" customHeight="false" outlineLevel="0" collapsed="false">
      <c r="A54" s="29"/>
      <c r="B54" s="29"/>
      <c r="C54" s="29"/>
      <c r="D54" s="29"/>
      <c r="E54" s="29"/>
      <c r="F54" s="29"/>
      <c r="G54" s="29"/>
      <c r="H54" s="29"/>
      <c r="I54" s="29"/>
      <c r="J54" s="29"/>
      <c r="K54" s="29"/>
      <c r="L54" s="33" t="str">
        <f aca="false">IF($B54="","",COUNTIFS('Post Tracker'!$K$5:$K$1004,$B54))</f>
        <v/>
      </c>
      <c r="M54" s="33" t="str">
        <f aca="false">IF($B54="","",SUMIFS('Post Tracker'!$AO$5:$AO$1004,'Post Tracker'!$K$5:$K$1004,$B54))</f>
        <v/>
      </c>
      <c r="N54" s="33" t="str">
        <f aca="false">IF($B54="","",SUMIFS('Post Tracker'!$AR$5:$AR$1004,'Post Tracker'!$K$5:$K$1004,$B54))</f>
        <v/>
      </c>
      <c r="O54" s="34" t="str">
        <f aca="false">IF(OR($B54="",N(M54)=0),"",SUMIFS('Post Tracker'!$BP$5:$BP$1004,'Post Tracker'!$K$5:$K$1004,$B54)/M54)</f>
        <v/>
      </c>
      <c r="P54" s="33" t="str">
        <f aca="false">IF($B54="","",SUMIFS('Post Tracker'!$AJ$5:$AJ$1004,'Post Tracker'!$K$5:$K$1004,$B54))</f>
        <v/>
      </c>
      <c r="Q54" s="33" t="str">
        <f aca="false">IF($B54="","",SUMIFS('Post Tracker'!$AZ$5:$AZ$1004,'Post Tracker'!$K$5:$K$1004,$B54))</f>
        <v/>
      </c>
      <c r="R54" s="33" t="str">
        <f aca="false">IF($B54="","",SUMIFS('Post Tracker'!$BD$5:$BD$1004,'Post Tracker'!$K$5:$K$1004,$B54))</f>
        <v/>
      </c>
      <c r="S54" s="33" t="str">
        <f aca="false">IF($B54="","",SUMIFS('Post Tracker'!$BF$5:$BF$1004,'Post Tracker'!$K$5:$K$1004,$B54))</f>
        <v/>
      </c>
      <c r="T54" s="37" t="str">
        <f aca="false">IF($B54="","",SUMIFS('Post Tracker'!$BH$5:$BH$1004,'Post Tracker'!$K$5:$K$1004,$B54))</f>
        <v/>
      </c>
    </row>
  </sheetData>
  <conditionalFormatting sqref="O5:O54">
    <cfRule type="dataBar" priority="2">
      <dataBar showValue="1" minLength="10" maxLength="90">
        <cfvo type="num" val="0"/>
        <cfvo type="max" val="0"/>
        <color rgb="FF63BE7B"/>
      </dataBar>
      <extLst>
        <ext xmlns:x14="http://schemas.microsoft.com/office/spreadsheetml/2009/9/main" uri="{B025F937-C7B1-47D3-B67F-A62EFF666E3E}">
          <x14:id>{B79340B5-4080-4E5E-8480-507FFF36C25F}</x14:id>
        </ext>
      </extLst>
    </cfRule>
  </conditionalFormatting>
  <conditionalFormatting sqref="R5:R54">
    <cfRule type="dataBar" priority="3">
      <dataBar showValue="1" minLength="10" maxLength="90">
        <cfvo type="num" val="0"/>
        <cfvo type="max" val="0"/>
        <color rgb="FFF4B183"/>
      </dataBar>
      <extLst>
        <ext xmlns:x14="http://schemas.microsoft.com/office/spreadsheetml/2009/9/main" uri="{B025F937-C7B1-47D3-B67F-A62EFF666E3E}">
          <x14:id>{78B46326-A23F-4174-885F-32D8DD53B090}</x14:id>
        </ext>
      </extLst>
    </cfRule>
  </conditionalFormatting>
  <dataValidations count="3">
    <dataValidation allowBlank="true" error="Pick a value from the dropdown (lists live on the Settings sheet)." errorStyle="stop" errorTitle="Invalid entry" operator="between" showDropDown="false" showErrorMessage="true" showInputMessage="false" sqref="D5:D54" type="list">
      <formula1>Settings!$W$5:$W$50</formula1>
      <formula2>0</formula2>
    </dataValidation>
    <dataValidation allowBlank="true" error="Pick a value from the dropdown (lists live on the Settings sheet)." errorStyle="stop" errorTitle="Invalid entry" operator="between" showDropDown="false" showErrorMessage="true" showInputMessage="false" sqref="E5:E54" type="list">
      <formula1>Settings!$AA$5:$AA$95</formula1>
      <formula2>0</formula2>
    </dataValidation>
    <dataValidation allowBlank="true" error="Pick a value from the dropdown (lists live on the Settings sheet)." errorStyle="stop" errorTitle="Invalid entry" operator="between" showDropDown="false" showErrorMessage="true" showInputMessage="false" sqref="J5:J54" type="list">
      <formula1>Settings!$X$5:$X$49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dataBar" id="{B79340B5-4080-4E5E-8480-507FFF36C25F}">
            <x14:dataBar minLength="10" maxLength="90" axisPosition="none" gradient="true">
              <x14:cfvo type="num">
                <xm:f>0</xm:f>
              </x14:cfvo>
              <x14:cfvo type="max"/>
              <x14:negativeFillColor rgb="FF63BE7B"/>
              <x14:axisColor rgb="FF000000"/>
            </x14:dataBar>
          </x14:cfRule>
          <xm:sqref>O5:O54</xm:sqref>
        </x14:conditionalFormatting>
        <x14:conditionalFormatting xmlns:xm="http://schemas.microsoft.com/office/excel/2006/main">
          <x14:cfRule type="dataBar" id="{78B46326-A23F-4174-885F-32D8DD53B090}">
            <x14:dataBar minLength="10" maxLength="90" axisPosition="none" gradient="true">
              <x14:cfvo type="num">
                <xm:f>0</xm:f>
              </x14:cfvo>
              <x14:cfvo type="max"/>
              <x14:negativeFillColor rgb="FFF4B183"/>
              <x14:axisColor rgb="FF000000"/>
            </x14:dataBar>
          </x14:cfRule>
          <xm:sqref>R5:R54</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O10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5" min="1" style="0" width="13"/>
  </cols>
  <sheetData>
    <row r="1" customFormat="false" ht="19.7" hidden="false" customHeight="false" outlineLevel="0" collapsed="false">
      <c r="A1" s="1" t="s">
        <v>306</v>
      </c>
    </row>
    <row r="2" customFormat="false" ht="15" hidden="false" customHeight="false" outlineLevel="0" collapsed="false">
      <c r="A2" s="2" t="s">
        <v>307</v>
      </c>
    </row>
    <row r="4" customFormat="false" ht="45" hidden="false" customHeight="true" outlineLevel="0" collapsed="false">
      <c r="A4" s="68" t="s">
        <v>308</v>
      </c>
      <c r="B4" s="68" t="s">
        <v>309</v>
      </c>
      <c r="C4" s="68" t="s">
        <v>310</v>
      </c>
      <c r="D4" s="68" t="s">
        <v>311</v>
      </c>
      <c r="E4" s="68" t="s">
        <v>312</v>
      </c>
      <c r="F4" s="68" t="s">
        <v>313</v>
      </c>
      <c r="G4" s="68" t="s">
        <v>314</v>
      </c>
      <c r="H4" s="69" t="s">
        <v>315</v>
      </c>
      <c r="I4" s="69" t="s">
        <v>316</v>
      </c>
      <c r="J4" s="69" t="s">
        <v>317</v>
      </c>
      <c r="K4" s="69" t="s">
        <v>318</v>
      </c>
      <c r="L4" s="69" t="s">
        <v>319</v>
      </c>
      <c r="M4" s="69" t="s">
        <v>320</v>
      </c>
      <c r="N4" s="69" t="s">
        <v>321</v>
      </c>
      <c r="O4" s="69" t="s">
        <v>322</v>
      </c>
    </row>
    <row r="5" customFormat="false" ht="15" hidden="false" customHeight="false" outlineLevel="0" collapsed="false">
      <c r="A5" s="25" t="n">
        <v>46293</v>
      </c>
      <c r="B5" s="31" t="n">
        <v>2640</v>
      </c>
      <c r="C5" s="32"/>
      <c r="D5" s="31" t="n">
        <v>61</v>
      </c>
      <c r="E5" s="31" t="n">
        <v>46</v>
      </c>
      <c r="F5" s="32"/>
      <c r="G5" s="32"/>
      <c r="H5" s="70"/>
      <c r="I5" s="70"/>
      <c r="J5" s="70"/>
      <c r="K5" s="70"/>
      <c r="L5" s="70"/>
      <c r="M5" s="70"/>
      <c r="N5" s="33" t="n">
        <f aca="false">IF(COUNT(B5:G5)=0,"",SUM(B5:G5))</f>
        <v>2747</v>
      </c>
      <c r="O5" s="70" t="str">
        <f aca="false">IF(COUNT(H5:M5)=0,"",SUM(H5:M5))</f>
        <v/>
      </c>
    </row>
    <row r="6" customFormat="false" ht="15" hidden="false" customHeight="false" outlineLevel="0" collapsed="false">
      <c r="A6" s="27" t="n">
        <f aca="false">A5+7</f>
        <v>46300</v>
      </c>
      <c r="B6" s="32"/>
      <c r="C6" s="32"/>
      <c r="D6" s="32"/>
      <c r="E6" s="32"/>
      <c r="F6" s="32"/>
      <c r="G6" s="32"/>
      <c r="H6" s="70" t="str">
        <f aca="false">IF(OR(B6="",B5=""),"",B6-B5)</f>
        <v/>
      </c>
      <c r="I6" s="70" t="str">
        <f aca="false">IF(OR(C6="",C5=""),"",C6-C5)</f>
        <v/>
      </c>
      <c r="J6" s="70" t="str">
        <f aca="false">IF(OR(D6="",D5=""),"",D6-D5)</f>
        <v/>
      </c>
      <c r="K6" s="70" t="str">
        <f aca="false">IF(OR(E6="",E5=""),"",E6-E5)</f>
        <v/>
      </c>
      <c r="L6" s="70" t="str">
        <f aca="false">IF(OR(F6="",F5=""),"",F6-F5)</f>
        <v/>
      </c>
      <c r="M6" s="70" t="str">
        <f aca="false">IF(OR(G6="",G5=""),"",G6-G5)</f>
        <v/>
      </c>
      <c r="N6" s="33" t="str">
        <f aca="false">IF(COUNT(B6:G6)=0,"",SUM(B6:G6))</f>
        <v/>
      </c>
      <c r="O6" s="70" t="str">
        <f aca="false">IF(COUNT(H6:M6)=0,"",SUM(H6:M6))</f>
        <v/>
      </c>
    </row>
    <row r="7" customFormat="false" ht="15" hidden="false" customHeight="false" outlineLevel="0" collapsed="false">
      <c r="A7" s="27" t="n">
        <f aca="false">A6+7</f>
        <v>46307</v>
      </c>
      <c r="B7" s="32"/>
      <c r="C7" s="32"/>
      <c r="D7" s="32"/>
      <c r="E7" s="32"/>
      <c r="F7" s="32"/>
      <c r="G7" s="32"/>
      <c r="H7" s="70" t="str">
        <f aca="false">IF(OR(B7="",B6=""),"",B7-B6)</f>
        <v/>
      </c>
      <c r="I7" s="70" t="str">
        <f aca="false">IF(OR(C7="",C6=""),"",C7-C6)</f>
        <v/>
      </c>
      <c r="J7" s="70" t="str">
        <f aca="false">IF(OR(D7="",D6=""),"",D7-D6)</f>
        <v/>
      </c>
      <c r="K7" s="70" t="str">
        <f aca="false">IF(OR(E7="",E6=""),"",E7-E6)</f>
        <v/>
      </c>
      <c r="L7" s="70" t="str">
        <f aca="false">IF(OR(F7="",F6=""),"",F7-F6)</f>
        <v/>
      </c>
      <c r="M7" s="70" t="str">
        <f aca="false">IF(OR(G7="",G6=""),"",G7-G6)</f>
        <v/>
      </c>
      <c r="N7" s="33" t="str">
        <f aca="false">IF(COUNT(B7:G7)=0,"",SUM(B7:G7))</f>
        <v/>
      </c>
      <c r="O7" s="70" t="str">
        <f aca="false">IF(COUNT(H7:M7)=0,"",SUM(H7:M7))</f>
        <v/>
      </c>
    </row>
    <row r="8" customFormat="false" ht="15" hidden="false" customHeight="false" outlineLevel="0" collapsed="false">
      <c r="A8" s="27" t="n">
        <f aca="false">A7+7</f>
        <v>46314</v>
      </c>
      <c r="B8" s="32"/>
      <c r="C8" s="32"/>
      <c r="D8" s="32"/>
      <c r="E8" s="32"/>
      <c r="F8" s="32"/>
      <c r="G8" s="32"/>
      <c r="H8" s="70" t="str">
        <f aca="false">IF(OR(B8="",B7=""),"",B8-B7)</f>
        <v/>
      </c>
      <c r="I8" s="70" t="str">
        <f aca="false">IF(OR(C8="",C7=""),"",C8-C7)</f>
        <v/>
      </c>
      <c r="J8" s="70" t="str">
        <f aca="false">IF(OR(D8="",D7=""),"",D8-D7)</f>
        <v/>
      </c>
      <c r="K8" s="70" t="str">
        <f aca="false">IF(OR(E8="",E7=""),"",E8-E7)</f>
        <v/>
      </c>
      <c r="L8" s="70" t="str">
        <f aca="false">IF(OR(F8="",F7=""),"",F8-F7)</f>
        <v/>
      </c>
      <c r="M8" s="70" t="str">
        <f aca="false">IF(OR(G8="",G7=""),"",G8-G7)</f>
        <v/>
      </c>
      <c r="N8" s="33" t="str">
        <f aca="false">IF(COUNT(B8:G8)=0,"",SUM(B8:G8))</f>
        <v/>
      </c>
      <c r="O8" s="70" t="str">
        <f aca="false">IF(COUNT(H8:M8)=0,"",SUM(H8:M8))</f>
        <v/>
      </c>
    </row>
    <row r="9" customFormat="false" ht="15" hidden="false" customHeight="false" outlineLevel="0" collapsed="false">
      <c r="A9" s="27" t="n">
        <f aca="false">A8+7</f>
        <v>46321</v>
      </c>
      <c r="B9" s="32"/>
      <c r="C9" s="32"/>
      <c r="D9" s="32"/>
      <c r="E9" s="32"/>
      <c r="F9" s="32"/>
      <c r="G9" s="32"/>
      <c r="H9" s="70" t="str">
        <f aca="false">IF(OR(B9="",B8=""),"",B9-B8)</f>
        <v/>
      </c>
      <c r="I9" s="70" t="str">
        <f aca="false">IF(OR(C9="",C8=""),"",C9-C8)</f>
        <v/>
      </c>
      <c r="J9" s="70" t="str">
        <f aca="false">IF(OR(D9="",D8=""),"",D9-D8)</f>
        <v/>
      </c>
      <c r="K9" s="70" t="str">
        <f aca="false">IF(OR(E9="",E8=""),"",E9-E8)</f>
        <v/>
      </c>
      <c r="L9" s="70" t="str">
        <f aca="false">IF(OR(F9="",F8=""),"",F9-F8)</f>
        <v/>
      </c>
      <c r="M9" s="70" t="str">
        <f aca="false">IF(OR(G9="",G8=""),"",G9-G8)</f>
        <v/>
      </c>
      <c r="N9" s="33" t="str">
        <f aca="false">IF(COUNT(B9:G9)=0,"",SUM(B9:G9))</f>
        <v/>
      </c>
      <c r="O9" s="70" t="str">
        <f aca="false">IF(COUNT(H9:M9)=0,"",SUM(H9:M9))</f>
        <v/>
      </c>
    </row>
    <row r="10" customFormat="false" ht="15" hidden="false" customHeight="false" outlineLevel="0" collapsed="false">
      <c r="A10" s="27" t="n">
        <f aca="false">A9+7</f>
        <v>46328</v>
      </c>
      <c r="B10" s="32"/>
      <c r="C10" s="32"/>
      <c r="D10" s="32"/>
      <c r="E10" s="32"/>
      <c r="F10" s="32"/>
      <c r="G10" s="32"/>
      <c r="H10" s="70" t="str">
        <f aca="false">IF(OR(B10="",B9=""),"",B10-B9)</f>
        <v/>
      </c>
      <c r="I10" s="70" t="str">
        <f aca="false">IF(OR(C10="",C9=""),"",C10-C9)</f>
        <v/>
      </c>
      <c r="J10" s="70" t="str">
        <f aca="false">IF(OR(D10="",D9=""),"",D10-D9)</f>
        <v/>
      </c>
      <c r="K10" s="70" t="str">
        <f aca="false">IF(OR(E10="",E9=""),"",E10-E9)</f>
        <v/>
      </c>
      <c r="L10" s="70" t="str">
        <f aca="false">IF(OR(F10="",F9=""),"",F10-F9)</f>
        <v/>
      </c>
      <c r="M10" s="70" t="str">
        <f aca="false">IF(OR(G10="",G9=""),"",G10-G9)</f>
        <v/>
      </c>
      <c r="N10" s="33" t="str">
        <f aca="false">IF(COUNT(B10:G10)=0,"",SUM(B10:G10))</f>
        <v/>
      </c>
      <c r="O10" s="70" t="str">
        <f aca="false">IF(COUNT(H10:M10)=0,"",SUM(H10:M10))</f>
        <v/>
      </c>
    </row>
    <row r="11" customFormat="false" ht="15" hidden="false" customHeight="false" outlineLevel="0" collapsed="false">
      <c r="A11" s="27" t="n">
        <f aca="false">A10+7</f>
        <v>46335</v>
      </c>
      <c r="B11" s="32"/>
      <c r="C11" s="32"/>
      <c r="D11" s="32"/>
      <c r="E11" s="32"/>
      <c r="F11" s="32"/>
      <c r="G11" s="32"/>
      <c r="H11" s="70" t="str">
        <f aca="false">IF(OR(B11="",B10=""),"",B11-B10)</f>
        <v/>
      </c>
      <c r="I11" s="70" t="str">
        <f aca="false">IF(OR(C11="",C10=""),"",C11-C10)</f>
        <v/>
      </c>
      <c r="J11" s="70" t="str">
        <f aca="false">IF(OR(D11="",D10=""),"",D11-D10)</f>
        <v/>
      </c>
      <c r="K11" s="70" t="str">
        <f aca="false">IF(OR(E11="",E10=""),"",E11-E10)</f>
        <v/>
      </c>
      <c r="L11" s="70" t="str">
        <f aca="false">IF(OR(F11="",F10=""),"",F11-F10)</f>
        <v/>
      </c>
      <c r="M11" s="70" t="str">
        <f aca="false">IF(OR(G11="",G10=""),"",G11-G10)</f>
        <v/>
      </c>
      <c r="N11" s="33" t="str">
        <f aca="false">IF(COUNT(B11:G11)=0,"",SUM(B11:G11))</f>
        <v/>
      </c>
      <c r="O11" s="70" t="str">
        <f aca="false">IF(COUNT(H11:M11)=0,"",SUM(H11:M11))</f>
        <v/>
      </c>
    </row>
    <row r="12" customFormat="false" ht="15" hidden="false" customHeight="false" outlineLevel="0" collapsed="false">
      <c r="A12" s="27" t="n">
        <f aca="false">A11+7</f>
        <v>46342</v>
      </c>
      <c r="B12" s="32"/>
      <c r="C12" s="32"/>
      <c r="D12" s="32"/>
      <c r="E12" s="32"/>
      <c r="F12" s="32"/>
      <c r="G12" s="32"/>
      <c r="H12" s="70" t="str">
        <f aca="false">IF(OR(B12="",B11=""),"",B12-B11)</f>
        <v/>
      </c>
      <c r="I12" s="70" t="str">
        <f aca="false">IF(OR(C12="",C11=""),"",C12-C11)</f>
        <v/>
      </c>
      <c r="J12" s="70" t="str">
        <f aca="false">IF(OR(D12="",D11=""),"",D12-D11)</f>
        <v/>
      </c>
      <c r="K12" s="70" t="str">
        <f aca="false">IF(OR(E12="",E11=""),"",E12-E11)</f>
        <v/>
      </c>
      <c r="L12" s="70" t="str">
        <f aca="false">IF(OR(F12="",F11=""),"",F12-F11)</f>
        <v/>
      </c>
      <c r="M12" s="70" t="str">
        <f aca="false">IF(OR(G12="",G11=""),"",G12-G11)</f>
        <v/>
      </c>
      <c r="N12" s="33" t="str">
        <f aca="false">IF(COUNT(B12:G12)=0,"",SUM(B12:G12))</f>
        <v/>
      </c>
      <c r="O12" s="70" t="str">
        <f aca="false">IF(COUNT(H12:M12)=0,"",SUM(H12:M12))</f>
        <v/>
      </c>
    </row>
    <row r="13" customFormat="false" ht="15" hidden="false" customHeight="false" outlineLevel="0" collapsed="false">
      <c r="A13" s="27" t="n">
        <f aca="false">A12+7</f>
        <v>46349</v>
      </c>
      <c r="B13" s="32"/>
      <c r="C13" s="32"/>
      <c r="D13" s="32"/>
      <c r="E13" s="32"/>
      <c r="F13" s="32"/>
      <c r="G13" s="32"/>
      <c r="H13" s="70" t="str">
        <f aca="false">IF(OR(B13="",B12=""),"",B13-B12)</f>
        <v/>
      </c>
      <c r="I13" s="70" t="str">
        <f aca="false">IF(OR(C13="",C12=""),"",C13-C12)</f>
        <v/>
      </c>
      <c r="J13" s="70" t="str">
        <f aca="false">IF(OR(D13="",D12=""),"",D13-D12)</f>
        <v/>
      </c>
      <c r="K13" s="70" t="str">
        <f aca="false">IF(OR(E13="",E12=""),"",E13-E12)</f>
        <v/>
      </c>
      <c r="L13" s="70" t="str">
        <f aca="false">IF(OR(F13="",F12=""),"",F13-F12)</f>
        <v/>
      </c>
      <c r="M13" s="70" t="str">
        <f aca="false">IF(OR(G13="",G12=""),"",G13-G12)</f>
        <v/>
      </c>
      <c r="N13" s="33" t="str">
        <f aca="false">IF(COUNT(B13:G13)=0,"",SUM(B13:G13))</f>
        <v/>
      </c>
      <c r="O13" s="70" t="str">
        <f aca="false">IF(COUNT(H13:M13)=0,"",SUM(H13:M13))</f>
        <v/>
      </c>
    </row>
    <row r="14" customFormat="false" ht="15" hidden="false" customHeight="false" outlineLevel="0" collapsed="false">
      <c r="A14" s="27" t="n">
        <f aca="false">A13+7</f>
        <v>46356</v>
      </c>
      <c r="B14" s="32"/>
      <c r="C14" s="32"/>
      <c r="D14" s="32"/>
      <c r="E14" s="32"/>
      <c r="F14" s="32"/>
      <c r="G14" s="32"/>
      <c r="H14" s="70" t="str">
        <f aca="false">IF(OR(B14="",B13=""),"",B14-B13)</f>
        <v/>
      </c>
      <c r="I14" s="70" t="str">
        <f aca="false">IF(OR(C14="",C13=""),"",C14-C13)</f>
        <v/>
      </c>
      <c r="J14" s="70" t="str">
        <f aca="false">IF(OR(D14="",D13=""),"",D14-D13)</f>
        <v/>
      </c>
      <c r="K14" s="70" t="str">
        <f aca="false">IF(OR(E14="",E13=""),"",E14-E13)</f>
        <v/>
      </c>
      <c r="L14" s="70" t="str">
        <f aca="false">IF(OR(F14="",F13=""),"",F14-F13)</f>
        <v/>
      </c>
      <c r="M14" s="70" t="str">
        <f aca="false">IF(OR(G14="",G13=""),"",G14-G13)</f>
        <v/>
      </c>
      <c r="N14" s="33" t="str">
        <f aca="false">IF(COUNT(B14:G14)=0,"",SUM(B14:G14))</f>
        <v/>
      </c>
      <c r="O14" s="70" t="str">
        <f aca="false">IF(COUNT(H14:M14)=0,"",SUM(H14:M14))</f>
        <v/>
      </c>
    </row>
    <row r="15" customFormat="false" ht="15" hidden="false" customHeight="false" outlineLevel="0" collapsed="false">
      <c r="A15" s="27" t="n">
        <f aca="false">A14+7</f>
        <v>46363</v>
      </c>
      <c r="B15" s="32"/>
      <c r="C15" s="32"/>
      <c r="D15" s="32"/>
      <c r="E15" s="32"/>
      <c r="F15" s="32"/>
      <c r="G15" s="32"/>
      <c r="H15" s="70" t="str">
        <f aca="false">IF(OR(B15="",B14=""),"",B15-B14)</f>
        <v/>
      </c>
      <c r="I15" s="70" t="str">
        <f aca="false">IF(OR(C15="",C14=""),"",C15-C14)</f>
        <v/>
      </c>
      <c r="J15" s="70" t="str">
        <f aca="false">IF(OR(D15="",D14=""),"",D15-D14)</f>
        <v/>
      </c>
      <c r="K15" s="70" t="str">
        <f aca="false">IF(OR(E15="",E14=""),"",E15-E14)</f>
        <v/>
      </c>
      <c r="L15" s="70" t="str">
        <f aca="false">IF(OR(F15="",F14=""),"",F15-F14)</f>
        <v/>
      </c>
      <c r="M15" s="70" t="str">
        <f aca="false">IF(OR(G15="",G14=""),"",G15-G14)</f>
        <v/>
      </c>
      <c r="N15" s="33" t="str">
        <f aca="false">IF(COUNT(B15:G15)=0,"",SUM(B15:G15))</f>
        <v/>
      </c>
      <c r="O15" s="70" t="str">
        <f aca="false">IF(COUNT(H15:M15)=0,"",SUM(H15:M15))</f>
        <v/>
      </c>
    </row>
    <row r="16" customFormat="false" ht="15" hidden="false" customHeight="false" outlineLevel="0" collapsed="false">
      <c r="A16" s="27" t="n">
        <f aca="false">A15+7</f>
        <v>46370</v>
      </c>
      <c r="B16" s="32"/>
      <c r="C16" s="32"/>
      <c r="D16" s="32"/>
      <c r="E16" s="32"/>
      <c r="F16" s="32"/>
      <c r="G16" s="32"/>
      <c r="H16" s="70" t="str">
        <f aca="false">IF(OR(B16="",B15=""),"",B16-B15)</f>
        <v/>
      </c>
      <c r="I16" s="70" t="str">
        <f aca="false">IF(OR(C16="",C15=""),"",C16-C15)</f>
        <v/>
      </c>
      <c r="J16" s="70" t="str">
        <f aca="false">IF(OR(D16="",D15=""),"",D16-D15)</f>
        <v/>
      </c>
      <c r="K16" s="70" t="str">
        <f aca="false">IF(OR(E16="",E15=""),"",E16-E15)</f>
        <v/>
      </c>
      <c r="L16" s="70" t="str">
        <f aca="false">IF(OR(F16="",F15=""),"",F16-F15)</f>
        <v/>
      </c>
      <c r="M16" s="70" t="str">
        <f aca="false">IF(OR(G16="",G15=""),"",G16-G15)</f>
        <v/>
      </c>
      <c r="N16" s="33" t="str">
        <f aca="false">IF(COUNT(B16:G16)=0,"",SUM(B16:G16))</f>
        <v/>
      </c>
      <c r="O16" s="70" t="str">
        <f aca="false">IF(COUNT(H16:M16)=0,"",SUM(H16:M16))</f>
        <v/>
      </c>
    </row>
    <row r="17" customFormat="false" ht="15" hidden="false" customHeight="false" outlineLevel="0" collapsed="false">
      <c r="A17" s="27" t="n">
        <f aca="false">A16+7</f>
        <v>46377</v>
      </c>
      <c r="B17" s="32"/>
      <c r="C17" s="32"/>
      <c r="D17" s="32"/>
      <c r="E17" s="32"/>
      <c r="F17" s="32"/>
      <c r="G17" s="32"/>
      <c r="H17" s="70" t="str">
        <f aca="false">IF(OR(B17="",B16=""),"",B17-B16)</f>
        <v/>
      </c>
      <c r="I17" s="70" t="str">
        <f aca="false">IF(OR(C17="",C16=""),"",C17-C16)</f>
        <v/>
      </c>
      <c r="J17" s="70" t="str">
        <f aca="false">IF(OR(D17="",D16=""),"",D17-D16)</f>
        <v/>
      </c>
      <c r="K17" s="70" t="str">
        <f aca="false">IF(OR(E17="",E16=""),"",E17-E16)</f>
        <v/>
      </c>
      <c r="L17" s="70" t="str">
        <f aca="false">IF(OR(F17="",F16=""),"",F17-F16)</f>
        <v/>
      </c>
      <c r="M17" s="70" t="str">
        <f aca="false">IF(OR(G17="",G16=""),"",G17-G16)</f>
        <v/>
      </c>
      <c r="N17" s="33" t="str">
        <f aca="false">IF(COUNT(B17:G17)=0,"",SUM(B17:G17))</f>
        <v/>
      </c>
      <c r="O17" s="70" t="str">
        <f aca="false">IF(COUNT(H17:M17)=0,"",SUM(H17:M17))</f>
        <v/>
      </c>
    </row>
    <row r="18" customFormat="false" ht="15" hidden="false" customHeight="false" outlineLevel="0" collapsed="false">
      <c r="A18" s="27" t="n">
        <f aca="false">A17+7</f>
        <v>46384</v>
      </c>
      <c r="B18" s="32"/>
      <c r="C18" s="32"/>
      <c r="D18" s="32"/>
      <c r="E18" s="32"/>
      <c r="F18" s="32"/>
      <c r="G18" s="32"/>
      <c r="H18" s="70" t="str">
        <f aca="false">IF(OR(B18="",B17=""),"",B18-B17)</f>
        <v/>
      </c>
      <c r="I18" s="70" t="str">
        <f aca="false">IF(OR(C18="",C17=""),"",C18-C17)</f>
        <v/>
      </c>
      <c r="J18" s="70" t="str">
        <f aca="false">IF(OR(D18="",D17=""),"",D18-D17)</f>
        <v/>
      </c>
      <c r="K18" s="70" t="str">
        <f aca="false">IF(OR(E18="",E17=""),"",E18-E17)</f>
        <v/>
      </c>
      <c r="L18" s="70" t="str">
        <f aca="false">IF(OR(F18="",F17=""),"",F18-F17)</f>
        <v/>
      </c>
      <c r="M18" s="70" t="str">
        <f aca="false">IF(OR(G18="",G17=""),"",G18-G17)</f>
        <v/>
      </c>
      <c r="N18" s="33" t="str">
        <f aca="false">IF(COUNT(B18:G18)=0,"",SUM(B18:G18))</f>
        <v/>
      </c>
      <c r="O18" s="70" t="str">
        <f aca="false">IF(COUNT(H18:M18)=0,"",SUM(H18:M18))</f>
        <v/>
      </c>
    </row>
    <row r="19" customFormat="false" ht="15" hidden="false" customHeight="false" outlineLevel="0" collapsed="false">
      <c r="A19" s="27" t="n">
        <f aca="false">A18+7</f>
        <v>46391</v>
      </c>
      <c r="B19" s="32"/>
      <c r="C19" s="32"/>
      <c r="D19" s="32"/>
      <c r="E19" s="32"/>
      <c r="F19" s="32"/>
      <c r="G19" s="32"/>
      <c r="H19" s="70" t="str">
        <f aca="false">IF(OR(B19="",B18=""),"",B19-B18)</f>
        <v/>
      </c>
      <c r="I19" s="70" t="str">
        <f aca="false">IF(OR(C19="",C18=""),"",C19-C18)</f>
        <v/>
      </c>
      <c r="J19" s="70" t="str">
        <f aca="false">IF(OR(D19="",D18=""),"",D19-D18)</f>
        <v/>
      </c>
      <c r="K19" s="70" t="str">
        <f aca="false">IF(OR(E19="",E18=""),"",E19-E18)</f>
        <v/>
      </c>
      <c r="L19" s="70" t="str">
        <f aca="false">IF(OR(F19="",F18=""),"",F19-F18)</f>
        <v/>
      </c>
      <c r="M19" s="70" t="str">
        <f aca="false">IF(OR(G19="",G18=""),"",G19-G18)</f>
        <v/>
      </c>
      <c r="N19" s="33" t="str">
        <f aca="false">IF(COUNT(B19:G19)=0,"",SUM(B19:G19))</f>
        <v/>
      </c>
      <c r="O19" s="70" t="str">
        <f aca="false">IF(COUNT(H19:M19)=0,"",SUM(H19:M19))</f>
        <v/>
      </c>
    </row>
    <row r="20" customFormat="false" ht="15" hidden="false" customHeight="false" outlineLevel="0" collapsed="false">
      <c r="A20" s="27" t="n">
        <f aca="false">A19+7</f>
        <v>46398</v>
      </c>
      <c r="B20" s="32"/>
      <c r="C20" s="32"/>
      <c r="D20" s="32"/>
      <c r="E20" s="32"/>
      <c r="F20" s="32"/>
      <c r="G20" s="32"/>
      <c r="H20" s="70" t="str">
        <f aca="false">IF(OR(B20="",B19=""),"",B20-B19)</f>
        <v/>
      </c>
      <c r="I20" s="70" t="str">
        <f aca="false">IF(OR(C20="",C19=""),"",C20-C19)</f>
        <v/>
      </c>
      <c r="J20" s="70" t="str">
        <f aca="false">IF(OR(D20="",D19=""),"",D20-D19)</f>
        <v/>
      </c>
      <c r="K20" s="70" t="str">
        <f aca="false">IF(OR(E20="",E19=""),"",E20-E19)</f>
        <v/>
      </c>
      <c r="L20" s="70" t="str">
        <f aca="false">IF(OR(F20="",F19=""),"",F20-F19)</f>
        <v/>
      </c>
      <c r="M20" s="70" t="str">
        <f aca="false">IF(OR(G20="",G19=""),"",G20-G19)</f>
        <v/>
      </c>
      <c r="N20" s="33" t="str">
        <f aca="false">IF(COUNT(B20:G20)=0,"",SUM(B20:G20))</f>
        <v/>
      </c>
      <c r="O20" s="70" t="str">
        <f aca="false">IF(COUNT(H20:M20)=0,"",SUM(H20:M20))</f>
        <v/>
      </c>
    </row>
    <row r="21" customFormat="false" ht="15" hidden="false" customHeight="false" outlineLevel="0" collapsed="false">
      <c r="A21" s="27" t="n">
        <f aca="false">A20+7</f>
        <v>46405</v>
      </c>
      <c r="B21" s="32"/>
      <c r="C21" s="32"/>
      <c r="D21" s="32"/>
      <c r="E21" s="32"/>
      <c r="F21" s="32"/>
      <c r="G21" s="32"/>
      <c r="H21" s="70" t="str">
        <f aca="false">IF(OR(B21="",B20=""),"",B21-B20)</f>
        <v/>
      </c>
      <c r="I21" s="70" t="str">
        <f aca="false">IF(OR(C21="",C20=""),"",C21-C20)</f>
        <v/>
      </c>
      <c r="J21" s="70" t="str">
        <f aca="false">IF(OR(D21="",D20=""),"",D21-D20)</f>
        <v/>
      </c>
      <c r="K21" s="70" t="str">
        <f aca="false">IF(OR(E21="",E20=""),"",E21-E20)</f>
        <v/>
      </c>
      <c r="L21" s="70" t="str">
        <f aca="false">IF(OR(F21="",F20=""),"",F21-F20)</f>
        <v/>
      </c>
      <c r="M21" s="70" t="str">
        <f aca="false">IF(OR(G21="",G20=""),"",G21-G20)</f>
        <v/>
      </c>
      <c r="N21" s="33" t="str">
        <f aca="false">IF(COUNT(B21:G21)=0,"",SUM(B21:G21))</f>
        <v/>
      </c>
      <c r="O21" s="70" t="str">
        <f aca="false">IF(COUNT(H21:M21)=0,"",SUM(H21:M21))</f>
        <v/>
      </c>
    </row>
    <row r="22" customFormat="false" ht="15" hidden="false" customHeight="false" outlineLevel="0" collapsed="false">
      <c r="A22" s="27" t="n">
        <f aca="false">A21+7</f>
        <v>46412</v>
      </c>
      <c r="B22" s="32"/>
      <c r="C22" s="32"/>
      <c r="D22" s="32"/>
      <c r="E22" s="32"/>
      <c r="F22" s="32"/>
      <c r="G22" s="32"/>
      <c r="H22" s="70" t="str">
        <f aca="false">IF(OR(B22="",B21=""),"",B22-B21)</f>
        <v/>
      </c>
      <c r="I22" s="70" t="str">
        <f aca="false">IF(OR(C22="",C21=""),"",C22-C21)</f>
        <v/>
      </c>
      <c r="J22" s="70" t="str">
        <f aca="false">IF(OR(D22="",D21=""),"",D22-D21)</f>
        <v/>
      </c>
      <c r="K22" s="70" t="str">
        <f aca="false">IF(OR(E22="",E21=""),"",E22-E21)</f>
        <v/>
      </c>
      <c r="L22" s="70" t="str">
        <f aca="false">IF(OR(F22="",F21=""),"",F22-F21)</f>
        <v/>
      </c>
      <c r="M22" s="70" t="str">
        <f aca="false">IF(OR(G22="",G21=""),"",G22-G21)</f>
        <v/>
      </c>
      <c r="N22" s="33" t="str">
        <f aca="false">IF(COUNT(B22:G22)=0,"",SUM(B22:G22))</f>
        <v/>
      </c>
      <c r="O22" s="70" t="str">
        <f aca="false">IF(COUNT(H22:M22)=0,"",SUM(H22:M22))</f>
        <v/>
      </c>
    </row>
    <row r="23" customFormat="false" ht="15" hidden="false" customHeight="false" outlineLevel="0" collapsed="false">
      <c r="A23" s="27" t="n">
        <f aca="false">A22+7</f>
        <v>46419</v>
      </c>
      <c r="B23" s="32"/>
      <c r="C23" s="32"/>
      <c r="D23" s="32"/>
      <c r="E23" s="32"/>
      <c r="F23" s="32"/>
      <c r="G23" s="32"/>
      <c r="H23" s="70" t="str">
        <f aca="false">IF(OR(B23="",B22=""),"",B23-B22)</f>
        <v/>
      </c>
      <c r="I23" s="70" t="str">
        <f aca="false">IF(OR(C23="",C22=""),"",C23-C22)</f>
        <v/>
      </c>
      <c r="J23" s="70" t="str">
        <f aca="false">IF(OR(D23="",D22=""),"",D23-D22)</f>
        <v/>
      </c>
      <c r="K23" s="70" t="str">
        <f aca="false">IF(OR(E23="",E22=""),"",E23-E22)</f>
        <v/>
      </c>
      <c r="L23" s="70" t="str">
        <f aca="false">IF(OR(F23="",F22=""),"",F23-F22)</f>
        <v/>
      </c>
      <c r="M23" s="70" t="str">
        <f aca="false">IF(OR(G23="",G22=""),"",G23-G22)</f>
        <v/>
      </c>
      <c r="N23" s="33" t="str">
        <f aca="false">IF(COUNT(B23:G23)=0,"",SUM(B23:G23))</f>
        <v/>
      </c>
      <c r="O23" s="70" t="str">
        <f aca="false">IF(COUNT(H23:M23)=0,"",SUM(H23:M23))</f>
        <v/>
      </c>
    </row>
    <row r="24" customFormat="false" ht="15" hidden="false" customHeight="false" outlineLevel="0" collapsed="false">
      <c r="A24" s="27" t="n">
        <f aca="false">A23+7</f>
        <v>46426</v>
      </c>
      <c r="B24" s="32"/>
      <c r="C24" s="32"/>
      <c r="D24" s="32"/>
      <c r="E24" s="32"/>
      <c r="F24" s="32"/>
      <c r="G24" s="32"/>
      <c r="H24" s="70" t="str">
        <f aca="false">IF(OR(B24="",B23=""),"",B24-B23)</f>
        <v/>
      </c>
      <c r="I24" s="70" t="str">
        <f aca="false">IF(OR(C24="",C23=""),"",C24-C23)</f>
        <v/>
      </c>
      <c r="J24" s="70" t="str">
        <f aca="false">IF(OR(D24="",D23=""),"",D24-D23)</f>
        <v/>
      </c>
      <c r="K24" s="70" t="str">
        <f aca="false">IF(OR(E24="",E23=""),"",E24-E23)</f>
        <v/>
      </c>
      <c r="L24" s="70" t="str">
        <f aca="false">IF(OR(F24="",F23=""),"",F24-F23)</f>
        <v/>
      </c>
      <c r="M24" s="70" t="str">
        <f aca="false">IF(OR(G24="",G23=""),"",G24-G23)</f>
        <v/>
      </c>
      <c r="N24" s="33" t="str">
        <f aca="false">IF(COUNT(B24:G24)=0,"",SUM(B24:G24))</f>
        <v/>
      </c>
      <c r="O24" s="70" t="str">
        <f aca="false">IF(COUNT(H24:M24)=0,"",SUM(H24:M24))</f>
        <v/>
      </c>
    </row>
    <row r="25" customFormat="false" ht="15" hidden="false" customHeight="false" outlineLevel="0" collapsed="false">
      <c r="A25" s="27" t="n">
        <f aca="false">A24+7</f>
        <v>46433</v>
      </c>
      <c r="B25" s="32"/>
      <c r="C25" s="32"/>
      <c r="D25" s="32"/>
      <c r="E25" s="32"/>
      <c r="F25" s="32"/>
      <c r="G25" s="32"/>
      <c r="H25" s="70" t="str">
        <f aca="false">IF(OR(B25="",B24=""),"",B25-B24)</f>
        <v/>
      </c>
      <c r="I25" s="70" t="str">
        <f aca="false">IF(OR(C25="",C24=""),"",C25-C24)</f>
        <v/>
      </c>
      <c r="J25" s="70" t="str">
        <f aca="false">IF(OR(D25="",D24=""),"",D25-D24)</f>
        <v/>
      </c>
      <c r="K25" s="70" t="str">
        <f aca="false">IF(OR(E25="",E24=""),"",E25-E24)</f>
        <v/>
      </c>
      <c r="L25" s="70" t="str">
        <f aca="false">IF(OR(F25="",F24=""),"",F25-F24)</f>
        <v/>
      </c>
      <c r="M25" s="70" t="str">
        <f aca="false">IF(OR(G25="",G24=""),"",G25-G24)</f>
        <v/>
      </c>
      <c r="N25" s="33" t="str">
        <f aca="false">IF(COUNT(B25:G25)=0,"",SUM(B25:G25))</f>
        <v/>
      </c>
      <c r="O25" s="70" t="str">
        <f aca="false">IF(COUNT(H25:M25)=0,"",SUM(H25:M25))</f>
        <v/>
      </c>
    </row>
    <row r="26" customFormat="false" ht="15" hidden="false" customHeight="false" outlineLevel="0" collapsed="false">
      <c r="A26" s="27" t="n">
        <f aca="false">A25+7</f>
        <v>46440</v>
      </c>
      <c r="B26" s="32"/>
      <c r="C26" s="32"/>
      <c r="D26" s="32"/>
      <c r="E26" s="32"/>
      <c r="F26" s="32"/>
      <c r="G26" s="32"/>
      <c r="H26" s="70" t="str">
        <f aca="false">IF(OR(B26="",B25=""),"",B26-B25)</f>
        <v/>
      </c>
      <c r="I26" s="70" t="str">
        <f aca="false">IF(OR(C26="",C25=""),"",C26-C25)</f>
        <v/>
      </c>
      <c r="J26" s="70" t="str">
        <f aca="false">IF(OR(D26="",D25=""),"",D26-D25)</f>
        <v/>
      </c>
      <c r="K26" s="70" t="str">
        <f aca="false">IF(OR(E26="",E25=""),"",E26-E25)</f>
        <v/>
      </c>
      <c r="L26" s="70" t="str">
        <f aca="false">IF(OR(F26="",F25=""),"",F26-F25)</f>
        <v/>
      </c>
      <c r="M26" s="70" t="str">
        <f aca="false">IF(OR(G26="",G25=""),"",G26-G25)</f>
        <v/>
      </c>
      <c r="N26" s="33" t="str">
        <f aca="false">IF(COUNT(B26:G26)=0,"",SUM(B26:G26))</f>
        <v/>
      </c>
      <c r="O26" s="70" t="str">
        <f aca="false">IF(COUNT(H26:M26)=0,"",SUM(H26:M26))</f>
        <v/>
      </c>
    </row>
    <row r="27" customFormat="false" ht="15" hidden="false" customHeight="false" outlineLevel="0" collapsed="false">
      <c r="A27" s="27" t="n">
        <f aca="false">A26+7</f>
        <v>46447</v>
      </c>
      <c r="B27" s="32"/>
      <c r="C27" s="32"/>
      <c r="D27" s="32"/>
      <c r="E27" s="32"/>
      <c r="F27" s="32"/>
      <c r="G27" s="32"/>
      <c r="H27" s="70" t="str">
        <f aca="false">IF(OR(B27="",B26=""),"",B27-B26)</f>
        <v/>
      </c>
      <c r="I27" s="70" t="str">
        <f aca="false">IF(OR(C27="",C26=""),"",C27-C26)</f>
        <v/>
      </c>
      <c r="J27" s="70" t="str">
        <f aca="false">IF(OR(D27="",D26=""),"",D27-D26)</f>
        <v/>
      </c>
      <c r="K27" s="70" t="str">
        <f aca="false">IF(OR(E27="",E26=""),"",E27-E26)</f>
        <v/>
      </c>
      <c r="L27" s="70" t="str">
        <f aca="false">IF(OR(F27="",F26=""),"",F27-F26)</f>
        <v/>
      </c>
      <c r="M27" s="70" t="str">
        <f aca="false">IF(OR(G27="",G26=""),"",G27-G26)</f>
        <v/>
      </c>
      <c r="N27" s="33" t="str">
        <f aca="false">IF(COUNT(B27:G27)=0,"",SUM(B27:G27))</f>
        <v/>
      </c>
      <c r="O27" s="70" t="str">
        <f aca="false">IF(COUNT(H27:M27)=0,"",SUM(H27:M27))</f>
        <v/>
      </c>
    </row>
    <row r="28" customFormat="false" ht="15" hidden="false" customHeight="false" outlineLevel="0" collapsed="false">
      <c r="A28" s="27" t="n">
        <f aca="false">A27+7</f>
        <v>46454</v>
      </c>
      <c r="B28" s="32"/>
      <c r="C28" s="32"/>
      <c r="D28" s="32"/>
      <c r="E28" s="32"/>
      <c r="F28" s="32"/>
      <c r="G28" s="32"/>
      <c r="H28" s="70" t="str">
        <f aca="false">IF(OR(B28="",B27=""),"",B28-B27)</f>
        <v/>
      </c>
      <c r="I28" s="70" t="str">
        <f aca="false">IF(OR(C28="",C27=""),"",C28-C27)</f>
        <v/>
      </c>
      <c r="J28" s="70" t="str">
        <f aca="false">IF(OR(D28="",D27=""),"",D28-D27)</f>
        <v/>
      </c>
      <c r="K28" s="70" t="str">
        <f aca="false">IF(OR(E28="",E27=""),"",E28-E27)</f>
        <v/>
      </c>
      <c r="L28" s="70" t="str">
        <f aca="false">IF(OR(F28="",F27=""),"",F28-F27)</f>
        <v/>
      </c>
      <c r="M28" s="70" t="str">
        <f aca="false">IF(OR(G28="",G27=""),"",G28-G27)</f>
        <v/>
      </c>
      <c r="N28" s="33" t="str">
        <f aca="false">IF(COUNT(B28:G28)=0,"",SUM(B28:G28))</f>
        <v/>
      </c>
      <c r="O28" s="70" t="str">
        <f aca="false">IF(COUNT(H28:M28)=0,"",SUM(H28:M28))</f>
        <v/>
      </c>
    </row>
    <row r="29" customFormat="false" ht="15" hidden="false" customHeight="false" outlineLevel="0" collapsed="false">
      <c r="A29" s="27" t="n">
        <f aca="false">A28+7</f>
        <v>46461</v>
      </c>
      <c r="B29" s="32"/>
      <c r="C29" s="32"/>
      <c r="D29" s="32"/>
      <c r="E29" s="32"/>
      <c r="F29" s="32"/>
      <c r="G29" s="32"/>
      <c r="H29" s="70" t="str">
        <f aca="false">IF(OR(B29="",B28=""),"",B29-B28)</f>
        <v/>
      </c>
      <c r="I29" s="70" t="str">
        <f aca="false">IF(OR(C29="",C28=""),"",C29-C28)</f>
        <v/>
      </c>
      <c r="J29" s="70" t="str">
        <f aca="false">IF(OR(D29="",D28=""),"",D29-D28)</f>
        <v/>
      </c>
      <c r="K29" s="70" t="str">
        <f aca="false">IF(OR(E29="",E28=""),"",E29-E28)</f>
        <v/>
      </c>
      <c r="L29" s="70" t="str">
        <f aca="false">IF(OR(F29="",F28=""),"",F29-F28)</f>
        <v/>
      </c>
      <c r="M29" s="70" t="str">
        <f aca="false">IF(OR(G29="",G28=""),"",G29-G28)</f>
        <v/>
      </c>
      <c r="N29" s="33" t="str">
        <f aca="false">IF(COUNT(B29:G29)=0,"",SUM(B29:G29))</f>
        <v/>
      </c>
      <c r="O29" s="70" t="str">
        <f aca="false">IF(COUNT(H29:M29)=0,"",SUM(H29:M29))</f>
        <v/>
      </c>
    </row>
    <row r="30" customFormat="false" ht="15" hidden="false" customHeight="false" outlineLevel="0" collapsed="false">
      <c r="A30" s="27" t="n">
        <f aca="false">A29+7</f>
        <v>46468</v>
      </c>
      <c r="B30" s="32"/>
      <c r="C30" s="32"/>
      <c r="D30" s="32"/>
      <c r="E30" s="32"/>
      <c r="F30" s="32"/>
      <c r="G30" s="32"/>
      <c r="H30" s="70" t="str">
        <f aca="false">IF(OR(B30="",B29=""),"",B30-B29)</f>
        <v/>
      </c>
      <c r="I30" s="70" t="str">
        <f aca="false">IF(OR(C30="",C29=""),"",C30-C29)</f>
        <v/>
      </c>
      <c r="J30" s="70" t="str">
        <f aca="false">IF(OR(D30="",D29=""),"",D30-D29)</f>
        <v/>
      </c>
      <c r="K30" s="70" t="str">
        <f aca="false">IF(OR(E30="",E29=""),"",E30-E29)</f>
        <v/>
      </c>
      <c r="L30" s="70" t="str">
        <f aca="false">IF(OR(F30="",F29=""),"",F30-F29)</f>
        <v/>
      </c>
      <c r="M30" s="70" t="str">
        <f aca="false">IF(OR(G30="",G29=""),"",G30-G29)</f>
        <v/>
      </c>
      <c r="N30" s="33" t="str">
        <f aca="false">IF(COUNT(B30:G30)=0,"",SUM(B30:G30))</f>
        <v/>
      </c>
      <c r="O30" s="70" t="str">
        <f aca="false">IF(COUNT(H30:M30)=0,"",SUM(H30:M30))</f>
        <v/>
      </c>
    </row>
    <row r="31" customFormat="false" ht="15" hidden="false" customHeight="false" outlineLevel="0" collapsed="false">
      <c r="A31" s="27" t="n">
        <f aca="false">A30+7</f>
        <v>46475</v>
      </c>
      <c r="B31" s="32"/>
      <c r="C31" s="32"/>
      <c r="D31" s="32"/>
      <c r="E31" s="32"/>
      <c r="F31" s="32"/>
      <c r="G31" s="32"/>
      <c r="H31" s="70" t="str">
        <f aca="false">IF(OR(B31="",B30=""),"",B31-B30)</f>
        <v/>
      </c>
      <c r="I31" s="70" t="str">
        <f aca="false">IF(OR(C31="",C30=""),"",C31-C30)</f>
        <v/>
      </c>
      <c r="J31" s="70" t="str">
        <f aca="false">IF(OR(D31="",D30=""),"",D31-D30)</f>
        <v/>
      </c>
      <c r="K31" s="70" t="str">
        <f aca="false">IF(OR(E31="",E30=""),"",E31-E30)</f>
        <v/>
      </c>
      <c r="L31" s="70" t="str">
        <f aca="false">IF(OR(F31="",F30=""),"",F31-F30)</f>
        <v/>
      </c>
      <c r="M31" s="70" t="str">
        <f aca="false">IF(OR(G31="",G30=""),"",G31-G30)</f>
        <v/>
      </c>
      <c r="N31" s="33" t="str">
        <f aca="false">IF(COUNT(B31:G31)=0,"",SUM(B31:G31))</f>
        <v/>
      </c>
      <c r="O31" s="70" t="str">
        <f aca="false">IF(COUNT(H31:M31)=0,"",SUM(H31:M31))</f>
        <v/>
      </c>
    </row>
    <row r="32" customFormat="false" ht="15" hidden="false" customHeight="false" outlineLevel="0" collapsed="false">
      <c r="A32" s="27" t="n">
        <f aca="false">A31+7</f>
        <v>46482</v>
      </c>
      <c r="B32" s="32"/>
      <c r="C32" s="32"/>
      <c r="D32" s="32"/>
      <c r="E32" s="32"/>
      <c r="F32" s="32"/>
      <c r="G32" s="32"/>
      <c r="H32" s="70" t="str">
        <f aca="false">IF(OR(B32="",B31=""),"",B32-B31)</f>
        <v/>
      </c>
      <c r="I32" s="70" t="str">
        <f aca="false">IF(OR(C32="",C31=""),"",C32-C31)</f>
        <v/>
      </c>
      <c r="J32" s="70" t="str">
        <f aca="false">IF(OR(D32="",D31=""),"",D32-D31)</f>
        <v/>
      </c>
      <c r="K32" s="70" t="str">
        <f aca="false">IF(OR(E32="",E31=""),"",E32-E31)</f>
        <v/>
      </c>
      <c r="L32" s="70" t="str">
        <f aca="false">IF(OR(F32="",F31=""),"",F32-F31)</f>
        <v/>
      </c>
      <c r="M32" s="70" t="str">
        <f aca="false">IF(OR(G32="",G31=""),"",G32-G31)</f>
        <v/>
      </c>
      <c r="N32" s="33" t="str">
        <f aca="false">IF(COUNT(B32:G32)=0,"",SUM(B32:G32))</f>
        <v/>
      </c>
      <c r="O32" s="70" t="str">
        <f aca="false">IF(COUNT(H32:M32)=0,"",SUM(H32:M32))</f>
        <v/>
      </c>
    </row>
    <row r="33" customFormat="false" ht="15" hidden="false" customHeight="false" outlineLevel="0" collapsed="false">
      <c r="A33" s="27" t="n">
        <f aca="false">A32+7</f>
        <v>46489</v>
      </c>
      <c r="B33" s="32"/>
      <c r="C33" s="32"/>
      <c r="D33" s="32"/>
      <c r="E33" s="32"/>
      <c r="F33" s="32"/>
      <c r="G33" s="32"/>
      <c r="H33" s="70" t="str">
        <f aca="false">IF(OR(B33="",B32=""),"",B33-B32)</f>
        <v/>
      </c>
      <c r="I33" s="70" t="str">
        <f aca="false">IF(OR(C33="",C32=""),"",C33-C32)</f>
        <v/>
      </c>
      <c r="J33" s="70" t="str">
        <f aca="false">IF(OR(D33="",D32=""),"",D33-D32)</f>
        <v/>
      </c>
      <c r="K33" s="70" t="str">
        <f aca="false">IF(OR(E33="",E32=""),"",E33-E32)</f>
        <v/>
      </c>
      <c r="L33" s="70" t="str">
        <f aca="false">IF(OR(F33="",F32=""),"",F33-F32)</f>
        <v/>
      </c>
      <c r="M33" s="70" t="str">
        <f aca="false">IF(OR(G33="",G32=""),"",G33-G32)</f>
        <v/>
      </c>
      <c r="N33" s="33" t="str">
        <f aca="false">IF(COUNT(B33:G33)=0,"",SUM(B33:G33))</f>
        <v/>
      </c>
      <c r="O33" s="70" t="str">
        <f aca="false">IF(COUNT(H33:M33)=0,"",SUM(H33:M33))</f>
        <v/>
      </c>
    </row>
    <row r="34" customFormat="false" ht="15" hidden="false" customHeight="false" outlineLevel="0" collapsed="false">
      <c r="A34" s="27" t="n">
        <f aca="false">A33+7</f>
        <v>46496</v>
      </c>
      <c r="B34" s="32"/>
      <c r="C34" s="32"/>
      <c r="D34" s="32"/>
      <c r="E34" s="32"/>
      <c r="F34" s="32"/>
      <c r="G34" s="32"/>
      <c r="H34" s="70" t="str">
        <f aca="false">IF(OR(B34="",B33=""),"",B34-B33)</f>
        <v/>
      </c>
      <c r="I34" s="70" t="str">
        <f aca="false">IF(OR(C34="",C33=""),"",C34-C33)</f>
        <v/>
      </c>
      <c r="J34" s="70" t="str">
        <f aca="false">IF(OR(D34="",D33=""),"",D34-D33)</f>
        <v/>
      </c>
      <c r="K34" s="70" t="str">
        <f aca="false">IF(OR(E34="",E33=""),"",E34-E33)</f>
        <v/>
      </c>
      <c r="L34" s="70" t="str">
        <f aca="false">IF(OR(F34="",F33=""),"",F34-F33)</f>
        <v/>
      </c>
      <c r="M34" s="70" t="str">
        <f aca="false">IF(OR(G34="",G33=""),"",G34-G33)</f>
        <v/>
      </c>
      <c r="N34" s="33" t="str">
        <f aca="false">IF(COUNT(B34:G34)=0,"",SUM(B34:G34))</f>
        <v/>
      </c>
      <c r="O34" s="70" t="str">
        <f aca="false">IF(COUNT(H34:M34)=0,"",SUM(H34:M34))</f>
        <v/>
      </c>
    </row>
    <row r="35" customFormat="false" ht="15" hidden="false" customHeight="false" outlineLevel="0" collapsed="false">
      <c r="A35" s="27" t="n">
        <f aca="false">A34+7</f>
        <v>46503</v>
      </c>
      <c r="B35" s="32"/>
      <c r="C35" s="32"/>
      <c r="D35" s="32"/>
      <c r="E35" s="32"/>
      <c r="F35" s="32"/>
      <c r="G35" s="32"/>
      <c r="H35" s="70" t="str">
        <f aca="false">IF(OR(B35="",B34=""),"",B35-B34)</f>
        <v/>
      </c>
      <c r="I35" s="70" t="str">
        <f aca="false">IF(OR(C35="",C34=""),"",C35-C34)</f>
        <v/>
      </c>
      <c r="J35" s="70" t="str">
        <f aca="false">IF(OR(D35="",D34=""),"",D35-D34)</f>
        <v/>
      </c>
      <c r="K35" s="70" t="str">
        <f aca="false">IF(OR(E35="",E34=""),"",E35-E34)</f>
        <v/>
      </c>
      <c r="L35" s="70" t="str">
        <f aca="false">IF(OR(F35="",F34=""),"",F35-F34)</f>
        <v/>
      </c>
      <c r="M35" s="70" t="str">
        <f aca="false">IF(OR(G35="",G34=""),"",G35-G34)</f>
        <v/>
      </c>
      <c r="N35" s="33" t="str">
        <f aca="false">IF(COUNT(B35:G35)=0,"",SUM(B35:G35))</f>
        <v/>
      </c>
      <c r="O35" s="70" t="str">
        <f aca="false">IF(COUNT(H35:M35)=0,"",SUM(H35:M35))</f>
        <v/>
      </c>
    </row>
    <row r="36" customFormat="false" ht="15" hidden="false" customHeight="false" outlineLevel="0" collapsed="false">
      <c r="A36" s="27" t="n">
        <f aca="false">A35+7</f>
        <v>46510</v>
      </c>
      <c r="B36" s="32"/>
      <c r="C36" s="32"/>
      <c r="D36" s="32"/>
      <c r="E36" s="32"/>
      <c r="F36" s="32"/>
      <c r="G36" s="32"/>
      <c r="H36" s="70" t="str">
        <f aca="false">IF(OR(B36="",B35=""),"",B36-B35)</f>
        <v/>
      </c>
      <c r="I36" s="70" t="str">
        <f aca="false">IF(OR(C36="",C35=""),"",C36-C35)</f>
        <v/>
      </c>
      <c r="J36" s="70" t="str">
        <f aca="false">IF(OR(D36="",D35=""),"",D36-D35)</f>
        <v/>
      </c>
      <c r="K36" s="70" t="str">
        <f aca="false">IF(OR(E36="",E35=""),"",E36-E35)</f>
        <v/>
      </c>
      <c r="L36" s="70" t="str">
        <f aca="false">IF(OR(F36="",F35=""),"",F36-F35)</f>
        <v/>
      </c>
      <c r="M36" s="70" t="str">
        <f aca="false">IF(OR(G36="",G35=""),"",G36-G35)</f>
        <v/>
      </c>
      <c r="N36" s="33" t="str">
        <f aca="false">IF(COUNT(B36:G36)=0,"",SUM(B36:G36))</f>
        <v/>
      </c>
      <c r="O36" s="70" t="str">
        <f aca="false">IF(COUNT(H36:M36)=0,"",SUM(H36:M36))</f>
        <v/>
      </c>
    </row>
    <row r="37" customFormat="false" ht="15" hidden="false" customHeight="false" outlineLevel="0" collapsed="false">
      <c r="A37" s="27" t="n">
        <f aca="false">A36+7</f>
        <v>46517</v>
      </c>
      <c r="B37" s="32"/>
      <c r="C37" s="32"/>
      <c r="D37" s="32"/>
      <c r="E37" s="32"/>
      <c r="F37" s="32"/>
      <c r="G37" s="32"/>
      <c r="H37" s="70" t="str">
        <f aca="false">IF(OR(B37="",B36=""),"",B37-B36)</f>
        <v/>
      </c>
      <c r="I37" s="70" t="str">
        <f aca="false">IF(OR(C37="",C36=""),"",C37-C36)</f>
        <v/>
      </c>
      <c r="J37" s="70" t="str">
        <f aca="false">IF(OR(D37="",D36=""),"",D37-D36)</f>
        <v/>
      </c>
      <c r="K37" s="70" t="str">
        <f aca="false">IF(OR(E37="",E36=""),"",E37-E36)</f>
        <v/>
      </c>
      <c r="L37" s="70" t="str">
        <f aca="false">IF(OR(F37="",F36=""),"",F37-F36)</f>
        <v/>
      </c>
      <c r="M37" s="70" t="str">
        <f aca="false">IF(OR(G37="",G36=""),"",G37-G36)</f>
        <v/>
      </c>
      <c r="N37" s="33" t="str">
        <f aca="false">IF(COUNT(B37:G37)=0,"",SUM(B37:G37))</f>
        <v/>
      </c>
      <c r="O37" s="70" t="str">
        <f aca="false">IF(COUNT(H37:M37)=0,"",SUM(H37:M37))</f>
        <v/>
      </c>
    </row>
    <row r="38" customFormat="false" ht="15" hidden="false" customHeight="false" outlineLevel="0" collapsed="false">
      <c r="A38" s="27" t="n">
        <f aca="false">A37+7</f>
        <v>46524</v>
      </c>
      <c r="B38" s="32"/>
      <c r="C38" s="32"/>
      <c r="D38" s="32"/>
      <c r="E38" s="32"/>
      <c r="F38" s="32"/>
      <c r="G38" s="32"/>
      <c r="H38" s="70" t="str">
        <f aca="false">IF(OR(B38="",B37=""),"",B38-B37)</f>
        <v/>
      </c>
      <c r="I38" s="70" t="str">
        <f aca="false">IF(OR(C38="",C37=""),"",C38-C37)</f>
        <v/>
      </c>
      <c r="J38" s="70" t="str">
        <f aca="false">IF(OR(D38="",D37=""),"",D38-D37)</f>
        <v/>
      </c>
      <c r="K38" s="70" t="str">
        <f aca="false">IF(OR(E38="",E37=""),"",E38-E37)</f>
        <v/>
      </c>
      <c r="L38" s="70" t="str">
        <f aca="false">IF(OR(F38="",F37=""),"",F38-F37)</f>
        <v/>
      </c>
      <c r="M38" s="70" t="str">
        <f aca="false">IF(OR(G38="",G37=""),"",G38-G37)</f>
        <v/>
      </c>
      <c r="N38" s="33" t="str">
        <f aca="false">IF(COUNT(B38:G38)=0,"",SUM(B38:G38))</f>
        <v/>
      </c>
      <c r="O38" s="70" t="str">
        <f aca="false">IF(COUNT(H38:M38)=0,"",SUM(H38:M38))</f>
        <v/>
      </c>
    </row>
    <row r="39" customFormat="false" ht="15" hidden="false" customHeight="false" outlineLevel="0" collapsed="false">
      <c r="A39" s="27" t="n">
        <f aca="false">A38+7</f>
        <v>46531</v>
      </c>
      <c r="B39" s="32"/>
      <c r="C39" s="32"/>
      <c r="D39" s="32"/>
      <c r="E39" s="32"/>
      <c r="F39" s="32"/>
      <c r="G39" s="32"/>
      <c r="H39" s="70" t="str">
        <f aca="false">IF(OR(B39="",B38=""),"",B39-B38)</f>
        <v/>
      </c>
      <c r="I39" s="70" t="str">
        <f aca="false">IF(OR(C39="",C38=""),"",C39-C38)</f>
        <v/>
      </c>
      <c r="J39" s="70" t="str">
        <f aca="false">IF(OR(D39="",D38=""),"",D39-D38)</f>
        <v/>
      </c>
      <c r="K39" s="70" t="str">
        <f aca="false">IF(OR(E39="",E38=""),"",E39-E38)</f>
        <v/>
      </c>
      <c r="L39" s="70" t="str">
        <f aca="false">IF(OR(F39="",F38=""),"",F39-F38)</f>
        <v/>
      </c>
      <c r="M39" s="70" t="str">
        <f aca="false">IF(OR(G39="",G38=""),"",G39-G38)</f>
        <v/>
      </c>
      <c r="N39" s="33" t="str">
        <f aca="false">IF(COUNT(B39:G39)=0,"",SUM(B39:G39))</f>
        <v/>
      </c>
      <c r="O39" s="70" t="str">
        <f aca="false">IF(COUNT(H39:M39)=0,"",SUM(H39:M39))</f>
        <v/>
      </c>
    </row>
    <row r="40" customFormat="false" ht="15" hidden="false" customHeight="false" outlineLevel="0" collapsed="false">
      <c r="A40" s="27" t="n">
        <f aca="false">A39+7</f>
        <v>46538</v>
      </c>
      <c r="B40" s="32"/>
      <c r="C40" s="32"/>
      <c r="D40" s="32"/>
      <c r="E40" s="32"/>
      <c r="F40" s="32"/>
      <c r="G40" s="32"/>
      <c r="H40" s="70" t="str">
        <f aca="false">IF(OR(B40="",B39=""),"",B40-B39)</f>
        <v/>
      </c>
      <c r="I40" s="70" t="str">
        <f aca="false">IF(OR(C40="",C39=""),"",C40-C39)</f>
        <v/>
      </c>
      <c r="J40" s="70" t="str">
        <f aca="false">IF(OR(D40="",D39=""),"",D40-D39)</f>
        <v/>
      </c>
      <c r="K40" s="70" t="str">
        <f aca="false">IF(OR(E40="",E39=""),"",E40-E39)</f>
        <v/>
      </c>
      <c r="L40" s="70" t="str">
        <f aca="false">IF(OR(F40="",F39=""),"",F40-F39)</f>
        <v/>
      </c>
      <c r="M40" s="70" t="str">
        <f aca="false">IF(OR(G40="",G39=""),"",G40-G39)</f>
        <v/>
      </c>
      <c r="N40" s="33" t="str">
        <f aca="false">IF(COUNT(B40:G40)=0,"",SUM(B40:G40))</f>
        <v/>
      </c>
      <c r="O40" s="70" t="str">
        <f aca="false">IF(COUNT(H40:M40)=0,"",SUM(H40:M40))</f>
        <v/>
      </c>
    </row>
    <row r="41" customFormat="false" ht="15" hidden="false" customHeight="false" outlineLevel="0" collapsed="false">
      <c r="A41" s="27" t="n">
        <f aca="false">A40+7</f>
        <v>46545</v>
      </c>
      <c r="B41" s="32"/>
      <c r="C41" s="32"/>
      <c r="D41" s="32"/>
      <c r="E41" s="32"/>
      <c r="F41" s="32"/>
      <c r="G41" s="32"/>
      <c r="H41" s="70" t="str">
        <f aca="false">IF(OR(B41="",B40=""),"",B41-B40)</f>
        <v/>
      </c>
      <c r="I41" s="70" t="str">
        <f aca="false">IF(OR(C41="",C40=""),"",C41-C40)</f>
        <v/>
      </c>
      <c r="J41" s="70" t="str">
        <f aca="false">IF(OR(D41="",D40=""),"",D41-D40)</f>
        <v/>
      </c>
      <c r="K41" s="70" t="str">
        <f aca="false">IF(OR(E41="",E40=""),"",E41-E40)</f>
        <v/>
      </c>
      <c r="L41" s="70" t="str">
        <f aca="false">IF(OR(F41="",F40=""),"",F41-F40)</f>
        <v/>
      </c>
      <c r="M41" s="70" t="str">
        <f aca="false">IF(OR(G41="",G40=""),"",G41-G40)</f>
        <v/>
      </c>
      <c r="N41" s="33" t="str">
        <f aca="false">IF(COUNT(B41:G41)=0,"",SUM(B41:G41))</f>
        <v/>
      </c>
      <c r="O41" s="70" t="str">
        <f aca="false">IF(COUNT(H41:M41)=0,"",SUM(H41:M41))</f>
        <v/>
      </c>
    </row>
    <row r="42" customFormat="false" ht="15" hidden="false" customHeight="false" outlineLevel="0" collapsed="false">
      <c r="A42" s="27" t="n">
        <f aca="false">A41+7</f>
        <v>46552</v>
      </c>
      <c r="B42" s="32"/>
      <c r="C42" s="32"/>
      <c r="D42" s="32"/>
      <c r="E42" s="32"/>
      <c r="F42" s="32"/>
      <c r="G42" s="32"/>
      <c r="H42" s="70" t="str">
        <f aca="false">IF(OR(B42="",B41=""),"",B42-B41)</f>
        <v/>
      </c>
      <c r="I42" s="70" t="str">
        <f aca="false">IF(OR(C42="",C41=""),"",C42-C41)</f>
        <v/>
      </c>
      <c r="J42" s="70" t="str">
        <f aca="false">IF(OR(D42="",D41=""),"",D42-D41)</f>
        <v/>
      </c>
      <c r="K42" s="70" t="str">
        <f aca="false">IF(OR(E42="",E41=""),"",E42-E41)</f>
        <v/>
      </c>
      <c r="L42" s="70" t="str">
        <f aca="false">IF(OR(F42="",F41=""),"",F42-F41)</f>
        <v/>
      </c>
      <c r="M42" s="70" t="str">
        <f aca="false">IF(OR(G42="",G41=""),"",G42-G41)</f>
        <v/>
      </c>
      <c r="N42" s="33" t="str">
        <f aca="false">IF(COUNT(B42:G42)=0,"",SUM(B42:G42))</f>
        <v/>
      </c>
      <c r="O42" s="70" t="str">
        <f aca="false">IF(COUNT(H42:M42)=0,"",SUM(H42:M42))</f>
        <v/>
      </c>
    </row>
    <row r="43" customFormat="false" ht="15" hidden="false" customHeight="false" outlineLevel="0" collapsed="false">
      <c r="A43" s="27" t="n">
        <f aca="false">A42+7</f>
        <v>46559</v>
      </c>
      <c r="B43" s="32"/>
      <c r="C43" s="32"/>
      <c r="D43" s="32"/>
      <c r="E43" s="32"/>
      <c r="F43" s="32"/>
      <c r="G43" s="32"/>
      <c r="H43" s="70" t="str">
        <f aca="false">IF(OR(B43="",B42=""),"",B43-B42)</f>
        <v/>
      </c>
      <c r="I43" s="70" t="str">
        <f aca="false">IF(OR(C43="",C42=""),"",C43-C42)</f>
        <v/>
      </c>
      <c r="J43" s="70" t="str">
        <f aca="false">IF(OR(D43="",D42=""),"",D43-D42)</f>
        <v/>
      </c>
      <c r="K43" s="70" t="str">
        <f aca="false">IF(OR(E43="",E42=""),"",E43-E42)</f>
        <v/>
      </c>
      <c r="L43" s="70" t="str">
        <f aca="false">IF(OR(F43="",F42=""),"",F43-F42)</f>
        <v/>
      </c>
      <c r="M43" s="70" t="str">
        <f aca="false">IF(OR(G43="",G42=""),"",G43-G42)</f>
        <v/>
      </c>
      <c r="N43" s="33" t="str">
        <f aca="false">IF(COUNT(B43:G43)=0,"",SUM(B43:G43))</f>
        <v/>
      </c>
      <c r="O43" s="70" t="str">
        <f aca="false">IF(COUNT(H43:M43)=0,"",SUM(H43:M43))</f>
        <v/>
      </c>
    </row>
    <row r="44" customFormat="false" ht="15" hidden="false" customHeight="false" outlineLevel="0" collapsed="false">
      <c r="A44" s="27" t="n">
        <f aca="false">A43+7</f>
        <v>46566</v>
      </c>
      <c r="B44" s="32"/>
      <c r="C44" s="32"/>
      <c r="D44" s="32"/>
      <c r="E44" s="32"/>
      <c r="F44" s="32"/>
      <c r="G44" s="32"/>
      <c r="H44" s="70" t="str">
        <f aca="false">IF(OR(B44="",B43=""),"",B44-B43)</f>
        <v/>
      </c>
      <c r="I44" s="70" t="str">
        <f aca="false">IF(OR(C44="",C43=""),"",C44-C43)</f>
        <v/>
      </c>
      <c r="J44" s="70" t="str">
        <f aca="false">IF(OR(D44="",D43=""),"",D44-D43)</f>
        <v/>
      </c>
      <c r="K44" s="70" t="str">
        <f aca="false">IF(OR(E44="",E43=""),"",E44-E43)</f>
        <v/>
      </c>
      <c r="L44" s="70" t="str">
        <f aca="false">IF(OR(F44="",F43=""),"",F44-F43)</f>
        <v/>
      </c>
      <c r="M44" s="70" t="str">
        <f aca="false">IF(OR(G44="",G43=""),"",G44-G43)</f>
        <v/>
      </c>
      <c r="N44" s="33" t="str">
        <f aca="false">IF(COUNT(B44:G44)=0,"",SUM(B44:G44))</f>
        <v/>
      </c>
      <c r="O44" s="70" t="str">
        <f aca="false">IF(COUNT(H44:M44)=0,"",SUM(H44:M44))</f>
        <v/>
      </c>
    </row>
    <row r="45" customFormat="false" ht="15" hidden="false" customHeight="false" outlineLevel="0" collapsed="false">
      <c r="A45" s="27" t="n">
        <f aca="false">A44+7</f>
        <v>46573</v>
      </c>
      <c r="B45" s="32"/>
      <c r="C45" s="32"/>
      <c r="D45" s="32"/>
      <c r="E45" s="32"/>
      <c r="F45" s="32"/>
      <c r="G45" s="32"/>
      <c r="H45" s="70" t="str">
        <f aca="false">IF(OR(B45="",B44=""),"",B45-B44)</f>
        <v/>
      </c>
      <c r="I45" s="70" t="str">
        <f aca="false">IF(OR(C45="",C44=""),"",C45-C44)</f>
        <v/>
      </c>
      <c r="J45" s="70" t="str">
        <f aca="false">IF(OR(D45="",D44=""),"",D45-D44)</f>
        <v/>
      </c>
      <c r="K45" s="70" t="str">
        <f aca="false">IF(OR(E45="",E44=""),"",E45-E44)</f>
        <v/>
      </c>
      <c r="L45" s="70" t="str">
        <f aca="false">IF(OR(F45="",F44=""),"",F45-F44)</f>
        <v/>
      </c>
      <c r="M45" s="70" t="str">
        <f aca="false">IF(OR(G45="",G44=""),"",G45-G44)</f>
        <v/>
      </c>
      <c r="N45" s="33" t="str">
        <f aca="false">IF(COUNT(B45:G45)=0,"",SUM(B45:G45))</f>
        <v/>
      </c>
      <c r="O45" s="70" t="str">
        <f aca="false">IF(COUNT(H45:M45)=0,"",SUM(H45:M45))</f>
        <v/>
      </c>
    </row>
    <row r="46" customFormat="false" ht="15" hidden="false" customHeight="false" outlineLevel="0" collapsed="false">
      <c r="A46" s="27" t="n">
        <f aca="false">A45+7</f>
        <v>46580</v>
      </c>
      <c r="B46" s="32"/>
      <c r="C46" s="32"/>
      <c r="D46" s="32"/>
      <c r="E46" s="32"/>
      <c r="F46" s="32"/>
      <c r="G46" s="32"/>
      <c r="H46" s="70" t="str">
        <f aca="false">IF(OR(B46="",B45=""),"",B46-B45)</f>
        <v/>
      </c>
      <c r="I46" s="70" t="str">
        <f aca="false">IF(OR(C46="",C45=""),"",C46-C45)</f>
        <v/>
      </c>
      <c r="J46" s="70" t="str">
        <f aca="false">IF(OR(D46="",D45=""),"",D46-D45)</f>
        <v/>
      </c>
      <c r="K46" s="70" t="str">
        <f aca="false">IF(OR(E46="",E45=""),"",E46-E45)</f>
        <v/>
      </c>
      <c r="L46" s="70" t="str">
        <f aca="false">IF(OR(F46="",F45=""),"",F46-F45)</f>
        <v/>
      </c>
      <c r="M46" s="70" t="str">
        <f aca="false">IF(OR(G46="",G45=""),"",G46-G45)</f>
        <v/>
      </c>
      <c r="N46" s="33" t="str">
        <f aca="false">IF(COUNT(B46:G46)=0,"",SUM(B46:G46))</f>
        <v/>
      </c>
      <c r="O46" s="70" t="str">
        <f aca="false">IF(COUNT(H46:M46)=0,"",SUM(H46:M46))</f>
        <v/>
      </c>
    </row>
    <row r="47" customFormat="false" ht="15" hidden="false" customHeight="false" outlineLevel="0" collapsed="false">
      <c r="A47" s="27" t="n">
        <f aca="false">A46+7</f>
        <v>46587</v>
      </c>
      <c r="B47" s="32"/>
      <c r="C47" s="32"/>
      <c r="D47" s="32"/>
      <c r="E47" s="32"/>
      <c r="F47" s="32"/>
      <c r="G47" s="32"/>
      <c r="H47" s="70" t="str">
        <f aca="false">IF(OR(B47="",B46=""),"",B47-B46)</f>
        <v/>
      </c>
      <c r="I47" s="70" t="str">
        <f aca="false">IF(OR(C47="",C46=""),"",C47-C46)</f>
        <v/>
      </c>
      <c r="J47" s="70" t="str">
        <f aca="false">IF(OR(D47="",D46=""),"",D47-D46)</f>
        <v/>
      </c>
      <c r="K47" s="70" t="str">
        <f aca="false">IF(OR(E47="",E46=""),"",E47-E46)</f>
        <v/>
      </c>
      <c r="L47" s="70" t="str">
        <f aca="false">IF(OR(F47="",F46=""),"",F47-F46)</f>
        <v/>
      </c>
      <c r="M47" s="70" t="str">
        <f aca="false">IF(OR(G47="",G46=""),"",G47-G46)</f>
        <v/>
      </c>
      <c r="N47" s="33" t="str">
        <f aca="false">IF(COUNT(B47:G47)=0,"",SUM(B47:G47))</f>
        <v/>
      </c>
      <c r="O47" s="70" t="str">
        <f aca="false">IF(COUNT(H47:M47)=0,"",SUM(H47:M47))</f>
        <v/>
      </c>
    </row>
    <row r="48" customFormat="false" ht="15" hidden="false" customHeight="false" outlineLevel="0" collapsed="false">
      <c r="A48" s="27" t="n">
        <f aca="false">A47+7</f>
        <v>46594</v>
      </c>
      <c r="B48" s="32"/>
      <c r="C48" s="32"/>
      <c r="D48" s="32"/>
      <c r="E48" s="32"/>
      <c r="F48" s="32"/>
      <c r="G48" s="32"/>
      <c r="H48" s="70" t="str">
        <f aca="false">IF(OR(B48="",B47=""),"",B48-B47)</f>
        <v/>
      </c>
      <c r="I48" s="70" t="str">
        <f aca="false">IF(OR(C48="",C47=""),"",C48-C47)</f>
        <v/>
      </c>
      <c r="J48" s="70" t="str">
        <f aca="false">IF(OR(D48="",D47=""),"",D48-D47)</f>
        <v/>
      </c>
      <c r="K48" s="70" t="str">
        <f aca="false">IF(OR(E48="",E47=""),"",E48-E47)</f>
        <v/>
      </c>
      <c r="L48" s="70" t="str">
        <f aca="false">IF(OR(F48="",F47=""),"",F48-F47)</f>
        <v/>
      </c>
      <c r="M48" s="70" t="str">
        <f aca="false">IF(OR(G48="",G47=""),"",G48-G47)</f>
        <v/>
      </c>
      <c r="N48" s="33" t="str">
        <f aca="false">IF(COUNT(B48:G48)=0,"",SUM(B48:G48))</f>
        <v/>
      </c>
      <c r="O48" s="70" t="str">
        <f aca="false">IF(COUNT(H48:M48)=0,"",SUM(H48:M48))</f>
        <v/>
      </c>
    </row>
    <row r="49" customFormat="false" ht="15" hidden="false" customHeight="false" outlineLevel="0" collapsed="false">
      <c r="A49" s="27" t="n">
        <f aca="false">A48+7</f>
        <v>46601</v>
      </c>
      <c r="B49" s="32"/>
      <c r="C49" s="32"/>
      <c r="D49" s="32"/>
      <c r="E49" s="32"/>
      <c r="F49" s="32"/>
      <c r="G49" s="32"/>
      <c r="H49" s="70" t="str">
        <f aca="false">IF(OR(B49="",B48=""),"",B49-B48)</f>
        <v/>
      </c>
      <c r="I49" s="70" t="str">
        <f aca="false">IF(OR(C49="",C48=""),"",C49-C48)</f>
        <v/>
      </c>
      <c r="J49" s="70" t="str">
        <f aca="false">IF(OR(D49="",D48=""),"",D49-D48)</f>
        <v/>
      </c>
      <c r="K49" s="70" t="str">
        <f aca="false">IF(OR(E49="",E48=""),"",E49-E48)</f>
        <v/>
      </c>
      <c r="L49" s="70" t="str">
        <f aca="false">IF(OR(F49="",F48=""),"",F49-F48)</f>
        <v/>
      </c>
      <c r="M49" s="70" t="str">
        <f aca="false">IF(OR(G49="",G48=""),"",G49-G48)</f>
        <v/>
      </c>
      <c r="N49" s="33" t="str">
        <f aca="false">IF(COUNT(B49:G49)=0,"",SUM(B49:G49))</f>
        <v/>
      </c>
      <c r="O49" s="70" t="str">
        <f aca="false">IF(COUNT(H49:M49)=0,"",SUM(H49:M49))</f>
        <v/>
      </c>
    </row>
    <row r="50" customFormat="false" ht="15" hidden="false" customHeight="false" outlineLevel="0" collapsed="false">
      <c r="A50" s="27" t="n">
        <f aca="false">A49+7</f>
        <v>46608</v>
      </c>
      <c r="B50" s="32"/>
      <c r="C50" s="32"/>
      <c r="D50" s="32"/>
      <c r="E50" s="32"/>
      <c r="F50" s="32"/>
      <c r="G50" s="32"/>
      <c r="H50" s="70" t="str">
        <f aca="false">IF(OR(B50="",B49=""),"",B50-B49)</f>
        <v/>
      </c>
      <c r="I50" s="70" t="str">
        <f aca="false">IF(OR(C50="",C49=""),"",C50-C49)</f>
        <v/>
      </c>
      <c r="J50" s="70" t="str">
        <f aca="false">IF(OR(D50="",D49=""),"",D50-D49)</f>
        <v/>
      </c>
      <c r="K50" s="70" t="str">
        <f aca="false">IF(OR(E50="",E49=""),"",E50-E49)</f>
        <v/>
      </c>
      <c r="L50" s="70" t="str">
        <f aca="false">IF(OR(F50="",F49=""),"",F50-F49)</f>
        <v/>
      </c>
      <c r="M50" s="70" t="str">
        <f aca="false">IF(OR(G50="",G49=""),"",G50-G49)</f>
        <v/>
      </c>
      <c r="N50" s="33" t="str">
        <f aca="false">IF(COUNT(B50:G50)=0,"",SUM(B50:G50))</f>
        <v/>
      </c>
      <c r="O50" s="70" t="str">
        <f aca="false">IF(COUNT(H50:M50)=0,"",SUM(H50:M50))</f>
        <v/>
      </c>
    </row>
    <row r="51" customFormat="false" ht="15" hidden="false" customHeight="false" outlineLevel="0" collapsed="false">
      <c r="A51" s="27" t="n">
        <f aca="false">A50+7</f>
        <v>46615</v>
      </c>
      <c r="B51" s="32"/>
      <c r="C51" s="32"/>
      <c r="D51" s="32"/>
      <c r="E51" s="32"/>
      <c r="F51" s="32"/>
      <c r="G51" s="32"/>
      <c r="H51" s="70" t="str">
        <f aca="false">IF(OR(B51="",B50=""),"",B51-B50)</f>
        <v/>
      </c>
      <c r="I51" s="70" t="str">
        <f aca="false">IF(OR(C51="",C50=""),"",C51-C50)</f>
        <v/>
      </c>
      <c r="J51" s="70" t="str">
        <f aca="false">IF(OR(D51="",D50=""),"",D51-D50)</f>
        <v/>
      </c>
      <c r="K51" s="70" t="str">
        <f aca="false">IF(OR(E51="",E50=""),"",E51-E50)</f>
        <v/>
      </c>
      <c r="L51" s="70" t="str">
        <f aca="false">IF(OR(F51="",F50=""),"",F51-F50)</f>
        <v/>
      </c>
      <c r="M51" s="70" t="str">
        <f aca="false">IF(OR(G51="",G50=""),"",G51-G50)</f>
        <v/>
      </c>
      <c r="N51" s="33" t="str">
        <f aca="false">IF(COUNT(B51:G51)=0,"",SUM(B51:G51))</f>
        <v/>
      </c>
      <c r="O51" s="70" t="str">
        <f aca="false">IF(COUNT(H51:M51)=0,"",SUM(H51:M51))</f>
        <v/>
      </c>
    </row>
    <row r="52" customFormat="false" ht="15" hidden="false" customHeight="false" outlineLevel="0" collapsed="false">
      <c r="A52" s="27" t="n">
        <f aca="false">A51+7</f>
        <v>46622</v>
      </c>
      <c r="B52" s="32"/>
      <c r="C52" s="32"/>
      <c r="D52" s="32"/>
      <c r="E52" s="32"/>
      <c r="F52" s="32"/>
      <c r="G52" s="32"/>
      <c r="H52" s="70" t="str">
        <f aca="false">IF(OR(B52="",B51=""),"",B52-B51)</f>
        <v/>
      </c>
      <c r="I52" s="70" t="str">
        <f aca="false">IF(OR(C52="",C51=""),"",C52-C51)</f>
        <v/>
      </c>
      <c r="J52" s="70" t="str">
        <f aca="false">IF(OR(D52="",D51=""),"",D52-D51)</f>
        <v/>
      </c>
      <c r="K52" s="70" t="str">
        <f aca="false">IF(OR(E52="",E51=""),"",E52-E51)</f>
        <v/>
      </c>
      <c r="L52" s="70" t="str">
        <f aca="false">IF(OR(F52="",F51=""),"",F52-F51)</f>
        <v/>
      </c>
      <c r="M52" s="70" t="str">
        <f aca="false">IF(OR(G52="",G51=""),"",G52-G51)</f>
        <v/>
      </c>
      <c r="N52" s="33" t="str">
        <f aca="false">IF(COUNT(B52:G52)=0,"",SUM(B52:G52))</f>
        <v/>
      </c>
      <c r="O52" s="70" t="str">
        <f aca="false">IF(COUNT(H52:M52)=0,"",SUM(H52:M52))</f>
        <v/>
      </c>
    </row>
    <row r="53" customFormat="false" ht="15" hidden="false" customHeight="false" outlineLevel="0" collapsed="false">
      <c r="A53" s="27" t="n">
        <f aca="false">A52+7</f>
        <v>46629</v>
      </c>
      <c r="B53" s="32"/>
      <c r="C53" s="32"/>
      <c r="D53" s="32"/>
      <c r="E53" s="32"/>
      <c r="F53" s="32"/>
      <c r="G53" s="32"/>
      <c r="H53" s="70" t="str">
        <f aca="false">IF(OR(B53="",B52=""),"",B53-B52)</f>
        <v/>
      </c>
      <c r="I53" s="70" t="str">
        <f aca="false">IF(OR(C53="",C52=""),"",C53-C52)</f>
        <v/>
      </c>
      <c r="J53" s="70" t="str">
        <f aca="false">IF(OR(D53="",D52=""),"",D53-D52)</f>
        <v/>
      </c>
      <c r="K53" s="70" t="str">
        <f aca="false">IF(OR(E53="",E52=""),"",E53-E52)</f>
        <v/>
      </c>
      <c r="L53" s="70" t="str">
        <f aca="false">IF(OR(F53="",F52=""),"",F53-F52)</f>
        <v/>
      </c>
      <c r="M53" s="70" t="str">
        <f aca="false">IF(OR(G53="",G52=""),"",G53-G52)</f>
        <v/>
      </c>
      <c r="N53" s="33" t="str">
        <f aca="false">IF(COUNT(B53:G53)=0,"",SUM(B53:G53))</f>
        <v/>
      </c>
      <c r="O53" s="70" t="str">
        <f aca="false">IF(COUNT(H53:M53)=0,"",SUM(H53:M53))</f>
        <v/>
      </c>
    </row>
    <row r="54" customFormat="false" ht="15" hidden="false" customHeight="false" outlineLevel="0" collapsed="false">
      <c r="A54" s="27" t="n">
        <f aca="false">A53+7</f>
        <v>46636</v>
      </c>
      <c r="B54" s="32"/>
      <c r="C54" s="32"/>
      <c r="D54" s="32"/>
      <c r="E54" s="32"/>
      <c r="F54" s="32"/>
      <c r="G54" s="32"/>
      <c r="H54" s="70" t="str">
        <f aca="false">IF(OR(B54="",B53=""),"",B54-B53)</f>
        <v/>
      </c>
      <c r="I54" s="70" t="str">
        <f aca="false">IF(OR(C54="",C53=""),"",C54-C53)</f>
        <v/>
      </c>
      <c r="J54" s="70" t="str">
        <f aca="false">IF(OR(D54="",D53=""),"",D54-D53)</f>
        <v/>
      </c>
      <c r="K54" s="70" t="str">
        <f aca="false">IF(OR(E54="",E53=""),"",E54-E53)</f>
        <v/>
      </c>
      <c r="L54" s="70" t="str">
        <f aca="false">IF(OR(F54="",F53=""),"",F54-F53)</f>
        <v/>
      </c>
      <c r="M54" s="70" t="str">
        <f aca="false">IF(OR(G54="",G53=""),"",G54-G53)</f>
        <v/>
      </c>
      <c r="N54" s="33" t="str">
        <f aca="false">IF(COUNT(B54:G54)=0,"",SUM(B54:G54))</f>
        <v/>
      </c>
      <c r="O54" s="70" t="str">
        <f aca="false">IF(COUNT(H54:M54)=0,"",SUM(H54:M54))</f>
        <v/>
      </c>
    </row>
    <row r="55" customFormat="false" ht="15" hidden="false" customHeight="false" outlineLevel="0" collapsed="false">
      <c r="A55" s="27" t="n">
        <f aca="false">A54+7</f>
        <v>46643</v>
      </c>
      <c r="B55" s="32"/>
      <c r="C55" s="32"/>
      <c r="D55" s="32"/>
      <c r="E55" s="32"/>
      <c r="F55" s="32"/>
      <c r="G55" s="32"/>
      <c r="H55" s="70" t="str">
        <f aca="false">IF(OR(B55="",B54=""),"",B55-B54)</f>
        <v/>
      </c>
      <c r="I55" s="70" t="str">
        <f aca="false">IF(OR(C55="",C54=""),"",C55-C54)</f>
        <v/>
      </c>
      <c r="J55" s="70" t="str">
        <f aca="false">IF(OR(D55="",D54=""),"",D55-D54)</f>
        <v/>
      </c>
      <c r="K55" s="70" t="str">
        <f aca="false">IF(OR(E55="",E54=""),"",E55-E54)</f>
        <v/>
      </c>
      <c r="L55" s="70" t="str">
        <f aca="false">IF(OR(F55="",F54=""),"",F55-F54)</f>
        <v/>
      </c>
      <c r="M55" s="70" t="str">
        <f aca="false">IF(OR(G55="",G54=""),"",G55-G54)</f>
        <v/>
      </c>
      <c r="N55" s="33" t="str">
        <f aca="false">IF(COUNT(B55:G55)=0,"",SUM(B55:G55))</f>
        <v/>
      </c>
      <c r="O55" s="70" t="str">
        <f aca="false">IF(COUNT(H55:M55)=0,"",SUM(H55:M55))</f>
        <v/>
      </c>
    </row>
    <row r="56" customFormat="false" ht="15" hidden="false" customHeight="false" outlineLevel="0" collapsed="false">
      <c r="A56" s="27" t="n">
        <f aca="false">A55+7</f>
        <v>46650</v>
      </c>
      <c r="B56" s="32"/>
      <c r="C56" s="32"/>
      <c r="D56" s="32"/>
      <c r="E56" s="32"/>
      <c r="F56" s="32"/>
      <c r="G56" s="32"/>
      <c r="H56" s="70" t="str">
        <f aca="false">IF(OR(B56="",B55=""),"",B56-B55)</f>
        <v/>
      </c>
      <c r="I56" s="70" t="str">
        <f aca="false">IF(OR(C56="",C55=""),"",C56-C55)</f>
        <v/>
      </c>
      <c r="J56" s="70" t="str">
        <f aca="false">IF(OR(D56="",D55=""),"",D56-D55)</f>
        <v/>
      </c>
      <c r="K56" s="70" t="str">
        <f aca="false">IF(OR(E56="",E55=""),"",E56-E55)</f>
        <v/>
      </c>
      <c r="L56" s="70" t="str">
        <f aca="false">IF(OR(F56="",F55=""),"",F56-F55)</f>
        <v/>
      </c>
      <c r="M56" s="70" t="str">
        <f aca="false">IF(OR(G56="",G55=""),"",G56-G55)</f>
        <v/>
      </c>
      <c r="N56" s="33" t="str">
        <f aca="false">IF(COUNT(B56:G56)=0,"",SUM(B56:G56))</f>
        <v/>
      </c>
      <c r="O56" s="70" t="str">
        <f aca="false">IF(COUNT(H56:M56)=0,"",SUM(H56:M56))</f>
        <v/>
      </c>
    </row>
    <row r="57" customFormat="false" ht="15" hidden="false" customHeight="false" outlineLevel="0" collapsed="false">
      <c r="A57" s="27" t="n">
        <f aca="false">A56+7</f>
        <v>46657</v>
      </c>
      <c r="B57" s="32"/>
      <c r="C57" s="32"/>
      <c r="D57" s="32"/>
      <c r="E57" s="32"/>
      <c r="F57" s="32"/>
      <c r="G57" s="32"/>
      <c r="H57" s="70" t="str">
        <f aca="false">IF(OR(B57="",B56=""),"",B57-B56)</f>
        <v/>
      </c>
      <c r="I57" s="70" t="str">
        <f aca="false">IF(OR(C57="",C56=""),"",C57-C56)</f>
        <v/>
      </c>
      <c r="J57" s="70" t="str">
        <f aca="false">IF(OR(D57="",D56=""),"",D57-D56)</f>
        <v/>
      </c>
      <c r="K57" s="70" t="str">
        <f aca="false">IF(OR(E57="",E56=""),"",E57-E56)</f>
        <v/>
      </c>
      <c r="L57" s="70" t="str">
        <f aca="false">IF(OR(F57="",F56=""),"",F57-F56)</f>
        <v/>
      </c>
      <c r="M57" s="70" t="str">
        <f aca="false">IF(OR(G57="",G56=""),"",G57-G56)</f>
        <v/>
      </c>
      <c r="N57" s="33" t="str">
        <f aca="false">IF(COUNT(B57:G57)=0,"",SUM(B57:G57))</f>
        <v/>
      </c>
      <c r="O57" s="70" t="str">
        <f aca="false">IF(COUNT(H57:M57)=0,"",SUM(H57:M57))</f>
        <v/>
      </c>
    </row>
    <row r="58" customFormat="false" ht="15" hidden="false" customHeight="false" outlineLevel="0" collapsed="false">
      <c r="A58" s="27" t="n">
        <f aca="false">A57+7</f>
        <v>46664</v>
      </c>
      <c r="B58" s="32"/>
      <c r="C58" s="32"/>
      <c r="D58" s="32"/>
      <c r="E58" s="32"/>
      <c r="F58" s="32"/>
      <c r="G58" s="32"/>
      <c r="H58" s="70" t="str">
        <f aca="false">IF(OR(B58="",B57=""),"",B58-B57)</f>
        <v/>
      </c>
      <c r="I58" s="70" t="str">
        <f aca="false">IF(OR(C58="",C57=""),"",C58-C57)</f>
        <v/>
      </c>
      <c r="J58" s="70" t="str">
        <f aca="false">IF(OR(D58="",D57=""),"",D58-D57)</f>
        <v/>
      </c>
      <c r="K58" s="70" t="str">
        <f aca="false">IF(OR(E58="",E57=""),"",E58-E57)</f>
        <v/>
      </c>
      <c r="L58" s="70" t="str">
        <f aca="false">IF(OR(F58="",F57=""),"",F58-F57)</f>
        <v/>
      </c>
      <c r="M58" s="70" t="str">
        <f aca="false">IF(OR(G58="",G57=""),"",G58-G57)</f>
        <v/>
      </c>
      <c r="N58" s="33" t="str">
        <f aca="false">IF(COUNT(B58:G58)=0,"",SUM(B58:G58))</f>
        <v/>
      </c>
      <c r="O58" s="70" t="str">
        <f aca="false">IF(COUNT(H58:M58)=0,"",SUM(H58:M58))</f>
        <v/>
      </c>
    </row>
    <row r="59" customFormat="false" ht="15" hidden="false" customHeight="false" outlineLevel="0" collapsed="false">
      <c r="A59" s="27" t="n">
        <f aca="false">A58+7</f>
        <v>46671</v>
      </c>
      <c r="B59" s="32"/>
      <c r="C59" s="32"/>
      <c r="D59" s="32"/>
      <c r="E59" s="32"/>
      <c r="F59" s="32"/>
      <c r="G59" s="32"/>
      <c r="H59" s="70" t="str">
        <f aca="false">IF(OR(B59="",B58=""),"",B59-B58)</f>
        <v/>
      </c>
      <c r="I59" s="70" t="str">
        <f aca="false">IF(OR(C59="",C58=""),"",C59-C58)</f>
        <v/>
      </c>
      <c r="J59" s="70" t="str">
        <f aca="false">IF(OR(D59="",D58=""),"",D59-D58)</f>
        <v/>
      </c>
      <c r="K59" s="70" t="str">
        <f aca="false">IF(OR(E59="",E58=""),"",E59-E58)</f>
        <v/>
      </c>
      <c r="L59" s="70" t="str">
        <f aca="false">IF(OR(F59="",F58=""),"",F59-F58)</f>
        <v/>
      </c>
      <c r="M59" s="70" t="str">
        <f aca="false">IF(OR(G59="",G58=""),"",G59-G58)</f>
        <v/>
      </c>
      <c r="N59" s="33" t="str">
        <f aca="false">IF(COUNT(B59:G59)=0,"",SUM(B59:G59))</f>
        <v/>
      </c>
      <c r="O59" s="70" t="str">
        <f aca="false">IF(COUNT(H59:M59)=0,"",SUM(H59:M59))</f>
        <v/>
      </c>
    </row>
    <row r="60" customFormat="false" ht="15" hidden="false" customHeight="false" outlineLevel="0" collapsed="false">
      <c r="A60" s="27" t="n">
        <f aca="false">A59+7</f>
        <v>46678</v>
      </c>
      <c r="B60" s="32"/>
      <c r="C60" s="32"/>
      <c r="D60" s="32"/>
      <c r="E60" s="32"/>
      <c r="F60" s="32"/>
      <c r="G60" s="32"/>
      <c r="H60" s="70" t="str">
        <f aca="false">IF(OR(B60="",B59=""),"",B60-B59)</f>
        <v/>
      </c>
      <c r="I60" s="70" t="str">
        <f aca="false">IF(OR(C60="",C59=""),"",C60-C59)</f>
        <v/>
      </c>
      <c r="J60" s="70" t="str">
        <f aca="false">IF(OR(D60="",D59=""),"",D60-D59)</f>
        <v/>
      </c>
      <c r="K60" s="70" t="str">
        <f aca="false">IF(OR(E60="",E59=""),"",E60-E59)</f>
        <v/>
      </c>
      <c r="L60" s="70" t="str">
        <f aca="false">IF(OR(F60="",F59=""),"",F60-F59)</f>
        <v/>
      </c>
      <c r="M60" s="70" t="str">
        <f aca="false">IF(OR(G60="",G59=""),"",G60-G59)</f>
        <v/>
      </c>
      <c r="N60" s="33" t="str">
        <f aca="false">IF(COUNT(B60:G60)=0,"",SUM(B60:G60))</f>
        <v/>
      </c>
      <c r="O60" s="70" t="str">
        <f aca="false">IF(COUNT(H60:M60)=0,"",SUM(H60:M60))</f>
        <v/>
      </c>
    </row>
    <row r="61" customFormat="false" ht="15" hidden="false" customHeight="false" outlineLevel="0" collapsed="false">
      <c r="A61" s="27" t="n">
        <f aca="false">A60+7</f>
        <v>46685</v>
      </c>
      <c r="B61" s="32"/>
      <c r="C61" s="32"/>
      <c r="D61" s="32"/>
      <c r="E61" s="32"/>
      <c r="F61" s="32"/>
      <c r="G61" s="32"/>
      <c r="H61" s="70" t="str">
        <f aca="false">IF(OR(B61="",B60=""),"",B61-B60)</f>
        <v/>
      </c>
      <c r="I61" s="70" t="str">
        <f aca="false">IF(OR(C61="",C60=""),"",C61-C60)</f>
        <v/>
      </c>
      <c r="J61" s="70" t="str">
        <f aca="false">IF(OR(D61="",D60=""),"",D61-D60)</f>
        <v/>
      </c>
      <c r="K61" s="70" t="str">
        <f aca="false">IF(OR(E61="",E60=""),"",E61-E60)</f>
        <v/>
      </c>
      <c r="L61" s="70" t="str">
        <f aca="false">IF(OR(F61="",F60=""),"",F61-F60)</f>
        <v/>
      </c>
      <c r="M61" s="70" t="str">
        <f aca="false">IF(OR(G61="",G60=""),"",G61-G60)</f>
        <v/>
      </c>
      <c r="N61" s="33" t="str">
        <f aca="false">IF(COUNT(B61:G61)=0,"",SUM(B61:G61))</f>
        <v/>
      </c>
      <c r="O61" s="70" t="str">
        <f aca="false">IF(COUNT(H61:M61)=0,"",SUM(H61:M61))</f>
        <v/>
      </c>
    </row>
    <row r="62" customFormat="false" ht="15" hidden="false" customHeight="false" outlineLevel="0" collapsed="false">
      <c r="A62" s="27" t="n">
        <f aca="false">A61+7</f>
        <v>46692</v>
      </c>
      <c r="B62" s="32"/>
      <c r="C62" s="32"/>
      <c r="D62" s="32"/>
      <c r="E62" s="32"/>
      <c r="F62" s="32"/>
      <c r="G62" s="32"/>
      <c r="H62" s="70" t="str">
        <f aca="false">IF(OR(B62="",B61=""),"",B62-B61)</f>
        <v/>
      </c>
      <c r="I62" s="70" t="str">
        <f aca="false">IF(OR(C62="",C61=""),"",C62-C61)</f>
        <v/>
      </c>
      <c r="J62" s="70" t="str">
        <f aca="false">IF(OR(D62="",D61=""),"",D62-D61)</f>
        <v/>
      </c>
      <c r="K62" s="70" t="str">
        <f aca="false">IF(OR(E62="",E61=""),"",E62-E61)</f>
        <v/>
      </c>
      <c r="L62" s="70" t="str">
        <f aca="false">IF(OR(F62="",F61=""),"",F62-F61)</f>
        <v/>
      </c>
      <c r="M62" s="70" t="str">
        <f aca="false">IF(OR(G62="",G61=""),"",G62-G61)</f>
        <v/>
      </c>
      <c r="N62" s="33" t="str">
        <f aca="false">IF(COUNT(B62:G62)=0,"",SUM(B62:G62))</f>
        <v/>
      </c>
      <c r="O62" s="70" t="str">
        <f aca="false">IF(COUNT(H62:M62)=0,"",SUM(H62:M62))</f>
        <v/>
      </c>
    </row>
    <row r="63" customFormat="false" ht="15" hidden="false" customHeight="false" outlineLevel="0" collapsed="false">
      <c r="A63" s="27" t="n">
        <f aca="false">A62+7</f>
        <v>46699</v>
      </c>
      <c r="B63" s="32"/>
      <c r="C63" s="32"/>
      <c r="D63" s="32"/>
      <c r="E63" s="32"/>
      <c r="F63" s="32"/>
      <c r="G63" s="32"/>
      <c r="H63" s="70" t="str">
        <f aca="false">IF(OR(B63="",B62=""),"",B63-B62)</f>
        <v/>
      </c>
      <c r="I63" s="70" t="str">
        <f aca="false">IF(OR(C63="",C62=""),"",C63-C62)</f>
        <v/>
      </c>
      <c r="J63" s="70" t="str">
        <f aca="false">IF(OR(D63="",D62=""),"",D63-D62)</f>
        <v/>
      </c>
      <c r="K63" s="70" t="str">
        <f aca="false">IF(OR(E63="",E62=""),"",E63-E62)</f>
        <v/>
      </c>
      <c r="L63" s="70" t="str">
        <f aca="false">IF(OR(F63="",F62=""),"",F63-F62)</f>
        <v/>
      </c>
      <c r="M63" s="70" t="str">
        <f aca="false">IF(OR(G63="",G62=""),"",G63-G62)</f>
        <v/>
      </c>
      <c r="N63" s="33" t="str">
        <f aca="false">IF(COUNT(B63:G63)=0,"",SUM(B63:G63))</f>
        <v/>
      </c>
      <c r="O63" s="70" t="str">
        <f aca="false">IF(COUNT(H63:M63)=0,"",SUM(H63:M63))</f>
        <v/>
      </c>
    </row>
    <row r="64" customFormat="false" ht="15" hidden="false" customHeight="false" outlineLevel="0" collapsed="false">
      <c r="A64" s="27" t="n">
        <f aca="false">A63+7</f>
        <v>46706</v>
      </c>
      <c r="B64" s="32"/>
      <c r="C64" s="32"/>
      <c r="D64" s="32"/>
      <c r="E64" s="32"/>
      <c r="F64" s="32"/>
      <c r="G64" s="32"/>
      <c r="H64" s="70" t="str">
        <f aca="false">IF(OR(B64="",B63=""),"",B64-B63)</f>
        <v/>
      </c>
      <c r="I64" s="70" t="str">
        <f aca="false">IF(OR(C64="",C63=""),"",C64-C63)</f>
        <v/>
      </c>
      <c r="J64" s="70" t="str">
        <f aca="false">IF(OR(D64="",D63=""),"",D64-D63)</f>
        <v/>
      </c>
      <c r="K64" s="70" t="str">
        <f aca="false">IF(OR(E64="",E63=""),"",E64-E63)</f>
        <v/>
      </c>
      <c r="L64" s="70" t="str">
        <f aca="false">IF(OR(F64="",F63=""),"",F64-F63)</f>
        <v/>
      </c>
      <c r="M64" s="70" t="str">
        <f aca="false">IF(OR(G64="",G63=""),"",G64-G63)</f>
        <v/>
      </c>
      <c r="N64" s="33" t="str">
        <f aca="false">IF(COUNT(B64:G64)=0,"",SUM(B64:G64))</f>
        <v/>
      </c>
      <c r="O64" s="70" t="str">
        <f aca="false">IF(COUNT(H64:M64)=0,"",SUM(H64:M64))</f>
        <v/>
      </c>
    </row>
    <row r="65" customFormat="false" ht="15" hidden="false" customHeight="false" outlineLevel="0" collapsed="false">
      <c r="A65" s="27" t="n">
        <f aca="false">A64+7</f>
        <v>46713</v>
      </c>
      <c r="B65" s="32"/>
      <c r="C65" s="32"/>
      <c r="D65" s="32"/>
      <c r="E65" s="32"/>
      <c r="F65" s="32"/>
      <c r="G65" s="32"/>
      <c r="H65" s="70" t="str">
        <f aca="false">IF(OR(B65="",B64=""),"",B65-B64)</f>
        <v/>
      </c>
      <c r="I65" s="70" t="str">
        <f aca="false">IF(OR(C65="",C64=""),"",C65-C64)</f>
        <v/>
      </c>
      <c r="J65" s="70" t="str">
        <f aca="false">IF(OR(D65="",D64=""),"",D65-D64)</f>
        <v/>
      </c>
      <c r="K65" s="70" t="str">
        <f aca="false">IF(OR(E65="",E64=""),"",E65-E64)</f>
        <v/>
      </c>
      <c r="L65" s="70" t="str">
        <f aca="false">IF(OR(F65="",F64=""),"",F65-F64)</f>
        <v/>
      </c>
      <c r="M65" s="70" t="str">
        <f aca="false">IF(OR(G65="",G64=""),"",G65-G64)</f>
        <v/>
      </c>
      <c r="N65" s="33" t="str">
        <f aca="false">IF(COUNT(B65:G65)=0,"",SUM(B65:G65))</f>
        <v/>
      </c>
      <c r="O65" s="70" t="str">
        <f aca="false">IF(COUNT(H65:M65)=0,"",SUM(H65:M65))</f>
        <v/>
      </c>
    </row>
    <row r="66" customFormat="false" ht="15" hidden="false" customHeight="false" outlineLevel="0" collapsed="false">
      <c r="A66" s="27" t="n">
        <f aca="false">A65+7</f>
        <v>46720</v>
      </c>
      <c r="B66" s="32"/>
      <c r="C66" s="32"/>
      <c r="D66" s="32"/>
      <c r="E66" s="32"/>
      <c r="F66" s="32"/>
      <c r="G66" s="32"/>
      <c r="H66" s="70" t="str">
        <f aca="false">IF(OR(B66="",B65=""),"",B66-B65)</f>
        <v/>
      </c>
      <c r="I66" s="70" t="str">
        <f aca="false">IF(OR(C66="",C65=""),"",C66-C65)</f>
        <v/>
      </c>
      <c r="J66" s="70" t="str">
        <f aca="false">IF(OR(D66="",D65=""),"",D66-D65)</f>
        <v/>
      </c>
      <c r="K66" s="70" t="str">
        <f aca="false">IF(OR(E66="",E65=""),"",E66-E65)</f>
        <v/>
      </c>
      <c r="L66" s="70" t="str">
        <f aca="false">IF(OR(F66="",F65=""),"",F66-F65)</f>
        <v/>
      </c>
      <c r="M66" s="70" t="str">
        <f aca="false">IF(OR(G66="",G65=""),"",G66-G65)</f>
        <v/>
      </c>
      <c r="N66" s="33" t="str">
        <f aca="false">IF(COUNT(B66:G66)=0,"",SUM(B66:G66))</f>
        <v/>
      </c>
      <c r="O66" s="70" t="str">
        <f aca="false">IF(COUNT(H66:M66)=0,"",SUM(H66:M66))</f>
        <v/>
      </c>
    </row>
    <row r="67" customFormat="false" ht="15" hidden="false" customHeight="false" outlineLevel="0" collapsed="false">
      <c r="A67" s="27" t="n">
        <f aca="false">A66+7</f>
        <v>46727</v>
      </c>
      <c r="B67" s="32"/>
      <c r="C67" s="32"/>
      <c r="D67" s="32"/>
      <c r="E67" s="32"/>
      <c r="F67" s="32"/>
      <c r="G67" s="32"/>
      <c r="H67" s="70" t="str">
        <f aca="false">IF(OR(B67="",B66=""),"",B67-B66)</f>
        <v/>
      </c>
      <c r="I67" s="70" t="str">
        <f aca="false">IF(OR(C67="",C66=""),"",C67-C66)</f>
        <v/>
      </c>
      <c r="J67" s="70" t="str">
        <f aca="false">IF(OR(D67="",D66=""),"",D67-D66)</f>
        <v/>
      </c>
      <c r="K67" s="70" t="str">
        <f aca="false">IF(OR(E67="",E66=""),"",E67-E66)</f>
        <v/>
      </c>
      <c r="L67" s="70" t="str">
        <f aca="false">IF(OR(F67="",F66=""),"",F67-F66)</f>
        <v/>
      </c>
      <c r="M67" s="70" t="str">
        <f aca="false">IF(OR(G67="",G66=""),"",G67-G66)</f>
        <v/>
      </c>
      <c r="N67" s="33" t="str">
        <f aca="false">IF(COUNT(B67:G67)=0,"",SUM(B67:G67))</f>
        <v/>
      </c>
      <c r="O67" s="70" t="str">
        <f aca="false">IF(COUNT(H67:M67)=0,"",SUM(H67:M67))</f>
        <v/>
      </c>
    </row>
    <row r="68" customFormat="false" ht="15" hidden="false" customHeight="false" outlineLevel="0" collapsed="false">
      <c r="A68" s="27" t="n">
        <f aca="false">A67+7</f>
        <v>46734</v>
      </c>
      <c r="B68" s="32"/>
      <c r="C68" s="32"/>
      <c r="D68" s="32"/>
      <c r="E68" s="32"/>
      <c r="F68" s="32"/>
      <c r="G68" s="32"/>
      <c r="H68" s="70" t="str">
        <f aca="false">IF(OR(B68="",B67=""),"",B68-B67)</f>
        <v/>
      </c>
      <c r="I68" s="70" t="str">
        <f aca="false">IF(OR(C68="",C67=""),"",C68-C67)</f>
        <v/>
      </c>
      <c r="J68" s="70" t="str">
        <f aca="false">IF(OR(D68="",D67=""),"",D68-D67)</f>
        <v/>
      </c>
      <c r="K68" s="70" t="str">
        <f aca="false">IF(OR(E68="",E67=""),"",E68-E67)</f>
        <v/>
      </c>
      <c r="L68" s="70" t="str">
        <f aca="false">IF(OR(F68="",F67=""),"",F68-F67)</f>
        <v/>
      </c>
      <c r="M68" s="70" t="str">
        <f aca="false">IF(OR(G68="",G67=""),"",G68-G67)</f>
        <v/>
      </c>
      <c r="N68" s="33" t="str">
        <f aca="false">IF(COUNT(B68:G68)=0,"",SUM(B68:G68))</f>
        <v/>
      </c>
      <c r="O68" s="70" t="str">
        <f aca="false">IF(COUNT(H68:M68)=0,"",SUM(H68:M68))</f>
        <v/>
      </c>
    </row>
    <row r="69" customFormat="false" ht="15" hidden="false" customHeight="false" outlineLevel="0" collapsed="false">
      <c r="A69" s="27" t="n">
        <f aca="false">A68+7</f>
        <v>46741</v>
      </c>
      <c r="B69" s="32"/>
      <c r="C69" s="32"/>
      <c r="D69" s="32"/>
      <c r="E69" s="32"/>
      <c r="F69" s="32"/>
      <c r="G69" s="32"/>
      <c r="H69" s="70" t="str">
        <f aca="false">IF(OR(B69="",B68=""),"",B69-B68)</f>
        <v/>
      </c>
      <c r="I69" s="70" t="str">
        <f aca="false">IF(OR(C69="",C68=""),"",C69-C68)</f>
        <v/>
      </c>
      <c r="J69" s="70" t="str">
        <f aca="false">IF(OR(D69="",D68=""),"",D69-D68)</f>
        <v/>
      </c>
      <c r="K69" s="70" t="str">
        <f aca="false">IF(OR(E69="",E68=""),"",E69-E68)</f>
        <v/>
      </c>
      <c r="L69" s="70" t="str">
        <f aca="false">IF(OR(F69="",F68=""),"",F69-F68)</f>
        <v/>
      </c>
      <c r="M69" s="70" t="str">
        <f aca="false">IF(OR(G69="",G68=""),"",G69-G68)</f>
        <v/>
      </c>
      <c r="N69" s="33" t="str">
        <f aca="false">IF(COUNT(B69:G69)=0,"",SUM(B69:G69))</f>
        <v/>
      </c>
      <c r="O69" s="70" t="str">
        <f aca="false">IF(COUNT(H69:M69)=0,"",SUM(H69:M69))</f>
        <v/>
      </c>
    </row>
    <row r="70" customFormat="false" ht="15" hidden="false" customHeight="false" outlineLevel="0" collapsed="false">
      <c r="A70" s="27" t="n">
        <f aca="false">A69+7</f>
        <v>46748</v>
      </c>
      <c r="B70" s="32"/>
      <c r="C70" s="32"/>
      <c r="D70" s="32"/>
      <c r="E70" s="32"/>
      <c r="F70" s="32"/>
      <c r="G70" s="32"/>
      <c r="H70" s="70" t="str">
        <f aca="false">IF(OR(B70="",B69=""),"",B70-B69)</f>
        <v/>
      </c>
      <c r="I70" s="70" t="str">
        <f aca="false">IF(OR(C70="",C69=""),"",C70-C69)</f>
        <v/>
      </c>
      <c r="J70" s="70" t="str">
        <f aca="false">IF(OR(D70="",D69=""),"",D70-D69)</f>
        <v/>
      </c>
      <c r="K70" s="70" t="str">
        <f aca="false">IF(OR(E70="",E69=""),"",E70-E69)</f>
        <v/>
      </c>
      <c r="L70" s="70" t="str">
        <f aca="false">IF(OR(F70="",F69=""),"",F70-F69)</f>
        <v/>
      </c>
      <c r="M70" s="70" t="str">
        <f aca="false">IF(OR(G70="",G69=""),"",G70-G69)</f>
        <v/>
      </c>
      <c r="N70" s="33" t="str">
        <f aca="false">IF(COUNT(B70:G70)=0,"",SUM(B70:G70))</f>
        <v/>
      </c>
      <c r="O70" s="70" t="str">
        <f aca="false">IF(COUNT(H70:M70)=0,"",SUM(H70:M70))</f>
        <v/>
      </c>
    </row>
    <row r="71" customFormat="false" ht="15" hidden="false" customHeight="false" outlineLevel="0" collapsed="false">
      <c r="A71" s="27" t="n">
        <f aca="false">A70+7</f>
        <v>46755</v>
      </c>
      <c r="B71" s="32"/>
      <c r="C71" s="32"/>
      <c r="D71" s="32"/>
      <c r="E71" s="32"/>
      <c r="F71" s="32"/>
      <c r="G71" s="32"/>
      <c r="H71" s="70" t="str">
        <f aca="false">IF(OR(B71="",B70=""),"",B71-B70)</f>
        <v/>
      </c>
      <c r="I71" s="70" t="str">
        <f aca="false">IF(OR(C71="",C70=""),"",C71-C70)</f>
        <v/>
      </c>
      <c r="J71" s="70" t="str">
        <f aca="false">IF(OR(D71="",D70=""),"",D71-D70)</f>
        <v/>
      </c>
      <c r="K71" s="70" t="str">
        <f aca="false">IF(OR(E71="",E70=""),"",E71-E70)</f>
        <v/>
      </c>
      <c r="L71" s="70" t="str">
        <f aca="false">IF(OR(F71="",F70=""),"",F71-F70)</f>
        <v/>
      </c>
      <c r="M71" s="70" t="str">
        <f aca="false">IF(OR(G71="",G70=""),"",G71-G70)</f>
        <v/>
      </c>
      <c r="N71" s="33" t="str">
        <f aca="false">IF(COUNT(B71:G71)=0,"",SUM(B71:G71))</f>
        <v/>
      </c>
      <c r="O71" s="70" t="str">
        <f aca="false">IF(COUNT(H71:M71)=0,"",SUM(H71:M71))</f>
        <v/>
      </c>
    </row>
    <row r="72" customFormat="false" ht="15" hidden="false" customHeight="false" outlineLevel="0" collapsed="false">
      <c r="A72" s="27" t="n">
        <f aca="false">A71+7</f>
        <v>46762</v>
      </c>
      <c r="B72" s="32"/>
      <c r="C72" s="32"/>
      <c r="D72" s="32"/>
      <c r="E72" s="32"/>
      <c r="F72" s="32"/>
      <c r="G72" s="32"/>
      <c r="H72" s="70" t="str">
        <f aca="false">IF(OR(B72="",B71=""),"",B72-B71)</f>
        <v/>
      </c>
      <c r="I72" s="70" t="str">
        <f aca="false">IF(OR(C72="",C71=""),"",C72-C71)</f>
        <v/>
      </c>
      <c r="J72" s="70" t="str">
        <f aca="false">IF(OR(D72="",D71=""),"",D72-D71)</f>
        <v/>
      </c>
      <c r="K72" s="70" t="str">
        <f aca="false">IF(OR(E72="",E71=""),"",E72-E71)</f>
        <v/>
      </c>
      <c r="L72" s="70" t="str">
        <f aca="false">IF(OR(F72="",F71=""),"",F72-F71)</f>
        <v/>
      </c>
      <c r="M72" s="70" t="str">
        <f aca="false">IF(OR(G72="",G71=""),"",G72-G71)</f>
        <v/>
      </c>
      <c r="N72" s="33" t="str">
        <f aca="false">IF(COUNT(B72:G72)=0,"",SUM(B72:G72))</f>
        <v/>
      </c>
      <c r="O72" s="70" t="str">
        <f aca="false">IF(COUNT(H72:M72)=0,"",SUM(H72:M72))</f>
        <v/>
      </c>
    </row>
    <row r="73" customFormat="false" ht="15" hidden="false" customHeight="false" outlineLevel="0" collapsed="false">
      <c r="A73" s="27" t="n">
        <f aca="false">A72+7</f>
        <v>46769</v>
      </c>
      <c r="B73" s="32"/>
      <c r="C73" s="32"/>
      <c r="D73" s="32"/>
      <c r="E73" s="32"/>
      <c r="F73" s="32"/>
      <c r="G73" s="32"/>
      <c r="H73" s="70" t="str">
        <f aca="false">IF(OR(B73="",B72=""),"",B73-B72)</f>
        <v/>
      </c>
      <c r="I73" s="70" t="str">
        <f aca="false">IF(OR(C73="",C72=""),"",C73-C72)</f>
        <v/>
      </c>
      <c r="J73" s="70" t="str">
        <f aca="false">IF(OR(D73="",D72=""),"",D73-D72)</f>
        <v/>
      </c>
      <c r="K73" s="70" t="str">
        <f aca="false">IF(OR(E73="",E72=""),"",E73-E72)</f>
        <v/>
      </c>
      <c r="L73" s="70" t="str">
        <f aca="false">IF(OR(F73="",F72=""),"",F73-F72)</f>
        <v/>
      </c>
      <c r="M73" s="70" t="str">
        <f aca="false">IF(OR(G73="",G72=""),"",G73-G72)</f>
        <v/>
      </c>
      <c r="N73" s="33" t="str">
        <f aca="false">IF(COUNT(B73:G73)=0,"",SUM(B73:G73))</f>
        <v/>
      </c>
      <c r="O73" s="70" t="str">
        <f aca="false">IF(COUNT(H73:M73)=0,"",SUM(H73:M73))</f>
        <v/>
      </c>
    </row>
    <row r="74" customFormat="false" ht="15" hidden="false" customHeight="false" outlineLevel="0" collapsed="false">
      <c r="A74" s="27" t="n">
        <f aca="false">A73+7</f>
        <v>46776</v>
      </c>
      <c r="B74" s="32"/>
      <c r="C74" s="32"/>
      <c r="D74" s="32"/>
      <c r="E74" s="32"/>
      <c r="F74" s="32"/>
      <c r="G74" s="32"/>
      <c r="H74" s="70" t="str">
        <f aca="false">IF(OR(B74="",B73=""),"",B74-B73)</f>
        <v/>
      </c>
      <c r="I74" s="70" t="str">
        <f aca="false">IF(OR(C74="",C73=""),"",C74-C73)</f>
        <v/>
      </c>
      <c r="J74" s="70" t="str">
        <f aca="false">IF(OR(D74="",D73=""),"",D74-D73)</f>
        <v/>
      </c>
      <c r="K74" s="70" t="str">
        <f aca="false">IF(OR(E74="",E73=""),"",E74-E73)</f>
        <v/>
      </c>
      <c r="L74" s="70" t="str">
        <f aca="false">IF(OR(F74="",F73=""),"",F74-F73)</f>
        <v/>
      </c>
      <c r="M74" s="70" t="str">
        <f aca="false">IF(OR(G74="",G73=""),"",G74-G73)</f>
        <v/>
      </c>
      <c r="N74" s="33" t="str">
        <f aca="false">IF(COUNT(B74:G74)=0,"",SUM(B74:G74))</f>
        <v/>
      </c>
      <c r="O74" s="70" t="str">
        <f aca="false">IF(COUNT(H74:M74)=0,"",SUM(H74:M74))</f>
        <v/>
      </c>
    </row>
    <row r="75" customFormat="false" ht="15" hidden="false" customHeight="false" outlineLevel="0" collapsed="false">
      <c r="A75" s="27" t="n">
        <f aca="false">A74+7</f>
        <v>46783</v>
      </c>
      <c r="B75" s="32"/>
      <c r="C75" s="32"/>
      <c r="D75" s="32"/>
      <c r="E75" s="32"/>
      <c r="F75" s="32"/>
      <c r="G75" s="32"/>
      <c r="H75" s="70" t="str">
        <f aca="false">IF(OR(B75="",B74=""),"",B75-B74)</f>
        <v/>
      </c>
      <c r="I75" s="70" t="str">
        <f aca="false">IF(OR(C75="",C74=""),"",C75-C74)</f>
        <v/>
      </c>
      <c r="J75" s="70" t="str">
        <f aca="false">IF(OR(D75="",D74=""),"",D75-D74)</f>
        <v/>
      </c>
      <c r="K75" s="70" t="str">
        <f aca="false">IF(OR(E75="",E74=""),"",E75-E74)</f>
        <v/>
      </c>
      <c r="L75" s="70" t="str">
        <f aca="false">IF(OR(F75="",F74=""),"",F75-F74)</f>
        <v/>
      </c>
      <c r="M75" s="70" t="str">
        <f aca="false">IF(OR(G75="",G74=""),"",G75-G74)</f>
        <v/>
      </c>
      <c r="N75" s="33" t="str">
        <f aca="false">IF(COUNT(B75:G75)=0,"",SUM(B75:G75))</f>
        <v/>
      </c>
      <c r="O75" s="70" t="str">
        <f aca="false">IF(COUNT(H75:M75)=0,"",SUM(H75:M75))</f>
        <v/>
      </c>
    </row>
    <row r="76" customFormat="false" ht="15" hidden="false" customHeight="false" outlineLevel="0" collapsed="false">
      <c r="A76" s="27" t="n">
        <f aca="false">A75+7</f>
        <v>46790</v>
      </c>
      <c r="B76" s="32"/>
      <c r="C76" s="32"/>
      <c r="D76" s="32"/>
      <c r="E76" s="32"/>
      <c r="F76" s="32"/>
      <c r="G76" s="32"/>
      <c r="H76" s="70" t="str">
        <f aca="false">IF(OR(B76="",B75=""),"",B76-B75)</f>
        <v/>
      </c>
      <c r="I76" s="70" t="str">
        <f aca="false">IF(OR(C76="",C75=""),"",C76-C75)</f>
        <v/>
      </c>
      <c r="J76" s="70" t="str">
        <f aca="false">IF(OR(D76="",D75=""),"",D76-D75)</f>
        <v/>
      </c>
      <c r="K76" s="70" t="str">
        <f aca="false">IF(OR(E76="",E75=""),"",E76-E75)</f>
        <v/>
      </c>
      <c r="L76" s="70" t="str">
        <f aca="false">IF(OR(F76="",F75=""),"",F76-F75)</f>
        <v/>
      </c>
      <c r="M76" s="70" t="str">
        <f aca="false">IF(OR(G76="",G75=""),"",G76-G75)</f>
        <v/>
      </c>
      <c r="N76" s="33" t="str">
        <f aca="false">IF(COUNT(B76:G76)=0,"",SUM(B76:G76))</f>
        <v/>
      </c>
      <c r="O76" s="70" t="str">
        <f aca="false">IF(COUNT(H76:M76)=0,"",SUM(H76:M76))</f>
        <v/>
      </c>
    </row>
    <row r="77" customFormat="false" ht="15" hidden="false" customHeight="false" outlineLevel="0" collapsed="false">
      <c r="A77" s="27" t="n">
        <f aca="false">A76+7</f>
        <v>46797</v>
      </c>
      <c r="B77" s="32"/>
      <c r="C77" s="32"/>
      <c r="D77" s="32"/>
      <c r="E77" s="32"/>
      <c r="F77" s="32"/>
      <c r="G77" s="32"/>
      <c r="H77" s="70" t="str">
        <f aca="false">IF(OR(B77="",B76=""),"",B77-B76)</f>
        <v/>
      </c>
      <c r="I77" s="70" t="str">
        <f aca="false">IF(OR(C77="",C76=""),"",C77-C76)</f>
        <v/>
      </c>
      <c r="J77" s="70" t="str">
        <f aca="false">IF(OR(D77="",D76=""),"",D77-D76)</f>
        <v/>
      </c>
      <c r="K77" s="70" t="str">
        <f aca="false">IF(OR(E77="",E76=""),"",E77-E76)</f>
        <v/>
      </c>
      <c r="L77" s="70" t="str">
        <f aca="false">IF(OR(F77="",F76=""),"",F77-F76)</f>
        <v/>
      </c>
      <c r="M77" s="70" t="str">
        <f aca="false">IF(OR(G77="",G76=""),"",G77-G76)</f>
        <v/>
      </c>
      <c r="N77" s="33" t="str">
        <f aca="false">IF(COUNT(B77:G77)=0,"",SUM(B77:G77))</f>
        <v/>
      </c>
      <c r="O77" s="70" t="str">
        <f aca="false">IF(COUNT(H77:M77)=0,"",SUM(H77:M77))</f>
        <v/>
      </c>
    </row>
    <row r="78" customFormat="false" ht="15" hidden="false" customHeight="false" outlineLevel="0" collapsed="false">
      <c r="A78" s="27" t="n">
        <f aca="false">A77+7</f>
        <v>46804</v>
      </c>
      <c r="B78" s="32"/>
      <c r="C78" s="32"/>
      <c r="D78" s="32"/>
      <c r="E78" s="32"/>
      <c r="F78" s="32"/>
      <c r="G78" s="32"/>
      <c r="H78" s="70" t="str">
        <f aca="false">IF(OR(B78="",B77=""),"",B78-B77)</f>
        <v/>
      </c>
      <c r="I78" s="70" t="str">
        <f aca="false">IF(OR(C78="",C77=""),"",C78-C77)</f>
        <v/>
      </c>
      <c r="J78" s="70" t="str">
        <f aca="false">IF(OR(D78="",D77=""),"",D78-D77)</f>
        <v/>
      </c>
      <c r="K78" s="70" t="str">
        <f aca="false">IF(OR(E78="",E77=""),"",E78-E77)</f>
        <v/>
      </c>
      <c r="L78" s="70" t="str">
        <f aca="false">IF(OR(F78="",F77=""),"",F78-F77)</f>
        <v/>
      </c>
      <c r="M78" s="70" t="str">
        <f aca="false">IF(OR(G78="",G77=""),"",G78-G77)</f>
        <v/>
      </c>
      <c r="N78" s="33" t="str">
        <f aca="false">IF(COUNT(B78:G78)=0,"",SUM(B78:G78))</f>
        <v/>
      </c>
      <c r="O78" s="70" t="str">
        <f aca="false">IF(COUNT(H78:M78)=0,"",SUM(H78:M78))</f>
        <v/>
      </c>
    </row>
    <row r="79" customFormat="false" ht="15" hidden="false" customHeight="false" outlineLevel="0" collapsed="false">
      <c r="A79" s="27" t="n">
        <f aca="false">A78+7</f>
        <v>46811</v>
      </c>
      <c r="B79" s="32"/>
      <c r="C79" s="32"/>
      <c r="D79" s="32"/>
      <c r="E79" s="32"/>
      <c r="F79" s="32"/>
      <c r="G79" s="32"/>
      <c r="H79" s="70" t="str">
        <f aca="false">IF(OR(B79="",B78=""),"",B79-B78)</f>
        <v/>
      </c>
      <c r="I79" s="70" t="str">
        <f aca="false">IF(OR(C79="",C78=""),"",C79-C78)</f>
        <v/>
      </c>
      <c r="J79" s="70" t="str">
        <f aca="false">IF(OR(D79="",D78=""),"",D79-D78)</f>
        <v/>
      </c>
      <c r="K79" s="70" t="str">
        <f aca="false">IF(OR(E79="",E78=""),"",E79-E78)</f>
        <v/>
      </c>
      <c r="L79" s="70" t="str">
        <f aca="false">IF(OR(F79="",F78=""),"",F79-F78)</f>
        <v/>
      </c>
      <c r="M79" s="70" t="str">
        <f aca="false">IF(OR(G79="",G78=""),"",G79-G78)</f>
        <v/>
      </c>
      <c r="N79" s="33" t="str">
        <f aca="false">IF(COUNT(B79:G79)=0,"",SUM(B79:G79))</f>
        <v/>
      </c>
      <c r="O79" s="70" t="str">
        <f aca="false">IF(COUNT(H79:M79)=0,"",SUM(H79:M79))</f>
        <v/>
      </c>
    </row>
    <row r="80" customFormat="false" ht="15" hidden="false" customHeight="false" outlineLevel="0" collapsed="false">
      <c r="A80" s="27" t="n">
        <f aca="false">A79+7</f>
        <v>46818</v>
      </c>
      <c r="B80" s="32"/>
      <c r="C80" s="32"/>
      <c r="D80" s="32"/>
      <c r="E80" s="32"/>
      <c r="F80" s="32"/>
      <c r="G80" s="32"/>
      <c r="H80" s="70" t="str">
        <f aca="false">IF(OR(B80="",B79=""),"",B80-B79)</f>
        <v/>
      </c>
      <c r="I80" s="70" t="str">
        <f aca="false">IF(OR(C80="",C79=""),"",C80-C79)</f>
        <v/>
      </c>
      <c r="J80" s="70" t="str">
        <f aca="false">IF(OR(D80="",D79=""),"",D80-D79)</f>
        <v/>
      </c>
      <c r="K80" s="70" t="str">
        <f aca="false">IF(OR(E80="",E79=""),"",E80-E79)</f>
        <v/>
      </c>
      <c r="L80" s="70" t="str">
        <f aca="false">IF(OR(F80="",F79=""),"",F80-F79)</f>
        <v/>
      </c>
      <c r="M80" s="70" t="str">
        <f aca="false">IF(OR(G80="",G79=""),"",G80-G79)</f>
        <v/>
      </c>
      <c r="N80" s="33" t="str">
        <f aca="false">IF(COUNT(B80:G80)=0,"",SUM(B80:G80))</f>
        <v/>
      </c>
      <c r="O80" s="70" t="str">
        <f aca="false">IF(COUNT(H80:M80)=0,"",SUM(H80:M80))</f>
        <v/>
      </c>
    </row>
    <row r="81" customFormat="false" ht="15" hidden="false" customHeight="false" outlineLevel="0" collapsed="false">
      <c r="A81" s="27" t="n">
        <f aca="false">A80+7</f>
        <v>46825</v>
      </c>
      <c r="B81" s="32"/>
      <c r="C81" s="32"/>
      <c r="D81" s="32"/>
      <c r="E81" s="32"/>
      <c r="F81" s="32"/>
      <c r="G81" s="32"/>
      <c r="H81" s="70" t="str">
        <f aca="false">IF(OR(B81="",B80=""),"",B81-B80)</f>
        <v/>
      </c>
      <c r="I81" s="70" t="str">
        <f aca="false">IF(OR(C81="",C80=""),"",C81-C80)</f>
        <v/>
      </c>
      <c r="J81" s="70" t="str">
        <f aca="false">IF(OR(D81="",D80=""),"",D81-D80)</f>
        <v/>
      </c>
      <c r="K81" s="70" t="str">
        <f aca="false">IF(OR(E81="",E80=""),"",E81-E80)</f>
        <v/>
      </c>
      <c r="L81" s="70" t="str">
        <f aca="false">IF(OR(F81="",F80=""),"",F81-F80)</f>
        <v/>
      </c>
      <c r="M81" s="70" t="str">
        <f aca="false">IF(OR(G81="",G80=""),"",G81-G80)</f>
        <v/>
      </c>
      <c r="N81" s="33" t="str">
        <f aca="false">IF(COUNT(B81:G81)=0,"",SUM(B81:G81))</f>
        <v/>
      </c>
      <c r="O81" s="70" t="str">
        <f aca="false">IF(COUNT(H81:M81)=0,"",SUM(H81:M81))</f>
        <v/>
      </c>
    </row>
    <row r="82" customFormat="false" ht="15" hidden="false" customHeight="false" outlineLevel="0" collapsed="false">
      <c r="A82" s="27" t="n">
        <f aca="false">A81+7</f>
        <v>46832</v>
      </c>
      <c r="B82" s="32"/>
      <c r="C82" s="32"/>
      <c r="D82" s="32"/>
      <c r="E82" s="32"/>
      <c r="F82" s="32"/>
      <c r="G82" s="32"/>
      <c r="H82" s="70" t="str">
        <f aca="false">IF(OR(B82="",B81=""),"",B82-B81)</f>
        <v/>
      </c>
      <c r="I82" s="70" t="str">
        <f aca="false">IF(OR(C82="",C81=""),"",C82-C81)</f>
        <v/>
      </c>
      <c r="J82" s="70" t="str">
        <f aca="false">IF(OR(D82="",D81=""),"",D82-D81)</f>
        <v/>
      </c>
      <c r="K82" s="70" t="str">
        <f aca="false">IF(OR(E82="",E81=""),"",E82-E81)</f>
        <v/>
      </c>
      <c r="L82" s="70" t="str">
        <f aca="false">IF(OR(F82="",F81=""),"",F82-F81)</f>
        <v/>
      </c>
      <c r="M82" s="70" t="str">
        <f aca="false">IF(OR(G82="",G81=""),"",G82-G81)</f>
        <v/>
      </c>
      <c r="N82" s="33" t="str">
        <f aca="false">IF(COUNT(B82:G82)=0,"",SUM(B82:G82))</f>
        <v/>
      </c>
      <c r="O82" s="70" t="str">
        <f aca="false">IF(COUNT(H82:M82)=0,"",SUM(H82:M82))</f>
        <v/>
      </c>
    </row>
    <row r="83" customFormat="false" ht="15" hidden="false" customHeight="false" outlineLevel="0" collapsed="false">
      <c r="A83" s="27" t="n">
        <f aca="false">A82+7</f>
        <v>46839</v>
      </c>
      <c r="B83" s="32"/>
      <c r="C83" s="32"/>
      <c r="D83" s="32"/>
      <c r="E83" s="32"/>
      <c r="F83" s="32"/>
      <c r="G83" s="32"/>
      <c r="H83" s="70" t="str">
        <f aca="false">IF(OR(B83="",B82=""),"",B83-B82)</f>
        <v/>
      </c>
      <c r="I83" s="70" t="str">
        <f aca="false">IF(OR(C83="",C82=""),"",C83-C82)</f>
        <v/>
      </c>
      <c r="J83" s="70" t="str">
        <f aca="false">IF(OR(D83="",D82=""),"",D83-D82)</f>
        <v/>
      </c>
      <c r="K83" s="70" t="str">
        <f aca="false">IF(OR(E83="",E82=""),"",E83-E82)</f>
        <v/>
      </c>
      <c r="L83" s="70" t="str">
        <f aca="false">IF(OR(F83="",F82=""),"",F83-F82)</f>
        <v/>
      </c>
      <c r="M83" s="70" t="str">
        <f aca="false">IF(OR(G83="",G82=""),"",G83-G82)</f>
        <v/>
      </c>
      <c r="N83" s="33" t="str">
        <f aca="false">IF(COUNT(B83:G83)=0,"",SUM(B83:G83))</f>
        <v/>
      </c>
      <c r="O83" s="70" t="str">
        <f aca="false">IF(COUNT(H83:M83)=0,"",SUM(H83:M83))</f>
        <v/>
      </c>
    </row>
    <row r="84" customFormat="false" ht="15" hidden="false" customHeight="false" outlineLevel="0" collapsed="false">
      <c r="A84" s="27" t="n">
        <f aca="false">A83+7</f>
        <v>46846</v>
      </c>
      <c r="B84" s="32"/>
      <c r="C84" s="32"/>
      <c r="D84" s="32"/>
      <c r="E84" s="32"/>
      <c r="F84" s="32"/>
      <c r="G84" s="32"/>
      <c r="H84" s="70" t="str">
        <f aca="false">IF(OR(B84="",B83=""),"",B84-B83)</f>
        <v/>
      </c>
      <c r="I84" s="70" t="str">
        <f aca="false">IF(OR(C84="",C83=""),"",C84-C83)</f>
        <v/>
      </c>
      <c r="J84" s="70" t="str">
        <f aca="false">IF(OR(D84="",D83=""),"",D84-D83)</f>
        <v/>
      </c>
      <c r="K84" s="70" t="str">
        <f aca="false">IF(OR(E84="",E83=""),"",E84-E83)</f>
        <v/>
      </c>
      <c r="L84" s="70" t="str">
        <f aca="false">IF(OR(F84="",F83=""),"",F84-F83)</f>
        <v/>
      </c>
      <c r="M84" s="70" t="str">
        <f aca="false">IF(OR(G84="",G83=""),"",G84-G83)</f>
        <v/>
      </c>
      <c r="N84" s="33" t="str">
        <f aca="false">IF(COUNT(B84:G84)=0,"",SUM(B84:G84))</f>
        <v/>
      </c>
      <c r="O84" s="70" t="str">
        <f aca="false">IF(COUNT(H84:M84)=0,"",SUM(H84:M84))</f>
        <v/>
      </c>
    </row>
    <row r="85" customFormat="false" ht="15" hidden="false" customHeight="false" outlineLevel="0" collapsed="false">
      <c r="A85" s="27" t="n">
        <f aca="false">A84+7</f>
        <v>46853</v>
      </c>
      <c r="B85" s="32"/>
      <c r="C85" s="32"/>
      <c r="D85" s="32"/>
      <c r="E85" s="32"/>
      <c r="F85" s="32"/>
      <c r="G85" s="32"/>
      <c r="H85" s="70" t="str">
        <f aca="false">IF(OR(B85="",B84=""),"",B85-B84)</f>
        <v/>
      </c>
      <c r="I85" s="70" t="str">
        <f aca="false">IF(OR(C85="",C84=""),"",C85-C84)</f>
        <v/>
      </c>
      <c r="J85" s="70" t="str">
        <f aca="false">IF(OR(D85="",D84=""),"",D85-D84)</f>
        <v/>
      </c>
      <c r="K85" s="70" t="str">
        <f aca="false">IF(OR(E85="",E84=""),"",E85-E84)</f>
        <v/>
      </c>
      <c r="L85" s="70" t="str">
        <f aca="false">IF(OR(F85="",F84=""),"",F85-F84)</f>
        <v/>
      </c>
      <c r="M85" s="70" t="str">
        <f aca="false">IF(OR(G85="",G84=""),"",G85-G84)</f>
        <v/>
      </c>
      <c r="N85" s="33" t="str">
        <f aca="false">IF(COUNT(B85:G85)=0,"",SUM(B85:G85))</f>
        <v/>
      </c>
      <c r="O85" s="70" t="str">
        <f aca="false">IF(COUNT(H85:M85)=0,"",SUM(H85:M85))</f>
        <v/>
      </c>
    </row>
    <row r="86" customFormat="false" ht="15" hidden="false" customHeight="false" outlineLevel="0" collapsed="false">
      <c r="A86" s="27" t="n">
        <f aca="false">A85+7</f>
        <v>46860</v>
      </c>
      <c r="B86" s="32"/>
      <c r="C86" s="32"/>
      <c r="D86" s="32"/>
      <c r="E86" s="32"/>
      <c r="F86" s="32"/>
      <c r="G86" s="32"/>
      <c r="H86" s="70" t="str">
        <f aca="false">IF(OR(B86="",B85=""),"",B86-B85)</f>
        <v/>
      </c>
      <c r="I86" s="70" t="str">
        <f aca="false">IF(OR(C86="",C85=""),"",C86-C85)</f>
        <v/>
      </c>
      <c r="J86" s="70" t="str">
        <f aca="false">IF(OR(D86="",D85=""),"",D86-D85)</f>
        <v/>
      </c>
      <c r="K86" s="70" t="str">
        <f aca="false">IF(OR(E86="",E85=""),"",E86-E85)</f>
        <v/>
      </c>
      <c r="L86" s="70" t="str">
        <f aca="false">IF(OR(F86="",F85=""),"",F86-F85)</f>
        <v/>
      </c>
      <c r="M86" s="70" t="str">
        <f aca="false">IF(OR(G86="",G85=""),"",G86-G85)</f>
        <v/>
      </c>
      <c r="N86" s="33" t="str">
        <f aca="false">IF(COUNT(B86:G86)=0,"",SUM(B86:G86))</f>
        <v/>
      </c>
      <c r="O86" s="70" t="str">
        <f aca="false">IF(COUNT(H86:M86)=0,"",SUM(H86:M86))</f>
        <v/>
      </c>
    </row>
    <row r="87" customFormat="false" ht="15" hidden="false" customHeight="false" outlineLevel="0" collapsed="false">
      <c r="A87" s="27" t="n">
        <f aca="false">A86+7</f>
        <v>46867</v>
      </c>
      <c r="B87" s="32"/>
      <c r="C87" s="32"/>
      <c r="D87" s="32"/>
      <c r="E87" s="32"/>
      <c r="F87" s="32"/>
      <c r="G87" s="32"/>
      <c r="H87" s="70" t="str">
        <f aca="false">IF(OR(B87="",B86=""),"",B87-B86)</f>
        <v/>
      </c>
      <c r="I87" s="70" t="str">
        <f aca="false">IF(OR(C87="",C86=""),"",C87-C86)</f>
        <v/>
      </c>
      <c r="J87" s="70" t="str">
        <f aca="false">IF(OR(D87="",D86=""),"",D87-D86)</f>
        <v/>
      </c>
      <c r="K87" s="70" t="str">
        <f aca="false">IF(OR(E87="",E86=""),"",E87-E86)</f>
        <v/>
      </c>
      <c r="L87" s="70" t="str">
        <f aca="false">IF(OR(F87="",F86=""),"",F87-F86)</f>
        <v/>
      </c>
      <c r="M87" s="70" t="str">
        <f aca="false">IF(OR(G87="",G86=""),"",G87-G86)</f>
        <v/>
      </c>
      <c r="N87" s="33" t="str">
        <f aca="false">IF(COUNT(B87:G87)=0,"",SUM(B87:G87))</f>
        <v/>
      </c>
      <c r="O87" s="70" t="str">
        <f aca="false">IF(COUNT(H87:M87)=0,"",SUM(H87:M87))</f>
        <v/>
      </c>
    </row>
    <row r="88" customFormat="false" ht="15" hidden="false" customHeight="false" outlineLevel="0" collapsed="false">
      <c r="A88" s="27" t="n">
        <f aca="false">A87+7</f>
        <v>46874</v>
      </c>
      <c r="B88" s="32"/>
      <c r="C88" s="32"/>
      <c r="D88" s="32"/>
      <c r="E88" s="32"/>
      <c r="F88" s="32"/>
      <c r="G88" s="32"/>
      <c r="H88" s="70" t="str">
        <f aca="false">IF(OR(B88="",B87=""),"",B88-B87)</f>
        <v/>
      </c>
      <c r="I88" s="70" t="str">
        <f aca="false">IF(OR(C88="",C87=""),"",C88-C87)</f>
        <v/>
      </c>
      <c r="J88" s="70" t="str">
        <f aca="false">IF(OR(D88="",D87=""),"",D88-D87)</f>
        <v/>
      </c>
      <c r="K88" s="70" t="str">
        <f aca="false">IF(OR(E88="",E87=""),"",E88-E87)</f>
        <v/>
      </c>
      <c r="L88" s="70" t="str">
        <f aca="false">IF(OR(F88="",F87=""),"",F88-F87)</f>
        <v/>
      </c>
      <c r="M88" s="70" t="str">
        <f aca="false">IF(OR(G88="",G87=""),"",G88-G87)</f>
        <v/>
      </c>
      <c r="N88" s="33" t="str">
        <f aca="false">IF(COUNT(B88:G88)=0,"",SUM(B88:G88))</f>
        <v/>
      </c>
      <c r="O88" s="70" t="str">
        <f aca="false">IF(COUNT(H88:M88)=0,"",SUM(H88:M88))</f>
        <v/>
      </c>
    </row>
    <row r="89" customFormat="false" ht="15" hidden="false" customHeight="false" outlineLevel="0" collapsed="false">
      <c r="A89" s="27" t="n">
        <f aca="false">A88+7</f>
        <v>46881</v>
      </c>
      <c r="B89" s="32"/>
      <c r="C89" s="32"/>
      <c r="D89" s="32"/>
      <c r="E89" s="32"/>
      <c r="F89" s="32"/>
      <c r="G89" s="32"/>
      <c r="H89" s="70" t="str">
        <f aca="false">IF(OR(B89="",B88=""),"",B89-B88)</f>
        <v/>
      </c>
      <c r="I89" s="70" t="str">
        <f aca="false">IF(OR(C89="",C88=""),"",C89-C88)</f>
        <v/>
      </c>
      <c r="J89" s="70" t="str">
        <f aca="false">IF(OR(D89="",D88=""),"",D89-D88)</f>
        <v/>
      </c>
      <c r="K89" s="70" t="str">
        <f aca="false">IF(OR(E89="",E88=""),"",E89-E88)</f>
        <v/>
      </c>
      <c r="L89" s="70" t="str">
        <f aca="false">IF(OR(F89="",F88=""),"",F89-F88)</f>
        <v/>
      </c>
      <c r="M89" s="70" t="str">
        <f aca="false">IF(OR(G89="",G88=""),"",G89-G88)</f>
        <v/>
      </c>
      <c r="N89" s="33" t="str">
        <f aca="false">IF(COUNT(B89:G89)=0,"",SUM(B89:G89))</f>
        <v/>
      </c>
      <c r="O89" s="70" t="str">
        <f aca="false">IF(COUNT(H89:M89)=0,"",SUM(H89:M89))</f>
        <v/>
      </c>
    </row>
    <row r="90" customFormat="false" ht="15" hidden="false" customHeight="false" outlineLevel="0" collapsed="false">
      <c r="A90" s="27" t="n">
        <f aca="false">A89+7</f>
        <v>46888</v>
      </c>
      <c r="B90" s="32"/>
      <c r="C90" s="32"/>
      <c r="D90" s="32"/>
      <c r="E90" s="32"/>
      <c r="F90" s="32"/>
      <c r="G90" s="32"/>
      <c r="H90" s="70" t="str">
        <f aca="false">IF(OR(B90="",B89=""),"",B90-B89)</f>
        <v/>
      </c>
      <c r="I90" s="70" t="str">
        <f aca="false">IF(OR(C90="",C89=""),"",C90-C89)</f>
        <v/>
      </c>
      <c r="J90" s="70" t="str">
        <f aca="false">IF(OR(D90="",D89=""),"",D90-D89)</f>
        <v/>
      </c>
      <c r="K90" s="70" t="str">
        <f aca="false">IF(OR(E90="",E89=""),"",E90-E89)</f>
        <v/>
      </c>
      <c r="L90" s="70" t="str">
        <f aca="false">IF(OR(F90="",F89=""),"",F90-F89)</f>
        <v/>
      </c>
      <c r="M90" s="70" t="str">
        <f aca="false">IF(OR(G90="",G89=""),"",G90-G89)</f>
        <v/>
      </c>
      <c r="N90" s="33" t="str">
        <f aca="false">IF(COUNT(B90:G90)=0,"",SUM(B90:G90))</f>
        <v/>
      </c>
      <c r="O90" s="70" t="str">
        <f aca="false">IF(COUNT(H90:M90)=0,"",SUM(H90:M90))</f>
        <v/>
      </c>
    </row>
    <row r="91" customFormat="false" ht="15" hidden="false" customHeight="false" outlineLevel="0" collapsed="false">
      <c r="A91" s="27" t="n">
        <f aca="false">A90+7</f>
        <v>46895</v>
      </c>
      <c r="B91" s="32"/>
      <c r="C91" s="32"/>
      <c r="D91" s="32"/>
      <c r="E91" s="32"/>
      <c r="F91" s="32"/>
      <c r="G91" s="32"/>
      <c r="H91" s="70" t="str">
        <f aca="false">IF(OR(B91="",B90=""),"",B91-B90)</f>
        <v/>
      </c>
      <c r="I91" s="70" t="str">
        <f aca="false">IF(OR(C91="",C90=""),"",C91-C90)</f>
        <v/>
      </c>
      <c r="J91" s="70" t="str">
        <f aca="false">IF(OR(D91="",D90=""),"",D91-D90)</f>
        <v/>
      </c>
      <c r="K91" s="70" t="str">
        <f aca="false">IF(OR(E91="",E90=""),"",E91-E90)</f>
        <v/>
      </c>
      <c r="L91" s="70" t="str">
        <f aca="false">IF(OR(F91="",F90=""),"",F91-F90)</f>
        <v/>
      </c>
      <c r="M91" s="70" t="str">
        <f aca="false">IF(OR(G91="",G90=""),"",G91-G90)</f>
        <v/>
      </c>
      <c r="N91" s="33" t="str">
        <f aca="false">IF(COUNT(B91:G91)=0,"",SUM(B91:G91))</f>
        <v/>
      </c>
      <c r="O91" s="70" t="str">
        <f aca="false">IF(COUNT(H91:M91)=0,"",SUM(H91:M91))</f>
        <v/>
      </c>
    </row>
    <row r="92" customFormat="false" ht="15" hidden="false" customHeight="false" outlineLevel="0" collapsed="false">
      <c r="A92" s="27" t="n">
        <f aca="false">A91+7</f>
        <v>46902</v>
      </c>
      <c r="B92" s="32"/>
      <c r="C92" s="32"/>
      <c r="D92" s="32"/>
      <c r="E92" s="32"/>
      <c r="F92" s="32"/>
      <c r="G92" s="32"/>
      <c r="H92" s="70" t="str">
        <f aca="false">IF(OR(B92="",B91=""),"",B92-B91)</f>
        <v/>
      </c>
      <c r="I92" s="70" t="str">
        <f aca="false">IF(OR(C92="",C91=""),"",C92-C91)</f>
        <v/>
      </c>
      <c r="J92" s="70" t="str">
        <f aca="false">IF(OR(D92="",D91=""),"",D92-D91)</f>
        <v/>
      </c>
      <c r="K92" s="70" t="str">
        <f aca="false">IF(OR(E92="",E91=""),"",E92-E91)</f>
        <v/>
      </c>
      <c r="L92" s="70" t="str">
        <f aca="false">IF(OR(F92="",F91=""),"",F92-F91)</f>
        <v/>
      </c>
      <c r="M92" s="70" t="str">
        <f aca="false">IF(OR(G92="",G91=""),"",G92-G91)</f>
        <v/>
      </c>
      <c r="N92" s="33" t="str">
        <f aca="false">IF(COUNT(B92:G92)=0,"",SUM(B92:G92))</f>
        <v/>
      </c>
      <c r="O92" s="70" t="str">
        <f aca="false">IF(COUNT(H92:M92)=0,"",SUM(H92:M92))</f>
        <v/>
      </c>
    </row>
    <row r="93" customFormat="false" ht="15" hidden="false" customHeight="false" outlineLevel="0" collapsed="false">
      <c r="A93" s="27" t="n">
        <f aca="false">A92+7</f>
        <v>46909</v>
      </c>
      <c r="B93" s="32"/>
      <c r="C93" s="32"/>
      <c r="D93" s="32"/>
      <c r="E93" s="32"/>
      <c r="F93" s="32"/>
      <c r="G93" s="32"/>
      <c r="H93" s="70" t="str">
        <f aca="false">IF(OR(B93="",B92=""),"",B93-B92)</f>
        <v/>
      </c>
      <c r="I93" s="70" t="str">
        <f aca="false">IF(OR(C93="",C92=""),"",C93-C92)</f>
        <v/>
      </c>
      <c r="J93" s="70" t="str">
        <f aca="false">IF(OR(D93="",D92=""),"",D93-D92)</f>
        <v/>
      </c>
      <c r="K93" s="70" t="str">
        <f aca="false">IF(OR(E93="",E92=""),"",E93-E92)</f>
        <v/>
      </c>
      <c r="L93" s="70" t="str">
        <f aca="false">IF(OR(F93="",F92=""),"",F93-F92)</f>
        <v/>
      </c>
      <c r="M93" s="70" t="str">
        <f aca="false">IF(OR(G93="",G92=""),"",G93-G92)</f>
        <v/>
      </c>
      <c r="N93" s="33" t="str">
        <f aca="false">IF(COUNT(B93:G93)=0,"",SUM(B93:G93))</f>
        <v/>
      </c>
      <c r="O93" s="70" t="str">
        <f aca="false">IF(COUNT(H93:M93)=0,"",SUM(H93:M93))</f>
        <v/>
      </c>
    </row>
    <row r="94" customFormat="false" ht="15" hidden="false" customHeight="false" outlineLevel="0" collapsed="false">
      <c r="A94" s="27" t="n">
        <f aca="false">A93+7</f>
        <v>46916</v>
      </c>
      <c r="B94" s="32"/>
      <c r="C94" s="32"/>
      <c r="D94" s="32"/>
      <c r="E94" s="32"/>
      <c r="F94" s="32"/>
      <c r="G94" s="32"/>
      <c r="H94" s="70" t="str">
        <f aca="false">IF(OR(B94="",B93=""),"",B94-B93)</f>
        <v/>
      </c>
      <c r="I94" s="70" t="str">
        <f aca="false">IF(OR(C94="",C93=""),"",C94-C93)</f>
        <v/>
      </c>
      <c r="J94" s="70" t="str">
        <f aca="false">IF(OR(D94="",D93=""),"",D94-D93)</f>
        <v/>
      </c>
      <c r="K94" s="70" t="str">
        <f aca="false">IF(OR(E94="",E93=""),"",E94-E93)</f>
        <v/>
      </c>
      <c r="L94" s="70" t="str">
        <f aca="false">IF(OR(F94="",F93=""),"",F94-F93)</f>
        <v/>
      </c>
      <c r="M94" s="70" t="str">
        <f aca="false">IF(OR(G94="",G93=""),"",G94-G93)</f>
        <v/>
      </c>
      <c r="N94" s="33" t="str">
        <f aca="false">IF(COUNT(B94:G94)=0,"",SUM(B94:G94))</f>
        <v/>
      </c>
      <c r="O94" s="70" t="str">
        <f aca="false">IF(COUNT(H94:M94)=0,"",SUM(H94:M94))</f>
        <v/>
      </c>
    </row>
    <row r="95" customFormat="false" ht="15" hidden="false" customHeight="false" outlineLevel="0" collapsed="false">
      <c r="A95" s="27" t="n">
        <f aca="false">A94+7</f>
        <v>46923</v>
      </c>
      <c r="B95" s="32"/>
      <c r="C95" s="32"/>
      <c r="D95" s="32"/>
      <c r="E95" s="32"/>
      <c r="F95" s="32"/>
      <c r="G95" s="32"/>
      <c r="H95" s="70" t="str">
        <f aca="false">IF(OR(B95="",B94=""),"",B95-B94)</f>
        <v/>
      </c>
      <c r="I95" s="70" t="str">
        <f aca="false">IF(OR(C95="",C94=""),"",C95-C94)</f>
        <v/>
      </c>
      <c r="J95" s="70" t="str">
        <f aca="false">IF(OR(D95="",D94=""),"",D95-D94)</f>
        <v/>
      </c>
      <c r="K95" s="70" t="str">
        <f aca="false">IF(OR(E95="",E94=""),"",E95-E94)</f>
        <v/>
      </c>
      <c r="L95" s="70" t="str">
        <f aca="false">IF(OR(F95="",F94=""),"",F95-F94)</f>
        <v/>
      </c>
      <c r="M95" s="70" t="str">
        <f aca="false">IF(OR(G95="",G94=""),"",G95-G94)</f>
        <v/>
      </c>
      <c r="N95" s="33" t="str">
        <f aca="false">IF(COUNT(B95:G95)=0,"",SUM(B95:G95))</f>
        <v/>
      </c>
      <c r="O95" s="70" t="str">
        <f aca="false">IF(COUNT(H95:M95)=0,"",SUM(H95:M95))</f>
        <v/>
      </c>
    </row>
    <row r="96" customFormat="false" ht="15" hidden="false" customHeight="false" outlineLevel="0" collapsed="false">
      <c r="A96" s="27" t="n">
        <f aca="false">A95+7</f>
        <v>46930</v>
      </c>
      <c r="B96" s="32"/>
      <c r="C96" s="32"/>
      <c r="D96" s="32"/>
      <c r="E96" s="32"/>
      <c r="F96" s="32"/>
      <c r="G96" s="32"/>
      <c r="H96" s="70" t="str">
        <f aca="false">IF(OR(B96="",B95=""),"",B96-B95)</f>
        <v/>
      </c>
      <c r="I96" s="70" t="str">
        <f aca="false">IF(OR(C96="",C95=""),"",C96-C95)</f>
        <v/>
      </c>
      <c r="J96" s="70" t="str">
        <f aca="false">IF(OR(D96="",D95=""),"",D96-D95)</f>
        <v/>
      </c>
      <c r="K96" s="70" t="str">
        <f aca="false">IF(OR(E96="",E95=""),"",E96-E95)</f>
        <v/>
      </c>
      <c r="L96" s="70" t="str">
        <f aca="false">IF(OR(F96="",F95=""),"",F96-F95)</f>
        <v/>
      </c>
      <c r="M96" s="70" t="str">
        <f aca="false">IF(OR(G96="",G95=""),"",G96-G95)</f>
        <v/>
      </c>
      <c r="N96" s="33" t="str">
        <f aca="false">IF(COUNT(B96:G96)=0,"",SUM(B96:G96))</f>
        <v/>
      </c>
      <c r="O96" s="70" t="str">
        <f aca="false">IF(COUNT(H96:M96)=0,"",SUM(H96:M96))</f>
        <v/>
      </c>
    </row>
    <row r="97" customFormat="false" ht="15" hidden="false" customHeight="false" outlineLevel="0" collapsed="false">
      <c r="A97" s="27" t="n">
        <f aca="false">A96+7</f>
        <v>46937</v>
      </c>
      <c r="B97" s="32"/>
      <c r="C97" s="32"/>
      <c r="D97" s="32"/>
      <c r="E97" s="32"/>
      <c r="F97" s="32"/>
      <c r="G97" s="32"/>
      <c r="H97" s="70" t="str">
        <f aca="false">IF(OR(B97="",B96=""),"",B97-B96)</f>
        <v/>
      </c>
      <c r="I97" s="70" t="str">
        <f aca="false">IF(OR(C97="",C96=""),"",C97-C96)</f>
        <v/>
      </c>
      <c r="J97" s="70" t="str">
        <f aca="false">IF(OR(D97="",D96=""),"",D97-D96)</f>
        <v/>
      </c>
      <c r="K97" s="70" t="str">
        <f aca="false">IF(OR(E97="",E96=""),"",E97-E96)</f>
        <v/>
      </c>
      <c r="L97" s="70" t="str">
        <f aca="false">IF(OR(F97="",F96=""),"",F97-F96)</f>
        <v/>
      </c>
      <c r="M97" s="70" t="str">
        <f aca="false">IF(OR(G97="",G96=""),"",G97-G96)</f>
        <v/>
      </c>
      <c r="N97" s="33" t="str">
        <f aca="false">IF(COUNT(B97:G97)=0,"",SUM(B97:G97))</f>
        <v/>
      </c>
      <c r="O97" s="70" t="str">
        <f aca="false">IF(COUNT(H97:M97)=0,"",SUM(H97:M97))</f>
        <v/>
      </c>
    </row>
    <row r="98" customFormat="false" ht="15" hidden="false" customHeight="false" outlineLevel="0" collapsed="false">
      <c r="A98" s="27" t="n">
        <f aca="false">A97+7</f>
        <v>46944</v>
      </c>
      <c r="B98" s="32"/>
      <c r="C98" s="32"/>
      <c r="D98" s="32"/>
      <c r="E98" s="32"/>
      <c r="F98" s="32"/>
      <c r="G98" s="32"/>
      <c r="H98" s="70" t="str">
        <f aca="false">IF(OR(B98="",B97=""),"",B98-B97)</f>
        <v/>
      </c>
      <c r="I98" s="70" t="str">
        <f aca="false">IF(OR(C98="",C97=""),"",C98-C97)</f>
        <v/>
      </c>
      <c r="J98" s="70" t="str">
        <f aca="false">IF(OR(D98="",D97=""),"",D98-D97)</f>
        <v/>
      </c>
      <c r="K98" s="70" t="str">
        <f aca="false">IF(OR(E98="",E97=""),"",E98-E97)</f>
        <v/>
      </c>
      <c r="L98" s="70" t="str">
        <f aca="false">IF(OR(F98="",F97=""),"",F98-F97)</f>
        <v/>
      </c>
      <c r="M98" s="70" t="str">
        <f aca="false">IF(OR(G98="",G97=""),"",G98-G97)</f>
        <v/>
      </c>
      <c r="N98" s="33" t="str">
        <f aca="false">IF(COUNT(B98:G98)=0,"",SUM(B98:G98))</f>
        <v/>
      </c>
      <c r="O98" s="70" t="str">
        <f aca="false">IF(COUNT(H98:M98)=0,"",SUM(H98:M98))</f>
        <v/>
      </c>
    </row>
    <row r="99" customFormat="false" ht="15" hidden="false" customHeight="false" outlineLevel="0" collapsed="false">
      <c r="A99" s="27" t="n">
        <f aca="false">A98+7</f>
        <v>46951</v>
      </c>
      <c r="B99" s="32"/>
      <c r="C99" s="32"/>
      <c r="D99" s="32"/>
      <c r="E99" s="32"/>
      <c r="F99" s="32"/>
      <c r="G99" s="32"/>
      <c r="H99" s="70" t="str">
        <f aca="false">IF(OR(B99="",B98=""),"",B99-B98)</f>
        <v/>
      </c>
      <c r="I99" s="70" t="str">
        <f aca="false">IF(OR(C99="",C98=""),"",C99-C98)</f>
        <v/>
      </c>
      <c r="J99" s="70" t="str">
        <f aca="false">IF(OR(D99="",D98=""),"",D99-D98)</f>
        <v/>
      </c>
      <c r="K99" s="70" t="str">
        <f aca="false">IF(OR(E99="",E98=""),"",E99-E98)</f>
        <v/>
      </c>
      <c r="L99" s="70" t="str">
        <f aca="false">IF(OR(F99="",F98=""),"",F99-F98)</f>
        <v/>
      </c>
      <c r="M99" s="70" t="str">
        <f aca="false">IF(OR(G99="",G98=""),"",G99-G98)</f>
        <v/>
      </c>
      <c r="N99" s="33" t="str">
        <f aca="false">IF(COUNT(B99:G99)=0,"",SUM(B99:G99))</f>
        <v/>
      </c>
      <c r="O99" s="70" t="str">
        <f aca="false">IF(COUNT(H99:M99)=0,"",SUM(H99:M99))</f>
        <v/>
      </c>
    </row>
    <row r="100" customFormat="false" ht="15" hidden="false" customHeight="false" outlineLevel="0" collapsed="false">
      <c r="A100" s="27" t="n">
        <f aca="false">A99+7</f>
        <v>46958</v>
      </c>
      <c r="B100" s="32"/>
      <c r="C100" s="32"/>
      <c r="D100" s="32"/>
      <c r="E100" s="32"/>
      <c r="F100" s="32"/>
      <c r="G100" s="32"/>
      <c r="H100" s="70" t="str">
        <f aca="false">IF(OR(B100="",B99=""),"",B100-B99)</f>
        <v/>
      </c>
      <c r="I100" s="70" t="str">
        <f aca="false">IF(OR(C100="",C99=""),"",C100-C99)</f>
        <v/>
      </c>
      <c r="J100" s="70" t="str">
        <f aca="false">IF(OR(D100="",D99=""),"",D100-D99)</f>
        <v/>
      </c>
      <c r="K100" s="70" t="str">
        <f aca="false">IF(OR(E100="",E99=""),"",E100-E99)</f>
        <v/>
      </c>
      <c r="L100" s="70" t="str">
        <f aca="false">IF(OR(F100="",F99=""),"",F100-F99)</f>
        <v/>
      </c>
      <c r="M100" s="70" t="str">
        <f aca="false">IF(OR(G100="",G99=""),"",G100-G99)</f>
        <v/>
      </c>
      <c r="N100" s="33" t="str">
        <f aca="false">IF(COUNT(B100:G100)=0,"",SUM(B100:G100))</f>
        <v/>
      </c>
      <c r="O100" s="70" t="str">
        <f aca="false">IF(COUNT(H100:M100)=0,"",SUM(H100:M100))</f>
        <v/>
      </c>
    </row>
    <row r="101" customFormat="false" ht="15" hidden="false" customHeight="false" outlineLevel="0" collapsed="false">
      <c r="A101" s="27" t="n">
        <f aca="false">A100+7</f>
        <v>46965</v>
      </c>
      <c r="B101" s="32"/>
      <c r="C101" s="32"/>
      <c r="D101" s="32"/>
      <c r="E101" s="32"/>
      <c r="F101" s="32"/>
      <c r="G101" s="32"/>
      <c r="H101" s="70" t="str">
        <f aca="false">IF(OR(B101="",B100=""),"",B101-B100)</f>
        <v/>
      </c>
      <c r="I101" s="70" t="str">
        <f aca="false">IF(OR(C101="",C100=""),"",C101-C100)</f>
        <v/>
      </c>
      <c r="J101" s="70" t="str">
        <f aca="false">IF(OR(D101="",D100=""),"",D101-D100)</f>
        <v/>
      </c>
      <c r="K101" s="70" t="str">
        <f aca="false">IF(OR(E101="",E100=""),"",E101-E100)</f>
        <v/>
      </c>
      <c r="L101" s="70" t="str">
        <f aca="false">IF(OR(F101="",F100=""),"",F101-F100)</f>
        <v/>
      </c>
      <c r="M101" s="70" t="str">
        <f aca="false">IF(OR(G101="",G100=""),"",G101-G100)</f>
        <v/>
      </c>
      <c r="N101" s="33" t="str">
        <f aca="false">IF(COUNT(B101:G101)=0,"",SUM(B101:G101))</f>
        <v/>
      </c>
      <c r="O101" s="70" t="str">
        <f aca="false">IF(COUNT(H101:M101)=0,"",SUM(H101:M101))</f>
        <v/>
      </c>
    </row>
    <row r="102" customFormat="false" ht="15" hidden="false" customHeight="false" outlineLevel="0" collapsed="false">
      <c r="A102" s="27" t="n">
        <f aca="false">A101+7</f>
        <v>46972</v>
      </c>
      <c r="B102" s="32"/>
      <c r="C102" s="32"/>
      <c r="D102" s="32"/>
      <c r="E102" s="32"/>
      <c r="F102" s="32"/>
      <c r="G102" s="32"/>
      <c r="H102" s="70" t="str">
        <f aca="false">IF(OR(B102="",B101=""),"",B102-B101)</f>
        <v/>
      </c>
      <c r="I102" s="70" t="str">
        <f aca="false">IF(OR(C102="",C101=""),"",C102-C101)</f>
        <v/>
      </c>
      <c r="J102" s="70" t="str">
        <f aca="false">IF(OR(D102="",D101=""),"",D102-D101)</f>
        <v/>
      </c>
      <c r="K102" s="70" t="str">
        <f aca="false">IF(OR(E102="",E101=""),"",E102-E101)</f>
        <v/>
      </c>
      <c r="L102" s="70" t="str">
        <f aca="false">IF(OR(F102="",F101=""),"",F102-F101)</f>
        <v/>
      </c>
      <c r="M102" s="70" t="str">
        <f aca="false">IF(OR(G102="",G101=""),"",G102-G101)</f>
        <v/>
      </c>
      <c r="N102" s="33" t="str">
        <f aca="false">IF(COUNT(B102:G102)=0,"",SUM(B102:G102))</f>
        <v/>
      </c>
      <c r="O102" s="70" t="str">
        <f aca="false">IF(COUNT(H102:M102)=0,"",SUM(H102:M102))</f>
        <v/>
      </c>
    </row>
    <row r="103" customFormat="false" ht="15" hidden="false" customHeight="false" outlineLevel="0" collapsed="false">
      <c r="A103" s="27" t="n">
        <f aca="false">A102+7</f>
        <v>46979</v>
      </c>
      <c r="B103" s="32"/>
      <c r="C103" s="32"/>
      <c r="D103" s="32"/>
      <c r="E103" s="32"/>
      <c r="F103" s="32"/>
      <c r="G103" s="32"/>
      <c r="H103" s="70" t="str">
        <f aca="false">IF(OR(B103="",B102=""),"",B103-B102)</f>
        <v/>
      </c>
      <c r="I103" s="70" t="str">
        <f aca="false">IF(OR(C103="",C102=""),"",C103-C102)</f>
        <v/>
      </c>
      <c r="J103" s="70" t="str">
        <f aca="false">IF(OR(D103="",D102=""),"",D103-D102)</f>
        <v/>
      </c>
      <c r="K103" s="70" t="str">
        <f aca="false">IF(OR(E103="",E102=""),"",E103-E102)</f>
        <v/>
      </c>
      <c r="L103" s="70" t="str">
        <f aca="false">IF(OR(F103="",F102=""),"",F103-F102)</f>
        <v/>
      </c>
      <c r="M103" s="70" t="str">
        <f aca="false">IF(OR(G103="",G102=""),"",G103-G102)</f>
        <v/>
      </c>
      <c r="N103" s="33" t="str">
        <f aca="false">IF(COUNT(B103:G103)=0,"",SUM(B103:G103))</f>
        <v/>
      </c>
      <c r="O103" s="70" t="str">
        <f aca="false">IF(COUNT(H103:M103)=0,"",SUM(H103:M103))</f>
        <v/>
      </c>
    </row>
    <row r="104" customFormat="false" ht="15" hidden="false" customHeight="false" outlineLevel="0" collapsed="false">
      <c r="A104" s="27" t="n">
        <f aca="false">A103+7</f>
        <v>46986</v>
      </c>
      <c r="B104" s="32"/>
      <c r="C104" s="32"/>
      <c r="D104" s="32"/>
      <c r="E104" s="32"/>
      <c r="F104" s="32"/>
      <c r="G104" s="32"/>
      <c r="H104" s="70" t="str">
        <f aca="false">IF(OR(B104="",B103=""),"",B104-B103)</f>
        <v/>
      </c>
      <c r="I104" s="70" t="str">
        <f aca="false">IF(OR(C104="",C103=""),"",C104-C103)</f>
        <v/>
      </c>
      <c r="J104" s="70" t="str">
        <f aca="false">IF(OR(D104="",D103=""),"",D104-D103)</f>
        <v/>
      </c>
      <c r="K104" s="70" t="str">
        <f aca="false">IF(OR(E104="",E103=""),"",E104-E103)</f>
        <v/>
      </c>
      <c r="L104" s="70" t="str">
        <f aca="false">IF(OR(F104="",F103=""),"",F104-F103)</f>
        <v/>
      </c>
      <c r="M104" s="70" t="str">
        <f aca="false">IF(OR(G104="",G103=""),"",G104-G103)</f>
        <v/>
      </c>
      <c r="N104" s="33" t="str">
        <f aca="false">IF(COUNT(B104:G104)=0,"",SUM(B104:G104))</f>
        <v/>
      </c>
      <c r="O104" s="70" t="str">
        <f aca="false">IF(COUNT(H104:M104)=0,"",SUM(H104:M104))</f>
        <v/>
      </c>
    </row>
    <row r="105" customFormat="false" ht="15" hidden="false" customHeight="false" outlineLevel="0" collapsed="false">
      <c r="A105" s="27" t="n">
        <f aca="false">A104+7</f>
        <v>46993</v>
      </c>
      <c r="B105" s="32"/>
      <c r="C105" s="32"/>
      <c r="D105" s="32"/>
      <c r="E105" s="32"/>
      <c r="F105" s="32"/>
      <c r="G105" s="32"/>
      <c r="H105" s="70" t="str">
        <f aca="false">IF(OR(B105="",B104=""),"",B105-B104)</f>
        <v/>
      </c>
      <c r="I105" s="70" t="str">
        <f aca="false">IF(OR(C105="",C104=""),"",C105-C104)</f>
        <v/>
      </c>
      <c r="J105" s="70" t="str">
        <f aca="false">IF(OR(D105="",D104=""),"",D105-D104)</f>
        <v/>
      </c>
      <c r="K105" s="70" t="str">
        <f aca="false">IF(OR(E105="",E104=""),"",E105-E104)</f>
        <v/>
      </c>
      <c r="L105" s="70" t="str">
        <f aca="false">IF(OR(F105="",F104=""),"",F105-F104)</f>
        <v/>
      </c>
      <c r="M105" s="70" t="str">
        <f aca="false">IF(OR(G105="",G104=""),"",G105-G104)</f>
        <v/>
      </c>
      <c r="N105" s="33" t="str">
        <f aca="false">IF(COUNT(B105:G105)=0,"",SUM(B105:G105))</f>
        <v/>
      </c>
      <c r="O105" s="70" t="str">
        <f aca="false">IF(COUNT(H105:M105)=0,"",SUM(H105:M105))</f>
        <v/>
      </c>
    </row>
    <row r="106" customFormat="false" ht="15" hidden="false" customHeight="false" outlineLevel="0" collapsed="false">
      <c r="A106" s="27" t="n">
        <f aca="false">A105+7</f>
        <v>47000</v>
      </c>
      <c r="B106" s="32"/>
      <c r="C106" s="32"/>
      <c r="D106" s="32"/>
      <c r="E106" s="32"/>
      <c r="F106" s="32"/>
      <c r="G106" s="32"/>
      <c r="H106" s="70" t="str">
        <f aca="false">IF(OR(B106="",B105=""),"",B106-B105)</f>
        <v/>
      </c>
      <c r="I106" s="70" t="str">
        <f aca="false">IF(OR(C106="",C105=""),"",C106-C105)</f>
        <v/>
      </c>
      <c r="J106" s="70" t="str">
        <f aca="false">IF(OR(D106="",D105=""),"",D106-D105)</f>
        <v/>
      </c>
      <c r="K106" s="70" t="str">
        <f aca="false">IF(OR(E106="",E105=""),"",E106-E105)</f>
        <v/>
      </c>
      <c r="L106" s="70" t="str">
        <f aca="false">IF(OR(F106="",F105=""),"",F106-F105)</f>
        <v/>
      </c>
      <c r="M106" s="70" t="str">
        <f aca="false">IF(OR(G106="",G105=""),"",G106-G105)</f>
        <v/>
      </c>
      <c r="N106" s="33" t="str">
        <f aca="false">IF(COUNT(B106:G106)=0,"",SUM(B106:G106))</f>
        <v/>
      </c>
      <c r="O106" s="70" t="str">
        <f aca="false">IF(COUNT(H106:M106)=0,"",SUM(H106:M106))</f>
        <v/>
      </c>
    </row>
    <row r="107" customFormat="false" ht="15" hidden="false" customHeight="false" outlineLevel="0" collapsed="false">
      <c r="A107" s="27" t="n">
        <f aca="false">A106+7</f>
        <v>47007</v>
      </c>
      <c r="B107" s="32"/>
      <c r="C107" s="32"/>
      <c r="D107" s="32"/>
      <c r="E107" s="32"/>
      <c r="F107" s="32"/>
      <c r="G107" s="32"/>
      <c r="H107" s="70" t="str">
        <f aca="false">IF(OR(B107="",B106=""),"",B107-B106)</f>
        <v/>
      </c>
      <c r="I107" s="70" t="str">
        <f aca="false">IF(OR(C107="",C106=""),"",C107-C106)</f>
        <v/>
      </c>
      <c r="J107" s="70" t="str">
        <f aca="false">IF(OR(D107="",D106=""),"",D107-D106)</f>
        <v/>
      </c>
      <c r="K107" s="70" t="str">
        <f aca="false">IF(OR(E107="",E106=""),"",E107-E106)</f>
        <v/>
      </c>
      <c r="L107" s="70" t="str">
        <f aca="false">IF(OR(F107="",F106=""),"",F107-F106)</f>
        <v/>
      </c>
      <c r="M107" s="70" t="str">
        <f aca="false">IF(OR(G107="",G106=""),"",G107-G106)</f>
        <v/>
      </c>
      <c r="N107" s="33" t="str">
        <f aca="false">IF(COUNT(B107:G107)=0,"",SUM(B107:G107))</f>
        <v/>
      </c>
      <c r="O107" s="70" t="str">
        <f aca="false">IF(COUNT(H107:M107)=0,"",SUM(H107:M107))</f>
        <v/>
      </c>
    </row>
    <row r="108" customFormat="false" ht="15" hidden="false" customHeight="false" outlineLevel="0" collapsed="false">
      <c r="A108" s="27" t="n">
        <f aca="false">A107+7</f>
        <v>47014</v>
      </c>
      <c r="B108" s="32"/>
      <c r="C108" s="32"/>
      <c r="D108" s="32"/>
      <c r="E108" s="32"/>
      <c r="F108" s="32"/>
      <c r="G108" s="32"/>
      <c r="H108" s="70" t="str">
        <f aca="false">IF(OR(B108="",B107=""),"",B108-B107)</f>
        <v/>
      </c>
      <c r="I108" s="70" t="str">
        <f aca="false">IF(OR(C108="",C107=""),"",C108-C107)</f>
        <v/>
      </c>
      <c r="J108" s="70" t="str">
        <f aca="false">IF(OR(D108="",D107=""),"",D108-D107)</f>
        <v/>
      </c>
      <c r="K108" s="70" t="str">
        <f aca="false">IF(OR(E108="",E107=""),"",E108-E107)</f>
        <v/>
      </c>
      <c r="L108" s="70" t="str">
        <f aca="false">IF(OR(F108="",F107=""),"",F108-F107)</f>
        <v/>
      </c>
      <c r="M108" s="70" t="str">
        <f aca="false">IF(OR(G108="",G107=""),"",G108-G107)</f>
        <v/>
      </c>
      <c r="N108" s="33" t="str">
        <f aca="false">IF(COUNT(B108:G108)=0,"",SUM(B108:G108))</f>
        <v/>
      </c>
      <c r="O108" s="70" t="str">
        <f aca="false">IF(COUNT(H108:M108)=0,"",SUM(H108:M108))</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A1:G6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4" min="3" style="0" width="44"/>
    <col collapsed="false" customWidth="true" hidden="false" outlineLevel="0" max="5" min="5" style="0" width="40"/>
    <col collapsed="false" customWidth="true" hidden="false" outlineLevel="0" max="6" min="6" style="0" width="14"/>
    <col collapsed="false" customWidth="true" hidden="false" outlineLevel="0" max="7" min="7" style="0" width="16"/>
  </cols>
  <sheetData>
    <row r="1" customFormat="false" ht="19.7" hidden="false" customHeight="false" outlineLevel="0" collapsed="false">
      <c r="A1" s="1" t="s">
        <v>323</v>
      </c>
    </row>
    <row r="2" customFormat="false" ht="15" hidden="false" customHeight="false" outlineLevel="0" collapsed="false">
      <c r="A2" s="2" t="s">
        <v>324</v>
      </c>
    </row>
    <row r="4" customFormat="false" ht="15" hidden="false" customHeight="false" outlineLevel="0" collapsed="false">
      <c r="B4" s="3" t="s">
        <v>325</v>
      </c>
    </row>
    <row r="5" customFormat="false" ht="15" hidden="false" customHeight="false" outlineLevel="0" collapsed="false">
      <c r="B5" s="71" t="s">
        <v>326</v>
      </c>
      <c r="C5" s="71" t="s">
        <v>327</v>
      </c>
      <c r="D5" s="71" t="s">
        <v>328</v>
      </c>
      <c r="E5" s="71" t="s">
        <v>329</v>
      </c>
    </row>
    <row r="6" customFormat="false" ht="23.85" hidden="false" customHeight="false" outlineLevel="0" collapsed="false">
      <c r="B6" s="72" t="s">
        <v>92</v>
      </c>
      <c r="C6" s="73" t="s">
        <v>330</v>
      </c>
      <c r="D6" s="73" t="s">
        <v>331</v>
      </c>
      <c r="E6" s="73" t="s">
        <v>332</v>
      </c>
    </row>
    <row r="7" customFormat="false" ht="23.85" hidden="false" customHeight="false" outlineLevel="0" collapsed="false">
      <c r="B7" s="72" t="s">
        <v>93</v>
      </c>
      <c r="C7" s="73" t="s">
        <v>333</v>
      </c>
      <c r="D7" s="73" t="s">
        <v>334</v>
      </c>
      <c r="E7" s="73" t="s">
        <v>335</v>
      </c>
    </row>
    <row r="8" customFormat="false" ht="23.85" hidden="false" customHeight="false" outlineLevel="0" collapsed="false">
      <c r="B8" s="72" t="s">
        <v>94</v>
      </c>
      <c r="C8" s="73" t="s">
        <v>336</v>
      </c>
      <c r="D8" s="73" t="s">
        <v>337</v>
      </c>
      <c r="E8" s="73" t="s">
        <v>338</v>
      </c>
    </row>
    <row r="9" customFormat="false" ht="23.85" hidden="false" customHeight="false" outlineLevel="0" collapsed="false">
      <c r="B9" s="72" t="s">
        <v>95</v>
      </c>
      <c r="C9" s="73" t="s">
        <v>339</v>
      </c>
      <c r="D9" s="73" t="s">
        <v>340</v>
      </c>
      <c r="E9" s="73" t="s">
        <v>341</v>
      </c>
    </row>
    <row r="10" customFormat="false" ht="23.85" hidden="false" customHeight="false" outlineLevel="0" collapsed="false">
      <c r="B10" s="72" t="s">
        <v>342</v>
      </c>
      <c r="C10" s="73" t="s">
        <v>343</v>
      </c>
      <c r="D10" s="73" t="s">
        <v>344</v>
      </c>
      <c r="E10" s="73" t="s">
        <v>345</v>
      </c>
    </row>
    <row r="12" customFormat="false" ht="15" hidden="false" customHeight="false" outlineLevel="0" collapsed="false">
      <c r="B12" s="3" t="s">
        <v>346</v>
      </c>
    </row>
    <row r="13" customFormat="false" ht="15" hidden="false" customHeight="false" outlineLevel="0" collapsed="false">
      <c r="B13" s="71" t="s">
        <v>347</v>
      </c>
      <c r="C13" s="71" t="s">
        <v>348</v>
      </c>
      <c r="D13" s="71" t="s">
        <v>349</v>
      </c>
      <c r="E13" s="71" t="s">
        <v>215</v>
      </c>
    </row>
    <row r="14" customFormat="false" ht="35.05" hidden="false" customHeight="false" outlineLevel="0" collapsed="false">
      <c r="B14" s="72" t="s">
        <v>350</v>
      </c>
      <c r="C14" s="73" t="s">
        <v>142</v>
      </c>
      <c r="D14" s="73" t="s">
        <v>351</v>
      </c>
      <c r="E14" s="73" t="s">
        <v>352</v>
      </c>
    </row>
    <row r="15" customFormat="false" ht="35.05" hidden="false" customHeight="false" outlineLevel="0" collapsed="false">
      <c r="B15" s="72" t="s">
        <v>353</v>
      </c>
      <c r="C15" s="73" t="s">
        <v>174</v>
      </c>
      <c r="D15" s="73" t="s">
        <v>354</v>
      </c>
      <c r="E15" s="73" t="s">
        <v>355</v>
      </c>
    </row>
    <row r="16" customFormat="false" ht="23.85" hidden="false" customHeight="false" outlineLevel="0" collapsed="false">
      <c r="B16" s="72" t="s">
        <v>356</v>
      </c>
      <c r="C16" s="73" t="s">
        <v>184</v>
      </c>
      <c r="D16" s="73" t="s">
        <v>357</v>
      </c>
      <c r="E16" s="73" t="s">
        <v>358</v>
      </c>
    </row>
    <row r="17" customFormat="false" ht="46.25" hidden="false" customHeight="false" outlineLevel="0" collapsed="false">
      <c r="B17" s="72" t="s">
        <v>359</v>
      </c>
      <c r="C17" s="73" t="s">
        <v>360</v>
      </c>
      <c r="D17" s="73" t="s">
        <v>361</v>
      </c>
      <c r="E17" s="73" t="s">
        <v>362</v>
      </c>
    </row>
    <row r="18" customFormat="false" ht="57.45" hidden="false" customHeight="false" outlineLevel="0" collapsed="false">
      <c r="B18" s="72" t="s">
        <v>124</v>
      </c>
      <c r="C18" s="73" t="s">
        <v>360</v>
      </c>
      <c r="D18" s="73" t="s">
        <v>363</v>
      </c>
      <c r="E18" s="73"/>
    </row>
    <row r="19" customFormat="false" ht="35.05" hidden="false" customHeight="false" outlineLevel="0" collapsed="false">
      <c r="B19" s="72" t="s">
        <v>364</v>
      </c>
      <c r="C19" s="73" t="s">
        <v>365</v>
      </c>
      <c r="D19" s="73" t="s">
        <v>366</v>
      </c>
      <c r="E19" s="73" t="s">
        <v>367</v>
      </c>
    </row>
    <row r="20" customFormat="false" ht="15" hidden="false" customHeight="false" outlineLevel="0" collapsed="false">
      <c r="B20" s="72" t="s">
        <v>368</v>
      </c>
      <c r="C20" s="73" t="s">
        <v>369</v>
      </c>
      <c r="D20" s="73" t="s">
        <v>370</v>
      </c>
      <c r="E20" s="73"/>
    </row>
    <row r="22" customFormat="false" ht="15" hidden="false" customHeight="false" outlineLevel="0" collapsed="false">
      <c r="B22" s="3" t="s">
        <v>371</v>
      </c>
    </row>
    <row r="23" customFormat="false" ht="15" hidden="false" customHeight="false" outlineLevel="0" collapsed="false">
      <c r="B23" s="71" t="s">
        <v>372</v>
      </c>
      <c r="C23" s="71" t="s">
        <v>373</v>
      </c>
      <c r="D23" s="71" t="s">
        <v>374</v>
      </c>
      <c r="E23" s="71" t="s">
        <v>375</v>
      </c>
      <c r="F23" s="71" t="s">
        <v>376</v>
      </c>
      <c r="G23" s="71" t="s">
        <v>377</v>
      </c>
    </row>
    <row r="24" customFormat="false" ht="23.85" hidden="false" customHeight="false" outlineLevel="0" collapsed="false">
      <c r="B24" s="72" t="s">
        <v>378</v>
      </c>
      <c r="C24" s="73" t="s">
        <v>379</v>
      </c>
      <c r="D24" s="73" t="s">
        <v>380</v>
      </c>
      <c r="E24" s="73" t="s">
        <v>381</v>
      </c>
      <c r="F24" s="74"/>
      <c r="G24" s="74"/>
    </row>
    <row r="25" customFormat="false" ht="23.85" hidden="false" customHeight="false" outlineLevel="0" collapsed="false">
      <c r="B25" s="72" t="s">
        <v>382</v>
      </c>
      <c r="C25" s="73" t="s">
        <v>383</v>
      </c>
      <c r="D25" s="73" t="s">
        <v>384</v>
      </c>
      <c r="E25" s="73" t="s">
        <v>385</v>
      </c>
      <c r="F25" s="74"/>
      <c r="G25" s="74"/>
    </row>
    <row r="26" customFormat="false" ht="35.05" hidden="false" customHeight="false" outlineLevel="0" collapsed="false">
      <c r="B26" s="72" t="s">
        <v>386</v>
      </c>
      <c r="C26" s="73" t="s">
        <v>387</v>
      </c>
      <c r="D26" s="73" t="s">
        <v>388</v>
      </c>
      <c r="E26" s="73" t="s">
        <v>389</v>
      </c>
      <c r="F26" s="74"/>
      <c r="G26" s="74"/>
    </row>
    <row r="27" customFormat="false" ht="35.05" hidden="false" customHeight="false" outlineLevel="0" collapsed="false">
      <c r="B27" s="72" t="s">
        <v>390</v>
      </c>
      <c r="C27" s="73" t="s">
        <v>391</v>
      </c>
      <c r="D27" s="73" t="s">
        <v>392</v>
      </c>
      <c r="E27" s="73" t="s">
        <v>393</v>
      </c>
      <c r="F27" s="74"/>
      <c r="G27" s="74"/>
    </row>
    <row r="28" customFormat="false" ht="35.05" hidden="false" customHeight="false" outlineLevel="0" collapsed="false">
      <c r="B28" s="72" t="s">
        <v>394</v>
      </c>
      <c r="C28" s="73" t="s">
        <v>395</v>
      </c>
      <c r="D28" s="73" t="s">
        <v>396</v>
      </c>
      <c r="E28" s="73" t="s">
        <v>397</v>
      </c>
      <c r="F28" s="74"/>
      <c r="G28" s="74"/>
    </row>
    <row r="29" customFormat="false" ht="23.85" hidden="false" customHeight="false" outlineLevel="0" collapsed="false">
      <c r="B29" s="72" t="s">
        <v>398</v>
      </c>
      <c r="C29" s="73" t="s">
        <v>399</v>
      </c>
      <c r="D29" s="73" t="s">
        <v>400</v>
      </c>
      <c r="E29" s="73" t="s">
        <v>401</v>
      </c>
      <c r="F29" s="74"/>
      <c r="G29" s="74"/>
    </row>
    <row r="30" customFormat="false" ht="23.85" hidden="false" customHeight="false" outlineLevel="0" collapsed="false">
      <c r="B30" s="72" t="s">
        <v>402</v>
      </c>
      <c r="C30" s="73" t="s">
        <v>403</v>
      </c>
      <c r="D30" s="73" t="s">
        <v>404</v>
      </c>
      <c r="E30" s="73"/>
      <c r="F30" s="74"/>
      <c r="G30" s="74"/>
    </row>
    <row r="31" customFormat="false" ht="23.85" hidden="false" customHeight="false" outlineLevel="0" collapsed="false">
      <c r="B31" s="72" t="s">
        <v>405</v>
      </c>
      <c r="C31" s="73" t="s">
        <v>406</v>
      </c>
      <c r="D31" s="73" t="s">
        <v>407</v>
      </c>
      <c r="E31" s="73" t="s">
        <v>408</v>
      </c>
      <c r="F31" s="74"/>
      <c r="G31" s="74"/>
    </row>
    <row r="32" customFormat="false" ht="23.85" hidden="false" customHeight="false" outlineLevel="0" collapsed="false">
      <c r="B32" s="72" t="s">
        <v>409</v>
      </c>
      <c r="C32" s="73" t="s">
        <v>410</v>
      </c>
      <c r="D32" s="73" t="s">
        <v>411</v>
      </c>
      <c r="E32" s="73"/>
      <c r="F32" s="74"/>
      <c r="G32" s="74"/>
    </row>
    <row r="33" customFormat="false" ht="23.85" hidden="false" customHeight="false" outlineLevel="0" collapsed="false">
      <c r="B33" s="72" t="s">
        <v>412</v>
      </c>
      <c r="C33" s="73" t="s">
        <v>413</v>
      </c>
      <c r="D33" s="73" t="s">
        <v>414</v>
      </c>
      <c r="E33" s="73" t="s">
        <v>415</v>
      </c>
      <c r="F33" s="74"/>
      <c r="G33" s="74"/>
    </row>
    <row r="34" customFormat="false" ht="23.85" hidden="false" customHeight="false" outlineLevel="0" collapsed="false">
      <c r="B34" s="72" t="s">
        <v>416</v>
      </c>
      <c r="C34" s="73" t="s">
        <v>417</v>
      </c>
      <c r="D34" s="73" t="s">
        <v>418</v>
      </c>
      <c r="E34" s="73" t="s">
        <v>419</v>
      </c>
      <c r="F34" s="74"/>
      <c r="G34" s="74"/>
    </row>
    <row r="35" customFormat="false" ht="23.85" hidden="false" customHeight="false" outlineLevel="0" collapsed="false">
      <c r="B35" s="72" t="s">
        <v>420</v>
      </c>
      <c r="C35" s="73" t="s">
        <v>421</v>
      </c>
      <c r="D35" s="73" t="s">
        <v>422</v>
      </c>
      <c r="E35" s="73"/>
      <c r="F35" s="74"/>
      <c r="G35" s="74"/>
    </row>
    <row r="36" customFormat="false" ht="23.85" hidden="false" customHeight="false" outlineLevel="0" collapsed="false">
      <c r="B36" s="72" t="s">
        <v>423</v>
      </c>
      <c r="C36" s="73" t="s">
        <v>424</v>
      </c>
      <c r="D36" s="73" t="s">
        <v>425</v>
      </c>
      <c r="E36" s="73"/>
      <c r="F36" s="74"/>
      <c r="G36" s="74"/>
    </row>
    <row r="37" customFormat="false" ht="23.85" hidden="false" customHeight="false" outlineLevel="0" collapsed="false">
      <c r="B37" s="72" t="s">
        <v>426</v>
      </c>
      <c r="C37" s="73" t="s">
        <v>427</v>
      </c>
      <c r="D37" s="73" t="s">
        <v>428</v>
      </c>
      <c r="E37" s="73"/>
      <c r="F37" s="74"/>
      <c r="G37" s="74"/>
    </row>
    <row r="39" customFormat="false" ht="15" hidden="false" customHeight="false" outlineLevel="0" collapsed="false">
      <c r="B39" s="64" t="s">
        <v>429</v>
      </c>
    </row>
    <row r="40" customFormat="false" ht="15" hidden="false" customHeight="false" outlineLevel="0" collapsed="false">
      <c r="B40" s="75" t="s">
        <v>430</v>
      </c>
      <c r="C40" s="75" t="s">
        <v>431</v>
      </c>
      <c r="D40" s="75" t="s">
        <v>432</v>
      </c>
      <c r="E40" s="75" t="s">
        <v>433</v>
      </c>
    </row>
    <row r="41" customFormat="false" ht="23.85" hidden="false" customHeight="false" outlineLevel="0" collapsed="false">
      <c r="B41" s="72" t="s">
        <v>434</v>
      </c>
      <c r="C41" s="73" t="s">
        <v>435</v>
      </c>
      <c r="D41" s="73" t="s">
        <v>436</v>
      </c>
      <c r="E41" s="73" t="s">
        <v>437</v>
      </c>
    </row>
    <row r="42" customFormat="false" ht="35.05" hidden="false" customHeight="false" outlineLevel="0" collapsed="false">
      <c r="B42" s="72" t="s">
        <v>438</v>
      </c>
      <c r="C42" s="73" t="s">
        <v>439</v>
      </c>
      <c r="D42" s="73" t="s">
        <v>440</v>
      </c>
      <c r="E42" s="73" t="s">
        <v>441</v>
      </c>
    </row>
    <row r="43" customFormat="false" ht="23.85" hidden="false" customHeight="false" outlineLevel="0" collapsed="false">
      <c r="B43" s="72" t="s">
        <v>442</v>
      </c>
      <c r="C43" s="73" t="s">
        <v>443</v>
      </c>
      <c r="D43" s="73" t="s">
        <v>444</v>
      </c>
      <c r="E43" s="73" t="s">
        <v>445</v>
      </c>
    </row>
    <row r="44" customFormat="false" ht="35.05" hidden="false" customHeight="false" outlineLevel="0" collapsed="false">
      <c r="B44" s="72" t="s">
        <v>446</v>
      </c>
      <c r="C44" s="73" t="s">
        <v>447</v>
      </c>
      <c r="D44" s="73" t="s">
        <v>448</v>
      </c>
      <c r="E44" s="73" t="s">
        <v>449</v>
      </c>
    </row>
    <row r="45" customFormat="false" ht="23.85" hidden="false" customHeight="false" outlineLevel="0" collapsed="false">
      <c r="B45" s="72" t="s">
        <v>450</v>
      </c>
      <c r="C45" s="73" t="s">
        <v>451</v>
      </c>
      <c r="D45" s="73" t="s">
        <v>452</v>
      </c>
      <c r="E45" s="73" t="s">
        <v>453</v>
      </c>
    </row>
    <row r="46" customFormat="false" ht="23.85" hidden="false" customHeight="false" outlineLevel="0" collapsed="false">
      <c r="B46" s="72" t="s">
        <v>454</v>
      </c>
      <c r="C46" s="73" t="s">
        <v>455</v>
      </c>
      <c r="D46" s="73" t="s">
        <v>456</v>
      </c>
      <c r="E46" s="73" t="s">
        <v>457</v>
      </c>
    </row>
    <row r="47" customFormat="false" ht="23.85" hidden="false" customHeight="false" outlineLevel="0" collapsed="false">
      <c r="B47" s="72" t="s">
        <v>458</v>
      </c>
      <c r="C47" s="73" t="s">
        <v>459</v>
      </c>
      <c r="D47" s="73" t="s">
        <v>460</v>
      </c>
      <c r="E47" s="73" t="s">
        <v>457</v>
      </c>
    </row>
    <row r="48" customFormat="false" ht="23.85" hidden="false" customHeight="false" outlineLevel="0" collapsed="false">
      <c r="B48" s="72" t="s">
        <v>461</v>
      </c>
      <c r="C48" s="73" t="s">
        <v>462</v>
      </c>
      <c r="D48" s="73" t="s">
        <v>463</v>
      </c>
      <c r="E48" s="73" t="s">
        <v>464</v>
      </c>
    </row>
    <row r="49" customFormat="false" ht="23.85" hidden="false" customHeight="false" outlineLevel="0" collapsed="false">
      <c r="B49" s="72" t="s">
        <v>465</v>
      </c>
      <c r="C49" s="73" t="s">
        <v>466</v>
      </c>
      <c r="D49" s="73" t="s">
        <v>467</v>
      </c>
      <c r="E49" s="73" t="s">
        <v>468</v>
      </c>
    </row>
    <row r="50" customFormat="false" ht="15" hidden="false" customHeight="false" outlineLevel="0" collapsed="false">
      <c r="B50" s="72" t="s">
        <v>469</v>
      </c>
      <c r="C50" s="73" t="s">
        <v>470</v>
      </c>
      <c r="D50" s="73" t="s">
        <v>471</v>
      </c>
      <c r="E50" s="73" t="s">
        <v>472</v>
      </c>
    </row>
    <row r="51" customFormat="false" ht="23.85" hidden="false" customHeight="false" outlineLevel="0" collapsed="false">
      <c r="B51" s="72" t="s">
        <v>473</v>
      </c>
      <c r="C51" s="73" t="s">
        <v>474</v>
      </c>
      <c r="D51" s="73" t="s">
        <v>475</v>
      </c>
      <c r="E51" s="73" t="s">
        <v>476</v>
      </c>
    </row>
    <row r="52" customFormat="false" ht="23.85" hidden="false" customHeight="false" outlineLevel="0" collapsed="false">
      <c r="B52" s="72" t="s">
        <v>477</v>
      </c>
      <c r="C52" s="73" t="s">
        <v>478</v>
      </c>
      <c r="D52" s="73" t="s">
        <v>479</v>
      </c>
      <c r="E52" s="73" t="s">
        <v>480</v>
      </c>
    </row>
    <row r="54" customFormat="false" ht="15" hidden="false" customHeight="false" outlineLevel="0" collapsed="false">
      <c r="B54" s="55" t="s">
        <v>481</v>
      </c>
    </row>
    <row r="55" customFormat="false" ht="15" hidden="false" customHeight="false" outlineLevel="0" collapsed="false">
      <c r="B55" s="76" t="s">
        <v>147</v>
      </c>
      <c r="C55" s="76" t="s">
        <v>482</v>
      </c>
      <c r="D55" s="76"/>
      <c r="E55" s="76"/>
    </row>
    <row r="56" customFormat="false" ht="23.85" hidden="false" customHeight="false" outlineLevel="0" collapsed="false">
      <c r="B56" s="72" t="s">
        <v>483</v>
      </c>
      <c r="C56" s="73" t="s">
        <v>484</v>
      </c>
      <c r="D56" s="73"/>
      <c r="E56" s="73"/>
    </row>
    <row r="57" customFormat="false" ht="23.85" hidden="false" customHeight="false" outlineLevel="0" collapsed="false">
      <c r="B57" s="72" t="s">
        <v>485</v>
      </c>
      <c r="C57" s="73" t="s">
        <v>486</v>
      </c>
      <c r="D57" s="73"/>
      <c r="E57" s="73"/>
    </row>
    <row r="58" customFormat="false" ht="23.85" hidden="false" customHeight="false" outlineLevel="0" collapsed="false">
      <c r="B58" s="72" t="s">
        <v>487</v>
      </c>
      <c r="C58" s="73" t="s">
        <v>488</v>
      </c>
      <c r="D58" s="73"/>
      <c r="E58" s="73"/>
    </row>
    <row r="59" customFormat="false" ht="35.05" hidden="false" customHeight="false" outlineLevel="0" collapsed="false">
      <c r="B59" s="72" t="s">
        <v>489</v>
      </c>
      <c r="C59" s="73" t="s">
        <v>490</v>
      </c>
      <c r="D59" s="73"/>
      <c r="E59" s="73"/>
    </row>
    <row r="60" customFormat="false" ht="23.85" hidden="false" customHeight="false" outlineLevel="0" collapsed="false">
      <c r="B60" s="72" t="s">
        <v>491</v>
      </c>
      <c r="C60" s="73" t="s">
        <v>492</v>
      </c>
      <c r="D60" s="73"/>
      <c r="E60" s="73"/>
    </row>
    <row r="61" customFormat="false" ht="15" hidden="false" customHeight="false" outlineLevel="0" collapsed="false">
      <c r="B61" s="72" t="s">
        <v>493</v>
      </c>
      <c r="C61" s="73" t="s">
        <v>494</v>
      </c>
      <c r="D61" s="73"/>
      <c r="E61" s="73"/>
    </row>
    <row r="62" customFormat="false" ht="15" hidden="false" customHeight="false" outlineLevel="0" collapsed="false">
      <c r="B62" s="72" t="s">
        <v>495</v>
      </c>
      <c r="C62" s="73" t="s">
        <v>496</v>
      </c>
      <c r="D62" s="73"/>
      <c r="E62" s="73"/>
    </row>
    <row r="63" customFormat="false" ht="23.85" hidden="false" customHeight="false" outlineLevel="0" collapsed="false">
      <c r="B63" s="72" t="s">
        <v>497</v>
      </c>
      <c r="C63" s="73" t="s">
        <v>498</v>
      </c>
      <c r="D63" s="73"/>
      <c r="E63" s="73"/>
    </row>
  </sheetData>
  <dataValidations count="1">
    <dataValidation allowBlank="true" errorStyle="stop" operator="between" showDropDown="false" showErrorMessage="false" showInputMessage="false" sqref="F24:F37" type="list">
      <formula1>Settings!$Z$5:$Z$48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A1:D2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55"/>
    <col collapsed="false" customWidth="true" hidden="false" outlineLevel="0" max="4" min="4" style="0" width="70"/>
  </cols>
  <sheetData>
    <row r="1" customFormat="false" ht="19.7" hidden="false" customHeight="false" outlineLevel="0" collapsed="false">
      <c r="A1" s="1" t="s">
        <v>27</v>
      </c>
    </row>
    <row r="2" customFormat="false" ht="15" hidden="false" customHeight="false" outlineLevel="0" collapsed="false">
      <c r="A2" s="2" t="s">
        <v>499</v>
      </c>
    </row>
    <row r="4" customFormat="false" ht="15" hidden="false" customHeight="false" outlineLevel="0" collapsed="false">
      <c r="B4" s="77" t="s">
        <v>500</v>
      </c>
      <c r="C4" s="77" t="s">
        <v>501</v>
      </c>
      <c r="D4" s="77" t="s">
        <v>502</v>
      </c>
    </row>
    <row r="5" customFormat="false" ht="15" hidden="false" customHeight="false" outlineLevel="0" collapsed="false">
      <c r="B5" s="72" t="s">
        <v>111</v>
      </c>
      <c r="C5" s="73" t="s">
        <v>503</v>
      </c>
      <c r="D5" s="73" t="s">
        <v>504</v>
      </c>
    </row>
    <row r="6" customFormat="false" ht="15" hidden="false" customHeight="false" outlineLevel="0" collapsed="false">
      <c r="B6" s="72" t="s">
        <v>113</v>
      </c>
      <c r="C6" s="73" t="s">
        <v>505</v>
      </c>
      <c r="D6" s="73" t="s">
        <v>506</v>
      </c>
    </row>
    <row r="7" customFormat="false" ht="15" hidden="false" customHeight="false" outlineLevel="0" collapsed="false">
      <c r="B7" s="72" t="s">
        <v>114</v>
      </c>
      <c r="C7" s="73" t="s">
        <v>507</v>
      </c>
      <c r="D7" s="73" t="s">
        <v>508</v>
      </c>
    </row>
    <row r="8" customFormat="false" ht="23.85" hidden="false" customHeight="false" outlineLevel="0" collapsed="false">
      <c r="B8" s="72" t="s">
        <v>115</v>
      </c>
      <c r="C8" s="73" t="s">
        <v>509</v>
      </c>
      <c r="D8" s="73" t="s">
        <v>510</v>
      </c>
    </row>
    <row r="9" customFormat="false" ht="15" hidden="false" customHeight="false" outlineLevel="0" collapsed="false">
      <c r="B9" s="72" t="s">
        <v>116</v>
      </c>
      <c r="C9" s="73" t="s">
        <v>511</v>
      </c>
      <c r="D9" s="73" t="s">
        <v>512</v>
      </c>
    </row>
    <row r="10" customFormat="false" ht="23.85" hidden="false" customHeight="false" outlineLevel="0" collapsed="false">
      <c r="B10" s="72" t="s">
        <v>117</v>
      </c>
      <c r="C10" s="73" t="s">
        <v>513</v>
      </c>
      <c r="D10" s="73" t="s">
        <v>514</v>
      </c>
    </row>
    <row r="11" customFormat="false" ht="15" hidden="false" customHeight="false" outlineLevel="0" collapsed="false">
      <c r="B11" s="72" t="s">
        <v>118</v>
      </c>
      <c r="C11" s="73" t="s">
        <v>515</v>
      </c>
      <c r="D11" s="73" t="s">
        <v>516</v>
      </c>
    </row>
    <row r="12" customFormat="false" ht="15" hidden="false" customHeight="false" outlineLevel="0" collapsed="false">
      <c r="B12" s="72" t="s">
        <v>119</v>
      </c>
      <c r="C12" s="73" t="s">
        <v>517</v>
      </c>
      <c r="D12" s="73" t="s">
        <v>518</v>
      </c>
    </row>
    <row r="13" customFormat="false" ht="15" hidden="false" customHeight="false" outlineLevel="0" collapsed="false">
      <c r="B13" s="72" t="s">
        <v>120</v>
      </c>
      <c r="C13" s="73" t="s">
        <v>519</v>
      </c>
      <c r="D13" s="73" t="s">
        <v>520</v>
      </c>
    </row>
    <row r="14" customFormat="false" ht="15" hidden="false" customHeight="false" outlineLevel="0" collapsed="false">
      <c r="B14" s="72" t="s">
        <v>121</v>
      </c>
      <c r="C14" s="73" t="s">
        <v>521</v>
      </c>
      <c r="D14" s="73" t="s">
        <v>522</v>
      </c>
    </row>
    <row r="15" customFormat="false" ht="15" hidden="false" customHeight="false" outlineLevel="0" collapsed="false">
      <c r="B15" s="72" t="s">
        <v>109</v>
      </c>
      <c r="C15" s="73" t="s">
        <v>523</v>
      </c>
      <c r="D15" s="73" t="s">
        <v>524</v>
      </c>
    </row>
    <row r="16" customFormat="false" ht="15" hidden="false" customHeight="false" outlineLevel="0" collapsed="false">
      <c r="B16" s="72" t="s">
        <v>131</v>
      </c>
      <c r="C16" s="73" t="s">
        <v>525</v>
      </c>
      <c r="D16" s="73" t="s">
        <v>526</v>
      </c>
    </row>
    <row r="17" customFormat="false" ht="15" hidden="false" customHeight="false" outlineLevel="0" collapsed="false">
      <c r="B17" s="72" t="s">
        <v>132</v>
      </c>
      <c r="C17" s="73" t="s">
        <v>527</v>
      </c>
      <c r="D17" s="73" t="s">
        <v>528</v>
      </c>
    </row>
    <row r="18" customFormat="false" ht="15" hidden="false" customHeight="false" outlineLevel="0" collapsed="false">
      <c r="B18" s="72" t="s">
        <v>133</v>
      </c>
      <c r="C18" s="73" t="s">
        <v>529</v>
      </c>
      <c r="D18" s="73" t="s">
        <v>530</v>
      </c>
    </row>
    <row r="19" customFormat="false" ht="15" hidden="false" customHeight="false" outlineLevel="0" collapsed="false">
      <c r="B19" s="72" t="s">
        <v>134</v>
      </c>
      <c r="C19" s="73" t="s">
        <v>531</v>
      </c>
      <c r="D19" s="73" t="s">
        <v>532</v>
      </c>
    </row>
    <row r="20" customFormat="false" ht="15" hidden="false" customHeight="false" outlineLevel="0" collapsed="false">
      <c r="B20" s="72" t="s">
        <v>533</v>
      </c>
      <c r="C20" s="73" t="s">
        <v>534</v>
      </c>
      <c r="D20" s="73" t="s">
        <v>535</v>
      </c>
    </row>
    <row r="21" customFormat="false" ht="15" hidden="false" customHeight="false" outlineLevel="0" collapsed="false">
      <c r="B21" s="72" t="s">
        <v>536</v>
      </c>
      <c r="C21" s="73" t="s">
        <v>537</v>
      </c>
      <c r="D21" s="73" t="s">
        <v>538</v>
      </c>
    </row>
    <row r="22" customFormat="false" ht="15" hidden="false" customHeight="false" outlineLevel="0" collapsed="false">
      <c r="B22" s="72" t="s">
        <v>229</v>
      </c>
      <c r="C22" s="73" t="s">
        <v>539</v>
      </c>
      <c r="D22" s="73" t="s">
        <v>540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AA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30"/>
    <col collapsed="false" customWidth="true" hidden="false" outlineLevel="0" max="6" min="4" style="0" width="14"/>
    <col collapsed="false" customWidth="true" hidden="false" outlineLevel="0" max="7" min="7" style="0" width="24"/>
    <col collapsed="false" customWidth="true" hidden="false" outlineLevel="0" max="8" min="8" style="0" width="14"/>
    <col collapsed="false" customWidth="true" hidden="false" outlineLevel="0" max="9" min="9" style="0" width="34"/>
    <col collapsed="false" customWidth="true" hidden="false" outlineLevel="0" max="10" min="10" style="0" width="20"/>
    <col collapsed="false" customWidth="true" hidden="false" outlineLevel="0" max="11" min="11" style="0" width="27"/>
    <col collapsed="false" customWidth="true" hidden="false" outlineLevel="0" max="12" min="12" style="0" width="18"/>
    <col collapsed="false" customWidth="true" hidden="false" outlineLevel="0" max="13" min="13" style="0" width="32"/>
    <col collapsed="false" customWidth="true" hidden="false" outlineLevel="0" max="14" min="14" style="0" width="19"/>
    <col collapsed="false" customWidth="true" hidden="false" outlineLevel="0" max="15" min="15" style="0" width="14"/>
    <col collapsed="false" customWidth="true" hidden="false" outlineLevel="0" max="16" min="16" style="0" width="20"/>
    <col collapsed="false" customWidth="true" hidden="false" outlineLevel="0" max="17" min="17" style="0" width="27"/>
    <col collapsed="false" customWidth="true" hidden="false" outlineLevel="0" max="19" min="18" style="0" width="14"/>
    <col collapsed="false" customWidth="true" hidden="false" outlineLevel="0" max="20" min="20" style="0" width="16"/>
    <col collapsed="false" customWidth="true" hidden="false" outlineLevel="0" max="21" min="21" style="0" width="20"/>
    <col collapsed="false" customWidth="true" hidden="false" outlineLevel="0" max="22" min="22" style="0" width="30"/>
    <col collapsed="false" customWidth="true" hidden="false" outlineLevel="0" max="23" min="23" style="0" width="28"/>
    <col collapsed="false" customWidth="true" hidden="false" outlineLevel="0" max="24" min="24" style="0" width="19"/>
    <col collapsed="false" customWidth="true" hidden="false" outlineLevel="0" max="27" min="25" style="0" width="14"/>
  </cols>
  <sheetData>
    <row r="1" customFormat="false" ht="19.7" hidden="false" customHeight="false" outlineLevel="0" collapsed="false">
      <c r="A1" s="1" t="s">
        <v>541</v>
      </c>
    </row>
    <row r="2" customFormat="false" ht="15" hidden="false" customHeight="false" outlineLevel="0" collapsed="false">
      <c r="A2" s="2" t="s">
        <v>542</v>
      </c>
    </row>
    <row r="4" customFormat="false" ht="15" hidden="false" customHeight="false" outlineLevel="0" collapsed="false">
      <c r="A4" s="63" t="s">
        <v>543</v>
      </c>
      <c r="B4" s="63" t="s">
        <v>544</v>
      </c>
      <c r="D4" s="78" t="s">
        <v>77</v>
      </c>
      <c r="E4" s="78" t="s">
        <v>545</v>
      </c>
      <c r="F4" s="78" t="s">
        <v>92</v>
      </c>
      <c r="G4" s="78" t="s">
        <v>78</v>
      </c>
      <c r="H4" s="78" t="s">
        <v>546</v>
      </c>
      <c r="I4" s="78" t="s">
        <v>80</v>
      </c>
      <c r="J4" s="78" t="s">
        <v>547</v>
      </c>
      <c r="K4" s="78" t="s">
        <v>79</v>
      </c>
      <c r="L4" s="78" t="s">
        <v>83</v>
      </c>
      <c r="M4" s="78" t="s">
        <v>84</v>
      </c>
      <c r="N4" s="78" t="s">
        <v>85</v>
      </c>
      <c r="O4" s="78" t="s">
        <v>548</v>
      </c>
      <c r="P4" s="78" t="s">
        <v>91</v>
      </c>
      <c r="Q4" s="78" t="s">
        <v>137</v>
      </c>
      <c r="R4" s="78" t="s">
        <v>210</v>
      </c>
      <c r="S4" s="78" t="s">
        <v>211</v>
      </c>
      <c r="T4" s="78" t="s">
        <v>212</v>
      </c>
      <c r="U4" s="78" t="s">
        <v>549</v>
      </c>
      <c r="V4" s="78" t="s">
        <v>550</v>
      </c>
      <c r="W4" s="78" t="s">
        <v>295</v>
      </c>
      <c r="X4" s="78" t="s">
        <v>301</v>
      </c>
      <c r="Y4" s="78" t="s">
        <v>74</v>
      </c>
      <c r="Z4" s="78" t="s">
        <v>551</v>
      </c>
      <c r="AA4" s="78" t="s">
        <v>552</v>
      </c>
    </row>
    <row r="5" customFormat="false" ht="15" hidden="false" customHeight="false" outlineLevel="0" collapsed="false">
      <c r="A5" s="7" t="s">
        <v>553</v>
      </c>
      <c r="B5" s="28" t="s">
        <v>554</v>
      </c>
      <c r="D5" s="29" t="s">
        <v>142</v>
      </c>
      <c r="E5" s="29" t="s">
        <v>555</v>
      </c>
      <c r="F5" s="29" t="s">
        <v>331</v>
      </c>
      <c r="G5" s="29" t="s">
        <v>143</v>
      </c>
      <c r="H5" s="29" t="s">
        <v>556</v>
      </c>
      <c r="I5" s="29" t="s">
        <v>557</v>
      </c>
      <c r="J5" s="29" t="s">
        <v>558</v>
      </c>
      <c r="K5" s="29" t="s">
        <v>559</v>
      </c>
      <c r="L5" s="29" t="s">
        <v>156</v>
      </c>
      <c r="M5" s="29" t="s">
        <v>148</v>
      </c>
      <c r="N5" s="29" t="s">
        <v>149</v>
      </c>
      <c r="O5" s="29" t="s">
        <v>150</v>
      </c>
      <c r="P5" s="29" t="s">
        <v>152</v>
      </c>
      <c r="Q5" s="29" t="s">
        <v>560</v>
      </c>
      <c r="R5" s="29" t="s">
        <v>561</v>
      </c>
      <c r="S5" s="29" t="s">
        <v>562</v>
      </c>
      <c r="T5" s="29" t="s">
        <v>563</v>
      </c>
      <c r="U5" s="29" t="s">
        <v>142</v>
      </c>
      <c r="V5" s="29" t="s">
        <v>564</v>
      </c>
      <c r="W5" s="29" t="s">
        <v>565</v>
      </c>
      <c r="X5" s="29" t="s">
        <v>566</v>
      </c>
      <c r="Y5" s="29" t="s">
        <v>268</v>
      </c>
      <c r="Z5" s="29" t="s">
        <v>567</v>
      </c>
      <c r="AA5" s="29" t="s">
        <v>568</v>
      </c>
    </row>
    <row r="6" customFormat="false" ht="15" hidden="false" customHeight="false" outlineLevel="0" collapsed="false">
      <c r="A6" s="7" t="s">
        <v>569</v>
      </c>
      <c r="B6" s="28" t="n">
        <v>1</v>
      </c>
      <c r="D6" s="29" t="s">
        <v>174</v>
      </c>
      <c r="E6" s="29" t="s">
        <v>570</v>
      </c>
      <c r="F6" s="29" t="s">
        <v>571</v>
      </c>
      <c r="G6" s="29" t="s">
        <v>572</v>
      </c>
      <c r="H6" s="29" t="s">
        <v>573</v>
      </c>
      <c r="I6" s="29" t="s">
        <v>145</v>
      </c>
      <c r="J6" s="29" t="s">
        <v>574</v>
      </c>
      <c r="K6" s="29" t="s">
        <v>179</v>
      </c>
      <c r="L6" s="29" t="s">
        <v>147</v>
      </c>
      <c r="M6" s="29" t="s">
        <v>575</v>
      </c>
      <c r="N6" s="29" t="s">
        <v>576</v>
      </c>
      <c r="O6" s="29" t="s">
        <v>577</v>
      </c>
      <c r="P6" s="29" t="s">
        <v>168</v>
      </c>
      <c r="Q6" s="29" t="s">
        <v>578</v>
      </c>
      <c r="R6" s="29" t="s">
        <v>280</v>
      </c>
      <c r="S6" s="29" t="s">
        <v>579</v>
      </c>
      <c r="T6" s="29" t="s">
        <v>580</v>
      </c>
      <c r="U6" s="29" t="s">
        <v>174</v>
      </c>
      <c r="V6" s="29" t="s">
        <v>581</v>
      </c>
      <c r="W6" s="29" t="s">
        <v>582</v>
      </c>
      <c r="X6" s="29" t="s">
        <v>583</v>
      </c>
      <c r="Y6" s="29" t="s">
        <v>269</v>
      </c>
      <c r="Z6" s="29" t="s">
        <v>584</v>
      </c>
      <c r="AA6" s="29" t="s">
        <v>585</v>
      </c>
    </row>
    <row r="7" customFormat="false" ht="15" hidden="false" customHeight="false" outlineLevel="0" collapsed="false">
      <c r="A7" s="7" t="s">
        <v>586</v>
      </c>
      <c r="B7" s="28" t="n">
        <v>3</v>
      </c>
      <c r="D7" s="29" t="s">
        <v>184</v>
      </c>
      <c r="E7" s="29" t="s">
        <v>184</v>
      </c>
      <c r="F7" s="29" t="s">
        <v>587</v>
      </c>
      <c r="G7" s="29" t="s">
        <v>588</v>
      </c>
      <c r="H7" s="29" t="s">
        <v>589</v>
      </c>
      <c r="I7" s="29" t="s">
        <v>170</v>
      </c>
      <c r="J7" s="29" t="s">
        <v>590</v>
      </c>
      <c r="K7" s="29" t="s">
        <v>181</v>
      </c>
      <c r="L7" s="29" t="s">
        <v>163</v>
      </c>
      <c r="M7" s="29" t="s">
        <v>591</v>
      </c>
      <c r="N7" s="29" t="s">
        <v>592</v>
      </c>
      <c r="O7" s="29" t="s">
        <v>593</v>
      </c>
      <c r="P7" s="29" t="s">
        <v>177</v>
      </c>
      <c r="Q7" s="29" t="s">
        <v>594</v>
      </c>
      <c r="R7" s="29" t="s">
        <v>595</v>
      </c>
      <c r="S7" s="29" t="s">
        <v>596</v>
      </c>
      <c r="T7" s="29" t="s">
        <v>597</v>
      </c>
      <c r="U7" s="29" t="s">
        <v>184</v>
      </c>
      <c r="V7" s="29" t="s">
        <v>174</v>
      </c>
      <c r="W7" s="29" t="s">
        <v>598</v>
      </c>
      <c r="X7" s="29" t="s">
        <v>599</v>
      </c>
      <c r="Y7" s="29" t="s">
        <v>270</v>
      </c>
      <c r="Z7" s="29" t="s">
        <v>600</v>
      </c>
      <c r="AA7" s="29" t="s">
        <v>601</v>
      </c>
    </row>
    <row r="8" customFormat="false" ht="15" hidden="false" customHeight="false" outlineLevel="0" collapsed="false">
      <c r="A8" s="7" t="s">
        <v>602</v>
      </c>
      <c r="B8" s="28" t="n">
        <v>4</v>
      </c>
      <c r="D8" s="29" t="s">
        <v>603</v>
      </c>
      <c r="E8" s="29" t="s">
        <v>604</v>
      </c>
      <c r="F8" s="29" t="s">
        <v>605</v>
      </c>
      <c r="I8" s="29" t="s">
        <v>606</v>
      </c>
      <c r="J8" s="29" t="s">
        <v>607</v>
      </c>
      <c r="K8" s="29" t="s">
        <v>175</v>
      </c>
      <c r="L8" s="29" t="s">
        <v>608</v>
      </c>
      <c r="M8" s="29" t="s">
        <v>164</v>
      </c>
      <c r="N8" s="29" t="s">
        <v>609</v>
      </c>
      <c r="P8" s="29" t="s">
        <v>610</v>
      </c>
      <c r="Q8" s="29" t="s">
        <v>611</v>
      </c>
      <c r="R8" s="29" t="s">
        <v>612</v>
      </c>
      <c r="T8" s="29" t="s">
        <v>613</v>
      </c>
      <c r="U8" s="29" t="s">
        <v>603</v>
      </c>
      <c r="V8" s="29" t="s">
        <v>184</v>
      </c>
      <c r="W8" s="29" t="s">
        <v>614</v>
      </c>
      <c r="X8" s="29" t="s">
        <v>615</v>
      </c>
      <c r="Y8" s="29" t="s">
        <v>271</v>
      </c>
      <c r="Z8" s="29" t="s">
        <v>616</v>
      </c>
      <c r="AA8" s="29" t="s">
        <v>617</v>
      </c>
    </row>
    <row r="9" customFormat="false" ht="15" hidden="false" customHeight="false" outlineLevel="0" collapsed="false">
      <c r="A9" s="7" t="s">
        <v>618</v>
      </c>
      <c r="B9" s="28" t="n">
        <v>3</v>
      </c>
      <c r="D9" s="29" t="s">
        <v>619</v>
      </c>
      <c r="E9" s="29" t="s">
        <v>620</v>
      </c>
      <c r="F9" s="29" t="s">
        <v>621</v>
      </c>
      <c r="I9" s="29" t="s">
        <v>622</v>
      </c>
      <c r="J9" s="29" t="s">
        <v>623</v>
      </c>
      <c r="K9" s="29" t="s">
        <v>144</v>
      </c>
      <c r="L9" s="29" t="s">
        <v>624</v>
      </c>
      <c r="M9" s="29" t="s">
        <v>625</v>
      </c>
      <c r="N9" s="29" t="s">
        <v>157</v>
      </c>
      <c r="P9" s="29" t="s">
        <v>626</v>
      </c>
      <c r="R9" s="29" t="s">
        <v>627</v>
      </c>
      <c r="T9" s="29" t="s">
        <v>282</v>
      </c>
      <c r="U9" s="29" t="s">
        <v>619</v>
      </c>
      <c r="V9" s="29" t="s">
        <v>603</v>
      </c>
      <c r="W9" s="29" t="s">
        <v>628</v>
      </c>
      <c r="X9" s="29" t="s">
        <v>629</v>
      </c>
      <c r="Y9" s="29" t="s">
        <v>272</v>
      </c>
      <c r="AA9" s="29" t="s">
        <v>630</v>
      </c>
    </row>
    <row r="10" customFormat="false" ht="15" hidden="false" customHeight="false" outlineLevel="0" collapsed="false">
      <c r="A10" s="7" t="s">
        <v>631</v>
      </c>
      <c r="B10" s="28" t="n">
        <v>2</v>
      </c>
      <c r="I10" s="29" t="s">
        <v>632</v>
      </c>
      <c r="J10" s="29" t="s">
        <v>633</v>
      </c>
      <c r="K10" s="29" t="s">
        <v>634</v>
      </c>
      <c r="L10" s="29" t="s">
        <v>583</v>
      </c>
      <c r="M10" s="29" t="s">
        <v>635</v>
      </c>
      <c r="N10" s="29" t="s">
        <v>636</v>
      </c>
      <c r="P10" s="29" t="s">
        <v>159</v>
      </c>
      <c r="T10" s="29" t="s">
        <v>637</v>
      </c>
      <c r="U10" s="29" t="s">
        <v>638</v>
      </c>
      <c r="V10" s="29" t="s">
        <v>619</v>
      </c>
      <c r="W10" s="29" t="s">
        <v>639</v>
      </c>
      <c r="Y10" s="29" t="s">
        <v>273</v>
      </c>
      <c r="AA10" s="29" t="s">
        <v>640</v>
      </c>
    </row>
    <row r="11" customFormat="false" ht="15" hidden="false" customHeight="false" outlineLevel="0" collapsed="false">
      <c r="I11" s="29" t="s">
        <v>154</v>
      </c>
      <c r="J11" s="29" t="s">
        <v>641</v>
      </c>
      <c r="K11" s="29" t="s">
        <v>169</v>
      </c>
      <c r="L11" s="29" t="s">
        <v>642</v>
      </c>
      <c r="M11" s="29" t="s">
        <v>643</v>
      </c>
      <c r="N11" s="29" t="s">
        <v>644</v>
      </c>
      <c r="T11" s="29" t="s">
        <v>645</v>
      </c>
      <c r="U11" s="29" t="s">
        <v>646</v>
      </c>
      <c r="V11" s="29" t="s">
        <v>647</v>
      </c>
      <c r="Y11" s="29" t="s">
        <v>274</v>
      </c>
      <c r="AA11" s="29" t="s">
        <v>648</v>
      </c>
    </row>
    <row r="12" customFormat="false" ht="60" hidden="false" customHeight="true" outlineLevel="0" collapsed="false">
      <c r="A12" s="79" t="s">
        <v>649</v>
      </c>
      <c r="I12" s="29" t="s">
        <v>650</v>
      </c>
      <c r="J12" s="29" t="s">
        <v>651</v>
      </c>
      <c r="K12" s="29" t="s">
        <v>652</v>
      </c>
      <c r="L12" s="29" t="s">
        <v>615</v>
      </c>
      <c r="U12" s="29" t="s">
        <v>653</v>
      </c>
      <c r="V12" s="29" t="s">
        <v>654</v>
      </c>
      <c r="AA12" s="29" t="s">
        <v>655</v>
      </c>
    </row>
    <row r="13" customFormat="false" ht="15" hidden="false" customHeight="false" outlineLevel="0" collapsed="false">
      <c r="I13" s="29" t="s">
        <v>656</v>
      </c>
      <c r="J13" s="29" t="s">
        <v>657</v>
      </c>
      <c r="K13" s="29" t="s">
        <v>658</v>
      </c>
      <c r="U13" s="29" t="s">
        <v>659</v>
      </c>
      <c r="V13" s="29" t="s">
        <v>660</v>
      </c>
      <c r="AA13" s="29" t="s">
        <v>661</v>
      </c>
    </row>
    <row r="14" customFormat="false" ht="15" hidden="false" customHeight="false" outlineLevel="0" collapsed="false">
      <c r="I14" s="29" t="s">
        <v>662</v>
      </c>
      <c r="J14" s="29" t="s">
        <v>663</v>
      </c>
      <c r="K14" s="29" t="s">
        <v>664</v>
      </c>
      <c r="U14" s="29" t="s">
        <v>665</v>
      </c>
      <c r="V14" s="29" t="s">
        <v>653</v>
      </c>
      <c r="AA14" s="29" t="s">
        <v>666</v>
      </c>
    </row>
    <row r="15" customFormat="false" ht="15" hidden="false" customHeight="false" outlineLevel="0" collapsed="false">
      <c r="I15" s="29" t="s">
        <v>161</v>
      </c>
      <c r="J15" s="29" t="s">
        <v>667</v>
      </c>
      <c r="K15" s="29" t="s">
        <v>668</v>
      </c>
      <c r="U15" s="29" t="s">
        <v>669</v>
      </c>
      <c r="V15" s="29" t="s">
        <v>639</v>
      </c>
      <c r="AA15" s="29" t="s">
        <v>670</v>
      </c>
    </row>
    <row r="16" customFormat="false" ht="15" hidden="false" customHeight="false" outlineLevel="0" collapsed="false">
      <c r="U16" s="29" t="s">
        <v>639</v>
      </c>
      <c r="AA16" s="29" t="s">
        <v>671</v>
      </c>
    </row>
    <row r="17" customFormat="false" ht="15" hidden="false" customHeight="false" outlineLevel="0" collapsed="false">
      <c r="AA17" s="29" t="s">
        <v>672</v>
      </c>
    </row>
    <row r="18" customFormat="false" ht="15" hidden="false" customHeight="false" outlineLevel="0" collapsed="false">
      <c r="AA18" s="29" t="s">
        <v>673</v>
      </c>
    </row>
    <row r="19" customFormat="false" ht="15" hidden="false" customHeight="false" outlineLevel="0" collapsed="false">
      <c r="AA19" s="29" t="s">
        <v>674</v>
      </c>
    </row>
    <row r="20" customFormat="false" ht="15" hidden="false" customHeight="false" outlineLevel="0" collapsed="false">
      <c r="AA20" s="29" t="s">
        <v>675</v>
      </c>
    </row>
    <row r="21" customFormat="false" ht="15" hidden="false" customHeight="false" outlineLevel="0" collapsed="false">
      <c r="AA21" s="29" t="s">
        <v>676</v>
      </c>
    </row>
    <row r="22" customFormat="false" ht="15" hidden="false" customHeight="false" outlineLevel="0" collapsed="false">
      <c r="AA22" s="29" t="s">
        <v>677</v>
      </c>
    </row>
    <row r="23" customFormat="false" ht="15" hidden="false" customHeight="false" outlineLevel="0" collapsed="false">
      <c r="AA23" s="29" t="s">
        <v>678</v>
      </c>
    </row>
    <row r="24" customFormat="false" ht="15" hidden="false" customHeight="false" outlineLevel="0" collapsed="false">
      <c r="AA24" s="29" t="s">
        <v>679</v>
      </c>
    </row>
    <row r="25" customFormat="false" ht="15" hidden="false" customHeight="false" outlineLevel="0" collapsed="false">
      <c r="AA25" s="29" t="s">
        <v>680</v>
      </c>
    </row>
    <row r="26" customFormat="false" ht="15" hidden="false" customHeight="false" outlineLevel="0" collapsed="false">
      <c r="AA26" s="29" t="s">
        <v>681</v>
      </c>
    </row>
    <row r="27" customFormat="false" ht="15" hidden="false" customHeight="false" outlineLevel="0" collapsed="false">
      <c r="AA27" s="29" t="s">
        <v>682</v>
      </c>
    </row>
    <row r="28" customFormat="false" ht="15" hidden="false" customHeight="false" outlineLevel="0" collapsed="false">
      <c r="AA28" s="29" t="s">
        <v>683</v>
      </c>
    </row>
    <row r="29" customFormat="false" ht="15" hidden="false" customHeight="false" outlineLevel="0" collapsed="false">
      <c r="AA29" s="29" t="s">
        <v>684</v>
      </c>
    </row>
    <row r="30" customFormat="false" ht="15" hidden="false" customHeight="false" outlineLevel="0" collapsed="false">
      <c r="AA30" s="29" t="s">
        <v>685</v>
      </c>
    </row>
    <row r="31" customFormat="false" ht="15" hidden="false" customHeight="false" outlineLevel="0" collapsed="false">
      <c r="AA31" s="29" t="s">
        <v>686</v>
      </c>
    </row>
    <row r="32" customFormat="false" ht="15" hidden="false" customHeight="false" outlineLevel="0" collapsed="false">
      <c r="AA32" s="29" t="s">
        <v>687</v>
      </c>
    </row>
    <row r="33" customFormat="false" ht="15" hidden="false" customHeight="false" outlineLevel="0" collapsed="false">
      <c r="AA33" s="29" t="s">
        <v>688</v>
      </c>
    </row>
    <row r="34" customFormat="false" ht="15" hidden="false" customHeight="false" outlineLevel="0" collapsed="false">
      <c r="AA34" s="29" t="s">
        <v>689</v>
      </c>
    </row>
    <row r="35" customFormat="false" ht="15" hidden="false" customHeight="false" outlineLevel="0" collapsed="false">
      <c r="AA35" s="29" t="s">
        <v>690</v>
      </c>
    </row>
    <row r="36" customFormat="false" ht="15" hidden="false" customHeight="false" outlineLevel="0" collapsed="false">
      <c r="AA36" s="29" t="s">
        <v>691</v>
      </c>
    </row>
    <row r="37" customFormat="false" ht="15" hidden="false" customHeight="false" outlineLevel="0" collapsed="false">
      <c r="AA37" s="29" t="s">
        <v>692</v>
      </c>
    </row>
    <row r="38" customFormat="false" ht="15" hidden="false" customHeight="false" outlineLevel="0" collapsed="false">
      <c r="AA38" s="29" t="s">
        <v>693</v>
      </c>
    </row>
    <row r="39" customFormat="false" ht="15" hidden="false" customHeight="false" outlineLevel="0" collapsed="false">
      <c r="AA39" s="29" t="s">
        <v>694</v>
      </c>
    </row>
    <row r="40" customFormat="false" ht="15" hidden="false" customHeight="false" outlineLevel="0" collapsed="false">
      <c r="AA40" s="29" t="s">
        <v>695</v>
      </c>
    </row>
    <row r="41" customFormat="false" ht="15" hidden="false" customHeight="false" outlineLevel="0" collapsed="false">
      <c r="AA41" s="29" t="s">
        <v>696</v>
      </c>
    </row>
    <row r="42" customFormat="false" ht="15" hidden="false" customHeight="false" outlineLevel="0" collapsed="false">
      <c r="AA42" s="29" t="s">
        <v>697</v>
      </c>
    </row>
    <row r="43" customFormat="false" ht="15" hidden="false" customHeight="false" outlineLevel="0" collapsed="false">
      <c r="AA43" s="29" t="s">
        <v>698</v>
      </c>
    </row>
    <row r="44" customFormat="false" ht="15" hidden="false" customHeight="false" outlineLevel="0" collapsed="false">
      <c r="AA44" s="29" t="s">
        <v>699</v>
      </c>
    </row>
    <row r="45" customFormat="false" ht="15" hidden="false" customHeight="false" outlineLevel="0" collapsed="false">
      <c r="AA45" s="29" t="s">
        <v>700</v>
      </c>
    </row>
    <row r="46" customFormat="false" ht="15" hidden="false" customHeight="false" outlineLevel="0" collapsed="false">
      <c r="AA46" s="29" t="s">
        <v>701</v>
      </c>
    </row>
    <row r="47" customFormat="false" ht="15" hidden="false" customHeight="false" outlineLevel="0" collapsed="false">
      <c r="AA47" s="29" t="s">
        <v>702</v>
      </c>
    </row>
    <row r="48" customFormat="false" ht="15" hidden="false" customHeight="false" outlineLevel="0" collapsed="false">
      <c r="AA48" s="29" t="s">
        <v>703</v>
      </c>
    </row>
    <row r="49" customFormat="false" ht="15" hidden="false" customHeight="false" outlineLevel="0" collapsed="false">
      <c r="AA49" s="29" t="s">
        <v>704</v>
      </c>
    </row>
    <row r="50" customFormat="false" ht="15" hidden="false" customHeight="false" outlineLevel="0" collapsed="false">
      <c r="AA50" s="29" t="s">
        <v>705</v>
      </c>
    </row>
    <row r="51" customFormat="false" ht="15" hidden="false" customHeight="false" outlineLevel="0" collapsed="false">
      <c r="AA51" s="29" t="s">
        <v>706</v>
      </c>
    </row>
    <row r="52" customFormat="false" ht="15" hidden="false" customHeight="false" outlineLevel="0" collapsed="false">
      <c r="AA52" s="29" t="s">
        <v>707</v>
      </c>
    </row>
    <row r="53" customFormat="false" ht="15" hidden="false" customHeight="false" outlineLevel="0" collapsed="false">
      <c r="AA53" s="29" t="s">
        <v>708</v>
      </c>
    </row>
    <row r="54" customFormat="false" ht="15" hidden="false" customHeight="false" outlineLevel="0" collapsed="false">
      <c r="AA54" s="29" t="s">
        <v>709</v>
      </c>
    </row>
    <row r="55" customFormat="false" ht="15" hidden="false" customHeight="false" outlineLevel="0" collapsed="false">
      <c r="AA55" s="29" t="s">
        <v>710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2026-09-28T21:24:55Z</dcterms:created>
  <dc:creator>openpyxl</dc:creator>
  <dc:description/>
  <dc:language>en-US</dc:language>
  <cp:lastModifiedBy/>
  <dcterms:modified xsi:type="dcterms:W3CDTF">2026-09-28T21:25:02Z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